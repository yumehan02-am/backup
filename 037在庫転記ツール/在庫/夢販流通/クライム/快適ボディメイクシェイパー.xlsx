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37155638-356D-43AC-8C61-92E7EDB08A67}" xr6:coauthVersionLast="47" xr6:coauthVersionMax="47" xr10:uidLastSave="{00000000-0000-0000-0000-000000000000}"/>
  <bookViews>
    <workbookView xWindow="-120" yWindow="-120" windowWidth="29040" windowHeight="15840" tabRatio="57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7" i="1" l="1"/>
  <c r="E97" i="1"/>
  <c r="J97" i="1" s="1"/>
  <c r="T97" i="1"/>
  <c r="P97" i="1"/>
  <c r="U97" i="1" s="1"/>
  <c r="T96" i="1"/>
  <c r="P96" i="1"/>
  <c r="U96" i="1" s="1"/>
  <c r="T95" i="1"/>
  <c r="P95" i="1"/>
  <c r="U95" i="1" s="1"/>
  <c r="T94" i="1"/>
  <c r="P94" i="1"/>
  <c r="U94" i="1" s="1"/>
  <c r="I95" i="1"/>
  <c r="E95" i="1"/>
  <c r="J95" i="1" s="1"/>
  <c r="P136" i="1"/>
  <c r="T136" i="1"/>
  <c r="U136" i="1" s="1"/>
  <c r="P137" i="1"/>
  <c r="T137" i="1"/>
  <c r="U137" i="1"/>
  <c r="P138" i="1"/>
  <c r="T138" i="1"/>
  <c r="U138" i="1" s="1"/>
  <c r="P139" i="1"/>
  <c r="T139" i="1"/>
  <c r="U139" i="1"/>
  <c r="T93" i="1"/>
  <c r="P93" i="1"/>
  <c r="U93" i="1" s="1"/>
  <c r="T92" i="1"/>
  <c r="P92" i="1"/>
  <c r="U92" i="1" s="1"/>
  <c r="AA6" i="1"/>
  <c r="AE6" i="1"/>
  <c r="AF6" i="1" s="1"/>
  <c r="AA15" i="1"/>
  <c r="AE15" i="1"/>
  <c r="AF15" i="1" s="1"/>
  <c r="I64" i="1"/>
  <c r="E64" i="1"/>
  <c r="J64" i="1" s="1"/>
  <c r="I50" i="1"/>
  <c r="E50" i="1"/>
  <c r="J50" i="1" s="1"/>
  <c r="T78" i="1"/>
  <c r="T79" i="1"/>
  <c r="P27" i="1"/>
  <c r="T27" i="1"/>
  <c r="U27" i="1" s="1"/>
  <c r="T58" i="1"/>
  <c r="P58" i="1"/>
  <c r="U58" i="1" s="1"/>
  <c r="AA14" i="1"/>
  <c r="P121" i="1"/>
  <c r="T121" i="1"/>
  <c r="U121" i="1" s="1"/>
  <c r="P122" i="1"/>
  <c r="T122" i="1"/>
  <c r="U122" i="1"/>
  <c r="P123" i="1"/>
  <c r="T123" i="1"/>
  <c r="U123" i="1" s="1"/>
  <c r="P124" i="1"/>
  <c r="T124" i="1"/>
  <c r="P125" i="1"/>
  <c r="T125" i="1"/>
  <c r="P75" i="1"/>
  <c r="T75" i="1"/>
  <c r="U75" i="1" s="1"/>
  <c r="P76" i="1"/>
  <c r="T76" i="1"/>
  <c r="U76" i="1" s="1"/>
  <c r="P77" i="1"/>
  <c r="T77" i="1"/>
  <c r="U77" i="1"/>
  <c r="T82" i="1"/>
  <c r="P82" i="1"/>
  <c r="T81" i="1"/>
  <c r="P81" i="1"/>
  <c r="P80" i="1"/>
  <c r="P79" i="1"/>
  <c r="P78" i="1"/>
  <c r="M83" i="1"/>
  <c r="N83" i="1"/>
  <c r="O83" i="1"/>
  <c r="Q83" i="1"/>
  <c r="S83" i="1"/>
  <c r="T53" i="1"/>
  <c r="P53" i="1"/>
  <c r="U53" i="1" s="1"/>
  <c r="T52" i="1"/>
  <c r="P52" i="1"/>
  <c r="U52" i="1" s="1"/>
  <c r="R40" i="1"/>
  <c r="E14" i="1"/>
  <c r="I14" i="1"/>
  <c r="T15" i="1"/>
  <c r="P15" i="1"/>
  <c r="U15" i="1" s="1"/>
  <c r="P9" i="1"/>
  <c r="U9" i="1" s="1"/>
  <c r="T9" i="1"/>
  <c r="T50" i="1"/>
  <c r="P50" i="1"/>
  <c r="U50" i="1" s="1"/>
  <c r="H169" i="1"/>
  <c r="I169" i="1" s="1"/>
  <c r="G169" i="1"/>
  <c r="F169" i="1"/>
  <c r="D169" i="1"/>
  <c r="E169" i="1" s="1"/>
  <c r="J169" i="1" s="1"/>
  <c r="C169" i="1"/>
  <c r="B169" i="1"/>
  <c r="I168" i="1"/>
  <c r="J168" i="1" s="1"/>
  <c r="E168" i="1"/>
  <c r="I167" i="1"/>
  <c r="E167" i="1"/>
  <c r="J167" i="1" s="1"/>
  <c r="I166" i="1"/>
  <c r="E166" i="1"/>
  <c r="J166" i="1" s="1"/>
  <c r="J165" i="1"/>
  <c r="I165" i="1"/>
  <c r="E165" i="1"/>
  <c r="I164" i="1"/>
  <c r="J164" i="1" s="1"/>
  <c r="E164" i="1"/>
  <c r="I163" i="1"/>
  <c r="E163" i="1"/>
  <c r="J163" i="1" s="1"/>
  <c r="I162" i="1"/>
  <c r="E162" i="1"/>
  <c r="J162" i="1" s="1"/>
  <c r="J161" i="1"/>
  <c r="I161" i="1"/>
  <c r="E161" i="1"/>
  <c r="I160" i="1"/>
  <c r="J160" i="1" s="1"/>
  <c r="E160" i="1"/>
  <c r="I159" i="1"/>
  <c r="E159" i="1"/>
  <c r="J159" i="1" s="1"/>
  <c r="I158" i="1"/>
  <c r="E158" i="1"/>
  <c r="J158" i="1" s="1"/>
  <c r="J157" i="1"/>
  <c r="I157" i="1"/>
  <c r="E157" i="1"/>
  <c r="I156" i="1"/>
  <c r="J156" i="1" s="1"/>
  <c r="E156" i="1"/>
  <c r="I155" i="1"/>
  <c r="E155" i="1"/>
  <c r="J155" i="1" s="1"/>
  <c r="I154" i="1"/>
  <c r="E154" i="1"/>
  <c r="J154" i="1" s="1"/>
  <c r="J153" i="1"/>
  <c r="I153" i="1"/>
  <c r="E153" i="1"/>
  <c r="I152" i="1"/>
  <c r="J152" i="1" s="1"/>
  <c r="E152" i="1"/>
  <c r="I151" i="1"/>
  <c r="E151" i="1"/>
  <c r="J151" i="1" s="1"/>
  <c r="I150" i="1"/>
  <c r="E150" i="1"/>
  <c r="J150" i="1" s="1"/>
  <c r="J149" i="1"/>
  <c r="I149" i="1"/>
  <c r="E149" i="1"/>
  <c r="I148" i="1"/>
  <c r="J148" i="1" s="1"/>
  <c r="E148" i="1"/>
  <c r="I147" i="1"/>
  <c r="E147" i="1"/>
  <c r="J147" i="1" s="1"/>
  <c r="I146" i="1"/>
  <c r="E146" i="1"/>
  <c r="J146" i="1" s="1"/>
  <c r="J145" i="1"/>
  <c r="I145" i="1"/>
  <c r="E145" i="1"/>
  <c r="I144" i="1"/>
  <c r="J144" i="1" s="1"/>
  <c r="E144" i="1"/>
  <c r="I143" i="1"/>
  <c r="E143" i="1"/>
  <c r="J143" i="1" s="1"/>
  <c r="I141" i="1"/>
  <c r="E141" i="1"/>
  <c r="J141" i="1" s="1"/>
  <c r="I140" i="1"/>
  <c r="E140" i="1"/>
  <c r="J140" i="1" s="1"/>
  <c r="J139" i="1"/>
  <c r="I139" i="1"/>
  <c r="E139" i="1"/>
  <c r="I138" i="1"/>
  <c r="J138" i="1" s="1"/>
  <c r="E138" i="1"/>
  <c r="I137" i="1"/>
  <c r="E137" i="1"/>
  <c r="J137" i="1" s="1"/>
  <c r="I136" i="1"/>
  <c r="E136" i="1"/>
  <c r="J136" i="1" s="1"/>
  <c r="J135" i="1"/>
  <c r="I135" i="1"/>
  <c r="E135" i="1"/>
  <c r="I134" i="1"/>
  <c r="J134" i="1" s="1"/>
  <c r="E134" i="1"/>
  <c r="H126" i="1"/>
  <c r="G126" i="1"/>
  <c r="F126" i="1"/>
  <c r="D126" i="1"/>
  <c r="C126" i="1"/>
  <c r="B126" i="1"/>
  <c r="I125" i="1"/>
  <c r="J125" i="1" s="1"/>
  <c r="E125" i="1"/>
  <c r="I124" i="1"/>
  <c r="E124" i="1"/>
  <c r="J124" i="1" s="1"/>
  <c r="I123" i="1"/>
  <c r="E123" i="1"/>
  <c r="J123" i="1" s="1"/>
  <c r="J122" i="1"/>
  <c r="I122" i="1"/>
  <c r="E122" i="1"/>
  <c r="I121" i="1"/>
  <c r="J121" i="1" s="1"/>
  <c r="E121" i="1"/>
  <c r="I120" i="1"/>
  <c r="E120" i="1"/>
  <c r="J120" i="1" s="1"/>
  <c r="I119" i="1"/>
  <c r="E119" i="1"/>
  <c r="J119" i="1" s="1"/>
  <c r="J118" i="1"/>
  <c r="I118" i="1"/>
  <c r="E118" i="1"/>
  <c r="I117" i="1"/>
  <c r="J117" i="1" s="1"/>
  <c r="E117" i="1"/>
  <c r="I116" i="1"/>
  <c r="E116" i="1"/>
  <c r="J116" i="1" s="1"/>
  <c r="I115" i="1"/>
  <c r="E115" i="1"/>
  <c r="J115" i="1" s="1"/>
  <c r="J114" i="1"/>
  <c r="I114" i="1"/>
  <c r="E114" i="1"/>
  <c r="I113" i="1"/>
  <c r="J113" i="1" s="1"/>
  <c r="E113" i="1"/>
  <c r="I112" i="1"/>
  <c r="E112" i="1"/>
  <c r="J112" i="1" s="1"/>
  <c r="I111" i="1"/>
  <c r="E111" i="1"/>
  <c r="J111" i="1" s="1"/>
  <c r="J110" i="1"/>
  <c r="I110" i="1"/>
  <c r="E110" i="1"/>
  <c r="I109" i="1"/>
  <c r="J109" i="1" s="1"/>
  <c r="E109" i="1"/>
  <c r="I108" i="1"/>
  <c r="E108" i="1"/>
  <c r="J108" i="1" s="1"/>
  <c r="I107" i="1"/>
  <c r="E107" i="1"/>
  <c r="J107" i="1" s="1"/>
  <c r="I106" i="1"/>
  <c r="E106" i="1"/>
  <c r="J106" i="1" s="1"/>
  <c r="I105" i="1"/>
  <c r="E105" i="1"/>
  <c r="I104" i="1"/>
  <c r="E104" i="1"/>
  <c r="J104" i="1" s="1"/>
  <c r="I103" i="1"/>
  <c r="E103" i="1"/>
  <c r="J103" i="1" s="1"/>
  <c r="I102" i="1"/>
  <c r="E102" i="1"/>
  <c r="J102" i="1" s="1"/>
  <c r="I101" i="1"/>
  <c r="E101" i="1"/>
  <c r="I100" i="1"/>
  <c r="E100" i="1"/>
  <c r="I98" i="1"/>
  <c r="E98" i="1"/>
  <c r="J98" i="1" s="1"/>
  <c r="I96" i="1"/>
  <c r="E96" i="1"/>
  <c r="J96" i="1" s="1"/>
  <c r="I94" i="1"/>
  <c r="E94" i="1"/>
  <c r="J94" i="1" s="1"/>
  <c r="I93" i="1"/>
  <c r="E93" i="1"/>
  <c r="J93" i="1" s="1"/>
  <c r="I92" i="1"/>
  <c r="E92" i="1"/>
  <c r="J92" i="1" s="1"/>
  <c r="I91" i="1"/>
  <c r="J91" i="1" s="1"/>
  <c r="E91" i="1"/>
  <c r="P165" i="1"/>
  <c r="U165" i="1" s="1"/>
  <c r="T165" i="1"/>
  <c r="P166" i="1"/>
  <c r="U166" i="1" s="1"/>
  <c r="T166" i="1"/>
  <c r="P167" i="1"/>
  <c r="T167" i="1"/>
  <c r="U167" i="1" s="1"/>
  <c r="P168" i="1"/>
  <c r="U168" i="1" s="1"/>
  <c r="T168" i="1"/>
  <c r="S169" i="1"/>
  <c r="R169" i="1"/>
  <c r="Q169" i="1"/>
  <c r="O169" i="1"/>
  <c r="N169" i="1"/>
  <c r="M169" i="1"/>
  <c r="T164" i="1"/>
  <c r="P164" i="1"/>
  <c r="U164" i="1" s="1"/>
  <c r="T163" i="1"/>
  <c r="P163" i="1"/>
  <c r="U163" i="1" s="1"/>
  <c r="T162" i="1"/>
  <c r="U162" i="1" s="1"/>
  <c r="P162" i="1"/>
  <c r="U161" i="1"/>
  <c r="T161" i="1"/>
  <c r="P161" i="1"/>
  <c r="T160" i="1"/>
  <c r="P160" i="1"/>
  <c r="U160" i="1" s="1"/>
  <c r="T159" i="1"/>
  <c r="P159" i="1"/>
  <c r="U159" i="1" s="1"/>
  <c r="T158" i="1"/>
  <c r="U158" i="1" s="1"/>
  <c r="P158" i="1"/>
  <c r="U157" i="1"/>
  <c r="T157" i="1"/>
  <c r="P157" i="1"/>
  <c r="T156" i="1"/>
  <c r="P156" i="1"/>
  <c r="U156" i="1" s="1"/>
  <c r="T155" i="1"/>
  <c r="P155" i="1"/>
  <c r="U155" i="1" s="1"/>
  <c r="T154" i="1"/>
  <c r="U154" i="1" s="1"/>
  <c r="P154" i="1"/>
  <c r="U153" i="1"/>
  <c r="T153" i="1"/>
  <c r="P153" i="1"/>
  <c r="T152" i="1"/>
  <c r="P152" i="1"/>
  <c r="U152" i="1" s="1"/>
  <c r="T151" i="1"/>
  <c r="P151" i="1"/>
  <c r="U151" i="1" s="1"/>
  <c r="T150" i="1"/>
  <c r="U150" i="1" s="1"/>
  <c r="P150" i="1"/>
  <c r="U149" i="1"/>
  <c r="T149" i="1"/>
  <c r="P149" i="1"/>
  <c r="T148" i="1"/>
  <c r="P148" i="1"/>
  <c r="U148" i="1" s="1"/>
  <c r="T147" i="1"/>
  <c r="P147" i="1"/>
  <c r="U147" i="1" s="1"/>
  <c r="T146" i="1"/>
  <c r="U146" i="1" s="1"/>
  <c r="P146" i="1"/>
  <c r="U145" i="1"/>
  <c r="T145" i="1"/>
  <c r="P145" i="1"/>
  <c r="T144" i="1"/>
  <c r="P144" i="1"/>
  <c r="U144" i="1" s="1"/>
  <c r="T143" i="1"/>
  <c r="T169" i="1" s="1"/>
  <c r="P143" i="1"/>
  <c r="U143" i="1" s="1"/>
  <c r="T141" i="1"/>
  <c r="P141" i="1"/>
  <c r="U141" i="1" s="1"/>
  <c r="T140" i="1"/>
  <c r="U140" i="1" s="1"/>
  <c r="P140" i="1"/>
  <c r="U135" i="1"/>
  <c r="T135" i="1"/>
  <c r="P135" i="1"/>
  <c r="T134" i="1"/>
  <c r="P134" i="1"/>
  <c r="U134" i="1" s="1"/>
  <c r="P118" i="1"/>
  <c r="U118" i="1" s="1"/>
  <c r="T118" i="1"/>
  <c r="P119" i="1"/>
  <c r="T119" i="1"/>
  <c r="U119" i="1"/>
  <c r="P120" i="1"/>
  <c r="T120" i="1"/>
  <c r="U120" i="1" s="1"/>
  <c r="P51" i="1"/>
  <c r="T51" i="1"/>
  <c r="U51" i="1"/>
  <c r="S126" i="1"/>
  <c r="R126" i="1"/>
  <c r="Q126" i="1"/>
  <c r="O126" i="1"/>
  <c r="N126" i="1"/>
  <c r="M126" i="1"/>
  <c r="T117" i="1"/>
  <c r="P117" i="1"/>
  <c r="U117" i="1" s="1"/>
  <c r="T116" i="1"/>
  <c r="P116" i="1"/>
  <c r="U116" i="1" s="1"/>
  <c r="T115" i="1"/>
  <c r="U115" i="1" s="1"/>
  <c r="P115" i="1"/>
  <c r="U114" i="1"/>
  <c r="T114" i="1"/>
  <c r="P114" i="1"/>
  <c r="T113" i="1"/>
  <c r="P113" i="1"/>
  <c r="U113" i="1" s="1"/>
  <c r="T112" i="1"/>
  <c r="P112" i="1"/>
  <c r="U112" i="1" s="1"/>
  <c r="T111" i="1"/>
  <c r="U111" i="1" s="1"/>
  <c r="P111" i="1"/>
  <c r="U110" i="1"/>
  <c r="T110" i="1"/>
  <c r="P110" i="1"/>
  <c r="T109" i="1"/>
  <c r="P109" i="1"/>
  <c r="U109" i="1" s="1"/>
  <c r="T108" i="1"/>
  <c r="P108" i="1"/>
  <c r="U108" i="1" s="1"/>
  <c r="T107" i="1"/>
  <c r="U107" i="1" s="1"/>
  <c r="P107" i="1"/>
  <c r="U106" i="1"/>
  <c r="T106" i="1"/>
  <c r="P106" i="1"/>
  <c r="T105" i="1"/>
  <c r="P105" i="1"/>
  <c r="U105" i="1" s="1"/>
  <c r="T104" i="1"/>
  <c r="P104" i="1"/>
  <c r="U104" i="1" s="1"/>
  <c r="T103" i="1"/>
  <c r="U103" i="1" s="1"/>
  <c r="P103" i="1"/>
  <c r="T102" i="1"/>
  <c r="P102" i="1"/>
  <c r="U102" i="1" s="1"/>
  <c r="T101" i="1"/>
  <c r="P101" i="1"/>
  <c r="T100" i="1"/>
  <c r="P100" i="1"/>
  <c r="T98" i="1"/>
  <c r="P98" i="1"/>
  <c r="T91" i="1"/>
  <c r="P91" i="1"/>
  <c r="U91" i="1" s="1"/>
  <c r="AE14" i="1"/>
  <c r="AF14" i="1" s="1"/>
  <c r="P6" i="1"/>
  <c r="T6" i="1"/>
  <c r="U6" i="1" s="1"/>
  <c r="B40" i="1"/>
  <c r="H13" i="1"/>
  <c r="G13" i="1"/>
  <c r="F13" i="1"/>
  <c r="D13" i="1"/>
  <c r="C13" i="1"/>
  <c r="B13" i="1"/>
  <c r="N40" i="1"/>
  <c r="O40" i="1"/>
  <c r="Q40" i="1"/>
  <c r="S40" i="1"/>
  <c r="M40" i="1"/>
  <c r="N13" i="1"/>
  <c r="O13" i="1"/>
  <c r="Q13" i="1"/>
  <c r="R13" i="1"/>
  <c r="S13" i="1"/>
  <c r="M13" i="1"/>
  <c r="Y13" i="1"/>
  <c r="Z13" i="1"/>
  <c r="AB13" i="1"/>
  <c r="AC13" i="1"/>
  <c r="AD13" i="1"/>
  <c r="X13" i="1"/>
  <c r="P37" i="1"/>
  <c r="T37" i="1"/>
  <c r="P38" i="1"/>
  <c r="P39" i="1"/>
  <c r="T39" i="1"/>
  <c r="AD40" i="1"/>
  <c r="AC40" i="1"/>
  <c r="AB40" i="1"/>
  <c r="Z40" i="1"/>
  <c r="Y40" i="1"/>
  <c r="X40" i="1"/>
  <c r="AE39" i="1"/>
  <c r="AA39" i="1"/>
  <c r="AE38" i="1"/>
  <c r="AA38" i="1"/>
  <c r="AE37" i="1"/>
  <c r="AA37" i="1"/>
  <c r="AE36" i="1"/>
  <c r="AA36" i="1"/>
  <c r="AE35" i="1"/>
  <c r="AA35" i="1"/>
  <c r="AF35" i="1" s="1"/>
  <c r="AE34" i="1"/>
  <c r="AA34" i="1"/>
  <c r="AF34" i="1" s="1"/>
  <c r="AE33" i="1"/>
  <c r="AA33" i="1"/>
  <c r="AE32" i="1"/>
  <c r="AA32" i="1"/>
  <c r="AE31" i="1"/>
  <c r="AA31" i="1"/>
  <c r="AF31" i="1" s="1"/>
  <c r="AE30" i="1"/>
  <c r="AA30" i="1"/>
  <c r="AF30" i="1" s="1"/>
  <c r="AE29" i="1"/>
  <c r="AA29" i="1"/>
  <c r="AE28" i="1"/>
  <c r="AA28" i="1"/>
  <c r="AF28" i="1" s="1"/>
  <c r="AE27" i="1"/>
  <c r="AA27" i="1"/>
  <c r="AF27" i="1" s="1"/>
  <c r="AE26" i="1"/>
  <c r="AA26" i="1"/>
  <c r="AF26" i="1" s="1"/>
  <c r="AE25" i="1"/>
  <c r="AA25" i="1"/>
  <c r="AE24" i="1"/>
  <c r="AA24" i="1"/>
  <c r="AF24" i="1" s="1"/>
  <c r="AE23" i="1"/>
  <c r="AA23" i="1"/>
  <c r="AF23" i="1" s="1"/>
  <c r="AE22" i="1"/>
  <c r="AA22" i="1"/>
  <c r="AF22" i="1" s="1"/>
  <c r="AE21" i="1"/>
  <c r="AA21" i="1"/>
  <c r="AE20" i="1"/>
  <c r="AA20" i="1"/>
  <c r="AF20" i="1" s="1"/>
  <c r="AE19" i="1"/>
  <c r="AA19" i="1"/>
  <c r="AF19" i="1" s="1"/>
  <c r="AE18" i="1"/>
  <c r="AA18" i="1"/>
  <c r="AF18" i="1" s="1"/>
  <c r="AE17" i="1"/>
  <c r="AA17" i="1"/>
  <c r="AE16" i="1"/>
  <c r="AA16" i="1"/>
  <c r="AF16" i="1" s="1"/>
  <c r="AE12" i="1"/>
  <c r="AA12" i="1"/>
  <c r="AF12" i="1" s="1"/>
  <c r="AE11" i="1"/>
  <c r="AA11" i="1"/>
  <c r="AF11" i="1" s="1"/>
  <c r="AE10" i="1"/>
  <c r="AA10" i="1"/>
  <c r="AE9" i="1"/>
  <c r="AA9" i="1"/>
  <c r="AE8" i="1"/>
  <c r="AA8" i="1"/>
  <c r="AF8" i="1" s="1"/>
  <c r="AE7" i="1"/>
  <c r="AA7" i="1"/>
  <c r="AF7" i="1" s="1"/>
  <c r="AE5" i="1"/>
  <c r="AA5" i="1"/>
  <c r="AE4" i="1"/>
  <c r="AE13" i="1" s="1"/>
  <c r="AA4" i="1"/>
  <c r="AA13" i="1" s="1"/>
  <c r="P14" i="1"/>
  <c r="T14" i="1"/>
  <c r="P57" i="1"/>
  <c r="T57" i="1"/>
  <c r="P59" i="1"/>
  <c r="T59" i="1"/>
  <c r="P60" i="1"/>
  <c r="T60" i="1"/>
  <c r="P61" i="1"/>
  <c r="T61" i="1"/>
  <c r="P62" i="1"/>
  <c r="T62" i="1"/>
  <c r="U62" i="1" s="1"/>
  <c r="P63" i="1"/>
  <c r="T63" i="1"/>
  <c r="P64" i="1"/>
  <c r="T64" i="1"/>
  <c r="P65" i="1"/>
  <c r="T65" i="1"/>
  <c r="U65" i="1" s="1"/>
  <c r="P66" i="1"/>
  <c r="T66" i="1"/>
  <c r="U66" i="1" s="1"/>
  <c r="P67" i="1"/>
  <c r="T67" i="1"/>
  <c r="P68" i="1"/>
  <c r="T68" i="1"/>
  <c r="U68" i="1"/>
  <c r="P69" i="1"/>
  <c r="T69" i="1"/>
  <c r="U69" i="1" s="1"/>
  <c r="P70" i="1"/>
  <c r="U70" i="1" s="1"/>
  <c r="T70" i="1"/>
  <c r="P36" i="1"/>
  <c r="T36" i="1"/>
  <c r="P4" i="1"/>
  <c r="T4" i="1"/>
  <c r="P5" i="1"/>
  <c r="T5" i="1"/>
  <c r="P16" i="1"/>
  <c r="T16" i="1"/>
  <c r="P17" i="1"/>
  <c r="T17" i="1"/>
  <c r="P18" i="1"/>
  <c r="T18" i="1"/>
  <c r="P19" i="1"/>
  <c r="T19" i="1"/>
  <c r="P20" i="1"/>
  <c r="T20" i="1"/>
  <c r="U20" i="1" s="1"/>
  <c r="P21" i="1"/>
  <c r="T21" i="1"/>
  <c r="U21" i="1" s="1"/>
  <c r="P22" i="1"/>
  <c r="T22" i="1"/>
  <c r="P23" i="1"/>
  <c r="T23" i="1"/>
  <c r="U23" i="1" s="1"/>
  <c r="E4" i="1"/>
  <c r="I4" i="1"/>
  <c r="E5" i="1"/>
  <c r="I5" i="1"/>
  <c r="E6" i="1"/>
  <c r="I6" i="1"/>
  <c r="E7" i="1"/>
  <c r="I7" i="1"/>
  <c r="J7" i="1" s="1"/>
  <c r="E15" i="1"/>
  <c r="I15" i="1"/>
  <c r="E16" i="1"/>
  <c r="I16" i="1"/>
  <c r="J16" i="1"/>
  <c r="E17" i="1"/>
  <c r="I17" i="1"/>
  <c r="E18" i="1"/>
  <c r="I18" i="1"/>
  <c r="J18" i="1"/>
  <c r="E19" i="1"/>
  <c r="I19" i="1"/>
  <c r="E20" i="1"/>
  <c r="I20" i="1"/>
  <c r="E21" i="1"/>
  <c r="I21" i="1"/>
  <c r="E22" i="1"/>
  <c r="I22" i="1"/>
  <c r="J22" i="1" s="1"/>
  <c r="E23" i="1"/>
  <c r="I23" i="1"/>
  <c r="J23" i="1" s="1"/>
  <c r="E24" i="1"/>
  <c r="I24" i="1"/>
  <c r="E25" i="1"/>
  <c r="I25" i="1"/>
  <c r="E26" i="1"/>
  <c r="I26" i="1"/>
  <c r="J26" i="1"/>
  <c r="E27" i="1"/>
  <c r="I27" i="1"/>
  <c r="E28" i="1"/>
  <c r="J28" i="1" s="1"/>
  <c r="I28" i="1"/>
  <c r="E29" i="1"/>
  <c r="I29" i="1"/>
  <c r="J29" i="1" s="1"/>
  <c r="E48" i="1"/>
  <c r="I48" i="1"/>
  <c r="E49" i="1"/>
  <c r="J49" i="1" s="1"/>
  <c r="I49" i="1"/>
  <c r="E51" i="1"/>
  <c r="J51" i="1" s="1"/>
  <c r="I51" i="1"/>
  <c r="E52" i="1"/>
  <c r="I52" i="1"/>
  <c r="J52" i="1" s="1"/>
  <c r="E57" i="1"/>
  <c r="I57" i="1"/>
  <c r="J57" i="1" s="1"/>
  <c r="E58" i="1"/>
  <c r="I58" i="1"/>
  <c r="J58" i="1"/>
  <c r="E59" i="1"/>
  <c r="I59" i="1"/>
  <c r="E60" i="1"/>
  <c r="I60" i="1"/>
  <c r="J60" i="1"/>
  <c r="E61" i="1"/>
  <c r="I61" i="1"/>
  <c r="J61" i="1" s="1"/>
  <c r="J105" i="1" l="1"/>
  <c r="J101" i="1"/>
  <c r="U98" i="1"/>
  <c r="I126" i="1"/>
  <c r="J100" i="1"/>
  <c r="E126" i="1"/>
  <c r="U101" i="1"/>
  <c r="U100" i="1"/>
  <c r="U124" i="1"/>
  <c r="U64" i="1"/>
  <c r="U63" i="1"/>
  <c r="U81" i="1"/>
  <c r="U60" i="1"/>
  <c r="U78" i="1"/>
  <c r="U79" i="1"/>
  <c r="U59" i="1"/>
  <c r="U39" i="1"/>
  <c r="U125" i="1"/>
  <c r="U126" i="1" s="1"/>
  <c r="Z41" i="1"/>
  <c r="X41" i="1"/>
  <c r="R83" i="1"/>
  <c r="U82" i="1"/>
  <c r="T80" i="1"/>
  <c r="U80" i="1" s="1"/>
  <c r="P83" i="1"/>
  <c r="S41" i="1"/>
  <c r="S47" i="1" s="1"/>
  <c r="S56" i="1" s="1"/>
  <c r="J24" i="1"/>
  <c r="U19" i="1"/>
  <c r="J21" i="1"/>
  <c r="J20" i="1"/>
  <c r="U18" i="1"/>
  <c r="J6" i="1"/>
  <c r="J19" i="1"/>
  <c r="U17" i="1"/>
  <c r="M41" i="1"/>
  <c r="M47" i="1" s="1"/>
  <c r="M56" i="1" s="1"/>
  <c r="M84" i="1" s="1"/>
  <c r="M90" i="1" s="1"/>
  <c r="M99" i="1" s="1"/>
  <c r="M127" i="1" s="1"/>
  <c r="M133" i="1" s="1"/>
  <c r="M142" i="1" s="1"/>
  <c r="M170" i="1" s="1"/>
  <c r="J5" i="1"/>
  <c r="J15" i="1"/>
  <c r="O41" i="1"/>
  <c r="O47" i="1" s="1"/>
  <c r="O56" i="1" s="1"/>
  <c r="O84" i="1" s="1"/>
  <c r="O90" i="1" s="1"/>
  <c r="O99" i="1" s="1"/>
  <c r="O127" i="1" s="1"/>
  <c r="O133" i="1" s="1"/>
  <c r="O142" i="1" s="1"/>
  <c r="O170" i="1" s="1"/>
  <c r="Q41" i="1"/>
  <c r="Q47" i="1" s="1"/>
  <c r="Q56" i="1" s="1"/>
  <c r="Q84" i="1" s="1"/>
  <c r="Q90" i="1" s="1"/>
  <c r="Q99" i="1" s="1"/>
  <c r="Q127" i="1" s="1"/>
  <c r="Q133" i="1" s="1"/>
  <c r="Q142" i="1" s="1"/>
  <c r="Q170" i="1" s="1"/>
  <c r="N41" i="1"/>
  <c r="N47" i="1" s="1"/>
  <c r="N56" i="1" s="1"/>
  <c r="N84" i="1" s="1"/>
  <c r="N90" i="1" s="1"/>
  <c r="N99" i="1" s="1"/>
  <c r="N127" i="1" s="1"/>
  <c r="N133" i="1" s="1"/>
  <c r="N142" i="1" s="1"/>
  <c r="N170" i="1" s="1"/>
  <c r="J14" i="1"/>
  <c r="B41" i="1"/>
  <c r="T38" i="1"/>
  <c r="U38" i="1" s="1"/>
  <c r="R41" i="1"/>
  <c r="R47" i="1" s="1"/>
  <c r="R56" i="1" s="1"/>
  <c r="U14" i="1"/>
  <c r="J4" i="1"/>
  <c r="T126" i="1"/>
  <c r="U169" i="1"/>
  <c r="P169" i="1"/>
  <c r="P126" i="1"/>
  <c r="AF39" i="1"/>
  <c r="AD41" i="1"/>
  <c r="AC41" i="1"/>
  <c r="AB41" i="1"/>
  <c r="J25" i="1"/>
  <c r="U5" i="1"/>
  <c r="AF32" i="1"/>
  <c r="AF36" i="1"/>
  <c r="U16" i="1"/>
  <c r="U61" i="1"/>
  <c r="AF9" i="1"/>
  <c r="Y41" i="1"/>
  <c r="J59" i="1"/>
  <c r="J27" i="1"/>
  <c r="U22" i="1"/>
  <c r="U36" i="1"/>
  <c r="U67" i="1"/>
  <c r="AF17" i="1"/>
  <c r="AF21" i="1"/>
  <c r="AF25" i="1"/>
  <c r="AF29" i="1"/>
  <c r="AF33" i="1"/>
  <c r="J48" i="1"/>
  <c r="J17" i="1"/>
  <c r="U57" i="1"/>
  <c r="AF5" i="1"/>
  <c r="AF10" i="1"/>
  <c r="AE40" i="1"/>
  <c r="AE41" i="1" s="1"/>
  <c r="U37" i="1"/>
  <c r="S84" i="1"/>
  <c r="S90" i="1" s="1"/>
  <c r="S99" i="1" s="1"/>
  <c r="S127" i="1" s="1"/>
  <c r="S133" i="1" s="1"/>
  <c r="S142" i="1" s="1"/>
  <c r="S170" i="1" s="1"/>
  <c r="AF37" i="1"/>
  <c r="AF38" i="1"/>
  <c r="AA40" i="1"/>
  <c r="AF4" i="1"/>
  <c r="U4" i="1"/>
  <c r="P71" i="1"/>
  <c r="T71" i="1"/>
  <c r="J126" i="1" l="1"/>
  <c r="R84" i="1"/>
  <c r="R90" i="1" s="1"/>
  <c r="R99" i="1" s="1"/>
  <c r="R127" i="1" s="1"/>
  <c r="R133" i="1" s="1"/>
  <c r="R142" i="1" s="1"/>
  <c r="R170" i="1" s="1"/>
  <c r="U83" i="1"/>
  <c r="T83" i="1"/>
  <c r="AF40" i="1"/>
  <c r="AF13" i="1"/>
  <c r="AA41" i="1"/>
  <c r="AF41" i="1" s="1"/>
  <c r="U71" i="1"/>
  <c r="T55" i="1" l="1"/>
  <c r="P55" i="1"/>
  <c r="P49" i="1"/>
  <c r="U55" i="1" l="1"/>
  <c r="P35" i="1"/>
  <c r="T35" i="1"/>
  <c r="U35" i="1" l="1"/>
  <c r="T34" i="1" l="1"/>
  <c r="P34" i="1"/>
  <c r="U34" i="1" l="1"/>
  <c r="T25" i="1" l="1"/>
  <c r="P25" i="1"/>
  <c r="U25" i="1" l="1"/>
  <c r="H83" i="1" l="1"/>
  <c r="G83" i="1"/>
  <c r="F83" i="1"/>
  <c r="D83" i="1"/>
  <c r="C83" i="1"/>
  <c r="B83" i="1"/>
  <c r="I82" i="1"/>
  <c r="E82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T74" i="1"/>
  <c r="P74" i="1"/>
  <c r="I74" i="1"/>
  <c r="E74" i="1"/>
  <c r="T73" i="1"/>
  <c r="P73" i="1"/>
  <c r="I73" i="1"/>
  <c r="E73" i="1"/>
  <c r="T72" i="1"/>
  <c r="P72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3" i="1"/>
  <c r="E63" i="1"/>
  <c r="I62" i="1"/>
  <c r="E62" i="1"/>
  <c r="I55" i="1"/>
  <c r="E55" i="1"/>
  <c r="T54" i="1"/>
  <c r="P54" i="1"/>
  <c r="I54" i="1"/>
  <c r="E54" i="1"/>
  <c r="I53" i="1"/>
  <c r="E53" i="1"/>
  <c r="T49" i="1"/>
  <c r="T48" i="1"/>
  <c r="P48" i="1"/>
  <c r="T7" i="1"/>
  <c r="H40" i="1"/>
  <c r="G40" i="1"/>
  <c r="F40" i="1"/>
  <c r="D40" i="1"/>
  <c r="C40" i="1"/>
  <c r="I39" i="1"/>
  <c r="E39" i="1"/>
  <c r="I38" i="1"/>
  <c r="E38" i="1"/>
  <c r="I37" i="1"/>
  <c r="E37" i="1"/>
  <c r="I36" i="1"/>
  <c r="E36" i="1"/>
  <c r="I35" i="1"/>
  <c r="E35" i="1"/>
  <c r="I34" i="1"/>
  <c r="E34" i="1"/>
  <c r="I33" i="1"/>
  <c r="E33" i="1"/>
  <c r="I32" i="1"/>
  <c r="E32" i="1"/>
  <c r="I31" i="1"/>
  <c r="E31" i="1"/>
  <c r="I30" i="1"/>
  <c r="E30" i="1"/>
  <c r="I12" i="1"/>
  <c r="E12" i="1"/>
  <c r="I11" i="1"/>
  <c r="E11" i="1"/>
  <c r="I10" i="1"/>
  <c r="E10" i="1"/>
  <c r="I9" i="1"/>
  <c r="E9" i="1"/>
  <c r="I8" i="1"/>
  <c r="E8" i="1"/>
  <c r="T33" i="1"/>
  <c r="T32" i="1"/>
  <c r="T31" i="1"/>
  <c r="T30" i="1"/>
  <c r="T29" i="1"/>
  <c r="T28" i="1"/>
  <c r="T26" i="1"/>
  <c r="T24" i="1"/>
  <c r="T12" i="1"/>
  <c r="T11" i="1"/>
  <c r="T10" i="1"/>
  <c r="T8" i="1"/>
  <c r="P24" i="1"/>
  <c r="P26" i="1"/>
  <c r="P28" i="1"/>
  <c r="P29" i="1"/>
  <c r="P30" i="1"/>
  <c r="P31" i="1"/>
  <c r="P32" i="1"/>
  <c r="P33" i="1"/>
  <c r="P11" i="1"/>
  <c r="P12" i="1"/>
  <c r="P7" i="1"/>
  <c r="P8" i="1"/>
  <c r="P10" i="1"/>
  <c r="P40" i="1" l="1"/>
  <c r="I13" i="1"/>
  <c r="E13" i="1"/>
  <c r="T13" i="1"/>
  <c r="P13" i="1"/>
  <c r="P41" i="1" s="1"/>
  <c r="P47" i="1" s="1"/>
  <c r="P56" i="1" s="1"/>
  <c r="P84" i="1" s="1"/>
  <c r="P90" i="1" s="1"/>
  <c r="P99" i="1" s="1"/>
  <c r="P127" i="1" s="1"/>
  <c r="P133" i="1" s="1"/>
  <c r="P142" i="1" s="1"/>
  <c r="P170" i="1" s="1"/>
  <c r="T40" i="1"/>
  <c r="J8" i="1"/>
  <c r="J62" i="1"/>
  <c r="H41" i="1"/>
  <c r="H47" i="1" s="1"/>
  <c r="H56" i="1" s="1"/>
  <c r="H84" i="1" s="1"/>
  <c r="H90" i="1" s="1"/>
  <c r="H99" i="1" s="1"/>
  <c r="H127" i="1" s="1"/>
  <c r="H133" i="1" s="1"/>
  <c r="H142" i="1" s="1"/>
  <c r="H170" i="1" s="1"/>
  <c r="J66" i="1"/>
  <c r="U49" i="1"/>
  <c r="U10" i="1"/>
  <c r="U31" i="1"/>
  <c r="U32" i="1"/>
  <c r="U29" i="1"/>
  <c r="U26" i="1"/>
  <c r="U30" i="1"/>
  <c r="J30" i="1"/>
  <c r="J33" i="1"/>
  <c r="J36" i="1"/>
  <c r="J39" i="1"/>
  <c r="U48" i="1"/>
  <c r="J63" i="1"/>
  <c r="J72" i="1"/>
  <c r="J75" i="1"/>
  <c r="J81" i="1"/>
  <c r="I83" i="1"/>
  <c r="J31" i="1"/>
  <c r="J37" i="1"/>
  <c r="J34" i="1"/>
  <c r="J10" i="1"/>
  <c r="B47" i="1"/>
  <c r="B56" i="1" s="1"/>
  <c r="B84" i="1" s="1"/>
  <c r="B90" i="1" s="1"/>
  <c r="G41" i="1"/>
  <c r="G47" i="1" s="1"/>
  <c r="G56" i="1" s="1"/>
  <c r="G84" i="1" s="1"/>
  <c r="G90" i="1" s="1"/>
  <c r="G99" i="1" s="1"/>
  <c r="G127" i="1" s="1"/>
  <c r="G133" i="1" s="1"/>
  <c r="G142" i="1" s="1"/>
  <c r="G170" i="1" s="1"/>
  <c r="U8" i="1"/>
  <c r="J53" i="1"/>
  <c r="U54" i="1"/>
  <c r="J69" i="1"/>
  <c r="U73" i="1"/>
  <c r="J78" i="1"/>
  <c r="U12" i="1"/>
  <c r="U24" i="1"/>
  <c r="E40" i="1"/>
  <c r="J65" i="1"/>
  <c r="J68" i="1"/>
  <c r="U72" i="1"/>
  <c r="J80" i="1"/>
  <c r="J55" i="1"/>
  <c r="J71" i="1"/>
  <c r="J74" i="1"/>
  <c r="J77" i="1"/>
  <c r="U11" i="1"/>
  <c r="C41" i="1"/>
  <c r="C47" i="1" s="1"/>
  <c r="C56" i="1" s="1"/>
  <c r="C84" i="1" s="1"/>
  <c r="C90" i="1" s="1"/>
  <c r="C99" i="1" s="1"/>
  <c r="C127" i="1" s="1"/>
  <c r="C133" i="1" s="1"/>
  <c r="C142" i="1" s="1"/>
  <c r="C170" i="1" s="1"/>
  <c r="I40" i="1"/>
  <c r="J54" i="1"/>
  <c r="J67" i="1"/>
  <c r="J70" i="1"/>
  <c r="J73" i="1"/>
  <c r="U74" i="1"/>
  <c r="J76" i="1"/>
  <c r="J79" i="1"/>
  <c r="J82" i="1"/>
  <c r="U33" i="1"/>
  <c r="J11" i="1"/>
  <c r="U7" i="1"/>
  <c r="U28" i="1"/>
  <c r="J9" i="1"/>
  <c r="J12" i="1"/>
  <c r="J32" i="1"/>
  <c r="J35" i="1"/>
  <c r="J38" i="1"/>
  <c r="E83" i="1"/>
  <c r="D41" i="1"/>
  <c r="D47" i="1" s="1"/>
  <c r="F41" i="1"/>
  <c r="F47" i="1" s="1"/>
  <c r="B99" i="1" l="1"/>
  <c r="B127" i="1" s="1"/>
  <c r="B133" i="1" s="1"/>
  <c r="U13" i="1"/>
  <c r="T41" i="1"/>
  <c r="T47" i="1" s="1"/>
  <c r="T56" i="1" s="1"/>
  <c r="T84" i="1" s="1"/>
  <c r="T90" i="1" s="1"/>
  <c r="T99" i="1" s="1"/>
  <c r="T127" i="1" s="1"/>
  <c r="T133" i="1" s="1"/>
  <c r="T142" i="1" s="1"/>
  <c r="T170" i="1" s="1"/>
  <c r="J13" i="1"/>
  <c r="U40" i="1"/>
  <c r="E41" i="1"/>
  <c r="J83" i="1"/>
  <c r="I41" i="1"/>
  <c r="J40" i="1"/>
  <c r="F56" i="1"/>
  <c r="F84" i="1" s="1"/>
  <c r="F90" i="1" s="1"/>
  <c r="I47" i="1"/>
  <c r="I56" i="1" s="1"/>
  <c r="I84" i="1" s="1"/>
  <c r="D56" i="1"/>
  <c r="D84" i="1" s="1"/>
  <c r="D90" i="1" s="1"/>
  <c r="D99" i="1" s="1"/>
  <c r="D127" i="1" s="1"/>
  <c r="D133" i="1" s="1"/>
  <c r="D142" i="1" s="1"/>
  <c r="D170" i="1" s="1"/>
  <c r="E47" i="1"/>
  <c r="F99" i="1" l="1"/>
  <c r="F127" i="1" s="1"/>
  <c r="F133" i="1" s="1"/>
  <c r="I90" i="1"/>
  <c r="I99" i="1" s="1"/>
  <c r="I127" i="1" s="1"/>
  <c r="E90" i="1"/>
  <c r="E99" i="1" s="1"/>
  <c r="E127" i="1" s="1"/>
  <c r="B142" i="1"/>
  <c r="B170" i="1" s="1"/>
  <c r="E133" i="1"/>
  <c r="U41" i="1"/>
  <c r="U47" i="1" s="1"/>
  <c r="U56" i="1" s="1"/>
  <c r="U84" i="1" s="1"/>
  <c r="U90" i="1" s="1"/>
  <c r="U99" i="1" s="1"/>
  <c r="U127" i="1" s="1"/>
  <c r="U133" i="1" s="1"/>
  <c r="U142" i="1" s="1"/>
  <c r="U170" i="1" s="1"/>
  <c r="J41" i="1"/>
  <c r="E56" i="1"/>
  <c r="E84" i="1" s="1"/>
  <c r="J84" i="1" s="1"/>
  <c r="J47" i="1"/>
  <c r="J56" i="1" s="1"/>
  <c r="J90" i="1" l="1"/>
  <c r="J99" i="1" s="1"/>
  <c r="J127" i="1"/>
  <c r="F142" i="1"/>
  <c r="F170" i="1" s="1"/>
  <c r="I133" i="1"/>
  <c r="I142" i="1" s="1"/>
  <c r="I170" i="1" s="1"/>
  <c r="E142" i="1"/>
  <c r="E170" i="1" s="1"/>
  <c r="J133" i="1" l="1"/>
  <c r="J142" i="1" s="1"/>
  <c r="J170" i="1"/>
</calcChain>
</file>

<file path=xl/sharedStrings.xml><?xml version="1.0" encoding="utf-8"?>
<sst xmlns="http://schemas.openxmlformats.org/spreadsheetml/2006/main" count="355" uniqueCount="107">
  <si>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</si>
  <si>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</si>
  <si>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</si>
  <si>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</si>
  <si>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</si>
  <si>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</si>
  <si>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</si>
  <si>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</si>
  <si>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</si>
  <si>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</si>
  <si>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</si>
  <si>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</si>
  <si>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</si>
  <si>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</si>
  <si>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</si>
  <si>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</si>
  <si>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</si>
  <si>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出荷数</t>
    <rPh sb="0" eb="2">
      <t>シュッカ</t>
    </rPh>
    <rPh sb="2" eb="3">
      <t>スウ</t>
    </rPh>
    <phoneticPr fontId="8"/>
  </si>
  <si>
    <t>残数</t>
    <rPh sb="0" eb="2">
      <t>ザンスウ</t>
    </rPh>
    <phoneticPr fontId="2"/>
  </si>
  <si>
    <t>ブラック</t>
    <phoneticPr fontId="8"/>
  </si>
  <si>
    <t>カラー</t>
    <phoneticPr fontId="8"/>
  </si>
  <si>
    <t>毎日が発見11月売12月号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8"/>
  </si>
  <si>
    <t>はぴねすくらぶ10月号</t>
    <rPh sb="9" eb="11">
      <t>ガツゴウ</t>
    </rPh>
    <phoneticPr fontId="8"/>
  </si>
  <si>
    <t>10月中旬</t>
    <rPh sb="2" eb="3">
      <t>ガツ</t>
    </rPh>
    <rPh sb="3" eb="5">
      <t>チュウジュン</t>
    </rPh>
    <phoneticPr fontId="8"/>
  </si>
  <si>
    <t>10/6～</t>
    <phoneticPr fontId="8"/>
  </si>
  <si>
    <t>ピンクベージュ</t>
    <phoneticPr fontId="8"/>
  </si>
  <si>
    <t>アテニア</t>
    <phoneticPr fontId="8"/>
  </si>
  <si>
    <t>初回 2-1</t>
    <rPh sb="0" eb="2">
      <t>ショカイ</t>
    </rPh>
    <phoneticPr fontId="2"/>
  </si>
  <si>
    <t>←式確認ここまで　2025/8/9</t>
    <rPh sb="1" eb="4">
      <t>シキカクニン</t>
    </rPh>
    <phoneticPr fontId="8"/>
  </si>
  <si>
    <t>あいコープみやぎ11月3回</t>
    <rPh sb="10" eb="11">
      <t>ガツ</t>
    </rPh>
    <rPh sb="12" eb="13">
      <t>カイ</t>
    </rPh>
    <phoneticPr fontId="8"/>
  </si>
  <si>
    <t>確定発注11/12</t>
    <rPh sb="0" eb="4">
      <t>カクテイハッチュウ</t>
    </rPh>
    <phoneticPr fontId="8"/>
  </si>
  <si>
    <t>追加３ 2-1</t>
    <rPh sb="0" eb="2">
      <t>ツイカ</t>
    </rPh>
    <phoneticPr fontId="2"/>
  </si>
  <si>
    <t>日生協キャロット12月42号￥2480</t>
    <rPh sb="0" eb="3">
      <t>ニッセイキョウ</t>
    </rPh>
    <rPh sb="10" eb="11">
      <t>ガツ</t>
    </rPh>
    <rPh sb="13" eb="14">
      <t>ゴウ</t>
    </rPh>
    <phoneticPr fontId="8"/>
  </si>
  <si>
    <t>日生協キャロット12月42号差分予測</t>
    <rPh sb="0" eb="3">
      <t>ニッセイキョウ</t>
    </rPh>
    <rPh sb="10" eb="11">
      <t>ガツ</t>
    </rPh>
    <rPh sb="13" eb="14">
      <t>ゴウ</t>
    </rPh>
    <rPh sb="14" eb="18">
      <t>サブンヨソク</t>
    </rPh>
    <phoneticPr fontId="8"/>
  </si>
  <si>
    <t>点12/12、前取12/19、アバウト（全国版）12/23、最終1/7</t>
    <rPh sb="0" eb="1">
      <t>テン</t>
    </rPh>
    <rPh sb="7" eb="9">
      <t>マエトリ</t>
    </rPh>
    <rPh sb="20" eb="23">
      <t>ゼンコクバン</t>
    </rPh>
    <rPh sb="30" eb="32">
      <t>サイシュウ</t>
    </rPh>
    <phoneticPr fontId="8"/>
  </si>
  <si>
    <t>9/27ship</t>
    <phoneticPr fontId="8"/>
  </si>
  <si>
    <t>追加3 2-2</t>
    <rPh sb="0" eb="2">
      <t>ツイカ</t>
    </rPh>
    <phoneticPr fontId="2"/>
  </si>
  <si>
    <t>夢販</t>
    <rPh sb="0" eb="2">
      <t>ユメハン</t>
    </rPh>
    <phoneticPr fontId="8"/>
  </si>
  <si>
    <t>はぴねすくらぶ10月号①</t>
    <rPh sb="9" eb="11">
      <t>ガツゴウ</t>
    </rPh>
    <phoneticPr fontId="8"/>
  </si>
  <si>
    <t>2025/10/6数伝</t>
    <rPh sb="9" eb="11">
      <t>スウデン</t>
    </rPh>
    <phoneticPr fontId="8"/>
  </si>
  <si>
    <t>日生協キャロット点検用</t>
    <rPh sb="0" eb="3">
      <t>ニッセイキョウ</t>
    </rPh>
    <rPh sb="8" eb="10">
      <t>テンケン</t>
    </rPh>
    <rPh sb="10" eb="11">
      <t>ヨウ</t>
    </rPh>
    <phoneticPr fontId="8"/>
  </si>
  <si>
    <t>JODメルシー1106</t>
    <phoneticPr fontId="8"/>
  </si>
  <si>
    <t>11/6～</t>
    <phoneticPr fontId="8"/>
  </si>
  <si>
    <t>点11/21、アバウト12/9、本12/9～15</t>
    <rPh sb="0" eb="1">
      <t>テン</t>
    </rPh>
    <rPh sb="16" eb="17">
      <t>ホン</t>
    </rPh>
    <phoneticPr fontId="8"/>
  </si>
  <si>
    <t>コープきんき12月3回差分予測</t>
    <rPh sb="8" eb="9">
      <t>ガツ</t>
    </rPh>
    <rPh sb="10" eb="11">
      <t>カイ</t>
    </rPh>
    <rPh sb="11" eb="15">
      <t>サブンヨソク</t>
    </rPh>
    <phoneticPr fontId="8"/>
  </si>
  <si>
    <t>毎日が発見11月売12月号①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8"/>
  </si>
  <si>
    <t>なごみsample</t>
    <phoneticPr fontId="8"/>
  </si>
  <si>
    <t>ネット</t>
    <phoneticPr fontId="8"/>
  </si>
  <si>
    <t>東都生協12月4回</t>
    <rPh sb="0" eb="2">
      <t>トウト</t>
    </rPh>
    <rPh sb="2" eb="4">
      <t>セイキョウ</t>
    </rPh>
    <rPh sb="6" eb="7">
      <t>ガツ</t>
    </rPh>
    <rPh sb="8" eb="9">
      <t>カイ</t>
    </rPh>
    <phoneticPr fontId="8"/>
  </si>
  <si>
    <t>12/10～23</t>
    <phoneticPr fontId="8"/>
  </si>
  <si>
    <t>夢販</t>
    <rPh sb="0" eb="2">
      <t>ユメハン</t>
    </rPh>
    <phoneticPr fontId="8"/>
  </si>
  <si>
    <t>はぴねすくらぶ10月号②</t>
    <rPh sb="9" eb="11">
      <t>ガツゴウ</t>
    </rPh>
    <phoneticPr fontId="8"/>
  </si>
  <si>
    <t>はぴねすくらぶ10月号③</t>
    <rPh sb="9" eb="11">
      <t>ガツゴウ</t>
    </rPh>
    <phoneticPr fontId="8"/>
  </si>
  <si>
    <t>カップ付きボディシェイパー（KPORT在庫）@765 \2480 ～￥2980</t>
    <rPh sb="3" eb="4">
      <t>ツ</t>
    </rPh>
    <rPh sb="19" eb="21">
      <t>ザイコ</t>
    </rPh>
    <phoneticPr fontId="2"/>
  </si>
  <si>
    <t>カップ付きボディシェイパー（夢販在庫）@765</t>
    <rPh sb="3" eb="4">
      <t>ツ</t>
    </rPh>
    <rPh sb="14" eb="16">
      <t>ユメハン</t>
    </rPh>
    <rPh sb="16" eb="18">
      <t>ザイコ</t>
    </rPh>
    <phoneticPr fontId="2"/>
  </si>
  <si>
    <t>カップ付きボディシェイパー（ジーエフ倉庫）@765</t>
    <rPh sb="3" eb="4">
      <t>ツ</t>
    </rPh>
    <rPh sb="18" eb="20">
      <t>ソウコ</t>
    </rPh>
    <phoneticPr fontId="2"/>
  </si>
  <si>
    <t>11/22ship</t>
    <phoneticPr fontId="8"/>
  </si>
  <si>
    <t>JOD</t>
    <phoneticPr fontId="8"/>
  </si>
  <si>
    <t>はぴねすくらぶ10月号④</t>
    <rPh sb="9" eb="11">
      <t>ガツゴウ</t>
    </rPh>
    <phoneticPr fontId="8"/>
  </si>
  <si>
    <t>あいコープみやぎ11月3回①</t>
    <rPh sb="10" eb="11">
      <t>ガツ</t>
    </rPh>
    <rPh sb="12" eb="13">
      <t>カイ</t>
    </rPh>
    <phoneticPr fontId="8"/>
  </si>
  <si>
    <t>夢販</t>
    <rPh sb="0" eb="2">
      <t>y</t>
    </rPh>
    <phoneticPr fontId="8"/>
  </si>
  <si>
    <t>毎日が発見11月売12月号②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8"/>
  </si>
  <si>
    <t>はぴねすくらぶ10月号⑤</t>
    <rPh sb="9" eb="11">
      <t>ガツゴウ</t>
    </rPh>
    <phoneticPr fontId="8"/>
  </si>
  <si>
    <r>
      <t>コープきんき12月3回</t>
    </r>
    <r>
      <rPr>
        <b/>
        <sz val="11"/>
        <rFont val="ＭＳ Ｐゴシック"/>
        <family val="3"/>
        <charset val="128"/>
      </rPr>
      <t>(商品名変更・シール上貼り・中紙抜き)</t>
    </r>
    <r>
      <rPr>
        <sz val="11"/>
        <rFont val="ＭＳ Ｐゴシック"/>
        <family val="3"/>
        <charset val="128"/>
      </rPr>
      <t>①</t>
    </r>
    <rPh sb="8" eb="9">
      <t>ガツ</t>
    </rPh>
    <rPh sb="10" eb="11">
      <t>カイ</t>
    </rPh>
    <rPh sb="12" eb="15">
      <t>ショウヒンメイ</t>
    </rPh>
    <rPh sb="15" eb="17">
      <t>ヘンコウ</t>
    </rPh>
    <rPh sb="21" eb="23">
      <t>ウワバ</t>
    </rPh>
    <rPh sb="25" eb="27">
      <t>ナカカミ</t>
    </rPh>
    <rPh sb="27" eb="28">
      <t>ヌ</t>
    </rPh>
    <phoneticPr fontId="8"/>
  </si>
  <si>
    <t>日生協キャロット12月42号￥2480（東日本）①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8"/>
  </si>
  <si>
    <t>2025/12/8数伝</t>
    <rPh sb="9" eb="11">
      <t>スウデン</t>
    </rPh>
    <phoneticPr fontId="8"/>
  </si>
  <si>
    <t>2/11、16</t>
    <phoneticPr fontId="8"/>
  </si>
  <si>
    <t>コープさっぽろ2月3回￥2480差分予測</t>
    <rPh sb="8" eb="9">
      <t>ガツ</t>
    </rPh>
    <rPh sb="10" eb="11">
      <t>カイ</t>
    </rPh>
    <rPh sb="16" eb="20">
      <t>サブンヨソク</t>
    </rPh>
    <phoneticPr fontId="8"/>
  </si>
  <si>
    <t>毎日が発見11月売12月号③</t>
    <rPh sb="0" eb="2">
      <t>マイニチ</t>
    </rPh>
    <rPh sb="3" eb="5">
      <t>ハッケン</t>
    </rPh>
    <rPh sb="7" eb="8">
      <t>ガツ</t>
    </rPh>
    <rPh sb="8" eb="9">
      <t>ウ</t>
    </rPh>
    <rPh sb="11" eb="13">
      <t>ガツゴウ</t>
    </rPh>
    <phoneticPr fontId="8"/>
  </si>
  <si>
    <t>東都生協12月4回①</t>
    <rPh sb="0" eb="2">
      <t>トウト</t>
    </rPh>
    <rPh sb="2" eb="4">
      <t>セイキョウ</t>
    </rPh>
    <rPh sb="6" eb="7">
      <t>ガツ</t>
    </rPh>
    <rPh sb="8" eb="9">
      <t>カイ</t>
    </rPh>
    <phoneticPr fontId="8"/>
  </si>
  <si>
    <t>JOD返品</t>
    <rPh sb="3" eb="5">
      <t>ヘンピン</t>
    </rPh>
    <phoneticPr fontId="2"/>
  </si>
  <si>
    <t>日生協キャロット12月42号￥2480（西日本）①</t>
    <rPh sb="0" eb="3">
      <t>ニッセイキョウ</t>
    </rPh>
    <rPh sb="10" eb="11">
      <t>ガツ</t>
    </rPh>
    <rPh sb="13" eb="14">
      <t>ゴウ</t>
    </rPh>
    <rPh sb="20" eb="21">
      <t>ニシ</t>
    </rPh>
    <rPh sb="21" eb="23">
      <t>ニホン</t>
    </rPh>
    <phoneticPr fontId="8"/>
  </si>
  <si>
    <t>日生協キャロット12月42号￥2480（東日本）②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8"/>
  </si>
  <si>
    <t>東都生協12月4回②</t>
    <rPh sb="0" eb="2">
      <t>トウト</t>
    </rPh>
    <rPh sb="2" eb="4">
      <t>セイキョウ</t>
    </rPh>
    <rPh sb="6" eb="7">
      <t>ガツ</t>
    </rPh>
    <rPh sb="8" eb="9">
      <t>カイ</t>
    </rPh>
    <phoneticPr fontId="8"/>
  </si>
  <si>
    <t>東都生協12月4回③</t>
    <rPh sb="0" eb="2">
      <t>トウト</t>
    </rPh>
    <rPh sb="2" eb="4">
      <t>セイキョウ</t>
    </rPh>
    <rPh sb="6" eb="7">
      <t>ガツ</t>
    </rPh>
    <rPh sb="8" eb="9">
      <t>カイ</t>
    </rPh>
    <phoneticPr fontId="8"/>
  </si>
  <si>
    <r>
      <t>コープきんき12月3回</t>
    </r>
    <r>
      <rPr>
        <b/>
        <sz val="11"/>
        <rFont val="ＭＳ Ｐゴシック"/>
        <family val="3"/>
        <charset val="128"/>
      </rPr>
      <t>(商品名変更・シール上貼り・中紙抜き)</t>
    </r>
    <rPh sb="8" eb="9">
      <t>ガツ</t>
    </rPh>
    <rPh sb="10" eb="11">
      <t>カイ</t>
    </rPh>
    <rPh sb="12" eb="15">
      <t>ショウヒンメイ</t>
    </rPh>
    <rPh sb="15" eb="17">
      <t>ヘンコウ</t>
    </rPh>
    <rPh sb="21" eb="23">
      <t>ウワバ</t>
    </rPh>
    <rPh sb="25" eb="27">
      <t>ナカカミ</t>
    </rPh>
    <rPh sb="27" eb="28">
      <t>ヌ</t>
    </rPh>
    <phoneticPr fontId="8"/>
  </si>
  <si>
    <t>ゆめはん</t>
    <phoneticPr fontId="8"/>
  </si>
  <si>
    <t>東都生協12月4回④</t>
    <rPh sb="0" eb="2">
      <t>トウト</t>
    </rPh>
    <rPh sb="2" eb="4">
      <t>セイキョウ</t>
    </rPh>
    <rPh sb="6" eb="7">
      <t>ガツ</t>
    </rPh>
    <rPh sb="8" eb="9">
      <t>カイ</t>
    </rPh>
    <phoneticPr fontId="8"/>
  </si>
  <si>
    <t>日生協キャロット12月42号￥2480（東日本）③</t>
    <rPh sb="0" eb="3">
      <t>ニッセイキョウ</t>
    </rPh>
    <rPh sb="10" eb="11">
      <t>ガツ</t>
    </rPh>
    <rPh sb="13" eb="14">
      <t>ゴウ</t>
    </rPh>
    <rPh sb="20" eb="23">
      <t>ヒガシニホン</t>
    </rPh>
    <phoneticPr fontId="8"/>
  </si>
  <si>
    <t>はぴねすくらぶ10月号⑥</t>
    <rPh sb="9" eb="11">
      <t>ガツゴウ</t>
    </rPh>
    <phoneticPr fontId="8"/>
  </si>
  <si>
    <t>コープさっぽろ2月3回￥2480(角枠)</t>
    <rPh sb="8" eb="9">
      <t>ガツ</t>
    </rPh>
    <rPh sb="10" eb="11">
      <t>カイ</t>
    </rPh>
    <rPh sb="17" eb="18">
      <t>カド</t>
    </rPh>
    <rPh sb="18" eb="19">
      <t>ワク</t>
    </rPh>
    <phoneticPr fontId="8"/>
  </si>
  <si>
    <t>サクラマチ返品</t>
    <rPh sb="5" eb="7">
      <t>ヘンピン</t>
    </rPh>
    <phoneticPr fontId="2"/>
  </si>
  <si>
    <t>はぴねすくらぶ返品</t>
    <rPh sb="7" eb="9">
      <t>ヘンピン</t>
    </rPh>
    <phoneticPr fontId="2"/>
  </si>
  <si>
    <t>毎日が発見返品</t>
    <rPh sb="0" eb="2">
      <t>マイニチ</t>
    </rPh>
    <rPh sb="3" eb="5">
      <t>ハッケン</t>
    </rPh>
    <rPh sb="5" eb="7">
      <t>ヘンピン</t>
    </rPh>
    <phoneticPr fontId="8"/>
  </si>
  <si>
    <t>1/31ship</t>
    <phoneticPr fontId="8"/>
  </si>
  <si>
    <t>くらし返品</t>
    <rPh sb="3" eb="5">
      <t>ヘンピン</t>
    </rPh>
    <phoneticPr fontId="2"/>
  </si>
  <si>
    <t>KPORT</t>
    <phoneticPr fontId="8"/>
  </si>
  <si>
    <t>夢販移動</t>
    <rPh sb="0" eb="4">
      <t>ユメハンイドウ</t>
    </rPh>
    <phoneticPr fontId="2"/>
  </si>
  <si>
    <t>追加</t>
    <rPh sb="0" eb="2">
      <t>ツイカ</t>
    </rPh>
    <phoneticPr fontId="8"/>
  </si>
  <si>
    <t>追加２　2-2</t>
    <rPh sb="0" eb="2">
      <t>ツイカ</t>
    </rPh>
    <phoneticPr fontId="2"/>
  </si>
  <si>
    <t>製品化</t>
    <rPh sb="0" eb="3">
      <t>セイヒンカ</t>
    </rPh>
    <phoneticPr fontId="8"/>
  </si>
  <si>
    <t>過不足分</t>
    <rPh sb="0" eb="3">
      <t>カブソク</t>
    </rPh>
    <rPh sb="3" eb="4">
      <t>ブン</t>
    </rPh>
    <phoneticPr fontId="2"/>
  </si>
  <si>
    <t>2026/2/9数伝</t>
    <rPh sb="8" eb="9">
      <t>スウ</t>
    </rPh>
    <rPh sb="9" eb="10">
      <t>デン</t>
    </rPh>
    <phoneticPr fontId="8"/>
  </si>
  <si>
    <t>JOD返品</t>
    <rPh sb="3" eb="5">
      <t>ヘンピン</t>
    </rPh>
    <phoneticPr fontId="8"/>
  </si>
  <si>
    <t>コープさっぽろ2月3回￥2480(角枠)①</t>
    <rPh sb="8" eb="9">
      <t>ガツ</t>
    </rPh>
    <rPh sb="10" eb="11">
      <t>カイ</t>
    </rPh>
    <rPh sb="17" eb="18">
      <t>カド</t>
    </rPh>
    <rPh sb="18" eb="19">
      <t>ワク</t>
    </rPh>
    <phoneticPr fontId="8"/>
  </si>
  <si>
    <t>コープさっぽろ2月3回￥2480(角枠)②</t>
    <rPh sb="8" eb="9">
      <t>ガツ</t>
    </rPh>
    <rPh sb="10" eb="11">
      <t>カイ</t>
    </rPh>
    <rPh sb="17" eb="18">
      <t>カド</t>
    </rPh>
    <rPh sb="18" eb="19">
      <t>ワク</t>
    </rPh>
    <phoneticPr fontId="8"/>
  </si>
  <si>
    <t>はぴねす返品</t>
    <rPh sb="4" eb="6">
      <t>ヘンピン</t>
    </rPh>
    <phoneticPr fontId="2"/>
  </si>
  <si>
    <t>在庫確認</t>
    <rPh sb="0" eb="4">
      <t>ザイコカクニン</t>
    </rPh>
    <phoneticPr fontId="2"/>
  </si>
  <si>
    <t>→ここまで在庫確認済2/26</t>
    <rPh sb="5" eb="10">
      <t>ザイコカクニンスミ</t>
    </rPh>
    <phoneticPr fontId="8"/>
  </si>
  <si>
    <t>KPORT</t>
    <phoneticPr fontId="8"/>
  </si>
  <si>
    <t>オバタ返品</t>
    <rPh sb="3" eb="5">
      <t>ヘンピン</t>
    </rPh>
    <phoneticPr fontId="2"/>
  </si>
  <si>
    <t>なごみsample返却</t>
    <rPh sb="9" eb="11">
      <t>ヘンキャク</t>
    </rPh>
    <phoneticPr fontId="8"/>
  </si>
  <si>
    <t>オバタ返品</t>
    <rPh sb="3" eb="5">
      <t>ヘンピン</t>
    </rPh>
    <phoneticPr fontId="8"/>
  </si>
  <si>
    <t>ディノス提案sample</t>
    <rPh sb="4" eb="6">
      <t>テイアン</t>
    </rPh>
    <phoneticPr fontId="8"/>
  </si>
  <si>
    <t>ゆめはん移動</t>
    <rPh sb="4" eb="6">
      <t>イドウ</t>
    </rPh>
    <phoneticPr fontId="8"/>
  </si>
  <si>
    <t>サクラマチsample</t>
    <phoneticPr fontId="2"/>
  </si>
  <si>
    <t>KPORT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</si>
</sst>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0">
    <xf numFmtId="0" fontId="0" fillId="0" borderId="0" xfId="0">
      <alignment vertical="center"/>
    </xf>
    <xf numFmtId="0" fontId="1" fillId="0" borderId="0" xfId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1" xfId="1" applyBorder="1"/>
    <xf numFmtId="0" fontId="6" fillId="0" borderId="23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56" fontId="1" fillId="0" borderId="22" xfId="1" applyNumberFormat="1" applyBorder="1" applyAlignment="1">
      <alignment horizontal="center" vertical="center"/>
    </xf>
    <xf numFmtId="0" fontId="1" fillId="0" borderId="9" xfId="1" applyBorder="1" applyAlignment="1">
      <alignment horizontal="center" vertical="center" shrinkToFit="1"/>
    </xf>
    <xf numFmtId="56" fontId="7" fillId="0" borderId="23" xfId="1" applyNumberFormat="1" applyFont="1" applyBorder="1" applyAlignment="1">
      <alignment horizontal="center" vertical="center"/>
    </xf>
    <xf numFmtId="0" fontId="7" fillId="0" borderId="1" xfId="1" applyFont="1" applyBorder="1"/>
    <xf numFmtId="0" fontId="7" fillId="0" borderId="2" xfId="1" applyFont="1" applyBorder="1"/>
    <xf numFmtId="0" fontId="7" fillId="0" borderId="10" xfId="1" applyFont="1" applyBorder="1"/>
    <xf numFmtId="0" fontId="1" fillId="0" borderId="24" xfId="1" applyBorder="1"/>
    <xf numFmtId="0" fontId="1" fillId="0" borderId="25" xfId="1" applyBorder="1"/>
    <xf numFmtId="0" fontId="7" fillId="0" borderId="23" xfId="1" applyFont="1" applyBorder="1" applyAlignment="1">
      <alignment horizontal="center" vertical="center"/>
    </xf>
    <xf numFmtId="0" fontId="7" fillId="0" borderId="14" xfId="1" applyFont="1" applyBorder="1"/>
    <xf numFmtId="0" fontId="9" fillId="0" borderId="0" xfId="0" applyFont="1">
      <alignment vertical="center"/>
    </xf>
    <xf numFmtId="0" fontId="1" fillId="0" borderId="23" xfId="1" applyBorder="1" applyAlignment="1">
      <alignment horizontal="center" vertical="center"/>
    </xf>
    <xf numFmtId="0" fontId="1" fillId="0" borderId="11" xfId="1" applyBorder="1"/>
    <xf numFmtId="0" fontId="1" fillId="0" borderId="12" xfId="1" applyBorder="1"/>
    <xf numFmtId="0" fontId="1" fillId="0" borderId="26" xfId="1" applyBorder="1"/>
    <xf numFmtId="0" fontId="1" fillId="0" borderId="10" xfId="1" applyBorder="1"/>
    <xf numFmtId="0" fontId="1" fillId="0" borderId="14" xfId="1" applyBorder="1"/>
    <xf numFmtId="0" fontId="1" fillId="0" borderId="28" xfId="1" applyBorder="1"/>
    <xf numFmtId="0" fontId="1" fillId="0" borderId="27" xfId="1" applyBorder="1"/>
    <xf numFmtId="0" fontId="1" fillId="0" borderId="29" xfId="1" applyBorder="1"/>
    <xf numFmtId="0" fontId="1" fillId="0" borderId="30" xfId="1" applyBorder="1"/>
    <xf numFmtId="56" fontId="10" fillId="0" borderId="0" xfId="0" applyNumberFormat="1" applyFont="1">
      <alignment vertical="center"/>
    </xf>
    <xf numFmtId="0" fontId="7" fillId="0" borderId="3" xfId="1" applyFont="1" applyBorder="1"/>
    <xf numFmtId="0" fontId="10" fillId="0" borderId="0" xfId="0" applyFont="1">
      <alignment vertical="center"/>
    </xf>
    <xf numFmtId="0" fontId="1" fillId="0" borderId="31" xfId="1" applyBorder="1"/>
    <xf numFmtId="0" fontId="1" fillId="0" borderId="32" xfId="1" applyBorder="1"/>
    <xf numFmtId="0" fontId="1" fillId="0" borderId="20" xfId="1" applyBorder="1"/>
    <xf numFmtId="56" fontId="0" fillId="0" borderId="0" xfId="0" applyNumberFormat="1">
      <alignment vertical="center"/>
    </xf>
    <xf numFmtId="0" fontId="1" fillId="0" borderId="5" xfId="1" applyBorder="1" applyAlignment="1">
      <alignment horizontal="center" vertical="center" shrinkToFit="1"/>
    </xf>
    <xf numFmtId="176" fontId="0" fillId="0" borderId="0" xfId="0" applyNumberFormat="1">
      <alignment vertical="center"/>
    </xf>
    <xf numFmtId="0" fontId="6" fillId="0" borderId="1" xfId="1" applyFont="1" applyBorder="1"/>
    <xf numFmtId="0" fontId="6" fillId="0" borderId="2" xfId="1" applyFont="1" applyBorder="1"/>
    <xf numFmtId="0" fontId="6" fillId="0" borderId="3" xfId="1" applyFont="1" applyBorder="1"/>
    <xf numFmtId="0" fontId="1" fillId="0" borderId="33" xfId="1" applyBorder="1"/>
    <xf numFmtId="0" fontId="1" fillId="0" borderId="34" xfId="1" applyBorder="1"/>
    <xf numFmtId="0" fontId="7" fillId="0" borderId="35" xfId="1" applyFont="1" applyBorder="1"/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7" fillId="0" borderId="36" xfId="1" applyFont="1" applyBorder="1"/>
    <xf numFmtId="0" fontId="7" fillId="0" borderId="37" xfId="1" applyFont="1" applyBorder="1"/>
    <xf numFmtId="0" fontId="11" fillId="0" borderId="9" xfId="1" applyFont="1" applyBorder="1" applyAlignment="1">
      <alignment horizontal="center" vertical="center" shrinkToFit="1"/>
    </xf>
    <xf numFmtId="0" fontId="3" fillId="2" borderId="0" xfId="1" applyFont="1" applyFill="1"/>
    <xf numFmtId="0" fontId="1" fillId="2" borderId="0" xfId="1" applyFill="1"/>
    <xf numFmtId="0" fontId="3" fillId="3" borderId="0" xfId="1" applyFont="1" applyFill="1"/>
    <xf numFmtId="0" fontId="1" fillId="3" borderId="0" xfId="1" applyFill="1"/>
    <xf numFmtId="0" fontId="1" fillId="0" borderId="38" xfId="1" applyBorder="1"/>
    <xf numFmtId="0" fontId="1" fillId="0" borderId="5" xfId="1" applyBorder="1"/>
    <xf numFmtId="0" fontId="1" fillId="0" borderId="22" xfId="1" applyBorder="1"/>
    <xf numFmtId="0" fontId="3" fillId="6" borderId="0" xfId="1" applyFont="1" applyFill="1"/>
    <xf numFmtId="0" fontId="1" fillId="6" borderId="0" xfId="1" applyFill="1"/>
    <xf numFmtId="0" fontId="12" fillId="0" borderId="9" xfId="1" applyFont="1" applyBorder="1" applyAlignment="1">
      <alignment horizontal="center" vertical="center" shrinkToFit="1"/>
    </xf>
    <xf numFmtId="0" fontId="12" fillId="0" borderId="6" xfId="1" applyFont="1" applyBorder="1"/>
    <xf numFmtId="0" fontId="12" fillId="0" borderId="7" xfId="1" applyFont="1" applyBorder="1"/>
    <xf numFmtId="0" fontId="12" fillId="0" borderId="8" xfId="1" applyFont="1" applyBorder="1"/>
    <xf numFmtId="0" fontId="12" fillId="0" borderId="9" xfId="1" applyFont="1" applyBorder="1"/>
    <xf numFmtId="0" fontId="12" fillId="0" borderId="34" xfId="1" applyFont="1" applyBorder="1"/>
    <xf numFmtId="56" fontId="13" fillId="0" borderId="0" xfId="0" applyNumberFormat="1" applyFont="1">
      <alignment vertical="center"/>
    </xf>
    <xf numFmtId="56" fontId="12" fillId="0" borderId="22" xfId="1" applyNumberFormat="1" applyFont="1" applyBorder="1" applyAlignment="1">
      <alignment horizontal="center" vertical="center"/>
    </xf>
    <xf numFmtId="0" fontId="12" fillId="0" borderId="27" xfId="1" applyFont="1" applyBorder="1"/>
    <xf numFmtId="56" fontId="1" fillId="0" borderId="39" xfId="1" applyNumberFormat="1" applyBorder="1" applyAlignment="1">
      <alignment horizontal="center" vertical="center"/>
    </xf>
    <xf numFmtId="0" fontId="1" fillId="0" borderId="39" xfId="1" applyBorder="1"/>
    <xf numFmtId="0" fontId="4" fillId="0" borderId="9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0" borderId="9" xfId="1" applyFont="1" applyBorder="1"/>
    <xf numFmtId="0" fontId="4" fillId="0" borderId="34" xfId="1" applyFont="1" applyBorder="1"/>
    <xf numFmtId="0" fontId="12" fillId="0" borderId="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" fillId="0" borderId="40" xfId="1" applyBorder="1"/>
    <xf numFmtId="0" fontId="4" fillId="5" borderId="11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0"/>
  <sheetViews>
    <sheetView tabSelected="1" topLeftCell="A98" zoomScaleNormal="100" workbookViewId="0">
      <selection activeCell="K110" sqref="K110"/>
    </sheetView>
  </sheetViews>
  <sheetFormatPr defaultRowHeight="13.5" x14ac:dyDescent="0.15"/>
  <cols>
    <col min="1" max="1" width="21.25" customWidth="1"/>
    <col min="11" max="11" width="9.25" bestFit="1" customWidth="1"/>
    <col min="12" max="12" width="46.875" customWidth="1"/>
    <col min="22" max="22" width="9.25" bestFit="1" customWidth="1"/>
    <col min="23" max="23" width="39" customWidth="1"/>
    <col min="33" max="33" width="9.25" bestFit="1" customWidth="1"/>
  </cols>
  <sheetData>
    <row r="1" spans="1:34" ht="19.5" thickBot="1" x14ac:dyDescent="0.25">
      <c r="A1" s="62" t="s">
        <v>54</v>
      </c>
      <c r="B1" s="63"/>
      <c r="C1" s="63"/>
      <c r="D1" s="63"/>
      <c r="E1" s="63"/>
      <c r="F1" s="1"/>
      <c r="G1" s="1"/>
      <c r="H1" s="1"/>
      <c r="I1" s="1"/>
      <c r="J1" s="1"/>
      <c r="L1" s="64" t="s">
        <v>53</v>
      </c>
      <c r="M1" s="65"/>
      <c r="N1" s="65"/>
      <c r="O1" s="65"/>
      <c r="P1" s="65"/>
      <c r="Q1" s="65"/>
      <c r="R1" s="65"/>
      <c r="S1" s="1"/>
      <c r="T1" s="1"/>
      <c r="U1" s="1"/>
      <c r="W1" s="69" t="s">
        <v>55</v>
      </c>
      <c r="X1" s="70"/>
      <c r="Y1" s="70"/>
      <c r="Z1" s="70"/>
      <c r="AA1" s="70"/>
      <c r="AB1" s="1"/>
      <c r="AC1" s="1"/>
      <c r="AD1" s="1"/>
      <c r="AE1" s="1"/>
      <c r="AF1" s="1"/>
    </row>
    <row r="2" spans="1:34" ht="14.25" thickBot="1" x14ac:dyDescent="0.2">
      <c r="A2" s="6" t="s">
        <v>0</v>
      </c>
      <c r="B2" s="92" t="s">
        <v>25</v>
      </c>
      <c r="C2" s="93"/>
      <c r="D2" s="93"/>
      <c r="E2" s="94"/>
      <c r="F2" s="95" t="s">
        <v>19</v>
      </c>
      <c r="G2" s="96"/>
      <c r="H2" s="96"/>
      <c r="I2" s="97"/>
      <c r="J2" s="98" t="s">
        <v>1</v>
      </c>
      <c r="L2" s="6" t="s">
        <v>20</v>
      </c>
      <c r="M2" s="92" t="s">
        <v>25</v>
      </c>
      <c r="N2" s="93"/>
      <c r="O2" s="93"/>
      <c r="P2" s="94"/>
      <c r="Q2" s="95" t="s">
        <v>19</v>
      </c>
      <c r="R2" s="96"/>
      <c r="S2" s="96"/>
      <c r="T2" s="97"/>
      <c r="U2" s="98" t="s">
        <v>1</v>
      </c>
      <c r="W2" s="6" t="s">
        <v>20</v>
      </c>
      <c r="X2" s="92" t="s">
        <v>25</v>
      </c>
      <c r="Y2" s="93"/>
      <c r="Z2" s="93"/>
      <c r="AA2" s="94"/>
      <c r="AB2" s="95" t="s">
        <v>19</v>
      </c>
      <c r="AC2" s="96"/>
      <c r="AD2" s="96"/>
      <c r="AE2" s="97"/>
      <c r="AF2" s="98" t="s">
        <v>1</v>
      </c>
    </row>
    <row r="3" spans="1:34" ht="14.25" thickBot="1" x14ac:dyDescent="0.2">
      <c r="A3" s="6" t="s">
        <v>2</v>
      </c>
      <c r="B3" s="2" t="s">
        <v>3</v>
      </c>
      <c r="C3" s="3" t="s">
        <v>4</v>
      </c>
      <c r="D3" s="4" t="s">
        <v>5</v>
      </c>
      <c r="E3" s="6" t="s">
        <v>6</v>
      </c>
      <c r="F3" s="2" t="s">
        <v>3</v>
      </c>
      <c r="G3" s="3" t="s">
        <v>4</v>
      </c>
      <c r="H3" s="4" t="s">
        <v>5</v>
      </c>
      <c r="I3" s="6" t="s">
        <v>6</v>
      </c>
      <c r="J3" s="99"/>
      <c r="L3" s="6" t="s">
        <v>2</v>
      </c>
      <c r="M3" s="2" t="s">
        <v>3</v>
      </c>
      <c r="N3" s="3" t="s">
        <v>4</v>
      </c>
      <c r="O3" s="4" t="s">
        <v>5</v>
      </c>
      <c r="P3" s="6" t="s">
        <v>6</v>
      </c>
      <c r="Q3" s="2" t="s">
        <v>3</v>
      </c>
      <c r="R3" s="3" t="s">
        <v>4</v>
      </c>
      <c r="S3" s="4" t="s">
        <v>5</v>
      </c>
      <c r="T3" s="6" t="s">
        <v>6</v>
      </c>
      <c r="U3" s="99"/>
      <c r="W3" s="6" t="s">
        <v>2</v>
      </c>
      <c r="X3" s="2" t="s">
        <v>3</v>
      </c>
      <c r="Y3" s="3" t="s">
        <v>4</v>
      </c>
      <c r="Z3" s="4" t="s">
        <v>5</v>
      </c>
      <c r="AA3" s="6" t="s">
        <v>6</v>
      </c>
      <c r="AB3" s="2" t="s">
        <v>3</v>
      </c>
      <c r="AC3" s="3" t="s">
        <v>4</v>
      </c>
      <c r="AD3" s="4" t="s">
        <v>5</v>
      </c>
      <c r="AE3" s="6" t="s">
        <v>6</v>
      </c>
      <c r="AF3" s="99"/>
    </row>
    <row r="4" spans="1:34" x14ac:dyDescent="0.15">
      <c r="A4" s="20" t="s">
        <v>7</v>
      </c>
      <c r="B4" s="7">
        <v>5</v>
      </c>
      <c r="C4" s="8">
        <v>5</v>
      </c>
      <c r="D4" s="38">
        <v>3</v>
      </c>
      <c r="E4" s="10">
        <f t="shared" ref="E4:E7" si="0">SUM(B4:D4)</f>
        <v>13</v>
      </c>
      <c r="F4" s="7">
        <v>5</v>
      </c>
      <c r="G4" s="8">
        <v>5</v>
      </c>
      <c r="H4" s="38">
        <v>3</v>
      </c>
      <c r="I4" s="54">
        <f t="shared" ref="I4:I7" si="1">SUM(F4:H4)</f>
        <v>13</v>
      </c>
      <c r="J4" s="10">
        <f t="shared" ref="J4:J7" si="2">E4+I4</f>
        <v>26</v>
      </c>
      <c r="K4" s="41">
        <v>45937</v>
      </c>
      <c r="L4" s="20" t="s">
        <v>27</v>
      </c>
      <c r="M4" s="7">
        <v>230</v>
      </c>
      <c r="N4" s="8">
        <v>200</v>
      </c>
      <c r="O4" s="38">
        <v>110</v>
      </c>
      <c r="P4" s="10">
        <f t="shared" ref="P4:P6" si="3">SUM(M4:O4)</f>
        <v>540</v>
      </c>
      <c r="Q4" s="7">
        <v>230</v>
      </c>
      <c r="R4" s="8">
        <v>200</v>
      </c>
      <c r="S4" s="38">
        <v>110</v>
      </c>
      <c r="T4" s="10">
        <f t="shared" ref="T4:T6" si="4">SUM(Q4:S4)</f>
        <v>540</v>
      </c>
      <c r="U4" s="10">
        <f t="shared" ref="U4:U6" si="5">P4+T4</f>
        <v>1080</v>
      </c>
      <c r="V4" s="41" t="s">
        <v>39</v>
      </c>
      <c r="W4" s="20" t="s">
        <v>7</v>
      </c>
      <c r="X4" s="7">
        <v>330</v>
      </c>
      <c r="Y4" s="8">
        <v>374</v>
      </c>
      <c r="Z4" s="38">
        <v>173</v>
      </c>
      <c r="AA4" s="10">
        <f t="shared" ref="AA4:AA12" si="6">SUM(X4:Z4)</f>
        <v>877</v>
      </c>
      <c r="AB4" s="7">
        <v>377</v>
      </c>
      <c r="AC4" s="8">
        <v>402</v>
      </c>
      <c r="AD4" s="38">
        <v>227</v>
      </c>
      <c r="AE4" s="10">
        <f t="shared" ref="AE4:AE12" si="7">SUM(AB4:AD4)</f>
        <v>1006</v>
      </c>
      <c r="AF4" s="10">
        <f t="shared" ref="AF4:AF12" si="8">AA4+AE4</f>
        <v>1883</v>
      </c>
      <c r="AG4" s="41">
        <v>45996</v>
      </c>
      <c r="AH4" s="43" t="s">
        <v>56</v>
      </c>
    </row>
    <row r="5" spans="1:34" x14ac:dyDescent="0.15">
      <c r="A5" s="78" t="s">
        <v>8</v>
      </c>
      <c r="B5" s="72"/>
      <c r="C5" s="73"/>
      <c r="D5" s="79">
        <v>3</v>
      </c>
      <c r="E5" s="75">
        <f t="shared" si="0"/>
        <v>3</v>
      </c>
      <c r="F5" s="72">
        <v>3</v>
      </c>
      <c r="G5" s="73">
        <v>3</v>
      </c>
      <c r="H5" s="79"/>
      <c r="I5" s="76">
        <f t="shared" si="1"/>
        <v>6</v>
      </c>
      <c r="J5" s="75">
        <f t="shared" si="2"/>
        <v>9</v>
      </c>
      <c r="K5" s="77">
        <v>45957</v>
      </c>
      <c r="L5" s="20" t="s">
        <v>8</v>
      </c>
      <c r="M5" s="7"/>
      <c r="N5" s="8"/>
      <c r="O5" s="38"/>
      <c r="P5" s="10">
        <f t="shared" si="3"/>
        <v>0</v>
      </c>
      <c r="Q5" s="7"/>
      <c r="R5" s="8"/>
      <c r="S5" s="38"/>
      <c r="T5" s="10">
        <f t="shared" si="4"/>
        <v>0</v>
      </c>
      <c r="U5" s="10">
        <f t="shared" si="5"/>
        <v>0</v>
      </c>
      <c r="V5" s="43" t="s">
        <v>35</v>
      </c>
      <c r="W5" s="20" t="s">
        <v>8</v>
      </c>
      <c r="X5" s="7"/>
      <c r="Y5" s="8"/>
      <c r="Z5" s="38"/>
      <c r="AA5" s="10">
        <f t="shared" si="6"/>
        <v>0</v>
      </c>
      <c r="AB5" s="7"/>
      <c r="AC5" s="8"/>
      <c r="AD5" s="38"/>
      <c r="AE5" s="10">
        <f t="shared" si="7"/>
        <v>0</v>
      </c>
      <c r="AF5" s="10">
        <f t="shared" si="8"/>
        <v>0</v>
      </c>
    </row>
    <row r="6" spans="1:34" x14ac:dyDescent="0.15">
      <c r="A6" s="20" t="s">
        <v>9</v>
      </c>
      <c r="B6" s="7">
        <v>10</v>
      </c>
      <c r="C6" s="8"/>
      <c r="D6" s="38"/>
      <c r="E6" s="10">
        <f t="shared" si="0"/>
        <v>10</v>
      </c>
      <c r="F6" s="7"/>
      <c r="G6" s="8"/>
      <c r="H6" s="38"/>
      <c r="I6" s="54">
        <f t="shared" si="1"/>
        <v>0</v>
      </c>
      <c r="J6" s="10">
        <f t="shared" si="2"/>
        <v>10</v>
      </c>
      <c r="K6" s="41">
        <v>45961</v>
      </c>
      <c r="L6" s="20" t="s">
        <v>9</v>
      </c>
      <c r="M6" s="14"/>
      <c r="N6" s="15"/>
      <c r="O6" s="37"/>
      <c r="P6" s="10">
        <f t="shared" si="3"/>
        <v>0</v>
      </c>
      <c r="Q6" s="14"/>
      <c r="R6" s="15"/>
      <c r="S6" s="37"/>
      <c r="T6" s="10">
        <f t="shared" si="4"/>
        <v>0</v>
      </c>
      <c r="U6" s="10">
        <f t="shared" si="5"/>
        <v>0</v>
      </c>
      <c r="V6" s="43"/>
      <c r="W6" s="20" t="s">
        <v>9</v>
      </c>
      <c r="X6" s="14"/>
      <c r="Y6" s="15"/>
      <c r="Z6" s="37"/>
      <c r="AA6" s="10">
        <f t="shared" ref="AA6" si="9">SUM(X6:Z6)</f>
        <v>0</v>
      </c>
      <c r="AB6" s="14"/>
      <c r="AC6" s="15"/>
      <c r="AD6" s="37"/>
      <c r="AE6" s="10">
        <f t="shared" ref="AE6" si="10">SUM(AB6:AD6)</f>
        <v>0</v>
      </c>
      <c r="AF6" s="10">
        <f t="shared" ref="AF6" si="11">AA6+AE6</f>
        <v>0</v>
      </c>
    </row>
    <row r="7" spans="1:34" x14ac:dyDescent="0.15">
      <c r="A7" s="20" t="s">
        <v>10</v>
      </c>
      <c r="B7" s="7"/>
      <c r="C7" s="8">
        <v>3</v>
      </c>
      <c r="D7" s="38">
        <v>3</v>
      </c>
      <c r="E7" s="10">
        <f t="shared" si="0"/>
        <v>6</v>
      </c>
      <c r="F7" s="7">
        <v>3</v>
      </c>
      <c r="G7" s="8">
        <v>3</v>
      </c>
      <c r="H7" s="38">
        <v>5</v>
      </c>
      <c r="I7" s="54">
        <f t="shared" si="1"/>
        <v>11</v>
      </c>
      <c r="J7" s="10">
        <f t="shared" si="2"/>
        <v>17</v>
      </c>
      <c r="K7" s="41">
        <v>45971</v>
      </c>
      <c r="L7" s="20" t="s">
        <v>10</v>
      </c>
      <c r="M7" s="14"/>
      <c r="N7" s="15"/>
      <c r="O7" s="37"/>
      <c r="P7" s="10">
        <f t="shared" ref="P7:P10" si="12">SUM(M7:O7)</f>
        <v>0</v>
      </c>
      <c r="Q7" s="14"/>
      <c r="R7" s="15"/>
      <c r="S7" s="37"/>
      <c r="T7" s="10">
        <f t="shared" ref="T7:T10" si="13">SUM(Q7:S7)</f>
        <v>0</v>
      </c>
      <c r="U7" s="10">
        <f t="shared" ref="U7:U39" si="14">P7+T7</f>
        <v>0</v>
      </c>
      <c r="V7" s="43"/>
      <c r="W7" s="20" t="s">
        <v>10</v>
      </c>
      <c r="X7" s="14"/>
      <c r="Y7" s="15"/>
      <c r="Z7" s="37"/>
      <c r="AA7" s="10">
        <f t="shared" si="6"/>
        <v>0</v>
      </c>
      <c r="AB7" s="14"/>
      <c r="AC7" s="15"/>
      <c r="AD7" s="37"/>
      <c r="AE7" s="10">
        <f t="shared" si="7"/>
        <v>0</v>
      </c>
      <c r="AF7" s="10">
        <f t="shared" si="8"/>
        <v>0</v>
      </c>
    </row>
    <row r="8" spans="1:34" x14ac:dyDescent="0.15">
      <c r="A8" s="78" t="s">
        <v>11</v>
      </c>
      <c r="B8" s="72">
        <v>5</v>
      </c>
      <c r="C8" s="73"/>
      <c r="D8" s="79"/>
      <c r="E8" s="75">
        <f t="shared" ref="E8:E10" si="15">SUM(B8:D8)</f>
        <v>5</v>
      </c>
      <c r="F8" s="72"/>
      <c r="G8" s="73"/>
      <c r="H8" s="79"/>
      <c r="I8" s="76">
        <f t="shared" ref="I8:I10" si="16">SUM(F8:H8)</f>
        <v>0</v>
      </c>
      <c r="J8" s="75">
        <f t="shared" ref="J8:J41" si="17">E8+I8</f>
        <v>5</v>
      </c>
      <c r="K8" s="77">
        <v>45973</v>
      </c>
      <c r="L8" s="20" t="s">
        <v>11</v>
      </c>
      <c r="M8" s="7"/>
      <c r="N8" s="8"/>
      <c r="O8" s="38"/>
      <c r="P8" s="10">
        <f t="shared" si="12"/>
        <v>0</v>
      </c>
      <c r="Q8" s="7"/>
      <c r="R8" s="8"/>
      <c r="S8" s="38"/>
      <c r="T8" s="54">
        <f t="shared" si="13"/>
        <v>0</v>
      </c>
      <c r="U8" s="10">
        <f t="shared" si="14"/>
        <v>0</v>
      </c>
      <c r="V8" s="43"/>
      <c r="W8" s="20" t="s">
        <v>11</v>
      </c>
      <c r="X8" s="7"/>
      <c r="Y8" s="8"/>
      <c r="Z8" s="38"/>
      <c r="AA8" s="10">
        <f t="shared" si="6"/>
        <v>0</v>
      </c>
      <c r="AB8" s="7"/>
      <c r="AC8" s="8"/>
      <c r="AD8" s="38"/>
      <c r="AE8" s="54">
        <f t="shared" si="7"/>
        <v>0</v>
      </c>
      <c r="AF8" s="10">
        <f t="shared" si="8"/>
        <v>0</v>
      </c>
    </row>
    <row r="9" spans="1:34" x14ac:dyDescent="0.15">
      <c r="A9" s="78" t="s">
        <v>12</v>
      </c>
      <c r="B9" s="72"/>
      <c r="C9" s="73"/>
      <c r="D9" s="79"/>
      <c r="E9" s="75">
        <f t="shared" si="15"/>
        <v>0</v>
      </c>
      <c r="F9" s="72"/>
      <c r="G9" s="73"/>
      <c r="H9" s="79">
        <v>3</v>
      </c>
      <c r="I9" s="76">
        <f t="shared" si="16"/>
        <v>3</v>
      </c>
      <c r="J9" s="75">
        <f t="shared" si="17"/>
        <v>3</v>
      </c>
      <c r="K9" s="77">
        <v>45981</v>
      </c>
      <c r="L9" s="20" t="s">
        <v>12</v>
      </c>
      <c r="M9" s="7"/>
      <c r="N9" s="8"/>
      <c r="O9" s="38"/>
      <c r="P9" s="10">
        <f t="shared" ref="P9" si="18">SUM(M9:O9)</f>
        <v>0</v>
      </c>
      <c r="Q9" s="7"/>
      <c r="R9" s="8"/>
      <c r="S9" s="38"/>
      <c r="T9" s="54">
        <f t="shared" ref="T9" si="19">SUM(Q9:S9)</f>
        <v>0</v>
      </c>
      <c r="U9" s="10">
        <f t="shared" ref="U9" si="20">P9+T9</f>
        <v>0</v>
      </c>
      <c r="V9" s="43"/>
      <c r="W9" s="20" t="s">
        <v>12</v>
      </c>
      <c r="X9" s="7"/>
      <c r="Y9" s="8"/>
      <c r="Z9" s="38"/>
      <c r="AA9" s="10">
        <f t="shared" si="6"/>
        <v>0</v>
      </c>
      <c r="AB9" s="7"/>
      <c r="AC9" s="8"/>
      <c r="AD9" s="38"/>
      <c r="AE9" s="54">
        <f t="shared" si="7"/>
        <v>0</v>
      </c>
      <c r="AF9" s="10">
        <f t="shared" si="8"/>
        <v>0</v>
      </c>
    </row>
    <row r="10" spans="1:34" x14ac:dyDescent="0.15">
      <c r="A10" s="20" t="s">
        <v>13</v>
      </c>
      <c r="B10" s="7">
        <v>5</v>
      </c>
      <c r="C10" s="8"/>
      <c r="D10" s="38"/>
      <c r="E10" s="10">
        <f t="shared" si="15"/>
        <v>5</v>
      </c>
      <c r="F10" s="7"/>
      <c r="G10" s="8">
        <v>3</v>
      </c>
      <c r="H10" s="38"/>
      <c r="I10" s="54">
        <f t="shared" si="16"/>
        <v>3</v>
      </c>
      <c r="J10" s="10">
        <f t="shared" si="17"/>
        <v>8</v>
      </c>
      <c r="K10" s="41">
        <v>45982</v>
      </c>
      <c r="L10" s="20" t="s">
        <v>13</v>
      </c>
      <c r="M10" s="7"/>
      <c r="N10" s="8"/>
      <c r="O10" s="38"/>
      <c r="P10" s="10">
        <f t="shared" si="12"/>
        <v>0</v>
      </c>
      <c r="Q10" s="7"/>
      <c r="R10" s="8"/>
      <c r="S10" s="38"/>
      <c r="T10" s="54">
        <f t="shared" si="13"/>
        <v>0</v>
      </c>
      <c r="U10" s="10">
        <f t="shared" si="14"/>
        <v>0</v>
      </c>
      <c r="V10" s="43"/>
      <c r="W10" s="20" t="s">
        <v>13</v>
      </c>
      <c r="X10" s="7"/>
      <c r="Y10" s="8"/>
      <c r="Z10" s="38"/>
      <c r="AA10" s="10">
        <f t="shared" si="6"/>
        <v>0</v>
      </c>
      <c r="AB10" s="7"/>
      <c r="AC10" s="8"/>
      <c r="AD10" s="38"/>
      <c r="AE10" s="54">
        <f t="shared" si="7"/>
        <v>0</v>
      </c>
      <c r="AF10" s="10">
        <f t="shared" si="8"/>
        <v>0</v>
      </c>
    </row>
    <row r="11" spans="1:34" x14ac:dyDescent="0.15">
      <c r="A11" s="20" t="s">
        <v>14</v>
      </c>
      <c r="B11" s="11">
        <v>5</v>
      </c>
      <c r="C11" s="12"/>
      <c r="D11" s="39"/>
      <c r="E11" s="10">
        <f t="shared" ref="E11:E29" si="21">SUM(B11:D11)</f>
        <v>5</v>
      </c>
      <c r="F11" s="11">
        <v>5</v>
      </c>
      <c r="G11" s="12">
        <v>5</v>
      </c>
      <c r="H11" s="39">
        <v>3</v>
      </c>
      <c r="I11" s="54">
        <f t="shared" ref="I11:I29" si="22">SUM(F11:H11)</f>
        <v>13</v>
      </c>
      <c r="J11" s="10">
        <f t="shared" si="17"/>
        <v>18</v>
      </c>
      <c r="K11" s="41">
        <v>45987</v>
      </c>
      <c r="L11" s="20" t="s">
        <v>14</v>
      </c>
      <c r="M11" s="11"/>
      <c r="N11" s="12"/>
      <c r="O11" s="39"/>
      <c r="P11" s="10">
        <f t="shared" ref="P11:P12" si="23">SUM(M11:O11)</f>
        <v>0</v>
      </c>
      <c r="Q11" s="11"/>
      <c r="R11" s="12"/>
      <c r="S11" s="39"/>
      <c r="T11" s="54">
        <f t="shared" ref="T11:T12" si="24">SUM(Q11:S11)</f>
        <v>0</v>
      </c>
      <c r="U11" s="10">
        <f t="shared" si="14"/>
        <v>0</v>
      </c>
      <c r="V11" s="43"/>
      <c r="W11" s="20" t="s">
        <v>14</v>
      </c>
      <c r="X11" s="11"/>
      <c r="Y11" s="12"/>
      <c r="Z11" s="39"/>
      <c r="AA11" s="10">
        <f t="shared" si="6"/>
        <v>0</v>
      </c>
      <c r="AB11" s="11"/>
      <c r="AC11" s="12"/>
      <c r="AD11" s="39"/>
      <c r="AE11" s="54">
        <f t="shared" si="7"/>
        <v>0</v>
      </c>
      <c r="AF11" s="10">
        <f t="shared" si="8"/>
        <v>0</v>
      </c>
    </row>
    <row r="12" spans="1:34" ht="14.25" thickBot="1" x14ac:dyDescent="0.2">
      <c r="A12" s="80" t="s">
        <v>15</v>
      </c>
      <c r="B12" s="26">
        <v>5</v>
      </c>
      <c r="C12" s="27"/>
      <c r="D12" s="40"/>
      <c r="E12" s="16">
        <f t="shared" si="21"/>
        <v>5</v>
      </c>
      <c r="F12" s="26"/>
      <c r="G12" s="27"/>
      <c r="H12" s="40"/>
      <c r="I12" s="81">
        <f t="shared" si="22"/>
        <v>0</v>
      </c>
      <c r="J12" s="16">
        <f t="shared" si="17"/>
        <v>5</v>
      </c>
      <c r="K12" s="41">
        <v>45990</v>
      </c>
      <c r="L12" s="20" t="s">
        <v>15</v>
      </c>
      <c r="M12" s="11"/>
      <c r="N12" s="12"/>
      <c r="O12" s="39"/>
      <c r="P12" s="10">
        <f t="shared" si="23"/>
        <v>0</v>
      </c>
      <c r="Q12" s="11"/>
      <c r="R12" s="12"/>
      <c r="S12" s="39"/>
      <c r="T12" s="54">
        <f t="shared" si="24"/>
        <v>0</v>
      </c>
      <c r="U12" s="16">
        <f t="shared" si="14"/>
        <v>0</v>
      </c>
      <c r="V12" s="41"/>
      <c r="W12" s="20" t="s">
        <v>15</v>
      </c>
      <c r="X12" s="11"/>
      <c r="Y12" s="12"/>
      <c r="Z12" s="39"/>
      <c r="AA12" s="10">
        <f t="shared" si="6"/>
        <v>0</v>
      </c>
      <c r="AB12" s="11"/>
      <c r="AC12" s="12"/>
      <c r="AD12" s="39"/>
      <c r="AE12" s="54">
        <f t="shared" si="7"/>
        <v>0</v>
      </c>
      <c r="AF12" s="16">
        <f t="shared" si="8"/>
        <v>0</v>
      </c>
    </row>
    <row r="13" spans="1:34" ht="14.25" thickBot="1" x14ac:dyDescent="0.2">
      <c r="A13" s="28" t="s">
        <v>16</v>
      </c>
      <c r="B13" s="23">
        <f>SUM(B4:B12)</f>
        <v>35</v>
      </c>
      <c r="C13" s="24">
        <f t="shared" ref="C13" si="25">SUM(C4:C12)</f>
        <v>8</v>
      </c>
      <c r="D13" s="42">
        <f t="shared" ref="D13" si="26">SUM(D4:D12)</f>
        <v>9</v>
      </c>
      <c r="E13" s="60">
        <f t="shared" ref="E13" si="27">SUM(E4:E12)</f>
        <v>52</v>
      </c>
      <c r="F13" s="23">
        <f t="shared" ref="F13" si="28">SUM(F4:F12)</f>
        <v>16</v>
      </c>
      <c r="G13" s="24">
        <f t="shared" ref="G13" si="29">SUM(G4:G12)</f>
        <v>19</v>
      </c>
      <c r="H13" s="42">
        <f t="shared" ref="H13" si="30">SUM(H4:H12)</f>
        <v>14</v>
      </c>
      <c r="I13" s="59">
        <f t="shared" ref="I13" si="31">SUM(I4:I12)</f>
        <v>49</v>
      </c>
      <c r="J13" s="25">
        <f t="shared" ref="J13" si="32">SUM(J4:J12)</f>
        <v>101</v>
      </c>
      <c r="K13" s="47"/>
      <c r="L13" s="28" t="s">
        <v>16</v>
      </c>
      <c r="M13" s="23">
        <f>SUM(M4:M12)</f>
        <v>230</v>
      </c>
      <c r="N13" s="24">
        <f t="shared" ref="N13:U13" si="33">SUM(N4:N12)</f>
        <v>200</v>
      </c>
      <c r="O13" s="42">
        <f t="shared" si="33"/>
        <v>110</v>
      </c>
      <c r="P13" s="60">
        <f t="shared" si="33"/>
        <v>540</v>
      </c>
      <c r="Q13" s="23">
        <f t="shared" si="33"/>
        <v>230</v>
      </c>
      <c r="R13" s="24">
        <f t="shared" si="33"/>
        <v>200</v>
      </c>
      <c r="S13" s="42">
        <f t="shared" si="33"/>
        <v>110</v>
      </c>
      <c r="T13" s="59">
        <f t="shared" si="33"/>
        <v>540</v>
      </c>
      <c r="U13" s="25">
        <f t="shared" si="33"/>
        <v>1080</v>
      </c>
      <c r="W13" s="28" t="s">
        <v>16</v>
      </c>
      <c r="X13" s="23">
        <f>SUM(X4:X12)</f>
        <v>330</v>
      </c>
      <c r="Y13" s="24">
        <f t="shared" ref="Y13:AF13" si="34">SUM(Y4:Y12)</f>
        <v>374</v>
      </c>
      <c r="Z13" s="42">
        <f t="shared" si="34"/>
        <v>173</v>
      </c>
      <c r="AA13" s="60">
        <f t="shared" si="34"/>
        <v>877</v>
      </c>
      <c r="AB13" s="23">
        <f t="shared" si="34"/>
        <v>377</v>
      </c>
      <c r="AC13" s="24">
        <f t="shared" si="34"/>
        <v>402</v>
      </c>
      <c r="AD13" s="42">
        <f t="shared" si="34"/>
        <v>227</v>
      </c>
      <c r="AE13" s="59">
        <f t="shared" si="34"/>
        <v>1006</v>
      </c>
      <c r="AF13" s="25">
        <f t="shared" si="34"/>
        <v>1883</v>
      </c>
    </row>
    <row r="14" spans="1:34" x14ac:dyDescent="0.15">
      <c r="A14" s="21" t="s">
        <v>40</v>
      </c>
      <c r="B14" s="7">
        <v>1</v>
      </c>
      <c r="C14" s="8"/>
      <c r="D14" s="9">
        <v>1</v>
      </c>
      <c r="E14" s="10">
        <f t="shared" ref="E14" si="35">SUM(B14:D14)</f>
        <v>2</v>
      </c>
      <c r="F14" s="7"/>
      <c r="G14" s="8">
        <v>1</v>
      </c>
      <c r="H14" s="9"/>
      <c r="I14" s="54">
        <f t="shared" ref="I14" si="36">SUM(F14:H14)</f>
        <v>1</v>
      </c>
      <c r="J14" s="10">
        <f t="shared" ref="J14" si="37">E14+I14</f>
        <v>3</v>
      </c>
      <c r="K14" s="47">
        <v>45938</v>
      </c>
      <c r="L14" s="21" t="s">
        <v>37</v>
      </c>
      <c r="M14" s="7">
        <v>5</v>
      </c>
      <c r="N14" s="8">
        <v>5</v>
      </c>
      <c r="O14" s="9">
        <v>3</v>
      </c>
      <c r="P14" s="10">
        <f t="shared" ref="P14:P15" si="38">SUM(M14:O14)</f>
        <v>13</v>
      </c>
      <c r="Q14" s="7">
        <v>5</v>
      </c>
      <c r="R14" s="8">
        <v>5</v>
      </c>
      <c r="S14" s="9">
        <v>3</v>
      </c>
      <c r="T14" s="54">
        <f t="shared" ref="T14:T15" si="39">SUM(Q14:S14)</f>
        <v>13</v>
      </c>
      <c r="U14" s="10">
        <f t="shared" ref="U14:U15" si="40">P14+T14</f>
        <v>26</v>
      </c>
      <c r="V14" s="41">
        <v>45937</v>
      </c>
      <c r="W14" s="21" t="s">
        <v>26</v>
      </c>
      <c r="X14" s="7">
        <v>330</v>
      </c>
      <c r="Y14" s="8">
        <v>374</v>
      </c>
      <c r="Z14" s="9">
        <v>173</v>
      </c>
      <c r="AA14" s="10">
        <f t="shared" ref="AA14:AA15" si="41">SUM(X14:Z14)</f>
        <v>877</v>
      </c>
      <c r="AB14" s="7">
        <v>377</v>
      </c>
      <c r="AC14" s="8">
        <v>402</v>
      </c>
      <c r="AD14" s="9">
        <v>227</v>
      </c>
      <c r="AE14" s="54">
        <f t="shared" ref="AE14:AE15" si="42">SUM(AB14:AD14)</f>
        <v>1006</v>
      </c>
      <c r="AF14" s="10">
        <f t="shared" ref="AF14:AF15" si="43">AA14+AE14</f>
        <v>1883</v>
      </c>
      <c r="AG14" s="41">
        <v>46000</v>
      </c>
      <c r="AH14" s="43"/>
    </row>
    <row r="15" spans="1:34" x14ac:dyDescent="0.15">
      <c r="A15" s="21" t="s">
        <v>46</v>
      </c>
      <c r="B15" s="7">
        <v>1</v>
      </c>
      <c r="C15" s="8"/>
      <c r="D15" s="9"/>
      <c r="E15" s="10">
        <f t="shared" si="21"/>
        <v>1</v>
      </c>
      <c r="F15" s="7">
        <v>1</v>
      </c>
      <c r="G15" s="8"/>
      <c r="H15" s="9"/>
      <c r="I15" s="54">
        <f t="shared" si="22"/>
        <v>1</v>
      </c>
      <c r="J15" s="10">
        <f t="shared" ref="J15:J29" si="44">E15+I15</f>
        <v>2</v>
      </c>
      <c r="K15" s="47">
        <v>45946</v>
      </c>
      <c r="L15" s="21" t="s">
        <v>38</v>
      </c>
      <c r="M15" s="7">
        <v>5</v>
      </c>
      <c r="N15" s="8">
        <v>8</v>
      </c>
      <c r="O15" s="9">
        <v>4</v>
      </c>
      <c r="P15" s="10">
        <f t="shared" si="38"/>
        <v>17</v>
      </c>
      <c r="Q15" s="7">
        <v>5</v>
      </c>
      <c r="R15" s="8">
        <v>8</v>
      </c>
      <c r="S15" s="9">
        <v>4</v>
      </c>
      <c r="T15" s="54">
        <f t="shared" si="39"/>
        <v>17</v>
      </c>
      <c r="U15" s="10">
        <f t="shared" si="40"/>
        <v>34</v>
      </c>
      <c r="V15" s="41">
        <v>45938</v>
      </c>
      <c r="W15" s="21"/>
      <c r="X15" s="7"/>
      <c r="Y15" s="8"/>
      <c r="Z15" s="9"/>
      <c r="AA15" s="10">
        <f t="shared" si="41"/>
        <v>0</v>
      </c>
      <c r="AB15" s="7"/>
      <c r="AC15" s="8"/>
      <c r="AD15" s="9"/>
      <c r="AE15" s="54">
        <f t="shared" si="42"/>
        <v>0</v>
      </c>
      <c r="AF15" s="10">
        <f t="shared" si="43"/>
        <v>0</v>
      </c>
      <c r="AH15" s="43"/>
    </row>
    <row r="16" spans="1:34" x14ac:dyDescent="0.15">
      <c r="A16" s="21" t="s">
        <v>47</v>
      </c>
      <c r="B16" s="7"/>
      <c r="C16" s="8"/>
      <c r="D16" s="9"/>
      <c r="E16" s="10">
        <f t="shared" si="21"/>
        <v>0</v>
      </c>
      <c r="F16" s="7"/>
      <c r="G16" s="8">
        <v>2</v>
      </c>
      <c r="H16" s="9"/>
      <c r="I16" s="54">
        <f t="shared" si="22"/>
        <v>2</v>
      </c>
      <c r="J16" s="10">
        <f t="shared" si="44"/>
        <v>2</v>
      </c>
      <c r="K16" s="47">
        <v>45950</v>
      </c>
      <c r="L16" s="21" t="s">
        <v>45</v>
      </c>
      <c r="M16" s="7">
        <v>20</v>
      </c>
      <c r="N16" s="8">
        <v>20</v>
      </c>
      <c r="O16" s="9">
        <v>10</v>
      </c>
      <c r="P16" s="10">
        <f t="shared" ref="P16:P23" si="45">SUM(M16:O16)</f>
        <v>50</v>
      </c>
      <c r="Q16" s="7">
        <v>10</v>
      </c>
      <c r="R16" s="8">
        <v>10</v>
      </c>
      <c r="S16" s="9">
        <v>5</v>
      </c>
      <c r="T16" s="54">
        <f t="shared" ref="T16:T23" si="46">SUM(Q16:S16)</f>
        <v>25</v>
      </c>
      <c r="U16" s="10">
        <f t="shared" ref="U16:U23" si="47">P16+T16</f>
        <v>75</v>
      </c>
      <c r="V16" s="41">
        <v>45950</v>
      </c>
      <c r="W16" s="21"/>
      <c r="X16" s="7"/>
      <c r="Y16" s="8"/>
      <c r="Z16" s="9"/>
      <c r="AA16" s="10">
        <f t="shared" ref="AA16:AA39" si="48">SUM(X16:Z16)</f>
        <v>0</v>
      </c>
      <c r="AB16" s="7"/>
      <c r="AC16" s="8"/>
      <c r="AD16" s="9"/>
      <c r="AE16" s="54">
        <f t="shared" ref="AE16:AE39" si="49">SUM(AB16:AD16)</f>
        <v>0</v>
      </c>
      <c r="AF16" s="10">
        <f t="shared" ref="AF16:AF41" si="50">AA16+AE16</f>
        <v>0</v>
      </c>
    </row>
    <row r="17" spans="1:32" x14ac:dyDescent="0.15">
      <c r="A17" s="21" t="s">
        <v>47</v>
      </c>
      <c r="B17" s="7">
        <v>1</v>
      </c>
      <c r="C17" s="8"/>
      <c r="D17" s="9"/>
      <c r="E17" s="10">
        <f t="shared" si="21"/>
        <v>1</v>
      </c>
      <c r="F17" s="7"/>
      <c r="G17" s="8"/>
      <c r="H17" s="9"/>
      <c r="I17" s="54">
        <f t="shared" si="22"/>
        <v>0</v>
      </c>
      <c r="J17" s="10">
        <f t="shared" si="44"/>
        <v>1</v>
      </c>
      <c r="K17" s="47">
        <v>45953</v>
      </c>
      <c r="L17" s="71" t="s">
        <v>50</v>
      </c>
      <c r="M17" s="72"/>
      <c r="N17" s="73"/>
      <c r="O17" s="74">
        <v>3</v>
      </c>
      <c r="P17" s="75">
        <f t="shared" si="45"/>
        <v>3</v>
      </c>
      <c r="Q17" s="72">
        <v>3</v>
      </c>
      <c r="R17" s="73">
        <v>3</v>
      </c>
      <c r="S17" s="74"/>
      <c r="T17" s="76">
        <f t="shared" si="46"/>
        <v>6</v>
      </c>
      <c r="U17" s="75">
        <f t="shared" si="47"/>
        <v>9</v>
      </c>
      <c r="V17" s="77">
        <v>45957</v>
      </c>
      <c r="W17" s="21"/>
      <c r="X17" s="7"/>
      <c r="Y17" s="8"/>
      <c r="Z17" s="9"/>
      <c r="AA17" s="10">
        <f t="shared" si="48"/>
        <v>0</v>
      </c>
      <c r="AB17" s="7"/>
      <c r="AC17" s="8"/>
      <c r="AD17" s="9"/>
      <c r="AE17" s="54">
        <f t="shared" si="49"/>
        <v>0</v>
      </c>
      <c r="AF17" s="10">
        <f t="shared" si="50"/>
        <v>0</v>
      </c>
    </row>
    <row r="18" spans="1:32" x14ac:dyDescent="0.15">
      <c r="A18" s="21" t="s">
        <v>51</v>
      </c>
      <c r="B18" s="7">
        <v>1</v>
      </c>
      <c r="C18" s="8"/>
      <c r="D18" s="9"/>
      <c r="E18" s="10">
        <f t="shared" si="21"/>
        <v>1</v>
      </c>
      <c r="F18" s="7"/>
      <c r="G18" s="8"/>
      <c r="H18" s="9"/>
      <c r="I18" s="54">
        <f t="shared" si="22"/>
        <v>0</v>
      </c>
      <c r="J18" s="10">
        <f t="shared" si="44"/>
        <v>1</v>
      </c>
      <c r="K18" s="41">
        <v>45967</v>
      </c>
      <c r="L18" s="21" t="s">
        <v>37</v>
      </c>
      <c r="M18" s="7">
        <v>10</v>
      </c>
      <c r="N18" s="8"/>
      <c r="O18" s="9"/>
      <c r="P18" s="10">
        <f t="shared" si="45"/>
        <v>10</v>
      </c>
      <c r="Q18" s="7"/>
      <c r="R18" s="8"/>
      <c r="S18" s="9"/>
      <c r="T18" s="54">
        <f t="shared" si="46"/>
        <v>0</v>
      </c>
      <c r="U18" s="10">
        <f t="shared" si="47"/>
        <v>10</v>
      </c>
      <c r="V18" s="41">
        <v>45961</v>
      </c>
      <c r="W18" s="21"/>
      <c r="X18" s="7"/>
      <c r="Y18" s="8"/>
      <c r="Z18" s="9"/>
      <c r="AA18" s="10">
        <f t="shared" si="48"/>
        <v>0</v>
      </c>
      <c r="AB18" s="7"/>
      <c r="AC18" s="8"/>
      <c r="AD18" s="9"/>
      <c r="AE18" s="54">
        <f t="shared" si="49"/>
        <v>0</v>
      </c>
      <c r="AF18" s="10">
        <f t="shared" si="50"/>
        <v>0</v>
      </c>
    </row>
    <row r="19" spans="1:32" x14ac:dyDescent="0.15">
      <c r="A19" s="21" t="s">
        <v>52</v>
      </c>
      <c r="B19" s="7">
        <v>3</v>
      </c>
      <c r="C19" s="8"/>
      <c r="D19" s="9"/>
      <c r="E19" s="10">
        <f t="shared" si="21"/>
        <v>3</v>
      </c>
      <c r="F19" s="7"/>
      <c r="G19" s="8"/>
      <c r="H19" s="9"/>
      <c r="I19" s="54">
        <f t="shared" si="22"/>
        <v>0</v>
      </c>
      <c r="J19" s="10">
        <f t="shared" si="44"/>
        <v>3</v>
      </c>
      <c r="K19" s="41">
        <v>45967</v>
      </c>
      <c r="L19" s="21" t="s">
        <v>37</v>
      </c>
      <c r="M19" s="7"/>
      <c r="N19" s="8">
        <v>3</v>
      </c>
      <c r="O19" s="9">
        <v>3</v>
      </c>
      <c r="P19" s="10">
        <f t="shared" si="45"/>
        <v>6</v>
      </c>
      <c r="Q19" s="7">
        <v>3</v>
      </c>
      <c r="R19" s="8">
        <v>3</v>
      </c>
      <c r="S19" s="9">
        <v>5</v>
      </c>
      <c r="T19" s="54">
        <f t="shared" si="46"/>
        <v>11</v>
      </c>
      <c r="U19" s="10">
        <f t="shared" si="47"/>
        <v>17</v>
      </c>
      <c r="V19" s="41">
        <v>45971</v>
      </c>
      <c r="W19" s="21"/>
      <c r="X19" s="7"/>
      <c r="Y19" s="8"/>
      <c r="Z19" s="9"/>
      <c r="AA19" s="10">
        <f t="shared" si="48"/>
        <v>0</v>
      </c>
      <c r="AB19" s="7"/>
      <c r="AC19" s="8"/>
      <c r="AD19" s="9"/>
      <c r="AE19" s="54">
        <f t="shared" si="49"/>
        <v>0</v>
      </c>
      <c r="AF19" s="10">
        <f t="shared" si="50"/>
        <v>0</v>
      </c>
    </row>
    <row r="20" spans="1:32" x14ac:dyDescent="0.15">
      <c r="A20" s="21" t="s">
        <v>47</v>
      </c>
      <c r="B20" s="7">
        <v>1</v>
      </c>
      <c r="C20" s="8"/>
      <c r="D20" s="9"/>
      <c r="E20" s="10">
        <f t="shared" si="21"/>
        <v>1</v>
      </c>
      <c r="F20" s="7">
        <v>1</v>
      </c>
      <c r="G20" s="8"/>
      <c r="H20" s="9"/>
      <c r="I20" s="54">
        <f t="shared" si="22"/>
        <v>1</v>
      </c>
      <c r="J20" s="10">
        <f t="shared" si="44"/>
        <v>2</v>
      </c>
      <c r="K20" s="47">
        <v>45965</v>
      </c>
      <c r="L20" s="71" t="s">
        <v>37</v>
      </c>
      <c r="M20" s="72">
        <v>5</v>
      </c>
      <c r="N20" s="73"/>
      <c r="O20" s="74"/>
      <c r="P20" s="75">
        <f t="shared" si="45"/>
        <v>5</v>
      </c>
      <c r="Q20" s="72"/>
      <c r="R20" s="73"/>
      <c r="S20" s="74"/>
      <c r="T20" s="76">
        <f t="shared" si="46"/>
        <v>0</v>
      </c>
      <c r="U20" s="75">
        <f t="shared" si="47"/>
        <v>5</v>
      </c>
      <c r="V20" s="77">
        <v>45973</v>
      </c>
      <c r="W20" s="21"/>
      <c r="X20" s="7"/>
      <c r="Y20" s="8"/>
      <c r="Z20" s="9"/>
      <c r="AA20" s="10">
        <f t="shared" si="48"/>
        <v>0</v>
      </c>
      <c r="AB20" s="7"/>
      <c r="AC20" s="8"/>
      <c r="AD20" s="9"/>
      <c r="AE20" s="54">
        <f t="shared" si="49"/>
        <v>0</v>
      </c>
      <c r="AF20" s="10">
        <f t="shared" si="50"/>
        <v>0</v>
      </c>
    </row>
    <row r="21" spans="1:32" x14ac:dyDescent="0.15">
      <c r="A21" s="21" t="s">
        <v>57</v>
      </c>
      <c r="B21" s="7">
        <v>2</v>
      </c>
      <c r="C21" s="8">
        <v>2</v>
      </c>
      <c r="D21" s="9">
        <v>2</v>
      </c>
      <c r="E21" s="10">
        <f t="shared" si="21"/>
        <v>6</v>
      </c>
      <c r="F21" s="7">
        <v>2</v>
      </c>
      <c r="G21" s="8">
        <v>2</v>
      </c>
      <c r="H21" s="9">
        <v>2</v>
      </c>
      <c r="I21" s="54">
        <f t="shared" si="22"/>
        <v>6</v>
      </c>
      <c r="J21" s="10">
        <f t="shared" si="44"/>
        <v>12</v>
      </c>
      <c r="K21" s="41">
        <v>45971</v>
      </c>
      <c r="L21" s="71" t="s">
        <v>59</v>
      </c>
      <c r="M21" s="72">
        <v>15</v>
      </c>
      <c r="N21" s="73">
        <v>15</v>
      </c>
      <c r="O21" s="74">
        <v>15</v>
      </c>
      <c r="P21" s="75">
        <f t="shared" si="45"/>
        <v>45</v>
      </c>
      <c r="Q21" s="72">
        <v>15</v>
      </c>
      <c r="R21" s="73">
        <v>15</v>
      </c>
      <c r="S21" s="74">
        <v>15</v>
      </c>
      <c r="T21" s="76">
        <f t="shared" si="46"/>
        <v>45</v>
      </c>
      <c r="U21" s="75">
        <f t="shared" si="47"/>
        <v>90</v>
      </c>
      <c r="V21" s="77">
        <v>45974</v>
      </c>
      <c r="W21" s="21"/>
      <c r="X21" s="7"/>
      <c r="Y21" s="8"/>
      <c r="Z21" s="9"/>
      <c r="AA21" s="10">
        <f t="shared" si="48"/>
        <v>0</v>
      </c>
      <c r="AB21" s="7"/>
      <c r="AC21" s="8"/>
      <c r="AD21" s="9"/>
      <c r="AE21" s="54">
        <f t="shared" si="49"/>
        <v>0</v>
      </c>
      <c r="AF21" s="10">
        <f t="shared" si="50"/>
        <v>0</v>
      </c>
    </row>
    <row r="22" spans="1:32" x14ac:dyDescent="0.15">
      <c r="A22" s="21" t="s">
        <v>58</v>
      </c>
      <c r="B22" s="7">
        <v>2</v>
      </c>
      <c r="C22" s="8"/>
      <c r="D22" s="9"/>
      <c r="E22" s="10">
        <f t="shared" si="21"/>
        <v>2</v>
      </c>
      <c r="F22" s="7">
        <v>1</v>
      </c>
      <c r="G22" s="8"/>
      <c r="H22" s="9">
        <v>1</v>
      </c>
      <c r="I22" s="54">
        <f t="shared" si="22"/>
        <v>2</v>
      </c>
      <c r="J22" s="10">
        <f t="shared" si="44"/>
        <v>4</v>
      </c>
      <c r="K22" s="41">
        <v>45975</v>
      </c>
      <c r="L22" s="21" t="s">
        <v>60</v>
      </c>
      <c r="M22" s="7"/>
      <c r="N22" s="8"/>
      <c r="O22" s="9"/>
      <c r="P22" s="10">
        <f t="shared" si="45"/>
        <v>0</v>
      </c>
      <c r="Q22" s="7"/>
      <c r="R22" s="8"/>
      <c r="S22" s="9">
        <v>3</v>
      </c>
      <c r="T22" s="54">
        <f t="shared" si="46"/>
        <v>3</v>
      </c>
      <c r="U22" s="10">
        <f t="shared" si="47"/>
        <v>3</v>
      </c>
      <c r="V22" s="41">
        <v>45981</v>
      </c>
      <c r="W22" s="21"/>
      <c r="X22" s="7"/>
      <c r="Y22" s="8"/>
      <c r="Z22" s="9"/>
      <c r="AA22" s="10">
        <f t="shared" si="48"/>
        <v>0</v>
      </c>
      <c r="AB22" s="7"/>
      <c r="AC22" s="8"/>
      <c r="AD22" s="9"/>
      <c r="AE22" s="54">
        <f t="shared" si="49"/>
        <v>0</v>
      </c>
      <c r="AF22" s="10">
        <f t="shared" si="50"/>
        <v>0</v>
      </c>
    </row>
    <row r="23" spans="1:32" x14ac:dyDescent="0.15">
      <c r="A23" s="21" t="s">
        <v>47</v>
      </c>
      <c r="B23" s="7">
        <v>2</v>
      </c>
      <c r="C23" s="8"/>
      <c r="D23" s="9"/>
      <c r="E23" s="10">
        <f t="shared" si="21"/>
        <v>2</v>
      </c>
      <c r="F23" s="7">
        <v>1</v>
      </c>
      <c r="G23" s="8">
        <v>1</v>
      </c>
      <c r="H23" s="9"/>
      <c r="I23" s="54">
        <f t="shared" si="22"/>
        <v>2</v>
      </c>
      <c r="J23" s="10">
        <f t="shared" si="44"/>
        <v>4</v>
      </c>
      <c r="K23" s="47">
        <v>45971</v>
      </c>
      <c r="L23" s="21" t="s">
        <v>63</v>
      </c>
      <c r="M23" s="7">
        <v>20</v>
      </c>
      <c r="N23" s="8">
        <v>20</v>
      </c>
      <c r="O23" s="9">
        <v>10</v>
      </c>
      <c r="P23" s="10">
        <f t="shared" si="45"/>
        <v>50</v>
      </c>
      <c r="Q23" s="7">
        <v>30</v>
      </c>
      <c r="R23" s="8">
        <v>30</v>
      </c>
      <c r="S23" s="9">
        <v>30</v>
      </c>
      <c r="T23" s="54">
        <f t="shared" si="46"/>
        <v>90</v>
      </c>
      <c r="U23" s="10">
        <f t="shared" si="47"/>
        <v>140</v>
      </c>
      <c r="V23" s="41">
        <v>45988</v>
      </c>
      <c r="W23" s="21"/>
      <c r="X23" s="7"/>
      <c r="Y23" s="8"/>
      <c r="Z23" s="9"/>
      <c r="AA23" s="10">
        <f t="shared" si="48"/>
        <v>0</v>
      </c>
      <c r="AB23" s="7"/>
      <c r="AC23" s="8"/>
      <c r="AD23" s="9"/>
      <c r="AE23" s="54">
        <f t="shared" si="49"/>
        <v>0</v>
      </c>
      <c r="AF23" s="10">
        <f t="shared" si="50"/>
        <v>0</v>
      </c>
    </row>
    <row r="24" spans="1:32" x14ac:dyDescent="0.15">
      <c r="A24" s="21" t="s">
        <v>47</v>
      </c>
      <c r="B24" s="7"/>
      <c r="C24" s="8"/>
      <c r="D24" s="9"/>
      <c r="E24" s="10">
        <f t="shared" si="21"/>
        <v>0</v>
      </c>
      <c r="F24" s="7"/>
      <c r="G24" s="8">
        <v>1</v>
      </c>
      <c r="H24" s="9"/>
      <c r="I24" s="54">
        <f t="shared" si="22"/>
        <v>1</v>
      </c>
      <c r="J24" s="10">
        <f t="shared" si="44"/>
        <v>1</v>
      </c>
      <c r="K24" s="41">
        <v>45974</v>
      </c>
      <c r="L24" s="21" t="s">
        <v>60</v>
      </c>
      <c r="M24" s="7">
        <v>5</v>
      </c>
      <c r="N24" s="8"/>
      <c r="O24" s="9"/>
      <c r="P24" s="10">
        <f t="shared" ref="P24:P33" si="51">SUM(M24:O24)</f>
        <v>5</v>
      </c>
      <c r="Q24" s="7"/>
      <c r="R24" s="8">
        <v>3</v>
      </c>
      <c r="S24" s="9"/>
      <c r="T24" s="54">
        <f t="shared" ref="T24:T33" si="52">SUM(Q24:S24)</f>
        <v>3</v>
      </c>
      <c r="U24" s="10">
        <f t="shared" si="14"/>
        <v>8</v>
      </c>
      <c r="V24" s="41">
        <v>45982</v>
      </c>
      <c r="W24" s="21"/>
      <c r="X24" s="7"/>
      <c r="Y24" s="8"/>
      <c r="Z24" s="9"/>
      <c r="AA24" s="10">
        <f t="shared" si="48"/>
        <v>0</v>
      </c>
      <c r="AB24" s="7"/>
      <c r="AC24" s="8"/>
      <c r="AD24" s="9"/>
      <c r="AE24" s="54">
        <f t="shared" si="49"/>
        <v>0</v>
      </c>
      <c r="AF24" s="10">
        <f t="shared" si="50"/>
        <v>0</v>
      </c>
    </row>
    <row r="25" spans="1:32" x14ac:dyDescent="0.15">
      <c r="A25" s="21" t="s">
        <v>57</v>
      </c>
      <c r="B25" s="7"/>
      <c r="C25" s="8"/>
      <c r="D25" s="9"/>
      <c r="E25" s="10">
        <f t="shared" si="21"/>
        <v>0</v>
      </c>
      <c r="F25" s="7"/>
      <c r="G25" s="8"/>
      <c r="H25" s="9">
        <v>3</v>
      </c>
      <c r="I25" s="54">
        <f t="shared" si="22"/>
        <v>3</v>
      </c>
      <c r="J25" s="10">
        <f t="shared" si="44"/>
        <v>3</v>
      </c>
      <c r="K25" s="41">
        <v>45980</v>
      </c>
      <c r="L25" s="21" t="s">
        <v>60</v>
      </c>
      <c r="M25" s="7">
        <v>5</v>
      </c>
      <c r="N25" s="8"/>
      <c r="O25" s="9"/>
      <c r="P25" s="10">
        <f t="shared" si="51"/>
        <v>5</v>
      </c>
      <c r="Q25" s="7">
        <v>5</v>
      </c>
      <c r="R25" s="8">
        <v>5</v>
      </c>
      <c r="S25" s="9">
        <v>3</v>
      </c>
      <c r="T25" s="54">
        <f t="shared" si="52"/>
        <v>13</v>
      </c>
      <c r="U25" s="10">
        <f t="shared" si="14"/>
        <v>18</v>
      </c>
      <c r="V25" s="41">
        <v>45987</v>
      </c>
      <c r="W25" s="19"/>
      <c r="X25" s="7"/>
      <c r="Y25" s="8"/>
      <c r="Z25" s="9"/>
      <c r="AA25" s="10">
        <f t="shared" si="48"/>
        <v>0</v>
      </c>
      <c r="AB25" s="7"/>
      <c r="AC25" s="8"/>
      <c r="AD25" s="9"/>
      <c r="AE25" s="54">
        <f t="shared" si="49"/>
        <v>0</v>
      </c>
      <c r="AF25" s="10">
        <f t="shared" si="50"/>
        <v>0</v>
      </c>
    </row>
    <row r="26" spans="1:32" x14ac:dyDescent="0.15">
      <c r="A26" s="21" t="s">
        <v>57</v>
      </c>
      <c r="B26" s="7">
        <v>2</v>
      </c>
      <c r="C26" s="8"/>
      <c r="D26" s="9"/>
      <c r="E26" s="10">
        <f t="shared" si="21"/>
        <v>2</v>
      </c>
      <c r="F26" s="7"/>
      <c r="G26" s="8"/>
      <c r="H26" s="9"/>
      <c r="I26" s="54">
        <f t="shared" si="22"/>
        <v>0</v>
      </c>
      <c r="J26" s="10">
        <f t="shared" si="44"/>
        <v>2</v>
      </c>
      <c r="K26" s="41">
        <v>45982</v>
      </c>
      <c r="L26" s="21" t="s">
        <v>60</v>
      </c>
      <c r="M26" s="7">
        <v>5</v>
      </c>
      <c r="N26" s="8"/>
      <c r="O26" s="9"/>
      <c r="P26" s="10">
        <f t="shared" si="51"/>
        <v>5</v>
      </c>
      <c r="Q26" s="7"/>
      <c r="R26" s="8"/>
      <c r="S26" s="9"/>
      <c r="T26" s="54">
        <f t="shared" si="52"/>
        <v>0</v>
      </c>
      <c r="U26" s="10">
        <f t="shared" si="14"/>
        <v>5</v>
      </c>
      <c r="V26" s="41">
        <v>45990</v>
      </c>
      <c r="W26" s="21"/>
      <c r="X26" s="7"/>
      <c r="Y26" s="8"/>
      <c r="Z26" s="9"/>
      <c r="AA26" s="10">
        <f t="shared" si="48"/>
        <v>0</v>
      </c>
      <c r="AB26" s="7"/>
      <c r="AC26" s="8"/>
      <c r="AD26" s="9"/>
      <c r="AE26" s="54">
        <f t="shared" si="49"/>
        <v>0</v>
      </c>
      <c r="AF26" s="10">
        <f t="shared" si="50"/>
        <v>0</v>
      </c>
    </row>
    <row r="27" spans="1:32" x14ac:dyDescent="0.15">
      <c r="A27" s="21" t="s">
        <v>57</v>
      </c>
      <c r="B27" s="7">
        <v>2</v>
      </c>
      <c r="C27" s="8"/>
      <c r="D27" s="9"/>
      <c r="E27" s="10">
        <f t="shared" si="21"/>
        <v>2</v>
      </c>
      <c r="F27" s="7"/>
      <c r="G27" s="8"/>
      <c r="H27" s="9"/>
      <c r="I27" s="54">
        <f t="shared" si="22"/>
        <v>0</v>
      </c>
      <c r="J27" s="10">
        <f t="shared" si="44"/>
        <v>2</v>
      </c>
      <c r="K27" s="41">
        <v>45982</v>
      </c>
      <c r="L27" s="21"/>
      <c r="M27" s="7"/>
      <c r="N27" s="8"/>
      <c r="O27" s="9"/>
      <c r="P27" s="10">
        <f t="shared" ref="P27" si="53">SUM(M27:O27)</f>
        <v>0</v>
      </c>
      <c r="Q27" s="7"/>
      <c r="R27" s="8"/>
      <c r="S27" s="9"/>
      <c r="T27" s="54">
        <f t="shared" ref="T27" si="54">SUM(Q27:S27)</f>
        <v>0</v>
      </c>
      <c r="U27" s="10">
        <f t="shared" ref="U27" si="55">P27+T27</f>
        <v>0</v>
      </c>
      <c r="V27" s="41"/>
      <c r="W27" s="48"/>
      <c r="X27" s="7"/>
      <c r="Y27" s="8"/>
      <c r="Z27" s="9"/>
      <c r="AA27" s="10">
        <f t="shared" si="48"/>
        <v>0</v>
      </c>
      <c r="AB27" s="7"/>
      <c r="AC27" s="8"/>
      <c r="AD27" s="9"/>
      <c r="AE27" s="54">
        <f t="shared" si="49"/>
        <v>0</v>
      </c>
      <c r="AF27" s="10">
        <f t="shared" si="50"/>
        <v>0</v>
      </c>
    </row>
    <row r="28" spans="1:32" x14ac:dyDescent="0.15">
      <c r="A28" s="21" t="s">
        <v>47</v>
      </c>
      <c r="B28" s="7"/>
      <c r="C28" s="8"/>
      <c r="D28" s="9"/>
      <c r="E28" s="10">
        <f t="shared" si="21"/>
        <v>0</v>
      </c>
      <c r="F28" s="7"/>
      <c r="G28" s="8"/>
      <c r="H28" s="9">
        <v>1</v>
      </c>
      <c r="I28" s="54">
        <f t="shared" si="22"/>
        <v>1</v>
      </c>
      <c r="J28" s="10">
        <f t="shared" si="44"/>
        <v>1</v>
      </c>
      <c r="K28" s="47">
        <v>45982</v>
      </c>
      <c r="L28" s="21"/>
      <c r="M28" s="7"/>
      <c r="N28" s="8"/>
      <c r="O28" s="9"/>
      <c r="P28" s="10">
        <f t="shared" si="51"/>
        <v>0</v>
      </c>
      <c r="Q28" s="7"/>
      <c r="R28" s="8"/>
      <c r="S28" s="9"/>
      <c r="T28" s="54">
        <f t="shared" si="52"/>
        <v>0</v>
      </c>
      <c r="U28" s="10">
        <f t="shared" si="14"/>
        <v>0</v>
      </c>
      <c r="V28" s="41"/>
      <c r="W28" s="21"/>
      <c r="X28" s="7"/>
      <c r="Y28" s="8"/>
      <c r="Z28" s="9"/>
      <c r="AA28" s="10">
        <f t="shared" si="48"/>
        <v>0</v>
      </c>
      <c r="AB28" s="7"/>
      <c r="AC28" s="8"/>
      <c r="AD28" s="9"/>
      <c r="AE28" s="54">
        <f t="shared" si="49"/>
        <v>0</v>
      </c>
      <c r="AF28" s="10">
        <f t="shared" si="50"/>
        <v>0</v>
      </c>
    </row>
    <row r="29" spans="1:32" x14ac:dyDescent="0.15">
      <c r="A29" s="21" t="s">
        <v>57</v>
      </c>
      <c r="B29" s="7"/>
      <c r="C29" s="8"/>
      <c r="D29" s="9"/>
      <c r="E29" s="10">
        <f t="shared" si="21"/>
        <v>0</v>
      </c>
      <c r="F29" s="7">
        <v>2</v>
      </c>
      <c r="G29" s="8"/>
      <c r="H29" s="9"/>
      <c r="I29" s="54">
        <f t="shared" si="22"/>
        <v>2</v>
      </c>
      <c r="J29" s="10">
        <f t="shared" si="44"/>
        <v>2</v>
      </c>
      <c r="K29" s="41">
        <v>45988</v>
      </c>
      <c r="L29" s="21"/>
      <c r="M29" s="7"/>
      <c r="N29" s="8"/>
      <c r="O29" s="9"/>
      <c r="P29" s="10">
        <f t="shared" si="51"/>
        <v>0</v>
      </c>
      <c r="Q29" s="7"/>
      <c r="R29" s="8"/>
      <c r="S29" s="9"/>
      <c r="T29" s="54">
        <f t="shared" si="52"/>
        <v>0</v>
      </c>
      <c r="U29" s="10">
        <f t="shared" si="14"/>
        <v>0</v>
      </c>
      <c r="V29" s="41"/>
      <c r="W29" s="21"/>
      <c r="X29" s="7"/>
      <c r="Y29" s="8"/>
      <c r="Z29" s="9"/>
      <c r="AA29" s="10">
        <f t="shared" si="48"/>
        <v>0</v>
      </c>
      <c r="AB29" s="7"/>
      <c r="AC29" s="8"/>
      <c r="AD29" s="9"/>
      <c r="AE29" s="54">
        <f t="shared" si="49"/>
        <v>0</v>
      </c>
      <c r="AF29" s="10">
        <f t="shared" si="50"/>
        <v>0</v>
      </c>
    </row>
    <row r="30" spans="1:32" x14ac:dyDescent="0.15">
      <c r="A30" s="21" t="s">
        <v>61</v>
      </c>
      <c r="B30" s="7">
        <v>5</v>
      </c>
      <c r="C30" s="8"/>
      <c r="D30" s="9"/>
      <c r="E30" s="10">
        <f t="shared" ref="E30:E39" si="56">SUM(B30:D30)</f>
        <v>5</v>
      </c>
      <c r="F30" s="7"/>
      <c r="G30" s="8">
        <v>5</v>
      </c>
      <c r="H30" s="9"/>
      <c r="I30" s="54">
        <f t="shared" ref="I30:I39" si="57">SUM(F30:H30)</f>
        <v>5</v>
      </c>
      <c r="J30" s="10">
        <f t="shared" si="17"/>
        <v>10</v>
      </c>
      <c r="K30" s="41">
        <v>45988</v>
      </c>
      <c r="L30" s="21"/>
      <c r="M30" s="7"/>
      <c r="N30" s="8"/>
      <c r="O30" s="9"/>
      <c r="P30" s="10">
        <f t="shared" si="51"/>
        <v>0</v>
      </c>
      <c r="Q30" s="7"/>
      <c r="R30" s="8"/>
      <c r="S30" s="9"/>
      <c r="T30" s="54">
        <f t="shared" si="52"/>
        <v>0</v>
      </c>
      <c r="U30" s="10">
        <f t="shared" si="14"/>
        <v>0</v>
      </c>
      <c r="V30" s="41"/>
      <c r="W30" s="21"/>
      <c r="X30" s="7"/>
      <c r="Y30" s="8"/>
      <c r="Z30" s="9"/>
      <c r="AA30" s="10">
        <f t="shared" si="48"/>
        <v>0</v>
      </c>
      <c r="AB30" s="7"/>
      <c r="AC30" s="8"/>
      <c r="AD30" s="9"/>
      <c r="AE30" s="54">
        <f t="shared" si="49"/>
        <v>0</v>
      </c>
      <c r="AF30" s="10">
        <f t="shared" si="50"/>
        <v>0</v>
      </c>
    </row>
    <row r="31" spans="1:32" x14ac:dyDescent="0.15">
      <c r="A31" s="21" t="s">
        <v>62</v>
      </c>
      <c r="B31" s="7">
        <v>1</v>
      </c>
      <c r="C31" s="8"/>
      <c r="D31" s="9"/>
      <c r="E31" s="10">
        <f t="shared" si="56"/>
        <v>1</v>
      </c>
      <c r="F31" s="7"/>
      <c r="G31" s="8"/>
      <c r="H31" s="9"/>
      <c r="I31" s="54">
        <f t="shared" si="57"/>
        <v>0</v>
      </c>
      <c r="J31" s="10">
        <f t="shared" si="17"/>
        <v>1</v>
      </c>
      <c r="K31" s="41">
        <v>45989</v>
      </c>
      <c r="L31" s="21"/>
      <c r="M31" s="7"/>
      <c r="N31" s="8"/>
      <c r="O31" s="9"/>
      <c r="P31" s="10">
        <f t="shared" si="51"/>
        <v>0</v>
      </c>
      <c r="Q31" s="7"/>
      <c r="R31" s="8"/>
      <c r="S31" s="9"/>
      <c r="T31" s="54">
        <f t="shared" si="52"/>
        <v>0</v>
      </c>
      <c r="U31" s="10">
        <f t="shared" si="14"/>
        <v>0</v>
      </c>
      <c r="V31" s="41"/>
      <c r="W31" s="21"/>
      <c r="X31" s="7"/>
      <c r="Y31" s="8"/>
      <c r="Z31" s="9"/>
      <c r="AA31" s="10">
        <f t="shared" si="48"/>
        <v>0</v>
      </c>
      <c r="AB31" s="7"/>
      <c r="AC31" s="8"/>
      <c r="AD31" s="9"/>
      <c r="AE31" s="54">
        <f t="shared" si="49"/>
        <v>0</v>
      </c>
      <c r="AF31" s="10">
        <f t="shared" si="50"/>
        <v>0</v>
      </c>
    </row>
    <row r="32" spans="1:32" x14ac:dyDescent="0.15">
      <c r="A32" s="18" t="s">
        <v>47</v>
      </c>
      <c r="B32" s="7"/>
      <c r="C32" s="8"/>
      <c r="D32" s="9"/>
      <c r="E32" s="10">
        <f t="shared" si="56"/>
        <v>0</v>
      </c>
      <c r="F32" s="7">
        <v>1</v>
      </c>
      <c r="G32" s="8"/>
      <c r="H32" s="9"/>
      <c r="I32" s="54">
        <f t="shared" si="57"/>
        <v>1</v>
      </c>
      <c r="J32" s="10">
        <f t="shared" si="17"/>
        <v>1</v>
      </c>
      <c r="K32" s="47">
        <v>45986</v>
      </c>
      <c r="L32" s="61"/>
      <c r="M32" s="7"/>
      <c r="N32" s="8"/>
      <c r="O32" s="9"/>
      <c r="P32" s="10">
        <f t="shared" si="51"/>
        <v>0</v>
      </c>
      <c r="Q32" s="7"/>
      <c r="R32" s="8"/>
      <c r="S32" s="9"/>
      <c r="T32" s="54">
        <f t="shared" si="52"/>
        <v>0</v>
      </c>
      <c r="U32" s="10">
        <f t="shared" si="14"/>
        <v>0</v>
      </c>
      <c r="V32" s="41"/>
      <c r="W32" s="61"/>
      <c r="X32" s="7"/>
      <c r="Y32" s="8"/>
      <c r="Z32" s="9"/>
      <c r="AA32" s="10">
        <f t="shared" si="48"/>
        <v>0</v>
      </c>
      <c r="AB32" s="7"/>
      <c r="AC32" s="8"/>
      <c r="AD32" s="9"/>
      <c r="AE32" s="54">
        <f t="shared" si="49"/>
        <v>0</v>
      </c>
      <c r="AF32" s="10">
        <f t="shared" si="50"/>
        <v>0</v>
      </c>
    </row>
    <row r="33" spans="1:33" x14ac:dyDescent="0.15">
      <c r="A33" s="18" t="s">
        <v>47</v>
      </c>
      <c r="B33" s="7"/>
      <c r="C33" s="8"/>
      <c r="D33" s="9"/>
      <c r="E33" s="10">
        <f t="shared" si="56"/>
        <v>0</v>
      </c>
      <c r="F33" s="7"/>
      <c r="G33" s="8"/>
      <c r="H33" s="9">
        <v>2</v>
      </c>
      <c r="I33" s="54">
        <f t="shared" si="57"/>
        <v>2</v>
      </c>
      <c r="J33" s="10">
        <f t="shared" si="17"/>
        <v>2</v>
      </c>
      <c r="K33" s="41">
        <v>45987</v>
      </c>
      <c r="L33" s="21"/>
      <c r="M33" s="7"/>
      <c r="N33" s="8"/>
      <c r="O33" s="9"/>
      <c r="P33" s="10">
        <f t="shared" si="51"/>
        <v>0</v>
      </c>
      <c r="Q33" s="7"/>
      <c r="R33" s="8"/>
      <c r="S33" s="9"/>
      <c r="T33" s="54">
        <f t="shared" si="52"/>
        <v>0</v>
      </c>
      <c r="U33" s="10">
        <f t="shared" si="14"/>
        <v>0</v>
      </c>
      <c r="V33" s="41"/>
      <c r="W33" s="21"/>
      <c r="X33" s="7"/>
      <c r="Y33" s="8"/>
      <c r="Z33" s="9"/>
      <c r="AA33" s="10">
        <f t="shared" si="48"/>
        <v>0</v>
      </c>
      <c r="AB33" s="7"/>
      <c r="AC33" s="8"/>
      <c r="AD33" s="9"/>
      <c r="AE33" s="54">
        <f t="shared" si="49"/>
        <v>0</v>
      </c>
      <c r="AF33" s="10">
        <f t="shared" si="50"/>
        <v>0</v>
      </c>
    </row>
    <row r="34" spans="1:33" x14ac:dyDescent="0.15">
      <c r="A34" s="21" t="s">
        <v>57</v>
      </c>
      <c r="B34" s="7">
        <v>3</v>
      </c>
      <c r="C34" s="8"/>
      <c r="D34" s="9"/>
      <c r="E34" s="10">
        <f t="shared" si="56"/>
        <v>3</v>
      </c>
      <c r="F34" s="7">
        <v>1</v>
      </c>
      <c r="G34" s="8"/>
      <c r="H34" s="9"/>
      <c r="I34" s="54">
        <f t="shared" si="57"/>
        <v>1</v>
      </c>
      <c r="J34" s="10">
        <f t="shared" si="17"/>
        <v>4</v>
      </c>
      <c r="K34" s="41">
        <v>45992</v>
      </c>
      <c r="L34" s="21"/>
      <c r="M34" s="7"/>
      <c r="N34" s="8"/>
      <c r="O34" s="9"/>
      <c r="P34" s="10">
        <f t="shared" ref="P34" si="58">SUM(M34:O34)</f>
        <v>0</v>
      </c>
      <c r="Q34" s="7"/>
      <c r="R34" s="8"/>
      <c r="S34" s="9"/>
      <c r="T34" s="54">
        <f t="shared" ref="T34" si="59">SUM(Q34:S34)</f>
        <v>0</v>
      </c>
      <c r="U34" s="10">
        <f t="shared" ref="U34" si="60">P34+T34</f>
        <v>0</v>
      </c>
      <c r="V34" s="41"/>
      <c r="W34" s="21"/>
      <c r="X34" s="7"/>
      <c r="Y34" s="8"/>
      <c r="Z34" s="9"/>
      <c r="AA34" s="10">
        <f t="shared" si="48"/>
        <v>0</v>
      </c>
      <c r="AB34" s="7"/>
      <c r="AC34" s="8"/>
      <c r="AD34" s="9"/>
      <c r="AE34" s="54">
        <f t="shared" si="49"/>
        <v>0</v>
      </c>
      <c r="AF34" s="10">
        <f t="shared" si="50"/>
        <v>0</v>
      </c>
    </row>
    <row r="35" spans="1:33" x14ac:dyDescent="0.15">
      <c r="A35" s="21" t="s">
        <v>57</v>
      </c>
      <c r="B35" s="11"/>
      <c r="C35" s="12">
        <v>1</v>
      </c>
      <c r="D35" s="13"/>
      <c r="E35" s="10">
        <f t="shared" si="56"/>
        <v>1</v>
      </c>
      <c r="F35" s="11"/>
      <c r="G35" s="12"/>
      <c r="H35" s="13"/>
      <c r="I35" s="54">
        <f t="shared" si="57"/>
        <v>0</v>
      </c>
      <c r="J35" s="10">
        <f t="shared" si="17"/>
        <v>1</v>
      </c>
      <c r="K35" s="41">
        <v>45996</v>
      </c>
      <c r="L35" s="21"/>
      <c r="M35" s="7"/>
      <c r="N35" s="8"/>
      <c r="O35" s="9"/>
      <c r="P35" s="10">
        <f t="shared" ref="P35" si="61">SUM(M35:O35)</f>
        <v>0</v>
      </c>
      <c r="Q35" s="7"/>
      <c r="R35" s="8"/>
      <c r="S35" s="9"/>
      <c r="T35" s="54">
        <f t="shared" ref="T35" si="62">SUM(Q35:S35)</f>
        <v>0</v>
      </c>
      <c r="U35" s="10">
        <f t="shared" ref="U35" si="63">P35+T35</f>
        <v>0</v>
      </c>
      <c r="V35" s="41"/>
      <c r="W35" s="21"/>
      <c r="X35" s="7"/>
      <c r="Y35" s="8"/>
      <c r="Z35" s="9"/>
      <c r="AA35" s="10">
        <f t="shared" si="48"/>
        <v>0</v>
      </c>
      <c r="AB35" s="7"/>
      <c r="AC35" s="8"/>
      <c r="AD35" s="9"/>
      <c r="AE35" s="54">
        <f t="shared" si="49"/>
        <v>0</v>
      </c>
      <c r="AF35" s="10">
        <f t="shared" si="50"/>
        <v>0</v>
      </c>
    </row>
    <row r="36" spans="1:33" x14ac:dyDescent="0.15">
      <c r="A36" s="18" t="s">
        <v>47</v>
      </c>
      <c r="B36" s="7"/>
      <c r="C36" s="8"/>
      <c r="D36" s="9"/>
      <c r="E36" s="10">
        <f t="shared" si="56"/>
        <v>0</v>
      </c>
      <c r="F36" s="7"/>
      <c r="G36" s="8"/>
      <c r="H36" s="9">
        <v>2</v>
      </c>
      <c r="I36" s="54">
        <f t="shared" si="57"/>
        <v>2</v>
      </c>
      <c r="J36" s="10">
        <f t="shared" si="17"/>
        <v>2</v>
      </c>
      <c r="K36" s="41">
        <v>45997</v>
      </c>
      <c r="L36" s="21"/>
      <c r="M36" s="7"/>
      <c r="N36" s="8"/>
      <c r="O36" s="9"/>
      <c r="P36" s="10">
        <f t="shared" ref="P36" si="64">SUM(M36:O36)</f>
        <v>0</v>
      </c>
      <c r="Q36" s="7"/>
      <c r="R36" s="8"/>
      <c r="S36" s="9"/>
      <c r="T36" s="54">
        <f t="shared" ref="T36" si="65">SUM(Q36:S36)</f>
        <v>0</v>
      </c>
      <c r="U36" s="10">
        <f t="shared" ref="U36" si="66">P36+T36</f>
        <v>0</v>
      </c>
      <c r="V36" s="41"/>
      <c r="W36" s="21"/>
      <c r="X36" s="7"/>
      <c r="Y36" s="8"/>
      <c r="Z36" s="9"/>
      <c r="AA36" s="10">
        <f t="shared" si="48"/>
        <v>0</v>
      </c>
      <c r="AB36" s="7"/>
      <c r="AC36" s="8"/>
      <c r="AD36" s="9"/>
      <c r="AE36" s="54">
        <f t="shared" si="49"/>
        <v>0</v>
      </c>
      <c r="AF36" s="10">
        <f t="shared" si="50"/>
        <v>0</v>
      </c>
      <c r="AG36" s="43"/>
    </row>
    <row r="37" spans="1:33" x14ac:dyDescent="0.15">
      <c r="A37" s="21" t="s">
        <v>57</v>
      </c>
      <c r="B37" s="7">
        <v>1</v>
      </c>
      <c r="C37" s="8"/>
      <c r="D37" s="9"/>
      <c r="E37" s="10">
        <f t="shared" si="56"/>
        <v>1</v>
      </c>
      <c r="F37" s="7"/>
      <c r="G37" s="8"/>
      <c r="H37" s="9"/>
      <c r="I37" s="54">
        <f t="shared" si="57"/>
        <v>0</v>
      </c>
      <c r="J37" s="10">
        <f t="shared" si="17"/>
        <v>1</v>
      </c>
      <c r="K37" s="41">
        <v>46001</v>
      </c>
      <c r="L37" s="21"/>
      <c r="M37" s="7"/>
      <c r="N37" s="8"/>
      <c r="O37" s="9"/>
      <c r="P37" s="10">
        <f t="shared" ref="P37" si="67">SUM(M37:O37)</f>
        <v>0</v>
      </c>
      <c r="Q37" s="7"/>
      <c r="R37" s="8"/>
      <c r="S37" s="9"/>
      <c r="T37" s="54">
        <f t="shared" ref="T37" si="68">SUM(Q37:S37)</f>
        <v>0</v>
      </c>
      <c r="U37" s="10">
        <f t="shared" ref="U37" si="69">P37+T37</f>
        <v>0</v>
      </c>
      <c r="V37" s="41"/>
      <c r="W37" s="21"/>
      <c r="X37" s="7"/>
      <c r="Y37" s="8"/>
      <c r="Z37" s="9"/>
      <c r="AA37" s="10">
        <f t="shared" si="48"/>
        <v>0</v>
      </c>
      <c r="AB37" s="7"/>
      <c r="AC37" s="8"/>
      <c r="AD37" s="9"/>
      <c r="AE37" s="54">
        <f t="shared" si="49"/>
        <v>0</v>
      </c>
      <c r="AF37" s="10">
        <f t="shared" si="50"/>
        <v>0</v>
      </c>
      <c r="AG37" s="43"/>
    </row>
    <row r="38" spans="1:33" x14ac:dyDescent="0.15">
      <c r="A38" s="21" t="s">
        <v>57</v>
      </c>
      <c r="B38" s="7"/>
      <c r="C38" s="8"/>
      <c r="D38" s="9"/>
      <c r="E38" s="10">
        <f t="shared" si="56"/>
        <v>0</v>
      </c>
      <c r="F38" s="7">
        <v>1</v>
      </c>
      <c r="G38" s="8"/>
      <c r="H38" s="9"/>
      <c r="I38" s="54">
        <f t="shared" si="57"/>
        <v>1</v>
      </c>
      <c r="J38" s="10">
        <f t="shared" si="17"/>
        <v>1</v>
      </c>
      <c r="K38" s="41">
        <v>46003</v>
      </c>
      <c r="L38" s="21" t="s">
        <v>22</v>
      </c>
      <c r="M38" s="7"/>
      <c r="N38" s="8"/>
      <c r="O38" s="9"/>
      <c r="P38" s="10">
        <f t="shared" ref="P38:P39" si="70">SUM(M38:O38)</f>
        <v>0</v>
      </c>
      <c r="Q38" s="7"/>
      <c r="R38" s="8"/>
      <c r="S38" s="9"/>
      <c r="T38" s="54">
        <f t="shared" ref="T38:T39" si="71">SUM(Q38:S38)</f>
        <v>0</v>
      </c>
      <c r="U38" s="10">
        <f t="shared" si="14"/>
        <v>0</v>
      </c>
      <c r="V38" s="41" t="s">
        <v>24</v>
      </c>
      <c r="W38" s="21"/>
      <c r="X38" s="7"/>
      <c r="Y38" s="8"/>
      <c r="Z38" s="9"/>
      <c r="AA38" s="10">
        <f t="shared" si="48"/>
        <v>0</v>
      </c>
      <c r="AB38" s="7"/>
      <c r="AC38" s="8"/>
      <c r="AD38" s="9"/>
      <c r="AE38" s="54">
        <f t="shared" si="49"/>
        <v>0</v>
      </c>
      <c r="AF38" s="10">
        <f t="shared" si="50"/>
        <v>0</v>
      </c>
      <c r="AG38" s="43"/>
    </row>
    <row r="39" spans="1:33" ht="14.25" thickBot="1" x14ac:dyDescent="0.2">
      <c r="A39" s="19" t="s">
        <v>47</v>
      </c>
      <c r="B39" s="7"/>
      <c r="C39" s="8">
        <v>2</v>
      </c>
      <c r="D39" s="9">
        <v>1</v>
      </c>
      <c r="E39" s="10">
        <f t="shared" si="56"/>
        <v>3</v>
      </c>
      <c r="F39" s="7"/>
      <c r="G39" s="8"/>
      <c r="H39" s="9"/>
      <c r="I39" s="54">
        <f t="shared" si="57"/>
        <v>0</v>
      </c>
      <c r="J39" s="16">
        <f t="shared" si="17"/>
        <v>3</v>
      </c>
      <c r="K39" s="41">
        <v>46001</v>
      </c>
      <c r="L39" s="21" t="s">
        <v>21</v>
      </c>
      <c r="M39" s="7"/>
      <c r="N39" s="8"/>
      <c r="O39" s="9"/>
      <c r="P39" s="10">
        <f t="shared" si="70"/>
        <v>0</v>
      </c>
      <c r="Q39" s="7"/>
      <c r="R39" s="8"/>
      <c r="S39" s="9"/>
      <c r="T39" s="54">
        <f t="shared" si="71"/>
        <v>0</v>
      </c>
      <c r="U39" s="10">
        <f t="shared" si="14"/>
        <v>0</v>
      </c>
      <c r="V39" s="41" t="s">
        <v>23</v>
      </c>
      <c r="W39" s="21" t="s">
        <v>26</v>
      </c>
      <c r="X39" s="7">
        <v>0</v>
      </c>
      <c r="Y39" s="8">
        <v>0</v>
      </c>
      <c r="Z39" s="9">
        <v>0</v>
      </c>
      <c r="AA39" s="10">
        <f t="shared" si="48"/>
        <v>0</v>
      </c>
      <c r="AB39" s="7">
        <v>0</v>
      </c>
      <c r="AC39" s="8">
        <v>0</v>
      </c>
      <c r="AD39" s="9">
        <v>0</v>
      </c>
      <c r="AE39" s="54">
        <f t="shared" si="49"/>
        <v>0</v>
      </c>
      <c r="AF39" s="10">
        <f t="shared" si="50"/>
        <v>0</v>
      </c>
    </row>
    <row r="40" spans="1:33" ht="14.25" thickBot="1" x14ac:dyDescent="0.2">
      <c r="A40" s="31" t="s">
        <v>17</v>
      </c>
      <c r="B40" s="32">
        <f>SUM(B14:B39)</f>
        <v>28</v>
      </c>
      <c r="C40" s="33">
        <f>SUM(C14:C39)</f>
        <v>5</v>
      </c>
      <c r="D40" s="34">
        <f>SUM(D14:D39)</f>
        <v>4</v>
      </c>
      <c r="E40" s="35">
        <f>SUM(B40:D40)</f>
        <v>37</v>
      </c>
      <c r="F40" s="32">
        <f>SUM(F14:F39)</f>
        <v>11</v>
      </c>
      <c r="G40" s="33">
        <f>SUM(G14:G39)</f>
        <v>12</v>
      </c>
      <c r="H40" s="34">
        <f>SUM(H14:H39)</f>
        <v>11</v>
      </c>
      <c r="I40" s="35">
        <f>SUM(F40:H40)</f>
        <v>34</v>
      </c>
      <c r="J40" s="36">
        <f t="shared" si="17"/>
        <v>71</v>
      </c>
      <c r="K40" s="30"/>
      <c r="L40" s="31" t="s">
        <v>17</v>
      </c>
      <c r="M40" s="32">
        <f>SUM(M14:M39)</f>
        <v>95</v>
      </c>
      <c r="N40" s="33">
        <f t="shared" ref="N40:U40" si="72">SUM(N14:N39)</f>
        <v>71</v>
      </c>
      <c r="O40" s="34">
        <f t="shared" si="72"/>
        <v>48</v>
      </c>
      <c r="P40" s="35">
        <f t="shared" si="72"/>
        <v>214</v>
      </c>
      <c r="Q40" s="32">
        <f t="shared" si="72"/>
        <v>76</v>
      </c>
      <c r="R40" s="33">
        <f t="shared" si="72"/>
        <v>82</v>
      </c>
      <c r="S40" s="34">
        <f t="shared" si="72"/>
        <v>68</v>
      </c>
      <c r="T40" s="35">
        <f t="shared" si="72"/>
        <v>226</v>
      </c>
      <c r="U40" s="36">
        <f t="shared" si="72"/>
        <v>440</v>
      </c>
      <c r="W40" s="31" t="s">
        <v>17</v>
      </c>
      <c r="X40" s="32">
        <f>SUM(X14:X39)</f>
        <v>330</v>
      </c>
      <c r="Y40" s="33">
        <f>SUM(Y14:Y39)</f>
        <v>374</v>
      </c>
      <c r="Z40" s="34">
        <f>SUM(Z14:Z39)</f>
        <v>173</v>
      </c>
      <c r="AA40" s="35">
        <f>SUM(X40:Z40)</f>
        <v>877</v>
      </c>
      <c r="AB40" s="32">
        <f>SUM(AB14:AB39)</f>
        <v>377</v>
      </c>
      <c r="AC40" s="33">
        <f>SUM(AC14:AC39)</f>
        <v>402</v>
      </c>
      <c r="AD40" s="34">
        <f>SUM(AD14:AD39)</f>
        <v>227</v>
      </c>
      <c r="AE40" s="35">
        <f>SUM(AB40:AD40)</f>
        <v>1006</v>
      </c>
      <c r="AF40" s="36">
        <f t="shared" si="50"/>
        <v>1883</v>
      </c>
    </row>
    <row r="41" spans="1:33" ht="14.25" thickBot="1" x14ac:dyDescent="0.2">
      <c r="A41" s="17" t="s">
        <v>18</v>
      </c>
      <c r="B41" s="50">
        <f>B13-B40</f>
        <v>7</v>
      </c>
      <c r="C41" s="51">
        <f t="shared" ref="C41" si="73">C13-C40</f>
        <v>3</v>
      </c>
      <c r="D41" s="52">
        <f t="shared" ref="D41" si="74">D13-D40</f>
        <v>5</v>
      </c>
      <c r="E41" s="52">
        <f t="shared" ref="E41" si="75">E13-E40</f>
        <v>15</v>
      </c>
      <c r="F41" s="50">
        <f>F13-F40</f>
        <v>5</v>
      </c>
      <c r="G41" s="51">
        <f t="shared" ref="G41" si="76">G13-G40</f>
        <v>7</v>
      </c>
      <c r="H41" s="52">
        <f t="shared" ref="H41" si="77">H13-H40</f>
        <v>3</v>
      </c>
      <c r="I41" s="52">
        <f t="shared" ref="I41" si="78">I13-I40</f>
        <v>15</v>
      </c>
      <c r="J41" s="25">
        <f t="shared" si="17"/>
        <v>30</v>
      </c>
      <c r="L41" s="17" t="s">
        <v>18</v>
      </c>
      <c r="M41" s="50">
        <f>M13-M40</f>
        <v>135</v>
      </c>
      <c r="N41" s="51">
        <f t="shared" ref="N41:U41" si="79">N13-N40</f>
        <v>129</v>
      </c>
      <c r="O41" s="52">
        <f t="shared" si="79"/>
        <v>62</v>
      </c>
      <c r="P41" s="52">
        <f t="shared" si="79"/>
        <v>326</v>
      </c>
      <c r="Q41" s="50">
        <f t="shared" si="79"/>
        <v>154</v>
      </c>
      <c r="R41" s="51">
        <f t="shared" si="79"/>
        <v>118</v>
      </c>
      <c r="S41" s="52">
        <f t="shared" si="79"/>
        <v>42</v>
      </c>
      <c r="T41" s="52">
        <f t="shared" si="79"/>
        <v>314</v>
      </c>
      <c r="U41" s="25">
        <f t="shared" si="79"/>
        <v>640</v>
      </c>
      <c r="W41" s="17" t="s">
        <v>18</v>
      </c>
      <c r="X41" s="50">
        <f>X13-X40</f>
        <v>0</v>
      </c>
      <c r="Y41" s="51">
        <f t="shared" ref="Y41:AA41" si="80">Y13-Y40</f>
        <v>0</v>
      </c>
      <c r="Z41" s="52">
        <f t="shared" si="80"/>
        <v>0</v>
      </c>
      <c r="AA41" s="52">
        <f t="shared" si="80"/>
        <v>0</v>
      </c>
      <c r="AB41" s="50">
        <f>AB13-AB40</f>
        <v>0</v>
      </c>
      <c r="AC41" s="51">
        <f t="shared" ref="AC41:AE41" si="81">AC13-AC40</f>
        <v>0</v>
      </c>
      <c r="AD41" s="52">
        <f t="shared" si="81"/>
        <v>0</v>
      </c>
      <c r="AE41" s="52">
        <f t="shared" si="81"/>
        <v>0</v>
      </c>
      <c r="AF41" s="25">
        <f t="shared" si="50"/>
        <v>0</v>
      </c>
    </row>
    <row r="42" spans="1:33" x14ac:dyDescent="0.15">
      <c r="M42" s="49"/>
      <c r="N42" s="49"/>
      <c r="O42" s="49"/>
      <c r="P42" s="49"/>
    </row>
    <row r="44" spans="1:33" ht="19.5" thickBot="1" x14ac:dyDescent="0.25">
      <c r="A44" s="62" t="s">
        <v>54</v>
      </c>
      <c r="B44" s="63"/>
      <c r="C44" s="63"/>
      <c r="D44" s="63"/>
      <c r="E44" s="63"/>
      <c r="F44" s="1"/>
      <c r="G44" s="1"/>
      <c r="H44" s="1"/>
      <c r="I44" s="1"/>
      <c r="J44" s="1"/>
      <c r="L44" s="64" t="s">
        <v>53</v>
      </c>
      <c r="M44" s="65"/>
      <c r="N44" s="65"/>
      <c r="O44" s="65"/>
      <c r="P44" s="65"/>
      <c r="Q44" s="65"/>
      <c r="R44" s="65"/>
      <c r="S44" s="1"/>
      <c r="T44" s="1"/>
      <c r="U44" s="1"/>
    </row>
    <row r="45" spans="1:33" ht="14.25" thickBot="1" x14ac:dyDescent="0.2">
      <c r="A45" s="6" t="s">
        <v>0</v>
      </c>
      <c r="B45" s="92" t="s">
        <v>25</v>
      </c>
      <c r="C45" s="93"/>
      <c r="D45" s="93"/>
      <c r="E45" s="94"/>
      <c r="F45" s="95" t="s">
        <v>19</v>
      </c>
      <c r="G45" s="96"/>
      <c r="H45" s="96"/>
      <c r="I45" s="97"/>
      <c r="J45" s="98" t="s">
        <v>1</v>
      </c>
      <c r="L45" s="6" t="s">
        <v>0</v>
      </c>
      <c r="M45" s="92" t="s">
        <v>25</v>
      </c>
      <c r="N45" s="93"/>
      <c r="O45" s="93"/>
      <c r="P45" s="94"/>
      <c r="Q45" s="95" t="s">
        <v>19</v>
      </c>
      <c r="R45" s="96"/>
      <c r="S45" s="96"/>
      <c r="T45" s="97"/>
      <c r="U45" s="98" t="s">
        <v>1</v>
      </c>
    </row>
    <row r="46" spans="1:33" ht="14.25" thickBot="1" x14ac:dyDescent="0.2">
      <c r="A46" s="6" t="s">
        <v>2</v>
      </c>
      <c r="B46" s="2" t="s">
        <v>3</v>
      </c>
      <c r="C46" s="3" t="s">
        <v>4</v>
      </c>
      <c r="D46" s="4" t="s">
        <v>5</v>
      </c>
      <c r="E46" s="6" t="s">
        <v>6</v>
      </c>
      <c r="F46" s="2" t="s">
        <v>3</v>
      </c>
      <c r="G46" s="3" t="s">
        <v>4</v>
      </c>
      <c r="H46" s="4" t="s">
        <v>5</v>
      </c>
      <c r="I46" s="6" t="s">
        <v>6</v>
      </c>
      <c r="J46" s="99"/>
      <c r="L46" s="6" t="s">
        <v>2</v>
      </c>
      <c r="M46" s="56" t="s">
        <v>3</v>
      </c>
      <c r="N46" s="57" t="s">
        <v>4</v>
      </c>
      <c r="O46" s="58" t="s">
        <v>5</v>
      </c>
      <c r="P46" s="6" t="s">
        <v>6</v>
      </c>
      <c r="Q46" s="2" t="s">
        <v>3</v>
      </c>
      <c r="R46" s="3" t="s">
        <v>4</v>
      </c>
      <c r="S46" s="4" t="s">
        <v>5</v>
      </c>
      <c r="T46" s="6" t="s">
        <v>6</v>
      </c>
      <c r="U46" s="99"/>
    </row>
    <row r="47" spans="1:33" ht="14.25" thickBot="1" x14ac:dyDescent="0.2">
      <c r="A47" s="22" t="s">
        <v>18</v>
      </c>
      <c r="B47" s="23">
        <f>B41</f>
        <v>7</v>
      </c>
      <c r="C47" s="24">
        <f t="shared" ref="C47:D47" si="82">C41</f>
        <v>3</v>
      </c>
      <c r="D47" s="42">
        <f t="shared" si="82"/>
        <v>5</v>
      </c>
      <c r="E47" s="25">
        <f t="shared" ref="E47:E53" si="83">SUM(B47:D47)</f>
        <v>15</v>
      </c>
      <c r="F47" s="23">
        <f>F41</f>
        <v>5</v>
      </c>
      <c r="G47" s="24">
        <f t="shared" ref="G47:H47" si="84">G41</f>
        <v>7</v>
      </c>
      <c r="H47" s="42">
        <f t="shared" si="84"/>
        <v>3</v>
      </c>
      <c r="I47" s="25">
        <f t="shared" ref="I47:I53" si="85">SUM(F47:H47)</f>
        <v>15</v>
      </c>
      <c r="J47" s="25">
        <f>E47+I47</f>
        <v>30</v>
      </c>
      <c r="K47" s="41"/>
      <c r="L47" s="22" t="s">
        <v>18</v>
      </c>
      <c r="M47" s="23">
        <f>M41</f>
        <v>135</v>
      </c>
      <c r="N47" s="24">
        <f t="shared" ref="N47:U47" si="86">N41</f>
        <v>129</v>
      </c>
      <c r="O47" s="42">
        <f t="shared" si="86"/>
        <v>62</v>
      </c>
      <c r="P47" s="55">
        <f t="shared" si="86"/>
        <v>326</v>
      </c>
      <c r="Q47" s="23">
        <f t="shared" si="86"/>
        <v>154</v>
      </c>
      <c r="R47" s="24">
        <f t="shared" si="86"/>
        <v>118</v>
      </c>
      <c r="S47" s="42">
        <f t="shared" si="86"/>
        <v>42</v>
      </c>
      <c r="T47" s="29">
        <f t="shared" si="86"/>
        <v>314</v>
      </c>
      <c r="U47" s="29">
        <f t="shared" si="86"/>
        <v>640</v>
      </c>
    </row>
    <row r="48" spans="1:33" x14ac:dyDescent="0.15">
      <c r="A48" s="20" t="s">
        <v>70</v>
      </c>
      <c r="B48" s="14"/>
      <c r="C48" s="15"/>
      <c r="D48" s="37"/>
      <c r="E48" s="67">
        <f t="shared" ref="E48:E52" si="87">SUM(B48:D48)</f>
        <v>0</v>
      </c>
      <c r="F48" s="14"/>
      <c r="G48" s="15"/>
      <c r="H48" s="37">
        <v>1</v>
      </c>
      <c r="I48" s="68">
        <f t="shared" ref="I48:I52" si="88">SUM(F48:H48)</f>
        <v>1</v>
      </c>
      <c r="J48" s="67">
        <f t="shared" ref="J48:J52" si="89">E48+I48</f>
        <v>1</v>
      </c>
      <c r="K48" s="41">
        <v>46000</v>
      </c>
      <c r="L48" s="20" t="s">
        <v>8</v>
      </c>
      <c r="M48" s="44"/>
      <c r="N48" s="45"/>
      <c r="O48" s="66"/>
      <c r="P48" s="46">
        <f t="shared" ref="P48:P50" si="90">SUM(M48:O48)</f>
        <v>0</v>
      </c>
      <c r="Q48" s="44"/>
      <c r="R48" s="45"/>
      <c r="S48" s="66"/>
      <c r="T48" s="53">
        <f t="shared" ref="T48:T50" si="91">SUM(Q48:S48)</f>
        <v>0</v>
      </c>
      <c r="U48" s="46">
        <f t="shared" ref="U48:U74" si="92">P48+T48</f>
        <v>0</v>
      </c>
    </row>
    <row r="49" spans="1:23" x14ac:dyDescent="0.15">
      <c r="A49" s="20" t="s">
        <v>9</v>
      </c>
      <c r="B49" s="7">
        <v>3</v>
      </c>
      <c r="C49" s="8">
        <v>3</v>
      </c>
      <c r="D49" s="38"/>
      <c r="E49" s="10">
        <f t="shared" si="87"/>
        <v>6</v>
      </c>
      <c r="F49" s="7">
        <v>3</v>
      </c>
      <c r="G49" s="8"/>
      <c r="H49" s="38"/>
      <c r="I49" s="54">
        <f t="shared" si="88"/>
        <v>3</v>
      </c>
      <c r="J49" s="10">
        <f t="shared" si="89"/>
        <v>9</v>
      </c>
      <c r="K49" s="41">
        <v>46011</v>
      </c>
      <c r="L49" s="20" t="s">
        <v>9</v>
      </c>
      <c r="M49" s="14"/>
      <c r="N49" s="15"/>
      <c r="O49" s="37"/>
      <c r="P49" s="67">
        <f t="shared" si="90"/>
        <v>0</v>
      </c>
      <c r="Q49" s="14"/>
      <c r="R49" s="15"/>
      <c r="S49" s="37"/>
      <c r="T49" s="10">
        <f t="shared" si="91"/>
        <v>0</v>
      </c>
      <c r="U49" s="10">
        <f t="shared" si="92"/>
        <v>0</v>
      </c>
      <c r="V49" s="41"/>
    </row>
    <row r="50" spans="1:23" x14ac:dyDescent="0.15">
      <c r="A50" s="20" t="s">
        <v>9</v>
      </c>
      <c r="B50" s="14">
        <v>24</v>
      </c>
      <c r="C50" s="15">
        <v>27</v>
      </c>
      <c r="D50" s="37">
        <v>12</v>
      </c>
      <c r="E50" s="10">
        <f t="shared" si="87"/>
        <v>63</v>
      </c>
      <c r="F50" s="14">
        <v>12</v>
      </c>
      <c r="G50" s="15">
        <v>4</v>
      </c>
      <c r="H50" s="37"/>
      <c r="I50" s="10">
        <f t="shared" si="88"/>
        <v>16</v>
      </c>
      <c r="J50" s="10">
        <f t="shared" si="89"/>
        <v>79</v>
      </c>
      <c r="K50" s="41">
        <v>46010</v>
      </c>
      <c r="L50" s="20" t="s">
        <v>36</v>
      </c>
      <c r="M50" s="7">
        <v>240</v>
      </c>
      <c r="N50" s="8">
        <v>200</v>
      </c>
      <c r="O50" s="38">
        <v>120</v>
      </c>
      <c r="P50" s="10">
        <f t="shared" si="90"/>
        <v>560</v>
      </c>
      <c r="Q50" s="7">
        <v>240</v>
      </c>
      <c r="R50" s="8">
        <v>200</v>
      </c>
      <c r="S50" s="38">
        <v>120</v>
      </c>
      <c r="T50" s="10">
        <f t="shared" si="91"/>
        <v>560</v>
      </c>
      <c r="U50" s="10">
        <f t="shared" si="92"/>
        <v>1120</v>
      </c>
      <c r="V50" s="41" t="s">
        <v>65</v>
      </c>
    </row>
    <row r="51" spans="1:23" x14ac:dyDescent="0.15">
      <c r="A51" s="78" t="s">
        <v>11</v>
      </c>
      <c r="B51" s="72">
        <v>3</v>
      </c>
      <c r="C51" s="73"/>
      <c r="D51" s="79"/>
      <c r="E51" s="75">
        <f t="shared" si="87"/>
        <v>3</v>
      </c>
      <c r="F51" s="72"/>
      <c r="G51" s="73"/>
      <c r="H51" s="79"/>
      <c r="I51" s="76">
        <f t="shared" si="88"/>
        <v>0</v>
      </c>
      <c r="J51" s="75">
        <f t="shared" si="89"/>
        <v>3</v>
      </c>
      <c r="K51" s="77">
        <v>46029</v>
      </c>
      <c r="L51" s="20" t="s">
        <v>11</v>
      </c>
      <c r="M51" s="14"/>
      <c r="N51" s="15"/>
      <c r="O51" s="37"/>
      <c r="P51" s="67">
        <f t="shared" ref="P51:P53" si="93">SUM(M51:O51)</f>
        <v>0</v>
      </c>
      <c r="Q51" s="14"/>
      <c r="R51" s="15"/>
      <c r="S51" s="37"/>
      <c r="T51" s="10">
        <f t="shared" ref="T51:T53" si="94">SUM(Q51:S51)</f>
        <v>0</v>
      </c>
      <c r="U51" s="10">
        <f t="shared" ref="U51:U53" si="95">P51+T51</f>
        <v>0</v>
      </c>
      <c r="V51" s="41" t="s">
        <v>56</v>
      </c>
    </row>
    <row r="52" spans="1:23" x14ac:dyDescent="0.15">
      <c r="A52" s="20" t="s">
        <v>70</v>
      </c>
      <c r="B52" s="7"/>
      <c r="C52" s="8"/>
      <c r="D52" s="38">
        <v>2</v>
      </c>
      <c r="E52" s="10">
        <f t="shared" si="87"/>
        <v>2</v>
      </c>
      <c r="F52" s="7"/>
      <c r="G52" s="8">
        <v>1</v>
      </c>
      <c r="H52" s="38"/>
      <c r="I52" s="54">
        <f t="shared" si="88"/>
        <v>1</v>
      </c>
      <c r="J52" s="10">
        <f t="shared" si="89"/>
        <v>3</v>
      </c>
      <c r="K52" s="41">
        <v>46028</v>
      </c>
      <c r="L52" s="20" t="s">
        <v>31</v>
      </c>
      <c r="M52" s="7">
        <v>400</v>
      </c>
      <c r="N52" s="8">
        <v>400</v>
      </c>
      <c r="O52" s="38">
        <v>200</v>
      </c>
      <c r="P52" s="10">
        <f t="shared" si="93"/>
        <v>1000</v>
      </c>
      <c r="Q52" s="7">
        <v>400</v>
      </c>
      <c r="R52" s="8">
        <v>400</v>
      </c>
      <c r="S52" s="38">
        <v>200</v>
      </c>
      <c r="T52" s="54">
        <f t="shared" si="94"/>
        <v>1000</v>
      </c>
      <c r="U52" s="10">
        <f t="shared" si="95"/>
        <v>2000</v>
      </c>
      <c r="V52" s="41" t="s">
        <v>65</v>
      </c>
    </row>
    <row r="53" spans="1:23" x14ac:dyDescent="0.15">
      <c r="A53" s="20" t="s">
        <v>70</v>
      </c>
      <c r="B53" s="7"/>
      <c r="C53" s="8"/>
      <c r="D53" s="38"/>
      <c r="E53" s="10">
        <f t="shared" si="83"/>
        <v>0</v>
      </c>
      <c r="F53" s="7"/>
      <c r="G53" s="8"/>
      <c r="H53" s="38">
        <v>1</v>
      </c>
      <c r="I53" s="54">
        <f t="shared" si="85"/>
        <v>1</v>
      </c>
      <c r="J53" s="10">
        <f t="shared" ref="J53:J84" si="96">E53+I53</f>
        <v>1</v>
      </c>
      <c r="K53" s="41">
        <v>46038</v>
      </c>
      <c r="L53" s="20" t="s">
        <v>11</v>
      </c>
      <c r="M53" s="7"/>
      <c r="N53" s="8"/>
      <c r="O53" s="38"/>
      <c r="P53" s="10">
        <f t="shared" si="93"/>
        <v>0</v>
      </c>
      <c r="Q53" s="7"/>
      <c r="R53" s="8"/>
      <c r="S53" s="38"/>
      <c r="T53" s="54">
        <f t="shared" si="94"/>
        <v>0</v>
      </c>
      <c r="U53" s="10">
        <f t="shared" si="95"/>
        <v>0</v>
      </c>
      <c r="V53" s="43" t="s">
        <v>56</v>
      </c>
    </row>
    <row r="54" spans="1:23" x14ac:dyDescent="0.15">
      <c r="A54" s="20" t="s">
        <v>81</v>
      </c>
      <c r="B54" s="11">
        <v>3</v>
      </c>
      <c r="C54" s="12"/>
      <c r="D54" s="39">
        <v>9</v>
      </c>
      <c r="E54" s="10">
        <f t="shared" ref="E54:E55" si="97">SUM(B54:D54)</f>
        <v>12</v>
      </c>
      <c r="F54" s="11">
        <v>5</v>
      </c>
      <c r="G54" s="12">
        <v>7</v>
      </c>
      <c r="H54" s="39">
        <v>3</v>
      </c>
      <c r="I54" s="54">
        <f t="shared" ref="I54:I55" si="98">SUM(F54:H54)</f>
        <v>15</v>
      </c>
      <c r="J54" s="10">
        <f t="shared" si="96"/>
        <v>27</v>
      </c>
      <c r="K54" s="41">
        <v>46041</v>
      </c>
      <c r="L54" s="20" t="s">
        <v>87</v>
      </c>
      <c r="M54" s="11">
        <v>9</v>
      </c>
      <c r="N54" s="12"/>
      <c r="O54" s="39">
        <v>9</v>
      </c>
      <c r="P54" s="10">
        <f t="shared" ref="P54:P55" si="99">SUM(M54:O54)</f>
        <v>18</v>
      </c>
      <c r="Q54" s="11">
        <v>10</v>
      </c>
      <c r="R54" s="12">
        <v>10</v>
      </c>
      <c r="S54" s="39">
        <v>5</v>
      </c>
      <c r="T54" s="54">
        <f t="shared" ref="T54:T55" si="100">SUM(Q54:S54)</f>
        <v>25</v>
      </c>
      <c r="U54" s="10">
        <f t="shared" si="92"/>
        <v>43</v>
      </c>
      <c r="V54" s="47">
        <v>46053</v>
      </c>
    </row>
    <row r="55" spans="1:23" ht="14.25" thickBot="1" x14ac:dyDescent="0.2">
      <c r="A55" s="20" t="s">
        <v>82</v>
      </c>
      <c r="B55" s="26"/>
      <c r="C55" s="27">
        <v>1</v>
      </c>
      <c r="D55" s="40"/>
      <c r="E55" s="10">
        <f t="shared" si="97"/>
        <v>1</v>
      </c>
      <c r="F55" s="26"/>
      <c r="G55" s="27"/>
      <c r="H55" s="40"/>
      <c r="I55" s="54">
        <f t="shared" si="98"/>
        <v>0</v>
      </c>
      <c r="J55" s="16">
        <f t="shared" si="96"/>
        <v>1</v>
      </c>
      <c r="K55" s="41">
        <v>46041</v>
      </c>
      <c r="L55" s="20" t="s">
        <v>15</v>
      </c>
      <c r="M55" s="11"/>
      <c r="N55" s="12"/>
      <c r="O55" s="39"/>
      <c r="P55" s="10">
        <f t="shared" si="99"/>
        <v>0</v>
      </c>
      <c r="Q55" s="11"/>
      <c r="R55" s="12"/>
      <c r="S55" s="39"/>
      <c r="T55" s="54">
        <f t="shared" si="100"/>
        <v>0</v>
      </c>
      <c r="U55" s="16">
        <f t="shared" si="92"/>
        <v>0</v>
      </c>
      <c r="V55" s="41"/>
    </row>
    <row r="56" spans="1:23" ht="14.25" thickBot="1" x14ac:dyDescent="0.2">
      <c r="A56" s="28" t="s">
        <v>16</v>
      </c>
      <c r="B56" s="23">
        <f>SUM(B47:B55)</f>
        <v>40</v>
      </c>
      <c r="C56" s="24">
        <f t="shared" ref="C56" si="101">SUM(C47:C55)</f>
        <v>34</v>
      </c>
      <c r="D56" s="42">
        <f t="shared" ref="D56" si="102">SUM(D47:D55)</f>
        <v>28</v>
      </c>
      <c r="E56" s="60">
        <f t="shared" ref="E56" si="103">SUM(E47:E55)</f>
        <v>102</v>
      </c>
      <c r="F56" s="23">
        <f t="shared" ref="F56" si="104">SUM(F47:F55)</f>
        <v>25</v>
      </c>
      <c r="G56" s="24">
        <f t="shared" ref="G56" si="105">SUM(G47:G55)</f>
        <v>19</v>
      </c>
      <c r="H56" s="42">
        <f t="shared" ref="H56" si="106">SUM(H47:H55)</f>
        <v>8</v>
      </c>
      <c r="I56" s="59">
        <f t="shared" ref="I56" si="107">SUM(I47:I55)</f>
        <v>52</v>
      </c>
      <c r="J56" s="25">
        <f t="shared" ref="J56" si="108">SUM(J47:J55)</f>
        <v>154</v>
      </c>
      <c r="L56" s="28" t="s">
        <v>16</v>
      </c>
      <c r="M56" s="23">
        <f>SUM(M47:M55)</f>
        <v>784</v>
      </c>
      <c r="N56" s="24">
        <f t="shared" ref="N56" si="109">SUM(N47:N55)</f>
        <v>729</v>
      </c>
      <c r="O56" s="42">
        <f t="shared" ref="O56" si="110">SUM(O47:O55)</f>
        <v>391</v>
      </c>
      <c r="P56" s="60">
        <f t="shared" ref="P56" si="111">SUM(P47:P55)</f>
        <v>1904</v>
      </c>
      <c r="Q56" s="23">
        <f t="shared" ref="Q56" si="112">SUM(Q47:Q55)</f>
        <v>804</v>
      </c>
      <c r="R56" s="24">
        <f t="shared" ref="R56" si="113">SUM(R47:R55)</f>
        <v>728</v>
      </c>
      <c r="S56" s="42">
        <f t="shared" ref="S56" si="114">SUM(S47:S55)</f>
        <v>367</v>
      </c>
      <c r="T56" s="59">
        <f t="shared" ref="T56" si="115">SUM(T47:T55)</f>
        <v>1899</v>
      </c>
      <c r="U56" s="25">
        <f t="shared" ref="U56" si="116">SUM(U47:U55)</f>
        <v>3803</v>
      </c>
    </row>
    <row r="57" spans="1:23" x14ac:dyDescent="0.15">
      <c r="A57" s="21" t="s">
        <v>47</v>
      </c>
      <c r="B57" s="7"/>
      <c r="C57" s="8"/>
      <c r="D57" s="9"/>
      <c r="E57" s="10">
        <f t="shared" ref="E57:E61" si="117">SUM(B57:D57)</f>
        <v>0</v>
      </c>
      <c r="F57" s="7">
        <v>2</v>
      </c>
      <c r="G57" s="8"/>
      <c r="H57" s="9"/>
      <c r="I57" s="54">
        <f t="shared" ref="I57:I61" si="118">SUM(F57:H57)</f>
        <v>2</v>
      </c>
      <c r="J57" s="10">
        <f t="shared" ref="J57:J61" si="119">E57+I57</f>
        <v>2</v>
      </c>
      <c r="K57" s="47">
        <v>46002</v>
      </c>
      <c r="L57" s="21" t="s">
        <v>64</v>
      </c>
      <c r="M57" s="7">
        <v>10</v>
      </c>
      <c r="N57" s="8">
        <v>10</v>
      </c>
      <c r="O57" s="9">
        <v>10</v>
      </c>
      <c r="P57" s="10">
        <f t="shared" ref="P57:P70" si="120">SUM(M57:O57)</f>
        <v>30</v>
      </c>
      <c r="Q57" s="7">
        <v>10</v>
      </c>
      <c r="R57" s="8">
        <v>10</v>
      </c>
      <c r="S57" s="9">
        <v>10</v>
      </c>
      <c r="T57" s="54">
        <f t="shared" ref="T57:T70" si="121">SUM(Q57:S57)</f>
        <v>30</v>
      </c>
      <c r="U57" s="10">
        <f t="shared" ref="U57:U70" si="122">P57+T57</f>
        <v>60</v>
      </c>
      <c r="V57" s="41">
        <v>46003</v>
      </c>
    </row>
    <row r="58" spans="1:23" x14ac:dyDescent="0.15">
      <c r="A58" s="21" t="s">
        <v>47</v>
      </c>
      <c r="B58" s="7">
        <v>2</v>
      </c>
      <c r="C58" s="8"/>
      <c r="D58" s="9"/>
      <c r="E58" s="10">
        <f t="shared" si="117"/>
        <v>2</v>
      </c>
      <c r="F58" s="7"/>
      <c r="G58" s="8"/>
      <c r="H58" s="9"/>
      <c r="I58" s="54">
        <f t="shared" si="118"/>
        <v>0</v>
      </c>
      <c r="J58" s="10">
        <f t="shared" si="119"/>
        <v>2</v>
      </c>
      <c r="K58" s="47">
        <v>46003</v>
      </c>
      <c r="L58" s="21" t="s">
        <v>68</v>
      </c>
      <c r="M58" s="7"/>
      <c r="N58" s="8">
        <v>5</v>
      </c>
      <c r="O58" s="9"/>
      <c r="P58" s="10">
        <f t="shared" si="120"/>
        <v>5</v>
      </c>
      <c r="Q58" s="7"/>
      <c r="R58" s="8"/>
      <c r="S58" s="9"/>
      <c r="T58" s="54">
        <f t="shared" si="121"/>
        <v>0</v>
      </c>
      <c r="U58" s="10">
        <f t="shared" si="122"/>
        <v>5</v>
      </c>
      <c r="V58" s="41">
        <v>46003</v>
      </c>
      <c r="W58" s="43"/>
    </row>
    <row r="59" spans="1:23" x14ac:dyDescent="0.15">
      <c r="A59" s="21" t="s">
        <v>47</v>
      </c>
      <c r="B59" s="7"/>
      <c r="C59" s="8"/>
      <c r="D59" s="9">
        <v>1</v>
      </c>
      <c r="E59" s="10">
        <f t="shared" si="117"/>
        <v>1</v>
      </c>
      <c r="F59" s="7"/>
      <c r="G59" s="8"/>
      <c r="H59" s="9"/>
      <c r="I59" s="54">
        <f t="shared" si="118"/>
        <v>0</v>
      </c>
      <c r="J59" s="10">
        <f t="shared" si="119"/>
        <v>1</v>
      </c>
      <c r="K59" s="47">
        <v>46006</v>
      </c>
      <c r="L59" s="19" t="s">
        <v>69</v>
      </c>
      <c r="M59" s="7">
        <v>5</v>
      </c>
      <c r="N59" s="8">
        <v>5</v>
      </c>
      <c r="O59" s="9">
        <v>5</v>
      </c>
      <c r="P59" s="10">
        <f t="shared" si="120"/>
        <v>15</v>
      </c>
      <c r="Q59" s="7">
        <v>5</v>
      </c>
      <c r="R59" s="8">
        <v>5</v>
      </c>
      <c r="S59" s="9">
        <v>5</v>
      </c>
      <c r="T59" s="54">
        <f t="shared" si="121"/>
        <v>15</v>
      </c>
      <c r="U59" s="10">
        <f t="shared" si="122"/>
        <v>30</v>
      </c>
      <c r="V59" s="41">
        <v>46006</v>
      </c>
      <c r="W59" s="43"/>
    </row>
    <row r="60" spans="1:23" x14ac:dyDescent="0.15">
      <c r="A60" s="21" t="s">
        <v>57</v>
      </c>
      <c r="B60" s="7">
        <v>1</v>
      </c>
      <c r="C60" s="8"/>
      <c r="D60" s="9"/>
      <c r="E60" s="10">
        <f t="shared" si="117"/>
        <v>1</v>
      </c>
      <c r="F60" s="7">
        <v>1</v>
      </c>
      <c r="G60" s="8"/>
      <c r="H60" s="9"/>
      <c r="I60" s="54">
        <f t="shared" si="118"/>
        <v>1</v>
      </c>
      <c r="J60" s="10">
        <f t="shared" si="119"/>
        <v>2</v>
      </c>
      <c r="K60" s="41">
        <v>46009</v>
      </c>
      <c r="L60" s="21" t="s">
        <v>71</v>
      </c>
      <c r="M60" s="7">
        <v>20</v>
      </c>
      <c r="N60" s="8">
        <v>20</v>
      </c>
      <c r="O60" s="9">
        <v>20</v>
      </c>
      <c r="P60" s="10">
        <f t="shared" si="120"/>
        <v>60</v>
      </c>
      <c r="Q60" s="7">
        <v>20</v>
      </c>
      <c r="R60" s="8">
        <v>20</v>
      </c>
      <c r="S60" s="9">
        <v>20</v>
      </c>
      <c r="T60" s="54">
        <f t="shared" si="121"/>
        <v>60</v>
      </c>
      <c r="U60" s="10">
        <f t="shared" si="122"/>
        <v>120</v>
      </c>
      <c r="V60" s="41">
        <v>46009</v>
      </c>
      <c r="W60" s="43"/>
    </row>
    <row r="61" spans="1:23" x14ac:dyDescent="0.15">
      <c r="A61" s="21" t="s">
        <v>47</v>
      </c>
      <c r="B61" s="7"/>
      <c r="C61" s="8"/>
      <c r="D61" s="9"/>
      <c r="E61" s="10">
        <f t="shared" si="117"/>
        <v>0</v>
      </c>
      <c r="F61" s="7"/>
      <c r="G61" s="8"/>
      <c r="H61" s="9">
        <v>1</v>
      </c>
      <c r="I61" s="54">
        <f t="shared" si="118"/>
        <v>1</v>
      </c>
      <c r="J61" s="10">
        <f t="shared" si="119"/>
        <v>1</v>
      </c>
      <c r="K61" s="41">
        <v>46007</v>
      </c>
      <c r="L61" s="21" t="s">
        <v>72</v>
      </c>
      <c r="M61" s="7">
        <v>40</v>
      </c>
      <c r="N61" s="8">
        <v>40</v>
      </c>
      <c r="O61" s="9">
        <v>40</v>
      </c>
      <c r="P61" s="10">
        <f t="shared" si="120"/>
        <v>120</v>
      </c>
      <c r="Q61" s="7">
        <v>40</v>
      </c>
      <c r="R61" s="8">
        <v>40</v>
      </c>
      <c r="S61" s="9">
        <v>40</v>
      </c>
      <c r="T61" s="54">
        <f t="shared" si="121"/>
        <v>120</v>
      </c>
      <c r="U61" s="10">
        <f t="shared" si="122"/>
        <v>240</v>
      </c>
      <c r="V61" s="41">
        <v>46009</v>
      </c>
      <c r="W61" s="43"/>
    </row>
    <row r="62" spans="1:23" x14ac:dyDescent="0.15">
      <c r="A62" s="21" t="s">
        <v>57</v>
      </c>
      <c r="B62" s="7">
        <v>1</v>
      </c>
      <c r="C62" s="8"/>
      <c r="D62" s="9"/>
      <c r="E62" s="10">
        <f t="shared" ref="E62" si="123">SUM(B62:D62)</f>
        <v>1</v>
      </c>
      <c r="F62" s="7"/>
      <c r="G62" s="8"/>
      <c r="H62" s="9"/>
      <c r="I62" s="54">
        <f t="shared" ref="I62" si="124">SUM(F62:H62)</f>
        <v>0</v>
      </c>
      <c r="J62" s="10">
        <f t="shared" si="96"/>
        <v>1</v>
      </c>
      <c r="K62" s="41">
        <v>46013</v>
      </c>
      <c r="L62" s="19" t="s">
        <v>73</v>
      </c>
      <c r="M62" s="7">
        <v>5</v>
      </c>
      <c r="N62" s="8"/>
      <c r="O62" s="9"/>
      <c r="P62" s="10">
        <f t="shared" si="120"/>
        <v>5</v>
      </c>
      <c r="Q62" s="7"/>
      <c r="R62" s="8">
        <v>5</v>
      </c>
      <c r="S62" s="9"/>
      <c r="T62" s="54">
        <f t="shared" si="121"/>
        <v>5</v>
      </c>
      <c r="U62" s="10">
        <f t="shared" si="122"/>
        <v>10</v>
      </c>
      <c r="V62" s="41">
        <v>46009</v>
      </c>
      <c r="W62" s="43"/>
    </row>
    <row r="63" spans="1:23" x14ac:dyDescent="0.15">
      <c r="A63" s="21" t="s">
        <v>47</v>
      </c>
      <c r="B63" s="7">
        <v>1</v>
      </c>
      <c r="C63" s="8"/>
      <c r="D63" s="9"/>
      <c r="E63" s="10">
        <f t="shared" ref="E63:E82" si="125">SUM(B63:D63)</f>
        <v>1</v>
      </c>
      <c r="F63" s="7">
        <v>1</v>
      </c>
      <c r="G63" s="8"/>
      <c r="H63" s="9"/>
      <c r="I63" s="54">
        <f t="shared" ref="I63:I82" si="126">SUM(F63:H63)</f>
        <v>1</v>
      </c>
      <c r="J63" s="10">
        <f t="shared" si="96"/>
        <v>2</v>
      </c>
      <c r="K63" s="41">
        <v>46013</v>
      </c>
      <c r="L63" s="19" t="s">
        <v>74</v>
      </c>
      <c r="M63" s="7">
        <v>4</v>
      </c>
      <c r="N63" s="8"/>
      <c r="O63" s="9">
        <v>7</v>
      </c>
      <c r="P63" s="10">
        <f t="shared" si="120"/>
        <v>11</v>
      </c>
      <c r="Q63" s="7"/>
      <c r="R63" s="8"/>
      <c r="S63" s="9"/>
      <c r="T63" s="54">
        <f t="shared" si="121"/>
        <v>0</v>
      </c>
      <c r="U63" s="10">
        <f t="shared" si="122"/>
        <v>11</v>
      </c>
      <c r="V63" s="41">
        <v>46010</v>
      </c>
    </row>
    <row r="64" spans="1:23" x14ac:dyDescent="0.15">
      <c r="A64" s="21" t="s">
        <v>26</v>
      </c>
      <c r="B64" s="7">
        <v>24</v>
      </c>
      <c r="C64" s="8">
        <v>27</v>
      </c>
      <c r="D64" s="9">
        <v>12</v>
      </c>
      <c r="E64" s="10">
        <f t="shared" si="125"/>
        <v>63</v>
      </c>
      <c r="F64" s="7">
        <v>12</v>
      </c>
      <c r="G64" s="8">
        <v>4</v>
      </c>
      <c r="H64" s="9"/>
      <c r="I64" s="54">
        <f t="shared" si="126"/>
        <v>16</v>
      </c>
      <c r="J64" s="10">
        <f t="shared" si="96"/>
        <v>79</v>
      </c>
      <c r="K64" s="41">
        <v>46014</v>
      </c>
      <c r="L64" s="19" t="s">
        <v>76</v>
      </c>
      <c r="M64" s="7">
        <v>3</v>
      </c>
      <c r="N64" s="8">
        <v>3</v>
      </c>
      <c r="O64" s="9"/>
      <c r="P64" s="10">
        <f t="shared" si="120"/>
        <v>6</v>
      </c>
      <c r="Q64" s="7">
        <v>3</v>
      </c>
      <c r="R64" s="8"/>
      <c r="S64" s="9"/>
      <c r="T64" s="54">
        <f t="shared" si="121"/>
        <v>3</v>
      </c>
      <c r="U64" s="10">
        <f t="shared" si="122"/>
        <v>9</v>
      </c>
      <c r="V64" s="41">
        <v>46011</v>
      </c>
    </row>
    <row r="65" spans="1:24" x14ac:dyDescent="0.15">
      <c r="A65" s="21" t="s">
        <v>57</v>
      </c>
      <c r="B65" s="7">
        <v>1</v>
      </c>
      <c r="C65" s="8"/>
      <c r="D65" s="9"/>
      <c r="E65" s="10">
        <f t="shared" si="125"/>
        <v>1</v>
      </c>
      <c r="F65" s="7">
        <v>1</v>
      </c>
      <c r="G65" s="8"/>
      <c r="H65" s="9"/>
      <c r="I65" s="54">
        <f t="shared" si="126"/>
        <v>1</v>
      </c>
      <c r="J65" s="10">
        <f t="shared" si="96"/>
        <v>2</v>
      </c>
      <c r="K65" s="41">
        <v>46016</v>
      </c>
      <c r="L65" s="19" t="s">
        <v>77</v>
      </c>
      <c r="M65" s="7"/>
      <c r="N65" s="8">
        <v>3</v>
      </c>
      <c r="O65" s="9"/>
      <c r="P65" s="10">
        <f t="shared" si="120"/>
        <v>3</v>
      </c>
      <c r="Q65" s="7"/>
      <c r="R65" s="8"/>
      <c r="S65" s="9"/>
      <c r="T65" s="54">
        <f t="shared" si="121"/>
        <v>0</v>
      </c>
      <c r="U65" s="10">
        <f t="shared" si="122"/>
        <v>3</v>
      </c>
      <c r="V65" s="41">
        <v>46014</v>
      </c>
    </row>
    <row r="66" spans="1:24" x14ac:dyDescent="0.15">
      <c r="A66" s="21" t="s">
        <v>79</v>
      </c>
      <c r="B66" s="11">
        <v>1</v>
      </c>
      <c r="C66" s="12"/>
      <c r="D66" s="13"/>
      <c r="E66" s="10">
        <f t="shared" si="125"/>
        <v>1</v>
      </c>
      <c r="F66" s="11"/>
      <c r="G66" s="12"/>
      <c r="H66" s="13"/>
      <c r="I66" s="54">
        <f t="shared" si="126"/>
        <v>0</v>
      </c>
      <c r="J66" s="10">
        <f t="shared" si="96"/>
        <v>1</v>
      </c>
      <c r="K66" s="41">
        <v>46017</v>
      </c>
      <c r="L66" s="21" t="s">
        <v>78</v>
      </c>
      <c r="M66" s="7">
        <v>30</v>
      </c>
      <c r="N66" s="8"/>
      <c r="O66" s="9"/>
      <c r="P66" s="10">
        <f t="shared" si="120"/>
        <v>30</v>
      </c>
      <c r="Q66" s="7"/>
      <c r="R66" s="8">
        <v>30</v>
      </c>
      <c r="S66" s="9"/>
      <c r="T66" s="54">
        <f t="shared" si="121"/>
        <v>30</v>
      </c>
      <c r="U66" s="10">
        <f t="shared" si="122"/>
        <v>60</v>
      </c>
      <c r="V66" s="41">
        <v>46016</v>
      </c>
      <c r="W66" s="43"/>
    </row>
    <row r="67" spans="1:24" x14ac:dyDescent="0.15">
      <c r="A67" s="21" t="s">
        <v>47</v>
      </c>
      <c r="B67" s="7">
        <v>1</v>
      </c>
      <c r="C67" s="8"/>
      <c r="D67" s="9"/>
      <c r="E67" s="10">
        <f t="shared" si="125"/>
        <v>1</v>
      </c>
      <c r="F67" s="7"/>
      <c r="G67" s="8"/>
      <c r="H67" s="9"/>
      <c r="I67" s="54">
        <f t="shared" si="126"/>
        <v>0</v>
      </c>
      <c r="J67" s="10">
        <f t="shared" si="96"/>
        <v>1</v>
      </c>
      <c r="K67" s="47">
        <v>46027</v>
      </c>
      <c r="L67" s="88" t="s">
        <v>60</v>
      </c>
      <c r="M67" s="72">
        <v>3</v>
      </c>
      <c r="N67" s="73"/>
      <c r="O67" s="74"/>
      <c r="P67" s="75">
        <f t="shared" si="120"/>
        <v>3</v>
      </c>
      <c r="Q67" s="72"/>
      <c r="R67" s="73"/>
      <c r="S67" s="74"/>
      <c r="T67" s="76">
        <f t="shared" si="121"/>
        <v>0</v>
      </c>
      <c r="U67" s="75">
        <f t="shared" si="122"/>
        <v>3</v>
      </c>
      <c r="V67" s="77">
        <v>46029</v>
      </c>
      <c r="W67" s="43"/>
    </row>
    <row r="68" spans="1:24" x14ac:dyDescent="0.15">
      <c r="A68" s="21" t="s">
        <v>47</v>
      </c>
      <c r="B68" s="7">
        <v>1</v>
      </c>
      <c r="C68" s="8"/>
      <c r="D68" s="9"/>
      <c r="E68" s="10">
        <f t="shared" si="125"/>
        <v>1</v>
      </c>
      <c r="F68" s="7"/>
      <c r="G68" s="8">
        <v>1</v>
      </c>
      <c r="H68" s="9"/>
      <c r="I68" s="54">
        <f t="shared" si="126"/>
        <v>1</v>
      </c>
      <c r="J68" s="10">
        <f t="shared" si="96"/>
        <v>2</v>
      </c>
      <c r="K68" s="47">
        <v>46035</v>
      </c>
      <c r="L68" s="88" t="s">
        <v>60</v>
      </c>
      <c r="M68" s="72"/>
      <c r="N68" s="73"/>
      <c r="O68" s="74"/>
      <c r="P68" s="75">
        <f t="shared" si="120"/>
        <v>0</v>
      </c>
      <c r="Q68" s="72"/>
      <c r="R68" s="73">
        <v>3</v>
      </c>
      <c r="S68" s="74"/>
      <c r="T68" s="76">
        <f t="shared" si="121"/>
        <v>3</v>
      </c>
      <c r="U68" s="75">
        <f t="shared" si="122"/>
        <v>3</v>
      </c>
      <c r="V68" s="77">
        <v>46056</v>
      </c>
    </row>
    <row r="69" spans="1:24" x14ac:dyDescent="0.15">
      <c r="A69" s="21" t="s">
        <v>47</v>
      </c>
      <c r="B69" s="7"/>
      <c r="C69" s="8">
        <v>1</v>
      </c>
      <c r="D69" s="9"/>
      <c r="E69" s="10">
        <f t="shared" si="125"/>
        <v>1</v>
      </c>
      <c r="F69" s="7"/>
      <c r="G69" s="8">
        <v>1</v>
      </c>
      <c r="H69" s="9"/>
      <c r="I69" s="54">
        <f t="shared" si="126"/>
        <v>1</v>
      </c>
      <c r="J69" s="10">
        <f t="shared" si="96"/>
        <v>2</v>
      </c>
      <c r="K69" s="41">
        <v>46038</v>
      </c>
      <c r="L69" s="19"/>
      <c r="M69" s="7"/>
      <c r="N69" s="8"/>
      <c r="O69" s="9"/>
      <c r="P69" s="10">
        <f t="shared" si="120"/>
        <v>0</v>
      </c>
      <c r="Q69" s="7"/>
      <c r="R69" s="8"/>
      <c r="S69" s="9"/>
      <c r="T69" s="54">
        <f t="shared" si="121"/>
        <v>0</v>
      </c>
      <c r="U69" s="10">
        <f t="shared" si="122"/>
        <v>0</v>
      </c>
      <c r="V69" s="41"/>
    </row>
    <row r="70" spans="1:24" x14ac:dyDescent="0.15">
      <c r="A70" s="21" t="s">
        <v>47</v>
      </c>
      <c r="B70" s="7"/>
      <c r="C70" s="8"/>
      <c r="D70" s="9"/>
      <c r="E70" s="10">
        <f t="shared" si="125"/>
        <v>0</v>
      </c>
      <c r="F70" s="7"/>
      <c r="G70" s="8">
        <v>1</v>
      </c>
      <c r="H70" s="9"/>
      <c r="I70" s="54">
        <f t="shared" si="126"/>
        <v>1</v>
      </c>
      <c r="J70" s="10">
        <f t="shared" si="96"/>
        <v>1</v>
      </c>
      <c r="K70" s="41">
        <v>46041</v>
      </c>
      <c r="L70" s="19"/>
      <c r="M70" s="7"/>
      <c r="N70" s="8"/>
      <c r="O70" s="9"/>
      <c r="P70" s="10">
        <f t="shared" si="120"/>
        <v>0</v>
      </c>
      <c r="Q70" s="7"/>
      <c r="R70" s="8"/>
      <c r="S70" s="9"/>
      <c r="T70" s="54">
        <f t="shared" si="121"/>
        <v>0</v>
      </c>
      <c r="U70" s="10">
        <f t="shared" si="122"/>
        <v>0</v>
      </c>
      <c r="V70" s="41"/>
    </row>
    <row r="71" spans="1:24" x14ac:dyDescent="0.15">
      <c r="A71" s="21" t="s">
        <v>83</v>
      </c>
      <c r="B71" s="7">
        <v>-1</v>
      </c>
      <c r="C71" s="8"/>
      <c r="D71" s="9"/>
      <c r="E71" s="10">
        <f t="shared" si="125"/>
        <v>-1</v>
      </c>
      <c r="F71" s="7"/>
      <c r="G71" s="8"/>
      <c r="H71" s="9"/>
      <c r="I71" s="54">
        <f t="shared" si="126"/>
        <v>0</v>
      </c>
      <c r="J71" s="10">
        <f t="shared" si="96"/>
        <v>-1</v>
      </c>
      <c r="K71" s="41">
        <v>46041</v>
      </c>
      <c r="L71" s="19"/>
      <c r="M71" s="7"/>
      <c r="N71" s="8"/>
      <c r="O71" s="9"/>
      <c r="P71" s="10">
        <f t="shared" ref="P71" si="127">SUM(M71:O71)</f>
        <v>0</v>
      </c>
      <c r="Q71" s="7"/>
      <c r="R71" s="8"/>
      <c r="S71" s="9"/>
      <c r="T71" s="54">
        <f t="shared" ref="T71" si="128">SUM(Q71:S71)</f>
        <v>0</v>
      </c>
      <c r="U71" s="10">
        <f t="shared" ref="U71" si="129">P71+T71</f>
        <v>0</v>
      </c>
      <c r="V71" s="41"/>
      <c r="W71" s="43"/>
      <c r="X71" s="43"/>
    </row>
    <row r="72" spans="1:24" x14ac:dyDescent="0.15">
      <c r="A72" s="21" t="s">
        <v>83</v>
      </c>
      <c r="B72" s="7">
        <v>-6</v>
      </c>
      <c r="C72" s="8">
        <v>-2</v>
      </c>
      <c r="D72" s="9">
        <v>-1</v>
      </c>
      <c r="E72" s="10">
        <f t="shared" si="125"/>
        <v>-9</v>
      </c>
      <c r="F72" s="7">
        <v>-7</v>
      </c>
      <c r="G72" s="8">
        <v>-3</v>
      </c>
      <c r="H72" s="9">
        <v>-4</v>
      </c>
      <c r="I72" s="54">
        <f t="shared" si="126"/>
        <v>-14</v>
      </c>
      <c r="J72" s="10">
        <f t="shared" si="96"/>
        <v>-23</v>
      </c>
      <c r="K72" s="41">
        <v>46043</v>
      </c>
      <c r="L72" s="19"/>
      <c r="M72" s="7"/>
      <c r="N72" s="8"/>
      <c r="O72" s="9"/>
      <c r="P72" s="10">
        <f t="shared" ref="P72:P74" si="130">SUM(M72:O72)</f>
        <v>0</v>
      </c>
      <c r="Q72" s="7"/>
      <c r="R72" s="8"/>
      <c r="S72" s="9"/>
      <c r="T72" s="54">
        <f t="shared" ref="T72:T74" si="131">SUM(Q72:S72)</f>
        <v>0</v>
      </c>
      <c r="U72" s="10">
        <f t="shared" si="92"/>
        <v>0</v>
      </c>
      <c r="V72" s="41"/>
    </row>
    <row r="73" spans="1:24" x14ac:dyDescent="0.15">
      <c r="A73" s="21" t="s">
        <v>86</v>
      </c>
      <c r="B73" s="7">
        <v>9</v>
      </c>
      <c r="C73" s="8"/>
      <c r="D73" s="9">
        <v>9</v>
      </c>
      <c r="E73" s="10">
        <f t="shared" si="125"/>
        <v>18</v>
      </c>
      <c r="F73" s="7">
        <v>10</v>
      </c>
      <c r="G73" s="8">
        <v>10</v>
      </c>
      <c r="H73" s="9">
        <v>5</v>
      </c>
      <c r="I73" s="54">
        <f t="shared" si="126"/>
        <v>25</v>
      </c>
      <c r="J73" s="10">
        <f t="shared" si="96"/>
        <v>43</v>
      </c>
      <c r="K73" s="47">
        <v>46053</v>
      </c>
      <c r="L73" s="19"/>
      <c r="M73" s="7"/>
      <c r="N73" s="8"/>
      <c r="O73" s="9"/>
      <c r="P73" s="10">
        <f t="shared" si="130"/>
        <v>0</v>
      </c>
      <c r="Q73" s="7"/>
      <c r="R73" s="8"/>
      <c r="S73" s="9"/>
      <c r="T73" s="54">
        <f t="shared" si="131"/>
        <v>0</v>
      </c>
      <c r="U73" s="10">
        <f t="shared" si="92"/>
        <v>0</v>
      </c>
      <c r="V73" s="41"/>
    </row>
    <row r="74" spans="1:24" x14ac:dyDescent="0.15">
      <c r="A74" s="21" t="s">
        <v>47</v>
      </c>
      <c r="B74" s="7"/>
      <c r="C74" s="8">
        <v>1</v>
      </c>
      <c r="D74" s="9"/>
      <c r="E74" s="10">
        <f t="shared" si="125"/>
        <v>1</v>
      </c>
      <c r="F74" s="7"/>
      <c r="G74" s="8">
        <v>2</v>
      </c>
      <c r="H74" s="9"/>
      <c r="I74" s="54">
        <f t="shared" si="126"/>
        <v>2</v>
      </c>
      <c r="J74" s="10">
        <f t="shared" si="96"/>
        <v>3</v>
      </c>
      <c r="K74" s="41">
        <v>46055</v>
      </c>
      <c r="L74" s="19"/>
      <c r="M74" s="7"/>
      <c r="N74" s="8"/>
      <c r="O74" s="9"/>
      <c r="P74" s="10">
        <f t="shared" si="130"/>
        <v>0</v>
      </c>
      <c r="Q74" s="7"/>
      <c r="R74" s="8"/>
      <c r="S74" s="9"/>
      <c r="T74" s="54">
        <f t="shared" si="131"/>
        <v>0</v>
      </c>
      <c r="U74" s="10">
        <f t="shared" si="92"/>
        <v>0</v>
      </c>
      <c r="V74" s="41"/>
    </row>
    <row r="75" spans="1:24" x14ac:dyDescent="0.15">
      <c r="A75" s="18" t="s">
        <v>88</v>
      </c>
      <c r="B75" s="7"/>
      <c r="C75" s="8"/>
      <c r="D75" s="9"/>
      <c r="E75" s="10">
        <f t="shared" si="125"/>
        <v>0</v>
      </c>
      <c r="F75" s="7"/>
      <c r="G75" s="8">
        <v>-3</v>
      </c>
      <c r="H75" s="9"/>
      <c r="I75" s="54">
        <f t="shared" si="126"/>
        <v>-3</v>
      </c>
      <c r="J75" s="10">
        <f t="shared" si="96"/>
        <v>-3</v>
      </c>
      <c r="K75" s="41">
        <v>46056</v>
      </c>
      <c r="L75" s="19"/>
      <c r="M75" s="7"/>
      <c r="N75" s="8"/>
      <c r="O75" s="9"/>
      <c r="P75" s="10">
        <f t="shared" ref="P75" si="132">SUM(M75:O75)</f>
        <v>0</v>
      </c>
      <c r="Q75" s="7"/>
      <c r="R75" s="8"/>
      <c r="S75" s="9"/>
      <c r="T75" s="54">
        <f t="shared" ref="T75" si="133">SUM(Q75:S75)</f>
        <v>0</v>
      </c>
      <c r="U75" s="10">
        <f t="shared" ref="U75" si="134">P75+T75</f>
        <v>0</v>
      </c>
      <c r="V75" s="41"/>
    </row>
    <row r="76" spans="1:24" x14ac:dyDescent="0.15">
      <c r="A76" s="18" t="s">
        <v>90</v>
      </c>
      <c r="B76" s="7">
        <v>-1</v>
      </c>
      <c r="C76" s="8">
        <v>-2</v>
      </c>
      <c r="D76" s="9">
        <v>-2</v>
      </c>
      <c r="E76" s="10">
        <f t="shared" si="125"/>
        <v>-5</v>
      </c>
      <c r="F76" s="7">
        <v>-2</v>
      </c>
      <c r="G76" s="8">
        <v>-2</v>
      </c>
      <c r="H76" s="9">
        <v>-2</v>
      </c>
      <c r="I76" s="54">
        <f t="shared" si="126"/>
        <v>-6</v>
      </c>
      <c r="J76" s="10">
        <f t="shared" si="96"/>
        <v>-11</v>
      </c>
      <c r="K76" s="41">
        <v>46056</v>
      </c>
      <c r="L76" s="21" t="s">
        <v>41</v>
      </c>
      <c r="M76" s="7"/>
      <c r="N76" s="8"/>
      <c r="O76" s="9"/>
      <c r="P76" s="10">
        <f t="shared" ref="P76" si="135">SUM(M76:O76)</f>
        <v>0</v>
      </c>
      <c r="Q76" s="7"/>
      <c r="R76" s="8"/>
      <c r="S76" s="9"/>
      <c r="T76" s="54">
        <f t="shared" ref="T76" si="136">SUM(Q76:S76)</f>
        <v>0</v>
      </c>
      <c r="U76" s="10">
        <f t="shared" ref="U76" si="137">P76+T76</f>
        <v>0</v>
      </c>
      <c r="V76" s="43" t="s">
        <v>42</v>
      </c>
    </row>
    <row r="77" spans="1:24" x14ac:dyDescent="0.15">
      <c r="A77" s="21" t="s">
        <v>57</v>
      </c>
      <c r="B77" s="7"/>
      <c r="C77" s="8"/>
      <c r="D77" s="9">
        <v>1</v>
      </c>
      <c r="E77" s="10">
        <f t="shared" si="125"/>
        <v>1</v>
      </c>
      <c r="F77" s="7"/>
      <c r="G77" s="8"/>
      <c r="H77" s="9"/>
      <c r="I77" s="54">
        <f t="shared" si="126"/>
        <v>0</v>
      </c>
      <c r="J77" s="10">
        <f t="shared" si="96"/>
        <v>1</v>
      </c>
      <c r="K77" s="41">
        <v>46058</v>
      </c>
      <c r="L77" s="21" t="s">
        <v>29</v>
      </c>
      <c r="M77" s="7"/>
      <c r="N77" s="8"/>
      <c r="O77" s="9"/>
      <c r="P77" s="10">
        <f>SUM(M77:O77)</f>
        <v>0</v>
      </c>
      <c r="Q77" s="7"/>
      <c r="R77" s="8"/>
      <c r="S77" s="9"/>
      <c r="T77" s="54">
        <f>SUM(Q77:S77)</f>
        <v>0</v>
      </c>
      <c r="U77" s="10">
        <f>P77+T77</f>
        <v>0</v>
      </c>
      <c r="V77" s="43" t="s">
        <v>30</v>
      </c>
    </row>
    <row r="78" spans="1:24" x14ac:dyDescent="0.15">
      <c r="A78" s="21" t="s">
        <v>57</v>
      </c>
      <c r="B78" s="11"/>
      <c r="C78" s="12"/>
      <c r="D78" s="13"/>
      <c r="E78" s="10">
        <f t="shared" si="125"/>
        <v>0</v>
      </c>
      <c r="F78" s="11">
        <v>1</v>
      </c>
      <c r="G78" s="12"/>
      <c r="H78" s="13"/>
      <c r="I78" s="54">
        <f t="shared" si="126"/>
        <v>1</v>
      </c>
      <c r="J78" s="10">
        <f t="shared" si="96"/>
        <v>1</v>
      </c>
      <c r="K78" s="41">
        <v>46059</v>
      </c>
      <c r="L78" s="19" t="s">
        <v>48</v>
      </c>
      <c r="M78" s="7"/>
      <c r="N78" s="8"/>
      <c r="O78" s="9"/>
      <c r="P78" s="10">
        <f t="shared" ref="P78" si="138">SUM(M78:O78)</f>
        <v>0</v>
      </c>
      <c r="Q78" s="7"/>
      <c r="R78" s="8"/>
      <c r="S78" s="9"/>
      <c r="T78" s="54">
        <f t="shared" ref="T78" si="139">SUM(Q78:S78)</f>
        <v>0</v>
      </c>
      <c r="U78" s="10">
        <f t="shared" ref="U78" si="140">P78+T78</f>
        <v>0</v>
      </c>
      <c r="V78" s="41" t="s">
        <v>49</v>
      </c>
    </row>
    <row r="79" spans="1:24" x14ac:dyDescent="0.15">
      <c r="A79" s="21" t="s">
        <v>47</v>
      </c>
      <c r="B79" s="7"/>
      <c r="C79" s="8"/>
      <c r="D79" s="9"/>
      <c r="E79" s="10">
        <f t="shared" si="125"/>
        <v>0</v>
      </c>
      <c r="F79" s="7"/>
      <c r="G79" s="8">
        <v>1</v>
      </c>
      <c r="H79" s="9"/>
      <c r="I79" s="54">
        <f t="shared" si="126"/>
        <v>1</v>
      </c>
      <c r="J79" s="10">
        <f t="shared" si="96"/>
        <v>1</v>
      </c>
      <c r="K79" s="41">
        <v>46062</v>
      </c>
      <c r="L79" s="82" t="s">
        <v>44</v>
      </c>
      <c r="M79" s="83"/>
      <c r="N79" s="84"/>
      <c r="O79" s="85"/>
      <c r="P79" s="86">
        <f>SUM(M79:O79)</f>
        <v>0</v>
      </c>
      <c r="Q79" s="83"/>
      <c r="R79" s="84"/>
      <c r="S79" s="85"/>
      <c r="T79" s="87">
        <f>SUM(Q79:S79)</f>
        <v>0</v>
      </c>
      <c r="U79" s="86">
        <f>P79+T79</f>
        <v>0</v>
      </c>
      <c r="V79" s="43"/>
    </row>
    <row r="80" spans="1:24" x14ac:dyDescent="0.15">
      <c r="A80" s="19" t="s">
        <v>93</v>
      </c>
      <c r="B80" s="7">
        <v>-2</v>
      </c>
      <c r="C80" s="8"/>
      <c r="D80" s="9"/>
      <c r="E80" s="10">
        <f t="shared" si="125"/>
        <v>-2</v>
      </c>
      <c r="F80" s="7"/>
      <c r="G80" s="8"/>
      <c r="H80" s="9"/>
      <c r="I80" s="54">
        <f t="shared" si="126"/>
        <v>0</v>
      </c>
      <c r="J80" s="10">
        <f t="shared" si="96"/>
        <v>-2</v>
      </c>
      <c r="K80" s="41">
        <v>46062</v>
      </c>
      <c r="L80" s="21" t="s">
        <v>75</v>
      </c>
      <c r="M80" s="7"/>
      <c r="N80" s="8"/>
      <c r="O80" s="9"/>
      <c r="P80" s="10">
        <f t="shared" ref="P80:P82" si="141">SUM(M80:O80)</f>
        <v>0</v>
      </c>
      <c r="Q80" s="7"/>
      <c r="R80" s="8"/>
      <c r="S80" s="9"/>
      <c r="T80" s="54">
        <f t="shared" ref="T80:T82" si="142">SUM(Q80:S80)</f>
        <v>0</v>
      </c>
      <c r="U80" s="10">
        <f t="shared" ref="U80:U82" si="143">P80+T80</f>
        <v>0</v>
      </c>
      <c r="V80" s="43" t="s">
        <v>43</v>
      </c>
    </row>
    <row r="81" spans="1:23" x14ac:dyDescent="0.15">
      <c r="A81" s="48" t="s">
        <v>47</v>
      </c>
      <c r="B81" s="7"/>
      <c r="C81" s="8"/>
      <c r="D81" s="9"/>
      <c r="E81" s="10">
        <f t="shared" si="125"/>
        <v>0</v>
      </c>
      <c r="F81" s="7"/>
      <c r="G81" s="8">
        <v>1</v>
      </c>
      <c r="H81" s="9"/>
      <c r="I81" s="54">
        <f t="shared" si="126"/>
        <v>1</v>
      </c>
      <c r="J81" s="10">
        <f t="shared" si="96"/>
        <v>1</v>
      </c>
      <c r="K81" s="41">
        <v>46090</v>
      </c>
      <c r="L81" s="82" t="s">
        <v>33</v>
      </c>
      <c r="M81" s="83"/>
      <c r="N81" s="84"/>
      <c r="O81" s="85"/>
      <c r="P81" s="86">
        <f t="shared" si="141"/>
        <v>0</v>
      </c>
      <c r="Q81" s="83"/>
      <c r="R81" s="84"/>
      <c r="S81" s="85"/>
      <c r="T81" s="87">
        <f t="shared" si="142"/>
        <v>0</v>
      </c>
      <c r="U81" s="86">
        <f t="shared" si="143"/>
        <v>0</v>
      </c>
      <c r="V81" s="43"/>
    </row>
    <row r="82" spans="1:23" ht="14.25" thickBot="1" x14ac:dyDescent="0.2">
      <c r="A82" s="19"/>
      <c r="B82" s="7"/>
      <c r="C82" s="8"/>
      <c r="D82" s="9"/>
      <c r="E82" s="10">
        <f t="shared" si="125"/>
        <v>0</v>
      </c>
      <c r="F82" s="7"/>
      <c r="G82" s="8"/>
      <c r="H82" s="9"/>
      <c r="I82" s="54">
        <f t="shared" si="126"/>
        <v>0</v>
      </c>
      <c r="J82" s="16">
        <f t="shared" si="96"/>
        <v>0</v>
      </c>
      <c r="K82" s="47"/>
      <c r="L82" s="21" t="s">
        <v>32</v>
      </c>
      <c r="M82" s="7"/>
      <c r="N82" s="8"/>
      <c r="O82" s="9"/>
      <c r="P82" s="10">
        <f t="shared" si="141"/>
        <v>0</v>
      </c>
      <c r="Q82" s="7"/>
      <c r="R82" s="8"/>
      <c r="S82" s="9"/>
      <c r="T82" s="54">
        <f t="shared" si="142"/>
        <v>0</v>
      </c>
      <c r="U82" s="10">
        <f t="shared" si="143"/>
        <v>0</v>
      </c>
      <c r="V82" s="43" t="s">
        <v>34</v>
      </c>
    </row>
    <row r="83" spans="1:23" ht="14.25" thickBot="1" x14ac:dyDescent="0.2">
      <c r="A83" s="31" t="s">
        <v>17</v>
      </c>
      <c r="B83" s="32">
        <f>SUM(B57:B82)</f>
        <v>32</v>
      </c>
      <c r="C83" s="33">
        <f>SUM(C57:C82)</f>
        <v>25</v>
      </c>
      <c r="D83" s="34">
        <f>SUM(D57:D82)</f>
        <v>20</v>
      </c>
      <c r="E83" s="35">
        <f>SUM(B83:D83)</f>
        <v>77</v>
      </c>
      <c r="F83" s="32">
        <f>SUM(F57:F82)</f>
        <v>19</v>
      </c>
      <c r="G83" s="33">
        <f>SUM(G57:G82)</f>
        <v>13</v>
      </c>
      <c r="H83" s="34">
        <f>SUM(H57:H82)</f>
        <v>0</v>
      </c>
      <c r="I83" s="35">
        <f>SUM(F83:H83)</f>
        <v>32</v>
      </c>
      <c r="J83" s="36">
        <f t="shared" si="96"/>
        <v>109</v>
      </c>
      <c r="K83" s="30"/>
      <c r="L83" s="31" t="s">
        <v>17</v>
      </c>
      <c r="M83" s="32">
        <f>SUM(M57:M82)</f>
        <v>120</v>
      </c>
      <c r="N83" s="33">
        <f t="shared" ref="N83" si="144">SUM(N57:N82)</f>
        <v>86</v>
      </c>
      <c r="O83" s="34">
        <f t="shared" ref="O83" si="145">SUM(O57:O82)</f>
        <v>82</v>
      </c>
      <c r="P83" s="35">
        <f t="shared" ref="P83" si="146">SUM(P57:P82)</f>
        <v>288</v>
      </c>
      <c r="Q83" s="32">
        <f t="shared" ref="Q83" si="147">SUM(Q57:Q82)</f>
        <v>78</v>
      </c>
      <c r="R83" s="33">
        <f t="shared" ref="R83" si="148">SUM(R57:R82)</f>
        <v>113</v>
      </c>
      <c r="S83" s="34">
        <f t="shared" ref="S83" si="149">SUM(S57:S82)</f>
        <v>75</v>
      </c>
      <c r="T83" s="35">
        <f t="shared" ref="T83" si="150">SUM(T57:T82)</f>
        <v>266</v>
      </c>
      <c r="U83" s="36">
        <f t="shared" ref="U83" si="151">SUM(U57:U82)</f>
        <v>554</v>
      </c>
    </row>
    <row r="84" spans="1:23" ht="14.25" thickBot="1" x14ac:dyDescent="0.2">
      <c r="A84" s="17" t="s">
        <v>18</v>
      </c>
      <c r="B84" s="50">
        <f>B56-B83</f>
        <v>8</v>
      </c>
      <c r="C84" s="51">
        <f t="shared" ref="C84" si="152">C56-C83</f>
        <v>9</v>
      </c>
      <c r="D84" s="52">
        <f t="shared" ref="D84" si="153">D56-D83</f>
        <v>8</v>
      </c>
      <c r="E84" s="52">
        <f t="shared" ref="E84" si="154">E56-E83</f>
        <v>25</v>
      </c>
      <c r="F84" s="50">
        <f>F56-F83</f>
        <v>6</v>
      </c>
      <c r="G84" s="51">
        <f t="shared" ref="G84" si="155">G56-G83</f>
        <v>6</v>
      </c>
      <c r="H84" s="52">
        <f t="shared" ref="H84" si="156">H56-H83</f>
        <v>8</v>
      </c>
      <c r="I84" s="52">
        <f t="shared" ref="I84" si="157">I56-I83</f>
        <v>20</v>
      </c>
      <c r="J84" s="25">
        <f t="shared" si="96"/>
        <v>45</v>
      </c>
      <c r="L84" s="17" t="s">
        <v>18</v>
      </c>
      <c r="M84" s="50">
        <f>M56-M83</f>
        <v>664</v>
      </c>
      <c r="N84" s="51">
        <f t="shared" ref="N84" si="158">N56-N83</f>
        <v>643</v>
      </c>
      <c r="O84" s="52">
        <f t="shared" ref="O84" si="159">O56-O83</f>
        <v>309</v>
      </c>
      <c r="P84" s="52">
        <f t="shared" ref="P84" si="160">P56-P83</f>
        <v>1616</v>
      </c>
      <c r="Q84" s="50">
        <f t="shared" ref="Q84" si="161">Q56-Q83</f>
        <v>726</v>
      </c>
      <c r="R84" s="51">
        <f t="shared" ref="R84" si="162">R56-R83</f>
        <v>615</v>
      </c>
      <c r="S84" s="52">
        <f t="shared" ref="S84" si="163">S56-S83</f>
        <v>292</v>
      </c>
      <c r="T84" s="52">
        <f t="shared" ref="T84" si="164">T56-T83</f>
        <v>1633</v>
      </c>
      <c r="U84" s="25">
        <f t="shared" ref="U84" si="165">U56-U83</f>
        <v>3249</v>
      </c>
      <c r="W84" t="s">
        <v>28</v>
      </c>
    </row>
    <row r="87" spans="1:23" ht="19.5" thickBot="1" x14ac:dyDescent="0.25">
      <c r="A87" s="62" t="s">
        <v>54</v>
      </c>
      <c r="B87" s="63"/>
      <c r="C87" s="63"/>
      <c r="D87" s="63"/>
      <c r="E87" s="63"/>
      <c r="F87" s="1"/>
      <c r="G87" s="1"/>
      <c r="H87" s="1"/>
      <c r="I87" s="1"/>
      <c r="J87" s="1"/>
      <c r="L87" s="64" t="s">
        <v>53</v>
      </c>
      <c r="M87" s="65"/>
      <c r="N87" s="65"/>
      <c r="O87" s="65"/>
      <c r="P87" s="65"/>
      <c r="Q87" s="65"/>
      <c r="R87" s="65"/>
      <c r="S87" s="1"/>
      <c r="T87" s="1"/>
      <c r="U87" s="1"/>
    </row>
    <row r="88" spans="1:23" ht="14.25" thickBot="1" x14ac:dyDescent="0.2">
      <c r="A88" s="6" t="s">
        <v>0</v>
      </c>
      <c r="B88" s="92" t="s">
        <v>25</v>
      </c>
      <c r="C88" s="93"/>
      <c r="D88" s="93"/>
      <c r="E88" s="94"/>
      <c r="F88" s="95" t="s">
        <v>19</v>
      </c>
      <c r="G88" s="96"/>
      <c r="H88" s="96"/>
      <c r="I88" s="97"/>
      <c r="J88" s="98" t="s">
        <v>1</v>
      </c>
      <c r="L88" s="6" t="s">
        <v>0</v>
      </c>
      <c r="M88" s="92" t="s">
        <v>25</v>
      </c>
      <c r="N88" s="93"/>
      <c r="O88" s="93"/>
      <c r="P88" s="94"/>
      <c r="Q88" s="95" t="s">
        <v>19</v>
      </c>
      <c r="R88" s="96"/>
      <c r="S88" s="96"/>
      <c r="T88" s="97"/>
      <c r="U88" s="98" t="s">
        <v>1</v>
      </c>
    </row>
    <row r="89" spans="1:23" ht="14.25" thickBot="1" x14ac:dyDescent="0.2">
      <c r="A89" s="6" t="s">
        <v>2</v>
      </c>
      <c r="B89" s="2" t="s">
        <v>3</v>
      </c>
      <c r="C89" s="3" t="s">
        <v>4</v>
      </c>
      <c r="D89" s="4" t="s">
        <v>5</v>
      </c>
      <c r="E89" s="6" t="s">
        <v>6</v>
      </c>
      <c r="F89" s="2" t="s">
        <v>3</v>
      </c>
      <c r="G89" s="3" t="s">
        <v>4</v>
      </c>
      <c r="H89" s="4" t="s">
        <v>5</v>
      </c>
      <c r="I89" s="6" t="s">
        <v>6</v>
      </c>
      <c r="J89" s="99"/>
      <c r="L89" s="6" t="s">
        <v>2</v>
      </c>
      <c r="M89" s="56" t="s">
        <v>3</v>
      </c>
      <c r="N89" s="57" t="s">
        <v>4</v>
      </c>
      <c r="O89" s="58" t="s">
        <v>5</v>
      </c>
      <c r="P89" s="6" t="s">
        <v>6</v>
      </c>
      <c r="Q89" s="2" t="s">
        <v>3</v>
      </c>
      <c r="R89" s="3" t="s">
        <v>4</v>
      </c>
      <c r="S89" s="4" t="s">
        <v>5</v>
      </c>
      <c r="T89" s="6" t="s">
        <v>6</v>
      </c>
      <c r="U89" s="99"/>
    </row>
    <row r="90" spans="1:23" ht="14.25" thickBot="1" x14ac:dyDescent="0.2">
      <c r="A90" s="22" t="s">
        <v>18</v>
      </c>
      <c r="B90" s="23">
        <f>B84</f>
        <v>8</v>
      </c>
      <c r="C90" s="24">
        <f t="shared" ref="C90:D90" si="166">C84</f>
        <v>9</v>
      </c>
      <c r="D90" s="42">
        <f t="shared" si="166"/>
        <v>8</v>
      </c>
      <c r="E90" s="25">
        <f t="shared" ref="E90:E98" si="167">SUM(B90:D90)</f>
        <v>25</v>
      </c>
      <c r="F90" s="23">
        <f>F84</f>
        <v>6</v>
      </c>
      <c r="G90" s="24">
        <f t="shared" ref="G90:H90" si="168">G84</f>
        <v>6</v>
      </c>
      <c r="H90" s="42">
        <f t="shared" si="168"/>
        <v>8</v>
      </c>
      <c r="I90" s="25">
        <f t="shared" ref="I90:I98" si="169">SUM(F90:H90)</f>
        <v>20</v>
      </c>
      <c r="J90" s="25">
        <f>E90+I90</f>
        <v>45</v>
      </c>
      <c r="L90" s="22" t="s">
        <v>18</v>
      </c>
      <c r="M90" s="23">
        <f>M84</f>
        <v>664</v>
      </c>
      <c r="N90" s="24">
        <f t="shared" ref="N90:U90" si="170">N84</f>
        <v>643</v>
      </c>
      <c r="O90" s="42">
        <f t="shared" si="170"/>
        <v>309</v>
      </c>
      <c r="P90" s="55">
        <f t="shared" si="170"/>
        <v>1616</v>
      </c>
      <c r="Q90" s="23">
        <f t="shared" si="170"/>
        <v>726</v>
      </c>
      <c r="R90" s="24">
        <f t="shared" si="170"/>
        <v>615</v>
      </c>
      <c r="S90" s="42">
        <f t="shared" si="170"/>
        <v>292</v>
      </c>
      <c r="T90" s="29">
        <f t="shared" si="170"/>
        <v>1633</v>
      </c>
      <c r="U90" s="29">
        <f t="shared" si="170"/>
        <v>3249</v>
      </c>
    </row>
    <row r="91" spans="1:23" x14ac:dyDescent="0.15">
      <c r="A91" s="20" t="s">
        <v>96</v>
      </c>
      <c r="B91" s="14"/>
      <c r="C91" s="15"/>
      <c r="D91" s="37"/>
      <c r="E91" s="67">
        <f t="shared" si="167"/>
        <v>0</v>
      </c>
      <c r="F91" s="14">
        <v>2</v>
      </c>
      <c r="G91" s="15">
        <v>4</v>
      </c>
      <c r="H91" s="37">
        <v>2</v>
      </c>
      <c r="I91" s="68">
        <f t="shared" si="169"/>
        <v>8</v>
      </c>
      <c r="J91" s="67">
        <f t="shared" ref="J91:J98" si="171">E91+I91</f>
        <v>8</v>
      </c>
      <c r="K91" s="47">
        <v>46069</v>
      </c>
      <c r="L91" s="20" t="s">
        <v>8</v>
      </c>
      <c r="M91" s="44"/>
      <c r="N91" s="45"/>
      <c r="O91" s="66"/>
      <c r="P91" s="46">
        <f t="shared" ref="P91:P98" si="172">SUM(M91:O91)</f>
        <v>0</v>
      </c>
      <c r="Q91" s="44"/>
      <c r="R91" s="45"/>
      <c r="S91" s="66"/>
      <c r="T91" s="53">
        <f t="shared" ref="T91:T98" si="173">SUM(Q91:S91)</f>
        <v>0</v>
      </c>
      <c r="U91" s="46">
        <f t="shared" ref="U91:U98" si="174">P91+T91</f>
        <v>0</v>
      </c>
    </row>
    <row r="92" spans="1:23" x14ac:dyDescent="0.15">
      <c r="A92" s="20" t="s">
        <v>97</v>
      </c>
      <c r="B92" s="7">
        <v>0</v>
      </c>
      <c r="C92" s="8">
        <v>0</v>
      </c>
      <c r="D92" s="38">
        <v>0</v>
      </c>
      <c r="E92" s="10">
        <f t="shared" si="167"/>
        <v>0</v>
      </c>
      <c r="F92" s="7">
        <v>0</v>
      </c>
      <c r="G92" s="8">
        <v>0</v>
      </c>
      <c r="H92" s="38">
        <v>0</v>
      </c>
      <c r="I92" s="54">
        <f t="shared" si="169"/>
        <v>0</v>
      </c>
      <c r="J92" s="10">
        <f t="shared" si="171"/>
        <v>0</v>
      </c>
      <c r="K92" s="47">
        <v>46072</v>
      </c>
      <c r="L92" s="20" t="s">
        <v>89</v>
      </c>
      <c r="M92" s="7">
        <v>200</v>
      </c>
      <c r="N92" s="8">
        <v>200</v>
      </c>
      <c r="O92" s="38">
        <v>100</v>
      </c>
      <c r="P92" s="10">
        <f t="shared" si="172"/>
        <v>500</v>
      </c>
      <c r="Q92" s="7">
        <v>200</v>
      </c>
      <c r="R92" s="8">
        <v>200</v>
      </c>
      <c r="S92" s="38">
        <v>100</v>
      </c>
      <c r="T92" s="54">
        <f t="shared" si="173"/>
        <v>500</v>
      </c>
      <c r="U92" s="10">
        <f t="shared" si="174"/>
        <v>1000</v>
      </c>
      <c r="V92" s="41" t="s">
        <v>92</v>
      </c>
    </row>
    <row r="93" spans="1:23" x14ac:dyDescent="0.15">
      <c r="A93" s="20" t="s">
        <v>85</v>
      </c>
      <c r="B93" s="7">
        <v>3</v>
      </c>
      <c r="C93" s="8"/>
      <c r="D93" s="38">
        <v>1</v>
      </c>
      <c r="E93" s="10">
        <f t="shared" si="167"/>
        <v>4</v>
      </c>
      <c r="F93" s="7"/>
      <c r="G93" s="8">
        <v>3</v>
      </c>
      <c r="H93" s="38"/>
      <c r="I93" s="54">
        <f t="shared" si="169"/>
        <v>3</v>
      </c>
      <c r="J93" s="10">
        <f t="shared" si="171"/>
        <v>7</v>
      </c>
      <c r="K93" s="47">
        <v>46085</v>
      </c>
      <c r="L93" s="20" t="s">
        <v>91</v>
      </c>
      <c r="M93" s="7">
        <v>7</v>
      </c>
      <c r="N93" s="8">
        <v>-17</v>
      </c>
      <c r="O93" s="38">
        <v>-13</v>
      </c>
      <c r="P93" s="10">
        <f t="shared" si="172"/>
        <v>-23</v>
      </c>
      <c r="Q93" s="7">
        <v>18</v>
      </c>
      <c r="R93" s="8">
        <v>-2</v>
      </c>
      <c r="S93" s="38">
        <v>-16</v>
      </c>
      <c r="T93" s="54">
        <f t="shared" si="173"/>
        <v>0</v>
      </c>
      <c r="U93" s="10">
        <f t="shared" si="174"/>
        <v>-23</v>
      </c>
      <c r="V93" s="43" t="s">
        <v>84</v>
      </c>
    </row>
    <row r="94" spans="1:23" x14ac:dyDescent="0.15">
      <c r="A94" s="20" t="s">
        <v>81</v>
      </c>
      <c r="B94" s="7"/>
      <c r="C94" s="8"/>
      <c r="D94" s="38"/>
      <c r="E94" s="10">
        <f t="shared" si="167"/>
        <v>0</v>
      </c>
      <c r="F94" s="7"/>
      <c r="G94" s="8">
        <v>1</v>
      </c>
      <c r="H94" s="38"/>
      <c r="I94" s="54">
        <f t="shared" si="169"/>
        <v>1</v>
      </c>
      <c r="J94" s="10">
        <f t="shared" si="171"/>
        <v>1</v>
      </c>
      <c r="K94" s="47">
        <v>46094</v>
      </c>
      <c r="L94" s="20" t="s">
        <v>85</v>
      </c>
      <c r="M94" s="14">
        <v>10</v>
      </c>
      <c r="N94" s="15">
        <v>6</v>
      </c>
      <c r="O94" s="37">
        <v>14</v>
      </c>
      <c r="P94" s="67">
        <f t="shared" si="172"/>
        <v>30</v>
      </c>
      <c r="Q94" s="14">
        <v>9</v>
      </c>
      <c r="R94" s="15">
        <v>12</v>
      </c>
      <c r="S94" s="37">
        <v>15</v>
      </c>
      <c r="T94" s="10">
        <f t="shared" si="173"/>
        <v>36</v>
      </c>
      <c r="U94" s="10">
        <f t="shared" si="174"/>
        <v>66</v>
      </c>
      <c r="V94" s="41">
        <v>46073</v>
      </c>
    </row>
    <row r="95" spans="1:23" x14ac:dyDescent="0.15">
      <c r="A95" s="21" t="s">
        <v>40</v>
      </c>
      <c r="B95" s="7">
        <v>1</v>
      </c>
      <c r="C95" s="8"/>
      <c r="D95" s="9"/>
      <c r="E95" s="10">
        <f t="shared" si="167"/>
        <v>1</v>
      </c>
      <c r="F95" s="7"/>
      <c r="G95" s="8">
        <v>1</v>
      </c>
      <c r="H95" s="9"/>
      <c r="I95" s="54">
        <f t="shared" si="169"/>
        <v>1</v>
      </c>
      <c r="J95" s="10">
        <f t="shared" si="171"/>
        <v>2</v>
      </c>
      <c r="K95" s="47">
        <v>46098</v>
      </c>
      <c r="L95" s="20" t="s">
        <v>85</v>
      </c>
      <c r="M95" s="7">
        <v>52</v>
      </c>
      <c r="N95" s="8">
        <v>43</v>
      </c>
      <c r="O95" s="38">
        <v>40</v>
      </c>
      <c r="P95" s="10">
        <f t="shared" si="172"/>
        <v>135</v>
      </c>
      <c r="Q95" s="7">
        <v>46</v>
      </c>
      <c r="R95" s="8">
        <v>69</v>
      </c>
      <c r="S95" s="38">
        <v>44</v>
      </c>
      <c r="T95" s="54">
        <f t="shared" si="173"/>
        <v>159</v>
      </c>
      <c r="U95" s="10">
        <f t="shared" si="174"/>
        <v>294</v>
      </c>
      <c r="V95" s="41">
        <v>46073</v>
      </c>
    </row>
    <row r="96" spans="1:23" x14ac:dyDescent="0.15">
      <c r="A96" s="20" t="s">
        <v>100</v>
      </c>
      <c r="B96" s="7">
        <v>1</v>
      </c>
      <c r="C96" s="8"/>
      <c r="D96" s="38"/>
      <c r="E96" s="10">
        <f t="shared" si="167"/>
        <v>1</v>
      </c>
      <c r="F96" s="7">
        <v>1</v>
      </c>
      <c r="G96" s="8"/>
      <c r="H96" s="38">
        <v>1</v>
      </c>
      <c r="I96" s="54">
        <f t="shared" si="169"/>
        <v>2</v>
      </c>
      <c r="J96" s="10">
        <f t="shared" si="171"/>
        <v>3</v>
      </c>
      <c r="K96" s="47">
        <v>46104</v>
      </c>
      <c r="L96" s="20" t="s">
        <v>85</v>
      </c>
      <c r="M96" s="11">
        <v>15</v>
      </c>
      <c r="N96" s="12">
        <v>14</v>
      </c>
      <c r="O96" s="39">
        <v>15</v>
      </c>
      <c r="P96" s="10">
        <f t="shared" ref="P96:P97" si="175">SUM(M96:O96)</f>
        <v>44</v>
      </c>
      <c r="Q96" s="11">
        <v>15</v>
      </c>
      <c r="R96" s="12">
        <v>15</v>
      </c>
      <c r="S96" s="39">
        <v>15</v>
      </c>
      <c r="T96" s="54">
        <f t="shared" ref="T96:T97" si="176">SUM(Q96:S96)</f>
        <v>45</v>
      </c>
      <c r="U96" s="10">
        <f t="shared" ref="U96:U97" si="177">P96+T96</f>
        <v>89</v>
      </c>
      <c r="V96" s="41">
        <v>46073</v>
      </c>
      <c r="W96" s="43"/>
    </row>
    <row r="97" spans="1:23" x14ac:dyDescent="0.15">
      <c r="A97" s="21" t="s">
        <v>101</v>
      </c>
      <c r="B97" s="7">
        <v>1</v>
      </c>
      <c r="C97" s="8"/>
      <c r="D97" s="9"/>
      <c r="E97" s="10">
        <f t="shared" si="167"/>
        <v>1</v>
      </c>
      <c r="F97" s="7">
        <v>1</v>
      </c>
      <c r="G97" s="8"/>
      <c r="H97" s="9"/>
      <c r="I97" s="54">
        <f t="shared" si="169"/>
        <v>1</v>
      </c>
      <c r="J97" s="10">
        <f t="shared" si="171"/>
        <v>2</v>
      </c>
      <c r="K97" s="47">
        <v>46106</v>
      </c>
      <c r="L97" s="20" t="s">
        <v>85</v>
      </c>
      <c r="M97" s="11">
        <v>8</v>
      </c>
      <c r="N97" s="12">
        <v>6</v>
      </c>
      <c r="O97" s="39">
        <v>8</v>
      </c>
      <c r="P97" s="10">
        <f t="shared" si="175"/>
        <v>22</v>
      </c>
      <c r="Q97" s="11">
        <v>19</v>
      </c>
      <c r="R97" s="12">
        <v>21</v>
      </c>
      <c r="S97" s="39">
        <v>29</v>
      </c>
      <c r="T97" s="54">
        <f t="shared" si="176"/>
        <v>69</v>
      </c>
      <c r="U97" s="10">
        <f t="shared" si="177"/>
        <v>91</v>
      </c>
      <c r="V97" s="41">
        <v>46100</v>
      </c>
      <c r="W97" s="43"/>
    </row>
    <row r="98" spans="1:23" ht="14.25" thickBot="1" x14ac:dyDescent="0.2">
      <c r="A98" s="20" t="s">
        <v>85</v>
      </c>
      <c r="B98" s="26">
        <v>2</v>
      </c>
      <c r="C98" s="27">
        <v>3</v>
      </c>
      <c r="D98" s="40">
        <v>2</v>
      </c>
      <c r="E98" s="10">
        <f t="shared" si="167"/>
        <v>7</v>
      </c>
      <c r="F98" s="26">
        <v>1</v>
      </c>
      <c r="G98" s="27"/>
      <c r="H98" s="40"/>
      <c r="I98" s="54">
        <f t="shared" si="169"/>
        <v>1</v>
      </c>
      <c r="J98" s="16">
        <f t="shared" si="171"/>
        <v>8</v>
      </c>
      <c r="K98" s="47">
        <v>46155</v>
      </c>
      <c r="L98" s="20" t="s">
        <v>87</v>
      </c>
      <c r="M98" s="11">
        <v>3</v>
      </c>
      <c r="N98" s="12">
        <v>3</v>
      </c>
      <c r="O98" s="39"/>
      <c r="P98" s="10">
        <f t="shared" si="172"/>
        <v>6</v>
      </c>
      <c r="Q98" s="11">
        <v>2</v>
      </c>
      <c r="R98" s="12">
        <v>5</v>
      </c>
      <c r="S98" s="39">
        <v>2</v>
      </c>
      <c r="T98" s="54">
        <f t="shared" si="173"/>
        <v>9</v>
      </c>
      <c r="U98" s="91">
        <f t="shared" si="174"/>
        <v>15</v>
      </c>
      <c r="V98" s="41">
        <v>46102</v>
      </c>
    </row>
    <row r="99" spans="1:23" ht="14.25" thickBot="1" x14ac:dyDescent="0.2">
      <c r="A99" s="28" t="s">
        <v>16</v>
      </c>
      <c r="B99" s="23">
        <f>SUM(B90:B98)</f>
        <v>16</v>
      </c>
      <c r="C99" s="24">
        <f t="shared" ref="C99:J99" si="178">SUM(C90:C98)</f>
        <v>12</v>
      </c>
      <c r="D99" s="42">
        <f t="shared" si="178"/>
        <v>11</v>
      </c>
      <c r="E99" s="60">
        <f t="shared" si="178"/>
        <v>39</v>
      </c>
      <c r="F99" s="23">
        <f t="shared" si="178"/>
        <v>11</v>
      </c>
      <c r="G99" s="24">
        <f t="shared" si="178"/>
        <v>15</v>
      </c>
      <c r="H99" s="42">
        <f t="shared" si="178"/>
        <v>11</v>
      </c>
      <c r="I99" s="59">
        <f t="shared" si="178"/>
        <v>37</v>
      </c>
      <c r="J99" s="25">
        <f t="shared" si="178"/>
        <v>76</v>
      </c>
      <c r="L99" s="28" t="s">
        <v>16</v>
      </c>
      <c r="M99" s="23">
        <f>SUM(M90:M98)</f>
        <v>959</v>
      </c>
      <c r="N99" s="24">
        <f t="shared" ref="N99:U99" si="179">SUM(N90:N98)</f>
        <v>898</v>
      </c>
      <c r="O99" s="42">
        <f t="shared" si="179"/>
        <v>473</v>
      </c>
      <c r="P99" s="60">
        <f t="shared" si="179"/>
        <v>2330</v>
      </c>
      <c r="Q99" s="23">
        <f t="shared" si="179"/>
        <v>1035</v>
      </c>
      <c r="R99" s="24">
        <f t="shared" si="179"/>
        <v>935</v>
      </c>
      <c r="S99" s="42">
        <f t="shared" si="179"/>
        <v>481</v>
      </c>
      <c r="T99" s="59">
        <f t="shared" si="179"/>
        <v>2451</v>
      </c>
      <c r="U99" s="25">
        <f t="shared" si="179"/>
        <v>4781</v>
      </c>
    </row>
    <row r="100" spans="1:23" x14ac:dyDescent="0.15">
      <c r="A100" s="21" t="s">
        <v>99</v>
      </c>
      <c r="B100" s="7">
        <v>3</v>
      </c>
      <c r="C100" s="8">
        <v>3</v>
      </c>
      <c r="D100" s="9"/>
      <c r="E100" s="10">
        <f t="shared" ref="E100:E125" si="180">SUM(B100:D100)</f>
        <v>6</v>
      </c>
      <c r="F100" s="7">
        <v>2</v>
      </c>
      <c r="G100" s="8">
        <v>5</v>
      </c>
      <c r="H100" s="9">
        <v>2</v>
      </c>
      <c r="I100" s="54">
        <f t="shared" ref="I100:I125" si="181">SUM(F100:H100)</f>
        <v>9</v>
      </c>
      <c r="J100" s="10">
        <f t="shared" ref="J100:J127" si="182">E100+I100</f>
        <v>15</v>
      </c>
      <c r="K100" s="47">
        <v>46102</v>
      </c>
      <c r="L100" s="19" t="s">
        <v>94</v>
      </c>
      <c r="M100" s="7">
        <v>4</v>
      </c>
      <c r="N100" s="8"/>
      <c r="O100" s="9">
        <v>8</v>
      </c>
      <c r="P100" s="10">
        <f t="shared" ref="P100:P117" si="183">SUM(M100:O100)</f>
        <v>12</v>
      </c>
      <c r="Q100" s="7"/>
      <c r="R100" s="8">
        <v>4</v>
      </c>
      <c r="S100" s="9">
        <v>4</v>
      </c>
      <c r="T100" s="54">
        <f t="shared" ref="T100:T117" si="184">SUM(Q100:S100)</f>
        <v>8</v>
      </c>
      <c r="U100" s="10">
        <f t="shared" ref="U100:U117" si="185">P100+T100</f>
        <v>20</v>
      </c>
      <c r="V100" s="41">
        <v>46066</v>
      </c>
    </row>
    <row r="101" spans="1:23" x14ac:dyDescent="0.15">
      <c r="A101" s="21" t="s">
        <v>102</v>
      </c>
      <c r="B101" s="7"/>
      <c r="C101" s="8"/>
      <c r="D101" s="9">
        <v>-2</v>
      </c>
      <c r="E101" s="10">
        <f t="shared" si="180"/>
        <v>-2</v>
      </c>
      <c r="F101" s="7"/>
      <c r="G101" s="8"/>
      <c r="H101" s="9"/>
      <c r="I101" s="54">
        <f t="shared" si="181"/>
        <v>0</v>
      </c>
      <c r="J101" s="10">
        <f t="shared" si="182"/>
        <v>-2</v>
      </c>
      <c r="K101" s="47">
        <v>46104</v>
      </c>
      <c r="L101" s="19" t="s">
        <v>95</v>
      </c>
      <c r="M101" s="7">
        <v>4</v>
      </c>
      <c r="N101" s="8">
        <v>5</v>
      </c>
      <c r="O101" s="9"/>
      <c r="P101" s="10">
        <f t="shared" si="183"/>
        <v>9</v>
      </c>
      <c r="Q101" s="7">
        <v>5</v>
      </c>
      <c r="R101" s="8">
        <v>6</v>
      </c>
      <c r="S101" s="9">
        <v>2</v>
      </c>
      <c r="T101" s="54">
        <f t="shared" si="184"/>
        <v>13</v>
      </c>
      <c r="U101" s="10">
        <f t="shared" si="185"/>
        <v>22</v>
      </c>
      <c r="V101" s="41">
        <v>46070</v>
      </c>
    </row>
    <row r="102" spans="1:23" x14ac:dyDescent="0.15">
      <c r="A102" s="21" t="s">
        <v>103</v>
      </c>
      <c r="B102" s="7">
        <v>1</v>
      </c>
      <c r="C102" s="8"/>
      <c r="D102" s="9"/>
      <c r="E102" s="10">
        <f t="shared" si="180"/>
        <v>1</v>
      </c>
      <c r="F102" s="7">
        <v>1</v>
      </c>
      <c r="G102" s="8"/>
      <c r="H102" s="9"/>
      <c r="I102" s="54">
        <f t="shared" si="181"/>
        <v>1</v>
      </c>
      <c r="J102" s="10">
        <f t="shared" si="182"/>
        <v>2</v>
      </c>
      <c r="K102" s="47">
        <v>46115</v>
      </c>
      <c r="L102" s="19" t="s">
        <v>104</v>
      </c>
      <c r="M102" s="7"/>
      <c r="N102" s="8"/>
      <c r="O102" s="9">
        <v>-2</v>
      </c>
      <c r="P102" s="10">
        <f t="shared" si="183"/>
        <v>-2</v>
      </c>
      <c r="Q102" s="7"/>
      <c r="R102" s="8"/>
      <c r="S102" s="9"/>
      <c r="T102" s="54">
        <f t="shared" si="184"/>
        <v>0</v>
      </c>
      <c r="U102" s="10">
        <f t="shared" si="185"/>
        <v>-2</v>
      </c>
      <c r="V102" s="41">
        <v>46116</v>
      </c>
    </row>
    <row r="103" spans="1:23" x14ac:dyDescent="0.15">
      <c r="A103" s="21" t="s">
        <v>47</v>
      </c>
      <c r="B103" s="7"/>
      <c r="C103" s="8"/>
      <c r="D103" s="9"/>
      <c r="E103" s="10">
        <f t="shared" si="180"/>
        <v>0</v>
      </c>
      <c r="F103" s="7">
        <v>1</v>
      </c>
      <c r="G103" s="8"/>
      <c r="H103" s="9"/>
      <c r="I103" s="54">
        <f t="shared" si="181"/>
        <v>1</v>
      </c>
      <c r="J103" s="10">
        <f t="shared" si="182"/>
        <v>1</v>
      </c>
      <c r="K103" s="47">
        <v>46114</v>
      </c>
      <c r="L103" s="19" t="s">
        <v>104</v>
      </c>
      <c r="M103" s="7"/>
      <c r="N103" s="8"/>
      <c r="O103" s="9">
        <v>-4</v>
      </c>
      <c r="P103" s="10">
        <f t="shared" si="183"/>
        <v>-4</v>
      </c>
      <c r="Q103" s="7"/>
      <c r="R103" s="8">
        <v>-3</v>
      </c>
      <c r="S103" s="9">
        <v>-3</v>
      </c>
      <c r="T103" s="54">
        <f t="shared" si="184"/>
        <v>-6</v>
      </c>
      <c r="U103" s="10">
        <f t="shared" si="185"/>
        <v>-10</v>
      </c>
      <c r="V103" s="41">
        <v>46130</v>
      </c>
    </row>
    <row r="104" spans="1:23" x14ac:dyDescent="0.15">
      <c r="A104" s="21" t="s">
        <v>86</v>
      </c>
      <c r="B104" s="7"/>
      <c r="C104" s="8"/>
      <c r="D104" s="9">
        <v>2</v>
      </c>
      <c r="E104" s="10">
        <f t="shared" si="180"/>
        <v>2</v>
      </c>
      <c r="F104" s="7"/>
      <c r="G104" s="8"/>
      <c r="H104" s="9"/>
      <c r="I104" s="54">
        <f t="shared" si="181"/>
        <v>0</v>
      </c>
      <c r="J104" s="10">
        <f t="shared" si="182"/>
        <v>2</v>
      </c>
      <c r="K104" s="47">
        <v>46116</v>
      </c>
      <c r="L104" s="19"/>
      <c r="M104" s="7"/>
      <c r="N104" s="8"/>
      <c r="O104" s="9"/>
      <c r="P104" s="10">
        <f t="shared" si="183"/>
        <v>0</v>
      </c>
      <c r="Q104" s="7"/>
      <c r="R104" s="8"/>
      <c r="S104" s="9"/>
      <c r="T104" s="54">
        <f t="shared" si="184"/>
        <v>0</v>
      </c>
      <c r="U104" s="10">
        <f t="shared" si="185"/>
        <v>0</v>
      </c>
      <c r="V104" s="41"/>
    </row>
    <row r="105" spans="1:23" x14ac:dyDescent="0.15">
      <c r="A105" s="21" t="s">
        <v>105</v>
      </c>
      <c r="B105" s="7">
        <v>1</v>
      </c>
      <c r="C105" s="8"/>
      <c r="D105" s="9"/>
      <c r="E105" s="10">
        <f t="shared" si="180"/>
        <v>1</v>
      </c>
      <c r="F105" s="7"/>
      <c r="G105" s="8"/>
      <c r="H105" s="9"/>
      <c r="I105" s="54">
        <f t="shared" si="181"/>
        <v>0</v>
      </c>
      <c r="J105" s="10">
        <f t="shared" si="182"/>
        <v>1</v>
      </c>
      <c r="K105" s="47">
        <v>46128</v>
      </c>
      <c r="L105" s="19"/>
      <c r="M105" s="7"/>
      <c r="N105" s="8"/>
      <c r="O105" s="9"/>
      <c r="P105" s="10">
        <f t="shared" si="183"/>
        <v>0</v>
      </c>
      <c r="Q105" s="7"/>
      <c r="R105" s="8"/>
      <c r="S105" s="9"/>
      <c r="T105" s="54">
        <f t="shared" si="184"/>
        <v>0</v>
      </c>
      <c r="U105" s="10">
        <f t="shared" si="185"/>
        <v>0</v>
      </c>
      <c r="V105" s="41"/>
    </row>
    <row r="106" spans="1:23" x14ac:dyDescent="0.15">
      <c r="A106" s="21" t="s">
        <v>106</v>
      </c>
      <c r="B106" s="7"/>
      <c r="C106" s="8"/>
      <c r="D106" s="9">
        <v>4</v>
      </c>
      <c r="E106" s="10">
        <f t="shared" si="180"/>
        <v>4</v>
      </c>
      <c r="F106" s="7"/>
      <c r="G106" s="8">
        <v>3</v>
      </c>
      <c r="H106" s="9">
        <v>3</v>
      </c>
      <c r="I106" s="54">
        <f t="shared" si="181"/>
        <v>6</v>
      </c>
      <c r="J106" s="10">
        <f t="shared" si="182"/>
        <v>10</v>
      </c>
      <c r="K106" s="47">
        <v>46130</v>
      </c>
      <c r="L106" s="19"/>
      <c r="M106" s="7"/>
      <c r="N106" s="8"/>
      <c r="O106" s="9"/>
      <c r="P106" s="10">
        <f t="shared" si="183"/>
        <v>0</v>
      </c>
      <c r="Q106" s="7"/>
      <c r="R106" s="8"/>
      <c r="S106" s="9"/>
      <c r="T106" s="54">
        <f t="shared" si="184"/>
        <v>0</v>
      </c>
      <c r="U106" s="10">
        <f t="shared" si="185"/>
        <v>0</v>
      </c>
      <c r="V106" s="41"/>
    </row>
    <row r="107" spans="1:23" x14ac:dyDescent="0.15">
      <c r="A107" s="21" t="s">
        <v>47</v>
      </c>
      <c r="B107" s="7"/>
      <c r="C107" s="8"/>
      <c r="D107" s="9"/>
      <c r="E107" s="10">
        <f t="shared" si="180"/>
        <v>0</v>
      </c>
      <c r="F107" s="7"/>
      <c r="G107" s="8">
        <v>1</v>
      </c>
      <c r="H107" s="9"/>
      <c r="I107" s="54">
        <f t="shared" si="181"/>
        <v>1</v>
      </c>
      <c r="J107" s="10">
        <f t="shared" si="182"/>
        <v>1</v>
      </c>
      <c r="K107" s="47">
        <v>46135</v>
      </c>
      <c r="L107" s="19"/>
      <c r="M107" s="7"/>
      <c r="N107" s="8"/>
      <c r="O107" s="9"/>
      <c r="P107" s="10">
        <f t="shared" si="183"/>
        <v>0</v>
      </c>
      <c r="Q107" s="7"/>
      <c r="R107" s="8"/>
      <c r="S107" s="9"/>
      <c r="T107" s="54">
        <f t="shared" si="184"/>
        <v>0</v>
      </c>
      <c r="U107" s="10">
        <f t="shared" si="185"/>
        <v>0</v>
      </c>
      <c r="V107" s="41"/>
    </row>
    <row r="108" spans="1:23" x14ac:dyDescent="0.15">
      <c r="A108" s="21" t="s">
        <v>47</v>
      </c>
      <c r="B108" s="7"/>
      <c r="C108" s="8"/>
      <c r="D108" s="9"/>
      <c r="E108" s="10">
        <f t="shared" si="180"/>
        <v>0</v>
      </c>
      <c r="F108" s="7"/>
      <c r="G108" s="8">
        <v>1</v>
      </c>
      <c r="H108" s="9"/>
      <c r="I108" s="54">
        <f t="shared" si="181"/>
        <v>1</v>
      </c>
      <c r="J108" s="10">
        <f t="shared" si="182"/>
        <v>1</v>
      </c>
      <c r="K108" s="47">
        <v>46150</v>
      </c>
      <c r="L108" s="19"/>
      <c r="M108" s="7"/>
      <c r="N108" s="8"/>
      <c r="O108" s="9"/>
      <c r="P108" s="10">
        <f t="shared" si="183"/>
        <v>0</v>
      </c>
      <c r="Q108" s="7"/>
      <c r="R108" s="8"/>
      <c r="S108" s="9"/>
      <c r="T108" s="54">
        <f t="shared" si="184"/>
        <v>0</v>
      </c>
      <c r="U108" s="10">
        <f t="shared" si="185"/>
        <v>0</v>
      </c>
      <c r="V108" s="41"/>
    </row>
    <row r="109" spans="1:23" x14ac:dyDescent="0.15">
      <c r="A109" s="21"/>
      <c r="B109" s="11"/>
      <c r="C109" s="12"/>
      <c r="D109" s="13"/>
      <c r="E109" s="10">
        <f t="shared" si="180"/>
        <v>0</v>
      </c>
      <c r="F109" s="11"/>
      <c r="G109" s="12"/>
      <c r="H109" s="13"/>
      <c r="I109" s="54">
        <f t="shared" si="181"/>
        <v>0</v>
      </c>
      <c r="J109" s="10">
        <f t="shared" si="182"/>
        <v>0</v>
      </c>
      <c r="L109" s="19"/>
      <c r="M109" s="7"/>
      <c r="N109" s="8"/>
      <c r="O109" s="9"/>
      <c r="P109" s="10">
        <f t="shared" si="183"/>
        <v>0</v>
      </c>
      <c r="Q109" s="7"/>
      <c r="R109" s="8"/>
      <c r="S109" s="9"/>
      <c r="T109" s="54">
        <f t="shared" si="184"/>
        <v>0</v>
      </c>
      <c r="U109" s="10">
        <f t="shared" si="185"/>
        <v>0</v>
      </c>
      <c r="V109" s="41"/>
    </row>
    <row r="110" spans="1:23" x14ac:dyDescent="0.15">
      <c r="A110" s="21"/>
      <c r="B110" s="7"/>
      <c r="C110" s="8"/>
      <c r="D110" s="9"/>
      <c r="E110" s="10">
        <f t="shared" si="180"/>
        <v>0</v>
      </c>
      <c r="F110" s="7"/>
      <c r="G110" s="8"/>
      <c r="H110" s="9"/>
      <c r="I110" s="54">
        <f t="shared" si="181"/>
        <v>0</v>
      </c>
      <c r="J110" s="10">
        <f t="shared" si="182"/>
        <v>0</v>
      </c>
      <c r="L110" s="19"/>
      <c r="M110" s="7"/>
      <c r="N110" s="8"/>
      <c r="O110" s="9"/>
      <c r="P110" s="10">
        <f t="shared" si="183"/>
        <v>0</v>
      </c>
      <c r="Q110" s="7"/>
      <c r="R110" s="8"/>
      <c r="S110" s="9"/>
      <c r="T110" s="54">
        <f t="shared" si="184"/>
        <v>0</v>
      </c>
      <c r="U110" s="10">
        <f t="shared" si="185"/>
        <v>0</v>
      </c>
      <c r="V110" s="41"/>
    </row>
    <row r="111" spans="1:23" x14ac:dyDescent="0.15">
      <c r="A111" s="21"/>
      <c r="B111" s="7"/>
      <c r="C111" s="8"/>
      <c r="D111" s="9"/>
      <c r="E111" s="10">
        <f t="shared" si="180"/>
        <v>0</v>
      </c>
      <c r="F111" s="7"/>
      <c r="G111" s="8"/>
      <c r="H111" s="9"/>
      <c r="I111" s="54">
        <f t="shared" si="181"/>
        <v>0</v>
      </c>
      <c r="J111" s="10">
        <f t="shared" si="182"/>
        <v>0</v>
      </c>
      <c r="L111" s="19"/>
      <c r="M111" s="7"/>
      <c r="N111" s="8"/>
      <c r="O111" s="9"/>
      <c r="P111" s="10">
        <f t="shared" si="183"/>
        <v>0</v>
      </c>
      <c r="Q111" s="7"/>
      <c r="R111" s="8"/>
      <c r="S111" s="9"/>
      <c r="T111" s="54">
        <f t="shared" si="184"/>
        <v>0</v>
      </c>
      <c r="U111" s="10">
        <f t="shared" si="185"/>
        <v>0</v>
      </c>
      <c r="V111" s="41"/>
    </row>
    <row r="112" spans="1:23" x14ac:dyDescent="0.15">
      <c r="A112" s="19"/>
      <c r="B112" s="7"/>
      <c r="C112" s="8"/>
      <c r="D112" s="9"/>
      <c r="E112" s="10">
        <f t="shared" si="180"/>
        <v>0</v>
      </c>
      <c r="F112" s="7"/>
      <c r="G112" s="8"/>
      <c r="H112" s="9"/>
      <c r="I112" s="54">
        <f t="shared" si="181"/>
        <v>0</v>
      </c>
      <c r="J112" s="10">
        <f t="shared" si="182"/>
        <v>0</v>
      </c>
      <c r="L112" s="19"/>
      <c r="M112" s="7"/>
      <c r="N112" s="8"/>
      <c r="O112" s="9"/>
      <c r="P112" s="10">
        <f t="shared" si="183"/>
        <v>0</v>
      </c>
      <c r="Q112" s="7"/>
      <c r="R112" s="8"/>
      <c r="S112" s="9"/>
      <c r="T112" s="54">
        <f t="shared" si="184"/>
        <v>0</v>
      </c>
      <c r="U112" s="10">
        <f t="shared" si="185"/>
        <v>0</v>
      </c>
      <c r="V112" s="41"/>
    </row>
    <row r="113" spans="1:22" x14ac:dyDescent="0.15">
      <c r="A113" s="21"/>
      <c r="B113" s="7"/>
      <c r="C113" s="8"/>
      <c r="D113" s="9"/>
      <c r="E113" s="10">
        <f t="shared" si="180"/>
        <v>0</v>
      </c>
      <c r="F113" s="7"/>
      <c r="G113" s="8"/>
      <c r="H113" s="9"/>
      <c r="I113" s="54">
        <f t="shared" si="181"/>
        <v>0</v>
      </c>
      <c r="J113" s="10">
        <f t="shared" si="182"/>
        <v>0</v>
      </c>
      <c r="L113" s="19"/>
      <c r="M113" s="7"/>
      <c r="N113" s="8"/>
      <c r="O113" s="9"/>
      <c r="P113" s="10">
        <f t="shared" si="183"/>
        <v>0</v>
      </c>
      <c r="Q113" s="7"/>
      <c r="R113" s="8"/>
      <c r="S113" s="9"/>
      <c r="T113" s="54">
        <f t="shared" si="184"/>
        <v>0</v>
      </c>
      <c r="U113" s="10">
        <f t="shared" si="185"/>
        <v>0</v>
      </c>
      <c r="V113" s="41"/>
    </row>
    <row r="114" spans="1:22" x14ac:dyDescent="0.15">
      <c r="A114" s="21"/>
      <c r="B114" s="7"/>
      <c r="C114" s="8"/>
      <c r="D114" s="9"/>
      <c r="E114" s="10">
        <f t="shared" si="180"/>
        <v>0</v>
      </c>
      <c r="F114" s="7"/>
      <c r="G114" s="8"/>
      <c r="H114" s="9"/>
      <c r="I114" s="54">
        <f t="shared" si="181"/>
        <v>0</v>
      </c>
      <c r="J114" s="10">
        <f t="shared" si="182"/>
        <v>0</v>
      </c>
      <c r="L114" s="19"/>
      <c r="M114" s="7"/>
      <c r="N114" s="8"/>
      <c r="O114" s="9"/>
      <c r="P114" s="10">
        <f t="shared" si="183"/>
        <v>0</v>
      </c>
      <c r="Q114" s="7"/>
      <c r="R114" s="8"/>
      <c r="S114" s="9"/>
      <c r="T114" s="54">
        <f t="shared" si="184"/>
        <v>0</v>
      </c>
      <c r="U114" s="10">
        <f t="shared" si="185"/>
        <v>0</v>
      </c>
      <c r="V114" s="41"/>
    </row>
    <row r="115" spans="1:22" x14ac:dyDescent="0.15">
      <c r="A115" s="19"/>
      <c r="B115" s="7"/>
      <c r="C115" s="8"/>
      <c r="D115" s="9"/>
      <c r="E115" s="10">
        <f t="shared" si="180"/>
        <v>0</v>
      </c>
      <c r="F115" s="7"/>
      <c r="G115" s="8"/>
      <c r="H115" s="9"/>
      <c r="I115" s="54">
        <f t="shared" si="181"/>
        <v>0</v>
      </c>
      <c r="J115" s="10">
        <f t="shared" si="182"/>
        <v>0</v>
      </c>
      <c r="L115" s="19"/>
      <c r="M115" s="7"/>
      <c r="N115" s="8"/>
      <c r="O115" s="9"/>
      <c r="P115" s="10">
        <f t="shared" si="183"/>
        <v>0</v>
      </c>
      <c r="Q115" s="7"/>
      <c r="R115" s="8"/>
      <c r="S115" s="9"/>
      <c r="T115" s="54">
        <f t="shared" si="184"/>
        <v>0</v>
      </c>
      <c r="U115" s="10">
        <f t="shared" si="185"/>
        <v>0</v>
      </c>
      <c r="V115" s="41"/>
    </row>
    <row r="116" spans="1:22" x14ac:dyDescent="0.15">
      <c r="A116" s="21"/>
      <c r="B116" s="7"/>
      <c r="C116" s="8"/>
      <c r="D116" s="9"/>
      <c r="E116" s="10">
        <f t="shared" si="180"/>
        <v>0</v>
      </c>
      <c r="F116" s="7"/>
      <c r="G116" s="8"/>
      <c r="H116" s="9"/>
      <c r="I116" s="54">
        <f t="shared" si="181"/>
        <v>0</v>
      </c>
      <c r="J116" s="10">
        <f t="shared" si="182"/>
        <v>0</v>
      </c>
      <c r="L116" s="19"/>
      <c r="M116" s="7"/>
      <c r="N116" s="8"/>
      <c r="O116" s="9"/>
      <c r="P116" s="10">
        <f t="shared" si="183"/>
        <v>0</v>
      </c>
      <c r="Q116" s="7"/>
      <c r="R116" s="8"/>
      <c r="S116" s="9"/>
      <c r="T116" s="54">
        <f t="shared" si="184"/>
        <v>0</v>
      </c>
      <c r="U116" s="10">
        <f t="shared" si="185"/>
        <v>0</v>
      </c>
      <c r="V116" s="41"/>
    </row>
    <row r="117" spans="1:22" x14ac:dyDescent="0.15">
      <c r="A117" s="21"/>
      <c r="B117" s="7"/>
      <c r="C117" s="8"/>
      <c r="D117" s="9"/>
      <c r="E117" s="10">
        <f t="shared" si="180"/>
        <v>0</v>
      </c>
      <c r="F117" s="7"/>
      <c r="G117" s="8"/>
      <c r="H117" s="9"/>
      <c r="I117" s="54">
        <f t="shared" si="181"/>
        <v>0</v>
      </c>
      <c r="J117" s="10">
        <f t="shared" si="182"/>
        <v>0</v>
      </c>
      <c r="L117" s="19"/>
      <c r="M117" s="7"/>
      <c r="N117" s="8"/>
      <c r="O117" s="9"/>
      <c r="P117" s="10">
        <f t="shared" si="183"/>
        <v>0</v>
      </c>
      <c r="Q117" s="7"/>
      <c r="R117" s="8"/>
      <c r="S117" s="9"/>
      <c r="T117" s="54">
        <f t="shared" si="184"/>
        <v>0</v>
      </c>
      <c r="U117" s="10">
        <f t="shared" si="185"/>
        <v>0</v>
      </c>
      <c r="V117" s="41"/>
    </row>
    <row r="118" spans="1:22" x14ac:dyDescent="0.15">
      <c r="A118" s="18"/>
      <c r="B118" s="7"/>
      <c r="C118" s="8"/>
      <c r="D118" s="9"/>
      <c r="E118" s="10">
        <f t="shared" si="180"/>
        <v>0</v>
      </c>
      <c r="F118" s="7"/>
      <c r="G118" s="8"/>
      <c r="H118" s="9"/>
      <c r="I118" s="54">
        <f t="shared" si="181"/>
        <v>0</v>
      </c>
      <c r="J118" s="10">
        <f t="shared" si="182"/>
        <v>0</v>
      </c>
      <c r="L118" s="19"/>
      <c r="M118" s="7"/>
      <c r="N118" s="8"/>
      <c r="O118" s="9"/>
      <c r="P118" s="10">
        <f t="shared" ref="P118:P120" si="186">SUM(M118:O118)</f>
        <v>0</v>
      </c>
      <c r="Q118" s="7"/>
      <c r="R118" s="8"/>
      <c r="S118" s="9"/>
      <c r="T118" s="54">
        <f t="shared" ref="T118:T120" si="187">SUM(Q118:S118)</f>
        <v>0</v>
      </c>
      <c r="U118" s="10">
        <f t="shared" ref="U118:U120" si="188">P118+T118</f>
        <v>0</v>
      </c>
      <c r="V118" s="41"/>
    </row>
    <row r="119" spans="1:22" x14ac:dyDescent="0.15">
      <c r="A119" s="18"/>
      <c r="B119" s="7"/>
      <c r="C119" s="8"/>
      <c r="D119" s="9"/>
      <c r="E119" s="10">
        <f t="shared" si="180"/>
        <v>0</v>
      </c>
      <c r="F119" s="7"/>
      <c r="G119" s="8"/>
      <c r="H119" s="9"/>
      <c r="I119" s="54">
        <f t="shared" si="181"/>
        <v>0</v>
      </c>
      <c r="J119" s="10">
        <f t="shared" si="182"/>
        <v>0</v>
      </c>
      <c r="L119" s="19"/>
      <c r="M119" s="7"/>
      <c r="N119" s="8"/>
      <c r="O119" s="9"/>
      <c r="P119" s="10">
        <f t="shared" si="186"/>
        <v>0</v>
      </c>
      <c r="Q119" s="7"/>
      <c r="R119" s="8"/>
      <c r="S119" s="9"/>
      <c r="T119" s="54">
        <f t="shared" si="187"/>
        <v>0</v>
      </c>
      <c r="U119" s="10">
        <f t="shared" si="188"/>
        <v>0</v>
      </c>
      <c r="V119" s="41"/>
    </row>
    <row r="120" spans="1:22" x14ac:dyDescent="0.15">
      <c r="A120" s="18"/>
      <c r="B120" s="7"/>
      <c r="C120" s="8"/>
      <c r="D120" s="9"/>
      <c r="E120" s="10">
        <f t="shared" si="180"/>
        <v>0</v>
      </c>
      <c r="F120" s="7"/>
      <c r="G120" s="8"/>
      <c r="H120" s="9"/>
      <c r="I120" s="54">
        <f t="shared" si="181"/>
        <v>0</v>
      </c>
      <c r="J120" s="10">
        <f t="shared" si="182"/>
        <v>0</v>
      </c>
      <c r="L120" s="19"/>
      <c r="M120" s="7"/>
      <c r="N120" s="8"/>
      <c r="O120" s="9"/>
      <c r="P120" s="10">
        <f t="shared" si="186"/>
        <v>0</v>
      </c>
      <c r="Q120" s="7"/>
      <c r="R120" s="8"/>
      <c r="S120" s="9"/>
      <c r="T120" s="54">
        <f t="shared" si="187"/>
        <v>0</v>
      </c>
      <c r="U120" s="10">
        <f t="shared" si="188"/>
        <v>0</v>
      </c>
      <c r="V120" s="41"/>
    </row>
    <row r="121" spans="1:22" x14ac:dyDescent="0.15">
      <c r="A121" s="21"/>
      <c r="B121" s="11"/>
      <c r="C121" s="12"/>
      <c r="D121" s="13"/>
      <c r="E121" s="10">
        <f t="shared" si="180"/>
        <v>0</v>
      </c>
      <c r="F121" s="11"/>
      <c r="G121" s="12"/>
      <c r="H121" s="13"/>
      <c r="I121" s="54">
        <f t="shared" si="181"/>
        <v>0</v>
      </c>
      <c r="J121" s="10">
        <f t="shared" si="182"/>
        <v>0</v>
      </c>
      <c r="L121" s="19"/>
      <c r="M121" s="7"/>
      <c r="N121" s="8"/>
      <c r="O121" s="9"/>
      <c r="P121" s="10">
        <f t="shared" ref="P121:P125" si="189">SUM(M121:O121)</f>
        <v>0</v>
      </c>
      <c r="Q121" s="7"/>
      <c r="R121" s="8"/>
      <c r="S121" s="9"/>
      <c r="T121" s="54">
        <f t="shared" ref="T121:T125" si="190">SUM(Q121:S121)</f>
        <v>0</v>
      </c>
      <c r="U121" s="10">
        <f t="shared" ref="U121:U125" si="191">P121+T121</f>
        <v>0</v>
      </c>
      <c r="V121" s="41"/>
    </row>
    <row r="122" spans="1:22" x14ac:dyDescent="0.15">
      <c r="A122" s="21"/>
      <c r="B122" s="7"/>
      <c r="C122" s="8"/>
      <c r="D122" s="9"/>
      <c r="E122" s="10">
        <f t="shared" si="180"/>
        <v>0</v>
      </c>
      <c r="F122" s="7"/>
      <c r="G122" s="8"/>
      <c r="H122" s="9"/>
      <c r="I122" s="54">
        <f t="shared" si="181"/>
        <v>0</v>
      </c>
      <c r="J122" s="10">
        <f t="shared" si="182"/>
        <v>0</v>
      </c>
      <c r="L122" s="19"/>
      <c r="M122" s="7"/>
      <c r="N122" s="8"/>
      <c r="O122" s="9"/>
      <c r="P122" s="10">
        <f t="shared" si="189"/>
        <v>0</v>
      </c>
      <c r="Q122" s="7"/>
      <c r="R122" s="8"/>
      <c r="S122" s="9"/>
      <c r="T122" s="54">
        <f t="shared" si="190"/>
        <v>0</v>
      </c>
      <c r="U122" s="10">
        <f t="shared" si="191"/>
        <v>0</v>
      </c>
      <c r="V122" s="41"/>
    </row>
    <row r="123" spans="1:22" x14ac:dyDescent="0.15">
      <c r="A123" s="5"/>
      <c r="B123" s="7"/>
      <c r="C123" s="8"/>
      <c r="D123" s="9"/>
      <c r="E123" s="10">
        <f t="shared" si="180"/>
        <v>0</v>
      </c>
      <c r="F123" s="7"/>
      <c r="G123" s="8"/>
      <c r="H123" s="9"/>
      <c r="I123" s="54">
        <f t="shared" si="181"/>
        <v>0</v>
      </c>
      <c r="J123" s="10">
        <f t="shared" si="182"/>
        <v>0</v>
      </c>
      <c r="L123" s="19"/>
      <c r="M123" s="7"/>
      <c r="N123" s="8"/>
      <c r="O123" s="9"/>
      <c r="P123" s="10">
        <f t="shared" si="189"/>
        <v>0</v>
      </c>
      <c r="Q123" s="7"/>
      <c r="R123" s="8"/>
      <c r="S123" s="9"/>
      <c r="T123" s="54">
        <f t="shared" si="190"/>
        <v>0</v>
      </c>
      <c r="U123" s="10">
        <f t="shared" si="191"/>
        <v>0</v>
      </c>
      <c r="V123" s="41"/>
    </row>
    <row r="124" spans="1:22" x14ac:dyDescent="0.15">
      <c r="A124" s="48"/>
      <c r="B124" s="7"/>
      <c r="C124" s="8"/>
      <c r="D124" s="9"/>
      <c r="E124" s="10">
        <f t="shared" si="180"/>
        <v>0</v>
      </c>
      <c r="F124" s="7"/>
      <c r="G124" s="8"/>
      <c r="H124" s="9"/>
      <c r="I124" s="54">
        <f t="shared" si="181"/>
        <v>0</v>
      </c>
      <c r="J124" s="10">
        <f t="shared" si="182"/>
        <v>0</v>
      </c>
      <c r="L124" s="89" t="s">
        <v>67</v>
      </c>
      <c r="M124" s="83"/>
      <c r="N124" s="84"/>
      <c r="O124" s="85"/>
      <c r="P124" s="86">
        <f t="shared" si="189"/>
        <v>0</v>
      </c>
      <c r="Q124" s="83"/>
      <c r="R124" s="84"/>
      <c r="S124" s="85"/>
      <c r="T124" s="87">
        <f t="shared" si="190"/>
        <v>0</v>
      </c>
      <c r="U124" s="86">
        <f t="shared" si="191"/>
        <v>0</v>
      </c>
      <c r="V124" s="41"/>
    </row>
    <row r="125" spans="1:22" ht="14.25" thickBot="1" x14ac:dyDescent="0.2">
      <c r="A125" s="19"/>
      <c r="B125" s="7"/>
      <c r="C125" s="8"/>
      <c r="D125" s="9"/>
      <c r="E125" s="10">
        <f t="shared" si="180"/>
        <v>0</v>
      </c>
      <c r="F125" s="7"/>
      <c r="G125" s="8"/>
      <c r="H125" s="9"/>
      <c r="I125" s="54">
        <f t="shared" si="181"/>
        <v>0</v>
      </c>
      <c r="J125" s="16">
        <f t="shared" si="182"/>
        <v>0</v>
      </c>
      <c r="L125" s="19" t="s">
        <v>80</v>
      </c>
      <c r="M125" s="7"/>
      <c r="N125" s="8"/>
      <c r="O125" s="9"/>
      <c r="P125" s="10">
        <f t="shared" si="189"/>
        <v>0</v>
      </c>
      <c r="Q125" s="7"/>
      <c r="R125" s="8"/>
      <c r="S125" s="9"/>
      <c r="T125" s="54">
        <f t="shared" si="190"/>
        <v>0</v>
      </c>
      <c r="U125" s="10">
        <f t="shared" si="191"/>
        <v>0</v>
      </c>
      <c r="V125" s="41" t="s">
        <v>66</v>
      </c>
    </row>
    <row r="126" spans="1:22" ht="14.25" thickBot="1" x14ac:dyDescent="0.2">
      <c r="A126" s="31" t="s">
        <v>17</v>
      </c>
      <c r="B126" s="32">
        <f>SUM(B100:B125)</f>
        <v>5</v>
      </c>
      <c r="C126" s="33">
        <f>SUM(C100:C125)</f>
        <v>3</v>
      </c>
      <c r="D126" s="34">
        <f>SUM(D100:D125)</f>
        <v>4</v>
      </c>
      <c r="E126" s="35">
        <f>SUM(B126:D126)</f>
        <v>12</v>
      </c>
      <c r="F126" s="32">
        <f>SUM(F100:F125)</f>
        <v>4</v>
      </c>
      <c r="G126" s="33">
        <f>SUM(G100:G125)</f>
        <v>10</v>
      </c>
      <c r="H126" s="34">
        <f>SUM(H100:H125)</f>
        <v>5</v>
      </c>
      <c r="I126" s="35">
        <f>SUM(F126:H126)</f>
        <v>19</v>
      </c>
      <c r="J126" s="36">
        <f t="shared" si="182"/>
        <v>31</v>
      </c>
      <c r="L126" s="31" t="s">
        <v>17</v>
      </c>
      <c r="M126" s="32">
        <f>SUM(M100:M125)</f>
        <v>8</v>
      </c>
      <c r="N126" s="33">
        <f t="shared" ref="N126:U126" si="192">SUM(N100:N125)</f>
        <v>5</v>
      </c>
      <c r="O126" s="34">
        <f t="shared" si="192"/>
        <v>2</v>
      </c>
      <c r="P126" s="35">
        <f t="shared" si="192"/>
        <v>15</v>
      </c>
      <c r="Q126" s="32">
        <f t="shared" si="192"/>
        <v>5</v>
      </c>
      <c r="R126" s="33">
        <f t="shared" si="192"/>
        <v>7</v>
      </c>
      <c r="S126" s="34">
        <f t="shared" si="192"/>
        <v>3</v>
      </c>
      <c r="T126" s="35">
        <f t="shared" si="192"/>
        <v>15</v>
      </c>
      <c r="U126" s="36">
        <f t="shared" si="192"/>
        <v>30</v>
      </c>
    </row>
    <row r="127" spans="1:22" ht="14.25" thickBot="1" x14ac:dyDescent="0.2">
      <c r="A127" s="17" t="s">
        <v>18</v>
      </c>
      <c r="B127" s="50">
        <f>B99-B126</f>
        <v>11</v>
      </c>
      <c r="C127" s="51">
        <f t="shared" ref="C127:E127" si="193">C99-C126</f>
        <v>9</v>
      </c>
      <c r="D127" s="52">
        <f t="shared" si="193"/>
        <v>7</v>
      </c>
      <c r="E127" s="52">
        <f t="shared" si="193"/>
        <v>27</v>
      </c>
      <c r="F127" s="50">
        <f>F99-F126</f>
        <v>7</v>
      </c>
      <c r="G127" s="51">
        <f t="shared" ref="G127:I127" si="194">G99-G126</f>
        <v>5</v>
      </c>
      <c r="H127" s="52">
        <f t="shared" si="194"/>
        <v>6</v>
      </c>
      <c r="I127" s="52">
        <f t="shared" si="194"/>
        <v>18</v>
      </c>
      <c r="J127" s="25">
        <f t="shared" si="182"/>
        <v>45</v>
      </c>
      <c r="L127" s="17" t="s">
        <v>18</v>
      </c>
      <c r="M127" s="50">
        <f>M99-M126</f>
        <v>951</v>
      </c>
      <c r="N127" s="51">
        <f t="shared" ref="N127:U127" si="195">N99-N126</f>
        <v>893</v>
      </c>
      <c r="O127" s="52">
        <f t="shared" si="195"/>
        <v>471</v>
      </c>
      <c r="P127" s="52">
        <f t="shared" si="195"/>
        <v>2315</v>
      </c>
      <c r="Q127" s="50">
        <f t="shared" si="195"/>
        <v>1030</v>
      </c>
      <c r="R127" s="51">
        <f t="shared" si="195"/>
        <v>928</v>
      </c>
      <c r="S127" s="52">
        <f t="shared" si="195"/>
        <v>478</v>
      </c>
      <c r="T127" s="52">
        <f t="shared" si="195"/>
        <v>2436</v>
      </c>
      <c r="U127" s="25">
        <f t="shared" si="195"/>
        <v>4751</v>
      </c>
      <c r="V127" s="90" t="s">
        <v>98</v>
      </c>
    </row>
    <row r="130" spans="1:21" ht="19.5" thickBot="1" x14ac:dyDescent="0.25">
      <c r="A130" s="62" t="s">
        <v>54</v>
      </c>
      <c r="B130" s="63"/>
      <c r="C130" s="63"/>
      <c r="D130" s="63"/>
      <c r="E130" s="63"/>
      <c r="F130" s="1"/>
      <c r="G130" s="1"/>
      <c r="H130" s="1"/>
      <c r="I130" s="1"/>
      <c r="J130" s="1"/>
      <c r="L130" s="64" t="s">
        <v>53</v>
      </c>
      <c r="M130" s="65"/>
      <c r="N130" s="65"/>
      <c r="O130" s="65"/>
      <c r="P130" s="65"/>
      <c r="Q130" s="65"/>
      <c r="R130" s="65"/>
      <c r="S130" s="1"/>
      <c r="T130" s="1"/>
      <c r="U130" s="1"/>
    </row>
    <row r="131" spans="1:21" ht="14.25" thickBot="1" x14ac:dyDescent="0.2">
      <c r="A131" s="6" t="s">
        <v>0</v>
      </c>
      <c r="B131" s="92" t="s">
        <v>25</v>
      </c>
      <c r="C131" s="93"/>
      <c r="D131" s="93"/>
      <c r="E131" s="94"/>
      <c r="F131" s="95" t="s">
        <v>19</v>
      </c>
      <c r="G131" s="96"/>
      <c r="H131" s="96"/>
      <c r="I131" s="97"/>
      <c r="J131" s="98" t="s">
        <v>1</v>
      </c>
      <c r="L131" s="6" t="s">
        <v>0</v>
      </c>
      <c r="M131" s="92" t="s">
        <v>25</v>
      </c>
      <c r="N131" s="93"/>
      <c r="O131" s="93"/>
      <c r="P131" s="94"/>
      <c r="Q131" s="95" t="s">
        <v>19</v>
      </c>
      <c r="R131" s="96"/>
      <c r="S131" s="96"/>
      <c r="T131" s="97"/>
      <c r="U131" s="98" t="s">
        <v>1</v>
      </c>
    </row>
    <row r="132" spans="1:21" ht="14.25" thickBot="1" x14ac:dyDescent="0.2">
      <c r="A132" s="6" t="s">
        <v>2</v>
      </c>
      <c r="B132" s="2" t="s">
        <v>3</v>
      </c>
      <c r="C132" s="3" t="s">
        <v>4</v>
      </c>
      <c r="D132" s="4" t="s">
        <v>5</v>
      </c>
      <c r="E132" s="6" t="s">
        <v>6</v>
      </c>
      <c r="F132" s="2" t="s">
        <v>3</v>
      </c>
      <c r="G132" s="3" t="s">
        <v>4</v>
      </c>
      <c r="H132" s="4" t="s">
        <v>5</v>
      </c>
      <c r="I132" s="6" t="s">
        <v>6</v>
      </c>
      <c r="J132" s="99"/>
      <c r="L132" s="6" t="s">
        <v>2</v>
      </c>
      <c r="M132" s="56" t="s">
        <v>3</v>
      </c>
      <c r="N132" s="57" t="s">
        <v>4</v>
      </c>
      <c r="O132" s="58" t="s">
        <v>5</v>
      </c>
      <c r="P132" s="6" t="s">
        <v>6</v>
      </c>
      <c r="Q132" s="2" t="s">
        <v>3</v>
      </c>
      <c r="R132" s="3" t="s">
        <v>4</v>
      </c>
      <c r="S132" s="4" t="s">
        <v>5</v>
      </c>
      <c r="T132" s="6" t="s">
        <v>6</v>
      </c>
      <c r="U132" s="99"/>
    </row>
    <row r="133" spans="1:21" ht="14.25" thickBot="1" x14ac:dyDescent="0.2">
      <c r="A133" s="22" t="s">
        <v>18</v>
      </c>
      <c r="B133" s="23">
        <f>B127</f>
        <v>11</v>
      </c>
      <c r="C133" s="24">
        <f t="shared" ref="C133:D133" si="196">C127</f>
        <v>9</v>
      </c>
      <c r="D133" s="42">
        <f t="shared" si="196"/>
        <v>7</v>
      </c>
      <c r="E133" s="25">
        <f t="shared" ref="E133:E141" si="197">SUM(B133:D133)</f>
        <v>27</v>
      </c>
      <c r="F133" s="23">
        <f>F127</f>
        <v>7</v>
      </c>
      <c r="G133" s="24">
        <f t="shared" ref="G133:H133" si="198">G127</f>
        <v>5</v>
      </c>
      <c r="H133" s="42">
        <f t="shared" si="198"/>
        <v>6</v>
      </c>
      <c r="I133" s="25">
        <f t="shared" ref="I133:I141" si="199">SUM(F133:H133)</f>
        <v>18</v>
      </c>
      <c r="J133" s="25">
        <f>E133+I133</f>
        <v>45</v>
      </c>
      <c r="L133" s="22" t="s">
        <v>18</v>
      </c>
      <c r="M133" s="23">
        <f>M127</f>
        <v>951</v>
      </c>
      <c r="N133" s="24">
        <f t="shared" ref="N133:U133" si="200">N127</f>
        <v>893</v>
      </c>
      <c r="O133" s="42">
        <f t="shared" si="200"/>
        <v>471</v>
      </c>
      <c r="P133" s="55">
        <f t="shared" si="200"/>
        <v>2315</v>
      </c>
      <c r="Q133" s="23">
        <f t="shared" si="200"/>
        <v>1030</v>
      </c>
      <c r="R133" s="24">
        <f t="shared" si="200"/>
        <v>928</v>
      </c>
      <c r="S133" s="42">
        <f t="shared" si="200"/>
        <v>478</v>
      </c>
      <c r="T133" s="29">
        <f t="shared" si="200"/>
        <v>2436</v>
      </c>
      <c r="U133" s="29">
        <f t="shared" si="200"/>
        <v>4751</v>
      </c>
    </row>
    <row r="134" spans="1:21" x14ac:dyDescent="0.15">
      <c r="A134" s="20" t="s">
        <v>8</v>
      </c>
      <c r="B134" s="14"/>
      <c r="C134" s="15"/>
      <c r="D134" s="37"/>
      <c r="E134" s="67">
        <f t="shared" si="197"/>
        <v>0</v>
      </c>
      <c r="F134" s="14"/>
      <c r="G134" s="15"/>
      <c r="H134" s="37"/>
      <c r="I134" s="68">
        <f t="shared" si="199"/>
        <v>0</v>
      </c>
      <c r="J134" s="67">
        <f t="shared" ref="J134:J141" si="201">E134+I134</f>
        <v>0</v>
      </c>
      <c r="L134" s="20" t="s">
        <v>8</v>
      </c>
      <c r="M134" s="44"/>
      <c r="N134" s="45"/>
      <c r="O134" s="66"/>
      <c r="P134" s="46">
        <f t="shared" ref="P134:P141" si="202">SUM(M134:O134)</f>
        <v>0</v>
      </c>
      <c r="Q134" s="44"/>
      <c r="R134" s="45"/>
      <c r="S134" s="66"/>
      <c r="T134" s="53">
        <f t="shared" ref="T134:T141" si="203">SUM(Q134:S134)</f>
        <v>0</v>
      </c>
      <c r="U134" s="46">
        <f t="shared" ref="U134:U141" si="204">P134+T134</f>
        <v>0</v>
      </c>
    </row>
    <row r="135" spans="1:21" x14ac:dyDescent="0.15">
      <c r="A135" s="20" t="s">
        <v>9</v>
      </c>
      <c r="B135" s="7"/>
      <c r="C135" s="8"/>
      <c r="D135" s="38"/>
      <c r="E135" s="10">
        <f t="shared" si="197"/>
        <v>0</v>
      </c>
      <c r="F135" s="7"/>
      <c r="G135" s="8"/>
      <c r="H135" s="38"/>
      <c r="I135" s="54">
        <f t="shared" si="199"/>
        <v>0</v>
      </c>
      <c r="J135" s="10">
        <f t="shared" si="201"/>
        <v>0</v>
      </c>
      <c r="L135" s="20" t="s">
        <v>9</v>
      </c>
      <c r="M135" s="14"/>
      <c r="N135" s="15"/>
      <c r="O135" s="37"/>
      <c r="P135" s="67">
        <f t="shared" si="202"/>
        <v>0</v>
      </c>
      <c r="Q135" s="14"/>
      <c r="R135" s="15"/>
      <c r="S135" s="37"/>
      <c r="T135" s="10">
        <f t="shared" si="203"/>
        <v>0</v>
      </c>
      <c r="U135" s="10">
        <f t="shared" si="204"/>
        <v>0</v>
      </c>
    </row>
    <row r="136" spans="1:21" x14ac:dyDescent="0.15">
      <c r="A136" s="20" t="s">
        <v>10</v>
      </c>
      <c r="B136" s="7"/>
      <c r="C136" s="8"/>
      <c r="D136" s="38"/>
      <c r="E136" s="10">
        <f t="shared" si="197"/>
        <v>0</v>
      </c>
      <c r="F136" s="7"/>
      <c r="G136" s="8"/>
      <c r="H136" s="38"/>
      <c r="I136" s="54">
        <f t="shared" si="199"/>
        <v>0</v>
      </c>
      <c r="J136" s="10">
        <f t="shared" si="201"/>
        <v>0</v>
      </c>
      <c r="L136" s="20" t="s">
        <v>10</v>
      </c>
      <c r="M136" s="11"/>
      <c r="N136" s="12"/>
      <c r="O136" s="39"/>
      <c r="P136" s="10">
        <f t="shared" ref="P136:P139" si="205">SUM(M136:O136)</f>
        <v>0</v>
      </c>
      <c r="Q136" s="11"/>
      <c r="R136" s="12"/>
      <c r="S136" s="39"/>
      <c r="T136" s="54">
        <f t="shared" ref="T136:T139" si="206">SUM(Q136:S136)</f>
        <v>0</v>
      </c>
      <c r="U136" s="10">
        <f t="shared" ref="U136:U139" si="207">P136+T136</f>
        <v>0</v>
      </c>
    </row>
    <row r="137" spans="1:21" x14ac:dyDescent="0.15">
      <c r="A137" s="20" t="s">
        <v>11</v>
      </c>
      <c r="B137" s="7"/>
      <c r="C137" s="8"/>
      <c r="D137" s="38"/>
      <c r="E137" s="10">
        <f t="shared" si="197"/>
        <v>0</v>
      </c>
      <c r="F137" s="7"/>
      <c r="G137" s="8"/>
      <c r="H137" s="38"/>
      <c r="I137" s="54">
        <f t="shared" si="199"/>
        <v>0</v>
      </c>
      <c r="J137" s="10">
        <f t="shared" si="201"/>
        <v>0</v>
      </c>
      <c r="L137" s="20" t="s">
        <v>11</v>
      </c>
      <c r="M137" s="11"/>
      <c r="N137" s="12"/>
      <c r="O137" s="39"/>
      <c r="P137" s="10">
        <f t="shared" si="205"/>
        <v>0</v>
      </c>
      <c r="Q137" s="11"/>
      <c r="R137" s="12"/>
      <c r="S137" s="39"/>
      <c r="T137" s="54">
        <f t="shared" si="206"/>
        <v>0</v>
      </c>
      <c r="U137" s="10">
        <f t="shared" si="207"/>
        <v>0</v>
      </c>
    </row>
    <row r="138" spans="1:21" x14ac:dyDescent="0.15">
      <c r="A138" s="20" t="s">
        <v>12</v>
      </c>
      <c r="B138" s="7"/>
      <c r="C138" s="8"/>
      <c r="D138" s="38"/>
      <c r="E138" s="10">
        <f t="shared" si="197"/>
        <v>0</v>
      </c>
      <c r="F138" s="7"/>
      <c r="G138" s="8"/>
      <c r="H138" s="38"/>
      <c r="I138" s="54">
        <f t="shared" si="199"/>
        <v>0</v>
      </c>
      <c r="J138" s="10">
        <f t="shared" si="201"/>
        <v>0</v>
      </c>
      <c r="L138" s="20" t="s">
        <v>12</v>
      </c>
      <c r="M138" s="11"/>
      <c r="N138" s="12"/>
      <c r="O138" s="39"/>
      <c r="P138" s="10">
        <f t="shared" si="205"/>
        <v>0</v>
      </c>
      <c r="Q138" s="11"/>
      <c r="R138" s="12"/>
      <c r="S138" s="39"/>
      <c r="T138" s="54">
        <f t="shared" si="206"/>
        <v>0</v>
      </c>
      <c r="U138" s="10">
        <f t="shared" si="207"/>
        <v>0</v>
      </c>
    </row>
    <row r="139" spans="1:21" x14ac:dyDescent="0.15">
      <c r="A139" s="20" t="s">
        <v>13</v>
      </c>
      <c r="B139" s="7"/>
      <c r="C139" s="8"/>
      <c r="D139" s="38"/>
      <c r="E139" s="10">
        <f t="shared" si="197"/>
        <v>0</v>
      </c>
      <c r="F139" s="7"/>
      <c r="G139" s="8"/>
      <c r="H139" s="38"/>
      <c r="I139" s="54">
        <f t="shared" si="199"/>
        <v>0</v>
      </c>
      <c r="J139" s="10">
        <f t="shared" si="201"/>
        <v>0</v>
      </c>
      <c r="L139" s="20" t="s">
        <v>13</v>
      </c>
      <c r="M139" s="11"/>
      <c r="N139" s="12"/>
      <c r="O139" s="39"/>
      <c r="P139" s="10">
        <f t="shared" si="205"/>
        <v>0</v>
      </c>
      <c r="Q139" s="11"/>
      <c r="R139" s="12"/>
      <c r="S139" s="39"/>
      <c r="T139" s="54">
        <f t="shared" si="206"/>
        <v>0</v>
      </c>
      <c r="U139" s="10">
        <f t="shared" si="207"/>
        <v>0</v>
      </c>
    </row>
    <row r="140" spans="1:21" x14ac:dyDescent="0.15">
      <c r="A140" s="20" t="s">
        <v>14</v>
      </c>
      <c r="B140" s="11"/>
      <c r="C140" s="12"/>
      <c r="D140" s="39"/>
      <c r="E140" s="10">
        <f t="shared" si="197"/>
        <v>0</v>
      </c>
      <c r="F140" s="11"/>
      <c r="G140" s="12"/>
      <c r="H140" s="39"/>
      <c r="I140" s="54">
        <f t="shared" si="199"/>
        <v>0</v>
      </c>
      <c r="J140" s="10">
        <f t="shared" si="201"/>
        <v>0</v>
      </c>
      <c r="L140" s="20" t="s">
        <v>14</v>
      </c>
      <c r="M140" s="11"/>
      <c r="N140" s="12"/>
      <c r="O140" s="39"/>
      <c r="P140" s="10">
        <f t="shared" si="202"/>
        <v>0</v>
      </c>
      <c r="Q140" s="11"/>
      <c r="R140" s="12"/>
      <c r="S140" s="39"/>
      <c r="T140" s="54">
        <f t="shared" si="203"/>
        <v>0</v>
      </c>
      <c r="U140" s="10">
        <f t="shared" si="204"/>
        <v>0</v>
      </c>
    </row>
    <row r="141" spans="1:21" ht="14.25" thickBot="1" x14ac:dyDescent="0.2">
      <c r="A141" s="20" t="s">
        <v>15</v>
      </c>
      <c r="B141" s="26"/>
      <c r="C141" s="27"/>
      <c r="D141" s="40"/>
      <c r="E141" s="10">
        <f t="shared" si="197"/>
        <v>0</v>
      </c>
      <c r="F141" s="26"/>
      <c r="G141" s="27"/>
      <c r="H141" s="40"/>
      <c r="I141" s="54">
        <f t="shared" si="199"/>
        <v>0</v>
      </c>
      <c r="J141" s="16">
        <f t="shared" si="201"/>
        <v>0</v>
      </c>
      <c r="L141" s="20" t="s">
        <v>15</v>
      </c>
      <c r="M141" s="11"/>
      <c r="N141" s="12"/>
      <c r="O141" s="39"/>
      <c r="P141" s="10">
        <f t="shared" si="202"/>
        <v>0</v>
      </c>
      <c r="Q141" s="11"/>
      <c r="R141" s="12"/>
      <c r="S141" s="39"/>
      <c r="T141" s="54">
        <f t="shared" si="203"/>
        <v>0</v>
      </c>
      <c r="U141" s="16">
        <f t="shared" si="204"/>
        <v>0</v>
      </c>
    </row>
    <row r="142" spans="1:21" ht="14.25" thickBot="1" x14ac:dyDescent="0.2">
      <c r="A142" s="28" t="s">
        <v>16</v>
      </c>
      <c r="B142" s="23">
        <f>SUM(B133:B141)</f>
        <v>11</v>
      </c>
      <c r="C142" s="24">
        <f t="shared" ref="C142:J142" si="208">SUM(C133:C141)</f>
        <v>9</v>
      </c>
      <c r="D142" s="42">
        <f t="shared" si="208"/>
        <v>7</v>
      </c>
      <c r="E142" s="60">
        <f t="shared" si="208"/>
        <v>27</v>
      </c>
      <c r="F142" s="23">
        <f t="shared" si="208"/>
        <v>7</v>
      </c>
      <c r="G142" s="24">
        <f t="shared" si="208"/>
        <v>5</v>
      </c>
      <c r="H142" s="42">
        <f t="shared" si="208"/>
        <v>6</v>
      </c>
      <c r="I142" s="59">
        <f t="shared" si="208"/>
        <v>18</v>
      </c>
      <c r="J142" s="25">
        <f t="shared" si="208"/>
        <v>45</v>
      </c>
      <c r="L142" s="28" t="s">
        <v>16</v>
      </c>
      <c r="M142" s="23">
        <f>SUM(M133:M141)</f>
        <v>951</v>
      </c>
      <c r="N142" s="24">
        <f t="shared" ref="N142:U142" si="209">SUM(N133:N141)</f>
        <v>893</v>
      </c>
      <c r="O142" s="42">
        <f t="shared" si="209"/>
        <v>471</v>
      </c>
      <c r="P142" s="60">
        <f t="shared" si="209"/>
        <v>2315</v>
      </c>
      <c r="Q142" s="23">
        <f t="shared" si="209"/>
        <v>1030</v>
      </c>
      <c r="R142" s="24">
        <f t="shared" si="209"/>
        <v>928</v>
      </c>
      <c r="S142" s="42">
        <f t="shared" si="209"/>
        <v>478</v>
      </c>
      <c r="T142" s="59">
        <f t="shared" si="209"/>
        <v>2436</v>
      </c>
      <c r="U142" s="25">
        <f t="shared" si="209"/>
        <v>4751</v>
      </c>
    </row>
    <row r="143" spans="1:21" x14ac:dyDescent="0.15">
      <c r="A143" s="21"/>
      <c r="B143" s="7"/>
      <c r="C143" s="8"/>
      <c r="D143" s="9"/>
      <c r="E143" s="10">
        <f t="shared" ref="E143:E168" si="210">SUM(B143:D143)</f>
        <v>0</v>
      </c>
      <c r="F143" s="7"/>
      <c r="G143" s="8"/>
      <c r="H143" s="9"/>
      <c r="I143" s="54">
        <f t="shared" ref="I143:I168" si="211">SUM(F143:H143)</f>
        <v>0</v>
      </c>
      <c r="J143" s="10">
        <f t="shared" ref="J143:J170" si="212">E143+I143</f>
        <v>0</v>
      </c>
      <c r="L143" s="19"/>
      <c r="M143" s="7"/>
      <c r="N143" s="8"/>
      <c r="O143" s="9"/>
      <c r="P143" s="10">
        <f t="shared" ref="P143:P164" si="213">SUM(M143:O143)</f>
        <v>0</v>
      </c>
      <c r="Q143" s="7"/>
      <c r="R143" s="8"/>
      <c r="S143" s="9"/>
      <c r="T143" s="54">
        <f t="shared" ref="T143:T164" si="214">SUM(Q143:S143)</f>
        <v>0</v>
      </c>
      <c r="U143" s="10">
        <f t="shared" ref="U143:U164" si="215">P143+T143</f>
        <v>0</v>
      </c>
    </row>
    <row r="144" spans="1:21" x14ac:dyDescent="0.15">
      <c r="A144" s="21"/>
      <c r="B144" s="7"/>
      <c r="C144" s="8"/>
      <c r="D144" s="9"/>
      <c r="E144" s="10">
        <f t="shared" si="210"/>
        <v>0</v>
      </c>
      <c r="F144" s="7"/>
      <c r="G144" s="8"/>
      <c r="H144" s="9"/>
      <c r="I144" s="54">
        <f t="shared" si="211"/>
        <v>0</v>
      </c>
      <c r="J144" s="10">
        <f t="shared" si="212"/>
        <v>0</v>
      </c>
      <c r="L144" s="19"/>
      <c r="M144" s="7"/>
      <c r="N144" s="8"/>
      <c r="O144" s="9"/>
      <c r="P144" s="10">
        <f t="shared" si="213"/>
        <v>0</v>
      </c>
      <c r="Q144" s="7"/>
      <c r="R144" s="8"/>
      <c r="S144" s="9"/>
      <c r="T144" s="54">
        <f t="shared" si="214"/>
        <v>0</v>
      </c>
      <c r="U144" s="10">
        <f t="shared" si="215"/>
        <v>0</v>
      </c>
    </row>
    <row r="145" spans="1:21" x14ac:dyDescent="0.15">
      <c r="A145" s="21"/>
      <c r="B145" s="7"/>
      <c r="C145" s="8"/>
      <c r="D145" s="9"/>
      <c r="E145" s="10">
        <f t="shared" si="210"/>
        <v>0</v>
      </c>
      <c r="F145" s="7"/>
      <c r="G145" s="8"/>
      <c r="H145" s="9"/>
      <c r="I145" s="54">
        <f t="shared" si="211"/>
        <v>0</v>
      </c>
      <c r="J145" s="10">
        <f t="shared" si="212"/>
        <v>0</v>
      </c>
      <c r="L145" s="19"/>
      <c r="M145" s="7"/>
      <c r="N145" s="8"/>
      <c r="O145" s="9"/>
      <c r="P145" s="10">
        <f t="shared" si="213"/>
        <v>0</v>
      </c>
      <c r="Q145" s="7"/>
      <c r="R145" s="8"/>
      <c r="S145" s="9"/>
      <c r="T145" s="54">
        <f t="shared" si="214"/>
        <v>0</v>
      </c>
      <c r="U145" s="10">
        <f t="shared" si="215"/>
        <v>0</v>
      </c>
    </row>
    <row r="146" spans="1:21" x14ac:dyDescent="0.15">
      <c r="A146" s="21"/>
      <c r="B146" s="7"/>
      <c r="C146" s="8"/>
      <c r="D146" s="9"/>
      <c r="E146" s="10">
        <f t="shared" si="210"/>
        <v>0</v>
      </c>
      <c r="F146" s="7"/>
      <c r="G146" s="8"/>
      <c r="H146" s="9"/>
      <c r="I146" s="54">
        <f t="shared" si="211"/>
        <v>0</v>
      </c>
      <c r="J146" s="10">
        <f t="shared" si="212"/>
        <v>0</v>
      </c>
      <c r="L146" s="19"/>
      <c r="M146" s="7"/>
      <c r="N146" s="8"/>
      <c r="O146" s="9"/>
      <c r="P146" s="10">
        <f t="shared" si="213"/>
        <v>0</v>
      </c>
      <c r="Q146" s="7"/>
      <c r="R146" s="8"/>
      <c r="S146" s="9"/>
      <c r="T146" s="54">
        <f t="shared" si="214"/>
        <v>0</v>
      </c>
      <c r="U146" s="10">
        <f t="shared" si="215"/>
        <v>0</v>
      </c>
    </row>
    <row r="147" spans="1:21" x14ac:dyDescent="0.15">
      <c r="A147" s="21"/>
      <c r="B147" s="7"/>
      <c r="C147" s="8"/>
      <c r="D147" s="9"/>
      <c r="E147" s="10">
        <f t="shared" si="210"/>
        <v>0</v>
      </c>
      <c r="F147" s="7"/>
      <c r="G147" s="8"/>
      <c r="H147" s="9"/>
      <c r="I147" s="54">
        <f t="shared" si="211"/>
        <v>0</v>
      </c>
      <c r="J147" s="10">
        <f t="shared" si="212"/>
        <v>0</v>
      </c>
      <c r="L147" s="19"/>
      <c r="M147" s="7"/>
      <c r="N147" s="8"/>
      <c r="O147" s="9"/>
      <c r="P147" s="10">
        <f t="shared" si="213"/>
        <v>0</v>
      </c>
      <c r="Q147" s="7"/>
      <c r="R147" s="8"/>
      <c r="S147" s="9"/>
      <c r="T147" s="54">
        <f t="shared" si="214"/>
        <v>0</v>
      </c>
      <c r="U147" s="10">
        <f t="shared" si="215"/>
        <v>0</v>
      </c>
    </row>
    <row r="148" spans="1:21" x14ac:dyDescent="0.15">
      <c r="A148" s="21"/>
      <c r="B148" s="7"/>
      <c r="C148" s="8"/>
      <c r="D148" s="9"/>
      <c r="E148" s="10">
        <f t="shared" si="210"/>
        <v>0</v>
      </c>
      <c r="F148" s="7"/>
      <c r="G148" s="8"/>
      <c r="H148" s="9"/>
      <c r="I148" s="54">
        <f t="shared" si="211"/>
        <v>0</v>
      </c>
      <c r="J148" s="10">
        <f t="shared" si="212"/>
        <v>0</v>
      </c>
      <c r="L148" s="19"/>
      <c r="M148" s="7"/>
      <c r="N148" s="8"/>
      <c r="O148" s="9"/>
      <c r="P148" s="10">
        <f t="shared" si="213"/>
        <v>0</v>
      </c>
      <c r="Q148" s="7"/>
      <c r="R148" s="8"/>
      <c r="S148" s="9"/>
      <c r="T148" s="54">
        <f t="shared" si="214"/>
        <v>0</v>
      </c>
      <c r="U148" s="10">
        <f t="shared" si="215"/>
        <v>0</v>
      </c>
    </row>
    <row r="149" spans="1:21" x14ac:dyDescent="0.15">
      <c r="A149" s="21"/>
      <c r="B149" s="7"/>
      <c r="C149" s="8"/>
      <c r="D149" s="9"/>
      <c r="E149" s="10">
        <f t="shared" si="210"/>
        <v>0</v>
      </c>
      <c r="F149" s="7"/>
      <c r="G149" s="8"/>
      <c r="H149" s="9"/>
      <c r="I149" s="54">
        <f t="shared" si="211"/>
        <v>0</v>
      </c>
      <c r="J149" s="10">
        <f t="shared" si="212"/>
        <v>0</v>
      </c>
      <c r="L149" s="19"/>
      <c r="M149" s="7"/>
      <c r="N149" s="8"/>
      <c r="O149" s="9"/>
      <c r="P149" s="10">
        <f t="shared" si="213"/>
        <v>0</v>
      </c>
      <c r="Q149" s="7"/>
      <c r="R149" s="8"/>
      <c r="S149" s="9"/>
      <c r="T149" s="54">
        <f t="shared" si="214"/>
        <v>0</v>
      </c>
      <c r="U149" s="10">
        <f t="shared" si="215"/>
        <v>0</v>
      </c>
    </row>
    <row r="150" spans="1:21" x14ac:dyDescent="0.15">
      <c r="A150" s="21"/>
      <c r="B150" s="7"/>
      <c r="C150" s="8"/>
      <c r="D150" s="9"/>
      <c r="E150" s="10">
        <f t="shared" si="210"/>
        <v>0</v>
      </c>
      <c r="F150" s="7"/>
      <c r="G150" s="8"/>
      <c r="H150" s="9"/>
      <c r="I150" s="54">
        <f t="shared" si="211"/>
        <v>0</v>
      </c>
      <c r="J150" s="10">
        <f t="shared" si="212"/>
        <v>0</v>
      </c>
      <c r="L150" s="19"/>
      <c r="M150" s="7"/>
      <c r="N150" s="8"/>
      <c r="O150" s="9"/>
      <c r="P150" s="10">
        <f t="shared" si="213"/>
        <v>0</v>
      </c>
      <c r="Q150" s="7"/>
      <c r="R150" s="8"/>
      <c r="S150" s="9"/>
      <c r="T150" s="54">
        <f t="shared" si="214"/>
        <v>0</v>
      </c>
      <c r="U150" s="10">
        <f t="shared" si="215"/>
        <v>0</v>
      </c>
    </row>
    <row r="151" spans="1:21" x14ac:dyDescent="0.15">
      <c r="A151" s="21"/>
      <c r="B151" s="7"/>
      <c r="C151" s="8"/>
      <c r="D151" s="9"/>
      <c r="E151" s="10">
        <f t="shared" si="210"/>
        <v>0</v>
      </c>
      <c r="F151" s="7"/>
      <c r="G151" s="8"/>
      <c r="H151" s="9"/>
      <c r="I151" s="54">
        <f t="shared" si="211"/>
        <v>0</v>
      </c>
      <c r="J151" s="10">
        <f t="shared" si="212"/>
        <v>0</v>
      </c>
      <c r="L151" s="19"/>
      <c r="M151" s="7"/>
      <c r="N151" s="8"/>
      <c r="O151" s="9"/>
      <c r="P151" s="10">
        <f t="shared" si="213"/>
        <v>0</v>
      </c>
      <c r="Q151" s="7"/>
      <c r="R151" s="8"/>
      <c r="S151" s="9"/>
      <c r="T151" s="54">
        <f t="shared" si="214"/>
        <v>0</v>
      </c>
      <c r="U151" s="10">
        <f t="shared" si="215"/>
        <v>0</v>
      </c>
    </row>
    <row r="152" spans="1:21" x14ac:dyDescent="0.15">
      <c r="A152" s="21"/>
      <c r="B152" s="11"/>
      <c r="C152" s="12"/>
      <c r="D152" s="13"/>
      <c r="E152" s="10">
        <f t="shared" si="210"/>
        <v>0</v>
      </c>
      <c r="F152" s="11"/>
      <c r="G152" s="12"/>
      <c r="H152" s="13"/>
      <c r="I152" s="54">
        <f t="shared" si="211"/>
        <v>0</v>
      </c>
      <c r="J152" s="10">
        <f t="shared" si="212"/>
        <v>0</v>
      </c>
      <c r="L152" s="19"/>
      <c r="M152" s="7"/>
      <c r="N152" s="8"/>
      <c r="O152" s="9"/>
      <c r="P152" s="10">
        <f t="shared" si="213"/>
        <v>0</v>
      </c>
      <c r="Q152" s="7"/>
      <c r="R152" s="8"/>
      <c r="S152" s="9"/>
      <c r="T152" s="54">
        <f t="shared" si="214"/>
        <v>0</v>
      </c>
      <c r="U152" s="10">
        <f t="shared" si="215"/>
        <v>0</v>
      </c>
    </row>
    <row r="153" spans="1:21" x14ac:dyDescent="0.15">
      <c r="A153" s="21"/>
      <c r="B153" s="7"/>
      <c r="C153" s="8"/>
      <c r="D153" s="9"/>
      <c r="E153" s="10">
        <f t="shared" si="210"/>
        <v>0</v>
      </c>
      <c r="F153" s="7"/>
      <c r="G153" s="8"/>
      <c r="H153" s="9"/>
      <c r="I153" s="54">
        <f t="shared" si="211"/>
        <v>0</v>
      </c>
      <c r="J153" s="10">
        <f t="shared" si="212"/>
        <v>0</v>
      </c>
      <c r="L153" s="19"/>
      <c r="M153" s="7"/>
      <c r="N153" s="8"/>
      <c r="O153" s="9"/>
      <c r="P153" s="10">
        <f t="shared" si="213"/>
        <v>0</v>
      </c>
      <c r="Q153" s="7"/>
      <c r="R153" s="8"/>
      <c r="S153" s="9"/>
      <c r="T153" s="54">
        <f t="shared" si="214"/>
        <v>0</v>
      </c>
      <c r="U153" s="10">
        <f t="shared" si="215"/>
        <v>0</v>
      </c>
    </row>
    <row r="154" spans="1:21" x14ac:dyDescent="0.15">
      <c r="A154" s="21"/>
      <c r="B154" s="7"/>
      <c r="C154" s="8"/>
      <c r="D154" s="9"/>
      <c r="E154" s="10">
        <f t="shared" si="210"/>
        <v>0</v>
      </c>
      <c r="F154" s="7"/>
      <c r="G154" s="8"/>
      <c r="H154" s="9"/>
      <c r="I154" s="54">
        <f t="shared" si="211"/>
        <v>0</v>
      </c>
      <c r="J154" s="10">
        <f t="shared" si="212"/>
        <v>0</v>
      </c>
      <c r="L154" s="19"/>
      <c r="M154" s="7"/>
      <c r="N154" s="8"/>
      <c r="O154" s="9"/>
      <c r="P154" s="10">
        <f t="shared" si="213"/>
        <v>0</v>
      </c>
      <c r="Q154" s="7"/>
      <c r="R154" s="8"/>
      <c r="S154" s="9"/>
      <c r="T154" s="54">
        <f t="shared" si="214"/>
        <v>0</v>
      </c>
      <c r="U154" s="10">
        <f t="shared" si="215"/>
        <v>0</v>
      </c>
    </row>
    <row r="155" spans="1:21" x14ac:dyDescent="0.15">
      <c r="A155" s="19"/>
      <c r="B155" s="7"/>
      <c r="C155" s="8"/>
      <c r="D155" s="9"/>
      <c r="E155" s="10">
        <f t="shared" si="210"/>
        <v>0</v>
      </c>
      <c r="F155" s="7"/>
      <c r="G155" s="8"/>
      <c r="H155" s="9"/>
      <c r="I155" s="54">
        <f t="shared" si="211"/>
        <v>0</v>
      </c>
      <c r="J155" s="10">
        <f t="shared" si="212"/>
        <v>0</v>
      </c>
      <c r="L155" s="19"/>
      <c r="M155" s="7"/>
      <c r="N155" s="8"/>
      <c r="O155" s="9"/>
      <c r="P155" s="10">
        <f t="shared" si="213"/>
        <v>0</v>
      </c>
      <c r="Q155" s="7"/>
      <c r="R155" s="8"/>
      <c r="S155" s="9"/>
      <c r="T155" s="54">
        <f t="shared" si="214"/>
        <v>0</v>
      </c>
      <c r="U155" s="10">
        <f t="shared" si="215"/>
        <v>0</v>
      </c>
    </row>
    <row r="156" spans="1:21" x14ac:dyDescent="0.15">
      <c r="A156" s="21"/>
      <c r="B156" s="7"/>
      <c r="C156" s="8"/>
      <c r="D156" s="9"/>
      <c r="E156" s="10">
        <f t="shared" si="210"/>
        <v>0</v>
      </c>
      <c r="F156" s="7"/>
      <c r="G156" s="8"/>
      <c r="H156" s="9"/>
      <c r="I156" s="54">
        <f t="shared" si="211"/>
        <v>0</v>
      </c>
      <c r="J156" s="10">
        <f t="shared" si="212"/>
        <v>0</v>
      </c>
      <c r="L156" s="19"/>
      <c r="M156" s="7"/>
      <c r="N156" s="8"/>
      <c r="O156" s="9"/>
      <c r="P156" s="10">
        <f t="shared" si="213"/>
        <v>0</v>
      </c>
      <c r="Q156" s="7"/>
      <c r="R156" s="8"/>
      <c r="S156" s="9"/>
      <c r="T156" s="54">
        <f t="shared" si="214"/>
        <v>0</v>
      </c>
      <c r="U156" s="10">
        <f t="shared" si="215"/>
        <v>0</v>
      </c>
    </row>
    <row r="157" spans="1:21" x14ac:dyDescent="0.15">
      <c r="A157" s="21"/>
      <c r="B157" s="7"/>
      <c r="C157" s="8"/>
      <c r="D157" s="9"/>
      <c r="E157" s="10">
        <f t="shared" si="210"/>
        <v>0</v>
      </c>
      <c r="F157" s="7"/>
      <c r="G157" s="8"/>
      <c r="H157" s="9"/>
      <c r="I157" s="54">
        <f t="shared" si="211"/>
        <v>0</v>
      </c>
      <c r="J157" s="10">
        <f t="shared" si="212"/>
        <v>0</v>
      </c>
      <c r="L157" s="19"/>
      <c r="M157" s="7"/>
      <c r="N157" s="8"/>
      <c r="O157" s="9"/>
      <c r="P157" s="10">
        <f t="shared" si="213"/>
        <v>0</v>
      </c>
      <c r="Q157" s="7"/>
      <c r="R157" s="8"/>
      <c r="S157" s="9"/>
      <c r="T157" s="54">
        <f t="shared" si="214"/>
        <v>0</v>
      </c>
      <c r="U157" s="10">
        <f t="shared" si="215"/>
        <v>0</v>
      </c>
    </row>
    <row r="158" spans="1:21" x14ac:dyDescent="0.15">
      <c r="A158" s="19"/>
      <c r="B158" s="7"/>
      <c r="C158" s="8"/>
      <c r="D158" s="9"/>
      <c r="E158" s="10">
        <f t="shared" si="210"/>
        <v>0</v>
      </c>
      <c r="F158" s="7"/>
      <c r="G158" s="8"/>
      <c r="H158" s="9"/>
      <c r="I158" s="54">
        <f t="shared" si="211"/>
        <v>0</v>
      </c>
      <c r="J158" s="10">
        <f t="shared" si="212"/>
        <v>0</v>
      </c>
      <c r="L158" s="19"/>
      <c r="M158" s="7"/>
      <c r="N158" s="8"/>
      <c r="O158" s="9"/>
      <c r="P158" s="10">
        <f t="shared" si="213"/>
        <v>0</v>
      </c>
      <c r="Q158" s="7"/>
      <c r="R158" s="8"/>
      <c r="S158" s="9"/>
      <c r="T158" s="54">
        <f t="shared" si="214"/>
        <v>0</v>
      </c>
      <c r="U158" s="10">
        <f t="shared" si="215"/>
        <v>0</v>
      </c>
    </row>
    <row r="159" spans="1:21" x14ac:dyDescent="0.15">
      <c r="A159" s="21"/>
      <c r="B159" s="7"/>
      <c r="C159" s="8"/>
      <c r="D159" s="9"/>
      <c r="E159" s="10">
        <f t="shared" si="210"/>
        <v>0</v>
      </c>
      <c r="F159" s="7"/>
      <c r="G159" s="8"/>
      <c r="H159" s="9"/>
      <c r="I159" s="54">
        <f t="shared" si="211"/>
        <v>0</v>
      </c>
      <c r="J159" s="10">
        <f t="shared" si="212"/>
        <v>0</v>
      </c>
      <c r="L159" s="19"/>
      <c r="M159" s="7"/>
      <c r="N159" s="8"/>
      <c r="O159" s="9"/>
      <c r="P159" s="10">
        <f t="shared" si="213"/>
        <v>0</v>
      </c>
      <c r="Q159" s="7"/>
      <c r="R159" s="8"/>
      <c r="S159" s="9"/>
      <c r="T159" s="54">
        <f t="shared" si="214"/>
        <v>0</v>
      </c>
      <c r="U159" s="10">
        <f t="shared" si="215"/>
        <v>0</v>
      </c>
    </row>
    <row r="160" spans="1:21" x14ac:dyDescent="0.15">
      <c r="A160" s="21"/>
      <c r="B160" s="7"/>
      <c r="C160" s="8"/>
      <c r="D160" s="9"/>
      <c r="E160" s="10">
        <f t="shared" si="210"/>
        <v>0</v>
      </c>
      <c r="F160" s="7"/>
      <c r="G160" s="8"/>
      <c r="H160" s="9"/>
      <c r="I160" s="54">
        <f t="shared" si="211"/>
        <v>0</v>
      </c>
      <c r="J160" s="10">
        <f t="shared" si="212"/>
        <v>0</v>
      </c>
      <c r="L160" s="19"/>
      <c r="M160" s="7"/>
      <c r="N160" s="8"/>
      <c r="O160" s="9"/>
      <c r="P160" s="10">
        <f t="shared" si="213"/>
        <v>0</v>
      </c>
      <c r="Q160" s="7"/>
      <c r="R160" s="8"/>
      <c r="S160" s="9"/>
      <c r="T160" s="54">
        <f t="shared" si="214"/>
        <v>0</v>
      </c>
      <c r="U160" s="10">
        <f t="shared" si="215"/>
        <v>0</v>
      </c>
    </row>
    <row r="161" spans="1:21" x14ac:dyDescent="0.15">
      <c r="A161" s="18"/>
      <c r="B161" s="7"/>
      <c r="C161" s="8"/>
      <c r="D161" s="9"/>
      <c r="E161" s="10">
        <f t="shared" si="210"/>
        <v>0</v>
      </c>
      <c r="F161" s="7"/>
      <c r="G161" s="8"/>
      <c r="H161" s="9"/>
      <c r="I161" s="54">
        <f t="shared" si="211"/>
        <v>0</v>
      </c>
      <c r="J161" s="10">
        <f t="shared" si="212"/>
        <v>0</v>
      </c>
      <c r="L161" s="19"/>
      <c r="M161" s="7"/>
      <c r="N161" s="8"/>
      <c r="O161" s="9"/>
      <c r="P161" s="10">
        <f t="shared" si="213"/>
        <v>0</v>
      </c>
      <c r="Q161" s="7"/>
      <c r="R161" s="8"/>
      <c r="S161" s="9"/>
      <c r="T161" s="54">
        <f t="shared" si="214"/>
        <v>0</v>
      </c>
      <c r="U161" s="10">
        <f t="shared" si="215"/>
        <v>0</v>
      </c>
    </row>
    <row r="162" spans="1:21" x14ac:dyDescent="0.15">
      <c r="A162" s="18"/>
      <c r="B162" s="7"/>
      <c r="C162" s="8"/>
      <c r="D162" s="9"/>
      <c r="E162" s="10">
        <f t="shared" si="210"/>
        <v>0</v>
      </c>
      <c r="F162" s="7"/>
      <c r="G162" s="8"/>
      <c r="H162" s="9"/>
      <c r="I162" s="54">
        <f t="shared" si="211"/>
        <v>0</v>
      </c>
      <c r="J162" s="10">
        <f t="shared" si="212"/>
        <v>0</v>
      </c>
      <c r="L162" s="19"/>
      <c r="M162" s="7"/>
      <c r="N162" s="8"/>
      <c r="O162" s="9"/>
      <c r="P162" s="10">
        <f t="shared" si="213"/>
        <v>0</v>
      </c>
      <c r="Q162" s="7"/>
      <c r="R162" s="8"/>
      <c r="S162" s="9"/>
      <c r="T162" s="54">
        <f t="shared" si="214"/>
        <v>0</v>
      </c>
      <c r="U162" s="10">
        <f t="shared" si="215"/>
        <v>0</v>
      </c>
    </row>
    <row r="163" spans="1:21" x14ac:dyDescent="0.15">
      <c r="A163" s="18"/>
      <c r="B163" s="7"/>
      <c r="C163" s="8"/>
      <c r="D163" s="9"/>
      <c r="E163" s="10">
        <f t="shared" si="210"/>
        <v>0</v>
      </c>
      <c r="F163" s="7"/>
      <c r="G163" s="8"/>
      <c r="H163" s="9"/>
      <c r="I163" s="54">
        <f t="shared" si="211"/>
        <v>0</v>
      </c>
      <c r="J163" s="10">
        <f t="shared" si="212"/>
        <v>0</v>
      </c>
      <c r="L163" s="19"/>
      <c r="M163" s="7"/>
      <c r="N163" s="8"/>
      <c r="O163" s="9"/>
      <c r="P163" s="10">
        <f t="shared" si="213"/>
        <v>0</v>
      </c>
      <c r="Q163" s="7"/>
      <c r="R163" s="8"/>
      <c r="S163" s="9"/>
      <c r="T163" s="54">
        <f t="shared" si="214"/>
        <v>0</v>
      </c>
      <c r="U163" s="10">
        <f t="shared" si="215"/>
        <v>0</v>
      </c>
    </row>
    <row r="164" spans="1:21" x14ac:dyDescent="0.15">
      <c r="A164" s="21"/>
      <c r="B164" s="11"/>
      <c r="C164" s="12"/>
      <c r="D164" s="13"/>
      <c r="E164" s="10">
        <f t="shared" si="210"/>
        <v>0</v>
      </c>
      <c r="F164" s="11"/>
      <c r="G164" s="12"/>
      <c r="H164" s="13"/>
      <c r="I164" s="54">
        <f t="shared" si="211"/>
        <v>0</v>
      </c>
      <c r="J164" s="10">
        <f t="shared" si="212"/>
        <v>0</v>
      </c>
      <c r="L164" s="19"/>
      <c r="M164" s="7"/>
      <c r="N164" s="8"/>
      <c r="O164" s="9"/>
      <c r="P164" s="10">
        <f t="shared" si="213"/>
        <v>0</v>
      </c>
      <c r="Q164" s="7"/>
      <c r="R164" s="8"/>
      <c r="S164" s="9"/>
      <c r="T164" s="54">
        <f t="shared" si="214"/>
        <v>0</v>
      </c>
      <c r="U164" s="10">
        <f t="shared" si="215"/>
        <v>0</v>
      </c>
    </row>
    <row r="165" spans="1:21" x14ac:dyDescent="0.15">
      <c r="A165" s="21"/>
      <c r="B165" s="7"/>
      <c r="C165" s="8"/>
      <c r="D165" s="9"/>
      <c r="E165" s="10">
        <f t="shared" si="210"/>
        <v>0</v>
      </c>
      <c r="F165" s="7"/>
      <c r="G165" s="8"/>
      <c r="H165" s="9"/>
      <c r="I165" s="54">
        <f t="shared" si="211"/>
        <v>0</v>
      </c>
      <c r="J165" s="10">
        <f t="shared" si="212"/>
        <v>0</v>
      </c>
      <c r="L165" s="19"/>
      <c r="M165" s="7"/>
      <c r="N165" s="8"/>
      <c r="O165" s="9"/>
      <c r="P165" s="10">
        <f t="shared" ref="P165:P168" si="216">SUM(M165:O165)</f>
        <v>0</v>
      </c>
      <c r="Q165" s="7"/>
      <c r="R165" s="8"/>
      <c r="S165" s="9"/>
      <c r="T165" s="54">
        <f t="shared" ref="T165:T168" si="217">SUM(Q165:S165)</f>
        <v>0</v>
      </c>
      <c r="U165" s="10">
        <f t="shared" ref="U165:U168" si="218">P165+T165</f>
        <v>0</v>
      </c>
    </row>
    <row r="166" spans="1:21" x14ac:dyDescent="0.15">
      <c r="A166" s="5"/>
      <c r="B166" s="7"/>
      <c r="C166" s="8"/>
      <c r="D166" s="9"/>
      <c r="E166" s="10">
        <f t="shared" si="210"/>
        <v>0</v>
      </c>
      <c r="F166" s="7"/>
      <c r="G166" s="8"/>
      <c r="H166" s="9"/>
      <c r="I166" s="54">
        <f t="shared" si="211"/>
        <v>0</v>
      </c>
      <c r="J166" s="10">
        <f t="shared" si="212"/>
        <v>0</v>
      </c>
      <c r="L166" s="19"/>
      <c r="M166" s="7"/>
      <c r="N166" s="8"/>
      <c r="O166" s="9"/>
      <c r="P166" s="10">
        <f t="shared" si="216"/>
        <v>0</v>
      </c>
      <c r="Q166" s="7"/>
      <c r="R166" s="8"/>
      <c r="S166" s="9"/>
      <c r="T166" s="54">
        <f t="shared" si="217"/>
        <v>0</v>
      </c>
      <c r="U166" s="10">
        <f t="shared" si="218"/>
        <v>0</v>
      </c>
    </row>
    <row r="167" spans="1:21" x14ac:dyDescent="0.15">
      <c r="A167" s="48"/>
      <c r="B167" s="7"/>
      <c r="C167" s="8"/>
      <c r="D167" s="9"/>
      <c r="E167" s="10">
        <f t="shared" si="210"/>
        <v>0</v>
      </c>
      <c r="F167" s="7"/>
      <c r="G167" s="8"/>
      <c r="H167" s="9"/>
      <c r="I167" s="54">
        <f t="shared" si="211"/>
        <v>0</v>
      </c>
      <c r="J167" s="10">
        <f t="shared" si="212"/>
        <v>0</v>
      </c>
      <c r="L167" s="19"/>
      <c r="M167" s="7"/>
      <c r="N167" s="8"/>
      <c r="O167" s="9"/>
      <c r="P167" s="10">
        <f t="shared" si="216"/>
        <v>0</v>
      </c>
      <c r="Q167" s="7"/>
      <c r="R167" s="8"/>
      <c r="S167" s="9"/>
      <c r="T167" s="54">
        <f t="shared" si="217"/>
        <v>0</v>
      </c>
      <c r="U167" s="10">
        <f t="shared" si="218"/>
        <v>0</v>
      </c>
    </row>
    <row r="168" spans="1:21" ht="14.25" thickBot="1" x14ac:dyDescent="0.2">
      <c r="A168" s="19"/>
      <c r="B168" s="7"/>
      <c r="C168" s="8"/>
      <c r="D168" s="9"/>
      <c r="E168" s="10">
        <f t="shared" si="210"/>
        <v>0</v>
      </c>
      <c r="F168" s="7"/>
      <c r="G168" s="8"/>
      <c r="H168" s="9"/>
      <c r="I168" s="54">
        <f t="shared" si="211"/>
        <v>0</v>
      </c>
      <c r="J168" s="16">
        <f t="shared" si="212"/>
        <v>0</v>
      </c>
      <c r="L168" s="19"/>
      <c r="M168" s="7"/>
      <c r="N168" s="8"/>
      <c r="O168" s="9"/>
      <c r="P168" s="10">
        <f t="shared" si="216"/>
        <v>0</v>
      </c>
      <c r="Q168" s="7"/>
      <c r="R168" s="8"/>
      <c r="S168" s="9"/>
      <c r="T168" s="54">
        <f t="shared" si="217"/>
        <v>0</v>
      </c>
      <c r="U168" s="10">
        <f t="shared" si="218"/>
        <v>0</v>
      </c>
    </row>
    <row r="169" spans="1:21" ht="14.25" thickBot="1" x14ac:dyDescent="0.2">
      <c r="A169" s="31" t="s">
        <v>17</v>
      </c>
      <c r="B169" s="32">
        <f>SUM(B143:B168)</f>
        <v>0</v>
      </c>
      <c r="C169" s="33">
        <f>SUM(C143:C168)</f>
        <v>0</v>
      </c>
      <c r="D169" s="34">
        <f>SUM(D143:D168)</f>
        <v>0</v>
      </c>
      <c r="E169" s="35">
        <f>SUM(B169:D169)</f>
        <v>0</v>
      </c>
      <c r="F169" s="32">
        <f>SUM(F143:F168)</f>
        <v>0</v>
      </c>
      <c r="G169" s="33">
        <f>SUM(G143:G168)</f>
        <v>0</v>
      </c>
      <c r="H169" s="34">
        <f>SUM(H143:H168)</f>
        <v>0</v>
      </c>
      <c r="I169" s="35">
        <f>SUM(F169:H169)</f>
        <v>0</v>
      </c>
      <c r="J169" s="36">
        <f t="shared" si="212"/>
        <v>0</v>
      </c>
      <c r="L169" s="31" t="s">
        <v>17</v>
      </c>
      <c r="M169" s="32">
        <f>SUM(M143:M168)</f>
        <v>0</v>
      </c>
      <c r="N169" s="33">
        <f t="shared" ref="N169:U169" si="219">SUM(N143:N168)</f>
        <v>0</v>
      </c>
      <c r="O169" s="34">
        <f t="shared" si="219"/>
        <v>0</v>
      </c>
      <c r="P169" s="35">
        <f t="shared" si="219"/>
        <v>0</v>
      </c>
      <c r="Q169" s="32">
        <f t="shared" si="219"/>
        <v>0</v>
      </c>
      <c r="R169" s="33">
        <f t="shared" si="219"/>
        <v>0</v>
      </c>
      <c r="S169" s="34">
        <f t="shared" si="219"/>
        <v>0</v>
      </c>
      <c r="T169" s="35">
        <f t="shared" si="219"/>
        <v>0</v>
      </c>
      <c r="U169" s="36">
        <f t="shared" si="219"/>
        <v>0</v>
      </c>
    </row>
    <row r="170" spans="1:21" ht="14.25" thickBot="1" x14ac:dyDescent="0.2">
      <c r="A170" s="17" t="s">
        <v>18</v>
      </c>
      <c r="B170" s="50">
        <f>B142-B169</f>
        <v>11</v>
      </c>
      <c r="C170" s="51">
        <f t="shared" ref="C170:E170" si="220">C142-C169</f>
        <v>9</v>
      </c>
      <c r="D170" s="52">
        <f t="shared" si="220"/>
        <v>7</v>
      </c>
      <c r="E170" s="52">
        <f t="shared" si="220"/>
        <v>27</v>
      </c>
      <c r="F170" s="50">
        <f>F142-F169</f>
        <v>7</v>
      </c>
      <c r="G170" s="51">
        <f t="shared" ref="G170:I170" si="221">G142-G169</f>
        <v>5</v>
      </c>
      <c r="H170" s="52">
        <f t="shared" si="221"/>
        <v>6</v>
      </c>
      <c r="I170" s="52">
        <f t="shared" si="221"/>
        <v>18</v>
      </c>
      <c r="J170" s="25">
        <f t="shared" si="212"/>
        <v>45</v>
      </c>
      <c r="L170" s="17" t="s">
        <v>18</v>
      </c>
      <c r="M170" s="50">
        <f>M142-M169</f>
        <v>951</v>
      </c>
      <c r="N170" s="51">
        <f t="shared" ref="N170:U170" si="222">N142-N169</f>
        <v>893</v>
      </c>
      <c r="O170" s="52">
        <f t="shared" si="222"/>
        <v>471</v>
      </c>
      <c r="P170" s="52">
        <f t="shared" si="222"/>
        <v>2315</v>
      </c>
      <c r="Q170" s="50">
        <f t="shared" si="222"/>
        <v>1030</v>
      </c>
      <c r="R170" s="51">
        <f t="shared" si="222"/>
        <v>928</v>
      </c>
      <c r="S170" s="52">
        <f t="shared" si="222"/>
        <v>478</v>
      </c>
      <c r="T170" s="52">
        <f t="shared" si="222"/>
        <v>2436</v>
      </c>
      <c r="U170" s="25">
        <f t="shared" si="222"/>
        <v>4751</v>
      </c>
    </row>
  </sheetData>
  <mergeCells count="27">
    <mergeCell ref="X2:AA2"/>
    <mergeCell ref="AB2:AE2"/>
    <mergeCell ref="AF2:AF3"/>
    <mergeCell ref="U45:U46"/>
    <mergeCell ref="B45:E45"/>
    <mergeCell ref="F45:I45"/>
    <mergeCell ref="J45:J46"/>
    <mergeCell ref="M45:P45"/>
    <mergeCell ref="Q45:T45"/>
    <mergeCell ref="U2:U3"/>
    <mergeCell ref="B2:E2"/>
    <mergeCell ref="F2:I2"/>
    <mergeCell ref="J2:J3"/>
    <mergeCell ref="M2:P2"/>
    <mergeCell ref="Q2:T2"/>
    <mergeCell ref="M88:P88"/>
    <mergeCell ref="Q88:T88"/>
    <mergeCell ref="U88:U89"/>
    <mergeCell ref="M131:P131"/>
    <mergeCell ref="Q131:T131"/>
    <mergeCell ref="U131:U132"/>
    <mergeCell ref="B88:E88"/>
    <mergeCell ref="F88:I88"/>
    <mergeCell ref="J88:J89"/>
    <mergeCell ref="B131:E131"/>
    <mergeCell ref="F131:I131"/>
    <mergeCell ref="J131:J132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2021-10-25T05:05:40Z</dcterms:created>
  <dcterms:modified xsi:type="dcterms:W3CDTF">2026-05-14T09:19:00Z</dcterms:modified>
</cp:coreProperties>
</file>