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6D21A777-2B92-4152-B471-161E6C436462}" xr6:coauthVersionLast="47" xr6:coauthVersionMax="47" xr10:uidLastSave="{00000000-0000-0000-0000-000000000000}"/>
  <bookViews>
    <workbookView xWindow="13860" yWindow="915" windowWidth="13335" windowHeight="12450" xr2:uid="{00000000-000D-0000-FFFF-FFFF00000000}"/>
  </bookViews>
  <sheets>
    <sheet name="5分丈" sheetId="5" r:id="rId1"/>
    <sheet name="5分丈ボトム単品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3" i="5" l="1"/>
  <c r="E352" i="5"/>
  <c r="K382" i="5"/>
  <c r="K383" i="5"/>
  <c r="K360" i="5"/>
  <c r="K361" i="5"/>
  <c r="K362" i="5"/>
  <c r="K363" i="5"/>
  <c r="K364" i="5"/>
  <c r="K365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49" i="5"/>
  <c r="E350" i="5"/>
  <c r="E351" i="5"/>
  <c r="E354" i="5"/>
  <c r="E355" i="5"/>
  <c r="J384" i="5"/>
  <c r="I384" i="5"/>
  <c r="H384" i="5"/>
  <c r="D384" i="5"/>
  <c r="C384" i="5"/>
  <c r="B384" i="5"/>
  <c r="E383" i="5"/>
  <c r="E382" i="5"/>
  <c r="K381" i="5"/>
  <c r="E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J359" i="5"/>
  <c r="J385" i="5" s="1"/>
  <c r="H359" i="5"/>
  <c r="H385" i="5" s="1"/>
  <c r="D359" i="5"/>
  <c r="D385" i="5" s="1"/>
  <c r="K358" i="5"/>
  <c r="E358" i="5"/>
  <c r="K357" i="5"/>
  <c r="E357" i="5"/>
  <c r="K356" i="5"/>
  <c r="E356" i="5"/>
  <c r="K355" i="5"/>
  <c r="K354" i="5"/>
  <c r="K353" i="5"/>
  <c r="K352" i="5"/>
  <c r="K351" i="5"/>
  <c r="K350" i="5"/>
  <c r="K349" i="5"/>
  <c r="J348" i="5"/>
  <c r="H348" i="5"/>
  <c r="D348" i="5"/>
  <c r="E340" i="5"/>
  <c r="K339" i="5"/>
  <c r="E339" i="5"/>
  <c r="H341" i="5"/>
  <c r="J341" i="5"/>
  <c r="K319" i="5"/>
  <c r="K318" i="5"/>
  <c r="H305" i="5"/>
  <c r="H298" i="5"/>
  <c r="J316" i="5"/>
  <c r="I316" i="5"/>
  <c r="I273" i="5"/>
  <c r="J273" i="5"/>
  <c r="K273" i="5"/>
  <c r="H273" i="5"/>
  <c r="I262" i="5"/>
  <c r="J262" i="5"/>
  <c r="K262" i="5"/>
  <c r="H262" i="5"/>
  <c r="E295" i="5"/>
  <c r="E317" i="5"/>
  <c r="K315" i="5"/>
  <c r="K264" i="5"/>
  <c r="C291" i="5"/>
  <c r="C298" i="5" s="1"/>
  <c r="E287" i="5"/>
  <c r="E296" i="5"/>
  <c r="E297" i="5"/>
  <c r="K272" i="5"/>
  <c r="E306" i="5"/>
  <c r="K306" i="5"/>
  <c r="E307" i="5"/>
  <c r="K307" i="5"/>
  <c r="E308" i="5"/>
  <c r="K308" i="5"/>
  <c r="E309" i="5"/>
  <c r="K309" i="5"/>
  <c r="E310" i="5"/>
  <c r="K310" i="5"/>
  <c r="E312" i="5"/>
  <c r="K312" i="5"/>
  <c r="E313" i="5"/>
  <c r="K313" i="5"/>
  <c r="E314" i="5"/>
  <c r="K314" i="5"/>
  <c r="E315" i="5"/>
  <c r="K317" i="5"/>
  <c r="E318" i="5"/>
  <c r="E319" i="5"/>
  <c r="E320" i="5"/>
  <c r="K320" i="5"/>
  <c r="E321" i="5"/>
  <c r="K321" i="5"/>
  <c r="E322" i="5"/>
  <c r="K322" i="5"/>
  <c r="E323" i="5"/>
  <c r="K323" i="5"/>
  <c r="E324" i="5"/>
  <c r="K324" i="5"/>
  <c r="E325" i="5"/>
  <c r="K325" i="5"/>
  <c r="E326" i="5"/>
  <c r="K326" i="5"/>
  <c r="E327" i="5"/>
  <c r="K327" i="5"/>
  <c r="E328" i="5"/>
  <c r="K328" i="5"/>
  <c r="E329" i="5"/>
  <c r="K329" i="5"/>
  <c r="E330" i="5"/>
  <c r="K330" i="5"/>
  <c r="E331" i="5"/>
  <c r="K331" i="5"/>
  <c r="E333" i="5"/>
  <c r="K333" i="5"/>
  <c r="E334" i="5"/>
  <c r="K334" i="5"/>
  <c r="E335" i="5"/>
  <c r="K335" i="5"/>
  <c r="E336" i="5"/>
  <c r="K336" i="5"/>
  <c r="E337" i="5"/>
  <c r="K337" i="5"/>
  <c r="E338" i="5"/>
  <c r="K338" i="5"/>
  <c r="I341" i="5"/>
  <c r="D341" i="5"/>
  <c r="C341" i="5"/>
  <c r="B341" i="5"/>
  <c r="K332" i="5"/>
  <c r="E332" i="5"/>
  <c r="K311" i="5"/>
  <c r="E311" i="5"/>
  <c r="K254" i="5"/>
  <c r="K296" i="5"/>
  <c r="K283" i="5"/>
  <c r="C83" i="6"/>
  <c r="D83" i="6"/>
  <c r="D84" i="6" s="1"/>
  <c r="E83" i="6"/>
  <c r="F83" i="6"/>
  <c r="G83" i="6"/>
  <c r="H83" i="6"/>
  <c r="I83" i="6"/>
  <c r="J83" i="6"/>
  <c r="K83" i="6"/>
  <c r="L83" i="6"/>
  <c r="M83" i="6"/>
  <c r="M84" i="6" s="1"/>
  <c r="N83" i="6"/>
  <c r="C84" i="6"/>
  <c r="E84" i="6"/>
  <c r="F84" i="6"/>
  <c r="G84" i="6"/>
  <c r="H84" i="6"/>
  <c r="I84" i="6"/>
  <c r="J84" i="6"/>
  <c r="K84" i="6"/>
  <c r="L84" i="6"/>
  <c r="N84" i="6"/>
  <c r="K282" i="5"/>
  <c r="K281" i="5"/>
  <c r="E275" i="5"/>
  <c r="K236" i="5"/>
  <c r="K235" i="5"/>
  <c r="E263" i="5"/>
  <c r="E264" i="5"/>
  <c r="E265" i="5"/>
  <c r="E266" i="5"/>
  <c r="E267" i="5"/>
  <c r="E268" i="5"/>
  <c r="J298" i="5"/>
  <c r="I298" i="5"/>
  <c r="D298" i="5"/>
  <c r="B298" i="5"/>
  <c r="K297" i="5"/>
  <c r="K295" i="5"/>
  <c r="K294" i="5"/>
  <c r="E294" i="5"/>
  <c r="K293" i="5"/>
  <c r="E293" i="5"/>
  <c r="K292" i="5"/>
  <c r="E292" i="5"/>
  <c r="K291" i="5"/>
  <c r="K290" i="5"/>
  <c r="E290" i="5"/>
  <c r="K289" i="5"/>
  <c r="E289" i="5"/>
  <c r="K288" i="5"/>
  <c r="E288" i="5"/>
  <c r="K287" i="5"/>
  <c r="K286" i="5"/>
  <c r="E286" i="5"/>
  <c r="K285" i="5"/>
  <c r="E285" i="5"/>
  <c r="K284" i="5"/>
  <c r="E284" i="5"/>
  <c r="E283" i="5"/>
  <c r="E282" i="5"/>
  <c r="E281" i="5"/>
  <c r="K280" i="5"/>
  <c r="E280" i="5"/>
  <c r="K279" i="5"/>
  <c r="E279" i="5"/>
  <c r="K278" i="5"/>
  <c r="E278" i="5"/>
  <c r="K277" i="5"/>
  <c r="E277" i="5"/>
  <c r="K276" i="5"/>
  <c r="E276" i="5"/>
  <c r="K275" i="5"/>
  <c r="K274" i="5"/>
  <c r="E274" i="5"/>
  <c r="E272" i="5"/>
  <c r="K271" i="5"/>
  <c r="E271" i="5"/>
  <c r="K270" i="5"/>
  <c r="E270" i="5"/>
  <c r="K269" i="5"/>
  <c r="E269" i="5"/>
  <c r="K268" i="5"/>
  <c r="K267" i="5"/>
  <c r="K266" i="5"/>
  <c r="K265" i="5"/>
  <c r="K263" i="5"/>
  <c r="K234" i="5"/>
  <c r="K233" i="5"/>
  <c r="K231" i="5"/>
  <c r="E384" i="5" l="1"/>
  <c r="K384" i="5"/>
  <c r="K340" i="5"/>
  <c r="E291" i="5"/>
  <c r="E341" i="5"/>
  <c r="K341" i="5"/>
  <c r="E298" i="5"/>
  <c r="K298" i="5"/>
  <c r="E184" i="5"/>
  <c r="J255" i="5" l="1"/>
  <c r="I255" i="5"/>
  <c r="H255" i="5"/>
  <c r="D255" i="5"/>
  <c r="C255" i="5"/>
  <c r="B255" i="5"/>
  <c r="E254" i="5"/>
  <c r="K253" i="5"/>
  <c r="E253" i="5"/>
  <c r="K252" i="5"/>
  <c r="E252" i="5"/>
  <c r="K251" i="5"/>
  <c r="E251" i="5"/>
  <c r="K250" i="5"/>
  <c r="E250" i="5"/>
  <c r="K249" i="5"/>
  <c r="E249" i="5"/>
  <c r="K248" i="5"/>
  <c r="E248" i="5"/>
  <c r="K247" i="5"/>
  <c r="E247" i="5"/>
  <c r="K246" i="5"/>
  <c r="E246" i="5"/>
  <c r="K245" i="5"/>
  <c r="E245" i="5"/>
  <c r="K244" i="5"/>
  <c r="E244" i="5"/>
  <c r="K243" i="5"/>
  <c r="E243" i="5"/>
  <c r="K242" i="5"/>
  <c r="E242" i="5"/>
  <c r="K241" i="5"/>
  <c r="E241" i="5"/>
  <c r="K240" i="5"/>
  <c r="E240" i="5"/>
  <c r="K239" i="5"/>
  <c r="E239" i="5"/>
  <c r="K238" i="5"/>
  <c r="E238" i="5"/>
  <c r="K237" i="5"/>
  <c r="E237" i="5"/>
  <c r="E236" i="5"/>
  <c r="E235" i="5"/>
  <c r="E234" i="5"/>
  <c r="E233" i="5"/>
  <c r="K232" i="5"/>
  <c r="E232" i="5"/>
  <c r="E231" i="5"/>
  <c r="K229" i="5"/>
  <c r="E229" i="5"/>
  <c r="K228" i="5"/>
  <c r="E228" i="5"/>
  <c r="K227" i="5"/>
  <c r="E227" i="5"/>
  <c r="K226" i="5"/>
  <c r="E226" i="5"/>
  <c r="K225" i="5"/>
  <c r="E225" i="5"/>
  <c r="K224" i="5"/>
  <c r="E224" i="5"/>
  <c r="K223" i="5"/>
  <c r="E223" i="5"/>
  <c r="K222" i="5"/>
  <c r="E222" i="5"/>
  <c r="K221" i="5"/>
  <c r="E221" i="5"/>
  <c r="K220" i="5"/>
  <c r="E220" i="5"/>
  <c r="K197" i="5"/>
  <c r="K195" i="5"/>
  <c r="E194" i="5"/>
  <c r="K193" i="5"/>
  <c r="K192" i="5"/>
  <c r="K210" i="5"/>
  <c r="K211" i="5"/>
  <c r="E255" i="5" l="1"/>
  <c r="K255" i="5"/>
  <c r="K156" i="5"/>
  <c r="K135" i="5"/>
  <c r="K134" i="5"/>
  <c r="K151" i="5"/>
  <c r="J212" i="5"/>
  <c r="I212" i="5"/>
  <c r="D212" i="5"/>
  <c r="C212" i="5"/>
  <c r="B212" i="5"/>
  <c r="H212" i="5"/>
  <c r="E211" i="5"/>
  <c r="E210" i="5"/>
  <c r="K209" i="5"/>
  <c r="E209" i="5"/>
  <c r="K208" i="5"/>
  <c r="E208" i="5"/>
  <c r="K207" i="5"/>
  <c r="E207" i="5"/>
  <c r="K206" i="5"/>
  <c r="E206" i="5"/>
  <c r="K205" i="5"/>
  <c r="E205" i="5"/>
  <c r="K204" i="5"/>
  <c r="E204" i="5"/>
  <c r="K203" i="5"/>
  <c r="E203" i="5"/>
  <c r="K202" i="5"/>
  <c r="E202" i="5"/>
  <c r="K201" i="5"/>
  <c r="E201" i="5"/>
  <c r="K200" i="5"/>
  <c r="E200" i="5"/>
  <c r="K199" i="5"/>
  <c r="E199" i="5"/>
  <c r="K198" i="5"/>
  <c r="E198" i="5"/>
  <c r="E197" i="5"/>
  <c r="K196" i="5"/>
  <c r="E196" i="5"/>
  <c r="E195" i="5"/>
  <c r="K194" i="5"/>
  <c r="E193" i="5"/>
  <c r="E192" i="5"/>
  <c r="K191" i="5"/>
  <c r="E191" i="5"/>
  <c r="K190" i="5"/>
  <c r="E190" i="5"/>
  <c r="K189" i="5"/>
  <c r="E189" i="5"/>
  <c r="K188" i="5"/>
  <c r="E188" i="5"/>
  <c r="K186" i="5"/>
  <c r="E186" i="5"/>
  <c r="K185" i="5"/>
  <c r="E185" i="5"/>
  <c r="K184" i="5"/>
  <c r="K183" i="5"/>
  <c r="E183" i="5"/>
  <c r="K182" i="5"/>
  <c r="E182" i="5"/>
  <c r="K181" i="5"/>
  <c r="E181" i="5"/>
  <c r="K180" i="5"/>
  <c r="E180" i="5"/>
  <c r="K179" i="5"/>
  <c r="E179" i="5"/>
  <c r="K178" i="5"/>
  <c r="E178" i="5"/>
  <c r="K177" i="5"/>
  <c r="E177" i="5"/>
  <c r="E212" i="5" l="1"/>
  <c r="K212" i="5"/>
  <c r="K142" i="5" l="1"/>
  <c r="D169" i="5" l="1"/>
  <c r="C169" i="5"/>
  <c r="B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3" i="5"/>
  <c r="E142" i="5"/>
  <c r="E141" i="5"/>
  <c r="E140" i="5"/>
  <c r="E139" i="5"/>
  <c r="E138" i="5"/>
  <c r="E137" i="5"/>
  <c r="E136" i="5"/>
  <c r="E135" i="5"/>
  <c r="E134" i="5"/>
  <c r="K121" i="5"/>
  <c r="K122" i="5"/>
  <c r="K123" i="5"/>
  <c r="K168" i="5"/>
  <c r="K167" i="5"/>
  <c r="J169" i="5"/>
  <c r="I169" i="5"/>
  <c r="H169" i="5"/>
  <c r="K166" i="5"/>
  <c r="K165" i="5"/>
  <c r="K164" i="5"/>
  <c r="K163" i="5"/>
  <c r="K162" i="5"/>
  <c r="K161" i="5"/>
  <c r="K160" i="5"/>
  <c r="K159" i="5"/>
  <c r="K158" i="5"/>
  <c r="K157" i="5"/>
  <c r="K155" i="5"/>
  <c r="K154" i="5"/>
  <c r="K153" i="5"/>
  <c r="K152" i="5"/>
  <c r="K150" i="5"/>
  <c r="K149" i="5"/>
  <c r="K148" i="5"/>
  <c r="K147" i="5"/>
  <c r="K146" i="5"/>
  <c r="K145" i="5"/>
  <c r="K143" i="5"/>
  <c r="K141" i="5"/>
  <c r="K140" i="5"/>
  <c r="K139" i="5"/>
  <c r="K138" i="5"/>
  <c r="K137" i="5"/>
  <c r="K136" i="5"/>
  <c r="E169" i="5" l="1"/>
  <c r="K169" i="5"/>
  <c r="K120" i="5" l="1"/>
  <c r="E102" i="5"/>
  <c r="K102" i="5" l="1"/>
  <c r="K81" i="5" l="1"/>
  <c r="K66" i="5" l="1"/>
  <c r="K124" i="5" l="1"/>
  <c r="K125" i="5"/>
  <c r="K8" i="5" l="1"/>
  <c r="K36" i="5"/>
  <c r="K35" i="5"/>
  <c r="J126" i="5" l="1"/>
  <c r="I126" i="5"/>
  <c r="H126" i="5"/>
  <c r="D126" i="5"/>
  <c r="C126" i="5"/>
  <c r="B126" i="5"/>
  <c r="E125" i="5"/>
  <c r="E124" i="5"/>
  <c r="E123" i="5"/>
  <c r="E122" i="5"/>
  <c r="E121" i="5"/>
  <c r="E120" i="5"/>
  <c r="K119" i="5"/>
  <c r="E119" i="5"/>
  <c r="K118" i="5"/>
  <c r="E118" i="5"/>
  <c r="K117" i="5"/>
  <c r="E117" i="5"/>
  <c r="K116" i="5"/>
  <c r="E116" i="5"/>
  <c r="K115" i="5"/>
  <c r="E115" i="5"/>
  <c r="K114" i="5"/>
  <c r="E114" i="5"/>
  <c r="K113" i="5"/>
  <c r="E113" i="5"/>
  <c r="K112" i="5"/>
  <c r="E112" i="5"/>
  <c r="K111" i="5"/>
  <c r="E111" i="5"/>
  <c r="K110" i="5"/>
  <c r="E110" i="5"/>
  <c r="K109" i="5"/>
  <c r="E109" i="5"/>
  <c r="K108" i="5"/>
  <c r="E108" i="5"/>
  <c r="K107" i="5"/>
  <c r="E107" i="5"/>
  <c r="K106" i="5"/>
  <c r="E106" i="5"/>
  <c r="K105" i="5"/>
  <c r="E105" i="5"/>
  <c r="K104" i="5"/>
  <c r="E104" i="5"/>
  <c r="K103" i="5"/>
  <c r="E103" i="5"/>
  <c r="K100" i="5"/>
  <c r="E100" i="5"/>
  <c r="K99" i="5"/>
  <c r="E99" i="5"/>
  <c r="K98" i="5"/>
  <c r="E98" i="5"/>
  <c r="K97" i="5"/>
  <c r="E97" i="5"/>
  <c r="K96" i="5"/>
  <c r="E96" i="5"/>
  <c r="K95" i="5"/>
  <c r="E95" i="5"/>
  <c r="K94" i="5"/>
  <c r="E94" i="5"/>
  <c r="K93" i="5"/>
  <c r="E93" i="5"/>
  <c r="K92" i="5"/>
  <c r="E92" i="5"/>
  <c r="K91" i="5"/>
  <c r="E91" i="5"/>
  <c r="E126" i="5" l="1"/>
  <c r="K126" i="5"/>
  <c r="B83" i="6"/>
  <c r="M82" i="6"/>
  <c r="I82" i="6"/>
  <c r="E82" i="6"/>
  <c r="M81" i="6"/>
  <c r="I81" i="6"/>
  <c r="E81" i="6"/>
  <c r="M80" i="6"/>
  <c r="I80" i="6"/>
  <c r="E80" i="6"/>
  <c r="M79" i="6"/>
  <c r="I79" i="6"/>
  <c r="E79" i="6"/>
  <c r="M78" i="6"/>
  <c r="I78" i="6"/>
  <c r="E78" i="6"/>
  <c r="M77" i="6"/>
  <c r="I77" i="6"/>
  <c r="E77" i="6"/>
  <c r="M76" i="6"/>
  <c r="I76" i="6"/>
  <c r="E76" i="6"/>
  <c r="M75" i="6"/>
  <c r="I75" i="6"/>
  <c r="E75" i="6"/>
  <c r="M74" i="6"/>
  <c r="I74" i="6"/>
  <c r="E74" i="6"/>
  <c r="M73" i="6"/>
  <c r="I73" i="6"/>
  <c r="E73" i="6"/>
  <c r="M72" i="6"/>
  <c r="I72" i="6"/>
  <c r="E72" i="6"/>
  <c r="M71" i="6"/>
  <c r="I71" i="6"/>
  <c r="E71" i="6"/>
  <c r="M70" i="6"/>
  <c r="I70" i="6"/>
  <c r="E70" i="6"/>
  <c r="M69" i="6"/>
  <c r="I69" i="6"/>
  <c r="E69" i="6"/>
  <c r="M68" i="6"/>
  <c r="I68" i="6"/>
  <c r="E68" i="6"/>
  <c r="M67" i="6"/>
  <c r="I67" i="6"/>
  <c r="E67" i="6"/>
  <c r="M66" i="6"/>
  <c r="I66" i="6"/>
  <c r="E66" i="6"/>
  <c r="M65" i="6"/>
  <c r="I65" i="6"/>
  <c r="E65" i="6"/>
  <c r="M64" i="6"/>
  <c r="I64" i="6"/>
  <c r="E64" i="6"/>
  <c r="M63" i="6"/>
  <c r="I63" i="6"/>
  <c r="E63" i="6"/>
  <c r="M62" i="6"/>
  <c r="I62" i="6"/>
  <c r="E62" i="6"/>
  <c r="M61" i="6"/>
  <c r="I61" i="6"/>
  <c r="E61" i="6"/>
  <c r="M60" i="6"/>
  <c r="I60" i="6"/>
  <c r="E60" i="6"/>
  <c r="M59" i="6"/>
  <c r="I59" i="6"/>
  <c r="E59" i="6"/>
  <c r="M57" i="6"/>
  <c r="I57" i="6"/>
  <c r="E57" i="6"/>
  <c r="M56" i="6"/>
  <c r="I56" i="6"/>
  <c r="E56" i="6"/>
  <c r="M55" i="6"/>
  <c r="I55" i="6"/>
  <c r="E55" i="6"/>
  <c r="M54" i="6"/>
  <c r="I54" i="6"/>
  <c r="E54" i="6"/>
  <c r="M53" i="6"/>
  <c r="I53" i="6"/>
  <c r="E53" i="6"/>
  <c r="M52" i="6"/>
  <c r="I52" i="6"/>
  <c r="E52" i="6"/>
  <c r="M51" i="6"/>
  <c r="I51" i="6"/>
  <c r="E51" i="6"/>
  <c r="M50" i="6"/>
  <c r="I50" i="6"/>
  <c r="E50" i="6"/>
  <c r="M49" i="6"/>
  <c r="I49" i="6"/>
  <c r="E49" i="6"/>
  <c r="M48" i="6"/>
  <c r="I48" i="6"/>
  <c r="E48" i="6"/>
  <c r="L40" i="6"/>
  <c r="K40" i="6"/>
  <c r="J40" i="6"/>
  <c r="H40" i="6"/>
  <c r="G40" i="6"/>
  <c r="F40" i="6"/>
  <c r="D40" i="6"/>
  <c r="C40" i="6"/>
  <c r="B40" i="6"/>
  <c r="M39" i="6"/>
  <c r="I39" i="6"/>
  <c r="E39" i="6"/>
  <c r="M38" i="6"/>
  <c r="I38" i="6"/>
  <c r="E38" i="6"/>
  <c r="M37" i="6"/>
  <c r="I37" i="6"/>
  <c r="E37" i="6"/>
  <c r="M36" i="6"/>
  <c r="I36" i="6"/>
  <c r="E36" i="6"/>
  <c r="M35" i="6"/>
  <c r="I35" i="6"/>
  <c r="E35" i="6"/>
  <c r="M34" i="6"/>
  <c r="I34" i="6"/>
  <c r="E34" i="6"/>
  <c r="M33" i="6"/>
  <c r="I33" i="6"/>
  <c r="E33" i="6"/>
  <c r="M32" i="6"/>
  <c r="I32" i="6"/>
  <c r="E32" i="6"/>
  <c r="M31" i="6"/>
  <c r="I31" i="6"/>
  <c r="E31" i="6"/>
  <c r="M30" i="6"/>
  <c r="I30" i="6"/>
  <c r="E30" i="6"/>
  <c r="M29" i="6"/>
  <c r="I29" i="6"/>
  <c r="E29" i="6"/>
  <c r="M28" i="6"/>
  <c r="I28" i="6"/>
  <c r="E28" i="6"/>
  <c r="M27" i="6"/>
  <c r="I27" i="6"/>
  <c r="E27" i="6"/>
  <c r="M26" i="6"/>
  <c r="I26" i="6"/>
  <c r="E26" i="6"/>
  <c r="M25" i="6"/>
  <c r="I25" i="6"/>
  <c r="E25" i="6"/>
  <c r="M24" i="6"/>
  <c r="I24" i="6"/>
  <c r="E24" i="6"/>
  <c r="M23" i="6"/>
  <c r="I23" i="6"/>
  <c r="E23" i="6"/>
  <c r="M22" i="6"/>
  <c r="I22" i="6"/>
  <c r="E22" i="6"/>
  <c r="M21" i="6"/>
  <c r="I21" i="6"/>
  <c r="E21" i="6"/>
  <c r="M20" i="6"/>
  <c r="I20" i="6"/>
  <c r="E20" i="6"/>
  <c r="M19" i="6"/>
  <c r="I19" i="6"/>
  <c r="E19" i="6"/>
  <c r="M18" i="6"/>
  <c r="I18" i="6"/>
  <c r="E18" i="6"/>
  <c r="M17" i="6"/>
  <c r="I17" i="6"/>
  <c r="E17" i="6"/>
  <c r="M16" i="6"/>
  <c r="I16" i="6"/>
  <c r="E16" i="6"/>
  <c r="L15" i="6"/>
  <c r="K15" i="6"/>
  <c r="J15" i="6"/>
  <c r="H15" i="6"/>
  <c r="G15" i="6"/>
  <c r="F15" i="6"/>
  <c r="D15" i="6"/>
  <c r="C15" i="6"/>
  <c r="B15" i="6"/>
  <c r="M14" i="6"/>
  <c r="I14" i="6"/>
  <c r="E14" i="6"/>
  <c r="M13" i="6"/>
  <c r="I13" i="6"/>
  <c r="E13" i="6"/>
  <c r="M12" i="6"/>
  <c r="I12" i="6"/>
  <c r="E12" i="6"/>
  <c r="M11" i="6"/>
  <c r="I11" i="6"/>
  <c r="E11" i="6"/>
  <c r="M10" i="6"/>
  <c r="I10" i="6"/>
  <c r="E10" i="6"/>
  <c r="M9" i="6"/>
  <c r="I9" i="6"/>
  <c r="E9" i="6"/>
  <c r="M8" i="6"/>
  <c r="I8" i="6"/>
  <c r="E8" i="6"/>
  <c r="M7" i="6"/>
  <c r="I7" i="6"/>
  <c r="E7" i="6"/>
  <c r="M6" i="6"/>
  <c r="I6" i="6"/>
  <c r="E6" i="6"/>
  <c r="M5" i="6"/>
  <c r="I5" i="6"/>
  <c r="E5" i="6"/>
  <c r="M4" i="6"/>
  <c r="I4" i="6"/>
  <c r="E4" i="6"/>
  <c r="L41" i="6" l="1"/>
  <c r="L47" i="6" s="1"/>
  <c r="L58" i="6" s="1"/>
  <c r="N78" i="6"/>
  <c r="C41" i="6"/>
  <c r="C47" i="6" s="1"/>
  <c r="C58" i="6" s="1"/>
  <c r="B41" i="6"/>
  <c r="B47" i="6" s="1"/>
  <c r="B58" i="6" s="1"/>
  <c r="N69" i="6"/>
  <c r="N14" i="6"/>
  <c r="N5" i="6"/>
  <c r="N9" i="6"/>
  <c r="N19" i="6"/>
  <c r="N21" i="6"/>
  <c r="N23" i="6"/>
  <c r="N27" i="6"/>
  <c r="N50" i="6"/>
  <c r="N52" i="6"/>
  <c r="N56" i="6"/>
  <c r="N71" i="6"/>
  <c r="N73" i="6"/>
  <c r="N77" i="6"/>
  <c r="N37" i="6"/>
  <c r="N24" i="6"/>
  <c r="N26" i="6"/>
  <c r="N28" i="6"/>
  <c r="N30" i="6"/>
  <c r="N32" i="6"/>
  <c r="N36" i="6"/>
  <c r="N49" i="6"/>
  <c r="N53" i="6"/>
  <c r="N60" i="6"/>
  <c r="N62" i="6"/>
  <c r="N64" i="6"/>
  <c r="N68" i="6"/>
  <c r="N74" i="6"/>
  <c r="N76" i="6"/>
  <c r="N31" i="6"/>
  <c r="N29" i="6"/>
  <c r="F41" i="6"/>
  <c r="F47" i="6" s="1"/>
  <c r="G41" i="6"/>
  <c r="G47" i="6" s="1"/>
  <c r="G58" i="6" s="1"/>
  <c r="H41" i="6"/>
  <c r="H47" i="6" s="1"/>
  <c r="H58" i="6" s="1"/>
  <c r="N10" i="6"/>
  <c r="N63" i="6"/>
  <c r="J41" i="6"/>
  <c r="J47" i="6" s="1"/>
  <c r="J58" i="6" s="1"/>
  <c r="N57" i="6"/>
  <c r="N75" i="6"/>
  <c r="N7" i="6"/>
  <c r="N34" i="6"/>
  <c r="K41" i="6"/>
  <c r="K47" i="6" s="1"/>
  <c r="K58" i="6" s="1"/>
  <c r="N8" i="6"/>
  <c r="N12" i="6"/>
  <c r="N33" i="6"/>
  <c r="N35" i="6"/>
  <c r="N38" i="6"/>
  <c r="D41" i="6"/>
  <c r="D47" i="6" s="1"/>
  <c r="D58" i="6" s="1"/>
  <c r="N66" i="6"/>
  <c r="N80" i="6"/>
  <c r="N82" i="6"/>
  <c r="N4" i="6"/>
  <c r="N18" i="6"/>
  <c r="N25" i="6"/>
  <c r="N48" i="6"/>
  <c r="N54" i="6"/>
  <c r="N65" i="6"/>
  <c r="N67" i="6"/>
  <c r="N72" i="6"/>
  <c r="N11" i="6"/>
  <c r="N20" i="6"/>
  <c r="N22" i="6"/>
  <c r="N51" i="6"/>
  <c r="N13" i="6"/>
  <c r="N81" i="6"/>
  <c r="E40" i="6"/>
  <c r="N17" i="6"/>
  <c r="I40" i="6"/>
  <c r="M40" i="6"/>
  <c r="N16" i="6"/>
  <c r="N39" i="6"/>
  <c r="M15" i="6"/>
  <c r="N59" i="6"/>
  <c r="N61" i="6"/>
  <c r="N70" i="6"/>
  <c r="N79" i="6"/>
  <c r="N6" i="6"/>
  <c r="E15" i="6"/>
  <c r="I15" i="6"/>
  <c r="N55" i="6"/>
  <c r="I47" i="6" l="1"/>
  <c r="F58" i="6"/>
  <c r="I58" i="6" s="1"/>
  <c r="M58" i="6"/>
  <c r="E47" i="6"/>
  <c r="M47" i="6"/>
  <c r="N40" i="6"/>
  <c r="I41" i="6"/>
  <c r="B84" i="6"/>
  <c r="E58" i="6"/>
  <c r="E41" i="6"/>
  <c r="N15" i="6"/>
  <c r="M41" i="6"/>
  <c r="N47" i="6" l="1"/>
  <c r="N41" i="6"/>
  <c r="N58" i="6"/>
  <c r="K37" i="5" l="1"/>
  <c r="K80" i="5" l="1"/>
  <c r="K79" i="5"/>
  <c r="K23" i="5" l="1"/>
  <c r="Q19" i="5" l="1"/>
  <c r="K82" i="5" l="1"/>
  <c r="Q17" i="5"/>
  <c r="Q49" i="5" l="1"/>
  <c r="Q59" i="5"/>
  <c r="K49" i="5"/>
  <c r="Q18" i="5" l="1"/>
  <c r="Q4" i="5"/>
  <c r="Q8" i="5"/>
  <c r="K34" i="5" l="1"/>
  <c r="E5" i="5"/>
  <c r="K5" i="5"/>
  <c r="Q5" i="5"/>
  <c r="E6" i="5"/>
  <c r="K6" i="5"/>
  <c r="Q6" i="5"/>
  <c r="E7" i="5"/>
  <c r="K7" i="5"/>
  <c r="Q7" i="5"/>
  <c r="E8" i="5"/>
  <c r="E9" i="5"/>
  <c r="K9" i="5"/>
  <c r="Q9" i="5"/>
  <c r="E10" i="5"/>
  <c r="K10" i="5"/>
  <c r="Q10" i="5"/>
  <c r="E11" i="5"/>
  <c r="K11" i="5"/>
  <c r="Q11" i="5"/>
  <c r="E12" i="5"/>
  <c r="K12" i="5"/>
  <c r="Q12" i="5"/>
  <c r="E13" i="5"/>
  <c r="K13" i="5"/>
  <c r="Q13" i="5"/>
  <c r="E14" i="5"/>
  <c r="K14" i="5"/>
  <c r="Q14" i="5"/>
  <c r="E16" i="5"/>
  <c r="K16" i="5"/>
  <c r="Q16" i="5"/>
  <c r="E17" i="5"/>
  <c r="K17" i="5"/>
  <c r="E18" i="5"/>
  <c r="K18" i="5"/>
  <c r="E19" i="5"/>
  <c r="K19" i="5"/>
  <c r="E20" i="5"/>
  <c r="K20" i="5"/>
  <c r="Q20" i="5"/>
  <c r="E21" i="5"/>
  <c r="K21" i="5"/>
  <c r="Q21" i="5"/>
  <c r="E22" i="5"/>
  <c r="K22" i="5"/>
  <c r="Q22" i="5"/>
  <c r="E23" i="5"/>
  <c r="Q23" i="5"/>
  <c r="E24" i="5"/>
  <c r="K24" i="5"/>
  <c r="Q24" i="5"/>
  <c r="E25" i="5"/>
  <c r="K25" i="5"/>
  <c r="Q25" i="5"/>
  <c r="E26" i="5"/>
  <c r="K26" i="5"/>
  <c r="Q26" i="5"/>
  <c r="E27" i="5"/>
  <c r="K27" i="5"/>
  <c r="Q27" i="5"/>
  <c r="E28" i="5"/>
  <c r="K28" i="5"/>
  <c r="Q28" i="5"/>
  <c r="E29" i="5"/>
  <c r="K29" i="5"/>
  <c r="Q29" i="5"/>
  <c r="E30" i="5"/>
  <c r="K30" i="5"/>
  <c r="Q30" i="5"/>
  <c r="E31" i="5"/>
  <c r="K31" i="5"/>
  <c r="Q31" i="5"/>
  <c r="E32" i="5"/>
  <c r="K32" i="5"/>
  <c r="Q32" i="5"/>
  <c r="E33" i="5"/>
  <c r="K33" i="5"/>
  <c r="Q33" i="5"/>
  <c r="E34" i="5"/>
  <c r="Q34" i="5"/>
  <c r="E35" i="5"/>
  <c r="Q35" i="5"/>
  <c r="E36" i="5"/>
  <c r="Q36" i="5"/>
  <c r="E37" i="5"/>
  <c r="Q37" i="5"/>
  <c r="E38" i="5"/>
  <c r="K38" i="5"/>
  <c r="Q38" i="5"/>
  <c r="E39" i="5"/>
  <c r="K39" i="5"/>
  <c r="Q39" i="5"/>
  <c r="B40" i="5"/>
  <c r="C40" i="5"/>
  <c r="D40" i="5"/>
  <c r="I40" i="5"/>
  <c r="J40" i="5"/>
  <c r="N40" i="5"/>
  <c r="O40" i="5"/>
  <c r="P40" i="5"/>
  <c r="E48" i="5"/>
  <c r="K48" i="5"/>
  <c r="Q48" i="5"/>
  <c r="E49" i="5"/>
  <c r="E50" i="5"/>
  <c r="K50" i="5"/>
  <c r="Q50" i="5"/>
  <c r="E51" i="5"/>
  <c r="K51" i="5"/>
  <c r="Q51" i="5"/>
  <c r="E52" i="5"/>
  <c r="K52" i="5"/>
  <c r="Q52" i="5"/>
  <c r="E53" i="5"/>
  <c r="K53" i="5"/>
  <c r="Q53" i="5"/>
  <c r="E54" i="5"/>
  <c r="K54" i="5"/>
  <c r="Q54" i="5"/>
  <c r="E55" i="5"/>
  <c r="K55" i="5"/>
  <c r="Q55" i="5"/>
  <c r="E56" i="5"/>
  <c r="K56" i="5"/>
  <c r="Q56" i="5"/>
  <c r="E57" i="5"/>
  <c r="K57" i="5"/>
  <c r="Q57" i="5"/>
  <c r="E59" i="5"/>
  <c r="K59" i="5"/>
  <c r="E60" i="5"/>
  <c r="K60" i="5"/>
  <c r="Q60" i="5"/>
  <c r="E61" i="5"/>
  <c r="K61" i="5"/>
  <c r="Q61" i="5"/>
  <c r="E62" i="5"/>
  <c r="K62" i="5"/>
  <c r="Q62" i="5"/>
  <c r="E63" i="5"/>
  <c r="K63" i="5"/>
  <c r="Q63" i="5"/>
  <c r="E64" i="5"/>
  <c r="K64" i="5"/>
  <c r="Q64" i="5"/>
  <c r="E65" i="5"/>
  <c r="K65" i="5"/>
  <c r="Q65" i="5"/>
  <c r="E66" i="5"/>
  <c r="Q66" i="5"/>
  <c r="E67" i="5"/>
  <c r="K67" i="5"/>
  <c r="Q67" i="5"/>
  <c r="E68" i="5"/>
  <c r="K68" i="5"/>
  <c r="Q68" i="5"/>
  <c r="E69" i="5"/>
  <c r="K69" i="5"/>
  <c r="Q69" i="5"/>
  <c r="E70" i="5"/>
  <c r="K70" i="5"/>
  <c r="Q70" i="5"/>
  <c r="E71" i="5"/>
  <c r="K71" i="5"/>
  <c r="Q71" i="5"/>
  <c r="E72" i="5"/>
  <c r="K72" i="5"/>
  <c r="Q72" i="5"/>
  <c r="E73" i="5"/>
  <c r="K73" i="5"/>
  <c r="Q73" i="5"/>
  <c r="E74" i="5"/>
  <c r="K74" i="5"/>
  <c r="Q74" i="5"/>
  <c r="E75" i="5"/>
  <c r="K75" i="5"/>
  <c r="Q75" i="5"/>
  <c r="E76" i="5"/>
  <c r="K76" i="5"/>
  <c r="Q76" i="5"/>
  <c r="E77" i="5"/>
  <c r="K77" i="5"/>
  <c r="Q77" i="5"/>
  <c r="E78" i="5"/>
  <c r="K78" i="5"/>
  <c r="Q78" i="5"/>
  <c r="E79" i="5"/>
  <c r="Q79" i="5"/>
  <c r="E80" i="5"/>
  <c r="Q80" i="5"/>
  <c r="E81" i="5"/>
  <c r="Q81" i="5"/>
  <c r="E82" i="5"/>
  <c r="Q82" i="5"/>
  <c r="B83" i="5"/>
  <c r="C83" i="5"/>
  <c r="D83" i="5"/>
  <c r="H83" i="5"/>
  <c r="I83" i="5"/>
  <c r="J83" i="5"/>
  <c r="N83" i="5"/>
  <c r="O83" i="5"/>
  <c r="P83" i="5"/>
  <c r="E40" i="5" l="1"/>
  <c r="K83" i="5"/>
  <c r="Q83" i="5"/>
  <c r="Q40" i="5"/>
  <c r="E83" i="5"/>
  <c r="H40" i="5"/>
  <c r="K40" i="5" s="1"/>
  <c r="J15" i="5" l="1"/>
  <c r="J41" i="5" s="1"/>
  <c r="J47" i="5" s="1"/>
  <c r="J58" i="5" s="1"/>
  <c r="J84" i="5" s="1"/>
  <c r="J90" i="5" s="1"/>
  <c r="J101" i="5" s="1"/>
  <c r="J127" i="5" s="1"/>
  <c r="J133" i="5" s="1"/>
  <c r="J144" i="5" s="1"/>
  <c r="J170" i="5" s="1"/>
  <c r="J176" i="5" s="1"/>
  <c r="J187" i="5" s="1"/>
  <c r="J213" i="5" s="1"/>
  <c r="J219" i="5" s="1"/>
  <c r="J230" i="5" s="1"/>
  <c r="J256" i="5" s="1"/>
  <c r="J299" i="5" s="1"/>
  <c r="J305" i="5" l="1"/>
  <c r="J342" i="5" s="1"/>
  <c r="P15" i="5"/>
  <c r="P41" i="5" s="1"/>
  <c r="P47" i="5" s="1"/>
  <c r="P58" i="5" s="1"/>
  <c r="P84" i="5" s="1"/>
  <c r="D15" i="5"/>
  <c r="D41" i="5" s="1"/>
  <c r="D47" i="5" s="1"/>
  <c r="D58" i="5" s="1"/>
  <c r="D84" i="5" s="1"/>
  <c r="D90" i="5" s="1"/>
  <c r="D101" i="5" s="1"/>
  <c r="D127" i="5" s="1"/>
  <c r="D133" i="5" l="1"/>
  <c r="D144" i="5" s="1"/>
  <c r="D170" i="5" s="1"/>
  <c r="D176" i="5" s="1"/>
  <c r="D187" i="5" s="1"/>
  <c r="D213" i="5" s="1"/>
  <c r="D219" i="5" s="1"/>
  <c r="D230" i="5" s="1"/>
  <c r="D256" i="5" s="1"/>
  <c r="D262" i="5" s="1"/>
  <c r="D273" i="5" s="1"/>
  <c r="D299" i="5" s="1"/>
  <c r="D305" i="5" s="1"/>
  <c r="D316" i="5" s="1"/>
  <c r="D342" i="5" s="1"/>
  <c r="C15" i="5"/>
  <c r="C41" i="5" s="1"/>
  <c r="C47" i="5" s="1"/>
  <c r="C58" i="5" s="1"/>
  <c r="C84" i="5" l="1"/>
  <c r="C90" i="5" s="1"/>
  <c r="C101" i="5" s="1"/>
  <c r="C127" i="5" s="1"/>
  <c r="I15" i="5"/>
  <c r="I41" i="5" s="1"/>
  <c r="I47" i="5" s="1"/>
  <c r="C133" i="5" l="1"/>
  <c r="C144" i="5" s="1"/>
  <c r="C170" i="5" s="1"/>
  <c r="C176" i="5" s="1"/>
  <c r="C187" i="5" s="1"/>
  <c r="C213" i="5" s="1"/>
  <c r="C219" i="5" s="1"/>
  <c r="C230" i="5" s="1"/>
  <c r="C256" i="5" s="1"/>
  <c r="C262" i="5" s="1"/>
  <c r="I58" i="5"/>
  <c r="I84" i="5" s="1"/>
  <c r="I90" i="5" s="1"/>
  <c r="I101" i="5" s="1"/>
  <c r="I127" i="5" s="1"/>
  <c r="I133" i="5" s="1"/>
  <c r="I144" i="5" s="1"/>
  <c r="I170" i="5" s="1"/>
  <c r="I176" i="5" s="1"/>
  <c r="I187" i="5" s="1"/>
  <c r="I213" i="5" s="1"/>
  <c r="I219" i="5" s="1"/>
  <c r="I230" i="5" s="1"/>
  <c r="I256" i="5" s="1"/>
  <c r="I299" i="5" s="1"/>
  <c r="I305" i="5" s="1"/>
  <c r="C273" i="5" l="1"/>
  <c r="O15" i="5"/>
  <c r="O41" i="5" s="1"/>
  <c r="O47" i="5" s="1"/>
  <c r="O58" i="5" s="1"/>
  <c r="I342" i="5" l="1"/>
  <c r="I348" i="5" s="1"/>
  <c r="I359" i="5" s="1"/>
  <c r="I385" i="5" s="1"/>
  <c r="C299" i="5"/>
  <c r="C305" i="5" s="1"/>
  <c r="O84" i="5"/>
  <c r="C316" i="5" l="1"/>
  <c r="N15" i="5"/>
  <c r="H15" i="5"/>
  <c r="K4" i="5"/>
  <c r="C342" i="5" l="1"/>
  <c r="C348" i="5" s="1"/>
  <c r="E4" i="5"/>
  <c r="B15" i="5"/>
  <c r="Q15" i="5"/>
  <c r="Q41" i="5" s="1"/>
  <c r="N41" i="5"/>
  <c r="N47" i="5" s="1"/>
  <c r="H41" i="5"/>
  <c r="H47" i="5" s="1"/>
  <c r="K15" i="5"/>
  <c r="K41" i="5" s="1"/>
  <c r="C359" i="5" l="1"/>
  <c r="E15" i="5"/>
  <c r="E41" i="5" s="1"/>
  <c r="B41" i="5"/>
  <c r="B47" i="5" s="1"/>
  <c r="N58" i="5"/>
  <c r="Q47" i="5"/>
  <c r="H58" i="5"/>
  <c r="K47" i="5"/>
  <c r="C385" i="5" l="1"/>
  <c r="E47" i="5"/>
  <c r="B58" i="5"/>
  <c r="N84" i="5"/>
  <c r="Q58" i="5"/>
  <c r="Q84" i="5" s="1"/>
  <c r="H84" i="5"/>
  <c r="H90" i="5" s="1"/>
  <c r="K58" i="5"/>
  <c r="K84" i="5" s="1"/>
  <c r="K90" i="5" l="1"/>
  <c r="H101" i="5"/>
  <c r="B84" i="5"/>
  <c r="B90" i="5" s="1"/>
  <c r="E58" i="5"/>
  <c r="E84" i="5" s="1"/>
  <c r="H127" i="5" l="1"/>
  <c r="H133" i="5" s="1"/>
  <c r="K101" i="5"/>
  <c r="K127" i="5" s="1"/>
  <c r="B101" i="5"/>
  <c r="E90" i="5"/>
  <c r="H144" i="5" l="1"/>
  <c r="K133" i="5"/>
  <c r="B127" i="5"/>
  <c r="E101" i="5"/>
  <c r="E127" i="5" s="1"/>
  <c r="B133" i="5" l="1"/>
  <c r="E133" i="5" s="1"/>
  <c r="K144" i="5"/>
  <c r="K170" i="5" s="1"/>
  <c r="H170" i="5"/>
  <c r="H176" i="5" s="1"/>
  <c r="B144" i="5" l="1"/>
  <c r="B170" i="5" s="1"/>
  <c r="B176" i="5" s="1"/>
  <c r="K176" i="5"/>
  <c r="H187" i="5"/>
  <c r="E144" i="5" l="1"/>
  <c r="E170" i="5" s="1"/>
  <c r="B187" i="5"/>
  <c r="E176" i="5"/>
  <c r="K187" i="5"/>
  <c r="K213" i="5" s="1"/>
  <c r="H213" i="5"/>
  <c r="H219" i="5" s="1"/>
  <c r="K219" i="5" l="1"/>
  <c r="H230" i="5"/>
  <c r="B213" i="5"/>
  <c r="B219" i="5" s="1"/>
  <c r="E187" i="5"/>
  <c r="E213" i="5" s="1"/>
  <c r="B230" i="5" l="1"/>
  <c r="E219" i="5"/>
  <c r="K230" i="5"/>
  <c r="K256" i="5" s="1"/>
  <c r="H256" i="5"/>
  <c r="E230" i="5" l="1"/>
  <c r="E256" i="5" s="1"/>
  <c r="B256" i="5"/>
  <c r="B262" i="5" s="1"/>
  <c r="B273" i="5" l="1"/>
  <c r="E262" i="5"/>
  <c r="H299" i="5"/>
  <c r="H316" i="5" s="1"/>
  <c r="K299" i="5"/>
  <c r="K305" i="5" s="1"/>
  <c r="K316" i="5" s="1"/>
  <c r="B299" i="5" l="1"/>
  <c r="B305" i="5" s="1"/>
  <c r="E273" i="5"/>
  <c r="E299" i="5" s="1"/>
  <c r="B316" i="5" l="1"/>
  <c r="E305" i="5"/>
  <c r="H342" i="5"/>
  <c r="K342" i="5"/>
  <c r="K348" i="5" s="1"/>
  <c r="K359" i="5" s="1"/>
  <c r="K385" i="5" s="1"/>
  <c r="B342" i="5" l="1"/>
  <c r="B348" i="5" s="1"/>
  <c r="E316" i="5"/>
  <c r="E342" i="5" s="1"/>
  <c r="B359" i="5" l="1"/>
  <c r="E348" i="5"/>
  <c r="B385" i="5" l="1"/>
  <c r="E359" i="5"/>
  <c r="E385" i="5" s="1"/>
</calcChain>
</file>

<file path=xl/sharedStrings.xml><?xml version="1.0" encoding="utf-8"?>
<sst xmlns="http://schemas.openxmlformats.org/spreadsheetml/2006/main" count="863" uniqueCount="257">
  <si>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</si>
  <si>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</si>
  <si>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</si>
  <si>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</si>
  <si>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</si>
  <si>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</si>
  <si>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</si>
  <si>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</si>
  <si>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</si>
  <si>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</si>
  <si>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</si>
  <si>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追加2-2</t>
    <rPh sb="0" eb="2">
      <t>ツイカ</t>
    </rPh>
    <phoneticPr fontId="3"/>
  </si>
  <si>
    <t>初回2-1</t>
    <rPh sb="0" eb="2">
      <t>ショカイ</t>
    </rPh>
    <phoneticPr fontId="3"/>
  </si>
  <si>
    <t>??????</t>
    <phoneticPr fontId="7"/>
  </si>
  <si>
    <t>＜ガーゼインナー　5分丈ボトム3色組　夢販在庫＞</t>
    <rPh sb="10" eb="12">
      <t>ブタケ</t>
    </rPh>
    <rPh sb="16" eb="17">
      <t>ショク</t>
    </rPh>
    <rPh sb="17" eb="18">
      <t>クミ</t>
    </rPh>
    <rPh sb="19" eb="20">
      <t>ユメ</t>
    </rPh>
    <rPh sb="20" eb="21">
      <t>ハン</t>
    </rPh>
    <rPh sb="21" eb="23">
      <t>ザイコ</t>
    </rPh>
    <phoneticPr fontId="3"/>
  </si>
  <si>
    <t>＜ガーゼインナー　5分丈ボトム3色組　KPORT在庫＞</t>
    <rPh sb="10" eb="12">
      <t>ブタケ</t>
    </rPh>
    <rPh sb="16" eb="17">
      <t>ショク</t>
    </rPh>
    <rPh sb="17" eb="18">
      <t>クミ</t>
    </rPh>
    <rPh sb="24" eb="26">
      <t>ザイコ</t>
    </rPh>
    <phoneticPr fontId="3"/>
  </si>
  <si>
    <t>＜ガーゼインナー　5分丈ボトム3色組　クライム在庫＞</t>
    <rPh sb="10" eb="12">
      <t>ブタケ</t>
    </rPh>
    <rPh sb="16" eb="17">
      <t>ショク</t>
    </rPh>
    <rPh sb="17" eb="18">
      <t>クミ</t>
    </rPh>
    <rPh sb="23" eb="25">
      <t>ザイコ</t>
    </rPh>
    <phoneticPr fontId="3"/>
  </si>
  <si>
    <t>KPORT2-1</t>
    <phoneticPr fontId="7"/>
  </si>
  <si>
    <t>KPORT2-2</t>
    <phoneticPr fontId="7"/>
  </si>
  <si>
    <t>3色組（ピーチ、ベージュ、ラベンダー）</t>
    <rPh sb="1" eb="2">
      <t>ショク</t>
    </rPh>
    <rPh sb="2" eb="3">
      <t>クミ</t>
    </rPh>
    <phoneticPr fontId="7"/>
  </si>
  <si>
    <t>夢販</t>
    <rPh sb="0" eb="2">
      <t>ユメハン</t>
    </rPh>
    <phoneticPr fontId="7"/>
  </si>
  <si>
    <t>JOD特別版0904</t>
    <rPh sb="3" eb="6">
      <t>トクベツバン</t>
    </rPh>
    <phoneticPr fontId="7"/>
  </si>
  <si>
    <t>9/3～</t>
    <phoneticPr fontId="7"/>
  </si>
  <si>
    <t>9/26、10/4</t>
    <phoneticPr fontId="7"/>
  </si>
  <si>
    <t>JOD①</t>
    <phoneticPr fontId="7"/>
  </si>
  <si>
    <t>JOD②</t>
    <phoneticPr fontId="7"/>
  </si>
  <si>
    <t>No.3628-040-042</t>
    <phoneticPr fontId="7"/>
  </si>
  <si>
    <t>2021/9/9伝数</t>
    <rPh sb="8" eb="9">
      <t>デン</t>
    </rPh>
    <rPh sb="9" eb="10">
      <t>スウ</t>
    </rPh>
    <phoneticPr fontId="7"/>
  </si>
  <si>
    <t>JOD③</t>
    <phoneticPr fontId="7"/>
  </si>
  <si>
    <t>ネット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</si>
  <si>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</si>
  <si>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</si>
  <si>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</si>
  <si>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</si>
  <si>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</si>
  <si>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</si>
  <si>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</si>
  <si>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</si>
  <si>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2021/9/24伝数</t>
    <rPh sb="9" eb="10">
      <t>デン</t>
    </rPh>
    <rPh sb="10" eb="11">
      <t>スウ</t>
    </rPh>
    <phoneticPr fontId="7"/>
  </si>
  <si>
    <r>
      <t>コープしが9月5回</t>
    </r>
    <r>
      <rPr>
        <b/>
        <sz val="11"/>
        <rFont val="ＭＳ Ｐゴシック"/>
        <family val="3"/>
        <charset val="128"/>
      </rPr>
      <t>（不透明袋）①</t>
    </r>
    <rPh sb="6" eb="7">
      <t>ガツ</t>
    </rPh>
    <rPh sb="8" eb="9">
      <t>カイ</t>
    </rPh>
    <phoneticPr fontId="7"/>
  </si>
  <si>
    <t>JOD⑫</t>
    <phoneticPr fontId="7"/>
  </si>
  <si>
    <t>JOD⑬</t>
    <phoneticPr fontId="7"/>
  </si>
  <si>
    <t>ロイヤルステージ1月号</t>
    <rPh sb="9" eb="11">
      <t>ガツゴウ</t>
    </rPh>
    <phoneticPr fontId="7"/>
  </si>
  <si>
    <t>1/12～</t>
    <phoneticPr fontId="7"/>
  </si>
  <si>
    <r>
      <t>コープしが9月5回</t>
    </r>
    <r>
      <rPr>
        <b/>
        <sz val="11"/>
        <rFont val="ＭＳ Ｐゴシック"/>
        <family val="3"/>
        <charset val="128"/>
      </rPr>
      <t>（不透明袋）</t>
    </r>
    <rPh sb="6" eb="7">
      <t>ガツ</t>
    </rPh>
    <rPh sb="8" eb="9">
      <t>カイ</t>
    </rPh>
    <phoneticPr fontId="7"/>
  </si>
  <si>
    <t>JOD⑭</t>
    <phoneticPr fontId="7"/>
  </si>
  <si>
    <r>
      <t>こうち生協10月2回</t>
    </r>
    <r>
      <rPr>
        <b/>
        <sz val="11"/>
        <rFont val="ＭＳ Ｐゴシック"/>
        <family val="3"/>
        <charset val="128"/>
      </rPr>
      <t>（不透明袋）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</si>
  <si>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r>
      <t>こうち生協10月2回</t>
    </r>
    <r>
      <rPr>
        <b/>
        <sz val="11"/>
        <rFont val="ＭＳ Ｐゴシック"/>
        <family val="3"/>
        <charset val="128"/>
      </rPr>
      <t>（不透明袋）①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</si>
  <si>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t>JOD⑮</t>
    <phoneticPr fontId="7"/>
  </si>
  <si>
    <t>ベージュ</t>
    <phoneticPr fontId="7"/>
  </si>
  <si>
    <t>ピーチ</t>
    <phoneticPr fontId="7"/>
  </si>
  <si>
    <t>ラベンダー</t>
    <phoneticPr fontId="7"/>
  </si>
  <si>
    <t>M</t>
  </si>
  <si>
    <t>L</t>
  </si>
  <si>
    <t>LL</t>
  </si>
  <si>
    <t>残在庫数</t>
    <rPh sb="0" eb="1">
      <t>ザン</t>
    </rPh>
    <rPh sb="1" eb="3">
      <t>ザイコ</t>
    </rPh>
    <rPh sb="3" eb="4">
      <t>スウ</t>
    </rPh>
    <phoneticPr fontId="3"/>
  </si>
  <si>
    <t>＜ガーゼインナー　5分丈ボトム　夢販在庫＞</t>
    <rPh sb="10" eb="12">
      <t>ブタケ</t>
    </rPh>
    <rPh sb="16" eb="17">
      <t>ユメ</t>
    </rPh>
    <rPh sb="17" eb="18">
      <t>ハン</t>
    </rPh>
    <rPh sb="18" eb="20">
      <t>ザイコ</t>
    </rPh>
    <phoneticPr fontId="3"/>
  </si>
  <si>
    <t>ネット単品化</t>
    <rPh sb="3" eb="6">
      <t>タンピンカ</t>
    </rPh>
    <phoneticPr fontId="7"/>
  </si>
  <si>
    <t>JOD⑯</t>
    <phoneticPr fontId="7"/>
  </si>
  <si>
    <r>
      <t>こうち生協11月2回</t>
    </r>
    <r>
      <rPr>
        <b/>
        <sz val="11"/>
        <rFont val="ＭＳ Ｐゴシック"/>
        <family val="3"/>
        <charset val="128"/>
      </rPr>
      <t>（不透明袋）①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</si>
  <si>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r>
      <t>こうち生協11月2回</t>
    </r>
    <r>
      <rPr>
        <b/>
        <sz val="11"/>
        <rFont val="ＭＳ Ｐゴシック"/>
        <family val="3"/>
        <charset val="128"/>
      </rPr>
      <t>（不透明袋）</t>
    </r>
    <rPh sb="3" eb="5">
      <t>セイキョウ</t>
    </rPh>
    <rPh sb="7" eb="8">
      <t>ガツ</t>
    </rPh>
    <rPh sb="9" eb="10">
      <t>カイ</t>
    </rPh>
    <rPh sb="11" eb="15">
      <t>フトウメイフクロ</t>
    </rPh>
    <phoneticPr fontId="7"/>
  </si>
  <si>
    <t>JOD⑰</t>
    <phoneticPr fontId="7"/>
  </si>
  <si>
    <t>京都生協11月3回（不透明袋）①</t>
    <rPh sb="0" eb="4">
      <t>キョウトセイキョウ</t>
    </rPh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</si>
  <si>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r>
      <t>京都生協11月3回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rPh sb="6" eb="7">
      <t>ガツ</t>
    </rPh>
    <rPh sb="8" eb="9">
      <t>カイ</t>
    </rPh>
    <rPh sb="10" eb="13">
      <t>フトウメイ</t>
    </rPh>
    <rPh sb="13" eb="14">
      <t>フクロ</t>
    </rPh>
    <phoneticPr fontId="7"/>
  </si>
  <si>
    <t>はぴねすくらぶsample</t>
    <phoneticPr fontId="7"/>
  </si>
  <si>
    <t>千趣会（CRAS）5月号</t>
    <rPh sb="0" eb="3">
      <t>センシュカイ</t>
    </rPh>
    <rPh sb="10" eb="12">
      <t>ガツゴウ</t>
    </rPh>
    <phoneticPr fontId="7"/>
  </si>
  <si>
    <t>K-PORT</t>
    <phoneticPr fontId="7"/>
  </si>
  <si>
    <t>オバタsample</t>
    <phoneticPr fontId="7"/>
  </si>
  <si>
    <t>不足分</t>
    <rPh sb="0" eb="3">
      <t>フソクブン</t>
    </rPh>
    <phoneticPr fontId="3"/>
  </si>
  <si>
    <t>（1/伝）</t>
    <rPh sb="3" eb="4">
      <t>デン</t>
    </rPh>
    <phoneticPr fontId="7"/>
  </si>
  <si>
    <t>JOD⑱</t>
    <phoneticPr fontId="7"/>
  </si>
  <si>
    <t>グリーンコープ3月2号（未開封シール）</t>
    <rPh sb="8" eb="9">
      <t>ガツ</t>
    </rPh>
    <rPh sb="10" eb="11">
      <t>ゴウ</t>
    </rPh>
    <rPh sb="12" eb="15">
      <t>ミカイフウ</t>
    </rPh>
    <phoneticPr fontId="7"/>
  </si>
  <si>
    <t>点3/22、アバウト3/29、本3/31、4/4</t>
    <rPh sb="0" eb="1">
      <t>テン</t>
    </rPh>
    <rPh sb="15" eb="16">
      <t>ホン</t>
    </rPh>
    <phoneticPr fontId="7"/>
  </si>
  <si>
    <t>2021/12/17伝数</t>
    <rPh sb="10" eb="11">
      <t>デン</t>
    </rPh>
    <rPh sb="11" eb="12">
      <t>スウ</t>
    </rPh>
    <phoneticPr fontId="7"/>
  </si>
  <si>
    <t>シンエイ返品</t>
    <rPh sb="4" eb="6">
      <t>ヘンピン</t>
    </rPh>
    <phoneticPr fontId="3"/>
  </si>
  <si>
    <t>ロイヤルステージ1月号①</t>
    <rPh sb="9" eb="11">
      <t>ガツゴウ</t>
    </rPh>
    <phoneticPr fontId="7"/>
  </si>
  <si>
    <t>JOD⑲</t>
    <phoneticPr fontId="7"/>
  </si>
  <si>
    <t>夢販</t>
    <rPh sb="0" eb="2">
      <t>ユメハン</t>
    </rPh>
    <phoneticPr fontId="7"/>
  </si>
  <si>
    <t>JOD特別版0304</t>
    <rPh sb="3" eb="6">
      <t>トクベツバン</t>
    </rPh>
    <phoneticPr fontId="7"/>
  </si>
  <si>
    <t>3/3～</t>
    <phoneticPr fontId="7"/>
  </si>
  <si>
    <t>コープさっぽろ4-3ｗ</t>
    <phoneticPr fontId="7"/>
  </si>
  <si>
    <t>4/13、18</t>
    <phoneticPr fontId="7"/>
  </si>
  <si>
    <t>JOD⑳</t>
    <phoneticPr fontId="7"/>
  </si>
  <si>
    <t>ロイヤルステージ1月号ソフトブラセット①</t>
    <rPh sb="9" eb="11">
      <t>ガツゴウ</t>
    </rPh>
    <phoneticPr fontId="7"/>
  </si>
  <si>
    <t>ロイヤルステージ1月号ソフトブラセット②</t>
    <rPh sb="9" eb="11">
      <t>ガツゴウ</t>
    </rPh>
    <phoneticPr fontId="7"/>
  </si>
  <si>
    <t>ロイヤルステージ1月号②</t>
    <rPh sb="9" eb="11">
      <t>ガツゴウ</t>
    </rPh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</si>
  <si>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</si>
  <si>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</si>
  <si>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</si>
  <si>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</si>
  <si>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</si>
  <si>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</si>
  <si>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千趣会（CRAS）5月号①</t>
    <rPh sb="0" eb="3">
      <t>センシュカイ</t>
    </rPh>
    <rPh sb="10" eb="12">
      <t>ガツゴウ</t>
    </rPh>
    <phoneticPr fontId="7"/>
  </si>
  <si>
    <t>グリーンコープ3月2号（未開封シール）①</t>
    <rPh sb="8" eb="9">
      <t>ガツ</t>
    </rPh>
    <rPh sb="10" eb="11">
      <t>ゴウ</t>
    </rPh>
    <rPh sb="12" eb="15">
      <t>ミカイフウ</t>
    </rPh>
    <phoneticPr fontId="7"/>
  </si>
  <si>
    <t>ロイヤルステージ返品</t>
    <rPh sb="8" eb="10">
      <t>ヘンピン</t>
    </rPh>
    <phoneticPr fontId="3"/>
  </si>
  <si>
    <t>JOD㉗</t>
    <phoneticPr fontId="7"/>
  </si>
  <si>
    <t>JOD㉘</t>
    <phoneticPr fontId="7"/>
  </si>
  <si>
    <t>グリーンコープ3月2号（未開封シール）②</t>
    <rPh sb="8" eb="9">
      <t>ガツ</t>
    </rPh>
    <rPh sb="10" eb="11">
      <t>ゴウ</t>
    </rPh>
    <rPh sb="12" eb="15">
      <t>ミカイフウ</t>
    </rPh>
    <phoneticPr fontId="7"/>
  </si>
  <si>
    <t>JOD㉙</t>
    <phoneticPr fontId="7"/>
  </si>
  <si>
    <t>グリーンコープ3月2号（未開封シール）③</t>
    <rPh sb="8" eb="9">
      <t>ガツ</t>
    </rPh>
    <rPh sb="10" eb="11">
      <t>ゴウ</t>
    </rPh>
    <rPh sb="12" eb="15">
      <t>ミカイフウ</t>
    </rPh>
    <phoneticPr fontId="7"/>
  </si>
  <si>
    <t>JOD返品</t>
    <rPh sb="3" eb="5">
      <t>ヘンピン</t>
    </rPh>
    <phoneticPr fontId="3"/>
  </si>
  <si>
    <t>JOD㉚</t>
    <phoneticPr fontId="7"/>
  </si>
  <si>
    <t>コープさっぽろ4-3ｗ①</t>
    <phoneticPr fontId="7"/>
  </si>
  <si>
    <t>パル・くらす8月2回（差分予測）</t>
    <rPh sb="7" eb="8">
      <t>ガツ</t>
    </rPh>
    <rPh sb="9" eb="10">
      <t>カイ</t>
    </rPh>
    <rPh sb="11" eb="15">
      <t>サブンヨソク</t>
    </rPh>
    <phoneticPr fontId="7"/>
  </si>
  <si>
    <t>丸藤（パル）sample</t>
    <rPh sb="0" eb="2">
      <t>マルフジ</t>
    </rPh>
    <phoneticPr fontId="7"/>
  </si>
  <si>
    <t>コープさっぽろ4-3ｗ②</t>
    <phoneticPr fontId="7"/>
  </si>
  <si>
    <t>JOD㉛</t>
    <phoneticPr fontId="7"/>
  </si>
  <si>
    <t>夢販</t>
    <rPh sb="0" eb="2">
      <t>ユメハン</t>
    </rPh>
    <phoneticPr fontId="7"/>
  </si>
  <si>
    <t>JODララコフレ7264</t>
    <phoneticPr fontId="7"/>
  </si>
  <si>
    <t>5/25～</t>
    <phoneticPr fontId="7"/>
  </si>
  <si>
    <t>8/2、8/8</t>
    <phoneticPr fontId="7"/>
  </si>
  <si>
    <t>コープさっぽろ4-3ｗ③</t>
    <phoneticPr fontId="7"/>
  </si>
  <si>
    <t>ネット</t>
    <phoneticPr fontId="7"/>
  </si>
  <si>
    <t>はぴねすくらぶsample返却</t>
    <rPh sb="13" eb="15">
      <t>ヘンキャク</t>
    </rPh>
    <phoneticPr fontId="7"/>
  </si>
  <si>
    <t>JOD㉜</t>
    <phoneticPr fontId="7"/>
  </si>
  <si>
    <t>JOD㉝</t>
    <phoneticPr fontId="7"/>
  </si>
  <si>
    <t>6/21～</t>
    <phoneticPr fontId="7"/>
  </si>
  <si>
    <t>JOD特別号9535</t>
    <rPh sb="3" eb="6">
      <t>トクベツゴウ</t>
    </rPh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</si>
  <si>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</si>
  <si>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</si>
  <si>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</si>
  <si>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</si>
  <si>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JOD㊳</t>
    <phoneticPr fontId="7"/>
  </si>
  <si>
    <t>JOD㊴</t>
    <phoneticPr fontId="7"/>
  </si>
  <si>
    <t>JOD㊵</t>
    <phoneticPr fontId="7"/>
  </si>
  <si>
    <t>JOD㊶</t>
    <phoneticPr fontId="7"/>
  </si>
  <si>
    <t>K-PORT</t>
    <phoneticPr fontId="7"/>
  </si>
  <si>
    <t>JOD㊷</t>
    <phoneticPr fontId="7"/>
  </si>
  <si>
    <t>JOD㊸</t>
    <phoneticPr fontId="7"/>
  </si>
  <si>
    <t>JOD㊹</t>
    <phoneticPr fontId="7"/>
  </si>
  <si>
    <t>JOD㊺</t>
    <phoneticPr fontId="7"/>
  </si>
  <si>
    <t>JOD㊻</t>
    <phoneticPr fontId="7"/>
  </si>
  <si>
    <t>JOD㊼</t>
    <phoneticPr fontId="7"/>
  </si>
  <si>
    <t>JOD㊽</t>
    <phoneticPr fontId="7"/>
  </si>
  <si>
    <t>JOD㊾</t>
    <phoneticPr fontId="7"/>
  </si>
  <si>
    <t xml:space="preserve">JOD50 </t>
    <phoneticPr fontId="7"/>
  </si>
  <si>
    <t>JOD51</t>
  </si>
  <si>
    <t>JOD52</t>
  </si>
  <si>
    <t>オバタ返品</t>
    <rPh sb="3" eb="5">
      <t>ヘンピン</t>
    </rPh>
    <phoneticPr fontId="3"/>
  </si>
  <si>
    <t>JOD53</t>
  </si>
  <si>
    <t>追加</t>
    <rPh sb="0" eb="2">
      <t>ツイカ</t>
    </rPh>
    <phoneticPr fontId="7"/>
  </si>
  <si>
    <t>JOD54</t>
  </si>
  <si>
    <r>
      <t>パル・くらす8月2回</t>
    </r>
    <r>
      <rPr>
        <b/>
        <sz val="11"/>
        <rFont val="ＭＳ Ｐゴシック"/>
        <family val="3"/>
        <charset val="128"/>
      </rPr>
      <t>(大PP袋外す)①</t>
    </r>
    <rPh sb="7" eb="8">
      <t>ガツ</t>
    </rPh>
    <rPh sb="9" eb="10">
      <t>カイ</t>
    </rPh>
    <phoneticPr fontId="7"/>
  </si>
  <si>
    <r>
      <t>パル・くらす8月2回</t>
    </r>
    <r>
      <rPr>
        <b/>
        <sz val="11"/>
        <rFont val="ＭＳ Ｐゴシック"/>
        <family val="3"/>
        <charset val="128"/>
      </rPr>
      <t>(大PP袋外す)</t>
    </r>
    <rPh sb="7" eb="8">
      <t>ガツ</t>
    </rPh>
    <rPh sb="9" eb="10">
      <t>カイ</t>
    </rPh>
    <phoneticPr fontId="7"/>
  </si>
  <si>
    <r>
      <t>パル・くらす8月2回</t>
    </r>
    <r>
      <rPr>
        <b/>
        <sz val="11"/>
        <rFont val="ＭＳ Ｐゴシック"/>
        <family val="3"/>
        <charset val="128"/>
      </rPr>
      <t>(大PP袋外す)②</t>
    </r>
    <rPh sb="7" eb="8">
      <t>ガツ</t>
    </rPh>
    <rPh sb="9" eb="10">
      <t>カイ</t>
    </rPh>
    <phoneticPr fontId="7"/>
  </si>
  <si>
    <t>JOD55</t>
    <phoneticPr fontId="7"/>
  </si>
  <si>
    <t>千趣会返品</t>
    <rPh sb="0" eb="3">
      <t>センシュカイ</t>
    </rPh>
    <rPh sb="3" eb="5">
      <t>ヘンピン</t>
    </rPh>
    <phoneticPr fontId="3"/>
  </si>
  <si>
    <t>JOD56</t>
    <phoneticPr fontId="7"/>
  </si>
  <si>
    <t>K-PORT</t>
    <phoneticPr fontId="7"/>
  </si>
  <si>
    <t>JOD57</t>
    <phoneticPr fontId="7"/>
  </si>
  <si>
    <t>棚卸</t>
    <rPh sb="0" eb="2">
      <t>タナオロシ</t>
    </rPh>
    <phoneticPr fontId="3"/>
  </si>
  <si>
    <t>丸藤返品</t>
    <rPh sb="0" eb="2">
      <t>マルフジ</t>
    </rPh>
    <rPh sb="2" eb="4">
      <t>ヘンピン</t>
    </rPh>
    <phoneticPr fontId="7"/>
  </si>
  <si>
    <t>JOD58</t>
    <phoneticPr fontId="7"/>
  </si>
  <si>
    <t>JOD59</t>
    <phoneticPr fontId="7"/>
  </si>
  <si>
    <t>丸藤サンプル返品</t>
    <rPh sb="0" eb="2">
      <t>マルフジ</t>
    </rPh>
    <rPh sb="6" eb="8">
      <t>ヘンピン</t>
    </rPh>
    <phoneticPr fontId="7"/>
  </si>
  <si>
    <t>牧野</t>
    <rPh sb="0" eb="2">
      <t>マキノ</t>
    </rPh>
    <phoneticPr fontId="7"/>
  </si>
  <si>
    <t>サクラマチ（齋藤さん）sample</t>
    <rPh sb="6" eb="8">
      <t>サイトウ</t>
    </rPh>
    <phoneticPr fontId="7"/>
  </si>
  <si>
    <t>はぴねすくらぶ2月号</t>
    <rPh sb="8" eb="10">
      <t>ガツゴウ</t>
    </rPh>
    <phoneticPr fontId="7"/>
  </si>
  <si>
    <t>2/13～</t>
    <phoneticPr fontId="7"/>
  </si>
  <si>
    <t>はぴねすくらぶ2月号①</t>
    <rPh sb="8" eb="10">
      <t>ガツゴウ</t>
    </rPh>
    <phoneticPr fontId="7"/>
  </si>
  <si>
    <t>はぴねすくらぶ2月号②</t>
    <rPh sb="8" eb="10">
      <t>ガツゴウ</t>
    </rPh>
    <phoneticPr fontId="7"/>
  </si>
  <si>
    <t>夢販</t>
    <rPh sb="0" eb="2">
      <t>ユメハン</t>
    </rPh>
    <phoneticPr fontId="7"/>
  </si>
  <si>
    <t>はぴねすくらぶ2月号③</t>
    <rPh sb="8" eb="10">
      <t>ガツゴウ</t>
    </rPh>
    <phoneticPr fontId="7"/>
  </si>
  <si>
    <t>はぴねすくらぶ2月号④</t>
    <rPh sb="8" eb="10">
      <t>ガツゴウ</t>
    </rPh>
    <phoneticPr fontId="7"/>
  </si>
  <si>
    <t>はぴねすくらぶ2月号⑤</t>
    <rPh sb="8" eb="10">
      <t>ガツゴウ</t>
    </rPh>
    <phoneticPr fontId="7"/>
  </si>
  <si>
    <t>はぴねすくらぶ2月号⑥</t>
    <rPh sb="8" eb="10">
      <t>ガツゴウ</t>
    </rPh>
    <phoneticPr fontId="7"/>
  </si>
  <si>
    <t>はぴねすくらぶ2月号⑦</t>
    <rPh sb="8" eb="10">
      <t>ガツゴウ</t>
    </rPh>
    <phoneticPr fontId="7"/>
  </si>
  <si>
    <t>JOD①</t>
    <phoneticPr fontId="7"/>
  </si>
  <si>
    <t>JOD②</t>
    <phoneticPr fontId="7"/>
  </si>
  <si>
    <t>JOD③</t>
    <phoneticPr fontId="7"/>
  </si>
  <si>
    <t>はぴねすくらぶ返品</t>
    <rPh sb="7" eb="9">
      <t>ヘンピン</t>
    </rPh>
    <phoneticPr fontId="3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</si>
  <si>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</si>
  <si>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</si>
  <si>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</si>
  <si>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</si>
  <si>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</si>
  <si>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</si>
  <si>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</si>
  <si>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ネット</t>
    <phoneticPr fontId="7"/>
  </si>
  <si>
    <t>JOD⑪</t>
    <phoneticPr fontId="7"/>
  </si>
  <si>
    <t>JOD⑫</t>
    <phoneticPr fontId="7"/>
  </si>
  <si>
    <t>JOD特別版0719</t>
    <rPh sb="3" eb="6">
      <t>トクベツバン</t>
    </rPh>
    <phoneticPr fontId="7"/>
  </si>
  <si>
    <t>7/18～</t>
    <phoneticPr fontId="7"/>
  </si>
  <si>
    <t>JOD⑬</t>
    <phoneticPr fontId="7"/>
  </si>
  <si>
    <t>JOD⑭</t>
    <phoneticPr fontId="7"/>
  </si>
  <si>
    <t>JOD⑯</t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</si>
  <si>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</si>
  <si>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</si>
  <si>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</si>
  <si>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</si>
  <si>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</si>
  <si>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JOD㉒</t>
    <phoneticPr fontId="7"/>
  </si>
  <si>
    <t>ネット不良品交換</t>
    <rPh sb="3" eb="8">
      <t>フリョウヒンコウカン</t>
    </rPh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</si>
  <si>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</si>
  <si>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</si>
  <si>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</si>
  <si>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</si>
  <si>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夢販</t>
    <rPh sb="0" eb="2">
      <t>ユメハン</t>
    </rPh>
    <phoneticPr fontId="7"/>
  </si>
  <si>
    <t>在庫確認</t>
    <rPh sb="0" eb="4">
      <t>ザイコカクニン</t>
    </rPh>
    <phoneticPr fontId="3"/>
  </si>
  <si>
    <t>JOD㉘</t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</si>
  <si>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</si>
  <si>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</si>
  <si>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</si>
  <si>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</si>
  <si>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</si>
  <si>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</si>
  <si>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JODアクセス7001</t>
    <phoneticPr fontId="7"/>
  </si>
  <si>
    <t>6/14～</t>
    <phoneticPr fontId="7"/>
  </si>
  <si>
    <t>JOD㊿</t>
    <phoneticPr fontId="7"/>
  </si>
  <si>
    <t>JOD51</t>
    <phoneticPr fontId="7"/>
  </si>
  <si>
    <t>JODルフェリ1020</t>
    <phoneticPr fontId="7"/>
  </si>
  <si>
    <t>10/18～</t>
    <phoneticPr fontId="7"/>
  </si>
  <si>
    <t>JOD52</t>
    <phoneticPr fontId="7"/>
  </si>
  <si>
    <t>K-PORT</t>
    <phoneticPr fontId="7"/>
  </si>
  <si>
    <t>JOD53</t>
    <phoneticPr fontId="7"/>
  </si>
  <si>
    <t>JOD55</t>
  </si>
  <si>
    <t>JOD56</t>
  </si>
  <si>
    <t>JOD57</t>
    <phoneticPr fontId="7"/>
  </si>
  <si>
    <t>JOD58</t>
  </si>
  <si>
    <t>JOD特別号9659【限定】</t>
    <rPh sb="3" eb="6">
      <t>トクベツゴウ</t>
    </rPh>
    <rPh sb="11" eb="13">
      <t>ゲンテイ</t>
    </rPh>
    <phoneticPr fontId="7"/>
  </si>
  <si>
    <t>8/1～</t>
    <phoneticPr fontId="7"/>
  </si>
  <si>
    <t>JOD60</t>
  </si>
  <si>
    <t>夢販</t>
    <rPh sb="0" eb="2">
      <t>ユメハン</t>
    </rPh>
    <phoneticPr fontId="7"/>
  </si>
  <si>
    <t>←式確認ここまで　2025/8/9</t>
    <rPh sb="0" eb="4">
      <t>&lt;-シキカクニン</t>
    </rPh>
    <phoneticPr fontId="7"/>
  </si>
  <si>
    <t>JOD61</t>
  </si>
  <si>
    <t>JOD62</t>
  </si>
  <si>
    <t>JOD63</t>
  </si>
  <si>
    <t>JOD64</t>
  </si>
  <si>
    <t>JOD65</t>
  </si>
  <si>
    <t>JOD66</t>
  </si>
  <si>
    <t>JOD67</t>
  </si>
  <si>
    <t>JOD68</t>
  </si>
  <si>
    <t>JOD69</t>
  </si>
  <si>
    <t>ネット</t>
    <phoneticPr fontId="7"/>
  </si>
  <si>
    <t>JOD特別版1127</t>
    <rPh sb="3" eb="5">
      <t>トクベツ</t>
    </rPh>
    <rPh sb="5" eb="6">
      <t>バン</t>
    </rPh>
    <phoneticPr fontId="7"/>
  </si>
  <si>
    <t>11/26～</t>
    <phoneticPr fontId="7"/>
  </si>
  <si>
    <t>JOD70</t>
    <phoneticPr fontId="7"/>
  </si>
  <si>
    <t>JOD71</t>
  </si>
  <si>
    <t>JOD72</t>
  </si>
  <si>
    <t>JOD73</t>
    <phoneticPr fontId="7"/>
  </si>
  <si>
    <t>JOD73</t>
  </si>
  <si>
    <t>JOD74</t>
  </si>
  <si>
    <t>JOD75</t>
  </si>
  <si>
    <t>JOD76</t>
  </si>
  <si>
    <t>JOD77</t>
  </si>
  <si>
    <t>JOD78</t>
  </si>
  <si>
    <t>JOD79</t>
  </si>
  <si>
    <t>JOD80</t>
  </si>
  <si>
    <t>JOD81</t>
  </si>
  <si>
    <t>JOD82</t>
    <phoneticPr fontId="7"/>
  </si>
  <si>
    <t>ゆめはん</t>
    <phoneticPr fontId="7"/>
  </si>
  <si>
    <t>JOD返品</t>
    <rPh sb="3" eb="5">
      <t>ヘンピン</t>
    </rPh>
    <phoneticPr fontId="7"/>
  </si>
  <si>
    <t>JOD83</t>
  </si>
  <si>
    <t>→ここまで在庫確認済3/2</t>
    <rPh sb="0" eb="10">
      <t>ヤジルシココマデザイコカクニンスミ</t>
    </rPh>
    <phoneticPr fontId="7"/>
  </si>
  <si>
    <t>KPORT</t>
    <phoneticPr fontId="7"/>
  </si>
  <si>
    <t>ゆめはん移動</t>
    <rPh sb="4" eb="6">
      <t>イドウ</t>
    </rPh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</si>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</sst>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0" fillId="0" borderId="0" xfId="2" applyFont="1"/>
    <xf numFmtId="0" fontId="11" fillId="0" borderId="0" xfId="0" applyFont="1">
      <alignment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9" xfId="2" applyBorder="1" applyAlignment="1">
      <alignment horizontal="center"/>
    </xf>
    <xf numFmtId="56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56" fontId="8" fillId="0" borderId="0" xfId="0" applyNumberFormat="1" applyFont="1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9" xfId="2" applyFont="1" applyBorder="1" applyAlignment="1">
      <alignment horizontal="center"/>
    </xf>
    <xf numFmtId="56" fontId="12" fillId="0" borderId="0" xfId="0" applyNumberFormat="1" applyFont="1" applyAlignment="1">
      <alignment horizontal="left"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13" fillId="0" borderId="0" xfId="2" applyFont="1"/>
    <xf numFmtId="56" fontId="0" fillId="0" borderId="0" xfId="0" applyNumberFormat="1" applyAlignment="1">
      <alignment horizontal="left" vertical="center"/>
    </xf>
    <xf numFmtId="0" fontId="2" fillId="0" borderId="8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56" fontId="11" fillId="0" borderId="0" xfId="0" applyNumberFormat="1" applyFont="1">
      <alignment vertical="center"/>
    </xf>
    <xf numFmtId="0" fontId="4" fillId="0" borderId="4" xfId="2" applyFont="1" applyBorder="1" applyAlignment="1">
      <alignment horizontal="center" vertical="center"/>
    </xf>
    <xf numFmtId="0" fontId="11" fillId="3" borderId="4" xfId="0" applyFont="1" applyFill="1" applyBorder="1">
      <alignment vertical="center"/>
    </xf>
    <xf numFmtId="0" fontId="4" fillId="0" borderId="7" xfId="2" applyFont="1" applyBorder="1" applyAlignment="1">
      <alignment horizontal="center" vertical="center"/>
    </xf>
    <xf numFmtId="0" fontId="2" fillId="2" borderId="15" xfId="2" applyFill="1" applyBorder="1"/>
    <xf numFmtId="0" fontId="11" fillId="3" borderId="15" xfId="0" applyFont="1" applyFill="1" applyBorder="1">
      <alignment vertical="center"/>
    </xf>
    <xf numFmtId="0" fontId="2" fillId="0" borderId="12" xfId="2" applyBorder="1"/>
    <xf numFmtId="0" fontId="2" fillId="0" borderId="4" xfId="2" applyBorder="1"/>
    <xf numFmtId="0" fontId="2" fillId="0" borderId="8" xfId="2" applyBorder="1"/>
    <xf numFmtId="0" fontId="9" fillId="0" borderId="4" xfId="2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6" fillId="4" borderId="1" xfId="2" applyFont="1" applyFill="1" applyBorder="1"/>
    <xf numFmtId="0" fontId="6" fillId="5" borderId="1" xfId="2" applyFont="1" applyFill="1" applyBorder="1"/>
    <xf numFmtId="0" fontId="14" fillId="0" borderId="4" xfId="2" applyFont="1" applyBorder="1" applyAlignment="1">
      <alignment horizontal="center" vertical="center" shrinkToFit="1"/>
    </xf>
    <xf numFmtId="0" fontId="14" fillId="0" borderId="4" xfId="2" applyFont="1" applyBorder="1" applyAlignment="1">
      <alignment horizontal="center" vertical="center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5" fillId="0" borderId="0" xfId="0" applyNumberFormat="1" applyFont="1" applyAlignment="1">
      <alignment horizontal="left" vertical="center"/>
    </xf>
    <xf numFmtId="0" fontId="5" fillId="0" borderId="4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15" fillId="3" borderId="4" xfId="0" applyFont="1" applyFill="1" applyBorder="1">
      <alignment vertical="center"/>
    </xf>
    <xf numFmtId="56" fontId="15" fillId="0" borderId="0" xfId="0" applyNumberFormat="1" applyFont="1">
      <alignment vertical="center"/>
    </xf>
    <xf numFmtId="0" fontId="6" fillId="6" borderId="1" xfId="2" applyFont="1" applyFill="1" applyBorder="1"/>
    <xf numFmtId="0" fontId="6" fillId="6" borderId="2" xfId="2" applyFont="1" applyFill="1" applyBorder="1"/>
    <xf numFmtId="0" fontId="16" fillId="0" borderId="5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/>
    </xf>
    <xf numFmtId="0" fontId="17" fillId="0" borderId="5" xfId="2" applyFont="1" applyBorder="1" applyAlignment="1">
      <alignment horizontal="center"/>
    </xf>
    <xf numFmtId="0" fontId="17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17" fillId="0" borderId="4" xfId="2" applyFont="1" applyBorder="1" applyAlignment="1">
      <alignment horizontal="center" vertical="center"/>
    </xf>
    <xf numFmtId="0" fontId="17" fillId="0" borderId="9" xfId="2" applyFont="1" applyBorder="1"/>
    <xf numFmtId="0" fontId="17" fillId="0" borderId="5" xfId="2" applyFont="1" applyBorder="1"/>
    <xf numFmtId="0" fontId="17" fillId="0" borderId="6" xfId="2" applyFont="1" applyBorder="1"/>
    <xf numFmtId="0" fontId="17" fillId="2" borderId="5" xfId="2" applyFont="1" applyFill="1" applyBorder="1"/>
    <xf numFmtId="0" fontId="15" fillId="0" borderId="0" xfId="0" applyFont="1" applyAlignment="1">
      <alignment horizontal="left" vertical="center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385"/>
  <sheetViews>
    <sheetView tabSelected="1" topLeftCell="A357" zoomScaleNormal="100" zoomScaleSheetLayoutView="110" workbookViewId="0">
      <selection activeCell="A365" sqref="A365"/>
    </sheetView>
  </sheetViews>
  <sheetFormatPr defaultRowHeight="13.5" x14ac:dyDescent="0.15"/>
  <cols>
    <col min="1" max="1" width="26.125" customWidth="1"/>
    <col min="2" max="5" width="10" customWidth="1"/>
    <col min="6" max="6" width="12.5" style="40" customWidth="1"/>
    <col min="7" max="7" width="29.125" customWidth="1"/>
    <col min="8" max="11" width="10.75" customWidth="1"/>
    <col min="12" max="12" width="14" style="40" customWidth="1"/>
    <col min="13" max="13" width="24.5" customWidth="1"/>
    <col min="14" max="17" width="10" customWidth="1"/>
    <col min="18" max="18" width="9.25" style="40" bestFit="1" customWidth="1"/>
    <col min="20" max="20" width="21.5" customWidth="1"/>
    <col min="21" max="24" width="12.5" customWidth="1"/>
    <col min="25" max="25" width="9.25" bestFit="1" customWidth="1"/>
  </cols>
  <sheetData>
    <row r="1" spans="1:18" ht="18" thickBot="1" x14ac:dyDescent="0.25">
      <c r="A1" s="29" t="s">
        <v>14</v>
      </c>
      <c r="B1" s="1"/>
      <c r="C1" s="1"/>
      <c r="D1" s="1"/>
      <c r="E1" s="56" t="s">
        <v>26</v>
      </c>
      <c r="G1" s="29" t="s">
        <v>15</v>
      </c>
      <c r="H1" s="1"/>
      <c r="I1" s="1"/>
      <c r="J1" s="1"/>
      <c r="K1" s="56" t="s">
        <v>26</v>
      </c>
      <c r="M1" s="29" t="s">
        <v>16</v>
      </c>
      <c r="N1" s="1"/>
      <c r="O1" s="1"/>
      <c r="P1" s="1"/>
      <c r="Q1" s="1"/>
    </row>
    <row r="2" spans="1:18" ht="14.25" thickBot="1" x14ac:dyDescent="0.2">
      <c r="A2" s="2" t="s">
        <v>0</v>
      </c>
      <c r="B2" s="102" t="s">
        <v>19</v>
      </c>
      <c r="C2" s="103"/>
      <c r="D2" s="103"/>
      <c r="E2" s="104"/>
      <c r="G2" s="2" t="s">
        <v>0</v>
      </c>
      <c r="H2" s="102" t="s">
        <v>19</v>
      </c>
      <c r="I2" s="103"/>
      <c r="J2" s="103"/>
      <c r="K2" s="104"/>
      <c r="M2" s="2" t="s">
        <v>0</v>
      </c>
      <c r="N2" s="102" t="s">
        <v>19</v>
      </c>
      <c r="O2" s="103"/>
      <c r="P2" s="103"/>
      <c r="Q2" s="104"/>
    </row>
    <row r="3" spans="1:18" ht="14.25" thickBot="1" x14ac:dyDescent="0.2">
      <c r="A3" s="2" t="s">
        <v>1</v>
      </c>
      <c r="B3" s="3" t="s">
        <v>7</v>
      </c>
      <c r="C3" s="2" t="s">
        <v>8</v>
      </c>
      <c r="D3" s="19" t="s">
        <v>9</v>
      </c>
      <c r="E3" s="2" t="s">
        <v>2</v>
      </c>
      <c r="G3" s="2" t="s">
        <v>1</v>
      </c>
      <c r="H3" s="3" t="s">
        <v>7</v>
      </c>
      <c r="I3" s="2" t="s">
        <v>8</v>
      </c>
      <c r="J3" s="19" t="s">
        <v>9</v>
      </c>
      <c r="K3" s="2" t="s">
        <v>2</v>
      </c>
      <c r="M3" s="2" t="s">
        <v>1</v>
      </c>
      <c r="N3" s="3" t="s">
        <v>7</v>
      </c>
      <c r="O3" s="2" t="s">
        <v>8</v>
      </c>
      <c r="P3" s="19" t="s">
        <v>9</v>
      </c>
      <c r="Q3" s="2" t="s">
        <v>2</v>
      </c>
    </row>
    <row r="4" spans="1:18" x14ac:dyDescent="0.15">
      <c r="A4" s="6" t="s">
        <v>10</v>
      </c>
      <c r="B4" s="58">
        <v>5</v>
      </c>
      <c r="C4" s="4">
        <v>5</v>
      </c>
      <c r="D4" s="59">
        <v>5</v>
      </c>
      <c r="E4" s="5">
        <f t="shared" ref="E4:E40" si="0">SUM(B4:D4)</f>
        <v>15</v>
      </c>
      <c r="F4" s="39">
        <v>44435</v>
      </c>
      <c r="G4" s="6" t="s">
        <v>12</v>
      </c>
      <c r="H4" s="58">
        <v>5</v>
      </c>
      <c r="I4" s="4">
        <v>5</v>
      </c>
      <c r="J4" s="59">
        <v>5</v>
      </c>
      <c r="K4" s="5">
        <f t="shared" ref="K4:K40" si="1">SUM(H4:J4)</f>
        <v>15</v>
      </c>
      <c r="L4" s="39">
        <v>44435</v>
      </c>
      <c r="M4" s="27" t="s">
        <v>12</v>
      </c>
      <c r="N4" s="18">
        <v>150</v>
      </c>
      <c r="O4" s="20">
        <v>200</v>
      </c>
      <c r="P4" s="50">
        <v>150</v>
      </c>
      <c r="Q4" s="17">
        <f t="shared" ref="Q4" si="2">SUM(N4:P4)</f>
        <v>500</v>
      </c>
      <c r="R4" s="52">
        <v>44440</v>
      </c>
    </row>
    <row r="5" spans="1:18" x14ac:dyDescent="0.15">
      <c r="A5" s="6" t="s">
        <v>3</v>
      </c>
      <c r="B5" s="16">
        <v>10</v>
      </c>
      <c r="C5" s="11">
        <v>10</v>
      </c>
      <c r="D5" s="16">
        <v>10</v>
      </c>
      <c r="E5" s="5">
        <f t="shared" si="0"/>
        <v>30</v>
      </c>
      <c r="F5" s="39">
        <v>44449</v>
      </c>
      <c r="G5" s="6" t="s">
        <v>3</v>
      </c>
      <c r="H5" s="16">
        <v>58</v>
      </c>
      <c r="I5" s="11">
        <v>58</v>
      </c>
      <c r="J5" s="16">
        <v>58</v>
      </c>
      <c r="K5" s="5">
        <f t="shared" si="1"/>
        <v>174</v>
      </c>
      <c r="L5" s="39" t="s">
        <v>27</v>
      </c>
      <c r="M5" s="6" t="s">
        <v>3</v>
      </c>
      <c r="N5" s="16"/>
      <c r="O5" s="11"/>
      <c r="P5" s="16"/>
      <c r="Q5" s="5">
        <f t="shared" ref="Q5:Q40" si="3">SUM(N5:P5)</f>
        <v>0</v>
      </c>
      <c r="R5" s="41"/>
    </row>
    <row r="6" spans="1:18" x14ac:dyDescent="0.15">
      <c r="A6" s="6" t="s">
        <v>3</v>
      </c>
      <c r="B6" s="16"/>
      <c r="C6" s="11">
        <v>5</v>
      </c>
      <c r="D6" s="16">
        <v>5</v>
      </c>
      <c r="E6" s="5">
        <f t="shared" si="0"/>
        <v>10</v>
      </c>
      <c r="F6" s="39">
        <v>44461</v>
      </c>
      <c r="G6" s="6" t="s">
        <v>3</v>
      </c>
      <c r="H6" s="31">
        <v>2</v>
      </c>
      <c r="I6" s="32">
        <v>2</v>
      </c>
      <c r="J6" s="31">
        <v>2</v>
      </c>
      <c r="K6" s="5">
        <f t="shared" si="1"/>
        <v>6</v>
      </c>
      <c r="L6" s="39" t="s">
        <v>38</v>
      </c>
      <c r="M6" s="6" t="s">
        <v>3</v>
      </c>
      <c r="N6" s="31"/>
      <c r="O6" s="32"/>
      <c r="P6" s="31"/>
      <c r="Q6" s="5">
        <f t="shared" si="3"/>
        <v>0</v>
      </c>
      <c r="R6" s="39"/>
    </row>
    <row r="7" spans="1:18" x14ac:dyDescent="0.15">
      <c r="A7" s="6" t="s">
        <v>3</v>
      </c>
      <c r="B7" s="16">
        <v>5</v>
      </c>
      <c r="C7" s="11">
        <v>5</v>
      </c>
      <c r="D7" s="16"/>
      <c r="E7" s="5">
        <f t="shared" si="0"/>
        <v>10</v>
      </c>
      <c r="F7" s="39">
        <v>44502</v>
      </c>
      <c r="G7" s="6" t="s">
        <v>3</v>
      </c>
      <c r="H7" s="31">
        <v>100</v>
      </c>
      <c r="I7" s="32">
        <v>140</v>
      </c>
      <c r="J7" s="31">
        <v>100</v>
      </c>
      <c r="K7" s="5">
        <f t="shared" si="1"/>
        <v>340</v>
      </c>
      <c r="L7" s="39" t="s">
        <v>38</v>
      </c>
      <c r="M7" s="6" t="s">
        <v>3</v>
      </c>
      <c r="N7" s="31"/>
      <c r="O7" s="32"/>
      <c r="P7" s="31"/>
      <c r="Q7" s="5">
        <f t="shared" si="3"/>
        <v>0</v>
      </c>
      <c r="R7" s="30"/>
    </row>
    <row r="8" spans="1:18" x14ac:dyDescent="0.15">
      <c r="A8" s="6" t="s">
        <v>3</v>
      </c>
      <c r="B8" s="16"/>
      <c r="C8" s="11">
        <v>5</v>
      </c>
      <c r="D8" s="16">
        <v>5</v>
      </c>
      <c r="E8" s="5">
        <f t="shared" si="0"/>
        <v>10</v>
      </c>
      <c r="F8" s="39">
        <v>44509</v>
      </c>
      <c r="G8" s="6" t="s">
        <v>20</v>
      </c>
      <c r="H8" s="38">
        <v>2</v>
      </c>
      <c r="I8" s="32">
        <v>3</v>
      </c>
      <c r="J8" s="31">
        <v>2</v>
      </c>
      <c r="K8" s="5">
        <f t="shared" si="1"/>
        <v>7</v>
      </c>
      <c r="L8" s="39">
        <v>44534</v>
      </c>
      <c r="M8" s="6" t="s">
        <v>3</v>
      </c>
      <c r="N8" s="38"/>
      <c r="O8" s="32"/>
      <c r="P8" s="31"/>
      <c r="Q8" s="5">
        <f t="shared" si="3"/>
        <v>0</v>
      </c>
      <c r="R8" s="39"/>
    </row>
    <row r="9" spans="1:18" x14ac:dyDescent="0.15">
      <c r="A9" s="6" t="s">
        <v>3</v>
      </c>
      <c r="B9" s="16">
        <v>5</v>
      </c>
      <c r="C9" s="11">
        <v>5</v>
      </c>
      <c r="D9" s="16">
        <v>5</v>
      </c>
      <c r="E9" s="5">
        <f t="shared" si="0"/>
        <v>15</v>
      </c>
      <c r="F9" s="39">
        <v>44515</v>
      </c>
      <c r="G9" s="6" t="s">
        <v>3</v>
      </c>
      <c r="H9" s="31"/>
      <c r="I9" s="32"/>
      <c r="J9" s="31"/>
      <c r="K9" s="5">
        <f t="shared" si="1"/>
        <v>0</v>
      </c>
      <c r="L9" s="41"/>
      <c r="M9" s="6" t="s">
        <v>3</v>
      </c>
      <c r="N9" s="31"/>
      <c r="O9" s="32"/>
      <c r="P9" s="31"/>
      <c r="Q9" s="5">
        <f t="shared" si="3"/>
        <v>0</v>
      </c>
      <c r="R9" s="30"/>
    </row>
    <row r="10" spans="1:18" x14ac:dyDescent="0.15">
      <c r="A10" s="6" t="s">
        <v>3</v>
      </c>
      <c r="B10" s="16"/>
      <c r="C10" s="11"/>
      <c r="D10" s="16"/>
      <c r="E10" s="5">
        <f t="shared" si="0"/>
        <v>0</v>
      </c>
      <c r="G10" s="6" t="s">
        <v>3</v>
      </c>
      <c r="H10" s="38"/>
      <c r="I10" s="32"/>
      <c r="J10" s="31"/>
      <c r="K10" s="5">
        <f t="shared" si="1"/>
        <v>0</v>
      </c>
      <c r="L10" s="41"/>
      <c r="M10" s="6" t="s">
        <v>3</v>
      </c>
      <c r="N10" s="38"/>
      <c r="O10" s="32"/>
      <c r="P10" s="31"/>
      <c r="Q10" s="5">
        <f t="shared" si="3"/>
        <v>0</v>
      </c>
      <c r="R10" s="41"/>
    </row>
    <row r="11" spans="1:18" x14ac:dyDescent="0.15">
      <c r="A11" s="6" t="s">
        <v>3</v>
      </c>
      <c r="B11" s="31"/>
      <c r="C11" s="32"/>
      <c r="D11" s="31"/>
      <c r="E11" s="5">
        <f t="shared" si="0"/>
        <v>0</v>
      </c>
      <c r="G11" s="6" t="s">
        <v>3</v>
      </c>
      <c r="H11" s="16"/>
      <c r="I11" s="11"/>
      <c r="J11" s="16"/>
      <c r="K11" s="5">
        <f t="shared" si="1"/>
        <v>0</v>
      </c>
      <c r="L11" s="41"/>
      <c r="M11" s="6" t="s">
        <v>3</v>
      </c>
      <c r="N11" s="38"/>
      <c r="O11" s="32"/>
      <c r="P11" s="31"/>
      <c r="Q11" s="5">
        <f t="shared" si="3"/>
        <v>0</v>
      </c>
      <c r="R11" s="41"/>
    </row>
    <row r="12" spans="1:18" x14ac:dyDescent="0.15">
      <c r="A12" s="6" t="s">
        <v>3</v>
      </c>
      <c r="B12" s="10"/>
      <c r="C12" s="9"/>
      <c r="D12" s="10"/>
      <c r="E12" s="5">
        <f t="shared" si="0"/>
        <v>0</v>
      </c>
      <c r="G12" s="6" t="s">
        <v>3</v>
      </c>
      <c r="H12" s="31"/>
      <c r="I12" s="32"/>
      <c r="J12" s="31"/>
      <c r="K12" s="5">
        <f t="shared" si="1"/>
        <v>0</v>
      </c>
      <c r="M12" s="6" t="s">
        <v>3</v>
      </c>
      <c r="N12" s="10"/>
      <c r="O12" s="9"/>
      <c r="P12" s="10"/>
      <c r="Q12" s="5">
        <f t="shared" si="3"/>
        <v>0</v>
      </c>
      <c r="R12" s="41"/>
    </row>
    <row r="13" spans="1:18" x14ac:dyDescent="0.15">
      <c r="A13" s="6" t="s">
        <v>3</v>
      </c>
      <c r="B13" s="31"/>
      <c r="C13" s="32"/>
      <c r="D13" s="31"/>
      <c r="E13" s="5">
        <f t="shared" si="0"/>
        <v>0</v>
      </c>
      <c r="G13" s="6" t="s">
        <v>3</v>
      </c>
      <c r="H13" s="34"/>
      <c r="I13" s="35"/>
      <c r="J13" s="34"/>
      <c r="K13" s="5">
        <f t="shared" si="1"/>
        <v>0</v>
      </c>
      <c r="M13" s="6" t="s">
        <v>3</v>
      </c>
      <c r="N13" s="34"/>
      <c r="O13" s="35"/>
      <c r="P13" s="34"/>
      <c r="Q13" s="5">
        <f t="shared" si="3"/>
        <v>0</v>
      </c>
      <c r="R13" s="41"/>
    </row>
    <row r="14" spans="1:18" ht="14.25" thickBot="1" x14ac:dyDescent="0.2">
      <c r="A14" s="6" t="s">
        <v>3</v>
      </c>
      <c r="B14" s="13"/>
      <c r="C14" s="12"/>
      <c r="D14" s="13"/>
      <c r="E14" s="5">
        <f t="shared" si="0"/>
        <v>0</v>
      </c>
      <c r="G14" s="6" t="s">
        <v>3</v>
      </c>
      <c r="H14" s="34"/>
      <c r="I14" s="35"/>
      <c r="J14" s="34"/>
      <c r="K14" s="5">
        <f t="shared" si="1"/>
        <v>0</v>
      </c>
      <c r="M14" s="6" t="s">
        <v>3</v>
      </c>
      <c r="N14" s="13"/>
      <c r="O14" s="12"/>
      <c r="P14" s="13"/>
      <c r="Q14" s="5">
        <f t="shared" si="3"/>
        <v>0</v>
      </c>
      <c r="R14" s="41"/>
    </row>
    <row r="15" spans="1:18" ht="14.25" thickBot="1" x14ac:dyDescent="0.2">
      <c r="A15" s="21" t="s">
        <v>4</v>
      </c>
      <c r="B15" s="22">
        <f>SUM(B4:B14)</f>
        <v>25</v>
      </c>
      <c r="C15" s="22">
        <f>SUM(C4:C14)</f>
        <v>35</v>
      </c>
      <c r="D15" s="23">
        <f>SUM(D4:D14)</f>
        <v>30</v>
      </c>
      <c r="E15" s="24">
        <f t="shared" si="0"/>
        <v>90</v>
      </c>
      <c r="G15" s="21" t="s">
        <v>4</v>
      </c>
      <c r="H15" s="22">
        <f>SUM(H4:H14)</f>
        <v>167</v>
      </c>
      <c r="I15" s="22">
        <f>SUM(I4:I14)</f>
        <v>208</v>
      </c>
      <c r="J15" s="23">
        <f>SUM(J4:J14)</f>
        <v>167</v>
      </c>
      <c r="K15" s="24">
        <f t="shared" si="1"/>
        <v>542</v>
      </c>
      <c r="M15" s="21" t="s">
        <v>4</v>
      </c>
      <c r="N15" s="22">
        <f>SUM(N4:N14)</f>
        <v>150</v>
      </c>
      <c r="O15" s="22">
        <f>SUM(O4:O14)</f>
        <v>200</v>
      </c>
      <c r="P15" s="23">
        <f>SUM(P4:P14)</f>
        <v>150</v>
      </c>
      <c r="Q15" s="24">
        <f t="shared" si="3"/>
        <v>500</v>
      </c>
    </row>
    <row r="16" spans="1:18" x14ac:dyDescent="0.15">
      <c r="A16" s="28" t="s">
        <v>24</v>
      </c>
      <c r="B16" s="8"/>
      <c r="C16" s="9"/>
      <c r="D16" s="10">
        <v>1</v>
      </c>
      <c r="E16" s="5">
        <f t="shared" si="0"/>
        <v>1</v>
      </c>
      <c r="F16" s="39">
        <v>44448</v>
      </c>
      <c r="G16" s="48" t="s">
        <v>20</v>
      </c>
      <c r="H16" s="8">
        <v>5</v>
      </c>
      <c r="I16" s="9">
        <v>5</v>
      </c>
      <c r="J16" s="10">
        <v>5</v>
      </c>
      <c r="K16" s="7">
        <f t="shared" si="1"/>
        <v>15</v>
      </c>
      <c r="L16" s="39">
        <v>44435</v>
      </c>
      <c r="M16" s="11" t="s">
        <v>20</v>
      </c>
      <c r="N16" s="31">
        <v>5</v>
      </c>
      <c r="O16" s="32">
        <v>5</v>
      </c>
      <c r="P16" s="31">
        <v>5</v>
      </c>
      <c r="Q16" s="5">
        <f t="shared" si="3"/>
        <v>15</v>
      </c>
      <c r="R16" s="39">
        <v>44435</v>
      </c>
    </row>
    <row r="17" spans="1:18" x14ac:dyDescent="0.15">
      <c r="A17" s="28" t="s">
        <v>28</v>
      </c>
      <c r="B17" s="8">
        <v>2</v>
      </c>
      <c r="C17" s="9"/>
      <c r="D17" s="10">
        <v>4</v>
      </c>
      <c r="E17" s="5">
        <f t="shared" si="0"/>
        <v>6</v>
      </c>
      <c r="F17" s="39">
        <v>44452</v>
      </c>
      <c r="G17" s="48" t="s">
        <v>20</v>
      </c>
      <c r="H17" s="8">
        <v>10</v>
      </c>
      <c r="I17" s="9">
        <v>10</v>
      </c>
      <c r="J17" s="10">
        <v>10</v>
      </c>
      <c r="K17" s="7">
        <f t="shared" si="1"/>
        <v>30</v>
      </c>
      <c r="L17" s="39">
        <v>44449</v>
      </c>
      <c r="M17" s="11" t="s">
        <v>17</v>
      </c>
      <c r="N17" s="31">
        <v>50</v>
      </c>
      <c r="O17" s="32">
        <v>50</v>
      </c>
      <c r="P17" s="31">
        <v>50</v>
      </c>
      <c r="Q17" s="5">
        <f t="shared" ref="Q17" si="4">SUM(N17:P17)</f>
        <v>150</v>
      </c>
      <c r="R17" s="39">
        <v>44448</v>
      </c>
    </row>
    <row r="18" spans="1:18" x14ac:dyDescent="0.15">
      <c r="A18" s="28" t="s">
        <v>29</v>
      </c>
      <c r="B18" s="8"/>
      <c r="C18" s="9"/>
      <c r="D18" s="10">
        <v>1</v>
      </c>
      <c r="E18" s="5">
        <f t="shared" si="0"/>
        <v>1</v>
      </c>
      <c r="F18" s="57">
        <v>44449</v>
      </c>
      <c r="G18" s="28" t="s">
        <v>25</v>
      </c>
      <c r="H18" s="8"/>
      <c r="I18" s="9"/>
      <c r="J18" s="10">
        <v>1</v>
      </c>
      <c r="K18" s="7">
        <f t="shared" si="1"/>
        <v>1</v>
      </c>
      <c r="L18" s="39">
        <v>44449</v>
      </c>
      <c r="M18" s="11" t="s">
        <v>17</v>
      </c>
      <c r="N18" s="38">
        <v>2</v>
      </c>
      <c r="O18" s="32">
        <v>2</v>
      </c>
      <c r="P18" s="31">
        <v>2</v>
      </c>
      <c r="Q18" s="5">
        <f t="shared" ref="Q18" si="5">SUM(N18:P18)</f>
        <v>6</v>
      </c>
      <c r="R18" s="39">
        <v>44463</v>
      </c>
    </row>
    <row r="19" spans="1:18" x14ac:dyDescent="0.15">
      <c r="A19" s="28" t="s">
        <v>31</v>
      </c>
      <c r="B19" s="8"/>
      <c r="C19" s="9">
        <v>3</v>
      </c>
      <c r="D19" s="10">
        <v>1</v>
      </c>
      <c r="E19" s="5">
        <f t="shared" si="0"/>
        <v>4</v>
      </c>
      <c r="F19" s="39">
        <v>44454</v>
      </c>
      <c r="G19" s="28" t="s">
        <v>30</v>
      </c>
      <c r="H19" s="8">
        <v>6</v>
      </c>
      <c r="I19" s="9">
        <v>5</v>
      </c>
      <c r="J19" s="10">
        <v>1</v>
      </c>
      <c r="K19" s="7">
        <f t="shared" si="1"/>
        <v>12</v>
      </c>
      <c r="L19" s="39">
        <v>44453</v>
      </c>
      <c r="M19" s="11" t="s">
        <v>17</v>
      </c>
      <c r="N19" s="38">
        <v>100</v>
      </c>
      <c r="O19" s="32">
        <v>140</v>
      </c>
      <c r="P19" s="31">
        <v>100</v>
      </c>
      <c r="Q19" s="5">
        <f t="shared" ref="Q19" si="6">SUM(N19:P19)</f>
        <v>340</v>
      </c>
      <c r="R19" s="39">
        <v>44463</v>
      </c>
    </row>
    <row r="20" spans="1:18" x14ac:dyDescent="0.15">
      <c r="A20" s="28" t="s">
        <v>32</v>
      </c>
      <c r="B20" s="8"/>
      <c r="C20" s="9">
        <v>1</v>
      </c>
      <c r="D20" s="10">
        <v>1</v>
      </c>
      <c r="E20" s="5">
        <f t="shared" si="0"/>
        <v>2</v>
      </c>
      <c r="F20" s="39">
        <v>44455</v>
      </c>
      <c r="G20" s="28" t="s">
        <v>34</v>
      </c>
      <c r="H20" s="8"/>
      <c r="I20" s="9">
        <v>1</v>
      </c>
      <c r="J20" s="10">
        <v>3</v>
      </c>
      <c r="K20" s="7">
        <f t="shared" si="1"/>
        <v>4</v>
      </c>
      <c r="L20" s="39">
        <v>44457</v>
      </c>
      <c r="M20" s="4"/>
      <c r="N20" s="8"/>
      <c r="O20" s="9"/>
      <c r="P20" s="10"/>
      <c r="Q20" s="5">
        <f t="shared" si="3"/>
        <v>0</v>
      </c>
    </row>
    <row r="21" spans="1:18" x14ac:dyDescent="0.15">
      <c r="A21" s="28" t="s">
        <v>33</v>
      </c>
      <c r="B21" s="8"/>
      <c r="C21" s="9">
        <v>3</v>
      </c>
      <c r="D21" s="10">
        <v>3</v>
      </c>
      <c r="E21" s="5">
        <f t="shared" si="0"/>
        <v>6</v>
      </c>
      <c r="F21" s="39">
        <v>44456</v>
      </c>
      <c r="G21" s="28" t="s">
        <v>35</v>
      </c>
      <c r="H21" s="8"/>
      <c r="I21" s="9"/>
      <c r="J21" s="10">
        <v>1</v>
      </c>
      <c r="K21" s="7">
        <f t="shared" si="1"/>
        <v>1</v>
      </c>
      <c r="L21" s="39">
        <v>44461</v>
      </c>
      <c r="M21" s="4"/>
      <c r="N21" s="8"/>
      <c r="O21" s="9"/>
      <c r="P21" s="10"/>
      <c r="Q21" s="5">
        <f t="shared" si="3"/>
        <v>0</v>
      </c>
    </row>
    <row r="22" spans="1:18" x14ac:dyDescent="0.15">
      <c r="A22" s="28" t="s">
        <v>36</v>
      </c>
      <c r="B22" s="8">
        <v>1</v>
      </c>
      <c r="C22" s="9"/>
      <c r="D22" s="10"/>
      <c r="E22" s="5">
        <f t="shared" si="0"/>
        <v>1</v>
      </c>
      <c r="F22" s="39">
        <v>44462</v>
      </c>
      <c r="G22" s="48" t="s">
        <v>20</v>
      </c>
      <c r="H22" s="8"/>
      <c r="I22" s="9">
        <v>5</v>
      </c>
      <c r="J22" s="10">
        <v>5</v>
      </c>
      <c r="K22" s="7">
        <f t="shared" si="1"/>
        <v>10</v>
      </c>
      <c r="L22" s="39">
        <v>44461</v>
      </c>
      <c r="M22" s="4"/>
      <c r="N22" s="8"/>
      <c r="O22" s="9"/>
      <c r="P22" s="10"/>
      <c r="Q22" s="5">
        <f t="shared" si="3"/>
        <v>0</v>
      </c>
    </row>
    <row r="23" spans="1:18" x14ac:dyDescent="0.15">
      <c r="A23" s="28" t="s">
        <v>37</v>
      </c>
      <c r="B23" s="8">
        <v>1</v>
      </c>
      <c r="C23" s="9">
        <v>2</v>
      </c>
      <c r="D23" s="10"/>
      <c r="E23" s="5">
        <f t="shared" si="0"/>
        <v>3</v>
      </c>
      <c r="F23" s="39">
        <v>44467</v>
      </c>
      <c r="G23" s="28" t="s">
        <v>41</v>
      </c>
      <c r="H23" s="8"/>
      <c r="I23" s="9">
        <v>3</v>
      </c>
      <c r="J23" s="10"/>
      <c r="K23" s="5">
        <f t="shared" si="1"/>
        <v>3</v>
      </c>
      <c r="L23" s="39">
        <v>44474</v>
      </c>
      <c r="M23" s="4"/>
      <c r="N23" s="8"/>
      <c r="O23" s="9"/>
      <c r="P23" s="10"/>
      <c r="Q23" s="5">
        <f t="shared" si="3"/>
        <v>0</v>
      </c>
    </row>
    <row r="24" spans="1:18" x14ac:dyDescent="0.15">
      <c r="A24" s="4" t="s">
        <v>39</v>
      </c>
      <c r="B24" s="8"/>
      <c r="C24" s="9">
        <v>2</v>
      </c>
      <c r="D24" s="10"/>
      <c r="E24" s="5">
        <f t="shared" si="0"/>
        <v>2</v>
      </c>
      <c r="F24" s="39">
        <v>44467</v>
      </c>
      <c r="G24" s="48" t="s">
        <v>20</v>
      </c>
      <c r="H24" s="8">
        <v>5</v>
      </c>
      <c r="I24" s="9">
        <v>5</v>
      </c>
      <c r="J24" s="10"/>
      <c r="K24" s="7">
        <f t="shared" si="1"/>
        <v>10</v>
      </c>
      <c r="L24" s="39">
        <v>44502</v>
      </c>
      <c r="M24" s="4"/>
      <c r="N24" s="8"/>
      <c r="O24" s="9"/>
      <c r="P24" s="10"/>
      <c r="Q24" s="5">
        <f t="shared" si="3"/>
        <v>0</v>
      </c>
    </row>
    <row r="25" spans="1:18" x14ac:dyDescent="0.15">
      <c r="A25" s="28" t="s">
        <v>40</v>
      </c>
      <c r="B25" s="8">
        <v>1</v>
      </c>
      <c r="C25" s="9">
        <v>1</v>
      </c>
      <c r="D25" s="10"/>
      <c r="E25" s="5">
        <f t="shared" si="0"/>
        <v>2</v>
      </c>
      <c r="F25" s="39">
        <v>44471</v>
      </c>
      <c r="G25" s="48" t="s">
        <v>20</v>
      </c>
      <c r="H25" s="8"/>
      <c r="I25" s="9">
        <v>5</v>
      </c>
      <c r="J25" s="10">
        <v>5</v>
      </c>
      <c r="K25" s="7">
        <f t="shared" si="1"/>
        <v>10</v>
      </c>
      <c r="L25" s="39">
        <v>44509</v>
      </c>
      <c r="M25" s="4"/>
      <c r="N25" s="8"/>
      <c r="O25" s="9"/>
      <c r="P25" s="10"/>
      <c r="Q25" s="5">
        <f t="shared" si="3"/>
        <v>0</v>
      </c>
    </row>
    <row r="26" spans="1:18" x14ac:dyDescent="0.15">
      <c r="A26" s="28" t="s">
        <v>29</v>
      </c>
      <c r="B26" s="8"/>
      <c r="C26" s="9"/>
      <c r="D26" s="10">
        <v>1</v>
      </c>
      <c r="E26" s="5">
        <f t="shared" si="0"/>
        <v>1</v>
      </c>
      <c r="F26" s="39">
        <v>44474</v>
      </c>
      <c r="G26" s="48" t="s">
        <v>20</v>
      </c>
      <c r="H26" s="8">
        <v>5</v>
      </c>
      <c r="I26" s="9">
        <v>5</v>
      </c>
      <c r="J26" s="10">
        <v>5</v>
      </c>
      <c r="K26" s="7">
        <f t="shared" si="1"/>
        <v>15</v>
      </c>
      <c r="L26" s="39">
        <v>44515</v>
      </c>
      <c r="M26" s="4"/>
      <c r="N26" s="8"/>
      <c r="O26" s="9"/>
      <c r="P26" s="10"/>
      <c r="Q26" s="5">
        <f t="shared" si="3"/>
        <v>0</v>
      </c>
    </row>
    <row r="27" spans="1:18" x14ac:dyDescent="0.15">
      <c r="A27" s="28" t="s">
        <v>45</v>
      </c>
      <c r="B27" s="8"/>
      <c r="C27" s="9">
        <v>1</v>
      </c>
      <c r="D27" s="10"/>
      <c r="E27" s="5">
        <f t="shared" si="0"/>
        <v>1</v>
      </c>
      <c r="F27" s="39">
        <v>44481</v>
      </c>
      <c r="G27" s="4"/>
      <c r="H27" s="8"/>
      <c r="I27" s="9"/>
      <c r="J27" s="10"/>
      <c r="K27" s="7">
        <f t="shared" si="1"/>
        <v>0</v>
      </c>
      <c r="L27" s="41"/>
      <c r="M27" s="4"/>
      <c r="N27" s="8"/>
      <c r="O27" s="9"/>
      <c r="P27" s="10"/>
      <c r="Q27" s="5">
        <f t="shared" si="3"/>
        <v>0</v>
      </c>
    </row>
    <row r="28" spans="1:18" x14ac:dyDescent="0.15">
      <c r="A28" s="48" t="s">
        <v>47</v>
      </c>
      <c r="B28" s="8">
        <v>1</v>
      </c>
      <c r="C28" s="9"/>
      <c r="D28" s="10">
        <v>1</v>
      </c>
      <c r="E28" s="5">
        <f t="shared" si="0"/>
        <v>2</v>
      </c>
      <c r="F28" s="39">
        <v>44481</v>
      </c>
      <c r="G28" s="4"/>
      <c r="H28" s="8"/>
      <c r="I28" s="9"/>
      <c r="J28" s="10"/>
      <c r="K28" s="7">
        <f t="shared" si="1"/>
        <v>0</v>
      </c>
      <c r="L28" s="41"/>
      <c r="M28" s="4"/>
      <c r="N28" s="8"/>
      <c r="O28" s="9"/>
      <c r="P28" s="10"/>
      <c r="Q28" s="5">
        <f t="shared" si="3"/>
        <v>0</v>
      </c>
    </row>
    <row r="29" spans="1:18" x14ac:dyDescent="0.15">
      <c r="A29" s="28" t="s">
        <v>48</v>
      </c>
      <c r="B29" s="8"/>
      <c r="C29" s="9">
        <v>1</v>
      </c>
      <c r="D29" s="10"/>
      <c r="E29" s="5">
        <f t="shared" si="0"/>
        <v>1</v>
      </c>
      <c r="F29" s="39">
        <v>44483</v>
      </c>
      <c r="G29" s="4"/>
      <c r="H29" s="8"/>
      <c r="I29" s="9"/>
      <c r="J29" s="10"/>
      <c r="K29" s="7">
        <f t="shared" si="1"/>
        <v>0</v>
      </c>
      <c r="L29" s="41"/>
      <c r="M29" s="11"/>
      <c r="N29" s="8"/>
      <c r="O29" s="9"/>
      <c r="P29" s="10"/>
      <c r="Q29" s="5">
        <f t="shared" si="3"/>
        <v>0</v>
      </c>
    </row>
    <row r="30" spans="1:18" x14ac:dyDescent="0.15">
      <c r="A30" s="4" t="s">
        <v>57</v>
      </c>
      <c r="B30" s="8">
        <v>1</v>
      </c>
      <c r="C30" s="9"/>
      <c r="D30" s="10"/>
      <c r="E30" s="5">
        <f t="shared" si="0"/>
        <v>1</v>
      </c>
      <c r="F30" s="39">
        <v>44485</v>
      </c>
      <c r="G30" s="4"/>
      <c r="H30" s="8"/>
      <c r="I30" s="9"/>
      <c r="J30" s="10"/>
      <c r="K30" s="7">
        <f t="shared" si="1"/>
        <v>0</v>
      </c>
      <c r="L30" s="41"/>
      <c r="M30" s="4"/>
      <c r="N30" s="8"/>
      <c r="O30" s="9"/>
      <c r="P30" s="10"/>
      <c r="Q30" s="5">
        <f t="shared" si="3"/>
        <v>0</v>
      </c>
    </row>
    <row r="31" spans="1:18" x14ac:dyDescent="0.15">
      <c r="A31" s="28" t="s">
        <v>58</v>
      </c>
      <c r="B31" s="8">
        <v>1</v>
      </c>
      <c r="C31" s="9"/>
      <c r="D31" s="10"/>
      <c r="E31" s="5">
        <f t="shared" si="0"/>
        <v>1</v>
      </c>
      <c r="F31" s="39">
        <v>44495</v>
      </c>
      <c r="G31" s="4"/>
      <c r="H31" s="8"/>
      <c r="I31" s="9"/>
      <c r="J31" s="10"/>
      <c r="K31" s="7">
        <f t="shared" si="1"/>
        <v>0</v>
      </c>
      <c r="L31" s="41"/>
      <c r="M31" s="11"/>
      <c r="N31" s="8"/>
      <c r="O31" s="9"/>
      <c r="P31" s="10"/>
      <c r="Q31" s="5">
        <f t="shared" si="3"/>
        <v>0</v>
      </c>
    </row>
    <row r="32" spans="1:18" x14ac:dyDescent="0.15">
      <c r="A32" s="48" t="s">
        <v>59</v>
      </c>
      <c r="B32" s="8">
        <v>1</v>
      </c>
      <c r="C32" s="9">
        <v>4</v>
      </c>
      <c r="D32" s="10">
        <v>3</v>
      </c>
      <c r="E32" s="5">
        <f t="shared" si="0"/>
        <v>8</v>
      </c>
      <c r="F32" s="39">
        <v>44509</v>
      </c>
      <c r="G32" s="4"/>
      <c r="H32" s="8"/>
      <c r="I32" s="9"/>
      <c r="J32" s="10"/>
      <c r="K32" s="7">
        <f t="shared" si="1"/>
        <v>0</v>
      </c>
      <c r="L32" s="41"/>
      <c r="M32" s="11"/>
      <c r="N32" s="8"/>
      <c r="O32" s="9"/>
      <c r="P32" s="10"/>
      <c r="Q32" s="5">
        <f t="shared" si="3"/>
        <v>0</v>
      </c>
    </row>
    <row r="33" spans="1:18" x14ac:dyDescent="0.15">
      <c r="A33" s="4" t="s">
        <v>57</v>
      </c>
      <c r="B33" s="8">
        <v>1</v>
      </c>
      <c r="C33" s="9"/>
      <c r="D33" s="10"/>
      <c r="E33" s="5">
        <f t="shared" si="0"/>
        <v>1</v>
      </c>
      <c r="F33" s="57">
        <v>44511</v>
      </c>
      <c r="G33" s="49"/>
      <c r="H33" s="8"/>
      <c r="I33" s="9"/>
      <c r="J33" s="10"/>
      <c r="K33" s="7">
        <f t="shared" si="1"/>
        <v>0</v>
      </c>
      <c r="L33" s="41"/>
      <c r="M33" s="4"/>
      <c r="N33" s="8"/>
      <c r="O33" s="9"/>
      <c r="P33" s="10"/>
      <c r="Q33" s="5">
        <f t="shared" si="3"/>
        <v>0</v>
      </c>
    </row>
    <row r="34" spans="1:18" x14ac:dyDescent="0.15">
      <c r="A34" s="28" t="s">
        <v>61</v>
      </c>
      <c r="B34" s="8"/>
      <c r="C34" s="9"/>
      <c r="D34" s="10">
        <v>1</v>
      </c>
      <c r="E34" s="5">
        <f t="shared" si="0"/>
        <v>1</v>
      </c>
      <c r="F34" s="39">
        <v>44516</v>
      </c>
      <c r="G34" s="4"/>
      <c r="H34" s="8"/>
      <c r="I34" s="9"/>
      <c r="J34" s="10"/>
      <c r="K34" s="7">
        <f t="shared" si="1"/>
        <v>0</v>
      </c>
      <c r="L34" s="41"/>
      <c r="M34" s="11"/>
      <c r="N34" s="8"/>
      <c r="O34" s="9"/>
      <c r="P34" s="10"/>
      <c r="Q34" s="5">
        <f t="shared" si="3"/>
        <v>0</v>
      </c>
    </row>
    <row r="35" spans="1:18" x14ac:dyDescent="0.15">
      <c r="A35" s="48" t="s">
        <v>62</v>
      </c>
      <c r="B35" s="8">
        <v>7</v>
      </c>
      <c r="C35" s="9">
        <v>7</v>
      </c>
      <c r="D35" s="10">
        <v>4</v>
      </c>
      <c r="E35" s="5">
        <f t="shared" si="0"/>
        <v>18</v>
      </c>
      <c r="F35" s="39">
        <v>44516</v>
      </c>
      <c r="G35" s="48" t="s">
        <v>63</v>
      </c>
      <c r="H35" s="8"/>
      <c r="I35" s="9"/>
      <c r="J35" s="10"/>
      <c r="K35" s="7">
        <f t="shared" si="1"/>
        <v>0</v>
      </c>
      <c r="L35" s="39">
        <v>44515</v>
      </c>
      <c r="M35" s="4"/>
      <c r="N35" s="8"/>
      <c r="O35" s="9"/>
      <c r="P35" s="10"/>
      <c r="Q35" s="5">
        <f t="shared" si="3"/>
        <v>0</v>
      </c>
    </row>
    <row r="36" spans="1:18" x14ac:dyDescent="0.15">
      <c r="A36" s="28" t="s">
        <v>64</v>
      </c>
      <c r="B36" s="8">
        <v>1</v>
      </c>
      <c r="C36" s="9"/>
      <c r="D36" s="10"/>
      <c r="E36" s="5">
        <f t="shared" si="0"/>
        <v>1</v>
      </c>
      <c r="F36" s="57">
        <v>44518</v>
      </c>
      <c r="G36" s="4" t="s">
        <v>60</v>
      </c>
      <c r="H36" s="8"/>
      <c r="I36" s="9"/>
      <c r="J36" s="10"/>
      <c r="K36" s="7">
        <f t="shared" si="1"/>
        <v>0</v>
      </c>
      <c r="L36" s="39">
        <v>44508</v>
      </c>
      <c r="M36" s="11"/>
      <c r="N36" s="8"/>
      <c r="O36" s="9"/>
      <c r="P36" s="10"/>
      <c r="Q36" s="5">
        <f t="shared" si="3"/>
        <v>0</v>
      </c>
    </row>
    <row r="37" spans="1:18" x14ac:dyDescent="0.15">
      <c r="A37" s="28" t="s">
        <v>29</v>
      </c>
      <c r="B37" s="8"/>
      <c r="C37" s="9">
        <v>2</v>
      </c>
      <c r="D37" s="10">
        <v>1</v>
      </c>
      <c r="E37" s="5">
        <f t="shared" si="0"/>
        <v>3</v>
      </c>
      <c r="F37" s="57">
        <v>44522</v>
      </c>
      <c r="G37" s="4" t="s">
        <v>46</v>
      </c>
      <c r="H37" s="8"/>
      <c r="I37" s="9"/>
      <c r="J37" s="10"/>
      <c r="K37" s="7">
        <f t="shared" si="1"/>
        <v>0</v>
      </c>
      <c r="L37" s="39">
        <v>44481</v>
      </c>
      <c r="M37" s="4"/>
      <c r="N37" s="8"/>
      <c r="O37" s="9"/>
      <c r="P37" s="10"/>
      <c r="Q37" s="5">
        <f t="shared" si="3"/>
        <v>0</v>
      </c>
    </row>
    <row r="38" spans="1:18" x14ac:dyDescent="0.15">
      <c r="A38" s="4" t="s">
        <v>57</v>
      </c>
      <c r="B38" s="8"/>
      <c r="C38" s="9"/>
      <c r="D38" s="10">
        <v>1</v>
      </c>
      <c r="E38" s="5">
        <f t="shared" si="0"/>
        <v>1</v>
      </c>
      <c r="F38" s="57">
        <v>44522</v>
      </c>
      <c r="G38" s="4" t="s">
        <v>44</v>
      </c>
      <c r="H38" s="8"/>
      <c r="I38" s="9"/>
      <c r="J38" s="10"/>
      <c r="K38" s="7">
        <f t="shared" si="1"/>
        <v>0</v>
      </c>
      <c r="L38" s="41" t="s">
        <v>23</v>
      </c>
      <c r="M38" s="11"/>
      <c r="N38" s="8"/>
      <c r="O38" s="9"/>
      <c r="P38" s="10"/>
      <c r="Q38" s="5">
        <f t="shared" si="3"/>
        <v>0</v>
      </c>
    </row>
    <row r="39" spans="1:18" ht="14.25" thickBot="1" x14ac:dyDescent="0.2">
      <c r="A39" s="4" t="s">
        <v>66</v>
      </c>
      <c r="B39" s="8">
        <v>2</v>
      </c>
      <c r="C39" s="9">
        <v>3</v>
      </c>
      <c r="D39" s="10">
        <v>2</v>
      </c>
      <c r="E39" s="5">
        <f t="shared" si="0"/>
        <v>7</v>
      </c>
      <c r="F39" s="57">
        <v>44534</v>
      </c>
      <c r="G39" s="4" t="s">
        <v>21</v>
      </c>
      <c r="H39" s="8"/>
      <c r="I39" s="9"/>
      <c r="J39" s="10"/>
      <c r="K39" s="7">
        <f t="shared" si="1"/>
        <v>0</v>
      </c>
      <c r="L39" s="39" t="s">
        <v>22</v>
      </c>
      <c r="M39" s="4"/>
      <c r="N39" s="8"/>
      <c r="O39" s="9"/>
      <c r="P39" s="10"/>
      <c r="Q39" s="5">
        <f t="shared" si="3"/>
        <v>0</v>
      </c>
    </row>
    <row r="40" spans="1:18" ht="14.25" thickBot="1" x14ac:dyDescent="0.2">
      <c r="A40" s="3" t="s">
        <v>5</v>
      </c>
      <c r="B40" s="14">
        <f>SUM(B16:B39)</f>
        <v>20</v>
      </c>
      <c r="C40" s="14">
        <f>SUM(C16:C39)</f>
        <v>30</v>
      </c>
      <c r="D40" s="14">
        <f>SUM(D16:D39)</f>
        <v>25</v>
      </c>
      <c r="E40" s="15">
        <f t="shared" si="0"/>
        <v>75</v>
      </c>
      <c r="G40" s="3" t="s">
        <v>5</v>
      </c>
      <c r="H40" s="14">
        <f>SUM(H16:H39)</f>
        <v>31</v>
      </c>
      <c r="I40" s="14">
        <f>SUM(I16:I39)</f>
        <v>44</v>
      </c>
      <c r="J40" s="14">
        <f>SUM(J16:J39)</f>
        <v>36</v>
      </c>
      <c r="K40" s="15">
        <f t="shared" si="1"/>
        <v>111</v>
      </c>
      <c r="M40" s="3" t="s">
        <v>5</v>
      </c>
      <c r="N40" s="14">
        <f>SUM(N16:N39)</f>
        <v>157</v>
      </c>
      <c r="O40" s="14">
        <f>SUM(O16:O39)</f>
        <v>197</v>
      </c>
      <c r="P40" s="14">
        <f>SUM(P16:P39)</f>
        <v>157</v>
      </c>
      <c r="Q40" s="15">
        <f t="shared" si="3"/>
        <v>511</v>
      </c>
    </row>
    <row r="41" spans="1:18" ht="14.25" thickBot="1" x14ac:dyDescent="0.2">
      <c r="A41" s="25" t="s">
        <v>6</v>
      </c>
      <c r="B41" s="26">
        <f>B15-B40</f>
        <v>5</v>
      </c>
      <c r="C41" s="26">
        <f t="shared" ref="C41:E41" si="7">C15-C40</f>
        <v>5</v>
      </c>
      <c r="D41" s="26">
        <f t="shared" si="7"/>
        <v>5</v>
      </c>
      <c r="E41" s="24">
        <f t="shared" si="7"/>
        <v>15</v>
      </c>
      <c r="G41" s="25" t="s">
        <v>6</v>
      </c>
      <c r="H41" s="26">
        <f>H15-H40</f>
        <v>136</v>
      </c>
      <c r="I41" s="26">
        <f t="shared" ref="I41:K41" si="8">I15-I40</f>
        <v>164</v>
      </c>
      <c r="J41" s="26">
        <f t="shared" si="8"/>
        <v>131</v>
      </c>
      <c r="K41" s="24">
        <f t="shared" si="8"/>
        <v>431</v>
      </c>
      <c r="M41" s="25" t="s">
        <v>6</v>
      </c>
      <c r="N41" s="26">
        <f>N15-N40</f>
        <v>-7</v>
      </c>
      <c r="O41" s="26">
        <f t="shared" ref="O41:Q41" si="9">O15-O40</f>
        <v>3</v>
      </c>
      <c r="P41" s="26">
        <f t="shared" si="9"/>
        <v>-7</v>
      </c>
      <c r="Q41" s="24">
        <f t="shared" si="9"/>
        <v>-11</v>
      </c>
    </row>
    <row r="44" spans="1:18" ht="18" thickBot="1" x14ac:dyDescent="0.25">
      <c r="A44" s="29" t="s">
        <v>14</v>
      </c>
      <c r="B44" s="1"/>
      <c r="C44" s="1"/>
      <c r="D44" s="1"/>
      <c r="E44" s="56" t="s">
        <v>26</v>
      </c>
      <c r="G44" s="29" t="s">
        <v>15</v>
      </c>
      <c r="H44" s="1"/>
      <c r="I44" s="1"/>
      <c r="J44" s="1"/>
      <c r="K44" s="56" t="s">
        <v>26</v>
      </c>
      <c r="M44" s="29" t="s">
        <v>16</v>
      </c>
      <c r="N44" s="1"/>
      <c r="O44" s="1"/>
      <c r="P44" s="1"/>
      <c r="Q44" s="1"/>
    </row>
    <row r="45" spans="1:18" ht="14.25" thickBot="1" x14ac:dyDescent="0.2">
      <c r="A45" s="2" t="s">
        <v>0</v>
      </c>
      <c r="B45" s="102" t="s">
        <v>19</v>
      </c>
      <c r="C45" s="103"/>
      <c r="D45" s="103"/>
      <c r="E45" s="104"/>
      <c r="G45" s="2" t="s">
        <v>0</v>
      </c>
      <c r="H45" s="102" t="s">
        <v>19</v>
      </c>
      <c r="I45" s="103"/>
      <c r="J45" s="103"/>
      <c r="K45" s="104"/>
      <c r="M45" s="2" t="s">
        <v>0</v>
      </c>
      <c r="N45" s="102" t="s">
        <v>19</v>
      </c>
      <c r="O45" s="103"/>
      <c r="P45" s="103"/>
      <c r="Q45" s="104"/>
    </row>
    <row r="46" spans="1:18" ht="14.25" thickBot="1" x14ac:dyDescent="0.2">
      <c r="A46" s="2" t="s">
        <v>1</v>
      </c>
      <c r="B46" s="3" t="s">
        <v>7</v>
      </c>
      <c r="C46" s="2" t="s">
        <v>8</v>
      </c>
      <c r="D46" s="19" t="s">
        <v>9</v>
      </c>
      <c r="E46" s="2" t="s">
        <v>2</v>
      </c>
      <c r="G46" s="2" t="s">
        <v>1</v>
      </c>
      <c r="H46" s="3" t="s">
        <v>7</v>
      </c>
      <c r="I46" s="2" t="s">
        <v>8</v>
      </c>
      <c r="J46" s="19" t="s">
        <v>9</v>
      </c>
      <c r="K46" s="2" t="s">
        <v>2</v>
      </c>
      <c r="M46" s="2" t="s">
        <v>1</v>
      </c>
      <c r="N46" s="3" t="s">
        <v>7</v>
      </c>
      <c r="O46" s="2" t="s">
        <v>8</v>
      </c>
      <c r="P46" s="19" t="s">
        <v>9</v>
      </c>
      <c r="Q46" s="2" t="s">
        <v>2</v>
      </c>
    </row>
    <row r="47" spans="1:18" x14ac:dyDescent="0.15">
      <c r="A47" s="27" t="s">
        <v>6</v>
      </c>
      <c r="B47" s="18">
        <f>B41</f>
        <v>5</v>
      </c>
      <c r="C47" s="20">
        <f>C41</f>
        <v>5</v>
      </c>
      <c r="D47" s="50">
        <f>D41</f>
        <v>5</v>
      </c>
      <c r="E47" s="17">
        <f t="shared" ref="E47:E83" si="10">SUM(B47:D47)</f>
        <v>15</v>
      </c>
      <c r="G47" s="27" t="s">
        <v>6</v>
      </c>
      <c r="H47" s="18">
        <f>H41</f>
        <v>136</v>
      </c>
      <c r="I47" s="20">
        <f>I41</f>
        <v>164</v>
      </c>
      <c r="J47" s="50">
        <f>J41</f>
        <v>131</v>
      </c>
      <c r="K47" s="17">
        <f t="shared" ref="K47:K83" si="11">SUM(H47:J47)</f>
        <v>431</v>
      </c>
      <c r="M47" s="27" t="s">
        <v>6</v>
      </c>
      <c r="N47" s="18">
        <f>N41</f>
        <v>-7</v>
      </c>
      <c r="O47" s="20">
        <f>O41</f>
        <v>3</v>
      </c>
      <c r="P47" s="50">
        <f>P41</f>
        <v>-7</v>
      </c>
      <c r="Q47" s="17">
        <f t="shared" ref="Q47:Q83" si="12">SUM(N47:P47)</f>
        <v>-11</v>
      </c>
    </row>
    <row r="48" spans="1:18" s="30" customFormat="1" x14ac:dyDescent="0.15">
      <c r="A48" s="6" t="s">
        <v>74</v>
      </c>
      <c r="B48" s="16"/>
      <c r="C48" s="11"/>
      <c r="D48" s="16">
        <v>1</v>
      </c>
      <c r="E48" s="5">
        <f t="shared" si="10"/>
        <v>1</v>
      </c>
      <c r="F48" s="39">
        <v>44557</v>
      </c>
      <c r="G48" s="6" t="s">
        <v>3</v>
      </c>
      <c r="H48" s="16"/>
      <c r="I48" s="11"/>
      <c r="J48" s="16"/>
      <c r="K48" s="5">
        <f t="shared" si="11"/>
        <v>0</v>
      </c>
      <c r="L48" s="41"/>
      <c r="M48" s="6" t="s">
        <v>3</v>
      </c>
      <c r="N48" s="16"/>
      <c r="O48" s="11"/>
      <c r="P48" s="16"/>
      <c r="Q48" s="5">
        <f t="shared" si="12"/>
        <v>0</v>
      </c>
      <c r="R48" s="41"/>
    </row>
    <row r="49" spans="1:18" s="30" customFormat="1" x14ac:dyDescent="0.15">
      <c r="A49" s="6" t="s">
        <v>3</v>
      </c>
      <c r="B49" s="16">
        <v>5</v>
      </c>
      <c r="C49" s="11"/>
      <c r="D49" s="16"/>
      <c r="E49" s="5">
        <f t="shared" si="10"/>
        <v>5</v>
      </c>
      <c r="F49" s="39">
        <v>44586</v>
      </c>
      <c r="G49" s="6" t="s">
        <v>11</v>
      </c>
      <c r="H49" s="38">
        <v>150</v>
      </c>
      <c r="I49" s="32">
        <v>200</v>
      </c>
      <c r="J49" s="31">
        <v>150</v>
      </c>
      <c r="K49" s="5">
        <f t="shared" si="11"/>
        <v>500</v>
      </c>
      <c r="L49" s="39" t="s">
        <v>73</v>
      </c>
      <c r="M49" s="27" t="s">
        <v>11</v>
      </c>
      <c r="N49" s="51">
        <v>150</v>
      </c>
      <c r="O49" s="42">
        <v>200</v>
      </c>
      <c r="P49" s="43">
        <v>150</v>
      </c>
      <c r="Q49" s="17">
        <f t="shared" si="12"/>
        <v>500</v>
      </c>
      <c r="R49" s="47" t="s">
        <v>13</v>
      </c>
    </row>
    <row r="50" spans="1:18" s="30" customFormat="1" x14ac:dyDescent="0.15">
      <c r="A50" s="6" t="s">
        <v>3</v>
      </c>
      <c r="B50" s="16"/>
      <c r="C50" s="11">
        <v>5</v>
      </c>
      <c r="D50" s="16"/>
      <c r="E50" s="5">
        <f t="shared" si="10"/>
        <v>5</v>
      </c>
      <c r="F50" s="39">
        <v>44649</v>
      </c>
      <c r="G50" s="6" t="s">
        <v>68</v>
      </c>
      <c r="H50" s="31">
        <v>-31</v>
      </c>
      <c r="I50" s="32">
        <v>-33</v>
      </c>
      <c r="J50" s="31">
        <v>-23</v>
      </c>
      <c r="K50" s="5">
        <f t="shared" si="11"/>
        <v>-87</v>
      </c>
      <c r="L50" s="41" t="s">
        <v>69</v>
      </c>
      <c r="M50" s="6" t="s">
        <v>3</v>
      </c>
      <c r="N50" s="31"/>
      <c r="O50" s="32"/>
      <c r="P50" s="31"/>
      <c r="Q50" s="5">
        <f t="shared" si="12"/>
        <v>0</v>
      </c>
    </row>
    <row r="51" spans="1:18" s="30" customFormat="1" x14ac:dyDescent="0.15">
      <c r="A51" s="11" t="s">
        <v>113</v>
      </c>
      <c r="B51" s="16">
        <v>1</v>
      </c>
      <c r="C51" s="11"/>
      <c r="D51" s="16"/>
      <c r="E51" s="5">
        <f t="shared" si="10"/>
        <v>1</v>
      </c>
      <c r="F51" s="39">
        <v>44676</v>
      </c>
      <c r="G51" s="6" t="s">
        <v>3</v>
      </c>
      <c r="H51" s="38"/>
      <c r="I51" s="32"/>
      <c r="J51" s="31"/>
      <c r="K51" s="5">
        <f t="shared" si="11"/>
        <v>0</v>
      </c>
      <c r="L51" s="41"/>
      <c r="M51" s="6" t="s">
        <v>3</v>
      </c>
      <c r="N51" s="38"/>
      <c r="O51" s="32"/>
      <c r="P51" s="31"/>
      <c r="Q51" s="5">
        <f t="shared" si="12"/>
        <v>0</v>
      </c>
    </row>
    <row r="52" spans="1:18" s="30" customFormat="1" x14ac:dyDescent="0.15">
      <c r="A52" s="6" t="s">
        <v>3</v>
      </c>
      <c r="B52" s="16"/>
      <c r="C52" s="11"/>
      <c r="D52" s="16"/>
      <c r="E52" s="5">
        <f t="shared" si="10"/>
        <v>0</v>
      </c>
      <c r="F52" s="41"/>
      <c r="G52" s="6" t="s">
        <v>3</v>
      </c>
      <c r="H52" s="31"/>
      <c r="I52" s="32"/>
      <c r="J52" s="31"/>
      <c r="K52" s="5">
        <f t="shared" si="11"/>
        <v>0</v>
      </c>
      <c r="L52" s="41"/>
      <c r="M52" s="6" t="s">
        <v>3</v>
      </c>
      <c r="N52" s="31"/>
      <c r="O52" s="32"/>
      <c r="P52" s="31"/>
      <c r="Q52" s="5">
        <f t="shared" si="12"/>
        <v>0</v>
      </c>
    </row>
    <row r="53" spans="1:18" s="30" customFormat="1" x14ac:dyDescent="0.15">
      <c r="A53" s="6" t="s">
        <v>3</v>
      </c>
      <c r="B53" s="16"/>
      <c r="C53" s="11"/>
      <c r="D53" s="16"/>
      <c r="E53" s="5">
        <f t="shared" si="10"/>
        <v>0</v>
      </c>
      <c r="F53" s="41"/>
      <c r="G53" s="6" t="s">
        <v>3</v>
      </c>
      <c r="H53" s="38"/>
      <c r="I53" s="32"/>
      <c r="J53" s="31"/>
      <c r="K53" s="5">
        <f t="shared" si="11"/>
        <v>0</v>
      </c>
      <c r="L53" s="41"/>
      <c r="M53" s="6" t="s">
        <v>3</v>
      </c>
      <c r="N53" s="38"/>
      <c r="O53" s="32"/>
      <c r="P53" s="31"/>
      <c r="Q53" s="5">
        <f t="shared" si="12"/>
        <v>0</v>
      </c>
      <c r="R53" s="41"/>
    </row>
    <row r="54" spans="1:18" s="30" customFormat="1" x14ac:dyDescent="0.15">
      <c r="A54" s="6" t="s">
        <v>3</v>
      </c>
      <c r="B54" s="31"/>
      <c r="C54" s="32"/>
      <c r="D54" s="31"/>
      <c r="E54" s="5">
        <f t="shared" si="10"/>
        <v>0</v>
      </c>
      <c r="F54" s="41"/>
      <c r="G54" s="6" t="s">
        <v>3</v>
      </c>
      <c r="H54" s="16"/>
      <c r="I54" s="11"/>
      <c r="J54" s="16"/>
      <c r="K54" s="5">
        <f t="shared" si="11"/>
        <v>0</v>
      </c>
      <c r="L54" s="41"/>
      <c r="M54" s="6" t="s">
        <v>3</v>
      </c>
      <c r="N54" s="38"/>
      <c r="O54" s="32"/>
      <c r="P54" s="31"/>
      <c r="Q54" s="5">
        <f t="shared" si="12"/>
        <v>0</v>
      </c>
      <c r="R54" s="41"/>
    </row>
    <row r="55" spans="1:18" s="30" customFormat="1" x14ac:dyDescent="0.15">
      <c r="A55" s="6" t="s">
        <v>3</v>
      </c>
      <c r="B55" s="10"/>
      <c r="C55" s="9"/>
      <c r="D55" s="10"/>
      <c r="E55" s="5">
        <f t="shared" si="10"/>
        <v>0</v>
      </c>
      <c r="F55" s="41"/>
      <c r="G55" s="6" t="s">
        <v>3</v>
      </c>
      <c r="H55" s="31"/>
      <c r="I55" s="32"/>
      <c r="J55" s="31"/>
      <c r="K55" s="5">
        <f t="shared" si="11"/>
        <v>0</v>
      </c>
      <c r="L55" s="41"/>
      <c r="M55" s="6" t="s">
        <v>3</v>
      </c>
      <c r="N55" s="10"/>
      <c r="O55" s="9"/>
      <c r="P55" s="10"/>
      <c r="Q55" s="5">
        <f t="shared" si="12"/>
        <v>0</v>
      </c>
      <c r="R55" s="41"/>
    </row>
    <row r="56" spans="1:18" s="30" customFormat="1" x14ac:dyDescent="0.15">
      <c r="A56" s="6" t="s">
        <v>3</v>
      </c>
      <c r="B56" s="31"/>
      <c r="C56" s="32"/>
      <c r="D56" s="31"/>
      <c r="E56" s="5">
        <f t="shared" si="10"/>
        <v>0</v>
      </c>
      <c r="F56" s="41"/>
      <c r="G56" s="6" t="s">
        <v>3</v>
      </c>
      <c r="H56" s="34"/>
      <c r="I56" s="35"/>
      <c r="J56" s="34"/>
      <c r="K56" s="5">
        <f t="shared" si="11"/>
        <v>0</v>
      </c>
      <c r="L56" s="41"/>
      <c r="M56" s="6" t="s">
        <v>3</v>
      </c>
      <c r="N56" s="34"/>
      <c r="O56" s="35"/>
      <c r="P56" s="34"/>
      <c r="Q56" s="5">
        <f t="shared" si="12"/>
        <v>0</v>
      </c>
      <c r="R56" s="41"/>
    </row>
    <row r="57" spans="1:18" s="30" customFormat="1" ht="14.25" thickBot="1" x14ac:dyDescent="0.2">
      <c r="A57" s="6" t="s">
        <v>3</v>
      </c>
      <c r="B57" s="13"/>
      <c r="C57" s="12"/>
      <c r="D57" s="13"/>
      <c r="E57" s="5">
        <f t="shared" si="10"/>
        <v>0</v>
      </c>
      <c r="F57" s="41"/>
      <c r="G57" s="6" t="s">
        <v>3</v>
      </c>
      <c r="H57" s="34"/>
      <c r="I57" s="35"/>
      <c r="J57" s="34"/>
      <c r="K57" s="5">
        <f t="shared" si="11"/>
        <v>0</v>
      </c>
      <c r="L57" s="41"/>
      <c r="M57" s="6" t="s">
        <v>3</v>
      </c>
      <c r="N57" s="13"/>
      <c r="O57" s="12"/>
      <c r="P57" s="13"/>
      <c r="Q57" s="5">
        <f t="shared" si="12"/>
        <v>0</v>
      </c>
      <c r="R57" s="41"/>
    </row>
    <row r="58" spans="1:18" ht="14.25" thickBot="1" x14ac:dyDescent="0.2">
      <c r="A58" s="21" t="s">
        <v>4</v>
      </c>
      <c r="B58" s="22">
        <f>SUM(B47:B57)</f>
        <v>11</v>
      </c>
      <c r="C58" s="22">
        <f>SUM(C47:C57)</f>
        <v>10</v>
      </c>
      <c r="D58" s="23">
        <f>SUM(D47:D57)</f>
        <v>6</v>
      </c>
      <c r="E58" s="24">
        <f t="shared" si="10"/>
        <v>27</v>
      </c>
      <c r="G58" s="21" t="s">
        <v>4</v>
      </c>
      <c r="H58" s="22">
        <f>SUM(H47:H57)</f>
        <v>255</v>
      </c>
      <c r="I58" s="22">
        <f>SUM(I47:I57)</f>
        <v>331</v>
      </c>
      <c r="J58" s="23">
        <f>SUM(J47:J57)</f>
        <v>258</v>
      </c>
      <c r="K58" s="24">
        <f t="shared" si="11"/>
        <v>844</v>
      </c>
      <c r="M58" s="21" t="s">
        <v>4</v>
      </c>
      <c r="N58" s="22">
        <f>SUM(N47:N57)</f>
        <v>143</v>
      </c>
      <c r="O58" s="22">
        <f>SUM(O47:O57)</f>
        <v>203</v>
      </c>
      <c r="P58" s="23">
        <f>SUM(P47:P57)</f>
        <v>143</v>
      </c>
      <c r="Q58" s="24">
        <f t="shared" si="12"/>
        <v>489</v>
      </c>
    </row>
    <row r="59" spans="1:18" x14ac:dyDescent="0.15">
      <c r="A59" s="11" t="s">
        <v>67</v>
      </c>
      <c r="B59" s="8">
        <v>1</v>
      </c>
      <c r="C59" s="9"/>
      <c r="D59" s="10"/>
      <c r="E59" s="5">
        <f t="shared" si="10"/>
        <v>1</v>
      </c>
      <c r="F59" s="57">
        <v>44539</v>
      </c>
      <c r="G59" s="28" t="s">
        <v>70</v>
      </c>
      <c r="H59" s="8"/>
      <c r="I59" s="9"/>
      <c r="J59" s="10">
        <v>1</v>
      </c>
      <c r="K59" s="7">
        <f t="shared" si="11"/>
        <v>1</v>
      </c>
      <c r="L59" s="39">
        <v>44540</v>
      </c>
      <c r="M59" s="33" t="s">
        <v>18</v>
      </c>
      <c r="N59" s="51">
        <v>150</v>
      </c>
      <c r="O59" s="42">
        <v>200</v>
      </c>
      <c r="P59" s="43">
        <v>150</v>
      </c>
      <c r="Q59" s="17">
        <f t="shared" si="12"/>
        <v>500</v>
      </c>
      <c r="R59" s="47" t="s">
        <v>13</v>
      </c>
    </row>
    <row r="60" spans="1:18" x14ac:dyDescent="0.15">
      <c r="A60" s="4" t="s">
        <v>57</v>
      </c>
      <c r="B60" s="8">
        <v>1</v>
      </c>
      <c r="C60" s="9"/>
      <c r="D60" s="10"/>
      <c r="E60" s="5">
        <f t="shared" si="10"/>
        <v>1</v>
      </c>
      <c r="F60" s="57">
        <v>44557</v>
      </c>
      <c r="G60" s="4" t="s">
        <v>75</v>
      </c>
      <c r="H60" s="8">
        <v>3</v>
      </c>
      <c r="I60" s="9">
        <v>3</v>
      </c>
      <c r="J60" s="10">
        <v>3</v>
      </c>
      <c r="K60" s="7">
        <f t="shared" si="11"/>
        <v>9</v>
      </c>
      <c r="L60" s="39">
        <v>44568</v>
      </c>
      <c r="M60" s="4"/>
      <c r="N60" s="44"/>
      <c r="O60" s="45"/>
      <c r="P60" s="46"/>
      <c r="Q60" s="5">
        <f t="shared" si="12"/>
        <v>0</v>
      </c>
    </row>
    <row r="61" spans="1:18" x14ac:dyDescent="0.15">
      <c r="A61" s="4" t="s">
        <v>57</v>
      </c>
      <c r="B61" s="8">
        <v>1</v>
      </c>
      <c r="C61" s="9"/>
      <c r="D61" s="10"/>
      <c r="E61" s="5">
        <f t="shared" si="10"/>
        <v>1</v>
      </c>
      <c r="F61" s="57">
        <v>44576</v>
      </c>
      <c r="G61" s="48" t="s">
        <v>83</v>
      </c>
      <c r="H61" s="8">
        <v>3</v>
      </c>
      <c r="I61" s="9">
        <v>3</v>
      </c>
      <c r="J61" s="10">
        <v>3</v>
      </c>
      <c r="K61" s="7">
        <f t="shared" si="11"/>
        <v>9</v>
      </c>
      <c r="L61" s="39">
        <v>44568</v>
      </c>
      <c r="M61" s="4"/>
      <c r="N61" s="36"/>
      <c r="O61" s="37"/>
      <c r="P61" s="36"/>
      <c r="Q61" s="5">
        <f t="shared" si="12"/>
        <v>0</v>
      </c>
    </row>
    <row r="62" spans="1:18" x14ac:dyDescent="0.15">
      <c r="A62" s="4" t="s">
        <v>29</v>
      </c>
      <c r="B62" s="8"/>
      <c r="C62" s="9">
        <v>1</v>
      </c>
      <c r="D62" s="10"/>
      <c r="E62" s="5">
        <f t="shared" si="10"/>
        <v>1</v>
      </c>
      <c r="F62" s="57">
        <v>44578</v>
      </c>
      <c r="G62" s="28" t="s">
        <v>76</v>
      </c>
      <c r="H62" s="8"/>
      <c r="I62" s="9"/>
      <c r="J62" s="10">
        <v>1</v>
      </c>
      <c r="K62" s="7">
        <f t="shared" si="11"/>
        <v>1</v>
      </c>
      <c r="L62" s="39">
        <v>44568</v>
      </c>
      <c r="M62" s="4"/>
      <c r="N62" s="8"/>
      <c r="O62" s="9"/>
      <c r="P62" s="10"/>
      <c r="Q62" s="5">
        <f t="shared" si="12"/>
        <v>0</v>
      </c>
    </row>
    <row r="63" spans="1:18" x14ac:dyDescent="0.15">
      <c r="A63" s="28" t="s">
        <v>82</v>
      </c>
      <c r="B63" s="8"/>
      <c r="C63" s="9">
        <v>1</v>
      </c>
      <c r="D63" s="10"/>
      <c r="E63" s="5">
        <f t="shared" si="10"/>
        <v>1</v>
      </c>
      <c r="F63" s="39">
        <v>44630</v>
      </c>
      <c r="G63" s="4" t="s">
        <v>77</v>
      </c>
      <c r="H63" s="8">
        <v>5</v>
      </c>
      <c r="I63" s="9"/>
      <c r="J63" s="10"/>
      <c r="K63" s="7">
        <f t="shared" si="11"/>
        <v>5</v>
      </c>
      <c r="L63" s="39">
        <v>44585</v>
      </c>
      <c r="M63" s="4"/>
      <c r="N63" s="8"/>
      <c r="O63" s="9"/>
      <c r="P63" s="10"/>
      <c r="Q63" s="5">
        <f t="shared" si="12"/>
        <v>0</v>
      </c>
    </row>
    <row r="64" spans="1:18" x14ac:dyDescent="0.15">
      <c r="A64" s="28" t="s">
        <v>91</v>
      </c>
      <c r="B64" s="8"/>
      <c r="C64" s="9">
        <v>1</v>
      </c>
      <c r="D64" s="10"/>
      <c r="E64" s="5">
        <f t="shared" si="10"/>
        <v>1</v>
      </c>
      <c r="F64" s="39">
        <v>44638</v>
      </c>
      <c r="G64" s="48" t="s">
        <v>84</v>
      </c>
      <c r="H64" s="8">
        <v>2</v>
      </c>
      <c r="I64" s="9"/>
      <c r="J64" s="10"/>
      <c r="K64" s="7">
        <f t="shared" si="11"/>
        <v>2</v>
      </c>
      <c r="L64" s="39">
        <v>44614</v>
      </c>
      <c r="M64" s="4"/>
      <c r="N64" s="8"/>
      <c r="O64" s="9"/>
      <c r="P64" s="10"/>
      <c r="Q64" s="5">
        <f t="shared" si="12"/>
        <v>0</v>
      </c>
    </row>
    <row r="65" spans="1:17" x14ac:dyDescent="0.15">
      <c r="A65" s="4" t="s">
        <v>57</v>
      </c>
      <c r="B65" s="8">
        <v>1</v>
      </c>
      <c r="C65" s="9"/>
      <c r="D65" s="10"/>
      <c r="E65" s="5">
        <f t="shared" si="10"/>
        <v>1</v>
      </c>
      <c r="F65" s="57">
        <v>44638</v>
      </c>
      <c r="G65" s="28" t="s">
        <v>86</v>
      </c>
      <c r="H65" s="8">
        <v>6</v>
      </c>
      <c r="I65" s="9">
        <v>7</v>
      </c>
      <c r="J65" s="10"/>
      <c r="K65" s="7">
        <f t="shared" si="11"/>
        <v>13</v>
      </c>
      <c r="L65" s="39">
        <v>44631</v>
      </c>
      <c r="M65" s="4"/>
      <c r="N65" s="8"/>
      <c r="O65" s="9"/>
      <c r="P65" s="10"/>
      <c r="Q65" s="5">
        <f t="shared" si="12"/>
        <v>0</v>
      </c>
    </row>
    <row r="66" spans="1:17" x14ac:dyDescent="0.15">
      <c r="A66" s="4" t="s">
        <v>57</v>
      </c>
      <c r="B66" s="8"/>
      <c r="C66" s="9"/>
      <c r="D66" s="10">
        <v>1</v>
      </c>
      <c r="E66" s="5">
        <f t="shared" si="10"/>
        <v>1</v>
      </c>
      <c r="F66" s="57">
        <v>44642</v>
      </c>
      <c r="G66" s="4" t="s">
        <v>85</v>
      </c>
      <c r="H66" s="8">
        <v>2</v>
      </c>
      <c r="I66" s="9"/>
      <c r="J66" s="10"/>
      <c r="K66" s="5">
        <f t="shared" si="11"/>
        <v>2</v>
      </c>
      <c r="L66" s="39">
        <v>44631</v>
      </c>
      <c r="M66" s="4"/>
      <c r="N66" s="8"/>
      <c r="O66" s="9"/>
      <c r="P66" s="10"/>
      <c r="Q66" s="5">
        <f t="shared" si="12"/>
        <v>0</v>
      </c>
    </row>
    <row r="67" spans="1:17" x14ac:dyDescent="0.15">
      <c r="A67" s="28" t="s">
        <v>95</v>
      </c>
      <c r="B67" s="8"/>
      <c r="C67" s="9">
        <v>1</v>
      </c>
      <c r="D67" s="10"/>
      <c r="E67" s="5">
        <f t="shared" si="10"/>
        <v>1</v>
      </c>
      <c r="F67" s="39">
        <v>44648</v>
      </c>
      <c r="G67" s="28" t="s">
        <v>87</v>
      </c>
      <c r="H67" s="8">
        <v>8</v>
      </c>
      <c r="I67" s="9">
        <v>3</v>
      </c>
      <c r="J67" s="10">
        <v>1</v>
      </c>
      <c r="K67" s="7">
        <f t="shared" si="11"/>
        <v>12</v>
      </c>
      <c r="L67" s="39">
        <v>44634</v>
      </c>
      <c r="M67" s="4"/>
      <c r="N67" s="8"/>
      <c r="O67" s="9"/>
      <c r="P67" s="10"/>
      <c r="Q67" s="5">
        <f t="shared" si="12"/>
        <v>0</v>
      </c>
    </row>
    <row r="68" spans="1:17" x14ac:dyDescent="0.15">
      <c r="A68" s="28"/>
      <c r="B68" s="8"/>
      <c r="C68" s="9"/>
      <c r="D68" s="10"/>
      <c r="E68" s="5">
        <f t="shared" si="10"/>
        <v>0</v>
      </c>
      <c r="F68" s="39"/>
      <c r="G68" s="28" t="s">
        <v>88</v>
      </c>
      <c r="H68" s="8"/>
      <c r="I68" s="9">
        <v>2</v>
      </c>
      <c r="J68" s="10">
        <v>1</v>
      </c>
      <c r="K68" s="7">
        <f t="shared" si="11"/>
        <v>3</v>
      </c>
      <c r="L68" s="39">
        <v>44635</v>
      </c>
      <c r="M68" s="4"/>
      <c r="N68" s="8"/>
      <c r="O68" s="9"/>
      <c r="P68" s="10"/>
      <c r="Q68" s="5">
        <f t="shared" si="12"/>
        <v>0</v>
      </c>
    </row>
    <row r="69" spans="1:17" x14ac:dyDescent="0.15">
      <c r="A69" s="4"/>
      <c r="B69" s="8"/>
      <c r="C69" s="9"/>
      <c r="D69" s="10"/>
      <c r="E69" s="5">
        <f t="shared" si="10"/>
        <v>0</v>
      </c>
      <c r="G69" s="28" t="s">
        <v>89</v>
      </c>
      <c r="H69" s="8"/>
      <c r="I69" s="9"/>
      <c r="J69" s="10">
        <v>4</v>
      </c>
      <c r="K69" s="7">
        <f t="shared" si="11"/>
        <v>4</v>
      </c>
      <c r="L69" s="39">
        <v>44636</v>
      </c>
      <c r="M69" s="4"/>
      <c r="N69" s="8"/>
      <c r="O69" s="9"/>
      <c r="P69" s="10"/>
      <c r="Q69" s="5">
        <f t="shared" si="12"/>
        <v>0</v>
      </c>
    </row>
    <row r="70" spans="1:17" x14ac:dyDescent="0.15">
      <c r="A70" s="4"/>
      <c r="B70" s="8"/>
      <c r="C70" s="9"/>
      <c r="D70" s="10"/>
      <c r="E70" s="5">
        <f t="shared" si="10"/>
        <v>0</v>
      </c>
      <c r="G70" s="28" t="s">
        <v>90</v>
      </c>
      <c r="H70" s="8">
        <v>3</v>
      </c>
      <c r="I70" s="9">
        <v>3</v>
      </c>
      <c r="J70" s="10">
        <v>3</v>
      </c>
      <c r="K70" s="7">
        <f t="shared" si="11"/>
        <v>9</v>
      </c>
      <c r="L70" s="39">
        <v>44637</v>
      </c>
      <c r="M70" s="4"/>
      <c r="N70" s="8"/>
      <c r="O70" s="9"/>
      <c r="P70" s="10"/>
      <c r="Q70" s="5">
        <f t="shared" si="12"/>
        <v>0</v>
      </c>
    </row>
    <row r="71" spans="1:17" x14ac:dyDescent="0.15">
      <c r="A71" s="4"/>
      <c r="B71" s="8"/>
      <c r="C71" s="9"/>
      <c r="D71" s="10"/>
      <c r="E71" s="5">
        <f t="shared" si="10"/>
        <v>0</v>
      </c>
      <c r="G71" s="4" t="s">
        <v>20</v>
      </c>
      <c r="H71" s="8"/>
      <c r="I71" s="9">
        <v>5</v>
      </c>
      <c r="J71" s="10"/>
      <c r="K71" s="7">
        <f t="shared" si="11"/>
        <v>5</v>
      </c>
      <c r="L71" s="39">
        <v>44649</v>
      </c>
      <c r="M71" s="4"/>
      <c r="N71" s="8"/>
      <c r="O71" s="9"/>
      <c r="P71" s="10"/>
      <c r="Q71" s="5">
        <f t="shared" si="12"/>
        <v>0</v>
      </c>
    </row>
    <row r="72" spans="1:17" x14ac:dyDescent="0.15">
      <c r="A72" s="4"/>
      <c r="B72" s="8"/>
      <c r="C72" s="9"/>
      <c r="D72" s="10"/>
      <c r="E72" s="5">
        <f t="shared" si="10"/>
        <v>0</v>
      </c>
      <c r="G72" s="4"/>
      <c r="H72" s="8"/>
      <c r="I72" s="9"/>
      <c r="J72" s="10"/>
      <c r="K72" s="7">
        <f t="shared" si="11"/>
        <v>0</v>
      </c>
      <c r="M72" s="11"/>
      <c r="N72" s="8"/>
      <c r="O72" s="9"/>
      <c r="P72" s="10"/>
      <c r="Q72" s="5">
        <f t="shared" si="12"/>
        <v>0</v>
      </c>
    </row>
    <row r="73" spans="1:17" x14ac:dyDescent="0.15">
      <c r="A73" s="4"/>
      <c r="B73" s="8"/>
      <c r="C73" s="9"/>
      <c r="D73" s="10"/>
      <c r="E73" s="5">
        <f t="shared" si="10"/>
        <v>0</v>
      </c>
      <c r="G73" s="4"/>
      <c r="H73" s="8"/>
      <c r="I73" s="9"/>
      <c r="J73" s="10"/>
      <c r="K73" s="7">
        <f t="shared" si="11"/>
        <v>0</v>
      </c>
      <c r="M73" s="4"/>
      <c r="N73" s="8"/>
      <c r="O73" s="9"/>
      <c r="P73" s="10"/>
      <c r="Q73" s="5">
        <f t="shared" si="12"/>
        <v>0</v>
      </c>
    </row>
    <row r="74" spans="1:17" x14ac:dyDescent="0.15">
      <c r="A74" s="4"/>
      <c r="B74" s="8"/>
      <c r="C74" s="9"/>
      <c r="D74" s="10"/>
      <c r="E74" s="5">
        <f t="shared" si="10"/>
        <v>0</v>
      </c>
      <c r="G74" s="4"/>
      <c r="H74" s="8"/>
      <c r="I74" s="9"/>
      <c r="J74" s="10"/>
      <c r="K74" s="7">
        <f t="shared" si="11"/>
        <v>0</v>
      </c>
      <c r="M74" s="11"/>
      <c r="N74" s="8"/>
      <c r="O74" s="9"/>
      <c r="P74" s="10"/>
      <c r="Q74" s="5">
        <f t="shared" si="12"/>
        <v>0</v>
      </c>
    </row>
    <row r="75" spans="1:17" x14ac:dyDescent="0.15">
      <c r="A75" s="11"/>
      <c r="B75" s="8"/>
      <c r="C75" s="9"/>
      <c r="D75" s="10"/>
      <c r="E75" s="5">
        <f t="shared" si="10"/>
        <v>0</v>
      </c>
      <c r="G75" s="4"/>
      <c r="H75" s="8"/>
      <c r="I75" s="9"/>
      <c r="J75" s="10"/>
      <c r="K75" s="7">
        <f t="shared" si="11"/>
        <v>0</v>
      </c>
      <c r="M75" s="11"/>
      <c r="N75" s="8"/>
      <c r="O75" s="9"/>
      <c r="P75" s="10"/>
      <c r="Q75" s="5">
        <f t="shared" si="12"/>
        <v>0</v>
      </c>
    </row>
    <row r="76" spans="1:17" x14ac:dyDescent="0.15">
      <c r="A76" s="4"/>
      <c r="B76" s="8"/>
      <c r="C76" s="9"/>
      <c r="D76" s="10"/>
      <c r="E76" s="5">
        <f t="shared" si="10"/>
        <v>0</v>
      </c>
      <c r="G76" s="4"/>
      <c r="H76" s="8"/>
      <c r="I76" s="9"/>
      <c r="J76" s="10"/>
      <c r="K76" s="7">
        <f t="shared" si="11"/>
        <v>0</v>
      </c>
      <c r="L76" s="41"/>
      <c r="M76" s="4"/>
      <c r="N76" s="8"/>
      <c r="O76" s="9"/>
      <c r="P76" s="10"/>
      <c r="Q76" s="5">
        <f t="shared" si="12"/>
        <v>0</v>
      </c>
    </row>
    <row r="77" spans="1:17" x14ac:dyDescent="0.15">
      <c r="A77" s="4"/>
      <c r="B77" s="8"/>
      <c r="C77" s="9"/>
      <c r="D77" s="10"/>
      <c r="E77" s="5">
        <f t="shared" si="10"/>
        <v>0</v>
      </c>
      <c r="G77" s="4"/>
      <c r="H77" s="8"/>
      <c r="I77" s="9"/>
      <c r="J77" s="10"/>
      <c r="K77" s="7">
        <f t="shared" si="11"/>
        <v>0</v>
      </c>
      <c r="L77" s="41"/>
      <c r="M77" s="11"/>
      <c r="N77" s="8"/>
      <c r="O77" s="9"/>
      <c r="P77" s="10"/>
      <c r="Q77" s="5">
        <f t="shared" si="12"/>
        <v>0</v>
      </c>
    </row>
    <row r="78" spans="1:17" x14ac:dyDescent="0.15">
      <c r="A78" s="4"/>
      <c r="B78" s="8"/>
      <c r="C78" s="9"/>
      <c r="D78" s="10"/>
      <c r="E78" s="5">
        <f t="shared" si="10"/>
        <v>0</v>
      </c>
      <c r="G78" s="48"/>
      <c r="H78" s="8"/>
      <c r="I78" s="9"/>
      <c r="J78" s="10"/>
      <c r="K78" s="7">
        <f t="shared" si="11"/>
        <v>0</v>
      </c>
      <c r="L78" s="41"/>
      <c r="M78" s="4"/>
      <c r="N78" s="8"/>
      <c r="O78" s="9"/>
      <c r="P78" s="10"/>
      <c r="Q78" s="5">
        <f t="shared" si="12"/>
        <v>0</v>
      </c>
    </row>
    <row r="79" spans="1:17" x14ac:dyDescent="0.15">
      <c r="A79" s="28"/>
      <c r="B79" s="8"/>
      <c r="C79" s="9"/>
      <c r="D79" s="10"/>
      <c r="E79" s="5">
        <f t="shared" si="10"/>
        <v>0</v>
      </c>
      <c r="G79" s="4"/>
      <c r="H79" s="8"/>
      <c r="I79" s="9"/>
      <c r="J79" s="10"/>
      <c r="K79" s="7">
        <f t="shared" ref="K79:K81" si="13">SUM(H79:J79)</f>
        <v>0</v>
      </c>
      <c r="L79" s="39"/>
      <c r="M79" s="11"/>
      <c r="N79" s="8"/>
      <c r="O79" s="9"/>
      <c r="P79" s="10"/>
      <c r="Q79" s="5">
        <f t="shared" si="12"/>
        <v>0</v>
      </c>
    </row>
    <row r="80" spans="1:17" x14ac:dyDescent="0.15">
      <c r="A80" s="4"/>
      <c r="B80" s="8"/>
      <c r="C80" s="9"/>
      <c r="D80" s="10"/>
      <c r="E80" s="5">
        <f t="shared" si="10"/>
        <v>0</v>
      </c>
      <c r="G80" s="48"/>
      <c r="H80" s="8"/>
      <c r="I80" s="9"/>
      <c r="J80" s="10"/>
      <c r="K80" s="7">
        <f t="shared" si="13"/>
        <v>0</v>
      </c>
      <c r="L80" s="39"/>
      <c r="M80" s="4"/>
      <c r="N80" s="8"/>
      <c r="O80" s="9"/>
      <c r="P80" s="10"/>
      <c r="Q80" s="5">
        <f t="shared" si="12"/>
        <v>0</v>
      </c>
    </row>
    <row r="81" spans="1:17" x14ac:dyDescent="0.15">
      <c r="A81" s="11"/>
      <c r="B81" s="8"/>
      <c r="C81" s="9"/>
      <c r="D81" s="10"/>
      <c r="E81" s="5">
        <f t="shared" si="10"/>
        <v>0</v>
      </c>
      <c r="G81" s="48" t="s">
        <v>78</v>
      </c>
      <c r="H81" s="8"/>
      <c r="I81" s="9"/>
      <c r="J81" s="10"/>
      <c r="K81" s="7">
        <f t="shared" si="13"/>
        <v>0</v>
      </c>
      <c r="L81" s="41" t="s">
        <v>79</v>
      </c>
      <c r="M81" s="11"/>
      <c r="N81" s="8"/>
      <c r="O81" s="9"/>
      <c r="P81" s="10"/>
      <c r="Q81" s="5">
        <f t="shared" si="12"/>
        <v>0</v>
      </c>
    </row>
    <row r="82" spans="1:17" ht="14.25" thickBot="1" x14ac:dyDescent="0.2">
      <c r="A82" s="4"/>
      <c r="B82" s="8"/>
      <c r="C82" s="9"/>
      <c r="D82" s="10"/>
      <c r="E82" s="5">
        <f t="shared" si="10"/>
        <v>0</v>
      </c>
      <c r="G82" s="4" t="s">
        <v>42</v>
      </c>
      <c r="H82" s="8"/>
      <c r="I82" s="9"/>
      <c r="J82" s="10"/>
      <c r="K82" s="7">
        <f t="shared" si="11"/>
        <v>0</v>
      </c>
      <c r="L82" s="39" t="s">
        <v>43</v>
      </c>
      <c r="M82" s="33"/>
      <c r="N82" s="8"/>
      <c r="O82" s="9"/>
      <c r="P82" s="10"/>
      <c r="Q82" s="5">
        <f t="shared" si="12"/>
        <v>0</v>
      </c>
    </row>
    <row r="83" spans="1:17" ht="14.25" thickBot="1" x14ac:dyDescent="0.2">
      <c r="A83" s="3" t="s">
        <v>5</v>
      </c>
      <c r="B83" s="14">
        <f>SUM(B59:B82)</f>
        <v>4</v>
      </c>
      <c r="C83" s="14">
        <f>SUM(C59:C82)</f>
        <v>4</v>
      </c>
      <c r="D83" s="14">
        <f>SUM(D59:D82)</f>
        <v>1</v>
      </c>
      <c r="E83" s="15">
        <f t="shared" si="10"/>
        <v>9</v>
      </c>
      <c r="G83" s="3" t="s">
        <v>5</v>
      </c>
      <c r="H83" s="14">
        <f>SUM(H59:H82)</f>
        <v>32</v>
      </c>
      <c r="I83" s="14">
        <f>SUM(I59:I82)</f>
        <v>26</v>
      </c>
      <c r="J83" s="14">
        <f>SUM(J59:J82)</f>
        <v>17</v>
      </c>
      <c r="K83" s="15">
        <f t="shared" si="11"/>
        <v>75</v>
      </c>
      <c r="M83" s="3" t="s">
        <v>5</v>
      </c>
      <c r="N83" s="14">
        <f>SUM(N59:N82)</f>
        <v>150</v>
      </c>
      <c r="O83" s="14">
        <f>SUM(O59:O82)</f>
        <v>200</v>
      </c>
      <c r="P83" s="14">
        <f>SUM(P59:P82)</f>
        <v>150</v>
      </c>
      <c r="Q83" s="15">
        <f t="shared" si="12"/>
        <v>500</v>
      </c>
    </row>
    <row r="84" spans="1:17" ht="14.25" thickBot="1" x14ac:dyDescent="0.2">
      <c r="A84" s="25" t="s">
        <v>6</v>
      </c>
      <c r="B84" s="26">
        <f>B58-B83</f>
        <v>7</v>
      </c>
      <c r="C84" s="26">
        <f t="shared" ref="C84:E84" si="14">C58-C83</f>
        <v>6</v>
      </c>
      <c r="D84" s="26">
        <f t="shared" si="14"/>
        <v>5</v>
      </c>
      <c r="E84" s="24">
        <f t="shared" si="14"/>
        <v>18</v>
      </c>
      <c r="G84" s="25" t="s">
        <v>6</v>
      </c>
      <c r="H84" s="26">
        <f>H58-H83</f>
        <v>223</v>
      </c>
      <c r="I84" s="26">
        <f t="shared" ref="I84:K84" si="15">I58-I83</f>
        <v>305</v>
      </c>
      <c r="J84" s="26">
        <f t="shared" si="15"/>
        <v>241</v>
      </c>
      <c r="K84" s="24">
        <f t="shared" si="15"/>
        <v>769</v>
      </c>
      <c r="M84" s="25" t="s">
        <v>6</v>
      </c>
      <c r="N84" s="26">
        <f>N58-N83</f>
        <v>-7</v>
      </c>
      <c r="O84" s="26">
        <f t="shared" ref="O84:Q84" si="16">O58-O83</f>
        <v>3</v>
      </c>
      <c r="P84" s="26">
        <f t="shared" si="16"/>
        <v>-7</v>
      </c>
      <c r="Q84" s="24">
        <f t="shared" si="16"/>
        <v>-11</v>
      </c>
    </row>
    <row r="87" spans="1:17" ht="18" thickBot="1" x14ac:dyDescent="0.25">
      <c r="A87" s="29" t="s">
        <v>14</v>
      </c>
      <c r="B87" s="1"/>
      <c r="C87" s="1"/>
      <c r="D87" s="1"/>
      <c r="E87" s="56" t="s">
        <v>26</v>
      </c>
      <c r="G87" s="29" t="s">
        <v>15</v>
      </c>
      <c r="H87" s="1"/>
      <c r="I87" s="1"/>
      <c r="J87" s="1"/>
      <c r="K87" s="56" t="s">
        <v>26</v>
      </c>
    </row>
    <row r="88" spans="1:17" ht="14.25" thickBot="1" x14ac:dyDescent="0.2">
      <c r="A88" s="2" t="s">
        <v>0</v>
      </c>
      <c r="B88" s="102" t="s">
        <v>19</v>
      </c>
      <c r="C88" s="103"/>
      <c r="D88" s="103"/>
      <c r="E88" s="104"/>
      <c r="G88" s="2" t="s">
        <v>0</v>
      </c>
      <c r="H88" s="102" t="s">
        <v>19</v>
      </c>
      <c r="I88" s="103"/>
      <c r="J88" s="103"/>
      <c r="K88" s="104"/>
    </row>
    <row r="89" spans="1:17" ht="14.25" thickBot="1" x14ac:dyDescent="0.2">
      <c r="A89" s="2" t="s">
        <v>1</v>
      </c>
      <c r="B89" s="3" t="s">
        <v>7</v>
      </c>
      <c r="C89" s="2" t="s">
        <v>8</v>
      </c>
      <c r="D89" s="19" t="s">
        <v>9</v>
      </c>
      <c r="E89" s="2" t="s">
        <v>2</v>
      </c>
      <c r="G89" s="2" t="s">
        <v>1</v>
      </c>
      <c r="H89" s="3" t="s">
        <v>7</v>
      </c>
      <c r="I89" s="2" t="s">
        <v>8</v>
      </c>
      <c r="J89" s="19" t="s">
        <v>9</v>
      </c>
      <c r="K89" s="2" t="s">
        <v>2</v>
      </c>
    </row>
    <row r="90" spans="1:17" x14ac:dyDescent="0.15">
      <c r="A90" s="27" t="s">
        <v>6</v>
      </c>
      <c r="B90" s="18">
        <f>B84</f>
        <v>7</v>
      </c>
      <c r="C90" s="20">
        <f>C84</f>
        <v>6</v>
      </c>
      <c r="D90" s="50">
        <f>D84</f>
        <v>5</v>
      </c>
      <c r="E90" s="17">
        <f t="shared" ref="E90:E126" si="17">SUM(B90:D90)</f>
        <v>18</v>
      </c>
      <c r="G90" s="27" t="s">
        <v>6</v>
      </c>
      <c r="H90" s="18">
        <f>H84</f>
        <v>223</v>
      </c>
      <c r="I90" s="20">
        <f>I84</f>
        <v>305</v>
      </c>
      <c r="J90" s="50">
        <f>J84</f>
        <v>241</v>
      </c>
      <c r="K90" s="17">
        <f t="shared" ref="K90:K126" si="18">SUM(H90:J90)</f>
        <v>769</v>
      </c>
    </row>
    <row r="91" spans="1:17" x14ac:dyDescent="0.15">
      <c r="A91" s="6" t="s">
        <v>94</v>
      </c>
      <c r="B91" s="16">
        <v>1</v>
      </c>
      <c r="C91" s="11"/>
      <c r="D91" s="16"/>
      <c r="E91" s="5">
        <f t="shared" si="17"/>
        <v>1</v>
      </c>
      <c r="F91" s="39">
        <v>44643</v>
      </c>
      <c r="G91" s="6" t="s">
        <v>20</v>
      </c>
      <c r="H91" s="8">
        <v>8</v>
      </c>
      <c r="I91" s="9"/>
      <c r="J91" s="10">
        <v>3</v>
      </c>
      <c r="K91" s="5">
        <f t="shared" si="18"/>
        <v>11</v>
      </c>
      <c r="L91" s="39">
        <v>44716</v>
      </c>
    </row>
    <row r="92" spans="1:17" x14ac:dyDescent="0.15">
      <c r="A92" s="6" t="s">
        <v>100</v>
      </c>
      <c r="B92" s="16">
        <v>2</v>
      </c>
      <c r="C92" s="11"/>
      <c r="D92" s="16"/>
      <c r="E92" s="5">
        <f t="shared" si="17"/>
        <v>2</v>
      </c>
      <c r="F92" s="39">
        <v>44656</v>
      </c>
      <c r="G92" s="6" t="s">
        <v>3</v>
      </c>
      <c r="H92" s="38"/>
      <c r="I92" s="32"/>
      <c r="J92" s="31"/>
      <c r="K92" s="5">
        <f t="shared" si="18"/>
        <v>0</v>
      </c>
      <c r="L92" s="39"/>
      <c r="M92" s="30"/>
    </row>
    <row r="93" spans="1:17" x14ac:dyDescent="0.15">
      <c r="A93" s="6" t="s">
        <v>100</v>
      </c>
      <c r="B93" s="16">
        <v>1</v>
      </c>
      <c r="C93" s="11"/>
      <c r="D93" s="16"/>
      <c r="E93" s="5">
        <f t="shared" si="17"/>
        <v>1</v>
      </c>
      <c r="F93" s="39">
        <v>44659</v>
      </c>
      <c r="G93" s="6" t="s">
        <v>3</v>
      </c>
      <c r="H93" s="31"/>
      <c r="I93" s="32"/>
      <c r="J93" s="31"/>
      <c r="K93" s="5">
        <f t="shared" si="18"/>
        <v>0</v>
      </c>
      <c r="L93" s="41"/>
    </row>
    <row r="94" spans="1:17" x14ac:dyDescent="0.15">
      <c r="A94" s="6" t="s">
        <v>3</v>
      </c>
      <c r="B94" s="16"/>
      <c r="C94" s="11"/>
      <c r="D94" s="16">
        <v>3</v>
      </c>
      <c r="E94" s="5">
        <f t="shared" si="17"/>
        <v>3</v>
      </c>
      <c r="F94" s="39">
        <v>44672</v>
      </c>
      <c r="G94" s="6" t="s">
        <v>3</v>
      </c>
      <c r="H94" s="38"/>
      <c r="I94" s="32"/>
      <c r="J94" s="31"/>
      <c r="K94" s="5">
        <f t="shared" si="18"/>
        <v>0</v>
      </c>
      <c r="L94" s="41"/>
    </row>
    <row r="95" spans="1:17" x14ac:dyDescent="0.15">
      <c r="A95" s="6" t="s">
        <v>94</v>
      </c>
      <c r="B95" s="16">
        <v>6</v>
      </c>
      <c r="C95" s="11">
        <v>4</v>
      </c>
      <c r="D95" s="16">
        <v>4</v>
      </c>
      <c r="E95" s="5">
        <f t="shared" si="17"/>
        <v>14</v>
      </c>
      <c r="F95" s="39">
        <v>44676</v>
      </c>
      <c r="G95" s="6" t="s">
        <v>3</v>
      </c>
      <c r="H95" s="31"/>
      <c r="I95" s="32"/>
      <c r="J95" s="31"/>
      <c r="K95" s="5">
        <f t="shared" si="18"/>
        <v>0</v>
      </c>
      <c r="L95" s="41"/>
    </row>
    <row r="96" spans="1:17" x14ac:dyDescent="0.15">
      <c r="A96" s="6" t="s">
        <v>3</v>
      </c>
      <c r="B96" s="16"/>
      <c r="C96" s="11">
        <v>5</v>
      </c>
      <c r="D96" s="16"/>
      <c r="E96" s="5">
        <f t="shared" si="17"/>
        <v>5</v>
      </c>
      <c r="F96" s="39">
        <v>44712</v>
      </c>
      <c r="G96" s="6" t="s">
        <v>3</v>
      </c>
      <c r="H96" s="38"/>
      <c r="I96" s="32"/>
      <c r="J96" s="31"/>
      <c r="K96" s="5">
        <f t="shared" si="18"/>
        <v>0</v>
      </c>
      <c r="L96" s="41"/>
    </row>
    <row r="97" spans="1:13" x14ac:dyDescent="0.15">
      <c r="A97" s="6" t="s">
        <v>3</v>
      </c>
      <c r="B97" s="31"/>
      <c r="C97" s="32"/>
      <c r="D97" s="31">
        <v>3</v>
      </c>
      <c r="E97" s="5">
        <f t="shared" si="17"/>
        <v>3</v>
      </c>
      <c r="F97" s="39">
        <v>44728</v>
      </c>
      <c r="G97" s="6" t="s">
        <v>3</v>
      </c>
      <c r="H97" s="16"/>
      <c r="I97" s="11"/>
      <c r="J97" s="16"/>
      <c r="K97" s="5">
        <f t="shared" si="18"/>
        <v>0</v>
      </c>
      <c r="L97" s="41"/>
    </row>
    <row r="98" spans="1:13" x14ac:dyDescent="0.15">
      <c r="A98" s="6" t="s">
        <v>138</v>
      </c>
      <c r="B98" s="10">
        <v>1</v>
      </c>
      <c r="C98" s="9"/>
      <c r="D98" s="10">
        <v>1</v>
      </c>
      <c r="E98" s="5">
        <f t="shared" si="17"/>
        <v>2</v>
      </c>
      <c r="F98" s="39">
        <v>44736</v>
      </c>
      <c r="G98" s="6" t="s">
        <v>3</v>
      </c>
      <c r="H98" s="31"/>
      <c r="I98" s="32"/>
      <c r="J98" s="31"/>
      <c r="K98" s="5">
        <f t="shared" si="18"/>
        <v>0</v>
      </c>
      <c r="L98" s="41"/>
    </row>
    <row r="99" spans="1:13" x14ac:dyDescent="0.15">
      <c r="A99" s="6" t="s">
        <v>3</v>
      </c>
      <c r="B99" s="31"/>
      <c r="C99" s="32"/>
      <c r="D99" s="31"/>
      <c r="E99" s="5">
        <f t="shared" si="17"/>
        <v>0</v>
      </c>
      <c r="F99" s="41"/>
      <c r="G99" s="6" t="s">
        <v>3</v>
      </c>
      <c r="H99" s="34"/>
      <c r="I99" s="35"/>
      <c r="J99" s="34"/>
      <c r="K99" s="5">
        <f t="shared" si="18"/>
        <v>0</v>
      </c>
      <c r="L99" s="41"/>
    </row>
    <row r="100" spans="1:13" ht="14.25" thickBot="1" x14ac:dyDescent="0.2">
      <c r="A100" s="6" t="s">
        <v>3</v>
      </c>
      <c r="B100" s="13"/>
      <c r="C100" s="12"/>
      <c r="D100" s="13"/>
      <c r="E100" s="5">
        <f t="shared" si="17"/>
        <v>0</v>
      </c>
      <c r="F100" s="41"/>
      <c r="G100" s="6" t="s">
        <v>3</v>
      </c>
      <c r="H100" s="34"/>
      <c r="I100" s="35"/>
      <c r="J100" s="34"/>
      <c r="K100" s="5">
        <f t="shared" si="18"/>
        <v>0</v>
      </c>
      <c r="L100" s="41"/>
    </row>
    <row r="101" spans="1:13" ht="14.25" thickBot="1" x14ac:dyDescent="0.2">
      <c r="A101" s="21" t="s">
        <v>4</v>
      </c>
      <c r="B101" s="22">
        <f>SUM(B90:B100)</f>
        <v>18</v>
      </c>
      <c r="C101" s="22">
        <f>SUM(C90:C100)</f>
        <v>15</v>
      </c>
      <c r="D101" s="23">
        <f>SUM(D90:D100)</f>
        <v>16</v>
      </c>
      <c r="E101" s="24">
        <f t="shared" si="17"/>
        <v>49</v>
      </c>
      <c r="G101" s="21" t="s">
        <v>4</v>
      </c>
      <c r="H101" s="22">
        <f>SUM(H90:H100)</f>
        <v>231</v>
      </c>
      <c r="I101" s="22">
        <f>SUM(I90:I100)</f>
        <v>305</v>
      </c>
      <c r="J101" s="23">
        <f>SUM(J90:J100)</f>
        <v>244</v>
      </c>
      <c r="K101" s="24">
        <f t="shared" si="18"/>
        <v>780</v>
      </c>
    </row>
    <row r="102" spans="1:13" x14ac:dyDescent="0.15">
      <c r="A102" s="28" t="s">
        <v>96</v>
      </c>
      <c r="B102" s="8"/>
      <c r="C102" s="9">
        <v>1</v>
      </c>
      <c r="D102" s="10"/>
      <c r="E102" s="5">
        <f t="shared" si="17"/>
        <v>1</v>
      </c>
      <c r="F102" s="39">
        <v>44651</v>
      </c>
      <c r="G102" s="4" t="s">
        <v>92</v>
      </c>
      <c r="H102" s="8">
        <v>10</v>
      </c>
      <c r="I102" s="9">
        <v>10</v>
      </c>
      <c r="J102" s="10">
        <v>10</v>
      </c>
      <c r="K102" s="7">
        <f t="shared" ref="K102" si="19">SUM(H102:J102)</f>
        <v>30</v>
      </c>
      <c r="L102" s="39">
        <v>44665</v>
      </c>
    </row>
    <row r="103" spans="1:13" x14ac:dyDescent="0.15">
      <c r="A103" s="28" t="s">
        <v>98</v>
      </c>
      <c r="B103" s="8"/>
      <c r="C103" s="9">
        <v>1</v>
      </c>
      <c r="D103" s="10"/>
      <c r="E103" s="5">
        <f t="shared" si="17"/>
        <v>1</v>
      </c>
      <c r="F103" s="39">
        <v>44655</v>
      </c>
      <c r="G103" s="76" t="s">
        <v>93</v>
      </c>
      <c r="H103" s="8">
        <v>5</v>
      </c>
      <c r="I103" s="9">
        <v>5</v>
      </c>
      <c r="J103" s="10">
        <v>5</v>
      </c>
      <c r="K103" s="7">
        <f t="shared" si="18"/>
        <v>15</v>
      </c>
      <c r="L103" s="39">
        <v>44645</v>
      </c>
    </row>
    <row r="104" spans="1:13" x14ac:dyDescent="0.15">
      <c r="A104" s="28" t="s">
        <v>101</v>
      </c>
      <c r="B104" s="8">
        <v>1</v>
      </c>
      <c r="C104" s="9"/>
      <c r="D104" s="10"/>
      <c r="E104" s="5">
        <f t="shared" si="17"/>
        <v>1</v>
      </c>
      <c r="F104" s="39">
        <v>44664</v>
      </c>
      <c r="G104" s="76" t="s">
        <v>97</v>
      </c>
      <c r="H104" s="8">
        <v>5</v>
      </c>
      <c r="I104" s="9">
        <v>10</v>
      </c>
      <c r="J104" s="10">
        <v>5</v>
      </c>
      <c r="K104" s="7">
        <f t="shared" si="18"/>
        <v>20</v>
      </c>
      <c r="L104" s="39">
        <v>44655</v>
      </c>
    </row>
    <row r="105" spans="1:13" x14ac:dyDescent="0.15">
      <c r="A105" s="4" t="s">
        <v>104</v>
      </c>
      <c r="B105" s="8"/>
      <c r="C105" s="9"/>
      <c r="D105" s="10">
        <v>1</v>
      </c>
      <c r="E105" s="5">
        <f t="shared" si="17"/>
        <v>1</v>
      </c>
      <c r="F105" s="57">
        <v>44665</v>
      </c>
      <c r="G105" s="76" t="s">
        <v>99</v>
      </c>
      <c r="H105" s="8">
        <v>1</v>
      </c>
      <c r="I105" s="9"/>
      <c r="J105" s="10"/>
      <c r="K105" s="7">
        <f t="shared" si="18"/>
        <v>1</v>
      </c>
      <c r="L105" s="39">
        <v>44656</v>
      </c>
    </row>
    <row r="106" spans="1:13" x14ac:dyDescent="0.15">
      <c r="A106" s="4" t="s">
        <v>105</v>
      </c>
      <c r="B106" s="8">
        <v>1</v>
      </c>
      <c r="C106" s="9">
        <v>1</v>
      </c>
      <c r="D106" s="10">
        <v>1</v>
      </c>
      <c r="E106" s="5">
        <f t="shared" si="17"/>
        <v>3</v>
      </c>
      <c r="F106" s="39">
        <v>44670</v>
      </c>
      <c r="G106" s="4" t="s">
        <v>102</v>
      </c>
      <c r="H106" s="8">
        <v>12</v>
      </c>
      <c r="I106" s="9">
        <v>16</v>
      </c>
      <c r="J106" s="10">
        <v>16</v>
      </c>
      <c r="K106" s="7">
        <f t="shared" si="18"/>
        <v>44</v>
      </c>
      <c r="L106" s="39">
        <v>44666</v>
      </c>
    </row>
    <row r="107" spans="1:13" x14ac:dyDescent="0.15">
      <c r="A107" s="28" t="s">
        <v>106</v>
      </c>
      <c r="B107" s="8"/>
      <c r="C107" s="9"/>
      <c r="D107" s="10">
        <v>1</v>
      </c>
      <c r="E107" s="5">
        <f t="shared" si="17"/>
        <v>1</v>
      </c>
      <c r="F107" s="39">
        <v>44671</v>
      </c>
      <c r="G107" s="28" t="s">
        <v>107</v>
      </c>
      <c r="H107" s="8"/>
      <c r="I107" s="9"/>
      <c r="J107" s="10">
        <v>3</v>
      </c>
      <c r="K107" s="7">
        <f t="shared" si="18"/>
        <v>3</v>
      </c>
      <c r="L107" s="39">
        <v>44672</v>
      </c>
      <c r="M107" s="30"/>
    </row>
    <row r="108" spans="1:13" x14ac:dyDescent="0.15">
      <c r="A108" s="28" t="s">
        <v>112</v>
      </c>
      <c r="B108" s="8"/>
      <c r="C108" s="9">
        <v>1</v>
      </c>
      <c r="D108" s="10"/>
      <c r="E108" s="5">
        <f t="shared" si="17"/>
        <v>1</v>
      </c>
      <c r="F108" s="39">
        <v>44676</v>
      </c>
      <c r="G108" s="4" t="s">
        <v>111</v>
      </c>
      <c r="H108" s="8"/>
      <c r="I108" s="9"/>
      <c r="J108" s="10">
        <v>1</v>
      </c>
      <c r="K108" s="7">
        <f t="shared" si="18"/>
        <v>1</v>
      </c>
      <c r="L108" s="39">
        <v>44677</v>
      </c>
      <c r="M108" s="30"/>
    </row>
    <row r="109" spans="1:13" x14ac:dyDescent="0.15">
      <c r="A109" s="28" t="s">
        <v>114</v>
      </c>
      <c r="B109" s="8"/>
      <c r="C109" s="9">
        <v>1</v>
      </c>
      <c r="D109" s="10"/>
      <c r="E109" s="5">
        <f t="shared" si="17"/>
        <v>1</v>
      </c>
      <c r="F109" s="39">
        <v>44691</v>
      </c>
      <c r="G109" s="28" t="s">
        <v>20</v>
      </c>
      <c r="H109" s="8"/>
      <c r="I109" s="9">
        <v>5</v>
      </c>
      <c r="J109" s="10"/>
      <c r="K109" s="7">
        <f t="shared" si="18"/>
        <v>5</v>
      </c>
      <c r="L109" s="39">
        <v>44712</v>
      </c>
      <c r="M109" s="30"/>
    </row>
    <row r="110" spans="1:13" x14ac:dyDescent="0.15">
      <c r="A110" s="4" t="s">
        <v>57</v>
      </c>
      <c r="B110" s="8"/>
      <c r="C110" s="9">
        <v>1</v>
      </c>
      <c r="D110" s="10"/>
      <c r="E110" s="5">
        <f t="shared" si="17"/>
        <v>1</v>
      </c>
      <c r="F110" s="57">
        <v>44690</v>
      </c>
      <c r="G110" s="28" t="s">
        <v>122</v>
      </c>
      <c r="H110" s="8"/>
      <c r="I110" s="9">
        <v>4</v>
      </c>
      <c r="J110" s="10">
        <v>1</v>
      </c>
      <c r="K110" s="7">
        <f t="shared" si="18"/>
        <v>5</v>
      </c>
      <c r="L110" s="39">
        <v>44714</v>
      </c>
    </row>
    <row r="111" spans="1:13" x14ac:dyDescent="0.15">
      <c r="A111" s="28" t="s">
        <v>115</v>
      </c>
      <c r="B111" s="8"/>
      <c r="C111" s="9">
        <v>1</v>
      </c>
      <c r="D111" s="10"/>
      <c r="E111" s="5">
        <f t="shared" si="17"/>
        <v>1</v>
      </c>
      <c r="F111" s="39">
        <v>44694</v>
      </c>
      <c r="G111" s="28" t="s">
        <v>123</v>
      </c>
      <c r="H111" s="8">
        <v>1</v>
      </c>
      <c r="I111" s="9"/>
      <c r="J111" s="10">
        <v>5</v>
      </c>
      <c r="K111" s="7">
        <f t="shared" si="18"/>
        <v>6</v>
      </c>
      <c r="L111" s="39">
        <v>44715</v>
      </c>
    </row>
    <row r="112" spans="1:13" x14ac:dyDescent="0.15">
      <c r="A112" s="28" t="s">
        <v>118</v>
      </c>
      <c r="B112" s="8">
        <v>1</v>
      </c>
      <c r="C112" s="9"/>
      <c r="D112" s="10"/>
      <c r="E112" s="5">
        <f t="shared" si="17"/>
        <v>1</v>
      </c>
      <c r="F112" s="39">
        <v>44698</v>
      </c>
      <c r="G112" s="28" t="s">
        <v>125</v>
      </c>
      <c r="H112" s="8">
        <v>1</v>
      </c>
      <c r="I112" s="9">
        <v>2</v>
      </c>
      <c r="J112" s="10">
        <v>2</v>
      </c>
      <c r="K112" s="7">
        <f t="shared" si="18"/>
        <v>5</v>
      </c>
      <c r="L112" s="39">
        <v>44719</v>
      </c>
    </row>
    <row r="113" spans="1:12" x14ac:dyDescent="0.15">
      <c r="A113" s="28" t="s">
        <v>119</v>
      </c>
      <c r="B113" s="8"/>
      <c r="C113" s="9">
        <v>1</v>
      </c>
      <c r="D113" s="10"/>
      <c r="E113" s="5">
        <f t="shared" si="17"/>
        <v>1</v>
      </c>
      <c r="F113" s="39">
        <v>44699</v>
      </c>
      <c r="G113" s="28" t="s">
        <v>127</v>
      </c>
      <c r="H113" s="8">
        <v>4</v>
      </c>
      <c r="I113" s="9"/>
      <c r="J113" s="10"/>
      <c r="K113" s="7">
        <f t="shared" si="18"/>
        <v>4</v>
      </c>
      <c r="L113" s="39">
        <v>44721</v>
      </c>
    </row>
    <row r="114" spans="1:12" x14ac:dyDescent="0.15">
      <c r="A114" s="4" t="s">
        <v>104</v>
      </c>
      <c r="B114" s="8"/>
      <c r="C114" s="9"/>
      <c r="D114" s="10">
        <v>1</v>
      </c>
      <c r="E114" s="5">
        <f t="shared" si="17"/>
        <v>1</v>
      </c>
      <c r="F114" s="57">
        <v>44699</v>
      </c>
      <c r="G114" s="28" t="s">
        <v>20</v>
      </c>
      <c r="H114" s="8"/>
      <c r="I114" s="9"/>
      <c r="J114" s="10">
        <v>3</v>
      </c>
      <c r="K114" s="7">
        <f t="shared" si="18"/>
        <v>3</v>
      </c>
      <c r="L114" s="39">
        <v>44728</v>
      </c>
    </row>
    <row r="115" spans="1:12" x14ac:dyDescent="0.15">
      <c r="A115" s="28" t="s">
        <v>120</v>
      </c>
      <c r="B115" s="8"/>
      <c r="C115" s="9">
        <v>1</v>
      </c>
      <c r="D115" s="10"/>
      <c r="E115" s="5">
        <f t="shared" si="17"/>
        <v>1</v>
      </c>
      <c r="F115" s="39">
        <v>44712</v>
      </c>
      <c r="G115" s="28" t="s">
        <v>130</v>
      </c>
      <c r="H115" s="8">
        <v>3</v>
      </c>
      <c r="I115" s="9">
        <v>4</v>
      </c>
      <c r="J115" s="10">
        <v>2</v>
      </c>
      <c r="K115" s="7">
        <f t="shared" si="18"/>
        <v>9</v>
      </c>
      <c r="L115" s="39">
        <v>44734</v>
      </c>
    </row>
    <row r="116" spans="1:12" x14ac:dyDescent="0.15">
      <c r="A116" s="28" t="s">
        <v>121</v>
      </c>
      <c r="B116" s="8"/>
      <c r="C116" s="9"/>
      <c r="D116" s="10">
        <v>1</v>
      </c>
      <c r="E116" s="5">
        <f t="shared" si="17"/>
        <v>1</v>
      </c>
      <c r="F116" s="39">
        <v>44713</v>
      </c>
      <c r="G116" s="28" t="s">
        <v>131</v>
      </c>
      <c r="H116" s="8"/>
      <c r="I116" s="9">
        <v>1</v>
      </c>
      <c r="J116" s="10">
        <v>1</v>
      </c>
      <c r="K116" s="7">
        <f t="shared" si="18"/>
        <v>2</v>
      </c>
      <c r="L116" s="39">
        <v>44742</v>
      </c>
    </row>
    <row r="117" spans="1:12" x14ac:dyDescent="0.15">
      <c r="A117" s="28" t="s">
        <v>124</v>
      </c>
      <c r="B117" s="8"/>
      <c r="C117" s="9">
        <v>1</v>
      </c>
      <c r="D117" s="10">
        <v>1</v>
      </c>
      <c r="E117" s="5">
        <f t="shared" si="17"/>
        <v>2</v>
      </c>
      <c r="F117" s="39">
        <v>44718</v>
      </c>
      <c r="G117" s="28" t="s">
        <v>132</v>
      </c>
      <c r="H117" s="8"/>
      <c r="I117" s="9">
        <v>3</v>
      </c>
      <c r="J117" s="10">
        <v>3</v>
      </c>
      <c r="K117" s="7">
        <f t="shared" si="18"/>
        <v>6</v>
      </c>
      <c r="L117" s="39">
        <v>44743</v>
      </c>
    </row>
    <row r="118" spans="1:12" x14ac:dyDescent="0.15">
      <c r="A118" s="4" t="s">
        <v>57</v>
      </c>
      <c r="B118" s="8"/>
      <c r="C118" s="9">
        <v>1</v>
      </c>
      <c r="D118" s="10"/>
      <c r="E118" s="5">
        <f t="shared" si="17"/>
        <v>1</v>
      </c>
      <c r="F118" s="57">
        <v>44719</v>
      </c>
      <c r="G118" s="28" t="s">
        <v>133</v>
      </c>
      <c r="H118" s="8">
        <v>5</v>
      </c>
      <c r="I118" s="9">
        <v>2</v>
      </c>
      <c r="J118" s="10"/>
      <c r="K118" s="7">
        <f t="shared" si="18"/>
        <v>7</v>
      </c>
      <c r="L118" s="39">
        <v>44746</v>
      </c>
    </row>
    <row r="119" spans="1:12" x14ac:dyDescent="0.15">
      <c r="A119" s="4" t="s">
        <v>126</v>
      </c>
      <c r="B119" s="8">
        <v>8</v>
      </c>
      <c r="C119" s="9"/>
      <c r="D119" s="10">
        <v>3</v>
      </c>
      <c r="E119" s="5">
        <f t="shared" si="17"/>
        <v>11</v>
      </c>
      <c r="F119" s="57">
        <v>44716</v>
      </c>
      <c r="G119" s="28" t="s">
        <v>134</v>
      </c>
      <c r="H119" s="8"/>
      <c r="I119" s="9">
        <v>1</v>
      </c>
      <c r="J119" s="10">
        <v>1</v>
      </c>
      <c r="K119" s="7">
        <f t="shared" si="18"/>
        <v>2</v>
      </c>
      <c r="L119" s="39">
        <v>44747</v>
      </c>
    </row>
    <row r="120" spans="1:12" x14ac:dyDescent="0.15">
      <c r="A120" s="28" t="s">
        <v>29</v>
      </c>
      <c r="B120" s="8"/>
      <c r="C120" s="9"/>
      <c r="D120" s="10">
        <v>1</v>
      </c>
      <c r="E120" s="5">
        <f t="shared" si="17"/>
        <v>1</v>
      </c>
      <c r="F120" s="57">
        <v>44725</v>
      </c>
      <c r="G120" s="4"/>
      <c r="H120" s="8"/>
      <c r="I120" s="9"/>
      <c r="J120" s="10"/>
      <c r="K120" s="7">
        <f t="shared" si="18"/>
        <v>0</v>
      </c>
      <c r="L120" s="39"/>
    </row>
    <row r="121" spans="1:12" x14ac:dyDescent="0.15">
      <c r="A121" s="28" t="s">
        <v>128</v>
      </c>
      <c r="B121" s="8"/>
      <c r="C121" s="9"/>
      <c r="D121" s="10">
        <v>1</v>
      </c>
      <c r="E121" s="5">
        <f t="shared" si="17"/>
        <v>1</v>
      </c>
      <c r="F121" s="39">
        <v>44728</v>
      </c>
      <c r="G121" s="77" t="s">
        <v>71</v>
      </c>
      <c r="H121" s="8"/>
      <c r="I121" s="9"/>
      <c r="J121" s="10"/>
      <c r="K121" s="7">
        <f t="shared" ref="K121:K123" si="20">SUM(H121:J121)</f>
        <v>0</v>
      </c>
      <c r="L121" s="39" t="s">
        <v>72</v>
      </c>
    </row>
    <row r="122" spans="1:12" x14ac:dyDescent="0.15">
      <c r="A122" s="28" t="s">
        <v>129</v>
      </c>
      <c r="B122" s="8">
        <v>1</v>
      </c>
      <c r="C122" s="9"/>
      <c r="D122" s="10"/>
      <c r="E122" s="5">
        <f t="shared" si="17"/>
        <v>1</v>
      </c>
      <c r="F122" s="39">
        <v>44733</v>
      </c>
      <c r="G122" s="4" t="s">
        <v>80</v>
      </c>
      <c r="H122" s="8"/>
      <c r="I122" s="9"/>
      <c r="J122" s="10"/>
      <c r="K122" s="7">
        <f t="shared" si="20"/>
        <v>0</v>
      </c>
      <c r="L122" s="39" t="s">
        <v>81</v>
      </c>
    </row>
    <row r="123" spans="1:12" x14ac:dyDescent="0.15">
      <c r="A123" s="4" t="s">
        <v>57</v>
      </c>
      <c r="B123" s="8"/>
      <c r="C123" s="9"/>
      <c r="D123" s="10">
        <v>1</v>
      </c>
      <c r="E123" s="5">
        <f t="shared" si="17"/>
        <v>1</v>
      </c>
      <c r="F123" s="57">
        <v>44754</v>
      </c>
      <c r="G123" s="4" t="s">
        <v>65</v>
      </c>
      <c r="H123" s="8"/>
      <c r="I123" s="9"/>
      <c r="J123" s="10"/>
      <c r="K123" s="7">
        <f t="shared" si="20"/>
        <v>0</v>
      </c>
      <c r="L123" s="39">
        <v>44669</v>
      </c>
    </row>
    <row r="124" spans="1:12" x14ac:dyDescent="0.15">
      <c r="A124" s="11" t="s">
        <v>67</v>
      </c>
      <c r="B124" s="8">
        <v>-1</v>
      </c>
      <c r="C124" s="9"/>
      <c r="D124" s="10"/>
      <c r="E124" s="5">
        <f t="shared" si="17"/>
        <v>-1</v>
      </c>
      <c r="F124" s="57">
        <v>44758</v>
      </c>
      <c r="G124" s="4" t="s">
        <v>108</v>
      </c>
      <c r="H124" s="8"/>
      <c r="I124" s="9"/>
      <c r="J124" s="10"/>
      <c r="K124" s="7">
        <f t="shared" si="18"/>
        <v>0</v>
      </c>
      <c r="L124" s="39" t="s">
        <v>109</v>
      </c>
    </row>
    <row r="125" spans="1:12" ht="14.25" thickBot="1" x14ac:dyDescent="0.2">
      <c r="A125" s="4" t="s">
        <v>57</v>
      </c>
      <c r="B125" s="8"/>
      <c r="C125" s="9">
        <v>1</v>
      </c>
      <c r="D125" s="10">
        <v>1</v>
      </c>
      <c r="E125" s="5">
        <f t="shared" si="17"/>
        <v>2</v>
      </c>
      <c r="F125" s="57">
        <v>44771</v>
      </c>
      <c r="G125" s="4" t="s">
        <v>117</v>
      </c>
      <c r="H125" s="8"/>
      <c r="I125" s="9"/>
      <c r="J125" s="10"/>
      <c r="K125" s="7">
        <f t="shared" si="18"/>
        <v>0</v>
      </c>
      <c r="L125" s="39" t="s">
        <v>116</v>
      </c>
    </row>
    <row r="126" spans="1:12" ht="14.25" thickBot="1" x14ac:dyDescent="0.2">
      <c r="A126" s="3" t="s">
        <v>5</v>
      </c>
      <c r="B126" s="14">
        <f>SUM(B102:B125)</f>
        <v>11</v>
      </c>
      <c r="C126" s="14">
        <f>SUM(C102:C125)</f>
        <v>12</v>
      </c>
      <c r="D126" s="14">
        <f>SUM(D102:D125)</f>
        <v>13</v>
      </c>
      <c r="E126" s="15">
        <f t="shared" si="17"/>
        <v>36</v>
      </c>
      <c r="G126" s="3" t="s">
        <v>5</v>
      </c>
      <c r="H126" s="14">
        <f>SUM(H102:H125)</f>
        <v>47</v>
      </c>
      <c r="I126" s="14">
        <f>SUM(I102:I125)</f>
        <v>63</v>
      </c>
      <c r="J126" s="14">
        <f>SUM(J102:J125)</f>
        <v>58</v>
      </c>
      <c r="K126" s="15">
        <f t="shared" si="18"/>
        <v>168</v>
      </c>
    </row>
    <row r="127" spans="1:12" ht="14.25" thickBot="1" x14ac:dyDescent="0.2">
      <c r="A127" s="25" t="s">
        <v>6</v>
      </c>
      <c r="B127" s="26">
        <f>B101-B126</f>
        <v>7</v>
      </c>
      <c r="C127" s="26">
        <f t="shared" ref="C127:E127" si="21">C101-C126</f>
        <v>3</v>
      </c>
      <c r="D127" s="26">
        <f t="shared" si="21"/>
        <v>3</v>
      </c>
      <c r="E127" s="24">
        <f t="shared" si="21"/>
        <v>13</v>
      </c>
      <c r="G127" s="25" t="s">
        <v>6</v>
      </c>
      <c r="H127" s="26">
        <f>H101-H126</f>
        <v>184</v>
      </c>
      <c r="I127" s="26">
        <f t="shared" ref="I127:K127" si="22">I101-I126</f>
        <v>242</v>
      </c>
      <c r="J127" s="26">
        <f t="shared" si="22"/>
        <v>186</v>
      </c>
      <c r="K127" s="24">
        <f t="shared" si="22"/>
        <v>612</v>
      </c>
    </row>
    <row r="130" spans="1:12" ht="18" thickBot="1" x14ac:dyDescent="0.25">
      <c r="A130" s="29" t="s">
        <v>14</v>
      </c>
      <c r="B130" s="1"/>
      <c r="C130" s="1"/>
      <c r="D130" s="1"/>
      <c r="E130" s="56" t="s">
        <v>26</v>
      </c>
      <c r="G130" s="29" t="s">
        <v>15</v>
      </c>
      <c r="H130" s="1"/>
      <c r="I130" s="1"/>
      <c r="J130" s="1"/>
      <c r="K130" s="56" t="s">
        <v>26</v>
      </c>
    </row>
    <row r="131" spans="1:12" ht="14.25" thickBot="1" x14ac:dyDescent="0.2">
      <c r="A131" s="2" t="s">
        <v>0</v>
      </c>
      <c r="B131" s="102" t="s">
        <v>19</v>
      </c>
      <c r="C131" s="103"/>
      <c r="D131" s="103"/>
      <c r="E131" s="104"/>
      <c r="G131" s="2" t="s">
        <v>0</v>
      </c>
      <c r="H131" s="102" t="s">
        <v>19</v>
      </c>
      <c r="I131" s="103"/>
      <c r="J131" s="103"/>
      <c r="K131" s="104"/>
    </row>
    <row r="132" spans="1:12" ht="14.25" thickBot="1" x14ac:dyDescent="0.2">
      <c r="A132" s="2" t="s">
        <v>1</v>
      </c>
      <c r="B132" s="3" t="s">
        <v>7</v>
      </c>
      <c r="C132" s="2" t="s">
        <v>8</v>
      </c>
      <c r="D132" s="19" t="s">
        <v>9</v>
      </c>
      <c r="E132" s="2" t="s">
        <v>2</v>
      </c>
      <c r="G132" s="2" t="s">
        <v>1</v>
      </c>
      <c r="H132" s="3" t="s">
        <v>7</v>
      </c>
      <c r="I132" s="2" t="s">
        <v>8</v>
      </c>
      <c r="J132" s="19" t="s">
        <v>9</v>
      </c>
      <c r="K132" s="2" t="s">
        <v>2</v>
      </c>
    </row>
    <row r="133" spans="1:12" x14ac:dyDescent="0.15">
      <c r="A133" s="27" t="s">
        <v>6</v>
      </c>
      <c r="B133" s="18">
        <f>B127</f>
        <v>7</v>
      </c>
      <c r="C133" s="20">
        <f>C127</f>
        <v>3</v>
      </c>
      <c r="D133" s="50">
        <f>D127</f>
        <v>3</v>
      </c>
      <c r="E133" s="17">
        <f t="shared" ref="E133:E169" si="23">SUM(B133:D133)</f>
        <v>13</v>
      </c>
      <c r="G133" s="27" t="s">
        <v>6</v>
      </c>
      <c r="H133" s="18">
        <f>H127</f>
        <v>184</v>
      </c>
      <c r="I133" s="20">
        <f>I127</f>
        <v>242</v>
      </c>
      <c r="J133" s="50">
        <f>J127</f>
        <v>186</v>
      </c>
      <c r="K133" s="17">
        <f t="shared" ref="K133:K169" si="24">SUM(H133:J133)</f>
        <v>612</v>
      </c>
    </row>
    <row r="134" spans="1:12" x14ac:dyDescent="0.15">
      <c r="A134" s="6" t="s">
        <v>100</v>
      </c>
      <c r="B134" s="16"/>
      <c r="C134" s="11">
        <v>1</v>
      </c>
      <c r="D134" s="16"/>
      <c r="E134" s="5">
        <f t="shared" si="23"/>
        <v>1</v>
      </c>
      <c r="F134" s="57">
        <v>44775</v>
      </c>
      <c r="G134" s="6" t="s">
        <v>20</v>
      </c>
      <c r="H134" s="16">
        <v>3</v>
      </c>
      <c r="I134" s="11">
        <v>3</v>
      </c>
      <c r="J134" s="16">
        <v>3</v>
      </c>
      <c r="K134" s="5">
        <f t="shared" si="24"/>
        <v>9</v>
      </c>
      <c r="L134" s="57">
        <v>44793</v>
      </c>
    </row>
    <row r="135" spans="1:12" x14ac:dyDescent="0.15">
      <c r="A135" s="6" t="s">
        <v>3</v>
      </c>
      <c r="B135" s="16"/>
      <c r="C135" s="11"/>
      <c r="D135" s="16">
        <v>3</v>
      </c>
      <c r="E135" s="5">
        <f t="shared" si="23"/>
        <v>3</v>
      </c>
      <c r="F135" s="39">
        <v>44777</v>
      </c>
      <c r="G135" s="6" t="s">
        <v>20</v>
      </c>
      <c r="H135" s="8">
        <v>2</v>
      </c>
      <c r="I135" s="9">
        <v>4</v>
      </c>
      <c r="J135" s="10">
        <v>4</v>
      </c>
      <c r="K135" s="5">
        <f t="shared" si="24"/>
        <v>10</v>
      </c>
      <c r="L135" s="57">
        <v>44799</v>
      </c>
    </row>
    <row r="136" spans="1:12" x14ac:dyDescent="0.15">
      <c r="A136" s="6" t="s">
        <v>146</v>
      </c>
      <c r="B136" s="16">
        <v>3</v>
      </c>
      <c r="C136" s="11">
        <v>3</v>
      </c>
      <c r="D136" s="16">
        <v>3</v>
      </c>
      <c r="E136" s="5">
        <f t="shared" si="23"/>
        <v>9</v>
      </c>
      <c r="F136" s="57">
        <v>44783</v>
      </c>
      <c r="G136" s="6" t="s">
        <v>20</v>
      </c>
      <c r="H136" s="31">
        <v>2</v>
      </c>
      <c r="I136" s="32">
        <v>4</v>
      </c>
      <c r="J136" s="31">
        <v>2</v>
      </c>
      <c r="K136" s="5">
        <f t="shared" si="24"/>
        <v>8</v>
      </c>
      <c r="L136" s="57">
        <v>44810</v>
      </c>
    </row>
    <row r="137" spans="1:12" x14ac:dyDescent="0.15">
      <c r="A137" s="6" t="s">
        <v>3</v>
      </c>
      <c r="B137" s="16"/>
      <c r="C137" s="11">
        <v>5</v>
      </c>
      <c r="D137" s="16"/>
      <c r="E137" s="5">
        <f t="shared" si="23"/>
        <v>5</v>
      </c>
      <c r="F137" s="39">
        <v>44797</v>
      </c>
      <c r="G137" s="6" t="s">
        <v>3</v>
      </c>
      <c r="H137" s="38"/>
      <c r="I137" s="32"/>
      <c r="J137" s="31"/>
      <c r="K137" s="5">
        <f t="shared" si="24"/>
        <v>0</v>
      </c>
    </row>
    <row r="138" spans="1:12" x14ac:dyDescent="0.15">
      <c r="A138" s="27" t="s">
        <v>150</v>
      </c>
      <c r="B138" s="82">
        <v>0</v>
      </c>
      <c r="C138" s="27">
        <v>1</v>
      </c>
      <c r="D138" s="82">
        <v>0</v>
      </c>
      <c r="E138" s="83">
        <f t="shared" si="23"/>
        <v>1</v>
      </c>
      <c r="F138" s="84">
        <v>44798</v>
      </c>
      <c r="G138" s="6" t="s">
        <v>3</v>
      </c>
      <c r="H138" s="31"/>
      <c r="I138" s="32"/>
      <c r="J138" s="31"/>
      <c r="K138" s="5">
        <f t="shared" si="24"/>
        <v>0</v>
      </c>
    </row>
    <row r="139" spans="1:12" x14ac:dyDescent="0.15">
      <c r="A139" s="6" t="s">
        <v>151</v>
      </c>
      <c r="B139" s="16">
        <v>2</v>
      </c>
      <c r="C139" s="11">
        <v>4</v>
      </c>
      <c r="D139" s="16">
        <v>4</v>
      </c>
      <c r="E139" s="5">
        <f t="shared" si="23"/>
        <v>10</v>
      </c>
      <c r="F139" s="57">
        <v>44799</v>
      </c>
      <c r="G139" s="6" t="s">
        <v>3</v>
      </c>
      <c r="H139" s="38"/>
      <c r="I139" s="32"/>
      <c r="J139" s="31"/>
      <c r="K139" s="5">
        <f t="shared" si="24"/>
        <v>0</v>
      </c>
    </row>
    <row r="140" spans="1:12" x14ac:dyDescent="0.15">
      <c r="A140" s="6" t="s">
        <v>3</v>
      </c>
      <c r="B140" s="31"/>
      <c r="C140" s="32">
        <v>3</v>
      </c>
      <c r="D140" s="31"/>
      <c r="E140" s="5">
        <f t="shared" si="23"/>
        <v>3</v>
      </c>
      <c r="F140" s="39">
        <v>44830</v>
      </c>
      <c r="G140" s="6" t="s">
        <v>3</v>
      </c>
      <c r="H140" s="16"/>
      <c r="I140" s="11"/>
      <c r="J140" s="16"/>
      <c r="K140" s="5">
        <f t="shared" si="24"/>
        <v>0</v>
      </c>
    </row>
    <row r="141" spans="1:12" x14ac:dyDescent="0.15">
      <c r="A141" s="6" t="s">
        <v>154</v>
      </c>
      <c r="B141" s="10"/>
      <c r="C141" s="9"/>
      <c r="D141" s="10">
        <v>1</v>
      </c>
      <c r="E141" s="5">
        <f t="shared" si="23"/>
        <v>1</v>
      </c>
      <c r="F141" s="39">
        <v>44845</v>
      </c>
      <c r="G141" s="6" t="s">
        <v>3</v>
      </c>
      <c r="H141" s="31"/>
      <c r="I141" s="32"/>
      <c r="J141" s="31"/>
      <c r="K141" s="5">
        <f t="shared" si="24"/>
        <v>0</v>
      </c>
      <c r="L141" s="41"/>
    </row>
    <row r="142" spans="1:12" x14ac:dyDescent="0.15">
      <c r="A142" s="6" t="s">
        <v>151</v>
      </c>
      <c r="B142" s="31">
        <v>1</v>
      </c>
      <c r="C142" s="32">
        <v>1</v>
      </c>
      <c r="D142" s="31">
        <v>1</v>
      </c>
      <c r="E142" s="5">
        <f t="shared" si="23"/>
        <v>3</v>
      </c>
      <c r="F142" s="57">
        <v>44875</v>
      </c>
      <c r="G142" s="6" t="s">
        <v>3</v>
      </c>
      <c r="H142" s="8"/>
      <c r="I142" s="9"/>
      <c r="J142" s="10"/>
      <c r="K142" s="5">
        <f t="shared" si="24"/>
        <v>0</v>
      </c>
      <c r="L142" s="39"/>
    </row>
    <row r="143" spans="1:12" ht="14.25" thickBot="1" x14ac:dyDescent="0.2">
      <c r="A143" s="6" t="s">
        <v>3</v>
      </c>
      <c r="B143" s="13"/>
      <c r="C143" s="12"/>
      <c r="D143" s="13"/>
      <c r="E143" s="5">
        <f t="shared" si="23"/>
        <v>0</v>
      </c>
      <c r="G143" s="6" t="s">
        <v>3</v>
      </c>
      <c r="H143" s="34"/>
      <c r="I143" s="35"/>
      <c r="J143" s="34"/>
      <c r="K143" s="5">
        <f t="shared" si="24"/>
        <v>0</v>
      </c>
    </row>
    <row r="144" spans="1:12" ht="14.25" thickBot="1" x14ac:dyDescent="0.2">
      <c r="A144" s="21" t="s">
        <v>4</v>
      </c>
      <c r="B144" s="22">
        <f>SUM(B133:B143)</f>
        <v>13</v>
      </c>
      <c r="C144" s="22">
        <f>SUM(C133:C143)</f>
        <v>21</v>
      </c>
      <c r="D144" s="23">
        <f>SUM(D133:D143)</f>
        <v>15</v>
      </c>
      <c r="E144" s="24">
        <f t="shared" si="23"/>
        <v>49</v>
      </c>
      <c r="G144" s="21" t="s">
        <v>4</v>
      </c>
      <c r="H144" s="22">
        <f>SUM(H133:H143)</f>
        <v>191</v>
      </c>
      <c r="I144" s="22">
        <f>SUM(I133:I143)</f>
        <v>253</v>
      </c>
      <c r="J144" s="23">
        <f>SUM(J133:J143)</f>
        <v>195</v>
      </c>
      <c r="K144" s="24">
        <f t="shared" si="24"/>
        <v>639</v>
      </c>
    </row>
    <row r="145" spans="1:12" x14ac:dyDescent="0.15">
      <c r="A145" s="28" t="s">
        <v>29</v>
      </c>
      <c r="B145" s="8">
        <v>1</v>
      </c>
      <c r="C145" s="9"/>
      <c r="D145" s="10"/>
      <c r="E145" s="5">
        <f t="shared" si="23"/>
        <v>1</v>
      </c>
      <c r="F145" s="57">
        <v>44774</v>
      </c>
      <c r="G145" s="28" t="s">
        <v>135</v>
      </c>
      <c r="H145" s="8"/>
      <c r="I145" s="9">
        <v>2</v>
      </c>
      <c r="J145" s="10">
        <v>2</v>
      </c>
      <c r="K145" s="7">
        <f t="shared" si="24"/>
        <v>4</v>
      </c>
      <c r="L145" s="39">
        <v>44748</v>
      </c>
    </row>
    <row r="146" spans="1:12" x14ac:dyDescent="0.15">
      <c r="A146" s="28" t="s">
        <v>29</v>
      </c>
      <c r="B146" s="8"/>
      <c r="C146" s="9">
        <v>1</v>
      </c>
      <c r="D146" s="10"/>
      <c r="E146" s="5">
        <f t="shared" si="23"/>
        <v>1</v>
      </c>
      <c r="F146" s="57">
        <v>44778</v>
      </c>
      <c r="G146" s="28" t="s">
        <v>136</v>
      </c>
      <c r="H146" s="8"/>
      <c r="I146" s="9">
        <v>1</v>
      </c>
      <c r="J146" s="10">
        <v>1</v>
      </c>
      <c r="K146" s="7">
        <f t="shared" si="24"/>
        <v>2</v>
      </c>
      <c r="L146" s="39">
        <v>44749</v>
      </c>
    </row>
    <row r="147" spans="1:12" x14ac:dyDescent="0.15">
      <c r="A147" s="28" t="s">
        <v>147</v>
      </c>
      <c r="B147" s="8"/>
      <c r="C147" s="9">
        <v>1</v>
      </c>
      <c r="D147" s="10"/>
      <c r="E147" s="5">
        <f t="shared" si="23"/>
        <v>1</v>
      </c>
      <c r="F147" s="39">
        <v>44795</v>
      </c>
      <c r="G147" s="28" t="s">
        <v>137</v>
      </c>
      <c r="H147" s="8"/>
      <c r="I147" s="9">
        <v>1</v>
      </c>
      <c r="J147" s="10"/>
      <c r="K147" s="7">
        <f t="shared" si="24"/>
        <v>1</v>
      </c>
      <c r="L147" s="39">
        <v>44750</v>
      </c>
    </row>
    <row r="148" spans="1:12" x14ac:dyDescent="0.15">
      <c r="A148" s="4" t="s">
        <v>148</v>
      </c>
      <c r="B148" s="8">
        <v>3</v>
      </c>
      <c r="C148" s="9">
        <v>3</v>
      </c>
      <c r="D148" s="10">
        <v>3</v>
      </c>
      <c r="E148" s="5">
        <f t="shared" si="23"/>
        <v>9</v>
      </c>
      <c r="F148" s="57">
        <v>44793</v>
      </c>
      <c r="G148" s="28" t="s">
        <v>139</v>
      </c>
      <c r="H148" s="8">
        <v>1</v>
      </c>
      <c r="I148" s="9"/>
      <c r="J148" s="10">
        <v>1</v>
      </c>
      <c r="K148" s="7">
        <f t="shared" si="24"/>
        <v>2</v>
      </c>
      <c r="L148" s="39">
        <v>44754</v>
      </c>
    </row>
    <row r="149" spans="1:12" x14ac:dyDescent="0.15">
      <c r="A149" s="28" t="s">
        <v>149</v>
      </c>
      <c r="B149" s="8"/>
      <c r="C149" s="9">
        <v>1</v>
      </c>
      <c r="D149" s="10"/>
      <c r="E149" s="5">
        <f t="shared" si="23"/>
        <v>1</v>
      </c>
      <c r="F149" s="39">
        <v>44797</v>
      </c>
      <c r="G149" s="28" t="s">
        <v>141</v>
      </c>
      <c r="H149" s="8">
        <v>1</v>
      </c>
      <c r="I149" s="9"/>
      <c r="J149" s="10">
        <v>1</v>
      </c>
      <c r="K149" s="7">
        <f t="shared" si="24"/>
        <v>2</v>
      </c>
      <c r="L149" s="39">
        <v>44768</v>
      </c>
    </row>
    <row r="150" spans="1:12" x14ac:dyDescent="0.15">
      <c r="A150" s="4" t="s">
        <v>66</v>
      </c>
      <c r="B150" s="8">
        <v>2</v>
      </c>
      <c r="C150" s="9">
        <v>4</v>
      </c>
      <c r="D150" s="10">
        <v>4</v>
      </c>
      <c r="E150" s="5">
        <f t="shared" si="23"/>
        <v>10</v>
      </c>
      <c r="F150" s="57">
        <v>44799</v>
      </c>
      <c r="G150" s="48" t="s">
        <v>142</v>
      </c>
      <c r="H150" s="8">
        <v>60</v>
      </c>
      <c r="I150" s="9">
        <v>100</v>
      </c>
      <c r="J150" s="10">
        <v>60</v>
      </c>
      <c r="K150" s="7">
        <f t="shared" si="24"/>
        <v>220</v>
      </c>
      <c r="L150" s="39">
        <v>44777</v>
      </c>
    </row>
    <row r="151" spans="1:12" x14ac:dyDescent="0.15">
      <c r="A151" s="4" t="s">
        <v>66</v>
      </c>
      <c r="B151" s="8">
        <v>2</v>
      </c>
      <c r="C151" s="9">
        <v>4</v>
      </c>
      <c r="D151" s="10">
        <v>2</v>
      </c>
      <c r="E151" s="5">
        <f t="shared" si="23"/>
        <v>8</v>
      </c>
      <c r="F151" s="57">
        <v>44810</v>
      </c>
      <c r="G151" s="28" t="s">
        <v>20</v>
      </c>
      <c r="H151" s="8"/>
      <c r="I151" s="9"/>
      <c r="J151" s="10">
        <v>3</v>
      </c>
      <c r="K151" s="7">
        <f t="shared" si="24"/>
        <v>3</v>
      </c>
      <c r="L151" s="39">
        <v>44777</v>
      </c>
    </row>
    <row r="152" spans="1:12" x14ac:dyDescent="0.15">
      <c r="A152" s="28" t="s">
        <v>29</v>
      </c>
      <c r="B152" s="8"/>
      <c r="C152" s="9">
        <v>1</v>
      </c>
      <c r="D152" s="10"/>
      <c r="E152" s="5">
        <f t="shared" si="23"/>
        <v>1</v>
      </c>
      <c r="F152" s="57">
        <v>44810</v>
      </c>
      <c r="G152" s="48" t="s">
        <v>144</v>
      </c>
      <c r="H152" s="8">
        <v>2</v>
      </c>
      <c r="I152" s="9">
        <v>18</v>
      </c>
      <c r="J152" s="10">
        <v>39</v>
      </c>
      <c r="K152" s="7">
        <f t="shared" si="24"/>
        <v>59</v>
      </c>
      <c r="L152" s="39">
        <v>44782</v>
      </c>
    </row>
    <row r="153" spans="1:12" x14ac:dyDescent="0.15">
      <c r="A153" s="28" t="s">
        <v>153</v>
      </c>
      <c r="B153" s="8"/>
      <c r="C153" s="9"/>
      <c r="D153" s="10">
        <v>1</v>
      </c>
      <c r="E153" s="5">
        <f t="shared" si="23"/>
        <v>1</v>
      </c>
      <c r="F153" s="39">
        <v>44833</v>
      </c>
      <c r="G153" s="28" t="s">
        <v>145</v>
      </c>
      <c r="H153" s="8"/>
      <c r="I153" s="9">
        <v>1</v>
      </c>
      <c r="J153" s="10"/>
      <c r="K153" s="7">
        <f t="shared" si="24"/>
        <v>1</v>
      </c>
      <c r="L153" s="39">
        <v>44785</v>
      </c>
    </row>
    <row r="154" spans="1:12" x14ac:dyDescent="0.15">
      <c r="A154" s="28" t="s">
        <v>64</v>
      </c>
      <c r="B154" s="8">
        <v>1</v>
      </c>
      <c r="C154" s="9"/>
      <c r="D154" s="10"/>
      <c r="E154" s="5">
        <f t="shared" si="23"/>
        <v>1</v>
      </c>
      <c r="F154" s="57">
        <v>44852</v>
      </c>
      <c r="G154" s="28" t="s">
        <v>20</v>
      </c>
      <c r="H154" s="8"/>
      <c r="I154" s="9">
        <v>5</v>
      </c>
      <c r="J154" s="10"/>
      <c r="K154" s="7">
        <f t="shared" si="24"/>
        <v>5</v>
      </c>
      <c r="L154" s="39">
        <v>44797</v>
      </c>
    </row>
    <row r="155" spans="1:12" x14ac:dyDescent="0.15">
      <c r="A155" s="28" t="s">
        <v>155</v>
      </c>
      <c r="B155" s="8"/>
      <c r="C155" s="9"/>
      <c r="D155" s="10">
        <v>1</v>
      </c>
      <c r="E155" s="5">
        <f t="shared" si="23"/>
        <v>1</v>
      </c>
      <c r="F155" s="57">
        <v>44853</v>
      </c>
      <c r="G155" s="28" t="s">
        <v>152</v>
      </c>
      <c r="H155" s="8"/>
      <c r="I155" s="9">
        <v>1</v>
      </c>
      <c r="J155" s="10"/>
      <c r="K155" s="7">
        <f t="shared" si="24"/>
        <v>1</v>
      </c>
      <c r="L155" s="39">
        <v>44810</v>
      </c>
    </row>
    <row r="156" spans="1:12" x14ac:dyDescent="0.15">
      <c r="A156" s="28" t="s">
        <v>156</v>
      </c>
      <c r="B156" s="8">
        <v>1</v>
      </c>
      <c r="C156" s="9"/>
      <c r="D156" s="10"/>
      <c r="E156" s="5">
        <f t="shared" si="23"/>
        <v>1</v>
      </c>
      <c r="F156" s="39">
        <v>44882</v>
      </c>
      <c r="G156" s="28" t="s">
        <v>20</v>
      </c>
      <c r="H156" s="8"/>
      <c r="I156" s="9">
        <v>3</v>
      </c>
      <c r="J156" s="10"/>
      <c r="K156" s="7">
        <f t="shared" si="24"/>
        <v>3</v>
      </c>
      <c r="L156" s="39">
        <v>44830</v>
      </c>
    </row>
    <row r="157" spans="1:12" x14ac:dyDescent="0.15">
      <c r="A157" s="28" t="s">
        <v>29</v>
      </c>
      <c r="B157" s="8"/>
      <c r="C157" s="9"/>
      <c r="D157" s="10">
        <v>1</v>
      </c>
      <c r="E157" s="5">
        <f t="shared" si="23"/>
        <v>1</v>
      </c>
      <c r="F157" s="39">
        <v>44914</v>
      </c>
      <c r="G157" s="28"/>
      <c r="H157" s="8"/>
      <c r="I157" s="9"/>
      <c r="J157" s="10"/>
      <c r="K157" s="7">
        <f t="shared" si="24"/>
        <v>0</v>
      </c>
    </row>
    <row r="158" spans="1:12" x14ac:dyDescent="0.15">
      <c r="A158" s="4"/>
      <c r="B158" s="8"/>
      <c r="C158" s="9"/>
      <c r="D158" s="10"/>
      <c r="E158" s="5">
        <f t="shared" si="23"/>
        <v>0</v>
      </c>
      <c r="F158" s="41"/>
      <c r="G158" s="4"/>
      <c r="H158" s="8"/>
      <c r="I158" s="9"/>
      <c r="J158" s="10"/>
      <c r="K158" s="7">
        <f t="shared" si="24"/>
        <v>0</v>
      </c>
    </row>
    <row r="159" spans="1:12" x14ac:dyDescent="0.15">
      <c r="A159" s="4"/>
      <c r="B159" s="8"/>
      <c r="C159" s="9"/>
      <c r="D159" s="10"/>
      <c r="E159" s="5">
        <f t="shared" si="23"/>
        <v>0</v>
      </c>
      <c r="G159" s="4"/>
      <c r="H159" s="8"/>
      <c r="I159" s="9"/>
      <c r="J159" s="10"/>
      <c r="K159" s="7">
        <f t="shared" si="24"/>
        <v>0</v>
      </c>
    </row>
    <row r="160" spans="1:12" x14ac:dyDescent="0.15">
      <c r="A160" s="4"/>
      <c r="B160" s="8"/>
      <c r="C160" s="9"/>
      <c r="D160" s="10"/>
      <c r="E160" s="5">
        <f t="shared" si="23"/>
        <v>0</v>
      </c>
      <c r="G160" s="4"/>
      <c r="H160" s="8"/>
      <c r="I160" s="9"/>
      <c r="J160" s="10"/>
      <c r="K160" s="7">
        <f t="shared" si="24"/>
        <v>0</v>
      </c>
    </row>
    <row r="161" spans="1:12" x14ac:dyDescent="0.15">
      <c r="A161" s="11"/>
      <c r="B161" s="8"/>
      <c r="C161" s="9"/>
      <c r="D161" s="10"/>
      <c r="E161" s="5">
        <f t="shared" si="23"/>
        <v>0</v>
      </c>
      <c r="G161" s="4"/>
      <c r="H161" s="8"/>
      <c r="I161" s="9"/>
      <c r="J161" s="10"/>
      <c r="K161" s="7">
        <f t="shared" si="24"/>
        <v>0</v>
      </c>
    </row>
    <row r="162" spans="1:12" x14ac:dyDescent="0.15">
      <c r="A162" s="4"/>
      <c r="B162" s="8"/>
      <c r="C162" s="9"/>
      <c r="D162" s="10"/>
      <c r="E162" s="5">
        <f t="shared" si="23"/>
        <v>0</v>
      </c>
      <c r="G162" s="77"/>
      <c r="H162" s="8"/>
      <c r="I162" s="9"/>
      <c r="J162" s="10"/>
      <c r="K162" s="7">
        <f t="shared" si="24"/>
        <v>0</v>
      </c>
    </row>
    <row r="163" spans="1:12" x14ac:dyDescent="0.15">
      <c r="A163" s="4"/>
      <c r="B163" s="8"/>
      <c r="C163" s="9"/>
      <c r="D163" s="10"/>
      <c r="E163" s="5">
        <f t="shared" si="23"/>
        <v>0</v>
      </c>
      <c r="G163" s="4"/>
      <c r="H163" s="8"/>
      <c r="I163" s="9"/>
      <c r="J163" s="10"/>
      <c r="K163" s="7">
        <f t="shared" si="24"/>
        <v>0</v>
      </c>
    </row>
    <row r="164" spans="1:12" x14ac:dyDescent="0.15">
      <c r="A164" s="4"/>
      <c r="B164" s="8"/>
      <c r="C164" s="9"/>
      <c r="D164" s="10"/>
      <c r="E164" s="5">
        <f t="shared" si="23"/>
        <v>0</v>
      </c>
      <c r="G164" s="4"/>
      <c r="H164" s="8"/>
      <c r="I164" s="9"/>
      <c r="J164" s="10"/>
      <c r="K164" s="7">
        <f t="shared" si="24"/>
        <v>0</v>
      </c>
    </row>
    <row r="165" spans="1:12" x14ac:dyDescent="0.15">
      <c r="A165" s="28"/>
      <c r="B165" s="8"/>
      <c r="C165" s="9"/>
      <c r="D165" s="10"/>
      <c r="E165" s="5">
        <f t="shared" si="23"/>
        <v>0</v>
      </c>
      <c r="G165" s="20"/>
      <c r="H165" s="53"/>
      <c r="I165" s="54"/>
      <c r="J165" s="55"/>
      <c r="K165" s="7">
        <f t="shared" si="24"/>
        <v>0</v>
      </c>
      <c r="L165" s="41"/>
    </row>
    <row r="166" spans="1:12" x14ac:dyDescent="0.15">
      <c r="A166" s="4"/>
      <c r="B166" s="8"/>
      <c r="C166" s="9"/>
      <c r="D166" s="10"/>
      <c r="E166" s="5">
        <f t="shared" si="23"/>
        <v>0</v>
      </c>
      <c r="G166" s="20"/>
      <c r="H166" s="53"/>
      <c r="I166" s="54"/>
      <c r="J166" s="55"/>
      <c r="K166" s="7">
        <f t="shared" si="24"/>
        <v>0</v>
      </c>
      <c r="L166" s="41"/>
    </row>
    <row r="167" spans="1:12" x14ac:dyDescent="0.15">
      <c r="A167" s="11"/>
      <c r="B167" s="8"/>
      <c r="C167" s="9"/>
      <c r="D167" s="10"/>
      <c r="E167" s="5">
        <f t="shared" si="23"/>
        <v>0</v>
      </c>
      <c r="G167" s="64" t="s">
        <v>103</v>
      </c>
      <c r="H167" s="78"/>
      <c r="I167" s="79"/>
      <c r="J167" s="80"/>
      <c r="K167" s="81">
        <f t="shared" ref="K167:K168" si="25">SUM(H167:J167)</f>
        <v>0</v>
      </c>
      <c r="L167" s="41"/>
    </row>
    <row r="168" spans="1:12" ht="14.25" thickBot="1" x14ac:dyDescent="0.2">
      <c r="A168" s="4"/>
      <c r="B168" s="8"/>
      <c r="C168" s="9"/>
      <c r="D168" s="10"/>
      <c r="E168" s="5">
        <f t="shared" si="23"/>
        <v>0</v>
      </c>
      <c r="F168" s="39"/>
      <c r="G168" s="4" t="s">
        <v>143</v>
      </c>
      <c r="H168" s="8"/>
      <c r="I168" s="9"/>
      <c r="J168" s="10"/>
      <c r="K168" s="7">
        <f t="shared" si="25"/>
        <v>0</v>
      </c>
      <c r="L168" s="39" t="s">
        <v>110</v>
      </c>
    </row>
    <row r="169" spans="1:12" ht="14.25" thickBot="1" x14ac:dyDescent="0.2">
      <c r="A169" s="3" t="s">
        <v>5</v>
      </c>
      <c r="B169" s="14">
        <f>SUM(B145:B168)</f>
        <v>10</v>
      </c>
      <c r="C169" s="14">
        <f>SUM(C145:C168)</f>
        <v>15</v>
      </c>
      <c r="D169" s="14">
        <f>SUM(D145:D168)</f>
        <v>12</v>
      </c>
      <c r="E169" s="15">
        <f t="shared" si="23"/>
        <v>37</v>
      </c>
      <c r="G169" s="3" t="s">
        <v>5</v>
      </c>
      <c r="H169" s="14">
        <f>SUM(H145:H168)</f>
        <v>64</v>
      </c>
      <c r="I169" s="14">
        <f>SUM(I145:I168)</f>
        <v>132</v>
      </c>
      <c r="J169" s="14">
        <f>SUM(J145:J168)</f>
        <v>107</v>
      </c>
      <c r="K169" s="15">
        <f t="shared" si="24"/>
        <v>303</v>
      </c>
    </row>
    <row r="170" spans="1:12" ht="14.25" thickBot="1" x14ac:dyDescent="0.2">
      <c r="A170" s="25" t="s">
        <v>6</v>
      </c>
      <c r="B170" s="26">
        <f>B144-B169</f>
        <v>3</v>
      </c>
      <c r="C170" s="26">
        <f t="shared" ref="C170:E170" si="26">C144-C169</f>
        <v>6</v>
      </c>
      <c r="D170" s="26">
        <f t="shared" si="26"/>
        <v>3</v>
      </c>
      <c r="E170" s="24">
        <f t="shared" si="26"/>
        <v>12</v>
      </c>
      <c r="G170" s="25" t="s">
        <v>6</v>
      </c>
      <c r="H170" s="26">
        <f>H144-H169</f>
        <v>127</v>
      </c>
      <c r="I170" s="26">
        <f t="shared" ref="I170:K170" si="27">I144-I169</f>
        <v>121</v>
      </c>
      <c r="J170" s="26">
        <f t="shared" si="27"/>
        <v>88</v>
      </c>
      <c r="K170" s="24">
        <f t="shared" si="27"/>
        <v>336</v>
      </c>
    </row>
    <row r="173" spans="1:12" ht="18" thickBot="1" x14ac:dyDescent="0.25">
      <c r="A173" s="29" t="s">
        <v>14</v>
      </c>
      <c r="B173" s="1"/>
      <c r="C173" s="1"/>
      <c r="D173" s="1"/>
      <c r="E173" s="56" t="s">
        <v>26</v>
      </c>
      <c r="G173" s="29" t="s">
        <v>15</v>
      </c>
      <c r="H173" s="1"/>
      <c r="I173" s="1"/>
      <c r="J173" s="1"/>
      <c r="K173" s="56" t="s">
        <v>26</v>
      </c>
    </row>
    <row r="174" spans="1:12" ht="14.25" thickBot="1" x14ac:dyDescent="0.2">
      <c r="A174" s="2" t="s">
        <v>0</v>
      </c>
      <c r="B174" s="102" t="s">
        <v>19</v>
      </c>
      <c r="C174" s="103"/>
      <c r="D174" s="103"/>
      <c r="E174" s="104"/>
      <c r="G174" s="2" t="s">
        <v>0</v>
      </c>
      <c r="H174" s="102" t="s">
        <v>19</v>
      </c>
      <c r="I174" s="103"/>
      <c r="J174" s="103"/>
      <c r="K174" s="104"/>
    </row>
    <row r="175" spans="1:12" ht="14.25" thickBot="1" x14ac:dyDescent="0.2">
      <c r="A175" s="2" t="s">
        <v>1</v>
      </c>
      <c r="B175" s="3" t="s">
        <v>7</v>
      </c>
      <c r="C175" s="2" t="s">
        <v>8</v>
      </c>
      <c r="D175" s="19" t="s">
        <v>9</v>
      </c>
      <c r="E175" s="2" t="s">
        <v>2</v>
      </c>
      <c r="G175" s="2" t="s">
        <v>1</v>
      </c>
      <c r="H175" s="3" t="s">
        <v>7</v>
      </c>
      <c r="I175" s="2" t="s">
        <v>8</v>
      </c>
      <c r="J175" s="19" t="s">
        <v>9</v>
      </c>
      <c r="K175" s="2" t="s">
        <v>2</v>
      </c>
    </row>
    <row r="176" spans="1:12" x14ac:dyDescent="0.15">
      <c r="A176" s="27" t="s">
        <v>6</v>
      </c>
      <c r="B176" s="18">
        <f>B170</f>
        <v>3</v>
      </c>
      <c r="C176" s="20">
        <f>C170</f>
        <v>6</v>
      </c>
      <c r="D176" s="50">
        <f>D170</f>
        <v>3</v>
      </c>
      <c r="E176" s="17">
        <f t="shared" ref="E176:E212" si="28">SUM(B176:D176)</f>
        <v>12</v>
      </c>
      <c r="G176" s="27" t="s">
        <v>6</v>
      </c>
      <c r="H176" s="18">
        <f>H170</f>
        <v>127</v>
      </c>
      <c r="I176" s="20">
        <f>I170</f>
        <v>121</v>
      </c>
      <c r="J176" s="50">
        <f>J170</f>
        <v>88</v>
      </c>
      <c r="K176" s="17">
        <f t="shared" ref="K176:K212" si="29">SUM(H176:J176)</f>
        <v>336</v>
      </c>
    </row>
    <row r="177" spans="1:12" x14ac:dyDescent="0.15">
      <c r="A177" s="6" t="s">
        <v>3</v>
      </c>
      <c r="B177" s="16">
        <v>3</v>
      </c>
      <c r="C177" s="11"/>
      <c r="D177" s="16"/>
      <c r="E177" s="5">
        <f t="shared" si="28"/>
        <v>3</v>
      </c>
      <c r="F177" s="39">
        <v>44985</v>
      </c>
      <c r="G177" s="6" t="s">
        <v>3</v>
      </c>
      <c r="H177" s="16"/>
      <c r="I177" s="11"/>
      <c r="J177" s="16"/>
      <c r="K177" s="5">
        <f t="shared" si="29"/>
        <v>0</v>
      </c>
    </row>
    <row r="178" spans="1:12" x14ac:dyDescent="0.15">
      <c r="A178" s="6" t="s">
        <v>3</v>
      </c>
      <c r="B178" s="16"/>
      <c r="C178" s="11">
        <v>10</v>
      </c>
      <c r="D178" s="16">
        <v>8</v>
      </c>
      <c r="E178" s="5">
        <f t="shared" si="28"/>
        <v>18</v>
      </c>
      <c r="F178" s="39">
        <v>44988</v>
      </c>
      <c r="G178" s="6" t="s">
        <v>3</v>
      </c>
      <c r="H178" s="38"/>
      <c r="I178" s="32"/>
      <c r="J178" s="31"/>
      <c r="K178" s="5">
        <f t="shared" si="29"/>
        <v>0</v>
      </c>
    </row>
    <row r="179" spans="1:12" x14ac:dyDescent="0.15">
      <c r="A179" s="6" t="s">
        <v>3</v>
      </c>
      <c r="B179" s="16"/>
      <c r="C179" s="11"/>
      <c r="D179" s="16">
        <v>4</v>
      </c>
      <c r="E179" s="5">
        <f t="shared" si="28"/>
        <v>4</v>
      </c>
      <c r="F179" s="39">
        <v>45027</v>
      </c>
      <c r="G179" s="6" t="s">
        <v>3</v>
      </c>
      <c r="H179" s="31"/>
      <c r="I179" s="32"/>
      <c r="J179" s="31"/>
      <c r="K179" s="5">
        <f t="shared" si="29"/>
        <v>0</v>
      </c>
    </row>
    <row r="180" spans="1:12" x14ac:dyDescent="0.15">
      <c r="A180" s="6" t="s">
        <v>3</v>
      </c>
      <c r="B180" s="16"/>
      <c r="C180" s="11">
        <v>3</v>
      </c>
      <c r="D180" s="16"/>
      <c r="E180" s="5">
        <f t="shared" si="28"/>
        <v>3</v>
      </c>
      <c r="F180" s="39">
        <v>45054</v>
      </c>
      <c r="G180" s="6" t="s">
        <v>3</v>
      </c>
      <c r="H180" s="38"/>
      <c r="I180" s="32"/>
      <c r="J180" s="31"/>
      <c r="K180" s="5">
        <f t="shared" si="29"/>
        <v>0</v>
      </c>
    </row>
    <row r="181" spans="1:12" x14ac:dyDescent="0.15">
      <c r="A181" s="6" t="s">
        <v>170</v>
      </c>
      <c r="B181" s="16">
        <v>2</v>
      </c>
      <c r="C181" s="11"/>
      <c r="D181" s="16"/>
      <c r="E181" s="5">
        <f t="shared" si="28"/>
        <v>2</v>
      </c>
      <c r="F181" s="39">
        <v>45082</v>
      </c>
      <c r="G181" s="6" t="s">
        <v>3</v>
      </c>
      <c r="H181" s="31"/>
      <c r="I181" s="32"/>
      <c r="J181" s="31"/>
      <c r="K181" s="5">
        <f t="shared" si="29"/>
        <v>0</v>
      </c>
    </row>
    <row r="182" spans="1:12" x14ac:dyDescent="0.15">
      <c r="A182" s="6" t="s">
        <v>3</v>
      </c>
      <c r="B182" s="16">
        <v>5</v>
      </c>
      <c r="C182" s="11"/>
      <c r="D182" s="16">
        <v>5</v>
      </c>
      <c r="E182" s="5">
        <f t="shared" si="28"/>
        <v>10</v>
      </c>
      <c r="F182" s="39">
        <v>45084</v>
      </c>
      <c r="G182" s="6" t="s">
        <v>3</v>
      </c>
      <c r="H182" s="38"/>
      <c r="I182" s="32"/>
      <c r="J182" s="31"/>
      <c r="K182" s="5">
        <f t="shared" si="29"/>
        <v>0</v>
      </c>
    </row>
    <row r="183" spans="1:12" x14ac:dyDescent="0.15">
      <c r="A183" s="6" t="s">
        <v>3</v>
      </c>
      <c r="B183" s="31">
        <v>3</v>
      </c>
      <c r="C183" s="32">
        <v>3</v>
      </c>
      <c r="D183" s="31">
        <v>3</v>
      </c>
      <c r="E183" s="5">
        <f t="shared" si="28"/>
        <v>9</v>
      </c>
      <c r="F183" s="39">
        <v>45092</v>
      </c>
      <c r="G183" s="6" t="s">
        <v>3</v>
      </c>
      <c r="H183" s="16"/>
      <c r="I183" s="11"/>
      <c r="J183" s="16"/>
      <c r="K183" s="5">
        <f t="shared" si="29"/>
        <v>0</v>
      </c>
    </row>
    <row r="184" spans="1:12" x14ac:dyDescent="0.15">
      <c r="A184" s="28" t="s">
        <v>113</v>
      </c>
      <c r="B184" s="8">
        <v>1</v>
      </c>
      <c r="C184" s="9"/>
      <c r="D184" s="10"/>
      <c r="E184" s="5">
        <f t="shared" si="28"/>
        <v>1</v>
      </c>
      <c r="F184" s="39">
        <v>45111</v>
      </c>
      <c r="G184" s="6" t="s">
        <v>3</v>
      </c>
      <c r="H184" s="31"/>
      <c r="I184" s="32"/>
      <c r="J184" s="31"/>
      <c r="K184" s="5">
        <f t="shared" si="29"/>
        <v>0</v>
      </c>
    </row>
    <row r="185" spans="1:12" x14ac:dyDescent="0.15">
      <c r="A185" s="6" t="s">
        <v>3</v>
      </c>
      <c r="B185" s="31"/>
      <c r="C185" s="32"/>
      <c r="D185" s="31">
        <v>3</v>
      </c>
      <c r="E185" s="5">
        <f t="shared" si="28"/>
        <v>3</v>
      </c>
      <c r="F185" s="39">
        <v>45112</v>
      </c>
      <c r="G185" s="6" t="s">
        <v>3</v>
      </c>
      <c r="H185" s="8"/>
      <c r="I185" s="9"/>
      <c r="J185" s="10"/>
      <c r="K185" s="5">
        <f t="shared" si="29"/>
        <v>0</v>
      </c>
    </row>
    <row r="186" spans="1:12" ht="14.25" thickBot="1" x14ac:dyDescent="0.2">
      <c r="A186" s="6" t="s">
        <v>3</v>
      </c>
      <c r="B186" s="13">
        <v>3</v>
      </c>
      <c r="C186" s="12">
        <v>3</v>
      </c>
      <c r="D186" s="13"/>
      <c r="E186" s="5">
        <f t="shared" si="28"/>
        <v>6</v>
      </c>
      <c r="F186" s="39">
        <v>45135</v>
      </c>
      <c r="G186" s="6" t="s">
        <v>3</v>
      </c>
      <c r="H186" s="34"/>
      <c r="I186" s="35"/>
      <c r="J186" s="34"/>
      <c r="K186" s="5">
        <f t="shared" si="29"/>
        <v>0</v>
      </c>
    </row>
    <row r="187" spans="1:12" ht="14.25" thickBot="1" x14ac:dyDescent="0.2">
      <c r="A187" s="21" t="s">
        <v>4</v>
      </c>
      <c r="B187" s="22">
        <f>SUM(B176:B186)</f>
        <v>20</v>
      </c>
      <c r="C187" s="22">
        <f>SUM(C176:C186)</f>
        <v>25</v>
      </c>
      <c r="D187" s="23">
        <f>SUM(D176:D186)</f>
        <v>26</v>
      </c>
      <c r="E187" s="24">
        <f t="shared" si="28"/>
        <v>71</v>
      </c>
      <c r="G187" s="21" t="s">
        <v>4</v>
      </c>
      <c r="H187" s="22">
        <f>SUM(H176:H186)</f>
        <v>127</v>
      </c>
      <c r="I187" s="22">
        <f>SUM(I176:I186)</f>
        <v>121</v>
      </c>
      <c r="J187" s="23">
        <f>SUM(J176:J186)</f>
        <v>88</v>
      </c>
      <c r="K187" s="24">
        <f t="shared" si="29"/>
        <v>336</v>
      </c>
    </row>
    <row r="188" spans="1:12" x14ac:dyDescent="0.15">
      <c r="A188" s="4" t="s">
        <v>160</v>
      </c>
      <c r="B188" s="8">
        <v>2</v>
      </c>
      <c r="C188" s="9"/>
      <c r="D188" s="10"/>
      <c r="E188" s="5">
        <f t="shared" si="28"/>
        <v>2</v>
      </c>
      <c r="F188" s="39">
        <v>44987</v>
      </c>
      <c r="G188" s="4" t="s">
        <v>159</v>
      </c>
      <c r="H188" s="8">
        <v>7</v>
      </c>
      <c r="I188" s="9">
        <v>10</v>
      </c>
      <c r="J188" s="10">
        <v>9</v>
      </c>
      <c r="K188" s="7">
        <f t="shared" si="29"/>
        <v>26</v>
      </c>
      <c r="L188" s="39">
        <v>44963</v>
      </c>
    </row>
    <row r="189" spans="1:12" x14ac:dyDescent="0.15">
      <c r="A189" s="4" t="s">
        <v>162</v>
      </c>
      <c r="B189" s="8"/>
      <c r="C189" s="9">
        <v>10</v>
      </c>
      <c r="D189" s="10">
        <v>8</v>
      </c>
      <c r="E189" s="5">
        <f t="shared" si="28"/>
        <v>18</v>
      </c>
      <c r="F189" s="39">
        <v>44992</v>
      </c>
      <c r="G189" s="4" t="s">
        <v>161</v>
      </c>
      <c r="H189" s="8">
        <v>3</v>
      </c>
      <c r="I189" s="9"/>
      <c r="J189" s="10"/>
      <c r="K189" s="7">
        <f t="shared" si="29"/>
        <v>3</v>
      </c>
      <c r="L189" s="39">
        <v>44985</v>
      </c>
    </row>
    <row r="190" spans="1:12" x14ac:dyDescent="0.15">
      <c r="A190" s="4" t="s">
        <v>163</v>
      </c>
      <c r="B190" s="8"/>
      <c r="C190" s="9"/>
      <c r="D190" s="10">
        <v>1</v>
      </c>
      <c r="E190" s="5">
        <f t="shared" si="28"/>
        <v>1</v>
      </c>
      <c r="F190" s="39">
        <v>45022</v>
      </c>
      <c r="G190" s="4" t="s">
        <v>20</v>
      </c>
      <c r="H190" s="8"/>
      <c r="I190" s="9">
        <v>10</v>
      </c>
      <c r="J190" s="10">
        <v>8</v>
      </c>
      <c r="K190" s="7">
        <f t="shared" si="29"/>
        <v>18</v>
      </c>
      <c r="L190" s="39">
        <v>44988</v>
      </c>
    </row>
    <row r="191" spans="1:12" x14ac:dyDescent="0.15">
      <c r="A191" s="4" t="s">
        <v>164</v>
      </c>
      <c r="B191" s="8"/>
      <c r="C191" s="9">
        <v>3</v>
      </c>
      <c r="D191" s="10"/>
      <c r="E191" s="5">
        <f t="shared" si="28"/>
        <v>3</v>
      </c>
      <c r="F191" s="39">
        <v>45034</v>
      </c>
      <c r="G191" s="4" t="s">
        <v>20</v>
      </c>
      <c r="H191" s="8"/>
      <c r="I191" s="9"/>
      <c r="J191" s="10">
        <v>3</v>
      </c>
      <c r="K191" s="7">
        <f t="shared" si="29"/>
        <v>3</v>
      </c>
      <c r="L191" s="39">
        <v>45027</v>
      </c>
    </row>
    <row r="192" spans="1:12" x14ac:dyDescent="0.15">
      <c r="A192" s="4" t="s">
        <v>165</v>
      </c>
      <c r="B192" s="8"/>
      <c r="C192" s="9">
        <v>1</v>
      </c>
      <c r="D192" s="10">
        <v>1</v>
      </c>
      <c r="E192" s="5">
        <f t="shared" si="28"/>
        <v>2</v>
      </c>
      <c r="F192" s="39">
        <v>45055</v>
      </c>
      <c r="G192" s="4" t="s">
        <v>20</v>
      </c>
      <c r="H192" s="8"/>
      <c r="I192" s="9">
        <v>3</v>
      </c>
      <c r="J192" s="10"/>
      <c r="K192" s="7">
        <f t="shared" si="29"/>
        <v>3</v>
      </c>
      <c r="L192" s="39">
        <v>45054</v>
      </c>
    </row>
    <row r="193" spans="1:12" x14ac:dyDescent="0.15">
      <c r="A193" s="4" t="s">
        <v>166</v>
      </c>
      <c r="B193" s="8"/>
      <c r="C193" s="9">
        <v>1</v>
      </c>
      <c r="D193" s="10">
        <v>3</v>
      </c>
      <c r="E193" s="5">
        <f t="shared" si="28"/>
        <v>4</v>
      </c>
      <c r="F193" s="39">
        <v>45065</v>
      </c>
      <c r="G193" s="28" t="s">
        <v>167</v>
      </c>
      <c r="H193" s="8"/>
      <c r="I193" s="9">
        <v>1</v>
      </c>
      <c r="J193" s="10"/>
      <c r="K193" s="5">
        <f t="shared" si="29"/>
        <v>1</v>
      </c>
      <c r="L193" s="39">
        <v>45077</v>
      </c>
    </row>
    <row r="194" spans="1:12" x14ac:dyDescent="0.15">
      <c r="A194" s="28" t="s">
        <v>169</v>
      </c>
      <c r="B194" s="8"/>
      <c r="C194" s="9"/>
      <c r="D194" s="10">
        <v>2</v>
      </c>
      <c r="E194" s="5">
        <f t="shared" ref="E194" si="30">SUM(B194:D194)</f>
        <v>2</v>
      </c>
      <c r="F194" s="39">
        <v>45083</v>
      </c>
      <c r="G194" s="28" t="s">
        <v>168</v>
      </c>
      <c r="H194" s="8">
        <v>3</v>
      </c>
      <c r="I194" s="9">
        <v>3</v>
      </c>
      <c r="J194" s="10">
        <v>3</v>
      </c>
      <c r="K194" s="7">
        <f t="shared" si="29"/>
        <v>9</v>
      </c>
      <c r="L194" s="39">
        <v>45078</v>
      </c>
    </row>
    <row r="195" spans="1:12" x14ac:dyDescent="0.15">
      <c r="A195" s="28" t="s">
        <v>171</v>
      </c>
      <c r="B195" s="8">
        <v>3</v>
      </c>
      <c r="C195" s="9"/>
      <c r="D195" s="10"/>
      <c r="E195" s="5">
        <f t="shared" si="28"/>
        <v>3</v>
      </c>
      <c r="F195" s="39">
        <v>45084</v>
      </c>
      <c r="G195" s="4" t="s">
        <v>20</v>
      </c>
      <c r="H195" s="8">
        <v>5</v>
      </c>
      <c r="I195" s="9"/>
      <c r="J195" s="10">
        <v>5</v>
      </c>
      <c r="K195" s="7">
        <f t="shared" si="29"/>
        <v>10</v>
      </c>
      <c r="L195" s="39">
        <v>45084</v>
      </c>
    </row>
    <row r="196" spans="1:12" x14ac:dyDescent="0.15">
      <c r="A196" s="28" t="s">
        <v>172</v>
      </c>
      <c r="B196" s="8">
        <v>1</v>
      </c>
      <c r="C196" s="9">
        <v>1</v>
      </c>
      <c r="D196" s="10"/>
      <c r="E196" s="5">
        <f t="shared" si="28"/>
        <v>2</v>
      </c>
      <c r="F196" s="39">
        <v>45085</v>
      </c>
      <c r="G196" s="28" t="s">
        <v>173</v>
      </c>
      <c r="H196" s="8"/>
      <c r="I196" s="9"/>
      <c r="J196" s="10">
        <v>3</v>
      </c>
      <c r="K196" s="7">
        <f t="shared" si="29"/>
        <v>3</v>
      </c>
      <c r="L196" s="39">
        <v>45086</v>
      </c>
    </row>
    <row r="197" spans="1:12" x14ac:dyDescent="0.15">
      <c r="A197" s="28" t="s">
        <v>174</v>
      </c>
      <c r="B197" s="8"/>
      <c r="C197" s="9"/>
      <c r="D197" s="10">
        <v>1</v>
      </c>
      <c r="E197" s="5">
        <f t="shared" si="28"/>
        <v>1</v>
      </c>
      <c r="F197" s="39">
        <v>45089</v>
      </c>
      <c r="G197" s="4" t="s">
        <v>20</v>
      </c>
      <c r="H197" s="8">
        <v>3</v>
      </c>
      <c r="I197" s="9">
        <v>3</v>
      </c>
      <c r="J197" s="10">
        <v>3</v>
      </c>
      <c r="K197" s="7">
        <f t="shared" si="29"/>
        <v>9</v>
      </c>
      <c r="L197" s="39">
        <v>45092</v>
      </c>
    </row>
    <row r="198" spans="1:12" x14ac:dyDescent="0.15">
      <c r="A198" s="28" t="s">
        <v>175</v>
      </c>
      <c r="B198" s="8">
        <v>1</v>
      </c>
      <c r="C198" s="9"/>
      <c r="D198" s="10"/>
      <c r="E198" s="5">
        <f t="shared" si="28"/>
        <v>1</v>
      </c>
      <c r="F198" s="39">
        <v>45090</v>
      </c>
      <c r="G198" s="28" t="s">
        <v>48</v>
      </c>
      <c r="H198" s="8">
        <v>1</v>
      </c>
      <c r="I198" s="9"/>
      <c r="J198" s="10"/>
      <c r="K198" s="7">
        <f t="shared" si="29"/>
        <v>1</v>
      </c>
      <c r="L198" s="39">
        <v>45112</v>
      </c>
    </row>
    <row r="199" spans="1:12" x14ac:dyDescent="0.15">
      <c r="A199" s="28" t="s">
        <v>176</v>
      </c>
      <c r="B199" s="8">
        <v>2</v>
      </c>
      <c r="C199" s="9"/>
      <c r="D199" s="10"/>
      <c r="E199" s="5">
        <f t="shared" si="28"/>
        <v>2</v>
      </c>
      <c r="F199" s="39">
        <v>45091</v>
      </c>
      <c r="G199" s="4" t="s">
        <v>20</v>
      </c>
      <c r="H199" s="8"/>
      <c r="I199" s="9"/>
      <c r="J199" s="10">
        <v>3</v>
      </c>
      <c r="K199" s="7">
        <f t="shared" si="29"/>
        <v>3</v>
      </c>
      <c r="L199" s="39">
        <v>45112</v>
      </c>
    </row>
    <row r="200" spans="1:12" x14ac:dyDescent="0.15">
      <c r="A200" s="28" t="s">
        <v>177</v>
      </c>
      <c r="B200" s="8">
        <v>1</v>
      </c>
      <c r="C200" s="9"/>
      <c r="D200" s="10">
        <v>1</v>
      </c>
      <c r="E200" s="5">
        <f t="shared" si="28"/>
        <v>2</v>
      </c>
      <c r="F200" s="39">
        <v>45092</v>
      </c>
      <c r="G200" s="28" t="s">
        <v>188</v>
      </c>
      <c r="H200" s="8"/>
      <c r="I200" s="9">
        <v>1</v>
      </c>
      <c r="J200" s="10"/>
      <c r="K200" s="7">
        <f t="shared" si="29"/>
        <v>1</v>
      </c>
      <c r="L200" s="39">
        <v>45134</v>
      </c>
    </row>
    <row r="201" spans="1:12" x14ac:dyDescent="0.15">
      <c r="A201" s="4" t="s">
        <v>178</v>
      </c>
      <c r="B201" s="8"/>
      <c r="C201" s="9"/>
      <c r="D201" s="10">
        <v>1</v>
      </c>
      <c r="E201" s="5">
        <f t="shared" si="28"/>
        <v>1</v>
      </c>
      <c r="F201" s="39">
        <v>45091</v>
      </c>
      <c r="G201" s="28" t="s">
        <v>189</v>
      </c>
      <c r="H201" s="8"/>
      <c r="I201" s="9">
        <v>4</v>
      </c>
      <c r="J201" s="10">
        <v>1</v>
      </c>
      <c r="K201" s="7">
        <f t="shared" si="29"/>
        <v>5</v>
      </c>
      <c r="L201" s="39">
        <v>45135</v>
      </c>
    </row>
    <row r="202" spans="1:12" x14ac:dyDescent="0.15">
      <c r="A202" s="28" t="s">
        <v>179</v>
      </c>
      <c r="B202" s="8"/>
      <c r="C202" s="9">
        <v>1</v>
      </c>
      <c r="D202" s="10"/>
      <c r="E202" s="5">
        <f t="shared" si="28"/>
        <v>1</v>
      </c>
      <c r="F202" s="39">
        <v>45096</v>
      </c>
      <c r="G202" s="4" t="s">
        <v>20</v>
      </c>
      <c r="H202" s="8">
        <v>3</v>
      </c>
      <c r="I202" s="9">
        <v>3</v>
      </c>
      <c r="J202" s="10"/>
      <c r="K202" s="7">
        <f t="shared" si="29"/>
        <v>6</v>
      </c>
      <c r="L202" s="39">
        <v>45135</v>
      </c>
    </row>
    <row r="203" spans="1:12" x14ac:dyDescent="0.15">
      <c r="A203" s="4" t="s">
        <v>29</v>
      </c>
      <c r="B203" s="8"/>
      <c r="C203" s="9"/>
      <c r="D203" s="10">
        <v>1</v>
      </c>
      <c r="E203" s="5">
        <f t="shared" si="28"/>
        <v>1</v>
      </c>
      <c r="F203" s="57">
        <v>45098</v>
      </c>
      <c r="G203" s="28" t="s">
        <v>190</v>
      </c>
      <c r="H203" s="8">
        <v>1</v>
      </c>
      <c r="I203" s="9">
        <v>1</v>
      </c>
      <c r="J203" s="10">
        <v>2</v>
      </c>
      <c r="K203" s="7">
        <f t="shared" si="29"/>
        <v>4</v>
      </c>
      <c r="L203" s="39">
        <v>45138</v>
      </c>
    </row>
    <row r="204" spans="1:12" x14ac:dyDescent="0.15">
      <c r="A204" s="28" t="s">
        <v>180</v>
      </c>
      <c r="B204" s="8">
        <v>1</v>
      </c>
      <c r="C204" s="9"/>
      <c r="D204" s="10"/>
      <c r="E204" s="5">
        <f t="shared" si="28"/>
        <v>1</v>
      </c>
      <c r="F204" s="39">
        <v>45103</v>
      </c>
      <c r="G204" s="28" t="s">
        <v>191</v>
      </c>
      <c r="H204" s="8"/>
      <c r="I204" s="9">
        <v>2</v>
      </c>
      <c r="J204" s="10"/>
      <c r="K204" s="7">
        <f t="shared" si="29"/>
        <v>2</v>
      </c>
      <c r="L204" s="39">
        <v>45139</v>
      </c>
    </row>
    <row r="205" spans="1:12" x14ac:dyDescent="0.15">
      <c r="A205" s="28" t="s">
        <v>183</v>
      </c>
      <c r="B205" s="8"/>
      <c r="C205" s="9"/>
      <c r="D205" s="10">
        <v>1</v>
      </c>
      <c r="E205" s="5">
        <f t="shared" si="28"/>
        <v>1</v>
      </c>
      <c r="F205" s="39">
        <v>45105</v>
      </c>
      <c r="G205" s="28" t="s">
        <v>194</v>
      </c>
      <c r="H205" s="8">
        <v>1</v>
      </c>
      <c r="I205" s="9">
        <v>2</v>
      </c>
      <c r="J205" s="10">
        <v>1</v>
      </c>
      <c r="K205" s="7">
        <f t="shared" si="29"/>
        <v>4</v>
      </c>
      <c r="L205" s="39">
        <v>45141</v>
      </c>
    </row>
    <row r="206" spans="1:12" x14ac:dyDescent="0.15">
      <c r="A206" s="28" t="s">
        <v>184</v>
      </c>
      <c r="B206" s="8">
        <v>2</v>
      </c>
      <c r="C206" s="9"/>
      <c r="D206" s="10"/>
      <c r="E206" s="5">
        <f t="shared" si="28"/>
        <v>2</v>
      </c>
      <c r="F206" s="39">
        <v>45106</v>
      </c>
      <c r="G206" s="28" t="s">
        <v>195</v>
      </c>
      <c r="H206" s="8"/>
      <c r="I206" s="9">
        <v>2</v>
      </c>
      <c r="J206" s="10">
        <v>1</v>
      </c>
      <c r="K206" s="7">
        <f t="shared" si="29"/>
        <v>3</v>
      </c>
      <c r="L206" s="39">
        <v>45145</v>
      </c>
    </row>
    <row r="207" spans="1:12" x14ac:dyDescent="0.15">
      <c r="A207" s="4" t="s">
        <v>29</v>
      </c>
      <c r="B207" s="8"/>
      <c r="C207" s="9"/>
      <c r="D207" s="10">
        <v>1</v>
      </c>
      <c r="E207" s="5">
        <f t="shared" si="28"/>
        <v>1</v>
      </c>
      <c r="F207" s="39">
        <v>45111</v>
      </c>
      <c r="G207" s="4"/>
      <c r="H207" s="8"/>
      <c r="I207" s="9"/>
      <c r="J207" s="10"/>
      <c r="K207" s="7">
        <f t="shared" si="29"/>
        <v>0</v>
      </c>
    </row>
    <row r="208" spans="1:12" x14ac:dyDescent="0.15">
      <c r="A208" s="28" t="s">
        <v>185</v>
      </c>
      <c r="B208" s="8">
        <v>1</v>
      </c>
      <c r="C208" s="9"/>
      <c r="D208" s="10"/>
      <c r="E208" s="5">
        <f t="shared" si="28"/>
        <v>1</v>
      </c>
      <c r="F208" s="39">
        <v>45122</v>
      </c>
      <c r="G208" s="20"/>
      <c r="H208" s="53"/>
      <c r="I208" s="54"/>
      <c r="J208" s="55"/>
      <c r="K208" s="7">
        <f t="shared" si="29"/>
        <v>0</v>
      </c>
    </row>
    <row r="209" spans="1:12" x14ac:dyDescent="0.15">
      <c r="A209" s="28" t="s">
        <v>186</v>
      </c>
      <c r="B209" s="8"/>
      <c r="C209" s="9">
        <v>1</v>
      </c>
      <c r="D209" s="10"/>
      <c r="E209" s="5">
        <f t="shared" si="28"/>
        <v>1</v>
      </c>
      <c r="F209" s="39">
        <v>45131</v>
      </c>
      <c r="G209" s="20"/>
      <c r="H209" s="53"/>
      <c r="I209" s="54"/>
      <c r="J209" s="55"/>
      <c r="K209" s="7">
        <f t="shared" si="29"/>
        <v>0</v>
      </c>
    </row>
    <row r="210" spans="1:12" x14ac:dyDescent="0.15">
      <c r="A210" s="28" t="s">
        <v>187</v>
      </c>
      <c r="B210" s="8"/>
      <c r="C210" s="9"/>
      <c r="D210" s="10">
        <v>1</v>
      </c>
      <c r="E210" s="5">
        <f t="shared" si="28"/>
        <v>1</v>
      </c>
      <c r="F210" s="39">
        <v>45132</v>
      </c>
      <c r="G210" s="4" t="s">
        <v>157</v>
      </c>
      <c r="H210" s="8"/>
      <c r="I210" s="9"/>
      <c r="J210" s="10"/>
      <c r="K210" s="7">
        <f t="shared" si="29"/>
        <v>0</v>
      </c>
      <c r="L210" s="41" t="s">
        <v>158</v>
      </c>
    </row>
    <row r="211" spans="1:12" ht="14.25" thickBot="1" x14ac:dyDescent="0.2">
      <c r="A211" s="28" t="s">
        <v>193</v>
      </c>
      <c r="B211" s="8"/>
      <c r="C211" s="9">
        <v>1</v>
      </c>
      <c r="D211" s="10">
        <v>1</v>
      </c>
      <c r="E211" s="5">
        <f t="shared" si="28"/>
        <v>2</v>
      </c>
      <c r="F211" s="39">
        <v>45140</v>
      </c>
      <c r="G211" s="4"/>
      <c r="H211" s="8"/>
      <c r="I211" s="9"/>
      <c r="J211" s="10"/>
      <c r="K211" s="7">
        <f t="shared" ref="K211" si="31">SUM(H211:J211)</f>
        <v>0</v>
      </c>
      <c r="L211" s="41"/>
    </row>
    <row r="212" spans="1:12" ht="14.25" thickBot="1" x14ac:dyDescent="0.2">
      <c r="A212" s="3" t="s">
        <v>5</v>
      </c>
      <c r="B212" s="14">
        <f>SUM(B188:B211)</f>
        <v>14</v>
      </c>
      <c r="C212" s="14">
        <f>SUM(C188:C211)</f>
        <v>19</v>
      </c>
      <c r="D212" s="14">
        <f>SUM(D188:D211)</f>
        <v>23</v>
      </c>
      <c r="E212" s="15">
        <f t="shared" si="28"/>
        <v>56</v>
      </c>
      <c r="G212" s="3" t="s">
        <v>5</v>
      </c>
      <c r="H212" s="14">
        <f>SUM(H188:H211)</f>
        <v>27</v>
      </c>
      <c r="I212" s="14">
        <f>SUM(I188:I211)</f>
        <v>45</v>
      </c>
      <c r="J212" s="14">
        <f>SUM(J188:J211)</f>
        <v>42</v>
      </c>
      <c r="K212" s="15">
        <f t="shared" si="29"/>
        <v>114</v>
      </c>
    </row>
    <row r="213" spans="1:12" ht="14.25" thickBot="1" x14ac:dyDescent="0.2">
      <c r="A213" s="25" t="s">
        <v>6</v>
      </c>
      <c r="B213" s="26">
        <f>B187-B212</f>
        <v>6</v>
      </c>
      <c r="C213" s="26">
        <f t="shared" ref="C213:E213" si="32">C187-C212</f>
        <v>6</v>
      </c>
      <c r="D213" s="26">
        <f t="shared" si="32"/>
        <v>3</v>
      </c>
      <c r="E213" s="24">
        <f t="shared" si="32"/>
        <v>15</v>
      </c>
      <c r="G213" s="25" t="s">
        <v>6</v>
      </c>
      <c r="H213" s="26">
        <f>H187-H212</f>
        <v>100</v>
      </c>
      <c r="I213" s="26">
        <f t="shared" ref="I213:K213" si="33">I187-I212</f>
        <v>76</v>
      </c>
      <c r="J213" s="26">
        <f t="shared" si="33"/>
        <v>46</v>
      </c>
      <c r="K213" s="24">
        <f t="shared" si="33"/>
        <v>222</v>
      </c>
    </row>
    <row r="216" spans="1:12" ht="18" thickBot="1" x14ac:dyDescent="0.25">
      <c r="A216" s="29" t="s">
        <v>14</v>
      </c>
      <c r="B216" s="1"/>
      <c r="C216" s="1"/>
      <c r="D216" s="1"/>
      <c r="E216" s="56" t="s">
        <v>26</v>
      </c>
      <c r="G216" s="29" t="s">
        <v>15</v>
      </c>
      <c r="H216" s="1"/>
      <c r="I216" s="1"/>
      <c r="J216" s="1"/>
      <c r="K216" s="56" t="s">
        <v>26</v>
      </c>
    </row>
    <row r="217" spans="1:12" ht="14.25" thickBot="1" x14ac:dyDescent="0.2">
      <c r="A217" s="2" t="s">
        <v>0</v>
      </c>
      <c r="B217" s="102" t="s">
        <v>19</v>
      </c>
      <c r="C217" s="103"/>
      <c r="D217" s="103"/>
      <c r="E217" s="104"/>
      <c r="G217" s="2" t="s">
        <v>0</v>
      </c>
      <c r="H217" s="102" t="s">
        <v>19</v>
      </c>
      <c r="I217" s="103"/>
      <c r="J217" s="103"/>
      <c r="K217" s="104"/>
    </row>
    <row r="218" spans="1:12" ht="14.25" thickBot="1" x14ac:dyDescent="0.2">
      <c r="A218" s="2" t="s">
        <v>1</v>
      </c>
      <c r="B218" s="3" t="s">
        <v>7</v>
      </c>
      <c r="C218" s="2" t="s">
        <v>8</v>
      </c>
      <c r="D218" s="19" t="s">
        <v>9</v>
      </c>
      <c r="E218" s="2" t="s">
        <v>2</v>
      </c>
      <c r="G218" s="2" t="s">
        <v>1</v>
      </c>
      <c r="H218" s="3" t="s">
        <v>7</v>
      </c>
      <c r="I218" s="2" t="s">
        <v>8</v>
      </c>
      <c r="J218" s="19" t="s">
        <v>9</v>
      </c>
      <c r="K218" s="2" t="s">
        <v>2</v>
      </c>
    </row>
    <row r="219" spans="1:12" x14ac:dyDescent="0.15">
      <c r="A219" s="27" t="s">
        <v>6</v>
      </c>
      <c r="B219" s="18">
        <f>B213</f>
        <v>6</v>
      </c>
      <c r="C219" s="20">
        <f>C213</f>
        <v>6</v>
      </c>
      <c r="D219" s="50">
        <f>D213</f>
        <v>3</v>
      </c>
      <c r="E219" s="17">
        <f t="shared" ref="E219:E255" si="34">SUM(B219:D219)</f>
        <v>15</v>
      </c>
      <c r="G219" s="27" t="s">
        <v>6</v>
      </c>
      <c r="H219" s="18">
        <f>H213</f>
        <v>100</v>
      </c>
      <c r="I219" s="20">
        <f>I213</f>
        <v>76</v>
      </c>
      <c r="J219" s="50">
        <f>J213</f>
        <v>46</v>
      </c>
      <c r="K219" s="17">
        <f t="shared" ref="K219:K255" si="35">SUM(H219:J219)</f>
        <v>222</v>
      </c>
    </row>
    <row r="220" spans="1:12" x14ac:dyDescent="0.15">
      <c r="A220" s="6" t="s">
        <v>3</v>
      </c>
      <c r="B220" s="16"/>
      <c r="C220" s="11"/>
      <c r="D220" s="16">
        <v>3</v>
      </c>
      <c r="E220" s="5">
        <f t="shared" si="34"/>
        <v>3</v>
      </c>
      <c r="F220" s="39">
        <v>45148</v>
      </c>
      <c r="G220" s="6" t="s">
        <v>3</v>
      </c>
      <c r="H220" s="16"/>
      <c r="I220" s="11"/>
      <c r="J220" s="16"/>
      <c r="K220" s="5">
        <f t="shared" si="35"/>
        <v>0</v>
      </c>
    </row>
    <row r="221" spans="1:12" x14ac:dyDescent="0.15">
      <c r="A221" s="6" t="s">
        <v>198</v>
      </c>
      <c r="B221" s="16">
        <v>0</v>
      </c>
      <c r="C221" s="11">
        <v>0</v>
      </c>
      <c r="D221" s="16">
        <v>0</v>
      </c>
      <c r="E221" s="5">
        <f t="shared" si="34"/>
        <v>0</v>
      </c>
      <c r="F221" s="39">
        <v>45147</v>
      </c>
      <c r="G221" s="6" t="s">
        <v>3</v>
      </c>
      <c r="H221" s="38"/>
      <c r="I221" s="32"/>
      <c r="J221" s="31"/>
      <c r="K221" s="5">
        <f t="shared" si="35"/>
        <v>0</v>
      </c>
    </row>
    <row r="222" spans="1:12" x14ac:dyDescent="0.15">
      <c r="A222" s="6" t="s">
        <v>100</v>
      </c>
      <c r="B222" s="16"/>
      <c r="C222" s="11">
        <v>1</v>
      </c>
      <c r="D222" s="16"/>
      <c r="E222" s="5">
        <f t="shared" si="34"/>
        <v>1</v>
      </c>
      <c r="F222" s="39">
        <v>45175</v>
      </c>
      <c r="G222" s="6" t="s">
        <v>3</v>
      </c>
      <c r="H222" s="31"/>
      <c r="I222" s="32"/>
      <c r="J222" s="31"/>
      <c r="K222" s="5">
        <f t="shared" si="35"/>
        <v>0</v>
      </c>
    </row>
    <row r="223" spans="1:12" x14ac:dyDescent="0.15">
      <c r="A223" s="6" t="s">
        <v>3</v>
      </c>
      <c r="B223" s="16">
        <v>3</v>
      </c>
      <c r="C223" s="11"/>
      <c r="D223" s="16"/>
      <c r="E223" s="5">
        <f t="shared" si="34"/>
        <v>3</v>
      </c>
      <c r="F223" s="39">
        <v>45180</v>
      </c>
      <c r="G223" s="6" t="s">
        <v>3</v>
      </c>
      <c r="H223" s="38"/>
      <c r="I223" s="32"/>
      <c r="J223" s="31"/>
      <c r="K223" s="5">
        <f t="shared" si="35"/>
        <v>0</v>
      </c>
    </row>
    <row r="224" spans="1:12" x14ac:dyDescent="0.15">
      <c r="A224" s="6" t="s">
        <v>100</v>
      </c>
      <c r="B224" s="16">
        <v>1</v>
      </c>
      <c r="C224" s="11"/>
      <c r="D224" s="16"/>
      <c r="E224" s="5">
        <f t="shared" si="34"/>
        <v>1</v>
      </c>
      <c r="F224" s="39">
        <v>45196</v>
      </c>
      <c r="G224" s="6" t="s">
        <v>3</v>
      </c>
      <c r="H224" s="31"/>
      <c r="I224" s="32"/>
      <c r="J224" s="31"/>
      <c r="K224" s="5">
        <f t="shared" si="35"/>
        <v>0</v>
      </c>
    </row>
    <row r="225" spans="1:12" x14ac:dyDescent="0.15">
      <c r="A225" s="6" t="s">
        <v>3</v>
      </c>
      <c r="B225" s="16"/>
      <c r="C225" s="11"/>
      <c r="D225" s="16">
        <v>3</v>
      </c>
      <c r="E225" s="5">
        <f t="shared" si="34"/>
        <v>3</v>
      </c>
      <c r="F225" s="39">
        <v>45226</v>
      </c>
      <c r="G225" s="6" t="s">
        <v>3</v>
      </c>
      <c r="H225" s="38"/>
      <c r="I225" s="32"/>
      <c r="J225" s="31"/>
      <c r="K225" s="5">
        <f t="shared" si="35"/>
        <v>0</v>
      </c>
    </row>
    <row r="226" spans="1:12" x14ac:dyDescent="0.15">
      <c r="A226" s="6" t="s">
        <v>3</v>
      </c>
      <c r="B226" s="31"/>
      <c r="C226" s="32">
        <v>5</v>
      </c>
      <c r="D226" s="31"/>
      <c r="E226" s="5">
        <f t="shared" si="34"/>
        <v>5</v>
      </c>
      <c r="F226" s="39">
        <v>45392</v>
      </c>
      <c r="G226" s="6" t="s">
        <v>3</v>
      </c>
      <c r="H226" s="16"/>
      <c r="I226" s="11"/>
      <c r="J226" s="16"/>
      <c r="K226" s="5">
        <f t="shared" si="35"/>
        <v>0</v>
      </c>
    </row>
    <row r="227" spans="1:12" x14ac:dyDescent="0.15">
      <c r="A227" s="6" t="s">
        <v>3</v>
      </c>
      <c r="B227" s="10">
        <v>3</v>
      </c>
      <c r="C227" s="9"/>
      <c r="D227" s="10"/>
      <c r="E227" s="5">
        <f t="shared" si="34"/>
        <v>3</v>
      </c>
      <c r="F227" s="39">
        <v>45419</v>
      </c>
      <c r="G227" s="6" t="s">
        <v>3</v>
      </c>
      <c r="H227" s="31"/>
      <c r="I227" s="32"/>
      <c r="J227" s="31"/>
      <c r="K227" s="5">
        <f t="shared" si="35"/>
        <v>0</v>
      </c>
    </row>
    <row r="228" spans="1:12" x14ac:dyDescent="0.15">
      <c r="A228" s="6" t="s">
        <v>3</v>
      </c>
      <c r="B228" s="31"/>
      <c r="C228" s="32"/>
      <c r="D228" s="31"/>
      <c r="E228" s="5">
        <f t="shared" si="34"/>
        <v>0</v>
      </c>
      <c r="F228" s="41"/>
      <c r="G228" s="6" t="s">
        <v>3</v>
      </c>
      <c r="H228" s="8"/>
      <c r="I228" s="9"/>
      <c r="J228" s="10"/>
      <c r="K228" s="5">
        <f t="shared" si="35"/>
        <v>0</v>
      </c>
    </row>
    <row r="229" spans="1:12" ht="14.25" thickBot="1" x14ac:dyDescent="0.2">
      <c r="A229" s="6" t="s">
        <v>3</v>
      </c>
      <c r="B229" s="13"/>
      <c r="C229" s="12"/>
      <c r="D229" s="13"/>
      <c r="E229" s="5">
        <f t="shared" si="34"/>
        <v>0</v>
      </c>
      <c r="G229" s="6" t="s">
        <v>3</v>
      </c>
      <c r="H229" s="34"/>
      <c r="I229" s="35">
        <v>1</v>
      </c>
      <c r="J229" s="34"/>
      <c r="K229" s="5">
        <f t="shared" si="35"/>
        <v>1</v>
      </c>
    </row>
    <row r="230" spans="1:12" ht="14.25" thickBot="1" x14ac:dyDescent="0.2">
      <c r="A230" s="21" t="s">
        <v>4</v>
      </c>
      <c r="B230" s="22">
        <f>SUM(B219:B229)</f>
        <v>13</v>
      </c>
      <c r="C230" s="22">
        <f>SUM(C219:C229)</f>
        <v>12</v>
      </c>
      <c r="D230" s="23">
        <f>SUM(D219:D229)</f>
        <v>9</v>
      </c>
      <c r="E230" s="24">
        <f t="shared" si="34"/>
        <v>34</v>
      </c>
      <c r="G230" s="21" t="s">
        <v>4</v>
      </c>
      <c r="H230" s="22">
        <f>SUM(H219:H229)</f>
        <v>100</v>
      </c>
      <c r="I230" s="22">
        <f>SUM(I219:I229)</f>
        <v>77</v>
      </c>
      <c r="J230" s="23">
        <f>SUM(J219:J229)</f>
        <v>46</v>
      </c>
      <c r="K230" s="24">
        <f t="shared" si="35"/>
        <v>223</v>
      </c>
    </row>
    <row r="231" spans="1:12" x14ac:dyDescent="0.15">
      <c r="A231" s="28" t="s">
        <v>196</v>
      </c>
      <c r="B231" s="8">
        <v>1</v>
      </c>
      <c r="C231" s="9"/>
      <c r="D231" s="10">
        <v>1</v>
      </c>
      <c r="E231" s="5">
        <f t="shared" si="34"/>
        <v>2</v>
      </c>
      <c r="F231" s="39">
        <v>45146</v>
      </c>
      <c r="G231" s="4" t="s">
        <v>197</v>
      </c>
      <c r="H231" s="8"/>
      <c r="I231" s="9"/>
      <c r="J231" s="10">
        <v>3</v>
      </c>
      <c r="K231" s="7">
        <f t="shared" si="35"/>
        <v>3</v>
      </c>
      <c r="L231" s="39">
        <v>45148</v>
      </c>
    </row>
    <row r="232" spans="1:12" x14ac:dyDescent="0.15">
      <c r="A232" s="28" t="s">
        <v>95</v>
      </c>
      <c r="B232" s="8">
        <v>1</v>
      </c>
      <c r="C232" s="9"/>
      <c r="D232" s="10"/>
      <c r="E232" s="5">
        <f t="shared" si="34"/>
        <v>1</v>
      </c>
      <c r="F232" s="39">
        <v>45154</v>
      </c>
      <c r="G232" s="28" t="s">
        <v>199</v>
      </c>
      <c r="H232" s="8">
        <v>1</v>
      </c>
      <c r="I232" s="9"/>
      <c r="J232" s="10"/>
      <c r="K232" s="7">
        <f t="shared" si="35"/>
        <v>1</v>
      </c>
      <c r="L232" s="39">
        <v>45156</v>
      </c>
    </row>
    <row r="233" spans="1:12" x14ac:dyDescent="0.15">
      <c r="A233" s="28" t="s">
        <v>200</v>
      </c>
      <c r="B233" s="8">
        <v>1</v>
      </c>
      <c r="C233" s="9"/>
      <c r="D233" s="10"/>
      <c r="E233" s="5">
        <f t="shared" si="34"/>
        <v>1</v>
      </c>
      <c r="F233" s="39">
        <v>45161</v>
      </c>
      <c r="G233" s="4" t="s">
        <v>20</v>
      </c>
      <c r="H233" s="8">
        <v>3</v>
      </c>
      <c r="I233" s="9"/>
      <c r="J233" s="10"/>
      <c r="K233" s="7">
        <f t="shared" si="35"/>
        <v>3</v>
      </c>
      <c r="L233" s="39">
        <v>45180</v>
      </c>
    </row>
    <row r="234" spans="1:12" x14ac:dyDescent="0.15">
      <c r="A234" s="28" t="s">
        <v>201</v>
      </c>
      <c r="B234" s="8"/>
      <c r="C234" s="9"/>
      <c r="D234" s="10">
        <v>1</v>
      </c>
      <c r="E234" s="5">
        <f t="shared" si="34"/>
        <v>1</v>
      </c>
      <c r="F234" s="39">
        <v>45170</v>
      </c>
      <c r="G234" s="4" t="s">
        <v>20</v>
      </c>
      <c r="H234" s="8"/>
      <c r="I234" s="9"/>
      <c r="J234" s="10">
        <v>3</v>
      </c>
      <c r="K234" s="7">
        <f t="shared" si="35"/>
        <v>3</v>
      </c>
      <c r="L234" s="39">
        <v>45226</v>
      </c>
    </row>
    <row r="235" spans="1:12" x14ac:dyDescent="0.15">
      <c r="A235" s="28" t="s">
        <v>202</v>
      </c>
      <c r="B235" s="8">
        <v>1</v>
      </c>
      <c r="C235" s="9"/>
      <c r="D235" s="10"/>
      <c r="E235" s="5">
        <f t="shared" si="34"/>
        <v>1</v>
      </c>
      <c r="F235" s="39">
        <v>45174</v>
      </c>
      <c r="G235" s="4" t="s">
        <v>20</v>
      </c>
      <c r="H235" s="8"/>
      <c r="I235" s="9">
        <v>5</v>
      </c>
      <c r="J235" s="10"/>
      <c r="K235" s="7">
        <f t="shared" si="35"/>
        <v>5</v>
      </c>
      <c r="L235" s="39">
        <v>45392</v>
      </c>
    </row>
    <row r="236" spans="1:12" x14ac:dyDescent="0.15">
      <c r="A236" s="28" t="s">
        <v>203</v>
      </c>
      <c r="B236" s="8"/>
      <c r="C236" s="9">
        <v>1</v>
      </c>
      <c r="D236" s="10"/>
      <c r="E236" s="5">
        <f t="shared" si="34"/>
        <v>1</v>
      </c>
      <c r="F236" s="39">
        <v>45177</v>
      </c>
      <c r="G236" s="4" t="s">
        <v>20</v>
      </c>
      <c r="H236" s="8">
        <v>3</v>
      </c>
      <c r="I236" s="9"/>
      <c r="J236" s="10"/>
      <c r="K236" s="5">
        <f t="shared" si="35"/>
        <v>3</v>
      </c>
      <c r="L236" s="39">
        <v>45419</v>
      </c>
    </row>
    <row r="237" spans="1:12" x14ac:dyDescent="0.15">
      <c r="A237" s="28" t="s">
        <v>204</v>
      </c>
      <c r="B237" s="8">
        <v>1</v>
      </c>
      <c r="C237" s="9"/>
      <c r="D237" s="10"/>
      <c r="E237" s="5">
        <f t="shared" si="34"/>
        <v>1</v>
      </c>
      <c r="F237" s="39">
        <v>45183</v>
      </c>
      <c r="G237" s="28"/>
      <c r="H237" s="8"/>
      <c r="I237" s="9"/>
      <c r="J237" s="10"/>
      <c r="K237" s="7">
        <f t="shared" si="35"/>
        <v>0</v>
      </c>
      <c r="L237" s="41"/>
    </row>
    <row r="238" spans="1:12" x14ac:dyDescent="0.15">
      <c r="A238" s="4" t="s">
        <v>29</v>
      </c>
      <c r="B238" s="8">
        <v>1</v>
      </c>
      <c r="C238" s="9"/>
      <c r="D238" s="10"/>
      <c r="E238" s="5">
        <f t="shared" si="34"/>
        <v>1</v>
      </c>
      <c r="F238" s="39">
        <v>45205</v>
      </c>
      <c r="G238" s="4"/>
      <c r="H238" s="8"/>
      <c r="I238" s="9"/>
      <c r="J238" s="10"/>
      <c r="K238" s="7">
        <f t="shared" si="35"/>
        <v>0</v>
      </c>
    </row>
    <row r="239" spans="1:12" x14ac:dyDescent="0.15">
      <c r="A239" s="28" t="s">
        <v>205</v>
      </c>
      <c r="B239" s="8"/>
      <c r="C239" s="9"/>
      <c r="D239" s="10">
        <v>1</v>
      </c>
      <c r="E239" s="5">
        <f t="shared" si="34"/>
        <v>1</v>
      </c>
      <c r="F239" s="39">
        <v>45225</v>
      </c>
      <c r="G239" s="28"/>
      <c r="H239" s="8"/>
      <c r="I239" s="9"/>
      <c r="J239" s="10"/>
      <c r="K239" s="7">
        <f t="shared" si="35"/>
        <v>0</v>
      </c>
    </row>
    <row r="240" spans="1:12" x14ac:dyDescent="0.15">
      <c r="A240" s="4" t="s">
        <v>29</v>
      </c>
      <c r="B240" s="8"/>
      <c r="C240" s="9"/>
      <c r="D240" s="10">
        <v>1</v>
      </c>
      <c r="E240" s="5">
        <f t="shared" si="34"/>
        <v>1</v>
      </c>
      <c r="F240" s="39">
        <v>45247</v>
      </c>
      <c r="G240" s="4"/>
      <c r="H240" s="8"/>
      <c r="I240" s="9"/>
      <c r="J240" s="10"/>
      <c r="K240" s="7">
        <f t="shared" si="35"/>
        <v>0</v>
      </c>
    </row>
    <row r="241" spans="1:11" x14ac:dyDescent="0.15">
      <c r="A241" s="4" t="s">
        <v>29</v>
      </c>
      <c r="B241" s="8"/>
      <c r="C241" s="9">
        <v>2</v>
      </c>
      <c r="D241" s="10"/>
      <c r="E241" s="5">
        <f t="shared" si="34"/>
        <v>2</v>
      </c>
      <c r="F241" s="39">
        <v>45252</v>
      </c>
      <c r="G241" s="4"/>
      <c r="H241" s="8"/>
      <c r="I241" s="9"/>
      <c r="J241" s="10"/>
      <c r="K241" s="7">
        <f t="shared" si="35"/>
        <v>0</v>
      </c>
    </row>
    <row r="242" spans="1:11" x14ac:dyDescent="0.15">
      <c r="A242" s="4" t="s">
        <v>29</v>
      </c>
      <c r="B242" s="8"/>
      <c r="C242" s="9">
        <v>1</v>
      </c>
      <c r="D242" s="10">
        <v>1</v>
      </c>
      <c r="E242" s="5">
        <f t="shared" si="34"/>
        <v>2</v>
      </c>
      <c r="F242" s="39">
        <v>45362</v>
      </c>
      <c r="G242" s="4"/>
      <c r="H242" s="8"/>
      <c r="I242" s="9"/>
      <c r="J242" s="10"/>
      <c r="K242" s="7">
        <f t="shared" si="35"/>
        <v>0</v>
      </c>
    </row>
    <row r="243" spans="1:11" x14ac:dyDescent="0.15">
      <c r="A243" s="4" t="s">
        <v>29</v>
      </c>
      <c r="B243" s="8"/>
      <c r="C243" s="9">
        <v>2</v>
      </c>
      <c r="D243" s="10"/>
      <c r="E243" s="5">
        <f t="shared" si="34"/>
        <v>2</v>
      </c>
      <c r="F243" s="39">
        <v>45390</v>
      </c>
      <c r="G243" s="4"/>
      <c r="H243" s="8"/>
      <c r="I243" s="9"/>
      <c r="J243" s="10"/>
      <c r="K243" s="7">
        <f t="shared" si="35"/>
        <v>0</v>
      </c>
    </row>
    <row r="244" spans="1:11" x14ac:dyDescent="0.15">
      <c r="A244" s="4" t="s">
        <v>29</v>
      </c>
      <c r="B244" s="8">
        <v>2</v>
      </c>
      <c r="C244" s="9"/>
      <c r="D244" s="10"/>
      <c r="E244" s="5">
        <f t="shared" si="34"/>
        <v>2</v>
      </c>
      <c r="F244" s="39">
        <v>45412</v>
      </c>
      <c r="G244" s="4"/>
      <c r="H244" s="8"/>
      <c r="I244" s="9"/>
      <c r="J244" s="10"/>
      <c r="K244" s="7">
        <f t="shared" si="35"/>
        <v>0</v>
      </c>
    </row>
    <row r="245" spans="1:11" x14ac:dyDescent="0.15">
      <c r="A245" s="4" t="s">
        <v>29</v>
      </c>
      <c r="B245" s="8"/>
      <c r="C245" s="9"/>
      <c r="D245" s="10">
        <v>1</v>
      </c>
      <c r="E245" s="5">
        <f t="shared" si="34"/>
        <v>1</v>
      </c>
      <c r="F245" s="39">
        <v>45467</v>
      </c>
      <c r="G245" s="4"/>
      <c r="H245" s="8"/>
      <c r="I245" s="9"/>
      <c r="J245" s="10"/>
      <c r="K245" s="7">
        <f t="shared" si="35"/>
        <v>0</v>
      </c>
    </row>
    <row r="246" spans="1:11" x14ac:dyDescent="0.15">
      <c r="A246" s="4"/>
      <c r="B246" s="8"/>
      <c r="C246" s="9"/>
      <c r="D246" s="10"/>
      <c r="E246" s="5">
        <f t="shared" si="34"/>
        <v>0</v>
      </c>
      <c r="F246" s="57"/>
      <c r="G246" s="4"/>
      <c r="H246" s="8"/>
      <c r="I246" s="9"/>
      <c r="J246" s="10"/>
      <c r="K246" s="7">
        <f t="shared" si="35"/>
        <v>0</v>
      </c>
    </row>
    <row r="247" spans="1:11" x14ac:dyDescent="0.15">
      <c r="A247" s="28"/>
      <c r="B247" s="8"/>
      <c r="C247" s="9"/>
      <c r="D247" s="10"/>
      <c r="E247" s="5">
        <f t="shared" si="34"/>
        <v>0</v>
      </c>
      <c r="F247" s="39"/>
      <c r="G247" s="4"/>
      <c r="H247" s="8"/>
      <c r="I247" s="9"/>
      <c r="J247" s="10"/>
      <c r="K247" s="7">
        <f t="shared" si="35"/>
        <v>0</v>
      </c>
    </row>
    <row r="248" spans="1:11" x14ac:dyDescent="0.15">
      <c r="A248" s="4"/>
      <c r="B248" s="8"/>
      <c r="C248" s="9"/>
      <c r="D248" s="10"/>
      <c r="E248" s="5">
        <f t="shared" si="34"/>
        <v>0</v>
      </c>
      <c r="G248" s="77"/>
      <c r="H248" s="8"/>
      <c r="I248" s="9"/>
      <c r="J248" s="10"/>
      <c r="K248" s="7">
        <f t="shared" si="35"/>
        <v>0</v>
      </c>
    </row>
    <row r="249" spans="1:11" x14ac:dyDescent="0.15">
      <c r="A249" s="4"/>
      <c r="B249" s="8"/>
      <c r="C249" s="9"/>
      <c r="D249" s="10"/>
      <c r="E249" s="5">
        <f t="shared" si="34"/>
        <v>0</v>
      </c>
      <c r="G249" s="4"/>
      <c r="H249" s="8"/>
      <c r="I249" s="9"/>
      <c r="J249" s="10"/>
      <c r="K249" s="7">
        <f t="shared" si="35"/>
        <v>0</v>
      </c>
    </row>
    <row r="250" spans="1:11" x14ac:dyDescent="0.15">
      <c r="A250" s="4"/>
      <c r="B250" s="8"/>
      <c r="C250" s="9"/>
      <c r="D250" s="10"/>
      <c r="E250" s="5">
        <f t="shared" si="34"/>
        <v>0</v>
      </c>
      <c r="G250" s="4"/>
      <c r="H250" s="8"/>
      <c r="I250" s="9"/>
      <c r="J250" s="10"/>
      <c r="K250" s="7">
        <f t="shared" si="35"/>
        <v>0</v>
      </c>
    </row>
    <row r="251" spans="1:11" x14ac:dyDescent="0.15">
      <c r="A251" s="28"/>
      <c r="B251" s="8"/>
      <c r="C251" s="9"/>
      <c r="D251" s="10"/>
      <c r="E251" s="5">
        <f t="shared" si="34"/>
        <v>0</v>
      </c>
      <c r="G251" s="20"/>
      <c r="H251" s="53"/>
      <c r="I251" s="54"/>
      <c r="J251" s="55"/>
      <c r="K251" s="7">
        <f t="shared" si="35"/>
        <v>0</v>
      </c>
    </row>
    <row r="252" spans="1:11" x14ac:dyDescent="0.15">
      <c r="A252" s="4"/>
      <c r="B252" s="8"/>
      <c r="C252" s="9"/>
      <c r="D252" s="10"/>
      <c r="E252" s="5">
        <f t="shared" si="34"/>
        <v>0</v>
      </c>
      <c r="G252" s="20"/>
      <c r="H252" s="53"/>
      <c r="I252" s="54"/>
      <c r="J252" s="55"/>
      <c r="K252" s="7">
        <f t="shared" si="35"/>
        <v>0</v>
      </c>
    </row>
    <row r="253" spans="1:11" x14ac:dyDescent="0.15">
      <c r="A253" s="11"/>
      <c r="B253" s="8"/>
      <c r="C253" s="9"/>
      <c r="D253" s="10"/>
      <c r="E253" s="5">
        <f t="shared" si="34"/>
        <v>0</v>
      </c>
      <c r="G253" s="4"/>
      <c r="H253" s="8"/>
      <c r="I253" s="9"/>
      <c r="J253" s="10"/>
      <c r="K253" s="7">
        <f t="shared" si="35"/>
        <v>0</v>
      </c>
    </row>
    <row r="254" spans="1:11" ht="14.25" thickBot="1" x14ac:dyDescent="0.2">
      <c r="A254" s="4"/>
      <c r="B254" s="8"/>
      <c r="C254" s="9"/>
      <c r="D254" s="10"/>
      <c r="E254" s="5">
        <f t="shared" si="34"/>
        <v>0</v>
      </c>
      <c r="F254" s="39"/>
      <c r="G254" s="4"/>
      <c r="H254" s="8"/>
      <c r="I254" s="9"/>
      <c r="J254" s="10"/>
      <c r="K254" s="7">
        <f t="shared" ref="K254" si="36">SUM(H254:J254)</f>
        <v>0</v>
      </c>
    </row>
    <row r="255" spans="1:11" ht="14.25" thickBot="1" x14ac:dyDescent="0.2">
      <c r="A255" s="3" t="s">
        <v>5</v>
      </c>
      <c r="B255" s="14">
        <f>SUM(B231:B254)</f>
        <v>8</v>
      </c>
      <c r="C255" s="14">
        <f>SUM(C231:C254)</f>
        <v>6</v>
      </c>
      <c r="D255" s="14">
        <f>SUM(D231:D254)</f>
        <v>6</v>
      </c>
      <c r="E255" s="15">
        <f t="shared" si="34"/>
        <v>20</v>
      </c>
      <c r="G255" s="3" t="s">
        <v>5</v>
      </c>
      <c r="H255" s="14">
        <f>SUM(H231:H254)</f>
        <v>7</v>
      </c>
      <c r="I255" s="14">
        <f>SUM(I231:I254)</f>
        <v>5</v>
      </c>
      <c r="J255" s="14">
        <f>SUM(J231:J254)</f>
        <v>6</v>
      </c>
      <c r="K255" s="15">
        <f t="shared" si="35"/>
        <v>18</v>
      </c>
    </row>
    <row r="256" spans="1:11" ht="14.25" thickBot="1" x14ac:dyDescent="0.2">
      <c r="A256" s="25" t="s">
        <v>6</v>
      </c>
      <c r="B256" s="26">
        <f>B230-B255</f>
        <v>5</v>
      </c>
      <c r="C256" s="26">
        <f t="shared" ref="C256:E256" si="37">C230-C255</f>
        <v>6</v>
      </c>
      <c r="D256" s="26">
        <f t="shared" si="37"/>
        <v>3</v>
      </c>
      <c r="E256" s="24">
        <f t="shared" si="37"/>
        <v>14</v>
      </c>
      <c r="G256" s="25" t="s">
        <v>6</v>
      </c>
      <c r="H256" s="26">
        <f>H230-H255</f>
        <v>93</v>
      </c>
      <c r="I256" s="26">
        <f t="shared" ref="I256:K256" si="38">I230-I255</f>
        <v>72</v>
      </c>
      <c r="J256" s="26">
        <f t="shared" si="38"/>
        <v>40</v>
      </c>
      <c r="K256" s="24">
        <f t="shared" si="38"/>
        <v>205</v>
      </c>
    </row>
    <row r="259" spans="1:12" ht="18" thickBot="1" x14ac:dyDescent="0.25">
      <c r="A259" s="29" t="s">
        <v>14</v>
      </c>
      <c r="B259" s="1"/>
      <c r="C259" s="1"/>
      <c r="D259" s="1"/>
      <c r="E259" s="56" t="s">
        <v>26</v>
      </c>
      <c r="G259" s="29" t="s">
        <v>15</v>
      </c>
      <c r="H259" s="1"/>
      <c r="I259" s="1"/>
      <c r="J259" s="1"/>
      <c r="K259" s="56" t="s">
        <v>26</v>
      </c>
    </row>
    <row r="260" spans="1:12" ht="14.25" thickBot="1" x14ac:dyDescent="0.2">
      <c r="A260" s="2" t="s">
        <v>0</v>
      </c>
      <c r="B260" s="102" t="s">
        <v>19</v>
      </c>
      <c r="C260" s="103"/>
      <c r="D260" s="103"/>
      <c r="E260" s="104"/>
      <c r="G260" s="2" t="s">
        <v>0</v>
      </c>
      <c r="H260" s="102" t="s">
        <v>19</v>
      </c>
      <c r="I260" s="103"/>
      <c r="J260" s="103"/>
      <c r="K260" s="104"/>
    </row>
    <row r="261" spans="1:12" ht="14.25" thickBot="1" x14ac:dyDescent="0.2">
      <c r="A261" s="2" t="s">
        <v>1</v>
      </c>
      <c r="B261" s="3" t="s">
        <v>7</v>
      </c>
      <c r="C261" s="2" t="s">
        <v>8</v>
      </c>
      <c r="D261" s="19" t="s">
        <v>9</v>
      </c>
      <c r="E261" s="2" t="s">
        <v>2</v>
      </c>
      <c r="G261" s="2" t="s">
        <v>1</v>
      </c>
      <c r="H261" s="3" t="s">
        <v>7</v>
      </c>
      <c r="I261" s="2" t="s">
        <v>8</v>
      </c>
      <c r="J261" s="19" t="s">
        <v>9</v>
      </c>
      <c r="K261" s="2" t="s">
        <v>2</v>
      </c>
    </row>
    <row r="262" spans="1:12" x14ac:dyDescent="0.15">
      <c r="A262" s="27" t="s">
        <v>6</v>
      </c>
      <c r="B262" s="18">
        <f>B256</f>
        <v>5</v>
      </c>
      <c r="C262" s="20">
        <f>C256</f>
        <v>6</v>
      </c>
      <c r="D262" s="50">
        <f>D256</f>
        <v>3</v>
      </c>
      <c r="E262" s="17">
        <f t="shared" ref="E262:E298" si="39">SUM(B262:D262)</f>
        <v>14</v>
      </c>
      <c r="G262" s="27" t="s">
        <v>6</v>
      </c>
      <c r="H262" s="18">
        <f>H256</f>
        <v>93</v>
      </c>
      <c r="I262" s="20">
        <f t="shared" ref="I262:K262" si="40">I256</f>
        <v>72</v>
      </c>
      <c r="J262" s="50">
        <f t="shared" si="40"/>
        <v>40</v>
      </c>
      <c r="K262" s="17">
        <f t="shared" si="40"/>
        <v>205</v>
      </c>
    </row>
    <row r="263" spans="1:12" x14ac:dyDescent="0.15">
      <c r="A263" s="6" t="s">
        <v>3</v>
      </c>
      <c r="B263" s="31">
        <v>3</v>
      </c>
      <c r="C263" s="32"/>
      <c r="D263" s="31">
        <v>3</v>
      </c>
      <c r="E263" s="5">
        <f t="shared" ref="E263:E268" si="41">SUM(B263:D263)</f>
        <v>6</v>
      </c>
      <c r="F263" s="39">
        <v>45489</v>
      </c>
      <c r="G263" s="6" t="s">
        <v>3</v>
      </c>
      <c r="H263" s="16"/>
      <c r="I263" s="11">
        <v>4</v>
      </c>
      <c r="J263" s="16">
        <v>2</v>
      </c>
      <c r="K263" s="5">
        <f t="shared" ref="K263:K298" si="42">SUM(H263:J263)</f>
        <v>6</v>
      </c>
      <c r="L263" s="57">
        <v>45570</v>
      </c>
    </row>
    <row r="264" spans="1:12" x14ac:dyDescent="0.15">
      <c r="A264" s="6" t="s">
        <v>198</v>
      </c>
      <c r="B264" s="31">
        <v>0</v>
      </c>
      <c r="C264" s="32">
        <v>0</v>
      </c>
      <c r="D264" s="31">
        <v>0</v>
      </c>
      <c r="E264" s="5">
        <f t="shared" si="41"/>
        <v>0</v>
      </c>
      <c r="F264" s="39">
        <v>45530</v>
      </c>
      <c r="G264" s="6" t="s">
        <v>3</v>
      </c>
      <c r="H264" s="8"/>
      <c r="I264" s="9"/>
      <c r="J264" s="10">
        <v>2</v>
      </c>
      <c r="K264" s="5">
        <f t="shared" si="42"/>
        <v>2</v>
      </c>
      <c r="L264" s="57">
        <v>45843</v>
      </c>
    </row>
    <row r="265" spans="1:12" x14ac:dyDescent="0.15">
      <c r="A265" s="6" t="s">
        <v>3</v>
      </c>
      <c r="B265" s="31"/>
      <c r="C265" s="32">
        <v>5</v>
      </c>
      <c r="D265" s="31"/>
      <c r="E265" s="5">
        <f t="shared" si="41"/>
        <v>5</v>
      </c>
      <c r="F265" s="39">
        <v>45545</v>
      </c>
      <c r="G265" s="6" t="s">
        <v>3</v>
      </c>
      <c r="H265" s="31"/>
      <c r="I265" s="32"/>
      <c r="J265" s="31"/>
      <c r="K265" s="5">
        <f t="shared" si="42"/>
        <v>0</v>
      </c>
    </row>
    <row r="266" spans="1:12" x14ac:dyDescent="0.15">
      <c r="A266" s="6" t="s">
        <v>3</v>
      </c>
      <c r="B266" s="31"/>
      <c r="C266" s="32">
        <v>5</v>
      </c>
      <c r="D266" s="31">
        <v>3</v>
      </c>
      <c r="E266" s="5">
        <f t="shared" si="41"/>
        <v>8</v>
      </c>
      <c r="F266" s="39">
        <v>45610</v>
      </c>
      <c r="G266" s="6" t="s">
        <v>3</v>
      </c>
      <c r="H266" s="38"/>
      <c r="I266" s="32"/>
      <c r="J266" s="31"/>
      <c r="K266" s="5">
        <f t="shared" si="42"/>
        <v>0</v>
      </c>
    </row>
    <row r="267" spans="1:12" x14ac:dyDescent="0.15">
      <c r="A267" s="6" t="s">
        <v>100</v>
      </c>
      <c r="B267" s="31"/>
      <c r="C267" s="32"/>
      <c r="D267" s="31">
        <v>1</v>
      </c>
      <c r="E267" s="5">
        <f t="shared" si="41"/>
        <v>1</v>
      </c>
      <c r="F267" s="39">
        <v>45636</v>
      </c>
      <c r="G267" s="6" t="s">
        <v>3</v>
      </c>
      <c r="H267" s="31"/>
      <c r="I267" s="32"/>
      <c r="J267" s="31"/>
      <c r="K267" s="5">
        <f t="shared" si="42"/>
        <v>0</v>
      </c>
    </row>
    <row r="268" spans="1:12" x14ac:dyDescent="0.15">
      <c r="A268" s="6" t="s">
        <v>100</v>
      </c>
      <c r="B268" s="31"/>
      <c r="C268" s="32"/>
      <c r="D268" s="31">
        <v>1</v>
      </c>
      <c r="E268" s="5">
        <f t="shared" si="41"/>
        <v>1</v>
      </c>
      <c r="F268" s="39">
        <v>45700</v>
      </c>
      <c r="G268" s="6" t="s">
        <v>3</v>
      </c>
      <c r="H268" s="38"/>
      <c r="I268" s="32"/>
      <c r="J268" s="31"/>
      <c r="K268" s="5">
        <f t="shared" si="42"/>
        <v>0</v>
      </c>
    </row>
    <row r="269" spans="1:12" x14ac:dyDescent="0.15">
      <c r="A269" s="6" t="s">
        <v>3</v>
      </c>
      <c r="B269" s="31"/>
      <c r="C269" s="32"/>
      <c r="D269" s="31"/>
      <c r="E269" s="5">
        <f t="shared" si="39"/>
        <v>0</v>
      </c>
      <c r="F269" s="39"/>
      <c r="G269" s="6" t="s">
        <v>3</v>
      </c>
      <c r="H269" s="16"/>
      <c r="I269" s="11"/>
      <c r="J269" s="16"/>
      <c r="K269" s="5">
        <f t="shared" si="42"/>
        <v>0</v>
      </c>
    </row>
    <row r="270" spans="1:12" x14ac:dyDescent="0.15">
      <c r="A270" s="6" t="s">
        <v>3</v>
      </c>
      <c r="B270" s="10"/>
      <c r="C270" s="9"/>
      <c r="D270" s="10"/>
      <c r="E270" s="5">
        <f t="shared" si="39"/>
        <v>0</v>
      </c>
      <c r="G270" s="6" t="s">
        <v>3</v>
      </c>
      <c r="H270" s="31"/>
      <c r="I270" s="32"/>
      <c r="J270" s="31"/>
      <c r="K270" s="5">
        <f t="shared" si="42"/>
        <v>0</v>
      </c>
    </row>
    <row r="271" spans="1:12" x14ac:dyDescent="0.15">
      <c r="A271" s="6" t="s">
        <v>3</v>
      </c>
      <c r="B271" s="31"/>
      <c r="C271" s="32"/>
      <c r="D271" s="31"/>
      <c r="E271" s="5">
        <f t="shared" si="39"/>
        <v>0</v>
      </c>
      <c r="G271" s="6" t="s">
        <v>3</v>
      </c>
      <c r="H271" s="8"/>
      <c r="I271" s="9"/>
      <c r="J271" s="10"/>
      <c r="K271" s="5">
        <f t="shared" si="42"/>
        <v>0</v>
      </c>
    </row>
    <row r="272" spans="1:12" ht="14.25" thickBot="1" x14ac:dyDescent="0.2">
      <c r="A272" s="6" t="s">
        <v>3</v>
      </c>
      <c r="B272" s="13"/>
      <c r="C272" s="12"/>
      <c r="D272" s="13"/>
      <c r="E272" s="5">
        <f t="shared" si="39"/>
        <v>0</v>
      </c>
      <c r="G272" s="6" t="s">
        <v>198</v>
      </c>
      <c r="H272" s="8"/>
      <c r="I272" s="9">
        <v>1</v>
      </c>
      <c r="J272" s="10"/>
      <c r="K272" s="5">
        <f t="shared" ref="K272" si="43">SUM(H272:J272)</f>
        <v>1</v>
      </c>
    </row>
    <row r="273" spans="1:13" ht="14.25" thickBot="1" x14ac:dyDescent="0.2">
      <c r="A273" s="21" t="s">
        <v>4</v>
      </c>
      <c r="B273" s="22">
        <f>SUM(B262:B272)</f>
        <v>8</v>
      </c>
      <c r="C273" s="22">
        <f>SUM(C262:C272)</f>
        <v>16</v>
      </c>
      <c r="D273" s="23">
        <f>SUM(D262:D272)</f>
        <v>11</v>
      </c>
      <c r="E273" s="24">
        <f t="shared" si="39"/>
        <v>35</v>
      </c>
      <c r="G273" s="21" t="s">
        <v>4</v>
      </c>
      <c r="H273" s="22">
        <f>SUM(H262:H272)</f>
        <v>93</v>
      </c>
      <c r="I273" s="22">
        <f t="shared" ref="I273:K273" si="44">SUM(I262:I272)</f>
        <v>77</v>
      </c>
      <c r="J273" s="23">
        <f t="shared" si="44"/>
        <v>44</v>
      </c>
      <c r="K273" s="24">
        <f t="shared" si="44"/>
        <v>214</v>
      </c>
    </row>
    <row r="274" spans="1:13" x14ac:dyDescent="0.15">
      <c r="A274" s="28" t="s">
        <v>122</v>
      </c>
      <c r="B274" s="8"/>
      <c r="C274" s="9"/>
      <c r="D274" s="10">
        <v>1</v>
      </c>
      <c r="E274" s="5">
        <f t="shared" si="39"/>
        <v>1</v>
      </c>
      <c r="F274" s="39">
        <v>45471</v>
      </c>
      <c r="G274" s="28" t="s">
        <v>119</v>
      </c>
      <c r="H274" s="8">
        <v>3</v>
      </c>
      <c r="I274" s="9">
        <v>3</v>
      </c>
      <c r="J274" s="10">
        <v>3</v>
      </c>
      <c r="K274" s="7">
        <f t="shared" si="42"/>
        <v>9</v>
      </c>
      <c r="L274" s="39">
        <v>45460</v>
      </c>
    </row>
    <row r="275" spans="1:13" x14ac:dyDescent="0.15">
      <c r="A275" s="28" t="s">
        <v>129</v>
      </c>
      <c r="B275" s="8">
        <v>1</v>
      </c>
      <c r="C275" s="9"/>
      <c r="D275" s="10"/>
      <c r="E275" s="7">
        <f t="shared" si="39"/>
        <v>1</v>
      </c>
      <c r="F275" s="39">
        <v>45481</v>
      </c>
      <c r="G275" s="28" t="s">
        <v>120</v>
      </c>
      <c r="H275" s="8"/>
      <c r="I275" s="9">
        <v>3</v>
      </c>
      <c r="J275" s="10"/>
      <c r="K275" s="7">
        <f t="shared" si="42"/>
        <v>3</v>
      </c>
      <c r="L275" s="39">
        <v>45469</v>
      </c>
      <c r="M275" s="30"/>
    </row>
    <row r="276" spans="1:13" x14ac:dyDescent="0.15">
      <c r="A276" s="28" t="s">
        <v>130</v>
      </c>
      <c r="B276" s="8">
        <v>1</v>
      </c>
      <c r="C276" s="9"/>
      <c r="D276" s="10"/>
      <c r="E276" s="5">
        <f t="shared" si="39"/>
        <v>1</v>
      </c>
      <c r="F276" s="39">
        <v>45484</v>
      </c>
      <c r="G276" s="28" t="s">
        <v>121</v>
      </c>
      <c r="H276" s="8">
        <v>2</v>
      </c>
      <c r="I276" s="9">
        <v>2</v>
      </c>
      <c r="J276" s="10"/>
      <c r="K276" s="7">
        <f t="shared" si="42"/>
        <v>4</v>
      </c>
      <c r="L276" s="39">
        <v>45471</v>
      </c>
      <c r="M276" s="30"/>
    </row>
    <row r="277" spans="1:13" x14ac:dyDescent="0.15">
      <c r="A277" s="4" t="s">
        <v>29</v>
      </c>
      <c r="B277" s="8">
        <v>1</v>
      </c>
      <c r="C277" s="9"/>
      <c r="D277" s="10"/>
      <c r="E277" s="5">
        <f t="shared" si="39"/>
        <v>1</v>
      </c>
      <c r="F277" s="39">
        <v>45489</v>
      </c>
      <c r="G277" s="28" t="s">
        <v>123</v>
      </c>
      <c r="H277" s="8"/>
      <c r="I277" s="9">
        <v>1</v>
      </c>
      <c r="J277" s="10">
        <v>1</v>
      </c>
      <c r="K277" s="7">
        <f t="shared" si="42"/>
        <v>2</v>
      </c>
      <c r="L277" s="39">
        <v>45474</v>
      </c>
    </row>
    <row r="278" spans="1:13" x14ac:dyDescent="0.15">
      <c r="A278" s="28" t="s">
        <v>132</v>
      </c>
      <c r="B278" s="8"/>
      <c r="C278" s="9">
        <v>1</v>
      </c>
      <c r="D278" s="10"/>
      <c r="E278" s="5">
        <f t="shared" si="39"/>
        <v>1</v>
      </c>
      <c r="F278" s="39">
        <v>45492</v>
      </c>
      <c r="G278" s="28" t="s">
        <v>124</v>
      </c>
      <c r="H278" s="8"/>
      <c r="I278" s="9">
        <v>2</v>
      </c>
      <c r="J278" s="10"/>
      <c r="K278" s="7">
        <f t="shared" si="42"/>
        <v>2</v>
      </c>
      <c r="L278" s="39">
        <v>45476</v>
      </c>
    </row>
    <row r="279" spans="1:13" x14ac:dyDescent="0.15">
      <c r="A279" s="4" t="s">
        <v>29</v>
      </c>
      <c r="B279" s="8"/>
      <c r="C279" s="9"/>
      <c r="D279" s="10">
        <v>1</v>
      </c>
      <c r="E279" s="5">
        <f t="shared" si="39"/>
        <v>1</v>
      </c>
      <c r="F279" s="39">
        <v>45505</v>
      </c>
      <c r="G279" s="28" t="s">
        <v>125</v>
      </c>
      <c r="H279" s="8"/>
      <c r="I279" s="9"/>
      <c r="J279" s="10">
        <v>1</v>
      </c>
      <c r="K279" s="5">
        <f t="shared" si="42"/>
        <v>1</v>
      </c>
      <c r="L279" s="39">
        <v>45477</v>
      </c>
    </row>
    <row r="280" spans="1:13" x14ac:dyDescent="0.15">
      <c r="A280" s="28" t="s">
        <v>134</v>
      </c>
      <c r="B280" s="8"/>
      <c r="C280" s="9">
        <v>1</v>
      </c>
      <c r="D280" s="10"/>
      <c r="E280" s="5">
        <f t="shared" si="39"/>
        <v>1</v>
      </c>
      <c r="F280" s="39">
        <v>45526</v>
      </c>
      <c r="G280" s="28" t="s">
        <v>128</v>
      </c>
      <c r="H280" s="8"/>
      <c r="I280" s="9"/>
      <c r="J280" s="10">
        <v>3</v>
      </c>
      <c r="K280" s="7">
        <f t="shared" si="42"/>
        <v>3</v>
      </c>
      <c r="L280" s="39">
        <v>45478</v>
      </c>
    </row>
    <row r="281" spans="1:13" x14ac:dyDescent="0.15">
      <c r="A281" s="28" t="s">
        <v>208</v>
      </c>
      <c r="B281" s="8"/>
      <c r="C281" s="9">
        <v>1</v>
      </c>
      <c r="D281" s="10"/>
      <c r="E281" s="5">
        <f t="shared" si="39"/>
        <v>1</v>
      </c>
      <c r="F281" s="39">
        <v>45530</v>
      </c>
      <c r="G281" s="28" t="s">
        <v>131</v>
      </c>
      <c r="H281" s="8"/>
      <c r="I281" s="9"/>
      <c r="J281" s="10">
        <v>1</v>
      </c>
      <c r="K281" s="7">
        <f t="shared" ref="K281:K283" si="45">SUM(H281:J281)</f>
        <v>1</v>
      </c>
      <c r="L281" s="39">
        <v>45485</v>
      </c>
    </row>
    <row r="282" spans="1:13" x14ac:dyDescent="0.15">
      <c r="A282" s="28" t="s">
        <v>209</v>
      </c>
      <c r="B282" s="8"/>
      <c r="C282" s="9">
        <v>1</v>
      </c>
      <c r="D282" s="10"/>
      <c r="E282" s="5">
        <f t="shared" si="39"/>
        <v>1</v>
      </c>
      <c r="F282" s="39">
        <v>45546</v>
      </c>
      <c r="G282" s="4" t="s">
        <v>20</v>
      </c>
      <c r="H282" s="8">
        <v>3</v>
      </c>
      <c r="I282" s="9"/>
      <c r="J282" s="10">
        <v>3</v>
      </c>
      <c r="K282" s="7">
        <f t="shared" si="45"/>
        <v>6</v>
      </c>
      <c r="L282" s="39">
        <v>45489</v>
      </c>
    </row>
    <row r="283" spans="1:13" x14ac:dyDescent="0.15">
      <c r="A283" s="4" t="s">
        <v>29</v>
      </c>
      <c r="B283" s="8"/>
      <c r="C283" s="9">
        <v>2</v>
      </c>
      <c r="D283" s="10"/>
      <c r="E283" s="5">
        <f t="shared" si="39"/>
        <v>2</v>
      </c>
      <c r="F283" s="39">
        <v>45559</v>
      </c>
      <c r="G283" s="4" t="s">
        <v>20</v>
      </c>
      <c r="H283" s="8"/>
      <c r="I283" s="9">
        <v>5</v>
      </c>
      <c r="J283" s="10"/>
      <c r="K283" s="7">
        <f t="shared" si="45"/>
        <v>5</v>
      </c>
      <c r="L283" s="39">
        <v>45545</v>
      </c>
    </row>
    <row r="284" spans="1:13" x14ac:dyDescent="0.15">
      <c r="A284" s="28" t="s">
        <v>212</v>
      </c>
      <c r="B284" s="8"/>
      <c r="C284" s="9">
        <v>1</v>
      </c>
      <c r="D284" s="10"/>
      <c r="E284" s="5">
        <f t="shared" si="39"/>
        <v>1</v>
      </c>
      <c r="F284" s="39">
        <v>45569</v>
      </c>
      <c r="G284" s="28" t="s">
        <v>214</v>
      </c>
      <c r="H284" s="8"/>
      <c r="I284" s="9"/>
      <c r="J284" s="10">
        <v>1</v>
      </c>
      <c r="K284" s="7">
        <f t="shared" si="42"/>
        <v>1</v>
      </c>
      <c r="L284" s="39">
        <v>45596</v>
      </c>
      <c r="M284" s="30"/>
    </row>
    <row r="285" spans="1:13" x14ac:dyDescent="0.15">
      <c r="A285" s="4" t="s">
        <v>213</v>
      </c>
      <c r="B285" s="8"/>
      <c r="C285" s="9">
        <v>4</v>
      </c>
      <c r="D285" s="10">
        <v>2</v>
      </c>
      <c r="E285" s="5">
        <f t="shared" si="39"/>
        <v>6</v>
      </c>
      <c r="F285" s="39">
        <v>45570</v>
      </c>
      <c r="G285" s="28" t="s">
        <v>141</v>
      </c>
      <c r="H285" s="8"/>
      <c r="I285" s="9">
        <v>1</v>
      </c>
      <c r="J285" s="10">
        <v>3</v>
      </c>
      <c r="K285" s="7">
        <f t="shared" si="42"/>
        <v>4</v>
      </c>
      <c r="L285" s="39">
        <v>45597</v>
      </c>
      <c r="M285" s="30"/>
    </row>
    <row r="286" spans="1:13" x14ac:dyDescent="0.15">
      <c r="A286" s="28" t="s">
        <v>217</v>
      </c>
      <c r="B286" s="8"/>
      <c r="C286" s="9">
        <v>1</v>
      </c>
      <c r="D286" s="10"/>
      <c r="E286" s="5">
        <f t="shared" si="39"/>
        <v>1</v>
      </c>
      <c r="F286" s="39">
        <v>45616</v>
      </c>
      <c r="G286" s="28" t="s">
        <v>215</v>
      </c>
      <c r="H286" s="8"/>
      <c r="I286" s="9">
        <v>1</v>
      </c>
      <c r="J286" s="10"/>
      <c r="K286" s="7">
        <f t="shared" si="42"/>
        <v>1</v>
      </c>
      <c r="L286" s="39">
        <v>45604</v>
      </c>
      <c r="M286" s="30"/>
    </row>
    <row r="287" spans="1:13" x14ac:dyDescent="0.15">
      <c r="A287" s="28" t="s">
        <v>218</v>
      </c>
      <c r="B287" s="8"/>
      <c r="C287" s="9">
        <v>1</v>
      </c>
      <c r="D287" s="10"/>
      <c r="E287" s="5">
        <f t="shared" ref="E287" si="46">SUM(B287:D287)</f>
        <v>1</v>
      </c>
      <c r="F287" s="39">
        <v>45686</v>
      </c>
      <c r="G287" s="28" t="s">
        <v>216</v>
      </c>
      <c r="H287" s="8"/>
      <c r="I287" s="9">
        <v>1</v>
      </c>
      <c r="J287" s="10"/>
      <c r="K287" s="7">
        <f t="shared" si="42"/>
        <v>1</v>
      </c>
      <c r="L287" s="39">
        <v>45607</v>
      </c>
      <c r="M287" s="30"/>
    </row>
    <row r="288" spans="1:13" x14ac:dyDescent="0.15">
      <c r="A288" s="4" t="s">
        <v>29</v>
      </c>
      <c r="B288" s="8"/>
      <c r="C288" s="9">
        <v>1</v>
      </c>
      <c r="D288" s="10"/>
      <c r="E288" s="5">
        <f t="shared" si="39"/>
        <v>1</v>
      </c>
      <c r="F288" s="39">
        <v>45726</v>
      </c>
      <c r="G288" s="4" t="s">
        <v>20</v>
      </c>
      <c r="H288" s="8"/>
      <c r="I288" s="9">
        <v>5</v>
      </c>
      <c r="J288" s="10">
        <v>3</v>
      </c>
      <c r="K288" s="7">
        <f t="shared" si="42"/>
        <v>8</v>
      </c>
      <c r="L288" s="39">
        <v>45610</v>
      </c>
      <c r="M288" s="30"/>
    </row>
    <row r="289" spans="1:12" x14ac:dyDescent="0.15">
      <c r="A289" s="4" t="s">
        <v>29</v>
      </c>
      <c r="B289" s="8"/>
      <c r="C289" s="9"/>
      <c r="D289" s="10">
        <v>2</v>
      </c>
      <c r="E289" s="5">
        <f t="shared" si="39"/>
        <v>2</v>
      </c>
      <c r="F289" s="39">
        <v>45768</v>
      </c>
      <c r="G289" s="4"/>
      <c r="H289" s="8"/>
      <c r="I289" s="9"/>
      <c r="J289" s="10"/>
      <c r="K289" s="7">
        <f t="shared" si="42"/>
        <v>0</v>
      </c>
    </row>
    <row r="290" spans="1:12" x14ac:dyDescent="0.15">
      <c r="A290" s="4" t="s">
        <v>29</v>
      </c>
      <c r="B290" s="8"/>
      <c r="C290" s="9"/>
      <c r="D290" s="10">
        <v>1</v>
      </c>
      <c r="E290" s="5">
        <f t="shared" si="39"/>
        <v>1</v>
      </c>
      <c r="F290" s="39">
        <v>45804</v>
      </c>
      <c r="G290" s="4"/>
      <c r="H290" s="8"/>
      <c r="I290" s="9"/>
      <c r="J290" s="10"/>
      <c r="K290" s="7">
        <f t="shared" si="42"/>
        <v>0</v>
      </c>
    </row>
    <row r="291" spans="1:12" x14ac:dyDescent="0.15">
      <c r="A291" s="4" t="s">
        <v>29</v>
      </c>
      <c r="B291" s="8"/>
      <c r="C291" s="9">
        <f>1+1</f>
        <v>2</v>
      </c>
      <c r="D291" s="10"/>
      <c r="E291" s="5">
        <f t="shared" si="39"/>
        <v>2</v>
      </c>
      <c r="F291" s="57">
        <v>45824</v>
      </c>
      <c r="G291" s="77"/>
      <c r="H291" s="8"/>
      <c r="I291" s="9"/>
      <c r="J291" s="10"/>
      <c r="K291" s="7">
        <f t="shared" si="42"/>
        <v>0</v>
      </c>
    </row>
    <row r="292" spans="1:12" x14ac:dyDescent="0.15">
      <c r="A292" s="4" t="s">
        <v>29</v>
      </c>
      <c r="B292" s="8"/>
      <c r="C292" s="9"/>
      <c r="D292" s="10">
        <v>1</v>
      </c>
      <c r="E292" s="5">
        <f t="shared" si="39"/>
        <v>1</v>
      </c>
      <c r="F292" s="57">
        <v>45838</v>
      </c>
      <c r="G292" s="4"/>
      <c r="H292" s="8"/>
      <c r="I292" s="9"/>
      <c r="J292" s="10"/>
      <c r="K292" s="7">
        <f t="shared" si="42"/>
        <v>0</v>
      </c>
    </row>
    <row r="293" spans="1:12" x14ac:dyDescent="0.15">
      <c r="A293" s="4" t="s">
        <v>66</v>
      </c>
      <c r="B293" s="8"/>
      <c r="C293" s="9"/>
      <c r="D293" s="10">
        <v>2</v>
      </c>
      <c r="E293" s="5">
        <f t="shared" si="39"/>
        <v>2</v>
      </c>
      <c r="F293" s="57">
        <v>45843</v>
      </c>
      <c r="G293" s="4"/>
      <c r="H293" s="8"/>
      <c r="I293" s="9"/>
      <c r="J293" s="10"/>
      <c r="K293" s="7">
        <f t="shared" si="42"/>
        <v>0</v>
      </c>
    </row>
    <row r="294" spans="1:12" x14ac:dyDescent="0.15">
      <c r="A294" s="4" t="s">
        <v>29</v>
      </c>
      <c r="B294" s="8">
        <v>1</v>
      </c>
      <c r="C294" s="9"/>
      <c r="D294" s="10"/>
      <c r="E294" s="5">
        <f t="shared" si="39"/>
        <v>1</v>
      </c>
      <c r="F294" s="39">
        <v>45860</v>
      </c>
      <c r="G294" s="20"/>
      <c r="H294" s="53"/>
      <c r="I294" s="54"/>
      <c r="J294" s="55"/>
      <c r="K294" s="7">
        <f t="shared" si="42"/>
        <v>0</v>
      </c>
    </row>
    <row r="295" spans="1:12" x14ac:dyDescent="0.15">
      <c r="A295" s="4"/>
      <c r="B295" s="8"/>
      <c r="C295" s="9"/>
      <c r="D295" s="10"/>
      <c r="E295" s="5">
        <f t="shared" si="39"/>
        <v>0</v>
      </c>
      <c r="G295" s="4" t="s">
        <v>210</v>
      </c>
      <c r="H295" s="8"/>
      <c r="I295" s="9"/>
      <c r="J295" s="10"/>
      <c r="K295" s="7">
        <f t="shared" si="42"/>
        <v>0</v>
      </c>
      <c r="L295" s="41" t="s">
        <v>211</v>
      </c>
    </row>
    <row r="296" spans="1:12" x14ac:dyDescent="0.15">
      <c r="A296" s="4"/>
      <c r="B296" s="8"/>
      <c r="C296" s="9"/>
      <c r="D296" s="10"/>
      <c r="E296" s="5">
        <f t="shared" ref="E296:E297" si="47">SUM(B296:D296)</f>
        <v>0</v>
      </c>
      <c r="G296" s="4" t="s">
        <v>181</v>
      </c>
      <c r="H296" s="8"/>
      <c r="I296" s="9"/>
      <c r="J296" s="10"/>
      <c r="K296" s="7">
        <f t="shared" si="42"/>
        <v>0</v>
      </c>
      <c r="L296" s="41" t="s">
        <v>182</v>
      </c>
    </row>
    <row r="297" spans="1:12" ht="14.25" thickBot="1" x14ac:dyDescent="0.2">
      <c r="A297" s="4"/>
      <c r="B297" s="8"/>
      <c r="C297" s="9"/>
      <c r="D297" s="10"/>
      <c r="E297" s="5">
        <f t="shared" si="47"/>
        <v>0</v>
      </c>
      <c r="G297" s="4" t="s">
        <v>206</v>
      </c>
      <c r="H297" s="8"/>
      <c r="I297" s="9"/>
      <c r="J297" s="10"/>
      <c r="K297" s="7">
        <f t="shared" si="42"/>
        <v>0</v>
      </c>
      <c r="L297" s="41" t="s">
        <v>207</v>
      </c>
    </row>
    <row r="298" spans="1:12" ht="14.25" thickBot="1" x14ac:dyDescent="0.2">
      <c r="A298" s="3" t="s">
        <v>5</v>
      </c>
      <c r="B298" s="14">
        <f>SUM(B274:B297)</f>
        <v>4</v>
      </c>
      <c r="C298" s="14">
        <f>SUM(C274:C297)</f>
        <v>16</v>
      </c>
      <c r="D298" s="14">
        <f>SUM(D274:D297)</f>
        <v>10</v>
      </c>
      <c r="E298" s="15">
        <f t="shared" si="39"/>
        <v>30</v>
      </c>
      <c r="G298" s="3" t="s">
        <v>5</v>
      </c>
      <c r="H298" s="14">
        <f>SUM(H274:H297)</f>
        <v>8</v>
      </c>
      <c r="I298" s="14">
        <f>SUM(I274:I297)</f>
        <v>24</v>
      </c>
      <c r="J298" s="14">
        <f>SUM(J274:J297)</f>
        <v>19</v>
      </c>
      <c r="K298" s="15">
        <f t="shared" si="42"/>
        <v>51</v>
      </c>
    </row>
    <row r="299" spans="1:12" ht="14.25" thickBot="1" x14ac:dyDescent="0.2">
      <c r="A299" s="25" t="s">
        <v>6</v>
      </c>
      <c r="B299" s="26">
        <f>B273-B298</f>
        <v>4</v>
      </c>
      <c r="C299" s="26">
        <f t="shared" ref="C299:E299" si="48">C273-C298</f>
        <v>0</v>
      </c>
      <c r="D299" s="26">
        <f t="shared" si="48"/>
        <v>1</v>
      </c>
      <c r="E299" s="24">
        <f t="shared" si="48"/>
        <v>5</v>
      </c>
      <c r="G299" s="25" t="s">
        <v>6</v>
      </c>
      <c r="H299" s="26">
        <f>H273-H298</f>
        <v>85</v>
      </c>
      <c r="I299" s="26">
        <f t="shared" ref="I299:K299" si="49">I273-I298</f>
        <v>53</v>
      </c>
      <c r="J299" s="26">
        <f t="shared" si="49"/>
        <v>25</v>
      </c>
      <c r="K299" s="24">
        <f t="shared" si="49"/>
        <v>163</v>
      </c>
    </row>
    <row r="302" spans="1:12" ht="18" thickBot="1" x14ac:dyDescent="0.25">
      <c r="A302" s="29" t="s">
        <v>14</v>
      </c>
      <c r="B302" s="1"/>
      <c r="C302" s="1"/>
      <c r="D302" s="1"/>
      <c r="E302" s="56" t="s">
        <v>26</v>
      </c>
      <c r="G302" s="29" t="s">
        <v>15</v>
      </c>
      <c r="H302" s="1"/>
      <c r="I302" s="1"/>
      <c r="J302" s="1"/>
      <c r="K302" s="56" t="s">
        <v>26</v>
      </c>
    </row>
    <row r="303" spans="1:12" ht="14.25" thickBot="1" x14ac:dyDescent="0.2">
      <c r="A303" s="2" t="s">
        <v>0</v>
      </c>
      <c r="B303" s="102" t="s">
        <v>19</v>
      </c>
      <c r="C303" s="103"/>
      <c r="D303" s="103"/>
      <c r="E303" s="104"/>
      <c r="G303" s="2" t="s">
        <v>0</v>
      </c>
      <c r="H303" s="102" t="s">
        <v>19</v>
      </c>
      <c r="I303" s="103"/>
      <c r="J303" s="103"/>
      <c r="K303" s="104"/>
    </row>
    <row r="304" spans="1:12" ht="14.25" thickBot="1" x14ac:dyDescent="0.2">
      <c r="A304" s="2" t="s">
        <v>1</v>
      </c>
      <c r="B304" s="3" t="s">
        <v>7</v>
      </c>
      <c r="C304" s="2" t="s">
        <v>8</v>
      </c>
      <c r="D304" s="19" t="s">
        <v>9</v>
      </c>
      <c r="E304" s="2" t="s">
        <v>2</v>
      </c>
      <c r="G304" s="2" t="s">
        <v>1</v>
      </c>
      <c r="H304" s="3" t="s">
        <v>7</v>
      </c>
      <c r="I304" s="2" t="s">
        <v>8</v>
      </c>
      <c r="J304" s="19" t="s">
        <v>9</v>
      </c>
      <c r="K304" s="2" t="s">
        <v>2</v>
      </c>
    </row>
    <row r="305" spans="1:12" x14ac:dyDescent="0.15">
      <c r="A305" s="27" t="s">
        <v>6</v>
      </c>
      <c r="B305" s="18">
        <f>B299</f>
        <v>4</v>
      </c>
      <c r="C305" s="20">
        <f>C299</f>
        <v>0</v>
      </c>
      <c r="D305" s="50">
        <f>D299</f>
        <v>1</v>
      </c>
      <c r="E305" s="17">
        <f t="shared" ref="E305:E341" si="50">SUM(B305:D305)</f>
        <v>5</v>
      </c>
      <c r="G305" s="27" t="s">
        <v>6</v>
      </c>
      <c r="H305" s="18">
        <f>H299</f>
        <v>85</v>
      </c>
      <c r="I305" s="20">
        <f t="shared" ref="I305:K305" si="51">I299</f>
        <v>53</v>
      </c>
      <c r="J305" s="50">
        <f t="shared" si="51"/>
        <v>25</v>
      </c>
      <c r="K305" s="17">
        <f t="shared" si="51"/>
        <v>163</v>
      </c>
    </row>
    <row r="306" spans="1:12" x14ac:dyDescent="0.15">
      <c r="A306" s="6" t="s">
        <v>3</v>
      </c>
      <c r="B306" s="31"/>
      <c r="C306" s="32">
        <v>3</v>
      </c>
      <c r="D306" s="31">
        <v>3</v>
      </c>
      <c r="E306" s="5">
        <f t="shared" ref="E306:E310" si="52">SUM(B306:D306)</f>
        <v>6</v>
      </c>
      <c r="F306" s="39">
        <v>45878</v>
      </c>
      <c r="G306" s="6" t="s">
        <v>3</v>
      </c>
      <c r="H306" s="38"/>
      <c r="I306" s="32"/>
      <c r="J306" s="31"/>
      <c r="K306" s="5">
        <f t="shared" ref="K306:K310" si="53">SUM(H306:J306)</f>
        <v>0</v>
      </c>
    </row>
    <row r="307" spans="1:12" x14ac:dyDescent="0.15">
      <c r="A307" s="6" t="s">
        <v>3</v>
      </c>
      <c r="B307" s="31">
        <v>5</v>
      </c>
      <c r="C307" s="32">
        <v>5</v>
      </c>
      <c r="D307" s="31">
        <v>5</v>
      </c>
      <c r="E307" s="5">
        <f t="shared" si="52"/>
        <v>15</v>
      </c>
      <c r="F307" s="39">
        <v>45890</v>
      </c>
      <c r="G307" s="6" t="s">
        <v>3</v>
      </c>
      <c r="H307" s="38"/>
      <c r="I307" s="32"/>
      <c r="J307" s="31"/>
      <c r="K307" s="5">
        <f t="shared" si="53"/>
        <v>0</v>
      </c>
    </row>
    <row r="308" spans="1:12" x14ac:dyDescent="0.15">
      <c r="A308" s="6" t="s">
        <v>3</v>
      </c>
      <c r="B308" s="31"/>
      <c r="C308" s="32">
        <v>3</v>
      </c>
      <c r="D308" s="31">
        <v>3</v>
      </c>
      <c r="E308" s="5">
        <f t="shared" si="52"/>
        <v>6</v>
      </c>
      <c r="F308" s="39">
        <v>45899</v>
      </c>
      <c r="G308" s="6" t="s">
        <v>3</v>
      </c>
      <c r="H308" s="38"/>
      <c r="I308" s="32"/>
      <c r="J308" s="31"/>
      <c r="K308" s="5">
        <f t="shared" si="53"/>
        <v>0</v>
      </c>
    </row>
    <row r="309" spans="1:12" x14ac:dyDescent="0.15">
      <c r="A309" s="6" t="s">
        <v>100</v>
      </c>
      <c r="B309" s="31"/>
      <c r="C309" s="32">
        <v>2</v>
      </c>
      <c r="D309" s="31"/>
      <c r="E309" s="5">
        <f t="shared" si="52"/>
        <v>2</v>
      </c>
      <c r="F309" s="39">
        <v>45936</v>
      </c>
      <c r="G309" s="6" t="s">
        <v>3</v>
      </c>
      <c r="H309" s="38"/>
      <c r="I309" s="32"/>
      <c r="J309" s="31"/>
      <c r="K309" s="5">
        <f t="shared" si="53"/>
        <v>0</v>
      </c>
    </row>
    <row r="310" spans="1:12" x14ac:dyDescent="0.15">
      <c r="A310" s="91" t="s">
        <v>3</v>
      </c>
      <c r="B310" s="92">
        <v>3</v>
      </c>
      <c r="C310" s="93"/>
      <c r="D310" s="92">
        <v>3</v>
      </c>
      <c r="E310" s="94">
        <f t="shared" si="52"/>
        <v>6</v>
      </c>
      <c r="F310" s="95">
        <v>46006</v>
      </c>
      <c r="G310" s="6" t="s">
        <v>3</v>
      </c>
      <c r="H310" s="38"/>
      <c r="I310" s="32"/>
      <c r="J310" s="31"/>
      <c r="K310" s="5">
        <f t="shared" si="53"/>
        <v>0</v>
      </c>
    </row>
    <row r="311" spans="1:12" x14ac:dyDescent="0.15">
      <c r="A311" s="6" t="s">
        <v>3</v>
      </c>
      <c r="B311" s="31"/>
      <c r="C311" s="32"/>
      <c r="D311" s="31">
        <v>3</v>
      </c>
      <c r="E311" s="5">
        <f t="shared" si="50"/>
        <v>3</v>
      </c>
      <c r="F311" s="39">
        <v>46011</v>
      </c>
      <c r="G311" s="6" t="s">
        <v>3</v>
      </c>
      <c r="H311" s="38"/>
      <c r="I311" s="32"/>
      <c r="J311" s="31"/>
      <c r="K311" s="5">
        <f t="shared" ref="K311:K341" si="54">SUM(H311:J311)</f>
        <v>0</v>
      </c>
    </row>
    <row r="312" spans="1:12" x14ac:dyDescent="0.15">
      <c r="A312" s="91" t="s">
        <v>3</v>
      </c>
      <c r="B312" s="92"/>
      <c r="C312" s="93">
        <v>3</v>
      </c>
      <c r="D312" s="92"/>
      <c r="E312" s="94">
        <f t="shared" ref="E312:E315" si="55">SUM(B312:D312)</f>
        <v>3</v>
      </c>
      <c r="F312" s="95">
        <v>46037</v>
      </c>
      <c r="G312" s="6" t="s">
        <v>3</v>
      </c>
      <c r="H312" s="38"/>
      <c r="I312" s="32"/>
      <c r="J312" s="31"/>
      <c r="K312" s="5">
        <f t="shared" ref="K312:K314" si="56">SUM(H312:J312)</f>
        <v>0</v>
      </c>
    </row>
    <row r="313" spans="1:12" x14ac:dyDescent="0.15">
      <c r="A313" s="6" t="s">
        <v>100</v>
      </c>
      <c r="B313" s="31">
        <v>1</v>
      </c>
      <c r="C313" s="32"/>
      <c r="D313" s="31"/>
      <c r="E313" s="5">
        <f t="shared" si="55"/>
        <v>1</v>
      </c>
      <c r="F313" s="39">
        <v>46051</v>
      </c>
      <c r="G313" s="6" t="s">
        <v>3</v>
      </c>
      <c r="H313" s="38"/>
      <c r="I313" s="32"/>
      <c r="J313" s="31"/>
      <c r="K313" s="5">
        <f t="shared" si="56"/>
        <v>0</v>
      </c>
    </row>
    <row r="314" spans="1:12" x14ac:dyDescent="0.15">
      <c r="A314" s="6" t="s">
        <v>3</v>
      </c>
      <c r="B314" s="31"/>
      <c r="C314" s="32"/>
      <c r="D314" s="31"/>
      <c r="E314" s="5">
        <f t="shared" si="55"/>
        <v>0</v>
      </c>
      <c r="F314" s="39"/>
      <c r="G314" s="6" t="s">
        <v>3</v>
      </c>
      <c r="H314" s="38"/>
      <c r="I314" s="32"/>
      <c r="J314" s="31"/>
      <c r="K314" s="5">
        <f t="shared" si="56"/>
        <v>0</v>
      </c>
    </row>
    <row r="315" spans="1:12" ht="14.25" thickBot="1" x14ac:dyDescent="0.2">
      <c r="A315" s="6" t="s">
        <v>3</v>
      </c>
      <c r="B315" s="31"/>
      <c r="C315" s="32"/>
      <c r="D315" s="31"/>
      <c r="E315" s="5">
        <f t="shared" si="55"/>
        <v>0</v>
      </c>
      <c r="F315" s="39"/>
      <c r="G315" s="6" t="s">
        <v>3</v>
      </c>
      <c r="H315" s="38"/>
      <c r="I315" s="32"/>
      <c r="J315" s="31"/>
      <c r="K315" s="5">
        <f t="shared" ref="K315" si="57">SUM(H315:J315)</f>
        <v>0</v>
      </c>
    </row>
    <row r="316" spans="1:12" ht="14.25" thickBot="1" x14ac:dyDescent="0.2">
      <c r="A316" s="21" t="s">
        <v>4</v>
      </c>
      <c r="B316" s="22">
        <f>SUM(B305:B315)</f>
        <v>13</v>
      </c>
      <c r="C316" s="22">
        <f>SUM(C305:C315)</f>
        <v>16</v>
      </c>
      <c r="D316" s="23">
        <f>SUM(D305:D315)</f>
        <v>18</v>
      </c>
      <c r="E316" s="24">
        <f t="shared" si="50"/>
        <v>47</v>
      </c>
      <c r="G316" s="21" t="s">
        <v>4</v>
      </c>
      <c r="H316" s="22">
        <f>SUM(H305:H315)</f>
        <v>85</v>
      </c>
      <c r="I316" s="22">
        <f t="shared" ref="I316" si="58">SUM(I305:I315)</f>
        <v>53</v>
      </c>
      <c r="J316" s="23">
        <f t="shared" ref="J316" si="59">SUM(J305:J315)</f>
        <v>25</v>
      </c>
      <c r="K316" s="24">
        <f t="shared" ref="K316" si="60">SUM(K305:K315)</f>
        <v>163</v>
      </c>
    </row>
    <row r="317" spans="1:12" x14ac:dyDescent="0.15">
      <c r="A317" s="28" t="s">
        <v>153</v>
      </c>
      <c r="B317" s="8">
        <v>1</v>
      </c>
      <c r="C317" s="9"/>
      <c r="D317" s="10"/>
      <c r="E317" s="5">
        <f t="shared" si="50"/>
        <v>1</v>
      </c>
      <c r="F317" s="39">
        <v>45876</v>
      </c>
      <c r="G317" s="4" t="s">
        <v>222</v>
      </c>
      <c r="H317" s="8"/>
      <c r="I317" s="9">
        <v>2</v>
      </c>
      <c r="J317" s="10">
        <v>2</v>
      </c>
      <c r="K317" s="7">
        <f t="shared" si="54"/>
        <v>4</v>
      </c>
      <c r="L317" s="39">
        <v>45878</v>
      </c>
    </row>
    <row r="318" spans="1:12" x14ac:dyDescent="0.15">
      <c r="A318" s="28" t="s">
        <v>221</v>
      </c>
      <c r="B318" s="8"/>
      <c r="C318" s="9"/>
      <c r="D318" s="10">
        <v>1</v>
      </c>
      <c r="E318" s="5">
        <f t="shared" si="50"/>
        <v>1</v>
      </c>
      <c r="F318" s="39">
        <v>45885</v>
      </c>
      <c r="G318" s="4" t="s">
        <v>20</v>
      </c>
      <c r="H318" s="8">
        <v>5</v>
      </c>
      <c r="I318" s="9">
        <v>5</v>
      </c>
      <c r="J318" s="10">
        <v>5</v>
      </c>
      <c r="K318" s="7">
        <f t="shared" si="54"/>
        <v>15</v>
      </c>
      <c r="L318" s="39">
        <v>45890</v>
      </c>
    </row>
    <row r="319" spans="1:12" x14ac:dyDescent="0.15">
      <c r="A319" s="28" t="s">
        <v>224</v>
      </c>
      <c r="B319" s="8"/>
      <c r="C319" s="9"/>
      <c r="D319" s="10">
        <v>1</v>
      </c>
      <c r="E319" s="5">
        <f t="shared" si="50"/>
        <v>1</v>
      </c>
      <c r="F319" s="39">
        <v>45889</v>
      </c>
      <c r="G319" s="4" t="s">
        <v>20</v>
      </c>
      <c r="H319" s="8"/>
      <c r="I319" s="9">
        <v>3</v>
      </c>
      <c r="J319" s="10">
        <v>3</v>
      </c>
      <c r="K319" s="7">
        <f t="shared" si="54"/>
        <v>6</v>
      </c>
      <c r="L319" s="39">
        <v>45899</v>
      </c>
    </row>
    <row r="320" spans="1:12" x14ac:dyDescent="0.15">
      <c r="A320" s="28" t="s">
        <v>225</v>
      </c>
      <c r="B320" s="8"/>
      <c r="C320" s="9">
        <v>2</v>
      </c>
      <c r="D320" s="10"/>
      <c r="E320" s="5">
        <f t="shared" si="50"/>
        <v>2</v>
      </c>
      <c r="F320" s="39">
        <v>45890</v>
      </c>
      <c r="G320" s="28" t="s">
        <v>239</v>
      </c>
      <c r="H320" s="8"/>
      <c r="I320" s="9">
        <v>5</v>
      </c>
      <c r="J320" s="10">
        <v>3</v>
      </c>
      <c r="K320" s="7">
        <f t="shared" si="54"/>
        <v>8</v>
      </c>
      <c r="L320" s="39">
        <v>46001</v>
      </c>
    </row>
    <row r="321" spans="1:12" x14ac:dyDescent="0.15">
      <c r="A321" s="28" t="s">
        <v>226</v>
      </c>
      <c r="B321" s="8"/>
      <c r="C321" s="9"/>
      <c r="D321" s="10">
        <v>1</v>
      </c>
      <c r="E321" s="5">
        <f t="shared" si="50"/>
        <v>1</v>
      </c>
      <c r="F321" s="39">
        <v>45891</v>
      </c>
      <c r="G321" s="96" t="s">
        <v>20</v>
      </c>
      <c r="H321" s="97">
        <v>3</v>
      </c>
      <c r="I321" s="98"/>
      <c r="J321" s="99">
        <v>3</v>
      </c>
      <c r="K321" s="100">
        <f t="shared" si="54"/>
        <v>6</v>
      </c>
      <c r="L321" s="95">
        <v>46006</v>
      </c>
    </row>
    <row r="322" spans="1:12" x14ac:dyDescent="0.15">
      <c r="A322" s="28" t="s">
        <v>227</v>
      </c>
      <c r="B322" s="8"/>
      <c r="C322" s="9"/>
      <c r="D322" s="10">
        <v>1</v>
      </c>
      <c r="E322" s="5">
        <f t="shared" si="50"/>
        <v>1</v>
      </c>
      <c r="F322" s="39">
        <v>45894</v>
      </c>
      <c r="G322" s="4" t="s">
        <v>20</v>
      </c>
      <c r="H322" s="8"/>
      <c r="I322" s="9"/>
      <c r="J322" s="10">
        <v>3</v>
      </c>
      <c r="K322" s="7">
        <f t="shared" si="54"/>
        <v>3</v>
      </c>
      <c r="L322" s="39">
        <v>46011</v>
      </c>
    </row>
    <row r="323" spans="1:12" x14ac:dyDescent="0.15">
      <c r="A323" s="28" t="s">
        <v>228</v>
      </c>
      <c r="B323" s="8">
        <v>1</v>
      </c>
      <c r="C323" s="9">
        <v>2</v>
      </c>
      <c r="D323" s="10">
        <v>1</v>
      </c>
      <c r="E323" s="5">
        <f t="shared" ref="E323:E331" si="61">SUM(B323:D323)</f>
        <v>4</v>
      </c>
      <c r="F323" s="39">
        <v>45896</v>
      </c>
      <c r="G323" s="96" t="s">
        <v>20</v>
      </c>
      <c r="H323" s="97"/>
      <c r="I323" s="98">
        <v>3</v>
      </c>
      <c r="J323" s="99"/>
      <c r="K323" s="100">
        <f t="shared" ref="K323:K331" si="62">SUM(H323:J323)</f>
        <v>3</v>
      </c>
      <c r="L323" s="95">
        <v>46037</v>
      </c>
    </row>
    <row r="324" spans="1:12" x14ac:dyDescent="0.15">
      <c r="A324" s="28" t="s">
        <v>229</v>
      </c>
      <c r="B324" s="8"/>
      <c r="C324" s="9">
        <v>1</v>
      </c>
      <c r="D324" s="10">
        <v>1</v>
      </c>
      <c r="E324" s="5">
        <f t="shared" si="61"/>
        <v>2</v>
      </c>
      <c r="F324" s="39">
        <v>45897</v>
      </c>
      <c r="G324" s="4"/>
      <c r="H324" s="8"/>
      <c r="I324" s="9"/>
      <c r="J324" s="10"/>
      <c r="K324" s="7">
        <f t="shared" si="62"/>
        <v>0</v>
      </c>
    </row>
    <row r="325" spans="1:12" x14ac:dyDescent="0.15">
      <c r="A325" s="28" t="s">
        <v>230</v>
      </c>
      <c r="B325" s="8"/>
      <c r="C325" s="9">
        <v>1</v>
      </c>
      <c r="D325" s="10"/>
      <c r="E325" s="5">
        <f t="shared" si="61"/>
        <v>1</v>
      </c>
      <c r="F325" s="39">
        <v>45901</v>
      </c>
      <c r="G325" s="4"/>
      <c r="H325" s="8"/>
      <c r="I325" s="9"/>
      <c r="J325" s="10"/>
      <c r="K325" s="7">
        <f t="shared" si="62"/>
        <v>0</v>
      </c>
    </row>
    <row r="326" spans="1:12" x14ac:dyDescent="0.15">
      <c r="A326" s="28" t="s">
        <v>231</v>
      </c>
      <c r="B326" s="8"/>
      <c r="C326" s="9">
        <v>1</v>
      </c>
      <c r="D326" s="10"/>
      <c r="E326" s="5">
        <f t="shared" si="61"/>
        <v>1</v>
      </c>
      <c r="F326" s="39">
        <v>45903</v>
      </c>
      <c r="G326" s="4"/>
      <c r="H326" s="8"/>
      <c r="I326" s="9"/>
      <c r="J326" s="10"/>
      <c r="K326" s="7">
        <f t="shared" si="62"/>
        <v>0</v>
      </c>
    </row>
    <row r="327" spans="1:12" x14ac:dyDescent="0.15">
      <c r="A327" s="28" t="s">
        <v>232</v>
      </c>
      <c r="B327" s="8"/>
      <c r="C327" s="9"/>
      <c r="D327" s="10">
        <v>1</v>
      </c>
      <c r="E327" s="5">
        <f t="shared" si="61"/>
        <v>1</v>
      </c>
      <c r="F327" s="39">
        <v>45933</v>
      </c>
      <c r="G327" s="4"/>
      <c r="H327" s="8"/>
      <c r="I327" s="9"/>
      <c r="J327" s="10"/>
      <c r="K327" s="7">
        <f t="shared" si="62"/>
        <v>0</v>
      </c>
    </row>
    <row r="328" spans="1:12" x14ac:dyDescent="0.15">
      <c r="A328" s="4" t="s">
        <v>233</v>
      </c>
      <c r="B328" s="8">
        <v>1</v>
      </c>
      <c r="C328" s="9"/>
      <c r="D328" s="10"/>
      <c r="E328" s="5">
        <f t="shared" si="61"/>
        <v>1</v>
      </c>
      <c r="F328" s="39">
        <v>45936</v>
      </c>
      <c r="G328" s="4"/>
      <c r="H328" s="8"/>
      <c r="I328" s="9"/>
      <c r="J328" s="10"/>
      <c r="K328" s="7">
        <f t="shared" si="62"/>
        <v>0</v>
      </c>
    </row>
    <row r="329" spans="1:12" x14ac:dyDescent="0.15">
      <c r="A329" s="28" t="s">
        <v>236</v>
      </c>
      <c r="B329" s="8"/>
      <c r="C329" s="9"/>
      <c r="D329" s="10">
        <v>1</v>
      </c>
      <c r="E329" s="5">
        <f t="shared" si="61"/>
        <v>1</v>
      </c>
      <c r="F329" s="39">
        <v>45995</v>
      </c>
      <c r="G329" s="4"/>
      <c r="H329" s="8"/>
      <c r="I329" s="9"/>
      <c r="J329" s="10"/>
      <c r="K329" s="7">
        <f t="shared" si="62"/>
        <v>0</v>
      </c>
    </row>
    <row r="330" spans="1:12" x14ac:dyDescent="0.15">
      <c r="A330" s="28" t="s">
        <v>237</v>
      </c>
      <c r="B330" s="8"/>
      <c r="C330" s="9"/>
      <c r="D330" s="10">
        <v>1</v>
      </c>
      <c r="E330" s="5">
        <f t="shared" si="61"/>
        <v>1</v>
      </c>
      <c r="F330" s="39">
        <v>45996</v>
      </c>
      <c r="G330" s="4"/>
      <c r="H330" s="8"/>
      <c r="I330" s="9"/>
      <c r="J330" s="10"/>
      <c r="K330" s="7">
        <f t="shared" si="62"/>
        <v>0</v>
      </c>
    </row>
    <row r="331" spans="1:12" x14ac:dyDescent="0.15">
      <c r="A331" s="28" t="s">
        <v>238</v>
      </c>
      <c r="B331" s="8">
        <v>2</v>
      </c>
      <c r="C331" s="9"/>
      <c r="D331" s="10"/>
      <c r="E331" s="5">
        <f t="shared" si="61"/>
        <v>2</v>
      </c>
      <c r="F331" s="39">
        <v>45999</v>
      </c>
      <c r="G331" s="4"/>
      <c r="H331" s="8"/>
      <c r="I331" s="9"/>
      <c r="J331" s="10"/>
      <c r="K331" s="7">
        <f t="shared" si="62"/>
        <v>0</v>
      </c>
    </row>
    <row r="332" spans="1:12" x14ac:dyDescent="0.15">
      <c r="A332" s="28" t="s">
        <v>240</v>
      </c>
      <c r="B332" s="8">
        <v>2</v>
      </c>
      <c r="C332" s="9"/>
      <c r="D332" s="10"/>
      <c r="E332" s="5">
        <f t="shared" si="50"/>
        <v>2</v>
      </c>
      <c r="F332" s="39">
        <v>46003</v>
      </c>
      <c r="G332" s="4"/>
      <c r="H332" s="8"/>
      <c r="I332" s="9"/>
      <c r="J332" s="10"/>
      <c r="K332" s="7">
        <f t="shared" si="54"/>
        <v>0</v>
      </c>
    </row>
    <row r="333" spans="1:12" x14ac:dyDescent="0.15">
      <c r="A333" s="28" t="s">
        <v>241</v>
      </c>
      <c r="B333" s="8"/>
      <c r="C333" s="9">
        <v>1</v>
      </c>
      <c r="D333" s="10">
        <v>1</v>
      </c>
      <c r="E333" s="5">
        <f t="shared" ref="E333:E339" si="63">SUM(B333:D333)</f>
        <v>2</v>
      </c>
      <c r="F333" s="39">
        <v>46006</v>
      </c>
      <c r="G333" s="4"/>
      <c r="H333" s="8"/>
      <c r="I333" s="9"/>
      <c r="J333" s="10"/>
      <c r="K333" s="7">
        <f t="shared" ref="K333:K340" si="64">SUM(H333:J333)</f>
        <v>0</v>
      </c>
    </row>
    <row r="334" spans="1:12" x14ac:dyDescent="0.15">
      <c r="A334" s="28" t="s">
        <v>242</v>
      </c>
      <c r="B334" s="8">
        <v>1</v>
      </c>
      <c r="C334" s="9"/>
      <c r="D334" s="10">
        <v>2</v>
      </c>
      <c r="E334" s="5">
        <f t="shared" si="63"/>
        <v>3</v>
      </c>
      <c r="F334" s="39">
        <v>46008</v>
      </c>
      <c r="G334" s="4"/>
      <c r="H334" s="8"/>
      <c r="I334" s="9"/>
      <c r="J334" s="10"/>
      <c r="K334" s="7">
        <f t="shared" si="64"/>
        <v>0</v>
      </c>
    </row>
    <row r="335" spans="1:12" x14ac:dyDescent="0.15">
      <c r="A335" s="28" t="s">
        <v>243</v>
      </c>
      <c r="B335" s="8"/>
      <c r="C335" s="9"/>
      <c r="D335" s="10">
        <v>2</v>
      </c>
      <c r="E335" s="5">
        <f t="shared" si="63"/>
        <v>2</v>
      </c>
      <c r="F335" s="39">
        <v>46010</v>
      </c>
      <c r="G335" s="4"/>
      <c r="H335" s="8"/>
      <c r="I335" s="9"/>
      <c r="J335" s="10"/>
      <c r="K335" s="7">
        <f t="shared" si="64"/>
        <v>0</v>
      </c>
    </row>
    <row r="336" spans="1:12" x14ac:dyDescent="0.15">
      <c r="A336" s="28" t="s">
        <v>244</v>
      </c>
      <c r="B336" s="8"/>
      <c r="C336" s="9">
        <v>1</v>
      </c>
      <c r="D336" s="10"/>
      <c r="E336" s="5">
        <f t="shared" si="63"/>
        <v>1</v>
      </c>
      <c r="F336" s="39">
        <v>46016</v>
      </c>
      <c r="G336" s="4"/>
      <c r="H336" s="8"/>
      <c r="I336" s="9"/>
      <c r="J336" s="10"/>
      <c r="K336" s="7">
        <f t="shared" si="64"/>
        <v>0</v>
      </c>
    </row>
    <row r="337" spans="1:13" x14ac:dyDescent="0.15">
      <c r="A337" s="28" t="s">
        <v>245</v>
      </c>
      <c r="B337" s="8"/>
      <c r="C337" s="9">
        <v>2</v>
      </c>
      <c r="D337" s="10"/>
      <c r="E337" s="5">
        <f t="shared" si="63"/>
        <v>2</v>
      </c>
      <c r="F337" s="39">
        <v>46035</v>
      </c>
      <c r="G337" s="4"/>
      <c r="H337" s="8"/>
      <c r="I337" s="9"/>
      <c r="J337" s="10"/>
      <c r="K337" s="7">
        <f t="shared" si="64"/>
        <v>0</v>
      </c>
    </row>
    <row r="338" spans="1:13" x14ac:dyDescent="0.15">
      <c r="A338" s="28" t="s">
        <v>246</v>
      </c>
      <c r="B338" s="8"/>
      <c r="C338" s="9">
        <v>1</v>
      </c>
      <c r="D338" s="10"/>
      <c r="E338" s="5">
        <f t="shared" si="63"/>
        <v>1</v>
      </c>
      <c r="F338" s="39">
        <v>46038</v>
      </c>
      <c r="G338" s="4"/>
      <c r="H338" s="8"/>
      <c r="I338" s="9"/>
      <c r="J338" s="10"/>
      <c r="K338" s="7">
        <f t="shared" si="64"/>
        <v>0</v>
      </c>
    </row>
    <row r="339" spans="1:13" x14ac:dyDescent="0.15">
      <c r="A339" s="28" t="s">
        <v>247</v>
      </c>
      <c r="B339" s="8"/>
      <c r="C339" s="9">
        <v>1</v>
      </c>
      <c r="D339" s="10"/>
      <c r="E339" s="5">
        <f t="shared" si="63"/>
        <v>1</v>
      </c>
      <c r="F339" s="39">
        <v>46045</v>
      </c>
      <c r="G339" s="4" t="s">
        <v>219</v>
      </c>
      <c r="H339" s="8"/>
      <c r="I339" s="9"/>
      <c r="J339" s="10"/>
      <c r="K339" s="7">
        <f t="shared" ref="K339" si="65">SUM(H339:J339)</f>
        <v>0</v>
      </c>
      <c r="L339" s="41" t="s">
        <v>220</v>
      </c>
    </row>
    <row r="340" spans="1:13" ht="14.25" thickBot="1" x14ac:dyDescent="0.2">
      <c r="A340" s="28" t="s">
        <v>248</v>
      </c>
      <c r="B340" s="8">
        <v>1</v>
      </c>
      <c r="C340" s="9"/>
      <c r="D340" s="10"/>
      <c r="E340" s="5">
        <f t="shared" ref="E340" si="66">SUM(B340:D340)</f>
        <v>1</v>
      </c>
      <c r="F340" s="57">
        <v>46052</v>
      </c>
      <c r="G340" s="4" t="s">
        <v>234</v>
      </c>
      <c r="H340" s="8"/>
      <c r="I340" s="9"/>
      <c r="J340" s="10"/>
      <c r="K340" s="7">
        <f t="shared" si="64"/>
        <v>0</v>
      </c>
      <c r="L340" s="41" t="s">
        <v>235</v>
      </c>
    </row>
    <row r="341" spans="1:13" ht="14.25" thickBot="1" x14ac:dyDescent="0.2">
      <c r="A341" s="3" t="s">
        <v>5</v>
      </c>
      <c r="B341" s="14">
        <f>SUM(B317:B340)</f>
        <v>9</v>
      </c>
      <c r="C341" s="14">
        <f>SUM(C317:C340)</f>
        <v>13</v>
      </c>
      <c r="D341" s="14">
        <f>SUM(D317:D340)</f>
        <v>14</v>
      </c>
      <c r="E341" s="15">
        <f t="shared" si="50"/>
        <v>36</v>
      </c>
      <c r="G341" s="3" t="s">
        <v>5</v>
      </c>
      <c r="H341" s="14">
        <f>SUM(H317:H340)</f>
        <v>8</v>
      </c>
      <c r="I341" s="14">
        <f>SUM(I317:I340)</f>
        <v>18</v>
      </c>
      <c r="J341" s="14">
        <f>SUM(J317:J340)</f>
        <v>19</v>
      </c>
      <c r="K341" s="15">
        <f t="shared" si="54"/>
        <v>45</v>
      </c>
    </row>
    <row r="342" spans="1:13" ht="14.25" thickBot="1" x14ac:dyDescent="0.2">
      <c r="A342" s="25" t="s">
        <v>6</v>
      </c>
      <c r="B342" s="26">
        <f>B316-B341</f>
        <v>4</v>
      </c>
      <c r="C342" s="26">
        <f t="shared" ref="C342:E342" si="67">C316-C341</f>
        <v>3</v>
      </c>
      <c r="D342" s="26">
        <f t="shared" si="67"/>
        <v>4</v>
      </c>
      <c r="E342" s="24">
        <f t="shared" si="67"/>
        <v>11</v>
      </c>
      <c r="G342" s="25" t="s">
        <v>6</v>
      </c>
      <c r="H342" s="26">
        <f>H316-H341</f>
        <v>77</v>
      </c>
      <c r="I342" s="26">
        <f t="shared" ref="I342:K342" si="68">I316-I341</f>
        <v>35</v>
      </c>
      <c r="J342" s="26">
        <f t="shared" si="68"/>
        <v>6</v>
      </c>
      <c r="K342" s="24">
        <f t="shared" si="68"/>
        <v>118</v>
      </c>
      <c r="M342" t="s">
        <v>223</v>
      </c>
    </row>
    <row r="345" spans="1:13" ht="18" thickBot="1" x14ac:dyDescent="0.25">
      <c r="A345" s="29" t="s">
        <v>14</v>
      </c>
      <c r="B345" s="1"/>
      <c r="C345" s="1"/>
      <c r="D345" s="1"/>
      <c r="E345" s="56" t="s">
        <v>26</v>
      </c>
      <c r="G345" s="29" t="s">
        <v>15</v>
      </c>
      <c r="H345" s="1"/>
      <c r="I345" s="1"/>
      <c r="J345" s="1"/>
      <c r="K345" s="56" t="s">
        <v>26</v>
      </c>
    </row>
    <row r="346" spans="1:13" ht="14.25" thickBot="1" x14ac:dyDescent="0.2">
      <c r="A346" s="2" t="s">
        <v>0</v>
      </c>
      <c r="B346" s="102" t="s">
        <v>19</v>
      </c>
      <c r="C346" s="103"/>
      <c r="D346" s="103"/>
      <c r="E346" s="104"/>
      <c r="G346" s="2" t="s">
        <v>0</v>
      </c>
      <c r="H346" s="102" t="s">
        <v>19</v>
      </c>
      <c r="I346" s="103"/>
      <c r="J346" s="103"/>
      <c r="K346" s="104"/>
    </row>
    <row r="347" spans="1:13" ht="14.25" thickBot="1" x14ac:dyDescent="0.2">
      <c r="A347" s="2" t="s">
        <v>1</v>
      </c>
      <c r="B347" s="3" t="s">
        <v>7</v>
      </c>
      <c r="C347" s="2" t="s">
        <v>8</v>
      </c>
      <c r="D347" s="19" t="s">
        <v>9</v>
      </c>
      <c r="E347" s="2" t="s">
        <v>2</v>
      </c>
      <c r="G347" s="2" t="s">
        <v>1</v>
      </c>
      <c r="H347" s="3" t="s">
        <v>7</v>
      </c>
      <c r="I347" s="2" t="s">
        <v>8</v>
      </c>
      <c r="J347" s="19" t="s">
        <v>9</v>
      </c>
      <c r="K347" s="2" t="s">
        <v>2</v>
      </c>
    </row>
    <row r="348" spans="1:13" x14ac:dyDescent="0.15">
      <c r="A348" s="27" t="s">
        <v>6</v>
      </c>
      <c r="B348" s="18">
        <f>B342</f>
        <v>4</v>
      </c>
      <c r="C348" s="20">
        <f>C342</f>
        <v>3</v>
      </c>
      <c r="D348" s="50">
        <f>D342</f>
        <v>4</v>
      </c>
      <c r="E348" s="17">
        <f t="shared" ref="E348:E384" si="69">SUM(B348:D348)</f>
        <v>11</v>
      </c>
      <c r="G348" s="27" t="s">
        <v>6</v>
      </c>
      <c r="H348" s="18">
        <f>H342</f>
        <v>77</v>
      </c>
      <c r="I348" s="20">
        <f t="shared" ref="I348:K348" si="70">I342</f>
        <v>35</v>
      </c>
      <c r="J348" s="50">
        <f t="shared" si="70"/>
        <v>6</v>
      </c>
      <c r="K348" s="17">
        <f t="shared" si="70"/>
        <v>118</v>
      </c>
    </row>
    <row r="349" spans="1:13" x14ac:dyDescent="0.15">
      <c r="A349" s="6" t="s">
        <v>3</v>
      </c>
      <c r="B349" s="31">
        <v>3</v>
      </c>
      <c r="C349" s="32">
        <v>3</v>
      </c>
      <c r="D349" s="31"/>
      <c r="E349" s="5">
        <f t="shared" ref="E349:E355" si="71">SUM(B349:D349)</f>
        <v>6</v>
      </c>
      <c r="F349" s="39">
        <v>46053</v>
      </c>
      <c r="G349" s="6" t="s">
        <v>255</v>
      </c>
      <c r="H349" s="38">
        <v>2</v>
      </c>
      <c r="I349" s="32">
        <v>2</v>
      </c>
      <c r="J349" s="31">
        <v>2</v>
      </c>
      <c r="K349" s="5">
        <f t="shared" ref="K349:K358" si="72">SUM(H349:J349)</f>
        <v>6</v>
      </c>
      <c r="L349" s="57">
        <v>46102</v>
      </c>
    </row>
    <row r="350" spans="1:13" x14ac:dyDescent="0.15">
      <c r="A350" s="6" t="s">
        <v>251</v>
      </c>
      <c r="B350" s="31"/>
      <c r="C350" s="32"/>
      <c r="D350" s="31">
        <v>1</v>
      </c>
      <c r="E350" s="5">
        <f t="shared" si="71"/>
        <v>1</v>
      </c>
      <c r="F350" s="39">
        <v>46062</v>
      </c>
      <c r="G350" s="6" t="s">
        <v>3</v>
      </c>
      <c r="H350" s="38"/>
      <c r="I350" s="32"/>
      <c r="J350" s="31"/>
      <c r="K350" s="5">
        <f t="shared" si="72"/>
        <v>0</v>
      </c>
    </row>
    <row r="351" spans="1:13" x14ac:dyDescent="0.15">
      <c r="A351" s="6" t="s">
        <v>198</v>
      </c>
      <c r="B351" s="31">
        <v>0</v>
      </c>
      <c r="C351" s="32">
        <v>0</v>
      </c>
      <c r="D351" s="31">
        <v>0</v>
      </c>
      <c r="E351" s="5">
        <f t="shared" si="71"/>
        <v>0</v>
      </c>
      <c r="F351" s="39">
        <v>46073</v>
      </c>
      <c r="G351" s="6" t="s">
        <v>3</v>
      </c>
      <c r="H351" s="38"/>
      <c r="I351" s="32"/>
      <c r="J351" s="31"/>
      <c r="K351" s="5">
        <f t="shared" si="72"/>
        <v>0</v>
      </c>
    </row>
    <row r="352" spans="1:13" x14ac:dyDescent="0.15">
      <c r="A352" s="6" t="s">
        <v>100</v>
      </c>
      <c r="B352" s="31"/>
      <c r="C352" s="32"/>
      <c r="D352" s="31">
        <v>1</v>
      </c>
      <c r="E352" s="5">
        <f t="shared" ref="E352:E353" si="73">SUM(B352:D352)</f>
        <v>1</v>
      </c>
      <c r="F352" s="39">
        <v>46119</v>
      </c>
      <c r="G352" s="6" t="s">
        <v>3</v>
      </c>
      <c r="H352" s="38"/>
      <c r="I352" s="32"/>
      <c r="J352" s="31"/>
      <c r="K352" s="5">
        <f t="shared" si="72"/>
        <v>0</v>
      </c>
    </row>
    <row r="353" spans="1:12" x14ac:dyDescent="0.15">
      <c r="A353" s="6" t="s">
        <v>3</v>
      </c>
      <c r="B353" s="31"/>
      <c r="C353" s="32"/>
      <c r="D353" s="31"/>
      <c r="E353" s="5">
        <f t="shared" si="73"/>
        <v>0</v>
      </c>
      <c r="F353" s="39"/>
      <c r="G353" s="6" t="s">
        <v>3</v>
      </c>
      <c r="H353" s="38"/>
      <c r="I353" s="32"/>
      <c r="J353" s="31"/>
      <c r="K353" s="5">
        <f t="shared" si="72"/>
        <v>0</v>
      </c>
    </row>
    <row r="354" spans="1:12" x14ac:dyDescent="0.15">
      <c r="A354" s="6" t="s">
        <v>3</v>
      </c>
      <c r="B354" s="31"/>
      <c r="C354" s="32"/>
      <c r="D354" s="31"/>
      <c r="E354" s="5">
        <f t="shared" si="71"/>
        <v>0</v>
      </c>
      <c r="F354" s="39"/>
      <c r="G354" s="6" t="s">
        <v>3</v>
      </c>
      <c r="H354" s="38"/>
      <c r="I354" s="32"/>
      <c r="J354" s="31"/>
      <c r="K354" s="5">
        <f t="shared" si="72"/>
        <v>0</v>
      </c>
    </row>
    <row r="355" spans="1:12" x14ac:dyDescent="0.15">
      <c r="A355" s="6" t="s">
        <v>3</v>
      </c>
      <c r="B355" s="31"/>
      <c r="C355" s="32"/>
      <c r="D355" s="31"/>
      <c r="E355" s="5">
        <f t="shared" si="71"/>
        <v>0</v>
      </c>
      <c r="F355" s="39"/>
      <c r="G355" s="6" t="s">
        <v>3</v>
      </c>
      <c r="H355" s="38"/>
      <c r="I355" s="32"/>
      <c r="J355" s="31"/>
      <c r="K355" s="5">
        <f t="shared" si="72"/>
        <v>0</v>
      </c>
    </row>
    <row r="356" spans="1:12" x14ac:dyDescent="0.15">
      <c r="A356" s="6" t="s">
        <v>3</v>
      </c>
      <c r="B356" s="31"/>
      <c r="C356" s="32"/>
      <c r="D356" s="31"/>
      <c r="E356" s="5">
        <f t="shared" si="69"/>
        <v>0</v>
      </c>
      <c r="F356" s="39"/>
      <c r="G356" s="6" t="s">
        <v>3</v>
      </c>
      <c r="H356" s="38"/>
      <c r="I356" s="32"/>
      <c r="J356" s="31"/>
      <c r="K356" s="5">
        <f t="shared" si="72"/>
        <v>0</v>
      </c>
    </row>
    <row r="357" spans="1:12" x14ac:dyDescent="0.15">
      <c r="A357" s="6" t="s">
        <v>3</v>
      </c>
      <c r="B357" s="31"/>
      <c r="C357" s="32"/>
      <c r="D357" s="31"/>
      <c r="E357" s="5">
        <f t="shared" si="69"/>
        <v>0</v>
      </c>
      <c r="F357" s="39"/>
      <c r="G357" s="6" t="s">
        <v>3</v>
      </c>
      <c r="H357" s="38"/>
      <c r="I357" s="32"/>
      <c r="J357" s="31"/>
      <c r="K357" s="5">
        <f t="shared" si="72"/>
        <v>0</v>
      </c>
    </row>
    <row r="358" spans="1:12" ht="14.25" thickBot="1" x14ac:dyDescent="0.2">
      <c r="A358" s="6" t="s">
        <v>3</v>
      </c>
      <c r="B358" s="31"/>
      <c r="C358" s="32"/>
      <c r="D358" s="31"/>
      <c r="E358" s="5">
        <f t="shared" si="69"/>
        <v>0</v>
      </c>
      <c r="F358" s="39"/>
      <c r="G358" s="6" t="s">
        <v>3</v>
      </c>
      <c r="H358" s="38"/>
      <c r="I358" s="32"/>
      <c r="J358" s="31"/>
      <c r="K358" s="5">
        <f t="shared" si="72"/>
        <v>0</v>
      </c>
    </row>
    <row r="359" spans="1:12" ht="14.25" thickBot="1" x14ac:dyDescent="0.2">
      <c r="A359" s="21" t="s">
        <v>4</v>
      </c>
      <c r="B359" s="22">
        <f>SUM(B348:B358)</f>
        <v>7</v>
      </c>
      <c r="C359" s="22">
        <f>SUM(C348:C358)</f>
        <v>6</v>
      </c>
      <c r="D359" s="23">
        <f>SUM(D348:D358)</f>
        <v>6</v>
      </c>
      <c r="E359" s="24">
        <f t="shared" si="69"/>
        <v>19</v>
      </c>
      <c r="G359" s="21" t="s">
        <v>4</v>
      </c>
      <c r="H359" s="22">
        <f>SUM(H348:H358)</f>
        <v>79</v>
      </c>
      <c r="I359" s="22">
        <f t="shared" ref="I359:K359" si="74">SUM(I348:I358)</f>
        <v>37</v>
      </c>
      <c r="J359" s="23">
        <f t="shared" si="74"/>
        <v>8</v>
      </c>
      <c r="K359" s="24">
        <f t="shared" si="74"/>
        <v>124</v>
      </c>
    </row>
    <row r="360" spans="1:12" x14ac:dyDescent="0.15">
      <c r="A360" s="28" t="s">
        <v>249</v>
      </c>
      <c r="B360" s="8">
        <v>1</v>
      </c>
      <c r="C360" s="9"/>
      <c r="D360" s="10"/>
      <c r="E360" s="5">
        <f t="shared" ref="E360:E380" si="75">SUM(B360:D360)</f>
        <v>1</v>
      </c>
      <c r="F360" s="39">
        <v>46055</v>
      </c>
      <c r="G360" s="4" t="s">
        <v>250</v>
      </c>
      <c r="H360" s="8">
        <v>3</v>
      </c>
      <c r="I360" s="9">
        <v>3</v>
      </c>
      <c r="J360" s="10"/>
      <c r="K360" s="7">
        <f t="shared" ref="K360:K365" si="76">SUM(H360:J360)</f>
        <v>6</v>
      </c>
      <c r="L360" s="57">
        <v>46053</v>
      </c>
    </row>
    <row r="361" spans="1:12" x14ac:dyDescent="0.15">
      <c r="A361" s="28" t="s">
        <v>252</v>
      </c>
      <c r="B361" s="8"/>
      <c r="C361" s="9"/>
      <c r="D361" s="10">
        <v>1</v>
      </c>
      <c r="E361" s="5">
        <f t="shared" si="75"/>
        <v>1</v>
      </c>
      <c r="F361" s="39">
        <v>46073</v>
      </c>
      <c r="G361" s="4"/>
      <c r="H361" s="8"/>
      <c r="I361" s="9"/>
      <c r="J361" s="10"/>
      <c r="K361" s="7">
        <f t="shared" si="76"/>
        <v>0</v>
      </c>
    </row>
    <row r="362" spans="1:12" x14ac:dyDescent="0.15">
      <c r="A362" s="4" t="s">
        <v>254</v>
      </c>
      <c r="B362" s="8">
        <v>2</v>
      </c>
      <c r="C362" s="9">
        <v>2</v>
      </c>
      <c r="D362" s="10">
        <v>2</v>
      </c>
      <c r="E362" s="5">
        <f t="shared" si="75"/>
        <v>6</v>
      </c>
      <c r="F362" s="57">
        <v>46102</v>
      </c>
      <c r="G362" s="4"/>
      <c r="H362" s="8"/>
      <c r="I362" s="9"/>
      <c r="J362" s="10"/>
      <c r="K362" s="7">
        <f t="shared" si="76"/>
        <v>0</v>
      </c>
    </row>
    <row r="363" spans="1:12" x14ac:dyDescent="0.15">
      <c r="A363" s="4" t="s">
        <v>29</v>
      </c>
      <c r="B363" s="8"/>
      <c r="C363" s="9">
        <v>1</v>
      </c>
      <c r="D363" s="10"/>
      <c r="E363" s="5">
        <f t="shared" si="75"/>
        <v>1</v>
      </c>
      <c r="F363" s="57">
        <v>46104</v>
      </c>
      <c r="G363" s="4"/>
      <c r="H363" s="8"/>
      <c r="I363" s="9"/>
      <c r="J363" s="10"/>
      <c r="K363" s="7">
        <f t="shared" si="76"/>
        <v>0</v>
      </c>
    </row>
    <row r="364" spans="1:12" x14ac:dyDescent="0.15">
      <c r="A364" s="4" t="s">
        <v>29</v>
      </c>
      <c r="B364" s="8"/>
      <c r="C364" s="9">
        <v>1</v>
      </c>
      <c r="D364" s="10"/>
      <c r="E364" s="5">
        <f t="shared" si="75"/>
        <v>1</v>
      </c>
      <c r="F364" s="57">
        <v>46188</v>
      </c>
      <c r="G364" s="4"/>
      <c r="H364" s="8"/>
      <c r="I364" s="9"/>
      <c r="J364" s="10"/>
      <c r="K364" s="7">
        <f t="shared" si="76"/>
        <v>0</v>
      </c>
    </row>
    <row r="365" spans="1:12" x14ac:dyDescent="0.15">
      <c r="A365" s="4" t="s">
        <v>256</v>
      </c>
      <c r="B365" s="8">
        <v>1</v>
      </c>
      <c r="C365" s="9"/>
      <c r="D365" s="10"/>
      <c r="E365" s="5">
        <f t="shared" si="75"/>
        <v>1</v>
      </c>
      <c r="F365" s="57">
        <v>46217</v>
      </c>
      <c r="G365" s="4"/>
      <c r="H365" s="8"/>
      <c r="I365" s="9"/>
      <c r="J365" s="10"/>
      <c r="K365" s="7">
        <f t="shared" si="76"/>
        <v>0</v>
      </c>
    </row>
    <row r="366" spans="1:12" x14ac:dyDescent="0.15">
      <c r="A366" s="4"/>
      <c r="B366" s="8"/>
      <c r="C366" s="9"/>
      <c r="D366" s="10"/>
      <c r="E366" s="5">
        <f t="shared" si="75"/>
        <v>0</v>
      </c>
      <c r="F366" s="57"/>
      <c r="G366" s="4"/>
      <c r="H366" s="8"/>
      <c r="I366" s="9"/>
      <c r="J366" s="10"/>
      <c r="K366" s="7">
        <f t="shared" ref="K366:K384" si="77">SUM(H366:J366)</f>
        <v>0</v>
      </c>
    </row>
    <row r="367" spans="1:12" x14ac:dyDescent="0.15">
      <c r="A367" s="4"/>
      <c r="B367" s="8"/>
      <c r="C367" s="9"/>
      <c r="D367" s="10"/>
      <c r="E367" s="5">
        <f t="shared" si="75"/>
        <v>0</v>
      </c>
      <c r="F367" s="57"/>
      <c r="G367" s="4"/>
      <c r="H367" s="8"/>
      <c r="I367" s="9"/>
      <c r="J367" s="10"/>
      <c r="K367" s="7">
        <f t="shared" si="77"/>
        <v>0</v>
      </c>
    </row>
    <row r="368" spans="1:12" x14ac:dyDescent="0.15">
      <c r="A368" s="4"/>
      <c r="B368" s="8"/>
      <c r="C368" s="9"/>
      <c r="D368" s="10"/>
      <c r="E368" s="5">
        <f t="shared" si="75"/>
        <v>0</v>
      </c>
      <c r="F368" s="57"/>
      <c r="G368" s="4"/>
      <c r="H368" s="8"/>
      <c r="I368" s="9"/>
      <c r="J368" s="10"/>
      <c r="K368" s="7">
        <f t="shared" si="77"/>
        <v>0</v>
      </c>
    </row>
    <row r="369" spans="1:11" x14ac:dyDescent="0.15">
      <c r="A369" s="4"/>
      <c r="B369" s="8"/>
      <c r="C369" s="9"/>
      <c r="D369" s="10"/>
      <c r="E369" s="5">
        <f t="shared" si="75"/>
        <v>0</v>
      </c>
      <c r="F369" s="57"/>
      <c r="G369" s="4"/>
      <c r="H369" s="8"/>
      <c r="I369" s="9"/>
      <c r="J369" s="10"/>
      <c r="K369" s="7">
        <f t="shared" si="77"/>
        <v>0</v>
      </c>
    </row>
    <row r="370" spans="1:11" x14ac:dyDescent="0.15">
      <c r="A370" s="4"/>
      <c r="B370" s="8"/>
      <c r="C370" s="9"/>
      <c r="D370" s="10"/>
      <c r="E370" s="5">
        <f t="shared" si="75"/>
        <v>0</v>
      </c>
      <c r="F370" s="57"/>
      <c r="G370" s="4"/>
      <c r="H370" s="8"/>
      <c r="I370" s="9"/>
      <c r="J370" s="10"/>
      <c r="K370" s="7">
        <f t="shared" si="77"/>
        <v>0</v>
      </c>
    </row>
    <row r="371" spans="1:11" x14ac:dyDescent="0.15">
      <c r="A371" s="4"/>
      <c r="B371" s="8"/>
      <c r="C371" s="9"/>
      <c r="D371" s="10"/>
      <c r="E371" s="5">
        <f t="shared" si="75"/>
        <v>0</v>
      </c>
      <c r="F371" s="57"/>
      <c r="G371" s="4"/>
      <c r="H371" s="8"/>
      <c r="I371" s="9"/>
      <c r="J371" s="10"/>
      <c r="K371" s="7">
        <f t="shared" si="77"/>
        <v>0</v>
      </c>
    </row>
    <row r="372" spans="1:11" x14ac:dyDescent="0.15">
      <c r="A372" s="4"/>
      <c r="B372" s="8"/>
      <c r="C372" s="9"/>
      <c r="D372" s="10"/>
      <c r="E372" s="5">
        <f t="shared" si="75"/>
        <v>0</v>
      </c>
      <c r="F372" s="57"/>
      <c r="G372" s="4"/>
      <c r="H372" s="8"/>
      <c r="I372" s="9"/>
      <c r="J372" s="10"/>
      <c r="K372" s="7">
        <f t="shared" si="77"/>
        <v>0</v>
      </c>
    </row>
    <row r="373" spans="1:11" x14ac:dyDescent="0.15">
      <c r="A373" s="4"/>
      <c r="B373" s="8"/>
      <c r="C373" s="9"/>
      <c r="D373" s="10"/>
      <c r="E373" s="5">
        <f t="shared" si="75"/>
        <v>0</v>
      </c>
      <c r="F373" s="57"/>
      <c r="G373" s="4"/>
      <c r="H373" s="8"/>
      <c r="I373" s="9"/>
      <c r="J373" s="10"/>
      <c r="K373" s="7">
        <f t="shared" si="77"/>
        <v>0</v>
      </c>
    </row>
    <row r="374" spans="1:11" x14ac:dyDescent="0.15">
      <c r="A374" s="4"/>
      <c r="B374" s="8"/>
      <c r="C374" s="9"/>
      <c r="D374" s="10"/>
      <c r="E374" s="5">
        <f t="shared" si="75"/>
        <v>0</v>
      </c>
      <c r="F374" s="57"/>
      <c r="G374" s="4"/>
      <c r="H374" s="8"/>
      <c r="I374" s="9"/>
      <c r="J374" s="10"/>
      <c r="K374" s="7">
        <f t="shared" si="77"/>
        <v>0</v>
      </c>
    </row>
    <row r="375" spans="1:11" x14ac:dyDescent="0.15">
      <c r="A375" s="4"/>
      <c r="B375" s="8"/>
      <c r="C375" s="9"/>
      <c r="D375" s="10"/>
      <c r="E375" s="5">
        <f t="shared" si="75"/>
        <v>0</v>
      </c>
      <c r="F375" s="57"/>
      <c r="G375" s="4"/>
      <c r="H375" s="8"/>
      <c r="I375" s="9"/>
      <c r="J375" s="10"/>
      <c r="K375" s="7">
        <f t="shared" si="77"/>
        <v>0</v>
      </c>
    </row>
    <row r="376" spans="1:11" x14ac:dyDescent="0.15">
      <c r="A376" s="4"/>
      <c r="B376" s="8"/>
      <c r="C376" s="9"/>
      <c r="D376" s="10"/>
      <c r="E376" s="5">
        <f t="shared" si="75"/>
        <v>0</v>
      </c>
      <c r="F376" s="57"/>
      <c r="G376" s="4"/>
      <c r="H376" s="8"/>
      <c r="I376" s="9"/>
      <c r="J376" s="10"/>
      <c r="K376" s="7">
        <f t="shared" si="77"/>
        <v>0</v>
      </c>
    </row>
    <row r="377" spans="1:11" x14ac:dyDescent="0.15">
      <c r="A377" s="4"/>
      <c r="B377" s="8"/>
      <c r="C377" s="9"/>
      <c r="D377" s="10"/>
      <c r="E377" s="5">
        <f t="shared" si="75"/>
        <v>0</v>
      </c>
      <c r="F377" s="57"/>
      <c r="G377" s="4"/>
      <c r="H377" s="8"/>
      <c r="I377" s="9"/>
      <c r="J377" s="10"/>
      <c r="K377" s="7">
        <f t="shared" si="77"/>
        <v>0</v>
      </c>
    </row>
    <row r="378" spans="1:11" x14ac:dyDescent="0.15">
      <c r="A378" s="4"/>
      <c r="B378" s="8"/>
      <c r="C378" s="9"/>
      <c r="D378" s="10"/>
      <c r="E378" s="5">
        <f t="shared" si="75"/>
        <v>0</v>
      </c>
      <c r="F378" s="57"/>
      <c r="G378" s="4"/>
      <c r="H378" s="8"/>
      <c r="I378" s="9"/>
      <c r="J378" s="10"/>
      <c r="K378" s="7">
        <f t="shared" si="77"/>
        <v>0</v>
      </c>
    </row>
    <row r="379" spans="1:11" x14ac:dyDescent="0.15">
      <c r="A379" s="4"/>
      <c r="B379" s="8"/>
      <c r="C379" s="9"/>
      <c r="D379" s="10"/>
      <c r="E379" s="5">
        <f t="shared" si="75"/>
        <v>0</v>
      </c>
      <c r="F379" s="57"/>
      <c r="G379" s="4"/>
      <c r="H379" s="8"/>
      <c r="I379" s="9"/>
      <c r="J379" s="10"/>
      <c r="K379" s="7">
        <f t="shared" si="77"/>
        <v>0</v>
      </c>
    </row>
    <row r="380" spans="1:11" x14ac:dyDescent="0.15">
      <c r="A380" s="4"/>
      <c r="B380" s="8"/>
      <c r="C380" s="9"/>
      <c r="D380" s="10"/>
      <c r="E380" s="5">
        <f t="shared" si="75"/>
        <v>0</v>
      </c>
      <c r="F380" s="57"/>
      <c r="G380" s="4"/>
      <c r="H380" s="8"/>
      <c r="I380" s="9"/>
      <c r="J380" s="10"/>
      <c r="K380" s="7">
        <f t="shared" si="77"/>
        <v>0</v>
      </c>
    </row>
    <row r="381" spans="1:11" x14ac:dyDescent="0.15">
      <c r="A381" s="4"/>
      <c r="B381" s="8"/>
      <c r="C381" s="9"/>
      <c r="D381" s="10"/>
      <c r="E381" s="5">
        <f t="shared" si="69"/>
        <v>0</v>
      </c>
      <c r="F381" s="57"/>
      <c r="G381" s="4"/>
      <c r="H381" s="8"/>
      <c r="I381" s="9"/>
      <c r="J381" s="10"/>
      <c r="K381" s="7">
        <f t="shared" si="77"/>
        <v>0</v>
      </c>
    </row>
    <row r="382" spans="1:11" x14ac:dyDescent="0.15">
      <c r="A382" s="4"/>
      <c r="B382" s="8"/>
      <c r="C382" s="9"/>
      <c r="D382" s="10"/>
      <c r="E382" s="5">
        <f t="shared" si="69"/>
        <v>0</v>
      </c>
      <c r="F382" s="57"/>
      <c r="G382" s="4"/>
      <c r="H382" s="8"/>
      <c r="I382" s="9"/>
      <c r="J382" s="10"/>
      <c r="K382" s="7">
        <f t="shared" ref="K382:K383" si="78">SUM(H382:J382)</f>
        <v>0</v>
      </c>
    </row>
    <row r="383" spans="1:11" ht="14.25" thickBot="1" x14ac:dyDescent="0.2">
      <c r="A383" s="4"/>
      <c r="B383" s="8"/>
      <c r="C383" s="9"/>
      <c r="D383" s="10"/>
      <c r="E383" s="5">
        <f t="shared" si="69"/>
        <v>0</v>
      </c>
      <c r="F383" s="57"/>
      <c r="G383" s="4"/>
      <c r="H383" s="8"/>
      <c r="I383" s="9"/>
      <c r="J383" s="10"/>
      <c r="K383" s="7">
        <f t="shared" si="78"/>
        <v>0</v>
      </c>
    </row>
    <row r="384" spans="1:11" ht="14.25" thickBot="1" x14ac:dyDescent="0.2">
      <c r="A384" s="3" t="s">
        <v>5</v>
      </c>
      <c r="B384" s="14">
        <f>SUM(B360:B383)</f>
        <v>4</v>
      </c>
      <c r="C384" s="14">
        <f>SUM(C360:C383)</f>
        <v>4</v>
      </c>
      <c r="D384" s="14">
        <f>SUM(D360:D383)</f>
        <v>3</v>
      </c>
      <c r="E384" s="15">
        <f t="shared" si="69"/>
        <v>11</v>
      </c>
      <c r="G384" s="3" t="s">
        <v>5</v>
      </c>
      <c r="H384" s="14">
        <f>SUM(H360:H383)</f>
        <v>3</v>
      </c>
      <c r="I384" s="14">
        <f>SUM(I360:I383)</f>
        <v>3</v>
      </c>
      <c r="J384" s="14">
        <f>SUM(J360:J383)</f>
        <v>0</v>
      </c>
      <c r="K384" s="15">
        <f t="shared" si="77"/>
        <v>6</v>
      </c>
    </row>
    <row r="385" spans="1:12" ht="14.25" thickBot="1" x14ac:dyDescent="0.2">
      <c r="A385" s="25" t="s">
        <v>6</v>
      </c>
      <c r="B385" s="26">
        <f>B359-B384</f>
        <v>3</v>
      </c>
      <c r="C385" s="26">
        <f t="shared" ref="C385:E385" si="79">C359-C384</f>
        <v>2</v>
      </c>
      <c r="D385" s="26">
        <f t="shared" si="79"/>
        <v>3</v>
      </c>
      <c r="E385" s="24">
        <f t="shared" si="79"/>
        <v>8</v>
      </c>
      <c r="G385" s="25" t="s">
        <v>6</v>
      </c>
      <c r="H385" s="26">
        <f>H359-H384</f>
        <v>76</v>
      </c>
      <c r="I385" s="26">
        <f t="shared" ref="I385:K385" si="80">I359-I384</f>
        <v>34</v>
      </c>
      <c r="J385" s="26">
        <f t="shared" si="80"/>
        <v>8</v>
      </c>
      <c r="K385" s="24">
        <f t="shared" si="80"/>
        <v>118</v>
      </c>
      <c r="L385" s="101" t="s">
        <v>253</v>
      </c>
    </row>
  </sheetData>
  <mergeCells count="20">
    <mergeCell ref="B346:E346"/>
    <mergeCell ref="H346:K346"/>
    <mergeCell ref="B303:E303"/>
    <mergeCell ref="H303:K303"/>
    <mergeCell ref="B260:E260"/>
    <mergeCell ref="H260:K260"/>
    <mergeCell ref="B217:E217"/>
    <mergeCell ref="H217:K217"/>
    <mergeCell ref="B174:E174"/>
    <mergeCell ref="H174:K174"/>
    <mergeCell ref="H131:K131"/>
    <mergeCell ref="B131:E131"/>
    <mergeCell ref="B2:E2"/>
    <mergeCell ref="H2:K2"/>
    <mergeCell ref="N2:Q2"/>
    <mergeCell ref="B88:E88"/>
    <mergeCell ref="H88:K88"/>
    <mergeCell ref="B45:E45"/>
    <mergeCell ref="H45:K45"/>
    <mergeCell ref="N45:Q45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84"/>
  <sheetViews>
    <sheetView topLeftCell="A58" workbookViewId="0">
      <selection activeCell="P79" sqref="P79"/>
    </sheetView>
  </sheetViews>
  <sheetFormatPr defaultRowHeight="13.5" x14ac:dyDescent="0.15"/>
  <cols>
    <col min="1" max="1" width="17" customWidth="1"/>
    <col min="15" max="15" width="9.25" bestFit="1" customWidth="1"/>
  </cols>
  <sheetData>
    <row r="1" spans="1:15" ht="18" thickBot="1" x14ac:dyDescent="0.25">
      <c r="A1" s="29" t="s">
        <v>56</v>
      </c>
      <c r="B1" s="1"/>
      <c r="C1" s="1"/>
      <c r="D1" s="1"/>
      <c r="E1" s="56"/>
      <c r="F1" s="40"/>
      <c r="G1" s="29"/>
      <c r="H1" s="1"/>
      <c r="I1" s="1"/>
      <c r="J1" s="1"/>
      <c r="K1" s="56"/>
      <c r="L1" s="40"/>
      <c r="M1" s="29"/>
      <c r="N1" s="1"/>
      <c r="O1" s="1"/>
    </row>
    <row r="2" spans="1:15" ht="14.25" thickBot="1" x14ac:dyDescent="0.2">
      <c r="A2" s="2" t="s">
        <v>0</v>
      </c>
      <c r="B2" s="103" t="s">
        <v>49</v>
      </c>
      <c r="C2" s="103"/>
      <c r="D2" s="103"/>
      <c r="E2" s="104"/>
      <c r="F2" s="103" t="s">
        <v>50</v>
      </c>
      <c r="G2" s="103"/>
      <c r="H2" s="103"/>
      <c r="I2" s="104"/>
      <c r="J2" s="103" t="s">
        <v>51</v>
      </c>
      <c r="K2" s="103"/>
      <c r="L2" s="103"/>
      <c r="M2" s="103"/>
      <c r="N2" s="105"/>
    </row>
    <row r="3" spans="1:15" ht="14.25" thickBot="1" x14ac:dyDescent="0.2">
      <c r="A3" s="2" t="s">
        <v>1</v>
      </c>
      <c r="B3" s="3" t="s">
        <v>52</v>
      </c>
      <c r="C3" s="2" t="s">
        <v>53</v>
      </c>
      <c r="D3" s="19" t="s">
        <v>54</v>
      </c>
      <c r="E3" s="2" t="s">
        <v>2</v>
      </c>
      <c r="F3" s="3" t="s">
        <v>52</v>
      </c>
      <c r="G3" s="2" t="s">
        <v>53</v>
      </c>
      <c r="H3" s="19" t="s">
        <v>54</v>
      </c>
      <c r="I3" s="2" t="s">
        <v>2</v>
      </c>
      <c r="J3" s="3" t="s">
        <v>52</v>
      </c>
      <c r="K3" s="2" t="s">
        <v>53</v>
      </c>
      <c r="L3" s="19" t="s">
        <v>54</v>
      </c>
      <c r="M3" s="3" t="s">
        <v>2</v>
      </c>
      <c r="N3" s="106"/>
    </row>
    <row r="4" spans="1:15" ht="14.25" thickBot="1" x14ac:dyDescent="0.2">
      <c r="A4" s="60" t="s">
        <v>10</v>
      </c>
      <c r="B4" s="61"/>
      <c r="C4" s="21"/>
      <c r="D4" s="61"/>
      <c r="E4" s="24">
        <f t="shared" ref="E4:E39" si="0">SUM(B4:D4)</f>
        <v>0</v>
      </c>
      <c r="F4" s="61"/>
      <c r="G4" s="21"/>
      <c r="H4" s="61"/>
      <c r="I4" s="24">
        <f t="shared" ref="I4:I39" si="1">SUM(F4:H4)</f>
        <v>0</v>
      </c>
      <c r="J4" s="61"/>
      <c r="K4" s="21"/>
      <c r="L4" s="61"/>
      <c r="M4" s="24">
        <f t="shared" ref="M4:M39" si="2">SUM(J4:L4)</f>
        <v>0</v>
      </c>
      <c r="N4" s="62">
        <f t="shared" ref="N4:N39" si="3">E4+I4+M4</f>
        <v>0</v>
      </c>
      <c r="O4" s="63"/>
    </row>
    <row r="5" spans="1:15" x14ac:dyDescent="0.15">
      <c r="A5" s="6" t="s">
        <v>3</v>
      </c>
      <c r="B5" s="58">
        <v>1</v>
      </c>
      <c r="C5" s="4"/>
      <c r="D5" s="58"/>
      <c r="E5" s="5">
        <f t="shared" si="0"/>
        <v>1</v>
      </c>
      <c r="F5" s="58">
        <v>1</v>
      </c>
      <c r="G5" s="4"/>
      <c r="H5" s="58"/>
      <c r="I5" s="5">
        <f t="shared" si="1"/>
        <v>1</v>
      </c>
      <c r="J5" s="58">
        <v>1</v>
      </c>
      <c r="K5" s="4"/>
      <c r="L5" s="58"/>
      <c r="M5" s="5">
        <f t="shared" si="2"/>
        <v>1</v>
      </c>
      <c r="N5" s="65">
        <f t="shared" si="3"/>
        <v>3</v>
      </c>
      <c r="O5" s="63">
        <v>44485</v>
      </c>
    </row>
    <row r="6" spans="1:15" x14ac:dyDescent="0.15">
      <c r="A6" s="6" t="s">
        <v>3</v>
      </c>
      <c r="B6" s="16"/>
      <c r="C6" s="11">
        <v>1</v>
      </c>
      <c r="D6" s="16"/>
      <c r="E6" s="5">
        <f t="shared" si="0"/>
        <v>1</v>
      </c>
      <c r="F6" s="16"/>
      <c r="G6" s="11">
        <v>1</v>
      </c>
      <c r="H6" s="16"/>
      <c r="I6" s="5">
        <f t="shared" si="1"/>
        <v>1</v>
      </c>
      <c r="J6" s="16"/>
      <c r="K6" s="11">
        <v>1</v>
      </c>
      <c r="L6" s="16"/>
      <c r="M6" s="5">
        <f t="shared" si="2"/>
        <v>1</v>
      </c>
      <c r="N6" s="65">
        <f t="shared" si="3"/>
        <v>3</v>
      </c>
      <c r="O6" s="63">
        <v>44494</v>
      </c>
    </row>
    <row r="7" spans="1:15" x14ac:dyDescent="0.15">
      <c r="A7" s="6" t="s">
        <v>3</v>
      </c>
      <c r="B7" s="16">
        <v>1</v>
      </c>
      <c r="C7" s="11"/>
      <c r="D7" s="16"/>
      <c r="E7" s="5">
        <f t="shared" si="0"/>
        <v>1</v>
      </c>
      <c r="F7" s="16">
        <v>1</v>
      </c>
      <c r="G7" s="11"/>
      <c r="H7" s="16"/>
      <c r="I7" s="5">
        <f t="shared" si="1"/>
        <v>1</v>
      </c>
      <c r="J7" s="16">
        <v>1</v>
      </c>
      <c r="K7" s="11"/>
      <c r="L7" s="16"/>
      <c r="M7" s="5">
        <f t="shared" si="2"/>
        <v>1</v>
      </c>
      <c r="N7" s="65">
        <f t="shared" si="3"/>
        <v>3</v>
      </c>
      <c r="O7" s="63">
        <v>44511</v>
      </c>
    </row>
    <row r="8" spans="1:15" x14ac:dyDescent="0.15">
      <c r="A8" s="6" t="s">
        <v>3</v>
      </c>
      <c r="B8" s="16"/>
      <c r="C8" s="11"/>
      <c r="D8" s="16">
        <v>1</v>
      </c>
      <c r="E8" s="5">
        <f t="shared" si="0"/>
        <v>1</v>
      </c>
      <c r="F8" s="16"/>
      <c r="G8" s="11"/>
      <c r="H8" s="16">
        <v>1</v>
      </c>
      <c r="I8" s="5">
        <f t="shared" si="1"/>
        <v>1</v>
      </c>
      <c r="J8" s="16"/>
      <c r="K8" s="11"/>
      <c r="L8" s="16">
        <v>1</v>
      </c>
      <c r="M8" s="5">
        <f t="shared" si="2"/>
        <v>1</v>
      </c>
      <c r="N8" s="65">
        <f t="shared" si="3"/>
        <v>3</v>
      </c>
      <c r="O8" s="63">
        <v>44522</v>
      </c>
    </row>
    <row r="9" spans="1:15" x14ac:dyDescent="0.15">
      <c r="A9" s="6" t="s">
        <v>3</v>
      </c>
      <c r="B9" s="16">
        <v>1</v>
      </c>
      <c r="C9" s="11"/>
      <c r="D9" s="16"/>
      <c r="E9" s="5">
        <f t="shared" si="0"/>
        <v>1</v>
      </c>
      <c r="F9" s="16">
        <v>1</v>
      </c>
      <c r="G9" s="11"/>
      <c r="H9" s="16"/>
      <c r="I9" s="5">
        <f t="shared" si="1"/>
        <v>1</v>
      </c>
      <c r="J9" s="16">
        <v>1</v>
      </c>
      <c r="K9" s="11"/>
      <c r="L9" s="16"/>
      <c r="M9" s="5">
        <f t="shared" si="2"/>
        <v>1</v>
      </c>
      <c r="N9" s="65">
        <f t="shared" si="3"/>
        <v>3</v>
      </c>
      <c r="O9" s="63">
        <v>44557</v>
      </c>
    </row>
    <row r="10" spans="1:15" x14ac:dyDescent="0.15">
      <c r="A10" s="6" t="s">
        <v>3</v>
      </c>
      <c r="B10" s="16">
        <v>1</v>
      </c>
      <c r="C10" s="11"/>
      <c r="D10" s="16"/>
      <c r="E10" s="5">
        <f t="shared" si="0"/>
        <v>1</v>
      </c>
      <c r="F10" s="16">
        <v>1</v>
      </c>
      <c r="G10" s="11"/>
      <c r="H10" s="16"/>
      <c r="I10" s="5">
        <f t="shared" si="1"/>
        <v>1</v>
      </c>
      <c r="J10" s="16">
        <v>1</v>
      </c>
      <c r="K10" s="11"/>
      <c r="L10" s="16"/>
      <c r="M10" s="5">
        <f t="shared" si="2"/>
        <v>1</v>
      </c>
      <c r="N10" s="65">
        <f t="shared" si="3"/>
        <v>3</v>
      </c>
      <c r="O10" s="63">
        <v>44576</v>
      </c>
    </row>
    <row r="11" spans="1:15" x14ac:dyDescent="0.15">
      <c r="A11" s="6" t="s">
        <v>3</v>
      </c>
      <c r="B11" s="10">
        <v>1</v>
      </c>
      <c r="C11" s="9"/>
      <c r="D11" s="10"/>
      <c r="E11" s="5">
        <f t="shared" si="0"/>
        <v>1</v>
      </c>
      <c r="F11" s="10">
        <v>1</v>
      </c>
      <c r="G11" s="9"/>
      <c r="H11" s="10"/>
      <c r="I11" s="5">
        <f t="shared" si="1"/>
        <v>1</v>
      </c>
      <c r="J11" s="10">
        <v>1</v>
      </c>
      <c r="K11" s="9"/>
      <c r="L11" s="10"/>
      <c r="M11" s="5">
        <f t="shared" si="2"/>
        <v>1</v>
      </c>
      <c r="N11" s="65">
        <f t="shared" si="3"/>
        <v>3</v>
      </c>
      <c r="O11" s="63">
        <v>44638</v>
      </c>
    </row>
    <row r="12" spans="1:15" x14ac:dyDescent="0.15">
      <c r="A12" s="6" t="s">
        <v>3</v>
      </c>
      <c r="B12" s="10"/>
      <c r="C12" s="9"/>
      <c r="D12" s="10">
        <v>1</v>
      </c>
      <c r="E12" s="5">
        <f t="shared" si="0"/>
        <v>1</v>
      </c>
      <c r="F12" s="10"/>
      <c r="G12" s="9"/>
      <c r="H12" s="10">
        <v>1</v>
      </c>
      <c r="I12" s="5">
        <f t="shared" si="1"/>
        <v>1</v>
      </c>
      <c r="J12" s="10"/>
      <c r="K12" s="9"/>
      <c r="L12" s="10">
        <v>1</v>
      </c>
      <c r="M12" s="5">
        <f t="shared" si="2"/>
        <v>1</v>
      </c>
      <c r="N12" s="65">
        <f t="shared" si="3"/>
        <v>3</v>
      </c>
      <c r="O12" s="63">
        <v>44642</v>
      </c>
    </row>
    <row r="13" spans="1:15" x14ac:dyDescent="0.15">
      <c r="A13" s="6" t="s">
        <v>3</v>
      </c>
      <c r="B13" s="10"/>
      <c r="C13" s="9">
        <v>1</v>
      </c>
      <c r="D13" s="10"/>
      <c r="E13" s="5">
        <f t="shared" si="0"/>
        <v>1</v>
      </c>
      <c r="F13" s="10"/>
      <c r="G13" s="9">
        <v>1</v>
      </c>
      <c r="H13" s="10"/>
      <c r="I13" s="5">
        <f t="shared" si="1"/>
        <v>1</v>
      </c>
      <c r="J13" s="10"/>
      <c r="K13" s="9">
        <v>1</v>
      </c>
      <c r="L13" s="10"/>
      <c r="M13" s="5">
        <f t="shared" si="2"/>
        <v>1</v>
      </c>
      <c r="N13" s="65">
        <f t="shared" si="3"/>
        <v>3</v>
      </c>
      <c r="O13" s="63">
        <v>44690</v>
      </c>
    </row>
    <row r="14" spans="1:15" ht="14.25" thickBot="1" x14ac:dyDescent="0.2">
      <c r="A14" s="66" t="s">
        <v>3</v>
      </c>
      <c r="B14" s="13"/>
      <c r="C14" s="12">
        <v>1</v>
      </c>
      <c r="D14" s="13"/>
      <c r="E14" s="67">
        <f t="shared" si="0"/>
        <v>1</v>
      </c>
      <c r="F14" s="13"/>
      <c r="G14" s="12">
        <v>1</v>
      </c>
      <c r="H14" s="13"/>
      <c r="I14" s="67">
        <f t="shared" si="1"/>
        <v>1</v>
      </c>
      <c r="J14" s="13"/>
      <c r="K14" s="12">
        <v>1</v>
      </c>
      <c r="L14" s="13"/>
      <c r="M14" s="67">
        <f t="shared" si="2"/>
        <v>1</v>
      </c>
      <c r="N14" s="68">
        <f t="shared" si="3"/>
        <v>3</v>
      </c>
      <c r="O14" s="63">
        <v>44719</v>
      </c>
    </row>
    <row r="15" spans="1:15" ht="14.25" thickBot="1" x14ac:dyDescent="0.2">
      <c r="A15" s="21" t="s">
        <v>4</v>
      </c>
      <c r="B15" s="22">
        <f>SUM(B4:B14)</f>
        <v>5</v>
      </c>
      <c r="C15" s="22">
        <f>SUM(C4:C14)</f>
        <v>3</v>
      </c>
      <c r="D15" s="23">
        <f>SUM(D4:D14)</f>
        <v>2</v>
      </c>
      <c r="E15" s="24">
        <f t="shared" si="0"/>
        <v>10</v>
      </c>
      <c r="F15" s="22">
        <f>SUM(F4:F14)</f>
        <v>5</v>
      </c>
      <c r="G15" s="22">
        <f>SUM(G4:G14)</f>
        <v>3</v>
      </c>
      <c r="H15" s="23">
        <f>SUM(H4:H14)</f>
        <v>2</v>
      </c>
      <c r="I15" s="24">
        <f t="shared" si="1"/>
        <v>10</v>
      </c>
      <c r="J15" s="22">
        <f>SUM(J4:J14)</f>
        <v>5</v>
      </c>
      <c r="K15" s="22">
        <f>SUM(K4:K14)</f>
        <v>3</v>
      </c>
      <c r="L15" s="23">
        <f>SUM(L4:L14)</f>
        <v>2</v>
      </c>
      <c r="M15" s="24">
        <f t="shared" si="2"/>
        <v>10</v>
      </c>
      <c r="N15" s="62">
        <f t="shared" si="3"/>
        <v>30</v>
      </c>
    </row>
    <row r="16" spans="1:15" x14ac:dyDescent="0.15">
      <c r="A16" s="4" t="s">
        <v>29</v>
      </c>
      <c r="B16" s="69"/>
      <c r="C16" s="70"/>
      <c r="D16" s="71"/>
      <c r="E16" s="5">
        <f t="shared" si="0"/>
        <v>0</v>
      </c>
      <c r="F16" s="69"/>
      <c r="G16" s="70"/>
      <c r="H16" s="71"/>
      <c r="I16" s="5">
        <f t="shared" si="1"/>
        <v>0</v>
      </c>
      <c r="J16" s="69">
        <v>1</v>
      </c>
      <c r="K16" s="70"/>
      <c r="L16" s="71"/>
      <c r="M16" s="5">
        <f t="shared" si="2"/>
        <v>1</v>
      </c>
      <c r="N16" s="65">
        <f t="shared" si="3"/>
        <v>1</v>
      </c>
      <c r="O16" s="63">
        <v>44485</v>
      </c>
    </row>
    <row r="17" spans="1:15" x14ac:dyDescent="0.15">
      <c r="A17" s="4" t="s">
        <v>29</v>
      </c>
      <c r="B17" s="8"/>
      <c r="C17" s="9">
        <v>1</v>
      </c>
      <c r="D17" s="10"/>
      <c r="E17" s="5">
        <f t="shared" si="0"/>
        <v>1</v>
      </c>
      <c r="F17" s="8"/>
      <c r="G17" s="9"/>
      <c r="H17" s="10"/>
      <c r="I17" s="5">
        <f t="shared" si="1"/>
        <v>0</v>
      </c>
      <c r="J17" s="8"/>
      <c r="K17" s="9"/>
      <c r="L17" s="10"/>
      <c r="M17" s="5">
        <f t="shared" si="2"/>
        <v>0</v>
      </c>
      <c r="N17" s="65">
        <f t="shared" si="3"/>
        <v>1</v>
      </c>
      <c r="O17" s="63">
        <v>44494</v>
      </c>
    </row>
    <row r="18" spans="1:15" x14ac:dyDescent="0.15">
      <c r="A18" s="4" t="s">
        <v>29</v>
      </c>
      <c r="B18" s="8"/>
      <c r="C18" s="9"/>
      <c r="D18" s="10"/>
      <c r="E18" s="5">
        <f t="shared" si="0"/>
        <v>0</v>
      </c>
      <c r="F18" s="8"/>
      <c r="G18" s="9"/>
      <c r="H18" s="10"/>
      <c r="I18" s="5">
        <f t="shared" si="1"/>
        <v>0</v>
      </c>
      <c r="J18" s="8">
        <v>1</v>
      </c>
      <c r="K18" s="9"/>
      <c r="L18" s="10"/>
      <c r="M18" s="5">
        <f t="shared" si="2"/>
        <v>1</v>
      </c>
      <c r="N18" s="65">
        <f t="shared" si="3"/>
        <v>1</v>
      </c>
      <c r="O18" s="63">
        <v>44511</v>
      </c>
    </row>
    <row r="19" spans="1:15" x14ac:dyDescent="0.15">
      <c r="A19" s="4" t="s">
        <v>29</v>
      </c>
      <c r="B19" s="8"/>
      <c r="C19" s="9">
        <v>1</v>
      </c>
      <c r="D19" s="10"/>
      <c r="E19" s="5">
        <f t="shared" si="0"/>
        <v>1</v>
      </c>
      <c r="F19" s="8"/>
      <c r="G19" s="9"/>
      <c r="H19" s="10"/>
      <c r="I19" s="5">
        <f t="shared" si="1"/>
        <v>0</v>
      </c>
      <c r="J19" s="8"/>
      <c r="K19" s="9"/>
      <c r="L19" s="10"/>
      <c r="M19" s="5">
        <f t="shared" si="2"/>
        <v>0</v>
      </c>
      <c r="N19" s="65">
        <f t="shared" si="3"/>
        <v>1</v>
      </c>
      <c r="O19" s="63">
        <v>44522</v>
      </c>
    </row>
    <row r="20" spans="1:15" x14ac:dyDescent="0.15">
      <c r="A20" s="4" t="s">
        <v>29</v>
      </c>
      <c r="B20" s="8"/>
      <c r="C20" s="9"/>
      <c r="D20" s="10"/>
      <c r="E20" s="5">
        <f t="shared" si="0"/>
        <v>0</v>
      </c>
      <c r="F20" s="8"/>
      <c r="G20" s="9"/>
      <c r="H20" s="10"/>
      <c r="I20" s="5">
        <f t="shared" si="1"/>
        <v>0</v>
      </c>
      <c r="J20" s="8"/>
      <c r="K20" s="9">
        <v>1</v>
      </c>
      <c r="L20" s="10"/>
      <c r="M20" s="5">
        <f t="shared" si="2"/>
        <v>1</v>
      </c>
      <c r="N20" s="65">
        <f t="shared" si="3"/>
        <v>1</v>
      </c>
      <c r="O20" s="63">
        <v>44546</v>
      </c>
    </row>
    <row r="21" spans="1:15" x14ac:dyDescent="0.15">
      <c r="A21" s="4" t="s">
        <v>29</v>
      </c>
      <c r="B21" s="8">
        <v>1</v>
      </c>
      <c r="C21" s="9"/>
      <c r="D21" s="10"/>
      <c r="E21" s="5">
        <f t="shared" si="0"/>
        <v>1</v>
      </c>
      <c r="F21" s="8"/>
      <c r="G21" s="9"/>
      <c r="H21" s="10"/>
      <c r="I21" s="5">
        <f t="shared" si="1"/>
        <v>0</v>
      </c>
      <c r="J21" s="8"/>
      <c r="K21" s="9"/>
      <c r="L21" s="10"/>
      <c r="M21" s="5">
        <f t="shared" si="2"/>
        <v>0</v>
      </c>
      <c r="N21" s="65">
        <f t="shared" si="3"/>
        <v>1</v>
      </c>
      <c r="O21" s="63">
        <v>44551</v>
      </c>
    </row>
    <row r="22" spans="1:15" x14ac:dyDescent="0.15">
      <c r="A22" s="4" t="s">
        <v>29</v>
      </c>
      <c r="B22" s="8"/>
      <c r="C22" s="9"/>
      <c r="D22" s="10"/>
      <c r="E22" s="5">
        <f t="shared" si="0"/>
        <v>0</v>
      </c>
      <c r="F22" s="8"/>
      <c r="G22" s="9"/>
      <c r="H22" s="10"/>
      <c r="I22" s="5">
        <f t="shared" si="1"/>
        <v>0</v>
      </c>
      <c r="J22" s="8">
        <v>1</v>
      </c>
      <c r="K22" s="9"/>
      <c r="L22" s="10">
        <v>1</v>
      </c>
      <c r="M22" s="5">
        <f t="shared" si="2"/>
        <v>2</v>
      </c>
      <c r="N22" s="65">
        <f t="shared" si="3"/>
        <v>2</v>
      </c>
      <c r="O22" s="63">
        <v>44557</v>
      </c>
    </row>
    <row r="23" spans="1:15" x14ac:dyDescent="0.15">
      <c r="A23" s="4" t="s">
        <v>29</v>
      </c>
      <c r="B23" s="8"/>
      <c r="C23" s="9"/>
      <c r="D23" s="10"/>
      <c r="E23" s="5">
        <f t="shared" si="0"/>
        <v>0</v>
      </c>
      <c r="F23" s="8"/>
      <c r="G23" s="9"/>
      <c r="H23" s="10"/>
      <c r="I23" s="5">
        <f t="shared" si="1"/>
        <v>0</v>
      </c>
      <c r="J23" s="8">
        <v>1</v>
      </c>
      <c r="K23" s="9"/>
      <c r="L23" s="10"/>
      <c r="M23" s="5">
        <f t="shared" si="2"/>
        <v>1</v>
      </c>
      <c r="N23" s="65">
        <f t="shared" si="3"/>
        <v>1</v>
      </c>
      <c r="O23" s="63">
        <v>44576</v>
      </c>
    </row>
    <row r="24" spans="1:15" x14ac:dyDescent="0.15">
      <c r="A24" s="4" t="s">
        <v>29</v>
      </c>
      <c r="B24" s="8"/>
      <c r="C24" s="9"/>
      <c r="D24" s="10"/>
      <c r="E24" s="5">
        <f t="shared" si="0"/>
        <v>0</v>
      </c>
      <c r="F24" s="8"/>
      <c r="G24" s="9">
        <v>1</v>
      </c>
      <c r="H24" s="10"/>
      <c r="I24" s="5">
        <f t="shared" si="1"/>
        <v>1</v>
      </c>
      <c r="J24" s="8"/>
      <c r="K24" s="9"/>
      <c r="L24" s="10"/>
      <c r="M24" s="5">
        <f t="shared" si="2"/>
        <v>0</v>
      </c>
      <c r="N24" s="65">
        <f t="shared" si="3"/>
        <v>1</v>
      </c>
      <c r="O24" s="63">
        <v>44593</v>
      </c>
    </row>
    <row r="25" spans="1:15" x14ac:dyDescent="0.15">
      <c r="A25" s="4" t="s">
        <v>29</v>
      </c>
      <c r="B25" s="8"/>
      <c r="C25" s="9"/>
      <c r="D25" s="10"/>
      <c r="E25" s="5">
        <f t="shared" si="0"/>
        <v>0</v>
      </c>
      <c r="F25" s="8"/>
      <c r="G25" s="9"/>
      <c r="H25" s="10">
        <v>1</v>
      </c>
      <c r="I25" s="5">
        <f t="shared" si="1"/>
        <v>1</v>
      </c>
      <c r="J25" s="8"/>
      <c r="K25" s="9"/>
      <c r="L25" s="10"/>
      <c r="M25" s="5">
        <f t="shared" si="2"/>
        <v>0</v>
      </c>
      <c r="N25" s="65">
        <f t="shared" si="3"/>
        <v>1</v>
      </c>
      <c r="O25" s="63">
        <v>44599</v>
      </c>
    </row>
    <row r="26" spans="1:15" x14ac:dyDescent="0.15">
      <c r="A26" s="4" t="s">
        <v>29</v>
      </c>
      <c r="B26" s="8"/>
      <c r="C26" s="9"/>
      <c r="D26" s="10"/>
      <c r="E26" s="5">
        <f t="shared" si="0"/>
        <v>0</v>
      </c>
      <c r="F26" s="8"/>
      <c r="G26" s="9"/>
      <c r="H26" s="10"/>
      <c r="I26" s="5">
        <f t="shared" si="1"/>
        <v>0</v>
      </c>
      <c r="J26" s="8">
        <v>1</v>
      </c>
      <c r="K26" s="9"/>
      <c r="L26" s="10"/>
      <c r="M26" s="5">
        <f t="shared" si="2"/>
        <v>1</v>
      </c>
      <c r="N26" s="65">
        <f t="shared" si="3"/>
        <v>1</v>
      </c>
      <c r="O26" s="63">
        <v>44638</v>
      </c>
    </row>
    <row r="27" spans="1:15" x14ac:dyDescent="0.15">
      <c r="A27" s="4" t="s">
        <v>29</v>
      </c>
      <c r="B27" s="53"/>
      <c r="C27" s="9"/>
      <c r="D27" s="10"/>
      <c r="E27" s="5">
        <f t="shared" si="0"/>
        <v>0</v>
      </c>
      <c r="F27" s="8"/>
      <c r="G27" s="9"/>
      <c r="H27" s="10"/>
      <c r="I27" s="5">
        <f t="shared" si="1"/>
        <v>0</v>
      </c>
      <c r="J27" s="8"/>
      <c r="K27" s="9"/>
      <c r="L27" s="10">
        <v>1</v>
      </c>
      <c r="M27" s="5">
        <f t="shared" si="2"/>
        <v>1</v>
      </c>
      <c r="N27" s="65">
        <f t="shared" si="3"/>
        <v>1</v>
      </c>
      <c r="O27" s="73">
        <v>44642</v>
      </c>
    </row>
    <row r="28" spans="1:15" x14ac:dyDescent="0.15">
      <c r="A28" s="4" t="s">
        <v>29</v>
      </c>
      <c r="B28" s="8">
        <v>1</v>
      </c>
      <c r="C28" s="9"/>
      <c r="D28" s="10"/>
      <c r="E28" s="5">
        <f t="shared" si="0"/>
        <v>1</v>
      </c>
      <c r="F28" s="8"/>
      <c r="G28" s="9"/>
      <c r="H28" s="10"/>
      <c r="I28" s="5">
        <f t="shared" si="1"/>
        <v>0</v>
      </c>
      <c r="J28" s="8"/>
      <c r="K28" s="9"/>
      <c r="L28" s="10"/>
      <c r="M28" s="5">
        <f t="shared" si="2"/>
        <v>0</v>
      </c>
      <c r="N28" s="65">
        <f t="shared" si="3"/>
        <v>1</v>
      </c>
      <c r="O28" s="73">
        <v>44676</v>
      </c>
    </row>
    <row r="29" spans="1:15" x14ac:dyDescent="0.15">
      <c r="A29" s="4" t="s">
        <v>29</v>
      </c>
      <c r="B29" s="8"/>
      <c r="C29" s="9"/>
      <c r="D29" s="10"/>
      <c r="E29" s="5">
        <f t="shared" si="0"/>
        <v>0</v>
      </c>
      <c r="F29" s="8"/>
      <c r="G29" s="9"/>
      <c r="H29" s="10">
        <v>1</v>
      </c>
      <c r="I29" s="5">
        <f t="shared" si="1"/>
        <v>1</v>
      </c>
      <c r="J29" s="8"/>
      <c r="K29" s="9">
        <v>1</v>
      </c>
      <c r="L29" s="10"/>
      <c r="M29" s="5">
        <f t="shared" si="2"/>
        <v>1</v>
      </c>
      <c r="N29" s="65">
        <f t="shared" si="3"/>
        <v>2</v>
      </c>
      <c r="O29" s="73">
        <v>44690</v>
      </c>
    </row>
    <row r="30" spans="1:15" x14ac:dyDescent="0.15">
      <c r="A30" s="4" t="s">
        <v>29</v>
      </c>
      <c r="B30" s="53"/>
      <c r="C30" s="9">
        <v>1</v>
      </c>
      <c r="D30" s="10"/>
      <c r="E30" s="5">
        <f t="shared" si="0"/>
        <v>1</v>
      </c>
      <c r="F30" s="8"/>
      <c r="G30" s="9"/>
      <c r="H30" s="10"/>
      <c r="I30" s="5">
        <f t="shared" si="1"/>
        <v>0</v>
      </c>
      <c r="J30" s="8"/>
      <c r="K30" s="9"/>
      <c r="L30" s="10"/>
      <c r="M30" s="5">
        <f t="shared" si="2"/>
        <v>0</v>
      </c>
      <c r="N30" s="65">
        <f t="shared" si="3"/>
        <v>1</v>
      </c>
      <c r="O30" s="63">
        <v>44707</v>
      </c>
    </row>
    <row r="31" spans="1:15" x14ac:dyDescent="0.15">
      <c r="A31" s="4" t="s">
        <v>29</v>
      </c>
      <c r="B31" s="53"/>
      <c r="C31" s="9"/>
      <c r="D31" s="10">
        <v>1</v>
      </c>
      <c r="E31" s="5">
        <f t="shared" si="0"/>
        <v>1</v>
      </c>
      <c r="F31" s="8"/>
      <c r="G31" s="9">
        <v>1</v>
      </c>
      <c r="H31" s="10"/>
      <c r="I31" s="5">
        <f t="shared" si="1"/>
        <v>1</v>
      </c>
      <c r="J31" s="8"/>
      <c r="K31" s="9">
        <v>1</v>
      </c>
      <c r="L31" s="10"/>
      <c r="M31" s="5">
        <f t="shared" si="2"/>
        <v>1</v>
      </c>
      <c r="N31" s="65">
        <f t="shared" si="3"/>
        <v>3</v>
      </c>
      <c r="O31" s="63">
        <v>44718</v>
      </c>
    </row>
    <row r="32" spans="1:15" x14ac:dyDescent="0.15">
      <c r="A32" s="4" t="s">
        <v>29</v>
      </c>
      <c r="B32" s="53"/>
      <c r="C32" s="9"/>
      <c r="D32" s="10"/>
      <c r="E32" s="5">
        <f t="shared" si="0"/>
        <v>0</v>
      </c>
      <c r="F32" s="8"/>
      <c r="G32" s="9">
        <v>1</v>
      </c>
      <c r="H32" s="10"/>
      <c r="I32" s="5">
        <f t="shared" si="1"/>
        <v>1</v>
      </c>
      <c r="J32" s="8"/>
      <c r="K32" s="9"/>
      <c r="L32" s="10"/>
      <c r="M32" s="5">
        <f t="shared" si="2"/>
        <v>0</v>
      </c>
      <c r="N32" s="65">
        <f t="shared" si="3"/>
        <v>1</v>
      </c>
      <c r="O32" s="63">
        <v>44742</v>
      </c>
    </row>
    <row r="33" spans="1:15" x14ac:dyDescent="0.15">
      <c r="A33" s="4" t="s">
        <v>29</v>
      </c>
      <c r="B33" s="53"/>
      <c r="C33" s="9"/>
      <c r="D33" s="10">
        <v>1</v>
      </c>
      <c r="E33" s="5">
        <f t="shared" si="0"/>
        <v>1</v>
      </c>
      <c r="F33" s="8"/>
      <c r="G33" s="9"/>
      <c r="H33" s="10"/>
      <c r="I33" s="5">
        <f t="shared" si="1"/>
        <v>0</v>
      </c>
      <c r="J33" s="8"/>
      <c r="K33" s="9">
        <v>1</v>
      </c>
      <c r="L33" s="10"/>
      <c r="M33" s="5">
        <f t="shared" si="2"/>
        <v>1</v>
      </c>
      <c r="N33" s="65">
        <f t="shared" si="3"/>
        <v>2</v>
      </c>
      <c r="O33" s="63">
        <v>44749</v>
      </c>
    </row>
    <row r="34" spans="1:15" x14ac:dyDescent="0.15">
      <c r="A34" s="4" t="s">
        <v>29</v>
      </c>
      <c r="B34" s="53"/>
      <c r="C34" s="9"/>
      <c r="D34" s="10">
        <v>1</v>
      </c>
      <c r="E34" s="5">
        <f t="shared" si="0"/>
        <v>1</v>
      </c>
      <c r="F34" s="8">
        <v>1</v>
      </c>
      <c r="G34" s="9"/>
      <c r="H34" s="10"/>
      <c r="I34" s="5">
        <f t="shared" si="1"/>
        <v>1</v>
      </c>
      <c r="J34" s="8"/>
      <c r="K34" s="9"/>
      <c r="L34" s="10">
        <v>1</v>
      </c>
      <c r="M34" s="5">
        <f t="shared" si="2"/>
        <v>1</v>
      </c>
      <c r="N34" s="65">
        <f t="shared" si="3"/>
        <v>3</v>
      </c>
      <c r="O34" s="63">
        <v>44754</v>
      </c>
    </row>
    <row r="35" spans="1:15" x14ac:dyDescent="0.15">
      <c r="A35" s="28" t="s">
        <v>140</v>
      </c>
      <c r="B35" s="53"/>
      <c r="C35" s="9"/>
      <c r="D35" s="10">
        <v>-1</v>
      </c>
      <c r="E35" s="5">
        <f t="shared" si="0"/>
        <v>-1</v>
      </c>
      <c r="F35" s="8"/>
      <c r="G35" s="9"/>
      <c r="H35" s="10">
        <v>-1</v>
      </c>
      <c r="I35" s="5">
        <f t="shared" si="1"/>
        <v>-1</v>
      </c>
      <c r="J35" s="8"/>
      <c r="K35" s="9"/>
      <c r="L35" s="10">
        <v>-1</v>
      </c>
      <c r="M35" s="5">
        <f t="shared" si="2"/>
        <v>-1</v>
      </c>
      <c r="N35" s="65">
        <f t="shared" si="3"/>
        <v>-3</v>
      </c>
      <c r="O35" s="63">
        <v>44754</v>
      </c>
    </row>
    <row r="36" spans="1:15" x14ac:dyDescent="0.15">
      <c r="A36" s="4" t="s">
        <v>29</v>
      </c>
      <c r="B36" s="8">
        <v>2</v>
      </c>
      <c r="C36" s="9"/>
      <c r="D36" s="10"/>
      <c r="E36" s="5">
        <f t="shared" si="0"/>
        <v>2</v>
      </c>
      <c r="F36" s="8"/>
      <c r="G36" s="9"/>
      <c r="H36" s="10"/>
      <c r="I36" s="5">
        <f t="shared" si="1"/>
        <v>0</v>
      </c>
      <c r="J36" s="8"/>
      <c r="K36" s="9"/>
      <c r="L36" s="10"/>
      <c r="M36" s="5">
        <f t="shared" si="2"/>
        <v>0</v>
      </c>
      <c r="N36" s="65">
        <f t="shared" si="3"/>
        <v>2</v>
      </c>
      <c r="O36" s="73">
        <v>44761</v>
      </c>
    </row>
    <row r="37" spans="1:15" x14ac:dyDescent="0.15">
      <c r="A37" s="4" t="s">
        <v>29</v>
      </c>
      <c r="B37" s="8"/>
      <c r="C37" s="9"/>
      <c r="D37" s="10"/>
      <c r="E37" s="5">
        <f t="shared" si="0"/>
        <v>0</v>
      </c>
      <c r="F37" s="8">
        <v>1</v>
      </c>
      <c r="G37" s="9"/>
      <c r="H37" s="10"/>
      <c r="I37" s="5">
        <f t="shared" si="1"/>
        <v>1</v>
      </c>
      <c r="J37" s="8"/>
      <c r="K37" s="9"/>
      <c r="L37" s="10">
        <v>1</v>
      </c>
      <c r="M37" s="5">
        <f t="shared" si="2"/>
        <v>1</v>
      </c>
      <c r="N37" s="65">
        <f t="shared" si="3"/>
        <v>2</v>
      </c>
      <c r="O37" s="63">
        <v>44771</v>
      </c>
    </row>
    <row r="38" spans="1:15" x14ac:dyDescent="0.15">
      <c r="A38" s="28" t="s">
        <v>140</v>
      </c>
      <c r="B38" s="8"/>
      <c r="C38" s="9">
        <v>-1</v>
      </c>
      <c r="D38" s="10">
        <v>-1</v>
      </c>
      <c r="E38" s="5">
        <f t="shared" si="0"/>
        <v>-2</v>
      </c>
      <c r="F38" s="8"/>
      <c r="G38" s="9">
        <v>-1</v>
      </c>
      <c r="H38" s="10">
        <v>-1</v>
      </c>
      <c r="I38" s="5">
        <f t="shared" si="1"/>
        <v>-2</v>
      </c>
      <c r="J38" s="8"/>
      <c r="K38" s="9">
        <v>-1</v>
      </c>
      <c r="L38" s="10">
        <v>-1</v>
      </c>
      <c r="M38" s="5">
        <f t="shared" si="2"/>
        <v>-2</v>
      </c>
      <c r="N38" s="65">
        <f t="shared" si="3"/>
        <v>-6</v>
      </c>
      <c r="O38" s="63">
        <v>44771</v>
      </c>
    </row>
    <row r="39" spans="1:15" ht="14.25" thickBot="1" x14ac:dyDescent="0.2">
      <c r="A39" s="4" t="s">
        <v>29</v>
      </c>
      <c r="B39" s="53">
        <v>1</v>
      </c>
      <c r="C39" s="9"/>
      <c r="D39" s="10"/>
      <c r="E39" s="5">
        <f t="shared" si="0"/>
        <v>1</v>
      </c>
      <c r="F39" s="8">
        <v>1</v>
      </c>
      <c r="G39" s="9">
        <v>1</v>
      </c>
      <c r="H39" s="10"/>
      <c r="I39" s="5">
        <f t="shared" si="1"/>
        <v>2</v>
      </c>
      <c r="J39" s="8"/>
      <c r="K39" s="9"/>
      <c r="L39" s="10"/>
      <c r="M39" s="5">
        <f t="shared" si="2"/>
        <v>0</v>
      </c>
      <c r="N39" s="68">
        <f t="shared" si="3"/>
        <v>3</v>
      </c>
      <c r="O39" s="63">
        <v>44781</v>
      </c>
    </row>
    <row r="40" spans="1:15" ht="14.25" thickBot="1" x14ac:dyDescent="0.2">
      <c r="A40" s="3" t="s">
        <v>5</v>
      </c>
      <c r="B40" s="22">
        <f>SUM(B16:B39)</f>
        <v>5</v>
      </c>
      <c r="C40" s="22">
        <f t="shared" ref="C40:N40" si="4">SUM(C16:C39)</f>
        <v>2</v>
      </c>
      <c r="D40" s="22">
        <f t="shared" si="4"/>
        <v>1</v>
      </c>
      <c r="E40" s="74">
        <f t="shared" si="4"/>
        <v>8</v>
      </c>
      <c r="F40" s="22">
        <f t="shared" si="4"/>
        <v>3</v>
      </c>
      <c r="G40" s="22">
        <f t="shared" si="4"/>
        <v>3</v>
      </c>
      <c r="H40" s="22">
        <f t="shared" si="4"/>
        <v>0</v>
      </c>
      <c r="I40" s="74">
        <f t="shared" si="4"/>
        <v>6</v>
      </c>
      <c r="J40" s="22">
        <f t="shared" si="4"/>
        <v>5</v>
      </c>
      <c r="K40" s="22">
        <f t="shared" si="4"/>
        <v>3</v>
      </c>
      <c r="L40" s="22">
        <f t="shared" si="4"/>
        <v>2</v>
      </c>
      <c r="M40" s="74">
        <f t="shared" si="4"/>
        <v>10</v>
      </c>
      <c r="N40" s="75">
        <f t="shared" si="4"/>
        <v>24</v>
      </c>
    </row>
    <row r="41" spans="1:15" ht="14.25" thickBot="1" x14ac:dyDescent="0.2">
      <c r="A41" s="25" t="s">
        <v>6</v>
      </c>
      <c r="B41" s="26">
        <f>B15-B40</f>
        <v>0</v>
      </c>
      <c r="C41" s="26">
        <f t="shared" ref="C41:N41" si="5">C15-C40</f>
        <v>1</v>
      </c>
      <c r="D41" s="26">
        <f t="shared" si="5"/>
        <v>1</v>
      </c>
      <c r="E41" s="26">
        <f t="shared" si="5"/>
        <v>2</v>
      </c>
      <c r="F41" s="26">
        <f t="shared" si="5"/>
        <v>2</v>
      </c>
      <c r="G41" s="26">
        <f t="shared" si="5"/>
        <v>0</v>
      </c>
      <c r="H41" s="26">
        <f t="shared" si="5"/>
        <v>2</v>
      </c>
      <c r="I41" s="26">
        <f t="shared" si="5"/>
        <v>4</v>
      </c>
      <c r="J41" s="26">
        <f t="shared" si="5"/>
        <v>0</v>
      </c>
      <c r="K41" s="26">
        <f t="shared" si="5"/>
        <v>0</v>
      </c>
      <c r="L41" s="26">
        <f t="shared" si="5"/>
        <v>0</v>
      </c>
      <c r="M41" s="26">
        <f t="shared" si="5"/>
        <v>0</v>
      </c>
      <c r="N41" s="75">
        <f t="shared" si="5"/>
        <v>6</v>
      </c>
    </row>
    <row r="44" spans="1:15" ht="18" thickBot="1" x14ac:dyDescent="0.25">
      <c r="A44" s="29" t="s">
        <v>56</v>
      </c>
      <c r="B44" s="1"/>
      <c r="C44" s="1"/>
      <c r="D44" s="1"/>
      <c r="E44" s="56"/>
      <c r="F44" s="40"/>
      <c r="G44" s="29"/>
      <c r="H44" s="1"/>
      <c r="I44" s="1"/>
      <c r="J44" s="1"/>
      <c r="K44" s="56"/>
      <c r="L44" s="40"/>
      <c r="M44" s="29"/>
      <c r="N44" s="1"/>
    </row>
    <row r="45" spans="1:15" ht="14.25" thickBot="1" x14ac:dyDescent="0.2">
      <c r="A45" s="2" t="s">
        <v>0</v>
      </c>
      <c r="B45" s="103" t="s">
        <v>49</v>
      </c>
      <c r="C45" s="103"/>
      <c r="D45" s="103"/>
      <c r="E45" s="104"/>
      <c r="F45" s="103" t="s">
        <v>50</v>
      </c>
      <c r="G45" s="103"/>
      <c r="H45" s="103"/>
      <c r="I45" s="104"/>
      <c r="J45" s="103" t="s">
        <v>51</v>
      </c>
      <c r="K45" s="103"/>
      <c r="L45" s="103"/>
      <c r="M45" s="103"/>
      <c r="N45" s="105"/>
    </row>
    <row r="46" spans="1:15" ht="14.25" thickBot="1" x14ac:dyDescent="0.2">
      <c r="A46" s="2" t="s">
        <v>1</v>
      </c>
      <c r="B46" s="3" t="s">
        <v>52</v>
      </c>
      <c r="C46" s="2" t="s">
        <v>53</v>
      </c>
      <c r="D46" s="19" t="s">
        <v>54</v>
      </c>
      <c r="E46" s="2" t="s">
        <v>2</v>
      </c>
      <c r="F46" s="3" t="s">
        <v>52</v>
      </c>
      <c r="G46" s="2" t="s">
        <v>53</v>
      </c>
      <c r="H46" s="19" t="s">
        <v>54</v>
      </c>
      <c r="I46" s="2" t="s">
        <v>2</v>
      </c>
      <c r="J46" s="3" t="s">
        <v>52</v>
      </c>
      <c r="K46" s="2" t="s">
        <v>53</v>
      </c>
      <c r="L46" s="19" t="s">
        <v>54</v>
      </c>
      <c r="M46" s="3" t="s">
        <v>2</v>
      </c>
      <c r="N46" s="106"/>
    </row>
    <row r="47" spans="1:15" ht="14.25" thickBot="1" x14ac:dyDescent="0.2">
      <c r="A47" s="60" t="s">
        <v>55</v>
      </c>
      <c r="B47" s="61">
        <f>B41</f>
        <v>0</v>
      </c>
      <c r="C47" s="21">
        <f>C41</f>
        <v>1</v>
      </c>
      <c r="D47" s="61">
        <f>D41</f>
        <v>1</v>
      </c>
      <c r="E47" s="24">
        <f t="shared" ref="E47:E82" si="6">SUM(B47:D47)</f>
        <v>2</v>
      </c>
      <c r="F47" s="61">
        <f>F41</f>
        <v>2</v>
      </c>
      <c r="G47" s="21">
        <f>G41</f>
        <v>0</v>
      </c>
      <c r="H47" s="61">
        <f>H41</f>
        <v>2</v>
      </c>
      <c r="I47" s="24">
        <f t="shared" ref="I47:I82" si="7">SUM(F47:H47)</f>
        <v>4</v>
      </c>
      <c r="J47" s="61">
        <f>J41</f>
        <v>0</v>
      </c>
      <c r="K47" s="21">
        <f>K41</f>
        <v>0</v>
      </c>
      <c r="L47" s="61">
        <f>L41</f>
        <v>0</v>
      </c>
      <c r="M47" s="24">
        <f t="shared" ref="M47:M82" si="8">SUM(J47:L47)</f>
        <v>0</v>
      </c>
      <c r="N47" s="62">
        <f t="shared" ref="N47:N82" si="9">E47+I47+M47</f>
        <v>6</v>
      </c>
      <c r="O47" s="63"/>
    </row>
    <row r="48" spans="1:15" x14ac:dyDescent="0.15">
      <c r="A48" s="85" t="s">
        <v>150</v>
      </c>
      <c r="B48" s="86">
        <v>0</v>
      </c>
      <c r="C48" s="85">
        <v>0</v>
      </c>
      <c r="D48" s="86">
        <v>0</v>
      </c>
      <c r="E48" s="83">
        <f t="shared" si="6"/>
        <v>0</v>
      </c>
      <c r="F48" s="86">
        <v>0</v>
      </c>
      <c r="G48" s="85">
        <v>0</v>
      </c>
      <c r="H48" s="86">
        <v>0</v>
      </c>
      <c r="I48" s="83">
        <f t="shared" si="7"/>
        <v>0</v>
      </c>
      <c r="J48" s="86">
        <v>0</v>
      </c>
      <c r="K48" s="85">
        <v>0</v>
      </c>
      <c r="L48" s="86">
        <v>0</v>
      </c>
      <c r="M48" s="83">
        <f t="shared" si="8"/>
        <v>0</v>
      </c>
      <c r="N48" s="87">
        <f t="shared" si="9"/>
        <v>0</v>
      </c>
      <c r="O48" s="88">
        <v>44798</v>
      </c>
    </row>
    <row r="49" spans="1:15" x14ac:dyDescent="0.15">
      <c r="A49" s="6" t="s">
        <v>3</v>
      </c>
      <c r="B49" s="16"/>
      <c r="C49" s="11"/>
      <c r="D49" s="16"/>
      <c r="E49" s="5">
        <f t="shared" si="6"/>
        <v>0</v>
      </c>
      <c r="F49" s="16"/>
      <c r="G49" s="11"/>
      <c r="H49" s="16"/>
      <c r="I49" s="5">
        <f t="shared" si="7"/>
        <v>0</v>
      </c>
      <c r="J49" s="16"/>
      <c r="K49" s="11"/>
      <c r="L49" s="16"/>
      <c r="M49" s="5">
        <f t="shared" si="8"/>
        <v>0</v>
      </c>
      <c r="N49" s="65">
        <f t="shared" si="9"/>
        <v>0</v>
      </c>
      <c r="O49" s="63"/>
    </row>
    <row r="50" spans="1:15" x14ac:dyDescent="0.15">
      <c r="A50" s="6" t="s">
        <v>3</v>
      </c>
      <c r="B50" s="16"/>
      <c r="C50" s="11"/>
      <c r="D50" s="16"/>
      <c r="E50" s="5">
        <f t="shared" si="6"/>
        <v>0</v>
      </c>
      <c r="F50" s="16"/>
      <c r="G50" s="11"/>
      <c r="H50" s="16"/>
      <c r="I50" s="5">
        <f t="shared" si="7"/>
        <v>0</v>
      </c>
      <c r="J50" s="16"/>
      <c r="K50" s="11"/>
      <c r="L50" s="16"/>
      <c r="M50" s="5">
        <f t="shared" si="8"/>
        <v>0</v>
      </c>
      <c r="N50" s="65">
        <f t="shared" si="9"/>
        <v>0</v>
      </c>
      <c r="O50" s="63"/>
    </row>
    <row r="51" spans="1:15" x14ac:dyDescent="0.15">
      <c r="A51" s="6" t="s">
        <v>3</v>
      </c>
      <c r="B51" s="16"/>
      <c r="C51" s="11"/>
      <c r="D51" s="16"/>
      <c r="E51" s="5">
        <f t="shared" si="6"/>
        <v>0</v>
      </c>
      <c r="F51" s="16"/>
      <c r="G51" s="11"/>
      <c r="H51" s="16"/>
      <c r="I51" s="5">
        <f t="shared" si="7"/>
        <v>0</v>
      </c>
      <c r="J51" s="16"/>
      <c r="K51" s="11"/>
      <c r="L51" s="16"/>
      <c r="M51" s="5">
        <f t="shared" si="8"/>
        <v>0</v>
      </c>
      <c r="N51" s="65">
        <f t="shared" si="9"/>
        <v>0</v>
      </c>
      <c r="O51" s="63"/>
    </row>
    <row r="52" spans="1:15" x14ac:dyDescent="0.15">
      <c r="A52" s="6" t="s">
        <v>3</v>
      </c>
      <c r="B52" s="16"/>
      <c r="C52" s="11"/>
      <c r="D52" s="16"/>
      <c r="E52" s="5">
        <f t="shared" si="6"/>
        <v>0</v>
      </c>
      <c r="F52" s="16"/>
      <c r="G52" s="11"/>
      <c r="H52" s="16"/>
      <c r="I52" s="5">
        <f t="shared" si="7"/>
        <v>0</v>
      </c>
      <c r="J52" s="16"/>
      <c r="K52" s="11"/>
      <c r="L52" s="16"/>
      <c r="M52" s="5">
        <f t="shared" si="8"/>
        <v>0</v>
      </c>
      <c r="N52" s="65">
        <f t="shared" si="9"/>
        <v>0</v>
      </c>
      <c r="O52" s="63"/>
    </row>
    <row r="53" spans="1:15" x14ac:dyDescent="0.15">
      <c r="A53" s="6" t="s">
        <v>3</v>
      </c>
      <c r="B53" s="16"/>
      <c r="C53" s="11"/>
      <c r="D53" s="16"/>
      <c r="E53" s="5">
        <f t="shared" si="6"/>
        <v>0</v>
      </c>
      <c r="F53" s="16"/>
      <c r="G53" s="11"/>
      <c r="H53" s="16"/>
      <c r="I53" s="5">
        <f t="shared" si="7"/>
        <v>0</v>
      </c>
      <c r="J53" s="16"/>
      <c r="K53" s="11"/>
      <c r="L53" s="16"/>
      <c r="M53" s="5">
        <f t="shared" si="8"/>
        <v>0</v>
      </c>
      <c r="N53" s="65">
        <f t="shared" si="9"/>
        <v>0</v>
      </c>
      <c r="O53" s="63"/>
    </row>
    <row r="54" spans="1:15" x14ac:dyDescent="0.15">
      <c r="A54" s="6" t="s">
        <v>3</v>
      </c>
      <c r="B54" s="10"/>
      <c r="C54" s="9"/>
      <c r="D54" s="10"/>
      <c r="E54" s="5">
        <f t="shared" si="6"/>
        <v>0</v>
      </c>
      <c r="F54" s="10"/>
      <c r="G54" s="9"/>
      <c r="H54" s="10"/>
      <c r="I54" s="5">
        <f t="shared" si="7"/>
        <v>0</v>
      </c>
      <c r="J54" s="10"/>
      <c r="K54" s="9"/>
      <c r="L54" s="10"/>
      <c r="M54" s="5">
        <f t="shared" si="8"/>
        <v>0</v>
      </c>
      <c r="N54" s="65">
        <f t="shared" si="9"/>
        <v>0</v>
      </c>
      <c r="O54" s="30"/>
    </row>
    <row r="55" spans="1:15" x14ac:dyDescent="0.15">
      <c r="A55" s="6" t="s">
        <v>3</v>
      </c>
      <c r="B55" s="10"/>
      <c r="C55" s="9"/>
      <c r="D55" s="10"/>
      <c r="E55" s="5">
        <f t="shared" si="6"/>
        <v>0</v>
      </c>
      <c r="F55" s="10"/>
      <c r="G55" s="9"/>
      <c r="H55" s="10"/>
      <c r="I55" s="5">
        <f t="shared" si="7"/>
        <v>0</v>
      </c>
      <c r="J55" s="10"/>
      <c r="K55" s="9"/>
      <c r="L55" s="10"/>
      <c r="M55" s="5">
        <f t="shared" si="8"/>
        <v>0</v>
      </c>
      <c r="N55" s="65">
        <f t="shared" si="9"/>
        <v>0</v>
      </c>
      <c r="O55" s="30"/>
    </row>
    <row r="56" spans="1:15" x14ac:dyDescent="0.15">
      <c r="A56" s="6" t="s">
        <v>3</v>
      </c>
      <c r="B56" s="10"/>
      <c r="C56" s="9"/>
      <c r="D56" s="10"/>
      <c r="E56" s="5">
        <f t="shared" si="6"/>
        <v>0</v>
      </c>
      <c r="F56" s="10"/>
      <c r="G56" s="9"/>
      <c r="H56" s="10"/>
      <c r="I56" s="5">
        <f t="shared" si="7"/>
        <v>0</v>
      </c>
      <c r="J56" s="10"/>
      <c r="K56" s="9"/>
      <c r="L56" s="10"/>
      <c r="M56" s="5">
        <f t="shared" si="8"/>
        <v>0</v>
      </c>
      <c r="N56" s="65">
        <f t="shared" si="9"/>
        <v>0</v>
      </c>
      <c r="O56" s="30"/>
    </row>
    <row r="57" spans="1:15" ht="14.25" thickBot="1" x14ac:dyDescent="0.2">
      <c r="A57" s="66" t="s">
        <v>3</v>
      </c>
      <c r="B57" s="13"/>
      <c r="C57" s="12"/>
      <c r="D57" s="13"/>
      <c r="E57" s="67">
        <f t="shared" si="6"/>
        <v>0</v>
      </c>
      <c r="F57" s="13"/>
      <c r="G57" s="12"/>
      <c r="H57" s="13"/>
      <c r="I57" s="67">
        <f t="shared" si="7"/>
        <v>0</v>
      </c>
      <c r="J57" s="13"/>
      <c r="K57" s="12"/>
      <c r="L57" s="13"/>
      <c r="M57" s="67">
        <f t="shared" si="8"/>
        <v>0</v>
      </c>
      <c r="N57" s="68">
        <f t="shared" si="9"/>
        <v>0</v>
      </c>
      <c r="O57" s="30"/>
    </row>
    <row r="58" spans="1:15" ht="14.25" thickBot="1" x14ac:dyDescent="0.2">
      <c r="A58" s="21" t="s">
        <v>4</v>
      </c>
      <c r="B58" s="22">
        <f>SUM(B47:B57)</f>
        <v>0</v>
      </c>
      <c r="C58" s="22">
        <f>SUM(C47:C57)</f>
        <v>1</v>
      </c>
      <c r="D58" s="23">
        <f>SUM(D47:D57)</f>
        <v>1</v>
      </c>
      <c r="E58" s="24">
        <f t="shared" si="6"/>
        <v>2</v>
      </c>
      <c r="F58" s="22">
        <f>SUM(F47:F57)</f>
        <v>2</v>
      </c>
      <c r="G58" s="22">
        <f>SUM(G47:G57)</f>
        <v>0</v>
      </c>
      <c r="H58" s="23">
        <f>SUM(H47:H57)</f>
        <v>2</v>
      </c>
      <c r="I58" s="24">
        <f t="shared" si="7"/>
        <v>4</v>
      </c>
      <c r="J58" s="22">
        <f>SUM(J47:J57)</f>
        <v>0</v>
      </c>
      <c r="K58" s="22">
        <f>SUM(K47:K57)</f>
        <v>0</v>
      </c>
      <c r="L58" s="23">
        <f>SUM(L47:L57)</f>
        <v>0</v>
      </c>
      <c r="M58" s="24">
        <f t="shared" si="8"/>
        <v>0</v>
      </c>
      <c r="N58" s="62">
        <f t="shared" si="9"/>
        <v>6</v>
      </c>
    </row>
    <row r="59" spans="1:15" x14ac:dyDescent="0.15">
      <c r="A59" s="4" t="s">
        <v>29</v>
      </c>
      <c r="B59" s="69"/>
      <c r="C59" s="70"/>
      <c r="D59" s="71">
        <v>1</v>
      </c>
      <c r="E59" s="5">
        <f t="shared" si="6"/>
        <v>1</v>
      </c>
      <c r="F59" s="69"/>
      <c r="G59" s="70"/>
      <c r="H59" s="71"/>
      <c r="I59" s="5">
        <f t="shared" si="7"/>
        <v>0</v>
      </c>
      <c r="J59" s="69"/>
      <c r="K59" s="70"/>
      <c r="L59" s="71"/>
      <c r="M59" s="5">
        <f t="shared" si="8"/>
        <v>0</v>
      </c>
      <c r="N59" s="65">
        <f t="shared" si="9"/>
        <v>1</v>
      </c>
      <c r="O59" s="63">
        <v>44795</v>
      </c>
    </row>
    <row r="60" spans="1:15" x14ac:dyDescent="0.15">
      <c r="A60" s="4" t="s">
        <v>29</v>
      </c>
      <c r="B60" s="8"/>
      <c r="C60" s="9"/>
      <c r="D60" s="10"/>
      <c r="E60" s="5">
        <f t="shared" si="6"/>
        <v>0</v>
      </c>
      <c r="F60" s="8">
        <v>1</v>
      </c>
      <c r="G60" s="9"/>
      <c r="H60" s="10"/>
      <c r="I60" s="5">
        <f t="shared" si="7"/>
        <v>1</v>
      </c>
      <c r="J60" s="8"/>
      <c r="K60" s="9"/>
      <c r="L60" s="10"/>
      <c r="M60" s="5">
        <f t="shared" si="8"/>
        <v>0</v>
      </c>
      <c r="N60" s="65">
        <f t="shared" si="9"/>
        <v>1</v>
      </c>
      <c r="O60" s="63">
        <v>45103</v>
      </c>
    </row>
    <row r="61" spans="1:15" x14ac:dyDescent="0.15">
      <c r="A61" s="4" t="s">
        <v>29</v>
      </c>
      <c r="B61" s="8"/>
      <c r="C61" s="9"/>
      <c r="D61" s="10"/>
      <c r="E61" s="5">
        <f t="shared" si="6"/>
        <v>0</v>
      </c>
      <c r="F61" s="8"/>
      <c r="G61" s="9"/>
      <c r="H61" s="10">
        <v>1</v>
      </c>
      <c r="I61" s="5">
        <f t="shared" si="7"/>
        <v>1</v>
      </c>
      <c r="J61" s="8"/>
      <c r="K61" s="9"/>
      <c r="L61" s="10"/>
      <c r="M61" s="5">
        <f t="shared" si="8"/>
        <v>0</v>
      </c>
      <c r="N61" s="65">
        <f t="shared" si="9"/>
        <v>1</v>
      </c>
      <c r="O61" s="63">
        <v>45134</v>
      </c>
    </row>
    <row r="62" spans="1:15" x14ac:dyDescent="0.15">
      <c r="A62" s="4" t="s">
        <v>192</v>
      </c>
      <c r="B62" s="8"/>
      <c r="C62" s="9"/>
      <c r="D62" s="10"/>
      <c r="E62" s="5">
        <f t="shared" si="6"/>
        <v>0</v>
      </c>
      <c r="F62" s="8"/>
      <c r="G62" s="9"/>
      <c r="H62" s="10">
        <v>1</v>
      </c>
      <c r="I62" s="5">
        <f t="shared" si="7"/>
        <v>1</v>
      </c>
      <c r="J62" s="8"/>
      <c r="K62" s="9"/>
      <c r="L62" s="10"/>
      <c r="M62" s="5">
        <f t="shared" si="8"/>
        <v>0</v>
      </c>
      <c r="N62" s="65">
        <f t="shared" si="9"/>
        <v>1</v>
      </c>
      <c r="O62" s="63">
        <v>45138</v>
      </c>
    </row>
    <row r="63" spans="1:15" x14ac:dyDescent="0.15">
      <c r="A63" s="4" t="s">
        <v>29</v>
      </c>
      <c r="B63" s="8"/>
      <c r="C63" s="9"/>
      <c r="D63" s="10"/>
      <c r="E63" s="5">
        <f t="shared" si="6"/>
        <v>0</v>
      </c>
      <c r="F63" s="8">
        <v>1</v>
      </c>
      <c r="G63" s="9"/>
      <c r="H63" s="10"/>
      <c r="I63" s="5">
        <f t="shared" si="7"/>
        <v>1</v>
      </c>
      <c r="J63" s="8"/>
      <c r="K63" s="9"/>
      <c r="L63" s="10"/>
      <c r="M63" s="5">
        <f t="shared" si="8"/>
        <v>0</v>
      </c>
      <c r="N63" s="65">
        <f t="shared" si="9"/>
        <v>1</v>
      </c>
      <c r="O63" s="63">
        <v>45254</v>
      </c>
    </row>
    <row r="64" spans="1:15" x14ac:dyDescent="0.15">
      <c r="A64" s="4" t="s">
        <v>29</v>
      </c>
      <c r="B64" s="8"/>
      <c r="C64" s="9">
        <v>1</v>
      </c>
      <c r="D64" s="10"/>
      <c r="E64" s="5">
        <f t="shared" si="6"/>
        <v>1</v>
      </c>
      <c r="F64" s="8"/>
      <c r="G64" s="9"/>
      <c r="H64" s="10"/>
      <c r="I64" s="5">
        <f t="shared" si="7"/>
        <v>0</v>
      </c>
      <c r="J64" s="8"/>
      <c r="K64" s="9"/>
      <c r="L64" s="10"/>
      <c r="M64" s="5">
        <f t="shared" si="8"/>
        <v>0</v>
      </c>
      <c r="N64" s="65">
        <f t="shared" si="9"/>
        <v>1</v>
      </c>
      <c r="O64" s="63">
        <v>45453</v>
      </c>
    </row>
    <row r="65" spans="1:15" x14ac:dyDescent="0.15">
      <c r="A65" s="11"/>
      <c r="B65" s="8"/>
      <c r="C65" s="9"/>
      <c r="D65" s="10"/>
      <c r="E65" s="5">
        <f t="shared" si="6"/>
        <v>0</v>
      </c>
      <c r="F65" s="8"/>
      <c r="G65" s="9"/>
      <c r="H65" s="10"/>
      <c r="I65" s="5">
        <f t="shared" si="7"/>
        <v>0</v>
      </c>
      <c r="J65" s="8"/>
      <c r="K65" s="9"/>
      <c r="L65" s="10"/>
      <c r="M65" s="5">
        <f t="shared" si="8"/>
        <v>0</v>
      </c>
      <c r="N65" s="65">
        <f t="shared" si="9"/>
        <v>0</v>
      </c>
      <c r="O65" s="63"/>
    </row>
    <row r="66" spans="1:15" x14ac:dyDescent="0.15">
      <c r="A66" s="4"/>
      <c r="B66" s="8"/>
      <c r="C66" s="9"/>
      <c r="D66" s="10"/>
      <c r="E66" s="5">
        <f t="shared" si="6"/>
        <v>0</v>
      </c>
      <c r="F66" s="8"/>
      <c r="G66" s="9"/>
      <c r="H66" s="10"/>
      <c r="I66" s="5">
        <f t="shared" si="7"/>
        <v>0</v>
      </c>
      <c r="J66" s="8"/>
      <c r="K66" s="9"/>
      <c r="L66" s="10"/>
      <c r="M66" s="5">
        <f t="shared" si="8"/>
        <v>0</v>
      </c>
      <c r="N66" s="65">
        <f t="shared" si="9"/>
        <v>0</v>
      </c>
      <c r="O66" s="63"/>
    </row>
    <row r="67" spans="1:15" x14ac:dyDescent="0.15">
      <c r="A67" s="72"/>
      <c r="B67" s="8"/>
      <c r="C67" s="9"/>
      <c r="D67" s="10"/>
      <c r="E67" s="5">
        <f t="shared" si="6"/>
        <v>0</v>
      </c>
      <c r="F67" s="8"/>
      <c r="G67" s="9"/>
      <c r="H67" s="10"/>
      <c r="I67" s="5">
        <f t="shared" si="7"/>
        <v>0</v>
      </c>
      <c r="J67" s="8"/>
      <c r="K67" s="9"/>
      <c r="L67" s="10"/>
      <c r="M67" s="5">
        <f t="shared" si="8"/>
        <v>0</v>
      </c>
      <c r="N67" s="65">
        <f t="shared" si="9"/>
        <v>0</v>
      </c>
      <c r="O67" s="63"/>
    </row>
    <row r="68" spans="1:15" x14ac:dyDescent="0.15">
      <c r="A68" s="11"/>
      <c r="B68" s="8"/>
      <c r="C68" s="9"/>
      <c r="D68" s="10"/>
      <c r="E68" s="5">
        <f t="shared" si="6"/>
        <v>0</v>
      </c>
      <c r="F68" s="8"/>
      <c r="G68" s="9"/>
      <c r="H68" s="10"/>
      <c r="I68" s="5">
        <f t="shared" si="7"/>
        <v>0</v>
      </c>
      <c r="J68" s="8"/>
      <c r="K68" s="9"/>
      <c r="L68" s="10"/>
      <c r="M68" s="5">
        <f t="shared" si="8"/>
        <v>0</v>
      </c>
      <c r="N68" s="65">
        <f t="shared" si="9"/>
        <v>0</v>
      </c>
      <c r="O68" s="63"/>
    </row>
    <row r="69" spans="1:15" x14ac:dyDescent="0.15">
      <c r="A69" s="11"/>
      <c r="B69" s="8"/>
      <c r="C69" s="9"/>
      <c r="D69" s="10"/>
      <c r="E69" s="5">
        <f t="shared" si="6"/>
        <v>0</v>
      </c>
      <c r="F69" s="8"/>
      <c r="G69" s="9"/>
      <c r="H69" s="10"/>
      <c r="I69" s="5">
        <f t="shared" si="7"/>
        <v>0</v>
      </c>
      <c r="J69" s="8"/>
      <c r="K69" s="9"/>
      <c r="L69" s="10"/>
      <c r="M69" s="5">
        <f t="shared" si="8"/>
        <v>0</v>
      </c>
      <c r="N69" s="65">
        <f t="shared" si="9"/>
        <v>0</v>
      </c>
      <c r="O69" s="63"/>
    </row>
    <row r="70" spans="1:15" x14ac:dyDescent="0.15">
      <c r="A70" s="4"/>
      <c r="B70" s="53"/>
      <c r="C70" s="9"/>
      <c r="D70" s="10"/>
      <c r="E70" s="5">
        <f t="shared" si="6"/>
        <v>0</v>
      </c>
      <c r="F70" s="8"/>
      <c r="G70" s="9"/>
      <c r="H70" s="10"/>
      <c r="I70" s="5">
        <f t="shared" si="7"/>
        <v>0</v>
      </c>
      <c r="J70" s="8"/>
      <c r="K70" s="9"/>
      <c r="L70" s="10"/>
      <c r="M70" s="5">
        <f t="shared" si="8"/>
        <v>0</v>
      </c>
      <c r="N70" s="65">
        <f t="shared" si="9"/>
        <v>0</v>
      </c>
      <c r="O70" s="73"/>
    </row>
    <row r="71" spans="1:15" x14ac:dyDescent="0.15">
      <c r="A71" s="4"/>
      <c r="B71" s="53"/>
      <c r="C71" s="9"/>
      <c r="D71" s="10"/>
      <c r="E71" s="5">
        <f t="shared" si="6"/>
        <v>0</v>
      </c>
      <c r="F71" s="8"/>
      <c r="G71" s="9"/>
      <c r="H71" s="10"/>
      <c r="I71" s="5">
        <f t="shared" si="7"/>
        <v>0</v>
      </c>
      <c r="J71" s="8"/>
      <c r="K71" s="9"/>
      <c r="L71" s="10"/>
      <c r="M71" s="5">
        <f t="shared" si="8"/>
        <v>0</v>
      </c>
      <c r="N71" s="65">
        <f t="shared" si="9"/>
        <v>0</v>
      </c>
      <c r="O71" s="73"/>
    </row>
    <row r="72" spans="1:15" x14ac:dyDescent="0.15">
      <c r="A72" s="11"/>
      <c r="B72" s="53"/>
      <c r="C72" s="9"/>
      <c r="D72" s="10"/>
      <c r="E72" s="5">
        <f t="shared" si="6"/>
        <v>0</v>
      </c>
      <c r="F72" s="8"/>
      <c r="G72" s="9"/>
      <c r="H72" s="10"/>
      <c r="I72" s="5">
        <f t="shared" si="7"/>
        <v>0</v>
      </c>
      <c r="J72" s="8"/>
      <c r="K72" s="9"/>
      <c r="L72" s="10"/>
      <c r="M72" s="5">
        <f t="shared" si="8"/>
        <v>0</v>
      </c>
      <c r="N72" s="65">
        <f t="shared" si="9"/>
        <v>0</v>
      </c>
      <c r="O72" s="73"/>
    </row>
    <row r="73" spans="1:15" x14ac:dyDescent="0.15">
      <c r="A73" s="28"/>
      <c r="B73" s="53"/>
      <c r="C73" s="9"/>
      <c r="D73" s="10"/>
      <c r="E73" s="5">
        <f t="shared" si="6"/>
        <v>0</v>
      </c>
      <c r="F73" s="8"/>
      <c r="G73" s="9"/>
      <c r="H73" s="10"/>
      <c r="I73" s="5">
        <f t="shared" si="7"/>
        <v>0</v>
      </c>
      <c r="J73" s="8"/>
      <c r="K73" s="9"/>
      <c r="L73" s="10"/>
      <c r="M73" s="5">
        <f t="shared" si="8"/>
        <v>0</v>
      </c>
      <c r="N73" s="65">
        <f t="shared" si="9"/>
        <v>0</v>
      </c>
      <c r="O73" s="63"/>
    </row>
    <row r="74" spans="1:15" x14ac:dyDescent="0.15">
      <c r="A74" s="11"/>
      <c r="B74" s="53"/>
      <c r="C74" s="9"/>
      <c r="D74" s="10"/>
      <c r="E74" s="5">
        <f t="shared" si="6"/>
        <v>0</v>
      </c>
      <c r="F74" s="8"/>
      <c r="G74" s="9"/>
      <c r="H74" s="10"/>
      <c r="I74" s="5">
        <f t="shared" si="7"/>
        <v>0</v>
      </c>
      <c r="J74" s="8"/>
      <c r="K74" s="9"/>
      <c r="L74" s="10"/>
      <c r="M74" s="5">
        <f t="shared" si="8"/>
        <v>0</v>
      </c>
      <c r="N74" s="65">
        <f t="shared" si="9"/>
        <v>0</v>
      </c>
      <c r="O74" s="63"/>
    </row>
    <row r="75" spans="1:15" x14ac:dyDescent="0.15">
      <c r="A75" s="11"/>
      <c r="B75" s="53"/>
      <c r="C75" s="9"/>
      <c r="D75" s="10"/>
      <c r="E75" s="5">
        <f t="shared" si="6"/>
        <v>0</v>
      </c>
      <c r="F75" s="8"/>
      <c r="G75" s="9"/>
      <c r="H75" s="10"/>
      <c r="I75" s="5">
        <f t="shared" si="7"/>
        <v>0</v>
      </c>
      <c r="J75" s="8"/>
      <c r="K75" s="9"/>
      <c r="L75" s="10"/>
      <c r="M75" s="5">
        <f t="shared" si="8"/>
        <v>0</v>
      </c>
      <c r="N75" s="65">
        <f t="shared" si="9"/>
        <v>0</v>
      </c>
      <c r="O75" s="63"/>
    </row>
    <row r="76" spans="1:15" x14ac:dyDescent="0.15">
      <c r="A76" s="11"/>
      <c r="B76" s="53"/>
      <c r="C76" s="9"/>
      <c r="D76" s="10"/>
      <c r="E76" s="5">
        <f t="shared" si="6"/>
        <v>0</v>
      </c>
      <c r="F76" s="8"/>
      <c r="G76" s="9"/>
      <c r="H76" s="10"/>
      <c r="I76" s="5">
        <f t="shared" si="7"/>
        <v>0</v>
      </c>
      <c r="J76" s="8"/>
      <c r="K76" s="9"/>
      <c r="L76" s="10"/>
      <c r="M76" s="5">
        <f t="shared" si="8"/>
        <v>0</v>
      </c>
      <c r="N76" s="65">
        <f t="shared" si="9"/>
        <v>0</v>
      </c>
      <c r="O76" s="63"/>
    </row>
    <row r="77" spans="1:15" x14ac:dyDescent="0.15">
      <c r="A77" s="11"/>
      <c r="B77" s="53"/>
      <c r="C77" s="9"/>
      <c r="D77" s="10"/>
      <c r="E77" s="5">
        <f t="shared" si="6"/>
        <v>0</v>
      </c>
      <c r="F77" s="8"/>
      <c r="G77" s="9"/>
      <c r="H77" s="10"/>
      <c r="I77" s="5">
        <f t="shared" si="7"/>
        <v>0</v>
      </c>
      <c r="J77" s="8"/>
      <c r="K77" s="9"/>
      <c r="L77" s="10"/>
      <c r="M77" s="5">
        <f t="shared" si="8"/>
        <v>0</v>
      </c>
      <c r="N77" s="65">
        <f t="shared" si="9"/>
        <v>0</v>
      </c>
      <c r="O77" s="63"/>
    </row>
    <row r="78" spans="1:15" x14ac:dyDescent="0.15">
      <c r="A78" s="28"/>
      <c r="B78" s="53"/>
      <c r="C78" s="9"/>
      <c r="D78" s="10"/>
      <c r="E78" s="5">
        <f t="shared" si="6"/>
        <v>0</v>
      </c>
      <c r="F78" s="8"/>
      <c r="G78" s="9"/>
      <c r="H78" s="10"/>
      <c r="I78" s="5">
        <f t="shared" si="7"/>
        <v>0</v>
      </c>
      <c r="J78" s="8"/>
      <c r="K78" s="9"/>
      <c r="L78" s="10"/>
      <c r="M78" s="5">
        <f t="shared" si="8"/>
        <v>0</v>
      </c>
      <c r="N78" s="65">
        <f t="shared" si="9"/>
        <v>0</v>
      </c>
      <c r="O78" s="63"/>
    </row>
    <row r="79" spans="1:15" x14ac:dyDescent="0.15">
      <c r="A79" s="11"/>
      <c r="B79" s="53"/>
      <c r="C79" s="9"/>
      <c r="D79" s="10"/>
      <c r="E79" s="5">
        <f t="shared" si="6"/>
        <v>0</v>
      </c>
      <c r="F79" s="8"/>
      <c r="G79" s="9"/>
      <c r="H79" s="10"/>
      <c r="I79" s="5">
        <f t="shared" si="7"/>
        <v>0</v>
      </c>
      <c r="J79" s="8"/>
      <c r="K79" s="9"/>
      <c r="L79" s="10"/>
      <c r="M79" s="5">
        <f t="shared" si="8"/>
        <v>0</v>
      </c>
      <c r="N79" s="65">
        <f t="shared" si="9"/>
        <v>0</v>
      </c>
      <c r="O79" s="73"/>
    </row>
    <row r="80" spans="1:15" x14ac:dyDescent="0.15">
      <c r="A80" s="11"/>
      <c r="B80" s="53"/>
      <c r="C80" s="9"/>
      <c r="D80" s="10"/>
      <c r="E80" s="5">
        <f t="shared" si="6"/>
        <v>0</v>
      </c>
      <c r="F80" s="8"/>
      <c r="G80" s="9"/>
      <c r="H80" s="10"/>
      <c r="I80" s="5">
        <f t="shared" si="7"/>
        <v>0</v>
      </c>
      <c r="J80" s="8"/>
      <c r="K80" s="9"/>
      <c r="L80" s="10"/>
      <c r="M80" s="5">
        <f t="shared" si="8"/>
        <v>0</v>
      </c>
      <c r="N80" s="65">
        <f t="shared" si="9"/>
        <v>0</v>
      </c>
      <c r="O80" s="63"/>
    </row>
    <row r="81" spans="1:15" x14ac:dyDescent="0.15">
      <c r="A81" s="11"/>
      <c r="B81" s="53"/>
      <c r="C81" s="9"/>
      <c r="D81" s="10"/>
      <c r="E81" s="5">
        <f t="shared" si="6"/>
        <v>0</v>
      </c>
      <c r="F81" s="8"/>
      <c r="G81" s="9"/>
      <c r="H81" s="10"/>
      <c r="I81" s="5">
        <f t="shared" si="7"/>
        <v>0</v>
      </c>
      <c r="J81" s="8"/>
      <c r="K81" s="9"/>
      <c r="L81" s="10"/>
      <c r="M81" s="5">
        <f t="shared" si="8"/>
        <v>0</v>
      </c>
      <c r="N81" s="65">
        <f t="shared" si="9"/>
        <v>0</v>
      </c>
      <c r="O81" s="63"/>
    </row>
    <row r="82" spans="1:15" ht="14.25" thickBot="1" x14ac:dyDescent="0.2">
      <c r="A82" s="11"/>
      <c r="B82" s="53"/>
      <c r="C82" s="9"/>
      <c r="D82" s="10"/>
      <c r="E82" s="5">
        <f t="shared" si="6"/>
        <v>0</v>
      </c>
      <c r="F82" s="8"/>
      <c r="G82" s="9"/>
      <c r="H82" s="10"/>
      <c r="I82" s="5">
        <f t="shared" si="7"/>
        <v>0</v>
      </c>
      <c r="J82" s="8"/>
      <c r="K82" s="9"/>
      <c r="L82" s="10"/>
      <c r="M82" s="5">
        <f t="shared" si="8"/>
        <v>0</v>
      </c>
      <c r="N82" s="68">
        <f t="shared" si="9"/>
        <v>0</v>
      </c>
      <c r="O82" s="63"/>
    </row>
    <row r="83" spans="1:15" ht="14.25" thickBot="1" x14ac:dyDescent="0.2">
      <c r="A83" s="3" t="s">
        <v>5</v>
      </c>
      <c r="B83" s="89">
        <f>SUM(B59:B82)</f>
        <v>0</v>
      </c>
      <c r="C83" s="89">
        <f t="shared" ref="C83:N83" si="10">SUM(C59:C82)</f>
        <v>1</v>
      </c>
      <c r="D83" s="89">
        <f t="shared" si="10"/>
        <v>1</v>
      </c>
      <c r="E83" s="89">
        <f t="shared" si="10"/>
        <v>2</v>
      </c>
      <c r="F83" s="89">
        <f t="shared" si="10"/>
        <v>2</v>
      </c>
      <c r="G83" s="89">
        <f t="shared" si="10"/>
        <v>0</v>
      </c>
      <c r="H83" s="89">
        <f t="shared" ref="H83" si="11">SUM(H59:H82)</f>
        <v>2</v>
      </c>
      <c r="I83" s="89">
        <f t="shared" si="10"/>
        <v>4</v>
      </c>
      <c r="J83" s="89">
        <f t="shared" si="10"/>
        <v>0</v>
      </c>
      <c r="K83" s="89">
        <f t="shared" si="10"/>
        <v>0</v>
      </c>
      <c r="L83" s="89">
        <f t="shared" si="10"/>
        <v>0</v>
      </c>
      <c r="M83" s="89">
        <f t="shared" si="10"/>
        <v>0</v>
      </c>
      <c r="N83" s="89">
        <f t="shared" si="10"/>
        <v>6</v>
      </c>
    </row>
    <row r="84" spans="1:15" ht="14.25" thickBot="1" x14ac:dyDescent="0.2">
      <c r="A84" s="25" t="s">
        <v>6</v>
      </c>
      <c r="B84" s="90">
        <f>B58-B83</f>
        <v>0</v>
      </c>
      <c r="C84" s="90">
        <f t="shared" ref="C84:N84" si="12">C58-C83</f>
        <v>0</v>
      </c>
      <c r="D84" s="90">
        <f t="shared" si="12"/>
        <v>0</v>
      </c>
      <c r="E84" s="90">
        <f t="shared" si="12"/>
        <v>0</v>
      </c>
      <c r="F84" s="90">
        <f t="shared" si="12"/>
        <v>0</v>
      </c>
      <c r="G84" s="90">
        <f t="shared" si="12"/>
        <v>0</v>
      </c>
      <c r="H84" s="90">
        <f t="shared" ref="H84" si="13">H58-H83</f>
        <v>0</v>
      </c>
      <c r="I84" s="90">
        <f t="shared" si="12"/>
        <v>0</v>
      </c>
      <c r="J84" s="90">
        <f t="shared" si="12"/>
        <v>0</v>
      </c>
      <c r="K84" s="90">
        <f t="shared" si="12"/>
        <v>0</v>
      </c>
      <c r="L84" s="90">
        <f t="shared" si="12"/>
        <v>0</v>
      </c>
      <c r="M84" s="90">
        <f t="shared" si="12"/>
        <v>0</v>
      </c>
      <c r="N84" s="90">
        <f t="shared" si="12"/>
        <v>0</v>
      </c>
    </row>
  </sheetData>
  <mergeCells count="8">
    <mergeCell ref="B45:E45"/>
    <mergeCell ref="F45:I45"/>
    <mergeCell ref="J45:M45"/>
    <mergeCell ref="N45:N46"/>
    <mergeCell ref="B2:E2"/>
    <mergeCell ref="F2:I2"/>
    <mergeCell ref="J2:M2"/>
    <mergeCell ref="N2:N3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5分丈</vt:lpstr>
      <vt:lpstr>5分丈ボトム単品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2022-04-12T00:11:17Z</cp:lastPrinted>
  <dcterms:created xsi:type="dcterms:W3CDTF">2014-05-16T05:12:07Z</dcterms:created>
  <dcterms:modified xsi:type="dcterms:W3CDTF">2026-07-14T09:51:11Z</dcterms:modified>
</cp:coreProperties>
</file>