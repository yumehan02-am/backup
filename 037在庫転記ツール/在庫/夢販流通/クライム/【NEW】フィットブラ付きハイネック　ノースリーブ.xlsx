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F21384A7-626F-4032-9484-86BE1BBAED3B}" xr6:coauthVersionLast="47" xr6:coauthVersionMax="47" xr10:uidLastSave="{00000000-0000-0000-0000-000000000000}"/>
  <bookViews>
    <workbookView xWindow="12465" yWindow="1410" windowWidth="16065" windowHeight="12450" tabRatio="607" xr2:uid="{00000000-000D-0000-FFFF-FFFF00000000}"/>
  </bookViews>
  <sheets>
    <sheet name="ノースリーブ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57" i="4" l="1"/>
  <c r="G857" i="4"/>
  <c r="F857" i="4"/>
  <c r="I857" i="4" s="1"/>
  <c r="D857" i="4"/>
  <c r="C857" i="4"/>
  <c r="B857" i="4"/>
  <c r="E857" i="4" s="1"/>
  <c r="I856" i="4"/>
  <c r="E856" i="4"/>
  <c r="J856" i="4" s="1"/>
  <c r="I855" i="4"/>
  <c r="E855" i="4"/>
  <c r="J855" i="4" s="1"/>
  <c r="J854" i="4"/>
  <c r="I854" i="4"/>
  <c r="E854" i="4"/>
  <c r="J853" i="4"/>
  <c r="I853" i="4"/>
  <c r="E853" i="4"/>
  <c r="I852" i="4"/>
  <c r="E852" i="4"/>
  <c r="J852" i="4" s="1"/>
  <c r="I851" i="4"/>
  <c r="E851" i="4"/>
  <c r="J851" i="4" s="1"/>
  <c r="J850" i="4"/>
  <c r="I850" i="4"/>
  <c r="E850" i="4"/>
  <c r="J849" i="4"/>
  <c r="I849" i="4"/>
  <c r="E849" i="4"/>
  <c r="I848" i="4"/>
  <c r="E848" i="4"/>
  <c r="J848" i="4" s="1"/>
  <c r="I847" i="4"/>
  <c r="E847" i="4"/>
  <c r="J847" i="4" s="1"/>
  <c r="J846" i="4"/>
  <c r="I846" i="4"/>
  <c r="E846" i="4"/>
  <c r="J845" i="4"/>
  <c r="I845" i="4"/>
  <c r="E845" i="4"/>
  <c r="I844" i="4"/>
  <c r="E844" i="4"/>
  <c r="J844" i="4" s="1"/>
  <c r="I843" i="4"/>
  <c r="E843" i="4"/>
  <c r="J843" i="4" s="1"/>
  <c r="J842" i="4"/>
  <c r="I842" i="4"/>
  <c r="E842" i="4"/>
  <c r="J841" i="4"/>
  <c r="I841" i="4"/>
  <c r="E841" i="4"/>
  <c r="I840" i="4"/>
  <c r="E840" i="4"/>
  <c r="J840" i="4" s="1"/>
  <c r="I839" i="4"/>
  <c r="E839" i="4"/>
  <c r="J839" i="4" s="1"/>
  <c r="J838" i="4"/>
  <c r="I838" i="4"/>
  <c r="E838" i="4"/>
  <c r="J837" i="4"/>
  <c r="I837" i="4"/>
  <c r="E837" i="4"/>
  <c r="I836" i="4"/>
  <c r="E836" i="4"/>
  <c r="J836" i="4" s="1"/>
  <c r="I835" i="4"/>
  <c r="E835" i="4"/>
  <c r="J835" i="4" s="1"/>
  <c r="J834" i="4"/>
  <c r="I834" i="4"/>
  <c r="E834" i="4"/>
  <c r="J833" i="4"/>
  <c r="I833" i="4"/>
  <c r="E833" i="4"/>
  <c r="I832" i="4"/>
  <c r="E832" i="4"/>
  <c r="J832" i="4" s="1"/>
  <c r="I831" i="4"/>
  <c r="E831" i="4"/>
  <c r="J831" i="4" s="1"/>
  <c r="I829" i="4"/>
  <c r="E829" i="4"/>
  <c r="J829" i="4" s="1"/>
  <c r="J828" i="4"/>
  <c r="I828" i="4"/>
  <c r="E828" i="4"/>
  <c r="J827" i="4"/>
  <c r="I827" i="4"/>
  <c r="E827" i="4"/>
  <c r="I826" i="4"/>
  <c r="E826" i="4"/>
  <c r="J826" i="4" s="1"/>
  <c r="I825" i="4"/>
  <c r="E825" i="4"/>
  <c r="J825" i="4" s="1"/>
  <c r="J824" i="4"/>
  <c r="I824" i="4"/>
  <c r="E824" i="4"/>
  <c r="J823" i="4"/>
  <c r="I823" i="4"/>
  <c r="E823" i="4"/>
  <c r="I822" i="4"/>
  <c r="E822" i="4"/>
  <c r="J822" i="4" s="1"/>
  <c r="Q782" i="4"/>
  <c r="U782" i="4"/>
  <c r="V782" i="4"/>
  <c r="Q854" i="4"/>
  <c r="U854" i="4"/>
  <c r="V854" i="4"/>
  <c r="Q855" i="4"/>
  <c r="V855" i="4" s="1"/>
  <c r="U855" i="4"/>
  <c r="Q856" i="4"/>
  <c r="V856" i="4" s="1"/>
  <c r="U856" i="4"/>
  <c r="T857" i="4"/>
  <c r="S857" i="4"/>
  <c r="P857" i="4"/>
  <c r="O857" i="4"/>
  <c r="V853" i="4"/>
  <c r="U853" i="4"/>
  <c r="Q853" i="4"/>
  <c r="U852" i="4"/>
  <c r="Q852" i="4"/>
  <c r="V852" i="4" s="1"/>
  <c r="U851" i="4"/>
  <c r="Q851" i="4"/>
  <c r="V851" i="4" s="1"/>
  <c r="U850" i="4"/>
  <c r="V850" i="4" s="1"/>
  <c r="Q850" i="4"/>
  <c r="V849" i="4"/>
  <c r="U849" i="4"/>
  <c r="Q849" i="4"/>
  <c r="U848" i="4"/>
  <c r="Q848" i="4"/>
  <c r="V848" i="4" s="1"/>
  <c r="U847" i="4"/>
  <c r="Q847" i="4"/>
  <c r="V847" i="4" s="1"/>
  <c r="U846" i="4"/>
  <c r="V846" i="4" s="1"/>
  <c r="Q846" i="4"/>
  <c r="V845" i="4"/>
  <c r="U845" i="4"/>
  <c r="Q845" i="4"/>
  <c r="U844" i="4"/>
  <c r="Q844" i="4"/>
  <c r="V844" i="4" s="1"/>
  <c r="U843" i="4"/>
  <c r="Q843" i="4"/>
  <c r="V843" i="4" s="1"/>
  <c r="U842" i="4"/>
  <c r="V842" i="4" s="1"/>
  <c r="Q842" i="4"/>
  <c r="V841" i="4"/>
  <c r="U841" i="4"/>
  <c r="Q841" i="4"/>
  <c r="U840" i="4"/>
  <c r="Q840" i="4"/>
  <c r="V840" i="4" s="1"/>
  <c r="U839" i="4"/>
  <c r="Q839" i="4"/>
  <c r="V839" i="4" s="1"/>
  <c r="U838" i="4"/>
  <c r="V838" i="4" s="1"/>
  <c r="Q838" i="4"/>
  <c r="V837" i="4"/>
  <c r="U837" i="4"/>
  <c r="Q837" i="4"/>
  <c r="U836" i="4"/>
  <c r="Q836" i="4"/>
  <c r="V836" i="4" s="1"/>
  <c r="U835" i="4"/>
  <c r="Q835" i="4"/>
  <c r="V835" i="4" s="1"/>
  <c r="U834" i="4"/>
  <c r="V834" i="4" s="1"/>
  <c r="Q834" i="4"/>
  <c r="V833" i="4"/>
  <c r="U833" i="4"/>
  <c r="Q833" i="4"/>
  <c r="U832" i="4"/>
  <c r="Q832" i="4"/>
  <c r="V832" i="4" s="1"/>
  <c r="U831" i="4"/>
  <c r="Q831" i="4"/>
  <c r="V831" i="4" s="1"/>
  <c r="U829" i="4"/>
  <c r="Q829" i="4"/>
  <c r="V829" i="4" s="1"/>
  <c r="U828" i="4"/>
  <c r="V828" i="4" s="1"/>
  <c r="Q828" i="4"/>
  <c r="V827" i="4"/>
  <c r="U827" i="4"/>
  <c r="Q827" i="4"/>
  <c r="U826" i="4"/>
  <c r="Q826" i="4"/>
  <c r="V826" i="4" s="1"/>
  <c r="U825" i="4"/>
  <c r="Q825" i="4"/>
  <c r="V825" i="4" s="1"/>
  <c r="U824" i="4"/>
  <c r="V824" i="4" s="1"/>
  <c r="Q824" i="4"/>
  <c r="V823" i="4"/>
  <c r="U823" i="4"/>
  <c r="Q823" i="4"/>
  <c r="U822" i="4"/>
  <c r="Q822" i="4"/>
  <c r="V822" i="4" s="1"/>
  <c r="Q762" i="4"/>
  <c r="V762" i="4" s="1"/>
  <c r="U762" i="4"/>
  <c r="Q763" i="4"/>
  <c r="V763" i="4" s="1"/>
  <c r="U763" i="4"/>
  <c r="T812" i="4"/>
  <c r="S812" i="4"/>
  <c r="S814" i="4" s="1"/>
  <c r="R812" i="4"/>
  <c r="U812" i="4" s="1"/>
  <c r="P812" i="4"/>
  <c r="O812" i="4"/>
  <c r="O814" i="4" s="1"/>
  <c r="N812" i="4"/>
  <c r="Q812" i="4" s="1"/>
  <c r="V812" i="4" s="1"/>
  <c r="U811" i="4"/>
  <c r="Q811" i="4"/>
  <c r="V811" i="4" s="1"/>
  <c r="U769" i="4"/>
  <c r="Q769" i="4"/>
  <c r="V769" i="4" s="1"/>
  <c r="U768" i="4"/>
  <c r="Q768" i="4"/>
  <c r="V768" i="4" s="1"/>
  <c r="U767" i="4"/>
  <c r="Q767" i="4"/>
  <c r="V767" i="4" s="1"/>
  <c r="U766" i="4"/>
  <c r="Q766" i="4"/>
  <c r="V766" i="4" s="1"/>
  <c r="U765" i="4"/>
  <c r="V765" i="4" s="1"/>
  <c r="Q765" i="4"/>
  <c r="V764" i="4"/>
  <c r="U764" i="4"/>
  <c r="Q764" i="4"/>
  <c r="Q722" i="4"/>
  <c r="U722" i="4"/>
  <c r="Q723" i="4"/>
  <c r="U723" i="4"/>
  <c r="T727" i="4"/>
  <c r="S727" i="4"/>
  <c r="R727" i="4"/>
  <c r="U727" i="4" s="1"/>
  <c r="P727" i="4"/>
  <c r="P728" i="4" s="1"/>
  <c r="O727" i="4"/>
  <c r="O728" i="4" s="1"/>
  <c r="N727" i="4"/>
  <c r="Q727" i="4" s="1"/>
  <c r="U726" i="4"/>
  <c r="Q726" i="4"/>
  <c r="S771" i="4"/>
  <c r="Q679" i="4"/>
  <c r="V679" i="4" s="1"/>
  <c r="U679" i="4"/>
  <c r="U678" i="4"/>
  <c r="Q678" i="4"/>
  <c r="V678" i="4" s="1"/>
  <c r="V677" i="4"/>
  <c r="U677" i="4"/>
  <c r="Q677" i="4"/>
  <c r="U676" i="4"/>
  <c r="V676" i="4" s="1"/>
  <c r="Q676" i="4"/>
  <c r="U675" i="4"/>
  <c r="Q675" i="4"/>
  <c r="V675" i="4" s="1"/>
  <c r="U709" i="4"/>
  <c r="Q709" i="4"/>
  <c r="V709" i="4" s="1"/>
  <c r="Q710" i="4"/>
  <c r="V710" i="4" s="1"/>
  <c r="U710" i="4"/>
  <c r="Q711" i="4"/>
  <c r="V711" i="4" s="1"/>
  <c r="U711" i="4"/>
  <c r="Q712" i="4"/>
  <c r="U712" i="4"/>
  <c r="V712" i="4"/>
  <c r="Q713" i="4"/>
  <c r="U713" i="4"/>
  <c r="V713" i="4"/>
  <c r="U813" i="4"/>
  <c r="Q813" i="4"/>
  <c r="Q680" i="4"/>
  <c r="V680" i="4" s="1"/>
  <c r="U680" i="4"/>
  <c r="T728" i="4"/>
  <c r="U724" i="4"/>
  <c r="Q724" i="4"/>
  <c r="V724" i="4" s="1"/>
  <c r="E674" i="4"/>
  <c r="I674" i="4"/>
  <c r="J674" i="4" s="1"/>
  <c r="U673" i="4"/>
  <c r="Q673" i="4"/>
  <c r="V673" i="4" s="1"/>
  <c r="Q720" i="4"/>
  <c r="U720" i="4"/>
  <c r="Q721" i="4"/>
  <c r="U721" i="4"/>
  <c r="Q725" i="4"/>
  <c r="U725" i="4"/>
  <c r="V725" i="4"/>
  <c r="U770" i="4"/>
  <c r="Q770" i="4"/>
  <c r="Q739" i="4"/>
  <c r="V739" i="4" s="1"/>
  <c r="U739" i="4"/>
  <c r="H814" i="4"/>
  <c r="G814" i="4"/>
  <c r="F814" i="4"/>
  <c r="I814" i="4" s="1"/>
  <c r="D814" i="4"/>
  <c r="C814" i="4"/>
  <c r="B814" i="4"/>
  <c r="E814" i="4" s="1"/>
  <c r="I813" i="4"/>
  <c r="E813" i="4"/>
  <c r="J813" i="4" s="1"/>
  <c r="I812" i="4"/>
  <c r="E812" i="4"/>
  <c r="J812" i="4" s="1"/>
  <c r="J811" i="4"/>
  <c r="I811" i="4"/>
  <c r="E811" i="4"/>
  <c r="J810" i="4"/>
  <c r="I810" i="4"/>
  <c r="E810" i="4"/>
  <c r="I809" i="4"/>
  <c r="E809" i="4"/>
  <c r="J809" i="4" s="1"/>
  <c r="I808" i="4"/>
  <c r="E808" i="4"/>
  <c r="J808" i="4" s="1"/>
  <c r="J807" i="4"/>
  <c r="I807" i="4"/>
  <c r="E807" i="4"/>
  <c r="J806" i="4"/>
  <c r="I806" i="4"/>
  <c r="E806" i="4"/>
  <c r="I805" i="4"/>
  <c r="E805" i="4"/>
  <c r="J805" i="4" s="1"/>
  <c r="I804" i="4"/>
  <c r="E804" i="4"/>
  <c r="J804" i="4" s="1"/>
  <c r="J803" i="4"/>
  <c r="I803" i="4"/>
  <c r="E803" i="4"/>
  <c r="J802" i="4"/>
  <c r="I802" i="4"/>
  <c r="E802" i="4"/>
  <c r="I801" i="4"/>
  <c r="E801" i="4"/>
  <c r="J801" i="4" s="1"/>
  <c r="I800" i="4"/>
  <c r="E800" i="4"/>
  <c r="J800" i="4" s="1"/>
  <c r="J799" i="4"/>
  <c r="I799" i="4"/>
  <c r="E799" i="4"/>
  <c r="J798" i="4"/>
  <c r="I798" i="4"/>
  <c r="E798" i="4"/>
  <c r="I797" i="4"/>
  <c r="E797" i="4"/>
  <c r="J797" i="4" s="1"/>
  <c r="I796" i="4"/>
  <c r="E796" i="4"/>
  <c r="J796" i="4" s="1"/>
  <c r="J795" i="4"/>
  <c r="I795" i="4"/>
  <c r="E795" i="4"/>
  <c r="J794" i="4"/>
  <c r="I794" i="4"/>
  <c r="E794" i="4"/>
  <c r="I793" i="4"/>
  <c r="E793" i="4"/>
  <c r="J793" i="4" s="1"/>
  <c r="I792" i="4"/>
  <c r="E792" i="4"/>
  <c r="J792" i="4" s="1"/>
  <c r="J791" i="4"/>
  <c r="I791" i="4"/>
  <c r="E791" i="4"/>
  <c r="J790" i="4"/>
  <c r="I790" i="4"/>
  <c r="E790" i="4"/>
  <c r="I789" i="4"/>
  <c r="E789" i="4"/>
  <c r="J789" i="4" s="1"/>
  <c r="I788" i="4"/>
  <c r="E788" i="4"/>
  <c r="J788" i="4" s="1"/>
  <c r="I786" i="4"/>
  <c r="E786" i="4"/>
  <c r="J786" i="4" s="1"/>
  <c r="J785" i="4"/>
  <c r="I785" i="4"/>
  <c r="E785" i="4"/>
  <c r="J784" i="4"/>
  <c r="I784" i="4"/>
  <c r="E784" i="4"/>
  <c r="I783" i="4"/>
  <c r="E783" i="4"/>
  <c r="J783" i="4" s="1"/>
  <c r="I782" i="4"/>
  <c r="E782" i="4"/>
  <c r="J782" i="4" s="1"/>
  <c r="J781" i="4"/>
  <c r="I781" i="4"/>
  <c r="E781" i="4"/>
  <c r="J780" i="4"/>
  <c r="I780" i="4"/>
  <c r="E780" i="4"/>
  <c r="I779" i="4"/>
  <c r="E779" i="4"/>
  <c r="J779" i="4" s="1"/>
  <c r="Q781" i="4"/>
  <c r="V781" i="4" s="1"/>
  <c r="U781" i="4"/>
  <c r="T814" i="4"/>
  <c r="P814" i="4"/>
  <c r="V810" i="4"/>
  <c r="U810" i="4"/>
  <c r="Q810" i="4"/>
  <c r="U809" i="4"/>
  <c r="Q809" i="4"/>
  <c r="V809" i="4" s="1"/>
  <c r="U808" i="4"/>
  <c r="Q808" i="4"/>
  <c r="V808" i="4" s="1"/>
  <c r="U807" i="4"/>
  <c r="V807" i="4" s="1"/>
  <c r="Q807" i="4"/>
  <c r="V806" i="4"/>
  <c r="U806" i="4"/>
  <c r="Q806" i="4"/>
  <c r="U805" i="4"/>
  <c r="Q805" i="4"/>
  <c r="V805" i="4" s="1"/>
  <c r="U804" i="4"/>
  <c r="Q804" i="4"/>
  <c r="V804" i="4" s="1"/>
  <c r="U803" i="4"/>
  <c r="V803" i="4" s="1"/>
  <c r="Q803" i="4"/>
  <c r="V802" i="4"/>
  <c r="U802" i="4"/>
  <c r="Q802" i="4"/>
  <c r="U801" i="4"/>
  <c r="Q801" i="4"/>
  <c r="V801" i="4" s="1"/>
  <c r="U800" i="4"/>
  <c r="Q800" i="4"/>
  <c r="V800" i="4" s="1"/>
  <c r="U799" i="4"/>
  <c r="V799" i="4" s="1"/>
  <c r="Q799" i="4"/>
  <c r="V798" i="4"/>
  <c r="U798" i="4"/>
  <c r="Q798" i="4"/>
  <c r="U797" i="4"/>
  <c r="Q797" i="4"/>
  <c r="V797" i="4" s="1"/>
  <c r="U796" i="4"/>
  <c r="Q796" i="4"/>
  <c r="V796" i="4" s="1"/>
  <c r="U795" i="4"/>
  <c r="V795" i="4" s="1"/>
  <c r="Q795" i="4"/>
  <c r="V794" i="4"/>
  <c r="U794" i="4"/>
  <c r="Q794" i="4"/>
  <c r="U793" i="4"/>
  <c r="Q793" i="4"/>
  <c r="V793" i="4" s="1"/>
  <c r="U792" i="4"/>
  <c r="Q792" i="4"/>
  <c r="V792" i="4" s="1"/>
  <c r="U791" i="4"/>
  <c r="V791" i="4" s="1"/>
  <c r="Q791" i="4"/>
  <c r="V790" i="4"/>
  <c r="U790" i="4"/>
  <c r="Q790" i="4"/>
  <c r="U789" i="4"/>
  <c r="Q789" i="4"/>
  <c r="V789" i="4" s="1"/>
  <c r="U788" i="4"/>
  <c r="Q788" i="4"/>
  <c r="V788" i="4" s="1"/>
  <c r="U786" i="4"/>
  <c r="Q786" i="4"/>
  <c r="V786" i="4" s="1"/>
  <c r="U785" i="4"/>
  <c r="V785" i="4" s="1"/>
  <c r="Q785" i="4"/>
  <c r="V784" i="4"/>
  <c r="U784" i="4"/>
  <c r="Q784" i="4"/>
  <c r="U783" i="4"/>
  <c r="Q783" i="4"/>
  <c r="V783" i="4" s="1"/>
  <c r="V780" i="4"/>
  <c r="U780" i="4"/>
  <c r="Q780" i="4"/>
  <c r="U779" i="4"/>
  <c r="Q779" i="4"/>
  <c r="V779" i="4" s="1"/>
  <c r="Q660" i="4"/>
  <c r="U660" i="4"/>
  <c r="Q661" i="4"/>
  <c r="V661" i="4" s="1"/>
  <c r="U661" i="4"/>
  <c r="U659" i="4"/>
  <c r="Q659" i="4"/>
  <c r="V659" i="4" s="1"/>
  <c r="U636" i="4"/>
  <c r="Q636" i="4"/>
  <c r="V636" i="4" s="1"/>
  <c r="V635" i="4"/>
  <c r="U635" i="4"/>
  <c r="Q635" i="4"/>
  <c r="V639" i="4"/>
  <c r="U639" i="4"/>
  <c r="Q639" i="4"/>
  <c r="U638" i="4"/>
  <c r="Q638" i="4"/>
  <c r="S685" i="4"/>
  <c r="V688" i="4"/>
  <c r="U688" i="4"/>
  <c r="Q688" i="4"/>
  <c r="U774" i="4"/>
  <c r="Q774" i="4"/>
  <c r="V687" i="4"/>
  <c r="U687" i="4"/>
  <c r="Q687" i="4"/>
  <c r="O601" i="4"/>
  <c r="P601" i="4"/>
  <c r="Q601" i="4"/>
  <c r="R601" i="4"/>
  <c r="S601" i="4"/>
  <c r="T601" i="4"/>
  <c r="U601" i="4"/>
  <c r="V601" i="4"/>
  <c r="N601" i="4"/>
  <c r="H771" i="4"/>
  <c r="G771" i="4"/>
  <c r="F771" i="4"/>
  <c r="D771" i="4"/>
  <c r="C771" i="4"/>
  <c r="B771" i="4"/>
  <c r="I770" i="4"/>
  <c r="E770" i="4"/>
  <c r="J770" i="4" s="1"/>
  <c r="I769" i="4"/>
  <c r="E769" i="4"/>
  <c r="J769" i="4" s="1"/>
  <c r="I768" i="4"/>
  <c r="E768" i="4"/>
  <c r="J768" i="4" s="1"/>
  <c r="J767" i="4"/>
  <c r="I767" i="4"/>
  <c r="E767" i="4"/>
  <c r="I766" i="4"/>
  <c r="E766" i="4"/>
  <c r="J766" i="4" s="1"/>
  <c r="I765" i="4"/>
  <c r="E765" i="4"/>
  <c r="J765" i="4" s="1"/>
  <c r="I764" i="4"/>
  <c r="E764" i="4"/>
  <c r="J764" i="4" s="1"/>
  <c r="J763" i="4"/>
  <c r="I763" i="4"/>
  <c r="E763" i="4"/>
  <c r="I762" i="4"/>
  <c r="E762" i="4"/>
  <c r="J762" i="4" s="1"/>
  <c r="I761" i="4"/>
  <c r="E761" i="4"/>
  <c r="J761" i="4" s="1"/>
  <c r="I760" i="4"/>
  <c r="E760" i="4"/>
  <c r="J760" i="4" s="1"/>
  <c r="J759" i="4"/>
  <c r="I759" i="4"/>
  <c r="E759" i="4"/>
  <c r="I758" i="4"/>
  <c r="E758" i="4"/>
  <c r="J758" i="4" s="1"/>
  <c r="I757" i="4"/>
  <c r="E757" i="4"/>
  <c r="J757" i="4" s="1"/>
  <c r="I756" i="4"/>
  <c r="E756" i="4"/>
  <c r="J756" i="4" s="1"/>
  <c r="J755" i="4"/>
  <c r="I755" i="4"/>
  <c r="E755" i="4"/>
  <c r="I754" i="4"/>
  <c r="J754" i="4" s="1"/>
  <c r="E754" i="4"/>
  <c r="I753" i="4"/>
  <c r="E753" i="4"/>
  <c r="J753" i="4" s="1"/>
  <c r="I752" i="4"/>
  <c r="E752" i="4"/>
  <c r="J752" i="4" s="1"/>
  <c r="J751" i="4"/>
  <c r="I751" i="4"/>
  <c r="E751" i="4"/>
  <c r="I750" i="4"/>
  <c r="E750" i="4"/>
  <c r="I749" i="4"/>
  <c r="E749" i="4"/>
  <c r="I748" i="4"/>
  <c r="E748" i="4"/>
  <c r="I747" i="4"/>
  <c r="E747" i="4"/>
  <c r="J747" i="4" s="1"/>
  <c r="I746" i="4"/>
  <c r="E746" i="4"/>
  <c r="I745" i="4"/>
  <c r="E745" i="4"/>
  <c r="J745" i="4" s="1"/>
  <c r="I743" i="4"/>
  <c r="E743" i="4"/>
  <c r="J743" i="4" s="1"/>
  <c r="I742" i="4"/>
  <c r="E742" i="4"/>
  <c r="J742" i="4" s="1"/>
  <c r="J741" i="4"/>
  <c r="I741" i="4"/>
  <c r="E741" i="4"/>
  <c r="I740" i="4"/>
  <c r="J740" i="4" s="1"/>
  <c r="E740" i="4"/>
  <c r="I739" i="4"/>
  <c r="E739" i="4"/>
  <c r="J739" i="4" s="1"/>
  <c r="I738" i="4"/>
  <c r="E738" i="4"/>
  <c r="J738" i="4" s="1"/>
  <c r="I737" i="4"/>
  <c r="E737" i="4"/>
  <c r="J737" i="4" s="1"/>
  <c r="I736" i="4"/>
  <c r="E736" i="4"/>
  <c r="Q738" i="4"/>
  <c r="U738" i="4"/>
  <c r="T771" i="4"/>
  <c r="R771" i="4"/>
  <c r="P771" i="4"/>
  <c r="O771" i="4"/>
  <c r="N771" i="4"/>
  <c r="U761" i="4"/>
  <c r="Q761" i="4"/>
  <c r="V761" i="4" s="1"/>
  <c r="U760" i="4"/>
  <c r="Q760" i="4"/>
  <c r="V760" i="4" s="1"/>
  <c r="V759" i="4"/>
  <c r="U759" i="4"/>
  <c r="Q759" i="4"/>
  <c r="U758" i="4"/>
  <c r="V758" i="4" s="1"/>
  <c r="Q758" i="4"/>
  <c r="U757" i="4"/>
  <c r="Q757" i="4"/>
  <c r="V757" i="4" s="1"/>
  <c r="U756" i="4"/>
  <c r="Q756" i="4"/>
  <c r="V756" i="4" s="1"/>
  <c r="V755" i="4"/>
  <c r="U755" i="4"/>
  <c r="Q755" i="4"/>
  <c r="U754" i="4"/>
  <c r="V754" i="4" s="1"/>
  <c r="Q754" i="4"/>
  <c r="U753" i="4"/>
  <c r="Q753" i="4"/>
  <c r="V753" i="4" s="1"/>
  <c r="U752" i="4"/>
  <c r="Q752" i="4"/>
  <c r="V752" i="4" s="1"/>
  <c r="V751" i="4"/>
  <c r="U751" i="4"/>
  <c r="Q751" i="4"/>
  <c r="U750" i="4"/>
  <c r="V750" i="4" s="1"/>
  <c r="Q750" i="4"/>
  <c r="U749" i="4"/>
  <c r="Q749" i="4"/>
  <c r="V749" i="4" s="1"/>
  <c r="U748" i="4"/>
  <c r="Q748" i="4"/>
  <c r="V748" i="4" s="1"/>
  <c r="U747" i="4"/>
  <c r="Q747" i="4"/>
  <c r="V747" i="4" s="1"/>
  <c r="U746" i="4"/>
  <c r="V746" i="4" s="1"/>
  <c r="Q746" i="4"/>
  <c r="U745" i="4"/>
  <c r="Q745" i="4"/>
  <c r="U743" i="4"/>
  <c r="Q743" i="4"/>
  <c r="V743" i="4" s="1"/>
  <c r="U742" i="4"/>
  <c r="Q742" i="4"/>
  <c r="V742" i="4" s="1"/>
  <c r="V741" i="4"/>
  <c r="U741" i="4"/>
  <c r="Q741" i="4"/>
  <c r="U740" i="4"/>
  <c r="V740" i="4" s="1"/>
  <c r="Q740" i="4"/>
  <c r="U737" i="4"/>
  <c r="Q737" i="4"/>
  <c r="V737" i="4" s="1"/>
  <c r="U736" i="4"/>
  <c r="V736" i="4" s="1"/>
  <c r="Q736" i="4"/>
  <c r="O642" i="4"/>
  <c r="O644" i="4" s="1"/>
  <c r="I609" i="4"/>
  <c r="E609" i="4"/>
  <c r="J609" i="4" s="1"/>
  <c r="Q682" i="4"/>
  <c r="U682" i="4"/>
  <c r="Q683" i="4"/>
  <c r="U683" i="4"/>
  <c r="U684" i="4"/>
  <c r="Q684" i="4"/>
  <c r="Q610" i="4"/>
  <c r="V610" i="4" s="1"/>
  <c r="U610" i="4"/>
  <c r="U695" i="4"/>
  <c r="V695" i="4" s="1"/>
  <c r="Q695" i="4"/>
  <c r="H728" i="4"/>
  <c r="G728" i="4"/>
  <c r="F728" i="4"/>
  <c r="D728" i="4"/>
  <c r="C728" i="4"/>
  <c r="B728" i="4"/>
  <c r="I727" i="4"/>
  <c r="E727" i="4"/>
  <c r="I726" i="4"/>
  <c r="E726" i="4"/>
  <c r="J726" i="4" s="1"/>
  <c r="I725" i="4"/>
  <c r="E725" i="4"/>
  <c r="I724" i="4"/>
  <c r="E724" i="4"/>
  <c r="J724" i="4" s="1"/>
  <c r="I723" i="4"/>
  <c r="E723" i="4"/>
  <c r="J723" i="4" s="1"/>
  <c r="I722" i="4"/>
  <c r="E722" i="4"/>
  <c r="J722" i="4" s="1"/>
  <c r="I721" i="4"/>
  <c r="J721" i="4" s="1"/>
  <c r="E721" i="4"/>
  <c r="I720" i="4"/>
  <c r="E720" i="4"/>
  <c r="I719" i="4"/>
  <c r="E719" i="4"/>
  <c r="I718" i="4"/>
  <c r="E718" i="4"/>
  <c r="I717" i="4"/>
  <c r="E717" i="4"/>
  <c r="J717" i="4" s="1"/>
  <c r="I716" i="4"/>
  <c r="E716" i="4"/>
  <c r="I715" i="4"/>
  <c r="E715" i="4"/>
  <c r="I714" i="4"/>
  <c r="E714" i="4"/>
  <c r="I713" i="4"/>
  <c r="E713" i="4"/>
  <c r="I712" i="4"/>
  <c r="E712" i="4"/>
  <c r="I711" i="4"/>
  <c r="E711" i="4"/>
  <c r="I710" i="4"/>
  <c r="E710" i="4"/>
  <c r="J710" i="4" s="1"/>
  <c r="J709" i="4"/>
  <c r="I709" i="4"/>
  <c r="E709" i="4"/>
  <c r="I708" i="4"/>
  <c r="E708" i="4"/>
  <c r="J708" i="4" s="1"/>
  <c r="I707" i="4"/>
  <c r="E707" i="4"/>
  <c r="I706" i="4"/>
  <c r="E706" i="4"/>
  <c r="J706" i="4" s="1"/>
  <c r="I705" i="4"/>
  <c r="E705" i="4"/>
  <c r="J704" i="4"/>
  <c r="I704" i="4"/>
  <c r="E704" i="4"/>
  <c r="I703" i="4"/>
  <c r="E703" i="4"/>
  <c r="J703" i="4" s="1"/>
  <c r="I702" i="4"/>
  <c r="E702" i="4"/>
  <c r="J702" i="4" s="1"/>
  <c r="I700" i="4"/>
  <c r="E700" i="4"/>
  <c r="J700" i="4" s="1"/>
  <c r="I699" i="4"/>
  <c r="E699" i="4"/>
  <c r="J699" i="4" s="1"/>
  <c r="I698" i="4"/>
  <c r="E698" i="4"/>
  <c r="J698" i="4" s="1"/>
  <c r="I697" i="4"/>
  <c r="E697" i="4"/>
  <c r="I696" i="4"/>
  <c r="E696" i="4"/>
  <c r="I695" i="4"/>
  <c r="E695" i="4"/>
  <c r="J695" i="4" s="1"/>
  <c r="I694" i="4"/>
  <c r="J694" i="4" s="1"/>
  <c r="E694" i="4"/>
  <c r="I693" i="4"/>
  <c r="E693" i="4"/>
  <c r="J693" i="4" s="1"/>
  <c r="R728" i="4"/>
  <c r="N728" i="4"/>
  <c r="U719" i="4"/>
  <c r="Q719" i="4"/>
  <c r="U718" i="4"/>
  <c r="Q718" i="4"/>
  <c r="V718" i="4" s="1"/>
  <c r="U717" i="4"/>
  <c r="Q717" i="4"/>
  <c r="U716" i="4"/>
  <c r="Q716" i="4"/>
  <c r="V716" i="4" s="1"/>
  <c r="U715" i="4"/>
  <c r="Q715" i="4"/>
  <c r="U714" i="4"/>
  <c r="Q714" i="4"/>
  <c r="V714" i="4" s="1"/>
  <c r="U708" i="4"/>
  <c r="Q708" i="4"/>
  <c r="V708" i="4" s="1"/>
  <c r="U707" i="4"/>
  <c r="Q707" i="4"/>
  <c r="U706" i="4"/>
  <c r="Q706" i="4"/>
  <c r="U705" i="4"/>
  <c r="V705" i="4" s="1"/>
  <c r="Q705" i="4"/>
  <c r="U704" i="4"/>
  <c r="Q704" i="4"/>
  <c r="V704" i="4" s="1"/>
  <c r="U703" i="4"/>
  <c r="Q703" i="4"/>
  <c r="V703" i="4" s="1"/>
  <c r="U702" i="4"/>
  <c r="Q702" i="4"/>
  <c r="V702" i="4" s="1"/>
  <c r="U700" i="4"/>
  <c r="Q700" i="4"/>
  <c r="V700" i="4" s="1"/>
  <c r="U699" i="4"/>
  <c r="V699" i="4" s="1"/>
  <c r="Q699" i="4"/>
  <c r="U698" i="4"/>
  <c r="V698" i="4" s="1"/>
  <c r="Q698" i="4"/>
  <c r="U697" i="4"/>
  <c r="Q697" i="4"/>
  <c r="V697" i="4" s="1"/>
  <c r="U696" i="4"/>
  <c r="Q696" i="4"/>
  <c r="U694" i="4"/>
  <c r="Q694" i="4"/>
  <c r="V694" i="4" s="1"/>
  <c r="U693" i="4"/>
  <c r="Q693" i="4"/>
  <c r="V693" i="4" s="1"/>
  <c r="Q652" i="4"/>
  <c r="U652" i="4"/>
  <c r="V652" i="4"/>
  <c r="Q653" i="4"/>
  <c r="V653" i="4" s="1"/>
  <c r="U653" i="4"/>
  <c r="V609" i="4"/>
  <c r="U609" i="4"/>
  <c r="Q609" i="4"/>
  <c r="U559" i="4"/>
  <c r="Q559" i="4"/>
  <c r="V558" i="4"/>
  <c r="H685" i="4"/>
  <c r="G685" i="4"/>
  <c r="F685" i="4"/>
  <c r="D685" i="4"/>
  <c r="C685" i="4"/>
  <c r="B685" i="4"/>
  <c r="I684" i="4"/>
  <c r="J684" i="4" s="1"/>
  <c r="E684" i="4"/>
  <c r="I683" i="4"/>
  <c r="E683" i="4"/>
  <c r="I682" i="4"/>
  <c r="E682" i="4"/>
  <c r="J682" i="4" s="1"/>
  <c r="I681" i="4"/>
  <c r="E681" i="4"/>
  <c r="J681" i="4" s="1"/>
  <c r="I680" i="4"/>
  <c r="J680" i="4" s="1"/>
  <c r="E680" i="4"/>
  <c r="I679" i="4"/>
  <c r="E679" i="4"/>
  <c r="I678" i="4"/>
  <c r="E678" i="4"/>
  <c r="I677" i="4"/>
  <c r="E677" i="4"/>
  <c r="J677" i="4" s="1"/>
  <c r="I676" i="4"/>
  <c r="E676" i="4"/>
  <c r="I675" i="4"/>
  <c r="E675" i="4"/>
  <c r="I673" i="4"/>
  <c r="E673" i="4"/>
  <c r="J673" i="4" s="1"/>
  <c r="I672" i="4"/>
  <c r="J672" i="4" s="1"/>
  <c r="E672" i="4"/>
  <c r="I671" i="4"/>
  <c r="E671" i="4"/>
  <c r="I670" i="4"/>
  <c r="E670" i="4"/>
  <c r="I669" i="4"/>
  <c r="E669" i="4"/>
  <c r="J669" i="4" s="1"/>
  <c r="I668" i="4"/>
  <c r="E668" i="4"/>
  <c r="I667" i="4"/>
  <c r="E667" i="4"/>
  <c r="J667" i="4" s="1"/>
  <c r="I666" i="4"/>
  <c r="E666" i="4"/>
  <c r="J666" i="4" s="1"/>
  <c r="I665" i="4"/>
  <c r="E665" i="4"/>
  <c r="J665" i="4" s="1"/>
  <c r="I664" i="4"/>
  <c r="E664" i="4"/>
  <c r="I663" i="4"/>
  <c r="E663" i="4"/>
  <c r="I662" i="4"/>
  <c r="E662" i="4"/>
  <c r="I661" i="4"/>
  <c r="E661" i="4"/>
  <c r="J661" i="4" s="1"/>
  <c r="I660" i="4"/>
  <c r="E660" i="4"/>
  <c r="I659" i="4"/>
  <c r="E659" i="4"/>
  <c r="J659" i="4" s="1"/>
  <c r="I657" i="4"/>
  <c r="E657" i="4"/>
  <c r="J657" i="4" s="1"/>
  <c r="I656" i="4"/>
  <c r="E656" i="4"/>
  <c r="J656" i="4" s="1"/>
  <c r="I655" i="4"/>
  <c r="J655" i="4" s="1"/>
  <c r="E655" i="4"/>
  <c r="I654" i="4"/>
  <c r="E654" i="4"/>
  <c r="I653" i="4"/>
  <c r="E653" i="4"/>
  <c r="J653" i="4" s="1"/>
  <c r="I652" i="4"/>
  <c r="E652" i="4"/>
  <c r="I651" i="4"/>
  <c r="E651" i="4"/>
  <c r="J651" i="4" s="1"/>
  <c r="I650" i="4"/>
  <c r="E650" i="4"/>
  <c r="Q598" i="4"/>
  <c r="V598" i="4" s="1"/>
  <c r="U598" i="4"/>
  <c r="Q594" i="4"/>
  <c r="V594" i="4" s="1"/>
  <c r="U594" i="4"/>
  <c r="Q595" i="4"/>
  <c r="V595" i="4" s="1"/>
  <c r="U595" i="4"/>
  <c r="Q596" i="4"/>
  <c r="U596" i="4"/>
  <c r="V596" i="4" s="1"/>
  <c r="Q597" i="4"/>
  <c r="U597" i="4"/>
  <c r="V597" i="4"/>
  <c r="Q565" i="4"/>
  <c r="V565" i="4" s="1"/>
  <c r="U565" i="4"/>
  <c r="Q566" i="4"/>
  <c r="V566" i="4" s="1"/>
  <c r="U566" i="4"/>
  <c r="Q607" i="4"/>
  <c r="U607" i="4"/>
  <c r="V607" i="4"/>
  <c r="Q608" i="4"/>
  <c r="U608" i="4"/>
  <c r="V608" i="4"/>
  <c r="Q611" i="4"/>
  <c r="U611" i="4"/>
  <c r="V611" i="4"/>
  <c r="Q612" i="4"/>
  <c r="U612" i="4"/>
  <c r="V612" i="4"/>
  <c r="Q613" i="4"/>
  <c r="V613" i="4" s="1"/>
  <c r="U613" i="4"/>
  <c r="Q614" i="4"/>
  <c r="V614" i="4" s="1"/>
  <c r="U614" i="4"/>
  <c r="Q616" i="4"/>
  <c r="U616" i="4"/>
  <c r="Q617" i="4"/>
  <c r="U617" i="4"/>
  <c r="V617" i="4"/>
  <c r="Q618" i="4"/>
  <c r="U618" i="4"/>
  <c r="V618" i="4"/>
  <c r="Q619" i="4"/>
  <c r="U619" i="4"/>
  <c r="Q620" i="4"/>
  <c r="U620" i="4"/>
  <c r="Q621" i="4"/>
  <c r="U621" i="4"/>
  <c r="V621" i="4" s="1"/>
  <c r="Q622" i="4"/>
  <c r="U622" i="4"/>
  <c r="V622" i="4" s="1"/>
  <c r="Q623" i="4"/>
  <c r="U623" i="4"/>
  <c r="Q624" i="4"/>
  <c r="V624" i="4" s="1"/>
  <c r="U624" i="4"/>
  <c r="Q625" i="4"/>
  <c r="U625" i="4"/>
  <c r="V625" i="4" s="1"/>
  <c r="Q626" i="4"/>
  <c r="V626" i="4" s="1"/>
  <c r="U626" i="4"/>
  <c r="Q627" i="4"/>
  <c r="U627" i="4"/>
  <c r="Q628" i="4"/>
  <c r="U628" i="4"/>
  <c r="Q629" i="4"/>
  <c r="U629" i="4"/>
  <c r="V629" i="4" s="1"/>
  <c r="Q630" i="4"/>
  <c r="U630" i="4"/>
  <c r="V630" i="4" s="1"/>
  <c r="Q631" i="4"/>
  <c r="V631" i="4" s="1"/>
  <c r="U631" i="4"/>
  <c r="Q632" i="4"/>
  <c r="V632" i="4" s="1"/>
  <c r="U632" i="4"/>
  <c r="Q633" i="4"/>
  <c r="U633" i="4"/>
  <c r="V633" i="4"/>
  <c r="Q634" i="4"/>
  <c r="U634" i="4"/>
  <c r="Q637" i="4"/>
  <c r="U637" i="4"/>
  <c r="Q640" i="4"/>
  <c r="U640" i="4"/>
  <c r="Q641" i="4"/>
  <c r="U641" i="4"/>
  <c r="N642" i="4"/>
  <c r="N644" i="4" s="1"/>
  <c r="P642" i="4"/>
  <c r="P644" i="4" s="1"/>
  <c r="R642" i="4"/>
  <c r="R644" i="4" s="1"/>
  <c r="T642" i="4"/>
  <c r="T644" i="4" s="1"/>
  <c r="Q650" i="4"/>
  <c r="U650" i="4"/>
  <c r="V650" i="4"/>
  <c r="Q651" i="4"/>
  <c r="U651" i="4"/>
  <c r="V651" i="4"/>
  <c r="Q654" i="4"/>
  <c r="U654" i="4"/>
  <c r="V654" i="4"/>
  <c r="Q655" i="4"/>
  <c r="U655" i="4"/>
  <c r="V655" i="4"/>
  <c r="Q656" i="4"/>
  <c r="V656" i="4" s="1"/>
  <c r="U656" i="4"/>
  <c r="Q657" i="4"/>
  <c r="V657" i="4" s="1"/>
  <c r="U657" i="4"/>
  <c r="Q662" i="4"/>
  <c r="U662" i="4"/>
  <c r="Q663" i="4"/>
  <c r="U663" i="4"/>
  <c r="Q664" i="4"/>
  <c r="U664" i="4"/>
  <c r="V664" i="4"/>
  <c r="Q665" i="4"/>
  <c r="U665" i="4"/>
  <c r="V665" i="4"/>
  <c r="Q666" i="4"/>
  <c r="U666" i="4"/>
  <c r="Q667" i="4"/>
  <c r="U667" i="4"/>
  <c r="Q668" i="4"/>
  <c r="U668" i="4"/>
  <c r="V668" i="4"/>
  <c r="Q669" i="4"/>
  <c r="U669" i="4"/>
  <c r="V669" i="4"/>
  <c r="Q670" i="4"/>
  <c r="V670" i="4" s="1"/>
  <c r="U670" i="4"/>
  <c r="Q671" i="4"/>
  <c r="V671" i="4" s="1"/>
  <c r="U671" i="4"/>
  <c r="Q672" i="4"/>
  <c r="V672" i="4" s="1"/>
  <c r="U672" i="4"/>
  <c r="Q674" i="4"/>
  <c r="U674" i="4"/>
  <c r="Q681" i="4"/>
  <c r="U681" i="4"/>
  <c r="N685" i="4"/>
  <c r="O685" i="4"/>
  <c r="P685" i="4"/>
  <c r="R685" i="4"/>
  <c r="T685" i="4"/>
  <c r="E616" i="4"/>
  <c r="I616" i="4"/>
  <c r="E617" i="4"/>
  <c r="J617" i="4" s="1"/>
  <c r="I617" i="4"/>
  <c r="H642" i="4"/>
  <c r="G642" i="4"/>
  <c r="F642" i="4"/>
  <c r="D642" i="4"/>
  <c r="C642" i="4"/>
  <c r="B642" i="4"/>
  <c r="I641" i="4"/>
  <c r="E641" i="4"/>
  <c r="I640" i="4"/>
  <c r="E640" i="4"/>
  <c r="J640" i="4" s="1"/>
  <c r="I639" i="4"/>
  <c r="E639" i="4"/>
  <c r="J639" i="4" s="1"/>
  <c r="I638" i="4"/>
  <c r="E638" i="4"/>
  <c r="I637" i="4"/>
  <c r="E637" i="4"/>
  <c r="I636" i="4"/>
  <c r="E636" i="4"/>
  <c r="J636" i="4" s="1"/>
  <c r="I635" i="4"/>
  <c r="E635" i="4"/>
  <c r="J635" i="4" s="1"/>
  <c r="I634" i="4"/>
  <c r="E634" i="4"/>
  <c r="J634" i="4" s="1"/>
  <c r="I633" i="4"/>
  <c r="J633" i="4" s="1"/>
  <c r="E633" i="4"/>
  <c r="I632" i="4"/>
  <c r="E632" i="4"/>
  <c r="J632" i="4" s="1"/>
  <c r="I631" i="4"/>
  <c r="E631" i="4"/>
  <c r="J631" i="4" s="1"/>
  <c r="J630" i="4"/>
  <c r="I630" i="4"/>
  <c r="E630" i="4"/>
  <c r="I629" i="4"/>
  <c r="J629" i="4" s="1"/>
  <c r="E629" i="4"/>
  <c r="I628" i="4"/>
  <c r="E628" i="4"/>
  <c r="J628" i="4" s="1"/>
  <c r="I627" i="4"/>
  <c r="E627" i="4"/>
  <c r="J627" i="4" s="1"/>
  <c r="J626" i="4"/>
  <c r="I626" i="4"/>
  <c r="E626" i="4"/>
  <c r="I625" i="4"/>
  <c r="J625" i="4" s="1"/>
  <c r="E625" i="4"/>
  <c r="I624" i="4"/>
  <c r="E624" i="4"/>
  <c r="J624" i="4" s="1"/>
  <c r="I623" i="4"/>
  <c r="E623" i="4"/>
  <c r="J623" i="4" s="1"/>
  <c r="J622" i="4"/>
  <c r="I622" i="4"/>
  <c r="E622" i="4"/>
  <c r="I621" i="4"/>
  <c r="J621" i="4" s="1"/>
  <c r="E621" i="4"/>
  <c r="I620" i="4"/>
  <c r="E620" i="4"/>
  <c r="I619" i="4"/>
  <c r="E619" i="4"/>
  <c r="I618" i="4"/>
  <c r="E618" i="4"/>
  <c r="J618" i="4" s="1"/>
  <c r="I614" i="4"/>
  <c r="E614" i="4"/>
  <c r="I613" i="4"/>
  <c r="E613" i="4"/>
  <c r="J612" i="4"/>
  <c r="I612" i="4"/>
  <c r="E612" i="4"/>
  <c r="I611" i="4"/>
  <c r="E611" i="4"/>
  <c r="J611" i="4" s="1"/>
  <c r="I610" i="4"/>
  <c r="E610" i="4"/>
  <c r="J610" i="4" s="1"/>
  <c r="J608" i="4"/>
  <c r="I608" i="4"/>
  <c r="E608" i="4"/>
  <c r="I607" i="4"/>
  <c r="E607" i="4"/>
  <c r="J607" i="4" s="1"/>
  <c r="S516" i="4"/>
  <c r="T516" i="4"/>
  <c r="U516" i="4"/>
  <c r="R516" i="4"/>
  <c r="O516" i="4"/>
  <c r="P516" i="4"/>
  <c r="Q516" i="4"/>
  <c r="N516" i="4"/>
  <c r="O515" i="4"/>
  <c r="P515" i="4"/>
  <c r="Q515" i="4"/>
  <c r="R515" i="4"/>
  <c r="S515" i="4"/>
  <c r="T515" i="4"/>
  <c r="U515" i="4"/>
  <c r="V515" i="4"/>
  <c r="N515" i="4"/>
  <c r="E536" i="4"/>
  <c r="I536" i="4"/>
  <c r="I535" i="4"/>
  <c r="E535" i="4"/>
  <c r="J535" i="4" s="1"/>
  <c r="U531" i="4"/>
  <c r="Q531" i="4"/>
  <c r="V531" i="4" s="1"/>
  <c r="U530" i="4"/>
  <c r="Q530" i="4"/>
  <c r="V530" i="4" s="1"/>
  <c r="U456" i="4"/>
  <c r="V456" i="4" s="1"/>
  <c r="Q456" i="4"/>
  <c r="U479" i="4"/>
  <c r="Q479" i="4"/>
  <c r="V479" i="4" s="1"/>
  <c r="Q555" i="4"/>
  <c r="U555" i="4"/>
  <c r="V555" i="4"/>
  <c r="T599" i="4"/>
  <c r="S599" i="4"/>
  <c r="R599" i="4"/>
  <c r="P599" i="4"/>
  <c r="O599" i="4"/>
  <c r="N599" i="4"/>
  <c r="H599" i="4"/>
  <c r="G599" i="4"/>
  <c r="F599" i="4"/>
  <c r="D599" i="4"/>
  <c r="C599" i="4"/>
  <c r="B599" i="4"/>
  <c r="J598" i="4"/>
  <c r="I598" i="4"/>
  <c r="E598" i="4"/>
  <c r="I597" i="4"/>
  <c r="E597" i="4"/>
  <c r="J597" i="4" s="1"/>
  <c r="I596" i="4"/>
  <c r="J596" i="4" s="1"/>
  <c r="E596" i="4"/>
  <c r="I595" i="4"/>
  <c r="E595" i="4"/>
  <c r="I594" i="4"/>
  <c r="J594" i="4" s="1"/>
  <c r="E594" i="4"/>
  <c r="U593" i="4"/>
  <c r="Q593" i="4"/>
  <c r="V593" i="4" s="1"/>
  <c r="I593" i="4"/>
  <c r="E593" i="4"/>
  <c r="V592" i="4"/>
  <c r="U592" i="4"/>
  <c r="Q592" i="4"/>
  <c r="I592" i="4"/>
  <c r="J592" i="4" s="1"/>
  <c r="E592" i="4"/>
  <c r="U591" i="4"/>
  <c r="Q591" i="4"/>
  <c r="V591" i="4" s="1"/>
  <c r="I591" i="4"/>
  <c r="E591" i="4"/>
  <c r="J591" i="4" s="1"/>
  <c r="V590" i="4"/>
  <c r="U590" i="4"/>
  <c r="Q590" i="4"/>
  <c r="I590" i="4"/>
  <c r="E590" i="4"/>
  <c r="J590" i="4" s="1"/>
  <c r="U589" i="4"/>
  <c r="Q589" i="4"/>
  <c r="V589" i="4" s="1"/>
  <c r="I589" i="4"/>
  <c r="E589" i="4"/>
  <c r="J589" i="4" s="1"/>
  <c r="V588" i="4"/>
  <c r="U588" i="4"/>
  <c r="Q588" i="4"/>
  <c r="J588" i="4"/>
  <c r="I588" i="4"/>
  <c r="E588" i="4"/>
  <c r="U587" i="4"/>
  <c r="Q587" i="4"/>
  <c r="V587" i="4" s="1"/>
  <c r="I587" i="4"/>
  <c r="E587" i="4"/>
  <c r="J587" i="4" s="1"/>
  <c r="V586" i="4"/>
  <c r="U586" i="4"/>
  <c r="Q586" i="4"/>
  <c r="J586" i="4"/>
  <c r="I586" i="4"/>
  <c r="E586" i="4"/>
  <c r="U585" i="4"/>
  <c r="Q585" i="4"/>
  <c r="V585" i="4" s="1"/>
  <c r="I585" i="4"/>
  <c r="E585" i="4"/>
  <c r="J585" i="4" s="1"/>
  <c r="V584" i="4"/>
  <c r="U584" i="4"/>
  <c r="Q584" i="4"/>
  <c r="I584" i="4"/>
  <c r="J584" i="4" s="1"/>
  <c r="E584" i="4"/>
  <c r="U583" i="4"/>
  <c r="Q583" i="4"/>
  <c r="V583" i="4" s="1"/>
  <c r="I583" i="4"/>
  <c r="E583" i="4"/>
  <c r="V582" i="4"/>
  <c r="U582" i="4"/>
  <c r="Q582" i="4"/>
  <c r="I582" i="4"/>
  <c r="J582" i="4" s="1"/>
  <c r="E582" i="4"/>
  <c r="U581" i="4"/>
  <c r="Q581" i="4"/>
  <c r="V581" i="4" s="1"/>
  <c r="I581" i="4"/>
  <c r="E581" i="4"/>
  <c r="U580" i="4"/>
  <c r="V580" i="4" s="1"/>
  <c r="Q580" i="4"/>
  <c r="I580" i="4"/>
  <c r="J580" i="4" s="1"/>
  <c r="E580" i="4"/>
  <c r="U579" i="4"/>
  <c r="Q579" i="4"/>
  <c r="V579" i="4" s="1"/>
  <c r="I579" i="4"/>
  <c r="E579" i="4"/>
  <c r="V578" i="4"/>
  <c r="U578" i="4"/>
  <c r="Q578" i="4"/>
  <c r="I578" i="4"/>
  <c r="E578" i="4"/>
  <c r="J578" i="4" s="1"/>
  <c r="U577" i="4"/>
  <c r="Q577" i="4"/>
  <c r="I577" i="4"/>
  <c r="E577" i="4"/>
  <c r="J577" i="4" s="1"/>
  <c r="V576" i="4"/>
  <c r="U576" i="4"/>
  <c r="Q576" i="4"/>
  <c r="J576" i="4"/>
  <c r="I576" i="4"/>
  <c r="E576" i="4"/>
  <c r="U575" i="4"/>
  <c r="Q575" i="4"/>
  <c r="V575" i="4" s="1"/>
  <c r="I575" i="4"/>
  <c r="E575" i="4"/>
  <c r="U574" i="4"/>
  <c r="V574" i="4" s="1"/>
  <c r="Q574" i="4"/>
  <c r="I574" i="4"/>
  <c r="J574" i="4" s="1"/>
  <c r="E574" i="4"/>
  <c r="U573" i="4"/>
  <c r="Q573" i="4"/>
  <c r="V573" i="4" s="1"/>
  <c r="I573" i="4"/>
  <c r="E573" i="4"/>
  <c r="J573" i="4" s="1"/>
  <c r="U571" i="4"/>
  <c r="Q571" i="4"/>
  <c r="V571" i="4" s="1"/>
  <c r="I571" i="4"/>
  <c r="E571" i="4"/>
  <c r="J571" i="4" s="1"/>
  <c r="V570" i="4"/>
  <c r="U570" i="4"/>
  <c r="Q570" i="4"/>
  <c r="J570" i="4"/>
  <c r="I570" i="4"/>
  <c r="E570" i="4"/>
  <c r="U569" i="4"/>
  <c r="Q569" i="4"/>
  <c r="V569" i="4" s="1"/>
  <c r="I569" i="4"/>
  <c r="E569" i="4"/>
  <c r="J569" i="4" s="1"/>
  <c r="U568" i="4"/>
  <c r="Q568" i="4"/>
  <c r="V568" i="4" s="1"/>
  <c r="I568" i="4"/>
  <c r="E568" i="4"/>
  <c r="U567" i="4"/>
  <c r="Q567" i="4"/>
  <c r="V567" i="4" s="1"/>
  <c r="I567" i="4"/>
  <c r="E567" i="4"/>
  <c r="J567" i="4" s="1"/>
  <c r="I566" i="4"/>
  <c r="E566" i="4"/>
  <c r="J566" i="4" s="1"/>
  <c r="I565" i="4"/>
  <c r="E565" i="4"/>
  <c r="J565" i="4" s="1"/>
  <c r="U564" i="4"/>
  <c r="Q564" i="4"/>
  <c r="V564" i="4" s="1"/>
  <c r="I564" i="4"/>
  <c r="J564" i="4" s="1"/>
  <c r="E564" i="4"/>
  <c r="U478" i="4"/>
  <c r="Q478" i="4"/>
  <c r="V478" i="4" s="1"/>
  <c r="U435" i="4"/>
  <c r="Q435" i="4"/>
  <c r="V435" i="4" s="1"/>
  <c r="B501" i="4"/>
  <c r="B513" i="4" s="1"/>
  <c r="G499" i="4"/>
  <c r="E521" i="4"/>
  <c r="J521" i="4" s="1"/>
  <c r="I521" i="4"/>
  <c r="E522" i="4"/>
  <c r="I522" i="4"/>
  <c r="H556" i="4"/>
  <c r="G556" i="4"/>
  <c r="F556" i="4"/>
  <c r="D556" i="4"/>
  <c r="C556" i="4"/>
  <c r="B556" i="4"/>
  <c r="I555" i="4"/>
  <c r="E555" i="4"/>
  <c r="J555" i="4" s="1"/>
  <c r="I554" i="4"/>
  <c r="E554" i="4"/>
  <c r="I553" i="4"/>
  <c r="J553" i="4" s="1"/>
  <c r="E553" i="4"/>
  <c r="J552" i="4"/>
  <c r="I552" i="4"/>
  <c r="E552" i="4"/>
  <c r="I551" i="4"/>
  <c r="E551" i="4"/>
  <c r="J551" i="4" s="1"/>
  <c r="I550" i="4"/>
  <c r="E550" i="4"/>
  <c r="J550" i="4" s="1"/>
  <c r="I549" i="4"/>
  <c r="E549" i="4"/>
  <c r="J548" i="4"/>
  <c r="I548" i="4"/>
  <c r="E548" i="4"/>
  <c r="I547" i="4"/>
  <c r="E547" i="4"/>
  <c r="J547" i="4" s="1"/>
  <c r="I546" i="4"/>
  <c r="E546" i="4"/>
  <c r="I545" i="4"/>
  <c r="E545" i="4"/>
  <c r="I544" i="4"/>
  <c r="E544" i="4"/>
  <c r="J544" i="4" s="1"/>
  <c r="I543" i="4"/>
  <c r="E543" i="4"/>
  <c r="J543" i="4" s="1"/>
  <c r="I542" i="4"/>
  <c r="E542" i="4"/>
  <c r="J542" i="4" s="1"/>
  <c r="I541" i="4"/>
  <c r="E541" i="4"/>
  <c r="I540" i="4"/>
  <c r="E540" i="4"/>
  <c r="J540" i="4" s="1"/>
  <c r="I539" i="4"/>
  <c r="E539" i="4"/>
  <c r="I538" i="4"/>
  <c r="E538" i="4"/>
  <c r="J538" i="4" s="1"/>
  <c r="I537" i="4"/>
  <c r="J537" i="4" s="1"/>
  <c r="E537" i="4"/>
  <c r="I534" i="4"/>
  <c r="E534" i="4"/>
  <c r="J534" i="4" s="1"/>
  <c r="I533" i="4"/>
  <c r="E533" i="4"/>
  <c r="I532" i="4"/>
  <c r="E532" i="4"/>
  <c r="J532" i="4" s="1"/>
  <c r="I531" i="4"/>
  <c r="E531" i="4"/>
  <c r="I530" i="4"/>
  <c r="E530" i="4"/>
  <c r="J530" i="4" s="1"/>
  <c r="I528" i="4"/>
  <c r="E528" i="4"/>
  <c r="J528" i="4" s="1"/>
  <c r="I527" i="4"/>
  <c r="E527" i="4"/>
  <c r="I526" i="4"/>
  <c r="J526" i="4" s="1"/>
  <c r="E526" i="4"/>
  <c r="I525" i="4"/>
  <c r="E525" i="4"/>
  <c r="J525" i="4" s="1"/>
  <c r="I524" i="4"/>
  <c r="E524" i="4"/>
  <c r="I523" i="4"/>
  <c r="E523" i="4"/>
  <c r="T556" i="4"/>
  <c r="S556" i="4"/>
  <c r="R556" i="4"/>
  <c r="P556" i="4"/>
  <c r="O556" i="4"/>
  <c r="N556" i="4"/>
  <c r="U554" i="4"/>
  <c r="Q554" i="4"/>
  <c r="V554" i="4" s="1"/>
  <c r="U553" i="4"/>
  <c r="Q553" i="4"/>
  <c r="V553" i="4" s="1"/>
  <c r="V552" i="4"/>
  <c r="U552" i="4"/>
  <c r="Q552" i="4"/>
  <c r="U551" i="4"/>
  <c r="V551" i="4" s="1"/>
  <c r="Q551" i="4"/>
  <c r="U550" i="4"/>
  <c r="Q550" i="4"/>
  <c r="V550" i="4" s="1"/>
  <c r="U549" i="4"/>
  <c r="Q549" i="4"/>
  <c r="V549" i="4" s="1"/>
  <c r="V548" i="4"/>
  <c r="U548" i="4"/>
  <c r="Q548" i="4"/>
  <c r="U547" i="4"/>
  <c r="V547" i="4" s="1"/>
  <c r="Q547" i="4"/>
  <c r="U546" i="4"/>
  <c r="Q546" i="4"/>
  <c r="V546" i="4" s="1"/>
  <c r="U545" i="4"/>
  <c r="Q545" i="4"/>
  <c r="V545" i="4" s="1"/>
  <c r="V544" i="4"/>
  <c r="U544" i="4"/>
  <c r="Q544" i="4"/>
  <c r="U543" i="4"/>
  <c r="V543" i="4" s="1"/>
  <c r="Q543" i="4"/>
  <c r="U542" i="4"/>
  <c r="Q542" i="4"/>
  <c r="V542" i="4" s="1"/>
  <c r="U541" i="4"/>
  <c r="Q541" i="4"/>
  <c r="V541" i="4" s="1"/>
  <c r="V540" i="4"/>
  <c r="U540" i="4"/>
  <c r="Q540" i="4"/>
  <c r="U539" i="4"/>
  <c r="V539" i="4" s="1"/>
  <c r="Q539" i="4"/>
  <c r="U538" i="4"/>
  <c r="Q538" i="4"/>
  <c r="V538" i="4" s="1"/>
  <c r="U537" i="4"/>
  <c r="Q537" i="4"/>
  <c r="V537" i="4" s="1"/>
  <c r="V536" i="4"/>
  <c r="U536" i="4"/>
  <c r="Q536" i="4"/>
  <c r="U535" i="4"/>
  <c r="V535" i="4" s="1"/>
  <c r="Q535" i="4"/>
  <c r="U534" i="4"/>
  <c r="Q534" i="4"/>
  <c r="V534" i="4" s="1"/>
  <c r="U533" i="4"/>
  <c r="Q533" i="4"/>
  <c r="V533" i="4" s="1"/>
  <c r="U532" i="4"/>
  <c r="V532" i="4" s="1"/>
  <c r="Q532" i="4"/>
  <c r="U528" i="4"/>
  <c r="Q528" i="4"/>
  <c r="V528" i="4" s="1"/>
  <c r="U527" i="4"/>
  <c r="Q527" i="4"/>
  <c r="V527" i="4" s="1"/>
  <c r="V526" i="4"/>
  <c r="U526" i="4"/>
  <c r="Q526" i="4"/>
  <c r="U525" i="4"/>
  <c r="V525" i="4" s="1"/>
  <c r="Q525" i="4"/>
  <c r="U524" i="4"/>
  <c r="Q524" i="4"/>
  <c r="V524" i="4" s="1"/>
  <c r="U523" i="4"/>
  <c r="Q523" i="4"/>
  <c r="V523" i="4" s="1"/>
  <c r="U522" i="4"/>
  <c r="Q522" i="4"/>
  <c r="V522" i="4" s="1"/>
  <c r="U521" i="4"/>
  <c r="V521" i="4" s="1"/>
  <c r="Q521" i="4"/>
  <c r="V455" i="4"/>
  <c r="U455" i="4"/>
  <c r="Q455" i="4"/>
  <c r="G467" i="4"/>
  <c r="D465" i="4"/>
  <c r="H478" i="4"/>
  <c r="G478" i="4"/>
  <c r="F478" i="4"/>
  <c r="U448" i="4"/>
  <c r="Q448" i="4"/>
  <c r="V448" i="4" s="1"/>
  <c r="B461" i="4"/>
  <c r="E461" i="4"/>
  <c r="I461" i="4"/>
  <c r="U447" i="4"/>
  <c r="Q447" i="4"/>
  <c r="V447" i="4" s="1"/>
  <c r="C455" i="4"/>
  <c r="N426" i="4"/>
  <c r="N427" i="4" s="1"/>
  <c r="O426" i="4"/>
  <c r="P426" i="4"/>
  <c r="R426" i="4"/>
  <c r="U426" i="4" s="1"/>
  <c r="S426" i="4"/>
  <c r="T426" i="4"/>
  <c r="T427" i="4" s="1"/>
  <c r="E455" i="4"/>
  <c r="I455" i="4"/>
  <c r="I454" i="4"/>
  <c r="E454" i="4"/>
  <c r="J454" i="4" s="1"/>
  <c r="I453" i="4"/>
  <c r="E453" i="4"/>
  <c r="J453" i="4" s="1"/>
  <c r="V446" i="4"/>
  <c r="U446" i="4"/>
  <c r="Q446" i="4"/>
  <c r="F451" i="4"/>
  <c r="I451" i="4" s="1"/>
  <c r="U414" i="4"/>
  <c r="Q414" i="4"/>
  <c r="V414" i="4" s="1"/>
  <c r="U412" i="4"/>
  <c r="Q412" i="4"/>
  <c r="V412" i="4" s="1"/>
  <c r="G423" i="4"/>
  <c r="B418" i="4"/>
  <c r="U407" i="4"/>
  <c r="Q407" i="4"/>
  <c r="V407" i="4" s="1"/>
  <c r="U405" i="4"/>
  <c r="Q405" i="4"/>
  <c r="V405" i="4" s="1"/>
  <c r="Q380" i="4"/>
  <c r="V380" i="4" s="1"/>
  <c r="U380" i="4"/>
  <c r="U381" i="4"/>
  <c r="Q381" i="4"/>
  <c r="V381" i="4" s="1"/>
  <c r="U422" i="4"/>
  <c r="Q422" i="4"/>
  <c r="U421" i="4"/>
  <c r="Q421" i="4"/>
  <c r="U379" i="4"/>
  <c r="Q379" i="4"/>
  <c r="V379" i="4" s="1"/>
  <c r="Q420" i="4"/>
  <c r="V420" i="4" s="1"/>
  <c r="U420" i="4"/>
  <c r="Q426" i="4"/>
  <c r="U425" i="4"/>
  <c r="Q425" i="4"/>
  <c r="U383" i="4"/>
  <c r="V383" i="4" s="1"/>
  <c r="Q383" i="4"/>
  <c r="V382" i="4"/>
  <c r="U382" i="4"/>
  <c r="Q382" i="4"/>
  <c r="P427" i="4"/>
  <c r="G412" i="4"/>
  <c r="B412" i="4"/>
  <c r="D412" i="4"/>
  <c r="U403" i="4"/>
  <c r="Q403" i="4"/>
  <c r="V403" i="4" s="1"/>
  <c r="H411" i="4"/>
  <c r="U378" i="4"/>
  <c r="Q378" i="4"/>
  <c r="V378" i="4" s="1"/>
  <c r="C408" i="4"/>
  <c r="E408" i="4" s="1"/>
  <c r="I408" i="4"/>
  <c r="Q511" i="4"/>
  <c r="U511" i="4"/>
  <c r="V511" i="4"/>
  <c r="Q512" i="4"/>
  <c r="V512" i="4" s="1"/>
  <c r="U512" i="4"/>
  <c r="U469" i="4"/>
  <c r="Q469" i="4"/>
  <c r="U468" i="4"/>
  <c r="Q468" i="4"/>
  <c r="U467" i="4"/>
  <c r="Q467" i="4"/>
  <c r="G406" i="4"/>
  <c r="I406" i="4" s="1"/>
  <c r="B406" i="4"/>
  <c r="C405" i="4"/>
  <c r="D403" i="4"/>
  <c r="U371" i="4"/>
  <c r="Q371" i="4"/>
  <c r="V371" i="4" s="1"/>
  <c r="H382" i="4"/>
  <c r="I382" i="4" s="1"/>
  <c r="D382" i="4"/>
  <c r="C379" i="4"/>
  <c r="S384" i="4"/>
  <c r="Q377" i="4"/>
  <c r="U377" i="4"/>
  <c r="B368" i="4"/>
  <c r="F368" i="4"/>
  <c r="R362" i="4"/>
  <c r="N362" i="4"/>
  <c r="Q362" i="4" s="1"/>
  <c r="F355" i="4"/>
  <c r="B355" i="4"/>
  <c r="U362" i="4"/>
  <c r="I354" i="4"/>
  <c r="E354" i="4"/>
  <c r="J354" i="4" s="1"/>
  <c r="U361" i="4"/>
  <c r="Q361" i="4"/>
  <c r="V361" i="4" s="1"/>
  <c r="D361" i="4"/>
  <c r="U424" i="4"/>
  <c r="Q424" i="4"/>
  <c r="U423" i="4"/>
  <c r="Q423" i="4"/>
  <c r="T513" i="4"/>
  <c r="S513" i="4"/>
  <c r="R513" i="4"/>
  <c r="P513" i="4"/>
  <c r="O513" i="4"/>
  <c r="N513" i="4"/>
  <c r="H513" i="4"/>
  <c r="G513" i="4"/>
  <c r="F513" i="4"/>
  <c r="D513" i="4"/>
  <c r="C513" i="4"/>
  <c r="I512" i="4"/>
  <c r="E512" i="4"/>
  <c r="J512" i="4" s="1"/>
  <c r="I511" i="4"/>
  <c r="E511" i="4"/>
  <c r="J511" i="4" s="1"/>
  <c r="U510" i="4"/>
  <c r="Q510" i="4"/>
  <c r="V510" i="4" s="1"/>
  <c r="I510" i="4"/>
  <c r="E510" i="4"/>
  <c r="J510" i="4" s="1"/>
  <c r="U509" i="4"/>
  <c r="V509" i="4" s="1"/>
  <c r="Q509" i="4"/>
  <c r="I509" i="4"/>
  <c r="E509" i="4"/>
  <c r="U508" i="4"/>
  <c r="Q508" i="4"/>
  <c r="V508" i="4" s="1"/>
  <c r="J508" i="4"/>
  <c r="I508" i="4"/>
  <c r="E508" i="4"/>
  <c r="U507" i="4"/>
  <c r="V507" i="4" s="1"/>
  <c r="Q507" i="4"/>
  <c r="I507" i="4"/>
  <c r="E507" i="4"/>
  <c r="J507" i="4" s="1"/>
  <c r="U506" i="4"/>
  <c r="Q506" i="4"/>
  <c r="V506" i="4" s="1"/>
  <c r="I506" i="4"/>
  <c r="E506" i="4"/>
  <c r="J506" i="4" s="1"/>
  <c r="U505" i="4"/>
  <c r="V505" i="4" s="1"/>
  <c r="Q505" i="4"/>
  <c r="I505" i="4"/>
  <c r="E505" i="4"/>
  <c r="J505" i="4" s="1"/>
  <c r="U504" i="4"/>
  <c r="Q504" i="4"/>
  <c r="V504" i="4" s="1"/>
  <c r="I504" i="4"/>
  <c r="E504" i="4"/>
  <c r="U503" i="4"/>
  <c r="V503" i="4" s="1"/>
  <c r="Q503" i="4"/>
  <c r="I503" i="4"/>
  <c r="E503" i="4"/>
  <c r="J503" i="4" s="1"/>
  <c r="U502" i="4"/>
  <c r="Q502" i="4"/>
  <c r="V502" i="4" s="1"/>
  <c r="J502" i="4"/>
  <c r="I502" i="4"/>
  <c r="E502" i="4"/>
  <c r="U501" i="4"/>
  <c r="V501" i="4" s="1"/>
  <c r="Q501" i="4"/>
  <c r="I501" i="4"/>
  <c r="U500" i="4"/>
  <c r="Q500" i="4"/>
  <c r="V500" i="4" s="1"/>
  <c r="I500" i="4"/>
  <c r="J500" i="4" s="1"/>
  <c r="E500" i="4"/>
  <c r="U499" i="4"/>
  <c r="V499" i="4" s="1"/>
  <c r="Q499" i="4"/>
  <c r="I499" i="4"/>
  <c r="E499" i="4"/>
  <c r="U498" i="4"/>
  <c r="Q498" i="4"/>
  <c r="V498" i="4" s="1"/>
  <c r="I498" i="4"/>
  <c r="E498" i="4"/>
  <c r="J498" i="4" s="1"/>
  <c r="U497" i="4"/>
  <c r="V497" i="4" s="1"/>
  <c r="Q497" i="4"/>
  <c r="I497" i="4"/>
  <c r="E497" i="4"/>
  <c r="J497" i="4" s="1"/>
  <c r="U496" i="4"/>
  <c r="Q496" i="4"/>
  <c r="V496" i="4" s="1"/>
  <c r="I496" i="4"/>
  <c r="E496" i="4"/>
  <c r="U495" i="4"/>
  <c r="V495" i="4" s="1"/>
  <c r="Q495" i="4"/>
  <c r="I495" i="4"/>
  <c r="E495" i="4"/>
  <c r="U494" i="4"/>
  <c r="Q494" i="4"/>
  <c r="V494" i="4" s="1"/>
  <c r="I494" i="4"/>
  <c r="E494" i="4"/>
  <c r="J494" i="4" s="1"/>
  <c r="U493" i="4"/>
  <c r="V493" i="4" s="1"/>
  <c r="Q493" i="4"/>
  <c r="I493" i="4"/>
  <c r="E493" i="4"/>
  <c r="J493" i="4" s="1"/>
  <c r="U492" i="4"/>
  <c r="Q492" i="4"/>
  <c r="V492" i="4" s="1"/>
  <c r="I492" i="4"/>
  <c r="E492" i="4"/>
  <c r="J492" i="4" s="1"/>
  <c r="U491" i="4"/>
  <c r="V491" i="4" s="1"/>
  <c r="Q491" i="4"/>
  <c r="I491" i="4"/>
  <c r="E491" i="4"/>
  <c r="U490" i="4"/>
  <c r="Q490" i="4"/>
  <c r="V490" i="4" s="1"/>
  <c r="I490" i="4"/>
  <c r="E490" i="4"/>
  <c r="U489" i="4"/>
  <c r="V489" i="4" s="1"/>
  <c r="Q489" i="4"/>
  <c r="I489" i="4"/>
  <c r="E489" i="4"/>
  <c r="U488" i="4"/>
  <c r="Q488" i="4"/>
  <c r="V488" i="4" s="1"/>
  <c r="J488" i="4"/>
  <c r="I488" i="4"/>
  <c r="E488" i="4"/>
  <c r="U487" i="4"/>
  <c r="V487" i="4" s="1"/>
  <c r="Q487" i="4"/>
  <c r="I487" i="4"/>
  <c r="E487" i="4"/>
  <c r="J487" i="4" s="1"/>
  <c r="U485" i="4"/>
  <c r="V485" i="4" s="1"/>
  <c r="Q485" i="4"/>
  <c r="I485" i="4"/>
  <c r="E485" i="4"/>
  <c r="J485" i="4" s="1"/>
  <c r="U484" i="4"/>
  <c r="Q484" i="4"/>
  <c r="V484" i="4" s="1"/>
  <c r="J484" i="4"/>
  <c r="I484" i="4"/>
  <c r="E484" i="4"/>
  <c r="U483" i="4"/>
  <c r="V483" i="4" s="1"/>
  <c r="Q483" i="4"/>
  <c r="I483" i="4"/>
  <c r="E483" i="4"/>
  <c r="J483" i="4" s="1"/>
  <c r="U482" i="4"/>
  <c r="Q482" i="4"/>
  <c r="V482" i="4" s="1"/>
  <c r="I482" i="4"/>
  <c r="J482" i="4" s="1"/>
  <c r="E482" i="4"/>
  <c r="U481" i="4"/>
  <c r="V481" i="4" s="1"/>
  <c r="Q481" i="4"/>
  <c r="I481" i="4"/>
  <c r="E481" i="4"/>
  <c r="J481" i="4" s="1"/>
  <c r="U480" i="4"/>
  <c r="Q480" i="4"/>
  <c r="V480" i="4" s="1"/>
  <c r="I480" i="4"/>
  <c r="E480" i="4"/>
  <c r="J480" i="4" s="1"/>
  <c r="I479" i="4"/>
  <c r="E479" i="4"/>
  <c r="I478" i="4"/>
  <c r="E478" i="4"/>
  <c r="T470" i="4"/>
  <c r="S470" i="4"/>
  <c r="R470" i="4"/>
  <c r="P470" i="4"/>
  <c r="O470" i="4"/>
  <c r="N470" i="4"/>
  <c r="H470" i="4"/>
  <c r="G470" i="4"/>
  <c r="F470" i="4"/>
  <c r="D470" i="4"/>
  <c r="C470" i="4"/>
  <c r="B470" i="4"/>
  <c r="I469" i="4"/>
  <c r="E469" i="4"/>
  <c r="I468" i="4"/>
  <c r="E468" i="4"/>
  <c r="I467" i="4"/>
  <c r="E467" i="4"/>
  <c r="U466" i="4"/>
  <c r="Q466" i="4"/>
  <c r="V466" i="4" s="1"/>
  <c r="I466" i="4"/>
  <c r="E466" i="4"/>
  <c r="V465" i="4"/>
  <c r="U465" i="4"/>
  <c r="Q465" i="4"/>
  <c r="I465" i="4"/>
  <c r="E465" i="4"/>
  <c r="U464" i="4"/>
  <c r="Q464" i="4"/>
  <c r="V464" i="4" s="1"/>
  <c r="I464" i="4"/>
  <c r="E464" i="4"/>
  <c r="V463" i="4"/>
  <c r="U463" i="4"/>
  <c r="Q463" i="4"/>
  <c r="I463" i="4"/>
  <c r="E463" i="4"/>
  <c r="J463" i="4" s="1"/>
  <c r="U462" i="4"/>
  <c r="Q462" i="4"/>
  <c r="V462" i="4" s="1"/>
  <c r="I462" i="4"/>
  <c r="J462" i="4" s="1"/>
  <c r="E462" i="4"/>
  <c r="V461" i="4"/>
  <c r="U461" i="4"/>
  <c r="Q461" i="4"/>
  <c r="U460" i="4"/>
  <c r="Q460" i="4"/>
  <c r="V460" i="4" s="1"/>
  <c r="J460" i="4"/>
  <c r="I460" i="4"/>
  <c r="E460" i="4"/>
  <c r="V459" i="4"/>
  <c r="U459" i="4"/>
  <c r="Q459" i="4"/>
  <c r="I459" i="4"/>
  <c r="E459" i="4"/>
  <c r="U458" i="4"/>
  <c r="Q458" i="4"/>
  <c r="V458" i="4" s="1"/>
  <c r="J458" i="4"/>
  <c r="I458" i="4"/>
  <c r="E458" i="4"/>
  <c r="V457" i="4"/>
  <c r="U457" i="4"/>
  <c r="Q457" i="4"/>
  <c r="I457" i="4"/>
  <c r="E457" i="4"/>
  <c r="J457" i="4" s="1"/>
  <c r="I456" i="4"/>
  <c r="E456" i="4"/>
  <c r="U454" i="4"/>
  <c r="Q454" i="4"/>
  <c r="V454" i="4" s="1"/>
  <c r="U453" i="4"/>
  <c r="Q453" i="4"/>
  <c r="U452" i="4"/>
  <c r="Q452" i="4"/>
  <c r="V452" i="4" s="1"/>
  <c r="U451" i="4"/>
  <c r="Q451" i="4"/>
  <c r="V451" i="4" s="1"/>
  <c r="E451" i="4"/>
  <c r="U450" i="4"/>
  <c r="Q450" i="4"/>
  <c r="V450" i="4" s="1"/>
  <c r="I450" i="4"/>
  <c r="E450" i="4"/>
  <c r="J450" i="4" s="1"/>
  <c r="U449" i="4"/>
  <c r="Q449" i="4"/>
  <c r="I449" i="4"/>
  <c r="E449" i="4"/>
  <c r="J449" i="4" s="1"/>
  <c r="I448" i="4"/>
  <c r="E448" i="4"/>
  <c r="J448" i="4" s="1"/>
  <c r="I447" i="4"/>
  <c r="E447" i="4"/>
  <c r="J447" i="4" s="1"/>
  <c r="I446" i="4"/>
  <c r="E446" i="4"/>
  <c r="U445" i="4"/>
  <c r="Q445" i="4"/>
  <c r="I445" i="4"/>
  <c r="E445" i="4"/>
  <c r="J445" i="4" s="1"/>
  <c r="U444" i="4"/>
  <c r="Q444" i="4"/>
  <c r="V444" i="4" s="1"/>
  <c r="I444" i="4"/>
  <c r="E444" i="4"/>
  <c r="J444" i="4" s="1"/>
  <c r="U442" i="4"/>
  <c r="Q442" i="4"/>
  <c r="V442" i="4" s="1"/>
  <c r="I442" i="4"/>
  <c r="E442" i="4"/>
  <c r="V441" i="4"/>
  <c r="U441" i="4"/>
  <c r="Q441" i="4"/>
  <c r="I441" i="4"/>
  <c r="E441" i="4"/>
  <c r="U440" i="4"/>
  <c r="Q440" i="4"/>
  <c r="V440" i="4" s="1"/>
  <c r="I440" i="4"/>
  <c r="E440" i="4"/>
  <c r="V439" i="4"/>
  <c r="U439" i="4"/>
  <c r="Q439" i="4"/>
  <c r="I439" i="4"/>
  <c r="E439" i="4"/>
  <c r="U438" i="4"/>
  <c r="Q438" i="4"/>
  <c r="V438" i="4" s="1"/>
  <c r="I438" i="4"/>
  <c r="J438" i="4" s="1"/>
  <c r="E438" i="4"/>
  <c r="V437" i="4"/>
  <c r="U437" i="4"/>
  <c r="Q437" i="4"/>
  <c r="I437" i="4"/>
  <c r="E437" i="4"/>
  <c r="U436" i="4"/>
  <c r="Q436" i="4"/>
  <c r="V436" i="4" s="1"/>
  <c r="J436" i="4"/>
  <c r="I436" i="4"/>
  <c r="E436" i="4"/>
  <c r="I435" i="4"/>
  <c r="E435" i="4"/>
  <c r="J435" i="4" s="1"/>
  <c r="V359" i="4"/>
  <c r="U359" i="4"/>
  <c r="Q359" i="4"/>
  <c r="U315" i="4"/>
  <c r="Q315" i="4"/>
  <c r="U279" i="4"/>
  <c r="Q279" i="4"/>
  <c r="I333" i="4"/>
  <c r="I334" i="4"/>
  <c r="I335" i="4"/>
  <c r="I336" i="4"/>
  <c r="I337" i="4"/>
  <c r="I332" i="4"/>
  <c r="E332" i="4"/>
  <c r="J332" i="4" s="1"/>
  <c r="Q338" i="4"/>
  <c r="V338" i="4" s="1"/>
  <c r="U338" i="4"/>
  <c r="Q339" i="4"/>
  <c r="V339" i="4" s="1"/>
  <c r="U339" i="4"/>
  <c r="Q340" i="4"/>
  <c r="U340" i="4"/>
  <c r="V340" i="4" s="1"/>
  <c r="U307" i="4"/>
  <c r="Q307" i="4"/>
  <c r="V307" i="4" s="1"/>
  <c r="I321" i="4"/>
  <c r="E321" i="4"/>
  <c r="Q351" i="4"/>
  <c r="U351" i="4"/>
  <c r="V351" i="4" s="1"/>
  <c r="U278" i="4"/>
  <c r="Q278" i="4"/>
  <c r="V278" i="4" s="1"/>
  <c r="F318" i="4"/>
  <c r="G318" i="4"/>
  <c r="H318" i="4"/>
  <c r="U266" i="4"/>
  <c r="Q266" i="4"/>
  <c r="V266" i="4" s="1"/>
  <c r="E318" i="4"/>
  <c r="I318" i="4"/>
  <c r="I317" i="4"/>
  <c r="E317" i="4"/>
  <c r="J317" i="4" s="1"/>
  <c r="I316" i="4"/>
  <c r="E316" i="4"/>
  <c r="J316" i="4" s="1"/>
  <c r="U265" i="4"/>
  <c r="Q265" i="4"/>
  <c r="V265" i="4" s="1"/>
  <c r="U306" i="4"/>
  <c r="Q306" i="4"/>
  <c r="V306" i="4" s="1"/>
  <c r="Q308" i="4"/>
  <c r="U308" i="4"/>
  <c r="V308" i="4" s="1"/>
  <c r="U277" i="4"/>
  <c r="Q277" i="4"/>
  <c r="V277" i="4" s="1"/>
  <c r="U276" i="4"/>
  <c r="Q276" i="4"/>
  <c r="V276" i="4" s="1"/>
  <c r="B293" i="4"/>
  <c r="U275" i="4"/>
  <c r="Q275" i="4"/>
  <c r="V275" i="4" s="1"/>
  <c r="H286" i="4"/>
  <c r="U264" i="4"/>
  <c r="Q264" i="4"/>
  <c r="V264" i="4" s="1"/>
  <c r="G264" i="4"/>
  <c r="C264" i="4"/>
  <c r="R427" i="4"/>
  <c r="H427" i="4"/>
  <c r="F427" i="4"/>
  <c r="D427" i="4"/>
  <c r="C427" i="4"/>
  <c r="B427" i="4"/>
  <c r="J426" i="4"/>
  <c r="I426" i="4"/>
  <c r="E426" i="4"/>
  <c r="I425" i="4"/>
  <c r="E425" i="4"/>
  <c r="I424" i="4"/>
  <c r="E424" i="4"/>
  <c r="I423" i="4"/>
  <c r="E423" i="4"/>
  <c r="I422" i="4"/>
  <c r="E422" i="4"/>
  <c r="I421" i="4"/>
  <c r="E421" i="4"/>
  <c r="I420" i="4"/>
  <c r="E420" i="4"/>
  <c r="U419" i="4"/>
  <c r="V419" i="4" s="1"/>
  <c r="Q419" i="4"/>
  <c r="I419" i="4"/>
  <c r="E419" i="4"/>
  <c r="J419" i="4" s="1"/>
  <c r="U418" i="4"/>
  <c r="Q418" i="4"/>
  <c r="V418" i="4" s="1"/>
  <c r="I418" i="4"/>
  <c r="E418" i="4"/>
  <c r="J418" i="4" s="1"/>
  <c r="U417" i="4"/>
  <c r="V417" i="4" s="1"/>
  <c r="Q417" i="4"/>
  <c r="I417" i="4"/>
  <c r="E417" i="4"/>
  <c r="J417" i="4" s="1"/>
  <c r="U416" i="4"/>
  <c r="Q416" i="4"/>
  <c r="V416" i="4" s="1"/>
  <c r="I416" i="4"/>
  <c r="J416" i="4" s="1"/>
  <c r="E416" i="4"/>
  <c r="U415" i="4"/>
  <c r="V415" i="4" s="1"/>
  <c r="Q415" i="4"/>
  <c r="I415" i="4"/>
  <c r="E415" i="4"/>
  <c r="J415" i="4" s="1"/>
  <c r="I414" i="4"/>
  <c r="J414" i="4" s="1"/>
  <c r="E414" i="4"/>
  <c r="U413" i="4"/>
  <c r="V413" i="4" s="1"/>
  <c r="Q413" i="4"/>
  <c r="I413" i="4"/>
  <c r="E413" i="4"/>
  <c r="J413" i="4" s="1"/>
  <c r="I412" i="4"/>
  <c r="E412" i="4"/>
  <c r="U411" i="4"/>
  <c r="Q411" i="4"/>
  <c r="I411" i="4"/>
  <c r="E411" i="4"/>
  <c r="U410" i="4"/>
  <c r="Q410" i="4"/>
  <c r="V410" i="4" s="1"/>
  <c r="I410" i="4"/>
  <c r="E410" i="4"/>
  <c r="U409" i="4"/>
  <c r="V409" i="4" s="1"/>
  <c r="Q409" i="4"/>
  <c r="I409" i="4"/>
  <c r="E409" i="4"/>
  <c r="U408" i="4"/>
  <c r="Q408" i="4"/>
  <c r="V408" i="4" s="1"/>
  <c r="I407" i="4"/>
  <c r="E407" i="4"/>
  <c r="U406" i="4"/>
  <c r="Q406" i="4"/>
  <c r="V406" i="4" s="1"/>
  <c r="E406" i="4"/>
  <c r="I405" i="4"/>
  <c r="E405" i="4"/>
  <c r="U404" i="4"/>
  <c r="Q404" i="4"/>
  <c r="I404" i="4"/>
  <c r="E404" i="4"/>
  <c r="J404" i="4" s="1"/>
  <c r="I403" i="4"/>
  <c r="E403" i="4"/>
  <c r="J403" i="4" s="1"/>
  <c r="U402" i="4"/>
  <c r="Q402" i="4"/>
  <c r="I402" i="4"/>
  <c r="E402" i="4"/>
  <c r="J402" i="4" s="1"/>
  <c r="U401" i="4"/>
  <c r="Q401" i="4"/>
  <c r="I401" i="4"/>
  <c r="E401" i="4"/>
  <c r="J401" i="4" s="1"/>
  <c r="U399" i="4"/>
  <c r="V399" i="4" s="1"/>
  <c r="Q399" i="4"/>
  <c r="I399" i="4"/>
  <c r="E399" i="4"/>
  <c r="J399" i="4" s="1"/>
  <c r="U398" i="4"/>
  <c r="Q398" i="4"/>
  <c r="V398" i="4" s="1"/>
  <c r="J398" i="4"/>
  <c r="I398" i="4"/>
  <c r="E398" i="4"/>
  <c r="U397" i="4"/>
  <c r="V397" i="4" s="1"/>
  <c r="Q397" i="4"/>
  <c r="I397" i="4"/>
  <c r="E397" i="4"/>
  <c r="J397" i="4" s="1"/>
  <c r="U396" i="4"/>
  <c r="Q396" i="4"/>
  <c r="V396" i="4" s="1"/>
  <c r="I396" i="4"/>
  <c r="E396" i="4"/>
  <c r="J396" i="4" s="1"/>
  <c r="U395" i="4"/>
  <c r="V395" i="4" s="1"/>
  <c r="Q395" i="4"/>
  <c r="I395" i="4"/>
  <c r="E395" i="4"/>
  <c r="U394" i="4"/>
  <c r="Q394" i="4"/>
  <c r="V394" i="4" s="1"/>
  <c r="I394" i="4"/>
  <c r="E394" i="4"/>
  <c r="U393" i="4"/>
  <c r="V393" i="4" s="1"/>
  <c r="Q393" i="4"/>
  <c r="I393" i="4"/>
  <c r="E393" i="4"/>
  <c r="J393" i="4" s="1"/>
  <c r="U392" i="4"/>
  <c r="Q392" i="4"/>
  <c r="V392" i="4" s="1"/>
  <c r="I392" i="4"/>
  <c r="J392" i="4" s="1"/>
  <c r="E392" i="4"/>
  <c r="T384" i="4"/>
  <c r="R384" i="4"/>
  <c r="P384" i="4"/>
  <c r="O384" i="4"/>
  <c r="G384" i="4"/>
  <c r="F384" i="4"/>
  <c r="D384" i="4"/>
  <c r="C384" i="4"/>
  <c r="B384" i="4"/>
  <c r="I383" i="4"/>
  <c r="E383" i="4"/>
  <c r="J383" i="4" s="1"/>
  <c r="E382" i="4"/>
  <c r="I381" i="4"/>
  <c r="E381" i="4"/>
  <c r="J381" i="4" s="1"/>
  <c r="I380" i="4"/>
  <c r="E380" i="4"/>
  <c r="I379" i="4"/>
  <c r="E379" i="4"/>
  <c r="J379" i="4" s="1"/>
  <c r="I378" i="4"/>
  <c r="E378" i="4"/>
  <c r="J377" i="4"/>
  <c r="I377" i="4"/>
  <c r="E377" i="4"/>
  <c r="U376" i="4"/>
  <c r="Q376" i="4"/>
  <c r="I376" i="4"/>
  <c r="E376" i="4"/>
  <c r="J376" i="4" s="1"/>
  <c r="U375" i="4"/>
  <c r="Q375" i="4"/>
  <c r="I375" i="4"/>
  <c r="E375" i="4"/>
  <c r="J375" i="4" s="1"/>
  <c r="U374" i="4"/>
  <c r="Q374" i="4"/>
  <c r="I374" i="4"/>
  <c r="E374" i="4"/>
  <c r="J374" i="4" s="1"/>
  <c r="U373" i="4"/>
  <c r="Q373" i="4"/>
  <c r="V373" i="4" s="1"/>
  <c r="J373" i="4"/>
  <c r="I373" i="4"/>
  <c r="E373" i="4"/>
  <c r="U372" i="4"/>
  <c r="Q372" i="4"/>
  <c r="I372" i="4"/>
  <c r="E372" i="4"/>
  <c r="J372" i="4" s="1"/>
  <c r="J371" i="4"/>
  <c r="I371" i="4"/>
  <c r="E371" i="4"/>
  <c r="U370" i="4"/>
  <c r="V370" i="4" s="1"/>
  <c r="Q370" i="4"/>
  <c r="I370" i="4"/>
  <c r="E370" i="4"/>
  <c r="U369" i="4"/>
  <c r="Q369" i="4"/>
  <c r="V369" i="4" s="1"/>
  <c r="J369" i="4"/>
  <c r="I369" i="4"/>
  <c r="E369" i="4"/>
  <c r="U368" i="4"/>
  <c r="Q368" i="4"/>
  <c r="I368" i="4"/>
  <c r="E368" i="4"/>
  <c r="U367" i="4"/>
  <c r="Q367" i="4"/>
  <c r="V367" i="4" s="1"/>
  <c r="I367" i="4"/>
  <c r="E367" i="4"/>
  <c r="J367" i="4" s="1"/>
  <c r="U366" i="4"/>
  <c r="Q366" i="4"/>
  <c r="I366" i="4"/>
  <c r="E366" i="4"/>
  <c r="U365" i="4"/>
  <c r="Q365" i="4"/>
  <c r="J365" i="4"/>
  <c r="I365" i="4"/>
  <c r="E365" i="4"/>
  <c r="U364" i="4"/>
  <c r="V364" i="4" s="1"/>
  <c r="Q364" i="4"/>
  <c r="I364" i="4"/>
  <c r="E364" i="4"/>
  <c r="J364" i="4" s="1"/>
  <c r="U363" i="4"/>
  <c r="Q363" i="4"/>
  <c r="I363" i="4"/>
  <c r="E363" i="4"/>
  <c r="I362" i="4"/>
  <c r="E362" i="4"/>
  <c r="J361" i="4"/>
  <c r="I361" i="4"/>
  <c r="E361" i="4"/>
  <c r="U360" i="4"/>
  <c r="V360" i="4" s="1"/>
  <c r="Q360" i="4"/>
  <c r="I360" i="4"/>
  <c r="E360" i="4"/>
  <c r="J359" i="4"/>
  <c r="I359" i="4"/>
  <c r="E359" i="4"/>
  <c r="U358" i="4"/>
  <c r="V358" i="4" s="1"/>
  <c r="Q358" i="4"/>
  <c r="I358" i="4"/>
  <c r="E358" i="4"/>
  <c r="U356" i="4"/>
  <c r="V356" i="4" s="1"/>
  <c r="Q356" i="4"/>
  <c r="I356" i="4"/>
  <c r="E356" i="4"/>
  <c r="U355" i="4"/>
  <c r="Q355" i="4"/>
  <c r="V355" i="4" s="1"/>
  <c r="I355" i="4"/>
  <c r="E355" i="4"/>
  <c r="U354" i="4"/>
  <c r="V354" i="4" s="1"/>
  <c r="Q354" i="4"/>
  <c r="U353" i="4"/>
  <c r="Q353" i="4"/>
  <c r="V353" i="4" s="1"/>
  <c r="I353" i="4"/>
  <c r="E353" i="4"/>
  <c r="J353" i="4" s="1"/>
  <c r="U352" i="4"/>
  <c r="V352" i="4" s="1"/>
  <c r="Q352" i="4"/>
  <c r="I352" i="4"/>
  <c r="E352" i="4"/>
  <c r="I351" i="4"/>
  <c r="E351" i="4"/>
  <c r="U350" i="4"/>
  <c r="V350" i="4" s="1"/>
  <c r="Q350" i="4"/>
  <c r="I350" i="4"/>
  <c r="E350" i="4"/>
  <c r="U349" i="4"/>
  <c r="Q349" i="4"/>
  <c r="V349" i="4" s="1"/>
  <c r="I349" i="4"/>
  <c r="J349" i="4" s="1"/>
  <c r="E349" i="4"/>
  <c r="U263" i="4"/>
  <c r="Q263" i="4"/>
  <c r="V263" i="4" s="1"/>
  <c r="U245" i="4"/>
  <c r="Q245" i="4"/>
  <c r="V245" i="4" s="1"/>
  <c r="H341" i="4"/>
  <c r="G341" i="4"/>
  <c r="F341" i="4"/>
  <c r="D341" i="4"/>
  <c r="C341" i="4"/>
  <c r="B341" i="4"/>
  <c r="I340" i="4"/>
  <c r="E340" i="4"/>
  <c r="I339" i="4"/>
  <c r="E339" i="4"/>
  <c r="I338" i="4"/>
  <c r="J338" i="4" s="1"/>
  <c r="E338" i="4"/>
  <c r="E337" i="4"/>
  <c r="J337" i="4" s="1"/>
  <c r="E336" i="4"/>
  <c r="E335" i="4"/>
  <c r="E334" i="4"/>
  <c r="E333" i="4"/>
  <c r="I331" i="4"/>
  <c r="E331" i="4"/>
  <c r="I330" i="4"/>
  <c r="J330" i="4" s="1"/>
  <c r="E330" i="4"/>
  <c r="I329" i="4"/>
  <c r="E329" i="4"/>
  <c r="J329" i="4" s="1"/>
  <c r="I328" i="4"/>
  <c r="E328" i="4"/>
  <c r="J328" i="4" s="1"/>
  <c r="I327" i="4"/>
  <c r="E327" i="4"/>
  <c r="J327" i="4" s="1"/>
  <c r="I326" i="4"/>
  <c r="E326" i="4"/>
  <c r="I325" i="4"/>
  <c r="J325" i="4" s="1"/>
  <c r="E325" i="4"/>
  <c r="I324" i="4"/>
  <c r="E324" i="4"/>
  <c r="I323" i="4"/>
  <c r="E323" i="4"/>
  <c r="J323" i="4" s="1"/>
  <c r="I322" i="4"/>
  <c r="J322" i="4" s="1"/>
  <c r="E322" i="4"/>
  <c r="I320" i="4"/>
  <c r="E320" i="4"/>
  <c r="J320" i="4" s="1"/>
  <c r="I319" i="4"/>
  <c r="E319" i="4"/>
  <c r="J319" i="4" s="1"/>
  <c r="I315" i="4"/>
  <c r="E315" i="4"/>
  <c r="J315" i="4" s="1"/>
  <c r="I313" i="4"/>
  <c r="E313" i="4"/>
  <c r="I312" i="4"/>
  <c r="E312" i="4"/>
  <c r="J311" i="4"/>
  <c r="I311" i="4"/>
  <c r="E311" i="4"/>
  <c r="I310" i="4"/>
  <c r="E310" i="4"/>
  <c r="I309" i="4"/>
  <c r="E309" i="4"/>
  <c r="I308" i="4"/>
  <c r="E308" i="4"/>
  <c r="I307" i="4"/>
  <c r="E307" i="4"/>
  <c r="J307" i="4" s="1"/>
  <c r="I306" i="4"/>
  <c r="E306" i="4"/>
  <c r="J306" i="4" s="1"/>
  <c r="T341" i="4"/>
  <c r="P341" i="4"/>
  <c r="S341" i="4"/>
  <c r="R341" i="4"/>
  <c r="O341" i="4"/>
  <c r="N341" i="4"/>
  <c r="U337" i="4"/>
  <c r="Q337" i="4"/>
  <c r="V337" i="4" s="1"/>
  <c r="U336" i="4"/>
  <c r="V336" i="4" s="1"/>
  <c r="Q336" i="4"/>
  <c r="V335" i="4"/>
  <c r="U335" i="4"/>
  <c r="Q335" i="4"/>
  <c r="U334" i="4"/>
  <c r="Q334" i="4"/>
  <c r="V334" i="4" s="1"/>
  <c r="U333" i="4"/>
  <c r="Q333" i="4"/>
  <c r="V333" i="4" s="1"/>
  <c r="V332" i="4"/>
  <c r="U332" i="4"/>
  <c r="Q332" i="4"/>
  <c r="V331" i="4"/>
  <c r="U331" i="4"/>
  <c r="Q331" i="4"/>
  <c r="U330" i="4"/>
  <c r="Q330" i="4"/>
  <c r="V330" i="4" s="1"/>
  <c r="U329" i="4"/>
  <c r="Q329" i="4"/>
  <c r="V329" i="4" s="1"/>
  <c r="V328" i="4"/>
  <c r="U328" i="4"/>
  <c r="Q328" i="4"/>
  <c r="V327" i="4"/>
  <c r="U327" i="4"/>
  <c r="Q327" i="4"/>
  <c r="U326" i="4"/>
  <c r="Q326" i="4"/>
  <c r="V326" i="4" s="1"/>
  <c r="U325" i="4"/>
  <c r="Q325" i="4"/>
  <c r="V325" i="4" s="1"/>
  <c r="V324" i="4"/>
  <c r="U324" i="4"/>
  <c r="Q324" i="4"/>
  <c r="V323" i="4"/>
  <c r="U323" i="4"/>
  <c r="Q323" i="4"/>
  <c r="U322" i="4"/>
  <c r="Q322" i="4"/>
  <c r="V322" i="4" s="1"/>
  <c r="U321" i="4"/>
  <c r="Q321" i="4"/>
  <c r="V321" i="4" s="1"/>
  <c r="V320" i="4"/>
  <c r="U320" i="4"/>
  <c r="Q320" i="4"/>
  <c r="V319" i="4"/>
  <c r="U319" i="4"/>
  <c r="Q319" i="4"/>
  <c r="U318" i="4"/>
  <c r="Q318" i="4"/>
  <c r="V318" i="4" s="1"/>
  <c r="U317" i="4"/>
  <c r="Q317" i="4"/>
  <c r="V317" i="4" s="1"/>
  <c r="V316" i="4"/>
  <c r="U316" i="4"/>
  <c r="Q316" i="4"/>
  <c r="V313" i="4"/>
  <c r="U313" i="4"/>
  <c r="Q313" i="4"/>
  <c r="U312" i="4"/>
  <c r="Q312" i="4"/>
  <c r="V312" i="4" s="1"/>
  <c r="U311" i="4"/>
  <c r="Q311" i="4"/>
  <c r="V311" i="4" s="1"/>
  <c r="V310" i="4"/>
  <c r="U310" i="4"/>
  <c r="Q310" i="4"/>
  <c r="V309" i="4"/>
  <c r="U309" i="4"/>
  <c r="Q309" i="4"/>
  <c r="U239" i="4"/>
  <c r="Q239" i="4"/>
  <c r="V239" i="4" s="1"/>
  <c r="U242" i="4"/>
  <c r="Q242" i="4"/>
  <c r="V242" i="4" s="1"/>
  <c r="U241" i="4"/>
  <c r="Q241" i="4"/>
  <c r="V241" i="4" s="1"/>
  <c r="U240" i="4"/>
  <c r="V240" i="4" s="1"/>
  <c r="Q240" i="4"/>
  <c r="V238" i="4"/>
  <c r="U238" i="4"/>
  <c r="Q238" i="4"/>
  <c r="E224" i="4"/>
  <c r="I224" i="4"/>
  <c r="J224" i="4"/>
  <c r="H237" i="4"/>
  <c r="D237" i="4"/>
  <c r="C237" i="4"/>
  <c r="C255" i="4" s="1"/>
  <c r="Q236" i="4"/>
  <c r="U236" i="4"/>
  <c r="U235" i="4"/>
  <c r="Q235" i="4"/>
  <c r="V235" i="4" s="1"/>
  <c r="I236" i="4"/>
  <c r="E236" i="4"/>
  <c r="J236" i="4" s="1"/>
  <c r="Q234" i="4"/>
  <c r="U234" i="4"/>
  <c r="V234" i="4" s="1"/>
  <c r="I235" i="4"/>
  <c r="E235" i="4"/>
  <c r="J235" i="4" s="1"/>
  <c r="R255" i="4"/>
  <c r="D211" i="4"/>
  <c r="C211" i="4"/>
  <c r="C212" i="4" s="1"/>
  <c r="U177" i="4"/>
  <c r="Q177" i="4"/>
  <c r="V177" i="4" s="1"/>
  <c r="E209" i="4"/>
  <c r="U230" i="4"/>
  <c r="V230" i="4" s="1"/>
  <c r="Q230" i="4"/>
  <c r="U209" i="4"/>
  <c r="Q209" i="4"/>
  <c r="V209" i="4" s="1"/>
  <c r="E202" i="4"/>
  <c r="I202" i="4"/>
  <c r="J202" i="4" s="1"/>
  <c r="U202" i="4"/>
  <c r="Q202" i="4"/>
  <c r="V202" i="4" s="1"/>
  <c r="Q210" i="4"/>
  <c r="V210" i="4" s="1"/>
  <c r="U210" i="4"/>
  <c r="Q251" i="4"/>
  <c r="U251" i="4"/>
  <c r="Q252" i="4"/>
  <c r="S212" i="4"/>
  <c r="O212" i="4"/>
  <c r="I195" i="4"/>
  <c r="E195" i="4"/>
  <c r="J195" i="4" s="1"/>
  <c r="U201" i="4"/>
  <c r="Q201" i="4"/>
  <c r="V201" i="4" s="1"/>
  <c r="G190" i="4"/>
  <c r="Q200" i="4"/>
  <c r="U200" i="4"/>
  <c r="V200" i="4"/>
  <c r="E188" i="4"/>
  <c r="I188" i="4"/>
  <c r="J188" i="4"/>
  <c r="E187" i="4"/>
  <c r="I187" i="4"/>
  <c r="J187" i="4"/>
  <c r="E186" i="4"/>
  <c r="I186" i="4"/>
  <c r="J186" i="4"/>
  <c r="Q197" i="4"/>
  <c r="U197" i="4"/>
  <c r="V197" i="4"/>
  <c r="Q160" i="4"/>
  <c r="U160" i="4"/>
  <c r="V160" i="4"/>
  <c r="Q294" i="4"/>
  <c r="U294" i="4"/>
  <c r="V294" i="4"/>
  <c r="Q295" i="4"/>
  <c r="U295" i="4"/>
  <c r="V295" i="4"/>
  <c r="Q296" i="4"/>
  <c r="U296" i="4"/>
  <c r="V296" i="4" s="1"/>
  <c r="Q297" i="4"/>
  <c r="U297" i="4"/>
  <c r="V297" i="4" s="1"/>
  <c r="Q159" i="4"/>
  <c r="U159" i="4"/>
  <c r="V159" i="4"/>
  <c r="H157" i="4"/>
  <c r="D157" i="4"/>
  <c r="Q207" i="4"/>
  <c r="U207" i="4"/>
  <c r="V207" i="4"/>
  <c r="Q208" i="4"/>
  <c r="U208" i="4"/>
  <c r="V208" i="4" s="1"/>
  <c r="Q211" i="4"/>
  <c r="U211" i="4"/>
  <c r="Q254" i="4"/>
  <c r="U254" i="4"/>
  <c r="Q253" i="4"/>
  <c r="U253" i="4"/>
  <c r="Q158" i="4"/>
  <c r="U158" i="4"/>
  <c r="V158" i="4"/>
  <c r="Q157" i="4"/>
  <c r="U157" i="4"/>
  <c r="V157" i="4"/>
  <c r="Q156" i="4"/>
  <c r="U156" i="4"/>
  <c r="V156" i="4"/>
  <c r="Q155" i="4"/>
  <c r="U155" i="4"/>
  <c r="V155" i="4"/>
  <c r="Q154" i="4"/>
  <c r="U154" i="4"/>
  <c r="V154" i="4"/>
  <c r="Q153" i="4"/>
  <c r="U153" i="4"/>
  <c r="V153" i="4"/>
  <c r="Q152" i="4"/>
  <c r="U152" i="4"/>
  <c r="V152" i="4"/>
  <c r="Q151" i="4"/>
  <c r="U151" i="4"/>
  <c r="V151" i="4"/>
  <c r="Q150" i="4"/>
  <c r="U150" i="4"/>
  <c r="V150" i="4"/>
  <c r="Q149" i="4"/>
  <c r="U149" i="4"/>
  <c r="V149" i="4"/>
  <c r="Q148" i="4"/>
  <c r="U148" i="4"/>
  <c r="V148" i="4"/>
  <c r="Q195" i="4"/>
  <c r="U195" i="4"/>
  <c r="V195" i="4"/>
  <c r="Q194" i="4"/>
  <c r="U194" i="4"/>
  <c r="V194" i="4"/>
  <c r="Q137" i="4"/>
  <c r="U137" i="4"/>
  <c r="V137" i="4"/>
  <c r="D137" i="4"/>
  <c r="C137" i="4"/>
  <c r="E137" i="4"/>
  <c r="Q189" i="4"/>
  <c r="U189" i="4"/>
  <c r="V189" i="4"/>
  <c r="Q136" i="4"/>
  <c r="U136" i="4"/>
  <c r="V136" i="4"/>
  <c r="Q205" i="4"/>
  <c r="U205" i="4"/>
  <c r="V205" i="4" s="1"/>
  <c r="Q206" i="4"/>
  <c r="U206" i="4"/>
  <c r="V206" i="4" s="1"/>
  <c r="Q178" i="4"/>
  <c r="U178" i="4"/>
  <c r="V178" i="4"/>
  <c r="Q179" i="4"/>
  <c r="U179" i="4"/>
  <c r="V179" i="4"/>
  <c r="U116" i="4"/>
  <c r="Q116" i="4"/>
  <c r="V116" i="4"/>
  <c r="G113" i="4"/>
  <c r="C113" i="4"/>
  <c r="U115" i="4"/>
  <c r="Q115" i="4"/>
  <c r="V115" i="4"/>
  <c r="E94" i="4"/>
  <c r="I94" i="4"/>
  <c r="U114" i="4"/>
  <c r="Q114" i="4"/>
  <c r="V114" i="4"/>
  <c r="Q222" i="4"/>
  <c r="V222" i="4"/>
  <c r="U222" i="4"/>
  <c r="Q223" i="4"/>
  <c r="V223" i="4"/>
  <c r="U223" i="4"/>
  <c r="U182" i="4"/>
  <c r="Q182" i="4"/>
  <c r="U181" i="4"/>
  <c r="Q181" i="4"/>
  <c r="V181" i="4"/>
  <c r="V180" i="4"/>
  <c r="U180" i="4"/>
  <c r="Q180" i="4"/>
  <c r="F104" i="4"/>
  <c r="I104" i="4"/>
  <c r="B104" i="4"/>
  <c r="U112" i="4"/>
  <c r="Q112" i="4"/>
  <c r="V112" i="4"/>
  <c r="Q113" i="4"/>
  <c r="U113" i="4"/>
  <c r="V113" i="4"/>
  <c r="Q146" i="4"/>
  <c r="U146" i="4"/>
  <c r="U110" i="4"/>
  <c r="Q110" i="4"/>
  <c r="V110" i="4"/>
  <c r="G103" i="4"/>
  <c r="C103" i="4"/>
  <c r="C126" i="4"/>
  <c r="U109" i="4"/>
  <c r="Q109" i="4"/>
  <c r="V109" i="4"/>
  <c r="E91" i="4"/>
  <c r="Q161" i="4"/>
  <c r="U161" i="4"/>
  <c r="V161" i="4"/>
  <c r="S169" i="4"/>
  <c r="B77" i="4"/>
  <c r="F77" i="4"/>
  <c r="E65" i="4"/>
  <c r="C52" i="4"/>
  <c r="Q78" i="4"/>
  <c r="V78" i="4"/>
  <c r="U78" i="4"/>
  <c r="V77" i="4"/>
  <c r="U77" i="4"/>
  <c r="Q77" i="4"/>
  <c r="V76" i="4"/>
  <c r="U76" i="4"/>
  <c r="Q76" i="4"/>
  <c r="U75" i="4"/>
  <c r="Q75" i="4"/>
  <c r="V75" i="4"/>
  <c r="V104" i="4"/>
  <c r="U104" i="4"/>
  <c r="Q104" i="4"/>
  <c r="B69" i="4"/>
  <c r="U123" i="4"/>
  <c r="G67" i="4"/>
  <c r="T80" i="4"/>
  <c r="N80" i="4"/>
  <c r="O80" i="4"/>
  <c r="P80" i="4"/>
  <c r="P83" i="4"/>
  <c r="Q80" i="4"/>
  <c r="R80" i="4"/>
  <c r="S80" i="4"/>
  <c r="U80" i="4"/>
  <c r="Q81" i="4"/>
  <c r="Q82" i="4"/>
  <c r="U82" i="4"/>
  <c r="Q100" i="4"/>
  <c r="V100" i="4"/>
  <c r="U100" i="4"/>
  <c r="V143" i="4"/>
  <c r="U143" i="4"/>
  <c r="Q143" i="4"/>
  <c r="F65" i="4"/>
  <c r="B65" i="4"/>
  <c r="H65" i="4"/>
  <c r="D65" i="4"/>
  <c r="E64" i="4"/>
  <c r="I64" i="4"/>
  <c r="J64" i="4"/>
  <c r="U74" i="4"/>
  <c r="Q74" i="4"/>
  <c r="V74" i="4"/>
  <c r="U72" i="4"/>
  <c r="Q72" i="4"/>
  <c r="B62" i="4"/>
  <c r="B60" i="4"/>
  <c r="U65" i="4"/>
  <c r="Q65" i="4"/>
  <c r="V65" i="4"/>
  <c r="N83" i="4"/>
  <c r="O83" i="4"/>
  <c r="T83" i="4"/>
  <c r="U21" i="4"/>
  <c r="Q21" i="4"/>
  <c r="V21" i="4"/>
  <c r="F25" i="4"/>
  <c r="B25" i="4"/>
  <c r="G25" i="4"/>
  <c r="U20" i="4"/>
  <c r="Q20" i="4"/>
  <c r="S83" i="4"/>
  <c r="Q79" i="4"/>
  <c r="V79" i="4"/>
  <c r="U79" i="4"/>
  <c r="U81" i="4"/>
  <c r="S126" i="4"/>
  <c r="U125" i="4"/>
  <c r="Q125" i="4"/>
  <c r="V125" i="4"/>
  <c r="U124" i="4"/>
  <c r="Q124" i="4"/>
  <c r="Q164" i="4"/>
  <c r="U163" i="4"/>
  <c r="Q163" i="4"/>
  <c r="U92" i="4"/>
  <c r="V92" i="4"/>
  <c r="Q92" i="4"/>
  <c r="U19" i="4"/>
  <c r="Q19" i="4"/>
  <c r="V19" i="4"/>
  <c r="H298" i="4"/>
  <c r="G298" i="4"/>
  <c r="F298" i="4"/>
  <c r="D298" i="4"/>
  <c r="C298" i="4"/>
  <c r="B298" i="4"/>
  <c r="I297" i="4"/>
  <c r="E297" i="4"/>
  <c r="J297" i="4"/>
  <c r="I296" i="4"/>
  <c r="E296" i="4"/>
  <c r="I295" i="4"/>
  <c r="J295" i="4" s="1"/>
  <c r="E295" i="4"/>
  <c r="I294" i="4"/>
  <c r="E294" i="4"/>
  <c r="I293" i="4"/>
  <c r="E293" i="4"/>
  <c r="J293" i="4" s="1"/>
  <c r="I292" i="4"/>
  <c r="E292" i="4"/>
  <c r="I291" i="4"/>
  <c r="E291" i="4"/>
  <c r="J291" i="4" s="1"/>
  <c r="I290" i="4"/>
  <c r="J290" i="4" s="1"/>
  <c r="E290" i="4"/>
  <c r="I289" i="4"/>
  <c r="E289" i="4"/>
  <c r="J289" i="4"/>
  <c r="J288" i="4"/>
  <c r="I288" i="4"/>
  <c r="E288" i="4"/>
  <c r="I287" i="4"/>
  <c r="J287" i="4"/>
  <c r="E287" i="4"/>
  <c r="I286" i="4"/>
  <c r="J286" i="4" s="1"/>
  <c r="E286" i="4"/>
  <c r="I285" i="4"/>
  <c r="E285" i="4"/>
  <c r="I284" i="4"/>
  <c r="J284" i="4" s="1"/>
  <c r="E284" i="4"/>
  <c r="I283" i="4"/>
  <c r="E283" i="4"/>
  <c r="J283" i="4" s="1"/>
  <c r="I282" i="4"/>
  <c r="E282" i="4"/>
  <c r="J282" i="4" s="1"/>
  <c r="I281" i="4"/>
  <c r="E281" i="4"/>
  <c r="J280" i="4"/>
  <c r="I280" i="4"/>
  <c r="E280" i="4"/>
  <c r="I279" i="4"/>
  <c r="E279" i="4"/>
  <c r="J279" i="4" s="1"/>
  <c r="I278" i="4"/>
  <c r="E278" i="4"/>
  <c r="J278" i="4" s="1"/>
  <c r="I277" i="4"/>
  <c r="E277" i="4"/>
  <c r="I276" i="4"/>
  <c r="E276" i="4"/>
  <c r="I275" i="4"/>
  <c r="E275" i="4"/>
  <c r="I274" i="4"/>
  <c r="E274" i="4"/>
  <c r="I273" i="4"/>
  <c r="E273" i="4"/>
  <c r="I272" i="4"/>
  <c r="E272" i="4"/>
  <c r="I270" i="4"/>
  <c r="J270" i="4" s="1"/>
  <c r="E270" i="4"/>
  <c r="I269" i="4"/>
  <c r="J269" i="4" s="1"/>
  <c r="E269" i="4"/>
  <c r="I268" i="4"/>
  <c r="E268" i="4"/>
  <c r="I267" i="4"/>
  <c r="E267" i="4"/>
  <c r="J267" i="4" s="1"/>
  <c r="J266" i="4"/>
  <c r="I266" i="4"/>
  <c r="E266" i="4"/>
  <c r="I265" i="4"/>
  <c r="E265" i="4"/>
  <c r="I264" i="4"/>
  <c r="E264" i="4"/>
  <c r="I263" i="4"/>
  <c r="E263" i="4"/>
  <c r="U135" i="4"/>
  <c r="Q135" i="4"/>
  <c r="U18" i="4"/>
  <c r="Q18" i="4"/>
  <c r="V18" i="4"/>
  <c r="T298" i="4"/>
  <c r="T300" i="4" s="1"/>
  <c r="R298" i="4"/>
  <c r="R300" i="4" s="1"/>
  <c r="S298" i="4"/>
  <c r="S300" i="4" s="1"/>
  <c r="P298" i="4"/>
  <c r="P300" i="4" s="1"/>
  <c r="N298" i="4"/>
  <c r="N300" i="4" s="1"/>
  <c r="O298" i="4"/>
  <c r="O300" i="4" s="1"/>
  <c r="U293" i="4"/>
  <c r="V293" i="4"/>
  <c r="Q293" i="4"/>
  <c r="U292" i="4"/>
  <c r="Q292" i="4"/>
  <c r="V292" i="4"/>
  <c r="U291" i="4"/>
  <c r="Q291" i="4"/>
  <c r="V291" i="4"/>
  <c r="V290" i="4"/>
  <c r="U290" i="4"/>
  <c r="Q290" i="4"/>
  <c r="U289" i="4"/>
  <c r="V289" i="4"/>
  <c r="Q289" i="4"/>
  <c r="U288" i="4"/>
  <c r="Q288" i="4"/>
  <c r="V288" i="4"/>
  <c r="U287" i="4"/>
  <c r="Q287" i="4"/>
  <c r="V287" i="4"/>
  <c r="V286" i="4"/>
  <c r="U286" i="4"/>
  <c r="Q286" i="4"/>
  <c r="U285" i="4"/>
  <c r="V285" i="4"/>
  <c r="Q285" i="4"/>
  <c r="U284" i="4"/>
  <c r="Q284" i="4"/>
  <c r="V284" i="4"/>
  <c r="U283" i="4"/>
  <c r="Q283" i="4"/>
  <c r="V283" i="4"/>
  <c r="V282" i="4"/>
  <c r="U282" i="4"/>
  <c r="Q282" i="4"/>
  <c r="U281" i="4"/>
  <c r="V281" i="4"/>
  <c r="Q281" i="4"/>
  <c r="U280" i="4"/>
  <c r="Q280" i="4"/>
  <c r="V280" i="4"/>
  <c r="U274" i="4"/>
  <c r="Q274" i="4"/>
  <c r="V274" i="4" s="1"/>
  <c r="U273" i="4"/>
  <c r="Q273" i="4"/>
  <c r="U272" i="4"/>
  <c r="Q272" i="4"/>
  <c r="V272" i="4"/>
  <c r="U270" i="4"/>
  <c r="Q270" i="4"/>
  <c r="V270" i="4"/>
  <c r="U269" i="4"/>
  <c r="Q269" i="4"/>
  <c r="V269" i="4"/>
  <c r="V268" i="4"/>
  <c r="U268" i="4"/>
  <c r="Q268" i="4"/>
  <c r="U267" i="4"/>
  <c r="V267" i="4"/>
  <c r="Q267" i="4"/>
  <c r="U166" i="4"/>
  <c r="Q166" i="4"/>
  <c r="H255" i="4"/>
  <c r="G255" i="4"/>
  <c r="F255" i="4"/>
  <c r="D255" i="4"/>
  <c r="B255" i="4"/>
  <c r="I254" i="4"/>
  <c r="E254" i="4"/>
  <c r="I253" i="4"/>
  <c r="E253" i="4"/>
  <c r="J253" i="4"/>
  <c r="I252" i="4"/>
  <c r="E252" i="4"/>
  <c r="I251" i="4"/>
  <c r="E251" i="4"/>
  <c r="J251" i="4" s="1"/>
  <c r="I250" i="4"/>
  <c r="J250" i="4" s="1"/>
  <c r="E250" i="4"/>
  <c r="I249" i="4"/>
  <c r="E249" i="4"/>
  <c r="I248" i="4"/>
  <c r="E248" i="4"/>
  <c r="J248" i="4" s="1"/>
  <c r="I247" i="4"/>
  <c r="E247" i="4"/>
  <c r="J247" i="4" s="1"/>
  <c r="I246" i="4"/>
  <c r="E246" i="4"/>
  <c r="I245" i="4"/>
  <c r="J245" i="4" s="1"/>
  <c r="E245" i="4"/>
  <c r="I244" i="4"/>
  <c r="E244" i="4"/>
  <c r="J244" i="4" s="1"/>
  <c r="I243" i="4"/>
  <c r="E243" i="4"/>
  <c r="J243" i="4" s="1"/>
  <c r="I242" i="4"/>
  <c r="J242" i="4"/>
  <c r="E242" i="4"/>
  <c r="I241" i="4"/>
  <c r="J241" i="4" s="1"/>
  <c r="E241" i="4"/>
  <c r="I240" i="4"/>
  <c r="E240" i="4"/>
  <c r="J240" i="4" s="1"/>
  <c r="I239" i="4"/>
  <c r="E239" i="4"/>
  <c r="J239" i="4" s="1"/>
  <c r="I238" i="4"/>
  <c r="E238" i="4"/>
  <c r="J238" i="4" s="1"/>
  <c r="I237" i="4"/>
  <c r="I234" i="4"/>
  <c r="E234" i="4"/>
  <c r="I233" i="4"/>
  <c r="E233" i="4"/>
  <c r="I232" i="4"/>
  <c r="E232" i="4"/>
  <c r="J232" i="4" s="1"/>
  <c r="J231" i="4"/>
  <c r="I231" i="4"/>
  <c r="E231" i="4"/>
  <c r="I230" i="4"/>
  <c r="E230" i="4"/>
  <c r="J230" i="4" s="1"/>
  <c r="I229" i="4"/>
  <c r="E229" i="4"/>
  <c r="J229" i="4"/>
  <c r="I227" i="4"/>
  <c r="E227" i="4"/>
  <c r="I226" i="4"/>
  <c r="E226" i="4"/>
  <c r="I225" i="4"/>
  <c r="E225" i="4"/>
  <c r="J225" i="4" s="1"/>
  <c r="I223" i="4"/>
  <c r="E223" i="4"/>
  <c r="J223" i="4" s="1"/>
  <c r="I222" i="4"/>
  <c r="E222" i="4"/>
  <c r="I221" i="4"/>
  <c r="E221" i="4"/>
  <c r="J221" i="4" s="1"/>
  <c r="I220" i="4"/>
  <c r="E220" i="4"/>
  <c r="Q221" i="4"/>
  <c r="V221" i="4"/>
  <c r="U221" i="4"/>
  <c r="T255" i="4"/>
  <c r="S255" i="4"/>
  <c r="P255" i="4"/>
  <c r="O255" i="4"/>
  <c r="N255" i="4"/>
  <c r="U250" i="4"/>
  <c r="V250" i="4"/>
  <c r="Q250" i="4"/>
  <c r="U249" i="4"/>
  <c r="Q249" i="4"/>
  <c r="V249" i="4"/>
  <c r="U248" i="4"/>
  <c r="Q248" i="4"/>
  <c r="V248" i="4"/>
  <c r="V247" i="4"/>
  <c r="U247" i="4"/>
  <c r="Q247" i="4"/>
  <c r="U246" i="4"/>
  <c r="V246" i="4"/>
  <c r="Q246" i="4"/>
  <c r="U244" i="4"/>
  <c r="Q244" i="4"/>
  <c r="V244" i="4"/>
  <c r="U243" i="4"/>
  <c r="Q243" i="4"/>
  <c r="U237" i="4"/>
  <c r="Q237" i="4"/>
  <c r="V237" i="4"/>
  <c r="U233" i="4"/>
  <c r="Q233" i="4"/>
  <c r="U232" i="4"/>
  <c r="Q232" i="4"/>
  <c r="V232" i="4" s="1"/>
  <c r="U231" i="4"/>
  <c r="Q231" i="4"/>
  <c r="U229" i="4"/>
  <c r="Q229" i="4"/>
  <c r="V229" i="4" s="1"/>
  <c r="U227" i="4"/>
  <c r="Q227" i="4"/>
  <c r="V227" i="4"/>
  <c r="U226" i="4"/>
  <c r="Q226" i="4"/>
  <c r="V226" i="4"/>
  <c r="V225" i="4"/>
  <c r="U225" i="4"/>
  <c r="Q225" i="4"/>
  <c r="U224" i="4"/>
  <c r="V224" i="4"/>
  <c r="Q224" i="4"/>
  <c r="U220" i="4"/>
  <c r="Q220" i="4"/>
  <c r="U17" i="4"/>
  <c r="Q17" i="4"/>
  <c r="U16" i="4"/>
  <c r="Q16" i="4"/>
  <c r="V16" i="4"/>
  <c r="U15" i="4"/>
  <c r="Q15" i="4"/>
  <c r="V15" i="4"/>
  <c r="V14" i="4"/>
  <c r="U14" i="4"/>
  <c r="Q14" i="4"/>
  <c r="Q38" i="4"/>
  <c r="V38" i="4"/>
  <c r="U38" i="4"/>
  <c r="Q123" i="4"/>
  <c r="Q49" i="4"/>
  <c r="U49" i="4"/>
  <c r="V50" i="4"/>
  <c r="U50" i="4"/>
  <c r="Q50" i="4"/>
  <c r="Q57" i="4"/>
  <c r="U57" i="4"/>
  <c r="V57" i="4"/>
  <c r="H212" i="4"/>
  <c r="G212" i="4"/>
  <c r="F212" i="4"/>
  <c r="D212" i="4"/>
  <c r="B212" i="4"/>
  <c r="I211" i="4"/>
  <c r="I210" i="4"/>
  <c r="E210" i="4"/>
  <c r="I209" i="4"/>
  <c r="J209" i="4"/>
  <c r="J208" i="4"/>
  <c r="I208" i="4"/>
  <c r="E208" i="4"/>
  <c r="I207" i="4"/>
  <c r="E207" i="4"/>
  <c r="I206" i="4"/>
  <c r="E206" i="4"/>
  <c r="J206" i="4" s="1"/>
  <c r="I205" i="4"/>
  <c r="E205" i="4"/>
  <c r="I204" i="4"/>
  <c r="E204" i="4"/>
  <c r="I203" i="4"/>
  <c r="J203" i="4" s="1"/>
  <c r="E203" i="4"/>
  <c r="I201" i="4"/>
  <c r="E201" i="4"/>
  <c r="J201" i="4" s="1"/>
  <c r="I200" i="4"/>
  <c r="E200" i="4"/>
  <c r="I199" i="4"/>
  <c r="J199" i="4" s="1"/>
  <c r="E199" i="4"/>
  <c r="I198" i="4"/>
  <c r="E198" i="4"/>
  <c r="I197" i="4"/>
  <c r="E197" i="4"/>
  <c r="J197" i="4" s="1"/>
  <c r="I196" i="4"/>
  <c r="E196" i="4"/>
  <c r="I194" i="4"/>
  <c r="E194" i="4"/>
  <c r="I193" i="4"/>
  <c r="E193" i="4"/>
  <c r="J193" i="4" s="1"/>
  <c r="I192" i="4"/>
  <c r="E192" i="4"/>
  <c r="J192" i="4" s="1"/>
  <c r="I191" i="4"/>
  <c r="E191" i="4"/>
  <c r="I190" i="4"/>
  <c r="J190" i="4" s="1"/>
  <c r="E190" i="4"/>
  <c r="E189" i="4"/>
  <c r="I189" i="4"/>
  <c r="J189" i="4"/>
  <c r="I184" i="4"/>
  <c r="E184" i="4"/>
  <c r="I183" i="4"/>
  <c r="E183" i="4"/>
  <c r="I182" i="4"/>
  <c r="E182" i="4"/>
  <c r="I181" i="4"/>
  <c r="E181" i="4"/>
  <c r="I180" i="4"/>
  <c r="E180" i="4"/>
  <c r="J180" i="4"/>
  <c r="E179" i="4"/>
  <c r="I179" i="4"/>
  <c r="J179" i="4"/>
  <c r="E178" i="4"/>
  <c r="I178" i="4"/>
  <c r="J178" i="4"/>
  <c r="I177" i="4"/>
  <c r="E177" i="4"/>
  <c r="J177" i="4"/>
  <c r="T212" i="4"/>
  <c r="T213" i="4" s="1"/>
  <c r="T219" i="4" s="1"/>
  <c r="T228" i="4" s="1"/>
  <c r="R212" i="4"/>
  <c r="P212" i="4"/>
  <c r="N212" i="4"/>
  <c r="U204" i="4"/>
  <c r="Q204" i="4"/>
  <c r="U203" i="4"/>
  <c r="V203" i="4"/>
  <c r="Q203" i="4"/>
  <c r="U199" i="4"/>
  <c r="Q199" i="4"/>
  <c r="V199" i="4"/>
  <c r="U198" i="4"/>
  <c r="Q198" i="4"/>
  <c r="V198" i="4"/>
  <c r="Q196" i="4"/>
  <c r="U196" i="4"/>
  <c r="V196" i="4"/>
  <c r="U193" i="4"/>
  <c r="Q193" i="4"/>
  <c r="V193" i="4"/>
  <c r="Q192" i="4"/>
  <c r="U192" i="4"/>
  <c r="V192" i="4"/>
  <c r="U191" i="4"/>
  <c r="Q191" i="4"/>
  <c r="V191" i="4"/>
  <c r="U190" i="4"/>
  <c r="Q190" i="4"/>
  <c r="V190" i="4"/>
  <c r="Q188" i="4"/>
  <c r="U188" i="4"/>
  <c r="V188" i="4"/>
  <c r="U187" i="4"/>
  <c r="Q187" i="4"/>
  <c r="U186" i="4"/>
  <c r="Q186" i="4"/>
  <c r="V186" i="4"/>
  <c r="U184" i="4"/>
  <c r="Q184" i="4"/>
  <c r="V184" i="4"/>
  <c r="U183" i="4"/>
  <c r="Q183" i="4"/>
  <c r="V183" i="4"/>
  <c r="U93" i="4"/>
  <c r="Q93" i="4"/>
  <c r="V93" i="4"/>
  <c r="U168" i="4"/>
  <c r="Q168" i="4"/>
  <c r="U167" i="4"/>
  <c r="Q167" i="4"/>
  <c r="H169" i="4"/>
  <c r="G169" i="4"/>
  <c r="F169" i="4"/>
  <c r="D169" i="4"/>
  <c r="C169" i="4"/>
  <c r="B169" i="4"/>
  <c r="I168" i="4"/>
  <c r="E168" i="4"/>
  <c r="J168" i="4"/>
  <c r="I167" i="4"/>
  <c r="E167" i="4"/>
  <c r="I166" i="4"/>
  <c r="E166" i="4"/>
  <c r="I165" i="4"/>
  <c r="E165" i="4"/>
  <c r="I164" i="4"/>
  <c r="E164" i="4"/>
  <c r="I163" i="4"/>
  <c r="E163" i="4"/>
  <c r="I162" i="4"/>
  <c r="E162" i="4"/>
  <c r="I161" i="4"/>
  <c r="E161" i="4"/>
  <c r="I160" i="4"/>
  <c r="E160" i="4"/>
  <c r="I159" i="4"/>
  <c r="E159" i="4"/>
  <c r="I158" i="4"/>
  <c r="E158" i="4"/>
  <c r="I157" i="4"/>
  <c r="E157" i="4"/>
  <c r="I156" i="4"/>
  <c r="E156" i="4"/>
  <c r="I155" i="4"/>
  <c r="E155" i="4"/>
  <c r="J155" i="4"/>
  <c r="I154" i="4"/>
  <c r="E154" i="4"/>
  <c r="J154" i="4"/>
  <c r="I153" i="4"/>
  <c r="E153" i="4"/>
  <c r="I152" i="4"/>
  <c r="E152" i="4"/>
  <c r="J152" i="4"/>
  <c r="I151" i="4"/>
  <c r="E151" i="4"/>
  <c r="J151" i="4"/>
  <c r="I150" i="4"/>
  <c r="E150" i="4"/>
  <c r="J150" i="4"/>
  <c r="I149" i="4"/>
  <c r="E149" i="4"/>
  <c r="J149" i="4"/>
  <c r="I148" i="4"/>
  <c r="E148" i="4"/>
  <c r="I147" i="4"/>
  <c r="E147" i="4"/>
  <c r="J147" i="4"/>
  <c r="I146" i="4"/>
  <c r="E146" i="4"/>
  <c r="I145" i="4"/>
  <c r="E145" i="4"/>
  <c r="J145" i="4"/>
  <c r="I144" i="4"/>
  <c r="E144" i="4"/>
  <c r="I143" i="4"/>
  <c r="E143" i="4"/>
  <c r="I141" i="4"/>
  <c r="E141" i="4"/>
  <c r="I140" i="4"/>
  <c r="E140" i="4"/>
  <c r="J140" i="4"/>
  <c r="I139" i="4"/>
  <c r="E139" i="4"/>
  <c r="I138" i="4"/>
  <c r="E138" i="4"/>
  <c r="I137" i="4"/>
  <c r="I136" i="4"/>
  <c r="E136" i="4"/>
  <c r="I135" i="4"/>
  <c r="E135" i="4"/>
  <c r="I134" i="4"/>
  <c r="E134" i="4"/>
  <c r="H126" i="4"/>
  <c r="G126" i="4"/>
  <c r="D126" i="4"/>
  <c r="B126" i="4"/>
  <c r="I125" i="4"/>
  <c r="E125" i="4"/>
  <c r="I124" i="4"/>
  <c r="E124" i="4"/>
  <c r="I123" i="4"/>
  <c r="E123" i="4"/>
  <c r="I122" i="4"/>
  <c r="E122" i="4"/>
  <c r="I121" i="4"/>
  <c r="E121" i="4"/>
  <c r="J121" i="4"/>
  <c r="I120" i="4"/>
  <c r="E120" i="4"/>
  <c r="J120" i="4"/>
  <c r="I119" i="4"/>
  <c r="E119" i="4"/>
  <c r="I118" i="4"/>
  <c r="E118" i="4"/>
  <c r="J118" i="4"/>
  <c r="I117" i="4"/>
  <c r="E117" i="4"/>
  <c r="J117" i="4"/>
  <c r="I116" i="4"/>
  <c r="E116" i="4"/>
  <c r="I115" i="4"/>
  <c r="E115" i="4"/>
  <c r="I114" i="4"/>
  <c r="E114" i="4"/>
  <c r="I113" i="4"/>
  <c r="E113" i="4"/>
  <c r="I112" i="4"/>
  <c r="E112" i="4"/>
  <c r="I111" i="4"/>
  <c r="E111" i="4"/>
  <c r="J111" i="4"/>
  <c r="I110" i="4"/>
  <c r="E110" i="4"/>
  <c r="I109" i="4"/>
  <c r="E109" i="4"/>
  <c r="I108" i="4"/>
  <c r="E108" i="4"/>
  <c r="I107" i="4"/>
  <c r="E107" i="4"/>
  <c r="I106" i="4"/>
  <c r="E106" i="4"/>
  <c r="J106" i="4"/>
  <c r="I105" i="4"/>
  <c r="E105" i="4"/>
  <c r="E104" i="4"/>
  <c r="I103" i="4"/>
  <c r="E103" i="4"/>
  <c r="I102" i="4"/>
  <c r="E102" i="4"/>
  <c r="I101" i="4"/>
  <c r="E101" i="4"/>
  <c r="I100" i="4"/>
  <c r="E100" i="4"/>
  <c r="I98" i="4"/>
  <c r="E98" i="4"/>
  <c r="J98" i="4"/>
  <c r="I97" i="4"/>
  <c r="E97" i="4"/>
  <c r="I96" i="4"/>
  <c r="E96" i="4"/>
  <c r="I95" i="4"/>
  <c r="E95" i="4"/>
  <c r="I93" i="4"/>
  <c r="E93" i="4"/>
  <c r="I92" i="4"/>
  <c r="E92" i="4"/>
  <c r="I91" i="4"/>
  <c r="Q96" i="4"/>
  <c r="U96" i="4"/>
  <c r="Q138" i="4"/>
  <c r="U138" i="4"/>
  <c r="Q139" i="4"/>
  <c r="U139" i="4"/>
  <c r="T169" i="4"/>
  <c r="R169" i="4"/>
  <c r="P169" i="4"/>
  <c r="O169" i="4"/>
  <c r="N169" i="4"/>
  <c r="U165" i="4"/>
  <c r="Q165" i="4"/>
  <c r="U162" i="4"/>
  <c r="Q162" i="4"/>
  <c r="U147" i="4"/>
  <c r="Q147" i="4"/>
  <c r="U145" i="4"/>
  <c r="Q145" i="4"/>
  <c r="U144" i="4"/>
  <c r="Q144" i="4"/>
  <c r="U141" i="4"/>
  <c r="Q141" i="4"/>
  <c r="U140" i="4"/>
  <c r="Q140" i="4"/>
  <c r="U134" i="4"/>
  <c r="Q134" i="4"/>
  <c r="Q37" i="4"/>
  <c r="U37" i="4"/>
  <c r="U39" i="4"/>
  <c r="Q39" i="4"/>
  <c r="Q51" i="4"/>
  <c r="U51" i="4"/>
  <c r="T126" i="4"/>
  <c r="R126" i="4"/>
  <c r="P126" i="4"/>
  <c r="N126" i="4"/>
  <c r="U122" i="4"/>
  <c r="Q122" i="4"/>
  <c r="U121" i="4"/>
  <c r="Q121" i="4"/>
  <c r="U120" i="4"/>
  <c r="Q120" i="4"/>
  <c r="U119" i="4"/>
  <c r="Q119" i="4"/>
  <c r="U118" i="4"/>
  <c r="Q118" i="4"/>
  <c r="U117" i="4"/>
  <c r="Q117" i="4"/>
  <c r="U111" i="4"/>
  <c r="Q111" i="4"/>
  <c r="U108" i="4"/>
  <c r="Q108" i="4"/>
  <c r="U107" i="4"/>
  <c r="Q107" i="4"/>
  <c r="U106" i="4"/>
  <c r="Q106" i="4"/>
  <c r="U105" i="4"/>
  <c r="Q105" i="4"/>
  <c r="U103" i="4"/>
  <c r="Q103" i="4"/>
  <c r="U102" i="4"/>
  <c r="Q102" i="4"/>
  <c r="U101" i="4"/>
  <c r="Q101" i="4"/>
  <c r="U98" i="4"/>
  <c r="Q98" i="4"/>
  <c r="U97" i="4"/>
  <c r="Q97" i="4"/>
  <c r="U95" i="4"/>
  <c r="Q95" i="4"/>
  <c r="U94" i="4"/>
  <c r="Q94" i="4"/>
  <c r="U91" i="4"/>
  <c r="Q91" i="4"/>
  <c r="E169" i="4"/>
  <c r="V187" i="4"/>
  <c r="V182" i="4"/>
  <c r="J144" i="4"/>
  <c r="J115" i="4"/>
  <c r="J113" i="4"/>
  <c r="J143" i="4"/>
  <c r="J94" i="4"/>
  <c r="J110" i="4"/>
  <c r="J107" i="4"/>
  <c r="F126" i="4"/>
  <c r="I126" i="4"/>
  <c r="J104" i="4"/>
  <c r="V146" i="4"/>
  <c r="J103" i="4"/>
  <c r="J102" i="4"/>
  <c r="J100" i="4"/>
  <c r="U164" i="4"/>
  <c r="V164" i="4"/>
  <c r="V123" i="4"/>
  <c r="V80" i="4"/>
  <c r="V72" i="4"/>
  <c r="V124" i="4"/>
  <c r="V82" i="4"/>
  <c r="V162" i="4"/>
  <c r="V20" i="4"/>
  <c r="V81" i="4"/>
  <c r="V163" i="4"/>
  <c r="O126" i="4"/>
  <c r="Q126" i="4"/>
  <c r="V165" i="4"/>
  <c r="V166" i="4"/>
  <c r="V135" i="4"/>
  <c r="V17" i="4"/>
  <c r="V49" i="4"/>
  <c r="R83" i="4"/>
  <c r="U83" i="4"/>
  <c r="V167" i="4"/>
  <c r="V168" i="4"/>
  <c r="V94" i="4"/>
  <c r="V97" i="4"/>
  <c r="V101" i="4"/>
  <c r="V102" i="4"/>
  <c r="V106" i="4"/>
  <c r="V107" i="4"/>
  <c r="V108" i="4"/>
  <c r="V111" i="4"/>
  <c r="V117" i="4"/>
  <c r="V118" i="4"/>
  <c r="V120" i="4"/>
  <c r="V122" i="4"/>
  <c r="U126" i="4"/>
  <c r="V37" i="4"/>
  <c r="V134" i="4"/>
  <c r="U169" i="4"/>
  <c r="V138" i="4"/>
  <c r="J91" i="4"/>
  <c r="J93" i="4"/>
  <c r="J123" i="4"/>
  <c r="J138" i="4"/>
  <c r="J163" i="4"/>
  <c r="J165" i="4"/>
  <c r="V91" i="4"/>
  <c r="V95" i="4"/>
  <c r="V103" i="4"/>
  <c r="V119" i="4"/>
  <c r="V51" i="4"/>
  <c r="V140" i="4"/>
  <c r="V147" i="4"/>
  <c r="V96" i="4"/>
  <c r="J92" i="4"/>
  <c r="J97" i="4"/>
  <c r="J101" i="4"/>
  <c r="J105" i="4"/>
  <c r="J109" i="4"/>
  <c r="J112" i="4"/>
  <c r="J114" i="4"/>
  <c r="J116" i="4"/>
  <c r="J122" i="4"/>
  <c r="J124" i="4"/>
  <c r="J125" i="4"/>
  <c r="J134" i="4"/>
  <c r="J135" i="4"/>
  <c r="J136" i="4"/>
  <c r="J137" i="4"/>
  <c r="J139" i="4"/>
  <c r="J146" i="4"/>
  <c r="J156" i="4"/>
  <c r="J159" i="4"/>
  <c r="J160" i="4"/>
  <c r="J161" i="4"/>
  <c r="J162" i="4"/>
  <c r="J164" i="4"/>
  <c r="J166" i="4"/>
  <c r="J167" i="4"/>
  <c r="I169" i="4"/>
  <c r="J169" i="4"/>
  <c r="V39" i="4"/>
  <c r="V98" i="4"/>
  <c r="Q169" i="4"/>
  <c r="V105" i="4"/>
  <c r="V121" i="4"/>
  <c r="Q83" i="4"/>
  <c r="V141" i="4"/>
  <c r="V144" i="4"/>
  <c r="V139" i="4"/>
  <c r="J95" i="4"/>
  <c r="J108" i="4"/>
  <c r="J157" i="4"/>
  <c r="J141" i="4"/>
  <c r="V145" i="4"/>
  <c r="J96" i="4"/>
  <c r="J119" i="4"/>
  <c r="E126" i="4"/>
  <c r="J148" i="4"/>
  <c r="J153" i="4"/>
  <c r="J158" i="4"/>
  <c r="Q8" i="4"/>
  <c r="U8" i="4"/>
  <c r="J126" i="4"/>
  <c r="V126" i="4"/>
  <c r="V169" i="4"/>
  <c r="V8" i="4"/>
  <c r="J142" i="4"/>
  <c r="J99" i="4"/>
  <c r="V83" i="4"/>
  <c r="Q10" i="4"/>
  <c r="U10" i="4"/>
  <c r="V10" i="4"/>
  <c r="Q4" i="4"/>
  <c r="Q48" i="4"/>
  <c r="U48" i="4"/>
  <c r="Q54" i="4"/>
  <c r="U54" i="4"/>
  <c r="Q55" i="4"/>
  <c r="U55" i="4"/>
  <c r="Q58" i="4"/>
  <c r="U58" i="4"/>
  <c r="Q59" i="4"/>
  <c r="U59" i="4"/>
  <c r="Q60" i="4"/>
  <c r="U60" i="4"/>
  <c r="V60" i="4"/>
  <c r="Q61" i="4"/>
  <c r="U61" i="4"/>
  <c r="Q62" i="4"/>
  <c r="U62" i="4"/>
  <c r="Q63" i="4"/>
  <c r="U63" i="4"/>
  <c r="Q64" i="4"/>
  <c r="U64" i="4"/>
  <c r="V64" i="4"/>
  <c r="Q66" i="4"/>
  <c r="U66" i="4"/>
  <c r="Q67" i="4"/>
  <c r="U67" i="4"/>
  <c r="Q68" i="4"/>
  <c r="U68" i="4"/>
  <c r="Q69" i="4"/>
  <c r="U69" i="4"/>
  <c r="Q70" i="4"/>
  <c r="U70" i="4"/>
  <c r="Q71" i="4"/>
  <c r="U71" i="4"/>
  <c r="Q73" i="4"/>
  <c r="U73" i="4"/>
  <c r="E48" i="4"/>
  <c r="I48" i="4"/>
  <c r="E49" i="4"/>
  <c r="I49" i="4"/>
  <c r="E50" i="4"/>
  <c r="I50" i="4"/>
  <c r="E51" i="4"/>
  <c r="I51" i="4"/>
  <c r="E52" i="4"/>
  <c r="I52" i="4"/>
  <c r="E53" i="4"/>
  <c r="I53" i="4"/>
  <c r="E54" i="4"/>
  <c r="I54" i="4"/>
  <c r="E55" i="4"/>
  <c r="I55" i="4"/>
  <c r="E57" i="4"/>
  <c r="I57" i="4"/>
  <c r="E58" i="4"/>
  <c r="I58" i="4"/>
  <c r="E59" i="4"/>
  <c r="I59" i="4"/>
  <c r="E60" i="4"/>
  <c r="I60" i="4"/>
  <c r="E61" i="4"/>
  <c r="I61" i="4"/>
  <c r="E62" i="4"/>
  <c r="I62" i="4"/>
  <c r="E63" i="4"/>
  <c r="I63" i="4"/>
  <c r="I65" i="4"/>
  <c r="E66" i="4"/>
  <c r="I66" i="4"/>
  <c r="E67" i="4"/>
  <c r="I67" i="4"/>
  <c r="E68" i="4"/>
  <c r="I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E80" i="4"/>
  <c r="I80" i="4"/>
  <c r="E81" i="4"/>
  <c r="I81" i="4"/>
  <c r="E82" i="4"/>
  <c r="I82" i="4"/>
  <c r="B83" i="4"/>
  <c r="C83" i="4"/>
  <c r="D83" i="4"/>
  <c r="F83" i="4"/>
  <c r="G83" i="4"/>
  <c r="H83" i="4"/>
  <c r="U4" i="4"/>
  <c r="V4" i="4"/>
  <c r="Q5" i="4"/>
  <c r="U5" i="4"/>
  <c r="Q6" i="4"/>
  <c r="U6" i="4"/>
  <c r="Q7" i="4"/>
  <c r="U7" i="4"/>
  <c r="Q9" i="4"/>
  <c r="U9" i="4"/>
  <c r="Q11" i="4"/>
  <c r="U11" i="4"/>
  <c r="Q12" i="4"/>
  <c r="U12" i="4"/>
  <c r="N13" i="4"/>
  <c r="O13" i="4"/>
  <c r="P13" i="4"/>
  <c r="R13" i="4"/>
  <c r="S13" i="4"/>
  <c r="T13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Q29" i="4"/>
  <c r="U29" i="4"/>
  <c r="Q30" i="4"/>
  <c r="U30" i="4"/>
  <c r="Q31" i="4"/>
  <c r="U31" i="4"/>
  <c r="Q32" i="4"/>
  <c r="U32" i="4"/>
  <c r="Q33" i="4"/>
  <c r="U33" i="4"/>
  <c r="Q34" i="4"/>
  <c r="U34" i="4"/>
  <c r="Q35" i="4"/>
  <c r="U35" i="4"/>
  <c r="Q36" i="4"/>
  <c r="U36" i="4"/>
  <c r="N40" i="4"/>
  <c r="O40" i="4"/>
  <c r="P40" i="4"/>
  <c r="R40" i="4"/>
  <c r="S40" i="4"/>
  <c r="T40" i="4"/>
  <c r="V48" i="4"/>
  <c r="J62" i="4"/>
  <c r="V28" i="4"/>
  <c r="J72" i="4"/>
  <c r="J60" i="4"/>
  <c r="V7" i="4"/>
  <c r="J74" i="4"/>
  <c r="J49" i="4"/>
  <c r="J73" i="4"/>
  <c r="V29" i="4"/>
  <c r="V5" i="4"/>
  <c r="V55" i="4"/>
  <c r="V63" i="4"/>
  <c r="V54" i="4"/>
  <c r="V36" i="4"/>
  <c r="J66" i="4"/>
  <c r="J52" i="4"/>
  <c r="V66" i="4"/>
  <c r="V62" i="4"/>
  <c r="J51" i="4"/>
  <c r="V26" i="4"/>
  <c r="V22" i="4"/>
  <c r="J82" i="4"/>
  <c r="J78" i="4"/>
  <c r="J77" i="4"/>
  <c r="J59" i="4"/>
  <c r="J54" i="4"/>
  <c r="J61" i="4"/>
  <c r="J58" i="4"/>
  <c r="J53" i="4"/>
  <c r="V23" i="4"/>
  <c r="J71" i="4"/>
  <c r="J67" i="4"/>
  <c r="J48" i="4"/>
  <c r="V68" i="4"/>
  <c r="V35" i="4"/>
  <c r="V24" i="4"/>
  <c r="V30" i="4"/>
  <c r="V11" i="4"/>
  <c r="J70" i="4"/>
  <c r="J55" i="4"/>
  <c r="J80" i="4"/>
  <c r="J76" i="4"/>
  <c r="J81" i="4"/>
  <c r="P41" i="4"/>
  <c r="P47" i="4"/>
  <c r="P56" i="4"/>
  <c r="P84" i="4"/>
  <c r="P90" i="4"/>
  <c r="P99" i="4"/>
  <c r="P127" i="4"/>
  <c r="P133" i="4"/>
  <c r="P142" i="4"/>
  <c r="P170" i="4"/>
  <c r="P176" i="4"/>
  <c r="P185" i="4"/>
  <c r="J65" i="4"/>
  <c r="V70" i="4"/>
  <c r="O41" i="4"/>
  <c r="O47" i="4"/>
  <c r="O56" i="4"/>
  <c r="O84" i="4"/>
  <c r="O90" i="4"/>
  <c r="O99" i="4"/>
  <c r="O127" i="4"/>
  <c r="O133" i="4"/>
  <c r="O142" i="4"/>
  <c r="O170" i="4"/>
  <c r="O176" i="4"/>
  <c r="O185" i="4"/>
  <c r="V9" i="4"/>
  <c r="J68" i="4"/>
  <c r="V69" i="4"/>
  <c r="V58" i="4"/>
  <c r="V33" i="4"/>
  <c r="V25" i="4"/>
  <c r="V12" i="4"/>
  <c r="V71" i="4"/>
  <c r="V59" i="4"/>
  <c r="Q40" i="4"/>
  <c r="V27" i="4"/>
  <c r="J75" i="4"/>
  <c r="J63" i="4"/>
  <c r="J50" i="4"/>
  <c r="V73" i="4"/>
  <c r="V61" i="4"/>
  <c r="V31" i="4"/>
  <c r="J79" i="4"/>
  <c r="J69" i="4"/>
  <c r="J57" i="4"/>
  <c r="V67" i="4"/>
  <c r="T41" i="4"/>
  <c r="T47" i="4"/>
  <c r="T56" i="4"/>
  <c r="T84" i="4"/>
  <c r="T90" i="4"/>
  <c r="T99" i="4"/>
  <c r="T127" i="4"/>
  <c r="T133" i="4"/>
  <c r="T142" i="4"/>
  <c r="T170" i="4"/>
  <c r="T176" i="4"/>
  <c r="T185" i="4"/>
  <c r="V6" i="4"/>
  <c r="S41" i="4"/>
  <c r="S47" i="4"/>
  <c r="S56" i="4"/>
  <c r="S84" i="4"/>
  <c r="S90" i="4"/>
  <c r="S99" i="4"/>
  <c r="S127" i="4"/>
  <c r="S133" i="4"/>
  <c r="S142" i="4"/>
  <c r="S170" i="4"/>
  <c r="S176" i="4"/>
  <c r="S185" i="4"/>
  <c r="U13" i="4"/>
  <c r="Q13" i="4"/>
  <c r="I83" i="4"/>
  <c r="E83" i="4"/>
  <c r="N41" i="4"/>
  <c r="R41" i="4"/>
  <c r="R47" i="4"/>
  <c r="V32" i="4"/>
  <c r="V34" i="4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9" i="4"/>
  <c r="E39" i="4"/>
  <c r="I38" i="4"/>
  <c r="E38" i="4"/>
  <c r="I37" i="4"/>
  <c r="E37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12" i="4"/>
  <c r="E12" i="4"/>
  <c r="I11" i="4"/>
  <c r="E11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J56" i="4"/>
  <c r="J83" i="4"/>
  <c r="V40" i="4"/>
  <c r="V13" i="4"/>
  <c r="U47" i="4"/>
  <c r="R56" i="4"/>
  <c r="R84" i="4"/>
  <c r="U41" i="4"/>
  <c r="Q41" i="4"/>
  <c r="N47" i="4"/>
  <c r="E40" i="4"/>
  <c r="J31" i="4"/>
  <c r="I13" i="4"/>
  <c r="J21" i="4"/>
  <c r="J6" i="4"/>
  <c r="J10" i="4"/>
  <c r="J22" i="4"/>
  <c r="J23" i="4"/>
  <c r="G41" i="4"/>
  <c r="G47" i="4"/>
  <c r="G56" i="4"/>
  <c r="G84" i="4"/>
  <c r="G90" i="4"/>
  <c r="G99" i="4"/>
  <c r="G127" i="4"/>
  <c r="G133" i="4"/>
  <c r="G142" i="4"/>
  <c r="G170" i="4"/>
  <c r="G176" i="4"/>
  <c r="G185" i="4"/>
  <c r="J32" i="4"/>
  <c r="J19" i="4"/>
  <c r="J29" i="4"/>
  <c r="J30" i="4"/>
  <c r="J39" i="4"/>
  <c r="J4" i="4"/>
  <c r="J8" i="4"/>
  <c r="J9" i="4"/>
  <c r="J12" i="4"/>
  <c r="J16" i="4"/>
  <c r="C41" i="4"/>
  <c r="C47" i="4"/>
  <c r="C56" i="4"/>
  <c r="C84" i="4"/>
  <c r="C90" i="4"/>
  <c r="C99" i="4"/>
  <c r="C127" i="4"/>
  <c r="C133" i="4"/>
  <c r="C142" i="4"/>
  <c r="C170" i="4"/>
  <c r="C176" i="4"/>
  <c r="J18" i="4"/>
  <c r="J17" i="4"/>
  <c r="I40" i="4"/>
  <c r="J26" i="4"/>
  <c r="J28" i="4"/>
  <c r="B41" i="4"/>
  <c r="B47" i="4"/>
  <c r="E13" i="4"/>
  <c r="J7" i="4"/>
  <c r="J25" i="4"/>
  <c r="J35" i="4"/>
  <c r="J36" i="4"/>
  <c r="J20" i="4"/>
  <c r="J5" i="4"/>
  <c r="J14" i="4"/>
  <c r="F41" i="4"/>
  <c r="F47" i="4"/>
  <c r="H41" i="4"/>
  <c r="H47" i="4"/>
  <c r="H56" i="4"/>
  <c r="H84" i="4"/>
  <c r="H90" i="4"/>
  <c r="H99" i="4"/>
  <c r="H127" i="4"/>
  <c r="H133" i="4"/>
  <c r="H142" i="4"/>
  <c r="H170" i="4"/>
  <c r="H176" i="4"/>
  <c r="H185" i="4"/>
  <c r="J11" i="4"/>
  <c r="J15" i="4"/>
  <c r="J24" i="4"/>
  <c r="J34" i="4"/>
  <c r="J37" i="4"/>
  <c r="D41" i="4"/>
  <c r="D47" i="4"/>
  <c r="D56" i="4"/>
  <c r="D84" i="4"/>
  <c r="D90" i="4"/>
  <c r="D99" i="4"/>
  <c r="D127" i="4"/>
  <c r="D133" i="4"/>
  <c r="D142" i="4"/>
  <c r="D170" i="4"/>
  <c r="D176" i="4"/>
  <c r="D185" i="4"/>
  <c r="J27" i="4"/>
  <c r="J38" i="4"/>
  <c r="J33" i="4"/>
  <c r="C185" i="4"/>
  <c r="U84" i="4"/>
  <c r="R90" i="4"/>
  <c r="U56" i="4"/>
  <c r="V41" i="4"/>
  <c r="N56" i="4"/>
  <c r="Q47" i="4"/>
  <c r="V47" i="4"/>
  <c r="F56" i="4"/>
  <c r="I47" i="4"/>
  <c r="B56" i="4"/>
  <c r="E47" i="4"/>
  <c r="J13" i="4"/>
  <c r="J40" i="4"/>
  <c r="I41" i="4"/>
  <c r="E41" i="4"/>
  <c r="R99" i="4"/>
  <c r="U90" i="4"/>
  <c r="N84" i="4"/>
  <c r="Q56" i="4"/>
  <c r="V56" i="4"/>
  <c r="J47" i="4"/>
  <c r="F84" i="4"/>
  <c r="I56" i="4"/>
  <c r="B84" i="4"/>
  <c r="E56" i="4"/>
  <c r="J41" i="4"/>
  <c r="E84" i="4"/>
  <c r="B90" i="4"/>
  <c r="I84" i="4"/>
  <c r="F90" i="4"/>
  <c r="R127" i="4"/>
  <c r="U99" i="4"/>
  <c r="Q84" i="4"/>
  <c r="V84" i="4"/>
  <c r="N90" i="4"/>
  <c r="J84" i="4"/>
  <c r="B99" i="4"/>
  <c r="E90" i="4"/>
  <c r="F99" i="4"/>
  <c r="I90" i="4"/>
  <c r="U127" i="4"/>
  <c r="R133" i="4"/>
  <c r="Q90" i="4"/>
  <c r="V90" i="4"/>
  <c r="N99" i="4"/>
  <c r="E99" i="4"/>
  <c r="B127" i="4"/>
  <c r="J90" i="4"/>
  <c r="I99" i="4"/>
  <c r="F127" i="4"/>
  <c r="R142" i="4"/>
  <c r="U133" i="4"/>
  <c r="N127" i="4"/>
  <c r="Q99" i="4"/>
  <c r="V99" i="4"/>
  <c r="I127" i="4"/>
  <c r="F133" i="4"/>
  <c r="E127" i="4"/>
  <c r="B133" i="4"/>
  <c r="U142" i="4"/>
  <c r="R170" i="4"/>
  <c r="Q127" i="4"/>
  <c r="V127" i="4"/>
  <c r="N133" i="4"/>
  <c r="U170" i="4"/>
  <c r="R176" i="4"/>
  <c r="E133" i="4"/>
  <c r="B142" i="4"/>
  <c r="J127" i="4"/>
  <c r="F142" i="4"/>
  <c r="I133" i="4"/>
  <c r="Q133" i="4"/>
  <c r="V133" i="4"/>
  <c r="N142" i="4"/>
  <c r="R185" i="4"/>
  <c r="U176" i="4"/>
  <c r="J133" i="4"/>
  <c r="F170" i="4"/>
  <c r="I142" i="4"/>
  <c r="E142" i="4"/>
  <c r="B170" i="4"/>
  <c r="N170" i="4"/>
  <c r="Q142" i="4"/>
  <c r="V142" i="4"/>
  <c r="I170" i="4"/>
  <c r="F176" i="4"/>
  <c r="E170" i="4"/>
  <c r="B176" i="4"/>
  <c r="U185" i="4"/>
  <c r="Q170" i="4"/>
  <c r="V170" i="4"/>
  <c r="N176" i="4"/>
  <c r="J170" i="4"/>
  <c r="F185" i="4"/>
  <c r="I176" i="4"/>
  <c r="B185" i="4"/>
  <c r="E176" i="4"/>
  <c r="N185" i="4"/>
  <c r="Q176" i="4"/>
  <c r="V176" i="4"/>
  <c r="J176" i="4"/>
  <c r="J750" i="4" l="1"/>
  <c r="J749" i="4"/>
  <c r="J748" i="4"/>
  <c r="E771" i="4"/>
  <c r="J746" i="4"/>
  <c r="I771" i="4"/>
  <c r="J736" i="4"/>
  <c r="J727" i="4"/>
  <c r="V813" i="4"/>
  <c r="J830" i="4"/>
  <c r="J857" i="4"/>
  <c r="R857" i="4"/>
  <c r="U857" i="4" s="1"/>
  <c r="N857" i="4"/>
  <c r="Q857" i="4" s="1"/>
  <c r="V726" i="4"/>
  <c r="R814" i="4"/>
  <c r="U814" i="4" s="1"/>
  <c r="N814" i="4"/>
  <c r="Q814" i="4" s="1"/>
  <c r="V723" i="4"/>
  <c r="J725" i="4"/>
  <c r="V745" i="4"/>
  <c r="V722" i="4"/>
  <c r="J720" i="4"/>
  <c r="V721" i="4"/>
  <c r="V720" i="4"/>
  <c r="V727" i="4"/>
  <c r="V696" i="4"/>
  <c r="J719" i="4"/>
  <c r="J718" i="4"/>
  <c r="J716" i="4"/>
  <c r="J715" i="4"/>
  <c r="J714" i="4"/>
  <c r="V717" i="4"/>
  <c r="J697" i="4"/>
  <c r="J713" i="4"/>
  <c r="J712" i="4"/>
  <c r="V715" i="4"/>
  <c r="J696" i="4"/>
  <c r="J711" i="4"/>
  <c r="J707" i="4"/>
  <c r="J705" i="4"/>
  <c r="I728" i="4"/>
  <c r="V707" i="4"/>
  <c r="V706" i="4"/>
  <c r="E728" i="4"/>
  <c r="J683" i="4"/>
  <c r="V770" i="4"/>
  <c r="S728" i="4"/>
  <c r="U728" i="4" s="1"/>
  <c r="J679" i="4"/>
  <c r="J678" i="4"/>
  <c r="J676" i="4"/>
  <c r="V674" i="4"/>
  <c r="J675" i="4"/>
  <c r="J671" i="4"/>
  <c r="J670" i="4"/>
  <c r="J668" i="4"/>
  <c r="V641" i="4"/>
  <c r="V667" i="4"/>
  <c r="V666" i="4"/>
  <c r="J654" i="4"/>
  <c r="J664" i="4"/>
  <c r="V663" i="4"/>
  <c r="J663" i="4"/>
  <c r="V662" i="4"/>
  <c r="J652" i="4"/>
  <c r="J662" i="4"/>
  <c r="I685" i="4"/>
  <c r="J660" i="4"/>
  <c r="E685" i="4"/>
  <c r="J787" i="4"/>
  <c r="J814" i="4"/>
  <c r="V638" i="4"/>
  <c r="V660" i="4"/>
  <c r="J641" i="4"/>
  <c r="J650" i="4"/>
  <c r="V719" i="4"/>
  <c r="V634" i="4"/>
  <c r="V738" i="4"/>
  <c r="J744" i="4"/>
  <c r="Q771" i="4"/>
  <c r="U771" i="4"/>
  <c r="J638" i="4"/>
  <c r="J637" i="4"/>
  <c r="J614" i="4"/>
  <c r="V628" i="4"/>
  <c r="V627" i="4"/>
  <c r="J613" i="4"/>
  <c r="J615" i="4" s="1"/>
  <c r="S642" i="4"/>
  <c r="V681" i="4"/>
  <c r="V682" i="4"/>
  <c r="V623" i="4"/>
  <c r="V620" i="4"/>
  <c r="V619" i="4"/>
  <c r="J620" i="4"/>
  <c r="J619" i="4"/>
  <c r="V683" i="4"/>
  <c r="V684" i="4"/>
  <c r="E642" i="4"/>
  <c r="J616" i="4"/>
  <c r="V577" i="4"/>
  <c r="J568" i="4"/>
  <c r="J595" i="4"/>
  <c r="J593" i="4"/>
  <c r="J701" i="4"/>
  <c r="Q728" i="4"/>
  <c r="V616" i="4"/>
  <c r="V637" i="4"/>
  <c r="V640" i="4"/>
  <c r="J583" i="4"/>
  <c r="Q685" i="4"/>
  <c r="U685" i="4"/>
  <c r="Q642" i="4"/>
  <c r="Q644" i="4" s="1"/>
  <c r="J658" i="4"/>
  <c r="J581" i="4"/>
  <c r="J579" i="4"/>
  <c r="I599" i="4"/>
  <c r="J575" i="4"/>
  <c r="U599" i="4"/>
  <c r="Q599" i="4"/>
  <c r="I642" i="4"/>
  <c r="E599" i="4"/>
  <c r="J527" i="4"/>
  <c r="J554" i="4"/>
  <c r="J549" i="4"/>
  <c r="J546" i="4"/>
  <c r="J545" i="4"/>
  <c r="J541" i="4"/>
  <c r="J524" i="4"/>
  <c r="J539" i="4"/>
  <c r="J536" i="4"/>
  <c r="I556" i="4"/>
  <c r="Q556" i="4"/>
  <c r="J523" i="4"/>
  <c r="J522" i="4"/>
  <c r="J533" i="4"/>
  <c r="J531" i="4"/>
  <c r="E556" i="4"/>
  <c r="J509" i="4"/>
  <c r="U556" i="4"/>
  <c r="V556" i="4" s="1"/>
  <c r="J572" i="4"/>
  <c r="J504" i="4"/>
  <c r="E501" i="4"/>
  <c r="J501" i="4" s="1"/>
  <c r="J499" i="4"/>
  <c r="J496" i="4"/>
  <c r="J495" i="4"/>
  <c r="J491" i="4"/>
  <c r="J490" i="4"/>
  <c r="I513" i="4"/>
  <c r="J489" i="4"/>
  <c r="E513" i="4"/>
  <c r="J356" i="4"/>
  <c r="J469" i="4"/>
  <c r="J442" i="4"/>
  <c r="J468" i="4"/>
  <c r="J467" i="4"/>
  <c r="V453" i="4"/>
  <c r="J466" i="4"/>
  <c r="J465" i="4"/>
  <c r="J464" i="4"/>
  <c r="J479" i="4"/>
  <c r="J478" i="4"/>
  <c r="V449" i="4"/>
  <c r="J441" i="4"/>
  <c r="J461" i="4"/>
  <c r="V467" i="4"/>
  <c r="J440" i="4"/>
  <c r="J459" i="4"/>
  <c r="J456" i="4"/>
  <c r="J455" i="4"/>
  <c r="J439" i="4"/>
  <c r="V425" i="4"/>
  <c r="J451" i="4"/>
  <c r="V421" i="4"/>
  <c r="V445" i="4"/>
  <c r="J437" i="4"/>
  <c r="J446" i="4"/>
  <c r="I470" i="4"/>
  <c r="E470" i="4"/>
  <c r="J425" i="4"/>
  <c r="V411" i="4"/>
  <c r="J424" i="4"/>
  <c r="J423" i="4"/>
  <c r="J422" i="4"/>
  <c r="J421" i="4"/>
  <c r="J420" i="4"/>
  <c r="V422" i="4"/>
  <c r="V426" i="4"/>
  <c r="S427" i="4"/>
  <c r="U427" i="4" s="1"/>
  <c r="O427" i="4"/>
  <c r="Q427" i="4" s="1"/>
  <c r="V404" i="4"/>
  <c r="J412" i="4"/>
  <c r="J395" i="4"/>
  <c r="J400" i="4" s="1"/>
  <c r="J411" i="4"/>
  <c r="V402" i="4"/>
  <c r="J410" i="4"/>
  <c r="V468" i="4"/>
  <c r="V401" i="4"/>
  <c r="J394" i="4"/>
  <c r="J409" i="4"/>
  <c r="J407" i="4"/>
  <c r="V469" i="4"/>
  <c r="J408" i="4"/>
  <c r="V377" i="4"/>
  <c r="V376" i="4"/>
  <c r="U513" i="4"/>
  <c r="Q513" i="4"/>
  <c r="G427" i="4"/>
  <c r="I427" i="4" s="1"/>
  <c r="J406" i="4"/>
  <c r="V375" i="4"/>
  <c r="J405" i="4"/>
  <c r="V374" i="4"/>
  <c r="E427" i="4"/>
  <c r="V372" i="4"/>
  <c r="H384" i="4"/>
  <c r="J382" i="4"/>
  <c r="J380" i="4"/>
  <c r="V424" i="4"/>
  <c r="V368" i="4"/>
  <c r="J378" i="4"/>
  <c r="V366" i="4"/>
  <c r="V365" i="4"/>
  <c r="J370" i="4"/>
  <c r="V423" i="4"/>
  <c r="V363" i="4"/>
  <c r="J368" i="4"/>
  <c r="J366" i="4"/>
  <c r="I384" i="4"/>
  <c r="V362" i="4"/>
  <c r="N384" i="4"/>
  <c r="Q384" i="4" s="1"/>
  <c r="J355" i="4"/>
  <c r="J363" i="4"/>
  <c r="J362" i="4"/>
  <c r="J352" i="4"/>
  <c r="J351" i="4"/>
  <c r="E384" i="4"/>
  <c r="J360" i="4"/>
  <c r="Q470" i="4"/>
  <c r="U470" i="4"/>
  <c r="J350" i="4"/>
  <c r="J358" i="4"/>
  <c r="J340" i="4"/>
  <c r="J339" i="4"/>
  <c r="V315" i="4"/>
  <c r="J335" i="4"/>
  <c r="V279" i="4"/>
  <c r="J336" i="4"/>
  <c r="J333" i="4"/>
  <c r="J334" i="4"/>
  <c r="J331" i="4"/>
  <c r="U384" i="4"/>
  <c r="J326" i="4"/>
  <c r="J324" i="4"/>
  <c r="J313" i="4"/>
  <c r="J321" i="4"/>
  <c r="J312" i="4"/>
  <c r="J310" i="4"/>
  <c r="J318" i="4"/>
  <c r="E341" i="4"/>
  <c r="I341" i="4"/>
  <c r="J309" i="4"/>
  <c r="J308" i="4"/>
  <c r="J296" i="4"/>
  <c r="J294" i="4"/>
  <c r="J292" i="4"/>
  <c r="J268" i="4"/>
  <c r="J285" i="4"/>
  <c r="J265" i="4"/>
  <c r="J281" i="4"/>
  <c r="J264" i="4"/>
  <c r="J277" i="4"/>
  <c r="J276" i="4"/>
  <c r="J275" i="4"/>
  <c r="I298" i="4"/>
  <c r="J274" i="4"/>
  <c r="E298" i="4"/>
  <c r="V273" i="4"/>
  <c r="Q298" i="4"/>
  <c r="Q300" i="4" s="1"/>
  <c r="Q301" i="4" s="1"/>
  <c r="J263" i="4"/>
  <c r="J273" i="4"/>
  <c r="J272" i="4"/>
  <c r="J254" i="4"/>
  <c r="J252" i="4"/>
  <c r="J227" i="4"/>
  <c r="V220" i="4"/>
  <c r="Q341" i="4"/>
  <c r="U341" i="4"/>
  <c r="V253" i="4"/>
  <c r="J249" i="4"/>
  <c r="J246" i="4"/>
  <c r="J226" i="4"/>
  <c r="V243" i="4"/>
  <c r="U298" i="4"/>
  <c r="U300" i="4" s="1"/>
  <c r="U301" i="4" s="1"/>
  <c r="E237" i="4"/>
  <c r="J237" i="4" s="1"/>
  <c r="V236" i="4"/>
  <c r="V251" i="4"/>
  <c r="J222" i="4"/>
  <c r="J234" i="4"/>
  <c r="I255" i="4"/>
  <c r="J233" i="4"/>
  <c r="J220" i="4"/>
  <c r="V233" i="4"/>
  <c r="E255" i="4"/>
  <c r="V254" i="4"/>
  <c r="V231" i="4"/>
  <c r="E211" i="4"/>
  <c r="J211" i="4" s="1"/>
  <c r="J210" i="4"/>
  <c r="Q185" i="4"/>
  <c r="V185" i="4" s="1"/>
  <c r="N213" i="4"/>
  <c r="N219" i="4" s="1"/>
  <c r="P213" i="4"/>
  <c r="P219" i="4" s="1"/>
  <c r="P228" i="4" s="1"/>
  <c r="P256" i="4" s="1"/>
  <c r="P262" i="4" s="1"/>
  <c r="P271" i="4" s="1"/>
  <c r="P299" i="4" s="1"/>
  <c r="P305" i="4" s="1"/>
  <c r="P314" i="4" s="1"/>
  <c r="P342" i="4" s="1"/>
  <c r="P348" i="4" s="1"/>
  <c r="P357" i="4" s="1"/>
  <c r="P385" i="4" s="1"/>
  <c r="P391" i="4" s="1"/>
  <c r="P400" i="4" s="1"/>
  <c r="P428" i="4" s="1"/>
  <c r="P434" i="4" s="1"/>
  <c r="P443" i="4" s="1"/>
  <c r="P471" i="4" s="1"/>
  <c r="P477" i="4" s="1"/>
  <c r="P486" i="4" s="1"/>
  <c r="P514" i="4" s="1"/>
  <c r="P520" i="4" s="1"/>
  <c r="P529" i="4" s="1"/>
  <c r="P557" i="4" s="1"/>
  <c r="P563" i="4" s="1"/>
  <c r="P572" i="4" s="1"/>
  <c r="P600" i="4" s="1"/>
  <c r="P606" i="4" s="1"/>
  <c r="P615" i="4" s="1"/>
  <c r="P643" i="4" s="1"/>
  <c r="P649" i="4" s="1"/>
  <c r="P658" i="4" s="1"/>
  <c r="P686" i="4" s="1"/>
  <c r="P692" i="4" s="1"/>
  <c r="P701" i="4" s="1"/>
  <c r="P729" i="4" s="1"/>
  <c r="P735" i="4" s="1"/>
  <c r="P744" i="4" s="1"/>
  <c r="P772" i="4" s="1"/>
  <c r="P778" i="4" s="1"/>
  <c r="P787" i="4" s="1"/>
  <c r="P815" i="4" s="1"/>
  <c r="P821" i="4" s="1"/>
  <c r="P830" i="4" s="1"/>
  <c r="P858" i="4" s="1"/>
  <c r="O213" i="4"/>
  <c r="O219" i="4" s="1"/>
  <c r="O228" i="4" s="1"/>
  <c r="O256" i="4" s="1"/>
  <c r="O262" i="4" s="1"/>
  <c r="O271" i="4" s="1"/>
  <c r="O299" i="4" s="1"/>
  <c r="O305" i="4" s="1"/>
  <c r="O314" i="4" s="1"/>
  <c r="O342" i="4" s="1"/>
  <c r="O348" i="4" s="1"/>
  <c r="O357" i="4" s="1"/>
  <c r="O385" i="4" s="1"/>
  <c r="O391" i="4" s="1"/>
  <c r="O400" i="4" s="1"/>
  <c r="R213" i="4"/>
  <c r="R219" i="4" s="1"/>
  <c r="J184" i="4"/>
  <c r="J207" i="4"/>
  <c r="J183" i="4"/>
  <c r="D213" i="4"/>
  <c r="D219" i="4" s="1"/>
  <c r="D228" i="4" s="1"/>
  <c r="D256" i="4" s="1"/>
  <c r="D262" i="4" s="1"/>
  <c r="D271" i="4" s="1"/>
  <c r="D299" i="4" s="1"/>
  <c r="D305" i="4" s="1"/>
  <c r="D314" i="4" s="1"/>
  <c r="D342" i="4" s="1"/>
  <c r="D348" i="4" s="1"/>
  <c r="D357" i="4" s="1"/>
  <c r="D385" i="4" s="1"/>
  <c r="D391" i="4" s="1"/>
  <c r="D400" i="4" s="1"/>
  <c r="D428" i="4" s="1"/>
  <c r="D434" i="4" s="1"/>
  <c r="D443" i="4" s="1"/>
  <c r="D471" i="4" s="1"/>
  <c r="D477" i="4" s="1"/>
  <c r="D486" i="4" s="1"/>
  <c r="D514" i="4" s="1"/>
  <c r="D520" i="4" s="1"/>
  <c r="D529" i="4" s="1"/>
  <c r="D557" i="4" s="1"/>
  <c r="D563" i="4" s="1"/>
  <c r="D572" i="4" s="1"/>
  <c r="D600" i="4" s="1"/>
  <c r="D606" i="4" s="1"/>
  <c r="D615" i="4" s="1"/>
  <c r="D643" i="4" s="1"/>
  <c r="D649" i="4" s="1"/>
  <c r="D658" i="4" s="1"/>
  <c r="D686" i="4" s="1"/>
  <c r="D692" i="4" s="1"/>
  <c r="D701" i="4" s="1"/>
  <c r="D729" i="4" s="1"/>
  <c r="D735" i="4" s="1"/>
  <c r="D744" i="4" s="1"/>
  <c r="D772" i="4" s="1"/>
  <c r="D778" i="4" s="1"/>
  <c r="D787" i="4" s="1"/>
  <c r="D815" i="4" s="1"/>
  <c r="D821" i="4" s="1"/>
  <c r="D830" i="4" s="1"/>
  <c r="D858" i="4" s="1"/>
  <c r="E185" i="4"/>
  <c r="J205" i="4"/>
  <c r="T256" i="4"/>
  <c r="T262" i="4" s="1"/>
  <c r="T271" i="4" s="1"/>
  <c r="T299" i="4" s="1"/>
  <c r="T305" i="4" s="1"/>
  <c r="T314" i="4" s="1"/>
  <c r="T342" i="4" s="1"/>
  <c r="T348" i="4" s="1"/>
  <c r="T357" i="4" s="1"/>
  <c r="T385" i="4" s="1"/>
  <c r="T391" i="4" s="1"/>
  <c r="T400" i="4" s="1"/>
  <c r="T428" i="4" s="1"/>
  <c r="T434" i="4" s="1"/>
  <c r="T443" i="4" s="1"/>
  <c r="T471" i="4" s="1"/>
  <c r="T477" i="4" s="1"/>
  <c r="T486" i="4" s="1"/>
  <c r="T514" i="4" s="1"/>
  <c r="T520" i="4" s="1"/>
  <c r="T529" i="4" s="1"/>
  <c r="T557" i="4" s="1"/>
  <c r="T563" i="4" s="1"/>
  <c r="T572" i="4" s="1"/>
  <c r="T600" i="4" s="1"/>
  <c r="T606" i="4" s="1"/>
  <c r="T615" i="4" s="1"/>
  <c r="T643" i="4" s="1"/>
  <c r="T649" i="4" s="1"/>
  <c r="T658" i="4" s="1"/>
  <c r="T686" i="4" s="1"/>
  <c r="T692" i="4" s="1"/>
  <c r="T701" i="4" s="1"/>
  <c r="T729" i="4" s="1"/>
  <c r="T735" i="4" s="1"/>
  <c r="T744" i="4" s="1"/>
  <c r="T772" i="4" s="1"/>
  <c r="T778" i="4" s="1"/>
  <c r="T787" i="4" s="1"/>
  <c r="T815" i="4" s="1"/>
  <c r="T821" i="4" s="1"/>
  <c r="T830" i="4" s="1"/>
  <c r="T858" i="4" s="1"/>
  <c r="J204" i="4"/>
  <c r="V204" i="4"/>
  <c r="U255" i="4"/>
  <c r="J182" i="4"/>
  <c r="B213" i="4"/>
  <c r="B219" i="4" s="1"/>
  <c r="I185" i="4"/>
  <c r="H213" i="4"/>
  <c r="H219" i="4" s="1"/>
  <c r="H228" i="4" s="1"/>
  <c r="H256" i="4" s="1"/>
  <c r="H262" i="4" s="1"/>
  <c r="H271" i="4" s="1"/>
  <c r="H299" i="4" s="1"/>
  <c r="H305" i="4" s="1"/>
  <c r="H314" i="4" s="1"/>
  <c r="H342" i="4" s="1"/>
  <c r="H348" i="4" s="1"/>
  <c r="H357" i="4" s="1"/>
  <c r="H385" i="4" s="1"/>
  <c r="H391" i="4" s="1"/>
  <c r="H400" i="4" s="1"/>
  <c r="H428" i="4" s="1"/>
  <c r="H434" i="4" s="1"/>
  <c r="H443" i="4" s="1"/>
  <c r="H471" i="4" s="1"/>
  <c r="H477" i="4" s="1"/>
  <c r="H486" i="4" s="1"/>
  <c r="H514" i="4" s="1"/>
  <c r="H520" i="4" s="1"/>
  <c r="G213" i="4"/>
  <c r="G219" i="4" s="1"/>
  <c r="G228" i="4" s="1"/>
  <c r="F213" i="4"/>
  <c r="F219" i="4" s="1"/>
  <c r="F228" i="4" s="1"/>
  <c r="F256" i="4" s="1"/>
  <c r="F262" i="4" s="1"/>
  <c r="F271" i="4" s="1"/>
  <c r="F299" i="4" s="1"/>
  <c r="F305" i="4" s="1"/>
  <c r="F314" i="4" s="1"/>
  <c r="F342" i="4" s="1"/>
  <c r="F348" i="4" s="1"/>
  <c r="F357" i="4" s="1"/>
  <c r="J181" i="4"/>
  <c r="U252" i="4"/>
  <c r="V252" i="4" s="1"/>
  <c r="Q255" i="4"/>
  <c r="J200" i="4"/>
  <c r="J198" i="4"/>
  <c r="J196" i="4"/>
  <c r="V211" i="4"/>
  <c r="U212" i="4"/>
  <c r="Q212" i="4"/>
  <c r="S213" i="4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C213" i="4"/>
  <c r="C219" i="4" s="1"/>
  <c r="C228" i="4" s="1"/>
  <c r="C256" i="4" s="1"/>
  <c r="C262" i="4" s="1"/>
  <c r="C271" i="4" s="1"/>
  <c r="C299" i="4" s="1"/>
  <c r="C305" i="4" s="1"/>
  <c r="C314" i="4" s="1"/>
  <c r="C342" i="4" s="1"/>
  <c r="C348" i="4" s="1"/>
  <c r="C357" i="4" s="1"/>
  <c r="C385" i="4" s="1"/>
  <c r="C391" i="4" s="1"/>
  <c r="C400" i="4" s="1"/>
  <c r="C428" i="4" s="1"/>
  <c r="C434" i="4" s="1"/>
  <c r="C443" i="4" s="1"/>
  <c r="C471" i="4" s="1"/>
  <c r="C477" i="4" s="1"/>
  <c r="C486" i="4" s="1"/>
  <c r="C514" i="4" s="1"/>
  <c r="C520" i="4" s="1"/>
  <c r="C529" i="4" s="1"/>
  <c r="C557" i="4" s="1"/>
  <c r="C563" i="4" s="1"/>
  <c r="C572" i="4" s="1"/>
  <c r="C600" i="4" s="1"/>
  <c r="C606" i="4" s="1"/>
  <c r="C615" i="4" s="1"/>
  <c r="C643" i="4" s="1"/>
  <c r="C649" i="4" s="1"/>
  <c r="C658" i="4" s="1"/>
  <c r="C686" i="4" s="1"/>
  <c r="C692" i="4" s="1"/>
  <c r="C701" i="4" s="1"/>
  <c r="C729" i="4" s="1"/>
  <c r="C735" i="4" s="1"/>
  <c r="C744" i="4" s="1"/>
  <c r="C772" i="4" s="1"/>
  <c r="C778" i="4" s="1"/>
  <c r="C787" i="4" s="1"/>
  <c r="C815" i="4" s="1"/>
  <c r="C821" i="4" s="1"/>
  <c r="C830" i="4" s="1"/>
  <c r="C858" i="4" s="1"/>
  <c r="J194" i="4"/>
  <c r="I212" i="4"/>
  <c r="J191" i="4"/>
  <c r="E212" i="4"/>
  <c r="J771" i="4" l="1"/>
  <c r="V814" i="4"/>
  <c r="V857" i="4"/>
  <c r="J728" i="4"/>
  <c r="V771" i="4"/>
  <c r="J685" i="4"/>
  <c r="P645" i="4"/>
  <c r="Q645" i="4"/>
  <c r="N645" i="4"/>
  <c r="O645" i="4"/>
  <c r="U642" i="4"/>
  <c r="U644" i="4" s="1"/>
  <c r="S644" i="4"/>
  <c r="J642" i="4"/>
  <c r="V728" i="4"/>
  <c r="V685" i="4"/>
  <c r="J599" i="4"/>
  <c r="V599" i="4"/>
  <c r="J556" i="4"/>
  <c r="J529" i="4"/>
  <c r="J513" i="4"/>
  <c r="H529" i="4"/>
  <c r="J486" i="4"/>
  <c r="J443" i="4"/>
  <c r="J470" i="4"/>
  <c r="O428" i="4"/>
  <c r="O434" i="4" s="1"/>
  <c r="O443" i="4" s="1"/>
  <c r="O471" i="4" s="1"/>
  <c r="O477" i="4" s="1"/>
  <c r="O486" i="4" s="1"/>
  <c r="O514" i="4" s="1"/>
  <c r="O520" i="4" s="1"/>
  <c r="O529" i="4" s="1"/>
  <c r="O557" i="4" s="1"/>
  <c r="O563" i="4" s="1"/>
  <c r="O572" i="4" s="1"/>
  <c r="O600" i="4" s="1"/>
  <c r="O606" i="4" s="1"/>
  <c r="O615" i="4" s="1"/>
  <c r="S428" i="4"/>
  <c r="S434" i="4" s="1"/>
  <c r="S443" i="4" s="1"/>
  <c r="S471" i="4" s="1"/>
  <c r="S477" i="4" s="1"/>
  <c r="S486" i="4" s="1"/>
  <c r="S514" i="4" s="1"/>
  <c r="S520" i="4" s="1"/>
  <c r="S529" i="4" s="1"/>
  <c r="S557" i="4" s="1"/>
  <c r="S563" i="4" s="1"/>
  <c r="S572" i="4" s="1"/>
  <c r="S600" i="4" s="1"/>
  <c r="S606" i="4" s="1"/>
  <c r="S615" i="4" s="1"/>
  <c r="V513" i="4"/>
  <c r="J427" i="4"/>
  <c r="V470" i="4"/>
  <c r="J384" i="4"/>
  <c r="J357" i="4"/>
  <c r="V427" i="4"/>
  <c r="V384" i="4"/>
  <c r="J341" i="4"/>
  <c r="J314" i="4"/>
  <c r="P301" i="4"/>
  <c r="N301" i="4"/>
  <c r="T301" i="4"/>
  <c r="S301" i="4"/>
  <c r="R301" i="4"/>
  <c r="O301" i="4"/>
  <c r="J271" i="4"/>
  <c r="F385" i="4"/>
  <c r="F391" i="4" s="1"/>
  <c r="F400" i="4" s="1"/>
  <c r="F428" i="4" s="1"/>
  <c r="F434" i="4" s="1"/>
  <c r="V298" i="4"/>
  <c r="V300" i="4" s="1"/>
  <c r="J298" i="4"/>
  <c r="V341" i="4"/>
  <c r="J255" i="4"/>
  <c r="J228" i="4"/>
  <c r="Q213" i="4"/>
  <c r="J185" i="4"/>
  <c r="V255" i="4"/>
  <c r="I219" i="4"/>
  <c r="I213" i="4"/>
  <c r="V212" i="4"/>
  <c r="R228" i="4"/>
  <c r="U219" i="4"/>
  <c r="N228" i="4"/>
  <c r="Q219" i="4"/>
  <c r="U213" i="4"/>
  <c r="V213" i="4" s="1"/>
  <c r="E213" i="4"/>
  <c r="J212" i="4"/>
  <c r="B228" i="4"/>
  <c r="E219" i="4"/>
  <c r="G256" i="4"/>
  <c r="I228" i="4"/>
  <c r="U645" i="4" l="1"/>
  <c r="T645" i="4"/>
  <c r="R645" i="4"/>
  <c r="V642" i="4"/>
  <c r="V644" i="4" s="1"/>
  <c r="S645" i="4"/>
  <c r="S643" i="4"/>
  <c r="S649" i="4" s="1"/>
  <c r="S658" i="4" s="1"/>
  <c r="S686" i="4" s="1"/>
  <c r="S692" i="4" s="1"/>
  <c r="S701" i="4" s="1"/>
  <c r="S729" i="4" s="1"/>
  <c r="S735" i="4" s="1"/>
  <c r="S744" i="4" s="1"/>
  <c r="S772" i="4" s="1"/>
  <c r="S778" i="4" s="1"/>
  <c r="S787" i="4" s="1"/>
  <c r="S815" i="4" s="1"/>
  <c r="S821" i="4" s="1"/>
  <c r="S830" i="4" s="1"/>
  <c r="S858" i="4" s="1"/>
  <c r="O643" i="4"/>
  <c r="O649" i="4" s="1"/>
  <c r="O658" i="4" s="1"/>
  <c r="O686" i="4" s="1"/>
  <c r="O692" i="4" s="1"/>
  <c r="O701" i="4" s="1"/>
  <c r="O729" i="4" s="1"/>
  <c r="O735" i="4" s="1"/>
  <c r="O744" i="4" s="1"/>
  <c r="O772" i="4" s="1"/>
  <c r="O778" i="4" s="1"/>
  <c r="O787" i="4" s="1"/>
  <c r="O815" i="4" s="1"/>
  <c r="O821" i="4" s="1"/>
  <c r="O830" i="4" s="1"/>
  <c r="O858" i="4" s="1"/>
  <c r="H557" i="4"/>
  <c r="H563" i="4" s="1"/>
  <c r="H572" i="4" s="1"/>
  <c r="H600" i="4" s="1"/>
  <c r="H606" i="4" s="1"/>
  <c r="H615" i="4" s="1"/>
  <c r="H643" i="4" s="1"/>
  <c r="H649" i="4" s="1"/>
  <c r="H658" i="4" s="1"/>
  <c r="H686" i="4" s="1"/>
  <c r="H692" i="4" s="1"/>
  <c r="H701" i="4" s="1"/>
  <c r="H729" i="4" s="1"/>
  <c r="H735" i="4" s="1"/>
  <c r="H744" i="4" s="1"/>
  <c r="H772" i="4" s="1"/>
  <c r="H778" i="4" s="1"/>
  <c r="F443" i="4"/>
  <c r="J213" i="4"/>
  <c r="J219" i="4"/>
  <c r="R256" i="4"/>
  <c r="U228" i="4"/>
  <c r="V219" i="4"/>
  <c r="N256" i="4"/>
  <c r="Q228" i="4"/>
  <c r="B256" i="4"/>
  <c r="E228" i="4"/>
  <c r="I256" i="4"/>
  <c r="G262" i="4"/>
  <c r="H787" i="4" l="1"/>
  <c r="F471" i="4"/>
  <c r="U256" i="4"/>
  <c r="R262" i="4"/>
  <c r="V228" i="4"/>
  <c r="N262" i="4"/>
  <c r="Q256" i="4"/>
  <c r="B262" i="4"/>
  <c r="E256" i="4"/>
  <c r="J256" i="4" s="1"/>
  <c r="I262" i="4"/>
  <c r="G271" i="4"/>
  <c r="H815" i="4" l="1"/>
  <c r="H821" i="4" s="1"/>
  <c r="H830" i="4" s="1"/>
  <c r="H858" i="4" s="1"/>
  <c r="F477" i="4"/>
  <c r="V256" i="4"/>
  <c r="Q262" i="4"/>
  <c r="N271" i="4"/>
  <c r="R271" i="4"/>
  <c r="U262" i="4"/>
  <c r="B271" i="4"/>
  <c r="E262" i="4"/>
  <c r="J262" i="4" s="1"/>
  <c r="I271" i="4"/>
  <c r="G299" i="4"/>
  <c r="F486" i="4" l="1"/>
  <c r="I299" i="4"/>
  <c r="G305" i="4"/>
  <c r="V262" i="4"/>
  <c r="Q271" i="4"/>
  <c r="N299" i="4"/>
  <c r="U271" i="4"/>
  <c r="R299" i="4"/>
  <c r="B299" i="4"/>
  <c r="E271" i="4"/>
  <c r="F514" i="4" l="1"/>
  <c r="F520" i="4" s="1"/>
  <c r="E299" i="4"/>
  <c r="J299" i="4" s="1"/>
  <c r="B305" i="4"/>
  <c r="G314" i="4"/>
  <c r="I305" i="4"/>
  <c r="U299" i="4"/>
  <c r="R305" i="4"/>
  <c r="Q299" i="4"/>
  <c r="N305" i="4"/>
  <c r="V271" i="4"/>
  <c r="F529" i="4" l="1"/>
  <c r="B314" i="4"/>
  <c r="E305" i="4"/>
  <c r="J305" i="4" s="1"/>
  <c r="G342" i="4"/>
  <c r="I314" i="4"/>
  <c r="V299" i="4"/>
  <c r="U305" i="4"/>
  <c r="R314" i="4"/>
  <c r="Q305" i="4"/>
  <c r="N314" i="4"/>
  <c r="F557" i="4" l="1"/>
  <c r="F563" i="4" s="1"/>
  <c r="I342" i="4"/>
  <c r="G348" i="4"/>
  <c r="V305" i="4"/>
  <c r="B342" i="4"/>
  <c r="E314" i="4"/>
  <c r="N342" i="4"/>
  <c r="Q314" i="4"/>
  <c r="R342" i="4"/>
  <c r="U314" i="4"/>
  <c r="F572" i="4" l="1"/>
  <c r="E342" i="4"/>
  <c r="J342" i="4" s="1"/>
  <c r="B348" i="4"/>
  <c r="G357" i="4"/>
  <c r="I348" i="4"/>
  <c r="U342" i="4"/>
  <c r="R343" i="4" s="1"/>
  <c r="R348" i="4"/>
  <c r="Q342" i="4"/>
  <c r="N348" i="4"/>
  <c r="V314" i="4"/>
  <c r="F600" i="4" l="1"/>
  <c r="F606" i="4" s="1"/>
  <c r="B357" i="4"/>
  <c r="E348" i="4"/>
  <c r="J348" i="4" s="1"/>
  <c r="G385" i="4"/>
  <c r="I357" i="4"/>
  <c r="R357" i="4"/>
  <c r="U348" i="4"/>
  <c r="S343" i="4"/>
  <c r="T343" i="4"/>
  <c r="U343" i="4"/>
  <c r="V342" i="4"/>
  <c r="O343" i="4"/>
  <c r="P343" i="4"/>
  <c r="Q343" i="4"/>
  <c r="N343" i="4"/>
  <c r="N357" i="4"/>
  <c r="Q348" i="4"/>
  <c r="F615" i="4" l="1"/>
  <c r="V348" i="4"/>
  <c r="E357" i="4"/>
  <c r="B385" i="4"/>
  <c r="G391" i="4"/>
  <c r="I385" i="4"/>
  <c r="R385" i="4"/>
  <c r="U357" i="4"/>
  <c r="N385" i="4"/>
  <c r="Q357" i="4"/>
  <c r="F643" i="4" l="1"/>
  <c r="F649" i="4" s="1"/>
  <c r="V357" i="4"/>
  <c r="E385" i="4"/>
  <c r="J385" i="4" s="1"/>
  <c r="B391" i="4"/>
  <c r="G400" i="4"/>
  <c r="I391" i="4"/>
  <c r="U385" i="4"/>
  <c r="R391" i="4"/>
  <c r="Q385" i="4"/>
  <c r="N391" i="4"/>
  <c r="F658" i="4" l="1"/>
  <c r="B400" i="4"/>
  <c r="E391" i="4"/>
  <c r="J391" i="4" s="1"/>
  <c r="G428" i="4"/>
  <c r="I400" i="4"/>
  <c r="V385" i="4"/>
  <c r="R400" i="4"/>
  <c r="U391" i="4"/>
  <c r="N400" i="4"/>
  <c r="Q391" i="4"/>
  <c r="F686" i="4" l="1"/>
  <c r="I428" i="4"/>
  <c r="G434" i="4"/>
  <c r="E400" i="4"/>
  <c r="B428" i="4"/>
  <c r="V391" i="4"/>
  <c r="R428" i="4"/>
  <c r="U400" i="4"/>
  <c r="Q400" i="4"/>
  <c r="N428" i="4"/>
  <c r="F692" i="4" l="1"/>
  <c r="G443" i="4"/>
  <c r="I434" i="4"/>
  <c r="E428" i="4"/>
  <c r="J428" i="4" s="1"/>
  <c r="B434" i="4"/>
  <c r="U428" i="4"/>
  <c r="R434" i="4"/>
  <c r="Q428" i="4"/>
  <c r="N434" i="4"/>
  <c r="V400" i="4"/>
  <c r="F701" i="4" l="1"/>
  <c r="G471" i="4"/>
  <c r="I443" i="4"/>
  <c r="B443" i="4"/>
  <c r="E434" i="4"/>
  <c r="J434" i="4" s="1"/>
  <c r="V428" i="4"/>
  <c r="Q434" i="4"/>
  <c r="N443" i="4"/>
  <c r="U434" i="4"/>
  <c r="R443" i="4"/>
  <c r="F729" i="4" l="1"/>
  <c r="F735" i="4" s="1"/>
  <c r="F744" i="4" s="1"/>
  <c r="F772" i="4" s="1"/>
  <c r="F778" i="4" s="1"/>
  <c r="G477" i="4"/>
  <c r="I471" i="4"/>
  <c r="E443" i="4"/>
  <c r="B471" i="4"/>
  <c r="R471" i="4"/>
  <c r="U443" i="4"/>
  <c r="Q443" i="4"/>
  <c r="N471" i="4"/>
  <c r="V434" i="4"/>
  <c r="F787" i="4" l="1"/>
  <c r="V443" i="4"/>
  <c r="G486" i="4"/>
  <c r="I477" i="4"/>
  <c r="E471" i="4"/>
  <c r="J471" i="4" s="1"/>
  <c r="B477" i="4"/>
  <c r="N477" i="4"/>
  <c r="Q471" i="4"/>
  <c r="U471" i="4"/>
  <c r="R477" i="4"/>
  <c r="F815" i="4" l="1"/>
  <c r="F821" i="4" s="1"/>
  <c r="F830" i="4" s="1"/>
  <c r="F858" i="4" s="1"/>
  <c r="G514" i="4"/>
  <c r="I486" i="4"/>
  <c r="E477" i="4"/>
  <c r="J477" i="4" s="1"/>
  <c r="B486" i="4"/>
  <c r="U477" i="4"/>
  <c r="R486" i="4"/>
  <c r="V471" i="4"/>
  <c r="N486" i="4"/>
  <c r="Q477" i="4"/>
  <c r="I514" i="4" l="1"/>
  <c r="G520" i="4"/>
  <c r="B514" i="4"/>
  <c r="E486" i="4"/>
  <c r="V477" i="4"/>
  <c r="N514" i="4"/>
  <c r="Q486" i="4"/>
  <c r="U486" i="4"/>
  <c r="R514" i="4"/>
  <c r="Q514" i="4" l="1"/>
  <c r="N520" i="4"/>
  <c r="U514" i="4"/>
  <c r="R520" i="4"/>
  <c r="G529" i="4"/>
  <c r="I520" i="4"/>
  <c r="E514" i="4"/>
  <c r="J514" i="4" s="1"/>
  <c r="B520" i="4"/>
  <c r="V486" i="4"/>
  <c r="V514" i="4" l="1"/>
  <c r="N529" i="4"/>
  <c r="Q520" i="4"/>
  <c r="R529" i="4"/>
  <c r="U520" i="4"/>
  <c r="G557" i="4"/>
  <c r="I529" i="4"/>
  <c r="B529" i="4"/>
  <c r="E520" i="4"/>
  <c r="J520" i="4" s="1"/>
  <c r="I557" i="4" l="1"/>
  <c r="G563" i="4"/>
  <c r="V520" i="4"/>
  <c r="R557" i="4"/>
  <c r="U529" i="4"/>
  <c r="N557" i="4"/>
  <c r="Q529" i="4"/>
  <c r="B557" i="4"/>
  <c r="E529" i="4"/>
  <c r="E557" i="4" l="1"/>
  <c r="J557" i="4" s="1"/>
  <c r="B563" i="4"/>
  <c r="G572" i="4"/>
  <c r="I563" i="4"/>
  <c r="Q557" i="4"/>
  <c r="N563" i="4"/>
  <c r="U557" i="4"/>
  <c r="R563" i="4"/>
  <c r="V529" i="4"/>
  <c r="V557" i="4" l="1"/>
  <c r="E563" i="4"/>
  <c r="J563" i="4" s="1"/>
  <c r="B572" i="4"/>
  <c r="G600" i="4"/>
  <c r="I572" i="4"/>
  <c r="R572" i="4"/>
  <c r="U563" i="4"/>
  <c r="N572" i="4"/>
  <c r="Q563" i="4"/>
  <c r="I600" i="4" l="1"/>
  <c r="G606" i="4"/>
  <c r="V563" i="4"/>
  <c r="B600" i="4"/>
  <c r="E572" i="4"/>
  <c r="R600" i="4"/>
  <c r="R606" i="4" s="1"/>
  <c r="U572" i="4"/>
  <c r="N600" i="4"/>
  <c r="N606" i="4" s="1"/>
  <c r="Q572" i="4"/>
  <c r="Q606" i="4" l="1"/>
  <c r="N615" i="4"/>
  <c r="U606" i="4"/>
  <c r="R615" i="4"/>
  <c r="E600" i="4"/>
  <c r="J600" i="4" s="1"/>
  <c r="B606" i="4"/>
  <c r="G615" i="4"/>
  <c r="I606" i="4"/>
  <c r="Q600" i="4"/>
  <c r="V572" i="4"/>
  <c r="U600" i="4"/>
  <c r="R643" i="4" l="1"/>
  <c r="U615" i="4"/>
  <c r="N643" i="4"/>
  <c r="Q615" i="4"/>
  <c r="V606" i="4"/>
  <c r="B615" i="4"/>
  <c r="E606" i="4"/>
  <c r="J606" i="4" s="1"/>
  <c r="G643" i="4"/>
  <c r="I615" i="4"/>
  <c r="V600" i="4"/>
  <c r="I643" i="4" l="1"/>
  <c r="G649" i="4"/>
  <c r="V615" i="4"/>
  <c r="N649" i="4"/>
  <c r="Q643" i="4"/>
  <c r="U643" i="4"/>
  <c r="R649" i="4"/>
  <c r="B643" i="4"/>
  <c r="E615" i="4"/>
  <c r="G658" i="4" l="1"/>
  <c r="I649" i="4"/>
  <c r="E643" i="4"/>
  <c r="J643" i="4" s="1"/>
  <c r="B649" i="4"/>
  <c r="R658" i="4"/>
  <c r="U649" i="4"/>
  <c r="V643" i="4"/>
  <c r="N658" i="4"/>
  <c r="Q649" i="4"/>
  <c r="G686" i="4" l="1"/>
  <c r="I658" i="4"/>
  <c r="B658" i="4"/>
  <c r="E649" i="4"/>
  <c r="J649" i="4" s="1"/>
  <c r="Q658" i="4"/>
  <c r="N686" i="4"/>
  <c r="N692" i="4" s="1"/>
  <c r="V649" i="4"/>
  <c r="R686" i="4"/>
  <c r="R692" i="4" s="1"/>
  <c r="U658" i="4"/>
  <c r="G692" i="4" l="1"/>
  <c r="I686" i="4"/>
  <c r="N701" i="4"/>
  <c r="Q692" i="4"/>
  <c r="R701" i="4"/>
  <c r="U692" i="4"/>
  <c r="B686" i="4"/>
  <c r="E658" i="4"/>
  <c r="Q686" i="4"/>
  <c r="U686" i="4"/>
  <c r="V658" i="4"/>
  <c r="G701" i="4" l="1"/>
  <c r="I692" i="4"/>
  <c r="E686" i="4"/>
  <c r="J686" i="4" s="1"/>
  <c r="B692" i="4"/>
  <c r="R729" i="4"/>
  <c r="U701" i="4"/>
  <c r="V692" i="4"/>
  <c r="Q701" i="4"/>
  <c r="N729" i="4"/>
  <c r="V686" i="4"/>
  <c r="U729" i="4" l="1"/>
  <c r="R735" i="4"/>
  <c r="Q729" i="4"/>
  <c r="N735" i="4"/>
  <c r="G729" i="4"/>
  <c r="I701" i="4"/>
  <c r="B701" i="4"/>
  <c r="E692" i="4"/>
  <c r="J692" i="4" s="1"/>
  <c r="V701" i="4"/>
  <c r="I729" i="4" l="1"/>
  <c r="G735" i="4"/>
  <c r="V729" i="4"/>
  <c r="R744" i="4"/>
  <c r="U735" i="4"/>
  <c r="N744" i="4"/>
  <c r="Q735" i="4"/>
  <c r="B729" i="4"/>
  <c r="E701" i="4"/>
  <c r="G744" i="4" l="1"/>
  <c r="I735" i="4"/>
  <c r="E729" i="4"/>
  <c r="J729" i="4" s="1"/>
  <c r="B735" i="4"/>
  <c r="V735" i="4"/>
  <c r="U744" i="4"/>
  <c r="R772" i="4"/>
  <c r="R778" i="4" s="1"/>
  <c r="N772" i="4"/>
  <c r="N778" i="4" s="1"/>
  <c r="Q744" i="4"/>
  <c r="N787" i="4" l="1"/>
  <c r="Q778" i="4"/>
  <c r="R787" i="4"/>
  <c r="U778" i="4"/>
  <c r="G772" i="4"/>
  <c r="I744" i="4"/>
  <c r="B744" i="4"/>
  <c r="E735" i="4"/>
  <c r="J735" i="4" s="1"/>
  <c r="U772" i="4"/>
  <c r="R773" i="4" s="1"/>
  <c r="V744" i="4"/>
  <c r="Q772" i="4"/>
  <c r="N773" i="4" s="1"/>
  <c r="I772" i="4" l="1"/>
  <c r="G778" i="4"/>
  <c r="V778" i="4"/>
  <c r="N815" i="4"/>
  <c r="Q787" i="4"/>
  <c r="R815" i="4"/>
  <c r="U787" i="4"/>
  <c r="B772" i="4"/>
  <c r="E744" i="4"/>
  <c r="S773" i="4"/>
  <c r="T773" i="4"/>
  <c r="U773" i="4"/>
  <c r="O773" i="4"/>
  <c r="P773" i="4"/>
  <c r="Q773" i="4"/>
  <c r="V772" i="4"/>
  <c r="Q815" i="4" l="1"/>
  <c r="N821" i="4"/>
  <c r="U815" i="4"/>
  <c r="R821" i="4"/>
  <c r="G787" i="4"/>
  <c r="I778" i="4"/>
  <c r="E772" i="4"/>
  <c r="J772" i="4" s="1"/>
  <c r="B778" i="4"/>
  <c r="V787" i="4"/>
  <c r="V815" i="4" l="1"/>
  <c r="U821" i="4"/>
  <c r="R830" i="4"/>
  <c r="Q821" i="4"/>
  <c r="N830" i="4"/>
  <c r="G815" i="4"/>
  <c r="I787" i="4"/>
  <c r="E778" i="4"/>
  <c r="J778" i="4" s="1"/>
  <c r="B787" i="4"/>
  <c r="I815" i="4" l="1"/>
  <c r="G821" i="4"/>
  <c r="V821" i="4"/>
  <c r="U830" i="4"/>
  <c r="R858" i="4"/>
  <c r="U858" i="4" s="1"/>
  <c r="N858" i="4"/>
  <c r="Q858" i="4" s="1"/>
  <c r="Q830" i="4"/>
  <c r="B815" i="4"/>
  <c r="E787" i="4"/>
  <c r="E815" i="4" l="1"/>
  <c r="J815" i="4" s="1"/>
  <c r="B821" i="4"/>
  <c r="G830" i="4"/>
  <c r="I821" i="4"/>
  <c r="V858" i="4"/>
  <c r="V830" i="4"/>
  <c r="B830" i="4" l="1"/>
  <c r="E821" i="4"/>
  <c r="J821" i="4" s="1"/>
  <c r="G858" i="4"/>
  <c r="I858" i="4" s="1"/>
  <c r="I830" i="4"/>
  <c r="B858" i="4" l="1"/>
  <c r="E858" i="4" s="1"/>
  <c r="J858" i="4" s="1"/>
  <c r="E830" i="4"/>
</calcChain>
</file>

<file path=xl/sharedStrings.xml><?xml version="1.0" encoding="utf-8"?>
<sst xmlns="http://schemas.openxmlformats.org/spreadsheetml/2006/main" count="1847" uniqueCount="413">
  <si>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</si>
  <si>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</si>
  <si>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</si>
  <si>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</si>
  <si>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</si>
  <si>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</si>
  <si>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</si>
  <si>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</si>
  <si>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</si>
  <si>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</si>
  <si>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</si>
  <si>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</si>
  <si>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</si>
  <si>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</si>
  <si>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</si>
  <si>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</si>
  <si>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</si>
  <si>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</si>
  <si>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</si>
  <si>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</si>
  <si>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</si>
  <si>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ホワイト</t>
    <phoneticPr fontId="7"/>
  </si>
  <si>
    <t>　</t>
    <phoneticPr fontId="7"/>
  </si>
  <si>
    <t>フィットインハイネックレースインナー　ノースリーブ （夢販在庫）</t>
    <rPh sb="27" eb="28">
      <t>ユメ</t>
    </rPh>
    <rPh sb="28" eb="29">
      <t>ハン</t>
    </rPh>
    <rPh sb="29" eb="31">
      <t>ザイコ</t>
    </rPh>
    <phoneticPr fontId="2"/>
  </si>
  <si>
    <t>フィットインハイネックレースインナー　ノースリーブ （KPORT在庫）1P@650￥1980～ \2180 2P\3990～\4300</t>
    <rPh sb="32" eb="34">
      <t>ザイコ</t>
    </rPh>
    <phoneticPr fontId="2"/>
  </si>
  <si>
    <t>アテニア4月号</t>
    <rPh sb="5" eb="7">
      <t>ガツゴウ</t>
    </rPh>
    <phoneticPr fontId="7"/>
  </si>
  <si>
    <t>3613-300～305</t>
    <phoneticPr fontId="7"/>
  </si>
  <si>
    <t>ディノス24盛夏号2色組</t>
    <rPh sb="6" eb="9">
      <t>セイカゴウ</t>
    </rPh>
    <rPh sb="10" eb="12">
      <t>ショククミ</t>
    </rPh>
    <phoneticPr fontId="7"/>
  </si>
  <si>
    <t>ディノス24夏号2色組</t>
    <rPh sb="6" eb="7">
      <t>ナツ</t>
    </rPh>
    <rPh sb="7" eb="8">
      <t>ゴウ</t>
    </rPh>
    <rPh sb="9" eb="11">
      <t>ショククミ</t>
    </rPh>
    <phoneticPr fontId="7"/>
  </si>
  <si>
    <t>4/2～</t>
    <phoneticPr fontId="7"/>
  </si>
  <si>
    <t>5/16～</t>
    <phoneticPr fontId="7"/>
  </si>
  <si>
    <t>ロイヤルステージ5月号2色組</t>
    <rPh sb="9" eb="10">
      <t>ガツ</t>
    </rPh>
    <rPh sb="10" eb="11">
      <t>ゴウ</t>
    </rPh>
    <rPh sb="12" eb="13">
      <t>ショク</t>
    </rPh>
    <rPh sb="13" eb="14">
      <t>クミ</t>
    </rPh>
    <phoneticPr fontId="7"/>
  </si>
  <si>
    <t>5/14～</t>
    <phoneticPr fontId="7"/>
  </si>
  <si>
    <t>追加６ 1-1</t>
    <rPh sb="0" eb="2">
      <t>ツイカ</t>
    </rPh>
    <phoneticPr fontId="2"/>
  </si>
  <si>
    <t>ベルーナ24盛夏号単品</t>
    <rPh sb="6" eb="9">
      <t>セイカゴウ</t>
    </rPh>
    <rPh sb="9" eb="11">
      <t>タンピン</t>
    </rPh>
    <phoneticPr fontId="7"/>
  </si>
  <si>
    <t>初回 4-1</t>
    <rPh sb="0" eb="2">
      <t>ショカイ</t>
    </rPh>
    <phoneticPr fontId="2"/>
  </si>
  <si>
    <t>追加２ 4-2</t>
    <rPh sb="0" eb="2">
      <t>ツイカ</t>
    </rPh>
    <phoneticPr fontId="2"/>
  </si>
  <si>
    <t>製品化</t>
    <rPh sb="0" eb="3">
      <t>セイヒンカ</t>
    </rPh>
    <phoneticPr fontId="2"/>
  </si>
  <si>
    <t>西夢</t>
    <rPh sb="0" eb="2">
      <t>ニシユメ</t>
    </rPh>
    <phoneticPr fontId="7"/>
  </si>
  <si>
    <t>ディノス24夏号2色組①</t>
    <rPh sb="6" eb="7">
      <t>ナツ</t>
    </rPh>
    <rPh sb="7" eb="8">
      <t>ゴウ</t>
    </rPh>
    <rPh sb="9" eb="11">
      <t>ショククミ</t>
    </rPh>
    <phoneticPr fontId="7"/>
  </si>
  <si>
    <t>2024/1/13済伝</t>
    <rPh sb="9" eb="10">
      <t>スミ</t>
    </rPh>
    <rPh sb="10" eb="11">
      <t>デン</t>
    </rPh>
    <phoneticPr fontId="7"/>
  </si>
  <si>
    <t>夢販</t>
    <rPh sb="0" eb="2">
      <t>ユメハン</t>
    </rPh>
    <phoneticPr fontId="7"/>
  </si>
  <si>
    <t>点5/24、前取5/31、アバウト6/6、11最終6/19</t>
    <rPh sb="0" eb="1">
      <t>テン</t>
    </rPh>
    <rPh sb="6" eb="8">
      <t>マエトリ</t>
    </rPh>
    <rPh sb="23" eb="25">
      <t>サイシュウ</t>
    </rPh>
    <phoneticPr fontId="7"/>
  </si>
  <si>
    <t>テスト4/3～</t>
    <phoneticPr fontId="7"/>
  </si>
  <si>
    <t>3/7までに数量確定</t>
    <rPh sb="6" eb="8">
      <t>スウリョウ</t>
    </rPh>
    <rPh sb="8" eb="10">
      <t>カクテイ</t>
    </rPh>
    <phoneticPr fontId="7"/>
  </si>
  <si>
    <t>ディノス24夏休みリーフレット2色組</t>
    <rPh sb="6" eb="7">
      <t>ナツ</t>
    </rPh>
    <rPh sb="7" eb="8">
      <t>ヤス</t>
    </rPh>
    <rPh sb="16" eb="18">
      <t>ショククミ</t>
    </rPh>
    <phoneticPr fontId="7"/>
  </si>
  <si>
    <t>7/2～</t>
    <phoneticPr fontId="7"/>
  </si>
  <si>
    <t>コープさっぽろ5月1回</t>
    <rPh sb="8" eb="9">
      <t>ガツ</t>
    </rPh>
    <rPh sb="10" eb="11">
      <t>カイ</t>
    </rPh>
    <phoneticPr fontId="7"/>
  </si>
  <si>
    <t>4/24、29</t>
    <phoneticPr fontId="7"/>
  </si>
  <si>
    <t>2024/3/5済伝</t>
    <rPh sb="8" eb="9">
      <t>スミ</t>
    </rPh>
    <rPh sb="9" eb="10">
      <t>デン</t>
    </rPh>
    <phoneticPr fontId="7"/>
  </si>
  <si>
    <t>3/23ship</t>
    <phoneticPr fontId="7"/>
  </si>
  <si>
    <t>ディノス24盛夏号2色組差分予測</t>
    <rPh sb="6" eb="9">
      <t>セイカゴウ</t>
    </rPh>
    <rPh sb="10" eb="12">
      <t>ショククミ</t>
    </rPh>
    <rPh sb="12" eb="16">
      <t>サブンヨソク</t>
    </rPh>
    <phoneticPr fontId="7"/>
  </si>
  <si>
    <t>3/9フェリー予定　　3/13KPORT済伝</t>
    <rPh sb="7" eb="9">
      <t>ヨテイ</t>
    </rPh>
    <rPh sb="20" eb="21">
      <t>スミ</t>
    </rPh>
    <rPh sb="21" eb="22">
      <t>デン</t>
    </rPh>
    <phoneticPr fontId="7"/>
  </si>
  <si>
    <t>追加２ 4-3-2</t>
    <rPh sb="0" eb="2">
      <t>ツイカ</t>
    </rPh>
    <phoneticPr fontId="2"/>
  </si>
  <si>
    <t>追加２ 4-3-1</t>
    <rPh sb="0" eb="2">
      <t>ツイカ</t>
    </rPh>
    <phoneticPr fontId="2"/>
  </si>
  <si>
    <t>追加５過入荷分4-4-1</t>
    <rPh sb="0" eb="2">
      <t>ツイカ</t>
    </rPh>
    <rPh sb="3" eb="7">
      <t>カニュウカブン</t>
    </rPh>
    <phoneticPr fontId="2"/>
  </si>
  <si>
    <t>ベルーナ24盛夏号単品①</t>
    <rPh sb="6" eb="9">
      <t>セイカゴウ</t>
    </rPh>
    <rPh sb="9" eb="11">
      <t>タンピン</t>
    </rPh>
    <phoneticPr fontId="7"/>
  </si>
  <si>
    <t>ネット</t>
    <phoneticPr fontId="7"/>
  </si>
  <si>
    <t>ディノス24夏号2色組差分予測</t>
    <rPh sb="6" eb="7">
      <t>ナツ</t>
    </rPh>
    <rPh sb="7" eb="8">
      <t>ゴウ</t>
    </rPh>
    <rPh sb="9" eb="11">
      <t>ショククミ</t>
    </rPh>
    <rPh sb="11" eb="13">
      <t>サブン</t>
    </rPh>
    <rPh sb="13" eb="15">
      <t>ヨソク</t>
    </rPh>
    <phoneticPr fontId="7"/>
  </si>
  <si>
    <t>2024/4/3伝済</t>
    <rPh sb="8" eb="9">
      <t>デン</t>
    </rPh>
    <rPh sb="9" eb="10">
      <t>スミ</t>
    </rPh>
    <phoneticPr fontId="7"/>
  </si>
  <si>
    <t>コープきんき6月3回</t>
    <rPh sb="7" eb="8">
      <t>ガツ</t>
    </rPh>
    <rPh sb="9" eb="10">
      <t>カイ</t>
    </rPh>
    <phoneticPr fontId="7"/>
  </si>
  <si>
    <t>コープきんき6月3回差分予測</t>
    <rPh sb="7" eb="8">
      <t>ガツ</t>
    </rPh>
    <rPh sb="9" eb="10">
      <t>カイ</t>
    </rPh>
    <rPh sb="10" eb="14">
      <t>サブンヨソク</t>
    </rPh>
    <phoneticPr fontId="7"/>
  </si>
  <si>
    <t>日生協5月14号差分予測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</si>
  <si>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日生協5月14号</t>
    <rPh sb="0" eb="3">
      <t>ニッセイキョウ</t>
    </rPh>
    <rPh sb="4" eb="5">
      <t>ガツ</t>
    </rPh>
    <rPh sb="7" eb="8">
      <t>ゴウ</t>
    </rPh>
    <phoneticPr fontId="7"/>
  </si>
  <si>
    <t>点5/23、アバウト6/11、本6/12～22</t>
    <rPh sb="0" eb="1">
      <t>テン</t>
    </rPh>
    <rPh sb="15" eb="16">
      <t>ホン</t>
    </rPh>
    <phoneticPr fontId="7"/>
  </si>
  <si>
    <t>ディノス24夏号2色組②</t>
    <rPh sb="6" eb="7">
      <t>ナツ</t>
    </rPh>
    <rPh sb="7" eb="8">
      <t>ゴウ</t>
    </rPh>
    <rPh sb="9" eb="11">
      <t>ショククミ</t>
    </rPh>
    <phoneticPr fontId="7"/>
  </si>
  <si>
    <t>追加2 4-4-2</t>
    <rPh sb="0" eb="2">
      <t>ツイカ</t>
    </rPh>
    <phoneticPr fontId="2"/>
  </si>
  <si>
    <t>ディノス24夏号2色組③</t>
    <rPh sb="6" eb="7">
      <t>ナツ</t>
    </rPh>
    <rPh sb="7" eb="8">
      <t>ゴウ</t>
    </rPh>
    <rPh sb="9" eb="11">
      <t>ショククミ</t>
    </rPh>
    <phoneticPr fontId="7"/>
  </si>
  <si>
    <t>ディノス24夏号2色組④</t>
    <rPh sb="6" eb="7">
      <t>ナツ</t>
    </rPh>
    <rPh sb="7" eb="8">
      <t>ゴウ</t>
    </rPh>
    <rPh sb="9" eb="11">
      <t>ショククミ</t>
    </rPh>
    <phoneticPr fontId="7"/>
  </si>
  <si>
    <t>ディノス24夏号2色組⑤</t>
    <rPh sb="6" eb="7">
      <t>ナツ</t>
    </rPh>
    <rPh sb="7" eb="8">
      <t>ゴウ</t>
    </rPh>
    <rPh sb="9" eb="11">
      <t>ショククミ</t>
    </rPh>
    <phoneticPr fontId="7"/>
  </si>
  <si>
    <t>6/4～</t>
    <phoneticPr fontId="7"/>
  </si>
  <si>
    <t>JODメルシー0604/2色組</t>
    <rPh sb="13" eb="15">
      <t>ショククミ</t>
    </rPh>
    <phoneticPr fontId="7"/>
  </si>
  <si>
    <t>日生協8月25号特価￥1780</t>
    <rPh sb="0" eb="3">
      <t>ニッセイキョウ</t>
    </rPh>
    <rPh sb="4" eb="5">
      <t>ガツ</t>
    </rPh>
    <rPh sb="7" eb="8">
      <t>ゴウ</t>
    </rPh>
    <rPh sb="8" eb="10">
      <t>トッカ</t>
    </rPh>
    <phoneticPr fontId="7"/>
  </si>
  <si>
    <t>日生協8月25号差分予測</t>
    <rPh sb="8" eb="12">
      <t>サブンヨソク</t>
    </rPh>
    <phoneticPr fontId="7"/>
  </si>
  <si>
    <t>点8/9、前取8/16、アバウト8/20・27、最終9/4</t>
    <rPh sb="0" eb="1">
      <t>テン</t>
    </rPh>
    <rPh sb="5" eb="7">
      <t>マエトリ</t>
    </rPh>
    <rPh sb="24" eb="26">
      <t>サイシュウ</t>
    </rPh>
    <phoneticPr fontId="7"/>
  </si>
  <si>
    <t>ディノス24夏号2色組⑥</t>
    <rPh sb="6" eb="7">
      <t>ナツ</t>
    </rPh>
    <rPh sb="7" eb="8">
      <t>ゴウ</t>
    </rPh>
    <rPh sb="9" eb="11">
      <t>ショククミ</t>
    </rPh>
    <phoneticPr fontId="7"/>
  </si>
  <si>
    <t>ディノス24夏号2色組⑦</t>
    <rPh sb="6" eb="7">
      <t>ナツ</t>
    </rPh>
    <rPh sb="7" eb="8">
      <t>ゴウ</t>
    </rPh>
    <rPh sb="9" eb="11">
      <t>ショククミ</t>
    </rPh>
    <phoneticPr fontId="7"/>
  </si>
  <si>
    <t>Amazon</t>
    <phoneticPr fontId="7"/>
  </si>
  <si>
    <t>ディノス24夏号2色組⑧</t>
    <rPh sb="6" eb="7">
      <t>ナツ</t>
    </rPh>
    <rPh sb="7" eb="8">
      <t>ゴウ</t>
    </rPh>
    <rPh sb="9" eb="11">
      <t>ショククミ</t>
    </rPh>
    <phoneticPr fontId="7"/>
  </si>
  <si>
    <t>ディノス24夏号2色組⑨</t>
    <rPh sb="6" eb="7">
      <t>ナツ</t>
    </rPh>
    <rPh sb="7" eb="8">
      <t>ゴウ</t>
    </rPh>
    <rPh sb="9" eb="11">
      <t>ショククミ</t>
    </rPh>
    <phoneticPr fontId="7"/>
  </si>
  <si>
    <t>ディノス24夏号2色組⑩</t>
    <rPh sb="6" eb="7">
      <t>ナツ</t>
    </rPh>
    <rPh sb="7" eb="8">
      <t>ゴウ</t>
    </rPh>
    <rPh sb="9" eb="11">
      <t>ショククミ</t>
    </rPh>
    <phoneticPr fontId="7"/>
  </si>
  <si>
    <t>ディノス24夏休みリーフレット2色組差分予測</t>
    <rPh sb="6" eb="7">
      <t>ナツ</t>
    </rPh>
    <rPh sb="7" eb="8">
      <t>ヤス</t>
    </rPh>
    <rPh sb="16" eb="18">
      <t>ショククミ</t>
    </rPh>
    <rPh sb="18" eb="22">
      <t>サブンヨソク</t>
    </rPh>
    <phoneticPr fontId="7"/>
  </si>
  <si>
    <t>西夢</t>
    <rPh sb="0" eb="2">
      <t>ニシユメ</t>
    </rPh>
    <phoneticPr fontId="7"/>
  </si>
  <si>
    <t>ディノス24夏号2色組⑪</t>
    <rPh sb="6" eb="7">
      <t>ナツ</t>
    </rPh>
    <rPh sb="7" eb="8">
      <t>ゴウ</t>
    </rPh>
    <rPh sb="9" eb="11">
      <t>ショククミ</t>
    </rPh>
    <phoneticPr fontId="7"/>
  </si>
  <si>
    <t>ディノス24夏号2色組⑫</t>
    <rPh sb="6" eb="7">
      <t>ナツ</t>
    </rPh>
    <rPh sb="7" eb="8">
      <t>ゴウ</t>
    </rPh>
    <rPh sb="9" eb="11">
      <t>ショククミ</t>
    </rPh>
    <phoneticPr fontId="7"/>
  </si>
  <si>
    <t>ベルーナ24盛夏号単品②</t>
    <rPh sb="6" eb="9">
      <t>セイカゴウ</t>
    </rPh>
    <rPh sb="9" eb="11">
      <t>タンピン</t>
    </rPh>
    <phoneticPr fontId="7"/>
  </si>
  <si>
    <t>コープさっぽろ5月1回①</t>
    <rPh sb="8" eb="9">
      <t>ガツ</t>
    </rPh>
    <rPh sb="10" eb="11">
      <t>カイ</t>
    </rPh>
    <phoneticPr fontId="7"/>
  </si>
  <si>
    <t>コープさっぽろ5月1回②</t>
    <rPh sb="8" eb="9">
      <t>ガツ</t>
    </rPh>
    <rPh sb="10" eb="11">
      <t>カイ</t>
    </rPh>
    <phoneticPr fontId="7"/>
  </si>
  <si>
    <t>ディノス24夏号2色組⑬</t>
    <rPh sb="6" eb="7">
      <t>ナツ</t>
    </rPh>
    <rPh sb="7" eb="8">
      <t>ゴウ</t>
    </rPh>
    <rPh sb="9" eb="11">
      <t>ショククミ</t>
    </rPh>
    <phoneticPr fontId="7"/>
  </si>
  <si>
    <t>過不足分</t>
    <rPh sb="0" eb="4">
      <t>カブソクブン</t>
    </rPh>
    <phoneticPr fontId="2"/>
  </si>
  <si>
    <t>ベルーナ24盛夏号単品③</t>
    <rPh sb="6" eb="9">
      <t>セイカゴウ</t>
    </rPh>
    <rPh sb="9" eb="11">
      <t>タンピン</t>
    </rPh>
    <phoneticPr fontId="7"/>
  </si>
  <si>
    <t>ディノス24夏号2色組⑭</t>
    <rPh sb="6" eb="7">
      <t>ナツ</t>
    </rPh>
    <rPh sb="7" eb="8">
      <t>ゴウ</t>
    </rPh>
    <rPh sb="9" eb="11">
      <t>ショククミ</t>
    </rPh>
    <phoneticPr fontId="7"/>
  </si>
  <si>
    <t>ベルーナ24盛夏号単品④</t>
    <rPh sb="6" eb="9">
      <t>セイカゴウ</t>
    </rPh>
    <rPh sb="9" eb="11">
      <t>タンピン</t>
    </rPh>
    <phoneticPr fontId="7"/>
  </si>
  <si>
    <t>gf.p6月号①</t>
    <rPh sb="5" eb="7">
      <t>ガツゴウ</t>
    </rPh>
    <phoneticPr fontId="7"/>
  </si>
  <si>
    <t>ロイヤルステージ5月号2色組①</t>
    <rPh sb="9" eb="10">
      <t>ガツ</t>
    </rPh>
    <rPh sb="10" eb="11">
      <t>ゴウ</t>
    </rPh>
    <rPh sb="12" eb="13">
      <t>ショク</t>
    </rPh>
    <rPh sb="13" eb="14">
      <t>クミ</t>
    </rPh>
    <phoneticPr fontId="7"/>
  </si>
  <si>
    <t>ディノス返品</t>
    <rPh sb="4" eb="6">
      <t>ヘンピン</t>
    </rPh>
    <phoneticPr fontId="2"/>
  </si>
  <si>
    <t>ディノス24夏号2色組⑮</t>
    <rPh sb="6" eb="7">
      <t>ナツ</t>
    </rPh>
    <rPh sb="7" eb="8">
      <t>ゴウ</t>
    </rPh>
    <rPh sb="9" eb="11">
      <t>ショククミ</t>
    </rPh>
    <phoneticPr fontId="7"/>
  </si>
  <si>
    <t>2024/5/13伝数</t>
    <rPh sb="9" eb="10">
      <t>デン</t>
    </rPh>
    <rPh sb="10" eb="11">
      <t>スウ</t>
    </rPh>
    <phoneticPr fontId="7"/>
  </si>
  <si>
    <t>ディノス24夏号2色組⑯</t>
    <rPh sb="6" eb="7">
      <t>ナツ</t>
    </rPh>
    <rPh sb="7" eb="8">
      <t>ゴウ</t>
    </rPh>
    <rPh sb="9" eb="11">
      <t>ショククミ</t>
    </rPh>
    <phoneticPr fontId="7"/>
  </si>
  <si>
    <t>ディノス24夏号2色組⑰</t>
    <rPh sb="6" eb="7">
      <t>ナツ</t>
    </rPh>
    <rPh sb="7" eb="8">
      <t>ゴウ</t>
    </rPh>
    <rPh sb="9" eb="11">
      <t>ショククミ</t>
    </rPh>
    <phoneticPr fontId="7"/>
  </si>
  <si>
    <t>ベルーナ24盛夏号単品⑤</t>
    <rPh sb="6" eb="9">
      <t>セイカゴウ</t>
    </rPh>
    <rPh sb="9" eb="11">
      <t>タンピン</t>
    </rPh>
    <phoneticPr fontId="7"/>
  </si>
  <si>
    <t>ネット返品</t>
    <rPh sb="3" eb="5">
      <t>ヘンピン</t>
    </rPh>
    <phoneticPr fontId="7"/>
  </si>
  <si>
    <t>ディノス24盛夏号2色組①</t>
    <rPh sb="6" eb="9">
      <t>セイカゴウ</t>
    </rPh>
    <rPh sb="10" eb="12">
      <t>ショククミ</t>
    </rPh>
    <phoneticPr fontId="7"/>
  </si>
  <si>
    <t>ディノス24盛夏号2色組②</t>
    <rPh sb="6" eb="9">
      <t>セイカゴウ</t>
    </rPh>
    <rPh sb="10" eb="12">
      <t>ショククミ</t>
    </rPh>
    <phoneticPr fontId="7"/>
  </si>
  <si>
    <t>日生協5月14号東日本①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</si>
  <si>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KPORT</t>
    <phoneticPr fontId="7"/>
  </si>
  <si>
    <t>夢販移動</t>
    <rPh sb="0" eb="4">
      <t>ユメハンイドウ</t>
    </rPh>
    <phoneticPr fontId="7"/>
  </si>
  <si>
    <t>ディノス24盛夏号2色組③</t>
    <rPh sb="6" eb="9">
      <t>セイカゴウ</t>
    </rPh>
    <rPh sb="10" eb="12">
      <t>ショククミ</t>
    </rPh>
    <phoneticPr fontId="7"/>
  </si>
  <si>
    <t>コープきんき7月4回</t>
    <rPh sb="7" eb="8">
      <t>ガツ</t>
    </rPh>
    <rPh sb="9" eb="10">
      <t>カイ</t>
    </rPh>
    <phoneticPr fontId="7"/>
  </si>
  <si>
    <t>コープきんき7月4回差分予測</t>
    <rPh sb="7" eb="8">
      <t>ガツ</t>
    </rPh>
    <rPh sb="9" eb="10">
      <t>カイ</t>
    </rPh>
    <rPh sb="10" eb="14">
      <t>サブンヨソク</t>
    </rPh>
    <phoneticPr fontId="7"/>
  </si>
  <si>
    <t>点6/27、アバウト7/16、本7/17～27</t>
    <rPh sb="0" eb="1">
      <t>テン</t>
    </rPh>
    <rPh sb="15" eb="16">
      <t>ホン</t>
    </rPh>
    <phoneticPr fontId="7"/>
  </si>
  <si>
    <t>コープきんき6月3回①</t>
    <rPh sb="7" eb="8">
      <t>ガツ</t>
    </rPh>
    <rPh sb="9" eb="10">
      <t>カイ</t>
    </rPh>
    <phoneticPr fontId="7"/>
  </si>
  <si>
    <t>日生協5月14号西日本①</t>
    <rPh sb="0" eb="3">
      <t>ニッセイキョウ</t>
    </rPh>
    <rPh sb="4" eb="5">
      <t>ガツ</t>
    </rPh>
    <rPh sb="7" eb="8">
      <t>ゴウ</t>
    </rPh>
    <rPh sb="8" eb="11">
      <t>ニシニホン</t>
    </rPh>
    <phoneticPr fontId="7"/>
  </si>
  <si>
    <t>ディノス24盛夏号2色組④</t>
    <rPh sb="6" eb="9">
      <t>セイカゴウ</t>
    </rPh>
    <rPh sb="10" eb="12">
      <t>ショククミ</t>
    </rPh>
    <phoneticPr fontId="7"/>
  </si>
  <si>
    <t>ベルーナ24盛夏号単品⑥</t>
    <rPh sb="6" eb="9">
      <t>セイカゴウ</t>
    </rPh>
    <rPh sb="9" eb="11">
      <t>タンピン</t>
    </rPh>
    <phoneticPr fontId="7"/>
  </si>
  <si>
    <t>ベルーナ23盛夏号単品差分予測</t>
    <rPh sb="6" eb="9">
      <t>セイカゴウ</t>
    </rPh>
    <rPh sb="9" eb="11">
      <t>タンピン</t>
    </rPh>
    <rPh sb="11" eb="15">
      <t>サブンヨソク</t>
    </rPh>
    <phoneticPr fontId="7"/>
  </si>
  <si>
    <t>6/29ship</t>
    <phoneticPr fontId="7"/>
  </si>
  <si>
    <t>追加  3-3</t>
    <rPh sb="0" eb="2">
      <t>ツイカ</t>
    </rPh>
    <phoneticPr fontId="2"/>
  </si>
  <si>
    <t>追加  3-1</t>
    <rPh sb="0" eb="2">
      <t>ツイカ</t>
    </rPh>
    <phoneticPr fontId="2"/>
  </si>
  <si>
    <t>追加４　3-2</t>
    <rPh sb="0" eb="2">
      <t>ツイカ</t>
    </rPh>
    <phoneticPr fontId="2"/>
  </si>
  <si>
    <t>西夢</t>
    <rPh sb="0" eb="2">
      <t>ニシユメ</t>
    </rPh>
    <phoneticPr fontId="7"/>
  </si>
  <si>
    <t>JOD①</t>
    <phoneticPr fontId="7"/>
  </si>
  <si>
    <t>日生協5月14号直送②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</si>
  <si>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>日生協5月14号西日本②</t>
    <rPh sb="0" eb="3">
      <t>ニッセイキョウ</t>
    </rPh>
    <rPh sb="4" eb="5">
      <t>ガツ</t>
    </rPh>
    <rPh sb="7" eb="8">
      <t>ゴウ</t>
    </rPh>
    <rPh sb="8" eb="11">
      <t>ニシニホン</t>
    </rPh>
    <phoneticPr fontId="7"/>
  </si>
  <si>
    <t>ロイヤルステージ7月号</t>
    <rPh sb="9" eb="11">
      <t>ガツゴウ</t>
    </rPh>
    <phoneticPr fontId="7"/>
  </si>
  <si>
    <t>7/4～</t>
    <phoneticPr fontId="7"/>
  </si>
  <si>
    <t>Amazon</t>
    <phoneticPr fontId="7"/>
  </si>
  <si>
    <t>日生協5月14号直送①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</si>
  <si>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>JOD②</t>
    <phoneticPr fontId="7"/>
  </si>
  <si>
    <t>日生協5月14号直送③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</si>
  <si>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>2024/6/10伝数</t>
    <rPh sb="9" eb="10">
      <t>デン</t>
    </rPh>
    <rPh sb="10" eb="11">
      <t>スウ</t>
    </rPh>
    <phoneticPr fontId="7"/>
  </si>
  <si>
    <t>日生協5月14号直送④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</si>
  <si>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>コープきんき6月3回②</t>
    <rPh sb="7" eb="8">
      <t>ガツ</t>
    </rPh>
    <rPh sb="9" eb="10">
      <t>カイ</t>
    </rPh>
    <phoneticPr fontId="7"/>
  </si>
  <si>
    <t>日生協5月14号東日本②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</si>
  <si>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JOD③</t>
    <phoneticPr fontId="7"/>
  </si>
  <si>
    <t>JOD④</t>
    <phoneticPr fontId="7"/>
  </si>
  <si>
    <t>コープきんき6月3回③</t>
    <rPh sb="7" eb="8">
      <t>ガツ</t>
    </rPh>
    <rPh sb="9" eb="10">
      <t>カイ</t>
    </rPh>
    <phoneticPr fontId="7"/>
  </si>
  <si>
    <t>日生協5月14号東日本③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</si>
  <si>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追加４ 過不足分</t>
    <rPh sb="0" eb="2">
      <t>ツイカ</t>
    </rPh>
    <rPh sb="4" eb="7">
      <t>カブソク</t>
    </rPh>
    <rPh sb="5" eb="8">
      <t>フソクブン</t>
    </rPh>
    <phoneticPr fontId="2"/>
  </si>
  <si>
    <t>JOD⑤</t>
    <phoneticPr fontId="7"/>
  </si>
  <si>
    <t>日生協5月14号東日本④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</si>
  <si>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Amazon</t>
    <phoneticPr fontId="7"/>
  </si>
  <si>
    <t>Ｋ－ＰＯＲＴ</t>
    <phoneticPr fontId="7"/>
  </si>
  <si>
    <t>夢販</t>
    <rPh sb="0" eb="2">
      <t>ユメハン</t>
    </rPh>
    <phoneticPr fontId="7"/>
  </si>
  <si>
    <t>JOD⑥</t>
    <phoneticPr fontId="7"/>
  </si>
  <si>
    <t>ロイヤルステージ返品</t>
    <rPh sb="8" eb="10">
      <t>ヘンピン</t>
    </rPh>
    <phoneticPr fontId="2"/>
  </si>
  <si>
    <t>JOD⑦</t>
    <phoneticPr fontId="7"/>
  </si>
  <si>
    <t>JODアクセス7003/2色組</t>
    <rPh sb="13" eb="15">
      <t>ショククミ</t>
    </rPh>
    <phoneticPr fontId="7"/>
  </si>
  <si>
    <t>8/17～</t>
    <phoneticPr fontId="7"/>
  </si>
  <si>
    <t>JOD⑧</t>
    <phoneticPr fontId="7"/>
  </si>
  <si>
    <t>村田さん</t>
    <rPh sb="0" eb="2">
      <t>ムラタ</t>
    </rPh>
    <phoneticPr fontId="7"/>
  </si>
  <si>
    <t>サンプル商品化</t>
    <rPh sb="4" eb="7">
      <t>ショウヒンカ</t>
    </rPh>
    <phoneticPr fontId="2"/>
  </si>
  <si>
    <t>在庫確認</t>
    <rPh sb="0" eb="4">
      <t>ザイコカクニン</t>
    </rPh>
    <phoneticPr fontId="2"/>
  </si>
  <si>
    <t>ロイヤルステージ7月号①</t>
    <rPh sb="9" eb="11">
      <t>ガツゴウ</t>
    </rPh>
    <phoneticPr fontId="7"/>
  </si>
  <si>
    <t>Amazon</t>
    <phoneticPr fontId="7"/>
  </si>
  <si>
    <t xml:space="preserve"> </t>
    <phoneticPr fontId="7"/>
  </si>
  <si>
    <t>コープきんき7月4回①</t>
    <rPh sb="7" eb="8">
      <t>ガツ</t>
    </rPh>
    <rPh sb="9" eb="10">
      <t>カイ</t>
    </rPh>
    <phoneticPr fontId="7"/>
  </si>
  <si>
    <t>オバタ返品</t>
    <rPh sb="3" eb="5">
      <t>ヘンピン</t>
    </rPh>
    <phoneticPr fontId="2"/>
  </si>
  <si>
    <t>西夢取り置き</t>
    <rPh sb="0" eb="3">
      <t>ニシユメト</t>
    </rPh>
    <rPh sb="4" eb="5">
      <t>オ</t>
    </rPh>
    <phoneticPr fontId="7"/>
  </si>
  <si>
    <t>gf.p6月号②</t>
    <rPh sb="5" eb="7">
      <t>ガツゴウ</t>
    </rPh>
    <phoneticPr fontId="7"/>
  </si>
  <si>
    <t>JOD返品</t>
    <rPh sb="3" eb="5">
      <t>ヘンピン</t>
    </rPh>
    <phoneticPr fontId="2"/>
  </si>
  <si>
    <t>2024/7/6伝数</t>
    <rPh sb="8" eb="10">
      <t>デンスウ</t>
    </rPh>
    <phoneticPr fontId="7"/>
  </si>
  <si>
    <t>JOD⑨</t>
    <phoneticPr fontId="7"/>
  </si>
  <si>
    <t>ロイヤルステージ7月号②</t>
    <rPh sb="9" eb="11">
      <t>ガツゴウ</t>
    </rPh>
    <phoneticPr fontId="7"/>
  </si>
  <si>
    <t>JOD⑩</t>
    <phoneticPr fontId="7"/>
  </si>
  <si>
    <t>西夢</t>
    <rPh sb="0" eb="2">
      <t>ニシユメ</t>
    </rPh>
    <phoneticPr fontId="7"/>
  </si>
  <si>
    <t>JOD⑪</t>
    <phoneticPr fontId="7"/>
  </si>
  <si>
    <t>JOD⑫</t>
    <phoneticPr fontId="7"/>
  </si>
  <si>
    <t>ロイヤルステージ返品</t>
    <rPh sb="8" eb="10">
      <t>ヘンピン</t>
    </rPh>
    <phoneticPr fontId="7"/>
  </si>
  <si>
    <t>コープきんき7月4回②</t>
    <rPh sb="7" eb="8">
      <t>ガツ</t>
    </rPh>
    <rPh sb="9" eb="10">
      <t>カイ</t>
    </rPh>
    <phoneticPr fontId="7"/>
  </si>
  <si>
    <t>ディノス24盛夏号2色組⑤</t>
    <rPh sb="6" eb="9">
      <t>セイカゴウ</t>
    </rPh>
    <rPh sb="10" eb="12">
      <t>ショククミ</t>
    </rPh>
    <phoneticPr fontId="7"/>
  </si>
  <si>
    <t>ディノス24盛夏号2色組⑥</t>
    <rPh sb="6" eb="9">
      <t>セイカゴウ</t>
    </rPh>
    <rPh sb="10" eb="12">
      <t>ショククミ</t>
    </rPh>
    <phoneticPr fontId="7"/>
  </si>
  <si>
    <t>コープきんき7月4回③</t>
    <rPh sb="7" eb="8">
      <t>ガツ</t>
    </rPh>
    <rPh sb="9" eb="10">
      <t>カイ</t>
    </rPh>
    <phoneticPr fontId="7"/>
  </si>
  <si>
    <t>ベルーナ24盛夏号単品⑦</t>
    <rPh sb="6" eb="9">
      <t>セイカゴウ</t>
    </rPh>
    <rPh sb="9" eb="11">
      <t>タンピン</t>
    </rPh>
    <phoneticPr fontId="7"/>
  </si>
  <si>
    <t>追加</t>
    <rPh sb="0" eb="2">
      <t>ツイカ</t>
    </rPh>
    <phoneticPr fontId="7"/>
  </si>
  <si>
    <t>K-PORT</t>
    <phoneticPr fontId="7"/>
  </si>
  <si>
    <t>ディノス24夏休みリーフレット2色組①</t>
    <rPh sb="6" eb="7">
      <t>ナツ</t>
    </rPh>
    <rPh sb="7" eb="8">
      <t>ヤス</t>
    </rPh>
    <rPh sb="16" eb="18">
      <t>ショククミ</t>
    </rPh>
    <phoneticPr fontId="7"/>
  </si>
  <si>
    <t>ディノス24夏休みリーフレット2色組②</t>
    <rPh sb="6" eb="7">
      <t>ナツ</t>
    </rPh>
    <rPh sb="7" eb="8">
      <t>ヤス</t>
    </rPh>
    <rPh sb="16" eb="18">
      <t>ショククミ</t>
    </rPh>
    <phoneticPr fontId="7"/>
  </si>
  <si>
    <t>ベルーナ24盛夏号単品⑧</t>
    <rPh sb="6" eb="9">
      <t>セイカゴウ</t>
    </rPh>
    <rPh sb="9" eb="11">
      <t>タンピン</t>
    </rPh>
    <phoneticPr fontId="7"/>
  </si>
  <si>
    <t>JOD⑬</t>
    <phoneticPr fontId="7"/>
  </si>
  <si>
    <t>ロイヤルステージ7月号③</t>
    <rPh sb="9" eb="11">
      <t>ガツゴウ</t>
    </rPh>
    <phoneticPr fontId="7"/>
  </si>
  <si>
    <t>ロイヤルステージ7月号④</t>
    <rPh sb="9" eb="11">
      <t>ガツゴウ</t>
    </rPh>
    <phoneticPr fontId="7"/>
  </si>
  <si>
    <t>ベルーナ24盛夏号単品⑨</t>
    <rPh sb="6" eb="9">
      <t>セイカゴウ</t>
    </rPh>
    <rPh sb="9" eb="11">
      <t>タンピン</t>
    </rPh>
    <phoneticPr fontId="7"/>
  </si>
  <si>
    <t>JOD⑭</t>
    <phoneticPr fontId="7"/>
  </si>
  <si>
    <t>日生協8月25号特価￥1780東日本①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</si>
  <si>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gf.p6月号③</t>
    <rPh sb="5" eb="7">
      <t>ガツゴウ</t>
    </rPh>
    <phoneticPr fontId="7"/>
  </si>
  <si>
    <t>JOD⑮</t>
    <phoneticPr fontId="7"/>
  </si>
  <si>
    <t>牧野</t>
    <rPh sb="0" eb="2">
      <t>マキノ</t>
    </rPh>
    <phoneticPr fontId="7"/>
  </si>
  <si>
    <t>日生協8月25号特価￥1780東日本②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</si>
  <si>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gf.p6月号④</t>
    <rPh sb="5" eb="7">
      <t>ガツゴウ</t>
    </rPh>
    <phoneticPr fontId="7"/>
  </si>
  <si>
    <t>ハルメク・アルファsample</t>
    <phoneticPr fontId="7"/>
  </si>
  <si>
    <t>KPORT</t>
    <phoneticPr fontId="7"/>
  </si>
  <si>
    <t>夢販移動</t>
    <rPh sb="0" eb="4">
      <t>ユメハンイドウ</t>
    </rPh>
    <phoneticPr fontId="2"/>
  </si>
  <si>
    <t>日生協8月25号特価￥1780東日本③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</si>
  <si>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JOD⑯</t>
    <phoneticPr fontId="7"/>
  </si>
  <si>
    <t>ロイヤルステージ返品</t>
    <rPh sb="8" eb="10">
      <t>ヘンピン</t>
    </rPh>
    <phoneticPr fontId="7"/>
  </si>
  <si>
    <t>オバタ返品</t>
    <rPh sb="3" eb="5">
      <t>ヘンピン</t>
    </rPh>
    <phoneticPr fontId="7"/>
  </si>
  <si>
    <t>JOD⑰</t>
    <phoneticPr fontId="7"/>
  </si>
  <si>
    <t>くらし企画返品</t>
    <rPh sb="3" eb="7">
      <t>キカクヘンピン</t>
    </rPh>
    <phoneticPr fontId="2"/>
  </si>
  <si>
    <t>JOD⑱</t>
    <phoneticPr fontId="7"/>
  </si>
  <si>
    <t>JOD⑲</t>
    <phoneticPr fontId="7"/>
  </si>
  <si>
    <t>K-PORT</t>
    <phoneticPr fontId="7"/>
  </si>
  <si>
    <t>夢販</t>
    <rPh sb="0" eb="2">
      <t>ユメハン</t>
    </rPh>
    <phoneticPr fontId="2"/>
  </si>
  <si>
    <t>JOD⑳</t>
    <phoneticPr fontId="7"/>
  </si>
  <si>
    <t>ロイヤル返品</t>
    <rPh sb="4" eb="6">
      <t>ヘンピン</t>
    </rPh>
    <phoneticPr fontId="2"/>
  </si>
  <si>
    <t>くらし返品</t>
    <rPh sb="3" eb="5">
      <t>ヘンピン</t>
    </rPh>
    <phoneticPr fontId="2"/>
  </si>
  <si>
    <t>Amazon</t>
    <phoneticPr fontId="7"/>
  </si>
  <si>
    <t>西夢</t>
    <rPh sb="0" eb="2">
      <t>ニシユメ</t>
    </rPh>
    <phoneticPr fontId="7"/>
  </si>
  <si>
    <t>電話注文</t>
    <rPh sb="0" eb="4">
      <t>デンワチュウモン</t>
    </rPh>
    <phoneticPr fontId="7"/>
  </si>
  <si>
    <t>西夢</t>
    <rPh sb="0" eb="2">
      <t>ニシユメ</t>
    </rPh>
    <phoneticPr fontId="7"/>
  </si>
  <si>
    <t>Amazon</t>
    <phoneticPr fontId="7"/>
  </si>
  <si>
    <t>Amazon</t>
    <phoneticPr fontId="7"/>
  </si>
  <si>
    <t>ネット返品</t>
    <rPh sb="3" eb="5">
      <t>ヘンピン</t>
    </rPh>
    <phoneticPr fontId="7"/>
  </si>
  <si>
    <t>事前4/22～、受注5/12～</t>
    <rPh sb="0" eb="2">
      <t>ジゼン</t>
    </rPh>
    <rPh sb="8" eb="10">
      <t>ジュチュウ</t>
    </rPh>
    <phoneticPr fontId="7"/>
  </si>
  <si>
    <t>ベルーナ返品</t>
    <rPh sb="4" eb="6">
      <t>ヘンピン</t>
    </rPh>
    <phoneticPr fontId="2"/>
  </si>
  <si>
    <t>西夢</t>
    <rPh sb="0" eb="1">
      <t>ニシ</t>
    </rPh>
    <rPh sb="1" eb="2">
      <t>ユメ</t>
    </rPh>
    <phoneticPr fontId="7"/>
  </si>
  <si>
    <t>K-PORT</t>
    <phoneticPr fontId="7"/>
  </si>
  <si>
    <t>3/31～7/26(展開開始3週間前に計画数の30％納品)</t>
    <rPh sb="10" eb="14">
      <t>テンカイカイシ</t>
    </rPh>
    <rPh sb="15" eb="18">
      <t>シュウカンマエ</t>
    </rPh>
    <rPh sb="19" eb="22">
      <t>ケイカクスウ</t>
    </rPh>
    <rPh sb="26" eb="28">
      <t>ノウヒン</t>
    </rPh>
    <phoneticPr fontId="7"/>
  </si>
  <si>
    <t>くらし事前検査用</t>
    <rPh sb="3" eb="8">
      <t>ジゼンケンサヨウ</t>
    </rPh>
    <phoneticPr fontId="7"/>
  </si>
  <si>
    <t>日生協カタログ同梱差分予測</t>
    <rPh sb="0" eb="3">
      <t>ニッセイキョウ</t>
    </rPh>
    <rPh sb="7" eb="9">
      <t>ドウコン</t>
    </rPh>
    <rPh sb="9" eb="13">
      <t>サブンヨソク</t>
    </rPh>
    <phoneticPr fontId="7"/>
  </si>
  <si>
    <t>4/1～6/30</t>
    <phoneticPr fontId="7"/>
  </si>
  <si>
    <t>ことせ健康と暮らし2482号2色組差分予測</t>
    <rPh sb="3" eb="5">
      <t>ケンコウ</t>
    </rPh>
    <rPh sb="6" eb="7">
      <t>ク</t>
    </rPh>
    <rPh sb="13" eb="14">
      <t>ゴウ</t>
    </rPh>
    <rPh sb="15" eb="17">
      <t>ショククミ</t>
    </rPh>
    <rPh sb="17" eb="21">
      <t>サブンヨソク</t>
    </rPh>
    <phoneticPr fontId="7"/>
  </si>
  <si>
    <t>ディノス25盛夏号2色組差分予測</t>
    <rPh sb="6" eb="8">
      <t>セイカ</t>
    </rPh>
    <rPh sb="8" eb="9">
      <t>ゴウ</t>
    </rPh>
    <rPh sb="10" eb="12">
      <t>ショククミ</t>
    </rPh>
    <rPh sb="12" eb="16">
      <t>サブンヨソク</t>
    </rPh>
    <phoneticPr fontId="7"/>
  </si>
  <si>
    <t>追加</t>
    <rPh sb="0" eb="2">
      <t>ツイカ</t>
    </rPh>
    <phoneticPr fontId="7"/>
  </si>
  <si>
    <t>4/23、28</t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</si>
  <si>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2枚組①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</si>
  <si>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点5/2、アバウト5/20、本5/20～26</t>
    <rPh sb="0" eb="1">
      <t>テン</t>
    </rPh>
    <rPh sb="14" eb="15">
      <t>ホン</t>
    </rPh>
    <phoneticPr fontId="7"/>
  </si>
  <si>
    <t>コープきんき5月4回差分予測</t>
    <rPh sb="7" eb="8">
      <t>ガツ</t>
    </rPh>
    <rPh sb="9" eb="10">
      <t>カイ</t>
    </rPh>
    <rPh sb="10" eb="14">
      <t>サブンヨソク</t>
    </rPh>
    <phoneticPr fontId="7"/>
  </si>
  <si>
    <t>コープきんき5月4回￥1880</t>
    <rPh sb="7" eb="8">
      <t>ガツ</t>
    </rPh>
    <rPh sb="9" eb="10">
      <t>カイ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</si>
  <si>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①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</si>
  <si>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ここから２０２５年～フィットブラ付きハイネックノースリーブ＠650</t>
    <rPh sb="8" eb="9">
      <t>ネン</t>
    </rPh>
    <rPh sb="16" eb="17">
      <t>ツ</t>
    </rPh>
    <phoneticPr fontId="7"/>
  </si>
  <si>
    <t>ディノス返品返品</t>
    <rPh sb="4" eb="6">
      <t>ヘンピン</t>
    </rPh>
    <rPh sb="6" eb="8">
      <t>ヘンピン</t>
    </rPh>
    <phoneticPr fontId="2"/>
  </si>
  <si>
    <t>ハルメクアルファsample返却</t>
    <rPh sb="14" eb="16">
      <t>ヘンキャク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</si>
  <si>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2色組②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</si>
  <si>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西夢</t>
    <rPh sb="0" eb="2">
      <t>ニシユメ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</si>
  <si>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2色組③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</si>
  <si>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西夢</t>
    <rPh sb="0" eb="2">
      <t>ニシユメ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</si>
  <si>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2色組④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</si>
  <si>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コープきんき5月4回￥1880①</t>
    <rPh sb="7" eb="8">
      <t>ガツ</t>
    </rPh>
    <rPh sb="9" eb="10">
      <t>カイ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</si>
  <si>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①</t>
    </r>
    <rPh sb="6" eb="8">
      <t>セイカ</t>
    </rPh>
    <rPh sb="8" eb="9">
      <t>ゴウ</t>
    </rPh>
    <rPh sb="10" eb="12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</si>
  <si>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</si>
  <si>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2色組⑤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</si>
  <si>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</si>
  <si>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JODアクセス7010/2色組</t>
    <rPh sb="13" eb="15">
      <t>ショククミ</t>
    </rPh>
    <phoneticPr fontId="7"/>
  </si>
  <si>
    <t>7/10～</t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</si>
  <si>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2色組⑥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</si>
  <si>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コープきんき7月4回　企画差分予測</t>
    <rPh sb="7" eb="8">
      <t>ガツ</t>
    </rPh>
    <rPh sb="9" eb="10">
      <t>カイ</t>
    </rPh>
    <rPh sb="11" eb="13">
      <t>キカク</t>
    </rPh>
    <rPh sb="13" eb="17">
      <t>サブンヨソク</t>
    </rPh>
    <phoneticPr fontId="7"/>
  </si>
  <si>
    <t>点7/3　アバウト7/15　発注7/15～21</t>
    <rPh sb="0" eb="1">
      <t>テン</t>
    </rPh>
    <rPh sb="14" eb="16">
      <t>ハッチュウ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</si>
  <si>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2色組⑦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</si>
  <si>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コープきんき5月4回￥1880②</t>
    <rPh sb="7" eb="8">
      <t>ガツ</t>
    </rPh>
    <rPh sb="9" eb="10">
      <t>カイ</t>
    </rPh>
    <phoneticPr fontId="7"/>
  </si>
  <si>
    <t>コープきんき7月4回　企画特価￥1680</t>
    <rPh sb="7" eb="8">
      <t>ガツ</t>
    </rPh>
    <rPh sb="9" eb="10">
      <t>カイ</t>
    </rPh>
    <rPh sb="11" eb="13">
      <t>キカク</t>
    </rPh>
    <rPh sb="13" eb="15">
      <t>トッカ</t>
    </rPh>
    <phoneticPr fontId="7"/>
  </si>
  <si>
    <t>コープきんき5月4回￥1880③</t>
    <rPh sb="7" eb="8">
      <t>ガツ</t>
    </rPh>
    <rPh sb="9" eb="10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</si>
  <si>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</si>
  <si>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2色組⑧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</si>
  <si>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</si>
  <si>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</si>
  <si>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</si>
  <si>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</si>
  <si>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2色組⑨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</si>
  <si>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西夢</t>
    <rPh sb="0" eb="2">
      <t>ニシユメ</t>
    </rPh>
    <phoneticPr fontId="7"/>
  </si>
  <si>
    <t>コープきんき7月4回　企画特価￥1680①</t>
    <rPh sb="7" eb="8">
      <t>ガツ</t>
    </rPh>
    <rPh sb="9" eb="10">
      <t>カイ</t>
    </rPh>
    <rPh sb="11" eb="13">
      <t>キカク</t>
    </rPh>
    <rPh sb="13" eb="15">
      <t>トッカ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</si>
  <si>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2色組⑩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</si>
  <si>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</si>
  <si>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</si>
  <si>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Ph sb="6" eb="8">
      <t>セイカ</t>
    </rPh>
    <rPh sb="8" eb="9">
      <t>ゴウ</t>
    </rPh>
    <rPh sb="10" eb="12">
      <t>ショククミ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</si>
  <si>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2色組⑪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</si>
  <si>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2色組⑫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</si>
  <si>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r>
      <t>ことせ健康と暮らし2482号</t>
    </r>
    <r>
      <rPr>
        <b/>
        <sz val="11"/>
        <rFont val="ＭＳ Ｐゴシック"/>
        <family val="3"/>
        <charset val="128"/>
      </rPr>
      <t>2色組⑬</t>
    </r>
    <rPh sb="3" eb="5">
      <t>ケンコウ</t>
    </rPh>
    <rPh sb="6" eb="7">
      <t>ク</t>
    </rPh>
    <rPh sb="13" eb="14">
      <t>ゴウ</t>
    </rPh>
    <rPh sb="15" eb="17">
      <t>ショククミ</t>
    </rPh>
    <phoneticPr fontId="7"/>
  </si>
  <si>
    <t>くらし企画有償サンプル返却</t>
    <rPh sb="5" eb="7">
      <t>ユウショウ</t>
    </rPh>
    <rPh sb="11" eb="13">
      <t>ヘンキャク</t>
    </rPh>
    <phoneticPr fontId="2"/>
  </si>
  <si>
    <t>西夢取り置き</t>
    <rPh sb="0" eb="2">
      <t>ニシユメ</t>
    </rPh>
    <rPh sb="2" eb="3">
      <t>ト</t>
    </rPh>
    <rPh sb="4" eb="5">
      <t>オ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</si>
  <si>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</si>
  <si>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JOD</t>
    <phoneticPr fontId="7"/>
  </si>
  <si>
    <t>コープきんき7月4回　企画特価￥1680②</t>
    <rPh sb="7" eb="8">
      <t>ガツ</t>
    </rPh>
    <rPh sb="9" eb="10">
      <t>カイ</t>
    </rPh>
    <rPh sb="11" eb="13">
      <t>キカク</t>
    </rPh>
    <rPh sb="13" eb="15">
      <t>トッカ</t>
    </rPh>
    <phoneticPr fontId="7"/>
  </si>
  <si>
    <t>くらし企画返品2P</t>
    <rPh sb="3" eb="7">
      <t>キカクヘンピン</t>
    </rPh>
    <phoneticPr fontId="2"/>
  </si>
  <si>
    <t>コープきんき7月4回　企画特価￥1680③</t>
    <rPh sb="7" eb="8">
      <t>ガツ</t>
    </rPh>
    <rPh sb="9" eb="10">
      <t>カイ</t>
    </rPh>
    <rPh sb="11" eb="13">
      <t>キカク</t>
    </rPh>
    <rPh sb="13" eb="15">
      <t>トッカ</t>
    </rPh>
    <phoneticPr fontId="7"/>
  </si>
  <si>
    <t>←ここまで式確認2025/7/17</t>
    <rPh sb="5" eb="8">
      <t>シキカクニン</t>
    </rPh>
    <phoneticPr fontId="7"/>
  </si>
  <si>
    <t>JOD</t>
    <phoneticPr fontId="7"/>
  </si>
  <si>
    <t>コープきんき7月4回　企画特価￥1680④</t>
    <rPh sb="7" eb="8">
      <t>ガツ</t>
    </rPh>
    <rPh sb="9" eb="10">
      <t>カイ</t>
    </rPh>
    <rPh sb="11" eb="13">
      <t>キカク</t>
    </rPh>
    <rPh sb="13" eb="15">
      <t>トッカ</t>
    </rPh>
    <phoneticPr fontId="7"/>
  </si>
  <si>
    <t>西夢</t>
    <rPh sb="0" eb="2">
      <t>ニシユメ</t>
    </rPh>
    <phoneticPr fontId="7"/>
  </si>
  <si>
    <t>ハルメクアルファ返品</t>
    <rPh sb="8" eb="10">
      <t>ヘンピン</t>
    </rPh>
    <phoneticPr fontId="2"/>
  </si>
  <si>
    <t>K-PORT</t>
    <phoneticPr fontId="7"/>
  </si>
  <si>
    <t>実績構成比</t>
    <rPh sb="0" eb="2">
      <t>ジッセキ</t>
    </rPh>
    <rPh sb="2" eb="5">
      <t>コウセイヒ</t>
    </rPh>
    <phoneticPr fontId="7"/>
  </si>
  <si>
    <t>在庫構成比</t>
    <rPh sb="0" eb="2">
      <t>ザイコ</t>
    </rPh>
    <rPh sb="2" eb="5">
      <t>コウセイヒ</t>
    </rPh>
    <phoneticPr fontId="7"/>
  </si>
  <si>
    <t>２０２５実績数</t>
    <rPh sb="4" eb="6">
      <t>ジッセキ</t>
    </rPh>
    <rPh sb="6" eb="7">
      <t>スウ</t>
    </rPh>
    <phoneticPr fontId="7"/>
  </si>
  <si>
    <t>西夢</t>
    <rPh sb="0" eb="2">
      <t>ニシユメ</t>
    </rPh>
    <phoneticPr fontId="7"/>
  </si>
  <si>
    <t>K-PORT</t>
    <phoneticPr fontId="7"/>
  </si>
  <si>
    <t>ディノス26夏号sample</t>
    <rPh sb="6" eb="8">
      <t>ナツゴウ</t>
    </rPh>
    <phoneticPr fontId="2"/>
  </si>
  <si>
    <t>西夢</t>
    <rPh sb="0" eb="2">
      <t>ニシユメ</t>
    </rPh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</si>
  <si>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</si>
  <si>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</si>
  <si>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2026年１月～</t>
    <rPh sb="4" eb="5">
      <t>ネン</t>
    </rPh>
    <rPh sb="6" eb="7">
      <t>ガツ</t>
    </rPh>
    <phoneticPr fontId="7"/>
  </si>
  <si>
    <t>２０２５年１月～２０２５年８月末実績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phoneticPr fontId="7"/>
  </si>
  <si>
    <t>日生協カタログ/ヒットの芽26夏号差分予測</t>
    <rPh sb="0" eb="3">
      <t>ニッセイキョウ</t>
    </rPh>
    <rPh sb="12" eb="13">
      <t>メ</t>
    </rPh>
    <rPh sb="15" eb="17">
      <t>ナツゴウ</t>
    </rPh>
    <rPh sb="17" eb="21">
      <t>サブンヨソク</t>
    </rPh>
    <phoneticPr fontId="7"/>
  </si>
  <si>
    <t>くらし企画返品</t>
    <phoneticPr fontId="2"/>
  </si>
  <si>
    <t>KPORT</t>
    <phoneticPr fontId="7"/>
  </si>
  <si>
    <t>夢販</t>
    <rPh sb="0" eb="2">
      <t>y</t>
    </rPh>
    <phoneticPr fontId="7"/>
  </si>
  <si>
    <t>西夢</t>
    <rPh sb="0" eb="2">
      <t>ニシユメ</t>
    </rPh>
    <phoneticPr fontId="7"/>
  </si>
  <si>
    <t>日生協カタログ/BESTHIT26盛夏号差分予測</t>
    <rPh sb="0" eb="3">
      <t>ニッセイキョウ</t>
    </rPh>
    <rPh sb="17" eb="19">
      <t>セイカ</t>
    </rPh>
    <rPh sb="19" eb="20">
      <t>ゴウ</t>
    </rPh>
    <rPh sb="20" eb="24">
      <t>サブンヨソク</t>
    </rPh>
    <phoneticPr fontId="7"/>
  </si>
  <si>
    <t>2025年日生協カタログ　実績</t>
    <rPh sb="4" eb="5">
      <t>ネン</t>
    </rPh>
    <rPh sb="5" eb="8">
      <t>ニッセイキョウ</t>
    </rPh>
    <rPh sb="13" eb="15">
      <t>ジッセキ</t>
    </rPh>
    <phoneticPr fontId="7"/>
  </si>
  <si>
    <t>KPORT</t>
    <phoneticPr fontId="7"/>
  </si>
  <si>
    <t>3/2～6/27(展開開始3週間前に計画数の30％納品)</t>
    <rPh sb="9" eb="13">
      <t>テンカイカイシ</t>
    </rPh>
    <rPh sb="14" eb="17">
      <t>シュウカンマエ</t>
    </rPh>
    <rPh sb="18" eb="21">
      <t>ケイカクスウ</t>
    </rPh>
    <rPh sb="25" eb="27">
      <t>ノウヒン</t>
    </rPh>
    <phoneticPr fontId="7"/>
  </si>
  <si>
    <t>西夢</t>
    <rPh sb="0" eb="2">
      <t>ニシユメ</t>
    </rPh>
    <phoneticPr fontId="7"/>
  </si>
  <si>
    <t>IEI使ってヨカッタ4月号3枚組</t>
    <rPh sb="3" eb="4">
      <t>ツカ</t>
    </rPh>
    <rPh sb="11" eb="13">
      <t>ガツゴウ</t>
    </rPh>
    <rPh sb="14" eb="16">
      <t>マイクミ</t>
    </rPh>
    <phoneticPr fontId="7"/>
  </si>
  <si>
    <t>4/11～8/31</t>
    <phoneticPr fontId="7"/>
  </si>
  <si>
    <t>IEI4月号sample</t>
    <rPh sb="4" eb="6">
      <t>ガツゴウ</t>
    </rPh>
    <phoneticPr fontId="7"/>
  </si>
  <si>
    <t>追加３ 2-1</t>
    <rPh sb="0" eb="2">
      <t>ツイカ</t>
    </rPh>
    <phoneticPr fontId="2"/>
  </si>
  <si>
    <t>追加３ 2-2</t>
    <rPh sb="0" eb="2">
      <t>ツイカ</t>
    </rPh>
    <phoneticPr fontId="2"/>
  </si>
  <si>
    <t>西夢</t>
    <rPh sb="0" eb="2">
      <t>ニシユメ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</si>
  <si>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2枚組①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</si>
  <si>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JODアクセス7016/2色組</t>
    <rPh sb="13" eb="15">
      <t>ショククミ</t>
    </rPh>
    <phoneticPr fontId="7"/>
  </si>
  <si>
    <t>4/25～</t>
    <phoneticPr fontId="7"/>
  </si>
  <si>
    <t>ディノス26年盛夏号2色組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</si>
  <si>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ディノス26年盛夏号2色組差分予測</t>
    <rPh sb="6" eb="7">
      <t>ネン</t>
    </rPh>
    <rPh sb="7" eb="9">
      <t>セイカ</t>
    </rPh>
    <rPh sb="9" eb="10">
      <t>ゴウ</t>
    </rPh>
    <rPh sb="11" eb="13">
      <t>ショククミ</t>
    </rPh>
    <rPh sb="13" eb="17">
      <t>サブンヨソク</t>
    </rPh>
    <phoneticPr fontId="7"/>
  </si>
  <si>
    <t>事前搬入4/22、受注期間5/12～10/31</t>
    <rPh sb="0" eb="4">
      <t>ジゼンハンニュウ</t>
    </rPh>
    <rPh sb="9" eb="11">
      <t>ジュチュウ</t>
    </rPh>
    <rPh sb="11" eb="13">
      <t>キカン</t>
    </rPh>
    <phoneticPr fontId="7"/>
  </si>
  <si>
    <t>コープきんき5月4回</t>
    <rPh sb="7" eb="8">
      <t>ガツ</t>
    </rPh>
    <rPh sb="9" eb="10">
      <t>カイ</t>
    </rPh>
    <phoneticPr fontId="7"/>
  </si>
  <si>
    <t>6月1日～9月26日</t>
    <rPh sb="1" eb="2">
      <t>ガツ</t>
    </rPh>
    <rPh sb="3" eb="4">
      <t>ニチ</t>
    </rPh>
    <rPh sb="6" eb="7">
      <t>ガツ</t>
    </rPh>
    <rPh sb="9" eb="10">
      <t>ニチ</t>
    </rPh>
    <phoneticPr fontId="7"/>
  </si>
  <si>
    <r>
      <t>日生協カタログ/BESTHIT26盛夏号</t>
    </r>
    <r>
      <rPr>
        <b/>
        <sz val="11"/>
        <color rgb="FFFF0000"/>
        <rFont val="ＭＳ Ｐゴシック"/>
        <family val="3"/>
        <charset val="128"/>
      </rPr>
      <t>2枚組</t>
    </r>
    <r>
      <rPr>
        <sz val="11"/>
        <color rgb="FFFF0000"/>
        <rFont val="ＭＳ Ｐゴシック"/>
        <family val="3"/>
        <charset val="128"/>
      </rPr>
      <t xml:space="preserve"> 523万部</t>
    </r>
    <rPh sb="0" eb="3">
      <t>ニッセイキョウ</t>
    </rPh>
    <rPh sb="17" eb="19">
      <t>セイカ</t>
    </rPh>
    <rPh sb="19" eb="20">
      <t>ゴウ</t>
    </rPh>
    <rPh sb="27" eb="29">
      <t>マンブ</t>
    </rPh>
    <phoneticPr fontId="7"/>
  </si>
  <si>
    <t>←ここまで式確認 2026/2/24</t>
    <rPh sb="5" eb="8">
      <t>シキカクニン</t>
    </rPh>
    <phoneticPr fontId="7"/>
  </si>
  <si>
    <t>西夢</t>
    <rPh sb="0" eb="2">
      <t>ニシユメ</t>
    </rPh>
    <phoneticPr fontId="7"/>
  </si>
  <si>
    <t>点5/1　アバ5/19　5/19～25</t>
    <rPh sb="0" eb="1">
      <t>テン</t>
    </rPh>
    <phoneticPr fontId="7"/>
  </si>
  <si>
    <t>西夢</t>
    <rPh sb="0" eb="2">
      <t>ニシユメ</t>
    </rPh>
    <phoneticPr fontId="7"/>
  </si>
  <si>
    <t>IEI4月号sample返却</t>
    <rPh sb="4" eb="6">
      <t>ガツゴウ</t>
    </rPh>
    <rPh sb="12" eb="14">
      <t>ヘンキャク</t>
    </rPh>
    <phoneticPr fontId="7"/>
  </si>
  <si>
    <t>ゆめはん</t>
    <phoneticPr fontId="7"/>
  </si>
  <si>
    <t>5/13、18</t>
    <phoneticPr fontId="7"/>
  </si>
  <si>
    <t>コープさっぽろ5月3回</t>
    <rPh sb="8" eb="9">
      <t>ガツ</t>
    </rPh>
    <rPh sb="10" eb="11">
      <t>カイ</t>
    </rPh>
    <phoneticPr fontId="7"/>
  </si>
  <si>
    <t>コープさっぽろ5月3回差分予測</t>
    <rPh sb="8" eb="9">
      <t>ガツ</t>
    </rPh>
    <rPh sb="10" eb="11">
      <t>カイ</t>
    </rPh>
    <rPh sb="11" eb="15">
      <t>サブンヨソク</t>
    </rPh>
    <phoneticPr fontId="7"/>
  </si>
  <si>
    <t>サクラマチsample慶弔</t>
    <rPh sb="11" eb="13">
      <t>ケイチョウ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</si>
  <si>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</si>
  <si>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過不足分</t>
    <rPh sb="0" eb="3">
      <t>カブソク</t>
    </rPh>
    <rPh sb="3" eb="4">
      <t>ブン</t>
    </rPh>
    <phoneticPr fontId="2"/>
  </si>
  <si>
    <t>ディノス26年盛夏号2色組①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</si>
  <si>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不良</t>
    <rPh sb="0" eb="2">
      <t>フリョウ</t>
    </rPh>
    <phoneticPr fontId="7"/>
  </si>
  <si>
    <t>2026/4/14数伝</t>
    <rPh sb="9" eb="11">
      <t>スウデン</t>
    </rPh>
    <phoneticPr fontId="7"/>
  </si>
  <si>
    <t>IEI使ってヨカッタ4月号3枚組3枚①</t>
    <rPh sb="3" eb="4">
      <t>ツカ</t>
    </rPh>
    <rPh sb="11" eb="13">
      <t>ガツゴウ</t>
    </rPh>
    <rPh sb="14" eb="16">
      <t>マイクミ</t>
    </rPh>
    <rPh sb="17" eb="18">
      <t>マイ</t>
    </rPh>
    <phoneticPr fontId="7"/>
  </si>
  <si>
    <t>IEI使ってヨカッタ4月号3枚組WBB②</t>
    <rPh sb="3" eb="4">
      <t>ツカ</t>
    </rPh>
    <rPh sb="11" eb="13">
      <t>ガツゴウ</t>
    </rPh>
    <rPh sb="14" eb="16">
      <t>マイクミ</t>
    </rPh>
    <phoneticPr fontId="7"/>
  </si>
  <si>
    <t>IEI使ってヨカッタ4月号3枚組WWB③</t>
    <rPh sb="3" eb="4">
      <t>ツカ</t>
    </rPh>
    <rPh sb="11" eb="13">
      <t>ガツゴウ</t>
    </rPh>
    <rPh sb="14" eb="16">
      <t>マイクミ</t>
    </rPh>
    <phoneticPr fontId="7"/>
  </si>
  <si>
    <t>IEI使ってヨカッタ4月号3枚組WBB④</t>
    <rPh sb="3" eb="4">
      <t>ツカ</t>
    </rPh>
    <rPh sb="11" eb="13">
      <t>ガツゴウ</t>
    </rPh>
    <rPh sb="14" eb="16">
      <t>マイクミ</t>
    </rPh>
    <phoneticPr fontId="7"/>
  </si>
  <si>
    <t>IEI使ってヨカッタ4月号3枚組WWB⑤</t>
    <rPh sb="3" eb="4">
      <t>ツカ</t>
    </rPh>
    <rPh sb="11" eb="13">
      <t>ガツゴウ</t>
    </rPh>
    <rPh sb="14" eb="16">
      <t>マイクミ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</si>
  <si>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</si>
  <si>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ユーコープ7月5回差分予測</t>
    <rPh sb="6" eb="7">
      <t>ガツ</t>
    </rPh>
    <rPh sb="8" eb="9">
      <t>カイ</t>
    </rPh>
    <rPh sb="9" eb="13">
      <t>サブンヨソク</t>
    </rPh>
    <phoneticPr fontId="7"/>
  </si>
  <si>
    <t>ユーコープ7月5回（慶弔企画）</t>
    <rPh sb="6" eb="7">
      <t>ガツ</t>
    </rPh>
    <rPh sb="8" eb="9">
      <t>カイ</t>
    </rPh>
    <rPh sb="10" eb="14">
      <t>ケイチョウキカク</t>
    </rPh>
    <phoneticPr fontId="7"/>
  </si>
  <si>
    <t>コープきんき7月4回￥1680</t>
    <rPh sb="7" eb="8">
      <t>ガツ</t>
    </rPh>
    <rPh sb="9" eb="10">
      <t>カイ</t>
    </rPh>
    <phoneticPr fontId="7"/>
  </si>
  <si>
    <t>コープきんき7月4回￥1680差分予測</t>
    <rPh sb="7" eb="8">
      <t>ガツ</t>
    </rPh>
    <rPh sb="9" eb="10">
      <t>カイ</t>
    </rPh>
    <rPh sb="15" eb="19">
      <t>サブンヨソク</t>
    </rPh>
    <phoneticPr fontId="7"/>
  </si>
  <si>
    <t>西夢</t>
    <rPh sb="0" eb="2">
      <t>ニシユメ</t>
    </rPh>
    <phoneticPr fontId="7"/>
  </si>
  <si>
    <t>コープきんき20025年7月4回￥1680実績</t>
    <rPh sb="11" eb="12">
      <t>ネン</t>
    </rPh>
    <rPh sb="13" eb="14">
      <t>ガツ</t>
    </rPh>
    <rPh sb="15" eb="16">
      <t>カイ</t>
    </rPh>
    <rPh sb="21" eb="23">
      <t>ジッセキ</t>
    </rPh>
    <phoneticPr fontId="7"/>
  </si>
  <si>
    <t>IEI使ってヨカッタ4月号3枚組WBB⑥</t>
    <rPh sb="3" eb="4">
      <t>ツカ</t>
    </rPh>
    <rPh sb="11" eb="13">
      <t>ガツゴウ</t>
    </rPh>
    <rPh sb="14" eb="16">
      <t>マイクミ</t>
    </rPh>
    <phoneticPr fontId="7"/>
  </si>
  <si>
    <t>２０２５年１月～２０２６年４月末実績構成比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rPh sb="18" eb="20">
      <t>コウセイ</t>
    </rPh>
    <rPh sb="20" eb="21">
      <t>ヒ</t>
    </rPh>
    <phoneticPr fontId="7"/>
  </si>
  <si>
    <t>2025年１月～２０２６年４月末実績数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rPh sb="18" eb="19">
      <t>スウ</t>
    </rPh>
    <phoneticPr fontId="7"/>
  </si>
  <si>
    <t>実績構成比</t>
    <rPh sb="0" eb="2">
      <t>ジッセキ</t>
    </rPh>
    <rPh sb="2" eb="4">
      <t>コウセイ</t>
    </rPh>
    <rPh sb="4" eb="5">
      <t>ヒ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</si>
  <si>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</si>
  <si>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IEI使ってヨカッタ4月号3枚組WBB⑦</t>
    <rPh sb="3" eb="4">
      <t>ツカ</t>
    </rPh>
    <rPh sb="11" eb="13">
      <t>ガツゴウ</t>
    </rPh>
    <rPh sb="14" eb="16">
      <t>マイクミ</t>
    </rPh>
    <phoneticPr fontId="7"/>
  </si>
  <si>
    <t>IEI使ってヨカッタ4月号3枚組WWB⑧</t>
    <rPh sb="3" eb="4">
      <t>ツカ</t>
    </rPh>
    <rPh sb="11" eb="13">
      <t>ガツゴウ</t>
    </rPh>
    <rPh sb="14" eb="16">
      <t>マイクミ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</si>
  <si>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</si>
  <si>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JOD メルシー0603/2色組</t>
    <rPh sb="14" eb="16">
      <t>ショククミ</t>
    </rPh>
    <phoneticPr fontId="7"/>
  </si>
  <si>
    <t>6/3～</t>
    <phoneticPr fontId="7"/>
  </si>
  <si>
    <t>西夢取り置き</t>
    <rPh sb="0" eb="3">
      <t>ニシユメト</t>
    </rPh>
    <rPh sb="4" eb="5">
      <t>オ</t>
    </rPh>
    <phoneticPr fontId="7"/>
  </si>
  <si>
    <t>西夢</t>
    <rPh sb="0" eb="2">
      <t>ニシユメ</t>
    </rPh>
    <phoneticPr fontId="7"/>
  </si>
  <si>
    <t>コープきんき5月4回①</t>
    <rPh sb="7" eb="8">
      <t>ガツ</t>
    </rPh>
    <rPh sb="9" eb="10">
      <t>カイ</t>
    </rPh>
    <phoneticPr fontId="7"/>
  </si>
  <si>
    <t>ゆめはん</t>
    <phoneticPr fontId="7"/>
  </si>
  <si>
    <t>JOD</t>
    <phoneticPr fontId="7"/>
  </si>
  <si>
    <t>IEI使ってヨカッタ7月号3枚組</t>
    <rPh sb="3" eb="4">
      <t>ツカ</t>
    </rPh>
    <rPh sb="11" eb="13">
      <t>ガツゴウ</t>
    </rPh>
    <rPh sb="14" eb="16">
      <t>マイクミ</t>
    </rPh>
    <phoneticPr fontId="7"/>
  </si>
  <si>
    <t>7/11～9/30</t>
    <phoneticPr fontId="7"/>
  </si>
  <si>
    <t>IEI交換</t>
    <rPh sb="3" eb="5">
      <t>コウカン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</si>
  <si>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</si>
  <si>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コープさっぽろ5月3回①</t>
    <rPh sb="8" eb="9">
      <t>ガツ</t>
    </rPh>
    <rPh sb="10" eb="11">
      <t>カイ</t>
    </rPh>
    <phoneticPr fontId="7"/>
  </si>
  <si>
    <t>IEI交換</t>
    <rPh sb="3" eb="5">
      <t>コウカン</t>
    </rPh>
    <phoneticPr fontId="7"/>
  </si>
  <si>
    <t>IEI返品</t>
    <rPh sb="3" eb="5">
      <t>ヘンピン</t>
    </rPh>
    <phoneticPr fontId="7"/>
  </si>
  <si>
    <t>JOD 特別版0625/2色組</t>
    <rPh sb="4" eb="7">
      <t>トクベツバン</t>
    </rPh>
    <rPh sb="13" eb="15">
      <t>ショククミ</t>
    </rPh>
    <phoneticPr fontId="7"/>
  </si>
  <si>
    <t>6/24～</t>
    <phoneticPr fontId="7"/>
  </si>
  <si>
    <t>6/6ship</t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</si>
  <si>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</si>
  <si>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コープさっぽろ5月3回②</t>
    <rPh sb="8" eb="9">
      <t>ガツ</t>
    </rPh>
    <rPh sb="10" eb="11">
      <t>カイ</t>
    </rPh>
    <phoneticPr fontId="7"/>
  </si>
  <si>
    <t>点6/26、アバウト7/14、本7/14～20</t>
    <rPh sb="0" eb="1">
      <t>テン</t>
    </rPh>
    <rPh sb="15" eb="16">
      <t>ホン</t>
    </rPh>
    <phoneticPr fontId="7"/>
  </si>
  <si>
    <t>西夢</t>
    <rPh sb="0" eb="2">
      <t>ニシユメ</t>
    </rPh>
    <phoneticPr fontId="7"/>
  </si>
  <si>
    <t>コープきんき5月4回②</t>
    <rPh sb="7" eb="8">
      <t>ガツ</t>
    </rPh>
    <rPh sb="9" eb="10">
      <t>カイ</t>
    </rPh>
    <phoneticPr fontId="7"/>
  </si>
  <si>
    <t>IEI使ってヨカッタ【ベストヒットチラシ】7月号3枚組</t>
    <rPh sb="3" eb="4">
      <t>ツカ</t>
    </rPh>
    <rPh sb="22" eb="24">
      <t>ガツゴウ</t>
    </rPh>
    <rPh sb="25" eb="27">
      <t>マイクミ</t>
    </rPh>
    <phoneticPr fontId="7"/>
  </si>
  <si>
    <t>7/4～10/31</t>
    <phoneticPr fontId="7"/>
  </si>
  <si>
    <t>7/16～29</t>
    <phoneticPr fontId="7"/>
  </si>
  <si>
    <t>追加</t>
    <rPh sb="0" eb="2">
      <t>ツイカ</t>
    </rPh>
    <phoneticPr fontId="7"/>
  </si>
  <si>
    <t>IEI交換</t>
    <rPh sb="3" eb="5">
      <t>コウカン</t>
    </rPh>
    <phoneticPr fontId="7"/>
  </si>
  <si>
    <t>IEI使ってヨカッタ4月号3枚組WBB⑧</t>
    <rPh sb="3" eb="4">
      <t>ツカ</t>
    </rPh>
    <rPh sb="11" eb="13">
      <t>ガツゴウ</t>
    </rPh>
    <rPh sb="14" eb="16">
      <t>マイクミ</t>
    </rPh>
    <phoneticPr fontId="7"/>
  </si>
  <si>
    <t>コープきんき5月4回③</t>
    <rPh sb="7" eb="8">
      <t>ガツ</t>
    </rPh>
    <rPh sb="9" eb="10">
      <t>カイ</t>
    </rPh>
    <phoneticPr fontId="7"/>
  </si>
  <si>
    <t>IEI使ってヨカッタ8月号3枚組</t>
    <rPh sb="3" eb="4">
      <t>ツカ</t>
    </rPh>
    <rPh sb="11" eb="13">
      <t>ガツゴウ</t>
    </rPh>
    <rPh sb="14" eb="16">
      <t>マイクミ</t>
    </rPh>
    <phoneticPr fontId="7"/>
  </si>
  <si>
    <t>8/1～9/30</t>
    <phoneticPr fontId="7"/>
  </si>
  <si>
    <t>コープきんき5月4回④</t>
    <rPh sb="7" eb="8">
      <t>ガツ</t>
    </rPh>
    <rPh sb="9" eb="10">
      <t>カイ</t>
    </rPh>
    <phoneticPr fontId="7"/>
  </si>
  <si>
    <t>ゆめはん</t>
    <phoneticPr fontId="7"/>
  </si>
  <si>
    <t>IEI使ってヨカッタ4月号3枚組3枚②</t>
    <rPh sb="3" eb="4">
      <t>ツカ</t>
    </rPh>
    <rPh sb="11" eb="13">
      <t>ガツゴウ</t>
    </rPh>
    <rPh sb="14" eb="16">
      <t>マイクミ</t>
    </rPh>
    <rPh sb="17" eb="18">
      <t>マイ</t>
    </rPh>
    <phoneticPr fontId="7"/>
  </si>
  <si>
    <t>IEI使ってヨカッタ4月号3枚組WBB⑨</t>
    <rPh sb="3" eb="4">
      <t>ツカ</t>
    </rPh>
    <rPh sb="11" eb="13">
      <t>ガツゴウ</t>
    </rPh>
    <rPh sb="14" eb="16">
      <t>マイクミ</t>
    </rPh>
    <phoneticPr fontId="7"/>
  </si>
  <si>
    <t>IEI使ってヨカッタ4月号3枚組WWB⑨</t>
    <rPh sb="3" eb="4">
      <t>ツカ</t>
    </rPh>
    <rPh sb="11" eb="13">
      <t>ガツゴウ</t>
    </rPh>
    <rPh sb="14" eb="16">
      <t>マイクミ</t>
    </rPh>
    <phoneticPr fontId="7"/>
  </si>
  <si>
    <t>コープきんき5月4回⑤直送</t>
    <rPh sb="7" eb="8">
      <t>ガツ</t>
    </rPh>
    <rPh sb="9" eb="10">
      <t>カイ</t>
    </rPh>
    <rPh sb="11" eb="13">
      <t>チョクソウ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</si>
  <si>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</si>
  <si>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追加４先入れ分</t>
    <rPh sb="0" eb="2">
      <t>ツイカ</t>
    </rPh>
    <rPh sb="3" eb="5">
      <t>サキイ</t>
    </rPh>
    <rPh sb="6" eb="7">
      <t>ブン</t>
    </rPh>
    <phoneticPr fontId="2"/>
  </si>
  <si>
    <t>JOD</t>
    <phoneticPr fontId="7"/>
  </si>
  <si>
    <t>西夢取り置き</t>
    <rPh sb="0" eb="3">
      <t>ニシユメト</t>
    </rPh>
    <rPh sb="4" eb="5">
      <t>オ</t>
    </rPh>
    <phoneticPr fontId="7"/>
  </si>
  <si>
    <t>ディノス26年盛夏号2色組②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</si>
  <si>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r>
      <t>日生協カタログ/ヒットの芽26夏号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12" eb="13">
      <t>メ</t>
    </rPh>
    <rPh sb="15" eb="17">
      <t>ナツゴウ</t>
    </rPh>
    <rPh sb="18" eb="20">
      <t>マイクミ</t>
    </rPh>
    <phoneticPr fontId="7"/>
  </si>
  <si>
    <t>ゆめはん</t>
    <phoneticPr fontId="7"/>
  </si>
  <si>
    <t>2026/6/3数伝</t>
    <rPh sb="8" eb="10">
      <t>スウデン</t>
    </rPh>
    <phoneticPr fontId="7"/>
  </si>
  <si>
    <t>IEI交換</t>
    <rPh sb="3" eb="5">
      <t>コウカン</t>
    </rPh>
    <phoneticPr fontId="7"/>
  </si>
  <si>
    <t>JOD</t>
    <phoneticPr fontId="7"/>
  </si>
  <si>
    <t>ゆめはん</t>
    <phoneticPr fontId="7"/>
  </si>
  <si>
    <r>
      <t>日生協カタログ/BESTHIT26盛夏号</t>
    </r>
    <r>
      <rPr>
        <b/>
        <sz val="11"/>
        <color rgb="FFFF0000"/>
        <rFont val="ＭＳ Ｐゴシック"/>
        <family val="3"/>
        <charset val="128"/>
      </rPr>
      <t>2枚組</t>
    </r>
    <r>
      <rPr>
        <sz val="11"/>
        <color rgb="FFFF0000"/>
        <rFont val="ＭＳ Ｐゴシック"/>
        <family val="3"/>
        <charset val="128"/>
      </rPr>
      <t xml:space="preserve"> 523万部③</t>
    </r>
    <rPh sb="0" eb="3">
      <t>ニッセイキョウ</t>
    </rPh>
    <rPh sb="17" eb="19">
      <t>セイカ</t>
    </rPh>
    <rPh sb="19" eb="20">
      <t>ゴウ</t>
    </rPh>
    <rPh sb="27" eb="29">
      <t>マンブ</t>
    </rPh>
    <phoneticPr fontId="7"/>
  </si>
  <si>
    <r>
      <t>日生協カタログ/BESTHIT26盛夏号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 xml:space="preserve"> 523万部①</t>
    </r>
    <rPh sb="0" eb="3">
      <t>ニッセイキョウ</t>
    </rPh>
    <rPh sb="17" eb="19">
      <t>セイカ</t>
    </rPh>
    <rPh sb="19" eb="20">
      <t>ゴウ</t>
    </rPh>
    <rPh sb="27" eb="29">
      <t>マンブ</t>
    </rPh>
    <phoneticPr fontId="7"/>
  </si>
  <si>
    <t>JOD特別版0724/2色組</t>
    <rPh sb="3" eb="6">
      <t>トクベツバン</t>
    </rPh>
    <rPh sb="12" eb="13">
      <t>ショク</t>
    </rPh>
    <rPh sb="13" eb="14">
      <t>クミ</t>
    </rPh>
    <phoneticPr fontId="7"/>
  </si>
  <si>
    <t>7/23～</t>
    <phoneticPr fontId="7"/>
  </si>
  <si>
    <r>
      <t>日生協カタログ/BESTHIT26盛夏号</t>
    </r>
    <r>
      <rPr>
        <b/>
        <sz val="11"/>
        <color rgb="FFFF0000"/>
        <rFont val="ＭＳ Ｐゴシック"/>
        <family val="3"/>
        <charset val="128"/>
      </rPr>
      <t>2枚組</t>
    </r>
    <r>
      <rPr>
        <sz val="11"/>
        <color rgb="FFFF0000"/>
        <rFont val="ＭＳ Ｐゴシック"/>
        <family val="3"/>
        <charset val="128"/>
      </rPr>
      <t xml:space="preserve"> 523万部④</t>
    </r>
    <rPh sb="0" eb="3">
      <t>ニッセイキョウ</t>
    </rPh>
    <rPh sb="17" eb="19">
      <t>セイカ</t>
    </rPh>
    <rPh sb="19" eb="20">
      <t>ゴウ</t>
    </rPh>
    <rPh sb="27" eb="29">
      <t>マンブ</t>
    </rPh>
    <phoneticPr fontId="7"/>
  </si>
  <si>
    <t>6/？？？</t>
    <phoneticPr fontId="7"/>
  </si>
  <si>
    <r>
      <t>日生協カタログ/BESTHIT26盛夏号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 xml:space="preserve"> 523万部②</t>
    </r>
    <rPh sb="0" eb="3">
      <t>ニッセイキョウ</t>
    </rPh>
    <rPh sb="17" eb="19">
      <t>セイカ</t>
    </rPh>
    <rPh sb="19" eb="20">
      <t>ゴウ</t>
    </rPh>
    <rPh sb="27" eb="29">
      <t>マンブ</t>
    </rPh>
    <phoneticPr fontId="7"/>
  </si>
  <si>
    <t>7/4ship</t>
    <phoneticPr fontId="7"/>
  </si>
  <si>
    <t>7/18ship</t>
    <phoneticPr fontId="7"/>
  </si>
  <si>
    <t>ゆめはん</t>
    <phoneticPr fontId="7"/>
  </si>
  <si>
    <t>JOD</t>
    <phoneticPr fontId="7"/>
  </si>
  <si>
    <t>ネット</t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</si>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</sst>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2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7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5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6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1" xfId="1" applyBorder="1"/>
    <xf numFmtId="0" fontId="6" fillId="0" borderId="26" xfId="1" applyFont="1" applyBorder="1" applyAlignment="1">
      <alignment horizontal="center" vertical="center"/>
    </xf>
    <xf numFmtId="0" fontId="1" fillId="0" borderId="32" xfId="1" applyBorder="1"/>
    <xf numFmtId="0" fontId="8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3" xfId="1" applyBorder="1"/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0" fontId="9" fillId="0" borderId="0" xfId="0" applyFont="1">
      <alignment vertical="center"/>
    </xf>
    <xf numFmtId="0" fontId="6" fillId="0" borderId="0" xfId="1" applyFont="1"/>
    <xf numFmtId="0" fontId="1" fillId="3" borderId="22" xfId="1" applyFill="1" applyBorder="1"/>
    <xf numFmtId="0" fontId="1" fillId="3" borderId="5" xfId="1" applyFill="1" applyBorder="1"/>
    <xf numFmtId="0" fontId="1" fillId="3" borderId="10" xfId="1" applyFill="1" applyBorder="1"/>
    <xf numFmtId="0" fontId="1" fillId="3" borderId="34" xfId="1" applyFill="1" applyBorder="1"/>
    <xf numFmtId="0" fontId="6" fillId="3" borderId="11" xfId="1" applyFont="1" applyFill="1" applyBorder="1"/>
    <xf numFmtId="0" fontId="1" fillId="3" borderId="36" xfId="1" applyFill="1" applyBorder="1"/>
    <xf numFmtId="0" fontId="1" fillId="3" borderId="11" xfId="1" applyFill="1" applyBorder="1"/>
    <xf numFmtId="0" fontId="5" fillId="3" borderId="29" xfId="1" applyFont="1" applyFill="1" applyBorder="1"/>
    <xf numFmtId="0" fontId="1" fillId="4" borderId="15" xfId="1" applyFill="1" applyBorder="1"/>
    <xf numFmtId="0" fontId="1" fillId="4" borderId="10" xfId="1" applyFill="1" applyBorder="1"/>
    <xf numFmtId="0" fontId="1" fillId="4" borderId="24" xfId="1" applyFill="1" applyBorder="1"/>
    <xf numFmtId="0" fontId="6" fillId="4" borderId="11" xfId="1" applyFont="1" applyFill="1" applyBorder="1"/>
    <xf numFmtId="0" fontId="1" fillId="4" borderId="11" xfId="1" applyFill="1" applyBorder="1"/>
    <xf numFmtId="0" fontId="5" fillId="3" borderId="33" xfId="1" applyFont="1" applyFill="1" applyBorder="1"/>
    <xf numFmtId="0" fontId="5" fillId="3" borderId="35" xfId="1" applyFont="1" applyFill="1" applyBorder="1"/>
    <xf numFmtId="0" fontId="5" fillId="3" borderId="40" xfId="1" applyFont="1" applyFill="1" applyBorder="1"/>
    <xf numFmtId="0" fontId="3" fillId="5" borderId="0" xfId="1" applyFont="1" applyFill="1"/>
    <xf numFmtId="0" fontId="1" fillId="5" borderId="0" xfId="1" applyFill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6" fillId="3" borderId="15" xfId="1" applyFont="1" applyFill="1" applyBorder="1"/>
    <xf numFmtId="0" fontId="6" fillId="4" borderId="15" xfId="1" applyFont="1" applyFill="1" applyBorder="1"/>
    <xf numFmtId="0" fontId="3" fillId="6" borderId="0" xfId="1" applyFont="1" applyFill="1"/>
    <xf numFmtId="0" fontId="1" fillId="6" borderId="0" xfId="1" applyFill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3" borderId="15" xfId="1" applyFill="1" applyBorder="1"/>
    <xf numFmtId="0" fontId="1" fillId="0" borderId="46" xfId="1" applyBorder="1"/>
    <xf numFmtId="0" fontId="1" fillId="0" borderId="47" xfId="1" applyBorder="1"/>
    <xf numFmtId="0" fontId="1" fillId="0" borderId="48" xfId="1" applyBorder="1"/>
    <xf numFmtId="0" fontId="1" fillId="4" borderId="36" xfId="1" applyFill="1" applyBorder="1"/>
    <xf numFmtId="56" fontId="1" fillId="0" borderId="49" xfId="1" applyNumberFormat="1" applyBorder="1" applyAlignment="1">
      <alignment horizontal="center" vertical="center"/>
    </xf>
    <xf numFmtId="0" fontId="1" fillId="0" borderId="50" xfId="1" applyBorder="1"/>
    <xf numFmtId="0" fontId="1" fillId="4" borderId="22" xfId="1" applyFill="1" applyBorder="1"/>
    <xf numFmtId="0" fontId="4" fillId="0" borderId="10" xfId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3" borderId="5" xfId="1" applyFont="1" applyFill="1" applyBorder="1"/>
    <xf numFmtId="0" fontId="4" fillId="4" borderId="10" xfId="1" applyFont="1" applyFill="1" applyBorder="1"/>
    <xf numFmtId="0" fontId="1" fillId="0" borderId="45" xfId="1" applyBorder="1"/>
    <xf numFmtId="56" fontId="14" fillId="0" borderId="25" xfId="1" applyNumberFormat="1" applyFont="1" applyBorder="1" applyAlignment="1">
      <alignment horizontal="center" vertical="center"/>
    </xf>
    <xf numFmtId="0" fontId="14" fillId="0" borderId="16" xfId="1" applyFont="1" applyBorder="1"/>
    <xf numFmtId="0" fontId="14" fillId="0" borderId="17" xfId="1" applyFont="1" applyBorder="1"/>
    <xf numFmtId="0" fontId="14" fillId="0" borderId="38" xfId="1" applyFont="1" applyBorder="1"/>
    <xf numFmtId="0" fontId="14" fillId="3" borderId="10" xfId="1" applyFont="1" applyFill="1" applyBorder="1"/>
    <xf numFmtId="0" fontId="14" fillId="0" borderId="19" xfId="1" applyFont="1" applyBorder="1"/>
    <xf numFmtId="0" fontId="14" fillId="0" borderId="18" xfId="1" applyFont="1" applyBorder="1"/>
    <xf numFmtId="0" fontId="14" fillId="4" borderId="10" xfId="1" applyFont="1" applyFill="1" applyBorder="1"/>
    <xf numFmtId="0" fontId="1" fillId="0" borderId="25" xfId="1" applyBorder="1" applyAlignment="1">
      <alignment horizontal="center" vertical="center"/>
    </xf>
    <xf numFmtId="0" fontId="4" fillId="0" borderId="10" xfId="1" applyFont="1" applyBorder="1" applyAlignment="1">
      <alignment horizontal="center" vertical="center" shrinkToFit="1"/>
    </xf>
    <xf numFmtId="0" fontId="4" fillId="0" borderId="23" xfId="1" applyFont="1" applyBorder="1"/>
    <xf numFmtId="0" fontId="4" fillId="0" borderId="20" xfId="1" applyFont="1" applyBorder="1"/>
    <xf numFmtId="0" fontId="4" fillId="0" borderId="21" xfId="1" applyFont="1" applyBorder="1"/>
    <xf numFmtId="0" fontId="4" fillId="0" borderId="9" xfId="1" applyFont="1" applyBorder="1"/>
    <xf numFmtId="0" fontId="4" fillId="0" borderId="45" xfId="1" applyFont="1" applyBorder="1"/>
    <xf numFmtId="0" fontId="4" fillId="0" borderId="37" xfId="1" applyFont="1" applyBorder="1"/>
    <xf numFmtId="56" fontId="9" fillId="0" borderId="0" xfId="0" applyNumberFormat="1" applyFont="1" applyAlignment="1">
      <alignment horizontal="left" vertical="center"/>
    </xf>
    <xf numFmtId="0" fontId="1" fillId="4" borderId="5" xfId="1" applyFill="1" applyBorder="1"/>
    <xf numFmtId="176" fontId="15" fillId="0" borderId="0" xfId="0" applyNumberFormat="1" applyFont="1">
      <alignment vertical="center"/>
    </xf>
    <xf numFmtId="176" fontId="16" fillId="0" borderId="0" xfId="0" applyNumberFormat="1" applyFont="1">
      <alignment vertical="center"/>
    </xf>
    <xf numFmtId="0" fontId="15" fillId="0" borderId="0" xfId="0" applyFont="1">
      <alignment vertical="center"/>
    </xf>
    <xf numFmtId="0" fontId="1" fillId="0" borderId="51" xfId="1" applyBorder="1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3" fillId="0" borderId="0" xfId="0" applyNumberFormat="1" applyFont="1" applyAlignment="1">
      <alignment horizontal="left" vertical="center"/>
    </xf>
    <xf numFmtId="0" fontId="6" fillId="0" borderId="10" xfId="1" applyFont="1" applyBorder="1" applyAlignment="1">
      <alignment horizontal="center" vertical="center" shrinkToFit="1"/>
    </xf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6" fillId="3" borderId="5" xfId="1" applyFont="1" applyFill="1" applyBorder="1"/>
    <xf numFmtId="0" fontId="6" fillId="0" borderId="9" xfId="1" applyFont="1" applyBorder="1"/>
    <xf numFmtId="0" fontId="6" fillId="4" borderId="10" xfId="1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Alignment="1">
      <alignment horizontal="right" vertical="center"/>
    </xf>
    <xf numFmtId="0" fontId="18" fillId="0" borderId="10" xfId="1" applyFont="1" applyBorder="1" applyAlignment="1">
      <alignment horizontal="center" vertical="center" shrinkToFit="1"/>
    </xf>
    <xf numFmtId="0" fontId="18" fillId="0" borderId="6" xfId="1" applyFont="1" applyBorder="1"/>
    <xf numFmtId="0" fontId="18" fillId="0" borderId="7" xfId="1" applyFont="1" applyBorder="1"/>
    <xf numFmtId="0" fontId="18" fillId="0" borderId="8" xfId="1" applyFont="1" applyBorder="1"/>
    <xf numFmtId="0" fontId="18" fillId="3" borderId="5" xfId="1" applyFont="1" applyFill="1" applyBorder="1"/>
    <xf numFmtId="0" fontId="18" fillId="0" borderId="9" xfId="1" applyFont="1" applyBorder="1"/>
    <xf numFmtId="0" fontId="18" fillId="4" borderId="10" xfId="1" applyFont="1" applyFill="1" applyBorder="1"/>
    <xf numFmtId="0" fontId="15" fillId="0" borderId="0" xfId="0" applyFont="1" applyAlignment="1">
      <alignment horizontal="left" vertical="center"/>
    </xf>
    <xf numFmtId="0" fontId="14" fillId="0" borderId="51" xfId="1" applyFont="1" applyBorder="1"/>
    <xf numFmtId="0" fontId="14" fillId="0" borderId="20" xfId="1" applyFont="1" applyBorder="1"/>
    <xf numFmtId="0" fontId="14" fillId="0" borderId="21" xfId="1" applyFont="1" applyBorder="1"/>
    <xf numFmtId="0" fontId="14" fillId="3" borderId="5" xfId="1" applyFont="1" applyFill="1" applyBorder="1"/>
    <xf numFmtId="0" fontId="14" fillId="0" borderId="23" xfId="1" applyFont="1" applyBorder="1"/>
    <xf numFmtId="0" fontId="14" fillId="4" borderId="5" xfId="1" applyFont="1" applyFill="1" applyBorder="1"/>
    <xf numFmtId="56" fontId="20" fillId="0" borderId="0" xfId="0" applyNumberFormat="1" applyFont="1">
      <alignment vertical="center"/>
    </xf>
    <xf numFmtId="0" fontId="14" fillId="0" borderId="10" xfId="1" applyFont="1" applyBorder="1" applyAlignment="1">
      <alignment horizontal="center" vertical="center" shrinkToFit="1"/>
    </xf>
    <xf numFmtId="0" fontId="14" fillId="0" borderId="6" xfId="1" applyFont="1" applyBorder="1"/>
    <xf numFmtId="0" fontId="14" fillId="0" borderId="7" xfId="1" applyFont="1" applyBorder="1"/>
    <xf numFmtId="0" fontId="14" fillId="0" borderId="8" xfId="1" applyFont="1" applyBorder="1"/>
    <xf numFmtId="0" fontId="14" fillId="0" borderId="9" xfId="1" applyFont="1" applyBorder="1"/>
    <xf numFmtId="56" fontId="20" fillId="0" borderId="0" xfId="0" applyNumberFormat="1" applyFon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176" fontId="21" fillId="0" borderId="0" xfId="0" applyNumberFormat="1" applyFont="1">
      <alignment vertical="center"/>
    </xf>
    <xf numFmtId="56" fontId="6" fillId="0" borderId="25" xfId="1" applyNumberFormat="1" applyFont="1" applyBorder="1" applyAlignment="1">
      <alignment horizontal="center" vertical="center"/>
    </xf>
    <xf numFmtId="0" fontId="6" fillId="0" borderId="37" xfId="1" applyFont="1" applyBorder="1"/>
    <xf numFmtId="0" fontId="6" fillId="3" borderId="10" xfId="1" applyFont="1" applyFill="1" applyBorder="1"/>
    <xf numFmtId="0" fontId="6" fillId="0" borderId="10" xfId="1" applyFont="1" applyBorder="1" applyAlignment="1">
      <alignment horizontal="center" vertical="center"/>
    </xf>
    <xf numFmtId="0" fontId="14" fillId="0" borderId="37" xfId="1" applyFont="1" applyBorder="1"/>
    <xf numFmtId="0" fontId="18" fillId="8" borderId="6" xfId="1" applyFont="1" applyFill="1" applyBorder="1"/>
    <xf numFmtId="0" fontId="18" fillId="8" borderId="7" xfId="1" applyFont="1" applyFill="1" applyBorder="1"/>
    <xf numFmtId="0" fontId="18" fillId="8" borderId="8" xfId="1" applyFont="1" applyFill="1" applyBorder="1"/>
    <xf numFmtId="0" fontId="6" fillId="8" borderId="6" xfId="1" applyFont="1" applyFill="1" applyBorder="1"/>
    <xf numFmtId="0" fontId="6" fillId="8" borderId="7" xfId="1" applyFont="1" applyFill="1" applyBorder="1"/>
    <xf numFmtId="0" fontId="6" fillId="8" borderId="8" xfId="1" applyFont="1" applyFill="1" applyBorder="1"/>
    <xf numFmtId="0" fontId="14" fillId="0" borderId="27" xfId="1" applyFont="1" applyBorder="1"/>
    <xf numFmtId="0" fontId="14" fillId="0" borderId="28" xfId="1" applyFont="1" applyBorder="1"/>
    <xf numFmtId="0" fontId="14" fillId="0" borderId="39" xfId="1" applyFont="1" applyBorder="1"/>
    <xf numFmtId="0" fontId="14" fillId="3" borderId="34" xfId="1" applyFont="1" applyFill="1" applyBorder="1"/>
    <xf numFmtId="0" fontId="14" fillId="0" borderId="31" xfId="1" applyFont="1" applyBorder="1"/>
    <xf numFmtId="0" fontId="14" fillId="0" borderId="32" xfId="1" applyFont="1" applyBorder="1"/>
    <xf numFmtId="0" fontId="14" fillId="4" borderId="24" xfId="1" applyFont="1" applyFill="1" applyBorder="1"/>
    <xf numFmtId="0" fontId="4" fillId="0" borderId="36" xfId="1" applyFont="1" applyBorder="1"/>
    <xf numFmtId="0" fontId="15" fillId="0" borderId="0" xfId="0" applyFont="1" applyAlignment="1">
      <alignment horizontal="right" vertical="center"/>
    </xf>
    <xf numFmtId="0" fontId="14" fillId="0" borderId="10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20" fillId="0" borderId="0" xfId="0" applyFont="1">
      <alignment vertical="center"/>
    </xf>
    <xf numFmtId="0" fontId="6" fillId="0" borderId="16" xfId="1" applyFont="1" applyBorder="1"/>
    <xf numFmtId="0" fontId="6" fillId="0" borderId="17" xfId="1" applyFont="1" applyBorder="1"/>
    <xf numFmtId="0" fontId="6" fillId="0" borderId="18" xfId="1" applyFont="1" applyBorder="1"/>
    <xf numFmtId="0" fontId="6" fillId="0" borderId="19" xfId="1" applyFont="1" applyBorder="1"/>
    <xf numFmtId="0" fontId="6" fillId="0" borderId="38" xfId="1" applyFont="1" applyBorder="1"/>
    <xf numFmtId="56" fontId="8" fillId="0" borderId="0" xfId="0" applyNumberFormat="1" applyFont="1">
      <alignment vertical="center"/>
    </xf>
    <xf numFmtId="0" fontId="6" fillId="0" borderId="5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2" borderId="52" xfId="1" applyFont="1" applyFill="1" applyBorder="1" applyAlignment="1">
      <alignment horizontal="center" vertical="center"/>
    </xf>
    <xf numFmtId="0" fontId="12" fillId="2" borderId="53" xfId="1" applyFon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7" fillId="5" borderId="0" xfId="1" applyFont="1" applyFill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58"/>
  <sheetViews>
    <sheetView tabSelected="1" topLeftCell="A742" zoomScaleNormal="100" workbookViewId="0">
      <selection activeCell="A750" sqref="A750"/>
    </sheetView>
  </sheetViews>
  <sheetFormatPr defaultRowHeight="13.5" x14ac:dyDescent="0.15"/>
  <cols>
    <col min="1" max="1" width="29.125" customWidth="1"/>
    <col min="2" max="10" width="7.5" customWidth="1"/>
    <col min="11" max="11" width="9.25" bestFit="1" customWidth="1"/>
    <col min="12" max="12" width="5.625" customWidth="1"/>
    <col min="13" max="13" width="42.625" customWidth="1"/>
    <col min="14" max="22" width="10.625" customWidth="1"/>
    <col min="23" max="23" width="10.25" style="114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66" t="s">
        <v>23</v>
      </c>
      <c r="B1" s="67"/>
      <c r="C1" s="67"/>
      <c r="D1" s="67"/>
      <c r="E1" s="67"/>
      <c r="F1" s="67"/>
      <c r="G1" s="67"/>
      <c r="H1" s="67"/>
      <c r="I1" s="67" t="s">
        <v>26</v>
      </c>
      <c r="J1" s="67"/>
      <c r="M1" s="73" t="s">
        <v>24</v>
      </c>
      <c r="N1" s="74"/>
      <c r="O1" s="74"/>
      <c r="P1" s="74"/>
      <c r="Q1" s="74"/>
      <c r="R1" s="74"/>
      <c r="S1" s="74"/>
      <c r="T1" s="74"/>
      <c r="U1" s="74"/>
      <c r="V1" s="74"/>
    </row>
    <row r="2" spans="1:44" ht="14.25" thickBot="1" x14ac:dyDescent="0.2">
      <c r="A2" s="4"/>
      <c r="B2" s="191" t="s">
        <v>21</v>
      </c>
      <c r="C2" s="192"/>
      <c r="D2" s="192"/>
      <c r="E2" s="193"/>
      <c r="F2" s="194" t="s">
        <v>18</v>
      </c>
      <c r="G2" s="195"/>
      <c r="H2" s="195"/>
      <c r="I2" s="196"/>
      <c r="J2" s="204" t="s">
        <v>1</v>
      </c>
      <c r="M2" s="4"/>
      <c r="N2" s="191" t="s">
        <v>21</v>
      </c>
      <c r="O2" s="192"/>
      <c r="P2" s="192"/>
      <c r="Q2" s="193"/>
      <c r="R2" s="194" t="s">
        <v>18</v>
      </c>
      <c r="S2" s="195"/>
      <c r="T2" s="195"/>
      <c r="U2" s="196"/>
      <c r="V2" s="204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205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205"/>
    </row>
    <row r="4" spans="1:44" ht="14.25" thickBot="1" x14ac:dyDescent="0.2">
      <c r="A4" s="75" t="s">
        <v>7</v>
      </c>
      <c r="B4" s="32">
        <v>3</v>
      </c>
      <c r="C4" s="33">
        <v>3</v>
      </c>
      <c r="D4" s="76">
        <v>3</v>
      </c>
      <c r="E4" s="77">
        <f>SUM(B4:D4)</f>
        <v>9</v>
      </c>
      <c r="F4" s="32">
        <v>3</v>
      </c>
      <c r="G4" s="33">
        <v>3</v>
      </c>
      <c r="H4" s="76">
        <v>3</v>
      </c>
      <c r="I4" s="77">
        <f>SUM(F4:H4)</f>
        <v>9</v>
      </c>
      <c r="J4" s="58">
        <f>E4+I4</f>
        <v>18</v>
      </c>
      <c r="K4" s="40">
        <v>45316</v>
      </c>
      <c r="M4" s="75" t="s">
        <v>35</v>
      </c>
      <c r="N4" s="32">
        <v>40</v>
      </c>
      <c r="O4" s="33">
        <v>40</v>
      </c>
      <c r="P4" s="76">
        <v>40</v>
      </c>
      <c r="Q4" s="77">
        <f>SUM(N4:P4)</f>
        <v>120</v>
      </c>
      <c r="R4" s="32">
        <v>40</v>
      </c>
      <c r="S4" s="33">
        <v>40</v>
      </c>
      <c r="T4" s="76">
        <v>40</v>
      </c>
      <c r="U4" s="77">
        <f>SUM(R4:T4)</f>
        <v>120</v>
      </c>
      <c r="V4" s="58">
        <f>Q4+U4</f>
        <v>240</v>
      </c>
      <c r="W4" s="108" t="s">
        <v>40</v>
      </c>
      <c r="X4" s="48"/>
    </row>
    <row r="5" spans="1:44" x14ac:dyDescent="0.15">
      <c r="A5" s="19" t="s">
        <v>37</v>
      </c>
      <c r="B5" s="32"/>
      <c r="C5" s="33">
        <v>1</v>
      </c>
      <c r="D5" s="44"/>
      <c r="E5" s="50">
        <f>SUM(B5:D5)</f>
        <v>1</v>
      </c>
      <c r="F5" s="45"/>
      <c r="G5" s="46">
        <v>1</v>
      </c>
      <c r="H5" s="47"/>
      <c r="I5" s="50">
        <f>SUM(F5:H5)</f>
        <v>1</v>
      </c>
      <c r="J5" s="58">
        <f>E5+I5</f>
        <v>2</v>
      </c>
      <c r="K5" s="40">
        <v>45307</v>
      </c>
      <c r="M5" s="19" t="s">
        <v>8</v>
      </c>
      <c r="N5" s="32">
        <v>0</v>
      </c>
      <c r="O5" s="33">
        <v>55</v>
      </c>
      <c r="P5" s="44">
        <v>26</v>
      </c>
      <c r="Q5" s="50">
        <f>SUM(N5:P5)</f>
        <v>81</v>
      </c>
      <c r="R5" s="45">
        <v>134</v>
      </c>
      <c r="S5" s="46">
        <v>46</v>
      </c>
      <c r="T5" s="47">
        <v>95</v>
      </c>
      <c r="U5" s="50">
        <f>SUM(R5:T5)</f>
        <v>275</v>
      </c>
      <c r="V5" s="58">
        <f>Q5+U5</f>
        <v>356</v>
      </c>
      <c r="W5" s="108" t="s">
        <v>49</v>
      </c>
    </row>
    <row r="6" spans="1:44" x14ac:dyDescent="0.15">
      <c r="A6" s="19" t="s">
        <v>9</v>
      </c>
      <c r="B6" s="5">
        <v>5</v>
      </c>
      <c r="C6" s="6">
        <v>5</v>
      </c>
      <c r="D6" s="14">
        <v>5</v>
      </c>
      <c r="E6" s="51">
        <f t="shared" ref="E6:E12" si="0">SUM(B6:D6)</f>
        <v>15</v>
      </c>
      <c r="F6" s="15">
        <v>5</v>
      </c>
      <c r="G6" s="13">
        <v>5</v>
      </c>
      <c r="H6" s="14">
        <v>5</v>
      </c>
      <c r="I6" s="51">
        <f t="shared" ref="I6:I12" si="1">SUM(F6:H6)</f>
        <v>15</v>
      </c>
      <c r="J6" s="59">
        <f t="shared" ref="J6:J12" si="2">E6+I6</f>
        <v>30</v>
      </c>
      <c r="K6" s="40">
        <v>45367</v>
      </c>
      <c r="M6" s="19" t="s">
        <v>36</v>
      </c>
      <c r="N6" s="5">
        <v>320</v>
      </c>
      <c r="O6" s="6">
        <v>320</v>
      </c>
      <c r="P6" s="14">
        <v>140</v>
      </c>
      <c r="Q6" s="51">
        <f t="shared" ref="Q6" si="3">SUM(N6:P6)</f>
        <v>780</v>
      </c>
      <c r="R6" s="5">
        <v>320</v>
      </c>
      <c r="S6" s="6">
        <v>320</v>
      </c>
      <c r="T6" s="14">
        <v>140</v>
      </c>
      <c r="U6" s="51">
        <f t="shared" ref="U6" si="4">SUM(R6:T6)</f>
        <v>780</v>
      </c>
      <c r="V6" s="59">
        <f t="shared" ref="V6" si="5">Q6+U6</f>
        <v>1560</v>
      </c>
      <c r="W6" s="108" t="s">
        <v>52</v>
      </c>
      <c r="X6" s="48"/>
      <c r="Y6" s="48"/>
    </row>
    <row r="7" spans="1:44" x14ac:dyDescent="0.15">
      <c r="A7" s="19" t="s">
        <v>10</v>
      </c>
      <c r="B7" s="5">
        <v>3</v>
      </c>
      <c r="C7" s="6">
        <v>3</v>
      </c>
      <c r="D7" s="7">
        <v>3</v>
      </c>
      <c r="E7" s="51">
        <f t="shared" si="0"/>
        <v>9</v>
      </c>
      <c r="F7" s="8">
        <v>3</v>
      </c>
      <c r="G7" s="6">
        <v>3</v>
      </c>
      <c r="H7" s="7">
        <v>3</v>
      </c>
      <c r="I7" s="51">
        <f t="shared" si="1"/>
        <v>9</v>
      </c>
      <c r="J7" s="59">
        <f t="shared" si="2"/>
        <v>18</v>
      </c>
      <c r="K7" s="40">
        <v>45388</v>
      </c>
      <c r="M7" s="19" t="s">
        <v>54</v>
      </c>
      <c r="N7" s="5"/>
      <c r="O7" s="6"/>
      <c r="P7" s="7">
        <v>50</v>
      </c>
      <c r="Q7" s="51">
        <f t="shared" ref="Q7" si="6">SUM(N7:P7)</f>
        <v>50</v>
      </c>
      <c r="R7" s="5"/>
      <c r="S7" s="6"/>
      <c r="T7" s="7">
        <v>50</v>
      </c>
      <c r="U7" s="51">
        <f t="shared" ref="U7" si="7">SUM(R7:T7)</f>
        <v>50</v>
      </c>
      <c r="V7" s="59">
        <f t="shared" ref="V7" si="8">Q7+U7</f>
        <v>100</v>
      </c>
      <c r="W7" s="108" t="s">
        <v>52</v>
      </c>
      <c r="X7" s="48"/>
      <c r="Y7" s="48"/>
      <c r="AJ7" s="48"/>
    </row>
    <row r="8" spans="1:44" x14ac:dyDescent="0.15">
      <c r="A8" s="19" t="s">
        <v>11</v>
      </c>
      <c r="B8" s="5">
        <v>5</v>
      </c>
      <c r="C8" s="6">
        <v>5</v>
      </c>
      <c r="D8" s="36">
        <v>5</v>
      </c>
      <c r="E8" s="52">
        <f t="shared" si="0"/>
        <v>15</v>
      </c>
      <c r="F8" s="8">
        <v>5</v>
      </c>
      <c r="G8" s="6">
        <v>5</v>
      </c>
      <c r="H8" s="7">
        <v>5</v>
      </c>
      <c r="I8" s="52">
        <f t="shared" si="1"/>
        <v>15</v>
      </c>
      <c r="J8" s="59">
        <f t="shared" si="2"/>
        <v>30</v>
      </c>
      <c r="K8" s="40">
        <v>45397</v>
      </c>
      <c r="L8" s="48"/>
      <c r="M8" s="19" t="s">
        <v>11</v>
      </c>
      <c r="N8" s="5"/>
      <c r="O8" s="6">
        <v>-55</v>
      </c>
      <c r="P8" s="36">
        <v>-26</v>
      </c>
      <c r="Q8" s="52">
        <f>SUM(N8:P8)</f>
        <v>-81</v>
      </c>
      <c r="R8" s="8">
        <v>-134</v>
      </c>
      <c r="S8" s="6">
        <v>-46</v>
      </c>
      <c r="T8" s="7">
        <v>-95</v>
      </c>
      <c r="U8" s="52">
        <f>SUM(R8:T8)</f>
        <v>-275</v>
      </c>
      <c r="V8" s="59">
        <f>Q8+U8</f>
        <v>-356</v>
      </c>
      <c r="W8" s="108" t="s">
        <v>44</v>
      </c>
      <c r="X8" s="48"/>
      <c r="Y8" s="48"/>
      <c r="AJ8" s="49"/>
      <c r="AK8" s="49"/>
      <c r="AL8" s="49"/>
      <c r="AM8" s="49"/>
      <c r="AN8" s="49"/>
      <c r="AO8" s="49"/>
      <c r="AP8" s="49"/>
      <c r="AQ8" s="49"/>
      <c r="AR8" s="49"/>
    </row>
    <row r="9" spans="1:44" x14ac:dyDescent="0.15">
      <c r="A9" s="19" t="s">
        <v>12</v>
      </c>
      <c r="B9" s="5">
        <v>3</v>
      </c>
      <c r="C9" s="6">
        <v>3</v>
      </c>
      <c r="D9" s="36"/>
      <c r="E9" s="52">
        <f t="shared" si="0"/>
        <v>6</v>
      </c>
      <c r="F9" s="8"/>
      <c r="G9" s="6"/>
      <c r="H9" s="7"/>
      <c r="I9" s="52">
        <f t="shared" si="1"/>
        <v>0</v>
      </c>
      <c r="J9" s="59">
        <f t="shared" si="2"/>
        <v>6</v>
      </c>
      <c r="K9" s="40">
        <v>45399</v>
      </c>
      <c r="M9" s="19" t="s">
        <v>55</v>
      </c>
      <c r="N9" s="5"/>
      <c r="O9" s="6">
        <v>35</v>
      </c>
      <c r="P9" s="36">
        <v>26</v>
      </c>
      <c r="Q9" s="52">
        <f>SUM(N9:P9)</f>
        <v>61</v>
      </c>
      <c r="R9" s="8">
        <v>14</v>
      </c>
      <c r="S9" s="6">
        <v>26</v>
      </c>
      <c r="T9" s="7">
        <v>25</v>
      </c>
      <c r="U9" s="52">
        <f>SUM(R9:T9)</f>
        <v>65</v>
      </c>
      <c r="V9" s="59">
        <f>Q9+U9</f>
        <v>126</v>
      </c>
      <c r="W9" s="108"/>
      <c r="X9" s="48"/>
      <c r="Y9" s="48"/>
    </row>
    <row r="10" spans="1:44" x14ac:dyDescent="0.15">
      <c r="A10" s="19" t="s">
        <v>13</v>
      </c>
      <c r="B10" s="5"/>
      <c r="C10" s="6"/>
      <c r="D10" s="36"/>
      <c r="E10" s="52">
        <f t="shared" si="0"/>
        <v>0</v>
      </c>
      <c r="F10" s="8"/>
      <c r="G10" s="6"/>
      <c r="H10" s="7"/>
      <c r="I10" s="52">
        <f t="shared" si="1"/>
        <v>0</v>
      </c>
      <c r="J10" s="59">
        <f t="shared" si="2"/>
        <v>0</v>
      </c>
      <c r="K10" s="40"/>
      <c r="M10" s="19" t="s">
        <v>13</v>
      </c>
      <c r="N10" s="5"/>
      <c r="O10" s="6"/>
      <c r="P10" s="36"/>
      <c r="Q10" s="52">
        <f t="shared" ref="Q10:Q12" si="9">SUM(N10:P10)</f>
        <v>0</v>
      </c>
      <c r="R10" s="8"/>
      <c r="S10" s="6"/>
      <c r="T10" s="7"/>
      <c r="U10" s="52">
        <f t="shared" ref="U10:U12" si="10">SUM(R10:T10)</f>
        <v>0</v>
      </c>
      <c r="V10" s="59">
        <f t="shared" ref="V10:V12" si="11">Q10+U10</f>
        <v>0</v>
      </c>
      <c r="W10" s="108"/>
      <c r="X10" s="48"/>
      <c r="Y10" s="48"/>
    </row>
    <row r="11" spans="1:44" x14ac:dyDescent="0.15">
      <c r="A11" s="19" t="s">
        <v>14</v>
      </c>
      <c r="B11" s="9"/>
      <c r="C11" s="10"/>
      <c r="D11" s="37"/>
      <c r="E11" s="52">
        <f t="shared" si="0"/>
        <v>0</v>
      </c>
      <c r="F11" s="12"/>
      <c r="G11" s="10"/>
      <c r="H11" s="11"/>
      <c r="I11" s="52">
        <f t="shared" si="1"/>
        <v>0</v>
      </c>
      <c r="J11" s="59">
        <f t="shared" si="2"/>
        <v>0</v>
      </c>
      <c r="K11" s="40"/>
      <c r="M11" s="19" t="s">
        <v>14</v>
      </c>
      <c r="N11" s="9"/>
      <c r="O11" s="10"/>
      <c r="P11" s="37"/>
      <c r="Q11" s="52">
        <f t="shared" si="9"/>
        <v>0</v>
      </c>
      <c r="R11" s="12"/>
      <c r="S11" s="10"/>
      <c r="T11" s="11"/>
      <c r="U11" s="52">
        <f t="shared" si="10"/>
        <v>0</v>
      </c>
      <c r="V11" s="59">
        <f t="shared" si="11"/>
        <v>0</v>
      </c>
    </row>
    <row r="12" spans="1:44" ht="14.25" thickBot="1" x14ac:dyDescent="0.2">
      <c r="A12" s="19" t="s">
        <v>15</v>
      </c>
      <c r="B12" s="25"/>
      <c r="C12" s="26"/>
      <c r="D12" s="38"/>
      <c r="E12" s="53">
        <f t="shared" si="0"/>
        <v>0</v>
      </c>
      <c r="F12" s="27"/>
      <c r="G12" s="27"/>
      <c r="H12" s="29"/>
      <c r="I12" s="53">
        <f t="shared" si="1"/>
        <v>0</v>
      </c>
      <c r="J12" s="60">
        <f t="shared" si="2"/>
        <v>0</v>
      </c>
      <c r="K12" s="40"/>
      <c r="M12" s="19" t="s">
        <v>15</v>
      </c>
      <c r="N12" s="25"/>
      <c r="O12" s="26"/>
      <c r="P12" s="38"/>
      <c r="Q12" s="53">
        <f t="shared" si="9"/>
        <v>0</v>
      </c>
      <c r="R12" s="27"/>
      <c r="S12" s="27"/>
      <c r="T12" s="29"/>
      <c r="U12" s="53">
        <f t="shared" si="10"/>
        <v>0</v>
      </c>
      <c r="V12" s="60">
        <f t="shared" si="11"/>
        <v>0</v>
      </c>
    </row>
    <row r="13" spans="1:44" ht="14.25" thickBot="1" x14ac:dyDescent="0.2">
      <c r="A13" s="28" t="s">
        <v>16</v>
      </c>
      <c r="B13" s="22">
        <f>SUM(B4:B12)</f>
        <v>19</v>
      </c>
      <c r="C13" s="23">
        <f>SUM(C4:C12)</f>
        <v>20</v>
      </c>
      <c r="D13" s="24">
        <f>SUM(D4:D12)</f>
        <v>16</v>
      </c>
      <c r="E13" s="54">
        <f>SUM(B13:D13)</f>
        <v>55</v>
      </c>
      <c r="F13" s="22">
        <f>SUM(F4:F12)</f>
        <v>16</v>
      </c>
      <c r="G13" s="23">
        <f>SUM(G4:G12)</f>
        <v>17</v>
      </c>
      <c r="H13" s="24">
        <f>SUM(H4:H12)</f>
        <v>16</v>
      </c>
      <c r="I13" s="54">
        <f>SUM(F13:H13)</f>
        <v>49</v>
      </c>
      <c r="J13" s="61">
        <f>E13+I13</f>
        <v>104</v>
      </c>
      <c r="M13" s="28" t="s">
        <v>16</v>
      </c>
      <c r="N13" s="22">
        <f>SUM(N4:N12)</f>
        <v>360</v>
      </c>
      <c r="O13" s="23">
        <f>SUM(O4:O12)</f>
        <v>395</v>
      </c>
      <c r="P13" s="24">
        <f>SUM(P4:P12)</f>
        <v>256</v>
      </c>
      <c r="Q13" s="54">
        <f>SUM(N13:P13)</f>
        <v>1011</v>
      </c>
      <c r="R13" s="22">
        <f>SUM(R4:R12)</f>
        <v>374</v>
      </c>
      <c r="S13" s="23">
        <f>SUM(S4:S12)</f>
        <v>386</v>
      </c>
      <c r="T13" s="24">
        <f>SUM(T4:T12)</f>
        <v>255</v>
      </c>
      <c r="U13" s="54">
        <f>SUM(R13:T13)</f>
        <v>1015</v>
      </c>
      <c r="V13" s="61">
        <f>Q13+U13</f>
        <v>2026</v>
      </c>
    </row>
    <row r="14" spans="1:44" x14ac:dyDescent="0.15">
      <c r="A14" s="17" t="s">
        <v>38</v>
      </c>
      <c r="B14" s="9"/>
      <c r="C14" s="10">
        <v>1</v>
      </c>
      <c r="D14" s="11"/>
      <c r="E14" s="51">
        <f>SUM(B14:D14)</f>
        <v>1</v>
      </c>
      <c r="F14" s="12"/>
      <c r="G14" s="10">
        <v>1</v>
      </c>
      <c r="H14" s="11"/>
      <c r="I14" s="51">
        <f>SUM(F14:H14)</f>
        <v>1</v>
      </c>
      <c r="J14" s="59">
        <f>E14+I14</f>
        <v>2</v>
      </c>
      <c r="K14" s="40">
        <v>45308</v>
      </c>
      <c r="M14" s="20" t="s">
        <v>41</v>
      </c>
      <c r="N14" s="5">
        <v>3</v>
      </c>
      <c r="O14" s="6">
        <v>3</v>
      </c>
      <c r="P14" s="7">
        <v>3</v>
      </c>
      <c r="Q14" s="51">
        <f t="shared" ref="Q14:Q15" si="12">SUM(N14:P14)</f>
        <v>9</v>
      </c>
      <c r="R14" s="8">
        <v>3</v>
      </c>
      <c r="S14" s="6">
        <v>3</v>
      </c>
      <c r="T14" s="7">
        <v>3</v>
      </c>
      <c r="U14" s="51">
        <f t="shared" ref="U14:U15" si="13">SUM(R14:T14)</f>
        <v>9</v>
      </c>
      <c r="V14" s="59">
        <f t="shared" ref="V14:V15" si="14">Q14+U14</f>
        <v>18</v>
      </c>
      <c r="W14" s="108">
        <v>45316</v>
      </c>
    </row>
    <row r="15" spans="1:44" x14ac:dyDescent="0.15">
      <c r="A15" s="17" t="s">
        <v>38</v>
      </c>
      <c r="B15" s="5"/>
      <c r="C15" s="6">
        <v>1</v>
      </c>
      <c r="D15" s="7"/>
      <c r="E15" s="51">
        <f t="shared" ref="E15:E40" si="15">SUM(B15:D15)</f>
        <v>1</v>
      </c>
      <c r="F15" s="8"/>
      <c r="G15" s="6"/>
      <c r="H15" s="7"/>
      <c r="I15" s="51">
        <f t="shared" ref="I15:I40" si="16">SUM(F15:H15)</f>
        <v>0</v>
      </c>
      <c r="J15" s="59">
        <f t="shared" ref="J15:J39" si="17">E15+I15</f>
        <v>1</v>
      </c>
      <c r="K15" s="40">
        <v>45363</v>
      </c>
      <c r="M15" s="18" t="s">
        <v>25</v>
      </c>
      <c r="N15" s="9">
        <v>210</v>
      </c>
      <c r="O15" s="10">
        <v>210</v>
      </c>
      <c r="P15" s="7">
        <v>150</v>
      </c>
      <c r="Q15" s="52">
        <f t="shared" si="12"/>
        <v>570</v>
      </c>
      <c r="R15" s="8">
        <v>210</v>
      </c>
      <c r="S15" s="6">
        <v>210</v>
      </c>
      <c r="T15" s="7">
        <v>150</v>
      </c>
      <c r="U15" s="52">
        <f t="shared" si="13"/>
        <v>570</v>
      </c>
      <c r="V15" s="59">
        <f t="shared" si="14"/>
        <v>1140</v>
      </c>
      <c r="W15" s="108">
        <v>45365</v>
      </c>
    </row>
    <row r="16" spans="1:44" x14ac:dyDescent="0.15">
      <c r="A16" s="17" t="s">
        <v>57</v>
      </c>
      <c r="B16" s="5">
        <v>1</v>
      </c>
      <c r="C16" s="6"/>
      <c r="D16" s="7"/>
      <c r="E16" s="51">
        <f t="shared" si="15"/>
        <v>1</v>
      </c>
      <c r="F16" s="8">
        <v>1</v>
      </c>
      <c r="G16" s="6"/>
      <c r="H16" s="7">
        <v>1</v>
      </c>
      <c r="I16" s="51">
        <f t="shared" si="16"/>
        <v>2</v>
      </c>
      <c r="J16" s="59">
        <f t="shared" si="17"/>
        <v>3</v>
      </c>
      <c r="K16" s="40">
        <v>45372</v>
      </c>
      <c r="M16" s="18" t="s">
        <v>39</v>
      </c>
      <c r="N16" s="9">
        <v>60</v>
      </c>
      <c r="O16" s="10">
        <v>60</v>
      </c>
      <c r="P16" s="11">
        <v>50</v>
      </c>
      <c r="Q16" s="51">
        <f>SUM(N16:P16)</f>
        <v>170</v>
      </c>
      <c r="R16" s="12">
        <v>60</v>
      </c>
      <c r="S16" s="10">
        <v>60</v>
      </c>
      <c r="T16" s="11">
        <v>50</v>
      </c>
      <c r="U16" s="51">
        <f>SUM(R16:T16)</f>
        <v>170</v>
      </c>
      <c r="V16" s="59">
        <f>Q16+U16</f>
        <v>340</v>
      </c>
      <c r="W16" s="108">
        <v>45370</v>
      </c>
      <c r="X16" s="48"/>
      <c r="Y16" s="48"/>
      <c r="AJ16" s="48"/>
    </row>
    <row r="17" spans="1:36" x14ac:dyDescent="0.15">
      <c r="A17" s="17" t="s">
        <v>38</v>
      </c>
      <c r="B17" s="5">
        <v>1</v>
      </c>
      <c r="C17" s="6">
        <v>1</v>
      </c>
      <c r="D17" s="7"/>
      <c r="E17" s="51">
        <f t="shared" si="15"/>
        <v>2</v>
      </c>
      <c r="F17" s="8"/>
      <c r="G17" s="6"/>
      <c r="H17" s="7"/>
      <c r="I17" s="51">
        <f t="shared" si="16"/>
        <v>0</v>
      </c>
      <c r="J17" s="59">
        <f t="shared" si="17"/>
        <v>2</v>
      </c>
      <c r="K17" s="40">
        <v>45372</v>
      </c>
      <c r="M17" s="18" t="s">
        <v>56</v>
      </c>
      <c r="N17" s="5">
        <v>20</v>
      </c>
      <c r="O17" s="6">
        <v>22</v>
      </c>
      <c r="P17" s="7">
        <v>10</v>
      </c>
      <c r="Q17" s="51">
        <f t="shared" ref="Q17:Q21" si="18">SUM(N17:P17)</f>
        <v>52</v>
      </c>
      <c r="R17" s="8">
        <v>20</v>
      </c>
      <c r="S17" s="6">
        <v>22</v>
      </c>
      <c r="T17" s="7">
        <v>10</v>
      </c>
      <c r="U17" s="51">
        <f t="shared" ref="U17:U21" si="19">SUM(R17:T17)</f>
        <v>52</v>
      </c>
      <c r="V17" s="59">
        <f t="shared" ref="V17:V21" si="20">Q17+U17</f>
        <v>104</v>
      </c>
      <c r="W17" s="108">
        <v>45378</v>
      </c>
      <c r="X17" s="48"/>
      <c r="Y17" s="48"/>
      <c r="AJ17" s="48"/>
    </row>
    <row r="18" spans="1:36" x14ac:dyDescent="0.15">
      <c r="A18" s="17" t="s">
        <v>57</v>
      </c>
      <c r="B18" s="5"/>
      <c r="C18" s="6"/>
      <c r="D18" s="7"/>
      <c r="E18" s="51">
        <f t="shared" si="15"/>
        <v>0</v>
      </c>
      <c r="F18" s="8">
        <v>1</v>
      </c>
      <c r="G18" s="6"/>
      <c r="H18" s="7"/>
      <c r="I18" s="51">
        <f t="shared" si="16"/>
        <v>1</v>
      </c>
      <c r="J18" s="59">
        <f t="shared" si="17"/>
        <v>1</v>
      </c>
      <c r="K18" s="40">
        <v>45376</v>
      </c>
      <c r="M18" s="20" t="s">
        <v>41</v>
      </c>
      <c r="N18" s="5">
        <v>5</v>
      </c>
      <c r="O18" s="6">
        <v>5</v>
      </c>
      <c r="P18" s="7">
        <v>5</v>
      </c>
      <c r="Q18" s="51">
        <f t="shared" si="18"/>
        <v>15</v>
      </c>
      <c r="R18" s="8">
        <v>5</v>
      </c>
      <c r="S18" s="6">
        <v>5</v>
      </c>
      <c r="T18" s="7">
        <v>5</v>
      </c>
      <c r="U18" s="51">
        <f t="shared" si="19"/>
        <v>15</v>
      </c>
      <c r="V18" s="59">
        <f t="shared" si="20"/>
        <v>30</v>
      </c>
      <c r="W18" s="108">
        <v>45367</v>
      </c>
      <c r="X18" s="48"/>
      <c r="AJ18" s="48"/>
    </row>
    <row r="19" spans="1:36" x14ac:dyDescent="0.15">
      <c r="A19" s="17" t="s">
        <v>57</v>
      </c>
      <c r="B19" s="5"/>
      <c r="C19" s="6"/>
      <c r="D19" s="14"/>
      <c r="E19" s="51">
        <f t="shared" si="15"/>
        <v>0</v>
      </c>
      <c r="F19" s="15"/>
      <c r="G19" s="13">
        <v>1</v>
      </c>
      <c r="H19" s="14"/>
      <c r="I19" s="51">
        <f t="shared" si="16"/>
        <v>1</v>
      </c>
      <c r="J19" s="59">
        <f t="shared" si="17"/>
        <v>1</v>
      </c>
      <c r="K19" s="40">
        <v>45383</v>
      </c>
      <c r="M19" s="20" t="s">
        <v>41</v>
      </c>
      <c r="N19" s="5">
        <v>3</v>
      </c>
      <c r="O19" s="6">
        <v>3</v>
      </c>
      <c r="P19" s="7">
        <v>3</v>
      </c>
      <c r="Q19" s="51">
        <f t="shared" si="18"/>
        <v>9</v>
      </c>
      <c r="R19" s="8">
        <v>3</v>
      </c>
      <c r="S19" s="6">
        <v>3</v>
      </c>
      <c r="T19" s="7">
        <v>3</v>
      </c>
      <c r="U19" s="51">
        <f t="shared" si="19"/>
        <v>9</v>
      </c>
      <c r="V19" s="59">
        <f t="shared" si="20"/>
        <v>18</v>
      </c>
      <c r="W19" s="108">
        <v>45388</v>
      </c>
      <c r="X19" s="48"/>
      <c r="AJ19" s="48"/>
    </row>
    <row r="20" spans="1:36" x14ac:dyDescent="0.15">
      <c r="A20" s="17" t="s">
        <v>57</v>
      </c>
      <c r="B20" s="5"/>
      <c r="C20" s="6"/>
      <c r="D20" s="7"/>
      <c r="E20" s="51">
        <f t="shared" si="15"/>
        <v>0</v>
      </c>
      <c r="F20" s="8">
        <v>1</v>
      </c>
      <c r="G20" s="6"/>
      <c r="H20" s="7"/>
      <c r="I20" s="51">
        <f t="shared" si="16"/>
        <v>1</v>
      </c>
      <c r="J20" s="59">
        <f t="shared" si="17"/>
        <v>1</v>
      </c>
      <c r="K20" s="40">
        <v>45385</v>
      </c>
      <c r="M20" s="20" t="s">
        <v>41</v>
      </c>
      <c r="N20" s="5" t="s">
        <v>155</v>
      </c>
      <c r="O20" s="6">
        <v>5</v>
      </c>
      <c r="P20" s="7">
        <v>5</v>
      </c>
      <c r="Q20" s="51">
        <f t="shared" si="18"/>
        <v>10</v>
      </c>
      <c r="R20" s="8">
        <v>5</v>
      </c>
      <c r="S20" s="6">
        <v>5</v>
      </c>
      <c r="T20" s="7">
        <v>5</v>
      </c>
      <c r="U20" s="51">
        <f t="shared" si="19"/>
        <v>15</v>
      </c>
      <c r="V20" s="59">
        <f t="shared" si="20"/>
        <v>25</v>
      </c>
      <c r="W20" s="108">
        <v>45397</v>
      </c>
      <c r="X20" s="48"/>
      <c r="AJ20" s="48"/>
    </row>
    <row r="21" spans="1:36" x14ac:dyDescent="0.15">
      <c r="A21" s="17" t="s">
        <v>57</v>
      </c>
      <c r="B21" s="5"/>
      <c r="C21" s="6">
        <v>1</v>
      </c>
      <c r="D21" s="7">
        <v>1</v>
      </c>
      <c r="E21" s="51">
        <f t="shared" si="15"/>
        <v>2</v>
      </c>
      <c r="F21" s="8"/>
      <c r="G21" s="6"/>
      <c r="H21" s="7">
        <v>2</v>
      </c>
      <c r="I21" s="51">
        <f t="shared" si="16"/>
        <v>2</v>
      </c>
      <c r="J21" s="59">
        <f t="shared" si="17"/>
        <v>4</v>
      </c>
      <c r="K21" s="40">
        <v>45387</v>
      </c>
      <c r="M21" s="20" t="s">
        <v>41</v>
      </c>
      <c r="N21" s="5">
        <v>3</v>
      </c>
      <c r="O21" s="6">
        <v>3</v>
      </c>
      <c r="P21" s="7"/>
      <c r="Q21" s="51">
        <f t="shared" si="18"/>
        <v>6</v>
      </c>
      <c r="R21" s="8"/>
      <c r="S21" s="6"/>
      <c r="T21" s="7"/>
      <c r="U21" s="51">
        <f t="shared" si="19"/>
        <v>0</v>
      </c>
      <c r="V21" s="59">
        <f t="shared" si="20"/>
        <v>6</v>
      </c>
      <c r="W21" s="108">
        <v>45399</v>
      </c>
      <c r="AJ21" s="48"/>
    </row>
    <row r="22" spans="1:36" x14ac:dyDescent="0.15">
      <c r="A22" s="17" t="s">
        <v>57</v>
      </c>
      <c r="B22" s="5">
        <v>1</v>
      </c>
      <c r="C22" s="6">
        <v>1</v>
      </c>
      <c r="D22" s="7"/>
      <c r="E22" s="51">
        <f t="shared" si="15"/>
        <v>2</v>
      </c>
      <c r="F22" s="8"/>
      <c r="G22" s="6"/>
      <c r="H22" s="7"/>
      <c r="I22" s="51">
        <f t="shared" si="16"/>
        <v>0</v>
      </c>
      <c r="J22" s="59">
        <f t="shared" si="17"/>
        <v>2</v>
      </c>
      <c r="K22" s="40">
        <v>45388</v>
      </c>
      <c r="M22" s="17"/>
      <c r="N22" s="5"/>
      <c r="O22" s="6"/>
      <c r="P22" s="7"/>
      <c r="Q22" s="51">
        <f t="shared" ref="Q22:Q40" si="21">SUM(N22:P22)</f>
        <v>0</v>
      </c>
      <c r="R22" s="8"/>
      <c r="S22" s="6"/>
      <c r="T22" s="7"/>
      <c r="U22" s="51">
        <f t="shared" ref="U22:U40" si="22">SUM(R22:T22)</f>
        <v>0</v>
      </c>
      <c r="V22" s="59">
        <f t="shared" ref="V22:V36" si="23">Q22+U22</f>
        <v>0</v>
      </c>
      <c r="W22" s="108"/>
    </row>
    <row r="23" spans="1:36" x14ac:dyDescent="0.15">
      <c r="A23" s="17" t="s">
        <v>57</v>
      </c>
      <c r="B23" s="9">
        <v>2</v>
      </c>
      <c r="C23" s="10">
        <v>1</v>
      </c>
      <c r="D23" s="11">
        <v>1</v>
      </c>
      <c r="E23" s="51">
        <f t="shared" si="15"/>
        <v>4</v>
      </c>
      <c r="F23" s="12"/>
      <c r="G23" s="10">
        <v>1</v>
      </c>
      <c r="H23" s="11"/>
      <c r="I23" s="51">
        <f t="shared" si="16"/>
        <v>1</v>
      </c>
      <c r="J23" s="59">
        <f t="shared" si="17"/>
        <v>5</v>
      </c>
      <c r="K23" s="40">
        <v>45390</v>
      </c>
      <c r="M23" s="18"/>
      <c r="N23" s="9"/>
      <c r="O23" s="10"/>
      <c r="P23" s="11"/>
      <c r="Q23" s="51">
        <f t="shared" si="21"/>
        <v>0</v>
      </c>
      <c r="R23" s="12"/>
      <c r="S23" s="10"/>
      <c r="T23" s="11"/>
      <c r="U23" s="51">
        <f t="shared" si="22"/>
        <v>0</v>
      </c>
      <c r="V23" s="59">
        <f t="shared" si="23"/>
        <v>0</v>
      </c>
      <c r="W23" s="108"/>
    </row>
    <row r="24" spans="1:36" x14ac:dyDescent="0.15">
      <c r="A24" s="17" t="s">
        <v>57</v>
      </c>
      <c r="B24" s="5">
        <v>1</v>
      </c>
      <c r="C24" s="6"/>
      <c r="D24" s="7">
        <v>1</v>
      </c>
      <c r="E24" s="51">
        <f t="shared" si="15"/>
        <v>2</v>
      </c>
      <c r="F24" s="8"/>
      <c r="G24" s="6"/>
      <c r="H24" s="7">
        <v>1</v>
      </c>
      <c r="I24" s="51">
        <f t="shared" si="16"/>
        <v>1</v>
      </c>
      <c r="J24" s="59">
        <f t="shared" si="17"/>
        <v>3</v>
      </c>
      <c r="K24" s="40">
        <v>45392</v>
      </c>
      <c r="M24" s="20"/>
      <c r="N24" s="5"/>
      <c r="O24" s="6"/>
      <c r="P24" s="7"/>
      <c r="Q24" s="51">
        <f>SUM(N24:P24)</f>
        <v>0</v>
      </c>
      <c r="R24" s="8"/>
      <c r="S24" s="6"/>
      <c r="T24" s="7"/>
      <c r="U24" s="51">
        <f>SUM(R24:T24)</f>
        <v>0</v>
      </c>
      <c r="V24" s="59">
        <f>Q24+U24</f>
        <v>0</v>
      </c>
      <c r="W24" s="108"/>
    </row>
    <row r="25" spans="1:36" x14ac:dyDescent="0.15">
      <c r="A25" s="17" t="s">
        <v>57</v>
      </c>
      <c r="B25" s="5">
        <f>2+1</f>
        <v>3</v>
      </c>
      <c r="C25" s="6">
        <v>1</v>
      </c>
      <c r="D25" s="7"/>
      <c r="E25" s="51">
        <f t="shared" si="15"/>
        <v>4</v>
      </c>
      <c r="F25" s="8">
        <f>1+1</f>
        <v>2</v>
      </c>
      <c r="G25" s="6">
        <f>1+1</f>
        <v>2</v>
      </c>
      <c r="H25" s="7"/>
      <c r="I25" s="51">
        <f t="shared" si="16"/>
        <v>4</v>
      </c>
      <c r="J25" s="59">
        <f t="shared" si="17"/>
        <v>8</v>
      </c>
      <c r="K25" s="40">
        <v>45397</v>
      </c>
      <c r="M25" s="42"/>
      <c r="N25" s="5"/>
      <c r="O25" s="6"/>
      <c r="P25" s="7"/>
      <c r="Q25" s="51">
        <f t="shared" si="21"/>
        <v>0</v>
      </c>
      <c r="R25" s="8"/>
      <c r="S25" s="6"/>
      <c r="T25" s="7"/>
      <c r="U25" s="51">
        <f t="shared" si="22"/>
        <v>0</v>
      </c>
      <c r="V25" s="59">
        <f t="shared" si="23"/>
        <v>0</v>
      </c>
      <c r="W25" s="108"/>
      <c r="X25" s="48"/>
    </row>
    <row r="26" spans="1:36" x14ac:dyDescent="0.15">
      <c r="A26" s="17" t="s">
        <v>57</v>
      </c>
      <c r="B26" s="5"/>
      <c r="C26" s="6">
        <v>2</v>
      </c>
      <c r="D26" s="7">
        <v>1</v>
      </c>
      <c r="E26" s="51">
        <f t="shared" si="15"/>
        <v>3</v>
      </c>
      <c r="F26" s="8"/>
      <c r="G26" s="6"/>
      <c r="H26" s="7">
        <v>1</v>
      </c>
      <c r="I26" s="51">
        <f t="shared" si="16"/>
        <v>1</v>
      </c>
      <c r="J26" s="59">
        <f t="shared" si="17"/>
        <v>4</v>
      </c>
      <c r="K26" s="40">
        <v>45398</v>
      </c>
      <c r="M26" s="42"/>
      <c r="N26" s="5"/>
      <c r="O26" s="6"/>
      <c r="P26" s="7"/>
      <c r="Q26" s="51">
        <f t="shared" si="21"/>
        <v>0</v>
      </c>
      <c r="R26" s="8"/>
      <c r="S26" s="6"/>
      <c r="T26" s="7"/>
      <c r="U26" s="51">
        <f t="shared" si="22"/>
        <v>0</v>
      </c>
      <c r="V26" s="59">
        <f t="shared" si="23"/>
        <v>0</v>
      </c>
      <c r="W26" s="108"/>
    </row>
    <row r="27" spans="1:36" x14ac:dyDescent="0.15">
      <c r="A27" s="17" t="s">
        <v>77</v>
      </c>
      <c r="B27" s="5">
        <v>5</v>
      </c>
      <c r="C27" s="6">
        <v>5</v>
      </c>
      <c r="D27" s="7">
        <v>5</v>
      </c>
      <c r="E27" s="51">
        <f t="shared" si="15"/>
        <v>15</v>
      </c>
      <c r="F27" s="8">
        <v>5</v>
      </c>
      <c r="G27" s="6">
        <v>5</v>
      </c>
      <c r="H27" s="7">
        <v>5</v>
      </c>
      <c r="I27" s="51">
        <f t="shared" si="16"/>
        <v>15</v>
      </c>
      <c r="J27" s="59">
        <f t="shared" si="17"/>
        <v>30</v>
      </c>
      <c r="K27" s="40">
        <v>45399</v>
      </c>
      <c r="M27" s="18"/>
      <c r="N27" s="5"/>
      <c r="O27" s="6"/>
      <c r="P27" s="7"/>
      <c r="Q27" s="51">
        <f t="shared" si="21"/>
        <v>0</v>
      </c>
      <c r="R27" s="8"/>
      <c r="S27" s="6"/>
      <c r="T27" s="7"/>
      <c r="U27" s="51">
        <f t="shared" si="22"/>
        <v>0</v>
      </c>
      <c r="V27" s="59">
        <f t="shared" si="23"/>
        <v>0</v>
      </c>
      <c r="W27" s="108"/>
    </row>
    <row r="28" spans="1:36" x14ac:dyDescent="0.15">
      <c r="A28" s="17" t="s">
        <v>57</v>
      </c>
      <c r="B28" s="5"/>
      <c r="C28" s="6"/>
      <c r="D28" s="7">
        <v>1</v>
      </c>
      <c r="E28" s="51">
        <f t="shared" si="15"/>
        <v>1</v>
      </c>
      <c r="F28" s="8"/>
      <c r="G28" s="6"/>
      <c r="H28" s="7"/>
      <c r="I28" s="51">
        <f t="shared" si="16"/>
        <v>0</v>
      </c>
      <c r="J28" s="59">
        <f t="shared" si="17"/>
        <v>1</v>
      </c>
      <c r="K28" s="40">
        <v>45401</v>
      </c>
      <c r="M28" s="18"/>
      <c r="N28" s="5"/>
      <c r="O28" s="6"/>
      <c r="P28" s="7"/>
      <c r="Q28" s="51">
        <f t="shared" si="21"/>
        <v>0</v>
      </c>
      <c r="R28" s="8"/>
      <c r="S28" s="6"/>
      <c r="T28" s="7"/>
      <c r="U28" s="51">
        <f t="shared" si="22"/>
        <v>0</v>
      </c>
      <c r="V28" s="59">
        <f t="shared" si="23"/>
        <v>0</v>
      </c>
      <c r="W28" s="108"/>
    </row>
    <row r="29" spans="1:36" x14ac:dyDescent="0.15">
      <c r="A29" s="18" t="s">
        <v>77</v>
      </c>
      <c r="B29" s="5">
        <v>2</v>
      </c>
      <c r="C29" s="6">
        <v>2</v>
      </c>
      <c r="D29" s="7">
        <v>1</v>
      </c>
      <c r="E29" s="51">
        <f t="shared" si="15"/>
        <v>5</v>
      </c>
      <c r="F29" s="8">
        <v>2</v>
      </c>
      <c r="G29" s="6">
        <v>3</v>
      </c>
      <c r="H29" s="7">
        <v>2</v>
      </c>
      <c r="I29" s="51">
        <f t="shared" si="16"/>
        <v>7</v>
      </c>
      <c r="J29" s="59">
        <f t="shared" si="17"/>
        <v>12</v>
      </c>
      <c r="K29" s="40">
        <v>45404</v>
      </c>
      <c r="M29" s="18"/>
      <c r="N29" s="5"/>
      <c r="O29" s="6"/>
      <c r="P29" s="7"/>
      <c r="Q29" s="51">
        <f t="shared" si="21"/>
        <v>0</v>
      </c>
      <c r="R29" s="8"/>
      <c r="S29" s="6"/>
      <c r="T29" s="7"/>
      <c r="U29" s="51">
        <f t="shared" si="22"/>
        <v>0</v>
      </c>
      <c r="V29" s="59">
        <f t="shared" si="23"/>
        <v>0</v>
      </c>
      <c r="W29" s="108"/>
    </row>
    <row r="30" spans="1:36" x14ac:dyDescent="0.15">
      <c r="A30" s="17"/>
      <c r="B30" s="5"/>
      <c r="C30" s="6"/>
      <c r="D30" s="7"/>
      <c r="E30" s="51">
        <f t="shared" si="15"/>
        <v>0</v>
      </c>
      <c r="F30" s="8"/>
      <c r="G30" s="6"/>
      <c r="H30" s="7"/>
      <c r="I30" s="51">
        <f t="shared" si="16"/>
        <v>0</v>
      </c>
      <c r="J30" s="59">
        <f t="shared" si="17"/>
        <v>0</v>
      </c>
      <c r="K30" s="40"/>
      <c r="M30" s="18"/>
      <c r="N30" s="5"/>
      <c r="O30" s="6"/>
      <c r="P30" s="7"/>
      <c r="Q30" s="51">
        <f t="shared" si="21"/>
        <v>0</v>
      </c>
      <c r="R30" s="8"/>
      <c r="S30" s="6"/>
      <c r="T30" s="7"/>
      <c r="U30" s="51">
        <f t="shared" si="22"/>
        <v>0</v>
      </c>
      <c r="V30" s="59">
        <f t="shared" si="23"/>
        <v>0</v>
      </c>
      <c r="W30" s="108"/>
    </row>
    <row r="31" spans="1:36" x14ac:dyDescent="0.15">
      <c r="A31" s="17"/>
      <c r="B31" s="5"/>
      <c r="C31" s="6"/>
      <c r="D31" s="7"/>
      <c r="E31" s="51">
        <f t="shared" si="15"/>
        <v>0</v>
      </c>
      <c r="F31" s="8"/>
      <c r="G31" s="6"/>
      <c r="H31" s="7"/>
      <c r="I31" s="51">
        <f t="shared" si="16"/>
        <v>0</v>
      </c>
      <c r="J31" s="59">
        <f t="shared" si="17"/>
        <v>0</v>
      </c>
      <c r="K31" s="40"/>
      <c r="L31" s="48"/>
      <c r="M31" s="18"/>
      <c r="N31" s="5"/>
      <c r="O31" s="6"/>
      <c r="P31" s="7"/>
      <c r="Q31" s="51">
        <f t="shared" si="21"/>
        <v>0</v>
      </c>
      <c r="R31" s="8"/>
      <c r="S31" s="6"/>
      <c r="T31" s="7"/>
      <c r="U31" s="51">
        <f t="shared" si="22"/>
        <v>0</v>
      </c>
      <c r="V31" s="59">
        <f t="shared" si="23"/>
        <v>0</v>
      </c>
      <c r="W31" s="108"/>
    </row>
    <row r="32" spans="1:36" x14ac:dyDescent="0.15">
      <c r="A32" s="18"/>
      <c r="B32" s="5"/>
      <c r="C32" s="6"/>
      <c r="D32" s="7"/>
      <c r="E32" s="51">
        <f t="shared" si="15"/>
        <v>0</v>
      </c>
      <c r="F32" s="8"/>
      <c r="G32" s="6"/>
      <c r="H32" s="7"/>
      <c r="I32" s="51">
        <f t="shared" si="16"/>
        <v>0</v>
      </c>
      <c r="J32" s="59">
        <f t="shared" si="17"/>
        <v>0</v>
      </c>
      <c r="K32" s="40"/>
      <c r="M32" s="42"/>
      <c r="N32" s="5"/>
      <c r="O32" s="6"/>
      <c r="P32" s="7"/>
      <c r="Q32" s="51">
        <f t="shared" si="21"/>
        <v>0</v>
      </c>
      <c r="R32" s="8"/>
      <c r="S32" s="6"/>
      <c r="T32" s="7"/>
      <c r="U32" s="51">
        <f t="shared" si="22"/>
        <v>0</v>
      </c>
      <c r="V32" s="59">
        <f t="shared" si="23"/>
        <v>0</v>
      </c>
      <c r="W32" s="108"/>
    </row>
    <row r="33" spans="1:23" x14ac:dyDescent="0.15">
      <c r="A33" s="17"/>
      <c r="B33" s="5"/>
      <c r="C33" s="6"/>
      <c r="D33" s="7"/>
      <c r="E33" s="51">
        <f t="shared" si="15"/>
        <v>0</v>
      </c>
      <c r="F33" s="8"/>
      <c r="G33" s="6"/>
      <c r="H33" s="7"/>
      <c r="I33" s="51">
        <f t="shared" si="16"/>
        <v>0</v>
      </c>
      <c r="J33" s="59">
        <f t="shared" si="17"/>
        <v>0</v>
      </c>
      <c r="K33" s="40"/>
      <c r="M33" s="20"/>
      <c r="N33" s="5"/>
      <c r="O33" s="6"/>
      <c r="P33" s="7"/>
      <c r="Q33" s="51">
        <f t="shared" si="21"/>
        <v>0</v>
      </c>
      <c r="R33" s="8"/>
      <c r="S33" s="6"/>
      <c r="T33" s="7"/>
      <c r="U33" s="51">
        <f t="shared" si="22"/>
        <v>0</v>
      </c>
      <c r="V33" s="59">
        <f t="shared" si="23"/>
        <v>0</v>
      </c>
      <c r="W33" s="108"/>
    </row>
    <row r="34" spans="1:23" x14ac:dyDescent="0.15">
      <c r="A34" s="17"/>
      <c r="B34" s="5"/>
      <c r="C34" s="6"/>
      <c r="D34" s="7"/>
      <c r="E34" s="51">
        <f t="shared" si="15"/>
        <v>0</v>
      </c>
      <c r="F34" s="8"/>
      <c r="G34" s="6"/>
      <c r="H34" s="7"/>
      <c r="I34" s="51">
        <f t="shared" si="16"/>
        <v>0</v>
      </c>
      <c r="J34" s="59">
        <f t="shared" si="17"/>
        <v>0</v>
      </c>
      <c r="K34" s="40"/>
      <c r="M34" s="20"/>
      <c r="N34" s="5"/>
      <c r="O34" s="6"/>
      <c r="P34" s="7"/>
      <c r="Q34" s="51">
        <f t="shared" si="21"/>
        <v>0</v>
      </c>
      <c r="R34" s="8"/>
      <c r="S34" s="6"/>
      <c r="T34" s="7"/>
      <c r="U34" s="51">
        <f t="shared" si="22"/>
        <v>0</v>
      </c>
      <c r="V34" s="59">
        <f t="shared" si="23"/>
        <v>0</v>
      </c>
      <c r="W34" s="108"/>
    </row>
    <row r="35" spans="1:23" x14ac:dyDescent="0.15">
      <c r="A35" s="17"/>
      <c r="B35" s="9"/>
      <c r="C35" s="10"/>
      <c r="D35" s="11"/>
      <c r="E35" s="51">
        <f t="shared" si="15"/>
        <v>0</v>
      </c>
      <c r="F35" s="12"/>
      <c r="G35" s="10"/>
      <c r="H35" s="11"/>
      <c r="I35" s="51">
        <f t="shared" si="16"/>
        <v>0</v>
      </c>
      <c r="J35" s="59">
        <f t="shared" si="17"/>
        <v>0</v>
      </c>
      <c r="K35" s="40"/>
      <c r="M35" s="18"/>
      <c r="N35" s="9"/>
      <c r="O35" s="10"/>
      <c r="P35" s="11"/>
      <c r="Q35" s="51">
        <f t="shared" si="21"/>
        <v>0</v>
      </c>
      <c r="R35" s="12"/>
      <c r="S35" s="10"/>
      <c r="T35" s="11"/>
      <c r="U35" s="51">
        <f t="shared" si="22"/>
        <v>0</v>
      </c>
      <c r="V35" s="59">
        <f t="shared" si="23"/>
        <v>0</v>
      </c>
      <c r="W35" s="108"/>
    </row>
    <row r="36" spans="1:23" x14ac:dyDescent="0.15">
      <c r="A36" s="17"/>
      <c r="B36" s="5"/>
      <c r="C36" s="6"/>
      <c r="D36" s="7"/>
      <c r="E36" s="51">
        <f t="shared" si="15"/>
        <v>0</v>
      </c>
      <c r="F36" s="8"/>
      <c r="G36" s="6"/>
      <c r="H36" s="7"/>
      <c r="I36" s="51">
        <f t="shared" si="16"/>
        <v>0</v>
      </c>
      <c r="J36" s="59">
        <f t="shared" si="17"/>
        <v>0</v>
      </c>
      <c r="K36" s="40"/>
      <c r="M36" s="18"/>
      <c r="N36" s="5"/>
      <c r="O36" s="6"/>
      <c r="P36" s="7"/>
      <c r="Q36" s="51">
        <f t="shared" si="21"/>
        <v>0</v>
      </c>
      <c r="R36" s="8"/>
      <c r="S36" s="6"/>
      <c r="T36" s="7"/>
      <c r="U36" s="51">
        <f t="shared" si="22"/>
        <v>0</v>
      </c>
      <c r="V36" s="59">
        <f t="shared" si="23"/>
        <v>0</v>
      </c>
      <c r="W36" s="108"/>
    </row>
    <row r="37" spans="1:23" x14ac:dyDescent="0.15">
      <c r="A37" s="18"/>
      <c r="B37" s="9"/>
      <c r="C37" s="10"/>
      <c r="D37" s="11"/>
      <c r="E37" s="52">
        <f t="shared" si="15"/>
        <v>0</v>
      </c>
      <c r="F37" s="12"/>
      <c r="G37" s="10"/>
      <c r="H37" s="11"/>
      <c r="I37" s="52">
        <f t="shared" si="16"/>
        <v>0</v>
      </c>
      <c r="J37" s="59">
        <f t="shared" si="17"/>
        <v>0</v>
      </c>
      <c r="K37" s="40"/>
      <c r="M37" s="18"/>
      <c r="N37" s="5"/>
      <c r="O37" s="6"/>
      <c r="P37" s="7"/>
      <c r="Q37" s="51">
        <f t="shared" ref="Q37" si="24">SUM(N37:P37)</f>
        <v>0</v>
      </c>
      <c r="R37" s="8"/>
      <c r="S37" s="6"/>
      <c r="T37" s="7"/>
      <c r="U37" s="51">
        <f t="shared" ref="U37" si="25">SUM(R37:T37)</f>
        <v>0</v>
      </c>
      <c r="V37" s="59">
        <f t="shared" ref="V37" si="26">Q37+U37</f>
        <v>0</v>
      </c>
      <c r="W37" s="108"/>
    </row>
    <row r="38" spans="1:23" x14ac:dyDescent="0.15">
      <c r="A38" s="17"/>
      <c r="B38" s="5"/>
      <c r="C38" s="6"/>
      <c r="D38" s="7"/>
      <c r="E38" s="51">
        <f t="shared" si="15"/>
        <v>0</v>
      </c>
      <c r="F38" s="8"/>
      <c r="G38" s="6"/>
      <c r="H38" s="7"/>
      <c r="I38" s="51">
        <f t="shared" si="16"/>
        <v>0</v>
      </c>
      <c r="J38" s="59">
        <f t="shared" si="17"/>
        <v>0</v>
      </c>
      <c r="K38" s="40"/>
      <c r="M38" s="18"/>
      <c r="N38" s="5"/>
      <c r="O38" s="6"/>
      <c r="P38" s="7"/>
      <c r="Q38" s="51">
        <f t="shared" ref="Q38" si="27">SUM(N38:P38)</f>
        <v>0</v>
      </c>
      <c r="R38" s="8"/>
      <c r="S38" s="6"/>
      <c r="T38" s="7"/>
      <c r="U38" s="51">
        <f t="shared" ref="U38" si="28">SUM(R38:T38)</f>
        <v>0</v>
      </c>
      <c r="V38" s="59">
        <f t="shared" ref="V38" si="29">Q38+U38</f>
        <v>0</v>
      </c>
      <c r="W38" s="108"/>
    </row>
    <row r="39" spans="1:23" ht="14.25" thickBot="1" x14ac:dyDescent="0.2">
      <c r="A39" s="18"/>
      <c r="B39" s="9"/>
      <c r="C39" s="10"/>
      <c r="D39" s="11"/>
      <c r="E39" s="55">
        <f t="shared" si="15"/>
        <v>0</v>
      </c>
      <c r="F39" s="12"/>
      <c r="G39" s="10"/>
      <c r="H39" s="11"/>
      <c r="I39" s="55">
        <f t="shared" si="16"/>
        <v>0</v>
      </c>
      <c r="J39" s="59">
        <f t="shared" si="17"/>
        <v>0</v>
      </c>
      <c r="K39" s="40"/>
      <c r="M39" s="18" t="s">
        <v>25</v>
      </c>
      <c r="N39" s="9">
        <v>0</v>
      </c>
      <c r="O39" s="10">
        <v>0</v>
      </c>
      <c r="P39" s="11">
        <v>0</v>
      </c>
      <c r="Q39" s="52">
        <f t="shared" ref="Q39" si="30">SUM(N39:P39)</f>
        <v>0</v>
      </c>
      <c r="R39" s="12">
        <v>0</v>
      </c>
      <c r="S39" s="10">
        <v>0</v>
      </c>
      <c r="T39" s="11">
        <v>0</v>
      </c>
      <c r="U39" s="52">
        <f t="shared" ref="U39" si="31">SUM(R39:T39)</f>
        <v>0</v>
      </c>
      <c r="V39" s="59">
        <f t="shared" ref="V39" si="32">Q39+U39</f>
        <v>0</v>
      </c>
      <c r="W39" s="108">
        <v>45365</v>
      </c>
    </row>
    <row r="40" spans="1:23" ht="14.25" thickBot="1" x14ac:dyDescent="0.2">
      <c r="A40" s="31" t="s">
        <v>19</v>
      </c>
      <c r="B40" s="34">
        <f>SUM(B14:B39)</f>
        <v>16</v>
      </c>
      <c r="C40" s="35">
        <f t="shared" ref="C40:D40" si="33">SUM(C14:C39)</f>
        <v>16</v>
      </c>
      <c r="D40" s="39">
        <f t="shared" si="33"/>
        <v>11</v>
      </c>
      <c r="E40" s="56">
        <f t="shared" si="15"/>
        <v>43</v>
      </c>
      <c r="F40" s="34">
        <f>SUM(F14:F39)</f>
        <v>12</v>
      </c>
      <c r="G40" s="35">
        <f t="shared" ref="G40:H40" si="34">SUM(G14:G39)</f>
        <v>13</v>
      </c>
      <c r="H40" s="39">
        <f t="shared" si="34"/>
        <v>12</v>
      </c>
      <c r="I40" s="56">
        <f t="shared" si="16"/>
        <v>37</v>
      </c>
      <c r="J40" s="62">
        <f>E40+I40</f>
        <v>80</v>
      </c>
      <c r="K40" s="30"/>
      <c r="M40" s="31" t="s">
        <v>19</v>
      </c>
      <c r="N40" s="34">
        <f>SUM(N14:N39)</f>
        <v>304</v>
      </c>
      <c r="O40" s="35">
        <f t="shared" ref="O40:P40" si="35">SUM(O14:O39)</f>
        <v>311</v>
      </c>
      <c r="P40" s="39">
        <f t="shared" si="35"/>
        <v>226</v>
      </c>
      <c r="Q40" s="56">
        <f t="shared" si="21"/>
        <v>841</v>
      </c>
      <c r="R40" s="34">
        <f>SUM(R14:R39)</f>
        <v>306</v>
      </c>
      <c r="S40" s="35">
        <f t="shared" ref="S40:T40" si="36">SUM(S14:S39)</f>
        <v>308</v>
      </c>
      <c r="T40" s="39">
        <f t="shared" si="36"/>
        <v>226</v>
      </c>
      <c r="U40" s="56">
        <f t="shared" si="22"/>
        <v>840</v>
      </c>
      <c r="V40" s="62">
        <f>Q40+U40</f>
        <v>1681</v>
      </c>
      <c r="W40" s="115"/>
    </row>
    <row r="41" spans="1:23" ht="14.25" thickBot="1" x14ac:dyDescent="0.2">
      <c r="A41" s="16" t="s">
        <v>17</v>
      </c>
      <c r="B41" s="63">
        <f>B13-B40</f>
        <v>3</v>
      </c>
      <c r="C41" s="64">
        <f t="shared" ref="C41:D41" si="37">C13-C40</f>
        <v>4</v>
      </c>
      <c r="D41" s="65">
        <f t="shared" si="37"/>
        <v>5</v>
      </c>
      <c r="E41" s="57">
        <f>SUM(B41:D41)</f>
        <v>12</v>
      </c>
      <c r="F41" s="63">
        <f>F13-F40</f>
        <v>4</v>
      </c>
      <c r="G41" s="64">
        <f t="shared" ref="G41:H41" si="38">G13-G40</f>
        <v>4</v>
      </c>
      <c r="H41" s="65">
        <f t="shared" si="38"/>
        <v>4</v>
      </c>
      <c r="I41" s="57">
        <f>SUM(F41:H41)</f>
        <v>12</v>
      </c>
      <c r="J41" s="61">
        <f>E41+I41</f>
        <v>24</v>
      </c>
      <c r="M41" s="16" t="s">
        <v>17</v>
      </c>
      <c r="N41" s="63">
        <f>N13-N40</f>
        <v>56</v>
      </c>
      <c r="O41" s="64">
        <f t="shared" ref="O41:P41" si="39">O13-O40</f>
        <v>84</v>
      </c>
      <c r="P41" s="65">
        <f t="shared" si="39"/>
        <v>30</v>
      </c>
      <c r="Q41" s="57">
        <f>SUM(N41:P41)</f>
        <v>170</v>
      </c>
      <c r="R41" s="63">
        <f>R13-R40</f>
        <v>68</v>
      </c>
      <c r="S41" s="64">
        <f t="shared" ref="S41:T41" si="40">S13-S40</f>
        <v>78</v>
      </c>
      <c r="T41" s="65">
        <f t="shared" si="40"/>
        <v>29</v>
      </c>
      <c r="U41" s="57">
        <f>SUM(R41:T41)</f>
        <v>175</v>
      </c>
      <c r="V41" s="61">
        <f>Q41+U41</f>
        <v>345</v>
      </c>
    </row>
    <row r="44" spans="1:23" ht="19.5" thickBot="1" x14ac:dyDescent="0.25">
      <c r="A44" s="66" t="s">
        <v>23</v>
      </c>
      <c r="B44" s="67"/>
      <c r="C44" s="67"/>
      <c r="D44" s="67"/>
      <c r="E44" s="67"/>
      <c r="F44" s="67"/>
      <c r="G44" s="67"/>
      <c r="H44" s="67"/>
      <c r="I44" s="67" t="s">
        <v>26</v>
      </c>
      <c r="J44" s="67"/>
      <c r="M44" s="73" t="s">
        <v>24</v>
      </c>
      <c r="N44" s="74"/>
      <c r="O44" s="74"/>
      <c r="P44" s="74"/>
      <c r="Q44" s="74"/>
      <c r="R44" s="74"/>
      <c r="S44" s="74"/>
      <c r="T44" s="74"/>
      <c r="U44" s="74"/>
      <c r="V44" s="74"/>
    </row>
    <row r="45" spans="1:23" ht="14.25" thickBot="1" x14ac:dyDescent="0.2">
      <c r="A45" s="4" t="s">
        <v>0</v>
      </c>
      <c r="B45" s="191" t="s">
        <v>21</v>
      </c>
      <c r="C45" s="192"/>
      <c r="D45" s="192"/>
      <c r="E45" s="193"/>
      <c r="F45" s="194" t="s">
        <v>18</v>
      </c>
      <c r="G45" s="195"/>
      <c r="H45" s="195"/>
      <c r="I45" s="196"/>
      <c r="J45" s="189" t="s">
        <v>1</v>
      </c>
      <c r="M45" s="4" t="s">
        <v>0</v>
      </c>
      <c r="N45" s="191" t="s">
        <v>21</v>
      </c>
      <c r="O45" s="192"/>
      <c r="P45" s="192"/>
      <c r="Q45" s="193"/>
      <c r="R45" s="194" t="s">
        <v>18</v>
      </c>
      <c r="S45" s="195"/>
      <c r="T45" s="195"/>
      <c r="U45" s="196"/>
      <c r="V45" s="189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190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190"/>
    </row>
    <row r="47" spans="1:23" ht="14.25" thickBot="1" x14ac:dyDescent="0.2">
      <c r="A47" s="21" t="s">
        <v>20</v>
      </c>
      <c r="B47" s="68">
        <f>B41</f>
        <v>3</v>
      </c>
      <c r="C47" s="69">
        <f>C41</f>
        <v>4</v>
      </c>
      <c r="D47" s="70">
        <f>D41</f>
        <v>5</v>
      </c>
      <c r="E47" s="71">
        <f>SUM(B47:D47)</f>
        <v>12</v>
      </c>
      <c r="F47" s="68">
        <f>F41</f>
        <v>4</v>
      </c>
      <c r="G47" s="69">
        <f>G41</f>
        <v>4</v>
      </c>
      <c r="H47" s="70">
        <f>H41</f>
        <v>4</v>
      </c>
      <c r="I47" s="71">
        <f>SUM(F47:H47)</f>
        <v>12</v>
      </c>
      <c r="J47" s="72">
        <f>E47+I47</f>
        <v>24</v>
      </c>
      <c r="M47" s="21" t="s">
        <v>20</v>
      </c>
      <c r="N47" s="68">
        <f>N41</f>
        <v>56</v>
      </c>
      <c r="O47" s="69">
        <f>O41</f>
        <v>84</v>
      </c>
      <c r="P47" s="70">
        <f>P41</f>
        <v>30</v>
      </c>
      <c r="Q47" s="71">
        <f>SUM(N47:P47)</f>
        <v>170</v>
      </c>
      <c r="R47" s="68">
        <f>R41</f>
        <v>68</v>
      </c>
      <c r="S47" s="69">
        <f>S41</f>
        <v>78</v>
      </c>
      <c r="T47" s="70">
        <f>T41</f>
        <v>29</v>
      </c>
      <c r="U47" s="71">
        <f>SUM(R47:T47)</f>
        <v>175</v>
      </c>
      <c r="V47" s="72">
        <f>Q47+U47</f>
        <v>345</v>
      </c>
    </row>
    <row r="48" spans="1:23" x14ac:dyDescent="0.15">
      <c r="A48" s="19" t="s">
        <v>8</v>
      </c>
      <c r="B48" s="32">
        <v>5</v>
      </c>
      <c r="C48" s="33">
        <v>5</v>
      </c>
      <c r="D48" s="44">
        <v>5</v>
      </c>
      <c r="E48" s="50">
        <f>SUM(B48:D48)</f>
        <v>15</v>
      </c>
      <c r="F48" s="45">
        <v>5</v>
      </c>
      <c r="G48" s="46">
        <v>5</v>
      </c>
      <c r="H48" s="47">
        <v>5</v>
      </c>
      <c r="I48" s="50">
        <f>SUM(F48:H48)</f>
        <v>15</v>
      </c>
      <c r="J48" s="58">
        <f>E48+I48</f>
        <v>30</v>
      </c>
      <c r="K48" s="40">
        <v>45405</v>
      </c>
      <c r="M48" s="82" t="s">
        <v>8</v>
      </c>
      <c r="N48" s="83"/>
      <c r="O48" s="46"/>
      <c r="P48" s="44">
        <v>-50</v>
      </c>
      <c r="Q48" s="50">
        <f>SUM(N48:P48)</f>
        <v>-50</v>
      </c>
      <c r="R48" s="45"/>
      <c r="S48" s="46"/>
      <c r="T48" s="47">
        <v>-50</v>
      </c>
      <c r="U48" s="50">
        <f>SUM(R48:T48)</f>
        <v>-50</v>
      </c>
      <c r="V48" s="84">
        <f>Q48+U48</f>
        <v>-100</v>
      </c>
      <c r="W48" s="108"/>
    </row>
    <row r="49" spans="1:24" x14ac:dyDescent="0.15">
      <c r="A49" s="19" t="s">
        <v>9</v>
      </c>
      <c r="B49" s="5">
        <v>5</v>
      </c>
      <c r="C49" s="6"/>
      <c r="D49" s="14"/>
      <c r="E49" s="51">
        <f>SUM(B49:D49)</f>
        <v>5</v>
      </c>
      <c r="F49" s="15">
        <v>5</v>
      </c>
      <c r="G49" s="13"/>
      <c r="H49" s="14"/>
      <c r="I49" s="51">
        <f>SUM(F49:H49)</f>
        <v>5</v>
      </c>
      <c r="J49" s="59">
        <f>E49+I49</f>
        <v>10</v>
      </c>
      <c r="K49" s="40">
        <v>45413</v>
      </c>
      <c r="M49" s="19" t="s">
        <v>9</v>
      </c>
      <c r="N49" s="78"/>
      <c r="O49" s="79"/>
      <c r="P49" s="80"/>
      <c r="Q49" s="51">
        <f>SUM(N49:P49)</f>
        <v>0</v>
      </c>
      <c r="R49" s="15"/>
      <c r="S49" s="13"/>
      <c r="T49" s="14"/>
      <c r="U49" s="51">
        <f>SUM(R49:T49)</f>
        <v>0</v>
      </c>
      <c r="V49" s="81">
        <f>Q49+U49</f>
        <v>0</v>
      </c>
      <c r="W49" s="108"/>
    </row>
    <row r="50" spans="1:24" x14ac:dyDescent="0.15">
      <c r="A50" s="19" t="s">
        <v>10</v>
      </c>
      <c r="B50" s="5">
        <v>10</v>
      </c>
      <c r="C50" s="6"/>
      <c r="D50" s="7"/>
      <c r="E50" s="51">
        <f t="shared" ref="E50:E55" si="41">SUM(B50:D50)</f>
        <v>10</v>
      </c>
      <c r="F50" s="8">
        <v>10</v>
      </c>
      <c r="G50" s="6"/>
      <c r="H50" s="7">
        <v>10</v>
      </c>
      <c r="I50" s="51">
        <f t="shared" ref="I50:I55" si="42">SUM(F50:H50)</f>
        <v>20</v>
      </c>
      <c r="J50" s="59">
        <f t="shared" ref="J50:J55" si="43">E50+I50</f>
        <v>30</v>
      </c>
      <c r="K50" s="40">
        <v>45420</v>
      </c>
      <c r="M50" s="19" t="s">
        <v>53</v>
      </c>
      <c r="N50" s="5">
        <v>240</v>
      </c>
      <c r="O50" s="6">
        <v>240</v>
      </c>
      <c r="P50" s="7">
        <v>160</v>
      </c>
      <c r="Q50" s="51">
        <f t="shared" ref="Q50" si="44">SUM(N50:P50)</f>
        <v>640</v>
      </c>
      <c r="R50" s="5">
        <v>240</v>
      </c>
      <c r="S50" s="6">
        <v>240</v>
      </c>
      <c r="T50" s="7">
        <v>160</v>
      </c>
      <c r="U50" s="51">
        <f>SUM(R50:T50)</f>
        <v>640</v>
      </c>
      <c r="V50" s="59">
        <f>Q50+U50</f>
        <v>1280</v>
      </c>
      <c r="W50" s="108" t="s">
        <v>59</v>
      </c>
    </row>
    <row r="51" spans="1:24" x14ac:dyDescent="0.15">
      <c r="A51" s="19" t="s">
        <v>11</v>
      </c>
      <c r="B51" s="5"/>
      <c r="C51" s="6">
        <v>5</v>
      </c>
      <c r="D51" s="36">
        <v>5</v>
      </c>
      <c r="E51" s="52">
        <f t="shared" si="41"/>
        <v>10</v>
      </c>
      <c r="F51" s="8"/>
      <c r="G51" s="6">
        <v>10</v>
      </c>
      <c r="H51" s="7">
        <v>5</v>
      </c>
      <c r="I51" s="52">
        <f t="shared" si="42"/>
        <v>15</v>
      </c>
      <c r="J51" s="59">
        <f t="shared" si="43"/>
        <v>25</v>
      </c>
      <c r="K51" s="40">
        <v>45423</v>
      </c>
      <c r="M51" s="19" t="s">
        <v>11</v>
      </c>
      <c r="N51" s="5"/>
      <c r="O51" s="6">
        <v>-35</v>
      </c>
      <c r="P51" s="14">
        <v>-26</v>
      </c>
      <c r="Q51" s="51">
        <f t="shared" ref="Q51" si="45">SUM(N51:P51)</f>
        <v>-61</v>
      </c>
      <c r="R51" s="15">
        <v>-14</v>
      </c>
      <c r="S51" s="13">
        <v>-26</v>
      </c>
      <c r="T51" s="14">
        <v>-25</v>
      </c>
      <c r="U51" s="51">
        <f t="shared" ref="U51" si="46">SUM(R51:T51)</f>
        <v>-65</v>
      </c>
      <c r="V51" s="59">
        <f t="shared" ref="V51" si="47">Q51+U51</f>
        <v>-126</v>
      </c>
      <c r="W51" s="116" t="s">
        <v>50</v>
      </c>
    </row>
    <row r="52" spans="1:24" x14ac:dyDescent="0.15">
      <c r="A52" s="19" t="s">
        <v>95</v>
      </c>
      <c r="B52" s="5"/>
      <c r="C52" s="6">
        <f>1+1</f>
        <v>2</v>
      </c>
      <c r="D52" s="36"/>
      <c r="E52" s="52">
        <f t="shared" si="41"/>
        <v>2</v>
      </c>
      <c r="F52" s="8"/>
      <c r="G52" s="6">
        <v>1</v>
      </c>
      <c r="H52" s="7"/>
      <c r="I52" s="52">
        <f t="shared" si="42"/>
        <v>1</v>
      </c>
      <c r="J52" s="59">
        <f t="shared" si="43"/>
        <v>3</v>
      </c>
      <c r="K52" s="40">
        <v>45425</v>
      </c>
      <c r="L52" s="48"/>
      <c r="M52" s="19"/>
      <c r="N52" s="5"/>
      <c r="O52" s="6"/>
      <c r="P52" s="14"/>
      <c r="Q52" s="51"/>
      <c r="R52" s="15"/>
      <c r="S52" s="13"/>
      <c r="T52" s="14"/>
      <c r="U52" s="51"/>
      <c r="V52" s="59"/>
      <c r="W52" s="115"/>
    </row>
    <row r="53" spans="1:24" x14ac:dyDescent="0.15">
      <c r="A53" s="19" t="s">
        <v>95</v>
      </c>
      <c r="B53" s="5">
        <v>5</v>
      </c>
      <c r="C53" s="6">
        <v>5</v>
      </c>
      <c r="D53" s="36">
        <v>2</v>
      </c>
      <c r="E53" s="52">
        <f t="shared" si="41"/>
        <v>12</v>
      </c>
      <c r="F53" s="8">
        <v>5</v>
      </c>
      <c r="G53" s="6">
        <v>5</v>
      </c>
      <c r="H53" s="7">
        <v>3</v>
      </c>
      <c r="I53" s="52">
        <f t="shared" si="42"/>
        <v>13</v>
      </c>
      <c r="J53" s="59">
        <f t="shared" si="43"/>
        <v>25</v>
      </c>
      <c r="K53" s="40">
        <v>45426</v>
      </c>
      <c r="M53" s="19" t="s">
        <v>106</v>
      </c>
      <c r="N53" s="5"/>
      <c r="O53" s="6"/>
      <c r="P53" s="14"/>
      <c r="Q53" s="51"/>
      <c r="R53" s="15"/>
      <c r="S53" s="13">
        <v>4</v>
      </c>
      <c r="T53" s="14">
        <v>5</v>
      </c>
      <c r="U53" s="51"/>
      <c r="V53" s="59"/>
      <c r="W53" s="117">
        <v>45430</v>
      </c>
    </row>
    <row r="54" spans="1:24" x14ac:dyDescent="0.15">
      <c r="A54" s="19" t="s">
        <v>14</v>
      </c>
      <c r="B54" s="9"/>
      <c r="C54" s="10"/>
      <c r="D54" s="37"/>
      <c r="E54" s="52">
        <f t="shared" si="41"/>
        <v>0</v>
      </c>
      <c r="F54" s="12"/>
      <c r="G54" s="10"/>
      <c r="H54" s="11"/>
      <c r="I54" s="52">
        <f t="shared" si="42"/>
        <v>0</v>
      </c>
      <c r="J54" s="59">
        <f t="shared" si="43"/>
        <v>0</v>
      </c>
      <c r="K54" s="41"/>
      <c r="M54" s="19" t="s">
        <v>14</v>
      </c>
      <c r="N54" s="9"/>
      <c r="O54" s="10"/>
      <c r="P54" s="37"/>
      <c r="Q54" s="52">
        <f t="shared" ref="Q54:Q55" si="48">SUM(N54:P54)</f>
        <v>0</v>
      </c>
      <c r="R54" s="12"/>
      <c r="S54" s="10"/>
      <c r="T54" s="11"/>
      <c r="U54" s="52">
        <f t="shared" ref="U54:U55" si="49">SUM(R54:T54)</f>
        <v>0</v>
      </c>
      <c r="V54" s="59">
        <f t="shared" ref="V54:V55" si="50">Q54+U54</f>
        <v>0</v>
      </c>
    </row>
    <row r="55" spans="1:24" ht="14.25" thickBot="1" x14ac:dyDescent="0.2">
      <c r="A55" s="19" t="s">
        <v>15</v>
      </c>
      <c r="B55" s="25"/>
      <c r="C55" s="26"/>
      <c r="D55" s="38"/>
      <c r="E55" s="53">
        <f t="shared" si="41"/>
        <v>0</v>
      </c>
      <c r="F55" s="27"/>
      <c r="G55" s="27"/>
      <c r="H55" s="29"/>
      <c r="I55" s="53">
        <f t="shared" si="42"/>
        <v>0</v>
      </c>
      <c r="J55" s="60">
        <f t="shared" si="43"/>
        <v>0</v>
      </c>
      <c r="K55" s="40"/>
      <c r="M55" s="19" t="s">
        <v>15</v>
      </c>
      <c r="N55" s="25"/>
      <c r="O55" s="26"/>
      <c r="P55" s="38"/>
      <c r="Q55" s="53">
        <f t="shared" si="48"/>
        <v>0</v>
      </c>
      <c r="R55" s="27"/>
      <c r="S55" s="27"/>
      <c r="T55" s="29"/>
      <c r="U55" s="53">
        <f t="shared" si="49"/>
        <v>0</v>
      </c>
      <c r="V55" s="60">
        <f t="shared" si="50"/>
        <v>0</v>
      </c>
    </row>
    <row r="56" spans="1:24" ht="14.25" thickBot="1" x14ac:dyDescent="0.2">
      <c r="A56" s="28" t="s">
        <v>16</v>
      </c>
      <c r="B56" s="22">
        <f>SUM(B47:B55)</f>
        <v>28</v>
      </c>
      <c r="C56" s="23">
        <f t="shared" ref="C56:D56" si="51">SUM(C47:C55)</f>
        <v>21</v>
      </c>
      <c r="D56" s="24">
        <f t="shared" si="51"/>
        <v>17</v>
      </c>
      <c r="E56" s="54">
        <f>SUM(B56:D56)</f>
        <v>66</v>
      </c>
      <c r="F56" s="22">
        <f>SUM(F47:F55)</f>
        <v>29</v>
      </c>
      <c r="G56" s="23">
        <f t="shared" ref="G56:H56" si="52">SUM(G47:G55)</f>
        <v>25</v>
      </c>
      <c r="H56" s="24">
        <f t="shared" si="52"/>
        <v>27</v>
      </c>
      <c r="I56" s="54">
        <f>SUM(F56:H56)</f>
        <v>81</v>
      </c>
      <c r="J56" s="61">
        <f>SUM(J48:J55)</f>
        <v>123</v>
      </c>
      <c r="M56" s="28" t="s">
        <v>16</v>
      </c>
      <c r="N56" s="22">
        <f>SUM(N47:N55)</f>
        <v>296</v>
      </c>
      <c r="O56" s="23">
        <f t="shared" ref="O56:P56" si="53">SUM(O47:O55)</f>
        <v>289</v>
      </c>
      <c r="P56" s="24">
        <f t="shared" si="53"/>
        <v>114</v>
      </c>
      <c r="Q56" s="54">
        <f>SUM(N56:P56)</f>
        <v>699</v>
      </c>
      <c r="R56" s="22">
        <f>SUM(R47:R55)</f>
        <v>294</v>
      </c>
      <c r="S56" s="23">
        <f t="shared" ref="S56:T56" si="54">SUM(S47:S55)</f>
        <v>296</v>
      </c>
      <c r="T56" s="24">
        <f t="shared" si="54"/>
        <v>119</v>
      </c>
      <c r="U56" s="54">
        <f>SUM(R56:T56)</f>
        <v>709</v>
      </c>
      <c r="V56" s="61">
        <f>Q56+U56</f>
        <v>1408</v>
      </c>
    </row>
    <row r="57" spans="1:24" x14ac:dyDescent="0.15">
      <c r="A57" s="17" t="s">
        <v>57</v>
      </c>
      <c r="B57" s="9">
        <v>1</v>
      </c>
      <c r="C57" s="10"/>
      <c r="D57" s="11"/>
      <c r="E57" s="51">
        <f t="shared" ref="E57" si="55">SUM(B57:D57)</f>
        <v>1</v>
      </c>
      <c r="F57" s="12">
        <v>1</v>
      </c>
      <c r="G57" s="10"/>
      <c r="H57" s="11"/>
      <c r="I57" s="51">
        <f t="shared" ref="I57" si="56">SUM(F57:H57)</f>
        <v>1</v>
      </c>
      <c r="J57" s="59">
        <f t="shared" ref="J57" si="57">E57+I57</f>
        <v>2</v>
      </c>
      <c r="K57" s="40">
        <v>45402</v>
      </c>
      <c r="M57" s="18" t="s">
        <v>65</v>
      </c>
      <c r="N57" s="9">
        <v>41</v>
      </c>
      <c r="O57" s="10">
        <v>9</v>
      </c>
      <c r="P57" s="11"/>
      <c r="Q57" s="51">
        <f>SUM(N57:P57)</f>
        <v>50</v>
      </c>
      <c r="R57" s="12">
        <v>41</v>
      </c>
      <c r="S57" s="10">
        <v>9</v>
      </c>
      <c r="T57" s="11"/>
      <c r="U57" s="51">
        <f>SUM(R57:T57)</f>
        <v>50</v>
      </c>
      <c r="V57" s="59">
        <f>Q57+U57</f>
        <v>100</v>
      </c>
      <c r="W57" s="108">
        <v>45394</v>
      </c>
      <c r="X57" s="48"/>
    </row>
    <row r="58" spans="1:24" x14ac:dyDescent="0.15">
      <c r="A58" s="17" t="s">
        <v>57</v>
      </c>
      <c r="B58" s="5"/>
      <c r="C58" s="6"/>
      <c r="D58" s="7">
        <v>1</v>
      </c>
      <c r="E58" s="51">
        <f t="shared" ref="E58:E83" si="58">SUM(B58:D58)</f>
        <v>1</v>
      </c>
      <c r="F58" s="8"/>
      <c r="G58" s="6"/>
      <c r="H58" s="7">
        <v>2</v>
      </c>
      <c r="I58" s="51">
        <f t="shared" ref="I58:I83" si="59">SUM(F58:H58)</f>
        <v>2</v>
      </c>
      <c r="J58" s="59">
        <f t="shared" ref="J58:J82" si="60">E58+I58</f>
        <v>3</v>
      </c>
      <c r="K58" s="40">
        <v>45404</v>
      </c>
      <c r="M58" s="18" t="s">
        <v>67</v>
      </c>
      <c r="N58" s="5">
        <v>19</v>
      </c>
      <c r="O58" s="6">
        <v>11</v>
      </c>
      <c r="P58" s="7">
        <v>3</v>
      </c>
      <c r="Q58" s="51">
        <f t="shared" ref="Q58:Q83" si="61">SUM(N58:P58)</f>
        <v>33</v>
      </c>
      <c r="R58" s="8">
        <v>19</v>
      </c>
      <c r="S58" s="6">
        <v>11</v>
      </c>
      <c r="T58" s="7">
        <v>3</v>
      </c>
      <c r="U58" s="51">
        <f t="shared" ref="U58:U83" si="62">SUM(R58:T58)</f>
        <v>33</v>
      </c>
      <c r="V58" s="59">
        <f t="shared" ref="V58:V74" si="63">Q58+U58</f>
        <v>66</v>
      </c>
      <c r="W58" s="108">
        <v>45397</v>
      </c>
      <c r="X58" s="48"/>
    </row>
    <row r="59" spans="1:24" x14ac:dyDescent="0.15">
      <c r="A59" s="17" t="s">
        <v>82</v>
      </c>
      <c r="B59" s="5"/>
      <c r="C59" s="6"/>
      <c r="D59" s="7"/>
      <c r="E59" s="51">
        <f t="shared" si="58"/>
        <v>0</v>
      </c>
      <c r="F59" s="8"/>
      <c r="G59" s="6"/>
      <c r="H59" s="7">
        <v>1</v>
      </c>
      <c r="I59" s="51">
        <f t="shared" si="59"/>
        <v>1</v>
      </c>
      <c r="J59" s="59">
        <f t="shared" si="60"/>
        <v>1</v>
      </c>
      <c r="K59" s="40">
        <v>45406</v>
      </c>
      <c r="M59" s="18" t="s">
        <v>68</v>
      </c>
      <c r="N59" s="5">
        <v>15</v>
      </c>
      <c r="O59" s="6">
        <v>11</v>
      </c>
      <c r="P59" s="7">
        <v>7</v>
      </c>
      <c r="Q59" s="51">
        <f t="shared" si="61"/>
        <v>33</v>
      </c>
      <c r="R59" s="8">
        <v>15</v>
      </c>
      <c r="S59" s="6">
        <v>11</v>
      </c>
      <c r="T59" s="7">
        <v>7</v>
      </c>
      <c r="U59" s="51">
        <f t="shared" si="62"/>
        <v>33</v>
      </c>
      <c r="V59" s="59">
        <f t="shared" si="63"/>
        <v>66</v>
      </c>
      <c r="W59" s="108">
        <v>45398</v>
      </c>
    </row>
    <row r="60" spans="1:24" x14ac:dyDescent="0.15">
      <c r="A60" s="17" t="s">
        <v>57</v>
      </c>
      <c r="B60" s="5">
        <f>2+1</f>
        <v>3</v>
      </c>
      <c r="C60" s="6"/>
      <c r="D60" s="7"/>
      <c r="E60" s="51">
        <f t="shared" si="58"/>
        <v>3</v>
      </c>
      <c r="F60" s="8">
        <v>2</v>
      </c>
      <c r="G60" s="6"/>
      <c r="H60" s="7"/>
      <c r="I60" s="51">
        <f t="shared" si="59"/>
        <v>2</v>
      </c>
      <c r="J60" s="59">
        <f t="shared" si="60"/>
        <v>5</v>
      </c>
      <c r="K60" s="40">
        <v>45407</v>
      </c>
      <c r="L60" s="48"/>
      <c r="M60" s="18" t="s">
        <v>69</v>
      </c>
      <c r="N60" s="5">
        <v>11</v>
      </c>
      <c r="O60" s="6"/>
      <c r="P60" s="7">
        <v>4</v>
      </c>
      <c r="Q60" s="51">
        <f t="shared" si="61"/>
        <v>15</v>
      </c>
      <c r="R60" s="8">
        <v>11</v>
      </c>
      <c r="S60" s="6"/>
      <c r="T60" s="7">
        <v>4</v>
      </c>
      <c r="U60" s="51">
        <f t="shared" si="62"/>
        <v>15</v>
      </c>
      <c r="V60" s="59">
        <f t="shared" si="63"/>
        <v>30</v>
      </c>
      <c r="W60" s="108">
        <v>45399</v>
      </c>
    </row>
    <row r="61" spans="1:24" x14ac:dyDescent="0.15">
      <c r="A61" s="17" t="s">
        <v>77</v>
      </c>
      <c r="B61" s="5"/>
      <c r="C61" s="6"/>
      <c r="D61" s="7"/>
      <c r="E61" s="51">
        <f t="shared" si="58"/>
        <v>0</v>
      </c>
      <c r="F61" s="8">
        <v>4</v>
      </c>
      <c r="G61" s="6"/>
      <c r="H61" s="7"/>
      <c r="I61" s="51">
        <f t="shared" si="59"/>
        <v>4</v>
      </c>
      <c r="J61" s="59">
        <f t="shared" si="60"/>
        <v>4</v>
      </c>
      <c r="K61" s="40">
        <v>45413</v>
      </c>
      <c r="L61" s="48"/>
      <c r="M61" s="18" t="s">
        <v>75</v>
      </c>
      <c r="N61" s="5"/>
      <c r="O61" s="6">
        <v>5</v>
      </c>
      <c r="P61" s="7">
        <v>5</v>
      </c>
      <c r="Q61" s="51">
        <f t="shared" si="61"/>
        <v>10</v>
      </c>
      <c r="R61" s="8"/>
      <c r="S61" s="6">
        <v>5</v>
      </c>
      <c r="T61" s="7">
        <v>5</v>
      </c>
      <c r="U61" s="51">
        <f t="shared" si="62"/>
        <v>10</v>
      </c>
      <c r="V61" s="59">
        <f t="shared" si="63"/>
        <v>20</v>
      </c>
      <c r="W61" s="108">
        <v>45404</v>
      </c>
    </row>
    <row r="62" spans="1:24" x14ac:dyDescent="0.15">
      <c r="A62" s="17" t="s">
        <v>57</v>
      </c>
      <c r="B62" s="5">
        <f>1+1</f>
        <v>2</v>
      </c>
      <c r="C62" s="6"/>
      <c r="D62" s="14"/>
      <c r="E62" s="51">
        <f t="shared" si="58"/>
        <v>2</v>
      </c>
      <c r="F62" s="15">
        <v>1</v>
      </c>
      <c r="G62" s="13"/>
      <c r="H62" s="14"/>
      <c r="I62" s="51">
        <f t="shared" si="59"/>
        <v>1</v>
      </c>
      <c r="J62" s="59">
        <f t="shared" si="60"/>
        <v>3</v>
      </c>
      <c r="K62" s="40">
        <v>45412</v>
      </c>
      <c r="M62" s="18" t="s">
        <v>76</v>
      </c>
      <c r="N62" s="5"/>
      <c r="O62" s="6">
        <v>1</v>
      </c>
      <c r="P62" s="14">
        <v>5</v>
      </c>
      <c r="Q62" s="51">
        <f t="shared" si="61"/>
        <v>6</v>
      </c>
      <c r="R62" s="15"/>
      <c r="S62" s="13">
        <v>1</v>
      </c>
      <c r="T62" s="14">
        <v>5</v>
      </c>
      <c r="U62" s="51">
        <f t="shared" si="62"/>
        <v>6</v>
      </c>
      <c r="V62" s="59">
        <f t="shared" si="63"/>
        <v>12</v>
      </c>
      <c r="W62" s="108">
        <v>45404</v>
      </c>
      <c r="X62" s="48"/>
    </row>
    <row r="63" spans="1:24" x14ac:dyDescent="0.15">
      <c r="A63" s="17" t="s">
        <v>57</v>
      </c>
      <c r="B63" s="5">
        <v>1</v>
      </c>
      <c r="C63" s="6"/>
      <c r="D63" s="7"/>
      <c r="E63" s="51">
        <f t="shared" si="58"/>
        <v>1</v>
      </c>
      <c r="F63" s="8">
        <v>1</v>
      </c>
      <c r="G63" s="6"/>
      <c r="H63" s="7">
        <v>1</v>
      </c>
      <c r="I63" s="51">
        <f t="shared" si="59"/>
        <v>2</v>
      </c>
      <c r="J63" s="59">
        <f t="shared" si="60"/>
        <v>3</v>
      </c>
      <c r="K63" s="40">
        <v>45413</v>
      </c>
      <c r="M63" s="18" t="s">
        <v>78</v>
      </c>
      <c r="N63" s="5"/>
      <c r="O63" s="6">
        <v>5</v>
      </c>
      <c r="P63" s="7">
        <v>6</v>
      </c>
      <c r="Q63" s="51">
        <f t="shared" si="61"/>
        <v>11</v>
      </c>
      <c r="R63" s="8"/>
      <c r="S63" s="6">
        <v>5</v>
      </c>
      <c r="T63" s="7">
        <v>6</v>
      </c>
      <c r="U63" s="51">
        <f t="shared" si="62"/>
        <v>11</v>
      </c>
      <c r="V63" s="59">
        <f t="shared" si="63"/>
        <v>22</v>
      </c>
      <c r="W63" s="108">
        <v>45406</v>
      </c>
    </row>
    <row r="64" spans="1:24" x14ac:dyDescent="0.15">
      <c r="A64" s="17" t="s">
        <v>57</v>
      </c>
      <c r="B64" s="5">
        <v>1</v>
      </c>
      <c r="C64" s="6"/>
      <c r="D64" s="7"/>
      <c r="E64" s="51">
        <f t="shared" ref="E64" si="64">SUM(B64:D64)</f>
        <v>1</v>
      </c>
      <c r="F64" s="8"/>
      <c r="G64" s="6"/>
      <c r="H64" s="7"/>
      <c r="I64" s="51">
        <f t="shared" ref="I64" si="65">SUM(F64:H64)</f>
        <v>0</v>
      </c>
      <c r="J64" s="59">
        <f t="shared" ref="J64" si="66">E64+I64</f>
        <v>1</v>
      </c>
      <c r="K64" s="40">
        <v>45414</v>
      </c>
      <c r="M64" s="18" t="s">
        <v>79</v>
      </c>
      <c r="N64" s="5" t="s">
        <v>22</v>
      </c>
      <c r="O64" s="6"/>
      <c r="P64" s="7">
        <v>6</v>
      </c>
      <c r="Q64" s="51">
        <f t="shared" si="61"/>
        <v>6</v>
      </c>
      <c r="R64" s="8"/>
      <c r="S64" s="6"/>
      <c r="T64" s="7">
        <v>6</v>
      </c>
      <c r="U64" s="51">
        <f t="shared" si="62"/>
        <v>6</v>
      </c>
      <c r="V64" s="59">
        <f t="shared" si="63"/>
        <v>12</v>
      </c>
      <c r="W64" s="108">
        <v>45406</v>
      </c>
      <c r="X64" s="48"/>
    </row>
    <row r="65" spans="1:25" x14ac:dyDescent="0.15">
      <c r="A65" s="17" t="s">
        <v>57</v>
      </c>
      <c r="B65" s="5">
        <f>1+1</f>
        <v>2</v>
      </c>
      <c r="C65" s="6"/>
      <c r="D65" s="7">
        <f>1+1</f>
        <v>2</v>
      </c>
      <c r="E65" s="51">
        <f>SUM(B65:D65)</f>
        <v>4</v>
      </c>
      <c r="F65" s="8">
        <f>1+1</f>
        <v>2</v>
      </c>
      <c r="G65" s="6"/>
      <c r="H65" s="7">
        <f>3+1</f>
        <v>4</v>
      </c>
      <c r="I65" s="51">
        <f t="shared" si="59"/>
        <v>6</v>
      </c>
      <c r="J65" s="59">
        <f t="shared" si="60"/>
        <v>10</v>
      </c>
      <c r="K65" s="40">
        <v>45419</v>
      </c>
      <c r="M65" s="20" t="s">
        <v>41</v>
      </c>
      <c r="N65" s="5">
        <v>5</v>
      </c>
      <c r="O65" s="6">
        <v>5</v>
      </c>
      <c r="P65" s="7">
        <v>5</v>
      </c>
      <c r="Q65" s="51">
        <f>SUM(N65:P65)</f>
        <v>15</v>
      </c>
      <c r="R65" s="8">
        <v>5</v>
      </c>
      <c r="S65" s="6">
        <v>5</v>
      </c>
      <c r="T65" s="7">
        <v>5</v>
      </c>
      <c r="U65" s="51">
        <f>SUM(R65:T65)</f>
        <v>15</v>
      </c>
      <c r="V65" s="59">
        <f>Q65+U65</f>
        <v>30</v>
      </c>
      <c r="W65" s="108">
        <v>45405</v>
      </c>
      <c r="X65" s="48"/>
    </row>
    <row r="66" spans="1:25" x14ac:dyDescent="0.15">
      <c r="A66" s="18" t="s">
        <v>77</v>
      </c>
      <c r="B66" s="9"/>
      <c r="C66" s="10"/>
      <c r="D66" s="11"/>
      <c r="E66" s="51">
        <f t="shared" si="58"/>
        <v>0</v>
      </c>
      <c r="F66" s="12"/>
      <c r="G66" s="10">
        <v>3</v>
      </c>
      <c r="H66" s="11"/>
      <c r="I66" s="51">
        <f t="shared" si="59"/>
        <v>3</v>
      </c>
      <c r="J66" s="59">
        <f t="shared" si="60"/>
        <v>3</v>
      </c>
      <c r="K66" s="40">
        <v>45421</v>
      </c>
      <c r="M66" s="18" t="s">
        <v>80</v>
      </c>
      <c r="N66" s="9"/>
      <c r="O66" s="10">
        <v>10</v>
      </c>
      <c r="P66" s="11"/>
      <c r="Q66" s="51">
        <f t="shared" si="61"/>
        <v>10</v>
      </c>
      <c r="R66" s="12"/>
      <c r="S66" s="10">
        <v>10</v>
      </c>
      <c r="T66" s="11"/>
      <c r="U66" s="51">
        <f t="shared" si="62"/>
        <v>10</v>
      </c>
      <c r="V66" s="59">
        <f t="shared" si="63"/>
        <v>20</v>
      </c>
      <c r="W66" s="108">
        <v>45408</v>
      </c>
    </row>
    <row r="67" spans="1:25" x14ac:dyDescent="0.15">
      <c r="A67" s="17" t="s">
        <v>57</v>
      </c>
      <c r="B67" s="5">
        <v>1</v>
      </c>
      <c r="C67" s="6">
        <v>3</v>
      </c>
      <c r="D67" s="7">
        <v>1</v>
      </c>
      <c r="E67" s="51">
        <f t="shared" si="58"/>
        <v>5</v>
      </c>
      <c r="F67" s="8">
        <v>1</v>
      </c>
      <c r="G67" s="6">
        <f>1+2</f>
        <v>3</v>
      </c>
      <c r="H67" s="7">
        <v>1</v>
      </c>
      <c r="I67" s="51">
        <f t="shared" si="59"/>
        <v>5</v>
      </c>
      <c r="J67" s="59">
        <f t="shared" si="60"/>
        <v>10</v>
      </c>
      <c r="K67" s="40">
        <v>45422</v>
      </c>
      <c r="M67" s="18" t="s">
        <v>83</v>
      </c>
      <c r="N67" s="5">
        <v>30</v>
      </c>
      <c r="O67" s="6"/>
      <c r="P67" s="7">
        <v>20</v>
      </c>
      <c r="Q67" s="51">
        <f t="shared" si="61"/>
        <v>50</v>
      </c>
      <c r="R67" s="8">
        <v>30</v>
      </c>
      <c r="S67" s="6"/>
      <c r="T67" s="7">
        <v>20</v>
      </c>
      <c r="U67" s="51">
        <f t="shared" si="62"/>
        <v>50</v>
      </c>
      <c r="V67" s="59">
        <f t="shared" si="63"/>
        <v>100</v>
      </c>
      <c r="W67" s="108">
        <v>45412</v>
      </c>
    </row>
    <row r="68" spans="1:25" x14ac:dyDescent="0.15">
      <c r="A68" s="17" t="s">
        <v>57</v>
      </c>
      <c r="B68" s="5">
        <v>1</v>
      </c>
      <c r="C68" s="6"/>
      <c r="D68" s="7">
        <v>1</v>
      </c>
      <c r="E68" s="51">
        <f t="shared" si="58"/>
        <v>2</v>
      </c>
      <c r="F68" s="8"/>
      <c r="G68" s="6"/>
      <c r="H68" s="7"/>
      <c r="I68" s="51">
        <f t="shared" si="59"/>
        <v>0</v>
      </c>
      <c r="J68" s="59">
        <f t="shared" si="60"/>
        <v>2</v>
      </c>
      <c r="K68" s="40">
        <v>45423</v>
      </c>
      <c r="M68" s="18" t="s">
        <v>84</v>
      </c>
      <c r="N68" s="5"/>
      <c r="O68" s="6"/>
      <c r="P68" s="7">
        <v>2</v>
      </c>
      <c r="Q68" s="51">
        <f t="shared" si="61"/>
        <v>2</v>
      </c>
      <c r="R68" s="8"/>
      <c r="S68" s="6"/>
      <c r="T68" s="7">
        <v>2</v>
      </c>
      <c r="U68" s="51">
        <f t="shared" si="62"/>
        <v>2</v>
      </c>
      <c r="V68" s="59">
        <f t="shared" si="63"/>
        <v>4</v>
      </c>
      <c r="W68" s="108">
        <v>45412</v>
      </c>
    </row>
    <row r="69" spans="1:25" x14ac:dyDescent="0.15">
      <c r="A69" s="17" t="s">
        <v>57</v>
      </c>
      <c r="B69" s="5">
        <f>2+1</f>
        <v>3</v>
      </c>
      <c r="C69" s="6"/>
      <c r="D69" s="7"/>
      <c r="E69" s="51">
        <f t="shared" si="58"/>
        <v>3</v>
      </c>
      <c r="F69" s="8">
        <v>1</v>
      </c>
      <c r="G69" s="6"/>
      <c r="H69" s="7"/>
      <c r="I69" s="51">
        <f t="shared" si="59"/>
        <v>1</v>
      </c>
      <c r="J69" s="59">
        <f t="shared" si="60"/>
        <v>4</v>
      </c>
      <c r="K69" s="40">
        <v>45425</v>
      </c>
      <c r="M69" s="20" t="s">
        <v>86</v>
      </c>
      <c r="N69" s="5">
        <v>12</v>
      </c>
      <c r="O69" s="6">
        <v>50</v>
      </c>
      <c r="P69" s="7">
        <v>20</v>
      </c>
      <c r="Q69" s="51">
        <f t="shared" si="61"/>
        <v>82</v>
      </c>
      <c r="R69" s="8">
        <v>15</v>
      </c>
      <c r="S69" s="6">
        <v>45</v>
      </c>
      <c r="T69" s="7">
        <v>15</v>
      </c>
      <c r="U69" s="51">
        <f t="shared" si="62"/>
        <v>75</v>
      </c>
      <c r="V69" s="59">
        <f t="shared" si="63"/>
        <v>157</v>
      </c>
      <c r="W69" s="108">
        <v>45408</v>
      </c>
    </row>
    <row r="70" spans="1:25" x14ac:dyDescent="0.15">
      <c r="A70" s="17" t="s">
        <v>57</v>
      </c>
      <c r="B70" s="5">
        <v>1</v>
      </c>
      <c r="C70" s="6"/>
      <c r="D70" s="7"/>
      <c r="E70" s="51">
        <f t="shared" si="58"/>
        <v>1</v>
      </c>
      <c r="F70" s="8">
        <v>1</v>
      </c>
      <c r="G70" s="6"/>
      <c r="H70" s="7"/>
      <c r="I70" s="51">
        <f t="shared" si="59"/>
        <v>1</v>
      </c>
      <c r="J70" s="59">
        <f t="shared" si="60"/>
        <v>2</v>
      </c>
      <c r="K70" s="40">
        <v>45426</v>
      </c>
      <c r="M70" s="18" t="s">
        <v>85</v>
      </c>
      <c r="N70" s="5"/>
      <c r="O70" s="6"/>
      <c r="P70" s="7"/>
      <c r="Q70" s="51">
        <f t="shared" si="61"/>
        <v>0</v>
      </c>
      <c r="R70" s="8"/>
      <c r="S70" s="6">
        <v>5</v>
      </c>
      <c r="T70" s="7">
        <v>10</v>
      </c>
      <c r="U70" s="51">
        <f t="shared" si="62"/>
        <v>15</v>
      </c>
      <c r="V70" s="59">
        <f t="shared" si="63"/>
        <v>15</v>
      </c>
      <c r="W70" s="108">
        <v>45418</v>
      </c>
    </row>
    <row r="71" spans="1:25" x14ac:dyDescent="0.15">
      <c r="A71" s="17" t="s">
        <v>101</v>
      </c>
      <c r="B71" s="5">
        <v>-1</v>
      </c>
      <c r="C71" s="6"/>
      <c r="D71" s="7"/>
      <c r="E71" s="51">
        <f t="shared" si="58"/>
        <v>-1</v>
      </c>
      <c r="F71" s="8">
        <v>-1</v>
      </c>
      <c r="G71" s="6"/>
      <c r="H71" s="7"/>
      <c r="I71" s="51">
        <f t="shared" si="59"/>
        <v>-1</v>
      </c>
      <c r="J71" s="59">
        <f t="shared" si="60"/>
        <v>-2</v>
      </c>
      <c r="K71" s="40">
        <v>45429</v>
      </c>
      <c r="M71" s="20" t="s">
        <v>87</v>
      </c>
      <c r="N71" s="5">
        <v>13</v>
      </c>
      <c r="O71" s="6"/>
      <c r="P71" s="7"/>
      <c r="Q71" s="51">
        <f t="shared" si="61"/>
        <v>13</v>
      </c>
      <c r="R71" s="8">
        <v>3</v>
      </c>
      <c r="S71" s="6"/>
      <c r="T71" s="7"/>
      <c r="U71" s="51">
        <f t="shared" si="62"/>
        <v>3</v>
      </c>
      <c r="V71" s="59">
        <f t="shared" si="63"/>
        <v>16</v>
      </c>
      <c r="W71" s="108">
        <v>45413</v>
      </c>
      <c r="X71" s="48"/>
    </row>
    <row r="72" spans="1:25" x14ac:dyDescent="0.15">
      <c r="A72" s="17" t="s">
        <v>77</v>
      </c>
      <c r="B72" s="5">
        <v>4</v>
      </c>
      <c r="C72" s="6">
        <v>4</v>
      </c>
      <c r="D72" s="7">
        <v>2</v>
      </c>
      <c r="E72" s="51">
        <f t="shared" si="58"/>
        <v>10</v>
      </c>
      <c r="F72" s="8">
        <v>3</v>
      </c>
      <c r="G72" s="6">
        <v>7</v>
      </c>
      <c r="H72" s="7">
        <v>3</v>
      </c>
      <c r="I72" s="51">
        <f t="shared" si="59"/>
        <v>13</v>
      </c>
      <c r="J72" s="59">
        <f t="shared" si="60"/>
        <v>23</v>
      </c>
      <c r="K72" s="40">
        <v>45430</v>
      </c>
      <c r="M72" s="20" t="s">
        <v>41</v>
      </c>
      <c r="N72" s="5">
        <v>5</v>
      </c>
      <c r="O72" s="6"/>
      <c r="P72" s="7"/>
      <c r="Q72" s="51">
        <f>SUM(N72:P72)</f>
        <v>5</v>
      </c>
      <c r="R72" s="8">
        <v>5</v>
      </c>
      <c r="S72" s="6"/>
      <c r="T72" s="7"/>
      <c r="U72" s="51">
        <f>SUM(R72:T72)</f>
        <v>5</v>
      </c>
      <c r="V72" s="59">
        <f>Q72+U72</f>
        <v>10</v>
      </c>
      <c r="W72" s="108">
        <v>45413</v>
      </c>
      <c r="X72" s="48"/>
    </row>
    <row r="73" spans="1:25" x14ac:dyDescent="0.15">
      <c r="A73" s="17" t="s">
        <v>57</v>
      </c>
      <c r="B73" s="5"/>
      <c r="C73" s="6"/>
      <c r="D73" s="7"/>
      <c r="E73" s="51">
        <f t="shared" si="58"/>
        <v>0</v>
      </c>
      <c r="F73" s="8"/>
      <c r="G73" s="6">
        <v>1</v>
      </c>
      <c r="H73" s="7"/>
      <c r="I73" s="51">
        <f t="shared" si="59"/>
        <v>1</v>
      </c>
      <c r="J73" s="59">
        <f t="shared" si="60"/>
        <v>1</v>
      </c>
      <c r="K73" s="40">
        <v>45429</v>
      </c>
      <c r="M73" s="18" t="s">
        <v>88</v>
      </c>
      <c r="N73" s="5"/>
      <c r="O73" s="6">
        <v>31</v>
      </c>
      <c r="P73" s="7"/>
      <c r="Q73" s="51">
        <f t="shared" si="61"/>
        <v>31</v>
      </c>
      <c r="R73" s="8"/>
      <c r="S73" s="6">
        <v>31</v>
      </c>
      <c r="T73" s="7"/>
      <c r="U73" s="51">
        <f t="shared" si="62"/>
        <v>31</v>
      </c>
      <c r="V73" s="59">
        <f t="shared" si="63"/>
        <v>62</v>
      </c>
      <c r="W73" s="108">
        <v>45419</v>
      </c>
      <c r="X73" s="40"/>
      <c r="Y73" s="48"/>
    </row>
    <row r="74" spans="1:25" ht="14.25" x14ac:dyDescent="0.15">
      <c r="A74" s="17" t="s">
        <v>105</v>
      </c>
      <c r="B74" s="5"/>
      <c r="C74" s="6"/>
      <c r="D74" s="7"/>
      <c r="E74" s="51">
        <f t="shared" si="58"/>
        <v>0</v>
      </c>
      <c r="F74" s="8"/>
      <c r="G74" s="6">
        <v>4</v>
      </c>
      <c r="H74" s="7">
        <v>5</v>
      </c>
      <c r="I74" s="51">
        <f t="shared" si="59"/>
        <v>9</v>
      </c>
      <c r="J74" s="59">
        <f t="shared" si="60"/>
        <v>9</v>
      </c>
      <c r="K74" s="40">
        <v>45430</v>
      </c>
      <c r="M74" s="17" t="s">
        <v>38</v>
      </c>
      <c r="N74" s="5">
        <v>3</v>
      </c>
      <c r="O74" s="6">
        <v>3</v>
      </c>
      <c r="P74" s="7">
        <v>1</v>
      </c>
      <c r="Q74" s="51">
        <f t="shared" si="61"/>
        <v>7</v>
      </c>
      <c r="R74" s="8">
        <v>2</v>
      </c>
      <c r="S74" s="6">
        <v>2</v>
      </c>
      <c r="T74" s="7">
        <v>1</v>
      </c>
      <c r="U74" s="51">
        <f t="shared" si="62"/>
        <v>5</v>
      </c>
      <c r="V74" s="59">
        <f t="shared" si="63"/>
        <v>12</v>
      </c>
      <c r="W74" s="118">
        <v>45415</v>
      </c>
      <c r="X74" s="48"/>
    </row>
    <row r="75" spans="1:25" x14ac:dyDescent="0.15">
      <c r="A75" s="17" t="s">
        <v>57</v>
      </c>
      <c r="B75" s="5"/>
      <c r="C75" s="6">
        <v>1</v>
      </c>
      <c r="D75" s="7"/>
      <c r="E75" s="51">
        <f t="shared" si="58"/>
        <v>1</v>
      </c>
      <c r="F75" s="8"/>
      <c r="G75" s="6"/>
      <c r="H75" s="7"/>
      <c r="I75" s="51">
        <f t="shared" si="59"/>
        <v>0</v>
      </c>
      <c r="J75" s="59">
        <f t="shared" si="60"/>
        <v>1</v>
      </c>
      <c r="K75" s="40">
        <v>45430</v>
      </c>
      <c r="M75" s="20" t="s">
        <v>41</v>
      </c>
      <c r="N75" s="5">
        <v>10</v>
      </c>
      <c r="O75" s="6"/>
      <c r="P75" s="7"/>
      <c r="Q75" s="51">
        <f t="shared" ref="Q75:Q78" si="67">SUM(N75:P75)</f>
        <v>10</v>
      </c>
      <c r="R75" s="8">
        <v>10</v>
      </c>
      <c r="S75" s="6"/>
      <c r="T75" s="7">
        <v>10</v>
      </c>
      <c r="U75" s="51">
        <f t="shared" ref="U75:U78" si="68">SUM(R75:T75)</f>
        <v>20</v>
      </c>
      <c r="V75" s="59">
        <f t="shared" ref="V75:V78" si="69">Q75+U75</f>
        <v>30</v>
      </c>
      <c r="W75" s="108">
        <v>45420</v>
      </c>
    </row>
    <row r="76" spans="1:25" x14ac:dyDescent="0.15">
      <c r="A76" s="17" t="s">
        <v>38</v>
      </c>
      <c r="B76" s="5"/>
      <c r="C76" s="6"/>
      <c r="D76" s="7"/>
      <c r="E76" s="51">
        <f t="shared" si="58"/>
        <v>0</v>
      </c>
      <c r="F76" s="8"/>
      <c r="G76" s="6">
        <v>1</v>
      </c>
      <c r="H76" s="7"/>
      <c r="I76" s="51">
        <f t="shared" si="59"/>
        <v>1</v>
      </c>
      <c r="J76" s="59">
        <f t="shared" si="60"/>
        <v>1</v>
      </c>
      <c r="K76" s="40">
        <v>45432</v>
      </c>
      <c r="M76" s="18" t="s">
        <v>91</v>
      </c>
      <c r="N76" s="5">
        <v>32</v>
      </c>
      <c r="O76" s="6"/>
      <c r="P76" s="7"/>
      <c r="Q76" s="51">
        <f t="shared" si="67"/>
        <v>32</v>
      </c>
      <c r="R76" s="8">
        <v>32</v>
      </c>
      <c r="S76" s="6"/>
      <c r="T76" s="7"/>
      <c r="U76" s="51">
        <f t="shared" si="68"/>
        <v>32</v>
      </c>
      <c r="V76" s="59">
        <f t="shared" si="69"/>
        <v>64</v>
      </c>
      <c r="W76" s="108">
        <v>45425</v>
      </c>
      <c r="X76" s="48"/>
      <c r="Y76" s="48"/>
    </row>
    <row r="77" spans="1:25" x14ac:dyDescent="0.15">
      <c r="A77" s="17" t="s">
        <v>57</v>
      </c>
      <c r="B77" s="5">
        <f>2+1</f>
        <v>3</v>
      </c>
      <c r="C77" s="6">
        <v>1</v>
      </c>
      <c r="D77" s="7">
        <v>1</v>
      </c>
      <c r="E77" s="51">
        <f t="shared" si="58"/>
        <v>5</v>
      </c>
      <c r="F77" s="8">
        <f>1+1</f>
        <v>2</v>
      </c>
      <c r="G77" s="6"/>
      <c r="H77" s="7">
        <v>1</v>
      </c>
      <c r="I77" s="51">
        <f t="shared" si="59"/>
        <v>3</v>
      </c>
      <c r="J77" s="59">
        <f t="shared" si="60"/>
        <v>8</v>
      </c>
      <c r="K77" s="40">
        <v>45432</v>
      </c>
      <c r="M77" s="20" t="s">
        <v>41</v>
      </c>
      <c r="N77" s="5"/>
      <c r="O77" s="6">
        <v>5</v>
      </c>
      <c r="P77" s="7">
        <v>5</v>
      </c>
      <c r="Q77" s="51">
        <f t="shared" si="67"/>
        <v>10</v>
      </c>
      <c r="R77" s="8"/>
      <c r="S77" s="6">
        <v>10</v>
      </c>
      <c r="T77" s="7">
        <v>5</v>
      </c>
      <c r="U77" s="51">
        <f t="shared" si="68"/>
        <v>15</v>
      </c>
      <c r="V77" s="59">
        <f t="shared" si="69"/>
        <v>25</v>
      </c>
      <c r="W77" s="108">
        <v>45423</v>
      </c>
      <c r="X77" s="48"/>
      <c r="Y77" s="48"/>
    </row>
    <row r="78" spans="1:25" x14ac:dyDescent="0.15">
      <c r="A78" s="17"/>
      <c r="B78" s="9"/>
      <c r="C78" s="10"/>
      <c r="D78" s="11"/>
      <c r="E78" s="51">
        <f t="shared" si="58"/>
        <v>0</v>
      </c>
      <c r="F78" s="12"/>
      <c r="G78" s="10"/>
      <c r="H78" s="11"/>
      <c r="I78" s="51">
        <f t="shared" si="59"/>
        <v>0</v>
      </c>
      <c r="J78" s="59">
        <f t="shared" si="60"/>
        <v>0</v>
      </c>
      <c r="K78" s="40"/>
      <c r="M78" s="20"/>
      <c r="N78" s="5"/>
      <c r="O78" s="6"/>
      <c r="P78" s="7"/>
      <c r="Q78" s="51">
        <f t="shared" si="67"/>
        <v>0</v>
      </c>
      <c r="R78" s="8"/>
      <c r="S78" s="6"/>
      <c r="T78" s="7"/>
      <c r="U78" s="51">
        <f t="shared" si="68"/>
        <v>0</v>
      </c>
      <c r="V78" s="59">
        <f t="shared" si="69"/>
        <v>0</v>
      </c>
      <c r="W78" s="108"/>
      <c r="X78" s="48"/>
    </row>
    <row r="79" spans="1:25" x14ac:dyDescent="0.15">
      <c r="A79" s="17"/>
      <c r="B79" s="5"/>
      <c r="C79" s="6"/>
      <c r="D79" s="7"/>
      <c r="E79" s="51">
        <f t="shared" si="58"/>
        <v>0</v>
      </c>
      <c r="F79" s="8"/>
      <c r="G79" s="6"/>
      <c r="H79" s="7"/>
      <c r="I79" s="51">
        <f t="shared" si="59"/>
        <v>0</v>
      </c>
      <c r="J79" s="59">
        <f t="shared" si="60"/>
        <v>0</v>
      </c>
      <c r="K79" s="40"/>
      <c r="M79" s="20"/>
      <c r="N79" s="5"/>
      <c r="O79" s="6"/>
      <c r="P79" s="7"/>
      <c r="Q79" s="51">
        <f t="shared" ref="Q79" si="70">SUM(N79:P79)</f>
        <v>0</v>
      </c>
      <c r="R79" s="8"/>
      <c r="S79" s="6"/>
      <c r="T79" s="7"/>
      <c r="U79" s="51">
        <f t="shared" ref="U79" si="71">SUM(R79:T79)</f>
        <v>0</v>
      </c>
      <c r="V79" s="59">
        <f t="shared" ref="V79" si="72">Q79+U79</f>
        <v>0</v>
      </c>
      <c r="W79" s="108"/>
      <c r="X79" s="48"/>
    </row>
    <row r="80" spans="1:25" x14ac:dyDescent="0.15">
      <c r="A80" s="17"/>
      <c r="B80" s="9"/>
      <c r="C80" s="10"/>
      <c r="D80" s="11"/>
      <c r="E80" s="52">
        <f t="shared" si="58"/>
        <v>0</v>
      </c>
      <c r="F80" s="12"/>
      <c r="G80" s="10"/>
      <c r="H80" s="11"/>
      <c r="I80" s="52">
        <f t="shared" si="59"/>
        <v>0</v>
      </c>
      <c r="J80" s="59">
        <f t="shared" si="60"/>
        <v>0</v>
      </c>
      <c r="K80" s="40"/>
      <c r="M80" s="20" t="s">
        <v>47</v>
      </c>
      <c r="N80" s="5">
        <f>10-10</f>
        <v>0</v>
      </c>
      <c r="O80" s="6">
        <f>10-10</f>
        <v>0</v>
      </c>
      <c r="P80" s="7">
        <f>10-10</f>
        <v>0</v>
      </c>
      <c r="Q80" s="51">
        <f t="shared" si="61"/>
        <v>0</v>
      </c>
      <c r="R80" s="5">
        <f>10-10</f>
        <v>0</v>
      </c>
      <c r="S80" s="6">
        <f>10-10</f>
        <v>0</v>
      </c>
      <c r="T80" s="7">
        <f>10-10</f>
        <v>0</v>
      </c>
      <c r="U80" s="51">
        <f t="shared" si="62"/>
        <v>0</v>
      </c>
      <c r="V80" s="59">
        <f t="shared" ref="V80:V82" si="73">Q80+U80</f>
        <v>0</v>
      </c>
      <c r="W80" s="116" t="s">
        <v>48</v>
      </c>
    </row>
    <row r="81" spans="1:23" x14ac:dyDescent="0.15">
      <c r="A81" s="17"/>
      <c r="B81" s="5"/>
      <c r="C81" s="6"/>
      <c r="D81" s="7"/>
      <c r="E81" s="51">
        <f t="shared" si="58"/>
        <v>0</v>
      </c>
      <c r="F81" s="8"/>
      <c r="G81" s="6"/>
      <c r="H81" s="7"/>
      <c r="I81" s="51">
        <f t="shared" si="59"/>
        <v>0</v>
      </c>
      <c r="J81" s="59">
        <f t="shared" si="60"/>
        <v>0</v>
      </c>
      <c r="K81" s="40"/>
      <c r="M81" s="85" t="s">
        <v>58</v>
      </c>
      <c r="N81" s="86"/>
      <c r="O81" s="87"/>
      <c r="P81" s="88"/>
      <c r="Q81" s="89">
        <f t="shared" si="61"/>
        <v>0</v>
      </c>
      <c r="R81" s="86"/>
      <c r="S81" s="87"/>
      <c r="T81" s="88"/>
      <c r="U81" s="89">
        <f t="shared" si="62"/>
        <v>0</v>
      </c>
      <c r="V81" s="90">
        <f t="shared" si="73"/>
        <v>0</v>
      </c>
      <c r="W81" s="119"/>
    </row>
    <row r="82" spans="1:23" ht="14.25" thickBot="1" x14ac:dyDescent="0.2">
      <c r="A82" s="17"/>
      <c r="B82" s="9"/>
      <c r="C82" s="10"/>
      <c r="D82" s="11"/>
      <c r="E82" s="55">
        <f t="shared" si="58"/>
        <v>0</v>
      </c>
      <c r="F82" s="12"/>
      <c r="G82" s="10"/>
      <c r="H82" s="11"/>
      <c r="I82" s="55">
        <f t="shared" si="59"/>
        <v>0</v>
      </c>
      <c r="J82" s="59">
        <f t="shared" si="60"/>
        <v>0</v>
      </c>
      <c r="K82" s="40"/>
      <c r="M82" s="18" t="s">
        <v>28</v>
      </c>
      <c r="N82" s="91"/>
      <c r="O82" s="6"/>
      <c r="P82" s="8"/>
      <c r="Q82" s="51">
        <f t="shared" si="61"/>
        <v>0</v>
      </c>
      <c r="R82" s="91"/>
      <c r="S82" s="6"/>
      <c r="T82" s="8"/>
      <c r="U82" s="51">
        <f t="shared" si="62"/>
        <v>0</v>
      </c>
      <c r="V82" s="59">
        <f t="shared" si="73"/>
        <v>0</v>
      </c>
      <c r="W82" s="116" t="s">
        <v>29</v>
      </c>
    </row>
    <row r="83" spans="1:23" ht="14.25" thickBot="1" x14ac:dyDescent="0.2">
      <c r="A83" s="31" t="s">
        <v>19</v>
      </c>
      <c r="B83" s="34">
        <f>SUM(B57:B82)</f>
        <v>22</v>
      </c>
      <c r="C83" s="35">
        <f t="shared" ref="C83:D83" si="74">SUM(C57:C82)</f>
        <v>9</v>
      </c>
      <c r="D83" s="39">
        <f t="shared" si="74"/>
        <v>8</v>
      </c>
      <c r="E83" s="56">
        <f t="shared" si="58"/>
        <v>39</v>
      </c>
      <c r="F83" s="34">
        <f>SUM(F57:F82)</f>
        <v>18</v>
      </c>
      <c r="G83" s="35">
        <f t="shared" ref="G83:H83" si="75">SUM(G57:G82)</f>
        <v>19</v>
      </c>
      <c r="H83" s="39">
        <f t="shared" si="75"/>
        <v>18</v>
      </c>
      <c r="I83" s="56">
        <f t="shared" si="59"/>
        <v>55</v>
      </c>
      <c r="J83" s="62">
        <f>E83+I83</f>
        <v>94</v>
      </c>
      <c r="M83" s="31" t="s">
        <v>19</v>
      </c>
      <c r="N83" s="34">
        <f>SUM(N57:N82)</f>
        <v>196</v>
      </c>
      <c r="O83" s="35">
        <f t="shared" ref="O83:P83" si="76">SUM(O57:O82)</f>
        <v>146</v>
      </c>
      <c r="P83" s="39">
        <f t="shared" si="76"/>
        <v>89</v>
      </c>
      <c r="Q83" s="56">
        <f t="shared" si="61"/>
        <v>431</v>
      </c>
      <c r="R83" s="34">
        <f>SUM(R57:R82)</f>
        <v>188</v>
      </c>
      <c r="S83" s="35">
        <f t="shared" ref="S83:T83" si="77">SUM(S57:S82)</f>
        <v>150</v>
      </c>
      <c r="T83" s="39">
        <f t="shared" si="77"/>
        <v>104</v>
      </c>
      <c r="U83" s="56">
        <f t="shared" si="62"/>
        <v>442</v>
      </c>
      <c r="V83" s="62">
        <f>Q83+U83</f>
        <v>873</v>
      </c>
    </row>
    <row r="84" spans="1:23" ht="14.25" thickBot="1" x14ac:dyDescent="0.2">
      <c r="A84" s="16" t="s">
        <v>17</v>
      </c>
      <c r="B84" s="63">
        <f>B56-B83</f>
        <v>6</v>
      </c>
      <c r="C84" s="64">
        <f t="shared" ref="C84:D84" si="78">C56-C83</f>
        <v>12</v>
      </c>
      <c r="D84" s="65">
        <f t="shared" si="78"/>
        <v>9</v>
      </c>
      <c r="E84" s="57">
        <f>SUM(B84:D84)</f>
        <v>27</v>
      </c>
      <c r="F84" s="63">
        <f>F56-F83</f>
        <v>11</v>
      </c>
      <c r="G84" s="64">
        <f t="shared" ref="G84:H84" si="79">G56-G83</f>
        <v>6</v>
      </c>
      <c r="H84" s="65">
        <f t="shared" si="79"/>
        <v>9</v>
      </c>
      <c r="I84" s="57">
        <f>SUM(F84:H84)</f>
        <v>26</v>
      </c>
      <c r="J84" s="61">
        <f>E84+I84</f>
        <v>53</v>
      </c>
      <c r="M84" s="16" t="s">
        <v>17</v>
      </c>
      <c r="N84" s="63">
        <f>N56-N83</f>
        <v>100</v>
      </c>
      <c r="O84" s="64">
        <f t="shared" ref="O84:P84" si="80">O56-O83</f>
        <v>143</v>
      </c>
      <c r="P84" s="65">
        <f t="shared" si="80"/>
        <v>25</v>
      </c>
      <c r="Q84" s="57">
        <f>SUM(N84:P84)</f>
        <v>268</v>
      </c>
      <c r="R84" s="63">
        <f>R56-R83</f>
        <v>106</v>
      </c>
      <c r="S84" s="64">
        <f t="shared" ref="S84:T84" si="81">S56-S83</f>
        <v>146</v>
      </c>
      <c r="T84" s="65">
        <f t="shared" si="81"/>
        <v>15</v>
      </c>
      <c r="U84" s="57">
        <f>SUM(R84:T84)</f>
        <v>267</v>
      </c>
      <c r="V84" s="61">
        <f>Q84+U84</f>
        <v>535</v>
      </c>
    </row>
    <row r="87" spans="1:23" ht="19.5" thickBot="1" x14ac:dyDescent="0.25">
      <c r="A87" s="66" t="s">
        <v>23</v>
      </c>
      <c r="B87" s="67"/>
      <c r="C87" s="67"/>
      <c r="D87" s="67"/>
      <c r="E87" s="67"/>
      <c r="F87" s="67"/>
      <c r="G87" s="67"/>
      <c r="H87" s="67"/>
      <c r="I87" s="67" t="s">
        <v>26</v>
      </c>
      <c r="J87" s="67"/>
      <c r="M87" s="73" t="s">
        <v>24</v>
      </c>
      <c r="N87" s="74"/>
      <c r="O87" s="74"/>
      <c r="P87" s="74"/>
      <c r="Q87" s="74"/>
      <c r="R87" s="74"/>
      <c r="S87" s="74"/>
      <c r="T87" s="74"/>
      <c r="U87" s="74"/>
      <c r="V87" s="74"/>
    </row>
    <row r="88" spans="1:23" ht="14.25" thickBot="1" x14ac:dyDescent="0.2">
      <c r="A88" s="4" t="s">
        <v>0</v>
      </c>
      <c r="B88" s="191" t="s">
        <v>21</v>
      </c>
      <c r="C88" s="192"/>
      <c r="D88" s="192"/>
      <c r="E88" s="193"/>
      <c r="F88" s="194" t="s">
        <v>18</v>
      </c>
      <c r="G88" s="195"/>
      <c r="H88" s="195"/>
      <c r="I88" s="196"/>
      <c r="J88" s="189" t="s">
        <v>1</v>
      </c>
      <c r="M88" s="4" t="s">
        <v>0</v>
      </c>
      <c r="N88" s="191" t="s">
        <v>21</v>
      </c>
      <c r="O88" s="192"/>
      <c r="P88" s="192"/>
      <c r="Q88" s="193"/>
      <c r="R88" s="194" t="s">
        <v>18</v>
      </c>
      <c r="S88" s="195"/>
      <c r="T88" s="195"/>
      <c r="U88" s="196"/>
      <c r="V88" s="189" t="s">
        <v>1</v>
      </c>
    </row>
    <row r="89" spans="1:23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190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190"/>
    </row>
    <row r="90" spans="1:23" ht="14.25" thickBot="1" x14ac:dyDescent="0.2">
      <c r="A90" s="21" t="s">
        <v>20</v>
      </c>
      <c r="B90" s="68">
        <f>B84</f>
        <v>6</v>
      </c>
      <c r="C90" s="69">
        <f>C84</f>
        <v>12</v>
      </c>
      <c r="D90" s="70">
        <f>D84</f>
        <v>9</v>
      </c>
      <c r="E90" s="71">
        <f>SUM(B90:D90)</f>
        <v>27</v>
      </c>
      <c r="F90" s="68">
        <f>F84</f>
        <v>11</v>
      </c>
      <c r="G90" s="69">
        <f>G84</f>
        <v>6</v>
      </c>
      <c r="H90" s="70">
        <f>H84</f>
        <v>9</v>
      </c>
      <c r="I90" s="71">
        <f>SUM(F90:H90)</f>
        <v>26</v>
      </c>
      <c r="J90" s="72">
        <f>E90+I90</f>
        <v>53</v>
      </c>
      <c r="M90" s="21" t="s">
        <v>20</v>
      </c>
      <c r="N90" s="68">
        <f>N84</f>
        <v>100</v>
      </c>
      <c r="O90" s="69">
        <f>O84</f>
        <v>143</v>
      </c>
      <c r="P90" s="70">
        <f>P84</f>
        <v>25</v>
      </c>
      <c r="Q90" s="71">
        <f>SUM(N90:P90)</f>
        <v>268</v>
      </c>
      <c r="R90" s="68">
        <f>R84</f>
        <v>106</v>
      </c>
      <c r="S90" s="69">
        <f>S84</f>
        <v>146</v>
      </c>
      <c r="T90" s="70">
        <f>T84</f>
        <v>15</v>
      </c>
      <c r="U90" s="71">
        <f>SUM(R90:T90)</f>
        <v>267</v>
      </c>
      <c r="V90" s="72">
        <f>Q90+U90</f>
        <v>535</v>
      </c>
    </row>
    <row r="91" spans="1:23" x14ac:dyDescent="0.15">
      <c r="A91" s="19" t="s">
        <v>8</v>
      </c>
      <c r="B91" s="32">
        <v>5</v>
      </c>
      <c r="C91" s="33">
        <v>5</v>
      </c>
      <c r="D91" s="44">
        <v>5</v>
      </c>
      <c r="E91" s="50">
        <f>SUM(B91:D91)</f>
        <v>15</v>
      </c>
      <c r="F91" s="45">
        <v>5</v>
      </c>
      <c r="G91" s="46">
        <v>5</v>
      </c>
      <c r="H91" s="47">
        <v>5</v>
      </c>
      <c r="I91" s="50">
        <f>SUM(F91:H91)</f>
        <v>15</v>
      </c>
      <c r="J91" s="58">
        <f>E91+I91</f>
        <v>30</v>
      </c>
      <c r="K91" s="40">
        <v>45437</v>
      </c>
      <c r="M91" s="19" t="s">
        <v>8</v>
      </c>
      <c r="N91" s="32"/>
      <c r="O91" s="33"/>
      <c r="P91" s="44"/>
      <c r="Q91" s="50">
        <f>SUM(N91:P91)</f>
        <v>0</v>
      </c>
      <c r="R91" s="45"/>
      <c r="S91" s="46"/>
      <c r="T91" s="47"/>
      <c r="U91" s="50">
        <f>SUM(R91:T91)</f>
        <v>0</v>
      </c>
      <c r="V91" s="58">
        <f>Q91+U91</f>
        <v>0</v>
      </c>
      <c r="W91" s="108"/>
    </row>
    <row r="92" spans="1:23" x14ac:dyDescent="0.15">
      <c r="A92" s="19" t="s">
        <v>9</v>
      </c>
      <c r="B92" s="5">
        <v>5</v>
      </c>
      <c r="C92" s="6"/>
      <c r="D92" s="14">
        <v>5</v>
      </c>
      <c r="E92" s="51">
        <f>SUM(B92:D92)</f>
        <v>10</v>
      </c>
      <c r="F92" s="15"/>
      <c r="G92" s="13">
        <v>5</v>
      </c>
      <c r="H92" s="14"/>
      <c r="I92" s="51">
        <f>SUM(F92:H92)</f>
        <v>5</v>
      </c>
      <c r="J92" s="59">
        <f>E92+I92</f>
        <v>15</v>
      </c>
      <c r="K92" s="40">
        <v>45442</v>
      </c>
      <c r="M92" s="19" t="s">
        <v>66</v>
      </c>
      <c r="N92" s="5">
        <v>200</v>
      </c>
      <c r="O92" s="6">
        <v>200</v>
      </c>
      <c r="P92" s="36">
        <v>160</v>
      </c>
      <c r="Q92" s="52">
        <f>SUM(N92:P92)</f>
        <v>560</v>
      </c>
      <c r="R92" s="5">
        <v>200</v>
      </c>
      <c r="S92" s="6">
        <v>200</v>
      </c>
      <c r="T92" s="36">
        <v>160</v>
      </c>
      <c r="U92" s="52">
        <f>SUM(R92:T92)</f>
        <v>560</v>
      </c>
      <c r="V92" s="59">
        <f>Q92+U92</f>
        <v>1120</v>
      </c>
      <c r="W92" s="108" t="s">
        <v>97</v>
      </c>
    </row>
    <row r="93" spans="1:23" x14ac:dyDescent="0.15">
      <c r="A93" s="19" t="s">
        <v>10</v>
      </c>
      <c r="B93" s="5">
        <v>10</v>
      </c>
      <c r="C93" s="6"/>
      <c r="D93" s="7">
        <v>5</v>
      </c>
      <c r="E93" s="51">
        <f t="shared" ref="E93:E98" si="82">SUM(B93:D93)</f>
        <v>15</v>
      </c>
      <c r="F93" s="8">
        <v>10</v>
      </c>
      <c r="G93" s="6">
        <v>10</v>
      </c>
      <c r="H93" s="7"/>
      <c r="I93" s="51">
        <f t="shared" ref="I93:I98" si="83">SUM(F93:H93)</f>
        <v>20</v>
      </c>
      <c r="J93" s="59">
        <f t="shared" ref="J93:J98" si="84">E93+I93</f>
        <v>35</v>
      </c>
      <c r="K93" s="40">
        <v>45449</v>
      </c>
      <c r="M93" s="19" t="s">
        <v>33</v>
      </c>
      <c r="N93" s="5">
        <v>500</v>
      </c>
      <c r="O93" s="6">
        <v>550</v>
      </c>
      <c r="P93" s="36">
        <v>300</v>
      </c>
      <c r="Q93" s="52">
        <f>SUM(N93:P93)</f>
        <v>1350</v>
      </c>
      <c r="R93" s="8">
        <v>600</v>
      </c>
      <c r="S93" s="6">
        <v>650</v>
      </c>
      <c r="T93" s="7">
        <v>400</v>
      </c>
      <c r="U93" s="52">
        <f>SUM(R93:T93)</f>
        <v>1650</v>
      </c>
      <c r="V93" s="59">
        <f>Q93+U93</f>
        <v>3000</v>
      </c>
      <c r="W93" s="108" t="s">
        <v>97</v>
      </c>
    </row>
    <row r="94" spans="1:23" x14ac:dyDescent="0.15">
      <c r="A94" s="19" t="s">
        <v>11</v>
      </c>
      <c r="B94" s="5"/>
      <c r="C94" s="6">
        <v>5</v>
      </c>
      <c r="D94" s="36"/>
      <c r="E94" s="52">
        <f t="shared" ref="E94" si="85">SUM(B94:D94)</f>
        <v>5</v>
      </c>
      <c r="F94" s="8"/>
      <c r="G94" s="6"/>
      <c r="H94" s="7">
        <v>5</v>
      </c>
      <c r="I94" s="52">
        <f t="shared" ref="I94" si="86">SUM(F94:H94)</f>
        <v>5</v>
      </c>
      <c r="J94" s="59">
        <f t="shared" ref="J94" si="87">E94+I94</f>
        <v>10</v>
      </c>
      <c r="K94" s="40">
        <v>45453</v>
      </c>
      <c r="L94" s="48"/>
      <c r="M94" s="19" t="s">
        <v>89</v>
      </c>
      <c r="N94" s="5">
        <v>-57</v>
      </c>
      <c r="O94" s="6">
        <v>-53</v>
      </c>
      <c r="P94" s="36">
        <v>-13</v>
      </c>
      <c r="Q94" s="52">
        <f>SUM(N94:P94)</f>
        <v>-123</v>
      </c>
      <c r="R94" s="8">
        <v>-4</v>
      </c>
      <c r="S94" s="6">
        <v>5</v>
      </c>
      <c r="T94" s="7">
        <v>4</v>
      </c>
      <c r="U94" s="52">
        <f>SUM(R94:T94)</f>
        <v>5</v>
      </c>
      <c r="V94" s="59">
        <f>Q94+U94</f>
        <v>-118</v>
      </c>
      <c r="W94" s="116"/>
    </row>
    <row r="95" spans="1:23" x14ac:dyDescent="0.15">
      <c r="A95" s="19" t="s">
        <v>12</v>
      </c>
      <c r="B95" s="5">
        <v>10</v>
      </c>
      <c r="C95" s="6"/>
      <c r="D95" s="36"/>
      <c r="E95" s="52">
        <f t="shared" si="82"/>
        <v>10</v>
      </c>
      <c r="F95" s="8"/>
      <c r="G95" s="6"/>
      <c r="H95" s="7"/>
      <c r="I95" s="52">
        <f t="shared" si="83"/>
        <v>0</v>
      </c>
      <c r="J95" s="59">
        <f t="shared" si="84"/>
        <v>10</v>
      </c>
      <c r="K95" s="40">
        <v>45454</v>
      </c>
      <c r="L95" s="48"/>
      <c r="M95" s="19" t="s">
        <v>12</v>
      </c>
      <c r="N95" s="5"/>
      <c r="O95" s="6"/>
      <c r="P95" s="36"/>
      <c r="Q95" s="52">
        <f t="shared" ref="Q95" si="88">SUM(N95:P95)</f>
        <v>0</v>
      </c>
      <c r="R95" s="8"/>
      <c r="S95" s="6"/>
      <c r="T95" s="7"/>
      <c r="U95" s="52">
        <f t="shared" ref="U95" si="89">SUM(R95:T95)</f>
        <v>0</v>
      </c>
      <c r="V95" s="59">
        <f t="shared" ref="V95" si="90">Q95+U95</f>
        <v>0</v>
      </c>
      <c r="W95" s="120"/>
    </row>
    <row r="96" spans="1:23" x14ac:dyDescent="0.15">
      <c r="A96" s="19" t="s">
        <v>13</v>
      </c>
      <c r="B96" s="5"/>
      <c r="C96" s="6"/>
      <c r="D96" s="36"/>
      <c r="E96" s="52">
        <f t="shared" si="82"/>
        <v>0</v>
      </c>
      <c r="F96" s="8"/>
      <c r="G96" s="6"/>
      <c r="H96" s="7"/>
      <c r="I96" s="52">
        <f t="shared" si="83"/>
        <v>0</v>
      </c>
      <c r="J96" s="59">
        <f t="shared" si="84"/>
        <v>0</v>
      </c>
      <c r="K96" s="48"/>
      <c r="L96" s="48"/>
      <c r="M96" s="19" t="s">
        <v>13</v>
      </c>
      <c r="N96" s="5"/>
      <c r="O96" s="6"/>
      <c r="P96" s="36"/>
      <c r="Q96" s="52">
        <f t="shared" ref="Q96" si="91">SUM(N96:P96)</f>
        <v>0</v>
      </c>
      <c r="R96" s="8"/>
      <c r="S96" s="6"/>
      <c r="T96" s="7"/>
      <c r="U96" s="52">
        <f t="shared" ref="U96" si="92">SUM(R96:T96)</f>
        <v>0</v>
      </c>
      <c r="V96" s="59">
        <f t="shared" ref="V96" si="93">Q96+U96</f>
        <v>0</v>
      </c>
      <c r="W96" s="120"/>
    </row>
    <row r="97" spans="1:25" x14ac:dyDescent="0.15">
      <c r="A97" s="19" t="s">
        <v>14</v>
      </c>
      <c r="B97" s="9"/>
      <c r="C97" s="10"/>
      <c r="D97" s="37"/>
      <c r="E97" s="52">
        <f t="shared" si="82"/>
        <v>0</v>
      </c>
      <c r="F97" s="12"/>
      <c r="G97" s="10"/>
      <c r="H97" s="11"/>
      <c r="I97" s="52">
        <f t="shared" si="83"/>
        <v>0</v>
      </c>
      <c r="J97" s="59">
        <f t="shared" si="84"/>
        <v>0</v>
      </c>
      <c r="M97" s="19" t="s">
        <v>14</v>
      </c>
      <c r="N97" s="9"/>
      <c r="O97" s="10"/>
      <c r="P97" s="37"/>
      <c r="Q97" s="52">
        <f t="shared" ref="Q97:Q98" si="94">SUM(N97:P97)</f>
        <v>0</v>
      </c>
      <c r="R97" s="12"/>
      <c r="S97" s="10"/>
      <c r="T97" s="11"/>
      <c r="U97" s="52">
        <f t="shared" ref="U97:U98" si="95">SUM(R97:T97)</f>
        <v>0</v>
      </c>
      <c r="V97" s="59">
        <f t="shared" ref="V97:V98" si="96">Q97+U97</f>
        <v>0</v>
      </c>
    </row>
    <row r="98" spans="1:25" ht="14.25" thickBot="1" x14ac:dyDescent="0.2">
      <c r="A98" s="19" t="s">
        <v>15</v>
      </c>
      <c r="B98" s="25"/>
      <c r="C98" s="26"/>
      <c r="D98" s="38"/>
      <c r="E98" s="53">
        <f t="shared" si="82"/>
        <v>0</v>
      </c>
      <c r="F98" s="27"/>
      <c r="G98" s="27"/>
      <c r="H98" s="29"/>
      <c r="I98" s="53">
        <f t="shared" si="83"/>
        <v>0</v>
      </c>
      <c r="J98" s="60">
        <f t="shared" si="84"/>
        <v>0</v>
      </c>
      <c r="M98" s="19" t="s">
        <v>15</v>
      </c>
      <c r="N98" s="25"/>
      <c r="O98" s="26"/>
      <c r="P98" s="38"/>
      <c r="Q98" s="53">
        <f t="shared" si="94"/>
        <v>0</v>
      </c>
      <c r="R98" s="27"/>
      <c r="S98" s="27"/>
      <c r="T98" s="29"/>
      <c r="U98" s="53">
        <f t="shared" si="95"/>
        <v>0</v>
      </c>
      <c r="V98" s="60">
        <f t="shared" si="96"/>
        <v>0</v>
      </c>
    </row>
    <row r="99" spans="1:25" ht="14.25" thickBot="1" x14ac:dyDescent="0.2">
      <c r="A99" s="28" t="s">
        <v>16</v>
      </c>
      <c r="B99" s="22">
        <f>SUM(B90:B98)</f>
        <v>36</v>
      </c>
      <c r="C99" s="23">
        <f t="shared" ref="C99:D99" si="97">SUM(C90:C98)</f>
        <v>22</v>
      </c>
      <c r="D99" s="24">
        <f t="shared" si="97"/>
        <v>24</v>
      </c>
      <c r="E99" s="54">
        <f>SUM(B99:D99)</f>
        <v>82</v>
      </c>
      <c r="F99" s="22">
        <f>SUM(F90:F98)</f>
        <v>26</v>
      </c>
      <c r="G99" s="23">
        <f t="shared" ref="G99:H99" si="98">SUM(G90:G98)</f>
        <v>26</v>
      </c>
      <c r="H99" s="24">
        <f t="shared" si="98"/>
        <v>19</v>
      </c>
      <c r="I99" s="54">
        <f>SUM(F99:H99)</f>
        <v>71</v>
      </c>
      <c r="J99" s="61">
        <f>SUM(J91:J98)</f>
        <v>100</v>
      </c>
      <c r="M99" s="28" t="s">
        <v>16</v>
      </c>
      <c r="N99" s="22">
        <f>SUM(N90:N98)</f>
        <v>743</v>
      </c>
      <c r="O99" s="23">
        <f t="shared" ref="O99:P99" si="99">SUM(O90:O98)</f>
        <v>840</v>
      </c>
      <c r="P99" s="24">
        <f t="shared" si="99"/>
        <v>472</v>
      </c>
      <c r="Q99" s="54">
        <f>SUM(N99:P99)</f>
        <v>2055</v>
      </c>
      <c r="R99" s="22">
        <f>SUM(R90:R98)</f>
        <v>902</v>
      </c>
      <c r="S99" s="23">
        <f t="shared" ref="S99:T99" si="100">SUM(S90:S98)</f>
        <v>1001</v>
      </c>
      <c r="T99" s="24">
        <f t="shared" si="100"/>
        <v>579</v>
      </c>
      <c r="U99" s="54">
        <f>SUM(R99:T99)</f>
        <v>2482</v>
      </c>
      <c r="V99" s="61">
        <f>Q99+U99</f>
        <v>4537</v>
      </c>
    </row>
    <row r="100" spans="1:25" x14ac:dyDescent="0.15">
      <c r="A100" s="17" t="s">
        <v>57</v>
      </c>
      <c r="B100" s="9"/>
      <c r="C100" s="10">
        <v>1</v>
      </c>
      <c r="D100" s="11"/>
      <c r="E100" s="51">
        <f t="shared" ref="E100:E126" si="101">SUM(B100:D100)</f>
        <v>1</v>
      </c>
      <c r="F100" s="12"/>
      <c r="G100" s="10">
        <v>1</v>
      </c>
      <c r="H100" s="11"/>
      <c r="I100" s="51">
        <f t="shared" ref="I100:I126" si="102">SUM(F100:H100)</f>
        <v>1</v>
      </c>
      <c r="J100" s="59">
        <f t="shared" ref="J100:J125" si="103">E100+I100</f>
        <v>2</v>
      </c>
      <c r="K100" s="41">
        <v>45433</v>
      </c>
      <c r="M100" s="20" t="s">
        <v>94</v>
      </c>
      <c r="N100" s="5">
        <v>5</v>
      </c>
      <c r="O100" s="6">
        <v>10</v>
      </c>
      <c r="P100" s="7">
        <v>5</v>
      </c>
      <c r="Q100" s="51">
        <f t="shared" ref="Q100" si="104">SUM(N100:P100)</f>
        <v>20</v>
      </c>
      <c r="R100" s="8">
        <v>5</v>
      </c>
      <c r="S100" s="6">
        <v>10</v>
      </c>
      <c r="T100" s="7">
        <v>5</v>
      </c>
      <c r="U100" s="51">
        <f t="shared" ref="U100" si="105">SUM(R100:T100)</f>
        <v>20</v>
      </c>
      <c r="V100" s="59">
        <f t="shared" ref="V100" si="106">Q100+U100</f>
        <v>40</v>
      </c>
      <c r="W100" s="108">
        <v>45429</v>
      </c>
      <c r="X100" s="48"/>
      <c r="Y100" s="48"/>
    </row>
    <row r="101" spans="1:25" x14ac:dyDescent="0.15">
      <c r="A101" s="17" t="s">
        <v>57</v>
      </c>
      <c r="B101" s="5"/>
      <c r="C101" s="6"/>
      <c r="D101" s="7">
        <v>1</v>
      </c>
      <c r="E101" s="51">
        <f t="shared" si="101"/>
        <v>1</v>
      </c>
      <c r="F101" s="8"/>
      <c r="G101" s="6"/>
      <c r="H101" s="7"/>
      <c r="I101" s="51">
        <f t="shared" si="102"/>
        <v>0</v>
      </c>
      <c r="J101" s="59">
        <f t="shared" si="103"/>
        <v>1</v>
      </c>
      <c r="K101" s="41">
        <v>45436</v>
      </c>
      <c r="M101" s="18" t="s">
        <v>96</v>
      </c>
      <c r="N101" s="5"/>
      <c r="O101" s="6">
        <v>3</v>
      </c>
      <c r="P101" s="7"/>
      <c r="Q101" s="51">
        <f t="shared" ref="Q101:Q126" si="107">SUM(N101:P101)</f>
        <v>3</v>
      </c>
      <c r="R101" s="8"/>
      <c r="S101" s="6">
        <v>3</v>
      </c>
      <c r="T101" s="7"/>
      <c r="U101" s="51">
        <f t="shared" ref="U101:U126" si="108">SUM(R101:T101)</f>
        <v>3</v>
      </c>
      <c r="V101" s="59">
        <f t="shared" ref="V101:V122" si="109">Q101+U101</f>
        <v>6</v>
      </c>
      <c r="W101" s="108">
        <v>45429</v>
      </c>
      <c r="X101" s="48"/>
    </row>
    <row r="102" spans="1:25" x14ac:dyDescent="0.15">
      <c r="A102" s="17" t="s">
        <v>77</v>
      </c>
      <c r="B102" s="5">
        <v>1</v>
      </c>
      <c r="C102" s="6">
        <v>1</v>
      </c>
      <c r="D102" s="7">
        <v>3</v>
      </c>
      <c r="E102" s="51">
        <f t="shared" si="101"/>
        <v>5</v>
      </c>
      <c r="F102" s="8">
        <v>3</v>
      </c>
      <c r="G102" s="6">
        <v>3</v>
      </c>
      <c r="H102" s="7"/>
      <c r="I102" s="51">
        <f t="shared" si="102"/>
        <v>6</v>
      </c>
      <c r="J102" s="59">
        <f t="shared" si="103"/>
        <v>11</v>
      </c>
      <c r="K102" s="40">
        <v>45440</v>
      </c>
      <c r="M102" s="18" t="s">
        <v>98</v>
      </c>
      <c r="N102" s="5"/>
      <c r="O102" s="6">
        <v>5</v>
      </c>
      <c r="P102" s="7"/>
      <c r="Q102" s="51">
        <f t="shared" si="107"/>
        <v>5</v>
      </c>
      <c r="R102" s="8"/>
      <c r="S102" s="6">
        <v>5</v>
      </c>
      <c r="T102" s="7"/>
      <c r="U102" s="51">
        <f t="shared" si="108"/>
        <v>5</v>
      </c>
      <c r="V102" s="59">
        <f t="shared" si="109"/>
        <v>10</v>
      </c>
      <c r="W102" s="108">
        <v>45429</v>
      </c>
    </row>
    <row r="103" spans="1:25" x14ac:dyDescent="0.15">
      <c r="A103" s="17" t="s">
        <v>57</v>
      </c>
      <c r="B103" s="5">
        <v>5</v>
      </c>
      <c r="C103" s="6">
        <f>1+1</f>
        <v>2</v>
      </c>
      <c r="D103" s="7">
        <v>5</v>
      </c>
      <c r="E103" s="51">
        <f t="shared" si="101"/>
        <v>12</v>
      </c>
      <c r="F103" s="8">
        <v>2</v>
      </c>
      <c r="G103" s="6">
        <f>1+1</f>
        <v>2</v>
      </c>
      <c r="H103" s="7">
        <v>2</v>
      </c>
      <c r="I103" s="51">
        <f t="shared" si="102"/>
        <v>6</v>
      </c>
      <c r="J103" s="59">
        <f t="shared" si="103"/>
        <v>18</v>
      </c>
      <c r="K103" s="40">
        <v>45439</v>
      </c>
      <c r="M103" s="18" t="s">
        <v>99</v>
      </c>
      <c r="N103" s="5"/>
      <c r="O103" s="6">
        <v>10</v>
      </c>
      <c r="P103" s="7"/>
      <c r="Q103" s="51">
        <f t="shared" si="107"/>
        <v>10</v>
      </c>
      <c r="R103" s="8"/>
      <c r="S103" s="6">
        <v>10</v>
      </c>
      <c r="T103" s="7"/>
      <c r="U103" s="51">
        <f t="shared" si="108"/>
        <v>10</v>
      </c>
      <c r="V103" s="59">
        <f t="shared" si="109"/>
        <v>20</v>
      </c>
      <c r="W103" s="108">
        <v>45433</v>
      </c>
    </row>
    <row r="104" spans="1:25" x14ac:dyDescent="0.15">
      <c r="A104" s="17" t="s">
        <v>57</v>
      </c>
      <c r="B104" s="5">
        <f>1+1</f>
        <v>2</v>
      </c>
      <c r="C104" s="6">
        <v>1</v>
      </c>
      <c r="D104" s="7"/>
      <c r="E104" s="51">
        <f t="shared" si="101"/>
        <v>3</v>
      </c>
      <c r="F104" s="8">
        <f>1+1</f>
        <v>2</v>
      </c>
      <c r="G104" s="6">
        <v>1</v>
      </c>
      <c r="H104" s="7"/>
      <c r="I104" s="51">
        <f t="shared" si="102"/>
        <v>3</v>
      </c>
      <c r="J104" s="59">
        <f t="shared" si="103"/>
        <v>6</v>
      </c>
      <c r="K104" s="41">
        <v>45442</v>
      </c>
      <c r="M104" s="18" t="s">
        <v>90</v>
      </c>
      <c r="N104" s="5"/>
      <c r="O104" s="6"/>
      <c r="P104" s="7"/>
      <c r="Q104" s="51">
        <f t="shared" si="107"/>
        <v>0</v>
      </c>
      <c r="R104" s="8"/>
      <c r="S104" s="6">
        <v>10</v>
      </c>
      <c r="T104" s="7"/>
      <c r="U104" s="51">
        <f t="shared" si="108"/>
        <v>10</v>
      </c>
      <c r="V104" s="59">
        <f t="shared" si="109"/>
        <v>10</v>
      </c>
      <c r="W104" s="108">
        <v>45439</v>
      </c>
      <c r="X104" s="48"/>
    </row>
    <row r="105" spans="1:25" x14ac:dyDescent="0.15">
      <c r="A105" s="17" t="s">
        <v>57</v>
      </c>
      <c r="B105" s="5">
        <v>1</v>
      </c>
      <c r="C105" s="6"/>
      <c r="D105" s="14"/>
      <c r="E105" s="51">
        <f t="shared" si="101"/>
        <v>1</v>
      </c>
      <c r="F105" s="15">
        <v>1</v>
      </c>
      <c r="G105" s="13"/>
      <c r="H105" s="14">
        <v>1</v>
      </c>
      <c r="I105" s="51">
        <f t="shared" si="102"/>
        <v>2</v>
      </c>
      <c r="J105" s="59">
        <f t="shared" si="103"/>
        <v>3</v>
      </c>
      <c r="K105" s="41">
        <v>45443</v>
      </c>
      <c r="M105" s="18" t="s">
        <v>102</v>
      </c>
      <c r="N105" s="5">
        <v>7</v>
      </c>
      <c r="O105" s="6">
        <v>8</v>
      </c>
      <c r="P105" s="14">
        <v>21</v>
      </c>
      <c r="Q105" s="51">
        <f t="shared" si="107"/>
        <v>36</v>
      </c>
      <c r="R105" s="15">
        <v>7</v>
      </c>
      <c r="S105" s="13">
        <v>8</v>
      </c>
      <c r="T105" s="14">
        <v>21</v>
      </c>
      <c r="U105" s="51">
        <f t="shared" si="108"/>
        <v>36</v>
      </c>
      <c r="V105" s="59">
        <f t="shared" si="109"/>
        <v>72</v>
      </c>
      <c r="W105" s="108">
        <v>45434</v>
      </c>
    </row>
    <row r="106" spans="1:25" x14ac:dyDescent="0.15">
      <c r="A106" s="17" t="s">
        <v>57</v>
      </c>
      <c r="B106" s="5">
        <v>1</v>
      </c>
      <c r="C106" s="6">
        <v>1</v>
      </c>
      <c r="D106" s="7"/>
      <c r="E106" s="51">
        <f t="shared" si="101"/>
        <v>2</v>
      </c>
      <c r="F106" s="8"/>
      <c r="G106" s="6">
        <v>1</v>
      </c>
      <c r="H106" s="7"/>
      <c r="I106" s="51">
        <f t="shared" si="102"/>
        <v>1</v>
      </c>
      <c r="J106" s="59">
        <f t="shared" si="103"/>
        <v>3</v>
      </c>
      <c r="K106" s="40">
        <v>45446</v>
      </c>
      <c r="M106" s="18" t="s">
        <v>103</v>
      </c>
      <c r="N106" s="5">
        <v>25</v>
      </c>
      <c r="O106" s="6">
        <v>23</v>
      </c>
      <c r="P106" s="7"/>
      <c r="Q106" s="51">
        <f t="shared" si="107"/>
        <v>48</v>
      </c>
      <c r="R106" s="8">
        <v>25</v>
      </c>
      <c r="S106" s="6">
        <v>23</v>
      </c>
      <c r="T106" s="7"/>
      <c r="U106" s="51">
        <f t="shared" si="108"/>
        <v>48</v>
      </c>
      <c r="V106" s="59">
        <f t="shared" si="109"/>
        <v>96</v>
      </c>
      <c r="W106" s="108">
        <v>45435</v>
      </c>
      <c r="X106" s="48"/>
    </row>
    <row r="107" spans="1:25" ht="14.25" x14ac:dyDescent="0.15">
      <c r="A107" s="17" t="s">
        <v>120</v>
      </c>
      <c r="B107" s="5"/>
      <c r="C107" s="6"/>
      <c r="D107" s="7"/>
      <c r="E107" s="51">
        <f t="shared" si="101"/>
        <v>0</v>
      </c>
      <c r="F107" s="8">
        <v>1</v>
      </c>
      <c r="G107" s="6"/>
      <c r="H107" s="7"/>
      <c r="I107" s="51">
        <f t="shared" si="102"/>
        <v>1</v>
      </c>
      <c r="J107" s="59">
        <f t="shared" si="103"/>
        <v>1</v>
      </c>
      <c r="K107" s="40">
        <v>45448</v>
      </c>
      <c r="M107" s="18" t="s">
        <v>104</v>
      </c>
      <c r="N107" s="5">
        <v>5</v>
      </c>
      <c r="O107" s="6">
        <v>5</v>
      </c>
      <c r="P107" s="7">
        <v>5</v>
      </c>
      <c r="Q107" s="51">
        <f t="shared" si="107"/>
        <v>15</v>
      </c>
      <c r="R107" s="8">
        <v>5</v>
      </c>
      <c r="S107" s="6">
        <v>5</v>
      </c>
      <c r="T107" s="7">
        <v>5</v>
      </c>
      <c r="U107" s="51">
        <f t="shared" si="108"/>
        <v>15</v>
      </c>
      <c r="V107" s="59">
        <f t="shared" si="109"/>
        <v>30</v>
      </c>
      <c r="W107" s="118">
        <v>45436</v>
      </c>
      <c r="X107" s="48"/>
      <c r="Y107" s="48"/>
    </row>
    <row r="108" spans="1:25" x14ac:dyDescent="0.15">
      <c r="A108" s="17" t="s">
        <v>57</v>
      </c>
      <c r="B108" s="5">
        <v>1</v>
      </c>
      <c r="C108" s="6"/>
      <c r="D108" s="7"/>
      <c r="E108" s="51">
        <f t="shared" si="101"/>
        <v>1</v>
      </c>
      <c r="F108" s="8">
        <v>1</v>
      </c>
      <c r="G108" s="6"/>
      <c r="H108" s="7"/>
      <c r="I108" s="51">
        <f t="shared" si="102"/>
        <v>1</v>
      </c>
      <c r="J108" s="59">
        <f t="shared" si="103"/>
        <v>2</v>
      </c>
      <c r="K108" s="40">
        <v>45447</v>
      </c>
      <c r="M108" s="18" t="s">
        <v>107</v>
      </c>
      <c r="N108" s="5">
        <v>173</v>
      </c>
      <c r="O108" s="6">
        <v>91</v>
      </c>
      <c r="P108" s="7">
        <v>44</v>
      </c>
      <c r="Q108" s="51">
        <f t="shared" si="107"/>
        <v>308</v>
      </c>
      <c r="R108" s="8">
        <v>173</v>
      </c>
      <c r="S108" s="6">
        <v>91</v>
      </c>
      <c r="T108" s="7">
        <v>44</v>
      </c>
      <c r="U108" s="51">
        <f t="shared" si="108"/>
        <v>308</v>
      </c>
      <c r="V108" s="59">
        <f t="shared" si="109"/>
        <v>616</v>
      </c>
      <c r="W108" s="108">
        <v>45439</v>
      </c>
      <c r="X108" s="48"/>
      <c r="Y108" s="48"/>
    </row>
    <row r="109" spans="1:25" x14ac:dyDescent="0.15">
      <c r="A109" s="18" t="s">
        <v>121</v>
      </c>
      <c r="B109" s="9">
        <v>1</v>
      </c>
      <c r="C109" s="10">
        <v>1</v>
      </c>
      <c r="D109" s="11">
        <v>1</v>
      </c>
      <c r="E109" s="51">
        <f t="shared" si="101"/>
        <v>3</v>
      </c>
      <c r="F109" s="12">
        <v>1</v>
      </c>
      <c r="G109" s="10">
        <v>1</v>
      </c>
      <c r="H109" s="11">
        <v>1</v>
      </c>
      <c r="I109" s="51">
        <f t="shared" si="102"/>
        <v>3</v>
      </c>
      <c r="J109" s="59">
        <f t="shared" si="103"/>
        <v>6</v>
      </c>
      <c r="K109" s="40">
        <v>45450</v>
      </c>
      <c r="M109" s="20" t="s">
        <v>41</v>
      </c>
      <c r="N109" s="9">
        <v>5</v>
      </c>
      <c r="O109" s="10">
        <v>5</v>
      </c>
      <c r="P109" s="11">
        <v>5</v>
      </c>
      <c r="Q109" s="51">
        <f>SUM(N109:P109)</f>
        <v>15</v>
      </c>
      <c r="R109" s="12">
        <v>5</v>
      </c>
      <c r="S109" s="10">
        <v>5</v>
      </c>
      <c r="T109" s="11">
        <v>5</v>
      </c>
      <c r="U109" s="51">
        <f>SUM(R109:T109)</f>
        <v>15</v>
      </c>
      <c r="V109" s="59">
        <f>Q109+U109</f>
        <v>30</v>
      </c>
      <c r="W109" s="108">
        <v>45437</v>
      </c>
      <c r="X109" s="48"/>
      <c r="Y109" s="48"/>
    </row>
    <row r="110" spans="1:25" x14ac:dyDescent="0.15">
      <c r="A110" s="17" t="s">
        <v>57</v>
      </c>
      <c r="B110" s="5">
        <v>2</v>
      </c>
      <c r="C110" s="6"/>
      <c r="D110" s="7">
        <v>1</v>
      </c>
      <c r="E110" s="51">
        <f t="shared" si="101"/>
        <v>3</v>
      </c>
      <c r="F110" s="8">
        <v>1</v>
      </c>
      <c r="G110" s="6"/>
      <c r="H110" s="7">
        <v>1</v>
      </c>
      <c r="I110" s="51">
        <f t="shared" si="102"/>
        <v>2</v>
      </c>
      <c r="J110" s="59">
        <f t="shared" si="103"/>
        <v>5</v>
      </c>
      <c r="K110" s="40">
        <v>45448</v>
      </c>
      <c r="M110" s="20" t="s">
        <v>111</v>
      </c>
      <c r="N110" s="5">
        <v>25</v>
      </c>
      <c r="O110" s="6">
        <v>30</v>
      </c>
      <c r="P110" s="7">
        <v>30</v>
      </c>
      <c r="Q110" s="51">
        <f t="shared" ref="Q110" si="110">SUM(N110:P110)</f>
        <v>85</v>
      </c>
      <c r="R110" s="8">
        <v>30</v>
      </c>
      <c r="S110" s="6">
        <v>40</v>
      </c>
      <c r="T110" s="7">
        <v>30</v>
      </c>
      <c r="U110" s="51">
        <f t="shared" ref="U110" si="111">SUM(R110:T110)</f>
        <v>100</v>
      </c>
      <c r="V110" s="59">
        <f t="shared" ref="V110" si="112">Q110+U110</f>
        <v>185</v>
      </c>
      <c r="W110" s="108">
        <v>45442</v>
      </c>
      <c r="X110" s="48"/>
      <c r="Y110" s="48"/>
    </row>
    <row r="111" spans="1:25" x14ac:dyDescent="0.15">
      <c r="A111" s="17" t="s">
        <v>57</v>
      </c>
      <c r="B111" s="5"/>
      <c r="C111" s="6">
        <v>1</v>
      </c>
      <c r="D111" s="7">
        <v>1</v>
      </c>
      <c r="E111" s="51">
        <f t="shared" si="101"/>
        <v>2</v>
      </c>
      <c r="F111" s="8"/>
      <c r="G111" s="6">
        <v>1</v>
      </c>
      <c r="H111" s="7">
        <v>1</v>
      </c>
      <c r="I111" s="51">
        <f t="shared" si="102"/>
        <v>2</v>
      </c>
      <c r="J111" s="59">
        <f t="shared" si="103"/>
        <v>4</v>
      </c>
      <c r="K111" s="40">
        <v>45449</v>
      </c>
      <c r="M111" s="18" t="s">
        <v>112</v>
      </c>
      <c r="N111" s="5">
        <v>10</v>
      </c>
      <c r="O111" s="6">
        <v>10</v>
      </c>
      <c r="P111" s="7">
        <v>10</v>
      </c>
      <c r="Q111" s="51">
        <f t="shared" si="107"/>
        <v>30</v>
      </c>
      <c r="R111" s="8">
        <v>10</v>
      </c>
      <c r="S111" s="6">
        <v>10</v>
      </c>
      <c r="T111" s="7">
        <v>10</v>
      </c>
      <c r="U111" s="51">
        <f t="shared" si="108"/>
        <v>30</v>
      </c>
      <c r="V111" s="59">
        <f t="shared" si="109"/>
        <v>60</v>
      </c>
      <c r="W111" s="108">
        <v>45443</v>
      </c>
    </row>
    <row r="112" spans="1:25" x14ac:dyDescent="0.15">
      <c r="A112" s="17" t="s">
        <v>126</v>
      </c>
      <c r="B112" s="5">
        <v>2</v>
      </c>
      <c r="C112" s="6"/>
      <c r="D112" s="7"/>
      <c r="E112" s="51">
        <f t="shared" si="101"/>
        <v>2</v>
      </c>
      <c r="F112" s="8"/>
      <c r="G112" s="6"/>
      <c r="H112" s="7">
        <v>2</v>
      </c>
      <c r="I112" s="51">
        <f t="shared" si="102"/>
        <v>2</v>
      </c>
      <c r="J112" s="59">
        <f t="shared" si="103"/>
        <v>4</v>
      </c>
      <c r="K112" s="40">
        <v>45450</v>
      </c>
      <c r="M112" s="20" t="s">
        <v>41</v>
      </c>
      <c r="N112" s="5">
        <v>5</v>
      </c>
      <c r="O112" s="6"/>
      <c r="P112" s="7">
        <v>5</v>
      </c>
      <c r="Q112" s="51">
        <f>SUM(N112:P112)</f>
        <v>10</v>
      </c>
      <c r="R112" s="8"/>
      <c r="S112" s="6">
        <v>5</v>
      </c>
      <c r="T112" s="7"/>
      <c r="U112" s="51">
        <f>SUM(R112:T112)</f>
        <v>5</v>
      </c>
      <c r="V112" s="59">
        <f>Q112+U112</f>
        <v>15</v>
      </c>
      <c r="W112" s="108">
        <v>45442</v>
      </c>
      <c r="X112" s="48"/>
      <c r="Y112" s="48"/>
    </row>
    <row r="113" spans="1:23" x14ac:dyDescent="0.15">
      <c r="A113" s="17" t="s">
        <v>57</v>
      </c>
      <c r="B113" s="5">
        <v>5</v>
      </c>
      <c r="C113" s="6">
        <f>1+1</f>
        <v>2</v>
      </c>
      <c r="D113" s="7"/>
      <c r="E113" s="51">
        <f t="shared" si="101"/>
        <v>7</v>
      </c>
      <c r="F113" s="8">
        <v>3</v>
      </c>
      <c r="G113" s="6">
        <f>1+1</f>
        <v>2</v>
      </c>
      <c r="H113" s="7"/>
      <c r="I113" s="51">
        <f t="shared" si="102"/>
        <v>5</v>
      </c>
      <c r="J113" s="59">
        <f t="shared" si="103"/>
        <v>12</v>
      </c>
      <c r="K113" s="41">
        <v>45453</v>
      </c>
      <c r="M113" s="18" t="s">
        <v>113</v>
      </c>
      <c r="N113" s="5"/>
      <c r="O113" s="6">
        <v>50</v>
      </c>
      <c r="P113" s="7">
        <v>30</v>
      </c>
      <c r="Q113" s="51">
        <f t="shared" ref="Q113:Q116" si="113">SUM(N113:P113)</f>
        <v>80</v>
      </c>
      <c r="R113" s="8"/>
      <c r="S113" s="6">
        <v>50</v>
      </c>
      <c r="T113" s="7">
        <v>30</v>
      </c>
      <c r="U113" s="51">
        <f t="shared" ref="U113:U116" si="114">SUM(R113:T113)</f>
        <v>80</v>
      </c>
      <c r="V113" s="59">
        <f t="shared" ref="V113:V116" si="115">Q113+U113</f>
        <v>160</v>
      </c>
      <c r="W113" s="108">
        <v>45446</v>
      </c>
    </row>
    <row r="114" spans="1:23" x14ac:dyDescent="0.15">
      <c r="A114" s="17" t="s">
        <v>57</v>
      </c>
      <c r="B114" s="5"/>
      <c r="C114" s="6"/>
      <c r="D114" s="7"/>
      <c r="E114" s="51">
        <f t="shared" si="101"/>
        <v>0</v>
      </c>
      <c r="F114" s="8">
        <v>2</v>
      </c>
      <c r="G114" s="6"/>
      <c r="H114" s="7">
        <v>2</v>
      </c>
      <c r="I114" s="51">
        <f t="shared" si="102"/>
        <v>4</v>
      </c>
      <c r="J114" s="59">
        <f t="shared" si="103"/>
        <v>4</v>
      </c>
      <c r="K114" s="41">
        <v>45454</v>
      </c>
      <c r="M114" s="20" t="s">
        <v>41</v>
      </c>
      <c r="N114" s="5">
        <v>10</v>
      </c>
      <c r="O114" s="6"/>
      <c r="P114" s="7">
        <v>5</v>
      </c>
      <c r="Q114" s="51">
        <f t="shared" si="113"/>
        <v>15</v>
      </c>
      <c r="R114" s="8">
        <v>10</v>
      </c>
      <c r="S114" s="6">
        <v>10</v>
      </c>
      <c r="T114" s="7"/>
      <c r="U114" s="51">
        <f t="shared" si="114"/>
        <v>20</v>
      </c>
      <c r="V114" s="59">
        <f t="shared" si="115"/>
        <v>35</v>
      </c>
      <c r="W114" s="108">
        <v>45449</v>
      </c>
    </row>
    <row r="115" spans="1:23" x14ac:dyDescent="0.15">
      <c r="A115" s="17" t="s">
        <v>57</v>
      </c>
      <c r="B115" s="5"/>
      <c r="C115" s="6"/>
      <c r="D115" s="7"/>
      <c r="E115" s="51">
        <f t="shared" si="101"/>
        <v>0</v>
      </c>
      <c r="F115" s="8">
        <v>1</v>
      </c>
      <c r="G115" s="6"/>
      <c r="H115" s="7"/>
      <c r="I115" s="51">
        <f t="shared" si="102"/>
        <v>1</v>
      </c>
      <c r="J115" s="59">
        <f t="shared" si="103"/>
        <v>1</v>
      </c>
      <c r="K115" s="41">
        <v>45455</v>
      </c>
      <c r="M115" s="20" t="s">
        <v>41</v>
      </c>
      <c r="N115" s="5"/>
      <c r="O115" s="6">
        <v>5</v>
      </c>
      <c r="P115" s="7"/>
      <c r="Q115" s="51">
        <f t="shared" si="113"/>
        <v>5</v>
      </c>
      <c r="R115" s="8"/>
      <c r="S115" s="6"/>
      <c r="T115" s="7">
        <v>5</v>
      </c>
      <c r="U115" s="51">
        <f t="shared" si="114"/>
        <v>5</v>
      </c>
      <c r="V115" s="59">
        <f t="shared" si="115"/>
        <v>10</v>
      </c>
      <c r="W115" s="108">
        <v>45453</v>
      </c>
    </row>
    <row r="116" spans="1:23" x14ac:dyDescent="0.15">
      <c r="A116" s="17"/>
      <c r="B116" s="5"/>
      <c r="C116" s="6"/>
      <c r="D116" s="7"/>
      <c r="E116" s="51">
        <f t="shared" si="101"/>
        <v>0</v>
      </c>
      <c r="F116" s="8"/>
      <c r="G116" s="6"/>
      <c r="H116" s="7"/>
      <c r="I116" s="51">
        <f t="shared" si="102"/>
        <v>0</v>
      </c>
      <c r="J116" s="59">
        <f t="shared" si="103"/>
        <v>0</v>
      </c>
      <c r="M116" s="20" t="s">
        <v>41</v>
      </c>
      <c r="N116" s="5">
        <v>10</v>
      </c>
      <c r="O116" s="6"/>
      <c r="P116" s="7"/>
      <c r="Q116" s="51">
        <f t="shared" si="113"/>
        <v>10</v>
      </c>
      <c r="R116" s="8"/>
      <c r="S116" s="6"/>
      <c r="T116" s="7"/>
      <c r="U116" s="51">
        <f t="shared" si="114"/>
        <v>0</v>
      </c>
      <c r="V116" s="59">
        <f t="shared" si="115"/>
        <v>10</v>
      </c>
      <c r="W116" s="108">
        <v>45454</v>
      </c>
    </row>
    <row r="117" spans="1:23" x14ac:dyDescent="0.15">
      <c r="A117" s="17"/>
      <c r="B117" s="5"/>
      <c r="C117" s="6"/>
      <c r="D117" s="7"/>
      <c r="E117" s="51">
        <f t="shared" si="101"/>
        <v>0</v>
      </c>
      <c r="F117" s="8"/>
      <c r="G117" s="6"/>
      <c r="H117" s="7"/>
      <c r="I117" s="51">
        <f t="shared" si="102"/>
        <v>0</v>
      </c>
      <c r="J117" s="59">
        <f t="shared" si="103"/>
        <v>0</v>
      </c>
      <c r="M117" s="20"/>
      <c r="N117" s="5"/>
      <c r="O117" s="6"/>
      <c r="P117" s="7"/>
      <c r="Q117" s="51">
        <f t="shared" si="107"/>
        <v>0</v>
      </c>
      <c r="R117" s="8"/>
      <c r="S117" s="6"/>
      <c r="T117" s="7"/>
      <c r="U117" s="51">
        <f t="shared" si="108"/>
        <v>0</v>
      </c>
      <c r="V117" s="59">
        <f t="shared" si="109"/>
        <v>0</v>
      </c>
      <c r="W117" s="108"/>
    </row>
    <row r="118" spans="1:23" x14ac:dyDescent="0.15">
      <c r="A118" s="18"/>
      <c r="B118" s="5"/>
      <c r="C118" s="6"/>
      <c r="D118" s="7"/>
      <c r="E118" s="51">
        <f t="shared" si="101"/>
        <v>0</v>
      </c>
      <c r="F118" s="8"/>
      <c r="G118" s="6"/>
      <c r="H118" s="7"/>
      <c r="I118" s="51">
        <f t="shared" si="102"/>
        <v>0</v>
      </c>
      <c r="J118" s="59">
        <f t="shared" si="103"/>
        <v>0</v>
      </c>
      <c r="M118" s="18"/>
      <c r="N118" s="5"/>
      <c r="O118" s="6"/>
      <c r="P118" s="7"/>
      <c r="Q118" s="51">
        <f t="shared" si="107"/>
        <v>0</v>
      </c>
      <c r="R118" s="8"/>
      <c r="S118" s="6"/>
      <c r="T118" s="7"/>
      <c r="U118" s="51">
        <f t="shared" si="108"/>
        <v>0</v>
      </c>
      <c r="V118" s="59">
        <f t="shared" si="109"/>
        <v>0</v>
      </c>
      <c r="W118" s="108"/>
    </row>
    <row r="119" spans="1:23" x14ac:dyDescent="0.15">
      <c r="A119" s="17"/>
      <c r="B119" s="5"/>
      <c r="C119" s="6"/>
      <c r="D119" s="7"/>
      <c r="E119" s="51">
        <f t="shared" si="101"/>
        <v>0</v>
      </c>
      <c r="F119" s="8"/>
      <c r="G119" s="6"/>
      <c r="H119" s="7"/>
      <c r="I119" s="51">
        <f t="shared" si="102"/>
        <v>0</v>
      </c>
      <c r="J119" s="59">
        <f t="shared" si="103"/>
        <v>0</v>
      </c>
      <c r="M119" s="20"/>
      <c r="N119" s="5"/>
      <c r="O119" s="6"/>
      <c r="P119" s="7"/>
      <c r="Q119" s="51">
        <f t="shared" si="107"/>
        <v>0</v>
      </c>
      <c r="R119" s="8"/>
      <c r="S119" s="6"/>
      <c r="T119" s="7"/>
      <c r="U119" s="51">
        <f t="shared" si="108"/>
        <v>0</v>
      </c>
      <c r="V119" s="59">
        <f t="shared" si="109"/>
        <v>0</v>
      </c>
      <c r="W119" s="108"/>
    </row>
    <row r="120" spans="1:23" x14ac:dyDescent="0.15">
      <c r="A120" s="18"/>
      <c r="B120" s="5"/>
      <c r="C120" s="6"/>
      <c r="D120" s="7"/>
      <c r="E120" s="51">
        <f t="shared" si="101"/>
        <v>0</v>
      </c>
      <c r="F120" s="8"/>
      <c r="G120" s="6"/>
      <c r="H120" s="7"/>
      <c r="I120" s="51">
        <f t="shared" si="102"/>
        <v>0</v>
      </c>
      <c r="J120" s="59">
        <f t="shared" si="103"/>
        <v>0</v>
      </c>
      <c r="M120" s="20"/>
      <c r="N120" s="5"/>
      <c r="O120" s="6"/>
      <c r="P120" s="7"/>
      <c r="Q120" s="51">
        <f t="shared" si="107"/>
        <v>0</v>
      </c>
      <c r="R120" s="8"/>
      <c r="S120" s="6"/>
      <c r="T120" s="7"/>
      <c r="U120" s="51">
        <f t="shared" si="108"/>
        <v>0</v>
      </c>
      <c r="V120" s="59">
        <f t="shared" si="109"/>
        <v>0</v>
      </c>
      <c r="W120" s="108"/>
    </row>
    <row r="121" spans="1:23" x14ac:dyDescent="0.15">
      <c r="A121" s="17"/>
      <c r="B121" s="9"/>
      <c r="C121" s="10"/>
      <c r="D121" s="11"/>
      <c r="E121" s="51">
        <f t="shared" si="101"/>
        <v>0</v>
      </c>
      <c r="F121" s="12"/>
      <c r="G121" s="10"/>
      <c r="H121" s="11"/>
      <c r="I121" s="51">
        <f t="shared" si="102"/>
        <v>0</v>
      </c>
      <c r="J121" s="59">
        <f t="shared" si="103"/>
        <v>0</v>
      </c>
      <c r="M121" s="43"/>
      <c r="N121" s="9"/>
      <c r="O121" s="10"/>
      <c r="P121" s="11"/>
      <c r="Q121" s="51">
        <f t="shared" si="107"/>
        <v>0</v>
      </c>
      <c r="R121" s="12"/>
      <c r="S121" s="10"/>
      <c r="T121" s="11"/>
      <c r="U121" s="51">
        <f t="shared" si="108"/>
        <v>0</v>
      </c>
      <c r="V121" s="59">
        <f t="shared" si="109"/>
        <v>0</v>
      </c>
      <c r="W121" s="108"/>
    </row>
    <row r="122" spans="1:23" x14ac:dyDescent="0.15">
      <c r="A122" s="17"/>
      <c r="B122" s="5"/>
      <c r="C122" s="6"/>
      <c r="D122" s="7"/>
      <c r="E122" s="51">
        <f t="shared" si="101"/>
        <v>0</v>
      </c>
      <c r="F122" s="8"/>
      <c r="G122" s="6"/>
      <c r="H122" s="7"/>
      <c r="I122" s="51">
        <f t="shared" si="102"/>
        <v>0</v>
      </c>
      <c r="J122" s="59">
        <f t="shared" si="103"/>
        <v>0</v>
      </c>
      <c r="M122" s="20"/>
      <c r="N122" s="5"/>
      <c r="O122" s="6"/>
      <c r="P122" s="7"/>
      <c r="Q122" s="51">
        <f t="shared" si="107"/>
        <v>0</v>
      </c>
      <c r="R122" s="8"/>
      <c r="S122" s="6"/>
      <c r="T122" s="7"/>
      <c r="U122" s="51">
        <f t="shared" si="108"/>
        <v>0</v>
      </c>
      <c r="V122" s="59">
        <f t="shared" si="109"/>
        <v>0</v>
      </c>
      <c r="W122" s="116"/>
    </row>
    <row r="123" spans="1:23" x14ac:dyDescent="0.15">
      <c r="A123" s="17"/>
      <c r="B123" s="9"/>
      <c r="C123" s="10"/>
      <c r="D123" s="11"/>
      <c r="E123" s="52">
        <f t="shared" si="101"/>
        <v>0</v>
      </c>
      <c r="F123" s="12"/>
      <c r="G123" s="10"/>
      <c r="H123" s="11"/>
      <c r="I123" s="52">
        <f t="shared" si="102"/>
        <v>0</v>
      </c>
      <c r="J123" s="59">
        <f t="shared" si="103"/>
        <v>0</v>
      </c>
      <c r="M123" s="20" t="s">
        <v>31</v>
      </c>
      <c r="N123" s="5"/>
      <c r="O123" s="6"/>
      <c r="P123" s="7"/>
      <c r="Q123" s="51">
        <f t="shared" ref="Q123:Q125" si="116">SUM(N123:P123)</f>
        <v>0</v>
      </c>
      <c r="R123" s="5"/>
      <c r="S123" s="6"/>
      <c r="T123" s="7"/>
      <c r="U123" s="51">
        <f t="shared" ref="U123:U125" si="117">SUM(R123:T123)</f>
        <v>0</v>
      </c>
      <c r="V123" s="59">
        <f t="shared" ref="V123:V125" si="118">Q123+U123</f>
        <v>0</v>
      </c>
      <c r="W123" s="108" t="s">
        <v>32</v>
      </c>
    </row>
    <row r="124" spans="1:23" x14ac:dyDescent="0.15">
      <c r="A124" s="17"/>
      <c r="B124" s="5"/>
      <c r="C124" s="6"/>
      <c r="D124" s="7"/>
      <c r="E124" s="51">
        <f t="shared" si="101"/>
        <v>0</v>
      </c>
      <c r="F124" s="8"/>
      <c r="G124" s="6"/>
      <c r="H124" s="7"/>
      <c r="I124" s="51">
        <f t="shared" si="102"/>
        <v>0</v>
      </c>
      <c r="J124" s="59">
        <f t="shared" si="103"/>
        <v>0</v>
      </c>
      <c r="M124" s="85" t="s">
        <v>115</v>
      </c>
      <c r="N124" s="106"/>
      <c r="O124" s="87"/>
      <c r="P124" s="105"/>
      <c r="Q124" s="89">
        <f t="shared" si="116"/>
        <v>0</v>
      </c>
      <c r="R124" s="86"/>
      <c r="S124" s="88"/>
      <c r="T124" s="107"/>
      <c r="U124" s="89">
        <f t="shared" si="117"/>
        <v>0</v>
      </c>
      <c r="V124" s="90">
        <f t="shared" si="118"/>
        <v>0</v>
      </c>
      <c r="W124" s="119"/>
    </row>
    <row r="125" spans="1:23" ht="14.25" thickBot="1" x14ac:dyDescent="0.2">
      <c r="A125" s="17"/>
      <c r="B125" s="9"/>
      <c r="C125" s="10"/>
      <c r="D125" s="11"/>
      <c r="E125" s="55">
        <f t="shared" si="101"/>
        <v>0</v>
      </c>
      <c r="F125" s="12"/>
      <c r="G125" s="10"/>
      <c r="H125" s="11"/>
      <c r="I125" s="55">
        <f t="shared" si="102"/>
        <v>0</v>
      </c>
      <c r="J125" s="59">
        <f t="shared" si="103"/>
        <v>0</v>
      </c>
      <c r="M125" s="18" t="s">
        <v>34</v>
      </c>
      <c r="N125" s="5"/>
      <c r="O125" s="6"/>
      <c r="P125" s="7"/>
      <c r="Q125" s="51">
        <f t="shared" si="116"/>
        <v>0</v>
      </c>
      <c r="R125" s="5"/>
      <c r="S125" s="6"/>
      <c r="T125" s="7"/>
      <c r="U125" s="51">
        <f t="shared" si="117"/>
        <v>0</v>
      </c>
      <c r="V125" s="59">
        <f t="shared" si="118"/>
        <v>0</v>
      </c>
      <c r="W125" s="108" t="s">
        <v>43</v>
      </c>
    </row>
    <row r="126" spans="1:23" ht="14.25" thickBot="1" x14ac:dyDescent="0.2">
      <c r="A126" s="31" t="s">
        <v>19</v>
      </c>
      <c r="B126" s="34">
        <f>SUM(B100:B125)</f>
        <v>21</v>
      </c>
      <c r="C126" s="35">
        <f t="shared" ref="C126:D126" si="119">SUM(C100:C125)</f>
        <v>10</v>
      </c>
      <c r="D126" s="39">
        <f t="shared" si="119"/>
        <v>12</v>
      </c>
      <c r="E126" s="56">
        <f t="shared" si="101"/>
        <v>43</v>
      </c>
      <c r="F126" s="34">
        <f>SUM(F100:F125)</f>
        <v>18</v>
      </c>
      <c r="G126" s="35">
        <f t="shared" ref="G126:H126" si="120">SUM(G100:G125)</f>
        <v>12</v>
      </c>
      <c r="H126" s="39">
        <f t="shared" si="120"/>
        <v>10</v>
      </c>
      <c r="I126" s="56">
        <f t="shared" si="102"/>
        <v>40</v>
      </c>
      <c r="J126" s="62">
        <f>E126+I126</f>
        <v>83</v>
      </c>
      <c r="M126" s="31" t="s">
        <v>19</v>
      </c>
      <c r="N126" s="34">
        <f>SUM(N100:N125)</f>
        <v>280</v>
      </c>
      <c r="O126" s="35">
        <f t="shared" ref="O126:P126" si="121">SUM(O100:O125)</f>
        <v>255</v>
      </c>
      <c r="P126" s="39">
        <f t="shared" si="121"/>
        <v>160</v>
      </c>
      <c r="Q126" s="56">
        <f t="shared" si="107"/>
        <v>695</v>
      </c>
      <c r="R126" s="34">
        <f>SUM(R100:R125)</f>
        <v>270</v>
      </c>
      <c r="S126" s="35">
        <f t="shared" ref="S126:T126" si="122">SUM(S100:S125)</f>
        <v>285</v>
      </c>
      <c r="T126" s="39">
        <f t="shared" si="122"/>
        <v>155</v>
      </c>
      <c r="U126" s="56">
        <f t="shared" si="108"/>
        <v>710</v>
      </c>
      <c r="V126" s="62">
        <f>Q126+U126</f>
        <v>1405</v>
      </c>
    </row>
    <row r="127" spans="1:23" ht="14.25" thickBot="1" x14ac:dyDescent="0.2">
      <c r="A127" s="16" t="s">
        <v>17</v>
      </c>
      <c r="B127" s="63">
        <f>B99-B126</f>
        <v>15</v>
      </c>
      <c r="C127" s="64">
        <f t="shared" ref="C127:D127" si="123">C99-C126</f>
        <v>12</v>
      </c>
      <c r="D127" s="65">
        <f t="shared" si="123"/>
        <v>12</v>
      </c>
      <c r="E127" s="57">
        <f>SUM(B127:D127)</f>
        <v>39</v>
      </c>
      <c r="F127" s="63">
        <f>F99-F126</f>
        <v>8</v>
      </c>
      <c r="G127" s="64">
        <f t="shared" ref="G127:H127" si="124">G99-G126</f>
        <v>14</v>
      </c>
      <c r="H127" s="65">
        <f t="shared" si="124"/>
        <v>9</v>
      </c>
      <c r="I127" s="57">
        <f>SUM(F127:H127)</f>
        <v>31</v>
      </c>
      <c r="J127" s="61">
        <f>E127+I127</f>
        <v>70</v>
      </c>
      <c r="M127" s="16" t="s">
        <v>17</v>
      </c>
      <c r="N127" s="63">
        <f>N99-N126</f>
        <v>463</v>
      </c>
      <c r="O127" s="64">
        <f t="shared" ref="O127:P127" si="125">O99-O126</f>
        <v>585</v>
      </c>
      <c r="P127" s="65">
        <f t="shared" si="125"/>
        <v>312</v>
      </c>
      <c r="Q127" s="57">
        <f>SUM(N127:P127)</f>
        <v>1360</v>
      </c>
      <c r="R127" s="63">
        <f>R99-R126</f>
        <v>632</v>
      </c>
      <c r="S127" s="64">
        <f t="shared" ref="S127:T127" si="126">S99-S126</f>
        <v>716</v>
      </c>
      <c r="T127" s="65">
        <f t="shared" si="126"/>
        <v>424</v>
      </c>
      <c r="U127" s="57">
        <f>SUM(R127:T127)</f>
        <v>1772</v>
      </c>
      <c r="V127" s="61">
        <f>Q127+U127</f>
        <v>3132</v>
      </c>
    </row>
    <row r="130" spans="1:24" ht="19.5" thickBot="1" x14ac:dyDescent="0.25">
      <c r="A130" s="66" t="s">
        <v>23</v>
      </c>
      <c r="B130" s="67"/>
      <c r="C130" s="67"/>
      <c r="D130" s="67"/>
      <c r="E130" s="67"/>
      <c r="F130" s="67"/>
      <c r="G130" s="67"/>
      <c r="H130" s="67"/>
      <c r="I130" s="67" t="s">
        <v>26</v>
      </c>
      <c r="J130" s="67"/>
      <c r="M130" s="73" t="s">
        <v>24</v>
      </c>
      <c r="N130" s="74"/>
      <c r="O130" s="74"/>
      <c r="P130" s="74"/>
      <c r="Q130" s="74"/>
      <c r="R130" s="74"/>
      <c r="S130" s="74"/>
      <c r="T130" s="74"/>
      <c r="U130" s="74"/>
      <c r="V130" s="74"/>
    </row>
    <row r="131" spans="1:24" ht="14.25" thickBot="1" x14ac:dyDescent="0.2">
      <c r="A131" s="4" t="s">
        <v>0</v>
      </c>
      <c r="B131" s="191" t="s">
        <v>21</v>
      </c>
      <c r="C131" s="192"/>
      <c r="D131" s="192"/>
      <c r="E131" s="193"/>
      <c r="F131" s="194" t="s">
        <v>18</v>
      </c>
      <c r="G131" s="195"/>
      <c r="H131" s="195"/>
      <c r="I131" s="196"/>
      <c r="J131" s="189" t="s">
        <v>1</v>
      </c>
      <c r="M131" s="4" t="s">
        <v>0</v>
      </c>
      <c r="N131" s="191" t="s">
        <v>21</v>
      </c>
      <c r="O131" s="192"/>
      <c r="P131" s="192"/>
      <c r="Q131" s="193"/>
      <c r="R131" s="194" t="s">
        <v>18</v>
      </c>
      <c r="S131" s="195"/>
      <c r="T131" s="195"/>
      <c r="U131" s="196"/>
      <c r="V131" s="189" t="s">
        <v>1</v>
      </c>
    </row>
    <row r="132" spans="1:24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190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190"/>
    </row>
    <row r="133" spans="1:24" ht="14.25" thickBot="1" x14ac:dyDescent="0.2">
      <c r="A133" s="21" t="s">
        <v>20</v>
      </c>
      <c r="B133" s="68">
        <f>B127</f>
        <v>15</v>
      </c>
      <c r="C133" s="69">
        <f>C127</f>
        <v>12</v>
      </c>
      <c r="D133" s="70">
        <f>D127</f>
        <v>12</v>
      </c>
      <c r="E133" s="71">
        <f>SUM(B133:D133)</f>
        <v>39</v>
      </c>
      <c r="F133" s="68">
        <f>F127</f>
        <v>8</v>
      </c>
      <c r="G133" s="69">
        <f>G127</f>
        <v>14</v>
      </c>
      <c r="H133" s="70">
        <f>H127</f>
        <v>9</v>
      </c>
      <c r="I133" s="71">
        <f>SUM(F133:H133)</f>
        <v>31</v>
      </c>
      <c r="J133" s="72">
        <f>E133+I133</f>
        <v>70</v>
      </c>
      <c r="M133" s="21" t="s">
        <v>20</v>
      </c>
      <c r="N133" s="68">
        <f>N127</f>
        <v>463</v>
      </c>
      <c r="O133" s="69">
        <f>O127</f>
        <v>585</v>
      </c>
      <c r="P133" s="70">
        <f>P127</f>
        <v>312</v>
      </c>
      <c r="Q133" s="71">
        <f>SUM(N133:P133)</f>
        <v>1360</v>
      </c>
      <c r="R133" s="68">
        <f>R127</f>
        <v>632</v>
      </c>
      <c r="S133" s="69">
        <f>S127</f>
        <v>716</v>
      </c>
      <c r="T133" s="70">
        <f>T127</f>
        <v>424</v>
      </c>
      <c r="U133" s="71">
        <f>SUM(R133:T133)</f>
        <v>1772</v>
      </c>
      <c r="V133" s="72">
        <f>Q133+U133</f>
        <v>3132</v>
      </c>
    </row>
    <row r="134" spans="1:24" x14ac:dyDescent="0.15">
      <c r="A134" s="19" t="s">
        <v>95</v>
      </c>
      <c r="B134" s="32">
        <v>6</v>
      </c>
      <c r="C134" s="33">
        <v>5</v>
      </c>
      <c r="D134" s="44">
        <v>2</v>
      </c>
      <c r="E134" s="50">
        <f>SUM(B134:D134)</f>
        <v>13</v>
      </c>
      <c r="F134" s="45">
        <v>6</v>
      </c>
      <c r="G134" s="46">
        <v>5</v>
      </c>
      <c r="H134" s="47">
        <v>2</v>
      </c>
      <c r="I134" s="50">
        <f>SUM(F134:H134)</f>
        <v>13</v>
      </c>
      <c r="J134" s="58">
        <f>E134+I134</f>
        <v>26</v>
      </c>
      <c r="K134" s="41">
        <v>45455</v>
      </c>
      <c r="M134" s="19" t="s">
        <v>8</v>
      </c>
      <c r="N134" s="32"/>
      <c r="O134" s="33"/>
      <c r="P134" s="44"/>
      <c r="Q134" s="50">
        <f>SUM(N134:P134)</f>
        <v>0</v>
      </c>
      <c r="R134" s="45"/>
      <c r="S134" s="46"/>
      <c r="T134" s="47"/>
      <c r="U134" s="50">
        <f>SUM(R134:T134)</f>
        <v>0</v>
      </c>
      <c r="V134" s="58">
        <f>Q134+U134</f>
        <v>0</v>
      </c>
      <c r="W134" s="108"/>
    </row>
    <row r="135" spans="1:24" x14ac:dyDescent="0.15">
      <c r="A135" s="19" t="s">
        <v>9</v>
      </c>
      <c r="B135" s="5">
        <v>5</v>
      </c>
      <c r="C135" s="6">
        <v>5</v>
      </c>
      <c r="D135" s="14"/>
      <c r="E135" s="51">
        <f>SUM(B135:D135)</f>
        <v>10</v>
      </c>
      <c r="F135" s="15"/>
      <c r="G135" s="13">
        <v>5</v>
      </c>
      <c r="H135" s="14">
        <v>5</v>
      </c>
      <c r="I135" s="51">
        <f>SUM(F135:H135)</f>
        <v>10</v>
      </c>
      <c r="J135" s="59">
        <f>E135+I135</f>
        <v>20</v>
      </c>
      <c r="K135" s="40">
        <v>45461</v>
      </c>
      <c r="M135" s="19" t="s">
        <v>118</v>
      </c>
      <c r="N135" s="5">
        <v>200</v>
      </c>
      <c r="O135" s="6">
        <v>200</v>
      </c>
      <c r="P135" s="36">
        <v>350</v>
      </c>
      <c r="Q135" s="52">
        <f>SUM(N135:P135)</f>
        <v>750</v>
      </c>
      <c r="R135" s="8">
        <v>120</v>
      </c>
      <c r="S135" s="6">
        <v>0</v>
      </c>
      <c r="T135" s="7">
        <v>0</v>
      </c>
      <c r="U135" s="52">
        <f>SUM(R135:T135)</f>
        <v>120</v>
      </c>
      <c r="V135" s="59">
        <f>Q135+U135</f>
        <v>870</v>
      </c>
      <c r="W135" s="121" t="s">
        <v>130</v>
      </c>
      <c r="X135" s="48"/>
    </row>
    <row r="136" spans="1:24" x14ac:dyDescent="0.15">
      <c r="A136" s="19" t="s">
        <v>145</v>
      </c>
      <c r="B136" s="5"/>
      <c r="C136" s="6">
        <v>1</v>
      </c>
      <c r="D136" s="7"/>
      <c r="E136" s="51">
        <f t="shared" ref="E136:E141" si="127">SUM(B136:D136)</f>
        <v>1</v>
      </c>
      <c r="F136" s="8"/>
      <c r="G136" s="6">
        <v>1</v>
      </c>
      <c r="H136" s="7"/>
      <c r="I136" s="51">
        <f t="shared" ref="I136:I141" si="128">SUM(F136:H136)</f>
        <v>1</v>
      </c>
      <c r="J136" s="59">
        <f t="shared" ref="J136:J141" si="129">E136+I136</f>
        <v>2</v>
      </c>
      <c r="K136" s="40">
        <v>45460</v>
      </c>
      <c r="M136" s="100" t="s">
        <v>143</v>
      </c>
      <c r="N136" s="5">
        <v>6</v>
      </c>
      <c r="O136" s="6">
        <v>5</v>
      </c>
      <c r="P136" s="14"/>
      <c r="Q136" s="51">
        <f t="shared" ref="Q136:Q137" si="130">SUM(N136:P136)</f>
        <v>11</v>
      </c>
      <c r="R136" s="15"/>
      <c r="S136" s="13">
        <v>5</v>
      </c>
      <c r="T136" s="14"/>
      <c r="U136" s="51">
        <f t="shared" ref="U136:U137" si="131">SUM(R136:T136)</f>
        <v>5</v>
      </c>
      <c r="V136" s="59">
        <f t="shared" ref="V136:V137" si="132">Q136+U136</f>
        <v>16</v>
      </c>
      <c r="W136" s="108">
        <v>45458</v>
      </c>
    </row>
    <row r="137" spans="1:24" x14ac:dyDescent="0.15">
      <c r="A137" s="19" t="s">
        <v>151</v>
      </c>
      <c r="B137" s="5">
        <v>3</v>
      </c>
      <c r="C137" s="6">
        <f>1-1</f>
        <v>0</v>
      </c>
      <c r="D137" s="36">
        <f>1-1</f>
        <v>0</v>
      </c>
      <c r="E137" s="52">
        <f t="shared" si="127"/>
        <v>3</v>
      </c>
      <c r="F137" s="8">
        <v>3</v>
      </c>
      <c r="G137" s="6">
        <v>3</v>
      </c>
      <c r="H137" s="7">
        <v>1</v>
      </c>
      <c r="I137" s="52">
        <f t="shared" si="128"/>
        <v>7</v>
      </c>
      <c r="J137" s="59">
        <f t="shared" si="129"/>
        <v>10</v>
      </c>
      <c r="K137" s="40">
        <v>45463</v>
      </c>
      <c r="M137" s="100" t="s">
        <v>41</v>
      </c>
      <c r="N137" s="9"/>
      <c r="O137" s="10"/>
      <c r="P137" s="37"/>
      <c r="Q137" s="52">
        <f t="shared" si="130"/>
        <v>0</v>
      </c>
      <c r="R137" s="12"/>
      <c r="S137" s="10">
        <v>5</v>
      </c>
      <c r="T137" s="11"/>
      <c r="U137" s="52">
        <f t="shared" si="131"/>
        <v>5</v>
      </c>
      <c r="V137" s="59">
        <f t="shared" si="132"/>
        <v>5</v>
      </c>
      <c r="W137" s="108">
        <v>45464</v>
      </c>
    </row>
    <row r="138" spans="1:24" x14ac:dyDescent="0.15">
      <c r="A138" s="19" t="s">
        <v>12</v>
      </c>
      <c r="B138" s="5"/>
      <c r="C138" s="6"/>
      <c r="D138" s="36">
        <v>5</v>
      </c>
      <c r="E138" s="52">
        <f t="shared" si="127"/>
        <v>5</v>
      </c>
      <c r="F138" s="8"/>
      <c r="G138" s="6"/>
      <c r="H138" s="7">
        <v>5</v>
      </c>
      <c r="I138" s="52">
        <f t="shared" si="128"/>
        <v>5</v>
      </c>
      <c r="J138" s="59">
        <f t="shared" si="129"/>
        <v>10</v>
      </c>
      <c r="K138" s="40">
        <v>45469</v>
      </c>
      <c r="M138" s="92" t="s">
        <v>12</v>
      </c>
      <c r="N138" s="93"/>
      <c r="O138" s="94"/>
      <c r="P138" s="95"/>
      <c r="Q138" s="96">
        <f t="shared" ref="Q138:Q139" si="133">SUM(N138:P138)</f>
        <v>0</v>
      </c>
      <c r="R138" s="97"/>
      <c r="S138" s="94"/>
      <c r="T138" s="98"/>
      <c r="U138" s="96">
        <f t="shared" ref="U138:U139" si="134">SUM(R138:T138)</f>
        <v>0</v>
      </c>
      <c r="V138" s="99">
        <f t="shared" ref="V138:V139" si="135">Q138+U138</f>
        <v>0</v>
      </c>
      <c r="W138" s="115"/>
    </row>
    <row r="139" spans="1:24" x14ac:dyDescent="0.15">
      <c r="A139" s="19" t="s">
        <v>157</v>
      </c>
      <c r="B139" s="5"/>
      <c r="C139" s="6">
        <v>4</v>
      </c>
      <c r="D139" s="36"/>
      <c r="E139" s="52">
        <f t="shared" si="127"/>
        <v>4</v>
      </c>
      <c r="F139" s="8">
        <v>1</v>
      </c>
      <c r="G139" s="6">
        <v>1</v>
      </c>
      <c r="H139" s="7"/>
      <c r="I139" s="52">
        <f t="shared" si="128"/>
        <v>2</v>
      </c>
      <c r="J139" s="59">
        <f t="shared" si="129"/>
        <v>6</v>
      </c>
      <c r="K139" s="40">
        <v>45471</v>
      </c>
      <c r="M139" s="19" t="s">
        <v>13</v>
      </c>
      <c r="N139" s="9"/>
      <c r="O139" s="10"/>
      <c r="P139" s="37"/>
      <c r="Q139" s="52">
        <f t="shared" si="133"/>
        <v>0</v>
      </c>
      <c r="R139" s="12"/>
      <c r="S139" s="10"/>
      <c r="T139" s="11"/>
      <c r="U139" s="52">
        <f t="shared" si="134"/>
        <v>0</v>
      </c>
      <c r="V139" s="59">
        <f t="shared" si="135"/>
        <v>0</v>
      </c>
    </row>
    <row r="140" spans="1:24" x14ac:dyDescent="0.15">
      <c r="A140" s="19" t="s">
        <v>14</v>
      </c>
      <c r="B140" s="9">
        <v>5</v>
      </c>
      <c r="C140" s="10"/>
      <c r="D140" s="37"/>
      <c r="E140" s="52">
        <f t="shared" si="127"/>
        <v>5</v>
      </c>
      <c r="F140" s="12"/>
      <c r="G140" s="10"/>
      <c r="H140" s="11"/>
      <c r="I140" s="52">
        <f t="shared" si="128"/>
        <v>0</v>
      </c>
      <c r="J140" s="59">
        <f t="shared" si="129"/>
        <v>5</v>
      </c>
      <c r="K140" s="40">
        <v>45472</v>
      </c>
      <c r="M140" s="19" t="s">
        <v>14</v>
      </c>
      <c r="N140" s="9"/>
      <c r="O140" s="10"/>
      <c r="P140" s="37"/>
      <c r="Q140" s="52">
        <f t="shared" ref="Q140:Q141" si="136">SUM(N140:P140)</f>
        <v>0</v>
      </c>
      <c r="R140" s="12"/>
      <c r="S140" s="10"/>
      <c r="T140" s="11"/>
      <c r="U140" s="52">
        <f t="shared" ref="U140:U141" si="137">SUM(R140:T140)</f>
        <v>0</v>
      </c>
      <c r="V140" s="59">
        <f t="shared" ref="V140:V141" si="138">Q140+U140</f>
        <v>0</v>
      </c>
    </row>
    <row r="141" spans="1:24" ht="14.25" thickBot="1" x14ac:dyDescent="0.2">
      <c r="A141" s="19" t="s">
        <v>152</v>
      </c>
      <c r="B141" s="25">
        <v>-1</v>
      </c>
      <c r="C141" s="26">
        <v>-1</v>
      </c>
      <c r="D141" s="38">
        <v>1</v>
      </c>
      <c r="E141" s="53">
        <f t="shared" si="127"/>
        <v>-1</v>
      </c>
      <c r="F141" s="27">
        <v>1</v>
      </c>
      <c r="G141" s="27">
        <v>-2</v>
      </c>
      <c r="H141" s="29">
        <v>-1</v>
      </c>
      <c r="I141" s="53">
        <f t="shared" si="128"/>
        <v>-2</v>
      </c>
      <c r="J141" s="60">
        <f t="shared" si="129"/>
        <v>-3</v>
      </c>
      <c r="K141" s="41">
        <v>45463</v>
      </c>
      <c r="M141" s="19" t="s">
        <v>15</v>
      </c>
      <c r="N141" s="25"/>
      <c r="O141" s="26"/>
      <c r="P141" s="38"/>
      <c r="Q141" s="53">
        <f t="shared" si="136"/>
        <v>0</v>
      </c>
      <c r="R141" s="27"/>
      <c r="S141" s="27"/>
      <c r="T141" s="29"/>
      <c r="U141" s="53">
        <f t="shared" si="137"/>
        <v>0</v>
      </c>
      <c r="V141" s="60">
        <f t="shared" si="138"/>
        <v>0</v>
      </c>
    </row>
    <row r="142" spans="1:24" ht="14.25" thickBot="1" x14ac:dyDescent="0.2">
      <c r="A142" s="28" t="s">
        <v>16</v>
      </c>
      <c r="B142" s="22">
        <f>SUM(B133:B141)</f>
        <v>33</v>
      </c>
      <c r="C142" s="23">
        <f t="shared" ref="C142:D142" si="139">SUM(C133:C141)</f>
        <v>26</v>
      </c>
      <c r="D142" s="24">
        <f t="shared" si="139"/>
        <v>20</v>
      </c>
      <c r="E142" s="54">
        <f>SUM(B142:D142)</f>
        <v>79</v>
      </c>
      <c r="F142" s="22">
        <f>SUM(F133:F141)</f>
        <v>19</v>
      </c>
      <c r="G142" s="23">
        <f t="shared" ref="G142:H142" si="140">SUM(G133:G141)</f>
        <v>27</v>
      </c>
      <c r="H142" s="24">
        <f t="shared" si="140"/>
        <v>21</v>
      </c>
      <c r="I142" s="54">
        <f>SUM(F142:H142)</f>
        <v>67</v>
      </c>
      <c r="J142" s="61">
        <f>SUM(J134:J141)</f>
        <v>76</v>
      </c>
      <c r="M142" s="28" t="s">
        <v>16</v>
      </c>
      <c r="N142" s="22">
        <f>SUM(N133:N141)</f>
        <v>669</v>
      </c>
      <c r="O142" s="23">
        <f t="shared" ref="O142:P142" si="141">SUM(O133:O141)</f>
        <v>790</v>
      </c>
      <c r="P142" s="24">
        <f t="shared" si="141"/>
        <v>662</v>
      </c>
      <c r="Q142" s="54">
        <f>SUM(N142:P142)</f>
        <v>2121</v>
      </c>
      <c r="R142" s="22">
        <f>SUM(R133:R141)</f>
        <v>752</v>
      </c>
      <c r="S142" s="23">
        <f t="shared" ref="S142:T142" si="142">SUM(S133:S141)</f>
        <v>726</v>
      </c>
      <c r="T142" s="24">
        <f t="shared" si="142"/>
        <v>424</v>
      </c>
      <c r="U142" s="54">
        <f>SUM(R142:T142)</f>
        <v>1902</v>
      </c>
      <c r="V142" s="61">
        <f>Q142+U142</f>
        <v>4023</v>
      </c>
    </row>
    <row r="143" spans="1:24" x14ac:dyDescent="0.15">
      <c r="A143" s="18" t="s">
        <v>128</v>
      </c>
      <c r="B143" s="9"/>
      <c r="C143" s="10"/>
      <c r="D143" s="11">
        <v>1</v>
      </c>
      <c r="E143" s="51">
        <f t="shared" ref="E143:E169" si="143">SUM(B143:D143)</f>
        <v>1</v>
      </c>
      <c r="F143" s="12"/>
      <c r="G143" s="10"/>
      <c r="H143" s="11">
        <v>1</v>
      </c>
      <c r="I143" s="51">
        <f t="shared" ref="I143:I169" si="144">SUM(F143:H143)</f>
        <v>1</v>
      </c>
      <c r="J143" s="59">
        <f t="shared" ref="J143:J168" si="145">E143+I143</f>
        <v>2</v>
      </c>
      <c r="K143" s="40">
        <v>45455</v>
      </c>
      <c r="M143" s="18" t="s">
        <v>92</v>
      </c>
      <c r="N143" s="9">
        <v>15</v>
      </c>
      <c r="O143" s="10">
        <v>10</v>
      </c>
      <c r="P143" s="11"/>
      <c r="Q143" s="51">
        <f>SUM(N143:P143)</f>
        <v>25</v>
      </c>
      <c r="R143" s="12">
        <v>40</v>
      </c>
      <c r="S143" s="10">
        <v>70</v>
      </c>
      <c r="T143" s="11">
        <v>5</v>
      </c>
      <c r="U143" s="51">
        <f>SUM(R143:T143)</f>
        <v>115</v>
      </c>
      <c r="V143" s="59">
        <f>Q143+U143</f>
        <v>140</v>
      </c>
      <c r="W143" s="108">
        <v>45447</v>
      </c>
    </row>
    <row r="144" spans="1:24" x14ac:dyDescent="0.15">
      <c r="A144" s="17" t="s">
        <v>38</v>
      </c>
      <c r="B144" s="5"/>
      <c r="C144" s="6"/>
      <c r="D144" s="7"/>
      <c r="E144" s="51">
        <f t="shared" si="143"/>
        <v>0</v>
      </c>
      <c r="F144" s="8"/>
      <c r="G144" s="6"/>
      <c r="H144" s="7">
        <v>1</v>
      </c>
      <c r="I144" s="51">
        <f t="shared" si="144"/>
        <v>1</v>
      </c>
      <c r="J144" s="59">
        <f t="shared" si="145"/>
        <v>1</v>
      </c>
      <c r="K144" s="40">
        <v>45457</v>
      </c>
      <c r="M144" s="18" t="s">
        <v>93</v>
      </c>
      <c r="N144" s="5">
        <v>10</v>
      </c>
      <c r="O144" s="6">
        <v>10</v>
      </c>
      <c r="P144" s="7">
        <v>10</v>
      </c>
      <c r="Q144" s="51">
        <f t="shared" ref="Q144:Q169" si="146">SUM(N144:P144)</f>
        <v>30</v>
      </c>
      <c r="R144" s="8">
        <v>10</v>
      </c>
      <c r="S144" s="6">
        <v>10</v>
      </c>
      <c r="T144" s="7">
        <v>10</v>
      </c>
      <c r="U144" s="51">
        <f t="shared" ref="U144:U169" si="147">SUM(R144:T144)</f>
        <v>30</v>
      </c>
      <c r="V144" s="59">
        <f t="shared" ref="V144:V168" si="148">Q144+U144</f>
        <v>60</v>
      </c>
      <c r="W144" s="108">
        <v>45448</v>
      </c>
      <c r="X144" s="48"/>
    </row>
    <row r="145" spans="1:25" x14ac:dyDescent="0.15">
      <c r="A145" s="17" t="s">
        <v>57</v>
      </c>
      <c r="B145" s="5"/>
      <c r="C145" s="6">
        <v>1</v>
      </c>
      <c r="D145" s="7"/>
      <c r="E145" s="51">
        <f t="shared" si="143"/>
        <v>1</v>
      </c>
      <c r="F145" s="8">
        <v>3</v>
      </c>
      <c r="G145" s="6"/>
      <c r="H145" s="7"/>
      <c r="I145" s="51">
        <f t="shared" si="144"/>
        <v>3</v>
      </c>
      <c r="J145" s="59">
        <f t="shared" si="145"/>
        <v>4</v>
      </c>
      <c r="K145" s="40">
        <v>45457</v>
      </c>
      <c r="M145" s="18" t="s">
        <v>100</v>
      </c>
      <c r="N145" s="5">
        <v>5</v>
      </c>
      <c r="O145" s="6">
        <v>10</v>
      </c>
      <c r="P145" s="7"/>
      <c r="Q145" s="51">
        <f t="shared" si="146"/>
        <v>15</v>
      </c>
      <c r="R145" s="8">
        <v>20</v>
      </c>
      <c r="S145" s="6">
        <v>25</v>
      </c>
      <c r="T145" s="7">
        <v>30</v>
      </c>
      <c r="U145" s="51">
        <f t="shared" si="147"/>
        <v>75</v>
      </c>
      <c r="V145" s="59">
        <f t="shared" si="148"/>
        <v>90</v>
      </c>
      <c r="W145" s="108">
        <v>45456</v>
      </c>
    </row>
    <row r="146" spans="1:25" x14ac:dyDescent="0.15">
      <c r="A146" s="17" t="s">
        <v>141</v>
      </c>
      <c r="B146" s="5">
        <v>5</v>
      </c>
      <c r="C146" s="6">
        <v>3</v>
      </c>
      <c r="D146" s="7">
        <v>3</v>
      </c>
      <c r="E146" s="51">
        <f t="shared" si="143"/>
        <v>11</v>
      </c>
      <c r="F146" s="8"/>
      <c r="G146" s="6">
        <v>5</v>
      </c>
      <c r="H146" s="7">
        <v>3</v>
      </c>
      <c r="I146" s="51">
        <f t="shared" si="144"/>
        <v>8</v>
      </c>
      <c r="J146" s="59">
        <f t="shared" si="145"/>
        <v>19</v>
      </c>
      <c r="K146" s="40">
        <v>45458</v>
      </c>
      <c r="M146" s="18" t="s">
        <v>114</v>
      </c>
      <c r="N146" s="5">
        <v>15</v>
      </c>
      <c r="O146" s="6"/>
      <c r="P146" s="14"/>
      <c r="Q146" s="51">
        <f t="shared" ref="Q146" si="149">SUM(N146:P146)</f>
        <v>15</v>
      </c>
      <c r="R146" s="15"/>
      <c r="S146" s="13">
        <v>25</v>
      </c>
      <c r="T146" s="14">
        <v>30</v>
      </c>
      <c r="U146" s="51">
        <f t="shared" ref="U146" si="150">SUM(R146:T146)</f>
        <v>55</v>
      </c>
      <c r="V146" s="59">
        <f t="shared" ref="V146" si="151">Q146+U146</f>
        <v>70</v>
      </c>
      <c r="W146" s="108">
        <v>45468</v>
      </c>
    </row>
    <row r="147" spans="1:25" x14ac:dyDescent="0.15">
      <c r="A147" s="17" t="s">
        <v>142</v>
      </c>
      <c r="B147" s="5">
        <v>6</v>
      </c>
      <c r="C147" s="6">
        <v>5</v>
      </c>
      <c r="D147" s="7"/>
      <c r="E147" s="51">
        <f t="shared" si="143"/>
        <v>11</v>
      </c>
      <c r="F147" s="8"/>
      <c r="G147" s="6">
        <v>5</v>
      </c>
      <c r="H147" s="7"/>
      <c r="I147" s="51">
        <f t="shared" si="144"/>
        <v>5</v>
      </c>
      <c r="J147" s="59">
        <f t="shared" si="145"/>
        <v>16</v>
      </c>
      <c r="K147" s="41">
        <v>45458</v>
      </c>
      <c r="M147" s="18" t="s">
        <v>104</v>
      </c>
      <c r="N147" s="5">
        <v>25</v>
      </c>
      <c r="O147" s="6">
        <v>30</v>
      </c>
      <c r="P147" s="7">
        <v>30</v>
      </c>
      <c r="Q147" s="51">
        <f t="shared" si="146"/>
        <v>85</v>
      </c>
      <c r="R147" s="8">
        <v>25</v>
      </c>
      <c r="S147" s="6">
        <v>30</v>
      </c>
      <c r="T147" s="7">
        <v>30</v>
      </c>
      <c r="U147" s="51">
        <f t="shared" si="147"/>
        <v>85</v>
      </c>
      <c r="V147" s="59">
        <f t="shared" si="148"/>
        <v>170</v>
      </c>
      <c r="W147" s="108">
        <v>45450</v>
      </c>
      <c r="X147" s="48"/>
      <c r="Y147" s="48"/>
    </row>
    <row r="148" spans="1:25" x14ac:dyDescent="0.15">
      <c r="A148" s="17" t="s">
        <v>57</v>
      </c>
      <c r="B148" s="5">
        <v>2</v>
      </c>
      <c r="C148" s="6">
        <v>2</v>
      </c>
      <c r="D148" s="14"/>
      <c r="E148" s="51">
        <f t="shared" si="143"/>
        <v>4</v>
      </c>
      <c r="F148" s="15"/>
      <c r="G148" s="13">
        <v>1</v>
      </c>
      <c r="H148" s="14"/>
      <c r="I148" s="51">
        <f t="shared" si="144"/>
        <v>1</v>
      </c>
      <c r="J148" s="59">
        <f t="shared" si="145"/>
        <v>5</v>
      </c>
      <c r="K148" s="41">
        <v>45460</v>
      </c>
      <c r="M148" s="18" t="s">
        <v>127</v>
      </c>
      <c r="N148" s="5">
        <v>13</v>
      </c>
      <c r="O148" s="6"/>
      <c r="P148" s="7"/>
      <c r="Q148" s="51">
        <f t="shared" ref="Q148:Q160" si="152">SUM(N148:P148)</f>
        <v>13</v>
      </c>
      <c r="R148" s="8"/>
      <c r="S148" s="6"/>
      <c r="T148" s="7"/>
      <c r="U148" s="51">
        <f t="shared" ref="U148:U160" si="153">SUM(R148:T148)</f>
        <v>0</v>
      </c>
      <c r="V148" s="59">
        <f t="shared" ref="V148:V160" si="154">Q148+U148</f>
        <v>13</v>
      </c>
      <c r="W148" s="108">
        <v>45450</v>
      </c>
    </row>
    <row r="149" spans="1:25" ht="14.25" x14ac:dyDescent="0.15">
      <c r="A149" s="17" t="s">
        <v>57</v>
      </c>
      <c r="B149" s="5"/>
      <c r="C149" s="6"/>
      <c r="D149" s="7">
        <v>2</v>
      </c>
      <c r="E149" s="51">
        <f t="shared" si="143"/>
        <v>2</v>
      </c>
      <c r="F149" s="8">
        <v>1</v>
      </c>
      <c r="G149" s="6"/>
      <c r="H149" s="7">
        <v>2</v>
      </c>
      <c r="I149" s="51">
        <f t="shared" si="144"/>
        <v>3</v>
      </c>
      <c r="J149" s="59">
        <f t="shared" si="145"/>
        <v>5</v>
      </c>
      <c r="K149" s="41">
        <v>45461</v>
      </c>
      <c r="M149" s="18" t="s">
        <v>123</v>
      </c>
      <c r="N149" s="5">
        <v>40</v>
      </c>
      <c r="O149" s="6">
        <v>5</v>
      </c>
      <c r="P149" s="7">
        <v>15</v>
      </c>
      <c r="Q149" s="51">
        <f t="shared" si="152"/>
        <v>60</v>
      </c>
      <c r="R149" s="8">
        <v>40</v>
      </c>
      <c r="S149" s="6">
        <v>20</v>
      </c>
      <c r="T149" s="7">
        <v>5</v>
      </c>
      <c r="U149" s="51">
        <f t="shared" si="153"/>
        <v>65</v>
      </c>
      <c r="V149" s="59">
        <f t="shared" si="154"/>
        <v>125</v>
      </c>
      <c r="W149" s="118">
        <v>45451</v>
      </c>
    </row>
    <row r="150" spans="1:25" x14ac:dyDescent="0.15">
      <c r="A150" s="17" t="s">
        <v>101</v>
      </c>
      <c r="B150" s="5"/>
      <c r="C150" s="6">
        <v>-1</v>
      </c>
      <c r="D150" s="7"/>
      <c r="E150" s="51">
        <f t="shared" si="143"/>
        <v>-1</v>
      </c>
      <c r="F150" s="8"/>
      <c r="G150" s="6"/>
      <c r="H150" s="7"/>
      <c r="I150" s="51">
        <f t="shared" si="144"/>
        <v>0</v>
      </c>
      <c r="J150" s="59">
        <f t="shared" si="145"/>
        <v>-1</v>
      </c>
      <c r="K150" s="41">
        <v>45461</v>
      </c>
      <c r="M150" s="18" t="s">
        <v>122</v>
      </c>
      <c r="N150" s="5"/>
      <c r="O150" s="6">
        <v>10</v>
      </c>
      <c r="P150" s="7"/>
      <c r="Q150" s="51">
        <f t="shared" si="152"/>
        <v>10</v>
      </c>
      <c r="R150" s="8"/>
      <c r="S150" s="6">
        <v>10</v>
      </c>
      <c r="T150" s="7"/>
      <c r="U150" s="51">
        <f t="shared" si="153"/>
        <v>10</v>
      </c>
      <c r="V150" s="59">
        <f t="shared" si="154"/>
        <v>20</v>
      </c>
      <c r="W150" s="108">
        <v>45453</v>
      </c>
    </row>
    <row r="151" spans="1:25" x14ac:dyDescent="0.15">
      <c r="A151" s="17" t="s">
        <v>77</v>
      </c>
      <c r="B151" s="5">
        <v>3</v>
      </c>
      <c r="C151" s="6"/>
      <c r="D151" s="7"/>
      <c r="E151" s="51">
        <f t="shared" si="143"/>
        <v>3</v>
      </c>
      <c r="F151" s="8"/>
      <c r="G151" s="6"/>
      <c r="H151" s="7"/>
      <c r="I151" s="51">
        <f t="shared" si="144"/>
        <v>0</v>
      </c>
      <c r="J151" s="59">
        <f t="shared" si="145"/>
        <v>3</v>
      </c>
      <c r="K151" s="40">
        <v>45462</v>
      </c>
      <c r="M151" s="18" t="s">
        <v>129</v>
      </c>
      <c r="N151" s="9"/>
      <c r="O151" s="10">
        <v>16</v>
      </c>
      <c r="P151" s="11"/>
      <c r="Q151" s="51">
        <f t="shared" si="152"/>
        <v>16</v>
      </c>
      <c r="R151" s="12"/>
      <c r="S151" s="10"/>
      <c r="T151" s="11"/>
      <c r="U151" s="51">
        <f t="shared" si="153"/>
        <v>0</v>
      </c>
      <c r="V151" s="59">
        <f t="shared" si="154"/>
        <v>16</v>
      </c>
      <c r="W151" s="108">
        <v>45455</v>
      </c>
    </row>
    <row r="152" spans="1:25" x14ac:dyDescent="0.15">
      <c r="A152" s="17" t="s">
        <v>57</v>
      </c>
      <c r="B152" s="9"/>
      <c r="C152" s="10">
        <v>1</v>
      </c>
      <c r="D152" s="11">
        <v>1</v>
      </c>
      <c r="E152" s="51">
        <f t="shared" si="143"/>
        <v>2</v>
      </c>
      <c r="F152" s="12"/>
      <c r="G152" s="10"/>
      <c r="H152" s="11">
        <v>1</v>
      </c>
      <c r="I152" s="51">
        <f t="shared" si="144"/>
        <v>1</v>
      </c>
      <c r="J152" s="59">
        <f t="shared" si="145"/>
        <v>3</v>
      </c>
      <c r="K152" s="41">
        <v>45462</v>
      </c>
      <c r="M152" s="18" t="s">
        <v>131</v>
      </c>
      <c r="N152" s="5"/>
      <c r="O152" s="6"/>
      <c r="P152" s="7"/>
      <c r="Q152" s="51">
        <f t="shared" si="152"/>
        <v>0</v>
      </c>
      <c r="R152" s="8"/>
      <c r="S152" s="6"/>
      <c r="T152" s="7">
        <v>5</v>
      </c>
      <c r="U152" s="51">
        <f t="shared" si="153"/>
        <v>5</v>
      </c>
      <c r="V152" s="59">
        <f t="shared" si="154"/>
        <v>5</v>
      </c>
      <c r="W152" s="108">
        <v>45456</v>
      </c>
    </row>
    <row r="153" spans="1:25" x14ac:dyDescent="0.15">
      <c r="A153" s="17" t="s">
        <v>150</v>
      </c>
      <c r="B153" s="5">
        <v>1</v>
      </c>
      <c r="C153" s="6"/>
      <c r="D153" s="7"/>
      <c r="E153" s="51">
        <f t="shared" si="143"/>
        <v>1</v>
      </c>
      <c r="F153" s="8">
        <v>1</v>
      </c>
      <c r="G153" s="6"/>
      <c r="H153" s="7"/>
      <c r="I153" s="51">
        <f t="shared" si="144"/>
        <v>1</v>
      </c>
      <c r="J153" s="59">
        <f t="shared" si="145"/>
        <v>2</v>
      </c>
      <c r="K153" s="41">
        <v>45462</v>
      </c>
      <c r="M153" s="20" t="s">
        <v>132</v>
      </c>
      <c r="N153" s="5">
        <v>40</v>
      </c>
      <c r="O153" s="6">
        <v>45</v>
      </c>
      <c r="P153" s="7"/>
      <c r="Q153" s="51">
        <f t="shared" si="152"/>
        <v>85</v>
      </c>
      <c r="R153" s="8"/>
      <c r="S153" s="6"/>
      <c r="T153" s="7"/>
      <c r="U153" s="51">
        <f t="shared" si="153"/>
        <v>0</v>
      </c>
      <c r="V153" s="59">
        <f t="shared" si="154"/>
        <v>85</v>
      </c>
      <c r="W153" s="108">
        <v>45456</v>
      </c>
      <c r="X153" s="48"/>
      <c r="Y153" s="48"/>
    </row>
    <row r="154" spans="1:25" x14ac:dyDescent="0.15">
      <c r="A154" s="17" t="s">
        <v>57</v>
      </c>
      <c r="B154" s="5">
        <v>1</v>
      </c>
      <c r="C154" s="6"/>
      <c r="D154" s="7"/>
      <c r="E154" s="51">
        <f t="shared" si="143"/>
        <v>1</v>
      </c>
      <c r="F154" s="8"/>
      <c r="G154" s="6"/>
      <c r="H154" s="7"/>
      <c r="I154" s="51">
        <f t="shared" si="144"/>
        <v>0</v>
      </c>
      <c r="J154" s="59">
        <f t="shared" si="145"/>
        <v>1</v>
      </c>
      <c r="K154" s="41">
        <v>45463</v>
      </c>
      <c r="M154" s="18" t="s">
        <v>133</v>
      </c>
      <c r="N154" s="5">
        <v>30</v>
      </c>
      <c r="O154" s="6"/>
      <c r="P154" s="7"/>
      <c r="Q154" s="51">
        <f t="shared" si="152"/>
        <v>30</v>
      </c>
      <c r="R154" s="8">
        <v>30</v>
      </c>
      <c r="S154" s="6"/>
      <c r="T154" s="7"/>
      <c r="U154" s="51">
        <f t="shared" si="153"/>
        <v>30</v>
      </c>
      <c r="V154" s="59">
        <f t="shared" si="154"/>
        <v>60</v>
      </c>
      <c r="W154" s="108">
        <v>45457</v>
      </c>
      <c r="X154" s="48"/>
    </row>
    <row r="155" spans="1:25" x14ac:dyDescent="0.15">
      <c r="A155" s="17" t="s">
        <v>142</v>
      </c>
      <c r="B155" s="5"/>
      <c r="C155" s="6"/>
      <c r="D155" s="7"/>
      <c r="E155" s="51">
        <f t="shared" si="143"/>
        <v>0</v>
      </c>
      <c r="F155" s="8"/>
      <c r="G155" s="6">
        <v>5</v>
      </c>
      <c r="H155" s="7"/>
      <c r="I155" s="51">
        <f t="shared" si="144"/>
        <v>5</v>
      </c>
      <c r="J155" s="59">
        <f t="shared" si="145"/>
        <v>5</v>
      </c>
      <c r="K155" s="40">
        <v>45464</v>
      </c>
      <c r="M155" s="18" t="s">
        <v>134</v>
      </c>
      <c r="N155" s="5"/>
      <c r="O155" s="6"/>
      <c r="P155" s="7">
        <v>4</v>
      </c>
      <c r="Q155" s="51">
        <f t="shared" si="152"/>
        <v>4</v>
      </c>
      <c r="R155" s="8"/>
      <c r="S155" s="6"/>
      <c r="T155" s="7">
        <v>4</v>
      </c>
      <c r="U155" s="51">
        <f t="shared" si="153"/>
        <v>4</v>
      </c>
      <c r="V155" s="59">
        <f t="shared" si="154"/>
        <v>8</v>
      </c>
      <c r="W155" s="108">
        <v>45457</v>
      </c>
      <c r="X155" s="48"/>
    </row>
    <row r="156" spans="1:25" x14ac:dyDescent="0.15">
      <c r="A156" s="18" t="s">
        <v>139</v>
      </c>
      <c r="B156" s="5"/>
      <c r="C156" s="6">
        <v>1</v>
      </c>
      <c r="D156" s="7"/>
      <c r="E156" s="51">
        <f t="shared" si="143"/>
        <v>1</v>
      </c>
      <c r="F156" s="8"/>
      <c r="G156" s="6">
        <v>1</v>
      </c>
      <c r="H156" s="7"/>
      <c r="I156" s="51">
        <f t="shared" si="144"/>
        <v>1</v>
      </c>
      <c r="J156" s="59">
        <f t="shared" si="145"/>
        <v>2</v>
      </c>
      <c r="K156" s="40">
        <v>45469</v>
      </c>
      <c r="L156" s="48"/>
      <c r="M156" s="18" t="s">
        <v>135</v>
      </c>
      <c r="N156" s="5"/>
      <c r="O156" s="6">
        <v>1</v>
      </c>
      <c r="P156" s="7">
        <v>5</v>
      </c>
      <c r="Q156" s="51">
        <f t="shared" si="152"/>
        <v>6</v>
      </c>
      <c r="R156" s="8"/>
      <c r="S156" s="6">
        <v>1</v>
      </c>
      <c r="T156" s="7">
        <v>5</v>
      </c>
      <c r="U156" s="51">
        <f t="shared" si="153"/>
        <v>6</v>
      </c>
      <c r="V156" s="59">
        <f t="shared" si="154"/>
        <v>12</v>
      </c>
      <c r="W156" s="108">
        <v>45457</v>
      </c>
      <c r="X156" s="48"/>
    </row>
    <row r="157" spans="1:25" x14ac:dyDescent="0.15">
      <c r="A157" s="17" t="s">
        <v>57</v>
      </c>
      <c r="B157" s="5"/>
      <c r="C157" s="6">
        <v>1</v>
      </c>
      <c r="D157" s="7">
        <f>2+1</f>
        <v>3</v>
      </c>
      <c r="E157" s="51">
        <f t="shared" si="143"/>
        <v>4</v>
      </c>
      <c r="F157" s="8"/>
      <c r="G157" s="6"/>
      <c r="H157" s="7">
        <f>1+1+1</f>
        <v>3</v>
      </c>
      <c r="I157" s="51">
        <f t="shared" si="144"/>
        <v>3</v>
      </c>
      <c r="J157" s="59">
        <f t="shared" si="145"/>
        <v>7</v>
      </c>
      <c r="K157" s="40">
        <v>45467</v>
      </c>
      <c r="L157" s="48"/>
      <c r="M157" s="20" t="s">
        <v>136</v>
      </c>
      <c r="N157" s="5">
        <v>15</v>
      </c>
      <c r="O157" s="6"/>
      <c r="P157" s="7"/>
      <c r="Q157" s="51">
        <f t="shared" si="152"/>
        <v>15</v>
      </c>
      <c r="R157" s="8">
        <v>40</v>
      </c>
      <c r="S157" s="6"/>
      <c r="T157" s="7"/>
      <c r="U157" s="51">
        <f t="shared" si="153"/>
        <v>40</v>
      </c>
      <c r="V157" s="59">
        <f t="shared" si="154"/>
        <v>55</v>
      </c>
      <c r="W157" s="108">
        <v>45458</v>
      </c>
    </row>
    <row r="158" spans="1:25" x14ac:dyDescent="0.15">
      <c r="A158" s="17" t="s">
        <v>57</v>
      </c>
      <c r="B158" s="5"/>
      <c r="C158" s="6">
        <v>1</v>
      </c>
      <c r="D158" s="7">
        <v>1</v>
      </c>
      <c r="E158" s="51">
        <f t="shared" si="143"/>
        <v>2</v>
      </c>
      <c r="F158" s="8"/>
      <c r="G158" s="6">
        <v>1</v>
      </c>
      <c r="H158" s="7">
        <v>1</v>
      </c>
      <c r="I158" s="51">
        <f t="shared" si="144"/>
        <v>2</v>
      </c>
      <c r="J158" s="59">
        <f t="shared" si="145"/>
        <v>4</v>
      </c>
      <c r="K158" s="40">
        <v>45468</v>
      </c>
      <c r="L158" s="48"/>
      <c r="M158" s="18" t="s">
        <v>137</v>
      </c>
      <c r="N158" s="5"/>
      <c r="O158" s="6">
        <v>10</v>
      </c>
      <c r="P158" s="7">
        <v>5</v>
      </c>
      <c r="Q158" s="51">
        <f t="shared" si="152"/>
        <v>15</v>
      </c>
      <c r="R158" s="8"/>
      <c r="S158" s="6"/>
      <c r="T158" s="7"/>
      <c r="U158" s="51">
        <f t="shared" si="153"/>
        <v>0</v>
      </c>
      <c r="V158" s="59">
        <f t="shared" si="154"/>
        <v>15</v>
      </c>
      <c r="W158" s="108">
        <v>45458</v>
      </c>
      <c r="X158" s="48"/>
    </row>
    <row r="159" spans="1:25" x14ac:dyDescent="0.15">
      <c r="A159" s="17" t="s">
        <v>154</v>
      </c>
      <c r="B159" s="5">
        <v>3</v>
      </c>
      <c r="C159" s="6"/>
      <c r="D159" s="7"/>
      <c r="E159" s="51">
        <f t="shared" si="143"/>
        <v>3</v>
      </c>
      <c r="F159" s="8"/>
      <c r="G159" s="6"/>
      <c r="H159" s="7"/>
      <c r="I159" s="51">
        <f t="shared" si="144"/>
        <v>0</v>
      </c>
      <c r="J159" s="59">
        <f t="shared" si="145"/>
        <v>3</v>
      </c>
      <c r="K159" s="40">
        <v>45469</v>
      </c>
      <c r="M159" s="20" t="s">
        <v>41</v>
      </c>
      <c r="N159" s="5"/>
      <c r="O159" s="6"/>
      <c r="P159" s="7">
        <v>5</v>
      </c>
      <c r="Q159" s="51">
        <f t="shared" si="152"/>
        <v>5</v>
      </c>
      <c r="R159" s="8"/>
      <c r="S159" s="6"/>
      <c r="T159" s="7">
        <v>5</v>
      </c>
      <c r="U159" s="51">
        <f t="shared" si="153"/>
        <v>5</v>
      </c>
      <c r="V159" s="59">
        <f t="shared" si="154"/>
        <v>10</v>
      </c>
      <c r="W159" s="108">
        <v>45469</v>
      </c>
      <c r="X159" s="48"/>
    </row>
    <row r="160" spans="1:25" x14ac:dyDescent="0.15">
      <c r="A160" s="17" t="s">
        <v>57</v>
      </c>
      <c r="B160" s="5">
        <v>2</v>
      </c>
      <c r="C160" s="6"/>
      <c r="D160" s="7"/>
      <c r="E160" s="51">
        <f t="shared" si="143"/>
        <v>2</v>
      </c>
      <c r="F160" s="8">
        <v>2</v>
      </c>
      <c r="G160" s="6"/>
      <c r="H160" s="7"/>
      <c r="I160" s="51">
        <f t="shared" si="144"/>
        <v>2</v>
      </c>
      <c r="J160" s="59">
        <f t="shared" si="145"/>
        <v>4</v>
      </c>
      <c r="K160" s="41">
        <v>45469</v>
      </c>
      <c r="M160" s="20" t="s">
        <v>41</v>
      </c>
      <c r="N160" s="5">
        <v>5</v>
      </c>
      <c r="O160" s="6"/>
      <c r="P160" s="7"/>
      <c r="Q160" s="51">
        <f t="shared" si="152"/>
        <v>5</v>
      </c>
      <c r="R160" s="8"/>
      <c r="S160" s="6"/>
      <c r="T160" s="7"/>
      <c r="U160" s="51">
        <f t="shared" si="153"/>
        <v>0</v>
      </c>
      <c r="V160" s="59">
        <f t="shared" si="154"/>
        <v>5</v>
      </c>
      <c r="W160" s="108">
        <v>45472</v>
      </c>
      <c r="X160" s="48"/>
    </row>
    <row r="161" spans="1:23" x14ac:dyDescent="0.15">
      <c r="A161" s="18" t="s">
        <v>144</v>
      </c>
      <c r="B161" s="5">
        <v>1</v>
      </c>
      <c r="C161" s="6"/>
      <c r="D161" s="7"/>
      <c r="E161" s="51">
        <f t="shared" si="143"/>
        <v>1</v>
      </c>
      <c r="F161" s="8">
        <v>1</v>
      </c>
      <c r="G161" s="6"/>
      <c r="H161" s="7"/>
      <c r="I161" s="51">
        <f t="shared" si="144"/>
        <v>1</v>
      </c>
      <c r="J161" s="59">
        <f t="shared" si="145"/>
        <v>2</v>
      </c>
      <c r="K161" s="40">
        <v>45476</v>
      </c>
      <c r="M161" s="20"/>
      <c r="N161" s="5"/>
      <c r="O161" s="6"/>
      <c r="P161" s="7"/>
      <c r="Q161" s="51">
        <f t="shared" ref="Q161" si="155">SUM(N161:P161)</f>
        <v>0</v>
      </c>
      <c r="R161" s="8"/>
      <c r="S161" s="6"/>
      <c r="T161" s="7"/>
      <c r="U161" s="51">
        <f t="shared" ref="U161" si="156">SUM(R161:T161)</f>
        <v>0</v>
      </c>
      <c r="V161" s="59">
        <f t="shared" ref="V161" si="157">Q161+U161</f>
        <v>0</v>
      </c>
      <c r="W161" s="108"/>
    </row>
    <row r="162" spans="1:23" x14ac:dyDescent="0.15">
      <c r="A162" s="17" t="s">
        <v>57</v>
      </c>
      <c r="B162" s="5"/>
      <c r="C162" s="6">
        <v>1</v>
      </c>
      <c r="D162" s="7"/>
      <c r="E162" s="51">
        <f t="shared" si="143"/>
        <v>1</v>
      </c>
      <c r="F162" s="8">
        <v>1</v>
      </c>
      <c r="G162" s="6"/>
      <c r="H162" s="7"/>
      <c r="I162" s="51">
        <f t="shared" si="144"/>
        <v>1</v>
      </c>
      <c r="J162" s="59">
        <f t="shared" si="145"/>
        <v>2</v>
      </c>
      <c r="K162" s="41">
        <v>45474</v>
      </c>
      <c r="M162" s="20" t="s">
        <v>71</v>
      </c>
      <c r="N162" s="5"/>
      <c r="O162" s="6"/>
      <c r="P162" s="7"/>
      <c r="Q162" s="51">
        <f t="shared" si="146"/>
        <v>0</v>
      </c>
      <c r="R162" s="8"/>
      <c r="S162" s="6"/>
      <c r="T162" s="7"/>
      <c r="U162" s="51">
        <f t="shared" si="147"/>
        <v>0</v>
      </c>
      <c r="V162" s="59">
        <f t="shared" si="148"/>
        <v>0</v>
      </c>
      <c r="W162" s="108" t="s">
        <v>70</v>
      </c>
    </row>
    <row r="163" spans="1:23" x14ac:dyDescent="0.15">
      <c r="A163" s="18" t="s">
        <v>158</v>
      </c>
      <c r="B163" s="5"/>
      <c r="C163" s="6">
        <v>1</v>
      </c>
      <c r="D163" s="7"/>
      <c r="E163" s="51">
        <f t="shared" si="143"/>
        <v>1</v>
      </c>
      <c r="F163" s="8"/>
      <c r="G163" s="6">
        <v>2</v>
      </c>
      <c r="H163" s="7"/>
      <c r="I163" s="51">
        <f t="shared" si="144"/>
        <v>2</v>
      </c>
      <c r="J163" s="59">
        <f t="shared" si="145"/>
        <v>3</v>
      </c>
      <c r="K163" s="40">
        <v>45477</v>
      </c>
      <c r="M163" s="85" t="s">
        <v>51</v>
      </c>
      <c r="N163" s="86"/>
      <c r="O163" s="87"/>
      <c r="P163" s="88"/>
      <c r="Q163" s="89">
        <f t="shared" si="146"/>
        <v>0</v>
      </c>
      <c r="R163" s="105"/>
      <c r="S163" s="87"/>
      <c r="T163" s="88"/>
      <c r="U163" s="89">
        <f t="shared" si="147"/>
        <v>0</v>
      </c>
      <c r="V163" s="90">
        <f t="shared" si="148"/>
        <v>0</v>
      </c>
      <c r="W163" s="121"/>
    </row>
    <row r="164" spans="1:23" x14ac:dyDescent="0.15">
      <c r="A164" s="18" t="s">
        <v>146</v>
      </c>
      <c r="B164" s="9">
        <v>1</v>
      </c>
      <c r="C164" s="10">
        <v>2</v>
      </c>
      <c r="D164" s="11"/>
      <c r="E164" s="51">
        <f t="shared" si="143"/>
        <v>3</v>
      </c>
      <c r="F164" s="12">
        <v>1</v>
      </c>
      <c r="G164" s="10">
        <v>2</v>
      </c>
      <c r="H164" s="11"/>
      <c r="I164" s="51">
        <f t="shared" si="144"/>
        <v>3</v>
      </c>
      <c r="J164" s="59">
        <f t="shared" si="145"/>
        <v>6</v>
      </c>
      <c r="K164" s="40">
        <v>45477</v>
      </c>
      <c r="L164" s="48"/>
      <c r="M164" s="18" t="s">
        <v>27</v>
      </c>
      <c r="N164" s="9"/>
      <c r="O164" s="10"/>
      <c r="P164" s="11"/>
      <c r="Q164" s="52">
        <f t="shared" si="146"/>
        <v>0</v>
      </c>
      <c r="R164" s="5"/>
      <c r="S164" s="6"/>
      <c r="T164" s="36"/>
      <c r="U164" s="52">
        <f t="shared" si="147"/>
        <v>0</v>
      </c>
      <c r="V164" s="59">
        <f t="shared" si="148"/>
        <v>0</v>
      </c>
      <c r="W164" s="116" t="s">
        <v>30</v>
      </c>
    </row>
    <row r="165" spans="1:23" x14ac:dyDescent="0.15">
      <c r="A165" s="17"/>
      <c r="B165" s="5"/>
      <c r="C165" s="6"/>
      <c r="D165" s="7"/>
      <c r="E165" s="51">
        <f t="shared" si="143"/>
        <v>0</v>
      </c>
      <c r="F165" s="8"/>
      <c r="G165" s="6"/>
      <c r="H165" s="7"/>
      <c r="I165" s="51">
        <f t="shared" si="144"/>
        <v>0</v>
      </c>
      <c r="J165" s="59">
        <f t="shared" si="145"/>
        <v>0</v>
      </c>
      <c r="K165" s="40"/>
      <c r="M165" s="101" t="s">
        <v>61</v>
      </c>
      <c r="N165" s="86"/>
      <c r="O165" s="87"/>
      <c r="P165" s="88"/>
      <c r="Q165" s="89">
        <f t="shared" si="146"/>
        <v>0</v>
      </c>
      <c r="R165" s="102"/>
      <c r="S165" s="103"/>
      <c r="T165" s="104"/>
      <c r="U165" s="89">
        <f t="shared" si="147"/>
        <v>0</v>
      </c>
      <c r="V165" s="90">
        <f t="shared" si="148"/>
        <v>0</v>
      </c>
      <c r="W165" s="116"/>
    </row>
    <row r="166" spans="1:23" x14ac:dyDescent="0.15">
      <c r="A166" s="17"/>
      <c r="B166" s="9"/>
      <c r="C166" s="10"/>
      <c r="D166" s="11"/>
      <c r="E166" s="52">
        <f t="shared" si="143"/>
        <v>0</v>
      </c>
      <c r="F166" s="12"/>
      <c r="G166" s="10"/>
      <c r="H166" s="11"/>
      <c r="I166" s="52">
        <f t="shared" si="144"/>
        <v>0</v>
      </c>
      <c r="J166" s="59">
        <f t="shared" si="145"/>
        <v>0</v>
      </c>
      <c r="K166" s="41"/>
      <c r="M166" s="20" t="s">
        <v>60</v>
      </c>
      <c r="N166" s="5"/>
      <c r="O166" s="6"/>
      <c r="P166" s="7"/>
      <c r="Q166" s="51">
        <f t="shared" si="146"/>
        <v>0</v>
      </c>
      <c r="R166" s="8"/>
      <c r="S166" s="6"/>
      <c r="T166" s="7"/>
      <c r="U166" s="51">
        <f t="shared" si="147"/>
        <v>0</v>
      </c>
      <c r="V166" s="59">
        <f t="shared" si="148"/>
        <v>0</v>
      </c>
      <c r="W166" s="116" t="s">
        <v>64</v>
      </c>
    </row>
    <row r="167" spans="1:23" x14ac:dyDescent="0.15">
      <c r="A167" s="17"/>
      <c r="B167" s="5"/>
      <c r="C167" s="6"/>
      <c r="D167" s="7"/>
      <c r="E167" s="51">
        <f t="shared" si="143"/>
        <v>0</v>
      </c>
      <c r="F167" s="8"/>
      <c r="G167" s="6"/>
      <c r="H167" s="7"/>
      <c r="I167" s="51">
        <f t="shared" si="144"/>
        <v>0</v>
      </c>
      <c r="J167" s="59">
        <f t="shared" si="145"/>
        <v>0</v>
      </c>
      <c r="K167" s="41"/>
      <c r="M167" s="85" t="s">
        <v>62</v>
      </c>
      <c r="N167" s="86"/>
      <c r="O167" s="87"/>
      <c r="P167" s="88"/>
      <c r="Q167" s="89">
        <f t="shared" ref="Q167:Q168" si="158">SUM(N167:P167)</f>
        <v>0</v>
      </c>
      <c r="R167" s="105"/>
      <c r="S167" s="87"/>
      <c r="T167" s="88"/>
      <c r="U167" s="89">
        <f t="shared" ref="U167:U168" si="159">SUM(R167:T167)</f>
        <v>0</v>
      </c>
      <c r="V167" s="90">
        <f t="shared" si="148"/>
        <v>0</v>
      </c>
      <c r="W167" s="119"/>
    </row>
    <row r="168" spans="1:23" ht="14.25" thickBot="1" x14ac:dyDescent="0.2">
      <c r="A168" s="18"/>
      <c r="B168" s="9"/>
      <c r="C168" s="10"/>
      <c r="D168" s="11"/>
      <c r="E168" s="55">
        <f t="shared" si="143"/>
        <v>0</v>
      </c>
      <c r="F168" s="12"/>
      <c r="G168" s="10"/>
      <c r="H168" s="11"/>
      <c r="I168" s="55">
        <f t="shared" si="144"/>
        <v>0</v>
      </c>
      <c r="J168" s="59">
        <f t="shared" si="145"/>
        <v>0</v>
      </c>
      <c r="M168" s="85" t="s">
        <v>63</v>
      </c>
      <c r="N168" s="5"/>
      <c r="O168" s="6"/>
      <c r="P168" s="7"/>
      <c r="Q168" s="51">
        <f t="shared" si="158"/>
        <v>0</v>
      </c>
      <c r="R168" s="5"/>
      <c r="S168" s="6"/>
      <c r="T168" s="7"/>
      <c r="U168" s="51">
        <f t="shared" si="159"/>
        <v>0</v>
      </c>
      <c r="V168" s="59">
        <f t="shared" si="148"/>
        <v>0</v>
      </c>
      <c r="W168" s="116" t="s">
        <v>42</v>
      </c>
    </row>
    <row r="169" spans="1:23" ht="14.25" thickBot="1" x14ac:dyDescent="0.2">
      <c r="A169" s="31" t="s">
        <v>19</v>
      </c>
      <c r="B169" s="34">
        <f>SUM(B143:B168)</f>
        <v>25</v>
      </c>
      <c r="C169" s="35">
        <f t="shared" ref="C169:D169" si="160">SUM(C143:C168)</f>
        <v>18</v>
      </c>
      <c r="D169" s="39">
        <f t="shared" si="160"/>
        <v>11</v>
      </c>
      <c r="E169" s="56">
        <f t="shared" si="143"/>
        <v>54</v>
      </c>
      <c r="F169" s="34">
        <f>SUM(F143:F168)</f>
        <v>10</v>
      </c>
      <c r="G169" s="35">
        <f t="shared" ref="G169:H169" si="161">SUM(G143:G168)</f>
        <v>22</v>
      </c>
      <c r="H169" s="39">
        <f t="shared" si="161"/>
        <v>12</v>
      </c>
      <c r="I169" s="56">
        <f t="shared" si="144"/>
        <v>44</v>
      </c>
      <c r="J169" s="62">
        <f>E169+I169</f>
        <v>98</v>
      </c>
      <c r="M169" s="31" t="s">
        <v>19</v>
      </c>
      <c r="N169" s="34">
        <f>SUM(N143:N168)</f>
        <v>213</v>
      </c>
      <c r="O169" s="35">
        <f t="shared" ref="O169:P169" si="162">SUM(O143:O168)</f>
        <v>147</v>
      </c>
      <c r="P169" s="39">
        <f t="shared" si="162"/>
        <v>74</v>
      </c>
      <c r="Q169" s="56">
        <f t="shared" si="146"/>
        <v>434</v>
      </c>
      <c r="R169" s="34">
        <f>SUM(R143:R168)</f>
        <v>205</v>
      </c>
      <c r="S169" s="35">
        <f t="shared" ref="S169:T169" si="163">SUM(S143:S168)</f>
        <v>191</v>
      </c>
      <c r="T169" s="39">
        <f t="shared" si="163"/>
        <v>129</v>
      </c>
      <c r="U169" s="56">
        <f t="shared" si="147"/>
        <v>525</v>
      </c>
      <c r="V169" s="62">
        <f>Q169+U169</f>
        <v>959</v>
      </c>
    </row>
    <row r="170" spans="1:23" ht="14.25" thickBot="1" x14ac:dyDescent="0.2">
      <c r="A170" s="16" t="s">
        <v>17</v>
      </c>
      <c r="B170" s="63">
        <f>B142-B169</f>
        <v>8</v>
      </c>
      <c r="C170" s="64">
        <f t="shared" ref="C170:D170" si="164">C142-C169</f>
        <v>8</v>
      </c>
      <c r="D170" s="65">
        <f t="shared" si="164"/>
        <v>9</v>
      </c>
      <c r="E170" s="57">
        <f>SUM(B170:D170)</f>
        <v>25</v>
      </c>
      <c r="F170" s="63">
        <f>F142-F169</f>
        <v>9</v>
      </c>
      <c r="G170" s="64">
        <f t="shared" ref="G170:H170" si="165">G142-G169</f>
        <v>5</v>
      </c>
      <c r="H170" s="65">
        <f t="shared" si="165"/>
        <v>9</v>
      </c>
      <c r="I170" s="57">
        <f>SUM(F170:H170)</f>
        <v>23</v>
      </c>
      <c r="J170" s="61">
        <f>E170+I170</f>
        <v>48</v>
      </c>
      <c r="M170" s="16" t="s">
        <v>17</v>
      </c>
      <c r="N170" s="63">
        <f>N142-N169</f>
        <v>456</v>
      </c>
      <c r="O170" s="64">
        <f t="shared" ref="O170:P170" si="166">O142-O169</f>
        <v>643</v>
      </c>
      <c r="P170" s="65">
        <f t="shared" si="166"/>
        <v>588</v>
      </c>
      <c r="Q170" s="57">
        <f>SUM(N170:P170)</f>
        <v>1687</v>
      </c>
      <c r="R170" s="63">
        <f>R142-R169</f>
        <v>547</v>
      </c>
      <c r="S170" s="64">
        <f t="shared" ref="S170:T170" si="167">S142-S169</f>
        <v>535</v>
      </c>
      <c r="T170" s="65">
        <f t="shared" si="167"/>
        <v>295</v>
      </c>
      <c r="U170" s="57">
        <f>SUM(R170:T170)</f>
        <v>1377</v>
      </c>
      <c r="V170" s="61">
        <f>Q170+U170</f>
        <v>3064</v>
      </c>
    </row>
    <row r="173" spans="1:23" ht="19.5" thickBot="1" x14ac:dyDescent="0.25">
      <c r="A173" s="66" t="s">
        <v>23</v>
      </c>
      <c r="B173" s="67"/>
      <c r="C173" s="67"/>
      <c r="D173" s="67"/>
      <c r="E173" s="67"/>
      <c r="F173" s="67"/>
      <c r="G173" s="67"/>
      <c r="H173" s="67"/>
      <c r="I173" s="67" t="s">
        <v>26</v>
      </c>
      <c r="J173" s="67"/>
      <c r="M173" s="73" t="s">
        <v>24</v>
      </c>
      <c r="N173" s="74"/>
      <c r="O173" s="74"/>
      <c r="P173" s="74"/>
      <c r="Q173" s="74"/>
      <c r="R173" s="74"/>
      <c r="S173" s="74"/>
      <c r="T173" s="74"/>
      <c r="U173" s="74"/>
      <c r="V173" s="74"/>
    </row>
    <row r="174" spans="1:23" ht="14.25" thickBot="1" x14ac:dyDescent="0.2">
      <c r="A174" s="4" t="s">
        <v>0</v>
      </c>
      <c r="B174" s="191" t="s">
        <v>21</v>
      </c>
      <c r="C174" s="192"/>
      <c r="D174" s="192"/>
      <c r="E174" s="193"/>
      <c r="F174" s="194" t="s">
        <v>18</v>
      </c>
      <c r="G174" s="195"/>
      <c r="H174" s="195"/>
      <c r="I174" s="196"/>
      <c r="J174" s="189" t="s">
        <v>1</v>
      </c>
      <c r="M174" s="4" t="s">
        <v>0</v>
      </c>
      <c r="N174" s="191" t="s">
        <v>21</v>
      </c>
      <c r="O174" s="192"/>
      <c r="P174" s="192"/>
      <c r="Q174" s="193"/>
      <c r="R174" s="194" t="s">
        <v>18</v>
      </c>
      <c r="S174" s="195"/>
      <c r="T174" s="195"/>
      <c r="U174" s="196"/>
      <c r="V174" s="189" t="s">
        <v>1</v>
      </c>
    </row>
    <row r="175" spans="1:23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190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190"/>
    </row>
    <row r="176" spans="1:23" ht="14.25" thickBot="1" x14ac:dyDescent="0.2">
      <c r="A176" s="21" t="s">
        <v>20</v>
      </c>
      <c r="B176" s="68">
        <f>B170</f>
        <v>8</v>
      </c>
      <c r="C176" s="69">
        <f>C170</f>
        <v>8</v>
      </c>
      <c r="D176" s="70">
        <f>D170</f>
        <v>9</v>
      </c>
      <c r="E176" s="71">
        <f>SUM(B176:D176)</f>
        <v>25</v>
      </c>
      <c r="F176" s="68">
        <f>F170</f>
        <v>9</v>
      </c>
      <c r="G176" s="69">
        <f>G170</f>
        <v>5</v>
      </c>
      <c r="H176" s="70">
        <f>H170</f>
        <v>9</v>
      </c>
      <c r="I176" s="71">
        <f>SUM(F176:H176)</f>
        <v>23</v>
      </c>
      <c r="J176" s="72">
        <f>E176+I176</f>
        <v>48</v>
      </c>
      <c r="M176" s="21" t="s">
        <v>20</v>
      </c>
      <c r="N176" s="68">
        <f>N170</f>
        <v>456</v>
      </c>
      <c r="O176" s="69">
        <f>O170</f>
        <v>643</v>
      </c>
      <c r="P176" s="70">
        <f>P170</f>
        <v>588</v>
      </c>
      <c r="Q176" s="71">
        <f>SUM(N176:P176)</f>
        <v>1687</v>
      </c>
      <c r="R176" s="68">
        <f>R170</f>
        <v>547</v>
      </c>
      <c r="S176" s="69">
        <f>S170</f>
        <v>535</v>
      </c>
      <c r="T176" s="70">
        <f>T170</f>
        <v>295</v>
      </c>
      <c r="U176" s="71">
        <f>SUM(R176:T176)</f>
        <v>1377</v>
      </c>
      <c r="V176" s="72">
        <f>Q176+U176</f>
        <v>3064</v>
      </c>
    </row>
    <row r="177" spans="1:25" x14ac:dyDescent="0.15">
      <c r="A177" s="19" t="s">
        <v>8</v>
      </c>
      <c r="B177" s="32">
        <v>10</v>
      </c>
      <c r="C177" s="33">
        <v>10</v>
      </c>
      <c r="D177" s="44"/>
      <c r="E177" s="50">
        <f>SUM(B177:D177)</f>
        <v>20</v>
      </c>
      <c r="F177" s="45">
        <v>10</v>
      </c>
      <c r="G177" s="46">
        <v>10</v>
      </c>
      <c r="H177" s="47">
        <v>5</v>
      </c>
      <c r="I177" s="50">
        <f>SUM(F177:H177)</f>
        <v>25</v>
      </c>
      <c r="J177" s="58">
        <f>E177+I177</f>
        <v>45</v>
      </c>
      <c r="K177" s="40">
        <v>45476</v>
      </c>
      <c r="M177" s="19" t="s">
        <v>41</v>
      </c>
      <c r="N177" s="32"/>
      <c r="O177" s="33">
        <v>17</v>
      </c>
      <c r="P177" s="44">
        <v>6</v>
      </c>
      <c r="Q177" s="50">
        <f t="shared" ref="Q177" si="168">SUM(N177:P177)</f>
        <v>23</v>
      </c>
      <c r="R177" s="45"/>
      <c r="S177" s="46">
        <v>24</v>
      </c>
      <c r="T177" s="47">
        <v>2</v>
      </c>
      <c r="U177" s="50">
        <f t="shared" ref="U177" si="169">SUM(R177:T177)</f>
        <v>26</v>
      </c>
      <c r="V177" s="58">
        <f t="shared" ref="V177" si="170">Q177+U177</f>
        <v>49</v>
      </c>
      <c r="W177" s="120">
        <v>45493</v>
      </c>
    </row>
    <row r="178" spans="1:25" x14ac:dyDescent="0.15">
      <c r="A178" s="19" t="s">
        <v>160</v>
      </c>
      <c r="B178" s="5">
        <v>1</v>
      </c>
      <c r="C178" s="6">
        <v>1</v>
      </c>
      <c r="D178" s="14"/>
      <c r="E178" s="51">
        <f>SUM(B178:D178)</f>
        <v>2</v>
      </c>
      <c r="F178" s="15">
        <v>1</v>
      </c>
      <c r="G178" s="13">
        <v>1</v>
      </c>
      <c r="H178" s="14"/>
      <c r="I178" s="51">
        <f>SUM(F178:H178)</f>
        <v>2</v>
      </c>
      <c r="J178" s="59">
        <f>E178+I178</f>
        <v>4</v>
      </c>
      <c r="K178" s="40">
        <v>45477</v>
      </c>
      <c r="M178" s="19" t="s">
        <v>9</v>
      </c>
      <c r="N178" s="5"/>
      <c r="O178" s="6"/>
      <c r="P178" s="36"/>
      <c r="Q178" s="52">
        <f>SUM(N178:P178)</f>
        <v>0</v>
      </c>
      <c r="R178" s="8"/>
      <c r="S178" s="6"/>
      <c r="T178" s="7"/>
      <c r="U178" s="52">
        <f>SUM(R178:T178)</f>
        <v>0</v>
      </c>
      <c r="V178" s="59">
        <f>Q178+U178</f>
        <v>0</v>
      </c>
    </row>
    <row r="179" spans="1:25" x14ac:dyDescent="0.15">
      <c r="A179" s="19" t="s">
        <v>10</v>
      </c>
      <c r="B179" s="5">
        <v>5</v>
      </c>
      <c r="C179" s="6">
        <v>5</v>
      </c>
      <c r="D179" s="7">
        <v>10</v>
      </c>
      <c r="E179" s="51">
        <f t="shared" ref="E179:E184" si="171">SUM(B179:D179)</f>
        <v>20</v>
      </c>
      <c r="F179" s="8">
        <v>5</v>
      </c>
      <c r="G179" s="6">
        <v>10</v>
      </c>
      <c r="H179" s="7">
        <v>5</v>
      </c>
      <c r="I179" s="51">
        <f t="shared" ref="I179:I184" si="172">SUM(F179:H179)</f>
        <v>20</v>
      </c>
      <c r="J179" s="59">
        <f t="shared" ref="J179:J184" si="173">E179+I179</f>
        <v>40</v>
      </c>
      <c r="K179" s="40">
        <v>45479</v>
      </c>
      <c r="M179" s="19" t="s">
        <v>119</v>
      </c>
      <c r="N179" s="5"/>
      <c r="O179" s="6"/>
      <c r="P179" s="14"/>
      <c r="Q179" s="51">
        <f t="shared" ref="Q179:Q182" si="174">SUM(N179:P179)</f>
        <v>0</v>
      </c>
      <c r="R179" s="15">
        <v>104</v>
      </c>
      <c r="S179" s="13">
        <v>95</v>
      </c>
      <c r="T179" s="14">
        <v>125</v>
      </c>
      <c r="U179" s="51">
        <f t="shared" ref="U179:U182" si="175">SUM(R179:T179)</f>
        <v>324</v>
      </c>
      <c r="V179" s="59">
        <f t="shared" ref="V179:V182" si="176">Q179+U179</f>
        <v>324</v>
      </c>
      <c r="W179" s="108" t="s">
        <v>161</v>
      </c>
    </row>
    <row r="180" spans="1:25" x14ac:dyDescent="0.15">
      <c r="A180" s="19" t="s">
        <v>11</v>
      </c>
      <c r="B180" s="5"/>
      <c r="C180" s="6">
        <v>5</v>
      </c>
      <c r="D180" s="36"/>
      <c r="E180" s="52">
        <f t="shared" si="171"/>
        <v>5</v>
      </c>
      <c r="F180" s="8"/>
      <c r="G180" s="6"/>
      <c r="H180" s="7"/>
      <c r="I180" s="52">
        <f t="shared" si="172"/>
        <v>0</v>
      </c>
      <c r="J180" s="59">
        <f t="shared" si="173"/>
        <v>5</v>
      </c>
      <c r="K180" s="40">
        <v>45482</v>
      </c>
      <c r="M180" s="19" t="s">
        <v>12</v>
      </c>
      <c r="N180" s="5"/>
      <c r="O180" s="6"/>
      <c r="P180" s="36"/>
      <c r="Q180" s="52">
        <f t="shared" si="174"/>
        <v>0</v>
      </c>
      <c r="R180" s="8"/>
      <c r="S180" s="6"/>
      <c r="T180" s="7"/>
      <c r="U180" s="52">
        <f t="shared" si="175"/>
        <v>0</v>
      </c>
      <c r="V180" s="59">
        <f t="shared" si="176"/>
        <v>0</v>
      </c>
      <c r="W180" s="116" t="s">
        <v>116</v>
      </c>
    </row>
    <row r="181" spans="1:25" x14ac:dyDescent="0.15">
      <c r="A181" s="19" t="s">
        <v>95</v>
      </c>
      <c r="B181" s="5">
        <v>3</v>
      </c>
      <c r="C181" s="6">
        <v>6</v>
      </c>
      <c r="D181" s="36">
        <v>1</v>
      </c>
      <c r="E181" s="52">
        <f t="shared" si="171"/>
        <v>10</v>
      </c>
      <c r="F181" s="8">
        <v>3</v>
      </c>
      <c r="G181" s="6">
        <v>6</v>
      </c>
      <c r="H181" s="7">
        <v>1</v>
      </c>
      <c r="I181" s="52">
        <f t="shared" si="172"/>
        <v>10</v>
      </c>
      <c r="J181" s="59">
        <f t="shared" si="173"/>
        <v>20</v>
      </c>
      <c r="K181" s="40">
        <v>45485</v>
      </c>
      <c r="M181" s="19" t="s">
        <v>117</v>
      </c>
      <c r="N181" s="78">
        <v>400</v>
      </c>
      <c r="O181" s="79">
        <v>500</v>
      </c>
      <c r="P181" s="80">
        <v>400</v>
      </c>
      <c r="Q181" s="51">
        <f t="shared" si="174"/>
        <v>1300</v>
      </c>
      <c r="R181" s="15">
        <v>276</v>
      </c>
      <c r="S181" s="13">
        <v>505</v>
      </c>
      <c r="T181" s="14">
        <v>525</v>
      </c>
      <c r="U181" s="51">
        <f t="shared" si="175"/>
        <v>1306</v>
      </c>
      <c r="V181" s="109">
        <f t="shared" si="176"/>
        <v>2606</v>
      </c>
      <c r="W181" s="108" t="s">
        <v>161</v>
      </c>
    </row>
    <row r="182" spans="1:25" x14ac:dyDescent="0.15">
      <c r="A182" s="19" t="s">
        <v>168</v>
      </c>
      <c r="B182" s="5">
        <v>1</v>
      </c>
      <c r="C182" s="6"/>
      <c r="D182" s="36"/>
      <c r="E182" s="52">
        <f t="shared" si="171"/>
        <v>1</v>
      </c>
      <c r="F182" s="8">
        <v>1</v>
      </c>
      <c r="G182" s="6"/>
      <c r="H182" s="7"/>
      <c r="I182" s="52">
        <f t="shared" si="172"/>
        <v>1</v>
      </c>
      <c r="J182" s="59">
        <f t="shared" si="173"/>
        <v>2</v>
      </c>
      <c r="K182" s="41">
        <v>45489</v>
      </c>
      <c r="M182" s="19" t="s">
        <v>138</v>
      </c>
      <c r="N182" s="9">
        <v>2</v>
      </c>
      <c r="O182" s="10">
        <v>5</v>
      </c>
      <c r="P182" s="37">
        <v>16</v>
      </c>
      <c r="Q182" s="52">
        <f t="shared" si="174"/>
        <v>23</v>
      </c>
      <c r="R182" s="12">
        <v>143</v>
      </c>
      <c r="S182" s="10">
        <v>17</v>
      </c>
      <c r="T182" s="11">
        <v>-99</v>
      </c>
      <c r="U182" s="52">
        <f t="shared" si="175"/>
        <v>61</v>
      </c>
      <c r="V182" s="59">
        <f t="shared" si="176"/>
        <v>84</v>
      </c>
      <c r="W182" s="116"/>
    </row>
    <row r="183" spans="1:25" x14ac:dyDescent="0.15">
      <c r="A183" s="19" t="s">
        <v>14</v>
      </c>
      <c r="B183" s="9">
        <v>10</v>
      </c>
      <c r="C183" s="10">
        <v>10</v>
      </c>
      <c r="D183" s="37">
        <v>5</v>
      </c>
      <c r="E183" s="52">
        <f t="shared" si="171"/>
        <v>25</v>
      </c>
      <c r="F183" s="12">
        <v>10</v>
      </c>
      <c r="G183" s="10">
        <v>10</v>
      </c>
      <c r="H183" s="11">
        <v>10</v>
      </c>
      <c r="I183" s="52">
        <f t="shared" si="172"/>
        <v>30</v>
      </c>
      <c r="J183" s="59">
        <f t="shared" si="173"/>
        <v>55</v>
      </c>
      <c r="K183" s="40">
        <v>45491</v>
      </c>
      <c r="M183" s="19" t="s">
        <v>14</v>
      </c>
      <c r="N183" s="9"/>
      <c r="O183" s="10"/>
      <c r="P183" s="37"/>
      <c r="Q183" s="52">
        <f t="shared" ref="Q183:Q184" si="177">SUM(N183:P183)</f>
        <v>0</v>
      </c>
      <c r="R183" s="12"/>
      <c r="S183" s="10"/>
      <c r="T183" s="11"/>
      <c r="U183" s="52">
        <f t="shared" ref="U183:U184" si="178">SUM(R183:T183)</f>
        <v>0</v>
      </c>
      <c r="V183" s="59">
        <f t="shared" ref="V183:V184" si="179">Q183+U183</f>
        <v>0</v>
      </c>
    </row>
    <row r="184" spans="1:25" ht="14.25" thickBot="1" x14ac:dyDescent="0.2">
      <c r="A184" s="19" t="s">
        <v>157</v>
      </c>
      <c r="B184" s="25"/>
      <c r="C184" s="26">
        <v>17</v>
      </c>
      <c r="D184" s="38">
        <v>6</v>
      </c>
      <c r="E184" s="53">
        <f t="shared" si="171"/>
        <v>23</v>
      </c>
      <c r="F184" s="27"/>
      <c r="G184" s="27">
        <v>24</v>
      </c>
      <c r="H184" s="29">
        <v>2</v>
      </c>
      <c r="I184" s="53">
        <f t="shared" si="172"/>
        <v>26</v>
      </c>
      <c r="J184" s="60">
        <f t="shared" si="173"/>
        <v>49</v>
      </c>
      <c r="K184" s="41">
        <v>45489</v>
      </c>
      <c r="M184" s="19" t="s">
        <v>15</v>
      </c>
      <c r="N184" s="25"/>
      <c r="O184" s="26"/>
      <c r="P184" s="38"/>
      <c r="Q184" s="53">
        <f t="shared" si="177"/>
        <v>0</v>
      </c>
      <c r="R184" s="27"/>
      <c r="S184" s="27"/>
      <c r="T184" s="29"/>
      <c r="U184" s="53">
        <f t="shared" si="178"/>
        <v>0</v>
      </c>
      <c r="V184" s="60">
        <f t="shared" si="179"/>
        <v>0</v>
      </c>
    </row>
    <row r="185" spans="1:25" ht="14.25" thickBot="1" x14ac:dyDescent="0.2">
      <c r="A185" s="28" t="s">
        <v>16</v>
      </c>
      <c r="B185" s="22">
        <f>SUM(B176:B184)</f>
        <v>38</v>
      </c>
      <c r="C185" s="23">
        <f t="shared" ref="C185:D185" si="180">SUM(C176:C184)</f>
        <v>62</v>
      </c>
      <c r="D185" s="24">
        <f t="shared" si="180"/>
        <v>31</v>
      </c>
      <c r="E185" s="54">
        <f>SUM(B185:D185)</f>
        <v>131</v>
      </c>
      <c r="F185" s="22">
        <f>SUM(F176:F184)</f>
        <v>39</v>
      </c>
      <c r="G185" s="23">
        <f t="shared" ref="G185:H185" si="181">SUM(G176:G184)</f>
        <v>66</v>
      </c>
      <c r="H185" s="24">
        <f t="shared" si="181"/>
        <v>32</v>
      </c>
      <c r="I185" s="54">
        <f>SUM(F185:H185)</f>
        <v>137</v>
      </c>
      <c r="J185" s="61">
        <f>SUM(J177:J184)</f>
        <v>220</v>
      </c>
      <c r="M185" s="28" t="s">
        <v>16</v>
      </c>
      <c r="N185" s="22">
        <f>SUM(N176:N184)</f>
        <v>858</v>
      </c>
      <c r="O185" s="23">
        <f t="shared" ref="O185:P185" si="182">SUM(O176:O184)</f>
        <v>1165</v>
      </c>
      <c r="P185" s="24">
        <f t="shared" si="182"/>
        <v>1010</v>
      </c>
      <c r="Q185" s="54">
        <f>SUM(N185:P185)</f>
        <v>3033</v>
      </c>
      <c r="R185" s="22">
        <f>SUM(R176:R184)</f>
        <v>1070</v>
      </c>
      <c r="S185" s="23">
        <f t="shared" ref="S185:T185" si="183">SUM(S176:S184)</f>
        <v>1176</v>
      </c>
      <c r="T185" s="24">
        <f t="shared" si="183"/>
        <v>848</v>
      </c>
      <c r="U185" s="54">
        <f>SUM(R185:T185)</f>
        <v>3094</v>
      </c>
      <c r="V185" s="61">
        <f>Q185+U185</f>
        <v>6127</v>
      </c>
    </row>
    <row r="186" spans="1:25" x14ac:dyDescent="0.15">
      <c r="A186" s="17" t="s">
        <v>77</v>
      </c>
      <c r="B186" s="5">
        <v>5</v>
      </c>
      <c r="C186" s="6">
        <v>5</v>
      </c>
      <c r="D186" s="7">
        <v>3</v>
      </c>
      <c r="E186" s="51">
        <f t="shared" ref="E186:E188" si="184">SUM(B186:D186)</f>
        <v>13</v>
      </c>
      <c r="F186" s="8">
        <v>5</v>
      </c>
      <c r="G186" s="6">
        <v>8</v>
      </c>
      <c r="H186" s="7">
        <v>3</v>
      </c>
      <c r="I186" s="51">
        <f t="shared" ref="I186:I188" si="185">SUM(F186:H186)</f>
        <v>16</v>
      </c>
      <c r="J186" s="59">
        <f t="shared" ref="J186:J188" si="186">E186+I186</f>
        <v>29</v>
      </c>
      <c r="K186" s="40">
        <v>45476</v>
      </c>
      <c r="M186" s="18" t="s">
        <v>139</v>
      </c>
      <c r="N186" s="9">
        <v>4</v>
      </c>
      <c r="O186" s="10"/>
      <c r="P186" s="11"/>
      <c r="Q186" s="51">
        <f>SUM(N186:P186)</f>
        <v>4</v>
      </c>
      <c r="R186" s="12">
        <v>4</v>
      </c>
      <c r="S186" s="10"/>
      <c r="T186" s="11"/>
      <c r="U186" s="51">
        <f>SUM(R186:T186)</f>
        <v>4</v>
      </c>
      <c r="V186" s="59">
        <f>Q186+U186</f>
        <v>8</v>
      </c>
      <c r="W186" s="108">
        <v>45460</v>
      </c>
      <c r="X186" s="48"/>
    </row>
    <row r="187" spans="1:25" x14ac:dyDescent="0.15">
      <c r="A187" s="17" t="s">
        <v>57</v>
      </c>
      <c r="B187" s="9"/>
      <c r="C187" s="10"/>
      <c r="D187" s="11"/>
      <c r="E187" s="52">
        <f t="shared" si="184"/>
        <v>0</v>
      </c>
      <c r="F187" s="12">
        <v>1</v>
      </c>
      <c r="G187" s="10"/>
      <c r="H187" s="11"/>
      <c r="I187" s="52">
        <f t="shared" si="185"/>
        <v>1</v>
      </c>
      <c r="J187" s="59">
        <f t="shared" si="186"/>
        <v>1</v>
      </c>
      <c r="K187" s="41">
        <v>45476</v>
      </c>
      <c r="M187" s="18" t="s">
        <v>140</v>
      </c>
      <c r="N187" s="5"/>
      <c r="O187" s="6">
        <v>15</v>
      </c>
      <c r="P187" s="7"/>
      <c r="Q187" s="51">
        <f t="shared" ref="Q187:Q212" si="187">SUM(N187:P187)</f>
        <v>15</v>
      </c>
      <c r="R187" s="8"/>
      <c r="S187" s="6">
        <v>10</v>
      </c>
      <c r="T187" s="7"/>
      <c r="U187" s="51">
        <f t="shared" ref="U187:U212" si="188">SUM(R187:T187)</f>
        <v>10</v>
      </c>
      <c r="V187" s="59">
        <f t="shared" ref="V187:V204" si="189">Q187+U187</f>
        <v>25</v>
      </c>
      <c r="W187" s="108">
        <v>45458</v>
      </c>
      <c r="X187" s="48"/>
    </row>
    <row r="188" spans="1:25" x14ac:dyDescent="0.15">
      <c r="A188" s="17" t="s">
        <v>57</v>
      </c>
      <c r="B188" s="5"/>
      <c r="C188" s="6"/>
      <c r="D188" s="7"/>
      <c r="E188" s="51">
        <f t="shared" si="184"/>
        <v>0</v>
      </c>
      <c r="F188" s="8">
        <v>1</v>
      </c>
      <c r="G188" s="6"/>
      <c r="H188" s="7"/>
      <c r="I188" s="51">
        <f t="shared" si="185"/>
        <v>1</v>
      </c>
      <c r="J188" s="59">
        <f t="shared" si="186"/>
        <v>1</v>
      </c>
      <c r="K188" s="41">
        <v>45477</v>
      </c>
      <c r="M188" s="18" t="s">
        <v>144</v>
      </c>
      <c r="N188" s="5">
        <v>7</v>
      </c>
      <c r="O188" s="6">
        <v>1</v>
      </c>
      <c r="P188" s="7"/>
      <c r="Q188" s="51">
        <f t="shared" si="187"/>
        <v>8</v>
      </c>
      <c r="R188" s="8">
        <v>7</v>
      </c>
      <c r="S188" s="6">
        <v>1</v>
      </c>
      <c r="T188" s="7"/>
      <c r="U188" s="51">
        <f t="shared" si="188"/>
        <v>8</v>
      </c>
      <c r="V188" s="59">
        <f t="shared" si="189"/>
        <v>16</v>
      </c>
      <c r="W188" s="108">
        <v>45462</v>
      </c>
      <c r="X188" s="48"/>
    </row>
    <row r="189" spans="1:25" x14ac:dyDescent="0.15">
      <c r="A189" s="18" t="s">
        <v>149</v>
      </c>
      <c r="B189" s="5">
        <v>1</v>
      </c>
      <c r="C189" s="6"/>
      <c r="D189" s="7"/>
      <c r="E189" s="51">
        <f t="shared" ref="E189:E212" si="190">SUM(B189:D189)</f>
        <v>1</v>
      </c>
      <c r="F189" s="8">
        <v>1</v>
      </c>
      <c r="G189" s="6"/>
      <c r="H189" s="7"/>
      <c r="I189" s="51">
        <f t="shared" ref="I189:I212" si="191">SUM(F189:H189)</f>
        <v>1</v>
      </c>
      <c r="J189" s="59">
        <f t="shared" ref="J189:J211" si="192">E189+I189</f>
        <v>2</v>
      </c>
      <c r="K189" s="40">
        <v>45481</v>
      </c>
      <c r="M189" s="20" t="s">
        <v>41</v>
      </c>
      <c r="N189" s="5">
        <v>5</v>
      </c>
      <c r="O189" s="6">
        <v>5</v>
      </c>
      <c r="P189" s="7"/>
      <c r="Q189" s="51">
        <f>SUM(N189:P189)</f>
        <v>10</v>
      </c>
      <c r="R189" s="8"/>
      <c r="S189" s="6">
        <v>5</v>
      </c>
      <c r="T189" s="7">
        <v>5</v>
      </c>
      <c r="U189" s="51">
        <f>SUM(R189:T189)</f>
        <v>10</v>
      </c>
      <c r="V189" s="59">
        <f>Q189+U189</f>
        <v>20</v>
      </c>
      <c r="W189" s="108">
        <v>45461</v>
      </c>
      <c r="X189" s="48"/>
    </row>
    <row r="190" spans="1:25" x14ac:dyDescent="0.15">
      <c r="A190" s="17" t="s">
        <v>57</v>
      </c>
      <c r="B190" s="5">
        <v>2</v>
      </c>
      <c r="C190" s="6">
        <v>2</v>
      </c>
      <c r="D190" s="7"/>
      <c r="E190" s="51">
        <f t="shared" si="190"/>
        <v>4</v>
      </c>
      <c r="F190" s="8">
        <v>2</v>
      </c>
      <c r="G190" s="6">
        <f>1+1</f>
        <v>2</v>
      </c>
      <c r="H190" s="7"/>
      <c r="I190" s="51">
        <f t="shared" si="191"/>
        <v>4</v>
      </c>
      <c r="J190" s="59">
        <f t="shared" si="192"/>
        <v>8</v>
      </c>
      <c r="K190" s="40">
        <v>45478</v>
      </c>
      <c r="M190" s="18" t="s">
        <v>146</v>
      </c>
      <c r="N190" s="5">
        <v>5</v>
      </c>
      <c r="O190" s="6">
        <v>5</v>
      </c>
      <c r="P190" s="7"/>
      <c r="Q190" s="51">
        <f t="shared" si="187"/>
        <v>10</v>
      </c>
      <c r="R190" s="8">
        <v>5</v>
      </c>
      <c r="S190" s="6">
        <v>5</v>
      </c>
      <c r="T190" s="7"/>
      <c r="U190" s="51">
        <f t="shared" si="188"/>
        <v>10</v>
      </c>
      <c r="V190" s="59">
        <f t="shared" si="189"/>
        <v>20</v>
      </c>
      <c r="W190" s="108">
        <v>45463</v>
      </c>
      <c r="X190" s="48"/>
      <c r="Y190" s="48"/>
    </row>
    <row r="191" spans="1:25" x14ac:dyDescent="0.15">
      <c r="A191" s="17" t="s">
        <v>57</v>
      </c>
      <c r="B191" s="5">
        <v>1</v>
      </c>
      <c r="C191" s="6">
        <v>1</v>
      </c>
      <c r="D191" s="14"/>
      <c r="E191" s="51">
        <f t="shared" si="190"/>
        <v>2</v>
      </c>
      <c r="F191" s="15"/>
      <c r="G191" s="13">
        <v>1</v>
      </c>
      <c r="H191" s="14">
        <v>1</v>
      </c>
      <c r="I191" s="51">
        <f t="shared" si="191"/>
        <v>2</v>
      </c>
      <c r="J191" s="59">
        <f t="shared" si="192"/>
        <v>4</v>
      </c>
      <c r="K191" s="40">
        <v>45479</v>
      </c>
      <c r="M191" s="18" t="s">
        <v>149</v>
      </c>
      <c r="N191" s="5">
        <v>1</v>
      </c>
      <c r="O191" s="6">
        <v>3</v>
      </c>
      <c r="P191" s="14"/>
      <c r="Q191" s="51">
        <f t="shared" si="187"/>
        <v>4</v>
      </c>
      <c r="R191" s="15">
        <v>1</v>
      </c>
      <c r="S191" s="13">
        <v>3</v>
      </c>
      <c r="T191" s="14"/>
      <c r="U191" s="51">
        <f t="shared" si="188"/>
        <v>4</v>
      </c>
      <c r="V191" s="59">
        <f t="shared" si="189"/>
        <v>8</v>
      </c>
      <c r="W191" s="108">
        <v>45464</v>
      </c>
      <c r="X191" s="48"/>
      <c r="Y191" s="48"/>
    </row>
    <row r="192" spans="1:25" x14ac:dyDescent="0.15">
      <c r="A192" s="18" t="s">
        <v>162</v>
      </c>
      <c r="B192" s="5"/>
      <c r="C192" s="6">
        <v>1</v>
      </c>
      <c r="D192" s="7"/>
      <c r="E192" s="51">
        <f t="shared" si="190"/>
        <v>1</v>
      </c>
      <c r="F192" s="8"/>
      <c r="G192" s="6">
        <v>1</v>
      </c>
      <c r="H192" s="7"/>
      <c r="I192" s="51">
        <f t="shared" si="191"/>
        <v>1</v>
      </c>
      <c r="J192" s="59">
        <f t="shared" si="192"/>
        <v>2</v>
      </c>
      <c r="K192" s="40">
        <v>45483</v>
      </c>
      <c r="L192" s="48"/>
      <c r="M192" s="18" t="s">
        <v>114</v>
      </c>
      <c r="N192" s="5">
        <v>5</v>
      </c>
      <c r="O192" s="6">
        <v>5</v>
      </c>
      <c r="P192" s="7">
        <v>5</v>
      </c>
      <c r="Q192" s="51">
        <f t="shared" si="187"/>
        <v>15</v>
      </c>
      <c r="R192" s="8">
        <v>8</v>
      </c>
      <c r="S192" s="6">
        <v>5</v>
      </c>
      <c r="T192" s="7"/>
      <c r="U192" s="51">
        <f t="shared" si="188"/>
        <v>13</v>
      </c>
      <c r="V192" s="59">
        <f t="shared" si="189"/>
        <v>28</v>
      </c>
      <c r="W192" s="108">
        <v>45470</v>
      </c>
      <c r="X192" s="48"/>
      <c r="Y192" s="48"/>
    </row>
    <row r="193" spans="1:25" x14ac:dyDescent="0.15">
      <c r="A193" s="17" t="s">
        <v>77</v>
      </c>
      <c r="B193" s="5"/>
      <c r="C193" s="6">
        <v>6</v>
      </c>
      <c r="D193" s="7">
        <v>3</v>
      </c>
      <c r="E193" s="51">
        <f t="shared" si="190"/>
        <v>9</v>
      </c>
      <c r="F193" s="8"/>
      <c r="G193" s="6"/>
      <c r="H193" s="7"/>
      <c r="I193" s="51">
        <f t="shared" si="191"/>
        <v>0</v>
      </c>
      <c r="J193" s="59">
        <f t="shared" si="192"/>
        <v>9</v>
      </c>
      <c r="K193" s="40">
        <v>45482</v>
      </c>
      <c r="L193" s="48"/>
      <c r="M193" s="20" t="s">
        <v>153</v>
      </c>
      <c r="N193" s="5">
        <v>7</v>
      </c>
      <c r="O193" s="6">
        <v>4</v>
      </c>
      <c r="P193" s="7">
        <v>4</v>
      </c>
      <c r="Q193" s="51">
        <f t="shared" si="187"/>
        <v>15</v>
      </c>
      <c r="R193" s="8">
        <v>7</v>
      </c>
      <c r="S193" s="6">
        <v>4</v>
      </c>
      <c r="T193" s="7">
        <v>4</v>
      </c>
      <c r="U193" s="51">
        <f t="shared" si="188"/>
        <v>15</v>
      </c>
      <c r="V193" s="59">
        <f t="shared" si="189"/>
        <v>30</v>
      </c>
      <c r="W193" s="108">
        <v>45469</v>
      </c>
      <c r="X193" s="48"/>
      <c r="Y193" s="48"/>
    </row>
    <row r="194" spans="1:25" x14ac:dyDescent="0.15">
      <c r="A194" s="17" t="s">
        <v>57</v>
      </c>
      <c r="B194" s="5"/>
      <c r="C194" s="6">
        <v>2</v>
      </c>
      <c r="D194" s="7">
        <v>1</v>
      </c>
      <c r="E194" s="51">
        <f t="shared" si="190"/>
        <v>3</v>
      </c>
      <c r="F194" s="8"/>
      <c r="G194" s="6">
        <v>2</v>
      </c>
      <c r="H194" s="7">
        <v>1</v>
      </c>
      <c r="I194" s="51">
        <f t="shared" si="191"/>
        <v>3</v>
      </c>
      <c r="J194" s="59">
        <f t="shared" si="192"/>
        <v>6</v>
      </c>
      <c r="K194" s="40">
        <v>45481</v>
      </c>
      <c r="L194" s="48"/>
      <c r="M194" s="18" t="s">
        <v>92</v>
      </c>
      <c r="N194" s="5"/>
      <c r="O194" s="6"/>
      <c r="P194" s="7"/>
      <c r="Q194" s="51">
        <f t="shared" si="187"/>
        <v>0</v>
      </c>
      <c r="R194" s="8">
        <v>25</v>
      </c>
      <c r="S194" s="6"/>
      <c r="T194" s="7">
        <v>20</v>
      </c>
      <c r="U194" s="51">
        <f t="shared" si="188"/>
        <v>45</v>
      </c>
      <c r="V194" s="59">
        <f t="shared" si="189"/>
        <v>45</v>
      </c>
      <c r="W194" s="108">
        <v>45470</v>
      </c>
    </row>
    <row r="195" spans="1:25" x14ac:dyDescent="0.15">
      <c r="A195" s="20" t="s">
        <v>163</v>
      </c>
      <c r="B195" s="5">
        <v>3</v>
      </c>
      <c r="C195" s="6"/>
      <c r="D195" s="7"/>
      <c r="E195" s="51">
        <f t="shared" si="190"/>
        <v>3</v>
      </c>
      <c r="F195" s="8">
        <v>3</v>
      </c>
      <c r="G195" s="6"/>
      <c r="H195" s="7"/>
      <c r="I195" s="51">
        <f t="shared" si="191"/>
        <v>3</v>
      </c>
      <c r="J195" s="59">
        <f t="shared" si="192"/>
        <v>6</v>
      </c>
      <c r="K195" s="40">
        <v>45483</v>
      </c>
      <c r="L195" s="48"/>
      <c r="M195" s="18" t="s">
        <v>100</v>
      </c>
      <c r="N195" s="5">
        <v>10</v>
      </c>
      <c r="O195" s="6">
        <v>15</v>
      </c>
      <c r="P195" s="7">
        <v>15</v>
      </c>
      <c r="Q195" s="51">
        <f t="shared" si="187"/>
        <v>40</v>
      </c>
      <c r="R195" s="8">
        <v>30</v>
      </c>
      <c r="S195" s="6"/>
      <c r="T195" s="7">
        <v>10</v>
      </c>
      <c r="U195" s="51">
        <f t="shared" si="188"/>
        <v>40</v>
      </c>
      <c r="V195" s="59">
        <f t="shared" si="189"/>
        <v>80</v>
      </c>
      <c r="W195" s="108">
        <v>45471</v>
      </c>
    </row>
    <row r="196" spans="1:25" x14ac:dyDescent="0.15">
      <c r="A196" s="18" t="s">
        <v>164</v>
      </c>
      <c r="B196" s="5"/>
      <c r="C196" s="6"/>
      <c r="D196" s="7">
        <v>1</v>
      </c>
      <c r="E196" s="51">
        <f t="shared" si="190"/>
        <v>1</v>
      </c>
      <c r="F196" s="8"/>
      <c r="G196" s="6"/>
      <c r="H196" s="7">
        <v>1</v>
      </c>
      <c r="I196" s="51">
        <f t="shared" si="191"/>
        <v>1</v>
      </c>
      <c r="J196" s="59">
        <f t="shared" si="192"/>
        <v>2</v>
      </c>
      <c r="K196" s="40">
        <v>45484</v>
      </c>
      <c r="M196" s="20" t="s">
        <v>156</v>
      </c>
      <c r="N196" s="5">
        <v>25</v>
      </c>
      <c r="O196" s="6">
        <v>25</v>
      </c>
      <c r="P196" s="7">
        <v>15</v>
      </c>
      <c r="Q196" s="51">
        <f t="shared" si="187"/>
        <v>65</v>
      </c>
      <c r="R196" s="8"/>
      <c r="S196" s="6">
        <v>15</v>
      </c>
      <c r="T196" s="7">
        <v>5</v>
      </c>
      <c r="U196" s="51">
        <f t="shared" si="188"/>
        <v>20</v>
      </c>
      <c r="V196" s="59">
        <f t="shared" si="189"/>
        <v>85</v>
      </c>
      <c r="W196" s="108">
        <v>45477</v>
      </c>
    </row>
    <row r="197" spans="1:25" x14ac:dyDescent="0.15">
      <c r="A197" s="17" t="s">
        <v>165</v>
      </c>
      <c r="B197" s="5">
        <v>1</v>
      </c>
      <c r="C197" s="6"/>
      <c r="D197" s="7"/>
      <c r="E197" s="51">
        <f t="shared" si="190"/>
        <v>1</v>
      </c>
      <c r="F197" s="8"/>
      <c r="G197" s="6"/>
      <c r="H197" s="7"/>
      <c r="I197" s="51">
        <f t="shared" si="191"/>
        <v>0</v>
      </c>
      <c r="J197" s="59">
        <f t="shared" si="192"/>
        <v>1</v>
      </c>
      <c r="K197" s="40">
        <v>45483</v>
      </c>
      <c r="M197" s="20" t="s">
        <v>41</v>
      </c>
      <c r="N197" s="5">
        <v>10</v>
      </c>
      <c r="O197" s="6">
        <v>10</v>
      </c>
      <c r="P197" s="7"/>
      <c r="Q197" s="51">
        <f>SUM(N197:P197)</f>
        <v>20</v>
      </c>
      <c r="R197" s="8">
        <v>10</v>
      </c>
      <c r="S197" s="6">
        <v>10</v>
      </c>
      <c r="T197" s="7">
        <v>5</v>
      </c>
      <c r="U197" s="51">
        <f>SUM(R197:T197)</f>
        <v>25</v>
      </c>
      <c r="V197" s="59">
        <f>Q197+U197</f>
        <v>45</v>
      </c>
      <c r="W197" s="108">
        <v>45476</v>
      </c>
    </row>
    <row r="198" spans="1:25" x14ac:dyDescent="0.15">
      <c r="A198" s="17" t="s">
        <v>57</v>
      </c>
      <c r="B198" s="5"/>
      <c r="C198" s="6">
        <v>2</v>
      </c>
      <c r="D198" s="7"/>
      <c r="E198" s="51">
        <f t="shared" si="190"/>
        <v>2</v>
      </c>
      <c r="F198" s="8"/>
      <c r="G198" s="6">
        <v>1</v>
      </c>
      <c r="H198" s="7"/>
      <c r="I198" s="51">
        <f t="shared" si="191"/>
        <v>1</v>
      </c>
      <c r="J198" s="59">
        <f t="shared" si="192"/>
        <v>3</v>
      </c>
      <c r="K198" s="40">
        <v>45482</v>
      </c>
      <c r="M198" s="18" t="s">
        <v>114</v>
      </c>
      <c r="N198" s="5">
        <v>3</v>
      </c>
      <c r="O198" s="6">
        <v>3</v>
      </c>
      <c r="P198" s="7">
        <v>4</v>
      </c>
      <c r="Q198" s="51">
        <f t="shared" si="187"/>
        <v>10</v>
      </c>
      <c r="R198" s="8">
        <v>5</v>
      </c>
      <c r="S198" s="6"/>
      <c r="T198" s="7"/>
      <c r="U198" s="51">
        <f t="shared" si="188"/>
        <v>5</v>
      </c>
      <c r="V198" s="59">
        <f t="shared" si="189"/>
        <v>15</v>
      </c>
      <c r="W198" s="108">
        <v>45485</v>
      </c>
    </row>
    <row r="199" spans="1:25" x14ac:dyDescent="0.15">
      <c r="A199" s="17" t="s">
        <v>57</v>
      </c>
      <c r="B199" s="5"/>
      <c r="C199" s="6"/>
      <c r="D199" s="7"/>
      <c r="E199" s="51">
        <f t="shared" si="190"/>
        <v>0</v>
      </c>
      <c r="F199" s="8"/>
      <c r="G199" s="6"/>
      <c r="H199" s="7">
        <v>1</v>
      </c>
      <c r="I199" s="51">
        <f t="shared" si="191"/>
        <v>1</v>
      </c>
      <c r="J199" s="59">
        <f t="shared" si="192"/>
        <v>1</v>
      </c>
      <c r="K199" s="40">
        <v>45483</v>
      </c>
      <c r="M199" s="18" t="s">
        <v>159</v>
      </c>
      <c r="N199" s="5">
        <v>5</v>
      </c>
      <c r="O199" s="6">
        <v>5</v>
      </c>
      <c r="P199" s="7"/>
      <c r="Q199" s="51">
        <f t="shared" si="187"/>
        <v>10</v>
      </c>
      <c r="R199" s="8">
        <v>5</v>
      </c>
      <c r="S199" s="6"/>
      <c r="T199" s="7"/>
      <c r="U199" s="51">
        <f t="shared" si="188"/>
        <v>5</v>
      </c>
      <c r="V199" s="59">
        <f t="shared" si="189"/>
        <v>15</v>
      </c>
      <c r="W199" s="108">
        <v>45482</v>
      </c>
    </row>
    <row r="200" spans="1:25" x14ac:dyDescent="0.15">
      <c r="A200" s="18" t="s">
        <v>166</v>
      </c>
      <c r="B200" s="5">
        <v>1</v>
      </c>
      <c r="C200" s="6"/>
      <c r="D200" s="7"/>
      <c r="E200" s="51">
        <f t="shared" si="190"/>
        <v>1</v>
      </c>
      <c r="F200" s="8">
        <v>1</v>
      </c>
      <c r="G200" s="6"/>
      <c r="H200" s="7"/>
      <c r="I200" s="51">
        <f t="shared" si="191"/>
        <v>1</v>
      </c>
      <c r="J200" s="59">
        <f t="shared" si="192"/>
        <v>2</v>
      </c>
      <c r="K200" s="40">
        <v>45485</v>
      </c>
      <c r="M200" s="20" t="s">
        <v>41</v>
      </c>
      <c r="N200" s="5">
        <v>5</v>
      </c>
      <c r="O200" s="6">
        <v>5</v>
      </c>
      <c r="P200" s="7">
        <v>10</v>
      </c>
      <c r="Q200" s="51">
        <f t="shared" si="187"/>
        <v>20</v>
      </c>
      <c r="R200" s="8">
        <v>5</v>
      </c>
      <c r="S200" s="6">
        <v>10</v>
      </c>
      <c r="T200" s="7">
        <v>5</v>
      </c>
      <c r="U200" s="51">
        <f t="shared" si="188"/>
        <v>20</v>
      </c>
      <c r="V200" s="59">
        <f t="shared" si="189"/>
        <v>40</v>
      </c>
      <c r="W200" s="108">
        <v>45479</v>
      </c>
    </row>
    <row r="201" spans="1:25" x14ac:dyDescent="0.15">
      <c r="A201" s="17" t="s">
        <v>57</v>
      </c>
      <c r="B201" s="5"/>
      <c r="C201" s="6">
        <v>1</v>
      </c>
      <c r="D201" s="7">
        <v>1</v>
      </c>
      <c r="E201" s="51">
        <f t="shared" si="190"/>
        <v>2</v>
      </c>
      <c r="F201" s="8"/>
      <c r="G201" s="6">
        <v>3</v>
      </c>
      <c r="H201" s="7">
        <v>1</v>
      </c>
      <c r="I201" s="51">
        <f t="shared" si="191"/>
        <v>4</v>
      </c>
      <c r="J201" s="59">
        <f t="shared" si="192"/>
        <v>6</v>
      </c>
      <c r="K201" s="40">
        <v>45484</v>
      </c>
      <c r="M201" s="20" t="s">
        <v>41</v>
      </c>
      <c r="N201" s="5"/>
      <c r="O201" s="6">
        <v>5</v>
      </c>
      <c r="P201" s="7"/>
      <c r="Q201" s="51">
        <f t="shared" si="187"/>
        <v>5</v>
      </c>
      <c r="R201" s="8"/>
      <c r="S201" s="6"/>
      <c r="T201" s="7"/>
      <c r="U201" s="51">
        <f t="shared" si="188"/>
        <v>0</v>
      </c>
      <c r="V201" s="59">
        <f t="shared" si="189"/>
        <v>5</v>
      </c>
      <c r="W201" s="108">
        <v>45482</v>
      </c>
    </row>
    <row r="202" spans="1:25" x14ac:dyDescent="0.15">
      <c r="A202" s="18" t="s">
        <v>167</v>
      </c>
      <c r="B202" s="5">
        <v>1</v>
      </c>
      <c r="C202" s="6"/>
      <c r="D202" s="7"/>
      <c r="E202" s="51">
        <f t="shared" ref="E202" si="193">SUM(B202:D202)</f>
        <v>1</v>
      </c>
      <c r="F202" s="8">
        <v>1</v>
      </c>
      <c r="G202" s="6"/>
      <c r="H202" s="7"/>
      <c r="I202" s="51">
        <f t="shared" ref="I202" si="194">SUM(F202:H202)</f>
        <v>1</v>
      </c>
      <c r="J202" s="59">
        <f t="shared" ref="J202" si="195">E202+I202</f>
        <v>2</v>
      </c>
      <c r="K202" s="40">
        <v>45491</v>
      </c>
      <c r="M202" s="18" t="s">
        <v>114</v>
      </c>
      <c r="N202" s="5">
        <v>5</v>
      </c>
      <c r="O202" s="6">
        <v>5</v>
      </c>
      <c r="P202" s="7">
        <v>3</v>
      </c>
      <c r="Q202" s="51">
        <f t="shared" si="187"/>
        <v>13</v>
      </c>
      <c r="R202" s="8">
        <v>10</v>
      </c>
      <c r="S202" s="6">
        <v>5</v>
      </c>
      <c r="T202" s="7">
        <v>5</v>
      </c>
      <c r="U202" s="51">
        <f t="shared" si="188"/>
        <v>20</v>
      </c>
      <c r="V202" s="59">
        <f t="shared" si="189"/>
        <v>33</v>
      </c>
      <c r="W202" s="108">
        <v>45489</v>
      </c>
      <c r="X202" s="48"/>
    </row>
    <row r="203" spans="1:25" x14ac:dyDescent="0.15">
      <c r="A203" s="17" t="s">
        <v>57</v>
      </c>
      <c r="B203" s="5"/>
      <c r="C203" s="6"/>
      <c r="D203" s="7">
        <v>1</v>
      </c>
      <c r="E203" s="51">
        <f t="shared" si="190"/>
        <v>1</v>
      </c>
      <c r="F203" s="8">
        <v>2</v>
      </c>
      <c r="G203" s="6"/>
      <c r="H203" s="7">
        <v>1</v>
      </c>
      <c r="I203" s="51">
        <f t="shared" si="191"/>
        <v>3</v>
      </c>
      <c r="J203" s="59">
        <f t="shared" si="192"/>
        <v>4</v>
      </c>
      <c r="K203" s="40">
        <v>45489</v>
      </c>
      <c r="M203" s="20" t="s">
        <v>169</v>
      </c>
      <c r="N203" s="5">
        <v>100</v>
      </c>
      <c r="O203" s="6">
        <v>40</v>
      </c>
      <c r="P203" s="7">
        <v>60</v>
      </c>
      <c r="Q203" s="51">
        <f t="shared" si="187"/>
        <v>200</v>
      </c>
      <c r="R203" s="8">
        <v>65</v>
      </c>
      <c r="S203" s="6">
        <v>75</v>
      </c>
      <c r="T203" s="7">
        <v>40</v>
      </c>
      <c r="U203" s="51">
        <f t="shared" si="188"/>
        <v>180</v>
      </c>
      <c r="V203" s="59">
        <f t="shared" si="189"/>
        <v>380</v>
      </c>
      <c r="W203" s="108">
        <v>45491</v>
      </c>
      <c r="X203" s="48"/>
    </row>
    <row r="204" spans="1:25" x14ac:dyDescent="0.15">
      <c r="A204" s="17" t="s">
        <v>57</v>
      </c>
      <c r="B204" s="5">
        <v>1</v>
      </c>
      <c r="C204" s="6"/>
      <c r="D204" s="7"/>
      <c r="E204" s="51">
        <f t="shared" si="190"/>
        <v>1</v>
      </c>
      <c r="F204" s="8">
        <v>1</v>
      </c>
      <c r="G204" s="6"/>
      <c r="H204" s="7"/>
      <c r="I204" s="51">
        <f t="shared" si="191"/>
        <v>1</v>
      </c>
      <c r="J204" s="59">
        <f t="shared" si="192"/>
        <v>2</v>
      </c>
      <c r="K204" s="40">
        <v>45490</v>
      </c>
      <c r="M204" s="18" t="s">
        <v>170</v>
      </c>
      <c r="N204" s="5"/>
      <c r="O204" s="6">
        <v>11</v>
      </c>
      <c r="P204" s="7"/>
      <c r="Q204" s="51">
        <f t="shared" si="187"/>
        <v>11</v>
      </c>
      <c r="R204" s="8"/>
      <c r="S204" s="6">
        <v>11</v>
      </c>
      <c r="T204" s="7"/>
      <c r="U204" s="51">
        <f t="shared" si="188"/>
        <v>11</v>
      </c>
      <c r="V204" s="59">
        <f t="shared" si="189"/>
        <v>22</v>
      </c>
      <c r="W204" s="108">
        <v>45495</v>
      </c>
    </row>
    <row r="205" spans="1:25" x14ac:dyDescent="0.15">
      <c r="A205" s="17" t="s">
        <v>77</v>
      </c>
      <c r="B205" s="5">
        <v>10</v>
      </c>
      <c r="C205" s="6">
        <v>10</v>
      </c>
      <c r="D205" s="7">
        <v>5</v>
      </c>
      <c r="E205" s="51">
        <f t="shared" si="190"/>
        <v>25</v>
      </c>
      <c r="F205" s="8">
        <v>10</v>
      </c>
      <c r="G205" s="6">
        <v>10</v>
      </c>
      <c r="H205" s="7">
        <v>10</v>
      </c>
      <c r="I205" s="51">
        <f t="shared" si="191"/>
        <v>30</v>
      </c>
      <c r="J205" s="59">
        <f t="shared" si="192"/>
        <v>55</v>
      </c>
      <c r="K205" s="40">
        <v>45491</v>
      </c>
      <c r="M205" s="18" t="s">
        <v>171</v>
      </c>
      <c r="N205" s="5"/>
      <c r="O205" s="6">
        <v>2</v>
      </c>
      <c r="P205" s="7"/>
      <c r="Q205" s="51">
        <f t="shared" ref="Q205:Q206" si="196">SUM(N205:P205)</f>
        <v>2</v>
      </c>
      <c r="R205" s="8"/>
      <c r="S205" s="6">
        <v>2</v>
      </c>
      <c r="T205" s="7"/>
      <c r="U205" s="51">
        <f t="shared" ref="U205:U206" si="197">SUM(R205:T205)</f>
        <v>2</v>
      </c>
      <c r="V205" s="59">
        <f t="shared" ref="V205:V206" si="198">Q205+U205</f>
        <v>4</v>
      </c>
      <c r="W205" s="108">
        <v>45496</v>
      </c>
      <c r="X205" s="48"/>
      <c r="Y205" s="48"/>
    </row>
    <row r="206" spans="1:25" x14ac:dyDescent="0.15">
      <c r="A206" s="17" t="s">
        <v>57</v>
      </c>
      <c r="B206" s="5">
        <v>1</v>
      </c>
      <c r="C206" s="6">
        <v>2</v>
      </c>
      <c r="D206" s="7"/>
      <c r="E206" s="51">
        <f t="shared" si="190"/>
        <v>3</v>
      </c>
      <c r="F206" s="8">
        <v>2</v>
      </c>
      <c r="G206" s="6"/>
      <c r="H206" s="7"/>
      <c r="I206" s="51">
        <f t="shared" si="191"/>
        <v>2</v>
      </c>
      <c r="J206" s="59">
        <f t="shared" si="192"/>
        <v>5</v>
      </c>
      <c r="K206" s="40">
        <v>45491</v>
      </c>
      <c r="M206" s="20" t="s">
        <v>176</v>
      </c>
      <c r="N206" s="5">
        <v>30</v>
      </c>
      <c r="O206" s="6"/>
      <c r="P206" s="7">
        <v>20</v>
      </c>
      <c r="Q206" s="51">
        <f t="shared" si="196"/>
        <v>50</v>
      </c>
      <c r="R206" s="8">
        <v>30</v>
      </c>
      <c r="S206" s="6"/>
      <c r="T206" s="7">
        <v>20</v>
      </c>
      <c r="U206" s="51">
        <f t="shared" si="197"/>
        <v>50</v>
      </c>
      <c r="V206" s="59">
        <f t="shared" si="198"/>
        <v>100</v>
      </c>
      <c r="W206" s="108">
        <v>45503</v>
      </c>
    </row>
    <row r="207" spans="1:25" x14ac:dyDescent="0.15">
      <c r="A207" s="17" t="s">
        <v>57</v>
      </c>
      <c r="B207" s="9">
        <v>1</v>
      </c>
      <c r="C207" s="10"/>
      <c r="D207" s="11"/>
      <c r="E207" s="51">
        <f t="shared" si="190"/>
        <v>1</v>
      </c>
      <c r="F207" s="12">
        <v>1</v>
      </c>
      <c r="G207" s="10"/>
      <c r="H207" s="11"/>
      <c r="I207" s="51">
        <f t="shared" si="191"/>
        <v>1</v>
      </c>
      <c r="J207" s="59">
        <f t="shared" si="192"/>
        <v>2</v>
      </c>
      <c r="K207" s="41">
        <v>45492</v>
      </c>
      <c r="M207" s="20" t="s">
        <v>172</v>
      </c>
      <c r="N207" s="5"/>
      <c r="O207" s="6">
        <v>10</v>
      </c>
      <c r="P207" s="7"/>
      <c r="Q207" s="51">
        <f t="shared" ref="Q207:Q210" si="199">SUM(N207:P207)</f>
        <v>10</v>
      </c>
      <c r="R207" s="8"/>
      <c r="S207" s="6"/>
      <c r="T207" s="7"/>
      <c r="U207" s="51">
        <f t="shared" ref="U207:U210" si="200">SUM(R207:T207)</f>
        <v>0</v>
      </c>
      <c r="V207" s="59">
        <f t="shared" ref="V207:V210" si="201">Q207+U207</f>
        <v>10</v>
      </c>
      <c r="W207" s="108">
        <v>45493</v>
      </c>
      <c r="X207" s="48"/>
    </row>
    <row r="208" spans="1:25" x14ac:dyDescent="0.15">
      <c r="A208" s="17" t="s">
        <v>174</v>
      </c>
      <c r="B208" s="5"/>
      <c r="C208" s="6"/>
      <c r="D208" s="7"/>
      <c r="E208" s="51">
        <f t="shared" si="190"/>
        <v>0</v>
      </c>
      <c r="F208" s="8">
        <v>-5</v>
      </c>
      <c r="G208" s="6"/>
      <c r="H208" s="7"/>
      <c r="I208" s="51">
        <f t="shared" si="191"/>
        <v>-5</v>
      </c>
      <c r="J208" s="59">
        <f t="shared" si="192"/>
        <v>-5</v>
      </c>
      <c r="K208" s="40">
        <v>45493</v>
      </c>
      <c r="M208" s="18" t="s">
        <v>173</v>
      </c>
      <c r="N208" s="5"/>
      <c r="O208" s="6">
        <v>5</v>
      </c>
      <c r="P208" s="7"/>
      <c r="Q208" s="51">
        <f t="shared" si="199"/>
        <v>5</v>
      </c>
      <c r="R208" s="8">
        <v>3</v>
      </c>
      <c r="S208" s="6">
        <v>8</v>
      </c>
      <c r="T208" s="7">
        <v>5</v>
      </c>
      <c r="U208" s="51">
        <f t="shared" si="200"/>
        <v>16</v>
      </c>
      <c r="V208" s="59">
        <f t="shared" si="201"/>
        <v>21</v>
      </c>
      <c r="W208" s="108">
        <v>45497</v>
      </c>
    </row>
    <row r="209" spans="1:23" x14ac:dyDescent="0.15">
      <c r="A209" s="17" t="s">
        <v>175</v>
      </c>
      <c r="B209" s="9"/>
      <c r="C209" s="10">
        <v>17</v>
      </c>
      <c r="D209" s="11">
        <v>6</v>
      </c>
      <c r="E209" s="52">
        <f t="shared" si="190"/>
        <v>23</v>
      </c>
      <c r="F209" s="12"/>
      <c r="G209" s="10">
        <v>24</v>
      </c>
      <c r="H209" s="11">
        <v>2</v>
      </c>
      <c r="I209" s="52">
        <f t="shared" si="191"/>
        <v>26</v>
      </c>
      <c r="J209" s="59">
        <f t="shared" si="192"/>
        <v>49</v>
      </c>
      <c r="K209" s="40">
        <v>45493</v>
      </c>
      <c r="M209" s="20" t="s">
        <v>41</v>
      </c>
      <c r="N209" s="5">
        <v>10</v>
      </c>
      <c r="O209" s="6">
        <v>10</v>
      </c>
      <c r="P209" s="7">
        <v>5</v>
      </c>
      <c r="Q209" s="51">
        <f t="shared" si="199"/>
        <v>25</v>
      </c>
      <c r="R209" s="8">
        <v>10</v>
      </c>
      <c r="S209" s="6">
        <v>10</v>
      </c>
      <c r="T209" s="7">
        <v>10</v>
      </c>
      <c r="U209" s="51">
        <f t="shared" si="200"/>
        <v>30</v>
      </c>
      <c r="V209" s="59">
        <f t="shared" si="201"/>
        <v>55</v>
      </c>
      <c r="W209" s="108">
        <v>45491</v>
      </c>
    </row>
    <row r="210" spans="1:23" x14ac:dyDescent="0.15">
      <c r="A210" s="17" t="s">
        <v>57</v>
      </c>
      <c r="B210" s="5"/>
      <c r="C210" s="6">
        <v>1</v>
      </c>
      <c r="D210" s="7"/>
      <c r="E210" s="51">
        <f t="shared" si="190"/>
        <v>1</v>
      </c>
      <c r="F210" s="8">
        <v>1</v>
      </c>
      <c r="G210" s="6">
        <v>2</v>
      </c>
      <c r="H210" s="7"/>
      <c r="I210" s="51">
        <f t="shared" si="191"/>
        <v>3</v>
      </c>
      <c r="J210" s="59">
        <f t="shared" si="192"/>
        <v>4</v>
      </c>
      <c r="K210" s="41">
        <v>45493</v>
      </c>
      <c r="M210" s="18"/>
      <c r="N210" s="5"/>
      <c r="O210" s="6"/>
      <c r="P210" s="7"/>
      <c r="Q210" s="51">
        <f t="shared" si="199"/>
        <v>0</v>
      </c>
      <c r="R210" s="8"/>
      <c r="S210" s="6"/>
      <c r="T210" s="7"/>
      <c r="U210" s="51">
        <f t="shared" si="200"/>
        <v>0</v>
      </c>
      <c r="V210" s="59">
        <f t="shared" si="201"/>
        <v>0</v>
      </c>
    </row>
    <row r="211" spans="1:23" ht="14.25" thickBot="1" x14ac:dyDescent="0.2">
      <c r="A211" s="17" t="s">
        <v>57</v>
      </c>
      <c r="B211" s="9">
        <v>2</v>
      </c>
      <c r="C211" s="10">
        <f>2+1</f>
        <v>3</v>
      </c>
      <c r="D211" s="11">
        <f>1+1</f>
        <v>2</v>
      </c>
      <c r="E211" s="55">
        <f t="shared" si="190"/>
        <v>7</v>
      </c>
      <c r="F211" s="12">
        <v>2</v>
      </c>
      <c r="G211" s="10">
        <v>1</v>
      </c>
      <c r="H211" s="11">
        <v>1</v>
      </c>
      <c r="I211" s="55">
        <f t="shared" si="191"/>
        <v>4</v>
      </c>
      <c r="J211" s="59">
        <f t="shared" si="192"/>
        <v>11</v>
      </c>
      <c r="K211" s="41">
        <v>45495</v>
      </c>
      <c r="M211" s="20" t="s">
        <v>124</v>
      </c>
      <c r="N211" s="5"/>
      <c r="O211" s="6"/>
      <c r="P211" s="7"/>
      <c r="Q211" s="51">
        <f t="shared" si="187"/>
        <v>0</v>
      </c>
      <c r="R211" s="5"/>
      <c r="S211" s="6"/>
      <c r="T211" s="7"/>
      <c r="U211" s="51">
        <f t="shared" si="188"/>
        <v>0</v>
      </c>
      <c r="V211" s="59">
        <f t="shared" ref="V211" si="202">Q211+U211</f>
        <v>0</v>
      </c>
      <c r="W211" s="116" t="s">
        <v>125</v>
      </c>
    </row>
    <row r="212" spans="1:23" ht="14.25" thickBot="1" x14ac:dyDescent="0.2">
      <c r="A212" s="31" t="s">
        <v>19</v>
      </c>
      <c r="B212" s="34">
        <f>SUM(B186:B211)</f>
        <v>30</v>
      </c>
      <c r="C212" s="35">
        <f t="shared" ref="C212:D212" si="203">SUM(C186:C211)</f>
        <v>53</v>
      </c>
      <c r="D212" s="39">
        <f t="shared" si="203"/>
        <v>23</v>
      </c>
      <c r="E212" s="56">
        <f t="shared" si="190"/>
        <v>106</v>
      </c>
      <c r="F212" s="34">
        <f>SUM(F186:F211)</f>
        <v>29</v>
      </c>
      <c r="G212" s="35">
        <f t="shared" ref="G212:H212" si="204">SUM(G186:G211)</f>
        <v>55</v>
      </c>
      <c r="H212" s="39">
        <f t="shared" si="204"/>
        <v>22</v>
      </c>
      <c r="I212" s="56">
        <f t="shared" si="191"/>
        <v>106</v>
      </c>
      <c r="J212" s="62">
        <f>E212+I212</f>
        <v>212</v>
      </c>
      <c r="M212" s="31" t="s">
        <v>19</v>
      </c>
      <c r="N212" s="34">
        <f>SUM(N186:N211)</f>
        <v>237</v>
      </c>
      <c r="O212" s="35">
        <f t="shared" ref="O212:P212" si="205">SUM(O186:O211)</f>
        <v>189</v>
      </c>
      <c r="P212" s="39">
        <f t="shared" si="205"/>
        <v>141</v>
      </c>
      <c r="Q212" s="56">
        <f t="shared" si="187"/>
        <v>567</v>
      </c>
      <c r="R212" s="34">
        <f>SUM(R186:R211)</f>
        <v>230</v>
      </c>
      <c r="S212" s="35">
        <f t="shared" ref="S212:T212" si="206">SUM(S186:S211)</f>
        <v>179</v>
      </c>
      <c r="T212" s="39">
        <f t="shared" si="206"/>
        <v>134</v>
      </c>
      <c r="U212" s="56">
        <f t="shared" si="188"/>
        <v>543</v>
      </c>
      <c r="V212" s="62">
        <f>Q212+U212</f>
        <v>1110</v>
      </c>
    </row>
    <row r="213" spans="1:23" ht="14.25" thickBot="1" x14ac:dyDescent="0.2">
      <c r="A213" s="16" t="s">
        <v>17</v>
      </c>
      <c r="B213" s="63">
        <f>B185-B212</f>
        <v>8</v>
      </c>
      <c r="C213" s="64">
        <f t="shared" ref="C213:D213" si="207">C185-C212</f>
        <v>9</v>
      </c>
      <c r="D213" s="65">
        <f t="shared" si="207"/>
        <v>8</v>
      </c>
      <c r="E213" s="57">
        <f>SUM(B213:D213)</f>
        <v>25</v>
      </c>
      <c r="F213" s="63">
        <f>F185-F212</f>
        <v>10</v>
      </c>
      <c r="G213" s="64">
        <f t="shared" ref="G213:H213" si="208">G185-G212</f>
        <v>11</v>
      </c>
      <c r="H213" s="65">
        <f t="shared" si="208"/>
        <v>10</v>
      </c>
      <c r="I213" s="57">
        <f>SUM(F213:H213)</f>
        <v>31</v>
      </c>
      <c r="J213" s="61">
        <f>E213+I213</f>
        <v>56</v>
      </c>
      <c r="M213" s="16" t="s">
        <v>17</v>
      </c>
      <c r="N213" s="63">
        <f>N185-N212</f>
        <v>621</v>
      </c>
      <c r="O213" s="64">
        <f t="shared" ref="O213:P213" si="209">O185-O212</f>
        <v>976</v>
      </c>
      <c r="P213" s="65">
        <f t="shared" si="209"/>
        <v>869</v>
      </c>
      <c r="Q213" s="57">
        <f>SUM(N213:P213)</f>
        <v>2466</v>
      </c>
      <c r="R213" s="63">
        <f>R185-R212</f>
        <v>840</v>
      </c>
      <c r="S213" s="64">
        <f t="shared" ref="S213:T213" si="210">S185-S212</f>
        <v>997</v>
      </c>
      <c r="T213" s="65">
        <f t="shared" si="210"/>
        <v>714</v>
      </c>
      <c r="U213" s="57">
        <f>SUM(R213:T213)</f>
        <v>2551</v>
      </c>
      <c r="V213" s="61">
        <f>Q213+U213</f>
        <v>5017</v>
      </c>
    </row>
    <row r="216" spans="1:23" ht="19.5" thickBot="1" x14ac:dyDescent="0.25">
      <c r="A216" s="66" t="s">
        <v>23</v>
      </c>
      <c r="B216" s="67"/>
      <c r="C216" s="67"/>
      <c r="D216" s="67"/>
      <c r="E216" s="67"/>
      <c r="F216" s="67"/>
      <c r="G216" s="67"/>
      <c r="H216" s="67"/>
      <c r="I216" s="67" t="s">
        <v>26</v>
      </c>
      <c r="J216" s="67"/>
      <c r="M216" s="73" t="s">
        <v>24</v>
      </c>
      <c r="N216" s="74"/>
      <c r="O216" s="74"/>
      <c r="P216" s="74"/>
      <c r="Q216" s="74"/>
      <c r="R216" s="74"/>
      <c r="S216" s="74"/>
      <c r="T216" s="74"/>
      <c r="U216" s="74"/>
      <c r="V216" s="74"/>
    </row>
    <row r="217" spans="1:23" ht="14.25" thickBot="1" x14ac:dyDescent="0.2">
      <c r="A217" s="4" t="s">
        <v>0</v>
      </c>
      <c r="B217" s="191" t="s">
        <v>21</v>
      </c>
      <c r="C217" s="192"/>
      <c r="D217" s="192"/>
      <c r="E217" s="193"/>
      <c r="F217" s="194" t="s">
        <v>18</v>
      </c>
      <c r="G217" s="195"/>
      <c r="H217" s="195"/>
      <c r="I217" s="196"/>
      <c r="J217" s="189" t="s">
        <v>1</v>
      </c>
      <c r="M217" s="4" t="s">
        <v>0</v>
      </c>
      <c r="N217" s="191" t="s">
        <v>21</v>
      </c>
      <c r="O217" s="192"/>
      <c r="P217" s="192"/>
      <c r="Q217" s="193"/>
      <c r="R217" s="194" t="s">
        <v>18</v>
      </c>
      <c r="S217" s="195"/>
      <c r="T217" s="195"/>
      <c r="U217" s="196"/>
      <c r="V217" s="189" t="s">
        <v>1</v>
      </c>
    </row>
    <row r="218" spans="1:23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190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190"/>
    </row>
    <row r="219" spans="1:23" ht="14.25" thickBot="1" x14ac:dyDescent="0.2">
      <c r="A219" s="21" t="s">
        <v>20</v>
      </c>
      <c r="B219" s="68">
        <f>B213</f>
        <v>8</v>
      </c>
      <c r="C219" s="69">
        <f>C213</f>
        <v>9</v>
      </c>
      <c r="D219" s="70">
        <f>D213</f>
        <v>8</v>
      </c>
      <c r="E219" s="71">
        <f>SUM(B219:D219)</f>
        <v>25</v>
      </c>
      <c r="F219" s="68">
        <f>F213</f>
        <v>10</v>
      </c>
      <c r="G219" s="69">
        <f>G213</f>
        <v>11</v>
      </c>
      <c r="H219" s="70">
        <f>H213</f>
        <v>10</v>
      </c>
      <c r="I219" s="71">
        <f>SUM(F219:H219)</f>
        <v>31</v>
      </c>
      <c r="J219" s="72">
        <f>E219+I219</f>
        <v>56</v>
      </c>
      <c r="M219" s="21" t="s">
        <v>20</v>
      </c>
      <c r="N219" s="68">
        <f>N213</f>
        <v>621</v>
      </c>
      <c r="O219" s="69">
        <f>O213</f>
        <v>976</v>
      </c>
      <c r="P219" s="70">
        <f>P213</f>
        <v>869</v>
      </c>
      <c r="Q219" s="71">
        <f>SUM(N219:P219)</f>
        <v>2466</v>
      </c>
      <c r="R219" s="68">
        <f>R213</f>
        <v>840</v>
      </c>
      <c r="S219" s="69">
        <f>S213</f>
        <v>997</v>
      </c>
      <c r="T219" s="70">
        <f>T213</f>
        <v>714</v>
      </c>
      <c r="U219" s="71">
        <f>SUM(R219:T219)</f>
        <v>2551</v>
      </c>
      <c r="V219" s="72">
        <f>Q219+U219</f>
        <v>5017</v>
      </c>
    </row>
    <row r="220" spans="1:23" x14ac:dyDescent="0.15">
      <c r="A220" s="19" t="s">
        <v>160</v>
      </c>
      <c r="B220" s="32"/>
      <c r="C220" s="33">
        <v>2</v>
      </c>
      <c r="D220" s="44">
        <v>2</v>
      </c>
      <c r="E220" s="50">
        <f>SUM(B220:D220)</f>
        <v>4</v>
      </c>
      <c r="F220" s="45"/>
      <c r="G220" s="46">
        <v>2</v>
      </c>
      <c r="H220" s="47">
        <v>2</v>
      </c>
      <c r="I220" s="50">
        <f>SUM(F220:H220)</f>
        <v>4</v>
      </c>
      <c r="J220" s="58">
        <f>E220+I220</f>
        <v>8</v>
      </c>
      <c r="K220" s="41">
        <v>45498</v>
      </c>
      <c r="M220" s="19" t="s">
        <v>192</v>
      </c>
      <c r="N220" s="83">
        <v>4</v>
      </c>
      <c r="O220" s="46"/>
      <c r="P220" s="44"/>
      <c r="Q220" s="50">
        <f>SUM(N220:P220)</f>
        <v>4</v>
      </c>
      <c r="R220" s="45">
        <v>4</v>
      </c>
      <c r="S220" s="46"/>
      <c r="T220" s="47"/>
      <c r="U220" s="50">
        <f>SUM(R220:T220)</f>
        <v>4</v>
      </c>
      <c r="V220" s="84">
        <f>Q220+U220</f>
        <v>8</v>
      </c>
      <c r="W220" s="108">
        <v>45535</v>
      </c>
    </row>
    <row r="221" spans="1:23" x14ac:dyDescent="0.15">
      <c r="A221" s="19" t="s">
        <v>9</v>
      </c>
      <c r="B221" s="5">
        <v>10</v>
      </c>
      <c r="C221" s="6"/>
      <c r="D221" s="14">
        <v>5</v>
      </c>
      <c r="E221" s="51">
        <f>SUM(B221:D221)</f>
        <v>15</v>
      </c>
      <c r="F221" s="15"/>
      <c r="G221" s="13"/>
      <c r="H221" s="14"/>
      <c r="I221" s="51">
        <f>SUM(F221:H221)</f>
        <v>0</v>
      </c>
      <c r="J221" s="59">
        <f>E221+I221</f>
        <v>15</v>
      </c>
      <c r="K221" s="40">
        <v>45498</v>
      </c>
      <c r="M221" s="19" t="s">
        <v>9</v>
      </c>
      <c r="N221" s="9"/>
      <c r="O221" s="10"/>
      <c r="P221" s="80"/>
      <c r="Q221" s="51">
        <f>SUM(N221:P221)</f>
        <v>0</v>
      </c>
      <c r="R221" s="15"/>
      <c r="S221" s="13"/>
      <c r="T221" s="14"/>
      <c r="U221" s="51">
        <f>SUM(R221:T221)</f>
        <v>0</v>
      </c>
      <c r="V221" s="59">
        <f t="shared" ref="V221:V223" si="211">Q221+U221</f>
        <v>0</v>
      </c>
      <c r="W221" s="116"/>
    </row>
    <row r="222" spans="1:23" x14ac:dyDescent="0.15">
      <c r="A222" s="19" t="s">
        <v>10</v>
      </c>
      <c r="B222" s="5"/>
      <c r="C222" s="6">
        <v>5</v>
      </c>
      <c r="D222" s="7"/>
      <c r="E222" s="51">
        <f t="shared" ref="E222:E227" si="212">SUM(B222:D222)</f>
        <v>5</v>
      </c>
      <c r="F222" s="8"/>
      <c r="G222" s="6">
        <v>5</v>
      </c>
      <c r="H222" s="7"/>
      <c r="I222" s="51">
        <f t="shared" ref="I222:I227" si="213">SUM(F222:H222)</f>
        <v>5</v>
      </c>
      <c r="J222" s="59">
        <f t="shared" ref="J222:J227" si="214">E222+I222</f>
        <v>10</v>
      </c>
      <c r="K222" s="40">
        <v>45503</v>
      </c>
      <c r="M222" s="19" t="s">
        <v>10</v>
      </c>
      <c r="N222" s="9"/>
      <c r="O222" s="10"/>
      <c r="P222" s="37"/>
      <c r="Q222" s="52">
        <f t="shared" ref="Q222:Q223" si="215">SUM(N222:P222)</f>
        <v>0</v>
      </c>
      <c r="R222" s="12"/>
      <c r="S222" s="10"/>
      <c r="T222" s="11"/>
      <c r="U222" s="52">
        <f t="shared" ref="U222:U223" si="216">SUM(R222:T222)</f>
        <v>0</v>
      </c>
      <c r="V222" s="59">
        <f t="shared" si="211"/>
        <v>0</v>
      </c>
    </row>
    <row r="223" spans="1:23" x14ac:dyDescent="0.15">
      <c r="A223" s="19" t="s">
        <v>11</v>
      </c>
      <c r="B223" s="5">
        <v>5</v>
      </c>
      <c r="C223" s="6"/>
      <c r="D223" s="36"/>
      <c r="E223" s="52">
        <f t="shared" si="212"/>
        <v>5</v>
      </c>
      <c r="F223" s="8">
        <v>10</v>
      </c>
      <c r="G223" s="6"/>
      <c r="H223" s="7"/>
      <c r="I223" s="52">
        <f t="shared" si="213"/>
        <v>10</v>
      </c>
      <c r="J223" s="59">
        <f t="shared" si="214"/>
        <v>15</v>
      </c>
      <c r="K223" s="40">
        <v>45505</v>
      </c>
      <c r="M223" s="19" t="s">
        <v>11</v>
      </c>
      <c r="N223" s="9"/>
      <c r="O223" s="10"/>
      <c r="P223" s="37"/>
      <c r="Q223" s="52">
        <f t="shared" si="215"/>
        <v>0</v>
      </c>
      <c r="R223" s="12"/>
      <c r="S223" s="10"/>
      <c r="T223" s="11"/>
      <c r="U223" s="52">
        <f t="shared" si="216"/>
        <v>0</v>
      </c>
      <c r="V223" s="59">
        <f t="shared" si="211"/>
        <v>0</v>
      </c>
    </row>
    <row r="224" spans="1:23" x14ac:dyDescent="0.15">
      <c r="A224" s="19" t="s">
        <v>12</v>
      </c>
      <c r="B224" s="5"/>
      <c r="C224" s="6">
        <v>10</v>
      </c>
      <c r="D224" s="36"/>
      <c r="E224" s="52">
        <f t="shared" ref="E224" si="217">SUM(B224:D224)</f>
        <v>10</v>
      </c>
      <c r="F224" s="8"/>
      <c r="G224" s="6"/>
      <c r="H224" s="7"/>
      <c r="I224" s="52">
        <f t="shared" ref="I224" si="218">SUM(F224:H224)</f>
        <v>0</v>
      </c>
      <c r="J224" s="59">
        <f t="shared" ref="J224" si="219">E224+I224</f>
        <v>10</v>
      </c>
      <c r="K224" s="40">
        <v>45514</v>
      </c>
      <c r="M224" s="19" t="s">
        <v>12</v>
      </c>
      <c r="N224" s="9"/>
      <c r="O224" s="10"/>
      <c r="P224" s="37"/>
      <c r="Q224" s="52">
        <f t="shared" ref="Q224:Q227" si="220">SUM(N224:P224)</f>
        <v>0</v>
      </c>
      <c r="R224" s="12"/>
      <c r="S224" s="10"/>
      <c r="T224" s="11"/>
      <c r="U224" s="52">
        <f t="shared" ref="U224:U227" si="221">SUM(R224:T224)</f>
        <v>0</v>
      </c>
      <c r="V224" s="59">
        <f t="shared" ref="V224:V227" si="222">Q224+U224</f>
        <v>0</v>
      </c>
    </row>
    <row r="225" spans="1:25" x14ac:dyDescent="0.15">
      <c r="A225" s="19" t="s">
        <v>95</v>
      </c>
      <c r="B225" s="5">
        <v>6</v>
      </c>
      <c r="C225" s="6">
        <v>6</v>
      </c>
      <c r="D225" s="36"/>
      <c r="E225" s="52">
        <f t="shared" si="212"/>
        <v>12</v>
      </c>
      <c r="F225" s="8">
        <v>6</v>
      </c>
      <c r="G225" s="6">
        <v>6</v>
      </c>
      <c r="H225" s="7"/>
      <c r="I225" s="52">
        <f t="shared" si="213"/>
        <v>12</v>
      </c>
      <c r="J225" s="59">
        <f t="shared" si="214"/>
        <v>24</v>
      </c>
      <c r="K225" s="40">
        <v>45525</v>
      </c>
      <c r="M225" s="19" t="s">
        <v>13</v>
      </c>
      <c r="N225" s="9"/>
      <c r="O225" s="10"/>
      <c r="P225" s="37"/>
      <c r="Q225" s="52">
        <f t="shared" si="220"/>
        <v>0</v>
      </c>
      <c r="R225" s="12"/>
      <c r="S225" s="10"/>
      <c r="T225" s="11"/>
      <c r="U225" s="52">
        <f t="shared" si="221"/>
        <v>0</v>
      </c>
      <c r="V225" s="59">
        <f t="shared" si="222"/>
        <v>0</v>
      </c>
    </row>
    <row r="226" spans="1:25" x14ac:dyDescent="0.15">
      <c r="A226" s="19" t="s">
        <v>14</v>
      </c>
      <c r="B226" s="9"/>
      <c r="C226" s="10">
        <v>5</v>
      </c>
      <c r="D226" s="37"/>
      <c r="E226" s="52">
        <f t="shared" si="212"/>
        <v>5</v>
      </c>
      <c r="F226" s="12"/>
      <c r="G226" s="10"/>
      <c r="H226" s="11"/>
      <c r="I226" s="52">
        <f t="shared" si="213"/>
        <v>0</v>
      </c>
      <c r="J226" s="59">
        <f t="shared" si="214"/>
        <v>5</v>
      </c>
      <c r="K226" s="40">
        <v>45532</v>
      </c>
      <c r="M226" s="19" t="s">
        <v>14</v>
      </c>
      <c r="N226" s="9"/>
      <c r="O226" s="10"/>
      <c r="P226" s="37"/>
      <c r="Q226" s="52">
        <f t="shared" si="220"/>
        <v>0</v>
      </c>
      <c r="R226" s="12"/>
      <c r="S226" s="10"/>
      <c r="T226" s="11"/>
      <c r="U226" s="52">
        <f t="shared" si="221"/>
        <v>0</v>
      </c>
      <c r="V226" s="59">
        <f t="shared" si="222"/>
        <v>0</v>
      </c>
    </row>
    <row r="227" spans="1:25" ht="14.25" thickBot="1" x14ac:dyDescent="0.2">
      <c r="A227" s="19" t="s">
        <v>152</v>
      </c>
      <c r="B227" s="25">
        <v>-1</v>
      </c>
      <c r="C227" s="26">
        <v>-1</v>
      </c>
      <c r="D227" s="38">
        <v>0</v>
      </c>
      <c r="E227" s="53">
        <f t="shared" si="212"/>
        <v>-2</v>
      </c>
      <c r="F227" s="27">
        <v>-2</v>
      </c>
      <c r="G227" s="27">
        <v>2</v>
      </c>
      <c r="H227" s="29">
        <v>0</v>
      </c>
      <c r="I227" s="53">
        <f t="shared" si="213"/>
        <v>0</v>
      </c>
      <c r="J227" s="60">
        <f t="shared" si="214"/>
        <v>-2</v>
      </c>
      <c r="K227" s="40">
        <v>45530</v>
      </c>
      <c r="M227" s="19" t="s">
        <v>15</v>
      </c>
      <c r="N227" s="25"/>
      <c r="O227" s="26"/>
      <c r="P227" s="38"/>
      <c r="Q227" s="53">
        <f t="shared" si="220"/>
        <v>0</v>
      </c>
      <c r="R227" s="27"/>
      <c r="S227" s="27"/>
      <c r="T227" s="29"/>
      <c r="U227" s="53">
        <f t="shared" si="221"/>
        <v>0</v>
      </c>
      <c r="V227" s="60">
        <f t="shared" si="222"/>
        <v>0</v>
      </c>
    </row>
    <row r="228" spans="1:25" ht="14.25" thickBot="1" x14ac:dyDescent="0.2">
      <c r="A228" s="28" t="s">
        <v>16</v>
      </c>
      <c r="B228" s="22">
        <f>SUM(B219:B227)</f>
        <v>28</v>
      </c>
      <c r="C228" s="23">
        <f t="shared" ref="C228:D228" si="223">SUM(C219:C227)</f>
        <v>36</v>
      </c>
      <c r="D228" s="24">
        <f t="shared" si="223"/>
        <v>15</v>
      </c>
      <c r="E228" s="54">
        <f>SUM(B228:D228)</f>
        <v>79</v>
      </c>
      <c r="F228" s="22">
        <f>SUM(F219:F227)</f>
        <v>24</v>
      </c>
      <c r="G228" s="23">
        <f t="shared" ref="G228:H228" si="224">SUM(G219:G227)</f>
        <v>26</v>
      </c>
      <c r="H228" s="24">
        <f t="shared" si="224"/>
        <v>12</v>
      </c>
      <c r="I228" s="54">
        <f>SUM(F228:H228)</f>
        <v>62</v>
      </c>
      <c r="J228" s="61">
        <f>SUM(J220:J227)</f>
        <v>85</v>
      </c>
      <c r="M228" s="28" t="s">
        <v>16</v>
      </c>
      <c r="N228" s="22">
        <f>SUM(N219:N227)</f>
        <v>625</v>
      </c>
      <c r="O228" s="23">
        <f t="shared" ref="O228:P228" si="225">SUM(O219:O227)</f>
        <v>976</v>
      </c>
      <c r="P228" s="24">
        <f t="shared" si="225"/>
        <v>869</v>
      </c>
      <c r="Q228" s="54">
        <f>SUM(N228:P228)</f>
        <v>2470</v>
      </c>
      <c r="R228" s="22">
        <f>SUM(R219:R227)</f>
        <v>844</v>
      </c>
      <c r="S228" s="23">
        <f t="shared" ref="S228:T228" si="226">SUM(S219:S227)</f>
        <v>997</v>
      </c>
      <c r="T228" s="24">
        <f t="shared" si="226"/>
        <v>714</v>
      </c>
      <c r="U228" s="54">
        <f>SUM(R228:T228)</f>
        <v>2555</v>
      </c>
      <c r="V228" s="61">
        <f>Q228+U228</f>
        <v>5025</v>
      </c>
    </row>
    <row r="229" spans="1:25" x14ac:dyDescent="0.15">
      <c r="A229" s="17" t="s">
        <v>57</v>
      </c>
      <c r="B229" s="9">
        <v>1</v>
      </c>
      <c r="C229" s="10">
        <v>1</v>
      </c>
      <c r="D229" s="11"/>
      <c r="E229" s="51">
        <f t="shared" ref="E229:E255" si="227">SUM(B229:D229)</f>
        <v>2</v>
      </c>
      <c r="F229" s="12">
        <v>1</v>
      </c>
      <c r="G229" s="10"/>
      <c r="H229" s="11"/>
      <c r="I229" s="51">
        <f t="shared" ref="I229:I255" si="228">SUM(F229:H229)</f>
        <v>1</v>
      </c>
      <c r="J229" s="59">
        <f t="shared" ref="J229:J254" si="229">E229+I229</f>
        <v>3</v>
      </c>
      <c r="K229" s="41">
        <v>45496</v>
      </c>
      <c r="M229" s="20" t="s">
        <v>163</v>
      </c>
      <c r="N229" s="9">
        <v>10</v>
      </c>
      <c r="O229" s="10">
        <v>5</v>
      </c>
      <c r="P229" s="11"/>
      <c r="Q229" s="51">
        <f>SUM(N229:P229)</f>
        <v>15</v>
      </c>
      <c r="R229" s="12">
        <v>10</v>
      </c>
      <c r="S229" s="10">
        <v>5</v>
      </c>
      <c r="T229" s="11"/>
      <c r="U229" s="51">
        <f>SUM(R229:T229)</f>
        <v>15</v>
      </c>
      <c r="V229" s="59">
        <f>Q229+U229</f>
        <v>30</v>
      </c>
      <c r="W229" s="108">
        <v>45495</v>
      </c>
    </row>
    <row r="230" spans="1:25" x14ac:dyDescent="0.15">
      <c r="A230" s="17" t="s">
        <v>77</v>
      </c>
      <c r="B230" s="5">
        <v>5</v>
      </c>
      <c r="C230" s="6"/>
      <c r="D230" s="7">
        <v>3</v>
      </c>
      <c r="E230" s="51">
        <f t="shared" si="227"/>
        <v>8</v>
      </c>
      <c r="F230" s="8"/>
      <c r="G230" s="6"/>
      <c r="H230" s="7"/>
      <c r="I230" s="51">
        <f t="shared" si="228"/>
        <v>0</v>
      </c>
      <c r="J230" s="59">
        <f t="shared" si="229"/>
        <v>8</v>
      </c>
      <c r="K230" s="40">
        <v>45498</v>
      </c>
      <c r="M230" s="20" t="s">
        <v>41</v>
      </c>
      <c r="N230" s="5"/>
      <c r="O230" s="6"/>
      <c r="P230" s="7"/>
      <c r="Q230" s="51">
        <f t="shared" ref="Q230" si="230">SUM(N230:P230)</f>
        <v>0</v>
      </c>
      <c r="R230" s="8">
        <v>5</v>
      </c>
      <c r="S230" s="6"/>
      <c r="T230" s="7"/>
      <c r="U230" s="51">
        <f t="shared" ref="U230" si="231">SUM(R230:T230)</f>
        <v>5</v>
      </c>
      <c r="V230" s="59">
        <f t="shared" ref="V230" si="232">Q230+U230</f>
        <v>5</v>
      </c>
      <c r="W230" s="108">
        <v>45493</v>
      </c>
    </row>
    <row r="231" spans="1:25" x14ac:dyDescent="0.15">
      <c r="A231" s="17" t="s">
        <v>57</v>
      </c>
      <c r="B231" s="5"/>
      <c r="C231" s="6">
        <v>1</v>
      </c>
      <c r="D231" s="7"/>
      <c r="E231" s="51">
        <f t="shared" si="227"/>
        <v>1</v>
      </c>
      <c r="F231" s="8"/>
      <c r="G231" s="6">
        <v>1</v>
      </c>
      <c r="H231" s="7"/>
      <c r="I231" s="51">
        <f t="shared" si="228"/>
        <v>1</v>
      </c>
      <c r="J231" s="59">
        <f t="shared" si="229"/>
        <v>2</v>
      </c>
      <c r="K231" s="40">
        <v>45498</v>
      </c>
      <c r="M231" s="20" t="s">
        <v>177</v>
      </c>
      <c r="N231" s="5">
        <v>10</v>
      </c>
      <c r="O231" s="6">
        <v>30</v>
      </c>
      <c r="P231" s="7"/>
      <c r="Q231" s="51">
        <f t="shared" ref="Q231:Q255" si="233">SUM(N231:P231)</f>
        <v>40</v>
      </c>
      <c r="R231" s="8">
        <v>10</v>
      </c>
      <c r="S231" s="6">
        <v>30</v>
      </c>
      <c r="T231" s="7"/>
      <c r="U231" s="51">
        <f t="shared" ref="U231:U255" si="234">SUM(R231:T231)</f>
        <v>40</v>
      </c>
      <c r="V231" s="59">
        <f t="shared" ref="V231:V254" si="235">Q231+U231</f>
        <v>80</v>
      </c>
      <c r="W231" s="108">
        <v>45509</v>
      </c>
      <c r="X231" s="48"/>
    </row>
    <row r="232" spans="1:25" x14ac:dyDescent="0.15">
      <c r="A232" s="18" t="s">
        <v>179</v>
      </c>
      <c r="B232" s="5">
        <v>1</v>
      </c>
      <c r="C232" s="6"/>
      <c r="D232" s="7"/>
      <c r="E232" s="51">
        <f t="shared" si="227"/>
        <v>1</v>
      </c>
      <c r="F232" s="8">
        <v>1</v>
      </c>
      <c r="G232" s="6"/>
      <c r="H232" s="7"/>
      <c r="I232" s="51">
        <f t="shared" si="228"/>
        <v>1</v>
      </c>
      <c r="J232" s="59">
        <f t="shared" si="229"/>
        <v>2</v>
      </c>
      <c r="K232" s="40">
        <v>45502</v>
      </c>
      <c r="M232" s="20" t="s">
        <v>41</v>
      </c>
      <c r="N232" s="5">
        <v>10</v>
      </c>
      <c r="O232" s="6"/>
      <c r="P232" s="7">
        <v>5</v>
      </c>
      <c r="Q232" s="51">
        <f t="shared" si="233"/>
        <v>15</v>
      </c>
      <c r="R232" s="8"/>
      <c r="S232" s="6"/>
      <c r="T232" s="7"/>
      <c r="U232" s="51">
        <f t="shared" si="234"/>
        <v>0</v>
      </c>
      <c r="V232" s="59">
        <f t="shared" si="235"/>
        <v>15</v>
      </c>
      <c r="W232" s="108">
        <v>45498</v>
      </c>
      <c r="X232" s="48"/>
      <c r="Y232" s="48"/>
    </row>
    <row r="233" spans="1:25" x14ac:dyDescent="0.15">
      <c r="A233" s="17" t="s">
        <v>57</v>
      </c>
      <c r="B233" s="5"/>
      <c r="C233" s="6">
        <v>1</v>
      </c>
      <c r="D233" s="7">
        <v>1</v>
      </c>
      <c r="E233" s="51">
        <f t="shared" si="227"/>
        <v>2</v>
      </c>
      <c r="F233" s="8"/>
      <c r="G233" s="6"/>
      <c r="H233" s="7">
        <v>1</v>
      </c>
      <c r="I233" s="51">
        <f t="shared" si="228"/>
        <v>1</v>
      </c>
      <c r="J233" s="59">
        <f t="shared" si="229"/>
        <v>3</v>
      </c>
      <c r="K233" s="40">
        <v>45499</v>
      </c>
      <c r="M233" s="18" t="s">
        <v>178</v>
      </c>
      <c r="N233" s="5"/>
      <c r="O233" s="6">
        <v>3</v>
      </c>
      <c r="P233" s="7">
        <v>3</v>
      </c>
      <c r="Q233" s="51">
        <f t="shared" si="233"/>
        <v>6</v>
      </c>
      <c r="R233" s="8">
        <v>3</v>
      </c>
      <c r="S233" s="6">
        <v>2</v>
      </c>
      <c r="T233" s="7">
        <v>5</v>
      </c>
      <c r="U233" s="51">
        <f t="shared" si="234"/>
        <v>10</v>
      </c>
      <c r="V233" s="59">
        <f t="shared" si="235"/>
        <v>16</v>
      </c>
      <c r="W233" s="108">
        <v>45523</v>
      </c>
    </row>
    <row r="234" spans="1:25" x14ac:dyDescent="0.15">
      <c r="A234" s="17" t="s">
        <v>57</v>
      </c>
      <c r="B234" s="5"/>
      <c r="C234" s="6">
        <v>1</v>
      </c>
      <c r="D234" s="14"/>
      <c r="E234" s="51">
        <f t="shared" si="227"/>
        <v>1</v>
      </c>
      <c r="F234" s="15"/>
      <c r="G234" s="13">
        <v>1</v>
      </c>
      <c r="H234" s="14"/>
      <c r="I234" s="51">
        <f t="shared" si="228"/>
        <v>1</v>
      </c>
      <c r="J234" s="59">
        <f t="shared" si="229"/>
        <v>2</v>
      </c>
      <c r="K234" s="40">
        <v>45502</v>
      </c>
      <c r="M234" s="20" t="s">
        <v>41</v>
      </c>
      <c r="N234" s="5"/>
      <c r="O234" s="6">
        <v>5</v>
      </c>
      <c r="P234" s="7"/>
      <c r="Q234" s="51">
        <f t="shared" ref="Q234:Q236" si="236">SUM(N234:P234)</f>
        <v>5</v>
      </c>
      <c r="R234" s="8"/>
      <c r="S234" s="6">
        <v>5</v>
      </c>
      <c r="T234" s="7"/>
      <c r="U234" s="51">
        <f t="shared" ref="U234:U236" si="237">SUM(R234:T234)</f>
        <v>5</v>
      </c>
      <c r="V234" s="59">
        <f t="shared" ref="V234:V236" si="238">Q234+U234</f>
        <v>10</v>
      </c>
      <c r="W234" s="108">
        <v>45503</v>
      </c>
    </row>
    <row r="235" spans="1:25" x14ac:dyDescent="0.15">
      <c r="A235" s="20" t="s">
        <v>180</v>
      </c>
      <c r="B235" s="5"/>
      <c r="C235" s="6">
        <v>5</v>
      </c>
      <c r="D235" s="14"/>
      <c r="E235" s="51">
        <f t="shared" si="227"/>
        <v>5</v>
      </c>
      <c r="F235" s="15"/>
      <c r="G235" s="13">
        <v>5</v>
      </c>
      <c r="H235" s="14"/>
      <c r="I235" s="51">
        <f t="shared" si="228"/>
        <v>5</v>
      </c>
      <c r="J235" s="59">
        <f t="shared" si="229"/>
        <v>10</v>
      </c>
      <c r="K235" s="40">
        <v>45504</v>
      </c>
      <c r="M235" s="20" t="s">
        <v>41</v>
      </c>
      <c r="N235" s="5">
        <v>5</v>
      </c>
      <c r="O235" s="6"/>
      <c r="P235" s="7"/>
      <c r="Q235" s="51">
        <f t="shared" si="236"/>
        <v>5</v>
      </c>
      <c r="R235" s="8">
        <v>10</v>
      </c>
      <c r="S235" s="6"/>
      <c r="T235" s="7"/>
      <c r="U235" s="51">
        <f t="shared" si="237"/>
        <v>10</v>
      </c>
      <c r="V235" s="59">
        <f t="shared" si="238"/>
        <v>15</v>
      </c>
      <c r="W235" s="108">
        <v>45505</v>
      </c>
    </row>
    <row r="236" spans="1:25" x14ac:dyDescent="0.15">
      <c r="A236" s="20" t="s">
        <v>181</v>
      </c>
      <c r="B236" s="5">
        <v>8</v>
      </c>
      <c r="C236" s="6"/>
      <c r="D236" s="7"/>
      <c r="E236" s="51">
        <f t="shared" si="227"/>
        <v>8</v>
      </c>
      <c r="F236" s="8">
        <v>8</v>
      </c>
      <c r="G236" s="6"/>
      <c r="H236" s="7"/>
      <c r="I236" s="51">
        <f t="shared" si="228"/>
        <v>8</v>
      </c>
      <c r="J236" s="59">
        <f t="shared" si="229"/>
        <v>16</v>
      </c>
      <c r="K236" s="40">
        <v>45506</v>
      </c>
      <c r="M236" s="18" t="s">
        <v>182</v>
      </c>
      <c r="N236" s="5">
        <v>5</v>
      </c>
      <c r="O236" s="6"/>
      <c r="P236" s="7"/>
      <c r="Q236" s="51">
        <f t="shared" si="236"/>
        <v>5</v>
      </c>
      <c r="R236" s="8"/>
      <c r="S236" s="6"/>
      <c r="T236" s="7">
        <v>8</v>
      </c>
      <c r="U236" s="51">
        <f t="shared" si="237"/>
        <v>8</v>
      </c>
      <c r="V236" s="59">
        <f t="shared" si="238"/>
        <v>13</v>
      </c>
      <c r="W236" s="108">
        <v>45510</v>
      </c>
    </row>
    <row r="237" spans="1:25" x14ac:dyDescent="0.15">
      <c r="A237" s="17" t="s">
        <v>57</v>
      </c>
      <c r="B237" s="5">
        <v>1</v>
      </c>
      <c r="C237" s="6">
        <f>1+1</f>
        <v>2</v>
      </c>
      <c r="D237" s="7">
        <f>1+1</f>
        <v>2</v>
      </c>
      <c r="E237" s="51">
        <f t="shared" si="227"/>
        <v>5</v>
      </c>
      <c r="F237" s="8"/>
      <c r="G237" s="6">
        <v>1</v>
      </c>
      <c r="H237" s="7">
        <f>1+1</f>
        <v>2</v>
      </c>
      <c r="I237" s="51">
        <f t="shared" si="228"/>
        <v>3</v>
      </c>
      <c r="J237" s="59">
        <f t="shared" si="229"/>
        <v>8</v>
      </c>
      <c r="K237" s="40">
        <v>45509</v>
      </c>
      <c r="M237" s="20" t="s">
        <v>180</v>
      </c>
      <c r="N237" s="5">
        <v>5</v>
      </c>
      <c r="O237" s="6">
        <v>5</v>
      </c>
      <c r="P237" s="7">
        <v>5</v>
      </c>
      <c r="Q237" s="51">
        <f t="shared" si="233"/>
        <v>15</v>
      </c>
      <c r="R237" s="8">
        <v>5</v>
      </c>
      <c r="S237" s="6">
        <v>5</v>
      </c>
      <c r="T237" s="7">
        <v>5</v>
      </c>
      <c r="U237" s="51">
        <f t="shared" si="234"/>
        <v>15</v>
      </c>
      <c r="V237" s="59">
        <f t="shared" si="235"/>
        <v>30</v>
      </c>
      <c r="W237" s="108">
        <v>45511</v>
      </c>
    </row>
    <row r="238" spans="1:25" x14ac:dyDescent="0.15">
      <c r="A238" s="18" t="s">
        <v>183</v>
      </c>
      <c r="B238" s="9"/>
      <c r="C238" s="10">
        <v>1</v>
      </c>
      <c r="D238" s="11"/>
      <c r="E238" s="51">
        <f t="shared" si="227"/>
        <v>1</v>
      </c>
      <c r="F238" s="12"/>
      <c r="G238" s="10">
        <v>1</v>
      </c>
      <c r="H238" s="11"/>
      <c r="I238" s="51">
        <f t="shared" si="228"/>
        <v>1</v>
      </c>
      <c r="J238" s="59">
        <f t="shared" si="229"/>
        <v>2</v>
      </c>
      <c r="K238" s="40">
        <v>45512</v>
      </c>
      <c r="M238" s="20" t="s">
        <v>184</v>
      </c>
      <c r="N238" s="5"/>
      <c r="O238" s="6">
        <v>10</v>
      </c>
      <c r="P238" s="7"/>
      <c r="Q238" s="51">
        <f t="shared" ref="Q238:Q242" si="239">SUM(N238:P238)</f>
        <v>10</v>
      </c>
      <c r="R238" s="8"/>
      <c r="S238" s="6">
        <v>10</v>
      </c>
      <c r="T238" s="7">
        <v>15</v>
      </c>
      <c r="U238" s="51">
        <f t="shared" ref="U238:U242" si="240">SUM(R238:T238)</f>
        <v>25</v>
      </c>
      <c r="V238" s="59">
        <f t="shared" ref="V238:V242" si="241">Q238+U238</f>
        <v>35</v>
      </c>
      <c r="W238" s="108">
        <v>45520</v>
      </c>
      <c r="X238" s="48"/>
      <c r="Y238" s="48"/>
    </row>
    <row r="239" spans="1:25" x14ac:dyDescent="0.15">
      <c r="A239" s="17" t="s">
        <v>57</v>
      </c>
      <c r="B239" s="5"/>
      <c r="C239" s="6"/>
      <c r="D239" s="7">
        <v>1</v>
      </c>
      <c r="E239" s="51">
        <f t="shared" si="227"/>
        <v>1</v>
      </c>
      <c r="F239" s="8"/>
      <c r="G239" s="6"/>
      <c r="H239" s="7"/>
      <c r="I239" s="51">
        <f t="shared" si="228"/>
        <v>0</v>
      </c>
      <c r="J239" s="59">
        <f t="shared" si="229"/>
        <v>1</v>
      </c>
      <c r="K239" s="40">
        <v>45513</v>
      </c>
      <c r="M239" s="20" t="s">
        <v>41</v>
      </c>
      <c r="N239" s="5"/>
      <c r="O239" s="6">
        <v>10</v>
      </c>
      <c r="P239" s="7"/>
      <c r="Q239" s="51">
        <f t="shared" si="239"/>
        <v>10</v>
      </c>
      <c r="R239" s="8"/>
      <c r="S239" s="6"/>
      <c r="T239" s="7"/>
      <c r="U239" s="51">
        <f t="shared" si="240"/>
        <v>0</v>
      </c>
      <c r="V239" s="59">
        <f t="shared" si="241"/>
        <v>10</v>
      </c>
      <c r="W239" s="108">
        <v>45514</v>
      </c>
      <c r="X239" s="30"/>
    </row>
    <row r="240" spans="1:25" x14ac:dyDescent="0.15">
      <c r="A240" s="17" t="s">
        <v>57</v>
      </c>
      <c r="B240" s="5"/>
      <c r="C240" s="6"/>
      <c r="D240" s="7">
        <v>1</v>
      </c>
      <c r="E240" s="51">
        <f t="shared" si="227"/>
        <v>1</v>
      </c>
      <c r="F240" s="8"/>
      <c r="G240" s="6"/>
      <c r="H240" s="7">
        <v>1</v>
      </c>
      <c r="I240" s="51">
        <f t="shared" si="228"/>
        <v>1</v>
      </c>
      <c r="J240" s="59">
        <f t="shared" si="229"/>
        <v>2</v>
      </c>
      <c r="K240" s="41">
        <v>45511</v>
      </c>
      <c r="M240" s="18" t="s">
        <v>185</v>
      </c>
      <c r="N240" s="5"/>
      <c r="O240" s="6"/>
      <c r="P240" s="7"/>
      <c r="Q240" s="51">
        <f t="shared" si="239"/>
        <v>0</v>
      </c>
      <c r="R240" s="8">
        <v>2</v>
      </c>
      <c r="S240" s="6">
        <v>2</v>
      </c>
      <c r="T240" s="7">
        <v>4</v>
      </c>
      <c r="U240" s="51">
        <f t="shared" si="240"/>
        <v>8</v>
      </c>
      <c r="V240" s="59">
        <f t="shared" si="241"/>
        <v>8</v>
      </c>
      <c r="W240" s="108">
        <v>45523</v>
      </c>
    </row>
    <row r="241" spans="1:25" x14ac:dyDescent="0.15">
      <c r="A241" s="17" t="s">
        <v>57</v>
      </c>
      <c r="B241" s="5"/>
      <c r="C241" s="6">
        <v>3</v>
      </c>
      <c r="D241" s="7"/>
      <c r="E241" s="51">
        <f t="shared" si="227"/>
        <v>3</v>
      </c>
      <c r="F241" s="8"/>
      <c r="G241" s="6">
        <v>1</v>
      </c>
      <c r="H241" s="7"/>
      <c r="I241" s="51">
        <f t="shared" si="228"/>
        <v>1</v>
      </c>
      <c r="J241" s="59">
        <f t="shared" si="229"/>
        <v>4</v>
      </c>
      <c r="K241" s="41">
        <v>45515</v>
      </c>
      <c r="M241" s="18" t="s">
        <v>186</v>
      </c>
      <c r="N241" s="5">
        <v>4</v>
      </c>
      <c r="O241" s="6">
        <v>2</v>
      </c>
      <c r="P241" s="7">
        <v>2</v>
      </c>
      <c r="Q241" s="51">
        <f t="shared" si="239"/>
        <v>8</v>
      </c>
      <c r="R241" s="8">
        <v>4</v>
      </c>
      <c r="S241" s="6">
        <v>2</v>
      </c>
      <c r="T241" s="7">
        <v>2</v>
      </c>
      <c r="U241" s="51">
        <f t="shared" si="240"/>
        <v>8</v>
      </c>
      <c r="V241" s="59">
        <f t="shared" si="241"/>
        <v>16</v>
      </c>
      <c r="W241" s="108">
        <v>45525</v>
      </c>
    </row>
    <row r="242" spans="1:25" x14ac:dyDescent="0.15">
      <c r="A242" s="17" t="s">
        <v>57</v>
      </c>
      <c r="B242" s="5"/>
      <c r="C242" s="6"/>
      <c r="D242" s="7"/>
      <c r="E242" s="51">
        <f t="shared" si="227"/>
        <v>0</v>
      </c>
      <c r="F242" s="8">
        <v>1</v>
      </c>
      <c r="G242" s="6"/>
      <c r="H242" s="7"/>
      <c r="I242" s="51">
        <f t="shared" si="228"/>
        <v>1</v>
      </c>
      <c r="J242" s="59">
        <f t="shared" si="229"/>
        <v>1</v>
      </c>
      <c r="K242" s="41">
        <v>45520</v>
      </c>
      <c r="M242" s="20" t="s">
        <v>188</v>
      </c>
      <c r="N242" s="5">
        <v>25</v>
      </c>
      <c r="O242" s="6">
        <v>85</v>
      </c>
      <c r="P242" s="7"/>
      <c r="Q242" s="51">
        <f t="shared" si="239"/>
        <v>110</v>
      </c>
      <c r="R242" s="8">
        <v>110</v>
      </c>
      <c r="S242" s="6">
        <v>80</v>
      </c>
      <c r="T242" s="7">
        <v>75</v>
      </c>
      <c r="U242" s="51">
        <f t="shared" si="240"/>
        <v>265</v>
      </c>
      <c r="V242" s="59">
        <f t="shared" si="241"/>
        <v>375</v>
      </c>
      <c r="W242" s="108">
        <v>45526</v>
      </c>
      <c r="X242" s="48"/>
      <c r="Y242" s="48"/>
    </row>
    <row r="243" spans="1:25" x14ac:dyDescent="0.15">
      <c r="A243" s="17" t="s">
        <v>57</v>
      </c>
      <c r="B243" s="5">
        <v>1</v>
      </c>
      <c r="C243" s="6">
        <v>1</v>
      </c>
      <c r="D243" s="7"/>
      <c r="E243" s="51">
        <f t="shared" si="227"/>
        <v>2</v>
      </c>
      <c r="F243" s="8"/>
      <c r="G243" s="6">
        <v>1</v>
      </c>
      <c r="H243" s="7"/>
      <c r="I243" s="51">
        <f t="shared" si="228"/>
        <v>1</v>
      </c>
      <c r="J243" s="59">
        <f t="shared" si="229"/>
        <v>3</v>
      </c>
      <c r="K243" s="40">
        <v>45523</v>
      </c>
      <c r="M243" s="18" t="s">
        <v>189</v>
      </c>
      <c r="N243" s="5">
        <v>5</v>
      </c>
      <c r="O243" s="6">
        <v>5</v>
      </c>
      <c r="P243" s="7">
        <v>5</v>
      </c>
      <c r="Q243" s="51">
        <f t="shared" si="233"/>
        <v>15</v>
      </c>
      <c r="R243" s="8">
        <v>5</v>
      </c>
      <c r="S243" s="6">
        <v>5</v>
      </c>
      <c r="T243" s="7">
        <v>5</v>
      </c>
      <c r="U243" s="51">
        <f t="shared" si="234"/>
        <v>15</v>
      </c>
      <c r="V243" s="59">
        <f t="shared" si="235"/>
        <v>30</v>
      </c>
      <c r="W243" s="108">
        <v>45530</v>
      </c>
    </row>
    <row r="244" spans="1:25" x14ac:dyDescent="0.15">
      <c r="A244" s="17" t="s">
        <v>77</v>
      </c>
      <c r="B244" s="5"/>
      <c r="C244" s="6">
        <v>3</v>
      </c>
      <c r="D244" s="7"/>
      <c r="E244" s="51">
        <f t="shared" si="227"/>
        <v>3</v>
      </c>
      <c r="F244" s="8"/>
      <c r="G244" s="6"/>
      <c r="H244" s="7"/>
      <c r="I244" s="51">
        <f t="shared" si="228"/>
        <v>0</v>
      </c>
      <c r="J244" s="59">
        <f t="shared" si="229"/>
        <v>3</v>
      </c>
      <c r="K244" s="40">
        <v>45524</v>
      </c>
      <c r="M244" s="20" t="s">
        <v>193</v>
      </c>
      <c r="N244" s="5"/>
      <c r="O244" s="6">
        <v>10</v>
      </c>
      <c r="P244" s="7">
        <v>10</v>
      </c>
      <c r="Q244" s="51">
        <f t="shared" si="233"/>
        <v>20</v>
      </c>
      <c r="R244" s="8">
        <v>10</v>
      </c>
      <c r="S244" s="6">
        <v>20</v>
      </c>
      <c r="T244" s="7">
        <v>10</v>
      </c>
      <c r="U244" s="51">
        <f t="shared" si="234"/>
        <v>40</v>
      </c>
      <c r="V244" s="59">
        <f t="shared" si="235"/>
        <v>60</v>
      </c>
      <c r="W244" s="108">
        <v>45532</v>
      </c>
      <c r="X244" s="48"/>
    </row>
    <row r="245" spans="1:25" x14ac:dyDescent="0.15">
      <c r="A245" s="17" t="s">
        <v>187</v>
      </c>
      <c r="B245" s="5"/>
      <c r="C245" s="6"/>
      <c r="D245" s="7"/>
      <c r="E245" s="51">
        <f t="shared" si="227"/>
        <v>0</v>
      </c>
      <c r="F245" s="8"/>
      <c r="G245" s="6"/>
      <c r="H245" s="7">
        <v>1</v>
      </c>
      <c r="I245" s="51">
        <f t="shared" si="228"/>
        <v>1</v>
      </c>
      <c r="J245" s="59">
        <f t="shared" si="229"/>
        <v>1</v>
      </c>
      <c r="K245" s="41">
        <v>45524</v>
      </c>
      <c r="M245" s="20" t="s">
        <v>41</v>
      </c>
      <c r="N245" s="5"/>
      <c r="O245" s="6">
        <v>5</v>
      </c>
      <c r="P245" s="7"/>
      <c r="Q245" s="51">
        <f t="shared" si="233"/>
        <v>5</v>
      </c>
      <c r="R245" s="8"/>
      <c r="S245" s="6"/>
      <c r="T245" s="7"/>
      <c r="U245" s="51">
        <f t="shared" si="234"/>
        <v>0</v>
      </c>
      <c r="V245" s="59">
        <f t="shared" si="235"/>
        <v>5</v>
      </c>
      <c r="W245" s="108">
        <v>45532</v>
      </c>
    </row>
    <row r="246" spans="1:25" x14ac:dyDescent="0.15">
      <c r="A246" s="17" t="s">
        <v>190</v>
      </c>
      <c r="B246" s="5">
        <v>1</v>
      </c>
      <c r="C246" s="6"/>
      <c r="D246" s="7"/>
      <c r="E246" s="51">
        <f t="shared" si="227"/>
        <v>1</v>
      </c>
      <c r="F246" s="8">
        <v>1</v>
      </c>
      <c r="G246" s="6"/>
      <c r="H246" s="7"/>
      <c r="I246" s="51">
        <f t="shared" si="228"/>
        <v>1</v>
      </c>
      <c r="J246" s="59">
        <f t="shared" si="229"/>
        <v>2</v>
      </c>
      <c r="K246" s="41">
        <v>45527</v>
      </c>
      <c r="M246" s="20"/>
      <c r="N246" s="5"/>
      <c r="O246" s="6"/>
      <c r="P246" s="7"/>
      <c r="Q246" s="51">
        <f t="shared" si="233"/>
        <v>0</v>
      </c>
      <c r="R246" s="8"/>
      <c r="S246" s="6"/>
      <c r="T246" s="7"/>
      <c r="U246" s="51">
        <f t="shared" si="234"/>
        <v>0</v>
      </c>
      <c r="V246" s="59">
        <f t="shared" si="235"/>
        <v>0</v>
      </c>
    </row>
    <row r="247" spans="1:25" x14ac:dyDescent="0.15">
      <c r="A247" s="17" t="s">
        <v>57</v>
      </c>
      <c r="B247" s="5"/>
      <c r="C247" s="6">
        <v>1</v>
      </c>
      <c r="D247" s="7"/>
      <c r="E247" s="51">
        <f t="shared" si="227"/>
        <v>1</v>
      </c>
      <c r="F247" s="8"/>
      <c r="G247" s="6">
        <v>1</v>
      </c>
      <c r="H247" s="7"/>
      <c r="I247" s="51">
        <f t="shared" si="228"/>
        <v>1</v>
      </c>
      <c r="J247" s="59">
        <f t="shared" si="229"/>
        <v>2</v>
      </c>
      <c r="K247" s="40">
        <v>45526</v>
      </c>
      <c r="L247" s="48"/>
      <c r="M247" s="18"/>
      <c r="N247" s="5"/>
      <c r="O247" s="6"/>
      <c r="P247" s="7"/>
      <c r="Q247" s="51">
        <f t="shared" si="233"/>
        <v>0</v>
      </c>
      <c r="R247" s="8"/>
      <c r="S247" s="6"/>
      <c r="T247" s="7"/>
      <c r="U247" s="51">
        <f t="shared" si="234"/>
        <v>0</v>
      </c>
      <c r="V247" s="59">
        <f t="shared" si="235"/>
        <v>0</v>
      </c>
    </row>
    <row r="248" spans="1:25" x14ac:dyDescent="0.15">
      <c r="A248" s="17" t="s">
        <v>191</v>
      </c>
      <c r="B248" s="5">
        <v>4</v>
      </c>
      <c r="C248" s="6"/>
      <c r="D248" s="7"/>
      <c r="E248" s="51">
        <f t="shared" si="227"/>
        <v>4</v>
      </c>
      <c r="F248" s="8">
        <v>4</v>
      </c>
      <c r="G248" s="6"/>
      <c r="H248" s="7"/>
      <c r="I248" s="51">
        <f t="shared" si="228"/>
        <v>4</v>
      </c>
      <c r="J248" s="59">
        <f t="shared" si="229"/>
        <v>8</v>
      </c>
      <c r="K248" s="40">
        <v>45535</v>
      </c>
      <c r="L248" s="48"/>
      <c r="M248" s="20"/>
      <c r="N248" s="5"/>
      <c r="O248" s="6"/>
      <c r="P248" s="7"/>
      <c r="Q248" s="51">
        <f t="shared" si="233"/>
        <v>0</v>
      </c>
      <c r="R248" s="8"/>
      <c r="S248" s="6"/>
      <c r="T248" s="7"/>
      <c r="U248" s="51">
        <f t="shared" si="234"/>
        <v>0</v>
      </c>
      <c r="V248" s="59">
        <f t="shared" si="235"/>
        <v>0</v>
      </c>
    </row>
    <row r="249" spans="1:25" x14ac:dyDescent="0.15">
      <c r="A249" s="17" t="s">
        <v>57</v>
      </c>
      <c r="B249" s="5"/>
      <c r="C249" s="6">
        <v>1</v>
      </c>
      <c r="D249" s="7">
        <v>1</v>
      </c>
      <c r="E249" s="51">
        <f t="shared" si="227"/>
        <v>2</v>
      </c>
      <c r="F249" s="8"/>
      <c r="G249" s="6">
        <v>1</v>
      </c>
      <c r="H249" s="7">
        <v>1</v>
      </c>
      <c r="I249" s="51">
        <f t="shared" si="228"/>
        <v>2</v>
      </c>
      <c r="J249" s="59">
        <f t="shared" si="229"/>
        <v>4</v>
      </c>
      <c r="K249" s="40">
        <v>45530</v>
      </c>
      <c r="L249" s="48"/>
      <c r="M249" s="20"/>
      <c r="N249" s="5"/>
      <c r="O249" s="6"/>
      <c r="P249" s="7"/>
      <c r="Q249" s="51">
        <f t="shared" si="233"/>
        <v>0</v>
      </c>
      <c r="R249" s="8"/>
      <c r="S249" s="6"/>
      <c r="T249" s="7"/>
      <c r="U249" s="51">
        <f t="shared" si="234"/>
        <v>0</v>
      </c>
      <c r="V249" s="59">
        <f t="shared" si="235"/>
        <v>0</v>
      </c>
    </row>
    <row r="250" spans="1:25" x14ac:dyDescent="0.15">
      <c r="A250" s="18" t="s">
        <v>186</v>
      </c>
      <c r="B250" s="9"/>
      <c r="C250" s="10">
        <v>4</v>
      </c>
      <c r="D250" s="11"/>
      <c r="E250" s="51">
        <f t="shared" si="227"/>
        <v>4</v>
      </c>
      <c r="F250" s="12"/>
      <c r="G250" s="10">
        <v>4</v>
      </c>
      <c r="H250" s="11"/>
      <c r="I250" s="51">
        <f t="shared" si="228"/>
        <v>4</v>
      </c>
      <c r="J250" s="59">
        <f t="shared" si="229"/>
        <v>8</v>
      </c>
      <c r="K250" s="40">
        <v>45533</v>
      </c>
      <c r="L250" s="48"/>
      <c r="M250" s="20"/>
      <c r="N250" s="5"/>
      <c r="O250" s="6"/>
      <c r="P250" s="7"/>
      <c r="Q250" s="51">
        <f t="shared" si="233"/>
        <v>0</v>
      </c>
      <c r="R250" s="8"/>
      <c r="S250" s="6"/>
      <c r="T250" s="7"/>
      <c r="U250" s="51">
        <f t="shared" si="234"/>
        <v>0</v>
      </c>
      <c r="V250" s="59">
        <f t="shared" si="235"/>
        <v>0</v>
      </c>
    </row>
    <row r="251" spans="1:25" x14ac:dyDescent="0.15">
      <c r="A251" s="18" t="s">
        <v>194</v>
      </c>
      <c r="B251" s="5"/>
      <c r="C251" s="6">
        <v>3</v>
      </c>
      <c r="D251" s="7"/>
      <c r="E251" s="51">
        <f t="shared" si="227"/>
        <v>3</v>
      </c>
      <c r="F251" s="8"/>
      <c r="G251" s="6">
        <v>3</v>
      </c>
      <c r="H251" s="7"/>
      <c r="I251" s="51">
        <f t="shared" si="228"/>
        <v>3</v>
      </c>
      <c r="J251" s="59">
        <f t="shared" si="229"/>
        <v>6</v>
      </c>
      <c r="K251" s="40">
        <v>45534</v>
      </c>
      <c r="L251" s="48"/>
      <c r="M251" s="101" t="s">
        <v>109</v>
      </c>
      <c r="N251" s="86"/>
      <c r="O251" s="87"/>
      <c r="P251" s="88"/>
      <c r="Q251" s="89">
        <f t="shared" si="233"/>
        <v>0</v>
      </c>
      <c r="R251" s="105"/>
      <c r="S251" s="87"/>
      <c r="T251" s="88"/>
      <c r="U251" s="89">
        <f t="shared" si="234"/>
        <v>0</v>
      </c>
      <c r="V251" s="90">
        <f t="shared" si="235"/>
        <v>0</v>
      </c>
      <c r="W251" s="116"/>
    </row>
    <row r="252" spans="1:25" x14ac:dyDescent="0.15">
      <c r="A252" s="17" t="s">
        <v>195</v>
      </c>
      <c r="B252" s="9">
        <v>-1</v>
      </c>
      <c r="C252" s="10"/>
      <c r="D252" s="11"/>
      <c r="E252" s="52">
        <f t="shared" si="227"/>
        <v>-1</v>
      </c>
      <c r="F252" s="12">
        <v>-1</v>
      </c>
      <c r="G252" s="10"/>
      <c r="H252" s="11"/>
      <c r="I252" s="52">
        <f t="shared" si="228"/>
        <v>-1</v>
      </c>
      <c r="J252" s="59">
        <f t="shared" si="229"/>
        <v>-2</v>
      </c>
      <c r="K252" s="40">
        <v>45533</v>
      </c>
      <c r="M252" s="20" t="s">
        <v>108</v>
      </c>
      <c r="N252" s="5"/>
      <c r="O252" s="6"/>
      <c r="P252" s="7"/>
      <c r="Q252" s="51">
        <f t="shared" si="233"/>
        <v>0</v>
      </c>
      <c r="R252" s="8"/>
      <c r="S252" s="6"/>
      <c r="T252" s="7"/>
      <c r="U252" s="51">
        <f t="shared" si="234"/>
        <v>0</v>
      </c>
      <c r="V252" s="59">
        <f t="shared" si="235"/>
        <v>0</v>
      </c>
      <c r="W252" s="116" t="s">
        <v>110</v>
      </c>
    </row>
    <row r="253" spans="1:25" x14ac:dyDescent="0.15">
      <c r="A253" s="17" t="s">
        <v>196</v>
      </c>
      <c r="B253" s="5">
        <v>-2</v>
      </c>
      <c r="C253" s="6">
        <v>-1</v>
      </c>
      <c r="D253" s="7"/>
      <c r="E253" s="51">
        <f t="shared" si="227"/>
        <v>-3</v>
      </c>
      <c r="F253" s="8">
        <v>-1</v>
      </c>
      <c r="G253" s="6">
        <v>-1</v>
      </c>
      <c r="H253" s="7">
        <v>-1</v>
      </c>
      <c r="I253" s="51">
        <f t="shared" si="228"/>
        <v>-3</v>
      </c>
      <c r="J253" s="59">
        <f t="shared" si="229"/>
        <v>-6</v>
      </c>
      <c r="K253" s="41">
        <v>45534</v>
      </c>
      <c r="M253" s="101" t="s">
        <v>81</v>
      </c>
      <c r="N253" s="86"/>
      <c r="O253" s="87"/>
      <c r="P253" s="88"/>
      <c r="Q253" s="89">
        <f t="shared" si="233"/>
        <v>0</v>
      </c>
      <c r="R253" s="105"/>
      <c r="S253" s="87"/>
      <c r="T253" s="88"/>
      <c r="U253" s="89">
        <f t="shared" si="234"/>
        <v>0</v>
      </c>
      <c r="V253" s="90">
        <f t="shared" si="235"/>
        <v>0</v>
      </c>
      <c r="W253" s="116"/>
    </row>
    <row r="254" spans="1:25" ht="14.25" thickBot="1" x14ac:dyDescent="0.2">
      <c r="A254" s="17"/>
      <c r="B254" s="9"/>
      <c r="C254" s="10"/>
      <c r="D254" s="11"/>
      <c r="E254" s="55">
        <f t="shared" si="227"/>
        <v>0</v>
      </c>
      <c r="F254" s="12"/>
      <c r="G254" s="10"/>
      <c r="H254" s="11"/>
      <c r="I254" s="55">
        <f t="shared" si="228"/>
        <v>0</v>
      </c>
      <c r="J254" s="59">
        <f t="shared" si="229"/>
        <v>0</v>
      </c>
      <c r="M254" s="20" t="s">
        <v>45</v>
      </c>
      <c r="N254" s="5"/>
      <c r="O254" s="6"/>
      <c r="P254" s="7"/>
      <c r="Q254" s="51">
        <f t="shared" si="233"/>
        <v>0</v>
      </c>
      <c r="R254" s="5"/>
      <c r="S254" s="6"/>
      <c r="T254" s="7"/>
      <c r="U254" s="51">
        <f t="shared" si="234"/>
        <v>0</v>
      </c>
      <c r="V254" s="59">
        <f t="shared" si="235"/>
        <v>0</v>
      </c>
      <c r="W254" s="116" t="s">
        <v>46</v>
      </c>
    </row>
    <row r="255" spans="1:25" ht="14.25" thickBot="1" x14ac:dyDescent="0.2">
      <c r="A255" s="31" t="s">
        <v>19</v>
      </c>
      <c r="B255" s="34">
        <f>SUM(B229:B254)</f>
        <v>19</v>
      </c>
      <c r="C255" s="35">
        <f t="shared" ref="C255:D255" si="242">SUM(C229:C254)</f>
        <v>27</v>
      </c>
      <c r="D255" s="39">
        <f t="shared" si="242"/>
        <v>9</v>
      </c>
      <c r="E255" s="56">
        <f t="shared" si="227"/>
        <v>55</v>
      </c>
      <c r="F255" s="34">
        <f>SUM(F229:F254)</f>
        <v>14</v>
      </c>
      <c r="G255" s="35">
        <f t="shared" ref="G255:H255" si="243">SUM(G229:G254)</f>
        <v>19</v>
      </c>
      <c r="H255" s="39">
        <f t="shared" si="243"/>
        <v>5</v>
      </c>
      <c r="I255" s="56">
        <f t="shared" si="228"/>
        <v>38</v>
      </c>
      <c r="J255" s="62">
        <f>E255+I255</f>
        <v>93</v>
      </c>
      <c r="M255" s="31" t="s">
        <v>19</v>
      </c>
      <c r="N255" s="34">
        <f>SUM(N229:N254)</f>
        <v>79</v>
      </c>
      <c r="O255" s="35">
        <f t="shared" ref="O255:P255" si="244">SUM(O229:O254)</f>
        <v>175</v>
      </c>
      <c r="P255" s="39">
        <f t="shared" si="244"/>
        <v>30</v>
      </c>
      <c r="Q255" s="56">
        <f t="shared" si="233"/>
        <v>284</v>
      </c>
      <c r="R255" s="34">
        <f>SUM(R229:R254)</f>
        <v>174</v>
      </c>
      <c r="S255" s="35">
        <f t="shared" ref="S255:T255" si="245">SUM(S229:S254)</f>
        <v>166</v>
      </c>
      <c r="T255" s="39">
        <f t="shared" si="245"/>
        <v>129</v>
      </c>
      <c r="U255" s="56">
        <f t="shared" si="234"/>
        <v>469</v>
      </c>
      <c r="V255" s="62">
        <f>Q255+U255</f>
        <v>753</v>
      </c>
    </row>
    <row r="256" spans="1:25" ht="14.25" thickBot="1" x14ac:dyDescent="0.2">
      <c r="A256" s="16" t="s">
        <v>17</v>
      </c>
      <c r="B256" s="63">
        <f>B228-B255</f>
        <v>9</v>
      </c>
      <c r="C256" s="64">
        <f t="shared" ref="C256:D256" si="246">C228-C255</f>
        <v>9</v>
      </c>
      <c r="D256" s="65">
        <f t="shared" si="246"/>
        <v>6</v>
      </c>
      <c r="E256" s="57">
        <f>SUM(B256:D256)</f>
        <v>24</v>
      </c>
      <c r="F256" s="63">
        <f>F228-F255</f>
        <v>10</v>
      </c>
      <c r="G256" s="64">
        <f t="shared" ref="G256:H256" si="247">G228-G255</f>
        <v>7</v>
      </c>
      <c r="H256" s="65">
        <f t="shared" si="247"/>
        <v>7</v>
      </c>
      <c r="I256" s="57">
        <f>SUM(F256:H256)</f>
        <v>24</v>
      </c>
      <c r="J256" s="61">
        <f>E256+I256</f>
        <v>48</v>
      </c>
      <c r="M256" s="16" t="s">
        <v>17</v>
      </c>
      <c r="N256" s="63">
        <f>N228-N255</f>
        <v>546</v>
      </c>
      <c r="O256" s="64">
        <f t="shared" ref="O256:P256" si="248">O228-O255</f>
        <v>801</v>
      </c>
      <c r="P256" s="65">
        <f t="shared" si="248"/>
        <v>839</v>
      </c>
      <c r="Q256" s="57">
        <f>SUM(N256:P256)</f>
        <v>2186</v>
      </c>
      <c r="R256" s="63">
        <f>R228-R255</f>
        <v>670</v>
      </c>
      <c r="S256" s="64">
        <f t="shared" ref="S256:T256" si="249">S228-S255</f>
        <v>831</v>
      </c>
      <c r="T256" s="65">
        <f t="shared" si="249"/>
        <v>585</v>
      </c>
      <c r="U256" s="57">
        <f>SUM(R256:T256)</f>
        <v>2086</v>
      </c>
      <c r="V256" s="61">
        <f>Q256+U256</f>
        <v>4272</v>
      </c>
    </row>
    <row r="259" spans="1:23" ht="19.5" thickBot="1" x14ac:dyDescent="0.25">
      <c r="A259" s="66" t="s">
        <v>23</v>
      </c>
      <c r="B259" s="67"/>
      <c r="C259" s="67"/>
      <c r="D259" s="67"/>
      <c r="E259" s="67"/>
      <c r="F259" s="67"/>
      <c r="G259" s="67"/>
      <c r="H259" s="67"/>
      <c r="I259" s="67" t="s">
        <v>26</v>
      </c>
      <c r="J259" s="67"/>
      <c r="M259" s="73" t="s">
        <v>24</v>
      </c>
      <c r="N259" s="74"/>
      <c r="O259" s="74"/>
      <c r="P259" s="74"/>
      <c r="Q259" s="74"/>
      <c r="R259" s="74"/>
      <c r="S259" s="74"/>
      <c r="T259" s="74"/>
      <c r="U259" s="74"/>
      <c r="V259" s="74"/>
    </row>
    <row r="260" spans="1:23" ht="14.25" thickBot="1" x14ac:dyDescent="0.2">
      <c r="A260" s="4" t="s">
        <v>0</v>
      </c>
      <c r="B260" s="191" t="s">
        <v>21</v>
      </c>
      <c r="C260" s="192"/>
      <c r="D260" s="192"/>
      <c r="E260" s="193"/>
      <c r="F260" s="194" t="s">
        <v>18</v>
      </c>
      <c r="G260" s="195"/>
      <c r="H260" s="195"/>
      <c r="I260" s="196"/>
      <c r="J260" s="189" t="s">
        <v>1</v>
      </c>
      <c r="M260" s="4" t="s">
        <v>0</v>
      </c>
      <c r="N260" s="191" t="s">
        <v>21</v>
      </c>
      <c r="O260" s="192"/>
      <c r="P260" s="192"/>
      <c r="Q260" s="193"/>
      <c r="R260" s="194" t="s">
        <v>18</v>
      </c>
      <c r="S260" s="195"/>
      <c r="T260" s="195"/>
      <c r="U260" s="196"/>
      <c r="V260" s="189" t="s">
        <v>1</v>
      </c>
    </row>
    <row r="261" spans="1:23" ht="14.25" thickBot="1" x14ac:dyDescent="0.2">
      <c r="A261" s="4" t="s">
        <v>2</v>
      </c>
      <c r="B261" s="1" t="s">
        <v>3</v>
      </c>
      <c r="C261" s="2" t="s">
        <v>4</v>
      </c>
      <c r="D261" s="3" t="s">
        <v>5</v>
      </c>
      <c r="E261" s="4" t="s">
        <v>6</v>
      </c>
      <c r="F261" s="1" t="s">
        <v>3</v>
      </c>
      <c r="G261" s="2" t="s">
        <v>4</v>
      </c>
      <c r="H261" s="3" t="s">
        <v>5</v>
      </c>
      <c r="I261" s="4" t="s">
        <v>6</v>
      </c>
      <c r="J261" s="190"/>
      <c r="M261" s="4" t="s">
        <v>2</v>
      </c>
      <c r="N261" s="1" t="s">
        <v>3</v>
      </c>
      <c r="O261" s="2" t="s">
        <v>4</v>
      </c>
      <c r="P261" s="3" t="s">
        <v>5</v>
      </c>
      <c r="Q261" s="4" t="s">
        <v>6</v>
      </c>
      <c r="R261" s="1" t="s">
        <v>3</v>
      </c>
      <c r="S261" s="2" t="s">
        <v>4</v>
      </c>
      <c r="T261" s="3" t="s">
        <v>5</v>
      </c>
      <c r="U261" s="4" t="s">
        <v>6</v>
      </c>
      <c r="V261" s="190"/>
    </row>
    <row r="262" spans="1:23" ht="14.25" thickBot="1" x14ac:dyDescent="0.2">
      <c r="A262" s="21" t="s">
        <v>20</v>
      </c>
      <c r="B262" s="68">
        <f>B256</f>
        <v>9</v>
      </c>
      <c r="C262" s="69">
        <f>C256</f>
        <v>9</v>
      </c>
      <c r="D262" s="70">
        <f>D256</f>
        <v>6</v>
      </c>
      <c r="E262" s="71">
        <f>SUM(B262:D262)</f>
        <v>24</v>
      </c>
      <c r="F262" s="68">
        <f>F256</f>
        <v>10</v>
      </c>
      <c r="G262" s="69">
        <f>G256</f>
        <v>7</v>
      </c>
      <c r="H262" s="70">
        <f>H256</f>
        <v>7</v>
      </c>
      <c r="I262" s="71">
        <f>SUM(F262:H262)</f>
        <v>24</v>
      </c>
      <c r="J262" s="72">
        <f>E262+I262</f>
        <v>48</v>
      </c>
      <c r="M262" s="21" t="s">
        <v>20</v>
      </c>
      <c r="N262" s="68">
        <f>N256</f>
        <v>546</v>
      </c>
      <c r="O262" s="69">
        <f>O256</f>
        <v>801</v>
      </c>
      <c r="P262" s="70">
        <f>P256</f>
        <v>839</v>
      </c>
      <c r="Q262" s="71">
        <f>SUM(N262:P262)</f>
        <v>2186</v>
      </c>
      <c r="R262" s="68">
        <f>R256</f>
        <v>670</v>
      </c>
      <c r="S262" s="69">
        <f>S256</f>
        <v>831</v>
      </c>
      <c r="T262" s="70">
        <f>T256</f>
        <v>585</v>
      </c>
      <c r="U262" s="71">
        <f>SUM(R262:T262)</f>
        <v>2086</v>
      </c>
      <c r="V262" s="72">
        <f>Q262+U262</f>
        <v>4272</v>
      </c>
    </row>
    <row r="263" spans="1:23" x14ac:dyDescent="0.15">
      <c r="A263" s="19" t="s">
        <v>198</v>
      </c>
      <c r="B263" s="32">
        <v>18</v>
      </c>
      <c r="C263" s="33">
        <v>13</v>
      </c>
      <c r="D263" s="44">
        <v>4</v>
      </c>
      <c r="E263" s="50">
        <f>SUM(B263:D263)</f>
        <v>35</v>
      </c>
      <c r="F263" s="45">
        <v>5</v>
      </c>
      <c r="G263" s="46">
        <v>8</v>
      </c>
      <c r="H263" s="47">
        <v>7</v>
      </c>
      <c r="I263" s="50">
        <f>SUM(F263:H263)</f>
        <v>20</v>
      </c>
      <c r="J263" s="58">
        <f>E263+I263</f>
        <v>55</v>
      </c>
      <c r="K263" s="41">
        <v>45539</v>
      </c>
      <c r="M263" s="19" t="s">
        <v>202</v>
      </c>
      <c r="N263" s="83">
        <v>18</v>
      </c>
      <c r="O263" s="46">
        <v>13</v>
      </c>
      <c r="P263" s="44"/>
      <c r="Q263" s="50">
        <f t="shared" ref="Q263:Q266" si="250">SUM(N263:P263)</f>
        <v>31</v>
      </c>
      <c r="R263" s="45">
        <v>5</v>
      </c>
      <c r="S263" s="46">
        <v>3</v>
      </c>
      <c r="T263" s="47"/>
      <c r="U263" s="50">
        <f t="shared" ref="U263:U266" si="251">SUM(R263:T263)</f>
        <v>8</v>
      </c>
      <c r="V263" s="84">
        <f t="shared" ref="V263:V266" si="252">Q263+U263</f>
        <v>39</v>
      </c>
      <c r="W263" s="120">
        <v>45542</v>
      </c>
    </row>
    <row r="264" spans="1:23" x14ac:dyDescent="0.15">
      <c r="A264" s="19" t="s">
        <v>95</v>
      </c>
      <c r="B264" s="5">
        <v>1</v>
      </c>
      <c r="C264" s="6">
        <f>1+1+1</f>
        <v>3</v>
      </c>
      <c r="D264" s="14">
        <v>1</v>
      </c>
      <c r="E264" s="51">
        <f>SUM(B264:D264)</f>
        <v>5</v>
      </c>
      <c r="F264" s="5">
        <v>1</v>
      </c>
      <c r="G264" s="6">
        <f>1+1+1</f>
        <v>3</v>
      </c>
      <c r="H264" s="14">
        <v>1</v>
      </c>
      <c r="I264" s="51">
        <f>SUM(F264:H264)</f>
        <v>5</v>
      </c>
      <c r="J264" s="59">
        <f>E264+I264</f>
        <v>10</v>
      </c>
      <c r="K264" s="41">
        <v>45555</v>
      </c>
      <c r="M264" s="19" t="s">
        <v>202</v>
      </c>
      <c r="N264" s="5">
        <v>5</v>
      </c>
      <c r="O264" s="6">
        <v>6</v>
      </c>
      <c r="P264" s="36">
        <v>4</v>
      </c>
      <c r="Q264" s="52">
        <f t="shared" si="250"/>
        <v>15</v>
      </c>
      <c r="R264" s="8">
        <v>5</v>
      </c>
      <c r="S264" s="6">
        <v>6</v>
      </c>
      <c r="T264" s="7">
        <v>4</v>
      </c>
      <c r="U264" s="52">
        <f t="shared" si="251"/>
        <v>15</v>
      </c>
      <c r="V264" s="59">
        <f t="shared" si="252"/>
        <v>30</v>
      </c>
      <c r="W264" s="120">
        <v>45570</v>
      </c>
    </row>
    <row r="265" spans="1:23" x14ac:dyDescent="0.15">
      <c r="A265" s="19" t="s">
        <v>204</v>
      </c>
      <c r="B265" s="5">
        <v>5</v>
      </c>
      <c r="C265" s="6">
        <v>6</v>
      </c>
      <c r="D265" s="7">
        <v>4</v>
      </c>
      <c r="E265" s="51">
        <f t="shared" ref="E265:E270" si="253">SUM(B265:D265)</f>
        <v>15</v>
      </c>
      <c r="F265" s="5">
        <v>5</v>
      </c>
      <c r="G265" s="6">
        <v>6</v>
      </c>
      <c r="H265" s="7">
        <v>4</v>
      </c>
      <c r="I265" s="51">
        <f t="shared" ref="I265:I270" si="254">SUM(F265:H265)</f>
        <v>15</v>
      </c>
      <c r="J265" s="59">
        <f t="shared" ref="J265:J270" si="255">E265+I265</f>
        <v>30</v>
      </c>
      <c r="K265" s="41">
        <v>45555</v>
      </c>
      <c r="M265" s="19" t="s">
        <v>202</v>
      </c>
      <c r="N265" s="5"/>
      <c r="O265" s="6"/>
      <c r="P265" s="36"/>
      <c r="Q265" s="52">
        <f t="shared" si="250"/>
        <v>0</v>
      </c>
      <c r="R265" s="8"/>
      <c r="S265" s="6">
        <v>5</v>
      </c>
      <c r="T265" s="7"/>
      <c r="U265" s="52">
        <f t="shared" si="251"/>
        <v>5</v>
      </c>
      <c r="V265" s="59">
        <f t="shared" si="252"/>
        <v>5</v>
      </c>
      <c r="W265" s="120">
        <v>45598</v>
      </c>
    </row>
    <row r="266" spans="1:23" x14ac:dyDescent="0.15">
      <c r="A266" s="19" t="s">
        <v>160</v>
      </c>
      <c r="B266" s="5">
        <v>1</v>
      </c>
      <c r="C266" s="6"/>
      <c r="D266" s="36"/>
      <c r="E266" s="52">
        <f t="shared" si="253"/>
        <v>1</v>
      </c>
      <c r="F266" s="8">
        <v>1</v>
      </c>
      <c r="G266" s="6"/>
      <c r="H266" s="7"/>
      <c r="I266" s="52">
        <f t="shared" si="254"/>
        <v>1</v>
      </c>
      <c r="J266" s="59">
        <f t="shared" si="255"/>
        <v>2</v>
      </c>
      <c r="K266" s="41">
        <v>45572</v>
      </c>
      <c r="M266" s="19" t="s">
        <v>202</v>
      </c>
      <c r="N266" s="5">
        <v>16</v>
      </c>
      <c r="O266" s="6">
        <v>11</v>
      </c>
      <c r="P266" s="7">
        <v>6</v>
      </c>
      <c r="Q266" s="51">
        <f t="shared" si="250"/>
        <v>33</v>
      </c>
      <c r="R266" s="8">
        <v>5</v>
      </c>
      <c r="S266" s="6">
        <v>4</v>
      </c>
      <c r="T266" s="7">
        <v>5</v>
      </c>
      <c r="U266" s="51">
        <f t="shared" si="251"/>
        <v>14</v>
      </c>
      <c r="V266" s="59">
        <f t="shared" si="252"/>
        <v>47</v>
      </c>
      <c r="W266" s="120">
        <v>45612</v>
      </c>
    </row>
    <row r="267" spans="1:23" x14ac:dyDescent="0.15">
      <c r="A267" s="19" t="s">
        <v>95</v>
      </c>
      <c r="B267" s="5"/>
      <c r="C267" s="6"/>
      <c r="D267" s="36">
        <v>1</v>
      </c>
      <c r="E267" s="52">
        <f t="shared" si="253"/>
        <v>1</v>
      </c>
      <c r="F267" s="8"/>
      <c r="G267" s="6"/>
      <c r="H267" s="7">
        <v>1</v>
      </c>
      <c r="I267" s="52">
        <f t="shared" si="254"/>
        <v>1</v>
      </c>
      <c r="J267" s="59">
        <f t="shared" si="255"/>
        <v>2</v>
      </c>
      <c r="K267" s="40">
        <v>45575</v>
      </c>
      <c r="M267" s="19" t="s">
        <v>12</v>
      </c>
      <c r="N267" s="9"/>
      <c r="O267" s="10"/>
      <c r="P267" s="37"/>
      <c r="Q267" s="52">
        <f t="shared" ref="Q267:Q270" si="256">SUM(N267:P267)</f>
        <v>0</v>
      </c>
      <c r="R267" s="12"/>
      <c r="S267" s="10"/>
      <c r="T267" s="11"/>
      <c r="U267" s="52">
        <f t="shared" ref="U267:U270" si="257">SUM(R267:T267)</f>
        <v>0</v>
      </c>
      <c r="V267" s="59">
        <f t="shared" ref="V267:V270" si="258">Q267+U267</f>
        <v>0</v>
      </c>
    </row>
    <row r="268" spans="1:23" x14ac:dyDescent="0.15">
      <c r="A268" s="19" t="s">
        <v>13</v>
      </c>
      <c r="B268" s="5">
        <v>3</v>
      </c>
      <c r="C268" s="6"/>
      <c r="D268" s="36"/>
      <c r="E268" s="52">
        <f t="shared" si="253"/>
        <v>3</v>
      </c>
      <c r="F268" s="8">
        <v>3</v>
      </c>
      <c r="G268" s="6"/>
      <c r="H268" s="7"/>
      <c r="I268" s="52">
        <f t="shared" si="254"/>
        <v>3</v>
      </c>
      <c r="J268" s="59">
        <f t="shared" si="255"/>
        <v>6</v>
      </c>
      <c r="K268" s="40">
        <v>45584</v>
      </c>
      <c r="L268" s="48"/>
      <c r="M268" s="19" t="s">
        <v>13</v>
      </c>
      <c r="N268" s="9"/>
      <c r="O268" s="10"/>
      <c r="P268" s="37"/>
      <c r="Q268" s="52">
        <f t="shared" si="256"/>
        <v>0</v>
      </c>
      <c r="R268" s="12"/>
      <c r="S268" s="10"/>
      <c r="T268" s="11"/>
      <c r="U268" s="52">
        <f t="shared" si="257"/>
        <v>0</v>
      </c>
      <c r="V268" s="59">
        <f t="shared" si="258"/>
        <v>0</v>
      </c>
    </row>
    <row r="269" spans="1:23" x14ac:dyDescent="0.15">
      <c r="A269" s="19" t="s">
        <v>14</v>
      </c>
      <c r="B269" s="9"/>
      <c r="C269" s="10"/>
      <c r="D269" s="37"/>
      <c r="E269" s="52">
        <f t="shared" si="253"/>
        <v>0</v>
      </c>
      <c r="F269" s="12">
        <v>5</v>
      </c>
      <c r="G269" s="10"/>
      <c r="H269" s="11"/>
      <c r="I269" s="52">
        <f t="shared" si="254"/>
        <v>5</v>
      </c>
      <c r="J269" s="59">
        <f t="shared" si="255"/>
        <v>5</v>
      </c>
      <c r="K269" s="40">
        <v>45598</v>
      </c>
      <c r="L269" s="48"/>
      <c r="M269" s="19" t="s">
        <v>14</v>
      </c>
      <c r="N269" s="9"/>
      <c r="O269" s="10"/>
      <c r="P269" s="37"/>
      <c r="Q269" s="52">
        <f t="shared" si="256"/>
        <v>0</v>
      </c>
      <c r="R269" s="12"/>
      <c r="S269" s="10"/>
      <c r="T269" s="11"/>
      <c r="U269" s="52">
        <f t="shared" si="257"/>
        <v>0</v>
      </c>
      <c r="V269" s="59">
        <f t="shared" si="258"/>
        <v>0</v>
      </c>
    </row>
    <row r="270" spans="1:23" ht="14.25" thickBot="1" x14ac:dyDescent="0.2">
      <c r="A270" s="19" t="s">
        <v>15</v>
      </c>
      <c r="B270" s="25"/>
      <c r="C270" s="26"/>
      <c r="D270" s="38"/>
      <c r="E270" s="53">
        <f t="shared" si="253"/>
        <v>0</v>
      </c>
      <c r="F270" s="27">
        <v>-1</v>
      </c>
      <c r="G270" s="27"/>
      <c r="H270" s="29"/>
      <c r="I270" s="53">
        <f t="shared" si="254"/>
        <v>-1</v>
      </c>
      <c r="J270" s="60">
        <f t="shared" si="255"/>
        <v>-1</v>
      </c>
      <c r="M270" s="19" t="s">
        <v>15</v>
      </c>
      <c r="N270" s="25"/>
      <c r="O270" s="26"/>
      <c r="P270" s="38"/>
      <c r="Q270" s="53">
        <f t="shared" si="256"/>
        <v>0</v>
      </c>
      <c r="R270" s="27"/>
      <c r="S270" s="27"/>
      <c r="T270" s="29"/>
      <c r="U270" s="53">
        <f t="shared" si="257"/>
        <v>0</v>
      </c>
      <c r="V270" s="60">
        <f t="shared" si="258"/>
        <v>0</v>
      </c>
    </row>
    <row r="271" spans="1:23" ht="14.25" thickBot="1" x14ac:dyDescent="0.2">
      <c r="A271" s="28" t="s">
        <v>16</v>
      </c>
      <c r="B271" s="22">
        <f>SUM(B262:B270)</f>
        <v>37</v>
      </c>
      <c r="C271" s="23">
        <f t="shared" ref="C271:D271" si="259">SUM(C262:C270)</f>
        <v>31</v>
      </c>
      <c r="D271" s="24">
        <f t="shared" si="259"/>
        <v>16</v>
      </c>
      <c r="E271" s="54">
        <f>SUM(B271:D271)</f>
        <v>84</v>
      </c>
      <c r="F271" s="22">
        <f>SUM(F262:F270)</f>
        <v>29</v>
      </c>
      <c r="G271" s="23">
        <f t="shared" ref="G271:H271" si="260">SUM(G262:G270)</f>
        <v>24</v>
      </c>
      <c r="H271" s="24">
        <f t="shared" si="260"/>
        <v>20</v>
      </c>
      <c r="I271" s="54">
        <f>SUM(F271:H271)</f>
        <v>73</v>
      </c>
      <c r="J271" s="61">
        <f>SUM(J263:J270)</f>
        <v>109</v>
      </c>
      <c r="M271" s="28" t="s">
        <v>16</v>
      </c>
      <c r="N271" s="22">
        <f>SUM(N262:N270)</f>
        <v>585</v>
      </c>
      <c r="O271" s="23">
        <f t="shared" ref="O271:P271" si="261">SUM(O262:O270)</f>
        <v>831</v>
      </c>
      <c r="P271" s="24">
        <f t="shared" si="261"/>
        <v>849</v>
      </c>
      <c r="Q271" s="54">
        <f>SUM(N271:P271)</f>
        <v>2265</v>
      </c>
      <c r="R271" s="22">
        <f>SUM(R262:R270)</f>
        <v>685</v>
      </c>
      <c r="S271" s="23">
        <f t="shared" ref="S271:T271" si="262">SUM(S262:S270)</f>
        <v>849</v>
      </c>
      <c r="T271" s="24">
        <f t="shared" si="262"/>
        <v>594</v>
      </c>
      <c r="U271" s="54">
        <f>SUM(R271:T271)</f>
        <v>2128</v>
      </c>
      <c r="V271" s="61">
        <f>Q271+U271</f>
        <v>4393</v>
      </c>
    </row>
    <row r="272" spans="1:23" x14ac:dyDescent="0.15">
      <c r="A272" s="17" t="s">
        <v>57</v>
      </c>
      <c r="B272" s="9">
        <v>1</v>
      </c>
      <c r="C272" s="10"/>
      <c r="D272" s="11"/>
      <c r="E272" s="51">
        <f t="shared" ref="E272:E298" si="263">SUM(B272:D272)</f>
        <v>1</v>
      </c>
      <c r="F272" s="12">
        <v>1</v>
      </c>
      <c r="G272" s="10"/>
      <c r="H272" s="11"/>
      <c r="I272" s="51">
        <f t="shared" ref="I272:I298" si="264">SUM(F272:H272)</f>
        <v>1</v>
      </c>
      <c r="J272" s="59">
        <f t="shared" ref="J272:J297" si="265">E272+I272</f>
        <v>2</v>
      </c>
      <c r="K272" s="41">
        <v>45537</v>
      </c>
      <c r="M272" s="18" t="s">
        <v>182</v>
      </c>
      <c r="N272" s="9"/>
      <c r="O272" s="10"/>
      <c r="P272" s="11">
        <v>3</v>
      </c>
      <c r="Q272" s="51">
        <f>SUM(N272:P272)</f>
        <v>3</v>
      </c>
      <c r="R272" s="12"/>
      <c r="S272" s="10"/>
      <c r="T272" s="11"/>
      <c r="U272" s="51">
        <f>SUM(R272:T272)</f>
        <v>0</v>
      </c>
      <c r="V272" s="59">
        <f>Q272+U272</f>
        <v>3</v>
      </c>
      <c r="W272" s="108">
        <v>45541</v>
      </c>
    </row>
    <row r="273" spans="1:23" x14ac:dyDescent="0.15">
      <c r="A273" s="18" t="s">
        <v>197</v>
      </c>
      <c r="B273" s="5"/>
      <c r="C273" s="6"/>
      <c r="D273" s="7">
        <v>2</v>
      </c>
      <c r="E273" s="51">
        <f t="shared" si="263"/>
        <v>2</v>
      </c>
      <c r="F273" s="8"/>
      <c r="G273" s="6"/>
      <c r="H273" s="7">
        <v>2</v>
      </c>
      <c r="I273" s="51">
        <f t="shared" si="264"/>
        <v>2</v>
      </c>
      <c r="J273" s="59">
        <f t="shared" si="265"/>
        <v>4</v>
      </c>
      <c r="K273" s="40">
        <v>45540</v>
      </c>
      <c r="M273" s="18" t="s">
        <v>199</v>
      </c>
      <c r="N273" s="5">
        <v>1</v>
      </c>
      <c r="O273" s="6"/>
      <c r="P273" s="7">
        <v>3</v>
      </c>
      <c r="Q273" s="51">
        <f t="shared" ref="Q273:Q298" si="266">SUM(N273:P273)</f>
        <v>4</v>
      </c>
      <c r="R273" s="8">
        <v>1</v>
      </c>
      <c r="S273" s="6"/>
      <c r="T273" s="7">
        <v>3</v>
      </c>
      <c r="U273" s="51">
        <f t="shared" ref="U273:U298" si="267">SUM(R273:T273)</f>
        <v>4</v>
      </c>
      <c r="V273" s="59">
        <f t="shared" ref="V273:V293" si="268">Q273+U273</f>
        <v>8</v>
      </c>
      <c r="W273" s="108">
        <v>45541</v>
      </c>
    </row>
    <row r="274" spans="1:23" x14ac:dyDescent="0.15">
      <c r="A274" s="17" t="s">
        <v>201</v>
      </c>
      <c r="B274" s="5">
        <v>18</v>
      </c>
      <c r="C274" s="6">
        <v>13</v>
      </c>
      <c r="D274" s="7"/>
      <c r="E274" s="51">
        <f t="shared" si="263"/>
        <v>31</v>
      </c>
      <c r="F274" s="8">
        <v>5</v>
      </c>
      <c r="G274" s="6">
        <v>3</v>
      </c>
      <c r="H274" s="7"/>
      <c r="I274" s="51">
        <f t="shared" si="264"/>
        <v>8</v>
      </c>
      <c r="J274" s="59">
        <f t="shared" si="265"/>
        <v>39</v>
      </c>
      <c r="K274" s="40">
        <v>45542</v>
      </c>
      <c r="M274" s="18" t="s">
        <v>200</v>
      </c>
      <c r="N274" s="5">
        <v>3</v>
      </c>
      <c r="O274" s="6"/>
      <c r="P274" s="7"/>
      <c r="Q274" s="51">
        <f t="shared" si="266"/>
        <v>3</v>
      </c>
      <c r="R274" s="8">
        <v>3</v>
      </c>
      <c r="S274" s="6"/>
      <c r="T274" s="7"/>
      <c r="U274" s="51">
        <f t="shared" si="267"/>
        <v>3</v>
      </c>
      <c r="V274" s="59">
        <f t="shared" si="268"/>
        <v>6</v>
      </c>
      <c r="W274" s="108">
        <v>45544</v>
      </c>
    </row>
    <row r="275" spans="1:23" x14ac:dyDescent="0.15">
      <c r="A275" s="17" t="s">
        <v>57</v>
      </c>
      <c r="B275" s="5">
        <v>1</v>
      </c>
      <c r="C275" s="6"/>
      <c r="D275" s="7">
        <v>1</v>
      </c>
      <c r="E275" s="51">
        <f t="shared" si="263"/>
        <v>2</v>
      </c>
      <c r="F275" s="8">
        <v>1</v>
      </c>
      <c r="G275" s="6"/>
      <c r="H275" s="7"/>
      <c r="I275" s="51">
        <f t="shared" si="264"/>
        <v>1</v>
      </c>
      <c r="J275" s="59">
        <f t="shared" si="265"/>
        <v>3</v>
      </c>
      <c r="K275" s="41">
        <v>45544</v>
      </c>
      <c r="M275" s="20" t="s">
        <v>41</v>
      </c>
      <c r="N275" s="5">
        <v>3</v>
      </c>
      <c r="O275" s="6"/>
      <c r="P275" s="7"/>
      <c r="Q275" s="51">
        <f t="shared" si="266"/>
        <v>3</v>
      </c>
      <c r="R275" s="8">
        <v>3</v>
      </c>
      <c r="S275" s="6"/>
      <c r="T275" s="7"/>
      <c r="U275" s="51">
        <f t="shared" si="267"/>
        <v>3</v>
      </c>
      <c r="V275" s="59">
        <f t="shared" si="268"/>
        <v>6</v>
      </c>
      <c r="W275" s="108">
        <v>45584</v>
      </c>
    </row>
    <row r="276" spans="1:23" x14ac:dyDescent="0.15">
      <c r="A276" s="17" t="s">
        <v>57</v>
      </c>
      <c r="B276" s="5">
        <v>1</v>
      </c>
      <c r="C276" s="6"/>
      <c r="D276" s="7"/>
      <c r="E276" s="51">
        <f t="shared" si="263"/>
        <v>1</v>
      </c>
      <c r="F276" s="8">
        <v>1</v>
      </c>
      <c r="G276" s="6"/>
      <c r="H276" s="7"/>
      <c r="I276" s="51">
        <f t="shared" si="264"/>
        <v>1</v>
      </c>
      <c r="J276" s="59">
        <f t="shared" si="265"/>
        <v>2</v>
      </c>
      <c r="K276" s="41">
        <v>45545</v>
      </c>
      <c r="M276" s="20" t="s">
        <v>41</v>
      </c>
      <c r="N276" s="5"/>
      <c r="O276" s="6"/>
      <c r="P276" s="7"/>
      <c r="Q276" s="51">
        <f t="shared" si="266"/>
        <v>0</v>
      </c>
      <c r="R276" s="8">
        <v>5</v>
      </c>
      <c r="S276" s="6"/>
      <c r="T276" s="7"/>
      <c r="U276" s="51">
        <f t="shared" si="267"/>
        <v>5</v>
      </c>
      <c r="V276" s="59">
        <f t="shared" si="268"/>
        <v>5</v>
      </c>
      <c r="W276" s="108">
        <v>45598</v>
      </c>
    </row>
    <row r="277" spans="1:23" x14ac:dyDescent="0.15">
      <c r="A277" s="17" t="s">
        <v>57</v>
      </c>
      <c r="B277" s="5">
        <v>1</v>
      </c>
      <c r="C277" s="6">
        <v>-1</v>
      </c>
      <c r="D277" s="14">
        <v>1</v>
      </c>
      <c r="E277" s="51">
        <f t="shared" si="263"/>
        <v>1</v>
      </c>
      <c r="F277" s="15"/>
      <c r="G277" s="13"/>
      <c r="H277" s="14">
        <v>1</v>
      </c>
      <c r="I277" s="51">
        <f t="shared" si="264"/>
        <v>1</v>
      </c>
      <c r="J277" s="59">
        <f t="shared" si="265"/>
        <v>2</v>
      </c>
      <c r="K277" s="41">
        <v>45546</v>
      </c>
      <c r="M277" s="20" t="s">
        <v>41</v>
      </c>
      <c r="N277" s="5">
        <v>5</v>
      </c>
      <c r="O277" s="6"/>
      <c r="P277" s="14"/>
      <c r="Q277" s="51">
        <f>SUM(N277:P277)</f>
        <v>5</v>
      </c>
      <c r="R277" s="15"/>
      <c r="S277" s="13"/>
      <c r="T277" s="14"/>
      <c r="U277" s="51">
        <f>SUM(R277:T277)</f>
        <v>0</v>
      </c>
      <c r="V277" s="59">
        <f>Q277+U277</f>
        <v>5</v>
      </c>
      <c r="W277" s="108">
        <v>45602</v>
      </c>
    </row>
    <row r="278" spans="1:23" x14ac:dyDescent="0.15">
      <c r="A278" s="18" t="s">
        <v>203</v>
      </c>
      <c r="B278" s="5"/>
      <c r="C278" s="6">
        <v>1</v>
      </c>
      <c r="D278" s="7"/>
      <c r="E278" s="51">
        <f t="shared" si="263"/>
        <v>1</v>
      </c>
      <c r="F278" s="8"/>
      <c r="G278" s="6">
        <v>1</v>
      </c>
      <c r="H278" s="7"/>
      <c r="I278" s="51">
        <f t="shared" si="264"/>
        <v>1</v>
      </c>
      <c r="J278" s="59">
        <f t="shared" si="265"/>
        <v>2</v>
      </c>
      <c r="K278" s="40">
        <v>45548</v>
      </c>
      <c r="M278" s="20" t="s">
        <v>41</v>
      </c>
      <c r="N278" s="5"/>
      <c r="O278" s="6">
        <v>1</v>
      </c>
      <c r="P278" s="7">
        <v>5</v>
      </c>
      <c r="Q278" s="51">
        <f t="shared" ref="Q278:Q279" si="269">SUM(N278:P278)</f>
        <v>6</v>
      </c>
      <c r="R278" s="8"/>
      <c r="S278" s="6"/>
      <c r="T278" s="7">
        <v>5</v>
      </c>
      <c r="U278" s="51">
        <f t="shared" ref="U278:U279" si="270">SUM(R278:T278)</f>
        <v>5</v>
      </c>
      <c r="V278" s="59">
        <f t="shared" ref="V278:V279" si="271">Q278+U278</f>
        <v>11</v>
      </c>
      <c r="W278" s="108">
        <v>45612</v>
      </c>
    </row>
    <row r="279" spans="1:23" x14ac:dyDescent="0.15">
      <c r="A279" s="17" t="s">
        <v>57</v>
      </c>
      <c r="B279" s="5">
        <v>1</v>
      </c>
      <c r="C279" s="6"/>
      <c r="D279" s="7"/>
      <c r="E279" s="51">
        <f t="shared" si="263"/>
        <v>1</v>
      </c>
      <c r="F279" s="8">
        <v>1</v>
      </c>
      <c r="G279" s="6"/>
      <c r="H279" s="7"/>
      <c r="I279" s="51">
        <f t="shared" si="264"/>
        <v>1</v>
      </c>
      <c r="J279" s="59">
        <f t="shared" si="265"/>
        <v>2</v>
      </c>
      <c r="K279" s="41">
        <v>45552</v>
      </c>
      <c r="M279" s="20" t="s">
        <v>41</v>
      </c>
      <c r="N279" s="5"/>
      <c r="O279" s="6">
        <v>2</v>
      </c>
      <c r="P279" s="7"/>
      <c r="Q279" s="51">
        <f t="shared" si="269"/>
        <v>2</v>
      </c>
      <c r="R279" s="8">
        <v>2</v>
      </c>
      <c r="S279" s="6">
        <v>2</v>
      </c>
      <c r="T279" s="7"/>
      <c r="U279" s="51">
        <f t="shared" si="270"/>
        <v>4</v>
      </c>
      <c r="V279" s="59">
        <f t="shared" si="271"/>
        <v>6</v>
      </c>
      <c r="W279" s="108">
        <v>45692</v>
      </c>
    </row>
    <row r="280" spans="1:23" x14ac:dyDescent="0.15">
      <c r="A280" s="17" t="s">
        <v>57</v>
      </c>
      <c r="B280" s="5"/>
      <c r="C280" s="6"/>
      <c r="D280" s="7"/>
      <c r="E280" s="51">
        <f t="shared" si="263"/>
        <v>0</v>
      </c>
      <c r="F280" s="8"/>
      <c r="G280" s="6"/>
      <c r="H280" s="7">
        <v>1</v>
      </c>
      <c r="I280" s="51">
        <f t="shared" si="264"/>
        <v>1</v>
      </c>
      <c r="J280" s="59">
        <f t="shared" si="265"/>
        <v>1</v>
      </c>
      <c r="K280" s="41">
        <v>45554</v>
      </c>
      <c r="M280" s="20"/>
      <c r="N280" s="5"/>
      <c r="O280" s="6"/>
      <c r="P280" s="7"/>
      <c r="Q280" s="51">
        <f t="shared" si="266"/>
        <v>0</v>
      </c>
      <c r="R280" s="8"/>
      <c r="S280" s="6"/>
      <c r="T280" s="7"/>
      <c r="U280" s="51">
        <f t="shared" si="267"/>
        <v>0</v>
      </c>
      <c r="V280" s="59">
        <f t="shared" si="268"/>
        <v>0</v>
      </c>
      <c r="W280" s="116"/>
    </row>
    <row r="281" spans="1:23" x14ac:dyDescent="0.15">
      <c r="A281" s="17" t="s">
        <v>57</v>
      </c>
      <c r="B281" s="9">
        <v>1</v>
      </c>
      <c r="C281" s="10">
        <v>1</v>
      </c>
      <c r="D281" s="11"/>
      <c r="E281" s="51">
        <f t="shared" si="263"/>
        <v>2</v>
      </c>
      <c r="F281" s="12">
        <v>1</v>
      </c>
      <c r="G281" s="10">
        <v>1</v>
      </c>
      <c r="H281" s="11"/>
      <c r="I281" s="51">
        <f t="shared" si="264"/>
        <v>2</v>
      </c>
      <c r="J281" s="59">
        <f t="shared" si="265"/>
        <v>4</v>
      </c>
      <c r="K281" s="41">
        <v>45559</v>
      </c>
      <c r="M281" s="18"/>
      <c r="N281" s="9"/>
      <c r="O281" s="10"/>
      <c r="P281" s="11"/>
      <c r="Q281" s="51">
        <f t="shared" si="266"/>
        <v>0</v>
      </c>
      <c r="R281" s="12"/>
      <c r="S281" s="10"/>
      <c r="T281" s="11"/>
      <c r="U281" s="51">
        <f t="shared" si="267"/>
        <v>0</v>
      </c>
      <c r="V281" s="59">
        <f t="shared" si="268"/>
        <v>0</v>
      </c>
    </row>
    <row r="282" spans="1:23" x14ac:dyDescent="0.15">
      <c r="A282" s="17" t="s">
        <v>57</v>
      </c>
      <c r="B282" s="5"/>
      <c r="C282" s="6">
        <v>1</v>
      </c>
      <c r="D282" s="7"/>
      <c r="E282" s="51">
        <f t="shared" si="263"/>
        <v>1</v>
      </c>
      <c r="F282" s="8"/>
      <c r="G282" s="6"/>
      <c r="H282" s="7"/>
      <c r="I282" s="51">
        <f t="shared" si="264"/>
        <v>0</v>
      </c>
      <c r="J282" s="59">
        <f t="shared" si="265"/>
        <v>1</v>
      </c>
      <c r="K282" s="40">
        <v>45565</v>
      </c>
      <c r="M282" s="20"/>
      <c r="N282" s="5"/>
      <c r="O282" s="6"/>
      <c r="P282" s="7"/>
      <c r="Q282" s="51">
        <f t="shared" si="266"/>
        <v>0</v>
      </c>
      <c r="R282" s="8"/>
      <c r="S282" s="6"/>
      <c r="T282" s="7"/>
      <c r="U282" s="51">
        <f t="shared" si="267"/>
        <v>0</v>
      </c>
      <c r="V282" s="59">
        <f t="shared" si="268"/>
        <v>0</v>
      </c>
    </row>
    <row r="283" spans="1:23" x14ac:dyDescent="0.15">
      <c r="A283" s="17" t="s">
        <v>206</v>
      </c>
      <c r="B283" s="5"/>
      <c r="C283" s="6">
        <v>2</v>
      </c>
      <c r="D283" s="7"/>
      <c r="E283" s="51">
        <f t="shared" si="263"/>
        <v>2</v>
      </c>
      <c r="F283" s="8"/>
      <c r="G283" s="6"/>
      <c r="H283" s="7"/>
      <c r="I283" s="51">
        <f t="shared" si="264"/>
        <v>0</v>
      </c>
      <c r="J283" s="59">
        <f t="shared" si="265"/>
        <v>2</v>
      </c>
      <c r="K283" s="40">
        <v>45567</v>
      </c>
      <c r="M283" s="20"/>
      <c r="N283" s="5"/>
      <c r="O283" s="6"/>
      <c r="P283" s="7"/>
      <c r="Q283" s="51">
        <f t="shared" si="266"/>
        <v>0</v>
      </c>
      <c r="R283" s="8"/>
      <c r="S283" s="6"/>
      <c r="T283" s="7"/>
      <c r="U283" s="51">
        <f t="shared" si="267"/>
        <v>0</v>
      </c>
      <c r="V283" s="59">
        <f t="shared" si="268"/>
        <v>0</v>
      </c>
    </row>
    <row r="284" spans="1:23" x14ac:dyDescent="0.15">
      <c r="A284" s="17" t="s">
        <v>207</v>
      </c>
      <c r="B284" s="5"/>
      <c r="C284" s="6"/>
      <c r="D284" s="7"/>
      <c r="E284" s="51">
        <f t="shared" si="263"/>
        <v>0</v>
      </c>
      <c r="F284" s="8"/>
      <c r="G284" s="6"/>
      <c r="H284" s="7">
        <v>1</v>
      </c>
      <c r="I284" s="51">
        <f t="shared" si="264"/>
        <v>1</v>
      </c>
      <c r="J284" s="59">
        <f t="shared" si="265"/>
        <v>1</v>
      </c>
      <c r="K284" s="40">
        <v>45567</v>
      </c>
      <c r="M284" s="18"/>
      <c r="N284" s="5"/>
      <c r="O284" s="6"/>
      <c r="P284" s="7"/>
      <c r="Q284" s="51">
        <f t="shared" si="266"/>
        <v>0</v>
      </c>
      <c r="R284" s="8"/>
      <c r="S284" s="6"/>
      <c r="T284" s="7"/>
      <c r="U284" s="51">
        <f t="shared" si="267"/>
        <v>0</v>
      </c>
      <c r="V284" s="59">
        <f t="shared" si="268"/>
        <v>0</v>
      </c>
    </row>
    <row r="285" spans="1:23" x14ac:dyDescent="0.15">
      <c r="A285" s="17" t="s">
        <v>175</v>
      </c>
      <c r="B285" s="5">
        <v>5</v>
      </c>
      <c r="C285" s="6">
        <v>6</v>
      </c>
      <c r="D285" s="7">
        <v>4</v>
      </c>
      <c r="E285" s="51">
        <f t="shared" si="263"/>
        <v>15</v>
      </c>
      <c r="F285" s="8">
        <v>5</v>
      </c>
      <c r="G285" s="6">
        <v>6</v>
      </c>
      <c r="H285" s="7">
        <v>4</v>
      </c>
      <c r="I285" s="51">
        <f t="shared" si="264"/>
        <v>15</v>
      </c>
      <c r="J285" s="59">
        <f t="shared" si="265"/>
        <v>30</v>
      </c>
      <c r="K285" s="41">
        <v>45570</v>
      </c>
      <c r="M285" s="18"/>
      <c r="N285" s="5"/>
      <c r="O285" s="6"/>
      <c r="P285" s="7"/>
      <c r="Q285" s="51">
        <f t="shared" si="266"/>
        <v>0</v>
      </c>
      <c r="R285" s="8"/>
      <c r="S285" s="6"/>
      <c r="T285" s="7"/>
      <c r="U285" s="51">
        <f t="shared" si="267"/>
        <v>0</v>
      </c>
      <c r="V285" s="59">
        <f t="shared" si="268"/>
        <v>0</v>
      </c>
    </row>
    <row r="286" spans="1:23" x14ac:dyDescent="0.15">
      <c r="A286" s="17" t="s">
        <v>57</v>
      </c>
      <c r="B286" s="5"/>
      <c r="C286" s="6"/>
      <c r="D286" s="7"/>
      <c r="E286" s="51">
        <f t="shared" si="263"/>
        <v>0</v>
      </c>
      <c r="F286" s="8"/>
      <c r="G286" s="6"/>
      <c r="H286" s="7">
        <f>1+1</f>
        <v>2</v>
      </c>
      <c r="I286" s="51">
        <f t="shared" si="264"/>
        <v>2</v>
      </c>
      <c r="J286" s="59">
        <f t="shared" si="265"/>
        <v>2</v>
      </c>
      <c r="K286" s="41">
        <v>45574</v>
      </c>
      <c r="M286" s="20"/>
      <c r="N286" s="5"/>
      <c r="O286" s="6"/>
      <c r="P286" s="7"/>
      <c r="Q286" s="51">
        <f t="shared" si="266"/>
        <v>0</v>
      </c>
      <c r="R286" s="8"/>
      <c r="S286" s="6"/>
      <c r="T286" s="7"/>
      <c r="U286" s="51">
        <f t="shared" si="267"/>
        <v>0</v>
      </c>
      <c r="V286" s="59">
        <f t="shared" si="268"/>
        <v>0</v>
      </c>
    </row>
    <row r="287" spans="1:23" x14ac:dyDescent="0.15">
      <c r="A287" s="17" t="s">
        <v>208</v>
      </c>
      <c r="B287" s="5"/>
      <c r="C287" s="6"/>
      <c r="D287" s="7"/>
      <c r="E287" s="51">
        <f t="shared" si="263"/>
        <v>0</v>
      </c>
      <c r="F287" s="8"/>
      <c r="G287" s="6"/>
      <c r="H287" s="7">
        <v>2</v>
      </c>
      <c r="I287" s="51">
        <f t="shared" si="264"/>
        <v>2</v>
      </c>
      <c r="J287" s="59">
        <f t="shared" si="265"/>
        <v>2</v>
      </c>
      <c r="K287" s="41">
        <v>45574</v>
      </c>
      <c r="M287" s="20"/>
      <c r="N287" s="5"/>
      <c r="O287" s="6"/>
      <c r="P287" s="7"/>
      <c r="Q287" s="51">
        <f t="shared" si="266"/>
        <v>0</v>
      </c>
      <c r="R287" s="8"/>
      <c r="S287" s="6"/>
      <c r="T287" s="7"/>
      <c r="U287" s="51">
        <f t="shared" si="267"/>
        <v>0</v>
      </c>
      <c r="V287" s="59">
        <f t="shared" si="268"/>
        <v>0</v>
      </c>
    </row>
    <row r="288" spans="1:23" x14ac:dyDescent="0.15">
      <c r="A288" s="17" t="s">
        <v>77</v>
      </c>
      <c r="B288" s="5">
        <v>2</v>
      </c>
      <c r="C288" s="6"/>
      <c r="D288" s="7"/>
      <c r="E288" s="51">
        <f t="shared" si="263"/>
        <v>2</v>
      </c>
      <c r="F288" s="8"/>
      <c r="G288" s="6"/>
      <c r="H288" s="7"/>
      <c r="I288" s="51">
        <f t="shared" si="264"/>
        <v>0</v>
      </c>
      <c r="J288" s="59">
        <f t="shared" si="265"/>
        <v>2</v>
      </c>
      <c r="K288" s="40">
        <v>45576</v>
      </c>
      <c r="M288" s="18"/>
      <c r="N288" s="5"/>
      <c r="O288" s="6"/>
      <c r="P288" s="7"/>
      <c r="Q288" s="51">
        <f t="shared" si="266"/>
        <v>0</v>
      </c>
      <c r="R288" s="8"/>
      <c r="S288" s="6"/>
      <c r="T288" s="7"/>
      <c r="U288" s="51">
        <f t="shared" si="267"/>
        <v>0</v>
      </c>
      <c r="V288" s="59">
        <f t="shared" si="268"/>
        <v>0</v>
      </c>
    </row>
    <row r="289" spans="1:23" x14ac:dyDescent="0.15">
      <c r="A289" s="17" t="s">
        <v>209</v>
      </c>
      <c r="B289" s="5"/>
      <c r="C289" s="6"/>
      <c r="D289" s="7"/>
      <c r="E289" s="51">
        <f t="shared" si="263"/>
        <v>0</v>
      </c>
      <c r="F289" s="8">
        <v>1</v>
      </c>
      <c r="G289" s="6"/>
      <c r="H289" s="7"/>
      <c r="I289" s="51">
        <f t="shared" si="264"/>
        <v>1</v>
      </c>
      <c r="J289" s="59">
        <f t="shared" si="265"/>
        <v>1</v>
      </c>
      <c r="K289" s="40">
        <v>45580</v>
      </c>
      <c r="M289" s="20"/>
      <c r="N289" s="5"/>
      <c r="O289" s="6"/>
      <c r="P289" s="7"/>
      <c r="Q289" s="51">
        <f t="shared" si="266"/>
        <v>0</v>
      </c>
      <c r="R289" s="8"/>
      <c r="S289" s="6"/>
      <c r="T289" s="7"/>
      <c r="U289" s="51">
        <f t="shared" si="267"/>
        <v>0</v>
      </c>
      <c r="V289" s="59">
        <f t="shared" si="268"/>
        <v>0</v>
      </c>
    </row>
    <row r="290" spans="1:23" x14ac:dyDescent="0.15">
      <c r="A290" s="18" t="s">
        <v>210</v>
      </c>
      <c r="B290" s="5"/>
      <c r="C290" s="6"/>
      <c r="D290" s="7"/>
      <c r="E290" s="51">
        <f t="shared" si="263"/>
        <v>0</v>
      </c>
      <c r="F290" s="8">
        <v>3</v>
      </c>
      <c r="G290" s="6"/>
      <c r="H290" s="7"/>
      <c r="I290" s="51">
        <f t="shared" si="264"/>
        <v>3</v>
      </c>
      <c r="J290" s="59">
        <f t="shared" si="265"/>
        <v>3</v>
      </c>
      <c r="K290" s="40">
        <v>45582</v>
      </c>
      <c r="L290" s="48"/>
      <c r="M290" s="18"/>
      <c r="N290" s="5"/>
      <c r="O290" s="6"/>
      <c r="P290" s="7"/>
      <c r="Q290" s="51">
        <f t="shared" si="266"/>
        <v>0</v>
      </c>
      <c r="R290" s="8"/>
      <c r="S290" s="6"/>
      <c r="T290" s="7"/>
      <c r="U290" s="51">
        <f t="shared" si="267"/>
        <v>0</v>
      </c>
      <c r="V290" s="59">
        <f t="shared" si="268"/>
        <v>0</v>
      </c>
    </row>
    <row r="291" spans="1:23" x14ac:dyDescent="0.15">
      <c r="A291" s="18" t="s">
        <v>77</v>
      </c>
      <c r="B291" s="5"/>
      <c r="C291" s="6">
        <v>2</v>
      </c>
      <c r="D291" s="7">
        <v>2</v>
      </c>
      <c r="E291" s="51">
        <f t="shared" si="263"/>
        <v>4</v>
      </c>
      <c r="F291" s="8"/>
      <c r="G291" s="6"/>
      <c r="H291" s="7"/>
      <c r="I291" s="51">
        <f t="shared" si="264"/>
        <v>0</v>
      </c>
      <c r="J291" s="59">
        <f t="shared" si="265"/>
        <v>4</v>
      </c>
      <c r="K291" s="40">
        <v>45587</v>
      </c>
      <c r="L291" s="48"/>
      <c r="M291" s="20"/>
      <c r="N291" s="5"/>
      <c r="O291" s="6"/>
      <c r="P291" s="7"/>
      <c r="Q291" s="51">
        <f t="shared" si="266"/>
        <v>0</v>
      </c>
      <c r="R291" s="8"/>
      <c r="S291" s="6"/>
      <c r="T291" s="7"/>
      <c r="U291" s="51">
        <f t="shared" si="267"/>
        <v>0</v>
      </c>
      <c r="V291" s="59">
        <f t="shared" si="268"/>
        <v>0</v>
      </c>
    </row>
    <row r="292" spans="1:23" x14ac:dyDescent="0.15">
      <c r="A292" s="17" t="s">
        <v>57</v>
      </c>
      <c r="B292" s="5"/>
      <c r="C292" s="6">
        <v>1</v>
      </c>
      <c r="D292" s="7">
        <v>1</v>
      </c>
      <c r="E292" s="51">
        <f t="shared" si="263"/>
        <v>2</v>
      </c>
      <c r="F292" s="8">
        <v>1</v>
      </c>
      <c r="G292" s="6"/>
      <c r="H292" s="7">
        <v>1</v>
      </c>
      <c r="I292" s="51">
        <f t="shared" si="264"/>
        <v>2</v>
      </c>
      <c r="J292" s="59">
        <f t="shared" si="265"/>
        <v>4</v>
      </c>
      <c r="K292" s="40">
        <v>45586</v>
      </c>
      <c r="M292" s="20"/>
      <c r="N292" s="5"/>
      <c r="O292" s="6"/>
      <c r="P292" s="7"/>
      <c r="Q292" s="51">
        <f t="shared" si="266"/>
        <v>0</v>
      </c>
      <c r="R292" s="8"/>
      <c r="S292" s="6"/>
      <c r="T292" s="7"/>
      <c r="U292" s="51">
        <f t="shared" si="267"/>
        <v>0</v>
      </c>
      <c r="V292" s="59">
        <f t="shared" si="268"/>
        <v>0</v>
      </c>
    </row>
    <row r="293" spans="1:23" x14ac:dyDescent="0.15">
      <c r="A293" s="17" t="s">
        <v>57</v>
      </c>
      <c r="B293" s="9">
        <f>1+1</f>
        <v>2</v>
      </c>
      <c r="C293" s="10"/>
      <c r="D293" s="11"/>
      <c r="E293" s="51">
        <f t="shared" si="263"/>
        <v>2</v>
      </c>
      <c r="F293" s="12">
        <v>1</v>
      </c>
      <c r="G293" s="10"/>
      <c r="H293" s="11"/>
      <c r="I293" s="51">
        <f t="shared" si="264"/>
        <v>1</v>
      </c>
      <c r="J293" s="59">
        <f t="shared" si="265"/>
        <v>3</v>
      </c>
      <c r="K293" s="41">
        <v>45590</v>
      </c>
      <c r="M293" s="20"/>
      <c r="N293" s="5"/>
      <c r="O293" s="6"/>
      <c r="P293" s="7"/>
      <c r="Q293" s="51">
        <f t="shared" si="266"/>
        <v>0</v>
      </c>
      <c r="R293" s="8"/>
      <c r="S293" s="6"/>
      <c r="T293" s="7"/>
      <c r="U293" s="51">
        <f t="shared" si="267"/>
        <v>0</v>
      </c>
      <c r="V293" s="59">
        <f t="shared" si="268"/>
        <v>0</v>
      </c>
    </row>
    <row r="294" spans="1:23" x14ac:dyDescent="0.15">
      <c r="A294" s="17" t="s">
        <v>57</v>
      </c>
      <c r="B294" s="5"/>
      <c r="C294" s="6">
        <v>1</v>
      </c>
      <c r="D294" s="7">
        <v>1</v>
      </c>
      <c r="E294" s="51">
        <f t="shared" si="263"/>
        <v>2</v>
      </c>
      <c r="F294" s="8"/>
      <c r="G294" s="6">
        <v>1</v>
      </c>
      <c r="H294" s="7"/>
      <c r="I294" s="51">
        <f t="shared" si="264"/>
        <v>1</v>
      </c>
      <c r="J294" s="59">
        <f t="shared" si="265"/>
        <v>3</v>
      </c>
      <c r="K294" s="41">
        <v>45593</v>
      </c>
      <c r="M294" s="20"/>
      <c r="N294" s="5"/>
      <c r="O294" s="6"/>
      <c r="P294" s="7"/>
      <c r="Q294" s="51">
        <f t="shared" ref="Q294" si="272">SUM(N294:P294)</f>
        <v>0</v>
      </c>
      <c r="R294" s="8"/>
      <c r="S294" s="6"/>
      <c r="T294" s="7"/>
      <c r="U294" s="51">
        <f t="shared" ref="U294" si="273">SUM(R294:T294)</f>
        <v>0</v>
      </c>
      <c r="V294" s="59">
        <f t="shared" ref="V294" si="274">Q294+U294</f>
        <v>0</v>
      </c>
    </row>
    <row r="295" spans="1:23" x14ac:dyDescent="0.15">
      <c r="A295" s="17" t="s">
        <v>57</v>
      </c>
      <c r="B295" s="9"/>
      <c r="C295" s="10"/>
      <c r="D295" s="11"/>
      <c r="E295" s="52">
        <f t="shared" si="263"/>
        <v>0</v>
      </c>
      <c r="F295" s="12"/>
      <c r="G295" s="10"/>
      <c r="H295" s="11">
        <v>1</v>
      </c>
      <c r="I295" s="52">
        <f t="shared" si="264"/>
        <v>1</v>
      </c>
      <c r="J295" s="59">
        <f t="shared" si="265"/>
        <v>1</v>
      </c>
      <c r="K295" s="41">
        <v>45594</v>
      </c>
      <c r="M295" s="20" t="s">
        <v>147</v>
      </c>
      <c r="N295" s="5"/>
      <c r="O295" s="6"/>
      <c r="P295" s="7"/>
      <c r="Q295" s="51">
        <f t="shared" ref="Q295:Q297" si="275">SUM(N295:P295)</f>
        <v>0</v>
      </c>
      <c r="R295" s="8"/>
      <c r="S295" s="6"/>
      <c r="T295" s="7"/>
      <c r="U295" s="51">
        <f t="shared" ref="U295:U297" si="276">SUM(R295:T295)</f>
        <v>0</v>
      </c>
      <c r="V295" s="59">
        <f t="shared" ref="V295:V297" si="277">Q295+U295</f>
        <v>0</v>
      </c>
      <c r="W295" s="116" t="s">
        <v>148</v>
      </c>
    </row>
    <row r="296" spans="1:23" x14ac:dyDescent="0.15">
      <c r="A296" s="17" t="s">
        <v>211</v>
      </c>
      <c r="B296" s="5">
        <v>1</v>
      </c>
      <c r="C296" s="6"/>
      <c r="D296" s="7"/>
      <c r="E296" s="51">
        <f t="shared" si="263"/>
        <v>1</v>
      </c>
      <c r="F296" s="8">
        <v>3</v>
      </c>
      <c r="G296" s="6"/>
      <c r="H296" s="7"/>
      <c r="I296" s="51">
        <f t="shared" si="264"/>
        <v>3</v>
      </c>
      <c r="J296" s="59">
        <f t="shared" si="265"/>
        <v>4</v>
      </c>
      <c r="K296" s="40">
        <v>45598</v>
      </c>
      <c r="L296" s="48"/>
      <c r="M296" s="101" t="s">
        <v>73</v>
      </c>
      <c r="N296" s="86"/>
      <c r="O296" s="87"/>
      <c r="P296" s="88"/>
      <c r="Q296" s="89">
        <f t="shared" si="275"/>
        <v>0</v>
      </c>
      <c r="R296" s="105"/>
      <c r="S296" s="87"/>
      <c r="T296" s="88"/>
      <c r="U296" s="89">
        <f t="shared" si="276"/>
        <v>0</v>
      </c>
      <c r="V296" s="90">
        <f t="shared" si="277"/>
        <v>0</v>
      </c>
      <c r="W296" s="116"/>
    </row>
    <row r="297" spans="1:23" ht="14.25" thickBot="1" x14ac:dyDescent="0.2">
      <c r="A297" s="17" t="s">
        <v>175</v>
      </c>
      <c r="B297" s="9"/>
      <c r="C297" s="10"/>
      <c r="D297" s="11"/>
      <c r="E297" s="55">
        <f t="shared" si="263"/>
        <v>0</v>
      </c>
      <c r="F297" s="12"/>
      <c r="G297" s="10">
        <v>5</v>
      </c>
      <c r="H297" s="11"/>
      <c r="I297" s="55">
        <f t="shared" si="264"/>
        <v>5</v>
      </c>
      <c r="J297" s="59">
        <f t="shared" si="265"/>
        <v>5</v>
      </c>
      <c r="K297" s="41">
        <v>45598</v>
      </c>
      <c r="M297" s="20" t="s">
        <v>72</v>
      </c>
      <c r="N297" s="5"/>
      <c r="O297" s="6"/>
      <c r="P297" s="7"/>
      <c r="Q297" s="51">
        <f t="shared" si="275"/>
        <v>0</v>
      </c>
      <c r="R297" s="8"/>
      <c r="S297" s="6"/>
      <c r="T297" s="7"/>
      <c r="U297" s="51">
        <f t="shared" si="276"/>
        <v>0</v>
      </c>
      <c r="V297" s="59">
        <f t="shared" si="277"/>
        <v>0</v>
      </c>
      <c r="W297" s="116" t="s">
        <v>74</v>
      </c>
    </row>
    <row r="298" spans="1:23" ht="14.25" thickBot="1" x14ac:dyDescent="0.2">
      <c r="A298" s="31" t="s">
        <v>19</v>
      </c>
      <c r="B298" s="34">
        <f>SUM(B272:B297)</f>
        <v>34</v>
      </c>
      <c r="C298" s="35">
        <f t="shared" ref="C298:D298" si="278">SUM(C272:C297)</f>
        <v>27</v>
      </c>
      <c r="D298" s="39">
        <f t="shared" si="278"/>
        <v>12</v>
      </c>
      <c r="E298" s="56">
        <f t="shared" si="263"/>
        <v>73</v>
      </c>
      <c r="F298" s="34">
        <f>SUM(F272:F297)</f>
        <v>24</v>
      </c>
      <c r="G298" s="35">
        <f t="shared" ref="G298:H298" si="279">SUM(G272:G297)</f>
        <v>17</v>
      </c>
      <c r="H298" s="39">
        <f t="shared" si="279"/>
        <v>15</v>
      </c>
      <c r="I298" s="56">
        <f t="shared" si="264"/>
        <v>56</v>
      </c>
      <c r="J298" s="62">
        <f>E298+I298</f>
        <v>129</v>
      </c>
      <c r="M298" s="31" t="s">
        <v>19</v>
      </c>
      <c r="N298" s="34">
        <f>SUM(N272:N297)</f>
        <v>12</v>
      </c>
      <c r="O298" s="35">
        <f t="shared" ref="O298:P298" si="280">SUM(O272:O297)</f>
        <v>3</v>
      </c>
      <c r="P298" s="39">
        <f t="shared" si="280"/>
        <v>11</v>
      </c>
      <c r="Q298" s="56">
        <f t="shared" si="266"/>
        <v>26</v>
      </c>
      <c r="R298" s="34">
        <f>SUM(R272:R297)</f>
        <v>14</v>
      </c>
      <c r="S298" s="35">
        <f t="shared" ref="S298:T298" si="281">SUM(S272:S297)</f>
        <v>2</v>
      </c>
      <c r="T298" s="39">
        <f t="shared" si="281"/>
        <v>8</v>
      </c>
      <c r="U298" s="56">
        <f t="shared" si="267"/>
        <v>24</v>
      </c>
      <c r="V298" s="62">
        <f>Q298+U298</f>
        <v>50</v>
      </c>
    </row>
    <row r="299" spans="1:23" ht="14.25" thickBot="1" x14ac:dyDescent="0.2">
      <c r="A299" s="16" t="s">
        <v>17</v>
      </c>
      <c r="B299" s="63">
        <f>B271-B298</f>
        <v>3</v>
      </c>
      <c r="C299" s="64">
        <f t="shared" ref="C299:D299" si="282">C271-C298</f>
        <v>4</v>
      </c>
      <c r="D299" s="65">
        <f t="shared" si="282"/>
        <v>4</v>
      </c>
      <c r="E299" s="57">
        <f>SUM(B299:D299)</f>
        <v>11</v>
      </c>
      <c r="F299" s="63">
        <f>F271-F298</f>
        <v>5</v>
      </c>
      <c r="G299" s="64">
        <f t="shared" ref="G299:H299" si="283">G271-G298</f>
        <v>7</v>
      </c>
      <c r="H299" s="65">
        <f t="shared" si="283"/>
        <v>5</v>
      </c>
      <c r="I299" s="57">
        <f>SUM(F299:H299)</f>
        <v>17</v>
      </c>
      <c r="J299" s="61">
        <f>E299+I299</f>
        <v>28</v>
      </c>
      <c r="M299" s="16" t="s">
        <v>17</v>
      </c>
      <c r="N299" s="63">
        <f>N271-N298</f>
        <v>573</v>
      </c>
      <c r="O299" s="64">
        <f t="shared" ref="O299:P299" si="284">O271-O298</f>
        <v>828</v>
      </c>
      <c r="P299" s="65">
        <f t="shared" si="284"/>
        <v>838</v>
      </c>
      <c r="Q299" s="57">
        <f>SUM(N299:P299)</f>
        <v>2239</v>
      </c>
      <c r="R299" s="63">
        <f>R271-R298</f>
        <v>671</v>
      </c>
      <c r="S299" s="64">
        <f t="shared" ref="S299:T299" si="285">S271-S298</f>
        <v>847</v>
      </c>
      <c r="T299" s="65">
        <f t="shared" si="285"/>
        <v>586</v>
      </c>
      <c r="U299" s="57">
        <f>SUM(R299:T299)</f>
        <v>2104</v>
      </c>
      <c r="V299" s="61">
        <f>Q299+U299</f>
        <v>4343</v>
      </c>
    </row>
    <row r="300" spans="1:23" x14ac:dyDescent="0.15">
      <c r="M300" s="41">
        <v>45555</v>
      </c>
      <c r="N300" s="112">
        <f>N298+N255+N212+N169+N126+N83+N40</f>
        <v>1321</v>
      </c>
      <c r="O300" s="112">
        <f t="shared" ref="O300:V300" si="286">O298+O255+O212+O169+O126+O83+O40</f>
        <v>1226</v>
      </c>
      <c r="P300" s="112">
        <f t="shared" si="286"/>
        <v>731</v>
      </c>
      <c r="Q300" s="112">
        <f t="shared" si="286"/>
        <v>3278</v>
      </c>
      <c r="R300" s="112">
        <f t="shared" si="286"/>
        <v>1387</v>
      </c>
      <c r="S300" s="112">
        <f t="shared" si="286"/>
        <v>1281</v>
      </c>
      <c r="T300" s="112">
        <f t="shared" si="286"/>
        <v>885</v>
      </c>
      <c r="U300" s="112">
        <f t="shared" si="286"/>
        <v>3553</v>
      </c>
      <c r="V300" s="112">
        <f t="shared" si="286"/>
        <v>6831</v>
      </c>
    </row>
    <row r="301" spans="1:23" x14ac:dyDescent="0.15">
      <c r="N301" s="111">
        <f>N300/$Q$300*100</f>
        <v>40.298962782184262</v>
      </c>
      <c r="O301" s="111">
        <f t="shared" ref="O301:Q301" si="287">O300/$Q$300*100</f>
        <v>37.400854179377667</v>
      </c>
      <c r="P301" s="111">
        <f t="shared" si="287"/>
        <v>22.300183038438075</v>
      </c>
      <c r="Q301" s="111">
        <f t="shared" si="287"/>
        <v>100</v>
      </c>
      <c r="R301" s="111">
        <f>R300/$U$300*100</f>
        <v>39.037433155080215</v>
      </c>
      <c r="S301" s="111">
        <f t="shared" ref="S301:U301" si="288">S300/$U$300*100</f>
        <v>36.054038840416545</v>
      </c>
      <c r="T301" s="111">
        <f t="shared" si="288"/>
        <v>24.908528004503236</v>
      </c>
      <c r="U301" s="111">
        <f t="shared" si="288"/>
        <v>100</v>
      </c>
    </row>
    <row r="302" spans="1:23" ht="19.5" thickBot="1" x14ac:dyDescent="0.25">
      <c r="A302" s="66" t="s">
        <v>23</v>
      </c>
      <c r="B302" s="67"/>
      <c r="C302" s="67"/>
      <c r="D302" s="67"/>
      <c r="E302" s="67"/>
      <c r="F302" s="67"/>
      <c r="G302" s="67"/>
      <c r="H302" s="67"/>
      <c r="I302" s="67" t="s">
        <v>26</v>
      </c>
      <c r="J302" s="67"/>
      <c r="M302" s="73" t="s">
        <v>24</v>
      </c>
      <c r="N302" s="74"/>
      <c r="O302" s="74"/>
      <c r="P302" s="74"/>
      <c r="Q302" s="74"/>
      <c r="R302" s="74"/>
      <c r="S302" s="74"/>
      <c r="T302" s="74"/>
      <c r="U302" s="74"/>
      <c r="V302" s="74"/>
    </row>
    <row r="303" spans="1:23" ht="14.25" thickBot="1" x14ac:dyDescent="0.2">
      <c r="A303" s="4" t="s">
        <v>0</v>
      </c>
      <c r="B303" s="191" t="s">
        <v>21</v>
      </c>
      <c r="C303" s="192"/>
      <c r="D303" s="192"/>
      <c r="E303" s="193"/>
      <c r="F303" s="194" t="s">
        <v>18</v>
      </c>
      <c r="G303" s="195"/>
      <c r="H303" s="195"/>
      <c r="I303" s="196"/>
      <c r="J303" s="189" t="s">
        <v>1</v>
      </c>
      <c r="M303" s="4" t="s">
        <v>0</v>
      </c>
      <c r="N303" s="191" t="s">
        <v>21</v>
      </c>
      <c r="O303" s="192"/>
      <c r="P303" s="192"/>
      <c r="Q303" s="193"/>
      <c r="R303" s="194" t="s">
        <v>18</v>
      </c>
      <c r="S303" s="195"/>
      <c r="T303" s="195"/>
      <c r="U303" s="196"/>
      <c r="V303" s="189" t="s">
        <v>1</v>
      </c>
    </row>
    <row r="304" spans="1:23" ht="14.25" thickBot="1" x14ac:dyDescent="0.2">
      <c r="A304" s="4" t="s">
        <v>2</v>
      </c>
      <c r="B304" s="1" t="s">
        <v>3</v>
      </c>
      <c r="C304" s="2" t="s">
        <v>4</v>
      </c>
      <c r="D304" s="3" t="s">
        <v>5</v>
      </c>
      <c r="E304" s="4" t="s">
        <v>6</v>
      </c>
      <c r="F304" s="1" t="s">
        <v>3</v>
      </c>
      <c r="G304" s="2" t="s">
        <v>4</v>
      </c>
      <c r="H304" s="3" t="s">
        <v>5</v>
      </c>
      <c r="I304" s="4" t="s">
        <v>6</v>
      </c>
      <c r="J304" s="190"/>
      <c r="M304" s="4" t="s">
        <v>2</v>
      </c>
      <c r="N304" s="1" t="s">
        <v>3</v>
      </c>
      <c r="O304" s="2" t="s">
        <v>4</v>
      </c>
      <c r="P304" s="3" t="s">
        <v>5</v>
      </c>
      <c r="Q304" s="4" t="s">
        <v>6</v>
      </c>
      <c r="R304" s="1" t="s">
        <v>3</v>
      </c>
      <c r="S304" s="2" t="s">
        <v>4</v>
      </c>
      <c r="T304" s="3" t="s">
        <v>5</v>
      </c>
      <c r="U304" s="4" t="s">
        <v>6</v>
      </c>
      <c r="V304" s="190"/>
    </row>
    <row r="305" spans="1:23" ht="14.25" thickBot="1" x14ac:dyDescent="0.2">
      <c r="A305" s="21" t="s">
        <v>20</v>
      </c>
      <c r="B305" s="68">
        <f>B299</f>
        <v>3</v>
      </c>
      <c r="C305" s="69">
        <f>C299</f>
        <v>4</v>
      </c>
      <c r="D305" s="70">
        <f>D299</f>
        <v>4</v>
      </c>
      <c r="E305" s="71">
        <f>SUM(B305:D305)</f>
        <v>11</v>
      </c>
      <c r="F305" s="68">
        <f>F299</f>
        <v>5</v>
      </c>
      <c r="G305" s="69">
        <f>G299</f>
        <v>7</v>
      </c>
      <c r="H305" s="70">
        <f>H299</f>
        <v>5</v>
      </c>
      <c r="I305" s="71">
        <f>SUM(F305:H305)</f>
        <v>17</v>
      </c>
      <c r="J305" s="72">
        <f>E305+I305</f>
        <v>28</v>
      </c>
      <c r="M305" s="21" t="s">
        <v>20</v>
      </c>
      <c r="N305" s="22">
        <f>N299</f>
        <v>573</v>
      </c>
      <c r="O305" s="23">
        <f>O299</f>
        <v>828</v>
      </c>
      <c r="P305" s="24">
        <f>P299</f>
        <v>838</v>
      </c>
      <c r="Q305" s="54">
        <f>SUM(N305:P305)</f>
        <v>2239</v>
      </c>
      <c r="R305" s="22">
        <f>R299</f>
        <v>671</v>
      </c>
      <c r="S305" s="23">
        <f>S299</f>
        <v>847</v>
      </c>
      <c r="T305" s="24">
        <f>T299</f>
        <v>586</v>
      </c>
      <c r="U305" s="54">
        <f>SUM(R305:T305)</f>
        <v>2104</v>
      </c>
      <c r="V305" s="61">
        <f>Q305+U305</f>
        <v>4343</v>
      </c>
    </row>
    <row r="306" spans="1:23" x14ac:dyDescent="0.15">
      <c r="A306" s="19" t="s">
        <v>8</v>
      </c>
      <c r="B306" s="32">
        <v>5</v>
      </c>
      <c r="C306" s="33"/>
      <c r="D306" s="44"/>
      <c r="E306" s="50">
        <f>SUM(B306:D306)</f>
        <v>5</v>
      </c>
      <c r="F306" s="45"/>
      <c r="G306" s="46"/>
      <c r="H306" s="47"/>
      <c r="I306" s="50">
        <f>SUM(F306:H306)</f>
        <v>0</v>
      </c>
      <c r="J306" s="58">
        <f>E306+I306</f>
        <v>5</v>
      </c>
      <c r="K306" s="40">
        <v>45602</v>
      </c>
      <c r="M306" s="19" t="s">
        <v>205</v>
      </c>
      <c r="N306" s="113">
        <v>34</v>
      </c>
      <c r="O306" s="13">
        <v>73</v>
      </c>
      <c r="P306" s="80">
        <v>43</v>
      </c>
      <c r="Q306" s="51">
        <f t="shared" ref="Q306:Q307" si="289">SUM(N306:P306)</f>
        <v>150</v>
      </c>
      <c r="R306" s="15">
        <v>88</v>
      </c>
      <c r="S306" s="13">
        <v>54</v>
      </c>
      <c r="T306" s="14">
        <v>67</v>
      </c>
      <c r="U306" s="51">
        <f t="shared" ref="U306:U307" si="290">SUM(R306:T306)</f>
        <v>209</v>
      </c>
      <c r="V306" s="109">
        <f t="shared" ref="V306:V307" si="291">Q306+U306</f>
        <v>359</v>
      </c>
      <c r="W306" s="108">
        <v>45611</v>
      </c>
    </row>
    <row r="307" spans="1:23" x14ac:dyDescent="0.15">
      <c r="A307" s="19" t="s">
        <v>160</v>
      </c>
      <c r="B307" s="5">
        <v>1</v>
      </c>
      <c r="C307" s="6"/>
      <c r="D307" s="14"/>
      <c r="E307" s="51">
        <f>SUM(B307:D307)</f>
        <v>1</v>
      </c>
      <c r="F307" s="15">
        <v>1</v>
      </c>
      <c r="G307" s="13"/>
      <c r="H307" s="14"/>
      <c r="I307" s="51">
        <f>SUM(F307:H307)</f>
        <v>1</v>
      </c>
      <c r="J307" s="59">
        <f>E307+I307</f>
        <v>2</v>
      </c>
      <c r="K307" s="41">
        <v>45602</v>
      </c>
      <c r="M307" s="19" t="s">
        <v>9</v>
      </c>
      <c r="N307" s="5">
        <v>2</v>
      </c>
      <c r="O307" s="6">
        <v>4</v>
      </c>
      <c r="P307" s="36">
        <v>1</v>
      </c>
      <c r="Q307" s="52">
        <f t="shared" si="289"/>
        <v>7</v>
      </c>
      <c r="R307" s="8">
        <v>3</v>
      </c>
      <c r="S307" s="6">
        <v>6</v>
      </c>
      <c r="T307" s="7">
        <v>4</v>
      </c>
      <c r="U307" s="52">
        <f t="shared" si="290"/>
        <v>13</v>
      </c>
      <c r="V307" s="59">
        <f t="shared" si="291"/>
        <v>20</v>
      </c>
      <c r="W307" s="120">
        <v>45630</v>
      </c>
    </row>
    <row r="308" spans="1:23" x14ac:dyDescent="0.15">
      <c r="A308" s="19" t="s">
        <v>214</v>
      </c>
      <c r="B308" s="5">
        <v>8</v>
      </c>
      <c r="C308" s="6">
        <v>4</v>
      </c>
      <c r="D308" s="7">
        <v>2</v>
      </c>
      <c r="E308" s="51">
        <f t="shared" ref="E308:E313" si="292">SUM(B308:D308)</f>
        <v>14</v>
      </c>
      <c r="F308" s="8">
        <v>2</v>
      </c>
      <c r="G308" s="6">
        <v>5</v>
      </c>
      <c r="H308" s="7">
        <v>2</v>
      </c>
      <c r="I308" s="51">
        <f t="shared" ref="I308:I313" si="293">SUM(F308:H308)</f>
        <v>9</v>
      </c>
      <c r="J308" s="59">
        <f t="shared" ref="J308:J313" si="294">E308+I308</f>
        <v>23</v>
      </c>
      <c r="K308" s="40">
        <v>45602</v>
      </c>
      <c r="M308" s="19" t="s">
        <v>10</v>
      </c>
      <c r="N308" s="5"/>
      <c r="O308" s="6"/>
      <c r="P308" s="36"/>
      <c r="Q308" s="52">
        <f t="shared" ref="Q308" si="295">SUM(N308:P308)</f>
        <v>0</v>
      </c>
      <c r="R308" s="8"/>
      <c r="S308" s="6"/>
      <c r="T308" s="7"/>
      <c r="U308" s="52">
        <f t="shared" ref="U308" si="296">SUM(R308:T308)</f>
        <v>0</v>
      </c>
      <c r="V308" s="59">
        <f t="shared" ref="V308" si="297">Q308+U308</f>
        <v>0</v>
      </c>
    </row>
    <row r="309" spans="1:23" x14ac:dyDescent="0.15">
      <c r="A309" s="19" t="s">
        <v>198</v>
      </c>
      <c r="B309" s="5">
        <v>8</v>
      </c>
      <c r="C309" s="6">
        <v>10</v>
      </c>
      <c r="D309" s="36">
        <v>1</v>
      </c>
      <c r="E309" s="52">
        <f t="shared" si="292"/>
        <v>19</v>
      </c>
      <c r="F309" s="8">
        <v>3</v>
      </c>
      <c r="G309" s="6">
        <v>6</v>
      </c>
      <c r="H309" s="7">
        <v>2</v>
      </c>
      <c r="I309" s="52">
        <f t="shared" si="293"/>
        <v>11</v>
      </c>
      <c r="J309" s="59">
        <f t="shared" si="294"/>
        <v>30</v>
      </c>
      <c r="K309" s="40">
        <v>45608</v>
      </c>
      <c r="M309" s="19" t="s">
        <v>11</v>
      </c>
      <c r="N309" s="5"/>
      <c r="O309" s="6"/>
      <c r="P309" s="36"/>
      <c r="Q309" s="52">
        <f>SUM(N309:P309)</f>
        <v>0</v>
      </c>
      <c r="R309" s="8"/>
      <c r="S309" s="6"/>
      <c r="T309" s="7"/>
      <c r="U309" s="52">
        <f>SUM(R309:T309)</f>
        <v>0</v>
      </c>
      <c r="V309" s="59">
        <f>Q309+U309</f>
        <v>0</v>
      </c>
    </row>
    <row r="310" spans="1:23" x14ac:dyDescent="0.15">
      <c r="A310" s="19" t="s">
        <v>12</v>
      </c>
      <c r="B310" s="5"/>
      <c r="C310" s="6">
        <v>1</v>
      </c>
      <c r="D310" s="36">
        <v>5</v>
      </c>
      <c r="E310" s="52">
        <f t="shared" si="292"/>
        <v>6</v>
      </c>
      <c r="F310" s="8"/>
      <c r="G310" s="6"/>
      <c r="H310" s="7">
        <v>5</v>
      </c>
      <c r="I310" s="52">
        <f t="shared" si="293"/>
        <v>5</v>
      </c>
      <c r="J310" s="59">
        <f t="shared" si="294"/>
        <v>11</v>
      </c>
      <c r="K310" s="40">
        <v>45612</v>
      </c>
      <c r="M310" s="19" t="s">
        <v>12</v>
      </c>
      <c r="N310" s="9"/>
      <c r="O310" s="10"/>
      <c r="P310" s="37"/>
      <c r="Q310" s="52">
        <f t="shared" ref="Q310:Q313" si="298">SUM(N310:P310)</f>
        <v>0</v>
      </c>
      <c r="R310" s="12"/>
      <c r="S310" s="10"/>
      <c r="T310" s="11"/>
      <c r="U310" s="52">
        <f t="shared" ref="U310:U313" si="299">SUM(R310:T310)</f>
        <v>0</v>
      </c>
      <c r="V310" s="59">
        <f t="shared" ref="V310:V313" si="300">Q310+U310</f>
        <v>0</v>
      </c>
    </row>
    <row r="311" spans="1:23" x14ac:dyDescent="0.15">
      <c r="A311" s="19" t="s">
        <v>95</v>
      </c>
      <c r="B311" s="5"/>
      <c r="C311" s="6">
        <v>1</v>
      </c>
      <c r="D311" s="36"/>
      <c r="E311" s="52">
        <f t="shared" si="292"/>
        <v>1</v>
      </c>
      <c r="F311" s="8"/>
      <c r="G311" s="6">
        <v>1</v>
      </c>
      <c r="H311" s="7"/>
      <c r="I311" s="52">
        <f t="shared" si="293"/>
        <v>1</v>
      </c>
      <c r="J311" s="59">
        <f t="shared" si="294"/>
        <v>2</v>
      </c>
      <c r="K311" s="41">
        <v>45617</v>
      </c>
      <c r="M311" s="19" t="s">
        <v>13</v>
      </c>
      <c r="N311" s="9"/>
      <c r="O311" s="10"/>
      <c r="P311" s="37"/>
      <c r="Q311" s="52">
        <f t="shared" si="298"/>
        <v>0</v>
      </c>
      <c r="R311" s="12"/>
      <c r="S311" s="10"/>
      <c r="T311" s="11"/>
      <c r="U311" s="52">
        <f t="shared" si="299"/>
        <v>0</v>
      </c>
      <c r="V311" s="59">
        <f t="shared" si="300"/>
        <v>0</v>
      </c>
    </row>
    <row r="312" spans="1:23" x14ac:dyDescent="0.15">
      <c r="A312" s="19" t="s">
        <v>198</v>
      </c>
      <c r="B312" s="9">
        <v>2</v>
      </c>
      <c r="C312" s="10">
        <v>3</v>
      </c>
      <c r="D312" s="37">
        <v>1</v>
      </c>
      <c r="E312" s="52">
        <f t="shared" si="292"/>
        <v>6</v>
      </c>
      <c r="F312" s="12">
        <v>3</v>
      </c>
      <c r="G312" s="10">
        <v>5</v>
      </c>
      <c r="H312" s="11">
        <v>4</v>
      </c>
      <c r="I312" s="52">
        <f t="shared" si="293"/>
        <v>12</v>
      </c>
      <c r="J312" s="59">
        <f t="shared" si="294"/>
        <v>18</v>
      </c>
      <c r="K312" s="40">
        <v>45630</v>
      </c>
      <c r="M312" s="19" t="s">
        <v>14</v>
      </c>
      <c r="N312" s="9"/>
      <c r="O312" s="10"/>
      <c r="P312" s="37"/>
      <c r="Q312" s="52">
        <f t="shared" si="298"/>
        <v>0</v>
      </c>
      <c r="R312" s="12"/>
      <c r="S312" s="10"/>
      <c r="T312" s="11"/>
      <c r="U312" s="52">
        <f t="shared" si="299"/>
        <v>0</v>
      </c>
      <c r="V312" s="59">
        <f t="shared" si="300"/>
        <v>0</v>
      </c>
    </row>
    <row r="313" spans="1:23" ht="14.25" thickBot="1" x14ac:dyDescent="0.2">
      <c r="A313" s="19" t="s">
        <v>160</v>
      </c>
      <c r="B313" s="25"/>
      <c r="C313" s="26">
        <v>1</v>
      </c>
      <c r="D313" s="38"/>
      <c r="E313" s="53">
        <f t="shared" si="292"/>
        <v>1</v>
      </c>
      <c r="F313" s="27"/>
      <c r="G313" s="27">
        <v>1</v>
      </c>
      <c r="H313" s="29"/>
      <c r="I313" s="53">
        <f t="shared" si="293"/>
        <v>1</v>
      </c>
      <c r="J313" s="60">
        <f t="shared" si="294"/>
        <v>2</v>
      </c>
      <c r="K313" s="41">
        <v>45636</v>
      </c>
      <c r="M313" s="19" t="s">
        <v>15</v>
      </c>
      <c r="N313" s="25"/>
      <c r="O313" s="26"/>
      <c r="P313" s="38"/>
      <c r="Q313" s="53">
        <f t="shared" si="298"/>
        <v>0</v>
      </c>
      <c r="R313" s="27"/>
      <c r="S313" s="27"/>
      <c r="T313" s="29"/>
      <c r="U313" s="53">
        <f t="shared" si="299"/>
        <v>0</v>
      </c>
      <c r="V313" s="60">
        <f t="shared" si="300"/>
        <v>0</v>
      </c>
    </row>
    <row r="314" spans="1:23" ht="14.25" thickBot="1" x14ac:dyDescent="0.2">
      <c r="A314" s="28" t="s">
        <v>16</v>
      </c>
      <c r="B314" s="22">
        <f>SUM(B305:B313)</f>
        <v>27</v>
      </c>
      <c r="C314" s="23">
        <f t="shared" ref="C314:D314" si="301">SUM(C305:C313)</f>
        <v>24</v>
      </c>
      <c r="D314" s="24">
        <f t="shared" si="301"/>
        <v>13</v>
      </c>
      <c r="E314" s="54">
        <f>SUM(B314:D314)</f>
        <v>64</v>
      </c>
      <c r="F314" s="22">
        <f>SUM(F305:F313)</f>
        <v>14</v>
      </c>
      <c r="G314" s="23">
        <f t="shared" ref="G314:H314" si="302">SUM(G305:G313)</f>
        <v>25</v>
      </c>
      <c r="H314" s="24">
        <f t="shared" si="302"/>
        <v>18</v>
      </c>
      <c r="I314" s="54">
        <f>SUM(F314:H314)</f>
        <v>57</v>
      </c>
      <c r="J314" s="61">
        <f>SUM(J306:J313)</f>
        <v>93</v>
      </c>
      <c r="M314" s="28" t="s">
        <v>16</v>
      </c>
      <c r="N314" s="22">
        <f>SUM(N305:N313)</f>
        <v>609</v>
      </c>
      <c r="O314" s="23">
        <f t="shared" ref="O314:P314" si="303">SUM(O305:O313)</f>
        <v>905</v>
      </c>
      <c r="P314" s="24">
        <f t="shared" si="303"/>
        <v>882</v>
      </c>
      <c r="Q314" s="54">
        <f>SUM(N314:P314)</f>
        <v>2396</v>
      </c>
      <c r="R314" s="22">
        <f>SUM(R305:R313)</f>
        <v>762</v>
      </c>
      <c r="S314" s="23">
        <f t="shared" ref="S314:T314" si="304">SUM(S305:S313)</f>
        <v>907</v>
      </c>
      <c r="T314" s="24">
        <f t="shared" si="304"/>
        <v>657</v>
      </c>
      <c r="U314" s="54">
        <f>SUM(R314:T314)</f>
        <v>2326</v>
      </c>
      <c r="V314" s="61">
        <f>Q314+U314</f>
        <v>4722</v>
      </c>
    </row>
    <row r="315" spans="1:23" x14ac:dyDescent="0.15">
      <c r="A315" s="17" t="s">
        <v>212</v>
      </c>
      <c r="B315" s="9"/>
      <c r="C315" s="10">
        <v>-1</v>
      </c>
      <c r="D315" s="11"/>
      <c r="E315" s="51">
        <f t="shared" ref="E315:E341" si="305">SUM(B315:D315)</f>
        <v>-1</v>
      </c>
      <c r="F315" s="12"/>
      <c r="G315" s="10"/>
      <c r="H315" s="11"/>
      <c r="I315" s="51">
        <f t="shared" ref="I315:I341" si="306">SUM(F315:H315)</f>
        <v>0</v>
      </c>
      <c r="J315" s="59">
        <f t="shared" ref="J315:J340" si="307">E315+I315</f>
        <v>-1</v>
      </c>
      <c r="K315" s="41">
        <v>45598</v>
      </c>
      <c r="M315" s="20" t="s">
        <v>41</v>
      </c>
      <c r="N315" s="5">
        <v>2</v>
      </c>
      <c r="O315" s="6">
        <v>2</v>
      </c>
      <c r="P315" s="7">
        <v>2</v>
      </c>
      <c r="Q315" s="51">
        <f t="shared" ref="Q315" si="308">SUM(N315:P315)</f>
        <v>6</v>
      </c>
      <c r="R315" s="8">
        <v>2</v>
      </c>
      <c r="S315" s="6">
        <v>3</v>
      </c>
      <c r="T315" s="7">
        <v>2</v>
      </c>
      <c r="U315" s="51">
        <f t="shared" ref="U315" si="309">SUM(R315:T315)</f>
        <v>7</v>
      </c>
      <c r="V315" s="59">
        <f t="shared" ref="V315" si="310">Q315+U315</f>
        <v>13</v>
      </c>
      <c r="W315" s="108">
        <v>45695</v>
      </c>
    </row>
    <row r="316" spans="1:23" x14ac:dyDescent="0.15">
      <c r="A316" s="17" t="s">
        <v>57</v>
      </c>
      <c r="B316" s="5">
        <v>1</v>
      </c>
      <c r="C316" s="6"/>
      <c r="D316" s="7"/>
      <c r="E316" s="51">
        <f t="shared" ref="E316:E318" si="311">SUM(B316:D316)</f>
        <v>1</v>
      </c>
      <c r="F316" s="8">
        <v>1</v>
      </c>
      <c r="G316" s="6"/>
      <c r="H316" s="7"/>
      <c r="I316" s="51">
        <f t="shared" ref="I316:I318" si="312">SUM(F316:H316)</f>
        <v>1</v>
      </c>
      <c r="J316" s="59">
        <f t="shared" ref="J316:J318" si="313">E316+I316</f>
        <v>2</v>
      </c>
      <c r="K316" s="40">
        <v>45601</v>
      </c>
      <c r="M316" s="20"/>
      <c r="N316" s="5"/>
      <c r="O316" s="6"/>
      <c r="P316" s="7"/>
      <c r="Q316" s="51">
        <f t="shared" ref="Q316:Q341" si="314">SUM(N316:P316)</f>
        <v>0</v>
      </c>
      <c r="R316" s="8"/>
      <c r="S316" s="6"/>
      <c r="T316" s="7"/>
      <c r="U316" s="51">
        <f t="shared" ref="U316:U341" si="315">SUM(R316:T316)</f>
        <v>0</v>
      </c>
      <c r="V316" s="59">
        <f t="shared" ref="V316:V337" si="316">Q316+U316</f>
        <v>0</v>
      </c>
    </row>
    <row r="317" spans="1:23" x14ac:dyDescent="0.15">
      <c r="A317" s="17" t="s">
        <v>215</v>
      </c>
      <c r="B317" s="5"/>
      <c r="C317" s="6">
        <v>1</v>
      </c>
      <c r="D317" s="7"/>
      <c r="E317" s="51">
        <f t="shared" si="311"/>
        <v>1</v>
      </c>
      <c r="F317" s="8"/>
      <c r="G317" s="6"/>
      <c r="H317" s="7"/>
      <c r="I317" s="51">
        <f t="shared" si="312"/>
        <v>0</v>
      </c>
      <c r="J317" s="59">
        <f t="shared" si="313"/>
        <v>1</v>
      </c>
      <c r="K317" s="40">
        <v>45602</v>
      </c>
      <c r="M317" s="20"/>
      <c r="N317" s="5"/>
      <c r="O317" s="6"/>
      <c r="P317" s="7"/>
      <c r="Q317" s="51">
        <f t="shared" si="314"/>
        <v>0</v>
      </c>
      <c r="R317" s="8"/>
      <c r="S317" s="6"/>
      <c r="T317" s="7"/>
      <c r="U317" s="51">
        <f t="shared" si="315"/>
        <v>0</v>
      </c>
      <c r="V317" s="59">
        <f t="shared" si="316"/>
        <v>0</v>
      </c>
    </row>
    <row r="318" spans="1:23" x14ac:dyDescent="0.15">
      <c r="A318" s="17" t="s">
        <v>216</v>
      </c>
      <c r="B318" s="5">
        <v>16</v>
      </c>
      <c r="C318" s="6">
        <v>11</v>
      </c>
      <c r="D318" s="7">
        <v>6</v>
      </c>
      <c r="E318" s="51">
        <f t="shared" si="311"/>
        <v>33</v>
      </c>
      <c r="F318" s="8">
        <f>2+5</f>
        <v>7</v>
      </c>
      <c r="G318" s="6">
        <f>5+4</f>
        <v>9</v>
      </c>
      <c r="H318" s="7">
        <f>2+5</f>
        <v>7</v>
      </c>
      <c r="I318" s="51">
        <f t="shared" si="312"/>
        <v>23</v>
      </c>
      <c r="J318" s="59">
        <f t="shared" si="313"/>
        <v>56</v>
      </c>
      <c r="K318" s="41">
        <v>45612</v>
      </c>
      <c r="M318" s="18"/>
      <c r="N318" s="5"/>
      <c r="O318" s="6"/>
      <c r="P318" s="7"/>
      <c r="Q318" s="51">
        <f t="shared" si="314"/>
        <v>0</v>
      </c>
      <c r="R318" s="8"/>
      <c r="S318" s="6"/>
      <c r="T318" s="7"/>
      <c r="U318" s="51">
        <f t="shared" si="315"/>
        <v>0</v>
      </c>
      <c r="V318" s="59">
        <f t="shared" si="316"/>
        <v>0</v>
      </c>
    </row>
    <row r="319" spans="1:23" x14ac:dyDescent="0.15">
      <c r="A319" s="17" t="s">
        <v>57</v>
      </c>
      <c r="B319" s="5">
        <v>1</v>
      </c>
      <c r="C319" s="6"/>
      <c r="D319" s="7"/>
      <c r="E319" s="51">
        <f t="shared" si="305"/>
        <v>1</v>
      </c>
      <c r="F319" s="8"/>
      <c r="G319" s="6"/>
      <c r="H319" s="7"/>
      <c r="I319" s="51">
        <f t="shared" si="306"/>
        <v>0</v>
      </c>
      <c r="J319" s="59">
        <f t="shared" si="307"/>
        <v>1</v>
      </c>
      <c r="K319" s="41">
        <v>45621</v>
      </c>
      <c r="M319" s="18"/>
      <c r="N319" s="5"/>
      <c r="O319" s="6"/>
      <c r="P319" s="7"/>
      <c r="Q319" s="51">
        <f t="shared" si="314"/>
        <v>0</v>
      </c>
      <c r="R319" s="8"/>
      <c r="S319" s="6"/>
      <c r="T319" s="7"/>
      <c r="U319" s="51">
        <f t="shared" si="315"/>
        <v>0</v>
      </c>
      <c r="V319" s="59">
        <f t="shared" si="316"/>
        <v>0</v>
      </c>
    </row>
    <row r="320" spans="1:23" x14ac:dyDescent="0.15">
      <c r="A320" s="17" t="s">
        <v>215</v>
      </c>
      <c r="B320" s="5"/>
      <c r="C320" s="6"/>
      <c r="D320" s="14"/>
      <c r="E320" s="51">
        <f t="shared" si="305"/>
        <v>0</v>
      </c>
      <c r="F320" s="15">
        <v>1</v>
      </c>
      <c r="G320" s="13"/>
      <c r="H320" s="14"/>
      <c r="I320" s="51">
        <f t="shared" si="306"/>
        <v>1</v>
      </c>
      <c r="J320" s="59">
        <f t="shared" si="307"/>
        <v>1</v>
      </c>
      <c r="K320" s="40">
        <v>45630</v>
      </c>
      <c r="M320" s="20"/>
      <c r="N320" s="5"/>
      <c r="O320" s="6"/>
      <c r="P320" s="14"/>
      <c r="Q320" s="51">
        <f t="shared" si="314"/>
        <v>0</v>
      </c>
      <c r="R320" s="15"/>
      <c r="S320" s="13"/>
      <c r="T320" s="14"/>
      <c r="U320" s="51">
        <f t="shared" si="315"/>
        <v>0</v>
      </c>
      <c r="V320" s="59">
        <f t="shared" si="316"/>
        <v>0</v>
      </c>
    </row>
    <row r="321" spans="1:22" x14ac:dyDescent="0.15">
      <c r="A321" s="17" t="s">
        <v>175</v>
      </c>
      <c r="B321" s="5">
        <v>2</v>
      </c>
      <c r="C321" s="6">
        <v>4</v>
      </c>
      <c r="D321" s="7">
        <v>1</v>
      </c>
      <c r="E321" s="51">
        <f t="shared" si="305"/>
        <v>7</v>
      </c>
      <c r="F321" s="8">
        <v>3</v>
      </c>
      <c r="G321" s="6">
        <v>6</v>
      </c>
      <c r="H321" s="7">
        <v>4</v>
      </c>
      <c r="I321" s="51">
        <f t="shared" si="306"/>
        <v>13</v>
      </c>
      <c r="J321" s="59">
        <f t="shared" si="307"/>
        <v>20</v>
      </c>
      <c r="K321" s="40">
        <v>45630</v>
      </c>
      <c r="M321" s="42"/>
      <c r="N321" s="5"/>
      <c r="O321" s="6"/>
      <c r="P321" s="7"/>
      <c r="Q321" s="51">
        <f t="shared" si="314"/>
        <v>0</v>
      </c>
      <c r="R321" s="8"/>
      <c r="S321" s="6"/>
      <c r="T321" s="7"/>
      <c r="U321" s="51">
        <f t="shared" si="315"/>
        <v>0</v>
      </c>
      <c r="V321" s="59">
        <f t="shared" si="316"/>
        <v>0</v>
      </c>
    </row>
    <row r="322" spans="1:22" x14ac:dyDescent="0.15">
      <c r="A322" s="17" t="s">
        <v>57</v>
      </c>
      <c r="B322" s="5"/>
      <c r="C322" s="6"/>
      <c r="D322" s="7"/>
      <c r="E322" s="51">
        <f t="shared" si="305"/>
        <v>0</v>
      </c>
      <c r="F322" s="8"/>
      <c r="G322" s="6">
        <v>1</v>
      </c>
      <c r="H322" s="7"/>
      <c r="I322" s="51">
        <f t="shared" si="306"/>
        <v>1</v>
      </c>
      <c r="J322" s="59">
        <f t="shared" si="307"/>
        <v>1</v>
      </c>
      <c r="K322" s="40">
        <v>45635</v>
      </c>
      <c r="M322" s="18"/>
      <c r="N322" s="5" t="s">
        <v>22</v>
      </c>
      <c r="O322" s="6"/>
      <c r="P322" s="7"/>
      <c r="Q322" s="51">
        <f t="shared" si="314"/>
        <v>0</v>
      </c>
      <c r="R322" s="8"/>
      <c r="S322" s="6"/>
      <c r="T322" s="7"/>
      <c r="U322" s="51">
        <f t="shared" si="315"/>
        <v>0</v>
      </c>
      <c r="V322" s="59">
        <f t="shared" si="316"/>
        <v>0</v>
      </c>
    </row>
    <row r="323" spans="1:22" x14ac:dyDescent="0.15">
      <c r="A323" s="17" t="s">
        <v>57</v>
      </c>
      <c r="B323" s="5"/>
      <c r="C323" s="6"/>
      <c r="D323" s="7"/>
      <c r="E323" s="51">
        <f t="shared" si="305"/>
        <v>0</v>
      </c>
      <c r="F323" s="8"/>
      <c r="G323" s="6">
        <v>2</v>
      </c>
      <c r="H323" s="7"/>
      <c r="I323" s="51">
        <f t="shared" si="306"/>
        <v>2</v>
      </c>
      <c r="J323" s="59">
        <f t="shared" si="307"/>
        <v>2</v>
      </c>
      <c r="K323" s="40">
        <v>45637</v>
      </c>
      <c r="M323" s="20"/>
      <c r="N323" s="5"/>
      <c r="O323" s="6"/>
      <c r="P323" s="7"/>
      <c r="Q323" s="51">
        <f t="shared" si="314"/>
        <v>0</v>
      </c>
      <c r="R323" s="8"/>
      <c r="S323" s="6"/>
      <c r="T323" s="7"/>
      <c r="U323" s="51">
        <f t="shared" si="315"/>
        <v>0</v>
      </c>
      <c r="V323" s="59">
        <f t="shared" si="316"/>
        <v>0</v>
      </c>
    </row>
    <row r="324" spans="1:22" x14ac:dyDescent="0.15">
      <c r="A324" s="17" t="s">
        <v>57</v>
      </c>
      <c r="B324" s="9"/>
      <c r="C324" s="10"/>
      <c r="D324" s="11">
        <v>1</v>
      </c>
      <c r="E324" s="51">
        <f t="shared" si="305"/>
        <v>1</v>
      </c>
      <c r="F324" s="12"/>
      <c r="G324" s="10"/>
      <c r="H324" s="11">
        <v>1</v>
      </c>
      <c r="I324" s="51">
        <f t="shared" si="306"/>
        <v>1</v>
      </c>
      <c r="J324" s="59">
        <f t="shared" si="307"/>
        <v>2</v>
      </c>
      <c r="K324" s="40">
        <v>45646</v>
      </c>
      <c r="M324" s="18"/>
      <c r="N324" s="9"/>
      <c r="O324" s="10"/>
      <c r="P324" s="11"/>
      <c r="Q324" s="51">
        <f t="shared" si="314"/>
        <v>0</v>
      </c>
      <c r="R324" s="12"/>
      <c r="S324" s="10"/>
      <c r="T324" s="11"/>
      <c r="U324" s="51">
        <f t="shared" si="315"/>
        <v>0</v>
      </c>
      <c r="V324" s="59">
        <f t="shared" si="316"/>
        <v>0</v>
      </c>
    </row>
    <row r="325" spans="1:22" x14ac:dyDescent="0.15">
      <c r="A325" s="17" t="s">
        <v>57</v>
      </c>
      <c r="B325" s="5"/>
      <c r="C325" s="6">
        <v>1</v>
      </c>
      <c r="D325" s="7"/>
      <c r="E325" s="51">
        <f t="shared" si="305"/>
        <v>1</v>
      </c>
      <c r="F325" s="8"/>
      <c r="G325" s="6">
        <v>1</v>
      </c>
      <c r="H325" s="7"/>
      <c r="I325" s="51">
        <f t="shared" si="306"/>
        <v>1</v>
      </c>
      <c r="J325" s="59">
        <f t="shared" si="307"/>
        <v>2</v>
      </c>
      <c r="K325" s="40">
        <v>45647</v>
      </c>
      <c r="M325" s="20"/>
      <c r="N325" s="5"/>
      <c r="O325" s="6"/>
      <c r="P325" s="7"/>
      <c r="Q325" s="51">
        <f t="shared" si="314"/>
        <v>0</v>
      </c>
      <c r="R325" s="8"/>
      <c r="S325" s="6"/>
      <c r="T325" s="7"/>
      <c r="U325" s="51">
        <f t="shared" si="315"/>
        <v>0</v>
      </c>
      <c r="V325" s="59">
        <f t="shared" si="316"/>
        <v>0</v>
      </c>
    </row>
    <row r="326" spans="1:22" x14ac:dyDescent="0.15">
      <c r="A326" s="17" t="s">
        <v>215</v>
      </c>
      <c r="B326" s="5">
        <v>1</v>
      </c>
      <c r="C326" s="6"/>
      <c r="D326" s="7"/>
      <c r="E326" s="51">
        <f t="shared" si="305"/>
        <v>1</v>
      </c>
      <c r="F326" s="8"/>
      <c r="G326" s="6"/>
      <c r="H326" s="7"/>
      <c r="I326" s="51">
        <f t="shared" si="306"/>
        <v>0</v>
      </c>
      <c r="J326" s="59">
        <f t="shared" si="307"/>
        <v>1</v>
      </c>
      <c r="K326" s="40">
        <v>45665</v>
      </c>
      <c r="M326" s="20"/>
      <c r="N326" s="5"/>
      <c r="O326" s="6"/>
      <c r="P326" s="7"/>
      <c r="Q326" s="51">
        <f t="shared" si="314"/>
        <v>0</v>
      </c>
      <c r="R326" s="8"/>
      <c r="S326" s="6"/>
      <c r="T326" s="7"/>
      <c r="U326" s="51">
        <f t="shared" si="315"/>
        <v>0</v>
      </c>
      <c r="V326" s="59">
        <f t="shared" si="316"/>
        <v>0</v>
      </c>
    </row>
    <row r="327" spans="1:22" x14ac:dyDescent="0.15">
      <c r="A327" s="17" t="s">
        <v>57</v>
      </c>
      <c r="B327" s="5"/>
      <c r="C327" s="6">
        <v>1</v>
      </c>
      <c r="D327" s="7"/>
      <c r="E327" s="51">
        <f t="shared" si="305"/>
        <v>1</v>
      </c>
      <c r="F327" s="8"/>
      <c r="G327" s="6">
        <v>1</v>
      </c>
      <c r="H327" s="7"/>
      <c r="I327" s="51">
        <f t="shared" si="306"/>
        <v>1</v>
      </c>
      <c r="J327" s="59">
        <f t="shared" si="307"/>
        <v>2</v>
      </c>
      <c r="K327" s="40">
        <v>45668</v>
      </c>
      <c r="M327" s="18"/>
      <c r="N327" s="5"/>
      <c r="O327" s="6"/>
      <c r="P327" s="7"/>
      <c r="Q327" s="51">
        <f t="shared" si="314"/>
        <v>0</v>
      </c>
      <c r="R327" s="8"/>
      <c r="S327" s="6"/>
      <c r="T327" s="7"/>
      <c r="U327" s="51">
        <f t="shared" si="315"/>
        <v>0</v>
      </c>
      <c r="V327" s="59">
        <f t="shared" si="316"/>
        <v>0</v>
      </c>
    </row>
    <row r="328" spans="1:22" x14ac:dyDescent="0.15">
      <c r="A328" s="17" t="s">
        <v>218</v>
      </c>
      <c r="B328" s="5"/>
      <c r="C328" s="6">
        <v>1</v>
      </c>
      <c r="D328" s="7"/>
      <c r="E328" s="51">
        <f t="shared" si="305"/>
        <v>1</v>
      </c>
      <c r="F328" s="8"/>
      <c r="G328" s="6">
        <v>1</v>
      </c>
      <c r="H328" s="7"/>
      <c r="I328" s="51">
        <f t="shared" si="306"/>
        <v>1</v>
      </c>
      <c r="J328" s="59">
        <f t="shared" si="307"/>
        <v>2</v>
      </c>
      <c r="K328" s="40">
        <v>45677</v>
      </c>
      <c r="M328" s="18"/>
      <c r="N328" s="5"/>
      <c r="O328" s="6"/>
      <c r="P328" s="7"/>
      <c r="Q328" s="51">
        <f t="shared" si="314"/>
        <v>0</v>
      </c>
      <c r="R328" s="8"/>
      <c r="S328" s="6"/>
      <c r="T328" s="7"/>
      <c r="U328" s="51">
        <f t="shared" si="315"/>
        <v>0</v>
      </c>
      <c r="V328" s="59">
        <f t="shared" si="316"/>
        <v>0</v>
      </c>
    </row>
    <row r="329" spans="1:22" x14ac:dyDescent="0.15">
      <c r="A329" s="17" t="s">
        <v>215</v>
      </c>
      <c r="B329" s="5">
        <v>1</v>
      </c>
      <c r="C329" s="6"/>
      <c r="D329" s="7"/>
      <c r="E329" s="51">
        <f t="shared" si="305"/>
        <v>1</v>
      </c>
      <c r="F329" s="8"/>
      <c r="G329" s="6"/>
      <c r="H329" s="7"/>
      <c r="I329" s="51">
        <f t="shared" si="306"/>
        <v>0</v>
      </c>
      <c r="J329" s="59">
        <f t="shared" si="307"/>
        <v>1</v>
      </c>
      <c r="K329" s="40">
        <v>45677</v>
      </c>
      <c r="M329" s="20"/>
      <c r="N329" s="5"/>
      <c r="O329" s="6"/>
      <c r="P329" s="7"/>
      <c r="Q329" s="51">
        <f t="shared" si="314"/>
        <v>0</v>
      </c>
      <c r="R329" s="8"/>
      <c r="S329" s="6"/>
      <c r="T329" s="7"/>
      <c r="U329" s="51">
        <f t="shared" si="315"/>
        <v>0</v>
      </c>
      <c r="V329" s="59">
        <f t="shared" si="316"/>
        <v>0</v>
      </c>
    </row>
    <row r="330" spans="1:22" x14ac:dyDescent="0.15">
      <c r="A330" s="17" t="s">
        <v>57</v>
      </c>
      <c r="B330" s="5"/>
      <c r="C330" s="6">
        <v>1</v>
      </c>
      <c r="D330" s="7"/>
      <c r="E330" s="51">
        <f t="shared" si="305"/>
        <v>1</v>
      </c>
      <c r="F330" s="8"/>
      <c r="G330" s="6"/>
      <c r="H330" s="7"/>
      <c r="I330" s="51">
        <f t="shared" si="306"/>
        <v>0</v>
      </c>
      <c r="J330" s="59">
        <f t="shared" si="307"/>
        <v>1</v>
      </c>
      <c r="K330" s="40">
        <v>45684</v>
      </c>
      <c r="M330" s="20"/>
      <c r="N330" s="5"/>
      <c r="O330" s="6"/>
      <c r="P330" s="7"/>
      <c r="Q330" s="51">
        <f t="shared" si="314"/>
        <v>0</v>
      </c>
      <c r="R330" s="8"/>
      <c r="S330" s="6"/>
      <c r="T330" s="7"/>
      <c r="U330" s="51">
        <f t="shared" si="315"/>
        <v>0</v>
      </c>
      <c r="V330" s="59">
        <f t="shared" si="316"/>
        <v>0</v>
      </c>
    </row>
    <row r="331" spans="1:22" x14ac:dyDescent="0.15">
      <c r="A331" s="17" t="s">
        <v>215</v>
      </c>
      <c r="B331" s="5"/>
      <c r="C331" s="6"/>
      <c r="D331" s="7"/>
      <c r="E331" s="51">
        <f t="shared" si="305"/>
        <v>0</v>
      </c>
      <c r="F331" s="8">
        <v>1</v>
      </c>
      <c r="G331" s="6"/>
      <c r="H331" s="7"/>
      <c r="I331" s="51">
        <f t="shared" si="306"/>
        <v>1</v>
      </c>
      <c r="J331" s="59">
        <f t="shared" si="307"/>
        <v>1</v>
      </c>
      <c r="K331" s="40">
        <v>45687</v>
      </c>
      <c r="M331" s="18"/>
      <c r="N331" s="5"/>
      <c r="O331" s="6"/>
      <c r="P331" s="7"/>
      <c r="Q331" s="51">
        <f t="shared" si="314"/>
        <v>0</v>
      </c>
      <c r="R331" s="8"/>
      <c r="S331" s="6"/>
      <c r="T331" s="7"/>
      <c r="U331" s="51">
        <f t="shared" si="315"/>
        <v>0</v>
      </c>
      <c r="V331" s="59">
        <f t="shared" si="316"/>
        <v>0</v>
      </c>
    </row>
    <row r="332" spans="1:22" x14ac:dyDescent="0.15">
      <c r="A332" s="17" t="s">
        <v>218</v>
      </c>
      <c r="B332" s="5"/>
      <c r="C332" s="6">
        <v>1</v>
      </c>
      <c r="D332" s="7"/>
      <c r="E332" s="51">
        <f t="shared" ref="E332" si="317">SUM(B332:D332)</f>
        <v>1</v>
      </c>
      <c r="F332" s="8"/>
      <c r="G332" s="6">
        <v>1</v>
      </c>
      <c r="H332" s="7"/>
      <c r="I332" s="51">
        <f t="shared" ref="I332:I337" si="318">SUM(F332:H332)</f>
        <v>1</v>
      </c>
      <c r="J332" s="59">
        <f t="shared" ref="J332" si="319">E332+I332</f>
        <v>2</v>
      </c>
      <c r="K332" s="40">
        <v>45691</v>
      </c>
      <c r="M332" s="20"/>
      <c r="N332" s="5"/>
      <c r="O332" s="6"/>
      <c r="P332" s="7"/>
      <c r="Q332" s="51">
        <f t="shared" si="314"/>
        <v>0</v>
      </c>
      <c r="R332" s="8"/>
      <c r="S332" s="6"/>
      <c r="T332" s="7"/>
      <c r="U332" s="51">
        <f t="shared" si="315"/>
        <v>0</v>
      </c>
      <c r="V332" s="59">
        <f t="shared" si="316"/>
        <v>0</v>
      </c>
    </row>
    <row r="333" spans="1:22" x14ac:dyDescent="0.15">
      <c r="A333" s="17" t="s">
        <v>57</v>
      </c>
      <c r="B333" s="5"/>
      <c r="C333" s="6">
        <v>1</v>
      </c>
      <c r="D333" s="7"/>
      <c r="E333" s="51">
        <f t="shared" si="305"/>
        <v>1</v>
      </c>
      <c r="F333" s="8"/>
      <c r="G333" s="6">
        <v>1</v>
      </c>
      <c r="H333" s="7"/>
      <c r="I333" s="51">
        <f t="shared" si="318"/>
        <v>1</v>
      </c>
      <c r="J333" s="59">
        <f t="shared" si="307"/>
        <v>2</v>
      </c>
      <c r="K333" s="40">
        <v>45691</v>
      </c>
      <c r="M333" s="18"/>
      <c r="N333" s="5"/>
      <c r="O333" s="6"/>
      <c r="P333" s="7"/>
      <c r="Q333" s="51">
        <f t="shared" si="314"/>
        <v>0</v>
      </c>
      <c r="R333" s="8"/>
      <c r="S333" s="6"/>
      <c r="T333" s="7"/>
      <c r="U333" s="51">
        <f t="shared" si="315"/>
        <v>0</v>
      </c>
      <c r="V333" s="59">
        <f t="shared" si="316"/>
        <v>0</v>
      </c>
    </row>
    <row r="334" spans="1:22" x14ac:dyDescent="0.15">
      <c r="A334" s="17" t="s">
        <v>223</v>
      </c>
      <c r="B334" s="5"/>
      <c r="C334" s="6">
        <v>-2</v>
      </c>
      <c r="D334" s="7"/>
      <c r="E334" s="51">
        <f t="shared" si="305"/>
        <v>-2</v>
      </c>
      <c r="F334" s="8">
        <v>-2</v>
      </c>
      <c r="G334" s="6">
        <v>-2</v>
      </c>
      <c r="H334" s="7"/>
      <c r="I334" s="51">
        <f t="shared" si="318"/>
        <v>-4</v>
      </c>
      <c r="J334" s="59">
        <f t="shared" si="307"/>
        <v>-6</v>
      </c>
      <c r="K334" s="40">
        <v>45692</v>
      </c>
      <c r="M334" s="20"/>
      <c r="N334" s="5"/>
      <c r="O334" s="6"/>
      <c r="P334" s="7"/>
      <c r="Q334" s="51">
        <f t="shared" si="314"/>
        <v>0</v>
      </c>
      <c r="R334" s="8"/>
      <c r="S334" s="6"/>
      <c r="T334" s="7"/>
      <c r="U334" s="51">
        <f t="shared" si="315"/>
        <v>0</v>
      </c>
      <c r="V334" s="59">
        <f t="shared" si="316"/>
        <v>0</v>
      </c>
    </row>
    <row r="335" spans="1:22" x14ac:dyDescent="0.15">
      <c r="A335" s="17" t="s">
        <v>57</v>
      </c>
      <c r="B335" s="5">
        <v>1</v>
      </c>
      <c r="C335" s="6"/>
      <c r="D335" s="7"/>
      <c r="E335" s="51">
        <f t="shared" si="305"/>
        <v>1</v>
      </c>
      <c r="F335" s="8">
        <v>1</v>
      </c>
      <c r="G335" s="6"/>
      <c r="H335" s="7"/>
      <c r="I335" s="51">
        <f t="shared" si="318"/>
        <v>1</v>
      </c>
      <c r="J335" s="59">
        <f t="shared" si="307"/>
        <v>2</v>
      </c>
      <c r="K335" s="40">
        <v>45693</v>
      </c>
      <c r="M335" s="20"/>
      <c r="N335" s="5"/>
      <c r="O335" s="6"/>
      <c r="P335" s="7"/>
      <c r="Q335" s="51">
        <f t="shared" si="314"/>
        <v>0</v>
      </c>
      <c r="R335" s="8"/>
      <c r="S335" s="6"/>
      <c r="T335" s="7"/>
      <c r="U335" s="51">
        <f t="shared" si="315"/>
        <v>0</v>
      </c>
      <c r="V335" s="59">
        <f t="shared" si="316"/>
        <v>0</v>
      </c>
    </row>
    <row r="336" spans="1:22" x14ac:dyDescent="0.15">
      <c r="A336" s="17" t="s">
        <v>174</v>
      </c>
      <c r="B336" s="9">
        <v>-2</v>
      </c>
      <c r="C336" s="10">
        <v>-2</v>
      </c>
      <c r="D336" s="11">
        <v>-2</v>
      </c>
      <c r="E336" s="51">
        <f t="shared" si="305"/>
        <v>-6</v>
      </c>
      <c r="F336" s="9">
        <v>-2</v>
      </c>
      <c r="G336" s="10">
        <v>-3</v>
      </c>
      <c r="H336" s="11">
        <v>-2</v>
      </c>
      <c r="I336" s="51">
        <f t="shared" si="318"/>
        <v>-7</v>
      </c>
      <c r="J336" s="59">
        <f t="shared" si="307"/>
        <v>-13</v>
      </c>
      <c r="K336" s="40">
        <v>45695</v>
      </c>
      <c r="M336" s="20"/>
      <c r="N336" s="5"/>
      <c r="O336" s="6"/>
      <c r="P336" s="7"/>
      <c r="Q336" s="51">
        <f t="shared" si="314"/>
        <v>0</v>
      </c>
      <c r="R336" s="8"/>
      <c r="S336" s="6"/>
      <c r="T336" s="7"/>
      <c r="U336" s="51">
        <f t="shared" si="315"/>
        <v>0</v>
      </c>
      <c r="V336" s="59">
        <f t="shared" si="316"/>
        <v>0</v>
      </c>
    </row>
    <row r="337" spans="1:22" x14ac:dyDescent="0.15">
      <c r="A337" s="17" t="s">
        <v>57</v>
      </c>
      <c r="B337" s="5"/>
      <c r="C337" s="6">
        <v>1</v>
      </c>
      <c r="D337" s="7"/>
      <c r="E337" s="51">
        <f t="shared" si="305"/>
        <v>1</v>
      </c>
      <c r="F337" s="8"/>
      <c r="G337" s="6"/>
      <c r="H337" s="7"/>
      <c r="I337" s="51">
        <f t="shared" si="318"/>
        <v>0</v>
      </c>
      <c r="J337" s="59">
        <f t="shared" si="307"/>
        <v>1</v>
      </c>
      <c r="K337" s="40">
        <v>45698</v>
      </c>
      <c r="M337" s="20"/>
      <c r="N337" s="5"/>
      <c r="O337" s="6"/>
      <c r="P337" s="7"/>
      <c r="Q337" s="51">
        <f t="shared" si="314"/>
        <v>0</v>
      </c>
      <c r="R337" s="8"/>
      <c r="S337" s="6"/>
      <c r="T337" s="7"/>
      <c r="U337" s="51">
        <f t="shared" si="315"/>
        <v>0</v>
      </c>
      <c r="V337" s="59">
        <f t="shared" si="316"/>
        <v>0</v>
      </c>
    </row>
    <row r="338" spans="1:22" x14ac:dyDescent="0.15">
      <c r="A338" s="17" t="s">
        <v>57</v>
      </c>
      <c r="B338" s="9"/>
      <c r="C338" s="10"/>
      <c r="D338" s="11"/>
      <c r="E338" s="52">
        <f t="shared" si="305"/>
        <v>0</v>
      </c>
      <c r="F338" s="12">
        <v>1</v>
      </c>
      <c r="G338" s="10"/>
      <c r="H338" s="11"/>
      <c r="I338" s="52">
        <f t="shared" si="306"/>
        <v>1</v>
      </c>
      <c r="J338" s="59">
        <f t="shared" si="307"/>
        <v>1</v>
      </c>
      <c r="K338" s="41">
        <v>45700</v>
      </c>
      <c r="M338" s="20"/>
      <c r="N338" s="5"/>
      <c r="O338" s="6"/>
      <c r="P338" s="7"/>
      <c r="Q338" s="51">
        <f t="shared" ref="Q338:Q340" si="320">SUM(N338:P338)</f>
        <v>0</v>
      </c>
      <c r="R338" s="8"/>
      <c r="S338" s="6"/>
      <c r="T338" s="7"/>
      <c r="U338" s="51">
        <f t="shared" ref="U338:U340" si="321">SUM(R338:T338)</f>
        <v>0</v>
      </c>
      <c r="V338" s="59">
        <f t="shared" ref="V338:V340" si="322">Q338+U338</f>
        <v>0</v>
      </c>
    </row>
    <row r="339" spans="1:22" x14ac:dyDescent="0.15">
      <c r="A339" s="17" t="s">
        <v>175</v>
      </c>
      <c r="B339" s="5"/>
      <c r="C339" s="6">
        <v>2</v>
      </c>
      <c r="D339" s="7">
        <v>2</v>
      </c>
      <c r="E339" s="51">
        <f t="shared" si="305"/>
        <v>4</v>
      </c>
      <c r="F339" s="8"/>
      <c r="G339" s="6">
        <v>1</v>
      </c>
      <c r="H339" s="7">
        <v>1</v>
      </c>
      <c r="I339" s="51">
        <f t="shared" si="306"/>
        <v>2</v>
      </c>
      <c r="J339" s="59">
        <f t="shared" si="307"/>
        <v>6</v>
      </c>
      <c r="K339" s="41">
        <v>45692</v>
      </c>
      <c r="M339" s="20"/>
      <c r="N339" s="5"/>
      <c r="O339" s="6"/>
      <c r="P339" s="7"/>
      <c r="Q339" s="51">
        <f t="shared" si="320"/>
        <v>0</v>
      </c>
      <c r="R339" s="8"/>
      <c r="S339" s="6"/>
      <c r="T339" s="7"/>
      <c r="U339" s="51">
        <f t="shared" si="321"/>
        <v>0</v>
      </c>
      <c r="V339" s="59">
        <f t="shared" si="322"/>
        <v>0</v>
      </c>
    </row>
    <row r="340" spans="1:22" ht="14.25" thickBot="1" x14ac:dyDescent="0.2">
      <c r="A340" s="17" t="s">
        <v>57</v>
      </c>
      <c r="B340" s="9"/>
      <c r="C340" s="10"/>
      <c r="D340" s="11"/>
      <c r="E340" s="55">
        <f t="shared" si="305"/>
        <v>0</v>
      </c>
      <c r="F340" s="12">
        <v>1</v>
      </c>
      <c r="G340" s="10"/>
      <c r="H340" s="11"/>
      <c r="I340" s="55">
        <f t="shared" si="306"/>
        <v>1</v>
      </c>
      <c r="J340" s="59">
        <f t="shared" si="307"/>
        <v>1</v>
      </c>
      <c r="K340" s="41">
        <v>45705</v>
      </c>
      <c r="M340" s="20"/>
      <c r="N340" s="5"/>
      <c r="O340" s="6"/>
      <c r="P340" s="7"/>
      <c r="Q340" s="51">
        <f t="shared" si="320"/>
        <v>0</v>
      </c>
      <c r="R340" s="8"/>
      <c r="S340" s="6"/>
      <c r="T340" s="7"/>
      <c r="U340" s="51">
        <f t="shared" si="321"/>
        <v>0</v>
      </c>
      <c r="V340" s="59">
        <f t="shared" si="322"/>
        <v>0</v>
      </c>
    </row>
    <row r="341" spans="1:22" ht="14.25" thickBot="1" x14ac:dyDescent="0.2">
      <c r="A341" s="31" t="s">
        <v>19</v>
      </c>
      <c r="B341" s="34">
        <f>SUM(B315:B340)</f>
        <v>21</v>
      </c>
      <c r="C341" s="35">
        <f t="shared" ref="C341:D341" si="323">SUM(C315:C340)</f>
        <v>20</v>
      </c>
      <c r="D341" s="39">
        <f t="shared" si="323"/>
        <v>8</v>
      </c>
      <c r="E341" s="56">
        <f t="shared" si="305"/>
        <v>49</v>
      </c>
      <c r="F341" s="34">
        <f>SUM(F315:F340)</f>
        <v>12</v>
      </c>
      <c r="G341" s="35">
        <f t="shared" ref="G341:H341" si="324">SUM(G315:G340)</f>
        <v>19</v>
      </c>
      <c r="H341" s="39">
        <f t="shared" si="324"/>
        <v>11</v>
      </c>
      <c r="I341" s="56">
        <f t="shared" si="306"/>
        <v>42</v>
      </c>
      <c r="J341" s="62">
        <f>E341+I341</f>
        <v>91</v>
      </c>
      <c r="M341" s="31" t="s">
        <v>19</v>
      </c>
      <c r="N341" s="34">
        <f>SUM(N315:N340)</f>
        <v>2</v>
      </c>
      <c r="O341" s="35">
        <f t="shared" ref="O341:P341" si="325">SUM(O315:O340)</f>
        <v>2</v>
      </c>
      <c r="P341" s="39">
        <f t="shared" si="325"/>
        <v>2</v>
      </c>
      <c r="Q341" s="56">
        <f t="shared" si="314"/>
        <v>6</v>
      </c>
      <c r="R341" s="34">
        <f>SUM(R315:R340)</f>
        <v>2</v>
      </c>
      <c r="S341" s="35">
        <f t="shared" ref="S341:T341" si="326">SUM(S315:S340)</f>
        <v>3</v>
      </c>
      <c r="T341" s="39">
        <f t="shared" si="326"/>
        <v>2</v>
      </c>
      <c r="U341" s="56">
        <f t="shared" si="315"/>
        <v>7</v>
      </c>
      <c r="V341" s="62">
        <f>Q341+U341</f>
        <v>13</v>
      </c>
    </row>
    <row r="342" spans="1:22" ht="14.25" thickBot="1" x14ac:dyDescent="0.2">
      <c r="A342" s="16" t="s">
        <v>17</v>
      </c>
      <c r="B342" s="63">
        <f>B314-B341</f>
        <v>6</v>
      </c>
      <c r="C342" s="64">
        <f t="shared" ref="C342:D342" si="327">C314-C341</f>
        <v>4</v>
      </c>
      <c r="D342" s="65">
        <f t="shared" si="327"/>
        <v>5</v>
      </c>
      <c r="E342" s="57">
        <f>SUM(B342:D342)</f>
        <v>15</v>
      </c>
      <c r="F342" s="63">
        <f>F314-F341</f>
        <v>2</v>
      </c>
      <c r="G342" s="64">
        <f t="shared" ref="G342:H342" si="328">G314-G341</f>
        <v>6</v>
      </c>
      <c r="H342" s="65">
        <f t="shared" si="328"/>
        <v>7</v>
      </c>
      <c r="I342" s="57">
        <f>SUM(F342:H342)</f>
        <v>15</v>
      </c>
      <c r="J342" s="61">
        <f>E342+I342</f>
        <v>30</v>
      </c>
      <c r="M342" s="16" t="s">
        <v>17</v>
      </c>
      <c r="N342" s="63">
        <f>N314-N341</f>
        <v>607</v>
      </c>
      <c r="O342" s="64">
        <f t="shared" ref="O342:P342" si="329">O314-O341</f>
        <v>903</v>
      </c>
      <c r="P342" s="65">
        <f t="shared" si="329"/>
        <v>880</v>
      </c>
      <c r="Q342" s="57">
        <f>SUM(N342:P342)</f>
        <v>2390</v>
      </c>
      <c r="R342" s="63">
        <f>R314-R341</f>
        <v>760</v>
      </c>
      <c r="S342" s="64">
        <f t="shared" ref="S342:T342" si="330">S314-S341</f>
        <v>904</v>
      </c>
      <c r="T342" s="65">
        <f t="shared" si="330"/>
        <v>655</v>
      </c>
      <c r="U342" s="57">
        <f>SUM(R342:T342)</f>
        <v>2319</v>
      </c>
      <c r="V342" s="61">
        <f>Q342+U342</f>
        <v>4709</v>
      </c>
    </row>
    <row r="343" spans="1:22" x14ac:dyDescent="0.15">
      <c r="N343" s="110">
        <f>N342/$Q$342*100</f>
        <v>25.397489539748953</v>
      </c>
      <c r="O343" s="110">
        <f t="shared" ref="O343:Q343" si="331">O342/$Q$342*100</f>
        <v>37.78242677824268</v>
      </c>
      <c r="P343" s="110">
        <f t="shared" si="331"/>
        <v>36.820083682008367</v>
      </c>
      <c r="Q343" s="110">
        <f t="shared" si="331"/>
        <v>100</v>
      </c>
      <c r="R343" s="110">
        <f>R342/$U$342*100</f>
        <v>32.772746873652437</v>
      </c>
      <c r="S343" s="110">
        <f t="shared" ref="S343:U343" si="332">S342/$U$342*100</f>
        <v>38.98231996550237</v>
      </c>
      <c r="T343" s="110">
        <f t="shared" si="332"/>
        <v>28.244933160845193</v>
      </c>
      <c r="U343" s="110">
        <f t="shared" si="332"/>
        <v>100</v>
      </c>
    </row>
    <row r="345" spans="1:22" ht="41.25" customHeight="1" thickBot="1" x14ac:dyDescent="0.3">
      <c r="A345" s="206" t="s">
        <v>230</v>
      </c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</row>
    <row r="346" spans="1:22" ht="14.25" thickBot="1" x14ac:dyDescent="0.2">
      <c r="A346" s="4" t="s">
        <v>0</v>
      </c>
      <c r="B346" s="191" t="s">
        <v>21</v>
      </c>
      <c r="C346" s="192"/>
      <c r="D346" s="192"/>
      <c r="E346" s="193"/>
      <c r="F346" s="194" t="s">
        <v>18</v>
      </c>
      <c r="G346" s="195"/>
      <c r="H346" s="195"/>
      <c r="I346" s="196"/>
      <c r="J346" s="189" t="s">
        <v>1</v>
      </c>
      <c r="M346" s="4" t="s">
        <v>0</v>
      </c>
      <c r="N346" s="191" t="s">
        <v>21</v>
      </c>
      <c r="O346" s="192"/>
      <c r="P346" s="192"/>
      <c r="Q346" s="193"/>
      <c r="R346" s="194" t="s">
        <v>18</v>
      </c>
      <c r="S346" s="195"/>
      <c r="T346" s="195"/>
      <c r="U346" s="196"/>
      <c r="V346" s="189" t="s">
        <v>1</v>
      </c>
    </row>
    <row r="347" spans="1:22" ht="14.25" thickBot="1" x14ac:dyDescent="0.2">
      <c r="A347" s="4" t="s">
        <v>2</v>
      </c>
      <c r="B347" s="1" t="s">
        <v>3</v>
      </c>
      <c r="C347" s="2" t="s">
        <v>4</v>
      </c>
      <c r="D347" s="3" t="s">
        <v>5</v>
      </c>
      <c r="E347" s="4" t="s">
        <v>6</v>
      </c>
      <c r="F347" s="1" t="s">
        <v>3</v>
      </c>
      <c r="G347" s="2" t="s">
        <v>4</v>
      </c>
      <c r="H347" s="3" t="s">
        <v>5</v>
      </c>
      <c r="I347" s="4" t="s">
        <v>6</v>
      </c>
      <c r="J347" s="190"/>
      <c r="M347" s="4" t="s">
        <v>2</v>
      </c>
      <c r="N347" s="1" t="s">
        <v>3</v>
      </c>
      <c r="O347" s="2" t="s">
        <v>4</v>
      </c>
      <c r="P347" s="3" t="s">
        <v>5</v>
      </c>
      <c r="Q347" s="4" t="s">
        <v>6</v>
      </c>
      <c r="R347" s="1" t="s">
        <v>3</v>
      </c>
      <c r="S347" s="2" t="s">
        <v>4</v>
      </c>
      <c r="T347" s="3" t="s">
        <v>5</v>
      </c>
      <c r="U347" s="4" t="s">
        <v>6</v>
      </c>
      <c r="V347" s="190"/>
    </row>
    <row r="348" spans="1:22" ht="14.25" thickBot="1" x14ac:dyDescent="0.2">
      <c r="A348" s="21" t="s">
        <v>20</v>
      </c>
      <c r="B348" s="68">
        <f>B342</f>
        <v>6</v>
      </c>
      <c r="C348" s="69">
        <f>C342</f>
        <v>4</v>
      </c>
      <c r="D348" s="70">
        <f>D342</f>
        <v>5</v>
      </c>
      <c r="E348" s="71">
        <f>SUM(B348:D348)</f>
        <v>15</v>
      </c>
      <c r="F348" s="68">
        <f>F342</f>
        <v>2</v>
      </c>
      <c r="G348" s="69">
        <f>G342</f>
        <v>6</v>
      </c>
      <c r="H348" s="70">
        <f>H342</f>
        <v>7</v>
      </c>
      <c r="I348" s="71">
        <f>SUM(F348:H348)</f>
        <v>15</v>
      </c>
      <c r="J348" s="72">
        <f>E348+I348</f>
        <v>30</v>
      </c>
      <c r="M348" s="21" t="s">
        <v>20</v>
      </c>
      <c r="N348" s="68">
        <f>N342</f>
        <v>607</v>
      </c>
      <c r="O348" s="69">
        <f>O342</f>
        <v>903</v>
      </c>
      <c r="P348" s="70">
        <f>P342</f>
        <v>880</v>
      </c>
      <c r="Q348" s="71">
        <f>SUM(N348:P348)</f>
        <v>2390</v>
      </c>
      <c r="R348" s="68">
        <f>R342</f>
        <v>760</v>
      </c>
      <c r="S348" s="69">
        <f>S342</f>
        <v>904</v>
      </c>
      <c r="T348" s="70">
        <f>T342</f>
        <v>655</v>
      </c>
      <c r="U348" s="71">
        <f>SUM(R348:T348)</f>
        <v>2319</v>
      </c>
      <c r="V348" s="72">
        <f>Q348+U348</f>
        <v>4709</v>
      </c>
    </row>
    <row r="349" spans="1:22" x14ac:dyDescent="0.15">
      <c r="A349" s="19" t="s">
        <v>95</v>
      </c>
      <c r="B349" s="32">
        <v>1</v>
      </c>
      <c r="C349" s="33">
        <v>1</v>
      </c>
      <c r="D349" s="44"/>
      <c r="E349" s="50">
        <f>SUM(B349:D349)</f>
        <v>2</v>
      </c>
      <c r="F349" s="45">
        <v>1</v>
      </c>
      <c r="G349" s="46">
        <v>1</v>
      </c>
      <c r="H349" s="47"/>
      <c r="I349" s="50">
        <f>SUM(F349:H349)</f>
        <v>2</v>
      </c>
      <c r="J349" s="58">
        <f>E349+I349</f>
        <v>4</v>
      </c>
      <c r="K349" s="41">
        <v>45713</v>
      </c>
      <c r="M349" s="19" t="s">
        <v>8</v>
      </c>
      <c r="N349" s="83"/>
      <c r="O349" s="46"/>
      <c r="P349" s="44"/>
      <c r="Q349" s="50">
        <f>SUM(N349:P349)</f>
        <v>0</v>
      </c>
      <c r="R349" s="45"/>
      <c r="S349" s="46"/>
      <c r="T349" s="47"/>
      <c r="U349" s="50">
        <f>SUM(R349:T349)</f>
        <v>0</v>
      </c>
      <c r="V349" s="84">
        <f>Q349+U349</f>
        <v>0</v>
      </c>
    </row>
    <row r="350" spans="1:22" x14ac:dyDescent="0.15">
      <c r="A350" s="19" t="s">
        <v>9</v>
      </c>
      <c r="B350" s="5"/>
      <c r="C350" s="6"/>
      <c r="D350" s="14"/>
      <c r="E350" s="51">
        <f>SUM(B350:D350)</f>
        <v>0</v>
      </c>
      <c r="F350" s="15">
        <v>3</v>
      </c>
      <c r="G350" s="13"/>
      <c r="H350" s="14"/>
      <c r="I350" s="51">
        <f>SUM(F350:H350)</f>
        <v>3</v>
      </c>
      <c r="J350" s="59">
        <f>E350+I350</f>
        <v>3</v>
      </c>
      <c r="K350" s="40">
        <v>45722</v>
      </c>
      <c r="M350" s="19" t="s">
        <v>9</v>
      </c>
      <c r="N350" s="5"/>
      <c r="O350" s="6"/>
      <c r="P350" s="36"/>
      <c r="Q350" s="52">
        <f t="shared" ref="Q350" si="333">SUM(N350:P350)</f>
        <v>0</v>
      </c>
      <c r="R350" s="8"/>
      <c r="S350" s="6"/>
      <c r="T350" s="7"/>
      <c r="U350" s="52">
        <f t="shared" ref="U350" si="334">SUM(R350:T350)</f>
        <v>0</v>
      </c>
      <c r="V350" s="59">
        <f t="shared" ref="V350" si="335">Q350+U350</f>
        <v>0</v>
      </c>
    </row>
    <row r="351" spans="1:22" x14ac:dyDescent="0.15">
      <c r="A351" s="19" t="s">
        <v>10</v>
      </c>
      <c r="B351" s="5"/>
      <c r="C351" s="6"/>
      <c r="D351" s="7">
        <v>5</v>
      </c>
      <c r="E351" s="51">
        <f t="shared" ref="E351:E356" si="336">SUM(B351:D351)</f>
        <v>5</v>
      </c>
      <c r="F351" s="8">
        <v>3</v>
      </c>
      <c r="G351" s="6"/>
      <c r="H351" s="7"/>
      <c r="I351" s="51">
        <f t="shared" ref="I351:I356" si="337">SUM(F351:H351)</f>
        <v>3</v>
      </c>
      <c r="J351" s="59">
        <f t="shared" ref="J351:J356" si="338">E351+I351</f>
        <v>8</v>
      </c>
      <c r="K351" s="40">
        <v>45743</v>
      </c>
      <c r="M351" s="19" t="s">
        <v>10</v>
      </c>
      <c r="N351" s="5"/>
      <c r="O351" s="6"/>
      <c r="P351" s="36"/>
      <c r="Q351" s="52">
        <f>SUM(N351:P351)</f>
        <v>0</v>
      </c>
      <c r="R351" s="8"/>
      <c r="S351" s="6"/>
      <c r="T351" s="7"/>
      <c r="U351" s="52">
        <f>SUM(R351:T351)</f>
        <v>0</v>
      </c>
      <c r="V351" s="59">
        <f>Q351+U351</f>
        <v>0</v>
      </c>
    </row>
    <row r="352" spans="1:22" x14ac:dyDescent="0.15">
      <c r="A352" s="19" t="s">
        <v>11</v>
      </c>
      <c r="B352" s="5">
        <v>1</v>
      </c>
      <c r="C352" s="6">
        <v>1</v>
      </c>
      <c r="D352" s="36">
        <v>1</v>
      </c>
      <c r="E352" s="52">
        <f t="shared" si="336"/>
        <v>3</v>
      </c>
      <c r="F352" s="8">
        <v>1</v>
      </c>
      <c r="G352" s="6">
        <v>1</v>
      </c>
      <c r="H352" s="7">
        <v>1</v>
      </c>
      <c r="I352" s="52">
        <f t="shared" si="337"/>
        <v>3</v>
      </c>
      <c r="J352" s="59">
        <f t="shared" si="338"/>
        <v>6</v>
      </c>
      <c r="K352" s="40">
        <v>45742</v>
      </c>
      <c r="M352" s="19" t="s">
        <v>11</v>
      </c>
      <c r="N352" s="5"/>
      <c r="O352" s="6"/>
      <c r="P352" s="36"/>
      <c r="Q352" s="52">
        <f>SUM(N352:P352)</f>
        <v>0</v>
      </c>
      <c r="R352" s="8"/>
      <c r="S352" s="6"/>
      <c r="T352" s="7"/>
      <c r="U352" s="52">
        <f>SUM(R352:T352)</f>
        <v>0</v>
      </c>
      <c r="V352" s="59">
        <f>Q352+U352</f>
        <v>0</v>
      </c>
    </row>
    <row r="353" spans="1:26" x14ac:dyDescent="0.15">
      <c r="A353" s="19" t="s">
        <v>231</v>
      </c>
      <c r="B353" s="5">
        <v>1</v>
      </c>
      <c r="C353" s="6"/>
      <c r="D353" s="36"/>
      <c r="E353" s="52">
        <f t="shared" si="336"/>
        <v>1</v>
      </c>
      <c r="F353" s="8">
        <v>1</v>
      </c>
      <c r="G353" s="6"/>
      <c r="H353" s="7"/>
      <c r="I353" s="52">
        <f t="shared" si="337"/>
        <v>1</v>
      </c>
      <c r="J353" s="59">
        <f t="shared" si="338"/>
        <v>2</v>
      </c>
      <c r="K353" s="40">
        <v>45743</v>
      </c>
      <c r="M353" s="19" t="s">
        <v>12</v>
      </c>
      <c r="N353" s="9"/>
      <c r="O353" s="10"/>
      <c r="P353" s="37"/>
      <c r="Q353" s="52">
        <f t="shared" ref="Q353:Q356" si="339">SUM(N353:P353)</f>
        <v>0</v>
      </c>
      <c r="R353" s="12"/>
      <c r="S353" s="10"/>
      <c r="T353" s="11"/>
      <c r="U353" s="52">
        <f t="shared" ref="U353:U356" si="340">SUM(R353:T353)</f>
        <v>0</v>
      </c>
      <c r="V353" s="59">
        <f t="shared" ref="V353:V356" si="341">Q353+U353</f>
        <v>0</v>
      </c>
    </row>
    <row r="354" spans="1:26" x14ac:dyDescent="0.15">
      <c r="A354" s="43" t="s">
        <v>232</v>
      </c>
      <c r="B354" s="5">
        <v>1</v>
      </c>
      <c r="C354" s="6"/>
      <c r="D354" s="7"/>
      <c r="E354" s="51">
        <f t="shared" si="336"/>
        <v>1</v>
      </c>
      <c r="F354" s="8">
        <v>1</v>
      </c>
      <c r="G354" s="6"/>
      <c r="H354" s="7"/>
      <c r="I354" s="51">
        <f t="shared" si="337"/>
        <v>1</v>
      </c>
      <c r="J354" s="59">
        <f t="shared" si="338"/>
        <v>2</v>
      </c>
      <c r="K354" s="40">
        <v>45745</v>
      </c>
      <c r="M354" s="19" t="s">
        <v>13</v>
      </c>
      <c r="N354" s="9"/>
      <c r="O354" s="10"/>
      <c r="P354" s="37"/>
      <c r="Q354" s="52">
        <f t="shared" si="339"/>
        <v>0</v>
      </c>
      <c r="R354" s="12"/>
      <c r="S354" s="10"/>
      <c r="T354" s="11"/>
      <c r="U354" s="52">
        <f t="shared" si="340"/>
        <v>0</v>
      </c>
      <c r="V354" s="59">
        <f t="shared" si="341"/>
        <v>0</v>
      </c>
    </row>
    <row r="355" spans="1:26" x14ac:dyDescent="0.15">
      <c r="A355" s="19" t="s">
        <v>14</v>
      </c>
      <c r="B355" s="9">
        <f>5+3</f>
        <v>8</v>
      </c>
      <c r="C355" s="10">
        <v>3</v>
      </c>
      <c r="D355" s="37">
        <v>3</v>
      </c>
      <c r="E355" s="52">
        <f t="shared" si="336"/>
        <v>14</v>
      </c>
      <c r="F355" s="12">
        <f>5+3</f>
        <v>8</v>
      </c>
      <c r="G355" s="10">
        <v>3</v>
      </c>
      <c r="H355" s="11">
        <v>3</v>
      </c>
      <c r="I355" s="52">
        <f t="shared" si="337"/>
        <v>14</v>
      </c>
      <c r="J355" s="59">
        <f t="shared" si="338"/>
        <v>28</v>
      </c>
      <c r="K355" s="40">
        <v>45752</v>
      </c>
      <c r="M355" s="19" t="s">
        <v>14</v>
      </c>
      <c r="N355" s="9"/>
      <c r="O355" s="10"/>
      <c r="P355" s="37"/>
      <c r="Q355" s="52">
        <f t="shared" si="339"/>
        <v>0</v>
      </c>
      <c r="R355" s="12"/>
      <c r="S355" s="10"/>
      <c r="T355" s="11"/>
      <c r="U355" s="52">
        <f t="shared" si="340"/>
        <v>0</v>
      </c>
      <c r="V355" s="59">
        <f t="shared" si="341"/>
        <v>0</v>
      </c>
    </row>
    <row r="356" spans="1:26" ht="14.25" thickBot="1" x14ac:dyDescent="0.2">
      <c r="A356" s="19" t="s">
        <v>15</v>
      </c>
      <c r="B356" s="25">
        <v>8</v>
      </c>
      <c r="C356" s="26">
        <v>4</v>
      </c>
      <c r="D356" s="38">
        <v>4</v>
      </c>
      <c r="E356" s="53">
        <f t="shared" si="336"/>
        <v>16</v>
      </c>
      <c r="F356" s="27">
        <v>1</v>
      </c>
      <c r="G356" s="27">
        <v>-2</v>
      </c>
      <c r="H356" s="29">
        <v>1</v>
      </c>
      <c r="I356" s="53">
        <f t="shared" si="337"/>
        <v>0</v>
      </c>
      <c r="J356" s="60">
        <f t="shared" si="338"/>
        <v>16</v>
      </c>
      <c r="M356" s="19" t="s">
        <v>15</v>
      </c>
      <c r="N356" s="25"/>
      <c r="O356" s="26"/>
      <c r="P356" s="38"/>
      <c r="Q356" s="53">
        <f t="shared" si="339"/>
        <v>0</v>
      </c>
      <c r="R356" s="27"/>
      <c r="S356" s="27"/>
      <c r="T356" s="29"/>
      <c r="U356" s="53">
        <f t="shared" si="340"/>
        <v>0</v>
      </c>
      <c r="V356" s="60">
        <f t="shared" si="341"/>
        <v>0</v>
      </c>
    </row>
    <row r="357" spans="1:26" ht="14.25" thickBot="1" x14ac:dyDescent="0.2">
      <c r="A357" s="28" t="s">
        <v>16</v>
      </c>
      <c r="B357" s="22">
        <f>SUM(B348:B356)</f>
        <v>26</v>
      </c>
      <c r="C357" s="23">
        <f t="shared" ref="C357:D357" si="342">SUM(C348:C356)</f>
        <v>13</v>
      </c>
      <c r="D357" s="24">
        <f t="shared" si="342"/>
        <v>18</v>
      </c>
      <c r="E357" s="54">
        <f>SUM(B357:D357)</f>
        <v>57</v>
      </c>
      <c r="F357" s="22">
        <f>SUM(F348:F356)</f>
        <v>21</v>
      </c>
      <c r="G357" s="23">
        <f t="shared" ref="G357:H357" si="343">SUM(G348:G356)</f>
        <v>9</v>
      </c>
      <c r="H357" s="24">
        <f t="shared" si="343"/>
        <v>12</v>
      </c>
      <c r="I357" s="54">
        <f>SUM(F357:H357)</f>
        <v>42</v>
      </c>
      <c r="J357" s="61">
        <f>SUM(J349:J356)</f>
        <v>69</v>
      </c>
      <c r="M357" s="28" t="s">
        <v>16</v>
      </c>
      <c r="N357" s="22">
        <f>SUM(N348:N356)</f>
        <v>607</v>
      </c>
      <c r="O357" s="23">
        <f t="shared" ref="O357:P357" si="344">SUM(O348:O356)</f>
        <v>903</v>
      </c>
      <c r="P357" s="24">
        <f t="shared" si="344"/>
        <v>880</v>
      </c>
      <c r="Q357" s="54">
        <f>SUM(N357:P357)</f>
        <v>2390</v>
      </c>
      <c r="R357" s="22">
        <f>SUM(R348:R356)</f>
        <v>760</v>
      </c>
      <c r="S357" s="23">
        <f t="shared" ref="S357:T357" si="345">SUM(S348:S356)</f>
        <v>904</v>
      </c>
      <c r="T357" s="24">
        <f t="shared" si="345"/>
        <v>655</v>
      </c>
      <c r="U357" s="54">
        <f>SUM(R357:T357)</f>
        <v>2319</v>
      </c>
      <c r="V357" s="61">
        <f>Q357+U357</f>
        <v>4709</v>
      </c>
    </row>
    <row r="358" spans="1:26" x14ac:dyDescent="0.15">
      <c r="A358" s="17" t="s">
        <v>57</v>
      </c>
      <c r="B358" s="9"/>
      <c r="C358" s="10"/>
      <c r="D358" s="11">
        <v>1</v>
      </c>
      <c r="E358" s="51">
        <f t="shared" ref="E358:E384" si="346">SUM(B358:D358)</f>
        <v>1</v>
      </c>
      <c r="F358" s="12">
        <v>1</v>
      </c>
      <c r="G358" s="10"/>
      <c r="H358" s="11"/>
      <c r="I358" s="51">
        <f t="shared" ref="I358:I384" si="347">SUM(F358:H358)</f>
        <v>1</v>
      </c>
      <c r="J358" s="59">
        <f t="shared" ref="J358:J383" si="348">E358+I358</f>
        <v>2</v>
      </c>
      <c r="K358" s="41">
        <v>45719</v>
      </c>
      <c r="M358" s="20" t="s">
        <v>225</v>
      </c>
      <c r="N358" s="5">
        <v>14</v>
      </c>
      <c r="O358" s="6">
        <v>14</v>
      </c>
      <c r="P358" s="7">
        <v>8</v>
      </c>
      <c r="Q358" s="51">
        <f t="shared" ref="Q358:Q384" si="349">SUM(N358:P358)</f>
        <v>36</v>
      </c>
      <c r="R358" s="8">
        <v>16</v>
      </c>
      <c r="S358" s="6">
        <v>18</v>
      </c>
      <c r="T358" s="7">
        <v>10</v>
      </c>
      <c r="U358" s="51">
        <f t="shared" ref="U358:U384" si="350">SUM(R358:T358)</f>
        <v>44</v>
      </c>
      <c r="V358" s="59">
        <f t="shared" ref="V358:V376" si="351">Q358+U358</f>
        <v>80</v>
      </c>
      <c r="W358" s="108">
        <v>45723</v>
      </c>
    </row>
    <row r="359" spans="1:26" x14ac:dyDescent="0.15">
      <c r="A359" s="17" t="s">
        <v>57</v>
      </c>
      <c r="B359" s="5">
        <v>1</v>
      </c>
      <c r="C359" s="6"/>
      <c r="D359" s="7"/>
      <c r="E359" s="51">
        <f t="shared" si="346"/>
        <v>1</v>
      </c>
      <c r="F359" s="8"/>
      <c r="G359" s="6"/>
      <c r="H359" s="7"/>
      <c r="I359" s="51">
        <f t="shared" si="347"/>
        <v>0</v>
      </c>
      <c r="J359" s="59">
        <f t="shared" si="348"/>
        <v>1</v>
      </c>
      <c r="K359" s="41">
        <v>45733</v>
      </c>
      <c r="M359" s="20" t="s">
        <v>41</v>
      </c>
      <c r="N359" s="5"/>
      <c r="O359" s="6"/>
      <c r="P359" s="7"/>
      <c r="Q359" s="51">
        <f>SUM(N359:P359)</f>
        <v>0</v>
      </c>
      <c r="R359" s="8">
        <v>3</v>
      </c>
      <c r="S359" s="6"/>
      <c r="T359" s="7"/>
      <c r="U359" s="51">
        <f>SUM(R359:T359)</f>
        <v>3</v>
      </c>
      <c r="V359" s="59">
        <f>Q359+U359</f>
        <v>3</v>
      </c>
      <c r="W359" s="108">
        <v>45722</v>
      </c>
      <c r="X359" s="48"/>
    </row>
    <row r="360" spans="1:26" x14ac:dyDescent="0.15">
      <c r="A360" s="17" t="s">
        <v>57</v>
      </c>
      <c r="B360" s="5">
        <v>1</v>
      </c>
      <c r="C360" s="6"/>
      <c r="D360" s="7"/>
      <c r="E360" s="51">
        <f t="shared" si="346"/>
        <v>1</v>
      </c>
      <c r="F360" s="8">
        <v>1</v>
      </c>
      <c r="G360" s="6"/>
      <c r="H360" s="7"/>
      <c r="I360" s="51">
        <f t="shared" si="347"/>
        <v>1</v>
      </c>
      <c r="J360" s="59">
        <f t="shared" si="348"/>
        <v>2</v>
      </c>
      <c r="K360" s="41">
        <v>45740</v>
      </c>
      <c r="M360" s="20" t="s">
        <v>229</v>
      </c>
      <c r="N360" s="5">
        <v>28</v>
      </c>
      <c r="O360" s="6">
        <v>34</v>
      </c>
      <c r="P360" s="7">
        <v>21</v>
      </c>
      <c r="Q360" s="51">
        <f t="shared" si="349"/>
        <v>83</v>
      </c>
      <c r="R360" s="8">
        <v>28</v>
      </c>
      <c r="S360" s="6">
        <v>34</v>
      </c>
      <c r="T360" s="7">
        <v>21</v>
      </c>
      <c r="U360" s="51">
        <f t="shared" si="350"/>
        <v>83</v>
      </c>
      <c r="V360" s="59">
        <f t="shared" si="351"/>
        <v>166</v>
      </c>
      <c r="W360" s="108">
        <v>45740</v>
      </c>
      <c r="X360" s="48"/>
    </row>
    <row r="361" spans="1:26" x14ac:dyDescent="0.15">
      <c r="A361" s="17" t="s">
        <v>57</v>
      </c>
      <c r="B361" s="5"/>
      <c r="C361" s="6"/>
      <c r="D361" s="7">
        <f>1+1</f>
        <v>2</v>
      </c>
      <c r="E361" s="51">
        <f t="shared" si="346"/>
        <v>2</v>
      </c>
      <c r="F361" s="8"/>
      <c r="G361" s="6"/>
      <c r="H361" s="7">
        <v>1</v>
      </c>
      <c r="I361" s="51">
        <f t="shared" si="347"/>
        <v>1</v>
      </c>
      <c r="J361" s="59">
        <f t="shared" si="348"/>
        <v>3</v>
      </c>
      <c r="K361" s="41">
        <v>45742</v>
      </c>
      <c r="M361" s="20" t="s">
        <v>41</v>
      </c>
      <c r="N361" s="5"/>
      <c r="O361" s="6"/>
      <c r="P361" s="7">
        <v>5</v>
      </c>
      <c r="Q361" s="51">
        <f t="shared" si="349"/>
        <v>5</v>
      </c>
      <c r="R361" s="8">
        <v>3</v>
      </c>
      <c r="S361" s="6"/>
      <c r="T361" s="7"/>
      <c r="U361" s="51">
        <f t="shared" si="350"/>
        <v>3</v>
      </c>
      <c r="V361" s="59">
        <f t="shared" si="351"/>
        <v>8</v>
      </c>
      <c r="W361" s="108">
        <v>45743</v>
      </c>
      <c r="X361" s="48"/>
    </row>
    <row r="362" spans="1:26" x14ac:dyDescent="0.15">
      <c r="A362" s="17" t="s">
        <v>57</v>
      </c>
      <c r="B362" s="5"/>
      <c r="C362" s="6"/>
      <c r="D362" s="7"/>
      <c r="E362" s="51">
        <f t="shared" si="346"/>
        <v>0</v>
      </c>
      <c r="F362" s="8"/>
      <c r="G362" s="6"/>
      <c r="H362" s="7"/>
      <c r="I362" s="51">
        <f t="shared" si="347"/>
        <v>0</v>
      </c>
      <c r="J362" s="59">
        <f t="shared" si="348"/>
        <v>0</v>
      </c>
      <c r="K362" s="41">
        <v>45744</v>
      </c>
      <c r="M362" s="20" t="s">
        <v>41</v>
      </c>
      <c r="N362" s="5">
        <f>5+3</f>
        <v>8</v>
      </c>
      <c r="O362" s="6">
        <v>3</v>
      </c>
      <c r="P362" s="7">
        <v>3</v>
      </c>
      <c r="Q362" s="51">
        <f t="shared" si="349"/>
        <v>14</v>
      </c>
      <c r="R362" s="8">
        <f>5+3</f>
        <v>8</v>
      </c>
      <c r="S362" s="6">
        <v>3</v>
      </c>
      <c r="T362" s="7">
        <v>3</v>
      </c>
      <c r="U362" s="51">
        <f t="shared" si="350"/>
        <v>14</v>
      </c>
      <c r="V362" s="59">
        <f t="shared" si="351"/>
        <v>28</v>
      </c>
      <c r="W362" s="108">
        <v>45752</v>
      </c>
    </row>
    <row r="363" spans="1:26" x14ac:dyDescent="0.15">
      <c r="A363" s="17" t="s">
        <v>57</v>
      </c>
      <c r="B363" s="5">
        <v>1</v>
      </c>
      <c r="C363" s="6"/>
      <c r="D363" s="14"/>
      <c r="E363" s="51">
        <f t="shared" si="346"/>
        <v>1</v>
      </c>
      <c r="F363" s="15"/>
      <c r="G363" s="13"/>
      <c r="H363" s="14"/>
      <c r="I363" s="51">
        <f t="shared" si="347"/>
        <v>0</v>
      </c>
      <c r="J363" s="59">
        <f t="shared" si="348"/>
        <v>1</v>
      </c>
      <c r="K363" s="41">
        <v>45747</v>
      </c>
      <c r="M363" s="20" t="s">
        <v>233</v>
      </c>
      <c r="N363" s="5">
        <v>3</v>
      </c>
      <c r="O363" s="6">
        <v>6</v>
      </c>
      <c r="P363" s="14">
        <v>2</v>
      </c>
      <c r="Q363" s="51">
        <f t="shared" si="349"/>
        <v>11</v>
      </c>
      <c r="R363" s="15">
        <v>3</v>
      </c>
      <c r="S363" s="13">
        <v>6</v>
      </c>
      <c r="T363" s="14">
        <v>2</v>
      </c>
      <c r="U363" s="51">
        <f t="shared" si="350"/>
        <v>11</v>
      </c>
      <c r="V363" s="59">
        <f t="shared" si="351"/>
        <v>22</v>
      </c>
      <c r="W363" s="108">
        <v>45762</v>
      </c>
      <c r="X363" s="48"/>
    </row>
    <row r="364" spans="1:26" x14ac:dyDescent="0.15">
      <c r="A364" s="17" t="s">
        <v>57</v>
      </c>
      <c r="B364" s="5"/>
      <c r="C364" s="6"/>
      <c r="D364" s="7"/>
      <c r="E364" s="51">
        <f t="shared" si="346"/>
        <v>0</v>
      </c>
      <c r="F364" s="8">
        <v>3</v>
      </c>
      <c r="G364" s="6"/>
      <c r="H364" s="7"/>
      <c r="I364" s="51">
        <f t="shared" si="347"/>
        <v>3</v>
      </c>
      <c r="J364" s="59">
        <f t="shared" si="348"/>
        <v>3</v>
      </c>
      <c r="K364" s="41">
        <v>45748</v>
      </c>
      <c r="M364" s="20" t="s">
        <v>235</v>
      </c>
      <c r="N364" s="5">
        <v>30</v>
      </c>
      <c r="O364" s="6">
        <v>20</v>
      </c>
      <c r="P364" s="7">
        <v>14</v>
      </c>
      <c r="Q364" s="51">
        <f t="shared" si="349"/>
        <v>64</v>
      </c>
      <c r="R364" s="8">
        <v>30</v>
      </c>
      <c r="S364" s="6">
        <v>20</v>
      </c>
      <c r="T364" s="7">
        <v>14</v>
      </c>
      <c r="U364" s="51">
        <f t="shared" si="350"/>
        <v>64</v>
      </c>
      <c r="V364" s="59">
        <f t="shared" si="351"/>
        <v>128</v>
      </c>
      <c r="W364" s="108">
        <v>45770</v>
      </c>
      <c r="X364" s="48"/>
      <c r="Y364" s="48"/>
      <c r="Z364" s="48"/>
    </row>
    <row r="365" spans="1:26" x14ac:dyDescent="0.15">
      <c r="A365" s="17" t="s">
        <v>57</v>
      </c>
      <c r="B365" s="5"/>
      <c r="C365" s="6"/>
      <c r="D365" s="7">
        <v>1</v>
      </c>
      <c r="E365" s="51">
        <f t="shared" si="346"/>
        <v>1</v>
      </c>
      <c r="F365" s="8"/>
      <c r="G365" s="6"/>
      <c r="H365" s="7">
        <v>1</v>
      </c>
      <c r="I365" s="51">
        <f t="shared" si="347"/>
        <v>1</v>
      </c>
      <c r="J365" s="59">
        <f t="shared" si="348"/>
        <v>2</v>
      </c>
      <c r="K365" s="41">
        <v>45752</v>
      </c>
      <c r="M365" s="20" t="s">
        <v>240</v>
      </c>
      <c r="N365" s="5">
        <v>6</v>
      </c>
      <c r="O365" s="6">
        <v>6</v>
      </c>
      <c r="P365" s="7"/>
      <c r="Q365" s="51">
        <f t="shared" si="349"/>
        <v>12</v>
      </c>
      <c r="R365" s="8">
        <v>40</v>
      </c>
      <c r="S365" s="6"/>
      <c r="T365" s="7"/>
      <c r="U365" s="51">
        <f t="shared" si="350"/>
        <v>40</v>
      </c>
      <c r="V365" s="59">
        <f t="shared" si="351"/>
        <v>52</v>
      </c>
      <c r="W365" s="108">
        <v>45789</v>
      </c>
      <c r="X365" s="48"/>
    </row>
    <row r="366" spans="1:26" x14ac:dyDescent="0.15">
      <c r="A366" s="17" t="s">
        <v>57</v>
      </c>
      <c r="B366" s="5"/>
      <c r="C366" s="6">
        <v>1</v>
      </c>
      <c r="D366" s="7"/>
      <c r="E366" s="51">
        <f t="shared" si="346"/>
        <v>1</v>
      </c>
      <c r="F366" s="8"/>
      <c r="G366" s="6">
        <v>1</v>
      </c>
      <c r="H366" s="7"/>
      <c r="I366" s="51">
        <f t="shared" si="347"/>
        <v>1</v>
      </c>
      <c r="J366" s="59">
        <f t="shared" si="348"/>
        <v>2</v>
      </c>
      <c r="K366" s="41">
        <v>45755</v>
      </c>
      <c r="M366" s="20" t="s">
        <v>86</v>
      </c>
      <c r="N366" s="5">
        <v>5</v>
      </c>
      <c r="O366" s="6">
        <v>12</v>
      </c>
      <c r="P366" s="7">
        <v>12</v>
      </c>
      <c r="Q366" s="51">
        <f t="shared" si="349"/>
        <v>29</v>
      </c>
      <c r="R366" s="8">
        <v>6</v>
      </c>
      <c r="S366" s="6">
        <v>6</v>
      </c>
      <c r="T366" s="7">
        <v>5</v>
      </c>
      <c r="U366" s="51">
        <f t="shared" si="350"/>
        <v>17</v>
      </c>
      <c r="V366" s="59">
        <f t="shared" si="351"/>
        <v>46</v>
      </c>
      <c r="W366" s="108">
        <v>45772</v>
      </c>
      <c r="X366" s="48"/>
      <c r="Y366" s="48"/>
    </row>
    <row r="367" spans="1:26" x14ac:dyDescent="0.15">
      <c r="A367" s="17" t="s">
        <v>57</v>
      </c>
      <c r="B367" s="9">
        <v>1</v>
      </c>
      <c r="C367" s="10"/>
      <c r="D367" s="11"/>
      <c r="E367" s="51">
        <f t="shared" si="346"/>
        <v>1</v>
      </c>
      <c r="F367" s="12">
        <v>1</v>
      </c>
      <c r="G367" s="10"/>
      <c r="H367" s="11"/>
      <c r="I367" s="51">
        <f t="shared" si="347"/>
        <v>1</v>
      </c>
      <c r="J367" s="59">
        <f t="shared" si="348"/>
        <v>2</v>
      </c>
      <c r="K367" s="41">
        <v>45756</v>
      </c>
      <c r="M367" s="20" t="s">
        <v>237</v>
      </c>
      <c r="N367" s="9">
        <v>13</v>
      </c>
      <c r="O367" s="10">
        <v>16</v>
      </c>
      <c r="P367" s="11">
        <v>14</v>
      </c>
      <c r="Q367" s="51">
        <f t="shared" si="349"/>
        <v>43</v>
      </c>
      <c r="R367" s="12">
        <v>13</v>
      </c>
      <c r="S367" s="10">
        <v>16</v>
      </c>
      <c r="T367" s="11">
        <v>14</v>
      </c>
      <c r="U367" s="51">
        <f t="shared" si="350"/>
        <v>43</v>
      </c>
      <c r="V367" s="59">
        <f t="shared" si="351"/>
        <v>86</v>
      </c>
      <c r="W367" s="108">
        <v>45778</v>
      </c>
      <c r="X367" s="48"/>
      <c r="Y367" s="48"/>
    </row>
    <row r="368" spans="1:26" x14ac:dyDescent="0.15">
      <c r="A368" s="17" t="s">
        <v>57</v>
      </c>
      <c r="B368" s="5">
        <f>1+1+1</f>
        <v>3</v>
      </c>
      <c r="C368" s="6"/>
      <c r="D368" s="7"/>
      <c r="E368" s="51">
        <f t="shared" si="346"/>
        <v>3</v>
      </c>
      <c r="F368" s="8">
        <f>1+1</f>
        <v>2</v>
      </c>
      <c r="G368" s="6"/>
      <c r="H368" s="7"/>
      <c r="I368" s="51">
        <f t="shared" si="347"/>
        <v>2</v>
      </c>
      <c r="J368" s="59">
        <f t="shared" si="348"/>
        <v>5</v>
      </c>
      <c r="K368" s="41">
        <v>45757</v>
      </c>
      <c r="M368" s="20" t="s">
        <v>239</v>
      </c>
      <c r="N368" s="5">
        <v>50</v>
      </c>
      <c r="O368" s="6">
        <v>50</v>
      </c>
      <c r="P368" s="7">
        <v>50</v>
      </c>
      <c r="Q368" s="51">
        <f t="shared" si="349"/>
        <v>150</v>
      </c>
      <c r="R368" s="8">
        <v>50</v>
      </c>
      <c r="S368" s="6">
        <v>50</v>
      </c>
      <c r="T368" s="7">
        <v>50</v>
      </c>
      <c r="U368" s="51">
        <f t="shared" si="350"/>
        <v>150</v>
      </c>
      <c r="V368" s="59">
        <f t="shared" si="351"/>
        <v>300</v>
      </c>
      <c r="W368" s="108">
        <v>45779</v>
      </c>
      <c r="X368" s="48"/>
    </row>
    <row r="369" spans="1:24" x14ac:dyDescent="0.15">
      <c r="A369" s="17" t="s">
        <v>57</v>
      </c>
      <c r="B369" s="5">
        <v>1</v>
      </c>
      <c r="C369" s="6"/>
      <c r="D369" s="7">
        <v>1</v>
      </c>
      <c r="E369" s="51">
        <f t="shared" si="346"/>
        <v>2</v>
      </c>
      <c r="F369" s="8"/>
      <c r="G369" s="6"/>
      <c r="H369" s="7">
        <v>1</v>
      </c>
      <c r="I369" s="51">
        <f t="shared" si="347"/>
        <v>1</v>
      </c>
      <c r="J369" s="59">
        <f t="shared" si="348"/>
        <v>3</v>
      </c>
      <c r="K369" s="41">
        <v>45761</v>
      </c>
      <c r="M369" s="20" t="s">
        <v>87</v>
      </c>
      <c r="N369" s="5">
        <v>6</v>
      </c>
      <c r="O369" s="6"/>
      <c r="P369" s="7"/>
      <c r="Q369" s="51">
        <f t="shared" si="349"/>
        <v>6</v>
      </c>
      <c r="R369" s="8">
        <v>1</v>
      </c>
      <c r="S369" s="6">
        <v>4</v>
      </c>
      <c r="T369" s="7"/>
      <c r="U369" s="51">
        <f t="shared" si="350"/>
        <v>5</v>
      </c>
      <c r="V369" s="59">
        <f t="shared" si="351"/>
        <v>11</v>
      </c>
      <c r="W369" s="108">
        <v>45776</v>
      </c>
      <c r="X369" s="48"/>
    </row>
    <row r="370" spans="1:24" x14ac:dyDescent="0.15">
      <c r="A370" s="17" t="s">
        <v>57</v>
      </c>
      <c r="B370" s="5"/>
      <c r="C370" s="6">
        <v>1</v>
      </c>
      <c r="D370" s="7"/>
      <c r="E370" s="51">
        <f t="shared" si="346"/>
        <v>1</v>
      </c>
      <c r="F370" s="8"/>
      <c r="G370" s="6">
        <v>1</v>
      </c>
      <c r="H370" s="7"/>
      <c r="I370" s="51">
        <f t="shared" si="347"/>
        <v>1</v>
      </c>
      <c r="J370" s="59">
        <f t="shared" si="348"/>
        <v>2</v>
      </c>
      <c r="K370" s="41">
        <v>45762</v>
      </c>
      <c r="M370" s="20" t="s">
        <v>238</v>
      </c>
      <c r="N370" s="5">
        <v>30</v>
      </c>
      <c r="O370" s="6">
        <v>30</v>
      </c>
      <c r="P370" s="7">
        <v>20</v>
      </c>
      <c r="Q370" s="51">
        <f t="shared" si="349"/>
        <v>80</v>
      </c>
      <c r="R370" s="8">
        <v>30</v>
      </c>
      <c r="S370" s="6">
        <v>30</v>
      </c>
      <c r="T370" s="7">
        <v>20</v>
      </c>
      <c r="U370" s="51">
        <f t="shared" si="350"/>
        <v>80</v>
      </c>
      <c r="V370" s="59">
        <f t="shared" si="351"/>
        <v>160</v>
      </c>
      <c r="W370" s="108">
        <v>45785</v>
      </c>
      <c r="X370" s="48"/>
    </row>
    <row r="371" spans="1:24" x14ac:dyDescent="0.15">
      <c r="A371" s="17" t="s">
        <v>57</v>
      </c>
      <c r="B371" s="5"/>
      <c r="C371" s="6"/>
      <c r="D371" s="7">
        <v>1</v>
      </c>
      <c r="E371" s="51">
        <f t="shared" si="346"/>
        <v>1</v>
      </c>
      <c r="F371" s="8"/>
      <c r="G371" s="6"/>
      <c r="H371" s="7">
        <v>1</v>
      </c>
      <c r="I371" s="51">
        <f t="shared" si="347"/>
        <v>1</v>
      </c>
      <c r="J371" s="59">
        <f t="shared" si="348"/>
        <v>2</v>
      </c>
      <c r="K371" s="41">
        <v>45763</v>
      </c>
      <c r="M371" s="20" t="s">
        <v>41</v>
      </c>
      <c r="N371" s="5">
        <v>10</v>
      </c>
      <c r="O371" s="6">
        <v>10</v>
      </c>
      <c r="P371" s="7">
        <v>5</v>
      </c>
      <c r="Q371" s="51">
        <f>SUM(N371:P371)</f>
        <v>25</v>
      </c>
      <c r="R371" s="8"/>
      <c r="S371" s="6">
        <v>5</v>
      </c>
      <c r="T371" s="7">
        <v>10</v>
      </c>
      <c r="U371" s="51">
        <f>SUM(R371:T371)</f>
        <v>15</v>
      </c>
      <c r="V371" s="59">
        <f>Q371+U371</f>
        <v>40</v>
      </c>
      <c r="W371" s="108">
        <v>45784</v>
      </c>
      <c r="X371" s="48"/>
    </row>
    <row r="372" spans="1:24" x14ac:dyDescent="0.15">
      <c r="A372" s="17" t="s">
        <v>57</v>
      </c>
      <c r="B372" s="5">
        <v>2</v>
      </c>
      <c r="C372" s="6"/>
      <c r="D372" s="7"/>
      <c r="E372" s="51">
        <f t="shared" si="346"/>
        <v>2</v>
      </c>
      <c r="F372" s="8"/>
      <c r="G372" s="6"/>
      <c r="H372" s="7"/>
      <c r="I372" s="51">
        <f t="shared" si="347"/>
        <v>0</v>
      </c>
      <c r="J372" s="59">
        <f t="shared" si="348"/>
        <v>2</v>
      </c>
      <c r="K372" s="41">
        <v>45765</v>
      </c>
      <c r="M372" s="20" t="s">
        <v>242</v>
      </c>
      <c r="N372" s="5"/>
      <c r="O372" s="6">
        <v>40</v>
      </c>
      <c r="P372" s="7">
        <v>20</v>
      </c>
      <c r="Q372" s="51">
        <f t="shared" si="349"/>
        <v>60</v>
      </c>
      <c r="R372" s="8"/>
      <c r="S372" s="6">
        <v>40</v>
      </c>
      <c r="T372" s="7">
        <v>20</v>
      </c>
      <c r="U372" s="51">
        <f t="shared" si="350"/>
        <v>60</v>
      </c>
      <c r="V372" s="59">
        <f t="shared" si="351"/>
        <v>120</v>
      </c>
      <c r="W372" s="108">
        <v>45791</v>
      </c>
      <c r="X372" s="48"/>
    </row>
    <row r="373" spans="1:24" x14ac:dyDescent="0.15">
      <c r="A373" s="17" t="s">
        <v>57</v>
      </c>
      <c r="B373" s="5">
        <v>1</v>
      </c>
      <c r="C373" s="6"/>
      <c r="D373" s="7"/>
      <c r="E373" s="51">
        <f t="shared" si="346"/>
        <v>1</v>
      </c>
      <c r="F373" s="8"/>
      <c r="G373" s="6"/>
      <c r="H373" s="7"/>
      <c r="I373" s="51">
        <f t="shared" si="347"/>
        <v>0</v>
      </c>
      <c r="J373" s="59">
        <f t="shared" si="348"/>
        <v>1</v>
      </c>
      <c r="K373" s="41">
        <v>45768</v>
      </c>
      <c r="M373" s="20" t="s">
        <v>241</v>
      </c>
      <c r="N373" s="5">
        <v>8</v>
      </c>
      <c r="O373" s="6"/>
      <c r="P373" s="7"/>
      <c r="Q373" s="51">
        <f t="shared" si="349"/>
        <v>8</v>
      </c>
      <c r="R373" s="8">
        <v>8</v>
      </c>
      <c r="S373" s="6"/>
      <c r="T373" s="7"/>
      <c r="U373" s="51">
        <f t="shared" si="350"/>
        <v>8</v>
      </c>
      <c r="V373" s="59">
        <f t="shared" si="351"/>
        <v>16</v>
      </c>
      <c r="W373" s="108">
        <v>45790</v>
      </c>
      <c r="X373" s="48"/>
    </row>
    <row r="374" spans="1:24" x14ac:dyDescent="0.15">
      <c r="A374" s="17" t="s">
        <v>234</v>
      </c>
      <c r="B374" s="5"/>
      <c r="C374" s="6"/>
      <c r="D374" s="7"/>
      <c r="E374" s="51">
        <f t="shared" si="346"/>
        <v>0</v>
      </c>
      <c r="F374" s="8"/>
      <c r="G374" s="6"/>
      <c r="H374" s="7">
        <v>1</v>
      </c>
      <c r="I374" s="51">
        <f t="shared" si="347"/>
        <v>1</v>
      </c>
      <c r="J374" s="59">
        <f t="shared" si="348"/>
        <v>1</v>
      </c>
      <c r="K374" s="40">
        <v>45769</v>
      </c>
      <c r="M374" s="20" t="s">
        <v>252</v>
      </c>
      <c r="N374" s="5"/>
      <c r="O374" s="6">
        <v>20</v>
      </c>
      <c r="P374" s="7"/>
      <c r="Q374" s="51">
        <f t="shared" si="349"/>
        <v>20</v>
      </c>
      <c r="R374" s="8"/>
      <c r="S374" s="6"/>
      <c r="T374" s="7"/>
      <c r="U374" s="51">
        <f t="shared" si="350"/>
        <v>0</v>
      </c>
      <c r="V374" s="59">
        <f t="shared" si="351"/>
        <v>20</v>
      </c>
      <c r="W374" s="108">
        <v>45800</v>
      </c>
    </row>
    <row r="375" spans="1:24" x14ac:dyDescent="0.15">
      <c r="A375" s="17" t="s">
        <v>57</v>
      </c>
      <c r="B375" s="5"/>
      <c r="C375" s="6">
        <v>1</v>
      </c>
      <c r="D375" s="7"/>
      <c r="E375" s="51">
        <f t="shared" si="346"/>
        <v>1</v>
      </c>
      <c r="F375" s="8"/>
      <c r="G375" s="6">
        <v>1</v>
      </c>
      <c r="H375" s="7"/>
      <c r="I375" s="51">
        <f t="shared" si="347"/>
        <v>1</v>
      </c>
      <c r="J375" s="59">
        <f t="shared" si="348"/>
        <v>2</v>
      </c>
      <c r="K375" s="40">
        <v>45769</v>
      </c>
      <c r="M375" s="20" t="s">
        <v>245</v>
      </c>
      <c r="N375" s="5">
        <v>3</v>
      </c>
      <c r="O375" s="6"/>
      <c r="P375" s="7"/>
      <c r="Q375" s="51">
        <f t="shared" si="349"/>
        <v>3</v>
      </c>
      <c r="R375" s="8">
        <v>3</v>
      </c>
      <c r="S375" s="6"/>
      <c r="T375" s="7"/>
      <c r="U375" s="51">
        <f t="shared" si="350"/>
        <v>3</v>
      </c>
      <c r="V375" s="59">
        <f t="shared" si="351"/>
        <v>6</v>
      </c>
      <c r="W375" s="108">
        <v>45793</v>
      </c>
    </row>
    <row r="376" spans="1:24" x14ac:dyDescent="0.15">
      <c r="A376" s="17" t="s">
        <v>57</v>
      </c>
      <c r="B376" s="5"/>
      <c r="C376" s="6"/>
      <c r="D376" s="7">
        <v>1</v>
      </c>
      <c r="E376" s="51">
        <f t="shared" si="346"/>
        <v>1</v>
      </c>
      <c r="F376" s="8"/>
      <c r="G376" s="6"/>
      <c r="H376" s="7"/>
      <c r="I376" s="51">
        <f t="shared" si="347"/>
        <v>0</v>
      </c>
      <c r="J376" s="59">
        <f t="shared" si="348"/>
        <v>1</v>
      </c>
      <c r="K376" s="41">
        <v>45770</v>
      </c>
      <c r="M376" s="20"/>
      <c r="N376" s="5"/>
      <c r="O376" s="6"/>
      <c r="P376" s="7"/>
      <c r="Q376" s="51">
        <f t="shared" si="349"/>
        <v>0</v>
      </c>
      <c r="R376" s="8"/>
      <c r="S376" s="6"/>
      <c r="T376" s="7"/>
      <c r="U376" s="51">
        <f t="shared" si="350"/>
        <v>0</v>
      </c>
      <c r="V376" s="59">
        <f t="shared" si="351"/>
        <v>0</v>
      </c>
      <c r="W376" s="108"/>
    </row>
    <row r="377" spans="1:24" x14ac:dyDescent="0.15">
      <c r="A377" s="17" t="s">
        <v>57</v>
      </c>
      <c r="B377" s="5">
        <v>1</v>
      </c>
      <c r="C377" s="6"/>
      <c r="D377" s="7"/>
      <c r="E377" s="51">
        <f t="shared" si="346"/>
        <v>1</v>
      </c>
      <c r="F377" s="8"/>
      <c r="G377" s="6"/>
      <c r="H377" s="7"/>
      <c r="I377" s="51">
        <f t="shared" si="347"/>
        <v>0</v>
      </c>
      <c r="J377" s="59">
        <f t="shared" si="348"/>
        <v>1</v>
      </c>
      <c r="K377" s="41">
        <v>45771</v>
      </c>
      <c r="M377" s="20" t="s">
        <v>248</v>
      </c>
      <c r="N377" s="5"/>
      <c r="O377" s="6">
        <v>6</v>
      </c>
      <c r="P377" s="7"/>
      <c r="Q377" s="51">
        <f t="shared" ref="Q377:Q379" si="352">SUM(N377:P377)</f>
        <v>6</v>
      </c>
      <c r="R377" s="8"/>
      <c r="S377" s="6">
        <v>6</v>
      </c>
      <c r="T377" s="7"/>
      <c r="U377" s="51">
        <f t="shared" ref="U377:U379" si="353">SUM(R377:T377)</f>
        <v>6</v>
      </c>
      <c r="V377" s="59">
        <f t="shared" ref="V377:V379" si="354">Q377+U377</f>
        <v>12</v>
      </c>
      <c r="W377" s="108">
        <v>45797</v>
      </c>
    </row>
    <row r="378" spans="1:24" x14ac:dyDescent="0.15">
      <c r="A378" s="18" t="s">
        <v>236</v>
      </c>
      <c r="B378" s="5"/>
      <c r="C378" s="6"/>
      <c r="D378" s="7"/>
      <c r="E378" s="51">
        <f t="shared" si="346"/>
        <v>0</v>
      </c>
      <c r="F378" s="8">
        <v>1</v>
      </c>
      <c r="G378" s="6">
        <v>1</v>
      </c>
      <c r="H378" s="7"/>
      <c r="I378" s="51">
        <f t="shared" si="347"/>
        <v>2</v>
      </c>
      <c r="J378" s="59">
        <f t="shared" si="348"/>
        <v>2</v>
      </c>
      <c r="K378" s="40">
        <v>45773</v>
      </c>
      <c r="M378" s="20" t="s">
        <v>41</v>
      </c>
      <c r="N378" s="5">
        <v>5</v>
      </c>
      <c r="O378" s="6"/>
      <c r="P378" s="7"/>
      <c r="Q378" s="51">
        <f t="shared" si="352"/>
        <v>5</v>
      </c>
      <c r="R378" s="8">
        <v>5</v>
      </c>
      <c r="S378" s="6"/>
      <c r="T378" s="7"/>
      <c r="U378" s="51">
        <f t="shared" si="353"/>
        <v>5</v>
      </c>
      <c r="V378" s="59">
        <f t="shared" si="354"/>
        <v>10</v>
      </c>
      <c r="W378" s="108">
        <v>45798</v>
      </c>
    </row>
    <row r="379" spans="1:24" x14ac:dyDescent="0.15">
      <c r="A379" s="17" t="s">
        <v>57</v>
      </c>
      <c r="B379" s="9">
        <v>1</v>
      </c>
      <c r="C379" s="10">
        <f>1+1</f>
        <v>2</v>
      </c>
      <c r="D379" s="11"/>
      <c r="E379" s="51">
        <f t="shared" si="346"/>
        <v>3</v>
      </c>
      <c r="F379" s="12"/>
      <c r="G379" s="10"/>
      <c r="H379" s="11"/>
      <c r="I379" s="51">
        <f t="shared" si="347"/>
        <v>0</v>
      </c>
      <c r="J379" s="59">
        <f t="shared" si="348"/>
        <v>3</v>
      </c>
      <c r="K379" s="41">
        <v>45772</v>
      </c>
      <c r="M379" s="20"/>
      <c r="N379" s="5"/>
      <c r="O379" s="6"/>
      <c r="P379" s="7"/>
      <c r="Q379" s="51">
        <f t="shared" si="352"/>
        <v>0</v>
      </c>
      <c r="R379" s="8"/>
      <c r="S379" s="6"/>
      <c r="T379" s="7"/>
      <c r="U379" s="51">
        <f t="shared" si="353"/>
        <v>0</v>
      </c>
      <c r="V379" s="59">
        <f t="shared" si="354"/>
        <v>0</v>
      </c>
      <c r="W379" s="116"/>
    </row>
    <row r="380" spans="1:24" x14ac:dyDescent="0.15">
      <c r="A380" s="17" t="s">
        <v>57</v>
      </c>
      <c r="B380" s="5"/>
      <c r="C380" s="6"/>
      <c r="D380" s="7">
        <v>1</v>
      </c>
      <c r="E380" s="51">
        <f t="shared" si="346"/>
        <v>1</v>
      </c>
      <c r="F380" s="8"/>
      <c r="G380" s="6"/>
      <c r="H380" s="7">
        <v>1</v>
      </c>
      <c r="I380" s="51">
        <f t="shared" si="347"/>
        <v>1</v>
      </c>
      <c r="J380" s="59">
        <f t="shared" si="348"/>
        <v>2</v>
      </c>
      <c r="K380" s="40">
        <v>45775</v>
      </c>
      <c r="M380" s="20"/>
      <c r="N380" s="5"/>
      <c r="O380" s="6"/>
      <c r="P380" s="7"/>
      <c r="Q380" s="51">
        <f t="shared" ref="Q380" si="355">SUM(N380:P380)</f>
        <v>0</v>
      </c>
      <c r="R380" s="8"/>
      <c r="S380" s="6"/>
      <c r="T380" s="7"/>
      <c r="U380" s="51">
        <f t="shared" ref="U380" si="356">SUM(R380:T380)</f>
        <v>0</v>
      </c>
      <c r="V380" s="59">
        <f t="shared" ref="V380" si="357">Q380+U380</f>
        <v>0</v>
      </c>
      <c r="W380" s="116"/>
    </row>
    <row r="381" spans="1:24" x14ac:dyDescent="0.15">
      <c r="A381" s="17" t="s">
        <v>158</v>
      </c>
      <c r="B381" s="9">
        <v>1</v>
      </c>
      <c r="C381" s="10"/>
      <c r="D381" s="11"/>
      <c r="E381" s="52">
        <f t="shared" si="346"/>
        <v>1</v>
      </c>
      <c r="F381" s="12"/>
      <c r="G381" s="10"/>
      <c r="H381" s="11"/>
      <c r="I381" s="52">
        <f t="shared" si="347"/>
        <v>0</v>
      </c>
      <c r="J381" s="59">
        <f t="shared" si="348"/>
        <v>1</v>
      </c>
      <c r="K381" s="40">
        <v>45779</v>
      </c>
      <c r="M381" s="20" t="s">
        <v>47</v>
      </c>
      <c r="N381" s="5"/>
      <c r="O381" s="6"/>
      <c r="P381" s="7"/>
      <c r="Q381" s="51">
        <f t="shared" ref="Q381:Q383" si="358">SUM(N381:P381)</f>
        <v>0</v>
      </c>
      <c r="R381" s="8"/>
      <c r="S381" s="6"/>
      <c r="T381" s="7"/>
      <c r="U381" s="51">
        <f t="shared" ref="U381:U383" si="359">SUM(R381:T381)</f>
        <v>0</v>
      </c>
      <c r="V381" s="59">
        <f t="shared" ref="V381:V383" si="360">Q381+U381</f>
        <v>0</v>
      </c>
      <c r="W381" s="116" t="s">
        <v>224</v>
      </c>
    </row>
    <row r="382" spans="1:24" x14ac:dyDescent="0.15">
      <c r="A382" s="17" t="s">
        <v>57</v>
      </c>
      <c r="B382" s="5"/>
      <c r="C382" s="6"/>
      <c r="D382" s="7">
        <f>1+1</f>
        <v>2</v>
      </c>
      <c r="E382" s="51">
        <f t="shared" si="346"/>
        <v>2</v>
      </c>
      <c r="F382" s="8">
        <v>1</v>
      </c>
      <c r="G382" s="6"/>
      <c r="H382" s="7">
        <f>1+1</f>
        <v>2</v>
      </c>
      <c r="I382" s="51">
        <f t="shared" si="347"/>
        <v>3</v>
      </c>
      <c r="J382" s="59">
        <f t="shared" si="348"/>
        <v>5</v>
      </c>
      <c r="K382" s="40">
        <v>45777</v>
      </c>
      <c r="M382" s="101" t="s">
        <v>227</v>
      </c>
      <c r="N382" s="86"/>
      <c r="O382" s="87"/>
      <c r="P382" s="88"/>
      <c r="Q382" s="89">
        <f t="shared" si="358"/>
        <v>0</v>
      </c>
      <c r="R382" s="105"/>
      <c r="S382" s="87"/>
      <c r="T382" s="88"/>
      <c r="U382" s="89">
        <f t="shared" si="359"/>
        <v>0</v>
      </c>
      <c r="V382" s="90">
        <f t="shared" si="360"/>
        <v>0</v>
      </c>
      <c r="W382" s="116"/>
    </row>
    <row r="383" spans="1:24" ht="14.25" thickBot="1" x14ac:dyDescent="0.2">
      <c r="A383" s="18" t="s">
        <v>38</v>
      </c>
      <c r="B383" s="9"/>
      <c r="C383" s="10">
        <v>1</v>
      </c>
      <c r="D383" s="11"/>
      <c r="E383" s="55">
        <f t="shared" si="346"/>
        <v>1</v>
      </c>
      <c r="F383" s="12"/>
      <c r="G383" s="10"/>
      <c r="H383" s="11"/>
      <c r="I383" s="55">
        <f t="shared" si="347"/>
        <v>0</v>
      </c>
      <c r="J383" s="59">
        <f t="shared" si="348"/>
        <v>1</v>
      </c>
      <c r="K383" s="40">
        <v>45779</v>
      </c>
      <c r="M383" s="20" t="s">
        <v>228</v>
      </c>
      <c r="N383" s="5"/>
      <c r="O383" s="6"/>
      <c r="P383" s="7"/>
      <c r="Q383" s="51">
        <f t="shared" si="358"/>
        <v>0</v>
      </c>
      <c r="R383" s="8"/>
      <c r="S383" s="6"/>
      <c r="T383" s="7"/>
      <c r="U383" s="51">
        <f t="shared" si="359"/>
        <v>0</v>
      </c>
      <c r="V383" s="59">
        <f t="shared" si="360"/>
        <v>0</v>
      </c>
      <c r="W383" s="116" t="s">
        <v>226</v>
      </c>
    </row>
    <row r="384" spans="1:24" ht="14.25" thickBot="1" x14ac:dyDescent="0.2">
      <c r="A384" s="31" t="s">
        <v>19</v>
      </c>
      <c r="B384" s="34">
        <f>SUM(B358:B383)</f>
        <v>14</v>
      </c>
      <c r="C384" s="35">
        <f t="shared" ref="C384:D384" si="361">SUM(C358:C383)</f>
        <v>6</v>
      </c>
      <c r="D384" s="39">
        <f t="shared" si="361"/>
        <v>10</v>
      </c>
      <c r="E384" s="56">
        <f t="shared" si="346"/>
        <v>30</v>
      </c>
      <c r="F384" s="34">
        <f>SUM(F358:F383)</f>
        <v>10</v>
      </c>
      <c r="G384" s="35">
        <f t="shared" ref="G384:H384" si="362">SUM(G358:G383)</f>
        <v>4</v>
      </c>
      <c r="H384" s="39">
        <f t="shared" si="362"/>
        <v>8</v>
      </c>
      <c r="I384" s="56">
        <f t="shared" si="347"/>
        <v>22</v>
      </c>
      <c r="J384" s="62">
        <f>E384+I384</f>
        <v>52</v>
      </c>
      <c r="M384" s="31" t="s">
        <v>19</v>
      </c>
      <c r="N384" s="34">
        <f>SUM(N358:N383)</f>
        <v>219</v>
      </c>
      <c r="O384" s="35">
        <f t="shared" ref="O384:P384" si="363">SUM(O358:O383)</f>
        <v>267</v>
      </c>
      <c r="P384" s="39">
        <f t="shared" si="363"/>
        <v>174</v>
      </c>
      <c r="Q384" s="56">
        <f t="shared" si="349"/>
        <v>660</v>
      </c>
      <c r="R384" s="34">
        <f>SUM(R358:R383)</f>
        <v>247</v>
      </c>
      <c r="S384" s="35">
        <f t="shared" ref="S384:T384" si="364">SUM(S358:S383)</f>
        <v>238</v>
      </c>
      <c r="T384" s="39">
        <f t="shared" si="364"/>
        <v>169</v>
      </c>
      <c r="U384" s="56">
        <f t="shared" si="350"/>
        <v>654</v>
      </c>
      <c r="V384" s="62">
        <f>Q384+U384</f>
        <v>1314</v>
      </c>
    </row>
    <row r="385" spans="1:22" ht="14.25" thickBot="1" x14ac:dyDescent="0.2">
      <c r="A385" s="16" t="s">
        <v>17</v>
      </c>
      <c r="B385" s="63">
        <f>B357-B384</f>
        <v>12</v>
      </c>
      <c r="C385" s="64">
        <f t="shared" ref="C385:D385" si="365">C357-C384</f>
        <v>7</v>
      </c>
      <c r="D385" s="65">
        <f t="shared" si="365"/>
        <v>8</v>
      </c>
      <c r="E385" s="57">
        <f>SUM(B385:D385)</f>
        <v>27</v>
      </c>
      <c r="F385" s="63">
        <f>F357-F384</f>
        <v>11</v>
      </c>
      <c r="G385" s="64">
        <f t="shared" ref="G385:H385" si="366">G357-G384</f>
        <v>5</v>
      </c>
      <c r="H385" s="65">
        <f t="shared" si="366"/>
        <v>4</v>
      </c>
      <c r="I385" s="57">
        <f>SUM(F385:H385)</f>
        <v>20</v>
      </c>
      <c r="J385" s="61">
        <f>E385+I385</f>
        <v>47</v>
      </c>
      <c r="M385" s="16" t="s">
        <v>17</v>
      </c>
      <c r="N385" s="63">
        <f>N357-N384</f>
        <v>388</v>
      </c>
      <c r="O385" s="64">
        <f t="shared" ref="O385:P385" si="367">O357-O384</f>
        <v>636</v>
      </c>
      <c r="P385" s="65">
        <f t="shared" si="367"/>
        <v>706</v>
      </c>
      <c r="Q385" s="57">
        <f>SUM(N385:P385)</f>
        <v>1730</v>
      </c>
      <c r="R385" s="63">
        <f>R357-R384</f>
        <v>513</v>
      </c>
      <c r="S385" s="64">
        <f t="shared" ref="S385:T385" si="368">S357-S384</f>
        <v>666</v>
      </c>
      <c r="T385" s="65">
        <f t="shared" si="368"/>
        <v>486</v>
      </c>
      <c r="U385" s="57">
        <f>SUM(R385:T385)</f>
        <v>1665</v>
      </c>
      <c r="V385" s="61">
        <f>Q385+U385</f>
        <v>3395</v>
      </c>
    </row>
    <row r="388" spans="1:22" ht="19.5" thickBot="1" x14ac:dyDescent="0.25">
      <c r="A388" s="66" t="s">
        <v>23</v>
      </c>
      <c r="B388" s="67"/>
      <c r="C388" s="67"/>
      <c r="D388" s="67"/>
      <c r="E388" s="67"/>
      <c r="F388" s="67"/>
      <c r="G388" s="67"/>
      <c r="H388" s="67"/>
      <c r="I388" s="67" t="s">
        <v>26</v>
      </c>
      <c r="J388" s="67"/>
      <c r="M388" s="73" t="s">
        <v>24</v>
      </c>
      <c r="N388" s="74"/>
      <c r="O388" s="74"/>
      <c r="P388" s="74"/>
      <c r="Q388" s="74"/>
      <c r="R388" s="74"/>
      <c r="S388" s="74"/>
      <c r="T388" s="74"/>
      <c r="U388" s="74"/>
      <c r="V388" s="74"/>
    </row>
    <row r="389" spans="1:22" ht="14.25" thickBot="1" x14ac:dyDescent="0.2">
      <c r="A389" s="4" t="s">
        <v>0</v>
      </c>
      <c r="B389" s="191" t="s">
        <v>21</v>
      </c>
      <c r="C389" s="192"/>
      <c r="D389" s="192"/>
      <c r="E389" s="193"/>
      <c r="F389" s="194" t="s">
        <v>18</v>
      </c>
      <c r="G389" s="195"/>
      <c r="H389" s="195"/>
      <c r="I389" s="196"/>
      <c r="J389" s="189" t="s">
        <v>1</v>
      </c>
      <c r="M389" s="4" t="s">
        <v>0</v>
      </c>
      <c r="N389" s="191" t="s">
        <v>21</v>
      </c>
      <c r="O389" s="192"/>
      <c r="P389" s="192"/>
      <c r="Q389" s="193"/>
      <c r="R389" s="194" t="s">
        <v>18</v>
      </c>
      <c r="S389" s="195"/>
      <c r="T389" s="195"/>
      <c r="U389" s="196"/>
      <c r="V389" s="189" t="s">
        <v>1</v>
      </c>
    </row>
    <row r="390" spans="1:22" ht="14.25" thickBot="1" x14ac:dyDescent="0.2">
      <c r="A390" s="4" t="s">
        <v>2</v>
      </c>
      <c r="B390" s="1" t="s">
        <v>3</v>
      </c>
      <c r="C390" s="2" t="s">
        <v>4</v>
      </c>
      <c r="D390" s="3" t="s">
        <v>5</v>
      </c>
      <c r="E390" s="4" t="s">
        <v>6</v>
      </c>
      <c r="F390" s="1" t="s">
        <v>3</v>
      </c>
      <c r="G390" s="2" t="s">
        <v>4</v>
      </c>
      <c r="H390" s="3" t="s">
        <v>5</v>
      </c>
      <c r="I390" s="4" t="s">
        <v>6</v>
      </c>
      <c r="J390" s="190"/>
      <c r="M390" s="4" t="s">
        <v>2</v>
      </c>
      <c r="N390" s="1" t="s">
        <v>3</v>
      </c>
      <c r="O390" s="2" t="s">
        <v>4</v>
      </c>
      <c r="P390" s="3" t="s">
        <v>5</v>
      </c>
      <c r="Q390" s="4" t="s">
        <v>6</v>
      </c>
      <c r="R390" s="1" t="s">
        <v>3</v>
      </c>
      <c r="S390" s="2" t="s">
        <v>4</v>
      </c>
      <c r="T390" s="3" t="s">
        <v>5</v>
      </c>
      <c r="U390" s="4" t="s">
        <v>6</v>
      </c>
      <c r="V390" s="190"/>
    </row>
    <row r="391" spans="1:22" ht="14.25" thickBot="1" x14ac:dyDescent="0.2">
      <c r="A391" s="21" t="s">
        <v>20</v>
      </c>
      <c r="B391" s="68">
        <f>B385</f>
        <v>12</v>
      </c>
      <c r="C391" s="69">
        <f>C385</f>
        <v>7</v>
      </c>
      <c r="D391" s="70">
        <f>D385</f>
        <v>8</v>
      </c>
      <c r="E391" s="71">
        <f>SUM(B391:D391)</f>
        <v>27</v>
      </c>
      <c r="F391" s="68">
        <f>F385</f>
        <v>11</v>
      </c>
      <c r="G391" s="69">
        <f>G385</f>
        <v>5</v>
      </c>
      <c r="H391" s="70">
        <f>H385</f>
        <v>4</v>
      </c>
      <c r="I391" s="71">
        <f>SUM(F391:H391)</f>
        <v>20</v>
      </c>
      <c r="J391" s="72">
        <f>E391+I391</f>
        <v>47</v>
      </c>
      <c r="M391" s="21" t="s">
        <v>20</v>
      </c>
      <c r="N391" s="68">
        <f>N385</f>
        <v>388</v>
      </c>
      <c r="O391" s="69">
        <f>O385</f>
        <v>636</v>
      </c>
      <c r="P391" s="70">
        <f>P385</f>
        <v>706</v>
      </c>
      <c r="Q391" s="71">
        <f>SUM(N391:P391)</f>
        <v>1730</v>
      </c>
      <c r="R391" s="68">
        <f>R385</f>
        <v>513</v>
      </c>
      <c r="S391" s="69">
        <f>S385</f>
        <v>666</v>
      </c>
      <c r="T391" s="70">
        <f>T385</f>
        <v>486</v>
      </c>
      <c r="U391" s="71">
        <f>SUM(R391:T391)</f>
        <v>1665</v>
      </c>
      <c r="V391" s="72">
        <f>Q391+U391</f>
        <v>3395</v>
      </c>
    </row>
    <row r="392" spans="1:22" x14ac:dyDescent="0.15">
      <c r="A392" s="19" t="s">
        <v>8</v>
      </c>
      <c r="B392" s="32">
        <v>10</v>
      </c>
      <c r="C392" s="33">
        <v>10</v>
      </c>
      <c r="D392" s="44">
        <v>5</v>
      </c>
      <c r="E392" s="50">
        <f>SUM(B392:D392)</f>
        <v>25</v>
      </c>
      <c r="F392" s="45"/>
      <c r="G392" s="46">
        <v>5</v>
      </c>
      <c r="H392" s="47">
        <v>10</v>
      </c>
      <c r="I392" s="50">
        <f>SUM(F392:H392)</f>
        <v>15</v>
      </c>
      <c r="J392" s="58">
        <f>E392+I392</f>
        <v>40</v>
      </c>
      <c r="K392" s="40">
        <v>45784</v>
      </c>
      <c r="M392" s="19" t="s">
        <v>8</v>
      </c>
      <c r="N392" s="83"/>
      <c r="O392" s="46"/>
      <c r="P392" s="44"/>
      <c r="Q392" s="50">
        <f>SUM(N392:P392)</f>
        <v>0</v>
      </c>
      <c r="R392" s="45"/>
      <c r="S392" s="46"/>
      <c r="T392" s="47"/>
      <c r="U392" s="50">
        <f>SUM(R392:T392)</f>
        <v>0</v>
      </c>
      <c r="V392" s="84">
        <f>Q392+U392</f>
        <v>0</v>
      </c>
    </row>
    <row r="393" spans="1:22" x14ac:dyDescent="0.15">
      <c r="A393" s="19" t="s">
        <v>157</v>
      </c>
      <c r="B393" s="5"/>
      <c r="C393" s="6">
        <v>5</v>
      </c>
      <c r="D393" s="14">
        <v>1</v>
      </c>
      <c r="E393" s="51">
        <f>SUM(B393:D393)</f>
        <v>6</v>
      </c>
      <c r="F393" s="15"/>
      <c r="G393" s="13"/>
      <c r="H393" s="14"/>
      <c r="I393" s="51">
        <f>SUM(F393:H393)</f>
        <v>0</v>
      </c>
      <c r="J393" s="59">
        <f>E393+I393</f>
        <v>6</v>
      </c>
      <c r="K393" s="40">
        <v>45793</v>
      </c>
      <c r="L393" s="48"/>
      <c r="M393" s="19" t="s">
        <v>9</v>
      </c>
      <c r="N393" s="5"/>
      <c r="O393" s="6"/>
      <c r="P393" s="36"/>
      <c r="Q393" s="52">
        <f t="shared" ref="Q393:Q394" si="369">SUM(N393:P393)</f>
        <v>0</v>
      </c>
      <c r="R393" s="8"/>
      <c r="S393" s="6"/>
      <c r="T393" s="7"/>
      <c r="U393" s="52">
        <f t="shared" ref="U393:U394" si="370">SUM(R393:T393)</f>
        <v>0</v>
      </c>
      <c r="V393" s="59">
        <f t="shared" ref="V393:V394" si="371">Q393+U393</f>
        <v>0</v>
      </c>
    </row>
    <row r="394" spans="1:22" x14ac:dyDescent="0.15">
      <c r="A394" s="19" t="s">
        <v>10</v>
      </c>
      <c r="B394" s="5">
        <v>5</v>
      </c>
      <c r="C394" s="6"/>
      <c r="D394" s="7"/>
      <c r="E394" s="51">
        <f t="shared" ref="E394:E399" si="372">SUM(B394:D394)</f>
        <v>5</v>
      </c>
      <c r="F394" s="8">
        <v>5</v>
      </c>
      <c r="G394" s="6"/>
      <c r="H394" s="7"/>
      <c r="I394" s="51">
        <f t="shared" ref="I394:I399" si="373">SUM(F394:H394)</f>
        <v>5</v>
      </c>
      <c r="J394" s="59">
        <f t="shared" ref="J394:J399" si="374">E394+I394</f>
        <v>10</v>
      </c>
      <c r="K394" s="40">
        <v>45798</v>
      </c>
      <c r="L394" s="48"/>
      <c r="M394" s="19" t="s">
        <v>10</v>
      </c>
      <c r="N394" s="5"/>
      <c r="O394" s="6"/>
      <c r="P394" s="36"/>
      <c r="Q394" s="52">
        <f t="shared" si="369"/>
        <v>0</v>
      </c>
      <c r="R394" s="8"/>
      <c r="S394" s="6"/>
      <c r="T394" s="7"/>
      <c r="U394" s="52">
        <f t="shared" si="370"/>
        <v>0</v>
      </c>
      <c r="V394" s="59">
        <f t="shared" si="371"/>
        <v>0</v>
      </c>
    </row>
    <row r="395" spans="1:22" x14ac:dyDescent="0.15">
      <c r="A395" s="19" t="s">
        <v>11</v>
      </c>
      <c r="B395" s="5"/>
      <c r="C395" s="6"/>
      <c r="D395" s="36">
        <v>5</v>
      </c>
      <c r="E395" s="52">
        <f t="shared" si="372"/>
        <v>5</v>
      </c>
      <c r="F395" s="8"/>
      <c r="G395" s="6"/>
      <c r="H395" s="7">
        <v>5</v>
      </c>
      <c r="I395" s="52">
        <f t="shared" si="373"/>
        <v>5</v>
      </c>
      <c r="J395" s="59">
        <f t="shared" si="374"/>
        <v>10</v>
      </c>
      <c r="K395" s="40">
        <v>45803</v>
      </c>
      <c r="L395" s="48"/>
      <c r="M395" s="19" t="s">
        <v>11</v>
      </c>
      <c r="N395" s="5"/>
      <c r="O395" s="6"/>
      <c r="P395" s="36"/>
      <c r="Q395" s="52">
        <f>SUM(N395:P395)</f>
        <v>0</v>
      </c>
      <c r="R395" s="8"/>
      <c r="S395" s="6"/>
      <c r="T395" s="7"/>
      <c r="U395" s="52">
        <f>SUM(R395:T395)</f>
        <v>0</v>
      </c>
      <c r="V395" s="59">
        <f>Q395+U395</f>
        <v>0</v>
      </c>
    </row>
    <row r="396" spans="1:22" x14ac:dyDescent="0.15">
      <c r="A396" s="19" t="s">
        <v>157</v>
      </c>
      <c r="B396" s="5">
        <v>1</v>
      </c>
      <c r="C396" s="6"/>
      <c r="D396" s="36"/>
      <c r="E396" s="52">
        <f t="shared" si="372"/>
        <v>1</v>
      </c>
      <c r="F396" s="8"/>
      <c r="G396" s="6"/>
      <c r="H396" s="7"/>
      <c r="I396" s="52">
        <f t="shared" si="373"/>
        <v>0</v>
      </c>
      <c r="J396" s="59">
        <f t="shared" si="374"/>
        <v>1</v>
      </c>
      <c r="K396" s="41">
        <v>45804</v>
      </c>
      <c r="M396" s="19" t="s">
        <v>12</v>
      </c>
      <c r="N396" s="9"/>
      <c r="O396" s="10"/>
      <c r="P396" s="37"/>
      <c r="Q396" s="52">
        <f t="shared" ref="Q396:Q399" si="375">SUM(N396:P396)</f>
        <v>0</v>
      </c>
      <c r="R396" s="12"/>
      <c r="S396" s="10"/>
      <c r="T396" s="11"/>
      <c r="U396" s="52">
        <f t="shared" ref="U396:U399" si="376">SUM(R396:T396)</f>
        <v>0</v>
      </c>
      <c r="V396" s="59">
        <f t="shared" ref="V396:V399" si="377">Q396+U396</f>
        <v>0</v>
      </c>
    </row>
    <row r="397" spans="1:22" x14ac:dyDescent="0.15">
      <c r="A397" s="19" t="s">
        <v>13</v>
      </c>
      <c r="B397" s="5">
        <v>5</v>
      </c>
      <c r="C397" s="6"/>
      <c r="D397" s="36"/>
      <c r="E397" s="52">
        <f t="shared" si="372"/>
        <v>5</v>
      </c>
      <c r="F397" s="8">
        <v>5</v>
      </c>
      <c r="G397" s="6">
        <v>5</v>
      </c>
      <c r="H397" s="7">
        <v>5</v>
      </c>
      <c r="I397" s="52">
        <f t="shared" si="373"/>
        <v>15</v>
      </c>
      <c r="J397" s="59">
        <f t="shared" si="374"/>
        <v>20</v>
      </c>
      <c r="K397" s="40">
        <v>45808</v>
      </c>
      <c r="M397" s="19" t="s">
        <v>13</v>
      </c>
      <c r="N397" s="9"/>
      <c r="O397" s="10"/>
      <c r="P397" s="37"/>
      <c r="Q397" s="52">
        <f t="shared" si="375"/>
        <v>0</v>
      </c>
      <c r="R397" s="12"/>
      <c r="S397" s="10"/>
      <c r="T397" s="11"/>
      <c r="U397" s="52">
        <f t="shared" si="376"/>
        <v>0</v>
      </c>
      <c r="V397" s="59">
        <f t="shared" si="377"/>
        <v>0</v>
      </c>
    </row>
    <row r="398" spans="1:22" x14ac:dyDescent="0.15">
      <c r="A398" s="19" t="s">
        <v>14</v>
      </c>
      <c r="B398" s="9">
        <v>5</v>
      </c>
      <c r="C398" s="10"/>
      <c r="D398" s="37"/>
      <c r="E398" s="52">
        <f t="shared" si="372"/>
        <v>5</v>
      </c>
      <c r="F398" s="12"/>
      <c r="G398" s="10"/>
      <c r="H398" s="11"/>
      <c r="I398" s="52">
        <f t="shared" si="373"/>
        <v>0</v>
      </c>
      <c r="J398" s="59">
        <f t="shared" si="374"/>
        <v>5</v>
      </c>
      <c r="K398" s="40">
        <v>45818</v>
      </c>
      <c r="M398" s="19" t="s">
        <v>14</v>
      </c>
      <c r="N398" s="9"/>
      <c r="O398" s="10"/>
      <c r="P398" s="37"/>
      <c r="Q398" s="52">
        <f t="shared" si="375"/>
        <v>0</v>
      </c>
      <c r="R398" s="12"/>
      <c r="S398" s="10"/>
      <c r="T398" s="11"/>
      <c r="U398" s="52">
        <f t="shared" si="376"/>
        <v>0</v>
      </c>
      <c r="V398" s="59">
        <f t="shared" si="377"/>
        <v>0</v>
      </c>
    </row>
    <row r="399" spans="1:22" ht="14.25" thickBot="1" x14ac:dyDescent="0.2">
      <c r="A399" s="19" t="s">
        <v>15</v>
      </c>
      <c r="B399" s="25"/>
      <c r="C399" s="26"/>
      <c r="D399" s="38"/>
      <c r="E399" s="53">
        <f t="shared" si="372"/>
        <v>0</v>
      </c>
      <c r="F399" s="27"/>
      <c r="G399" s="27"/>
      <c r="H399" s="29"/>
      <c r="I399" s="53">
        <f t="shared" si="373"/>
        <v>0</v>
      </c>
      <c r="J399" s="60">
        <f t="shared" si="374"/>
        <v>0</v>
      </c>
      <c r="M399" s="19" t="s">
        <v>15</v>
      </c>
      <c r="N399" s="25"/>
      <c r="O399" s="26"/>
      <c r="P399" s="38"/>
      <c r="Q399" s="53">
        <f t="shared" si="375"/>
        <v>0</v>
      </c>
      <c r="R399" s="27"/>
      <c r="S399" s="27"/>
      <c r="T399" s="29"/>
      <c r="U399" s="53">
        <f t="shared" si="376"/>
        <v>0</v>
      </c>
      <c r="V399" s="60">
        <f t="shared" si="377"/>
        <v>0</v>
      </c>
    </row>
    <row r="400" spans="1:22" ht="14.25" thickBot="1" x14ac:dyDescent="0.2">
      <c r="A400" s="28" t="s">
        <v>16</v>
      </c>
      <c r="B400" s="22">
        <f>SUM(B391:B399)</f>
        <v>38</v>
      </c>
      <c r="C400" s="23">
        <f t="shared" ref="C400:D400" si="378">SUM(C391:C399)</f>
        <v>22</v>
      </c>
      <c r="D400" s="24">
        <f t="shared" si="378"/>
        <v>19</v>
      </c>
      <c r="E400" s="54">
        <f>SUM(B400:D400)</f>
        <v>79</v>
      </c>
      <c r="F400" s="22">
        <f>SUM(F391:F399)</f>
        <v>21</v>
      </c>
      <c r="G400" s="23">
        <f t="shared" ref="G400:H400" si="379">SUM(G391:G399)</f>
        <v>15</v>
      </c>
      <c r="H400" s="24">
        <f t="shared" si="379"/>
        <v>24</v>
      </c>
      <c r="I400" s="54">
        <f>SUM(F400:H400)</f>
        <v>60</v>
      </c>
      <c r="J400" s="61">
        <f>SUM(J392:J399)</f>
        <v>92</v>
      </c>
      <c r="M400" s="28" t="s">
        <v>16</v>
      </c>
      <c r="N400" s="22">
        <f>SUM(N391:N399)</f>
        <v>388</v>
      </c>
      <c r="O400" s="23">
        <f t="shared" ref="O400:P400" si="380">SUM(O391:O399)</f>
        <v>636</v>
      </c>
      <c r="P400" s="24">
        <f t="shared" si="380"/>
        <v>706</v>
      </c>
      <c r="Q400" s="54">
        <f>SUM(N400:P400)</f>
        <v>1730</v>
      </c>
      <c r="R400" s="22">
        <f>SUM(R391:R399)</f>
        <v>513</v>
      </c>
      <c r="S400" s="23">
        <f t="shared" ref="S400:T400" si="381">SUM(S391:S399)</f>
        <v>666</v>
      </c>
      <c r="T400" s="24">
        <f t="shared" si="381"/>
        <v>486</v>
      </c>
      <c r="U400" s="54">
        <f>SUM(R400:T400)</f>
        <v>1665</v>
      </c>
      <c r="V400" s="61">
        <f>Q400+U400</f>
        <v>3395</v>
      </c>
    </row>
    <row r="401" spans="1:24" x14ac:dyDescent="0.15">
      <c r="A401" s="17" t="s">
        <v>57</v>
      </c>
      <c r="B401" s="9">
        <v>2</v>
      </c>
      <c r="C401" s="10"/>
      <c r="D401" s="11"/>
      <c r="E401" s="51">
        <f t="shared" ref="E401:E427" si="382">SUM(B401:D401)</f>
        <v>2</v>
      </c>
      <c r="F401" s="12"/>
      <c r="G401" s="10"/>
      <c r="H401" s="11"/>
      <c r="I401" s="51">
        <f t="shared" ref="I401:I427" si="383">SUM(F401:H401)</f>
        <v>0</v>
      </c>
      <c r="J401" s="59">
        <f t="shared" ref="J401:J426" si="384">E401+I401</f>
        <v>2</v>
      </c>
      <c r="K401" s="41">
        <v>45779</v>
      </c>
      <c r="M401" s="20" t="s">
        <v>249</v>
      </c>
      <c r="N401" s="5">
        <v>5</v>
      </c>
      <c r="O401" s="6">
        <v>30</v>
      </c>
      <c r="P401" s="7">
        <v>10</v>
      </c>
      <c r="Q401" s="51">
        <f t="shared" ref="Q401:Q427" si="385">SUM(N401:P401)</f>
        <v>45</v>
      </c>
      <c r="R401" s="8">
        <v>25</v>
      </c>
      <c r="S401" s="6">
        <v>25</v>
      </c>
      <c r="T401" s="7">
        <v>15</v>
      </c>
      <c r="U401" s="51">
        <f t="shared" ref="U401:U427" si="386">SUM(R401:T401)</f>
        <v>65</v>
      </c>
      <c r="V401" s="59">
        <f t="shared" ref="V401:V424" si="387">Q401+U401</f>
        <v>110</v>
      </c>
      <c r="W401" s="108">
        <v>45799</v>
      </c>
    </row>
    <row r="402" spans="1:24" x14ac:dyDescent="0.15">
      <c r="A402" s="17" t="s">
        <v>158</v>
      </c>
      <c r="B402" s="5">
        <v>1</v>
      </c>
      <c r="C402" s="6"/>
      <c r="D402" s="7"/>
      <c r="E402" s="51">
        <f t="shared" si="382"/>
        <v>1</v>
      </c>
      <c r="F402" s="8"/>
      <c r="G402" s="6"/>
      <c r="H402" s="7"/>
      <c r="I402" s="51">
        <f t="shared" si="383"/>
        <v>0</v>
      </c>
      <c r="J402" s="59">
        <f t="shared" si="384"/>
        <v>1</v>
      </c>
      <c r="K402" s="40">
        <v>45786</v>
      </c>
      <c r="M402" s="20" t="s">
        <v>251</v>
      </c>
      <c r="N402" s="5">
        <v>10</v>
      </c>
      <c r="O402" s="6">
        <v>10</v>
      </c>
      <c r="P402" s="7">
        <v>10</v>
      </c>
      <c r="Q402" s="51">
        <f t="shared" si="385"/>
        <v>30</v>
      </c>
      <c r="R402" s="8">
        <v>20</v>
      </c>
      <c r="S402" s="6"/>
      <c r="T402" s="7">
        <v>15</v>
      </c>
      <c r="U402" s="51">
        <f t="shared" si="386"/>
        <v>35</v>
      </c>
      <c r="V402" s="59">
        <f t="shared" si="387"/>
        <v>65</v>
      </c>
      <c r="W402" s="108">
        <v>45800</v>
      </c>
    </row>
    <row r="403" spans="1:24" x14ac:dyDescent="0.15">
      <c r="A403" s="17" t="s">
        <v>57</v>
      </c>
      <c r="B403" s="5">
        <v>1</v>
      </c>
      <c r="C403" s="6">
        <v>1</v>
      </c>
      <c r="D403" s="7">
        <f>1+1</f>
        <v>2</v>
      </c>
      <c r="E403" s="51">
        <f t="shared" si="382"/>
        <v>4</v>
      </c>
      <c r="F403" s="8">
        <v>1</v>
      </c>
      <c r="G403" s="6"/>
      <c r="H403" s="7">
        <v>1</v>
      </c>
      <c r="I403" s="51">
        <f t="shared" si="383"/>
        <v>2</v>
      </c>
      <c r="J403" s="59">
        <f t="shared" si="384"/>
        <v>6</v>
      </c>
      <c r="K403" s="40">
        <v>45784</v>
      </c>
      <c r="M403" s="20" t="s">
        <v>41</v>
      </c>
      <c r="N403" s="5"/>
      <c r="O403" s="6"/>
      <c r="P403" s="7">
        <v>5</v>
      </c>
      <c r="Q403" s="51">
        <f t="shared" si="385"/>
        <v>5</v>
      </c>
      <c r="R403" s="8"/>
      <c r="S403" s="6"/>
      <c r="T403" s="7">
        <v>5</v>
      </c>
      <c r="U403" s="51">
        <f t="shared" si="386"/>
        <v>5</v>
      </c>
      <c r="V403" s="59">
        <f t="shared" si="387"/>
        <v>10</v>
      </c>
      <c r="W403" s="108">
        <v>45803</v>
      </c>
    </row>
    <row r="404" spans="1:24" x14ac:dyDescent="0.15">
      <c r="A404" s="17" t="s">
        <v>215</v>
      </c>
      <c r="B404" s="5">
        <v>1</v>
      </c>
      <c r="C404" s="6"/>
      <c r="D404" s="7"/>
      <c r="E404" s="51">
        <f t="shared" si="382"/>
        <v>1</v>
      </c>
      <c r="F404" s="8">
        <v>1</v>
      </c>
      <c r="G404" s="6"/>
      <c r="H404" s="7"/>
      <c r="I404" s="51">
        <f t="shared" si="383"/>
        <v>1</v>
      </c>
      <c r="J404" s="59">
        <f t="shared" si="384"/>
        <v>2</v>
      </c>
      <c r="K404" s="40">
        <v>45786</v>
      </c>
      <c r="M404" s="20" t="s">
        <v>255</v>
      </c>
      <c r="N404" s="5">
        <v>10</v>
      </c>
      <c r="O404" s="6">
        <v>10</v>
      </c>
      <c r="P404" s="7">
        <v>10</v>
      </c>
      <c r="Q404" s="51">
        <f t="shared" si="385"/>
        <v>30</v>
      </c>
      <c r="R404" s="8"/>
      <c r="S404" s="6">
        <v>40</v>
      </c>
      <c r="T404" s="7">
        <v>40</v>
      </c>
      <c r="U404" s="51">
        <f t="shared" si="386"/>
        <v>80</v>
      </c>
      <c r="V404" s="59">
        <f t="shared" si="387"/>
        <v>110</v>
      </c>
      <c r="W404" s="108">
        <v>45820</v>
      </c>
    </row>
    <row r="405" spans="1:24" x14ac:dyDescent="0.15">
      <c r="A405" s="17" t="s">
        <v>57</v>
      </c>
      <c r="B405" s="5">
        <v>1</v>
      </c>
      <c r="C405" s="6">
        <f>1+1</f>
        <v>2</v>
      </c>
      <c r="D405" s="7"/>
      <c r="E405" s="51">
        <f t="shared" si="382"/>
        <v>3</v>
      </c>
      <c r="F405" s="8">
        <v>1</v>
      </c>
      <c r="G405" s="6"/>
      <c r="H405" s="7">
        <v>2</v>
      </c>
      <c r="I405" s="51">
        <f t="shared" si="383"/>
        <v>3</v>
      </c>
      <c r="J405" s="59">
        <f t="shared" si="384"/>
        <v>6</v>
      </c>
      <c r="K405" s="40">
        <v>45789</v>
      </c>
      <c r="M405" s="20" t="s">
        <v>254</v>
      </c>
      <c r="N405" s="5">
        <v>10</v>
      </c>
      <c r="O405" s="6">
        <v>10</v>
      </c>
      <c r="P405" s="7"/>
      <c r="Q405" s="51">
        <f t="shared" si="385"/>
        <v>20</v>
      </c>
      <c r="R405" s="8"/>
      <c r="S405" s="6"/>
      <c r="T405" s="7"/>
      <c r="U405" s="51">
        <f t="shared" si="386"/>
        <v>0</v>
      </c>
      <c r="V405" s="59">
        <f t="shared" si="387"/>
        <v>20</v>
      </c>
      <c r="W405" s="108">
        <v>45813</v>
      </c>
    </row>
    <row r="406" spans="1:24" x14ac:dyDescent="0.15">
      <c r="A406" s="17" t="s">
        <v>57</v>
      </c>
      <c r="B406" s="5">
        <f>1+1</f>
        <v>2</v>
      </c>
      <c r="C406" s="6">
        <v>2</v>
      </c>
      <c r="D406" s="14"/>
      <c r="E406" s="51">
        <f t="shared" si="382"/>
        <v>4</v>
      </c>
      <c r="F406" s="15">
        <v>1</v>
      </c>
      <c r="G406" s="13">
        <f>1+2</f>
        <v>3</v>
      </c>
      <c r="H406" s="14"/>
      <c r="I406" s="51">
        <f t="shared" si="383"/>
        <v>4</v>
      </c>
      <c r="J406" s="59">
        <f t="shared" si="384"/>
        <v>8</v>
      </c>
      <c r="K406" s="40">
        <v>45793</v>
      </c>
      <c r="M406" s="20" t="s">
        <v>253</v>
      </c>
      <c r="N406" s="5">
        <v>2</v>
      </c>
      <c r="O406" s="6">
        <v>2</v>
      </c>
      <c r="P406" s="14"/>
      <c r="Q406" s="51">
        <f t="shared" si="385"/>
        <v>4</v>
      </c>
      <c r="R406" s="15">
        <v>2</v>
      </c>
      <c r="S406" s="13">
        <v>2</v>
      </c>
      <c r="T406" s="14"/>
      <c r="U406" s="51">
        <f t="shared" si="386"/>
        <v>4</v>
      </c>
      <c r="V406" s="59">
        <f t="shared" si="387"/>
        <v>8</v>
      </c>
      <c r="W406" s="108">
        <v>45811</v>
      </c>
    </row>
    <row r="407" spans="1:24" x14ac:dyDescent="0.15">
      <c r="A407" s="17" t="s">
        <v>158</v>
      </c>
      <c r="B407" s="5">
        <v>1</v>
      </c>
      <c r="C407" s="6"/>
      <c r="D407" s="7"/>
      <c r="E407" s="51">
        <f t="shared" si="382"/>
        <v>1</v>
      </c>
      <c r="F407" s="8"/>
      <c r="G407" s="6"/>
      <c r="H407" s="7">
        <v>1</v>
      </c>
      <c r="I407" s="51">
        <f t="shared" si="383"/>
        <v>1</v>
      </c>
      <c r="J407" s="59">
        <f t="shared" si="384"/>
        <v>2</v>
      </c>
      <c r="K407" s="40">
        <v>45797</v>
      </c>
      <c r="M407" s="20" t="s">
        <v>41</v>
      </c>
      <c r="N407" s="5">
        <v>5</v>
      </c>
      <c r="O407" s="6"/>
      <c r="P407" s="7"/>
      <c r="Q407" s="51">
        <f t="shared" si="385"/>
        <v>5</v>
      </c>
      <c r="R407" s="8">
        <v>5</v>
      </c>
      <c r="S407" s="6">
        <v>5</v>
      </c>
      <c r="T407" s="7">
        <v>5</v>
      </c>
      <c r="U407" s="51">
        <f t="shared" si="386"/>
        <v>15</v>
      </c>
      <c r="V407" s="59">
        <f t="shared" si="387"/>
        <v>20</v>
      </c>
      <c r="W407" s="108">
        <v>45808</v>
      </c>
    </row>
    <row r="408" spans="1:24" x14ac:dyDescent="0.15">
      <c r="A408" s="17" t="s">
        <v>57</v>
      </c>
      <c r="B408" s="5">
        <v>1</v>
      </c>
      <c r="C408" s="6">
        <f>1+1</f>
        <v>2</v>
      </c>
      <c r="D408" s="7">
        <v>1</v>
      </c>
      <c r="E408" s="51">
        <f t="shared" ref="E408" si="388">SUM(B408:D408)</f>
        <v>4</v>
      </c>
      <c r="F408" s="8">
        <v>2</v>
      </c>
      <c r="G408" s="6">
        <v>1</v>
      </c>
      <c r="H408" s="7">
        <v>1</v>
      </c>
      <c r="I408" s="51">
        <f t="shared" ref="I408" si="389">SUM(F408:H408)</f>
        <v>4</v>
      </c>
      <c r="J408" s="59">
        <f t="shared" ref="J408" si="390">E408+I408</f>
        <v>8</v>
      </c>
      <c r="K408" s="40">
        <v>45796</v>
      </c>
      <c r="M408" s="20" t="s">
        <v>256</v>
      </c>
      <c r="N408" s="5">
        <v>10</v>
      </c>
      <c r="O408" s="6"/>
      <c r="P408" s="7"/>
      <c r="Q408" s="51">
        <f t="shared" si="385"/>
        <v>10</v>
      </c>
      <c r="R408" s="8">
        <v>10</v>
      </c>
      <c r="S408" s="6"/>
      <c r="T408" s="7"/>
      <c r="U408" s="51">
        <f t="shared" si="386"/>
        <v>10</v>
      </c>
      <c r="V408" s="59">
        <f t="shared" si="387"/>
        <v>20</v>
      </c>
      <c r="W408" s="108">
        <v>45821</v>
      </c>
    </row>
    <row r="409" spans="1:24" x14ac:dyDescent="0.15">
      <c r="A409" s="17" t="s">
        <v>57</v>
      </c>
      <c r="B409" s="5">
        <v>1</v>
      </c>
      <c r="C409" s="6"/>
      <c r="D409" s="7"/>
      <c r="E409" s="51">
        <f t="shared" si="382"/>
        <v>1</v>
      </c>
      <c r="F409" s="8">
        <v>1</v>
      </c>
      <c r="G409" s="6"/>
      <c r="H409" s="7"/>
      <c r="I409" s="51">
        <f t="shared" si="383"/>
        <v>1</v>
      </c>
      <c r="J409" s="59">
        <f t="shared" si="384"/>
        <v>2</v>
      </c>
      <c r="K409" s="40">
        <v>45797</v>
      </c>
      <c r="M409" s="20" t="s">
        <v>257</v>
      </c>
      <c r="N409" s="5">
        <v>12</v>
      </c>
      <c r="O409" s="6"/>
      <c r="P409" s="7"/>
      <c r="Q409" s="51">
        <f t="shared" si="385"/>
        <v>12</v>
      </c>
      <c r="R409" s="8">
        <v>24</v>
      </c>
      <c r="S409" s="6"/>
      <c r="T409" s="7"/>
      <c r="U409" s="51">
        <f t="shared" si="386"/>
        <v>24</v>
      </c>
      <c r="V409" s="59">
        <f t="shared" si="387"/>
        <v>36</v>
      </c>
      <c r="W409" s="108">
        <v>45828</v>
      </c>
    </row>
    <row r="410" spans="1:24" x14ac:dyDescent="0.15">
      <c r="A410" s="17" t="s">
        <v>57</v>
      </c>
      <c r="B410" s="9"/>
      <c r="C410" s="10">
        <v>1</v>
      </c>
      <c r="D410" s="11">
        <v>1</v>
      </c>
      <c r="E410" s="51">
        <f t="shared" si="382"/>
        <v>2</v>
      </c>
      <c r="F410" s="12"/>
      <c r="G410" s="10">
        <v>1</v>
      </c>
      <c r="H410" s="11">
        <v>2</v>
      </c>
      <c r="I410" s="51">
        <f t="shared" si="383"/>
        <v>3</v>
      </c>
      <c r="J410" s="59">
        <f t="shared" si="384"/>
        <v>5</v>
      </c>
      <c r="K410" s="40">
        <v>45798</v>
      </c>
      <c r="M410" s="20" t="s">
        <v>262</v>
      </c>
      <c r="N410" s="9"/>
      <c r="O410" s="10">
        <v>6</v>
      </c>
      <c r="P410" s="11"/>
      <c r="Q410" s="51">
        <f t="shared" si="385"/>
        <v>6</v>
      </c>
      <c r="R410" s="12">
        <v>6</v>
      </c>
      <c r="S410" s="10"/>
      <c r="T410" s="11"/>
      <c r="U410" s="51">
        <f t="shared" si="386"/>
        <v>6</v>
      </c>
      <c r="V410" s="59">
        <f t="shared" si="387"/>
        <v>12</v>
      </c>
      <c r="W410" s="108">
        <v>45838</v>
      </c>
    </row>
    <row r="411" spans="1:24" x14ac:dyDescent="0.15">
      <c r="A411" s="17" t="s">
        <v>57</v>
      </c>
      <c r="B411" s="5">
        <v>1</v>
      </c>
      <c r="C411" s="6"/>
      <c r="D411" s="7">
        <v>1</v>
      </c>
      <c r="E411" s="51">
        <f t="shared" si="382"/>
        <v>2</v>
      </c>
      <c r="F411" s="8"/>
      <c r="G411" s="6"/>
      <c r="H411" s="7">
        <f>1+2</f>
        <v>3</v>
      </c>
      <c r="I411" s="51">
        <f t="shared" si="383"/>
        <v>3</v>
      </c>
      <c r="J411" s="59">
        <f t="shared" si="384"/>
        <v>5</v>
      </c>
      <c r="K411" s="40">
        <v>45800</v>
      </c>
      <c r="M411" s="20" t="s">
        <v>258</v>
      </c>
      <c r="N411" s="5">
        <v>2</v>
      </c>
      <c r="O411" s="6"/>
      <c r="P411" s="7"/>
      <c r="Q411" s="51">
        <f t="shared" si="385"/>
        <v>2</v>
      </c>
      <c r="R411" s="8">
        <v>2</v>
      </c>
      <c r="S411" s="6"/>
      <c r="T411" s="7"/>
      <c r="U411" s="51">
        <f t="shared" si="386"/>
        <v>2</v>
      </c>
      <c r="V411" s="59">
        <f t="shared" si="387"/>
        <v>4</v>
      </c>
      <c r="W411" s="108">
        <v>45828</v>
      </c>
    </row>
    <row r="412" spans="1:24" x14ac:dyDescent="0.15">
      <c r="A412" s="17" t="s">
        <v>57</v>
      </c>
      <c r="B412" s="5">
        <f>2+1</f>
        <v>3</v>
      </c>
      <c r="C412" s="6">
        <v>1</v>
      </c>
      <c r="D412" s="7">
        <f>1+1</f>
        <v>2</v>
      </c>
      <c r="E412" s="51">
        <f t="shared" si="382"/>
        <v>6</v>
      </c>
      <c r="F412" s="8"/>
      <c r="G412" s="6">
        <f>1+1</f>
        <v>2</v>
      </c>
      <c r="H412" s="7">
        <v>1</v>
      </c>
      <c r="I412" s="51">
        <f t="shared" si="383"/>
        <v>3</v>
      </c>
      <c r="J412" s="59">
        <f t="shared" si="384"/>
        <v>9</v>
      </c>
      <c r="K412" s="41">
        <v>45803</v>
      </c>
      <c r="M412" s="20" t="s">
        <v>41</v>
      </c>
      <c r="N412" s="5"/>
      <c r="O412" s="6"/>
      <c r="P412" s="7">
        <v>5</v>
      </c>
      <c r="Q412" s="51">
        <f>SUM(N412:P412)</f>
        <v>5</v>
      </c>
      <c r="R412" s="8"/>
      <c r="S412" s="6"/>
      <c r="T412" s="7"/>
      <c r="U412" s="51">
        <f>SUM(R412:T412)</f>
        <v>0</v>
      </c>
      <c r="V412" s="59">
        <f>Q412+U412</f>
        <v>5</v>
      </c>
      <c r="W412" s="108">
        <v>45829</v>
      </c>
      <c r="X412" s="48"/>
    </row>
    <row r="413" spans="1:24" x14ac:dyDescent="0.15">
      <c r="A413" s="17" t="s">
        <v>57</v>
      </c>
      <c r="B413" s="5">
        <v>1</v>
      </c>
      <c r="C413" s="6"/>
      <c r="D413" s="7"/>
      <c r="E413" s="51">
        <f t="shared" si="382"/>
        <v>1</v>
      </c>
      <c r="F413" s="8"/>
      <c r="G413" s="6">
        <v>1</v>
      </c>
      <c r="H413" s="7"/>
      <c r="I413" s="51">
        <f t="shared" si="383"/>
        <v>1</v>
      </c>
      <c r="J413" s="59">
        <f t="shared" si="384"/>
        <v>2</v>
      </c>
      <c r="K413" s="41">
        <v>45804</v>
      </c>
      <c r="M413" s="20" t="s">
        <v>261</v>
      </c>
      <c r="N413" s="5"/>
      <c r="O413" s="6">
        <v>1</v>
      </c>
      <c r="P413" s="7"/>
      <c r="Q413" s="51">
        <f t="shared" si="385"/>
        <v>1</v>
      </c>
      <c r="R413" s="8"/>
      <c r="S413" s="6">
        <v>1</v>
      </c>
      <c r="T413" s="7"/>
      <c r="U413" s="51">
        <f t="shared" si="386"/>
        <v>1</v>
      </c>
      <c r="V413" s="59">
        <f t="shared" si="387"/>
        <v>2</v>
      </c>
      <c r="W413" s="108">
        <v>45835</v>
      </c>
      <c r="X413" s="48"/>
    </row>
    <row r="414" spans="1:24" x14ac:dyDescent="0.15">
      <c r="A414" s="17" t="s">
        <v>57</v>
      </c>
      <c r="B414" s="5"/>
      <c r="C414" s="6"/>
      <c r="D414" s="7"/>
      <c r="E414" s="51">
        <f t="shared" si="382"/>
        <v>0</v>
      </c>
      <c r="F414" s="8">
        <v>1</v>
      </c>
      <c r="G414" s="6"/>
      <c r="H414" s="7"/>
      <c r="I414" s="51">
        <f t="shared" si="383"/>
        <v>1</v>
      </c>
      <c r="J414" s="59">
        <f t="shared" si="384"/>
        <v>1</v>
      </c>
      <c r="K414" s="41">
        <v>45806</v>
      </c>
      <c r="M414" s="20" t="s">
        <v>41</v>
      </c>
      <c r="N414" s="5">
        <v>3</v>
      </c>
      <c r="O414" s="6">
        <v>3</v>
      </c>
      <c r="P414" s="7">
        <v>3</v>
      </c>
      <c r="Q414" s="51">
        <f t="shared" si="385"/>
        <v>9</v>
      </c>
      <c r="R414" s="8"/>
      <c r="S414" s="6">
        <v>3</v>
      </c>
      <c r="T414" s="7"/>
      <c r="U414" s="51">
        <f t="shared" si="386"/>
        <v>3</v>
      </c>
      <c r="V414" s="59">
        <f t="shared" si="387"/>
        <v>12</v>
      </c>
      <c r="W414" s="108">
        <v>45835</v>
      </c>
    </row>
    <row r="415" spans="1:24" x14ac:dyDescent="0.15">
      <c r="A415" s="17" t="s">
        <v>57</v>
      </c>
      <c r="B415" s="5">
        <v>1</v>
      </c>
      <c r="C415" s="6"/>
      <c r="D415" s="7"/>
      <c r="E415" s="51">
        <f t="shared" si="382"/>
        <v>1</v>
      </c>
      <c r="F415" s="8">
        <v>1</v>
      </c>
      <c r="G415" s="6"/>
      <c r="H415" s="7"/>
      <c r="I415" s="51">
        <f t="shared" si="383"/>
        <v>1</v>
      </c>
      <c r="J415" s="59">
        <f t="shared" si="384"/>
        <v>2</v>
      </c>
      <c r="K415" s="41">
        <v>45808</v>
      </c>
      <c r="M415" s="20"/>
      <c r="N415" s="5"/>
      <c r="O415" s="6"/>
      <c r="P415" s="7"/>
      <c r="Q415" s="51">
        <f t="shared" si="385"/>
        <v>0</v>
      </c>
      <c r="R415" s="8"/>
      <c r="S415" s="6"/>
      <c r="T415" s="7"/>
      <c r="U415" s="51">
        <f t="shared" si="386"/>
        <v>0</v>
      </c>
      <c r="V415" s="59">
        <f t="shared" si="387"/>
        <v>0</v>
      </c>
      <c r="W415" s="116"/>
    </row>
    <row r="416" spans="1:24" x14ac:dyDescent="0.15">
      <c r="A416" s="17" t="s">
        <v>57</v>
      </c>
      <c r="B416" s="5"/>
      <c r="C416" s="6"/>
      <c r="D416" s="7"/>
      <c r="E416" s="51">
        <f t="shared" si="382"/>
        <v>0</v>
      </c>
      <c r="F416" s="8"/>
      <c r="G416" s="6"/>
      <c r="H416" s="7">
        <v>1</v>
      </c>
      <c r="I416" s="51">
        <f t="shared" si="383"/>
        <v>1</v>
      </c>
      <c r="J416" s="59">
        <f t="shared" si="384"/>
        <v>1</v>
      </c>
      <c r="K416" s="41">
        <v>45810</v>
      </c>
      <c r="M416" s="20"/>
      <c r="N416" s="5"/>
      <c r="O416" s="6"/>
      <c r="P416" s="7"/>
      <c r="Q416" s="51">
        <f t="shared" si="385"/>
        <v>0</v>
      </c>
      <c r="R416" s="8"/>
      <c r="S416" s="6"/>
      <c r="T416" s="7"/>
      <c r="U416" s="51">
        <f t="shared" si="386"/>
        <v>0</v>
      </c>
      <c r="V416" s="59">
        <f t="shared" si="387"/>
        <v>0</v>
      </c>
      <c r="W416" s="116"/>
    </row>
    <row r="417" spans="1:23" x14ac:dyDescent="0.15">
      <c r="A417" s="17" t="s">
        <v>57</v>
      </c>
      <c r="B417" s="5">
        <v>2</v>
      </c>
      <c r="C417" s="6"/>
      <c r="D417" s="7"/>
      <c r="E417" s="51">
        <f t="shared" si="382"/>
        <v>2</v>
      </c>
      <c r="F417" s="8"/>
      <c r="G417" s="6"/>
      <c r="H417" s="7"/>
      <c r="I417" s="51">
        <f t="shared" si="383"/>
        <v>0</v>
      </c>
      <c r="J417" s="59">
        <f t="shared" si="384"/>
        <v>2</v>
      </c>
      <c r="K417" s="41">
        <v>45811</v>
      </c>
      <c r="M417" s="18"/>
      <c r="N417" s="5"/>
      <c r="O417" s="6"/>
      <c r="P417" s="7"/>
      <c r="Q417" s="51">
        <f t="shared" si="385"/>
        <v>0</v>
      </c>
      <c r="R417" s="8"/>
      <c r="S417" s="6"/>
      <c r="T417" s="7"/>
      <c r="U417" s="51">
        <f t="shared" si="386"/>
        <v>0</v>
      </c>
      <c r="V417" s="59">
        <f t="shared" si="387"/>
        <v>0</v>
      </c>
    </row>
    <row r="418" spans="1:23" x14ac:dyDescent="0.15">
      <c r="A418" s="17" t="s">
        <v>57</v>
      </c>
      <c r="B418" s="5">
        <f>1+1</f>
        <v>2</v>
      </c>
      <c r="C418" s="6"/>
      <c r="D418" s="7"/>
      <c r="E418" s="51">
        <f t="shared" si="382"/>
        <v>2</v>
      </c>
      <c r="F418" s="8">
        <v>1</v>
      </c>
      <c r="G418" s="6"/>
      <c r="H418" s="7"/>
      <c r="I418" s="51">
        <f t="shared" si="383"/>
        <v>1</v>
      </c>
      <c r="J418" s="59">
        <f t="shared" si="384"/>
        <v>3</v>
      </c>
      <c r="K418" s="41">
        <v>45813</v>
      </c>
      <c r="M418" s="20"/>
      <c r="N418" s="5"/>
      <c r="O418" s="6"/>
      <c r="P418" s="7"/>
      <c r="Q418" s="51">
        <f t="shared" si="385"/>
        <v>0</v>
      </c>
      <c r="R418" s="8"/>
      <c r="S418" s="6"/>
      <c r="T418" s="7"/>
      <c r="U418" s="51">
        <f t="shared" si="386"/>
        <v>0</v>
      </c>
      <c r="V418" s="59">
        <f t="shared" si="387"/>
        <v>0</v>
      </c>
    </row>
    <row r="419" spans="1:23" x14ac:dyDescent="0.15">
      <c r="A419" s="17" t="s">
        <v>57</v>
      </c>
      <c r="B419" s="5"/>
      <c r="C419" s="6"/>
      <c r="D419" s="7">
        <v>1</v>
      </c>
      <c r="E419" s="51">
        <f t="shared" si="382"/>
        <v>1</v>
      </c>
      <c r="F419" s="8"/>
      <c r="G419" s="6"/>
      <c r="H419" s="7"/>
      <c r="I419" s="51">
        <f t="shared" si="383"/>
        <v>0</v>
      </c>
      <c r="J419" s="59">
        <f t="shared" si="384"/>
        <v>1</v>
      </c>
      <c r="K419" s="41">
        <v>45815</v>
      </c>
      <c r="M419" s="18"/>
      <c r="N419" s="5"/>
      <c r="O419" s="6"/>
      <c r="P419" s="7"/>
      <c r="Q419" s="51">
        <f t="shared" si="385"/>
        <v>0</v>
      </c>
      <c r="R419" s="8"/>
      <c r="S419" s="6"/>
      <c r="T419" s="7"/>
      <c r="U419" s="51">
        <f t="shared" si="386"/>
        <v>0</v>
      </c>
      <c r="V419" s="59">
        <f t="shared" si="387"/>
        <v>0</v>
      </c>
    </row>
    <row r="420" spans="1:23" x14ac:dyDescent="0.15">
      <c r="A420" s="17" t="s">
        <v>57</v>
      </c>
      <c r="B420" s="5"/>
      <c r="C420" s="6">
        <v>1</v>
      </c>
      <c r="D420" s="7">
        <v>1</v>
      </c>
      <c r="E420" s="51">
        <f t="shared" si="382"/>
        <v>2</v>
      </c>
      <c r="F420" s="8">
        <v>1</v>
      </c>
      <c r="G420" s="6"/>
      <c r="H420" s="7">
        <v>1</v>
      </c>
      <c r="I420" s="51">
        <f t="shared" si="383"/>
        <v>2</v>
      </c>
      <c r="J420" s="59">
        <f t="shared" si="384"/>
        <v>4</v>
      </c>
      <c r="K420" s="41">
        <v>45817</v>
      </c>
      <c r="M420" s="18"/>
      <c r="N420" s="5"/>
      <c r="O420" s="6"/>
      <c r="P420" s="7"/>
      <c r="Q420" s="51">
        <f t="shared" ref="Q420:Q422" si="391">SUM(N420:P420)</f>
        <v>0</v>
      </c>
      <c r="R420" s="8"/>
      <c r="S420" s="6"/>
      <c r="T420" s="7"/>
      <c r="U420" s="51">
        <f t="shared" ref="U420:U422" si="392">SUM(R420:T420)</f>
        <v>0</v>
      </c>
      <c r="V420" s="59">
        <f t="shared" ref="V420:V422" si="393">Q420+U420</f>
        <v>0</v>
      </c>
    </row>
    <row r="421" spans="1:23" x14ac:dyDescent="0.15">
      <c r="A421" s="17" t="s">
        <v>57</v>
      </c>
      <c r="B421" s="5"/>
      <c r="C421" s="6">
        <v>1</v>
      </c>
      <c r="D421" s="7"/>
      <c r="E421" s="51">
        <f t="shared" si="382"/>
        <v>1</v>
      </c>
      <c r="F421" s="8">
        <v>1</v>
      </c>
      <c r="G421" s="6"/>
      <c r="H421" s="7"/>
      <c r="I421" s="51">
        <f t="shared" si="383"/>
        <v>1</v>
      </c>
      <c r="J421" s="59">
        <f t="shared" si="384"/>
        <v>2</v>
      </c>
      <c r="K421" s="41">
        <v>45818</v>
      </c>
      <c r="M421" s="101" t="s">
        <v>221</v>
      </c>
      <c r="N421" s="86"/>
      <c r="O421" s="87"/>
      <c r="P421" s="88"/>
      <c r="Q421" s="89">
        <f t="shared" si="391"/>
        <v>0</v>
      </c>
      <c r="R421" s="86"/>
      <c r="S421" s="87"/>
      <c r="T421" s="88"/>
      <c r="U421" s="89">
        <f t="shared" si="392"/>
        <v>0</v>
      </c>
      <c r="V421" s="90">
        <f t="shared" si="393"/>
        <v>0</v>
      </c>
      <c r="W421" s="116"/>
    </row>
    <row r="422" spans="1:23" x14ac:dyDescent="0.15">
      <c r="A422" s="17" t="s">
        <v>57</v>
      </c>
      <c r="B422" s="9"/>
      <c r="C422" s="10"/>
      <c r="D422" s="11">
        <v>1</v>
      </c>
      <c r="E422" s="51">
        <f t="shared" si="382"/>
        <v>1</v>
      </c>
      <c r="F422" s="12"/>
      <c r="G422" s="10"/>
      <c r="H422" s="11">
        <v>1</v>
      </c>
      <c r="I422" s="51">
        <f t="shared" si="383"/>
        <v>1</v>
      </c>
      <c r="J422" s="59">
        <f t="shared" si="384"/>
        <v>2</v>
      </c>
      <c r="K422" s="41">
        <v>45820</v>
      </c>
      <c r="M422" s="20" t="s">
        <v>263</v>
      </c>
      <c r="N422" s="5"/>
      <c r="O422" s="6"/>
      <c r="P422" s="7"/>
      <c r="Q422" s="51">
        <f t="shared" si="391"/>
        <v>0</v>
      </c>
      <c r="R422" s="5"/>
      <c r="S422" s="6"/>
      <c r="T422" s="7"/>
      <c r="U422" s="51">
        <f t="shared" si="392"/>
        <v>0</v>
      </c>
      <c r="V422" s="59">
        <f t="shared" si="393"/>
        <v>0</v>
      </c>
      <c r="W422" s="116" t="s">
        <v>220</v>
      </c>
    </row>
    <row r="423" spans="1:23" x14ac:dyDescent="0.15">
      <c r="A423" s="17" t="s">
        <v>57</v>
      </c>
      <c r="B423" s="5">
        <v>1</v>
      </c>
      <c r="C423" s="6">
        <v>1</v>
      </c>
      <c r="D423" s="7">
        <v>1</v>
      </c>
      <c r="E423" s="51">
        <f t="shared" si="382"/>
        <v>3</v>
      </c>
      <c r="F423" s="8">
        <v>1</v>
      </c>
      <c r="G423" s="6">
        <f>1+1</f>
        <v>2</v>
      </c>
      <c r="H423" s="7">
        <v>1</v>
      </c>
      <c r="I423" s="51">
        <f t="shared" si="383"/>
        <v>4</v>
      </c>
      <c r="J423" s="59">
        <f t="shared" si="384"/>
        <v>7</v>
      </c>
      <c r="K423" s="41">
        <v>45824</v>
      </c>
      <c r="M423" s="101" t="s">
        <v>222</v>
      </c>
      <c r="N423" s="86"/>
      <c r="O423" s="87"/>
      <c r="P423" s="88"/>
      <c r="Q423" s="89">
        <f t="shared" si="385"/>
        <v>0</v>
      </c>
      <c r="R423" s="105"/>
      <c r="S423" s="87"/>
      <c r="T423" s="88"/>
      <c r="U423" s="89">
        <f t="shared" si="386"/>
        <v>0</v>
      </c>
      <c r="V423" s="90">
        <f t="shared" si="387"/>
        <v>0</v>
      </c>
      <c r="W423" s="119"/>
    </row>
    <row r="424" spans="1:23" x14ac:dyDescent="0.15">
      <c r="A424" s="17" t="s">
        <v>57</v>
      </c>
      <c r="B424" s="9">
        <v>1</v>
      </c>
      <c r="C424" s="10">
        <v>1</v>
      </c>
      <c r="D424" s="11"/>
      <c r="E424" s="52">
        <f t="shared" si="382"/>
        <v>2</v>
      </c>
      <c r="F424" s="12"/>
      <c r="G424" s="10">
        <v>1</v>
      </c>
      <c r="H424" s="11">
        <v>1</v>
      </c>
      <c r="I424" s="52">
        <f t="shared" si="383"/>
        <v>2</v>
      </c>
      <c r="J424" s="59">
        <f t="shared" si="384"/>
        <v>4</v>
      </c>
      <c r="K424" s="40">
        <v>45825</v>
      </c>
      <c r="M424" s="20" t="s">
        <v>264</v>
      </c>
      <c r="N424" s="5"/>
      <c r="O424" s="6"/>
      <c r="P424" s="7"/>
      <c r="Q424" s="51">
        <f t="shared" si="385"/>
        <v>0</v>
      </c>
      <c r="R424" s="8"/>
      <c r="S424" s="6"/>
      <c r="T424" s="7"/>
      <c r="U424" s="51">
        <f t="shared" si="386"/>
        <v>0</v>
      </c>
      <c r="V424" s="59">
        <f t="shared" si="387"/>
        <v>0</v>
      </c>
      <c r="W424" s="116" t="s">
        <v>213</v>
      </c>
    </row>
    <row r="425" spans="1:23" x14ac:dyDescent="0.15">
      <c r="A425" s="17" t="s">
        <v>57</v>
      </c>
      <c r="B425" s="5">
        <v>1</v>
      </c>
      <c r="C425" s="6"/>
      <c r="D425" s="7"/>
      <c r="E425" s="51">
        <f t="shared" si="382"/>
        <v>1</v>
      </c>
      <c r="F425" s="8">
        <v>1</v>
      </c>
      <c r="G425" s="6"/>
      <c r="H425" s="7"/>
      <c r="I425" s="51">
        <f t="shared" si="383"/>
        <v>1</v>
      </c>
      <c r="J425" s="59">
        <f t="shared" si="384"/>
        <v>2</v>
      </c>
      <c r="K425" s="40">
        <v>45826</v>
      </c>
      <c r="M425" s="101" t="s">
        <v>219</v>
      </c>
      <c r="N425" s="86">
        <v>0</v>
      </c>
      <c r="O425" s="87">
        <v>0</v>
      </c>
      <c r="P425" s="88">
        <v>-8</v>
      </c>
      <c r="Q425" s="89">
        <f t="shared" ref="Q425:Q426" si="394">SUM(N425:P425)</f>
        <v>-8</v>
      </c>
      <c r="R425" s="105">
        <v>0</v>
      </c>
      <c r="S425" s="87">
        <v>0</v>
      </c>
      <c r="T425" s="88">
        <v>-2</v>
      </c>
      <c r="U425" s="89">
        <f t="shared" ref="U425:U426" si="395">SUM(R425:T425)</f>
        <v>-2</v>
      </c>
      <c r="V425" s="90">
        <f t="shared" ref="V425:V426" si="396">Q425+U425</f>
        <v>-10</v>
      </c>
      <c r="W425" s="119"/>
    </row>
    <row r="426" spans="1:23" ht="14.25" thickBot="1" x14ac:dyDescent="0.2">
      <c r="A426" s="17" t="s">
        <v>259</v>
      </c>
      <c r="B426" s="9"/>
      <c r="C426" s="10"/>
      <c r="D426" s="11"/>
      <c r="E426" s="55">
        <f t="shared" si="382"/>
        <v>0</v>
      </c>
      <c r="F426" s="12"/>
      <c r="G426" s="10"/>
      <c r="H426" s="11">
        <v>1</v>
      </c>
      <c r="I426" s="55">
        <f t="shared" si="383"/>
        <v>1</v>
      </c>
      <c r="J426" s="59">
        <f t="shared" si="384"/>
        <v>1</v>
      </c>
      <c r="K426" s="40">
        <v>45828</v>
      </c>
      <c r="M426" s="20" t="s">
        <v>270</v>
      </c>
      <c r="N426" s="5">
        <f>44-14-6-10-10-4</f>
        <v>0</v>
      </c>
      <c r="O426" s="6">
        <f>46-14-6-20-6</f>
        <v>0</v>
      </c>
      <c r="P426" s="7">
        <f>26-8-10</f>
        <v>8</v>
      </c>
      <c r="Q426" s="51">
        <f t="shared" si="394"/>
        <v>8</v>
      </c>
      <c r="R426" s="8">
        <f>54-16-38</f>
        <v>0</v>
      </c>
      <c r="S426" s="6">
        <f>58-18-40</f>
        <v>0</v>
      </c>
      <c r="T426" s="7">
        <f>32-10-20</f>
        <v>2</v>
      </c>
      <c r="U426" s="51">
        <f t="shared" si="395"/>
        <v>2</v>
      </c>
      <c r="V426" s="59">
        <f t="shared" si="396"/>
        <v>10</v>
      </c>
      <c r="W426" s="116" t="s">
        <v>217</v>
      </c>
    </row>
    <row r="427" spans="1:23" ht="14.25" thickBot="1" x14ac:dyDescent="0.2">
      <c r="A427" s="31" t="s">
        <v>19</v>
      </c>
      <c r="B427" s="34">
        <f>SUM(B401:B426)</f>
        <v>24</v>
      </c>
      <c r="C427" s="35">
        <f t="shared" ref="C427:D427" si="397">SUM(C401:C426)</f>
        <v>13</v>
      </c>
      <c r="D427" s="39">
        <f t="shared" si="397"/>
        <v>11</v>
      </c>
      <c r="E427" s="56">
        <f t="shared" si="382"/>
        <v>48</v>
      </c>
      <c r="F427" s="34">
        <f>SUM(F401:F426)</f>
        <v>14</v>
      </c>
      <c r="G427" s="35">
        <f t="shared" ref="G427:H427" si="398">SUM(G401:G426)</f>
        <v>11</v>
      </c>
      <c r="H427" s="39">
        <f t="shared" si="398"/>
        <v>17</v>
      </c>
      <c r="I427" s="56">
        <f t="shared" si="383"/>
        <v>42</v>
      </c>
      <c r="J427" s="62">
        <f>E427+I427</f>
        <v>90</v>
      </c>
      <c r="M427" s="31" t="s">
        <v>19</v>
      </c>
      <c r="N427" s="34">
        <f>SUM(N401:N426)</f>
        <v>69</v>
      </c>
      <c r="O427" s="35">
        <f t="shared" ref="O427:P427" si="399">SUM(O401:O426)</f>
        <v>72</v>
      </c>
      <c r="P427" s="39">
        <f t="shared" si="399"/>
        <v>43</v>
      </c>
      <c r="Q427" s="56">
        <f t="shared" si="385"/>
        <v>184</v>
      </c>
      <c r="R427" s="34">
        <f>SUM(R401:R426)</f>
        <v>94</v>
      </c>
      <c r="S427" s="35">
        <f t="shared" ref="S427:T427" si="400">SUM(S401:S426)</f>
        <v>76</v>
      </c>
      <c r="T427" s="39">
        <f t="shared" si="400"/>
        <v>80</v>
      </c>
      <c r="U427" s="56">
        <f t="shared" si="386"/>
        <v>250</v>
      </c>
      <c r="V427" s="62">
        <f>Q427+U427</f>
        <v>434</v>
      </c>
    </row>
    <row r="428" spans="1:23" ht="14.25" thickBot="1" x14ac:dyDescent="0.2">
      <c r="A428" s="16" t="s">
        <v>17</v>
      </c>
      <c r="B428" s="63">
        <f>B400-B427</f>
        <v>14</v>
      </c>
      <c r="C428" s="64">
        <f t="shared" ref="C428:D428" si="401">C400-C427</f>
        <v>9</v>
      </c>
      <c r="D428" s="65">
        <f t="shared" si="401"/>
        <v>8</v>
      </c>
      <c r="E428" s="57">
        <f>SUM(B428:D428)</f>
        <v>31</v>
      </c>
      <c r="F428" s="63">
        <f>F400-F427</f>
        <v>7</v>
      </c>
      <c r="G428" s="64">
        <f t="shared" ref="G428:H428" si="402">G400-G427</f>
        <v>4</v>
      </c>
      <c r="H428" s="65">
        <f t="shared" si="402"/>
        <v>7</v>
      </c>
      <c r="I428" s="57">
        <f>SUM(F428:H428)</f>
        <v>18</v>
      </c>
      <c r="J428" s="61">
        <f>E428+I428</f>
        <v>49</v>
      </c>
      <c r="M428" s="16" t="s">
        <v>17</v>
      </c>
      <c r="N428" s="63">
        <f>N400-N427</f>
        <v>319</v>
      </c>
      <c r="O428" s="64">
        <f t="shared" ref="O428:P428" si="403">O400-O427</f>
        <v>564</v>
      </c>
      <c r="P428" s="65">
        <f t="shared" si="403"/>
        <v>663</v>
      </c>
      <c r="Q428" s="57">
        <f>SUM(N428:P428)</f>
        <v>1546</v>
      </c>
      <c r="R428" s="63">
        <f>R400-R427</f>
        <v>419</v>
      </c>
      <c r="S428" s="64">
        <f t="shared" ref="S428:T428" si="404">S400-S427</f>
        <v>590</v>
      </c>
      <c r="T428" s="65">
        <f t="shared" si="404"/>
        <v>406</v>
      </c>
      <c r="U428" s="57">
        <f>SUM(R428:T428)</f>
        <v>1415</v>
      </c>
      <c r="V428" s="61">
        <f>Q428+U428</f>
        <v>2961</v>
      </c>
    </row>
    <row r="431" spans="1:23" ht="19.5" thickBot="1" x14ac:dyDescent="0.25">
      <c r="A431" s="66" t="s">
        <v>23</v>
      </c>
      <c r="B431" s="67"/>
      <c r="C431" s="67"/>
      <c r="D431" s="67"/>
      <c r="E431" s="67"/>
      <c r="F431" s="67"/>
      <c r="G431" s="67"/>
      <c r="H431" s="67"/>
      <c r="I431" s="67" t="s">
        <v>26</v>
      </c>
      <c r="J431" s="67"/>
      <c r="M431" s="73" t="s">
        <v>24</v>
      </c>
      <c r="N431" s="74"/>
      <c r="O431" s="74"/>
      <c r="P431" s="74"/>
      <c r="Q431" s="74"/>
      <c r="R431" s="74"/>
      <c r="S431" s="74"/>
      <c r="T431" s="74"/>
      <c r="U431" s="74"/>
      <c r="V431" s="74"/>
    </row>
    <row r="432" spans="1:23" ht="14.25" thickBot="1" x14ac:dyDescent="0.2">
      <c r="A432" s="4" t="s">
        <v>0</v>
      </c>
      <c r="B432" s="191" t="s">
        <v>21</v>
      </c>
      <c r="C432" s="192"/>
      <c r="D432" s="192"/>
      <c r="E432" s="193"/>
      <c r="F432" s="194" t="s">
        <v>18</v>
      </c>
      <c r="G432" s="195"/>
      <c r="H432" s="195"/>
      <c r="I432" s="196"/>
      <c r="J432" s="189" t="s">
        <v>1</v>
      </c>
      <c r="M432" s="4" t="s">
        <v>0</v>
      </c>
      <c r="N432" s="191" t="s">
        <v>21</v>
      </c>
      <c r="O432" s="192"/>
      <c r="P432" s="192"/>
      <c r="Q432" s="193"/>
      <c r="R432" s="194" t="s">
        <v>18</v>
      </c>
      <c r="S432" s="195"/>
      <c r="T432" s="195"/>
      <c r="U432" s="196"/>
      <c r="V432" s="189" t="s">
        <v>1</v>
      </c>
    </row>
    <row r="433" spans="1:23" ht="14.25" thickBot="1" x14ac:dyDescent="0.2">
      <c r="A433" s="4" t="s">
        <v>2</v>
      </c>
      <c r="B433" s="1" t="s">
        <v>3</v>
      </c>
      <c r="C433" s="2" t="s">
        <v>4</v>
      </c>
      <c r="D433" s="3" t="s">
        <v>5</v>
      </c>
      <c r="E433" s="4" t="s">
        <v>6</v>
      </c>
      <c r="F433" s="1" t="s">
        <v>3</v>
      </c>
      <c r="G433" s="2" t="s">
        <v>4</v>
      </c>
      <c r="H433" s="3" t="s">
        <v>5</v>
      </c>
      <c r="I433" s="4" t="s">
        <v>6</v>
      </c>
      <c r="J433" s="190"/>
      <c r="M433" s="4" t="s">
        <v>2</v>
      </c>
      <c r="N433" s="1" t="s">
        <v>3</v>
      </c>
      <c r="O433" s="2" t="s">
        <v>4</v>
      </c>
      <c r="P433" s="3" t="s">
        <v>5</v>
      </c>
      <c r="Q433" s="4" t="s">
        <v>6</v>
      </c>
      <c r="R433" s="1" t="s">
        <v>3</v>
      </c>
      <c r="S433" s="2" t="s">
        <v>4</v>
      </c>
      <c r="T433" s="3" t="s">
        <v>5</v>
      </c>
      <c r="U433" s="4" t="s">
        <v>6</v>
      </c>
      <c r="V433" s="190"/>
    </row>
    <row r="434" spans="1:23" ht="14.25" thickBot="1" x14ac:dyDescent="0.2">
      <c r="A434" s="21" t="s">
        <v>20</v>
      </c>
      <c r="B434" s="68">
        <f>B428</f>
        <v>14</v>
      </c>
      <c r="C434" s="69">
        <f>C428</f>
        <v>9</v>
      </c>
      <c r="D434" s="70">
        <f>D428</f>
        <v>8</v>
      </c>
      <c r="E434" s="71">
        <f>SUM(B434:D434)</f>
        <v>31</v>
      </c>
      <c r="F434" s="68">
        <f>F428</f>
        <v>7</v>
      </c>
      <c r="G434" s="69">
        <f>G428</f>
        <v>4</v>
      </c>
      <c r="H434" s="70">
        <f>H428</f>
        <v>7</v>
      </c>
      <c r="I434" s="71">
        <f>SUM(F434:H434)</f>
        <v>18</v>
      </c>
      <c r="J434" s="72">
        <f>E434+I434</f>
        <v>49</v>
      </c>
      <c r="M434" s="21" t="s">
        <v>20</v>
      </c>
      <c r="N434" s="68">
        <f>N428</f>
        <v>319</v>
      </c>
      <c r="O434" s="69">
        <f>O428</f>
        <v>564</v>
      </c>
      <c r="P434" s="70">
        <f>P428</f>
        <v>663</v>
      </c>
      <c r="Q434" s="71">
        <f>SUM(N434:P434)</f>
        <v>1546</v>
      </c>
      <c r="R434" s="68">
        <f>R428</f>
        <v>419</v>
      </c>
      <c r="S434" s="69">
        <f>S428</f>
        <v>590</v>
      </c>
      <c r="T434" s="70">
        <f>T428</f>
        <v>406</v>
      </c>
      <c r="U434" s="71">
        <f>SUM(R434:T434)</f>
        <v>1415</v>
      </c>
      <c r="V434" s="72">
        <f>Q434+U434</f>
        <v>2961</v>
      </c>
    </row>
    <row r="435" spans="1:23" x14ac:dyDescent="0.15">
      <c r="A435" s="19" t="s">
        <v>198</v>
      </c>
      <c r="B435" s="32"/>
      <c r="C435" s="33"/>
      <c r="D435" s="44"/>
      <c r="E435" s="50">
        <f>SUM(B435:D435)</f>
        <v>0</v>
      </c>
      <c r="F435" s="45"/>
      <c r="G435" s="46"/>
      <c r="H435" s="47">
        <v>2</v>
      </c>
      <c r="I435" s="50">
        <f>SUM(F435:H435)</f>
        <v>2</v>
      </c>
      <c r="J435" s="58">
        <f>E435+I435</f>
        <v>2</v>
      </c>
      <c r="K435" s="40">
        <v>45826</v>
      </c>
      <c r="M435" s="19" t="s">
        <v>202</v>
      </c>
      <c r="N435" s="83"/>
      <c r="O435" s="46"/>
      <c r="P435" s="44"/>
      <c r="Q435" s="50">
        <f t="shared" ref="Q435" si="405">SUM(N435:P435)</f>
        <v>0</v>
      </c>
      <c r="R435" s="45">
        <v>6</v>
      </c>
      <c r="S435" s="46">
        <v>7</v>
      </c>
      <c r="T435" s="47">
        <v>1</v>
      </c>
      <c r="U435" s="50">
        <f t="shared" ref="U435" si="406">SUM(R435:T435)</f>
        <v>14</v>
      </c>
      <c r="V435" s="84">
        <f t="shared" ref="V435" si="407">Q435+U435</f>
        <v>14</v>
      </c>
      <c r="W435" s="120">
        <v>45889</v>
      </c>
    </row>
    <row r="436" spans="1:23" x14ac:dyDescent="0.15">
      <c r="A436" s="19" t="s">
        <v>9</v>
      </c>
      <c r="B436" s="5"/>
      <c r="C436" s="6"/>
      <c r="D436" s="14">
        <v>5</v>
      </c>
      <c r="E436" s="51">
        <f>SUM(B436:D436)</f>
        <v>5</v>
      </c>
      <c r="F436" s="15"/>
      <c r="G436" s="13"/>
      <c r="H436" s="14"/>
      <c r="I436" s="51">
        <f>SUM(F436:H436)</f>
        <v>0</v>
      </c>
      <c r="J436" s="59">
        <f>E436+I436</f>
        <v>5</v>
      </c>
      <c r="K436" s="40">
        <v>45829</v>
      </c>
      <c r="M436" s="19" t="s">
        <v>9</v>
      </c>
      <c r="N436" s="5"/>
      <c r="O436" s="6"/>
      <c r="P436" s="36"/>
      <c r="Q436" s="52">
        <f t="shared" ref="Q436:Q437" si="408">SUM(N436:P436)</f>
        <v>0</v>
      </c>
      <c r="R436" s="8"/>
      <c r="S436" s="6"/>
      <c r="T436" s="7"/>
      <c r="U436" s="52">
        <f t="shared" ref="U436:U437" si="409">SUM(R436:T436)</f>
        <v>0</v>
      </c>
      <c r="V436" s="59">
        <f t="shared" ref="V436:V437" si="410">Q436+U436</f>
        <v>0</v>
      </c>
    </row>
    <row r="437" spans="1:23" x14ac:dyDescent="0.15">
      <c r="A437" s="19" t="s">
        <v>10</v>
      </c>
      <c r="B437" s="5">
        <v>3</v>
      </c>
      <c r="C437" s="6">
        <v>3</v>
      </c>
      <c r="D437" s="7">
        <v>3</v>
      </c>
      <c r="E437" s="51">
        <f t="shared" ref="E437:E442" si="411">SUM(B437:D437)</f>
        <v>9</v>
      </c>
      <c r="F437" s="8"/>
      <c r="G437" s="6">
        <v>3</v>
      </c>
      <c r="H437" s="7"/>
      <c r="I437" s="51">
        <f t="shared" ref="I437:I442" si="412">SUM(F437:H437)</f>
        <v>3</v>
      </c>
      <c r="J437" s="59">
        <f t="shared" ref="J437:J442" si="413">E437+I437</f>
        <v>12</v>
      </c>
      <c r="K437" s="40">
        <v>45835</v>
      </c>
      <c r="M437" s="19" t="s">
        <v>10</v>
      </c>
      <c r="N437" s="5"/>
      <c r="O437" s="6"/>
      <c r="P437" s="36"/>
      <c r="Q437" s="52">
        <f t="shared" si="408"/>
        <v>0</v>
      </c>
      <c r="R437" s="8"/>
      <c r="S437" s="6"/>
      <c r="T437" s="7"/>
      <c r="U437" s="52">
        <f t="shared" si="409"/>
        <v>0</v>
      </c>
      <c r="V437" s="59">
        <f t="shared" si="410"/>
        <v>0</v>
      </c>
    </row>
    <row r="438" spans="1:23" x14ac:dyDescent="0.15">
      <c r="A438" s="19" t="s">
        <v>11</v>
      </c>
      <c r="B438" s="5"/>
      <c r="C438" s="6">
        <v>3</v>
      </c>
      <c r="D438" s="36"/>
      <c r="E438" s="52">
        <f t="shared" si="411"/>
        <v>3</v>
      </c>
      <c r="F438" s="8">
        <v>3</v>
      </c>
      <c r="G438" s="6">
        <v>3</v>
      </c>
      <c r="H438" s="7"/>
      <c r="I438" s="52">
        <f t="shared" si="412"/>
        <v>6</v>
      </c>
      <c r="J438" s="59">
        <f t="shared" si="413"/>
        <v>9</v>
      </c>
      <c r="K438" s="40">
        <v>45841</v>
      </c>
      <c r="M438" s="19" t="s">
        <v>11</v>
      </c>
      <c r="N438" s="5"/>
      <c r="O438" s="6"/>
      <c r="P438" s="36"/>
      <c r="Q438" s="52">
        <f>SUM(N438:P438)</f>
        <v>0</v>
      </c>
      <c r="R438" s="8"/>
      <c r="S438" s="6"/>
      <c r="T438" s="7"/>
      <c r="U438" s="52">
        <f>SUM(R438:T438)</f>
        <v>0</v>
      </c>
      <c r="V438" s="59">
        <f>Q438+U438</f>
        <v>0</v>
      </c>
    </row>
    <row r="439" spans="1:23" x14ac:dyDescent="0.15">
      <c r="A439" s="19" t="s">
        <v>268</v>
      </c>
      <c r="B439" s="5">
        <v>1</v>
      </c>
      <c r="C439" s="6">
        <v>2</v>
      </c>
      <c r="D439" s="36">
        <v>1</v>
      </c>
      <c r="E439" s="52">
        <f t="shared" si="411"/>
        <v>4</v>
      </c>
      <c r="F439" s="8">
        <v>1</v>
      </c>
      <c r="G439" s="6">
        <v>0</v>
      </c>
      <c r="H439" s="7">
        <v>1</v>
      </c>
      <c r="I439" s="52">
        <f t="shared" si="412"/>
        <v>2</v>
      </c>
      <c r="J439" s="59">
        <f t="shared" si="413"/>
        <v>6</v>
      </c>
      <c r="K439" s="40">
        <v>45843</v>
      </c>
      <c r="M439" s="19" t="s">
        <v>12</v>
      </c>
      <c r="N439" s="9"/>
      <c r="O439" s="10"/>
      <c r="P439" s="37"/>
      <c r="Q439" s="52">
        <f t="shared" ref="Q439:Q442" si="414">SUM(N439:P439)</f>
        <v>0</v>
      </c>
      <c r="R439" s="12"/>
      <c r="S439" s="10"/>
      <c r="T439" s="11"/>
      <c r="U439" s="52">
        <f t="shared" ref="U439:U442" si="415">SUM(R439:T439)</f>
        <v>0</v>
      </c>
      <c r="V439" s="59">
        <f t="shared" ref="V439:V442" si="416">Q439+U439</f>
        <v>0</v>
      </c>
    </row>
    <row r="440" spans="1:23" x14ac:dyDescent="0.15">
      <c r="A440" s="19" t="s">
        <v>95</v>
      </c>
      <c r="B440" s="5">
        <v>2</v>
      </c>
      <c r="C440" s="6">
        <v>1</v>
      </c>
      <c r="D440" s="36"/>
      <c r="E440" s="52">
        <f t="shared" si="411"/>
        <v>3</v>
      </c>
      <c r="F440" s="8">
        <v>2</v>
      </c>
      <c r="G440" s="6">
        <v>1</v>
      </c>
      <c r="H440" s="7"/>
      <c r="I440" s="52">
        <f t="shared" si="412"/>
        <v>3</v>
      </c>
      <c r="J440" s="59">
        <f t="shared" si="413"/>
        <v>6</v>
      </c>
      <c r="K440" s="40">
        <v>45847</v>
      </c>
      <c r="M440" s="19" t="s">
        <v>13</v>
      </c>
      <c r="N440" s="9"/>
      <c r="O440" s="10"/>
      <c r="P440" s="37"/>
      <c r="Q440" s="52">
        <f t="shared" si="414"/>
        <v>0</v>
      </c>
      <c r="R440" s="12"/>
      <c r="S440" s="10"/>
      <c r="T440" s="11"/>
      <c r="U440" s="52">
        <f t="shared" si="415"/>
        <v>0</v>
      </c>
      <c r="V440" s="59">
        <f t="shared" si="416"/>
        <v>0</v>
      </c>
    </row>
    <row r="441" spans="1:23" x14ac:dyDescent="0.15">
      <c r="A441" s="19" t="s">
        <v>14</v>
      </c>
      <c r="B441" s="9">
        <v>5</v>
      </c>
      <c r="C441" s="10">
        <v>5</v>
      </c>
      <c r="D441" s="37">
        <v>5</v>
      </c>
      <c r="E441" s="52">
        <f t="shared" si="411"/>
        <v>15</v>
      </c>
      <c r="F441" s="12">
        <v>5</v>
      </c>
      <c r="G441" s="10">
        <v>5</v>
      </c>
      <c r="H441" s="11">
        <v>5</v>
      </c>
      <c r="I441" s="52">
        <f t="shared" si="412"/>
        <v>15</v>
      </c>
      <c r="J441" s="59">
        <f t="shared" si="413"/>
        <v>30</v>
      </c>
      <c r="K441" s="40">
        <v>45853</v>
      </c>
      <c r="M441" s="19" t="s">
        <v>14</v>
      </c>
      <c r="N441" s="9"/>
      <c r="O441" s="10"/>
      <c r="P441" s="37"/>
      <c r="Q441" s="52">
        <f t="shared" si="414"/>
        <v>0</v>
      </c>
      <c r="R441" s="12"/>
      <c r="S441" s="10"/>
      <c r="T441" s="11"/>
      <c r="U441" s="52">
        <f t="shared" si="415"/>
        <v>0</v>
      </c>
      <c r="V441" s="59">
        <f t="shared" si="416"/>
        <v>0</v>
      </c>
    </row>
    <row r="442" spans="1:23" ht="14.25" thickBot="1" x14ac:dyDescent="0.2">
      <c r="A442" s="19" t="s">
        <v>15</v>
      </c>
      <c r="B442" s="25">
        <v>10</v>
      </c>
      <c r="C442" s="26">
        <v>5</v>
      </c>
      <c r="D442" s="38">
        <v>5</v>
      </c>
      <c r="E442" s="53">
        <f t="shared" si="411"/>
        <v>20</v>
      </c>
      <c r="F442" s="27">
        <v>5</v>
      </c>
      <c r="G442" s="27">
        <v>5</v>
      </c>
      <c r="H442" s="29">
        <v>10</v>
      </c>
      <c r="I442" s="53">
        <f t="shared" si="412"/>
        <v>20</v>
      </c>
      <c r="J442" s="60">
        <f t="shared" si="413"/>
        <v>40</v>
      </c>
      <c r="K442" s="40">
        <v>45862</v>
      </c>
      <c r="M442" s="19" t="s">
        <v>15</v>
      </c>
      <c r="N442" s="25"/>
      <c r="O442" s="26"/>
      <c r="P442" s="38"/>
      <c r="Q442" s="53">
        <f t="shared" si="414"/>
        <v>0</v>
      </c>
      <c r="R442" s="27"/>
      <c r="S442" s="27"/>
      <c r="T442" s="29"/>
      <c r="U442" s="53">
        <f t="shared" si="415"/>
        <v>0</v>
      </c>
      <c r="V442" s="60">
        <f t="shared" si="416"/>
        <v>0</v>
      </c>
    </row>
    <row r="443" spans="1:23" ht="14.25" thickBot="1" x14ac:dyDescent="0.2">
      <c r="A443" s="28" t="s">
        <v>16</v>
      </c>
      <c r="B443" s="22">
        <f>SUM(B434:B442)</f>
        <v>35</v>
      </c>
      <c r="C443" s="23">
        <f t="shared" ref="C443:D443" si="417">SUM(C434:C442)</f>
        <v>28</v>
      </c>
      <c r="D443" s="24">
        <f t="shared" si="417"/>
        <v>27</v>
      </c>
      <c r="E443" s="54">
        <f>SUM(B443:D443)</f>
        <v>90</v>
      </c>
      <c r="F443" s="22">
        <f>SUM(F434:F442)</f>
        <v>23</v>
      </c>
      <c r="G443" s="23">
        <f t="shared" ref="G443:H443" si="418">SUM(G434:G442)</f>
        <v>21</v>
      </c>
      <c r="H443" s="24">
        <f t="shared" si="418"/>
        <v>25</v>
      </c>
      <c r="I443" s="54">
        <f>SUM(F443:H443)</f>
        <v>69</v>
      </c>
      <c r="J443" s="61">
        <f>SUM(J435:J442)</f>
        <v>110</v>
      </c>
      <c r="M443" s="28" t="s">
        <v>16</v>
      </c>
      <c r="N443" s="22">
        <f>SUM(N434:N442)</f>
        <v>319</v>
      </c>
      <c r="O443" s="23">
        <f t="shared" ref="O443:P443" si="419">SUM(O434:O442)</f>
        <v>564</v>
      </c>
      <c r="P443" s="24">
        <f t="shared" si="419"/>
        <v>663</v>
      </c>
      <c r="Q443" s="54">
        <f>SUM(N443:P443)</f>
        <v>1546</v>
      </c>
      <c r="R443" s="22">
        <f>SUM(R434:R442)</f>
        <v>425</v>
      </c>
      <c r="S443" s="23">
        <f t="shared" ref="S443:T443" si="420">SUM(S434:S442)</f>
        <v>597</v>
      </c>
      <c r="T443" s="24">
        <f t="shared" si="420"/>
        <v>407</v>
      </c>
      <c r="U443" s="54">
        <f>SUM(R443:T443)</f>
        <v>1429</v>
      </c>
      <c r="V443" s="61">
        <f>Q443+U443</f>
        <v>2975</v>
      </c>
    </row>
    <row r="444" spans="1:23" x14ac:dyDescent="0.15">
      <c r="A444" s="17" t="s">
        <v>57</v>
      </c>
      <c r="B444" s="9"/>
      <c r="C444" s="10"/>
      <c r="D444" s="11">
        <v>1</v>
      </c>
      <c r="E444" s="51">
        <f t="shared" ref="E444:E470" si="421">SUM(B444:D444)</f>
        <v>1</v>
      </c>
      <c r="F444" s="12"/>
      <c r="G444" s="10"/>
      <c r="H444" s="11">
        <v>1</v>
      </c>
      <c r="I444" s="51">
        <f t="shared" ref="I444:I470" si="422">SUM(F444:H444)</f>
        <v>1</v>
      </c>
      <c r="J444" s="59">
        <f t="shared" ref="J444:J469" si="423">E444+I444</f>
        <v>2</v>
      </c>
      <c r="K444" s="41">
        <v>45827</v>
      </c>
      <c r="M444" s="20" t="s">
        <v>260</v>
      </c>
      <c r="N444" s="5">
        <v>20</v>
      </c>
      <c r="O444" s="6">
        <v>5</v>
      </c>
      <c r="P444" s="7"/>
      <c r="Q444" s="51">
        <f t="shared" ref="Q444:Q470" si="424">SUM(N444:P444)</f>
        <v>25</v>
      </c>
      <c r="R444" s="8">
        <v>5</v>
      </c>
      <c r="S444" s="6">
        <v>10</v>
      </c>
      <c r="T444" s="7"/>
      <c r="U444" s="51">
        <f t="shared" ref="U444:U470" si="425">SUM(R444:T444)</f>
        <v>15</v>
      </c>
      <c r="V444" s="59">
        <f t="shared" ref="V444:V469" si="426">Q444+U444</f>
        <v>40</v>
      </c>
      <c r="W444" s="108">
        <v>45841</v>
      </c>
    </row>
    <row r="445" spans="1:23" x14ac:dyDescent="0.15">
      <c r="A445" s="17" t="s">
        <v>57</v>
      </c>
      <c r="B445" s="5"/>
      <c r="C445" s="6"/>
      <c r="D445" s="7">
        <v>1</v>
      </c>
      <c r="E445" s="51">
        <f t="shared" si="421"/>
        <v>1</v>
      </c>
      <c r="F445" s="8"/>
      <c r="G445" s="6"/>
      <c r="H445" s="7"/>
      <c r="I445" s="51">
        <f t="shared" si="422"/>
        <v>0</v>
      </c>
      <c r="J445" s="59">
        <f t="shared" si="423"/>
        <v>1</v>
      </c>
      <c r="K445" s="41">
        <v>45828</v>
      </c>
      <c r="M445" s="20" t="s">
        <v>265</v>
      </c>
      <c r="N445" s="5"/>
      <c r="O445" s="6">
        <v>1</v>
      </c>
      <c r="P445" s="7"/>
      <c r="Q445" s="51">
        <f t="shared" si="424"/>
        <v>1</v>
      </c>
      <c r="R445" s="8"/>
      <c r="S445" s="6">
        <v>1</v>
      </c>
      <c r="T445" s="7"/>
      <c r="U445" s="51">
        <f t="shared" si="425"/>
        <v>1</v>
      </c>
      <c r="V445" s="59">
        <f t="shared" si="426"/>
        <v>2</v>
      </c>
      <c r="W445" s="108">
        <v>45839</v>
      </c>
    </row>
    <row r="446" spans="1:23" x14ac:dyDescent="0.15">
      <c r="A446" s="17" t="s">
        <v>57</v>
      </c>
      <c r="B446" s="5">
        <v>1</v>
      </c>
      <c r="C446" s="6">
        <v>1</v>
      </c>
      <c r="D446" s="7">
        <v>1</v>
      </c>
      <c r="E446" s="51">
        <f t="shared" si="421"/>
        <v>3</v>
      </c>
      <c r="F446" s="8"/>
      <c r="G446" s="6">
        <v>1</v>
      </c>
      <c r="H446" s="7"/>
      <c r="I446" s="51">
        <f t="shared" si="422"/>
        <v>1</v>
      </c>
      <c r="J446" s="59">
        <f t="shared" si="423"/>
        <v>4</v>
      </c>
      <c r="K446" s="40">
        <v>45831</v>
      </c>
      <c r="L446" s="48"/>
      <c r="M446" s="20" t="s">
        <v>41</v>
      </c>
      <c r="N446" s="5"/>
      <c r="O446" s="6">
        <v>3</v>
      </c>
      <c r="P446" s="7"/>
      <c r="Q446" s="51">
        <f t="shared" si="424"/>
        <v>3</v>
      </c>
      <c r="R446" s="8">
        <v>3</v>
      </c>
      <c r="S446" s="6">
        <v>3</v>
      </c>
      <c r="T446" s="7"/>
      <c r="U446" s="51">
        <f t="shared" si="425"/>
        <v>6</v>
      </c>
      <c r="V446" s="59">
        <f t="shared" si="426"/>
        <v>9</v>
      </c>
      <c r="W446" s="108">
        <v>45841</v>
      </c>
    </row>
    <row r="447" spans="1:23" x14ac:dyDescent="0.15">
      <c r="A447" s="17" t="s">
        <v>38</v>
      </c>
      <c r="B447" s="5"/>
      <c r="C447" s="6"/>
      <c r="D447" s="7">
        <v>1</v>
      </c>
      <c r="E447" s="51">
        <f t="shared" si="421"/>
        <v>1</v>
      </c>
      <c r="F447" s="8"/>
      <c r="G447" s="6">
        <v>1</v>
      </c>
      <c r="H447" s="7"/>
      <c r="I447" s="51">
        <f t="shared" si="422"/>
        <v>1</v>
      </c>
      <c r="J447" s="59">
        <f t="shared" si="423"/>
        <v>2</v>
      </c>
      <c r="K447" s="40">
        <v>45832</v>
      </c>
      <c r="L447" s="48"/>
      <c r="M447" s="17" t="s">
        <v>271</v>
      </c>
      <c r="N447" s="5">
        <v>2</v>
      </c>
      <c r="O447" s="6">
        <v>2</v>
      </c>
      <c r="P447" s="7">
        <v>2</v>
      </c>
      <c r="Q447" s="51">
        <f t="shared" si="424"/>
        <v>6</v>
      </c>
      <c r="R447" s="8">
        <v>2</v>
      </c>
      <c r="S447" s="6">
        <v>2</v>
      </c>
      <c r="T447" s="7">
        <v>2</v>
      </c>
      <c r="U447" s="51">
        <f t="shared" si="425"/>
        <v>6</v>
      </c>
      <c r="V447" s="59">
        <f t="shared" si="426"/>
        <v>12</v>
      </c>
      <c r="W447" s="108">
        <v>45854</v>
      </c>
    </row>
    <row r="448" spans="1:23" x14ac:dyDescent="0.15">
      <c r="A448" s="17" t="s">
        <v>57</v>
      </c>
      <c r="B448" s="5">
        <v>1</v>
      </c>
      <c r="C448" s="6">
        <v>1</v>
      </c>
      <c r="D448" s="7">
        <v>1</v>
      </c>
      <c r="E448" s="51">
        <f t="shared" si="421"/>
        <v>3</v>
      </c>
      <c r="F448" s="8"/>
      <c r="G448" s="6"/>
      <c r="H448" s="7">
        <v>1</v>
      </c>
      <c r="I448" s="51">
        <f t="shared" si="422"/>
        <v>1</v>
      </c>
      <c r="J448" s="59">
        <f t="shared" si="423"/>
        <v>4</v>
      </c>
      <c r="K448" s="40">
        <v>45833</v>
      </c>
      <c r="L448" s="48"/>
      <c r="M448" s="20" t="s">
        <v>41</v>
      </c>
      <c r="N448" s="5">
        <v>5</v>
      </c>
      <c r="O448" s="6">
        <v>5</v>
      </c>
      <c r="P448" s="7">
        <v>5</v>
      </c>
      <c r="Q448" s="51">
        <f t="shared" si="424"/>
        <v>15</v>
      </c>
      <c r="R448" s="8">
        <v>5</v>
      </c>
      <c r="S448" s="6">
        <v>5</v>
      </c>
      <c r="T448" s="7">
        <v>5</v>
      </c>
      <c r="U448" s="51">
        <f t="shared" si="425"/>
        <v>15</v>
      </c>
      <c r="V448" s="59">
        <f t="shared" si="426"/>
        <v>30</v>
      </c>
      <c r="W448" s="108">
        <v>45853</v>
      </c>
    </row>
    <row r="449" spans="1:23" x14ac:dyDescent="0.15">
      <c r="A449" s="17" t="s">
        <v>38</v>
      </c>
      <c r="B449" s="5"/>
      <c r="C449" s="6"/>
      <c r="D449" s="14">
        <v>1</v>
      </c>
      <c r="E449" s="51">
        <f t="shared" si="421"/>
        <v>1</v>
      </c>
      <c r="F449" s="15"/>
      <c r="G449" s="13"/>
      <c r="H449" s="14"/>
      <c r="I449" s="51">
        <f t="shared" si="422"/>
        <v>0</v>
      </c>
      <c r="J449" s="59">
        <f t="shared" si="423"/>
        <v>1</v>
      </c>
      <c r="K449" s="40">
        <v>45835</v>
      </c>
      <c r="L449" s="48"/>
      <c r="M449" s="20" t="s">
        <v>272</v>
      </c>
      <c r="N449" s="5">
        <v>40</v>
      </c>
      <c r="O449" s="6">
        <v>30</v>
      </c>
      <c r="P449" s="14">
        <v>20</v>
      </c>
      <c r="Q449" s="51">
        <f t="shared" si="424"/>
        <v>90</v>
      </c>
      <c r="R449" s="15">
        <v>60</v>
      </c>
      <c r="S449" s="13">
        <v>75</v>
      </c>
      <c r="T449" s="14">
        <v>40</v>
      </c>
      <c r="U449" s="51">
        <f t="shared" si="425"/>
        <v>175</v>
      </c>
      <c r="V449" s="59">
        <f t="shared" si="426"/>
        <v>265</v>
      </c>
      <c r="W449" s="108">
        <v>45855</v>
      </c>
    </row>
    <row r="450" spans="1:23" x14ac:dyDescent="0.15">
      <c r="A450" s="17" t="s">
        <v>57</v>
      </c>
      <c r="B450" s="5"/>
      <c r="C450" s="6">
        <v>1</v>
      </c>
      <c r="D450" s="7">
        <v>1</v>
      </c>
      <c r="E450" s="51">
        <f t="shared" si="421"/>
        <v>2</v>
      </c>
      <c r="F450" s="8"/>
      <c r="G450" s="6">
        <v>1</v>
      </c>
      <c r="H450" s="7">
        <v>1</v>
      </c>
      <c r="I450" s="51">
        <f t="shared" si="422"/>
        <v>2</v>
      </c>
      <c r="J450" s="59">
        <f t="shared" si="423"/>
        <v>4</v>
      </c>
      <c r="K450" s="40">
        <v>45838</v>
      </c>
      <c r="M450" s="17" t="s">
        <v>271</v>
      </c>
      <c r="N450" s="5">
        <v>5</v>
      </c>
      <c r="O450" s="6"/>
      <c r="P450" s="7"/>
      <c r="Q450" s="51">
        <f t="shared" si="424"/>
        <v>5</v>
      </c>
      <c r="R450" s="8">
        <v>5</v>
      </c>
      <c r="S450" s="6"/>
      <c r="T450" s="7"/>
      <c r="U450" s="51">
        <f t="shared" si="425"/>
        <v>5</v>
      </c>
      <c r="V450" s="59">
        <f t="shared" si="426"/>
        <v>10</v>
      </c>
      <c r="W450" s="108">
        <v>45856</v>
      </c>
    </row>
    <row r="451" spans="1:23" x14ac:dyDescent="0.15">
      <c r="A451" s="17" t="s">
        <v>57</v>
      </c>
      <c r="B451" s="5">
        <v>1</v>
      </c>
      <c r="C451" s="6"/>
      <c r="D451" s="7"/>
      <c r="E451" s="51">
        <f t="shared" si="421"/>
        <v>1</v>
      </c>
      <c r="F451" s="8">
        <f>1+1</f>
        <v>2</v>
      </c>
      <c r="G451" s="6"/>
      <c r="H451" s="7"/>
      <c r="I451" s="51">
        <f t="shared" si="422"/>
        <v>2</v>
      </c>
      <c r="J451" s="59">
        <f t="shared" si="423"/>
        <v>3</v>
      </c>
      <c r="K451" s="40">
        <v>45839</v>
      </c>
      <c r="M451" s="20" t="s">
        <v>274</v>
      </c>
      <c r="N451" s="5">
        <v>15</v>
      </c>
      <c r="O451" s="6">
        <v>30</v>
      </c>
      <c r="P451" s="7">
        <v>20</v>
      </c>
      <c r="Q451" s="51">
        <f t="shared" si="424"/>
        <v>65</v>
      </c>
      <c r="R451" s="8">
        <v>20</v>
      </c>
      <c r="S451" s="6">
        <v>25</v>
      </c>
      <c r="T451" s="7">
        <v>10</v>
      </c>
      <c r="U451" s="51">
        <f t="shared" si="425"/>
        <v>55</v>
      </c>
      <c r="V451" s="59">
        <f t="shared" si="426"/>
        <v>120</v>
      </c>
      <c r="W451" s="108">
        <v>45856</v>
      </c>
    </row>
    <row r="452" spans="1:23" x14ac:dyDescent="0.15">
      <c r="A452" s="17" t="s">
        <v>266</v>
      </c>
      <c r="B452" s="5"/>
      <c r="C452" s="6">
        <v>1</v>
      </c>
      <c r="D452" s="7"/>
      <c r="E452" s="51">
        <v>1</v>
      </c>
      <c r="F452" s="8"/>
      <c r="G452" s="6">
        <v>1</v>
      </c>
      <c r="H452" s="7"/>
      <c r="I452" s="51">
        <v>1</v>
      </c>
      <c r="J452" s="59">
        <v>2</v>
      </c>
      <c r="K452" s="40">
        <v>45841</v>
      </c>
      <c r="M452" s="20" t="s">
        <v>277</v>
      </c>
      <c r="N452" s="5">
        <v>10</v>
      </c>
      <c r="O452" s="6">
        <v>10</v>
      </c>
      <c r="P452" s="7">
        <v>5</v>
      </c>
      <c r="Q452" s="51">
        <f t="shared" si="424"/>
        <v>25</v>
      </c>
      <c r="R452" s="8">
        <v>5</v>
      </c>
      <c r="S452" s="6">
        <v>10</v>
      </c>
      <c r="T452" s="7">
        <v>10</v>
      </c>
      <c r="U452" s="51">
        <f t="shared" si="425"/>
        <v>25</v>
      </c>
      <c r="V452" s="59">
        <f t="shared" si="426"/>
        <v>50</v>
      </c>
      <c r="W452" s="108">
        <v>45857</v>
      </c>
    </row>
    <row r="453" spans="1:23" x14ac:dyDescent="0.15">
      <c r="A453" s="17" t="s">
        <v>267</v>
      </c>
      <c r="B453" s="5"/>
      <c r="C453" s="6">
        <v>1</v>
      </c>
      <c r="D453" s="7"/>
      <c r="E453" s="51">
        <f t="shared" ref="E453:E455" si="427">SUM(B453:D453)</f>
        <v>1</v>
      </c>
      <c r="F453" s="8"/>
      <c r="G453" s="6">
        <v>1</v>
      </c>
      <c r="H453" s="7"/>
      <c r="I453" s="51">
        <f t="shared" ref="I453:I455" si="428">SUM(F453:H453)</f>
        <v>1</v>
      </c>
      <c r="J453" s="59">
        <f t="shared" ref="J453:J455" si="429">E453+I453</f>
        <v>2</v>
      </c>
      <c r="K453" s="40">
        <v>45841</v>
      </c>
      <c r="M453" s="17" t="s">
        <v>271</v>
      </c>
      <c r="N453" s="9"/>
      <c r="O453" s="10"/>
      <c r="P453" s="11">
        <v>6</v>
      </c>
      <c r="Q453" s="51">
        <f t="shared" si="424"/>
        <v>6</v>
      </c>
      <c r="R453" s="12"/>
      <c r="S453" s="10"/>
      <c r="T453" s="11">
        <v>6</v>
      </c>
      <c r="U453" s="51">
        <f t="shared" si="425"/>
        <v>6</v>
      </c>
      <c r="V453" s="59">
        <f t="shared" si="426"/>
        <v>12</v>
      </c>
      <c r="W453" s="108">
        <v>45862</v>
      </c>
    </row>
    <row r="454" spans="1:23" x14ac:dyDescent="0.15">
      <c r="A454" s="17" t="s">
        <v>57</v>
      </c>
      <c r="B454" s="5">
        <v>2</v>
      </c>
      <c r="C454" s="6">
        <v>1</v>
      </c>
      <c r="D454" s="7"/>
      <c r="E454" s="51">
        <f t="shared" si="427"/>
        <v>3</v>
      </c>
      <c r="F454" s="8"/>
      <c r="G454" s="6"/>
      <c r="H454" s="7"/>
      <c r="I454" s="51">
        <f t="shared" si="428"/>
        <v>0</v>
      </c>
      <c r="J454" s="59">
        <f t="shared" si="429"/>
        <v>3</v>
      </c>
      <c r="K454" s="40">
        <v>45840</v>
      </c>
      <c r="M454" s="17" t="s">
        <v>271</v>
      </c>
      <c r="N454" s="5"/>
      <c r="O454" s="6">
        <v>4</v>
      </c>
      <c r="P454" s="7"/>
      <c r="Q454" s="51">
        <f t="shared" si="424"/>
        <v>4</v>
      </c>
      <c r="R454" s="8"/>
      <c r="S454" s="6">
        <v>4</v>
      </c>
      <c r="T454" s="7"/>
      <c r="U454" s="51">
        <f t="shared" si="425"/>
        <v>4</v>
      </c>
      <c r="V454" s="59">
        <f t="shared" si="426"/>
        <v>8</v>
      </c>
      <c r="W454" s="108">
        <v>45863</v>
      </c>
    </row>
    <row r="455" spans="1:23" x14ac:dyDescent="0.15">
      <c r="A455" s="17" t="s">
        <v>57</v>
      </c>
      <c r="B455" s="5"/>
      <c r="C455" s="6">
        <f>1+1</f>
        <v>2</v>
      </c>
      <c r="D455" s="7"/>
      <c r="E455" s="51">
        <f t="shared" si="427"/>
        <v>2</v>
      </c>
      <c r="F455" s="8"/>
      <c r="G455" s="6">
        <v>1</v>
      </c>
      <c r="H455" s="7"/>
      <c r="I455" s="51">
        <f t="shared" si="428"/>
        <v>1</v>
      </c>
      <c r="J455" s="59">
        <f t="shared" si="429"/>
        <v>3</v>
      </c>
      <c r="K455" s="41">
        <v>45843</v>
      </c>
      <c r="M455" s="20" t="s">
        <v>41</v>
      </c>
      <c r="N455" s="5">
        <v>10</v>
      </c>
      <c r="O455" s="6">
        <v>5</v>
      </c>
      <c r="P455" s="7">
        <v>5</v>
      </c>
      <c r="Q455" s="51">
        <f t="shared" si="424"/>
        <v>20</v>
      </c>
      <c r="R455" s="8">
        <v>5</v>
      </c>
      <c r="S455" s="6">
        <v>5</v>
      </c>
      <c r="T455" s="7">
        <v>10</v>
      </c>
      <c r="U455" s="51">
        <f t="shared" si="425"/>
        <v>20</v>
      </c>
      <c r="V455" s="59">
        <f t="shared" si="426"/>
        <v>40</v>
      </c>
      <c r="W455" s="108">
        <v>45862</v>
      </c>
    </row>
    <row r="456" spans="1:23" x14ac:dyDescent="0.15">
      <c r="A456" s="17" t="s">
        <v>57</v>
      </c>
      <c r="B456" s="5">
        <v>1</v>
      </c>
      <c r="C456" s="6"/>
      <c r="D456" s="7"/>
      <c r="E456" s="51">
        <f t="shared" si="421"/>
        <v>1</v>
      </c>
      <c r="F456" s="8">
        <v>1</v>
      </c>
      <c r="G456" s="6"/>
      <c r="H456" s="7">
        <v>1</v>
      </c>
      <c r="I456" s="51">
        <f t="shared" si="422"/>
        <v>2</v>
      </c>
      <c r="J456" s="59">
        <f t="shared" si="423"/>
        <v>3</v>
      </c>
      <c r="K456" s="40">
        <v>45845</v>
      </c>
      <c r="M456" s="20" t="s">
        <v>41</v>
      </c>
      <c r="N456" s="5"/>
      <c r="O456" s="6">
        <v>5</v>
      </c>
      <c r="P456" s="7"/>
      <c r="Q456" s="51">
        <f t="shared" si="424"/>
        <v>5</v>
      </c>
      <c r="R456" s="8"/>
      <c r="S456" s="6"/>
      <c r="T456" s="7"/>
      <c r="U456" s="51">
        <f t="shared" si="425"/>
        <v>0</v>
      </c>
      <c r="V456" s="59">
        <f t="shared" si="426"/>
        <v>5</v>
      </c>
      <c r="W456" s="108">
        <v>45911</v>
      </c>
    </row>
    <row r="457" spans="1:23" x14ac:dyDescent="0.15">
      <c r="A457" s="17" t="s">
        <v>269</v>
      </c>
      <c r="B457" s="5">
        <v>1</v>
      </c>
      <c r="C457" s="6"/>
      <c r="D457" s="7"/>
      <c r="E457" s="51">
        <f t="shared" si="421"/>
        <v>1</v>
      </c>
      <c r="F457" s="8"/>
      <c r="G457" s="6"/>
      <c r="H457" s="7"/>
      <c r="I457" s="51">
        <f t="shared" si="422"/>
        <v>0</v>
      </c>
      <c r="J457" s="59">
        <f t="shared" si="423"/>
        <v>1</v>
      </c>
      <c r="K457" s="40">
        <v>45849</v>
      </c>
      <c r="M457" s="18"/>
      <c r="N457" s="5"/>
      <c r="O457" s="6"/>
      <c r="P457" s="7"/>
      <c r="Q457" s="51">
        <f t="shared" si="424"/>
        <v>0</v>
      </c>
      <c r="R457" s="8"/>
      <c r="S457" s="6"/>
      <c r="T457" s="7"/>
      <c r="U457" s="51">
        <f t="shared" si="425"/>
        <v>0</v>
      </c>
      <c r="V457" s="59">
        <f t="shared" si="426"/>
        <v>0</v>
      </c>
    </row>
    <row r="458" spans="1:23" x14ac:dyDescent="0.15">
      <c r="A458" s="17" t="s">
        <v>57</v>
      </c>
      <c r="B458" s="5"/>
      <c r="C458" s="6"/>
      <c r="D458" s="7"/>
      <c r="E458" s="51">
        <f t="shared" si="421"/>
        <v>0</v>
      </c>
      <c r="F458" s="8">
        <v>1</v>
      </c>
      <c r="G458" s="6">
        <v>1</v>
      </c>
      <c r="H458" s="7"/>
      <c r="I458" s="51">
        <f t="shared" si="422"/>
        <v>2</v>
      </c>
      <c r="J458" s="59">
        <f t="shared" si="423"/>
        <v>2</v>
      </c>
      <c r="K458" s="40">
        <v>45846</v>
      </c>
      <c r="M458" s="20"/>
      <c r="N458" s="5"/>
      <c r="O458" s="6"/>
      <c r="P458" s="7"/>
      <c r="Q458" s="51">
        <f t="shared" si="424"/>
        <v>0</v>
      </c>
      <c r="R458" s="8"/>
      <c r="S458" s="6"/>
      <c r="T458" s="7"/>
      <c r="U458" s="51">
        <f t="shared" si="425"/>
        <v>0</v>
      </c>
      <c r="V458" s="59">
        <f t="shared" si="426"/>
        <v>0</v>
      </c>
    </row>
    <row r="459" spans="1:23" x14ac:dyDescent="0.15">
      <c r="A459" s="17" t="s">
        <v>57</v>
      </c>
      <c r="B459" s="5"/>
      <c r="C459" s="6"/>
      <c r="D459" s="7">
        <v>1</v>
      </c>
      <c r="E459" s="51">
        <f t="shared" si="421"/>
        <v>1</v>
      </c>
      <c r="F459" s="8"/>
      <c r="G459" s="6"/>
      <c r="H459" s="7">
        <v>1</v>
      </c>
      <c r="I459" s="51">
        <f t="shared" si="422"/>
        <v>1</v>
      </c>
      <c r="J459" s="59">
        <f t="shared" si="423"/>
        <v>2</v>
      </c>
      <c r="K459" s="40">
        <v>45847</v>
      </c>
      <c r="M459" s="20"/>
      <c r="N459" s="5"/>
      <c r="O459" s="6"/>
      <c r="P459" s="7"/>
      <c r="Q459" s="51">
        <f t="shared" si="424"/>
        <v>0</v>
      </c>
      <c r="R459" s="8"/>
      <c r="S459" s="6"/>
      <c r="T459" s="7"/>
      <c r="U459" s="51">
        <f t="shared" si="425"/>
        <v>0</v>
      </c>
      <c r="V459" s="59">
        <f t="shared" si="426"/>
        <v>0</v>
      </c>
    </row>
    <row r="460" spans="1:23" x14ac:dyDescent="0.15">
      <c r="A460" s="17" t="s">
        <v>57</v>
      </c>
      <c r="B460" s="5"/>
      <c r="C460" s="6">
        <v>1</v>
      </c>
      <c r="D460" s="7"/>
      <c r="E460" s="51">
        <f t="shared" si="421"/>
        <v>1</v>
      </c>
      <c r="F460" s="8">
        <v>1</v>
      </c>
      <c r="G460" s="6"/>
      <c r="H460" s="7"/>
      <c r="I460" s="51">
        <f t="shared" si="422"/>
        <v>1</v>
      </c>
      <c r="J460" s="59">
        <f t="shared" si="423"/>
        <v>2</v>
      </c>
      <c r="K460" s="41">
        <v>45849</v>
      </c>
      <c r="M460" s="18"/>
      <c r="N460" s="5"/>
      <c r="O460" s="6"/>
      <c r="P460" s="7"/>
      <c r="Q460" s="51">
        <f t="shared" si="424"/>
        <v>0</v>
      </c>
      <c r="R460" s="8"/>
      <c r="S460" s="6"/>
      <c r="T460" s="7"/>
      <c r="U460" s="51">
        <f t="shared" si="425"/>
        <v>0</v>
      </c>
      <c r="V460" s="59">
        <f t="shared" si="426"/>
        <v>0</v>
      </c>
    </row>
    <row r="461" spans="1:23" x14ac:dyDescent="0.15">
      <c r="A461" s="17" t="s">
        <v>57</v>
      </c>
      <c r="B461" s="5">
        <f>1+1+1</f>
        <v>3</v>
      </c>
      <c r="C461" s="6">
        <v>1</v>
      </c>
      <c r="D461" s="7">
        <v>1</v>
      </c>
      <c r="E461" s="51">
        <f t="shared" ref="E461" si="430">SUM(B461:D461)</f>
        <v>5</v>
      </c>
      <c r="F461" s="8"/>
      <c r="G461" s="6">
        <v>1</v>
      </c>
      <c r="H461" s="7">
        <v>1</v>
      </c>
      <c r="I461" s="51">
        <f t="shared" ref="I461" si="431">SUM(F461:H461)</f>
        <v>2</v>
      </c>
      <c r="J461" s="59">
        <f t="shared" ref="J461" si="432">E461+I461</f>
        <v>7</v>
      </c>
      <c r="K461" s="41">
        <v>45852</v>
      </c>
      <c r="M461" s="20"/>
      <c r="N461" s="5"/>
      <c r="O461" s="6"/>
      <c r="P461" s="7"/>
      <c r="Q461" s="51">
        <f t="shared" si="424"/>
        <v>0</v>
      </c>
      <c r="R461" s="8"/>
      <c r="S461" s="6"/>
      <c r="T461" s="7"/>
      <c r="U461" s="51">
        <f t="shared" si="425"/>
        <v>0</v>
      </c>
      <c r="V461" s="59">
        <f t="shared" si="426"/>
        <v>0</v>
      </c>
    </row>
    <row r="462" spans="1:23" x14ac:dyDescent="0.15">
      <c r="A462" s="17" t="s">
        <v>57</v>
      </c>
      <c r="B462" s="5"/>
      <c r="C462" s="6"/>
      <c r="D462" s="7"/>
      <c r="E462" s="51">
        <f t="shared" si="421"/>
        <v>0</v>
      </c>
      <c r="F462" s="8"/>
      <c r="G462" s="6"/>
      <c r="H462" s="7">
        <v>1</v>
      </c>
      <c r="I462" s="51">
        <f t="shared" si="422"/>
        <v>1</v>
      </c>
      <c r="J462" s="59">
        <f t="shared" si="423"/>
        <v>1</v>
      </c>
      <c r="K462" s="41">
        <v>45853</v>
      </c>
      <c r="M462" s="18"/>
      <c r="N462" s="5"/>
      <c r="O462" s="6"/>
      <c r="P462" s="7"/>
      <c r="Q462" s="51">
        <f t="shared" si="424"/>
        <v>0</v>
      </c>
      <c r="R462" s="8"/>
      <c r="S462" s="6"/>
      <c r="T462" s="7"/>
      <c r="U462" s="51">
        <f t="shared" si="425"/>
        <v>0</v>
      </c>
      <c r="V462" s="59">
        <f t="shared" si="426"/>
        <v>0</v>
      </c>
    </row>
    <row r="463" spans="1:23" x14ac:dyDescent="0.15">
      <c r="A463" s="17" t="s">
        <v>269</v>
      </c>
      <c r="B463" s="5"/>
      <c r="C463" s="6"/>
      <c r="D463" s="7">
        <v>1</v>
      </c>
      <c r="E463" s="51">
        <f t="shared" si="421"/>
        <v>1</v>
      </c>
      <c r="F463" s="8"/>
      <c r="G463" s="6"/>
      <c r="H463" s="7"/>
      <c r="I463" s="51">
        <f t="shared" si="422"/>
        <v>0</v>
      </c>
      <c r="J463" s="59">
        <f t="shared" si="423"/>
        <v>1</v>
      </c>
      <c r="K463" s="40">
        <v>45855</v>
      </c>
      <c r="M463" s="20"/>
      <c r="N463" s="5"/>
      <c r="O463" s="6"/>
      <c r="P463" s="7"/>
      <c r="Q463" s="51">
        <f t="shared" si="424"/>
        <v>0</v>
      </c>
      <c r="R463" s="8"/>
      <c r="S463" s="6"/>
      <c r="T463" s="7"/>
      <c r="U463" s="51">
        <f t="shared" si="425"/>
        <v>0</v>
      </c>
      <c r="V463" s="59">
        <f t="shared" si="426"/>
        <v>0</v>
      </c>
    </row>
    <row r="464" spans="1:23" x14ac:dyDescent="0.15">
      <c r="A464" s="17" t="s">
        <v>57</v>
      </c>
      <c r="B464" s="5"/>
      <c r="C464" s="6"/>
      <c r="D464" s="7">
        <v>1</v>
      </c>
      <c r="E464" s="51">
        <f t="shared" si="421"/>
        <v>1</v>
      </c>
      <c r="F464" s="8"/>
      <c r="G464" s="6"/>
      <c r="H464" s="7">
        <v>1</v>
      </c>
      <c r="I464" s="51">
        <f t="shared" si="422"/>
        <v>1</v>
      </c>
      <c r="J464" s="59">
        <f t="shared" si="423"/>
        <v>2</v>
      </c>
      <c r="K464" s="40">
        <v>45854</v>
      </c>
      <c r="M464" s="20"/>
      <c r="N464" s="5"/>
      <c r="O464" s="6"/>
      <c r="P464" s="7"/>
      <c r="Q464" s="51">
        <f t="shared" si="424"/>
        <v>0</v>
      </c>
      <c r="R464" s="8"/>
      <c r="S464" s="6"/>
      <c r="T464" s="7"/>
      <c r="U464" s="51">
        <f t="shared" si="425"/>
        <v>0</v>
      </c>
      <c r="V464" s="59">
        <f t="shared" si="426"/>
        <v>0</v>
      </c>
    </row>
    <row r="465" spans="1:24" x14ac:dyDescent="0.15">
      <c r="A465" s="17" t="s">
        <v>57</v>
      </c>
      <c r="B465" s="9"/>
      <c r="C465" s="10">
        <v>1</v>
      </c>
      <c r="D465" s="11">
        <f>1+1</f>
        <v>2</v>
      </c>
      <c r="E465" s="51">
        <f t="shared" si="421"/>
        <v>3</v>
      </c>
      <c r="F465" s="12"/>
      <c r="G465" s="10">
        <v>1</v>
      </c>
      <c r="H465" s="11">
        <v>1</v>
      </c>
      <c r="I465" s="51">
        <f t="shared" si="422"/>
        <v>2</v>
      </c>
      <c r="J465" s="59">
        <f t="shared" si="423"/>
        <v>5</v>
      </c>
      <c r="K465" s="41">
        <v>45855</v>
      </c>
      <c r="M465" s="20"/>
      <c r="N465" s="5"/>
      <c r="O465" s="6"/>
      <c r="P465" s="7"/>
      <c r="Q465" s="51">
        <f t="shared" si="424"/>
        <v>0</v>
      </c>
      <c r="R465" s="8"/>
      <c r="S465" s="6"/>
      <c r="T465" s="7"/>
      <c r="U465" s="51">
        <f t="shared" si="425"/>
        <v>0</v>
      </c>
      <c r="V465" s="59">
        <f t="shared" si="426"/>
        <v>0</v>
      </c>
    </row>
    <row r="466" spans="1:24" x14ac:dyDescent="0.15">
      <c r="A466" s="17" t="s">
        <v>276</v>
      </c>
      <c r="B466" s="5">
        <v>1</v>
      </c>
      <c r="C466" s="6"/>
      <c r="D466" s="7"/>
      <c r="E466" s="51">
        <f t="shared" si="421"/>
        <v>1</v>
      </c>
      <c r="F466" s="8">
        <v>1</v>
      </c>
      <c r="G466" s="6"/>
      <c r="H466" s="7"/>
      <c r="I466" s="51">
        <f t="shared" si="422"/>
        <v>1</v>
      </c>
      <c r="J466" s="59">
        <f t="shared" si="423"/>
        <v>2</v>
      </c>
      <c r="K466" s="40">
        <v>45860</v>
      </c>
      <c r="M466" s="20"/>
      <c r="N466" s="5"/>
      <c r="O466" s="6"/>
      <c r="P466" s="7"/>
      <c r="Q466" s="51">
        <f t="shared" si="424"/>
        <v>0</v>
      </c>
      <c r="R466" s="8"/>
      <c r="S466" s="6"/>
      <c r="T466" s="7"/>
      <c r="U466" s="51">
        <f t="shared" si="425"/>
        <v>0</v>
      </c>
      <c r="V466" s="59">
        <f t="shared" si="426"/>
        <v>0</v>
      </c>
      <c r="W466" s="116"/>
    </row>
    <row r="467" spans="1:24" x14ac:dyDescent="0.15">
      <c r="A467" s="17" t="s">
        <v>57</v>
      </c>
      <c r="B467" s="9">
        <v>2</v>
      </c>
      <c r="C467" s="10">
        <v>1</v>
      </c>
      <c r="D467" s="11"/>
      <c r="E467" s="52">
        <f t="shared" si="421"/>
        <v>3</v>
      </c>
      <c r="F467" s="12">
        <v>1</v>
      </c>
      <c r="G467" s="10">
        <f>1+1</f>
        <v>2</v>
      </c>
      <c r="H467" s="11"/>
      <c r="I467" s="52">
        <f t="shared" si="422"/>
        <v>3</v>
      </c>
      <c r="J467" s="59">
        <f t="shared" si="423"/>
        <v>6</v>
      </c>
      <c r="K467" s="40">
        <v>45860</v>
      </c>
      <c r="M467" s="20" t="s">
        <v>243</v>
      </c>
      <c r="N467" s="5"/>
      <c r="O467" s="6"/>
      <c r="P467" s="7"/>
      <c r="Q467" s="51">
        <f t="shared" si="424"/>
        <v>0</v>
      </c>
      <c r="R467" s="8"/>
      <c r="S467" s="6"/>
      <c r="T467" s="7"/>
      <c r="U467" s="51">
        <f t="shared" si="425"/>
        <v>0</v>
      </c>
      <c r="V467" s="59">
        <f t="shared" si="426"/>
        <v>0</v>
      </c>
      <c r="W467" s="116" t="s">
        <v>244</v>
      </c>
    </row>
    <row r="468" spans="1:24" x14ac:dyDescent="0.15">
      <c r="A468" s="17" t="s">
        <v>57</v>
      </c>
      <c r="B468" s="5">
        <v>1</v>
      </c>
      <c r="C468" s="6"/>
      <c r="D468" s="7"/>
      <c r="E468" s="51">
        <f t="shared" si="421"/>
        <v>1</v>
      </c>
      <c r="F468" s="8">
        <v>1</v>
      </c>
      <c r="G468" s="6"/>
      <c r="H468" s="7">
        <v>2</v>
      </c>
      <c r="I468" s="51">
        <f t="shared" si="422"/>
        <v>3</v>
      </c>
      <c r="J468" s="59">
        <f t="shared" si="423"/>
        <v>4</v>
      </c>
      <c r="K468" s="41">
        <v>45861</v>
      </c>
      <c r="M468" s="101" t="s">
        <v>246</v>
      </c>
      <c r="N468" s="86"/>
      <c r="O468" s="87"/>
      <c r="P468" s="88"/>
      <c r="Q468" s="89">
        <f t="shared" si="424"/>
        <v>0</v>
      </c>
      <c r="R468" s="86"/>
      <c r="S468" s="87"/>
      <c r="T468" s="88"/>
      <c r="U468" s="89">
        <f t="shared" si="425"/>
        <v>0</v>
      </c>
      <c r="V468" s="90">
        <f t="shared" si="426"/>
        <v>0</v>
      </c>
      <c r="W468" s="119"/>
      <c r="X468" s="48"/>
    </row>
    <row r="469" spans="1:24" ht="14.25" thickBot="1" x14ac:dyDescent="0.2">
      <c r="A469" s="17" t="s">
        <v>278</v>
      </c>
      <c r="B469" s="9"/>
      <c r="C469" s="10"/>
      <c r="D469" s="11"/>
      <c r="E469" s="55">
        <f t="shared" si="421"/>
        <v>0</v>
      </c>
      <c r="F469" s="12"/>
      <c r="G469" s="10"/>
      <c r="H469" s="11">
        <v>1</v>
      </c>
      <c r="I469" s="55">
        <f t="shared" si="422"/>
        <v>1</v>
      </c>
      <c r="J469" s="59">
        <f t="shared" si="423"/>
        <v>1</v>
      </c>
      <c r="K469" s="40">
        <v>45863</v>
      </c>
      <c r="M469" s="20" t="s">
        <v>250</v>
      </c>
      <c r="N469" s="5"/>
      <c r="O469" s="6"/>
      <c r="P469" s="7"/>
      <c r="Q469" s="51">
        <f t="shared" si="424"/>
        <v>0</v>
      </c>
      <c r="R469" s="8"/>
      <c r="S469" s="6"/>
      <c r="T469" s="7"/>
      <c r="U469" s="51">
        <f t="shared" si="425"/>
        <v>0</v>
      </c>
      <c r="V469" s="59">
        <f t="shared" si="426"/>
        <v>0</v>
      </c>
      <c r="W469" s="116" t="s">
        <v>247</v>
      </c>
      <c r="X469" s="48"/>
    </row>
    <row r="470" spans="1:24" ht="14.25" thickBot="1" x14ac:dyDescent="0.2">
      <c r="A470" s="31" t="s">
        <v>19</v>
      </c>
      <c r="B470" s="34">
        <f>SUM(B444:B469)</f>
        <v>14</v>
      </c>
      <c r="C470" s="35">
        <f t="shared" ref="C470:D470" si="433">SUM(C444:C469)</f>
        <v>12</v>
      </c>
      <c r="D470" s="39">
        <f t="shared" si="433"/>
        <v>13</v>
      </c>
      <c r="E470" s="56">
        <f t="shared" si="421"/>
        <v>39</v>
      </c>
      <c r="F470" s="34">
        <f>SUM(F444:F469)</f>
        <v>8</v>
      </c>
      <c r="G470" s="35">
        <f t="shared" ref="G470:H470" si="434">SUM(G444:G469)</f>
        <v>11</v>
      </c>
      <c r="H470" s="39">
        <f t="shared" si="434"/>
        <v>12</v>
      </c>
      <c r="I470" s="56">
        <f t="shared" si="422"/>
        <v>31</v>
      </c>
      <c r="J470" s="62">
        <f>E470+I470</f>
        <v>70</v>
      </c>
      <c r="M470" s="31" t="s">
        <v>19</v>
      </c>
      <c r="N470" s="34">
        <f>SUM(N444:N469)</f>
        <v>107</v>
      </c>
      <c r="O470" s="35">
        <f t="shared" ref="O470:P470" si="435">SUM(O444:O469)</f>
        <v>100</v>
      </c>
      <c r="P470" s="39">
        <f t="shared" si="435"/>
        <v>63</v>
      </c>
      <c r="Q470" s="56">
        <f t="shared" si="424"/>
        <v>270</v>
      </c>
      <c r="R470" s="34">
        <f>SUM(R444:R469)</f>
        <v>110</v>
      </c>
      <c r="S470" s="35">
        <f t="shared" ref="S470:T470" si="436">SUM(S444:S469)</f>
        <v>140</v>
      </c>
      <c r="T470" s="39">
        <f t="shared" si="436"/>
        <v>83</v>
      </c>
      <c r="U470" s="56">
        <f t="shared" si="425"/>
        <v>333</v>
      </c>
      <c r="V470" s="62">
        <f>Q470+U470</f>
        <v>603</v>
      </c>
    </row>
    <row r="471" spans="1:24" ht="14.25" thickBot="1" x14ac:dyDescent="0.2">
      <c r="A471" s="16" t="s">
        <v>17</v>
      </c>
      <c r="B471" s="63">
        <f>B443-B470</f>
        <v>21</v>
      </c>
      <c r="C471" s="64">
        <f t="shared" ref="C471:D471" si="437">C443-C470</f>
        <v>16</v>
      </c>
      <c r="D471" s="65">
        <f t="shared" si="437"/>
        <v>14</v>
      </c>
      <c r="E471" s="57">
        <f>SUM(B471:D471)</f>
        <v>51</v>
      </c>
      <c r="F471" s="63">
        <f>F443-F470</f>
        <v>15</v>
      </c>
      <c r="G471" s="64">
        <f t="shared" ref="G471:H471" si="438">G443-G470</f>
        <v>10</v>
      </c>
      <c r="H471" s="65">
        <f t="shared" si="438"/>
        <v>13</v>
      </c>
      <c r="I471" s="57">
        <f>SUM(F471:H471)</f>
        <v>38</v>
      </c>
      <c r="J471" s="61">
        <f>E471+I471</f>
        <v>89</v>
      </c>
      <c r="M471" s="16" t="s">
        <v>17</v>
      </c>
      <c r="N471" s="63">
        <f>N443-N470</f>
        <v>212</v>
      </c>
      <c r="O471" s="64">
        <f t="shared" ref="O471:P471" si="439">O443-O470</f>
        <v>464</v>
      </c>
      <c r="P471" s="65">
        <f t="shared" si="439"/>
        <v>600</v>
      </c>
      <c r="Q471" s="57">
        <f>SUM(N471:P471)</f>
        <v>1276</v>
      </c>
      <c r="R471" s="63">
        <f>R443-R470</f>
        <v>315</v>
      </c>
      <c r="S471" s="64">
        <f t="shared" ref="S471:T471" si="440">S443-S470</f>
        <v>457</v>
      </c>
      <c r="T471" s="65">
        <f t="shared" si="440"/>
        <v>324</v>
      </c>
      <c r="U471" s="57">
        <f>SUM(R471:T471)</f>
        <v>1096</v>
      </c>
      <c r="V471" s="61">
        <f>Q471+U471</f>
        <v>2372</v>
      </c>
    </row>
    <row r="474" spans="1:24" ht="19.5" thickBot="1" x14ac:dyDescent="0.25">
      <c r="A474" s="66" t="s">
        <v>23</v>
      </c>
      <c r="B474" s="67"/>
      <c r="C474" s="67"/>
      <c r="D474" s="67"/>
      <c r="E474" s="67"/>
      <c r="F474" s="67"/>
      <c r="G474" s="67"/>
      <c r="H474" s="67"/>
      <c r="I474" s="67" t="s">
        <v>26</v>
      </c>
      <c r="J474" s="67"/>
      <c r="M474" s="73" t="s">
        <v>24</v>
      </c>
      <c r="N474" s="74"/>
      <c r="O474" s="74"/>
      <c r="P474" s="74"/>
      <c r="Q474" s="74"/>
      <c r="R474" s="74"/>
      <c r="S474" s="74"/>
      <c r="T474" s="74"/>
      <c r="U474" s="74"/>
      <c r="V474" s="74"/>
    </row>
    <row r="475" spans="1:24" ht="14.25" thickBot="1" x14ac:dyDescent="0.2">
      <c r="A475" s="4" t="s">
        <v>0</v>
      </c>
      <c r="B475" s="191" t="s">
        <v>21</v>
      </c>
      <c r="C475" s="192"/>
      <c r="D475" s="192"/>
      <c r="E475" s="193"/>
      <c r="F475" s="194" t="s">
        <v>18</v>
      </c>
      <c r="G475" s="195"/>
      <c r="H475" s="195"/>
      <c r="I475" s="196"/>
      <c r="J475" s="189" t="s">
        <v>1</v>
      </c>
      <c r="M475" s="4" t="s">
        <v>0</v>
      </c>
      <c r="N475" s="191" t="s">
        <v>21</v>
      </c>
      <c r="O475" s="192"/>
      <c r="P475" s="192"/>
      <c r="Q475" s="193"/>
      <c r="R475" s="194" t="s">
        <v>18</v>
      </c>
      <c r="S475" s="195"/>
      <c r="T475" s="195"/>
      <c r="U475" s="196"/>
      <c r="V475" s="189" t="s">
        <v>1</v>
      </c>
    </row>
    <row r="476" spans="1:24" ht="14.25" thickBot="1" x14ac:dyDescent="0.2">
      <c r="A476" s="4" t="s">
        <v>2</v>
      </c>
      <c r="B476" s="1" t="s">
        <v>3</v>
      </c>
      <c r="C476" s="2" t="s">
        <v>4</v>
      </c>
      <c r="D476" s="3" t="s">
        <v>5</v>
      </c>
      <c r="E476" s="4" t="s">
        <v>6</v>
      </c>
      <c r="F476" s="1" t="s">
        <v>3</v>
      </c>
      <c r="G476" s="2" t="s">
        <v>4</v>
      </c>
      <c r="H476" s="3" t="s">
        <v>5</v>
      </c>
      <c r="I476" s="4" t="s">
        <v>6</v>
      </c>
      <c r="J476" s="190"/>
      <c r="M476" s="4" t="s">
        <v>2</v>
      </c>
      <c r="N476" s="1" t="s">
        <v>3</v>
      </c>
      <c r="O476" s="2" t="s">
        <v>4</v>
      </c>
      <c r="P476" s="3" t="s">
        <v>5</v>
      </c>
      <c r="Q476" s="4" t="s">
        <v>6</v>
      </c>
      <c r="R476" s="1" t="s">
        <v>3</v>
      </c>
      <c r="S476" s="2" t="s">
        <v>4</v>
      </c>
      <c r="T476" s="3" t="s">
        <v>5</v>
      </c>
      <c r="U476" s="4" t="s">
        <v>6</v>
      </c>
      <c r="V476" s="190"/>
    </row>
    <row r="477" spans="1:24" ht="14.25" thickBot="1" x14ac:dyDescent="0.2">
      <c r="A477" s="21" t="s">
        <v>20</v>
      </c>
      <c r="B477" s="68">
        <f>B471</f>
        <v>21</v>
      </c>
      <c r="C477" s="69">
        <f>C471</f>
        <v>16</v>
      </c>
      <c r="D477" s="70">
        <f>D471</f>
        <v>14</v>
      </c>
      <c r="E477" s="71">
        <f>SUM(B477:D477)</f>
        <v>51</v>
      </c>
      <c r="F477" s="68">
        <f>F471</f>
        <v>15</v>
      </c>
      <c r="G477" s="69">
        <f>G471</f>
        <v>10</v>
      </c>
      <c r="H477" s="70">
        <f>H471</f>
        <v>13</v>
      </c>
      <c r="I477" s="71">
        <f>SUM(F477:H477)</f>
        <v>38</v>
      </c>
      <c r="J477" s="72">
        <f>E477+I477</f>
        <v>89</v>
      </c>
      <c r="M477" s="21" t="s">
        <v>20</v>
      </c>
      <c r="N477" s="68">
        <f>N471</f>
        <v>212</v>
      </c>
      <c r="O477" s="69">
        <f>O471</f>
        <v>464</v>
      </c>
      <c r="P477" s="70">
        <f>P471</f>
        <v>600</v>
      </c>
      <c r="Q477" s="71">
        <f>SUM(N477:P477)</f>
        <v>1276</v>
      </c>
      <c r="R477" s="68">
        <f>R471</f>
        <v>315</v>
      </c>
      <c r="S477" s="69">
        <f>S471</f>
        <v>457</v>
      </c>
      <c r="T477" s="70">
        <f>T471</f>
        <v>324</v>
      </c>
      <c r="U477" s="71">
        <f>SUM(R477:T477)</f>
        <v>1096</v>
      </c>
      <c r="V477" s="72">
        <f>Q477+U477</f>
        <v>2372</v>
      </c>
    </row>
    <row r="478" spans="1:24" x14ac:dyDescent="0.15">
      <c r="A478" s="19" t="s">
        <v>273</v>
      </c>
      <c r="B478" s="32">
        <v>6</v>
      </c>
      <c r="C478" s="33">
        <v>10</v>
      </c>
      <c r="D478" s="44"/>
      <c r="E478" s="50">
        <f>SUM(B478:D478)</f>
        <v>16</v>
      </c>
      <c r="F478" s="45">
        <f>7*2</f>
        <v>14</v>
      </c>
      <c r="G478" s="46">
        <f>7*2</f>
        <v>14</v>
      </c>
      <c r="H478" s="47">
        <f>3*2</f>
        <v>6</v>
      </c>
      <c r="I478" s="50">
        <f>SUM(F478:H478)</f>
        <v>34</v>
      </c>
      <c r="J478" s="58">
        <f>E478+I478</f>
        <v>50</v>
      </c>
      <c r="K478" s="40">
        <v>45875</v>
      </c>
      <c r="M478" s="19" t="s">
        <v>202</v>
      </c>
      <c r="N478" s="83">
        <v>14</v>
      </c>
      <c r="O478" s="46">
        <v>12</v>
      </c>
      <c r="P478" s="44"/>
      <c r="Q478" s="50">
        <f t="shared" ref="Q478:Q479" si="441">SUM(N478:P478)</f>
        <v>26</v>
      </c>
      <c r="R478" s="45">
        <v>14</v>
      </c>
      <c r="S478" s="46">
        <v>7</v>
      </c>
      <c r="T478" s="47">
        <v>10</v>
      </c>
      <c r="U478" s="50">
        <f t="shared" ref="U478:U479" si="442">SUM(R478:T478)</f>
        <v>31</v>
      </c>
      <c r="V478" s="84">
        <f t="shared" ref="V478:V479" si="443">Q478+U478</f>
        <v>57</v>
      </c>
      <c r="W478" s="120">
        <v>45899</v>
      </c>
    </row>
    <row r="479" spans="1:24" x14ac:dyDescent="0.15">
      <c r="A479" s="19" t="s">
        <v>198</v>
      </c>
      <c r="B479" s="5">
        <v>6</v>
      </c>
      <c r="C479" s="6">
        <v>4</v>
      </c>
      <c r="D479" s="14">
        <v>1</v>
      </c>
      <c r="E479" s="51">
        <f>SUM(B479:D479)</f>
        <v>11</v>
      </c>
      <c r="F479" s="15">
        <v>6</v>
      </c>
      <c r="G479" s="13">
        <v>7</v>
      </c>
      <c r="H479" s="14">
        <v>1</v>
      </c>
      <c r="I479" s="51">
        <f>SUM(F479:H479)</f>
        <v>14</v>
      </c>
      <c r="J479" s="59">
        <f>E479+I479</f>
        <v>25</v>
      </c>
      <c r="K479" s="40">
        <v>45875</v>
      </c>
      <c r="M479" s="19" t="s">
        <v>202</v>
      </c>
      <c r="N479" s="5"/>
      <c r="O479" s="6"/>
      <c r="P479" s="36"/>
      <c r="Q479" s="52">
        <f t="shared" si="441"/>
        <v>0</v>
      </c>
      <c r="R479" s="8">
        <v>2</v>
      </c>
      <c r="S479" s="6">
        <v>4</v>
      </c>
      <c r="T479" s="7"/>
      <c r="U479" s="52">
        <f t="shared" si="442"/>
        <v>6</v>
      </c>
      <c r="V479" s="59">
        <f t="shared" si="443"/>
        <v>6</v>
      </c>
      <c r="W479" s="120">
        <v>45906</v>
      </c>
    </row>
    <row r="480" spans="1:24" x14ac:dyDescent="0.15">
      <c r="A480" s="19" t="s">
        <v>279</v>
      </c>
      <c r="B480" s="5"/>
      <c r="C480" s="6"/>
      <c r="D480" s="7">
        <v>5</v>
      </c>
      <c r="E480" s="51">
        <f t="shared" ref="E480:E485" si="444">SUM(B480:D480)</f>
        <v>5</v>
      </c>
      <c r="F480" s="8"/>
      <c r="G480" s="6"/>
      <c r="H480" s="7">
        <v>5</v>
      </c>
      <c r="I480" s="51">
        <f t="shared" ref="I480:I485" si="445">SUM(F480:H480)</f>
        <v>5</v>
      </c>
      <c r="J480" s="59">
        <f t="shared" ref="J480:J485" si="446">E480+I480</f>
        <v>10</v>
      </c>
      <c r="K480" s="41">
        <v>45875</v>
      </c>
      <c r="M480" s="19" t="s">
        <v>10</v>
      </c>
      <c r="N480" s="5"/>
      <c r="O480" s="6"/>
      <c r="P480" s="36"/>
      <c r="Q480" s="52">
        <f t="shared" ref="Q480" si="447">SUM(N480:P480)</f>
        <v>0</v>
      </c>
      <c r="R480" s="8"/>
      <c r="S480" s="6"/>
      <c r="T480" s="7"/>
      <c r="U480" s="52">
        <f t="shared" ref="U480" si="448">SUM(R480:T480)</f>
        <v>0</v>
      </c>
      <c r="V480" s="59">
        <f t="shared" ref="V480" si="449">Q480+U480</f>
        <v>0</v>
      </c>
    </row>
    <row r="481" spans="1:22" x14ac:dyDescent="0.15">
      <c r="A481" s="19" t="s">
        <v>152</v>
      </c>
      <c r="B481" s="5">
        <v>0</v>
      </c>
      <c r="C481" s="6">
        <v>0</v>
      </c>
      <c r="D481" s="36">
        <v>-3</v>
      </c>
      <c r="E481" s="52">
        <f t="shared" si="444"/>
        <v>-3</v>
      </c>
      <c r="F481" s="8">
        <v>0</v>
      </c>
      <c r="G481" s="6">
        <v>0</v>
      </c>
      <c r="H481" s="7">
        <v>0</v>
      </c>
      <c r="I481" s="52">
        <f t="shared" si="445"/>
        <v>0</v>
      </c>
      <c r="J481" s="59">
        <f t="shared" si="446"/>
        <v>-3</v>
      </c>
      <c r="K481" s="41">
        <v>45891</v>
      </c>
      <c r="M481" s="19" t="s">
        <v>11</v>
      </c>
      <c r="N481" s="5"/>
      <c r="O481" s="6"/>
      <c r="P481" s="36"/>
      <c r="Q481" s="52">
        <f>SUM(N481:P481)</f>
        <v>0</v>
      </c>
      <c r="R481" s="8"/>
      <c r="S481" s="6"/>
      <c r="T481" s="7"/>
      <c r="U481" s="52">
        <f>SUM(R481:T481)</f>
        <v>0</v>
      </c>
      <c r="V481" s="59">
        <f>Q481+U481</f>
        <v>0</v>
      </c>
    </row>
    <row r="482" spans="1:22" x14ac:dyDescent="0.15">
      <c r="A482" s="19" t="s">
        <v>198</v>
      </c>
      <c r="B482" s="5"/>
      <c r="C482" s="6"/>
      <c r="D482" s="36"/>
      <c r="E482" s="52">
        <f t="shared" si="444"/>
        <v>0</v>
      </c>
      <c r="F482" s="8">
        <v>2</v>
      </c>
      <c r="G482" s="6">
        <v>4</v>
      </c>
      <c r="H482" s="7"/>
      <c r="I482" s="52">
        <f t="shared" si="445"/>
        <v>6</v>
      </c>
      <c r="J482" s="59">
        <f t="shared" si="446"/>
        <v>6</v>
      </c>
      <c r="K482" s="41">
        <v>45903</v>
      </c>
      <c r="M482" s="19" t="s">
        <v>12</v>
      </c>
      <c r="N482" s="9"/>
      <c r="O482" s="10"/>
      <c r="P482" s="37"/>
      <c r="Q482" s="52">
        <f t="shared" ref="Q482:Q485" si="450">SUM(N482:P482)</f>
        <v>0</v>
      </c>
      <c r="R482" s="12"/>
      <c r="S482" s="10"/>
      <c r="T482" s="11"/>
      <c r="U482" s="52">
        <f t="shared" ref="U482:U485" si="451">SUM(R482:T482)</f>
        <v>0</v>
      </c>
      <c r="V482" s="59">
        <f t="shared" ref="V482:V485" si="452">Q482+U482</f>
        <v>0</v>
      </c>
    </row>
    <row r="483" spans="1:22" x14ac:dyDescent="0.15">
      <c r="A483" s="19" t="s">
        <v>13</v>
      </c>
      <c r="B483" s="5"/>
      <c r="C483" s="6"/>
      <c r="D483" s="36"/>
      <c r="E483" s="52">
        <f t="shared" si="444"/>
        <v>0</v>
      </c>
      <c r="F483" s="8"/>
      <c r="G483" s="6"/>
      <c r="H483" s="7"/>
      <c r="I483" s="52">
        <f t="shared" si="445"/>
        <v>0</v>
      </c>
      <c r="J483" s="59">
        <f t="shared" si="446"/>
        <v>0</v>
      </c>
      <c r="M483" s="19" t="s">
        <v>13</v>
      </c>
      <c r="N483" s="9"/>
      <c r="O483" s="10"/>
      <c r="P483" s="37"/>
      <c r="Q483" s="52">
        <f t="shared" si="450"/>
        <v>0</v>
      </c>
      <c r="R483" s="12"/>
      <c r="S483" s="10"/>
      <c r="T483" s="11"/>
      <c r="U483" s="52">
        <f t="shared" si="451"/>
        <v>0</v>
      </c>
      <c r="V483" s="59">
        <f t="shared" si="452"/>
        <v>0</v>
      </c>
    </row>
    <row r="484" spans="1:22" x14ac:dyDescent="0.15">
      <c r="A484" s="19" t="s">
        <v>14</v>
      </c>
      <c r="B484" s="9"/>
      <c r="C484" s="10"/>
      <c r="D484" s="37"/>
      <c r="E484" s="52">
        <f t="shared" si="444"/>
        <v>0</v>
      </c>
      <c r="F484" s="12"/>
      <c r="G484" s="10"/>
      <c r="H484" s="11"/>
      <c r="I484" s="52">
        <f t="shared" si="445"/>
        <v>0</v>
      </c>
      <c r="J484" s="59">
        <f t="shared" si="446"/>
        <v>0</v>
      </c>
      <c r="M484" s="19" t="s">
        <v>14</v>
      </c>
      <c r="N484" s="9"/>
      <c r="O484" s="10"/>
      <c r="P484" s="37"/>
      <c r="Q484" s="52">
        <f t="shared" si="450"/>
        <v>0</v>
      </c>
      <c r="R484" s="12"/>
      <c r="S484" s="10"/>
      <c r="T484" s="11"/>
      <c r="U484" s="52">
        <f t="shared" si="451"/>
        <v>0</v>
      </c>
      <c r="V484" s="59">
        <f t="shared" si="452"/>
        <v>0</v>
      </c>
    </row>
    <row r="485" spans="1:22" ht="14.25" thickBot="1" x14ac:dyDescent="0.2">
      <c r="A485" s="19" t="s">
        <v>15</v>
      </c>
      <c r="B485" s="25"/>
      <c r="C485" s="26"/>
      <c r="D485" s="38"/>
      <c r="E485" s="53">
        <f t="shared" si="444"/>
        <v>0</v>
      </c>
      <c r="F485" s="27"/>
      <c r="G485" s="27"/>
      <c r="H485" s="29"/>
      <c r="I485" s="53">
        <f t="shared" si="445"/>
        <v>0</v>
      </c>
      <c r="J485" s="60">
        <f t="shared" si="446"/>
        <v>0</v>
      </c>
      <c r="M485" s="19" t="s">
        <v>15</v>
      </c>
      <c r="N485" s="25"/>
      <c r="O485" s="26"/>
      <c r="P485" s="38"/>
      <c r="Q485" s="53">
        <f t="shared" si="450"/>
        <v>0</v>
      </c>
      <c r="R485" s="27"/>
      <c r="S485" s="27"/>
      <c r="T485" s="29"/>
      <c r="U485" s="53">
        <f t="shared" si="451"/>
        <v>0</v>
      </c>
      <c r="V485" s="60">
        <f t="shared" si="452"/>
        <v>0</v>
      </c>
    </row>
    <row r="486" spans="1:22" ht="14.25" thickBot="1" x14ac:dyDescent="0.2">
      <c r="A486" s="28" t="s">
        <v>16</v>
      </c>
      <c r="B486" s="22">
        <f>SUM(B477:B485)</f>
        <v>33</v>
      </c>
      <c r="C486" s="23">
        <f t="shared" ref="C486:D486" si="453">SUM(C477:C485)</f>
        <v>30</v>
      </c>
      <c r="D486" s="24">
        <f t="shared" si="453"/>
        <v>17</v>
      </c>
      <c r="E486" s="54">
        <f>SUM(B486:D486)</f>
        <v>80</v>
      </c>
      <c r="F486" s="22">
        <f>SUM(F477:F485)</f>
        <v>37</v>
      </c>
      <c r="G486" s="23">
        <f t="shared" ref="G486:H486" si="454">SUM(G477:G485)</f>
        <v>35</v>
      </c>
      <c r="H486" s="24">
        <f t="shared" si="454"/>
        <v>25</v>
      </c>
      <c r="I486" s="54">
        <f>SUM(F486:H486)</f>
        <v>97</v>
      </c>
      <c r="J486" s="61">
        <f>SUM(J478:J485)</f>
        <v>88</v>
      </c>
      <c r="M486" s="28" t="s">
        <v>16</v>
      </c>
      <c r="N486" s="22">
        <f>SUM(N477:N485)</f>
        <v>226</v>
      </c>
      <c r="O486" s="23">
        <f t="shared" ref="O486:P486" si="455">SUM(O477:O485)</f>
        <v>476</v>
      </c>
      <c r="P486" s="24">
        <f t="shared" si="455"/>
        <v>600</v>
      </c>
      <c r="Q486" s="54">
        <f>SUM(N486:P486)</f>
        <v>1302</v>
      </c>
      <c r="R486" s="22">
        <f>SUM(R477:R485)</f>
        <v>331</v>
      </c>
      <c r="S486" s="23">
        <f t="shared" ref="S486:T486" si="456">SUM(S477:S485)</f>
        <v>468</v>
      </c>
      <c r="T486" s="24">
        <f t="shared" si="456"/>
        <v>334</v>
      </c>
      <c r="U486" s="54">
        <f>SUM(R486:T486)</f>
        <v>1133</v>
      </c>
      <c r="V486" s="61">
        <f>Q486+U486</f>
        <v>2435</v>
      </c>
    </row>
    <row r="487" spans="1:22" x14ac:dyDescent="0.15">
      <c r="A487" s="17" t="s">
        <v>271</v>
      </c>
      <c r="B487" s="9"/>
      <c r="C487" s="10">
        <v>1</v>
      </c>
      <c r="D487" s="11"/>
      <c r="E487" s="51">
        <f t="shared" ref="E487:E513" si="457">SUM(B487:D487)</f>
        <v>1</v>
      </c>
      <c r="F487" s="12"/>
      <c r="G487" s="10">
        <v>1</v>
      </c>
      <c r="H487" s="11"/>
      <c r="I487" s="51">
        <f t="shared" ref="I487:I513" si="458">SUM(F487:H487)</f>
        <v>1</v>
      </c>
      <c r="J487" s="59">
        <f t="shared" ref="J487:J512" si="459">E487+I487</f>
        <v>2</v>
      </c>
      <c r="K487" s="40">
        <v>45866</v>
      </c>
      <c r="M487" s="20"/>
      <c r="N487" s="5"/>
      <c r="O487" s="6"/>
      <c r="P487" s="7"/>
      <c r="Q487" s="51">
        <f t="shared" ref="Q487:Q513" si="460">SUM(N487:P487)</f>
        <v>0</v>
      </c>
      <c r="R487" s="8"/>
      <c r="S487" s="6"/>
      <c r="T487" s="7"/>
      <c r="U487" s="51">
        <f t="shared" ref="U487:U513" si="461">SUM(R487:T487)</f>
        <v>0</v>
      </c>
      <c r="V487" s="59">
        <f t="shared" ref="V487:V510" si="462">Q487+U487</f>
        <v>0</v>
      </c>
    </row>
    <row r="488" spans="1:22" x14ac:dyDescent="0.15">
      <c r="A488" s="17" t="s">
        <v>57</v>
      </c>
      <c r="B488" s="5"/>
      <c r="C488" s="6">
        <v>1</v>
      </c>
      <c r="D488" s="7"/>
      <c r="E488" s="51">
        <f t="shared" si="457"/>
        <v>1</v>
      </c>
      <c r="F488" s="8"/>
      <c r="G488" s="6"/>
      <c r="H488" s="7"/>
      <c r="I488" s="51">
        <f t="shared" si="458"/>
        <v>0</v>
      </c>
      <c r="J488" s="59">
        <f t="shared" si="459"/>
        <v>1</v>
      </c>
      <c r="K488" s="40">
        <v>45863</v>
      </c>
      <c r="M488" s="20"/>
      <c r="N488" s="5"/>
      <c r="O488" s="6"/>
      <c r="P488" s="7"/>
      <c r="Q488" s="51">
        <f t="shared" si="460"/>
        <v>0</v>
      </c>
      <c r="R488" s="8"/>
      <c r="S488" s="6"/>
      <c r="T488" s="7"/>
      <c r="U488" s="51">
        <f t="shared" si="461"/>
        <v>0</v>
      </c>
      <c r="V488" s="59">
        <f t="shared" si="462"/>
        <v>0</v>
      </c>
    </row>
    <row r="489" spans="1:22" x14ac:dyDescent="0.15">
      <c r="A489" s="17" t="s">
        <v>271</v>
      </c>
      <c r="B489" s="5">
        <v>2</v>
      </c>
      <c r="C489" s="6">
        <v>1</v>
      </c>
      <c r="D489" s="7"/>
      <c r="E489" s="51">
        <f t="shared" si="457"/>
        <v>3</v>
      </c>
      <c r="F489" s="8">
        <v>2</v>
      </c>
      <c r="G489" s="6">
        <v>1</v>
      </c>
      <c r="H489" s="7"/>
      <c r="I489" s="51">
        <f t="shared" si="458"/>
        <v>3</v>
      </c>
      <c r="J489" s="59">
        <f t="shared" si="459"/>
        <v>6</v>
      </c>
      <c r="K489" s="40">
        <v>45868</v>
      </c>
      <c r="M489" s="20"/>
      <c r="N489" s="5"/>
      <c r="O489" s="6"/>
      <c r="P489" s="7"/>
      <c r="Q489" s="51">
        <f t="shared" si="460"/>
        <v>0</v>
      </c>
      <c r="R489" s="8"/>
      <c r="S489" s="6"/>
      <c r="T489" s="7"/>
      <c r="U489" s="51">
        <f t="shared" si="461"/>
        <v>0</v>
      </c>
      <c r="V489" s="59">
        <f t="shared" si="462"/>
        <v>0</v>
      </c>
    </row>
    <row r="490" spans="1:22" x14ac:dyDescent="0.15">
      <c r="A490" s="17" t="s">
        <v>57</v>
      </c>
      <c r="B490" s="5">
        <v>1</v>
      </c>
      <c r="C490" s="6"/>
      <c r="D490" s="7">
        <v>1</v>
      </c>
      <c r="E490" s="51">
        <f t="shared" si="457"/>
        <v>2</v>
      </c>
      <c r="F490" s="8"/>
      <c r="G490" s="6">
        <v>1</v>
      </c>
      <c r="H490" s="7">
        <v>2</v>
      </c>
      <c r="I490" s="51">
        <f t="shared" si="458"/>
        <v>3</v>
      </c>
      <c r="J490" s="59">
        <f t="shared" si="459"/>
        <v>5</v>
      </c>
      <c r="K490" s="40">
        <v>45866</v>
      </c>
      <c r="M490" s="18"/>
      <c r="N490" s="5"/>
      <c r="O490" s="6"/>
      <c r="P490" s="7"/>
      <c r="Q490" s="51">
        <f t="shared" si="460"/>
        <v>0</v>
      </c>
      <c r="R490" s="8"/>
      <c r="S490" s="6"/>
      <c r="T490" s="7"/>
      <c r="U490" s="51">
        <f t="shared" si="461"/>
        <v>0</v>
      </c>
      <c r="V490" s="59">
        <f t="shared" si="462"/>
        <v>0</v>
      </c>
    </row>
    <row r="491" spans="1:22" x14ac:dyDescent="0.15">
      <c r="A491" s="17" t="s">
        <v>38</v>
      </c>
      <c r="B491" s="5"/>
      <c r="C491" s="6"/>
      <c r="D491" s="7"/>
      <c r="E491" s="51">
        <f t="shared" si="457"/>
        <v>0</v>
      </c>
      <c r="F491" s="8">
        <v>1</v>
      </c>
      <c r="G491" s="6"/>
      <c r="H491" s="7"/>
      <c r="I491" s="51">
        <f t="shared" si="458"/>
        <v>1</v>
      </c>
      <c r="J491" s="59">
        <f t="shared" si="459"/>
        <v>1</v>
      </c>
      <c r="K491" s="40">
        <v>45866</v>
      </c>
      <c r="M491" s="18"/>
      <c r="N491" s="5"/>
      <c r="O491" s="6"/>
      <c r="P491" s="7"/>
      <c r="Q491" s="51">
        <f t="shared" si="460"/>
        <v>0</v>
      </c>
      <c r="R491" s="8"/>
      <c r="S491" s="6"/>
      <c r="T491" s="7"/>
      <c r="U491" s="51">
        <f t="shared" si="461"/>
        <v>0</v>
      </c>
      <c r="V491" s="59">
        <f t="shared" si="462"/>
        <v>0</v>
      </c>
    </row>
    <row r="492" spans="1:22" x14ac:dyDescent="0.15">
      <c r="A492" s="17" t="s">
        <v>57</v>
      </c>
      <c r="B492" s="5"/>
      <c r="C492" s="6"/>
      <c r="D492" s="14">
        <v>1</v>
      </c>
      <c r="E492" s="51">
        <f t="shared" si="457"/>
        <v>1</v>
      </c>
      <c r="F492" s="15"/>
      <c r="G492" s="13"/>
      <c r="H492" s="14"/>
      <c r="I492" s="51">
        <f t="shared" si="458"/>
        <v>0</v>
      </c>
      <c r="J492" s="59">
        <f t="shared" si="459"/>
        <v>1</v>
      </c>
      <c r="K492" s="40">
        <v>45867</v>
      </c>
      <c r="M492" s="20"/>
      <c r="N492" s="5"/>
      <c r="O492" s="6"/>
      <c r="P492" s="14"/>
      <c r="Q492" s="51">
        <f t="shared" si="460"/>
        <v>0</v>
      </c>
      <c r="R492" s="15"/>
      <c r="S492" s="13"/>
      <c r="T492" s="14"/>
      <c r="U492" s="51">
        <f t="shared" si="461"/>
        <v>0</v>
      </c>
      <c r="V492" s="59">
        <f t="shared" si="462"/>
        <v>0</v>
      </c>
    </row>
    <row r="493" spans="1:22" x14ac:dyDescent="0.15">
      <c r="A493" s="17" t="s">
        <v>57</v>
      </c>
      <c r="B493" s="5">
        <v>1</v>
      </c>
      <c r="C493" s="6"/>
      <c r="D493" s="7"/>
      <c r="E493" s="51">
        <f t="shared" si="457"/>
        <v>1</v>
      </c>
      <c r="F493" s="8"/>
      <c r="G493" s="6"/>
      <c r="H493" s="7"/>
      <c r="I493" s="51">
        <f t="shared" si="458"/>
        <v>0</v>
      </c>
      <c r="J493" s="59">
        <f t="shared" si="459"/>
        <v>1</v>
      </c>
      <c r="K493" s="40">
        <v>45868</v>
      </c>
      <c r="M493" s="42"/>
      <c r="N493" s="5"/>
      <c r="O493" s="6"/>
      <c r="P493" s="7"/>
      <c r="Q493" s="51">
        <f t="shared" si="460"/>
        <v>0</v>
      </c>
      <c r="R493" s="8"/>
      <c r="S493" s="6"/>
      <c r="T493" s="7"/>
      <c r="U493" s="51">
        <f t="shared" si="461"/>
        <v>0</v>
      </c>
      <c r="V493" s="59">
        <f t="shared" si="462"/>
        <v>0</v>
      </c>
    </row>
    <row r="494" spans="1:22" x14ac:dyDescent="0.15">
      <c r="A494" s="17" t="s">
        <v>271</v>
      </c>
      <c r="B494" s="5"/>
      <c r="C494" s="6"/>
      <c r="D494" s="7">
        <v>1</v>
      </c>
      <c r="E494" s="51">
        <f t="shared" si="457"/>
        <v>1</v>
      </c>
      <c r="F494" s="8"/>
      <c r="G494" s="6"/>
      <c r="H494" s="7">
        <v>1</v>
      </c>
      <c r="I494" s="51">
        <f t="shared" si="458"/>
        <v>1</v>
      </c>
      <c r="J494" s="59">
        <f t="shared" si="459"/>
        <v>2</v>
      </c>
      <c r="K494" s="40">
        <v>45870</v>
      </c>
      <c r="M494" s="18"/>
      <c r="N494" s="5" t="s">
        <v>22</v>
      </c>
      <c r="O494" s="6"/>
      <c r="P494" s="7"/>
      <c r="Q494" s="51">
        <f t="shared" si="460"/>
        <v>0</v>
      </c>
      <c r="R494" s="8"/>
      <c r="S494" s="6"/>
      <c r="T494" s="7"/>
      <c r="U494" s="51">
        <f t="shared" si="461"/>
        <v>0</v>
      </c>
      <c r="V494" s="59">
        <f t="shared" si="462"/>
        <v>0</v>
      </c>
    </row>
    <row r="495" spans="1:22" x14ac:dyDescent="0.15">
      <c r="A495" s="17" t="s">
        <v>57</v>
      </c>
      <c r="B495" s="5"/>
      <c r="C495" s="6">
        <v>1</v>
      </c>
      <c r="D495" s="7">
        <v>1</v>
      </c>
      <c r="E495" s="51">
        <f t="shared" si="457"/>
        <v>2</v>
      </c>
      <c r="F495" s="8">
        <v>1</v>
      </c>
      <c r="G495" s="6"/>
      <c r="H495" s="7"/>
      <c r="I495" s="51">
        <f t="shared" si="458"/>
        <v>1</v>
      </c>
      <c r="J495" s="59">
        <f t="shared" si="459"/>
        <v>3</v>
      </c>
      <c r="K495" s="40">
        <v>45873</v>
      </c>
      <c r="M495" s="20"/>
      <c r="N495" s="5"/>
      <c r="O495" s="6"/>
      <c r="P495" s="7"/>
      <c r="Q495" s="51">
        <f t="shared" si="460"/>
        <v>0</v>
      </c>
      <c r="R495" s="8"/>
      <c r="S495" s="6"/>
      <c r="T495" s="7"/>
      <c r="U495" s="51">
        <f t="shared" si="461"/>
        <v>0</v>
      </c>
      <c r="V495" s="59">
        <f t="shared" si="462"/>
        <v>0</v>
      </c>
    </row>
    <row r="496" spans="1:22" x14ac:dyDescent="0.15">
      <c r="A496" s="17" t="s">
        <v>57</v>
      </c>
      <c r="B496" s="9"/>
      <c r="C496" s="10"/>
      <c r="D496" s="11"/>
      <c r="E496" s="51">
        <f t="shared" si="457"/>
        <v>0</v>
      </c>
      <c r="F496" s="12"/>
      <c r="G496" s="10">
        <v>1</v>
      </c>
      <c r="H496" s="11"/>
      <c r="I496" s="51">
        <f t="shared" si="458"/>
        <v>1</v>
      </c>
      <c r="J496" s="59">
        <f t="shared" si="459"/>
        <v>1</v>
      </c>
      <c r="K496" s="40">
        <v>45874</v>
      </c>
      <c r="M496" s="18"/>
      <c r="N496" s="9"/>
      <c r="O496" s="10"/>
      <c r="P496" s="11"/>
      <c r="Q496" s="51">
        <f t="shared" si="460"/>
        <v>0</v>
      </c>
      <c r="R496" s="12"/>
      <c r="S496" s="10"/>
      <c r="T496" s="11"/>
      <c r="U496" s="51">
        <f t="shared" si="461"/>
        <v>0</v>
      </c>
      <c r="V496" s="59">
        <f t="shared" si="462"/>
        <v>0</v>
      </c>
    </row>
    <row r="497" spans="1:22" x14ac:dyDescent="0.15">
      <c r="A497" s="17" t="s">
        <v>57</v>
      </c>
      <c r="B497" s="5"/>
      <c r="C497" s="6"/>
      <c r="D497" s="7"/>
      <c r="E497" s="51">
        <f t="shared" si="457"/>
        <v>0</v>
      </c>
      <c r="F497" s="8"/>
      <c r="G497" s="6"/>
      <c r="H497" s="7">
        <v>1</v>
      </c>
      <c r="I497" s="51">
        <f t="shared" si="458"/>
        <v>1</v>
      </c>
      <c r="J497" s="59">
        <f t="shared" si="459"/>
        <v>1</v>
      </c>
      <c r="K497" s="41">
        <v>45875</v>
      </c>
      <c r="M497" s="20"/>
      <c r="N497" s="5"/>
      <c r="O497" s="6"/>
      <c r="P497" s="7"/>
      <c r="Q497" s="51">
        <f t="shared" si="460"/>
        <v>0</v>
      </c>
      <c r="R497" s="8"/>
      <c r="S497" s="6"/>
      <c r="T497" s="7"/>
      <c r="U497" s="51">
        <f t="shared" si="461"/>
        <v>0</v>
      </c>
      <c r="V497" s="59">
        <f t="shared" si="462"/>
        <v>0</v>
      </c>
    </row>
    <row r="498" spans="1:22" x14ac:dyDescent="0.15">
      <c r="A498" s="17" t="s">
        <v>57</v>
      </c>
      <c r="B498" s="5">
        <v>1</v>
      </c>
      <c r="C498" s="6"/>
      <c r="D498" s="7"/>
      <c r="E498" s="51">
        <f t="shared" si="457"/>
        <v>1</v>
      </c>
      <c r="F498" s="8">
        <v>1</v>
      </c>
      <c r="G498" s="6"/>
      <c r="H498" s="7"/>
      <c r="I498" s="51">
        <f t="shared" si="458"/>
        <v>1</v>
      </c>
      <c r="J498" s="59">
        <f t="shared" si="459"/>
        <v>2</v>
      </c>
      <c r="K498" s="40">
        <v>45876</v>
      </c>
      <c r="M498" s="20"/>
      <c r="N498" s="5"/>
      <c r="O498" s="6"/>
      <c r="P498" s="7"/>
      <c r="Q498" s="51">
        <f t="shared" si="460"/>
        <v>0</v>
      </c>
      <c r="R498" s="8"/>
      <c r="S498" s="6"/>
      <c r="T498" s="7"/>
      <c r="U498" s="51">
        <f t="shared" si="461"/>
        <v>0</v>
      </c>
      <c r="V498" s="59">
        <f t="shared" si="462"/>
        <v>0</v>
      </c>
    </row>
    <row r="499" spans="1:22" x14ac:dyDescent="0.15">
      <c r="A499" s="17" t="s">
        <v>57</v>
      </c>
      <c r="B499" s="5">
        <v>1</v>
      </c>
      <c r="C499" s="6">
        <v>2</v>
      </c>
      <c r="D499" s="7">
        <v>1</v>
      </c>
      <c r="E499" s="51">
        <f t="shared" si="457"/>
        <v>4</v>
      </c>
      <c r="F499" s="8"/>
      <c r="G499" s="6">
        <f>1+1</f>
        <v>2</v>
      </c>
      <c r="H499" s="7"/>
      <c r="I499" s="51">
        <f t="shared" si="458"/>
        <v>2</v>
      </c>
      <c r="J499" s="59">
        <f t="shared" si="459"/>
        <v>6</v>
      </c>
      <c r="K499" s="40">
        <v>45887</v>
      </c>
      <c r="M499" s="18"/>
      <c r="N499" s="5"/>
      <c r="O499" s="6"/>
      <c r="P499" s="7"/>
      <c r="Q499" s="51">
        <f t="shared" si="460"/>
        <v>0</v>
      </c>
      <c r="R499" s="8"/>
      <c r="S499" s="6"/>
      <c r="T499" s="7"/>
      <c r="U499" s="51">
        <f t="shared" si="461"/>
        <v>0</v>
      </c>
      <c r="V499" s="59">
        <f t="shared" si="462"/>
        <v>0</v>
      </c>
    </row>
    <row r="500" spans="1:22" x14ac:dyDescent="0.15">
      <c r="A500" s="17" t="s">
        <v>38</v>
      </c>
      <c r="B500" s="5"/>
      <c r="C500" s="6"/>
      <c r="D500" s="7"/>
      <c r="E500" s="51">
        <f t="shared" si="457"/>
        <v>0</v>
      </c>
      <c r="F500" s="8"/>
      <c r="G500" s="6">
        <v>1</v>
      </c>
      <c r="H500" s="7"/>
      <c r="I500" s="51">
        <f t="shared" si="458"/>
        <v>1</v>
      </c>
      <c r="J500" s="59">
        <f t="shared" si="459"/>
        <v>1</v>
      </c>
      <c r="K500" s="40">
        <v>45888</v>
      </c>
      <c r="M500" s="18"/>
      <c r="N500" s="5"/>
      <c r="O500" s="6"/>
      <c r="P500" s="7"/>
      <c r="Q500" s="51">
        <f t="shared" si="460"/>
        <v>0</v>
      </c>
      <c r="R500" s="8"/>
      <c r="S500" s="6"/>
      <c r="T500" s="7"/>
      <c r="U500" s="51">
        <f t="shared" si="461"/>
        <v>0</v>
      </c>
      <c r="V500" s="59">
        <f t="shared" si="462"/>
        <v>0</v>
      </c>
    </row>
    <row r="501" spans="1:22" x14ac:dyDescent="0.15">
      <c r="A501" s="17" t="s">
        <v>57</v>
      </c>
      <c r="B501" s="5">
        <f>1+1</f>
        <v>2</v>
      </c>
      <c r="C501" s="6"/>
      <c r="D501" s="7"/>
      <c r="E501" s="51">
        <f t="shared" si="457"/>
        <v>2</v>
      </c>
      <c r="F501" s="8"/>
      <c r="G501" s="6"/>
      <c r="H501" s="7">
        <v>1</v>
      </c>
      <c r="I501" s="51">
        <f t="shared" si="458"/>
        <v>1</v>
      </c>
      <c r="J501" s="59">
        <f t="shared" si="459"/>
        <v>3</v>
      </c>
      <c r="K501" s="40">
        <v>45888</v>
      </c>
      <c r="M501" s="20"/>
      <c r="N501" s="5"/>
      <c r="O501" s="6"/>
      <c r="P501" s="7"/>
      <c r="Q501" s="51">
        <f t="shared" si="460"/>
        <v>0</v>
      </c>
      <c r="R501" s="8"/>
      <c r="S501" s="6"/>
      <c r="T501" s="7"/>
      <c r="U501" s="51">
        <f t="shared" si="461"/>
        <v>0</v>
      </c>
      <c r="V501" s="59">
        <f t="shared" si="462"/>
        <v>0</v>
      </c>
    </row>
    <row r="502" spans="1:22" x14ac:dyDescent="0.15">
      <c r="A502" s="17" t="s">
        <v>280</v>
      </c>
      <c r="B502" s="5"/>
      <c r="C502" s="6"/>
      <c r="D502" s="7"/>
      <c r="E502" s="51">
        <f t="shared" si="457"/>
        <v>0</v>
      </c>
      <c r="F502" s="8">
        <v>6</v>
      </c>
      <c r="G502" s="6">
        <v>7</v>
      </c>
      <c r="H502" s="7">
        <v>1</v>
      </c>
      <c r="I502" s="51">
        <f t="shared" si="458"/>
        <v>14</v>
      </c>
      <c r="J502" s="59">
        <f t="shared" si="459"/>
        <v>14</v>
      </c>
      <c r="K502" s="40">
        <v>45889</v>
      </c>
      <c r="M502" s="20"/>
      <c r="N502" s="5"/>
      <c r="O502" s="6"/>
      <c r="P502" s="7"/>
      <c r="Q502" s="51">
        <f t="shared" si="460"/>
        <v>0</v>
      </c>
      <c r="R502" s="8"/>
      <c r="S502" s="6"/>
      <c r="T502" s="7"/>
      <c r="U502" s="51">
        <f t="shared" si="461"/>
        <v>0</v>
      </c>
      <c r="V502" s="59">
        <f t="shared" si="462"/>
        <v>0</v>
      </c>
    </row>
    <row r="503" spans="1:22" x14ac:dyDescent="0.15">
      <c r="A503" s="17" t="s">
        <v>38</v>
      </c>
      <c r="B503" s="5"/>
      <c r="C503" s="6"/>
      <c r="D503" s="7"/>
      <c r="E503" s="51">
        <f t="shared" si="457"/>
        <v>0</v>
      </c>
      <c r="F503" s="8"/>
      <c r="G503" s="6">
        <v>1</v>
      </c>
      <c r="H503" s="7"/>
      <c r="I503" s="51">
        <f t="shared" si="458"/>
        <v>1</v>
      </c>
      <c r="J503" s="59">
        <f t="shared" si="459"/>
        <v>1</v>
      </c>
      <c r="K503" s="40">
        <v>45894</v>
      </c>
      <c r="M503" s="18"/>
      <c r="N503" s="5"/>
      <c r="O503" s="6"/>
      <c r="P503" s="7"/>
      <c r="Q503" s="51">
        <f t="shared" si="460"/>
        <v>0</v>
      </c>
      <c r="R503" s="8"/>
      <c r="S503" s="6"/>
      <c r="T503" s="7"/>
      <c r="U503" s="51">
        <f t="shared" si="461"/>
        <v>0</v>
      </c>
      <c r="V503" s="59">
        <f t="shared" si="462"/>
        <v>0</v>
      </c>
    </row>
    <row r="504" spans="1:22" x14ac:dyDescent="0.15">
      <c r="A504" s="17" t="s">
        <v>57</v>
      </c>
      <c r="B504" s="5">
        <v>1</v>
      </c>
      <c r="C504" s="6">
        <v>1</v>
      </c>
      <c r="D504" s="7">
        <v>1</v>
      </c>
      <c r="E504" s="51">
        <f t="shared" si="457"/>
        <v>3</v>
      </c>
      <c r="F504" s="8">
        <v>1</v>
      </c>
      <c r="G504" s="6"/>
      <c r="H504" s="7">
        <v>1</v>
      </c>
      <c r="I504" s="51">
        <f t="shared" si="458"/>
        <v>2</v>
      </c>
      <c r="J504" s="59">
        <f t="shared" si="459"/>
        <v>5</v>
      </c>
      <c r="K504" s="41">
        <v>45894</v>
      </c>
      <c r="M504" s="20"/>
      <c r="N504" s="5"/>
      <c r="O504" s="6"/>
      <c r="P504" s="7"/>
      <c r="Q504" s="51">
        <f t="shared" si="460"/>
        <v>0</v>
      </c>
      <c r="R504" s="8"/>
      <c r="S504" s="6"/>
      <c r="T504" s="7"/>
      <c r="U504" s="51">
        <f t="shared" si="461"/>
        <v>0</v>
      </c>
      <c r="V504" s="59">
        <f t="shared" si="462"/>
        <v>0</v>
      </c>
    </row>
    <row r="505" spans="1:22" x14ac:dyDescent="0.15">
      <c r="A505" s="17" t="s">
        <v>38</v>
      </c>
      <c r="B505" s="5">
        <v>2</v>
      </c>
      <c r="C505" s="6"/>
      <c r="D505" s="7">
        <v>2</v>
      </c>
      <c r="E505" s="51">
        <f t="shared" si="457"/>
        <v>4</v>
      </c>
      <c r="F505" s="8">
        <v>3</v>
      </c>
      <c r="G505" s="6">
        <v>3</v>
      </c>
      <c r="H505" s="7">
        <v>2</v>
      </c>
      <c r="I505" s="51">
        <f t="shared" si="458"/>
        <v>8</v>
      </c>
      <c r="J505" s="59">
        <f t="shared" si="459"/>
        <v>12</v>
      </c>
      <c r="K505" s="40">
        <v>45896</v>
      </c>
      <c r="M505" s="18"/>
      <c r="N505" s="5"/>
      <c r="O505" s="6"/>
      <c r="P505" s="7"/>
      <c r="Q505" s="51">
        <f t="shared" si="460"/>
        <v>0</v>
      </c>
      <c r="R505" s="8"/>
      <c r="S505" s="6"/>
      <c r="T505" s="7"/>
      <c r="U505" s="51">
        <f t="shared" si="461"/>
        <v>0</v>
      </c>
      <c r="V505" s="59">
        <f t="shared" si="462"/>
        <v>0</v>
      </c>
    </row>
    <row r="506" spans="1:22" x14ac:dyDescent="0.15">
      <c r="A506" s="17" t="s">
        <v>175</v>
      </c>
      <c r="B506" s="5">
        <v>14</v>
      </c>
      <c r="C506" s="6">
        <v>12</v>
      </c>
      <c r="D506" s="7"/>
      <c r="E506" s="51">
        <f t="shared" si="457"/>
        <v>26</v>
      </c>
      <c r="F506" s="8">
        <v>14</v>
      </c>
      <c r="G506" s="6">
        <v>7</v>
      </c>
      <c r="H506" s="7">
        <v>10</v>
      </c>
      <c r="I506" s="51">
        <f t="shared" si="458"/>
        <v>31</v>
      </c>
      <c r="J506" s="59">
        <f t="shared" si="459"/>
        <v>57</v>
      </c>
      <c r="K506" s="40">
        <v>45899</v>
      </c>
      <c r="M506" s="20"/>
      <c r="N506" s="5"/>
      <c r="O506" s="6"/>
      <c r="P506" s="7"/>
      <c r="Q506" s="51">
        <f t="shared" si="460"/>
        <v>0</v>
      </c>
      <c r="R506" s="8"/>
      <c r="S506" s="6"/>
      <c r="T506" s="7"/>
      <c r="U506" s="51">
        <f t="shared" si="461"/>
        <v>0</v>
      </c>
      <c r="V506" s="59">
        <f t="shared" si="462"/>
        <v>0</v>
      </c>
    </row>
    <row r="507" spans="1:22" x14ac:dyDescent="0.15">
      <c r="A507" s="17" t="s">
        <v>57</v>
      </c>
      <c r="B507" s="5"/>
      <c r="C507" s="6">
        <v>1</v>
      </c>
      <c r="D507" s="7"/>
      <c r="E507" s="51">
        <f t="shared" si="457"/>
        <v>1</v>
      </c>
      <c r="F507" s="8"/>
      <c r="G507" s="6"/>
      <c r="H507" s="7"/>
      <c r="I507" s="51">
        <f t="shared" si="458"/>
        <v>0</v>
      </c>
      <c r="J507" s="59">
        <f t="shared" si="459"/>
        <v>1</v>
      </c>
      <c r="K507" s="41">
        <v>45901</v>
      </c>
      <c r="M507" s="20"/>
      <c r="N507" s="5"/>
      <c r="O507" s="6"/>
      <c r="P507" s="7"/>
      <c r="Q507" s="51">
        <f t="shared" si="460"/>
        <v>0</v>
      </c>
      <c r="R507" s="8"/>
      <c r="S507" s="6"/>
      <c r="T507" s="7"/>
      <c r="U507" s="51">
        <f t="shared" si="461"/>
        <v>0</v>
      </c>
      <c r="V507" s="59">
        <f t="shared" si="462"/>
        <v>0</v>
      </c>
    </row>
    <row r="508" spans="1:22" x14ac:dyDescent="0.15">
      <c r="A508" s="17" t="s">
        <v>57</v>
      </c>
      <c r="B508" s="9"/>
      <c r="C508" s="10"/>
      <c r="D508" s="11">
        <v>1</v>
      </c>
      <c r="E508" s="51">
        <f t="shared" si="457"/>
        <v>1</v>
      </c>
      <c r="F508" s="12"/>
      <c r="G508" s="10"/>
      <c r="H508" s="11"/>
      <c r="I508" s="51">
        <f t="shared" si="458"/>
        <v>0</v>
      </c>
      <c r="J508" s="59">
        <f t="shared" si="459"/>
        <v>1</v>
      </c>
      <c r="K508" s="41">
        <v>45903</v>
      </c>
      <c r="M508" s="20"/>
      <c r="N508" s="5"/>
      <c r="O508" s="6"/>
      <c r="P508" s="7"/>
      <c r="Q508" s="51">
        <f t="shared" si="460"/>
        <v>0</v>
      </c>
      <c r="R508" s="8"/>
      <c r="S508" s="6"/>
      <c r="T508" s="7"/>
      <c r="U508" s="51">
        <f t="shared" si="461"/>
        <v>0</v>
      </c>
      <c r="V508" s="59">
        <f t="shared" si="462"/>
        <v>0</v>
      </c>
    </row>
    <row r="509" spans="1:22" x14ac:dyDescent="0.15">
      <c r="A509" s="17" t="s">
        <v>175</v>
      </c>
      <c r="B509" s="5"/>
      <c r="C509" s="6"/>
      <c r="D509" s="7"/>
      <c r="E509" s="51">
        <f t="shared" si="457"/>
        <v>0</v>
      </c>
      <c r="F509" s="8">
        <v>2</v>
      </c>
      <c r="G509" s="6">
        <v>4</v>
      </c>
      <c r="H509" s="7"/>
      <c r="I509" s="51">
        <f t="shared" si="458"/>
        <v>6</v>
      </c>
      <c r="J509" s="59">
        <f t="shared" si="459"/>
        <v>6</v>
      </c>
      <c r="K509" s="41">
        <v>45906</v>
      </c>
      <c r="M509" s="20"/>
      <c r="N509" s="5"/>
      <c r="O509" s="6"/>
      <c r="P509" s="7"/>
      <c r="Q509" s="51">
        <f t="shared" si="460"/>
        <v>0</v>
      </c>
      <c r="R509" s="8"/>
      <c r="S509" s="6"/>
      <c r="T509" s="7"/>
      <c r="U509" s="51">
        <f t="shared" si="461"/>
        <v>0</v>
      </c>
      <c r="V509" s="59">
        <f t="shared" si="462"/>
        <v>0</v>
      </c>
    </row>
    <row r="510" spans="1:22" x14ac:dyDescent="0.15">
      <c r="A510" s="17" t="s">
        <v>57</v>
      </c>
      <c r="B510" s="9"/>
      <c r="C510" s="10"/>
      <c r="D510" s="11"/>
      <c r="E510" s="52">
        <f t="shared" si="457"/>
        <v>0</v>
      </c>
      <c r="F510" s="12">
        <v>1</v>
      </c>
      <c r="G510" s="10">
        <v>1</v>
      </c>
      <c r="H510" s="11">
        <v>1</v>
      </c>
      <c r="I510" s="52">
        <f t="shared" si="458"/>
        <v>3</v>
      </c>
      <c r="J510" s="59">
        <f t="shared" si="459"/>
        <v>3</v>
      </c>
      <c r="K510" s="41">
        <v>45908</v>
      </c>
      <c r="M510" s="20"/>
      <c r="N510" s="5"/>
      <c r="O510" s="6"/>
      <c r="P510" s="7"/>
      <c r="Q510" s="51">
        <f t="shared" si="460"/>
        <v>0</v>
      </c>
      <c r="R510" s="8"/>
      <c r="S510" s="6"/>
      <c r="T510" s="7"/>
      <c r="U510" s="51">
        <f t="shared" si="461"/>
        <v>0</v>
      </c>
      <c r="V510" s="59">
        <f t="shared" si="462"/>
        <v>0</v>
      </c>
    </row>
    <row r="511" spans="1:22" x14ac:dyDescent="0.15">
      <c r="A511" s="17" t="s">
        <v>57</v>
      </c>
      <c r="B511" s="5"/>
      <c r="C511" s="6">
        <v>3</v>
      </c>
      <c r="D511" s="7"/>
      <c r="E511" s="51">
        <f t="shared" si="457"/>
        <v>3</v>
      </c>
      <c r="F511" s="8"/>
      <c r="G511" s="6"/>
      <c r="H511" s="7"/>
      <c r="I511" s="51">
        <f t="shared" si="458"/>
        <v>0</v>
      </c>
      <c r="J511" s="59">
        <f t="shared" si="459"/>
        <v>3</v>
      </c>
      <c r="K511" s="41">
        <v>45909</v>
      </c>
      <c r="M511" s="20"/>
      <c r="N511" s="5"/>
      <c r="O511" s="6"/>
      <c r="P511" s="7"/>
      <c r="Q511" s="51">
        <f t="shared" ref="Q511:Q512" si="463">SUM(N511:P511)</f>
        <v>0</v>
      </c>
      <c r="R511" s="8"/>
      <c r="S511" s="6"/>
      <c r="T511" s="7"/>
      <c r="U511" s="51">
        <f t="shared" ref="U511:U512" si="464">SUM(R511:T511)</f>
        <v>0</v>
      </c>
      <c r="V511" s="59">
        <f t="shared" ref="V511:V512" si="465">Q511+U511</f>
        <v>0</v>
      </c>
    </row>
    <row r="512" spans="1:22" ht="14.25" thickBot="1" x14ac:dyDescent="0.2">
      <c r="A512" s="17" t="s">
        <v>284</v>
      </c>
      <c r="B512" s="9"/>
      <c r="C512" s="10">
        <v>1</v>
      </c>
      <c r="D512" s="11"/>
      <c r="E512" s="55">
        <f t="shared" si="457"/>
        <v>1</v>
      </c>
      <c r="F512" s="12"/>
      <c r="G512" s="10"/>
      <c r="H512" s="11"/>
      <c r="I512" s="55">
        <f t="shared" si="458"/>
        <v>0</v>
      </c>
      <c r="J512" s="59">
        <f t="shared" si="459"/>
        <v>1</v>
      </c>
      <c r="K512" s="40">
        <v>45910</v>
      </c>
      <c r="M512" s="20"/>
      <c r="N512" s="5"/>
      <c r="O512" s="6"/>
      <c r="P512" s="7"/>
      <c r="Q512" s="51">
        <f t="shared" si="463"/>
        <v>0</v>
      </c>
      <c r="R512" s="8"/>
      <c r="S512" s="6"/>
      <c r="T512" s="7"/>
      <c r="U512" s="51">
        <f t="shared" si="464"/>
        <v>0</v>
      </c>
      <c r="V512" s="59">
        <f t="shared" si="465"/>
        <v>0</v>
      </c>
    </row>
    <row r="513" spans="1:23" ht="14.25" thickBot="1" x14ac:dyDescent="0.2">
      <c r="A513" s="31" t="s">
        <v>19</v>
      </c>
      <c r="B513" s="34">
        <f>SUM(B487:B512)</f>
        <v>25</v>
      </c>
      <c r="C513" s="35">
        <f t="shared" ref="C513:D513" si="466">SUM(C487:C512)</f>
        <v>24</v>
      </c>
      <c r="D513" s="39">
        <f t="shared" si="466"/>
        <v>9</v>
      </c>
      <c r="E513" s="56">
        <f t="shared" si="457"/>
        <v>58</v>
      </c>
      <c r="F513" s="34">
        <f>SUM(F487:F512)</f>
        <v>32</v>
      </c>
      <c r="G513" s="35">
        <f t="shared" ref="G513:H513" si="467">SUM(G487:G512)</f>
        <v>30</v>
      </c>
      <c r="H513" s="39">
        <f t="shared" si="467"/>
        <v>20</v>
      </c>
      <c r="I513" s="56">
        <f t="shared" si="458"/>
        <v>82</v>
      </c>
      <c r="J513" s="62">
        <f>E513+I513</f>
        <v>140</v>
      </c>
      <c r="M513" s="31" t="s">
        <v>19</v>
      </c>
      <c r="N513" s="34">
        <f>SUM(N487:N512)</f>
        <v>0</v>
      </c>
      <c r="O513" s="35">
        <f t="shared" ref="O513:P513" si="468">SUM(O487:O512)</f>
        <v>0</v>
      </c>
      <c r="P513" s="39">
        <f t="shared" si="468"/>
        <v>0</v>
      </c>
      <c r="Q513" s="56">
        <f t="shared" si="460"/>
        <v>0</v>
      </c>
      <c r="R513" s="34">
        <f>SUM(R487:R512)</f>
        <v>0</v>
      </c>
      <c r="S513" s="35">
        <f t="shared" ref="S513:T513" si="469">SUM(S487:S512)</f>
        <v>0</v>
      </c>
      <c r="T513" s="39">
        <f t="shared" si="469"/>
        <v>0</v>
      </c>
      <c r="U513" s="56">
        <f t="shared" si="461"/>
        <v>0</v>
      </c>
      <c r="V513" s="62">
        <f>Q513+U513</f>
        <v>0</v>
      </c>
    </row>
    <row r="514" spans="1:23" ht="14.25" thickBot="1" x14ac:dyDescent="0.2">
      <c r="A514" s="16" t="s">
        <v>17</v>
      </c>
      <c r="B514" s="63">
        <f>B486-B513</f>
        <v>8</v>
      </c>
      <c r="C514" s="64">
        <f t="shared" ref="C514:D514" si="470">C486-C513</f>
        <v>6</v>
      </c>
      <c r="D514" s="65">
        <f t="shared" si="470"/>
        <v>8</v>
      </c>
      <c r="E514" s="57">
        <f>SUM(B514:D514)</f>
        <v>22</v>
      </c>
      <c r="F514" s="63">
        <f>F486-F513</f>
        <v>5</v>
      </c>
      <c r="G514" s="64">
        <f t="shared" ref="G514:H514" si="471">G486-G513</f>
        <v>5</v>
      </c>
      <c r="H514" s="65">
        <f t="shared" si="471"/>
        <v>5</v>
      </c>
      <c r="I514" s="57">
        <f>SUM(F514:H514)</f>
        <v>15</v>
      </c>
      <c r="J514" s="61">
        <f>E514+I514</f>
        <v>37</v>
      </c>
      <c r="M514" s="16" t="s">
        <v>17</v>
      </c>
      <c r="N514" s="63">
        <f>N486-N513</f>
        <v>226</v>
      </c>
      <c r="O514" s="64">
        <f t="shared" ref="O514:P514" si="472">O486-O513</f>
        <v>476</v>
      </c>
      <c r="P514" s="65">
        <f t="shared" si="472"/>
        <v>600</v>
      </c>
      <c r="Q514" s="57">
        <f>SUM(N514:P514)</f>
        <v>1302</v>
      </c>
      <c r="R514" s="63">
        <f>R486-R513</f>
        <v>331</v>
      </c>
      <c r="S514" s="64">
        <f t="shared" ref="S514:T514" si="473">S486-S513</f>
        <v>468</v>
      </c>
      <c r="T514" s="65">
        <f t="shared" si="473"/>
        <v>334</v>
      </c>
      <c r="U514" s="57">
        <f>SUM(R514:T514)</f>
        <v>1133</v>
      </c>
      <c r="V514" s="61">
        <f>Q514+U514</f>
        <v>2435</v>
      </c>
      <c r="W514" t="s">
        <v>275</v>
      </c>
    </row>
    <row r="515" spans="1:23" x14ac:dyDescent="0.15">
      <c r="M515" s="129" t="s">
        <v>291</v>
      </c>
      <c r="N515" s="112">
        <f>N513+N470+N427+N384</f>
        <v>395</v>
      </c>
      <c r="O515" s="112">
        <f t="shared" ref="O515:V515" si="474">O513+O470+O427+O384</f>
        <v>439</v>
      </c>
      <c r="P515" s="112">
        <f t="shared" si="474"/>
        <v>280</v>
      </c>
      <c r="Q515" s="112">
        <f t="shared" si="474"/>
        <v>1114</v>
      </c>
      <c r="R515" s="112">
        <f t="shared" si="474"/>
        <v>451</v>
      </c>
      <c r="S515" s="112">
        <f t="shared" si="474"/>
        <v>454</v>
      </c>
      <c r="T515" s="112">
        <f t="shared" si="474"/>
        <v>332</v>
      </c>
      <c r="U515" s="112">
        <f t="shared" si="474"/>
        <v>1237</v>
      </c>
      <c r="V515" s="112">
        <f t="shared" si="474"/>
        <v>2351</v>
      </c>
    </row>
    <row r="516" spans="1:23" x14ac:dyDescent="0.15">
      <c r="M516" s="130" t="s">
        <v>281</v>
      </c>
      <c r="N516" s="111">
        <f>N515/$Q$515*100</f>
        <v>35.457809694793532</v>
      </c>
      <c r="O516" s="111">
        <f t="shared" ref="O516:Q516" si="475">O515/$Q$515*100</f>
        <v>39.407540394973068</v>
      </c>
      <c r="P516" s="111">
        <f t="shared" si="475"/>
        <v>25.134649910233392</v>
      </c>
      <c r="Q516" s="111">
        <f t="shared" si="475"/>
        <v>100</v>
      </c>
      <c r="R516" s="111">
        <f>R515/$U$515*100</f>
        <v>36.4591754244139</v>
      </c>
      <c r="S516" s="111">
        <f t="shared" ref="S516:U516" si="476">S515/$U$515*100</f>
        <v>36.701697655618432</v>
      </c>
      <c r="T516" s="111">
        <f t="shared" si="476"/>
        <v>26.839126919967665</v>
      </c>
      <c r="U516" s="111">
        <f t="shared" si="476"/>
        <v>100</v>
      </c>
      <c r="V516" s="131"/>
    </row>
    <row r="517" spans="1:23" ht="19.5" thickBot="1" x14ac:dyDescent="0.25">
      <c r="A517" s="66" t="s">
        <v>23</v>
      </c>
      <c r="B517" s="67"/>
      <c r="C517" s="67"/>
      <c r="D517" s="67"/>
      <c r="E517" s="67"/>
      <c r="F517" s="67"/>
      <c r="G517" s="67"/>
      <c r="H517" s="67"/>
      <c r="I517" s="67" t="s">
        <v>26</v>
      </c>
      <c r="J517" s="67"/>
      <c r="M517" s="73" t="s">
        <v>24</v>
      </c>
      <c r="N517" s="74"/>
      <c r="O517" s="74"/>
      <c r="P517" s="74"/>
      <c r="Q517" s="74"/>
      <c r="R517" s="74"/>
      <c r="S517" s="74"/>
      <c r="T517" s="74"/>
      <c r="U517" s="74"/>
      <c r="V517" s="74"/>
    </row>
    <row r="518" spans="1:23" ht="14.25" thickBot="1" x14ac:dyDescent="0.2">
      <c r="A518" s="4" t="s">
        <v>0</v>
      </c>
      <c r="B518" s="191" t="s">
        <v>21</v>
      </c>
      <c r="C518" s="192"/>
      <c r="D518" s="192"/>
      <c r="E518" s="193"/>
      <c r="F518" s="194" t="s">
        <v>18</v>
      </c>
      <c r="G518" s="195"/>
      <c r="H518" s="195"/>
      <c r="I518" s="196"/>
      <c r="J518" s="189" t="s">
        <v>1</v>
      </c>
      <c r="M518" s="4" t="s">
        <v>0</v>
      </c>
      <c r="N518" s="191" t="s">
        <v>21</v>
      </c>
      <c r="O518" s="192"/>
      <c r="P518" s="192"/>
      <c r="Q518" s="193"/>
      <c r="R518" s="194" t="s">
        <v>18</v>
      </c>
      <c r="S518" s="195"/>
      <c r="T518" s="195"/>
      <c r="U518" s="196"/>
      <c r="V518" s="189" t="s">
        <v>1</v>
      </c>
    </row>
    <row r="519" spans="1:23" ht="14.25" thickBot="1" x14ac:dyDescent="0.2">
      <c r="A519" s="4" t="s">
        <v>2</v>
      </c>
      <c r="B519" s="1" t="s">
        <v>3</v>
      </c>
      <c r="C519" s="2" t="s">
        <v>4</v>
      </c>
      <c r="D519" s="3" t="s">
        <v>5</v>
      </c>
      <c r="E519" s="4" t="s">
        <v>6</v>
      </c>
      <c r="F519" s="1" t="s">
        <v>3</v>
      </c>
      <c r="G519" s="2" t="s">
        <v>4</v>
      </c>
      <c r="H519" s="3" t="s">
        <v>5</v>
      </c>
      <c r="I519" s="4" t="s">
        <v>6</v>
      </c>
      <c r="J519" s="190"/>
      <c r="M519" s="4" t="s">
        <v>2</v>
      </c>
      <c r="N519" s="1" t="s">
        <v>3</v>
      </c>
      <c r="O519" s="2" t="s">
        <v>4</v>
      </c>
      <c r="P519" s="3" t="s">
        <v>5</v>
      </c>
      <c r="Q519" s="4" t="s">
        <v>6</v>
      </c>
      <c r="R519" s="1" t="s">
        <v>3</v>
      </c>
      <c r="S519" s="2" t="s">
        <v>4</v>
      </c>
      <c r="T519" s="3" t="s">
        <v>5</v>
      </c>
      <c r="U519" s="4" t="s">
        <v>6</v>
      </c>
      <c r="V519" s="190"/>
    </row>
    <row r="520" spans="1:23" ht="14.25" thickBot="1" x14ac:dyDescent="0.2">
      <c r="A520" s="21" t="s">
        <v>20</v>
      </c>
      <c r="B520" s="22">
        <f>B514</f>
        <v>8</v>
      </c>
      <c r="C520" s="23">
        <f>C514</f>
        <v>6</v>
      </c>
      <c r="D520" s="24">
        <f>D514</f>
        <v>8</v>
      </c>
      <c r="E520" s="54">
        <f>SUM(B520:D520)</f>
        <v>22</v>
      </c>
      <c r="F520" s="22">
        <f>F514</f>
        <v>5</v>
      </c>
      <c r="G520" s="23">
        <f>G514</f>
        <v>5</v>
      </c>
      <c r="H520" s="24">
        <f>H514</f>
        <v>5</v>
      </c>
      <c r="I520" s="54">
        <f>SUM(F520:H520)</f>
        <v>15</v>
      </c>
      <c r="J520" s="61">
        <f>E520+I520</f>
        <v>37</v>
      </c>
      <c r="M520" s="21" t="s">
        <v>20</v>
      </c>
      <c r="N520" s="68">
        <f>N514</f>
        <v>226</v>
      </c>
      <c r="O520" s="69">
        <f>O514</f>
        <v>476</v>
      </c>
      <c r="P520" s="70">
        <f>P514</f>
        <v>600</v>
      </c>
      <c r="Q520" s="71">
        <f>SUM(N520:P520)</f>
        <v>1302</v>
      </c>
      <c r="R520" s="68">
        <f>R514</f>
        <v>331</v>
      </c>
      <c r="S520" s="69">
        <f>S514</f>
        <v>468</v>
      </c>
      <c r="T520" s="70">
        <f>T514</f>
        <v>334</v>
      </c>
      <c r="U520" s="71">
        <f>SUM(R520:T520)</f>
        <v>1133</v>
      </c>
      <c r="V520" s="72">
        <f>Q520+U520</f>
        <v>2435</v>
      </c>
    </row>
    <row r="521" spans="1:23" x14ac:dyDescent="0.15">
      <c r="A521" s="19" t="s">
        <v>8</v>
      </c>
      <c r="B521" s="113"/>
      <c r="C521" s="13">
        <v>5</v>
      </c>
      <c r="D521" s="14"/>
      <c r="E521" s="51">
        <f t="shared" ref="E521:E522" si="477">SUM(B521:D521)</f>
        <v>5</v>
      </c>
      <c r="F521" s="15"/>
      <c r="G521" s="13"/>
      <c r="H521" s="14"/>
      <c r="I521" s="51">
        <f t="shared" ref="I521:I522" si="478">SUM(F521:H521)</f>
        <v>0</v>
      </c>
      <c r="J521" s="109">
        <f t="shared" ref="J521:J522" si="479">E521+I521</f>
        <v>5</v>
      </c>
      <c r="K521" s="40">
        <v>45911</v>
      </c>
      <c r="L521" s="48"/>
      <c r="M521" s="19" t="s">
        <v>8</v>
      </c>
      <c r="N521" s="83"/>
      <c r="O521" s="46"/>
      <c r="P521" s="44"/>
      <c r="Q521" s="50">
        <f>SUM(N521:P521)</f>
        <v>0</v>
      </c>
      <c r="R521" s="45"/>
      <c r="S521" s="46"/>
      <c r="T521" s="47"/>
      <c r="U521" s="50">
        <f>SUM(R521:T521)</f>
        <v>0</v>
      </c>
      <c r="V521" s="84">
        <f>Q521+U521</f>
        <v>0</v>
      </c>
    </row>
    <row r="522" spans="1:23" x14ac:dyDescent="0.15">
      <c r="A522" s="19" t="s">
        <v>95</v>
      </c>
      <c r="B522" s="5"/>
      <c r="C522" s="6"/>
      <c r="D522" s="7">
        <v>1</v>
      </c>
      <c r="E522" s="51">
        <f t="shared" si="477"/>
        <v>1</v>
      </c>
      <c r="F522" s="8"/>
      <c r="G522" s="6"/>
      <c r="H522" s="7">
        <v>1</v>
      </c>
      <c r="I522" s="51">
        <f t="shared" si="478"/>
        <v>1</v>
      </c>
      <c r="J522" s="59">
        <f t="shared" si="479"/>
        <v>2</v>
      </c>
      <c r="K522" s="40">
        <v>45918</v>
      </c>
      <c r="L522" s="48"/>
      <c r="M522" s="19" t="s">
        <v>205</v>
      </c>
      <c r="N522" s="5">
        <v>17</v>
      </c>
      <c r="O522" s="6">
        <v>31</v>
      </c>
      <c r="P522" s="36">
        <v>34</v>
      </c>
      <c r="Q522" s="52">
        <f t="shared" ref="Q522:Q523" si="480">SUM(N522:P522)</f>
        <v>82</v>
      </c>
      <c r="R522" s="8">
        <v>20</v>
      </c>
      <c r="S522" s="6">
        <v>24</v>
      </c>
      <c r="T522" s="7">
        <v>27</v>
      </c>
      <c r="U522" s="52">
        <f t="shared" ref="U522:U523" si="481">SUM(R522:T522)</f>
        <v>71</v>
      </c>
      <c r="V522" s="59">
        <f t="shared" ref="V522:V523" si="482">Q522+U522</f>
        <v>153</v>
      </c>
      <c r="W522" s="108">
        <v>45947</v>
      </c>
    </row>
    <row r="523" spans="1:23" x14ac:dyDescent="0.15">
      <c r="A523" s="19" t="s">
        <v>10</v>
      </c>
      <c r="B523" s="5">
        <v>3</v>
      </c>
      <c r="C523" s="6"/>
      <c r="D523" s="7"/>
      <c r="E523" s="51">
        <f t="shared" ref="E523:E528" si="483">SUM(B523:D523)</f>
        <v>3</v>
      </c>
      <c r="F523" s="8">
        <v>5</v>
      </c>
      <c r="G523" s="6">
        <v>3</v>
      </c>
      <c r="H523" s="7"/>
      <c r="I523" s="51">
        <f t="shared" ref="I523:I528" si="484">SUM(F523:H523)</f>
        <v>8</v>
      </c>
      <c r="J523" s="59">
        <f t="shared" ref="J523:J528" si="485">E523+I523</f>
        <v>11</v>
      </c>
      <c r="K523" s="40">
        <v>45926</v>
      </c>
      <c r="M523" s="19" t="s">
        <v>289</v>
      </c>
      <c r="N523" s="5">
        <v>20</v>
      </c>
      <c r="O523" s="6">
        <v>24</v>
      </c>
      <c r="P523" s="36">
        <v>11</v>
      </c>
      <c r="Q523" s="52">
        <f t="shared" si="480"/>
        <v>55</v>
      </c>
      <c r="R523" s="8">
        <v>22</v>
      </c>
      <c r="S523" s="6">
        <v>29</v>
      </c>
      <c r="T523" s="7">
        <v>26</v>
      </c>
      <c r="U523" s="52">
        <f t="shared" si="481"/>
        <v>77</v>
      </c>
      <c r="V523" s="59">
        <f t="shared" si="482"/>
        <v>132</v>
      </c>
      <c r="W523" s="108">
        <v>45948</v>
      </c>
    </row>
    <row r="524" spans="1:23" x14ac:dyDescent="0.15">
      <c r="A524" s="19" t="s">
        <v>160</v>
      </c>
      <c r="B524" s="5">
        <v>1</v>
      </c>
      <c r="C524" s="6"/>
      <c r="D524" s="36"/>
      <c r="E524" s="52">
        <f t="shared" si="483"/>
        <v>1</v>
      </c>
      <c r="F524" s="8">
        <v>1</v>
      </c>
      <c r="G524" s="6"/>
      <c r="H524" s="7"/>
      <c r="I524" s="52">
        <f t="shared" si="484"/>
        <v>1</v>
      </c>
      <c r="J524" s="59">
        <f t="shared" si="485"/>
        <v>2</v>
      </c>
      <c r="K524" s="40">
        <v>45936</v>
      </c>
      <c r="M524" s="19" t="s">
        <v>289</v>
      </c>
      <c r="N524" s="5"/>
      <c r="O524" s="6"/>
      <c r="P524" s="36"/>
      <c r="Q524" s="52">
        <f>SUM(N524:P524)</f>
        <v>0</v>
      </c>
      <c r="R524" s="8"/>
      <c r="S524" s="6">
        <v>4</v>
      </c>
      <c r="T524" s="7"/>
      <c r="U524" s="52">
        <f>SUM(R524:T524)</f>
        <v>4</v>
      </c>
      <c r="V524" s="59">
        <f>Q524+U524</f>
        <v>4</v>
      </c>
      <c r="W524" s="120">
        <v>45976</v>
      </c>
    </row>
    <row r="525" spans="1:23" x14ac:dyDescent="0.15">
      <c r="A525" s="19" t="s">
        <v>205</v>
      </c>
      <c r="B525" s="5">
        <v>24</v>
      </c>
      <c r="C525" s="6">
        <v>26</v>
      </c>
      <c r="D525" s="36">
        <v>13</v>
      </c>
      <c r="E525" s="52">
        <f t="shared" si="483"/>
        <v>63</v>
      </c>
      <c r="F525" s="8">
        <v>24</v>
      </c>
      <c r="G525" s="6">
        <v>29</v>
      </c>
      <c r="H525" s="7">
        <v>26</v>
      </c>
      <c r="I525" s="52">
        <f t="shared" si="484"/>
        <v>79</v>
      </c>
      <c r="J525" s="59">
        <f t="shared" si="485"/>
        <v>142</v>
      </c>
      <c r="K525" s="41">
        <v>45945</v>
      </c>
      <c r="M525" s="19" t="s">
        <v>289</v>
      </c>
      <c r="N525" s="9"/>
      <c r="O525" s="10"/>
      <c r="P525" s="37"/>
      <c r="Q525" s="52">
        <f t="shared" ref="Q525:Q528" si="486">SUM(N525:P525)</f>
        <v>0</v>
      </c>
      <c r="R525" s="12">
        <v>2</v>
      </c>
      <c r="S525" s="10">
        <v>2</v>
      </c>
      <c r="T525" s="11">
        <v>1</v>
      </c>
      <c r="U525" s="52">
        <f t="shared" ref="U525:U528" si="487">SUM(R525:T525)</f>
        <v>5</v>
      </c>
      <c r="V525" s="59">
        <f t="shared" ref="V525:V528" si="488">Q525+U525</f>
        <v>5</v>
      </c>
      <c r="W525" s="120">
        <v>45990</v>
      </c>
    </row>
    <row r="526" spans="1:23" x14ac:dyDescent="0.15">
      <c r="A526" s="19" t="s">
        <v>293</v>
      </c>
      <c r="B526" s="5"/>
      <c r="C526" s="6"/>
      <c r="D526" s="36"/>
      <c r="E526" s="52">
        <f t="shared" si="483"/>
        <v>0</v>
      </c>
      <c r="F526" s="8">
        <v>1</v>
      </c>
      <c r="G526" s="6">
        <v>6</v>
      </c>
      <c r="H526" s="7"/>
      <c r="I526" s="52">
        <f t="shared" si="484"/>
        <v>7</v>
      </c>
      <c r="J526" s="59">
        <f t="shared" si="485"/>
        <v>7</v>
      </c>
      <c r="K526" s="41">
        <v>45974</v>
      </c>
      <c r="M526" s="19" t="s">
        <v>13</v>
      </c>
      <c r="N526" s="9"/>
      <c r="O526" s="10"/>
      <c r="P526" s="37"/>
      <c r="Q526" s="52">
        <f t="shared" si="486"/>
        <v>0</v>
      </c>
      <c r="R526" s="12"/>
      <c r="S526" s="10"/>
      <c r="T526" s="11"/>
      <c r="U526" s="52">
        <f t="shared" si="487"/>
        <v>0</v>
      </c>
      <c r="V526" s="59">
        <f t="shared" si="488"/>
        <v>0</v>
      </c>
    </row>
    <row r="527" spans="1:23" x14ac:dyDescent="0.15">
      <c r="A527" s="19" t="s">
        <v>14</v>
      </c>
      <c r="B527" s="9"/>
      <c r="C527" s="10">
        <v>3</v>
      </c>
      <c r="D527" s="37">
        <v>3</v>
      </c>
      <c r="E527" s="52">
        <f t="shared" si="483"/>
        <v>6</v>
      </c>
      <c r="F527" s="12"/>
      <c r="G527" s="10">
        <v>3</v>
      </c>
      <c r="H527" s="11">
        <v>3</v>
      </c>
      <c r="I527" s="52">
        <f t="shared" si="484"/>
        <v>6</v>
      </c>
      <c r="J527" s="59">
        <f t="shared" si="485"/>
        <v>12</v>
      </c>
      <c r="K527" s="40">
        <v>45982</v>
      </c>
      <c r="M527" s="19" t="s">
        <v>14</v>
      </c>
      <c r="N527" s="9"/>
      <c r="O527" s="10"/>
      <c r="P527" s="37"/>
      <c r="Q527" s="52">
        <f t="shared" si="486"/>
        <v>0</v>
      </c>
      <c r="R527" s="12"/>
      <c r="S527" s="10"/>
      <c r="T527" s="11"/>
      <c r="U527" s="52">
        <f t="shared" si="487"/>
        <v>0</v>
      </c>
      <c r="V527" s="59">
        <f t="shared" si="488"/>
        <v>0</v>
      </c>
    </row>
    <row r="528" spans="1:23" ht="14.25" thickBot="1" x14ac:dyDescent="0.2">
      <c r="A528" s="19" t="s">
        <v>15</v>
      </c>
      <c r="B528" s="25"/>
      <c r="C528" s="26"/>
      <c r="D528" s="38"/>
      <c r="E528" s="53">
        <f t="shared" si="483"/>
        <v>0</v>
      </c>
      <c r="F528" s="27"/>
      <c r="G528" s="27"/>
      <c r="H528" s="29"/>
      <c r="I528" s="53">
        <f t="shared" si="484"/>
        <v>0</v>
      </c>
      <c r="J528" s="60">
        <f t="shared" si="485"/>
        <v>0</v>
      </c>
      <c r="M528" s="19" t="s">
        <v>15</v>
      </c>
      <c r="N528" s="25"/>
      <c r="O528" s="26"/>
      <c r="P528" s="38"/>
      <c r="Q528" s="53">
        <f t="shared" si="486"/>
        <v>0</v>
      </c>
      <c r="R528" s="27"/>
      <c r="S528" s="27"/>
      <c r="T528" s="29"/>
      <c r="U528" s="53">
        <f t="shared" si="487"/>
        <v>0</v>
      </c>
      <c r="V528" s="60">
        <f t="shared" si="488"/>
        <v>0</v>
      </c>
    </row>
    <row r="529" spans="1:23" ht="14.25" thickBot="1" x14ac:dyDescent="0.2">
      <c r="A529" s="28" t="s">
        <v>16</v>
      </c>
      <c r="B529" s="22">
        <f>SUM(B520:B528)</f>
        <v>36</v>
      </c>
      <c r="C529" s="23">
        <f t="shared" ref="C529:D529" si="489">SUM(C520:C528)</f>
        <v>40</v>
      </c>
      <c r="D529" s="24">
        <f t="shared" si="489"/>
        <v>25</v>
      </c>
      <c r="E529" s="54">
        <f>SUM(B529:D529)</f>
        <v>101</v>
      </c>
      <c r="F529" s="22">
        <f>SUM(F520:F528)</f>
        <v>36</v>
      </c>
      <c r="G529" s="23">
        <f t="shared" ref="G529:H529" si="490">SUM(G520:G528)</f>
        <v>46</v>
      </c>
      <c r="H529" s="24">
        <f t="shared" si="490"/>
        <v>35</v>
      </c>
      <c r="I529" s="54">
        <f>SUM(F529:H529)</f>
        <v>117</v>
      </c>
      <c r="J529" s="61">
        <f>SUM(J521:J528)</f>
        <v>181</v>
      </c>
      <c r="M529" s="28" t="s">
        <v>16</v>
      </c>
      <c r="N529" s="22">
        <f>SUM(N520:N528)</f>
        <v>263</v>
      </c>
      <c r="O529" s="23">
        <f t="shared" ref="O529:P529" si="491">SUM(O520:O528)</f>
        <v>531</v>
      </c>
      <c r="P529" s="24">
        <f t="shared" si="491"/>
        <v>645</v>
      </c>
      <c r="Q529" s="54">
        <f>SUM(N529:P529)</f>
        <v>1439</v>
      </c>
      <c r="R529" s="22">
        <f>SUM(R520:R528)</f>
        <v>375</v>
      </c>
      <c r="S529" s="23">
        <f t="shared" ref="S529:T529" si="492">SUM(S520:S528)</f>
        <v>527</v>
      </c>
      <c r="T529" s="24">
        <f t="shared" si="492"/>
        <v>388</v>
      </c>
      <c r="U529" s="54">
        <f>SUM(R529:T529)</f>
        <v>1290</v>
      </c>
      <c r="V529" s="61">
        <f>Q529+U529</f>
        <v>2729</v>
      </c>
    </row>
    <row r="530" spans="1:23" x14ac:dyDescent="0.15">
      <c r="A530" s="17" t="s">
        <v>57</v>
      </c>
      <c r="B530" s="9"/>
      <c r="C530" s="10">
        <v>2</v>
      </c>
      <c r="D530" s="11"/>
      <c r="E530" s="51">
        <f t="shared" ref="E530:E556" si="493">SUM(B530:D530)</f>
        <v>2</v>
      </c>
      <c r="F530" s="12"/>
      <c r="G530" s="10">
        <v>1</v>
      </c>
      <c r="H530" s="11"/>
      <c r="I530" s="51">
        <f t="shared" ref="I530:I556" si="494">SUM(F530:H530)</f>
        <v>1</v>
      </c>
      <c r="J530" s="59">
        <f t="shared" ref="J530:J555" si="495">E530+I530</f>
        <v>3</v>
      </c>
      <c r="K530" s="41">
        <v>45910</v>
      </c>
      <c r="M530" s="20" t="s">
        <v>41</v>
      </c>
      <c r="N530" s="5">
        <v>3</v>
      </c>
      <c r="O530" s="6"/>
      <c r="P530" s="7"/>
      <c r="Q530" s="51">
        <f t="shared" ref="Q530:Q531" si="496">SUM(N530:P530)</f>
        <v>3</v>
      </c>
      <c r="R530" s="8">
        <v>5</v>
      </c>
      <c r="S530" s="6">
        <v>3</v>
      </c>
      <c r="T530" s="7"/>
      <c r="U530" s="51">
        <f t="shared" ref="U530:U531" si="497">SUM(R530:T530)</f>
        <v>8</v>
      </c>
      <c r="V530" s="59">
        <f t="shared" ref="V530:V531" si="498">Q530+U530</f>
        <v>11</v>
      </c>
      <c r="W530" s="108">
        <v>45926</v>
      </c>
    </row>
    <row r="531" spans="1:23" x14ac:dyDescent="0.15">
      <c r="A531" s="17" t="s">
        <v>57</v>
      </c>
      <c r="B531" s="5"/>
      <c r="C531" s="6"/>
      <c r="D531" s="7"/>
      <c r="E531" s="51">
        <f t="shared" si="493"/>
        <v>0</v>
      </c>
      <c r="F531" s="8">
        <v>1</v>
      </c>
      <c r="G531" s="6"/>
      <c r="H531" s="7"/>
      <c r="I531" s="51">
        <f t="shared" si="494"/>
        <v>1</v>
      </c>
      <c r="J531" s="59">
        <f t="shared" si="495"/>
        <v>1</v>
      </c>
      <c r="K531" s="41">
        <v>45912</v>
      </c>
      <c r="M531" s="17" t="s">
        <v>38</v>
      </c>
      <c r="N531" s="5">
        <v>1</v>
      </c>
      <c r="O531" s="6"/>
      <c r="P531" s="14"/>
      <c r="Q531" s="51">
        <f t="shared" si="496"/>
        <v>1</v>
      </c>
      <c r="R531" s="15">
        <v>1</v>
      </c>
      <c r="S531" s="13"/>
      <c r="T531" s="14"/>
      <c r="U531" s="51">
        <f t="shared" si="497"/>
        <v>1</v>
      </c>
      <c r="V531" s="59">
        <f t="shared" si="498"/>
        <v>2</v>
      </c>
      <c r="W531" s="108">
        <v>45926</v>
      </c>
    </row>
    <row r="532" spans="1:23" x14ac:dyDescent="0.15">
      <c r="A532" s="17" t="s">
        <v>57</v>
      </c>
      <c r="B532" s="5">
        <v>1</v>
      </c>
      <c r="C532" s="6"/>
      <c r="D532" s="7"/>
      <c r="E532" s="51">
        <f t="shared" si="493"/>
        <v>1</v>
      </c>
      <c r="F532" s="8"/>
      <c r="G532" s="6"/>
      <c r="H532" s="7"/>
      <c r="I532" s="51">
        <f t="shared" si="494"/>
        <v>0</v>
      </c>
      <c r="J532" s="59">
        <f t="shared" si="495"/>
        <v>1</v>
      </c>
      <c r="K532" s="41">
        <v>45916</v>
      </c>
      <c r="M532" s="20" t="s">
        <v>295</v>
      </c>
      <c r="N532" s="5"/>
      <c r="O532" s="6">
        <v>3</v>
      </c>
      <c r="P532" s="7">
        <v>3</v>
      </c>
      <c r="Q532" s="51">
        <f t="shared" ref="Q532:Q556" si="499">SUM(N532:P532)</f>
        <v>6</v>
      </c>
      <c r="R532" s="8"/>
      <c r="S532" s="6">
        <v>3</v>
      </c>
      <c r="T532" s="7">
        <v>3</v>
      </c>
      <c r="U532" s="51">
        <f t="shared" ref="U532:U556" si="500">SUM(R532:T532)</f>
        <v>6</v>
      </c>
      <c r="V532" s="59">
        <f t="shared" ref="V532:V554" si="501">Q532+U532</f>
        <v>12</v>
      </c>
      <c r="W532" s="108">
        <v>45982</v>
      </c>
    </row>
    <row r="533" spans="1:23" x14ac:dyDescent="0.15">
      <c r="A533" s="17" t="s">
        <v>285</v>
      </c>
      <c r="B533" s="5">
        <v>4</v>
      </c>
      <c r="C533" s="6">
        <v>5</v>
      </c>
      <c r="D533" s="7">
        <v>4</v>
      </c>
      <c r="E533" s="51">
        <f t="shared" si="493"/>
        <v>13</v>
      </c>
      <c r="F533" s="8"/>
      <c r="G533" s="6"/>
      <c r="H533" s="7"/>
      <c r="I533" s="51">
        <f t="shared" si="494"/>
        <v>0</v>
      </c>
      <c r="J533" s="59">
        <f t="shared" si="495"/>
        <v>13</v>
      </c>
      <c r="K533" s="41">
        <v>45920</v>
      </c>
      <c r="M533" s="18"/>
      <c r="N533" s="5"/>
      <c r="O533" s="6"/>
      <c r="P533" s="7"/>
      <c r="Q533" s="51">
        <f t="shared" si="499"/>
        <v>0</v>
      </c>
      <c r="R533" s="8"/>
      <c r="S533" s="6"/>
      <c r="T533" s="7"/>
      <c r="U533" s="51">
        <f t="shared" si="500"/>
        <v>0</v>
      </c>
      <c r="V533" s="59">
        <f t="shared" si="501"/>
        <v>0</v>
      </c>
    </row>
    <row r="534" spans="1:23" x14ac:dyDescent="0.15">
      <c r="A534" s="17" t="s">
        <v>57</v>
      </c>
      <c r="B534" s="5"/>
      <c r="C534" s="6"/>
      <c r="D534" s="7"/>
      <c r="E534" s="51">
        <f t="shared" si="493"/>
        <v>0</v>
      </c>
      <c r="F534" s="8">
        <v>2</v>
      </c>
      <c r="G534" s="6">
        <v>1</v>
      </c>
      <c r="H534" s="7"/>
      <c r="I534" s="51">
        <f t="shared" si="494"/>
        <v>3</v>
      </c>
      <c r="J534" s="59">
        <f t="shared" si="495"/>
        <v>3</v>
      </c>
      <c r="K534" s="41">
        <v>45922</v>
      </c>
      <c r="M534" s="18"/>
      <c r="N534" s="5"/>
      <c r="O534" s="6"/>
      <c r="P534" s="7"/>
      <c r="Q534" s="51">
        <f t="shared" si="499"/>
        <v>0</v>
      </c>
      <c r="R534" s="8"/>
      <c r="S534" s="6"/>
      <c r="T534" s="7"/>
      <c r="U534" s="51">
        <f t="shared" si="500"/>
        <v>0</v>
      </c>
      <c r="V534" s="59">
        <f t="shared" si="501"/>
        <v>0</v>
      </c>
    </row>
    <row r="535" spans="1:23" x14ac:dyDescent="0.15">
      <c r="A535" s="17" t="s">
        <v>57</v>
      </c>
      <c r="B535" s="5"/>
      <c r="C535" s="6"/>
      <c r="D535" s="7"/>
      <c r="E535" s="51">
        <f t="shared" ref="E535:E536" si="502">SUM(B535:D535)</f>
        <v>0</v>
      </c>
      <c r="F535" s="8">
        <v>1</v>
      </c>
      <c r="G535" s="6"/>
      <c r="H535" s="7">
        <v>1</v>
      </c>
      <c r="I535" s="51">
        <f t="shared" ref="I535:I536" si="503">SUM(F535:H535)</f>
        <v>2</v>
      </c>
      <c r="J535" s="59">
        <f t="shared" ref="J535:J536" si="504">E535+I535</f>
        <v>2</v>
      </c>
      <c r="K535" s="41">
        <v>45924</v>
      </c>
      <c r="M535" s="20"/>
      <c r="N535" s="5"/>
      <c r="O535" s="6"/>
      <c r="P535" s="14"/>
      <c r="Q535" s="51">
        <f t="shared" si="499"/>
        <v>0</v>
      </c>
      <c r="R535" s="15"/>
      <c r="S535" s="13"/>
      <c r="T535" s="14"/>
      <c r="U535" s="51">
        <f t="shared" si="500"/>
        <v>0</v>
      </c>
      <c r="V535" s="59">
        <f t="shared" si="501"/>
        <v>0</v>
      </c>
    </row>
    <row r="536" spans="1:23" x14ac:dyDescent="0.15">
      <c r="A536" s="17" t="s">
        <v>57</v>
      </c>
      <c r="B536" s="5">
        <v>1</v>
      </c>
      <c r="C536" s="6"/>
      <c r="D536" s="7"/>
      <c r="E536" s="51">
        <f t="shared" si="502"/>
        <v>1</v>
      </c>
      <c r="F536" s="8">
        <v>1</v>
      </c>
      <c r="G536" s="6"/>
      <c r="H536" s="7"/>
      <c r="I536" s="51">
        <f t="shared" si="503"/>
        <v>1</v>
      </c>
      <c r="J536" s="59">
        <f t="shared" si="504"/>
        <v>2</v>
      </c>
      <c r="K536" s="41">
        <v>45932</v>
      </c>
      <c r="M536" s="42"/>
      <c r="N536" s="5"/>
      <c r="O536" s="6"/>
      <c r="P536" s="7"/>
      <c r="Q536" s="51">
        <f t="shared" si="499"/>
        <v>0</v>
      </c>
      <c r="R536" s="8"/>
      <c r="S536" s="6"/>
      <c r="T536" s="7"/>
      <c r="U536" s="51">
        <f t="shared" si="500"/>
        <v>0</v>
      </c>
      <c r="V536" s="59">
        <f t="shared" si="501"/>
        <v>0</v>
      </c>
    </row>
    <row r="537" spans="1:23" x14ac:dyDescent="0.15">
      <c r="A537" s="17" t="s">
        <v>57</v>
      </c>
      <c r="B537" s="5"/>
      <c r="C537" s="6"/>
      <c r="D537" s="7"/>
      <c r="E537" s="51">
        <f t="shared" si="493"/>
        <v>0</v>
      </c>
      <c r="F537" s="8"/>
      <c r="G537" s="6">
        <v>1</v>
      </c>
      <c r="H537" s="7"/>
      <c r="I537" s="51">
        <f t="shared" si="494"/>
        <v>1</v>
      </c>
      <c r="J537" s="59">
        <f t="shared" si="495"/>
        <v>1</v>
      </c>
      <c r="K537" s="41">
        <v>45932</v>
      </c>
      <c r="M537" s="18"/>
      <c r="N537" s="5" t="s">
        <v>22</v>
      </c>
      <c r="O537" s="6"/>
      <c r="P537" s="7"/>
      <c r="Q537" s="51">
        <f t="shared" si="499"/>
        <v>0</v>
      </c>
      <c r="R537" s="8"/>
      <c r="S537" s="6"/>
      <c r="T537" s="7"/>
      <c r="U537" s="51">
        <f t="shared" si="500"/>
        <v>0</v>
      </c>
      <c r="V537" s="59">
        <f t="shared" si="501"/>
        <v>0</v>
      </c>
    </row>
    <row r="538" spans="1:23" x14ac:dyDescent="0.15">
      <c r="A538" s="17" t="s">
        <v>286</v>
      </c>
      <c r="B538" s="5">
        <v>1</v>
      </c>
      <c r="C538" s="6"/>
      <c r="D538" s="7"/>
      <c r="E538" s="51">
        <f t="shared" si="493"/>
        <v>1</v>
      </c>
      <c r="F538" s="8">
        <v>1</v>
      </c>
      <c r="G538" s="6"/>
      <c r="H538" s="7"/>
      <c r="I538" s="51">
        <f t="shared" si="494"/>
        <v>1</v>
      </c>
      <c r="J538" s="59">
        <f t="shared" si="495"/>
        <v>2</v>
      </c>
      <c r="K538" s="40">
        <v>45936</v>
      </c>
      <c r="L538" s="48"/>
      <c r="M538" s="20"/>
      <c r="N538" s="5"/>
      <c r="O538" s="6"/>
      <c r="P538" s="7"/>
      <c r="Q538" s="51">
        <f t="shared" si="499"/>
        <v>0</v>
      </c>
      <c r="R538" s="8"/>
      <c r="S538" s="6"/>
      <c r="T538" s="7"/>
      <c r="U538" s="51">
        <f t="shared" si="500"/>
        <v>0</v>
      </c>
      <c r="V538" s="59">
        <f t="shared" si="501"/>
        <v>0</v>
      </c>
    </row>
    <row r="539" spans="1:23" x14ac:dyDescent="0.15">
      <c r="A539" s="18" t="s">
        <v>287</v>
      </c>
      <c r="B539" s="9"/>
      <c r="C539" s="10"/>
      <c r="D539" s="11"/>
      <c r="E539" s="51">
        <f t="shared" si="493"/>
        <v>0</v>
      </c>
      <c r="F539" s="12"/>
      <c r="G539" s="10"/>
      <c r="H539" s="11">
        <v>1</v>
      </c>
      <c r="I539" s="51">
        <f t="shared" si="494"/>
        <v>1</v>
      </c>
      <c r="J539" s="59">
        <f t="shared" si="495"/>
        <v>1</v>
      </c>
      <c r="K539" s="40">
        <v>45936</v>
      </c>
      <c r="L539" s="48"/>
      <c r="M539" s="18"/>
      <c r="N539" s="9"/>
      <c r="O539" s="10"/>
      <c r="P539" s="11"/>
      <c r="Q539" s="51">
        <f t="shared" si="499"/>
        <v>0</v>
      </c>
      <c r="R539" s="12"/>
      <c r="S539" s="10"/>
      <c r="T539" s="11"/>
      <c r="U539" s="51">
        <f t="shared" si="500"/>
        <v>0</v>
      </c>
      <c r="V539" s="59">
        <f t="shared" si="501"/>
        <v>0</v>
      </c>
    </row>
    <row r="540" spans="1:23" x14ac:dyDescent="0.15">
      <c r="A540" s="17" t="s">
        <v>57</v>
      </c>
      <c r="B540" s="5"/>
      <c r="C540" s="6">
        <v>1</v>
      </c>
      <c r="D540" s="7"/>
      <c r="E540" s="51">
        <f t="shared" si="493"/>
        <v>1</v>
      </c>
      <c r="F540" s="8"/>
      <c r="G540" s="6">
        <v>1</v>
      </c>
      <c r="H540" s="7"/>
      <c r="I540" s="51">
        <f t="shared" si="494"/>
        <v>1</v>
      </c>
      <c r="J540" s="59">
        <f t="shared" si="495"/>
        <v>2</v>
      </c>
      <c r="K540" s="41">
        <v>45936</v>
      </c>
      <c r="M540" s="20"/>
      <c r="N540" s="5"/>
      <c r="O540" s="6"/>
      <c r="P540" s="7"/>
      <c r="Q540" s="51">
        <f t="shared" si="499"/>
        <v>0</v>
      </c>
      <c r="R540" s="8"/>
      <c r="S540" s="6"/>
      <c r="T540" s="7"/>
      <c r="U540" s="51">
        <f t="shared" si="500"/>
        <v>0</v>
      </c>
      <c r="V540" s="59">
        <f t="shared" si="501"/>
        <v>0</v>
      </c>
    </row>
    <row r="541" spans="1:23" x14ac:dyDescent="0.15">
      <c r="A541" s="17" t="s">
        <v>57</v>
      </c>
      <c r="B541" s="5">
        <v>1</v>
      </c>
      <c r="C541" s="6"/>
      <c r="D541" s="7"/>
      <c r="E541" s="51">
        <f t="shared" si="493"/>
        <v>1</v>
      </c>
      <c r="F541" s="8">
        <v>1</v>
      </c>
      <c r="G541" s="6"/>
      <c r="H541" s="7"/>
      <c r="I541" s="51">
        <f t="shared" si="494"/>
        <v>1</v>
      </c>
      <c r="J541" s="59">
        <f t="shared" si="495"/>
        <v>2</v>
      </c>
      <c r="K541" s="41">
        <v>45938</v>
      </c>
      <c r="M541" s="20"/>
      <c r="N541" s="5"/>
      <c r="O541" s="6"/>
      <c r="P541" s="7"/>
      <c r="Q541" s="51">
        <f t="shared" si="499"/>
        <v>0</v>
      </c>
      <c r="R541" s="8"/>
      <c r="S541" s="6"/>
      <c r="T541" s="7"/>
      <c r="U541" s="51">
        <f t="shared" si="500"/>
        <v>0</v>
      </c>
      <c r="V541" s="59">
        <f t="shared" si="501"/>
        <v>0</v>
      </c>
    </row>
    <row r="542" spans="1:23" x14ac:dyDescent="0.15">
      <c r="A542" s="17" t="s">
        <v>57</v>
      </c>
      <c r="B542" s="5"/>
      <c r="C542" s="6"/>
      <c r="D542" s="7">
        <v>1</v>
      </c>
      <c r="E542" s="51">
        <f t="shared" si="493"/>
        <v>1</v>
      </c>
      <c r="F542" s="8"/>
      <c r="G542" s="6"/>
      <c r="H542" s="7">
        <v>1</v>
      </c>
      <c r="I542" s="51">
        <f t="shared" si="494"/>
        <v>1</v>
      </c>
      <c r="J542" s="59">
        <f t="shared" si="495"/>
        <v>2</v>
      </c>
      <c r="K542" s="40">
        <v>45944</v>
      </c>
      <c r="M542" s="18"/>
      <c r="N542" s="5"/>
      <c r="O542" s="6"/>
      <c r="P542" s="7"/>
      <c r="Q542" s="51">
        <f t="shared" si="499"/>
        <v>0</v>
      </c>
      <c r="R542" s="8"/>
      <c r="S542" s="6"/>
      <c r="T542" s="7"/>
      <c r="U542" s="51">
        <f t="shared" si="500"/>
        <v>0</v>
      </c>
      <c r="V542" s="59">
        <f t="shared" si="501"/>
        <v>0</v>
      </c>
    </row>
    <row r="543" spans="1:23" x14ac:dyDescent="0.15">
      <c r="A543" s="18" t="s">
        <v>38</v>
      </c>
      <c r="B543" s="5"/>
      <c r="C543" s="6"/>
      <c r="D543" s="7"/>
      <c r="E543" s="51">
        <f t="shared" si="493"/>
        <v>0</v>
      </c>
      <c r="F543" s="8">
        <v>1</v>
      </c>
      <c r="G543" s="6"/>
      <c r="H543" s="7"/>
      <c r="I543" s="51">
        <f t="shared" si="494"/>
        <v>1</v>
      </c>
      <c r="J543" s="59">
        <f t="shared" si="495"/>
        <v>1</v>
      </c>
      <c r="K543" s="40">
        <v>45947</v>
      </c>
      <c r="M543" s="18"/>
      <c r="N543" s="5"/>
      <c r="O543" s="6"/>
      <c r="P543" s="7"/>
      <c r="Q543" s="51">
        <f t="shared" si="499"/>
        <v>0</v>
      </c>
      <c r="R543" s="8"/>
      <c r="S543" s="6"/>
      <c r="T543" s="7"/>
      <c r="U543" s="51">
        <f t="shared" si="500"/>
        <v>0</v>
      </c>
      <c r="V543" s="59">
        <f t="shared" si="501"/>
        <v>0</v>
      </c>
    </row>
    <row r="544" spans="1:23" x14ac:dyDescent="0.15">
      <c r="A544" s="17" t="s">
        <v>57</v>
      </c>
      <c r="B544" s="5"/>
      <c r="C544" s="6"/>
      <c r="D544" s="7">
        <v>1</v>
      </c>
      <c r="E544" s="51">
        <f t="shared" si="493"/>
        <v>1</v>
      </c>
      <c r="F544" s="8"/>
      <c r="G544" s="6"/>
      <c r="H544" s="7"/>
      <c r="I544" s="51">
        <f t="shared" si="494"/>
        <v>0</v>
      </c>
      <c r="J544" s="59">
        <f t="shared" si="495"/>
        <v>1</v>
      </c>
      <c r="K544" s="41">
        <v>45946</v>
      </c>
      <c r="M544" s="20"/>
      <c r="N544" s="5"/>
      <c r="O544" s="6"/>
      <c r="P544" s="7"/>
      <c r="Q544" s="51">
        <f t="shared" si="499"/>
        <v>0</v>
      </c>
      <c r="R544" s="8"/>
      <c r="S544" s="6"/>
      <c r="T544" s="7"/>
      <c r="U544" s="51">
        <f t="shared" si="500"/>
        <v>0</v>
      </c>
      <c r="V544" s="59">
        <f t="shared" si="501"/>
        <v>0</v>
      </c>
    </row>
    <row r="545" spans="1:23" x14ac:dyDescent="0.15">
      <c r="A545" s="17" t="s">
        <v>288</v>
      </c>
      <c r="B545" s="5">
        <v>20</v>
      </c>
      <c r="C545" s="6">
        <v>24</v>
      </c>
      <c r="D545" s="7">
        <v>11</v>
      </c>
      <c r="E545" s="51">
        <f t="shared" si="493"/>
        <v>55</v>
      </c>
      <c r="F545" s="8">
        <v>22</v>
      </c>
      <c r="G545" s="6">
        <v>29</v>
      </c>
      <c r="H545" s="7">
        <v>26</v>
      </c>
      <c r="I545" s="51">
        <f t="shared" si="494"/>
        <v>77</v>
      </c>
      <c r="J545" s="59">
        <f t="shared" si="495"/>
        <v>132</v>
      </c>
      <c r="K545" s="41">
        <v>45948</v>
      </c>
      <c r="M545" s="20"/>
      <c r="N545" s="5"/>
      <c r="O545" s="6"/>
      <c r="P545" s="7"/>
      <c r="Q545" s="51">
        <f t="shared" si="499"/>
        <v>0</v>
      </c>
      <c r="R545" s="8"/>
      <c r="S545" s="6"/>
      <c r="T545" s="7"/>
      <c r="U545" s="51">
        <f t="shared" si="500"/>
        <v>0</v>
      </c>
      <c r="V545" s="59">
        <f t="shared" si="501"/>
        <v>0</v>
      </c>
    </row>
    <row r="546" spans="1:23" x14ac:dyDescent="0.15">
      <c r="A546" s="17" t="s">
        <v>57</v>
      </c>
      <c r="B546" s="5"/>
      <c r="C546" s="6"/>
      <c r="D546" s="7"/>
      <c r="E546" s="51">
        <f t="shared" si="493"/>
        <v>0</v>
      </c>
      <c r="F546" s="8">
        <v>1</v>
      </c>
      <c r="G546" s="6"/>
      <c r="H546" s="7"/>
      <c r="I546" s="51">
        <f t="shared" si="494"/>
        <v>1</v>
      </c>
      <c r="J546" s="59">
        <f t="shared" si="495"/>
        <v>1</v>
      </c>
      <c r="K546" s="41">
        <v>45957</v>
      </c>
      <c r="M546" s="18"/>
      <c r="N546" s="5"/>
      <c r="O546" s="6"/>
      <c r="P546" s="7"/>
      <c r="Q546" s="51">
        <f t="shared" si="499"/>
        <v>0</v>
      </c>
      <c r="R546" s="8"/>
      <c r="S546" s="6"/>
      <c r="T546" s="7"/>
      <c r="U546" s="51">
        <f t="shared" si="500"/>
        <v>0</v>
      </c>
      <c r="V546" s="59">
        <f t="shared" si="501"/>
        <v>0</v>
      </c>
    </row>
    <row r="547" spans="1:23" x14ac:dyDescent="0.15">
      <c r="A547" s="17" t="s">
        <v>57</v>
      </c>
      <c r="B547" s="5">
        <v>1</v>
      </c>
      <c r="C547" s="6"/>
      <c r="D547" s="7"/>
      <c r="E547" s="51">
        <f t="shared" si="493"/>
        <v>1</v>
      </c>
      <c r="F547" s="8"/>
      <c r="G547" s="6"/>
      <c r="H547" s="7"/>
      <c r="I547" s="51">
        <f t="shared" si="494"/>
        <v>0</v>
      </c>
      <c r="J547" s="59">
        <f t="shared" si="495"/>
        <v>1</v>
      </c>
      <c r="K547" s="41">
        <v>45958</v>
      </c>
      <c r="M547" s="20"/>
      <c r="N547" s="5"/>
      <c r="O547" s="6"/>
      <c r="P547" s="7"/>
      <c r="Q547" s="51">
        <f t="shared" si="499"/>
        <v>0</v>
      </c>
      <c r="R547" s="8"/>
      <c r="S547" s="6"/>
      <c r="T547" s="7"/>
      <c r="U547" s="51">
        <f t="shared" si="500"/>
        <v>0</v>
      </c>
      <c r="V547" s="59">
        <f t="shared" si="501"/>
        <v>0</v>
      </c>
    </row>
    <row r="548" spans="1:23" x14ac:dyDescent="0.15">
      <c r="A548" s="17" t="s">
        <v>57</v>
      </c>
      <c r="B548" s="5"/>
      <c r="C548" s="6"/>
      <c r="D548" s="7"/>
      <c r="E548" s="51">
        <f t="shared" si="493"/>
        <v>0</v>
      </c>
      <c r="F548" s="8"/>
      <c r="G548" s="6">
        <v>1</v>
      </c>
      <c r="H548" s="7"/>
      <c r="I548" s="51">
        <f t="shared" si="494"/>
        <v>1</v>
      </c>
      <c r="J548" s="59">
        <f t="shared" si="495"/>
        <v>1</v>
      </c>
      <c r="K548" s="41">
        <v>45966</v>
      </c>
      <c r="M548" s="18"/>
      <c r="N548" s="5"/>
      <c r="O548" s="6"/>
      <c r="P548" s="7"/>
      <c r="Q548" s="51">
        <f t="shared" si="499"/>
        <v>0</v>
      </c>
      <c r="R548" s="8"/>
      <c r="S548" s="6"/>
      <c r="T548" s="7"/>
      <c r="U548" s="51">
        <f t="shared" si="500"/>
        <v>0</v>
      </c>
      <c r="V548" s="59">
        <f t="shared" si="501"/>
        <v>0</v>
      </c>
    </row>
    <row r="549" spans="1:23" x14ac:dyDescent="0.15">
      <c r="A549" s="17" t="s">
        <v>57</v>
      </c>
      <c r="B549" s="5"/>
      <c r="C549" s="6"/>
      <c r="D549" s="7">
        <v>1</v>
      </c>
      <c r="E549" s="51">
        <f t="shared" si="493"/>
        <v>1</v>
      </c>
      <c r="F549" s="8"/>
      <c r="G549" s="6"/>
      <c r="H549" s="7"/>
      <c r="I549" s="51">
        <f t="shared" si="494"/>
        <v>0</v>
      </c>
      <c r="J549" s="59">
        <f t="shared" si="495"/>
        <v>1</v>
      </c>
      <c r="K549" s="41">
        <v>45967</v>
      </c>
      <c r="M549" s="20"/>
      <c r="N549" s="5"/>
      <c r="O549" s="6"/>
      <c r="P549" s="7"/>
      <c r="Q549" s="51">
        <f t="shared" si="499"/>
        <v>0</v>
      </c>
      <c r="R549" s="8"/>
      <c r="S549" s="6"/>
      <c r="T549" s="7"/>
      <c r="U549" s="51">
        <f t="shared" si="500"/>
        <v>0</v>
      </c>
      <c r="V549" s="59">
        <f t="shared" si="501"/>
        <v>0</v>
      </c>
    </row>
    <row r="550" spans="1:23" x14ac:dyDescent="0.15">
      <c r="A550" s="17" t="s">
        <v>57</v>
      </c>
      <c r="B550" s="5"/>
      <c r="C550" s="6">
        <v>1</v>
      </c>
      <c r="D550" s="7"/>
      <c r="E550" s="51">
        <f t="shared" si="493"/>
        <v>1</v>
      </c>
      <c r="F550" s="8"/>
      <c r="G550" s="6"/>
      <c r="H550" s="7"/>
      <c r="I550" s="51">
        <f t="shared" si="494"/>
        <v>0</v>
      </c>
      <c r="J550" s="59">
        <f t="shared" si="495"/>
        <v>1</v>
      </c>
      <c r="K550" s="41">
        <v>45971</v>
      </c>
      <c r="M550" s="20"/>
      <c r="N550" s="5"/>
      <c r="O550" s="6"/>
      <c r="P550" s="7"/>
      <c r="Q550" s="51">
        <f t="shared" si="499"/>
        <v>0</v>
      </c>
      <c r="R550" s="8"/>
      <c r="S550" s="6"/>
      <c r="T550" s="7"/>
      <c r="U550" s="51">
        <f t="shared" si="500"/>
        <v>0</v>
      </c>
      <c r="V550" s="59">
        <f t="shared" si="501"/>
        <v>0</v>
      </c>
    </row>
    <row r="551" spans="1:23" x14ac:dyDescent="0.15">
      <c r="A551" s="17" t="s">
        <v>57</v>
      </c>
      <c r="B551" s="9"/>
      <c r="C551" s="10"/>
      <c r="D551" s="11"/>
      <c r="E551" s="51">
        <f t="shared" si="493"/>
        <v>0</v>
      </c>
      <c r="F551" s="12"/>
      <c r="G551" s="10"/>
      <c r="H551" s="11">
        <v>1</v>
      </c>
      <c r="I551" s="51">
        <f t="shared" si="494"/>
        <v>1</v>
      </c>
      <c r="J551" s="59">
        <f t="shared" si="495"/>
        <v>1</v>
      </c>
      <c r="K551" s="41">
        <v>45973</v>
      </c>
      <c r="M551" s="20"/>
      <c r="N551" s="5"/>
      <c r="O551" s="6"/>
      <c r="P551" s="7"/>
      <c r="Q551" s="51">
        <f t="shared" si="499"/>
        <v>0</v>
      </c>
      <c r="R551" s="8"/>
      <c r="S551" s="6"/>
      <c r="T551" s="7"/>
      <c r="U551" s="51">
        <f t="shared" si="500"/>
        <v>0</v>
      </c>
      <c r="V551" s="59">
        <f t="shared" si="501"/>
        <v>0</v>
      </c>
    </row>
    <row r="552" spans="1:23" x14ac:dyDescent="0.15">
      <c r="A552" s="17" t="s">
        <v>57</v>
      </c>
      <c r="B552" s="5">
        <v>1</v>
      </c>
      <c r="C552" s="6"/>
      <c r="D552" s="7"/>
      <c r="E552" s="51">
        <f t="shared" si="493"/>
        <v>1</v>
      </c>
      <c r="F552" s="8"/>
      <c r="G552" s="6"/>
      <c r="H552" s="7"/>
      <c r="I552" s="51">
        <f t="shared" si="494"/>
        <v>0</v>
      </c>
      <c r="J552" s="59">
        <f t="shared" si="495"/>
        <v>1</v>
      </c>
      <c r="K552" s="41">
        <v>45974</v>
      </c>
      <c r="M552" s="20"/>
      <c r="N552" s="5"/>
      <c r="O552" s="6"/>
      <c r="P552" s="7"/>
      <c r="Q552" s="51">
        <f t="shared" si="499"/>
        <v>0</v>
      </c>
      <c r="R552" s="8"/>
      <c r="S552" s="6"/>
      <c r="T552" s="7"/>
      <c r="U552" s="51">
        <f t="shared" si="500"/>
        <v>0</v>
      </c>
      <c r="V552" s="59">
        <f t="shared" si="501"/>
        <v>0</v>
      </c>
    </row>
    <row r="553" spans="1:23" x14ac:dyDescent="0.15">
      <c r="A553" s="17" t="s">
        <v>294</v>
      </c>
      <c r="B553" s="9"/>
      <c r="C553" s="10"/>
      <c r="D553" s="11"/>
      <c r="E553" s="52">
        <f t="shared" si="493"/>
        <v>0</v>
      </c>
      <c r="F553" s="12"/>
      <c r="G553" s="10">
        <v>4</v>
      </c>
      <c r="H553" s="11"/>
      <c r="I553" s="52">
        <f t="shared" si="494"/>
        <v>4</v>
      </c>
      <c r="J553" s="59">
        <f t="shared" si="495"/>
        <v>4</v>
      </c>
      <c r="K553" s="41">
        <v>45976</v>
      </c>
      <c r="M553" s="20"/>
      <c r="N553" s="5"/>
      <c r="O553" s="6"/>
      <c r="P553" s="7"/>
      <c r="Q553" s="51">
        <f t="shared" si="499"/>
        <v>0</v>
      </c>
      <c r="R553" s="8"/>
      <c r="S553" s="6"/>
      <c r="T553" s="7"/>
      <c r="U553" s="51">
        <f t="shared" si="500"/>
        <v>0</v>
      </c>
      <c r="V553" s="59">
        <f t="shared" si="501"/>
        <v>0</v>
      </c>
    </row>
    <row r="554" spans="1:23" x14ac:dyDescent="0.15">
      <c r="A554" s="17" t="s">
        <v>57</v>
      </c>
      <c r="B554" s="5"/>
      <c r="C554" s="6">
        <v>1</v>
      </c>
      <c r="D554" s="7">
        <v>1</v>
      </c>
      <c r="E554" s="51">
        <f t="shared" si="493"/>
        <v>2</v>
      </c>
      <c r="F554" s="8"/>
      <c r="G554" s="6">
        <v>1</v>
      </c>
      <c r="H554" s="7"/>
      <c r="I554" s="51">
        <f t="shared" si="494"/>
        <v>1</v>
      </c>
      <c r="J554" s="59">
        <f t="shared" si="495"/>
        <v>3</v>
      </c>
      <c r="K554" s="41">
        <v>45978</v>
      </c>
      <c r="M554" s="20"/>
      <c r="N554" s="5"/>
      <c r="O554" s="6"/>
      <c r="P554" s="7"/>
      <c r="Q554" s="51">
        <f t="shared" si="499"/>
        <v>0</v>
      </c>
      <c r="R554" s="8"/>
      <c r="S554" s="6"/>
      <c r="T554" s="7"/>
      <c r="U554" s="51">
        <f t="shared" si="500"/>
        <v>0</v>
      </c>
      <c r="V554" s="59">
        <f t="shared" si="501"/>
        <v>0</v>
      </c>
    </row>
    <row r="555" spans="1:23" ht="14.25" thickBot="1" x14ac:dyDescent="0.2">
      <c r="A555" s="17" t="s">
        <v>57</v>
      </c>
      <c r="B555" s="9"/>
      <c r="C555" s="10">
        <v>1</v>
      </c>
      <c r="D555" s="11"/>
      <c r="E555" s="55">
        <f t="shared" si="493"/>
        <v>1</v>
      </c>
      <c r="F555" s="12"/>
      <c r="G555" s="10">
        <v>1</v>
      </c>
      <c r="H555" s="11"/>
      <c r="I555" s="55">
        <f t="shared" si="494"/>
        <v>1</v>
      </c>
      <c r="J555" s="59">
        <f t="shared" si="495"/>
        <v>2</v>
      </c>
      <c r="K555" s="41">
        <v>45981</v>
      </c>
      <c r="M555" s="20"/>
      <c r="N555" s="5"/>
      <c r="O555" s="6"/>
      <c r="P555" s="7"/>
      <c r="Q555" s="51">
        <f t="shared" ref="Q555" si="505">SUM(N555:P555)</f>
        <v>0</v>
      </c>
      <c r="R555" s="8"/>
      <c r="S555" s="6"/>
      <c r="T555" s="7"/>
      <c r="U555" s="51">
        <f t="shared" ref="U555" si="506">SUM(R555:T555)</f>
        <v>0</v>
      </c>
      <c r="V555" s="59">
        <f t="shared" ref="V555" si="507">Q555+U555</f>
        <v>0</v>
      </c>
    </row>
    <row r="556" spans="1:23" ht="14.25" thickBot="1" x14ac:dyDescent="0.2">
      <c r="A556" s="31" t="s">
        <v>19</v>
      </c>
      <c r="B556" s="34">
        <f>SUM(B530:B555)</f>
        <v>30</v>
      </c>
      <c r="C556" s="35">
        <f t="shared" ref="C556:D556" si="508">SUM(C530:C555)</f>
        <v>35</v>
      </c>
      <c r="D556" s="39">
        <f t="shared" si="508"/>
        <v>19</v>
      </c>
      <c r="E556" s="56">
        <f t="shared" si="493"/>
        <v>84</v>
      </c>
      <c r="F556" s="34">
        <f>SUM(F530:F555)</f>
        <v>31</v>
      </c>
      <c r="G556" s="35">
        <f t="shared" ref="G556:H556" si="509">SUM(G530:G555)</f>
        <v>40</v>
      </c>
      <c r="H556" s="39">
        <f t="shared" si="509"/>
        <v>30</v>
      </c>
      <c r="I556" s="56">
        <f t="shared" si="494"/>
        <v>101</v>
      </c>
      <c r="J556" s="62">
        <f>E556+I556</f>
        <v>185</v>
      </c>
      <c r="M556" s="31" t="s">
        <v>19</v>
      </c>
      <c r="N556" s="34">
        <f>SUM(N530:N555)</f>
        <v>4</v>
      </c>
      <c r="O556" s="35">
        <f t="shared" ref="O556:P556" si="510">SUM(O530:O555)</f>
        <v>3</v>
      </c>
      <c r="P556" s="39">
        <f t="shared" si="510"/>
        <v>3</v>
      </c>
      <c r="Q556" s="56">
        <f t="shared" si="499"/>
        <v>10</v>
      </c>
      <c r="R556" s="34">
        <f>SUM(R530:R555)</f>
        <v>6</v>
      </c>
      <c r="S556" s="35">
        <f t="shared" ref="S556:T556" si="511">SUM(S530:S555)</f>
        <v>6</v>
      </c>
      <c r="T556" s="39">
        <f t="shared" si="511"/>
        <v>3</v>
      </c>
      <c r="U556" s="56">
        <f t="shared" si="500"/>
        <v>15</v>
      </c>
      <c r="V556" s="62">
        <f>Q556+U556</f>
        <v>25</v>
      </c>
    </row>
    <row r="557" spans="1:23" ht="14.25" thickBot="1" x14ac:dyDescent="0.2">
      <c r="A557" s="16" t="s">
        <v>17</v>
      </c>
      <c r="B557" s="63">
        <f>B529-B556</f>
        <v>6</v>
      </c>
      <c r="C557" s="64">
        <f t="shared" ref="C557:D557" si="512">C529-C556</f>
        <v>5</v>
      </c>
      <c r="D557" s="65">
        <f t="shared" si="512"/>
        <v>6</v>
      </c>
      <c r="E557" s="57">
        <f>SUM(B557:D557)</f>
        <v>17</v>
      </c>
      <c r="F557" s="63">
        <f>F529-F556</f>
        <v>5</v>
      </c>
      <c r="G557" s="64">
        <f t="shared" ref="G557:H557" si="513">G529-G556</f>
        <v>6</v>
      </c>
      <c r="H557" s="65">
        <f t="shared" si="513"/>
        <v>5</v>
      </c>
      <c r="I557" s="57">
        <f>SUM(F557:H557)</f>
        <v>16</v>
      </c>
      <c r="J557" s="61">
        <f>E557+I557</f>
        <v>33</v>
      </c>
      <c r="M557" s="16" t="s">
        <v>17</v>
      </c>
      <c r="N557" s="63">
        <f>N529-N556</f>
        <v>259</v>
      </c>
      <c r="O557" s="64">
        <f t="shared" ref="O557:P557" si="514">O529-O556</f>
        <v>528</v>
      </c>
      <c r="P557" s="65">
        <f t="shared" si="514"/>
        <v>642</v>
      </c>
      <c r="Q557" s="57">
        <f>SUM(N557:P557)</f>
        <v>1429</v>
      </c>
      <c r="R557" s="63">
        <f>R529-R556</f>
        <v>369</v>
      </c>
      <c r="S557" s="64">
        <f t="shared" ref="S557:T557" si="515">S529-S556</f>
        <v>521</v>
      </c>
      <c r="T557" s="65">
        <f t="shared" si="515"/>
        <v>385</v>
      </c>
      <c r="U557" s="57">
        <f>SUM(R557:T557)</f>
        <v>1275</v>
      </c>
      <c r="V557" s="61">
        <f>Q557+U557</f>
        <v>2704</v>
      </c>
    </row>
    <row r="558" spans="1:23" x14ac:dyDescent="0.15">
      <c r="M558" s="132" t="s">
        <v>283</v>
      </c>
      <c r="N558">
        <v>395</v>
      </c>
      <c r="O558">
        <v>439</v>
      </c>
      <c r="P558">
        <v>280</v>
      </c>
      <c r="Q558">
        <v>1114</v>
      </c>
      <c r="R558">
        <v>451</v>
      </c>
      <c r="S558">
        <v>454</v>
      </c>
      <c r="T558">
        <v>332</v>
      </c>
      <c r="U558">
        <v>1237</v>
      </c>
      <c r="V558" s="81">
        <f>Q558+U558</f>
        <v>2351</v>
      </c>
    </row>
    <row r="559" spans="1:23" s="156" customFormat="1" ht="18.75" customHeight="1" x14ac:dyDescent="0.15">
      <c r="Q559" s="158">
        <f>Q558/V558*100</f>
        <v>47.384091875797537</v>
      </c>
      <c r="U559" s="158">
        <f>U558/V558*100</f>
        <v>52.61590812420247</v>
      </c>
      <c r="W559" s="157"/>
    </row>
    <row r="560" spans="1:23" ht="19.5" thickBot="1" x14ac:dyDescent="0.25">
      <c r="A560" s="66" t="s">
        <v>23</v>
      </c>
      <c r="B560" s="67"/>
      <c r="C560" s="67"/>
      <c r="D560" s="67"/>
      <c r="E560" s="67"/>
      <c r="F560" s="67"/>
      <c r="G560" s="67"/>
      <c r="H560" s="67"/>
      <c r="I560" s="67" t="s">
        <v>26</v>
      </c>
      <c r="J560" s="67"/>
      <c r="M560" s="73" t="s">
        <v>24</v>
      </c>
      <c r="N560" s="74"/>
      <c r="O560" s="74"/>
      <c r="P560" s="74"/>
      <c r="Q560" s="74"/>
      <c r="R560" s="74"/>
      <c r="S560" s="74"/>
      <c r="T560" s="74"/>
      <c r="U560" s="74"/>
      <c r="V560" s="74"/>
    </row>
    <row r="561" spans="1:23" ht="14.25" thickBot="1" x14ac:dyDescent="0.2">
      <c r="A561" s="4" t="s">
        <v>0</v>
      </c>
      <c r="B561" s="191" t="s">
        <v>21</v>
      </c>
      <c r="C561" s="192"/>
      <c r="D561" s="192"/>
      <c r="E561" s="193"/>
      <c r="F561" s="194" t="s">
        <v>18</v>
      </c>
      <c r="G561" s="195"/>
      <c r="H561" s="195"/>
      <c r="I561" s="196"/>
      <c r="J561" s="189" t="s">
        <v>1</v>
      </c>
      <c r="M561" s="4" t="s">
        <v>0</v>
      </c>
      <c r="N561" s="191" t="s">
        <v>21</v>
      </c>
      <c r="O561" s="192"/>
      <c r="P561" s="192"/>
      <c r="Q561" s="193"/>
      <c r="R561" s="194" t="s">
        <v>18</v>
      </c>
      <c r="S561" s="195"/>
      <c r="T561" s="195"/>
      <c r="U561" s="196"/>
      <c r="V561" s="189" t="s">
        <v>1</v>
      </c>
    </row>
    <row r="562" spans="1:23" ht="14.25" thickBot="1" x14ac:dyDescent="0.2">
      <c r="A562" s="4" t="s">
        <v>2</v>
      </c>
      <c r="B562" s="1" t="s">
        <v>3</v>
      </c>
      <c r="C562" s="2" t="s">
        <v>4</v>
      </c>
      <c r="D562" s="3" t="s">
        <v>5</v>
      </c>
      <c r="E562" s="4" t="s">
        <v>6</v>
      </c>
      <c r="F562" s="1" t="s">
        <v>3</v>
      </c>
      <c r="G562" s="2" t="s">
        <v>4</v>
      </c>
      <c r="H562" s="3" t="s">
        <v>5</v>
      </c>
      <c r="I562" s="4" t="s">
        <v>6</v>
      </c>
      <c r="J562" s="190"/>
      <c r="M562" s="4" t="s">
        <v>2</v>
      </c>
      <c r="N562" s="1" t="s">
        <v>3</v>
      </c>
      <c r="O562" s="2" t="s">
        <v>4</v>
      </c>
      <c r="P562" s="3" t="s">
        <v>5</v>
      </c>
      <c r="Q562" s="4" t="s">
        <v>6</v>
      </c>
      <c r="R562" s="1" t="s">
        <v>3</v>
      </c>
      <c r="S562" s="2" t="s">
        <v>4</v>
      </c>
      <c r="T562" s="3" t="s">
        <v>5</v>
      </c>
      <c r="U562" s="4" t="s">
        <v>6</v>
      </c>
      <c r="V562" s="190"/>
    </row>
    <row r="563" spans="1:23" ht="14.25" thickBot="1" x14ac:dyDescent="0.2">
      <c r="A563" s="21" t="s">
        <v>20</v>
      </c>
      <c r="B563" s="22">
        <f>B557</f>
        <v>6</v>
      </c>
      <c r="C563" s="23">
        <f>C557</f>
        <v>5</v>
      </c>
      <c r="D563" s="24">
        <f>D557</f>
        <v>6</v>
      </c>
      <c r="E563" s="54">
        <f>SUM(B563:D563)</f>
        <v>17</v>
      </c>
      <c r="F563" s="22">
        <f>F557</f>
        <v>5</v>
      </c>
      <c r="G563" s="23">
        <f>G557</f>
        <v>6</v>
      </c>
      <c r="H563" s="24">
        <f>H557</f>
        <v>5</v>
      </c>
      <c r="I563" s="54">
        <f>SUM(F563:H563)</f>
        <v>16</v>
      </c>
      <c r="J563" s="61">
        <f>E563+I563</f>
        <v>33</v>
      </c>
      <c r="M563" s="21" t="s">
        <v>20</v>
      </c>
      <c r="N563" s="68">
        <f>N557</f>
        <v>259</v>
      </c>
      <c r="O563" s="69">
        <f>O557</f>
        <v>528</v>
      </c>
      <c r="P563" s="70">
        <f>P557</f>
        <v>642</v>
      </c>
      <c r="Q563" s="71">
        <f>SUM(N563:P563)</f>
        <v>1429</v>
      </c>
      <c r="R563" s="68">
        <f>R557</f>
        <v>369</v>
      </c>
      <c r="S563" s="69">
        <f>S557</f>
        <v>521</v>
      </c>
      <c r="T563" s="70">
        <f>T557</f>
        <v>385</v>
      </c>
      <c r="U563" s="71">
        <f>SUM(R563:T563)</f>
        <v>1275</v>
      </c>
      <c r="V563" s="72">
        <f>Q563+U563</f>
        <v>2704</v>
      </c>
    </row>
    <row r="564" spans="1:23" x14ac:dyDescent="0.15">
      <c r="A564" s="92" t="s">
        <v>8</v>
      </c>
      <c r="B564" s="141"/>
      <c r="C564" s="142"/>
      <c r="D564" s="143"/>
      <c r="E564" s="144">
        <f t="shared" ref="E564:E571" si="516">SUM(B564:D564)</f>
        <v>0</v>
      </c>
      <c r="F564" s="145">
        <v>5</v>
      </c>
      <c r="G564" s="142">
        <v>3</v>
      </c>
      <c r="H564" s="143"/>
      <c r="I564" s="144">
        <f t="shared" ref="I564:I571" si="517">SUM(F564:H564)</f>
        <v>8</v>
      </c>
      <c r="J564" s="146">
        <f t="shared" ref="J564:J571" si="518">E564+I564</f>
        <v>8</v>
      </c>
      <c r="K564" s="147">
        <v>45994</v>
      </c>
      <c r="M564" s="19" t="s">
        <v>95</v>
      </c>
      <c r="N564" s="83">
        <v>76</v>
      </c>
      <c r="O564" s="46">
        <v>43</v>
      </c>
      <c r="P564" s="44">
        <v>51</v>
      </c>
      <c r="Q564" s="50">
        <f>SUM(N564:P564)</f>
        <v>170</v>
      </c>
      <c r="R564" s="45">
        <v>76</v>
      </c>
      <c r="S564" s="46">
        <v>43</v>
      </c>
      <c r="T564" s="47">
        <v>51</v>
      </c>
      <c r="U564" s="50">
        <f>SUM(R564:T564)</f>
        <v>170</v>
      </c>
      <c r="V564" s="84">
        <f>Q564+U564</f>
        <v>340</v>
      </c>
      <c r="W564" s="120">
        <v>46008</v>
      </c>
    </row>
    <row r="565" spans="1:23" x14ac:dyDescent="0.15">
      <c r="A565" s="92" t="s">
        <v>9</v>
      </c>
      <c r="B565" s="149"/>
      <c r="C565" s="150"/>
      <c r="D565" s="151"/>
      <c r="E565" s="144">
        <f t="shared" si="516"/>
        <v>0</v>
      </c>
      <c r="F565" s="152">
        <v>3</v>
      </c>
      <c r="G565" s="150"/>
      <c r="H565" s="151">
        <v>5</v>
      </c>
      <c r="I565" s="144">
        <f t="shared" si="517"/>
        <v>8</v>
      </c>
      <c r="J565" s="99">
        <f t="shared" si="518"/>
        <v>8</v>
      </c>
      <c r="K565" s="147">
        <v>46008</v>
      </c>
      <c r="M565" s="19" t="s">
        <v>9</v>
      </c>
      <c r="N565" s="5"/>
      <c r="O565" s="6"/>
      <c r="P565" s="36"/>
      <c r="Q565" s="52">
        <f t="shared" ref="Q565:Q566" si="519">SUM(N565:P565)</f>
        <v>0</v>
      </c>
      <c r="R565" s="8"/>
      <c r="S565" s="6"/>
      <c r="T565" s="7"/>
      <c r="U565" s="52">
        <f t="shared" ref="U565:U566" si="520">SUM(R565:T565)</f>
        <v>0</v>
      </c>
      <c r="V565" s="59">
        <f t="shared" ref="V565:V566" si="521">Q565+U565</f>
        <v>0</v>
      </c>
    </row>
    <row r="566" spans="1:23" x14ac:dyDescent="0.15">
      <c r="A566" s="92" t="s">
        <v>10</v>
      </c>
      <c r="B566" s="149">
        <v>3</v>
      </c>
      <c r="C566" s="150"/>
      <c r="D566" s="151"/>
      <c r="E566" s="144">
        <f t="shared" si="516"/>
        <v>3</v>
      </c>
      <c r="F566" s="152"/>
      <c r="G566" s="150"/>
      <c r="H566" s="151"/>
      <c r="I566" s="144">
        <f t="shared" si="517"/>
        <v>0</v>
      </c>
      <c r="J566" s="99">
        <f t="shared" si="518"/>
        <v>3</v>
      </c>
      <c r="K566" s="147">
        <v>46015</v>
      </c>
      <c r="M566" s="19" t="s">
        <v>10</v>
      </c>
      <c r="N566" s="5"/>
      <c r="O566" s="6"/>
      <c r="P566" s="36"/>
      <c r="Q566" s="52">
        <f t="shared" si="519"/>
        <v>0</v>
      </c>
      <c r="R566" s="8"/>
      <c r="S566" s="6"/>
      <c r="T566" s="7"/>
      <c r="U566" s="52">
        <f t="shared" si="520"/>
        <v>0</v>
      </c>
      <c r="V566" s="59">
        <f t="shared" si="521"/>
        <v>0</v>
      </c>
    </row>
    <row r="567" spans="1:23" x14ac:dyDescent="0.15">
      <c r="A567" s="19" t="s">
        <v>11</v>
      </c>
      <c r="B567" s="5"/>
      <c r="C567" s="6">
        <v>3</v>
      </c>
      <c r="D567" s="36"/>
      <c r="E567" s="52">
        <f t="shared" si="516"/>
        <v>3</v>
      </c>
      <c r="F567" s="8"/>
      <c r="G567" s="6"/>
      <c r="H567" s="7"/>
      <c r="I567" s="52">
        <f t="shared" si="517"/>
        <v>0</v>
      </c>
      <c r="J567" s="59">
        <f t="shared" si="518"/>
        <v>3</v>
      </c>
      <c r="K567" s="40">
        <v>46063</v>
      </c>
      <c r="M567" s="19" t="s">
        <v>11</v>
      </c>
      <c r="N567" s="5"/>
      <c r="O567" s="6"/>
      <c r="P567" s="36"/>
      <c r="Q567" s="52">
        <f>SUM(N567:P567)</f>
        <v>0</v>
      </c>
      <c r="R567" s="8"/>
      <c r="S567" s="6"/>
      <c r="T567" s="7"/>
      <c r="U567" s="52">
        <f>SUM(R567:T567)</f>
        <v>0</v>
      </c>
      <c r="V567" s="59">
        <f>Q567+U567</f>
        <v>0</v>
      </c>
    </row>
    <row r="568" spans="1:23" x14ac:dyDescent="0.15">
      <c r="A568" s="19" t="s">
        <v>12</v>
      </c>
      <c r="B568" s="5">
        <v>3</v>
      </c>
      <c r="C568" s="6"/>
      <c r="D568" s="36"/>
      <c r="E568" s="52">
        <f t="shared" si="516"/>
        <v>3</v>
      </c>
      <c r="F568" s="8">
        <v>3</v>
      </c>
      <c r="G568" s="6"/>
      <c r="H568" s="7"/>
      <c r="I568" s="52">
        <f t="shared" si="517"/>
        <v>3</v>
      </c>
      <c r="J568" s="59">
        <f t="shared" si="518"/>
        <v>6</v>
      </c>
      <c r="K568" s="41">
        <v>46074</v>
      </c>
      <c r="M568" s="19" t="s">
        <v>12</v>
      </c>
      <c r="N568" s="9"/>
      <c r="O568" s="10"/>
      <c r="P568" s="37"/>
      <c r="Q568" s="52">
        <f t="shared" ref="Q568:Q571" si="522">SUM(N568:P568)</f>
        <v>0</v>
      </c>
      <c r="R568" s="12"/>
      <c r="S568" s="10"/>
      <c r="T568" s="11"/>
      <c r="U568" s="52">
        <f t="shared" ref="U568:U571" si="523">SUM(R568:T568)</f>
        <v>0</v>
      </c>
      <c r="V568" s="59">
        <f t="shared" ref="V568:V571" si="524">Q568+U568</f>
        <v>0</v>
      </c>
    </row>
    <row r="569" spans="1:23" x14ac:dyDescent="0.15">
      <c r="A569" s="19" t="s">
        <v>13</v>
      </c>
      <c r="B569" s="5"/>
      <c r="C569" s="6"/>
      <c r="D569" s="36"/>
      <c r="E569" s="52">
        <f t="shared" si="516"/>
        <v>0</v>
      </c>
      <c r="F569" s="8">
        <v>3</v>
      </c>
      <c r="G569" s="6"/>
      <c r="H569" s="7"/>
      <c r="I569" s="52">
        <f t="shared" si="517"/>
        <v>3</v>
      </c>
      <c r="J569" s="59">
        <f t="shared" si="518"/>
        <v>3</v>
      </c>
      <c r="K569" s="40">
        <v>46086</v>
      </c>
      <c r="M569" s="19" t="s">
        <v>13</v>
      </c>
      <c r="N569" s="9"/>
      <c r="O569" s="10"/>
      <c r="P569" s="37"/>
      <c r="Q569" s="52">
        <f t="shared" si="522"/>
        <v>0</v>
      </c>
      <c r="R569" s="12"/>
      <c r="S569" s="10"/>
      <c r="T569" s="11"/>
      <c r="U569" s="52">
        <f t="shared" si="523"/>
        <v>0</v>
      </c>
      <c r="V569" s="59">
        <f t="shared" si="524"/>
        <v>0</v>
      </c>
    </row>
    <row r="570" spans="1:23" x14ac:dyDescent="0.15">
      <c r="A570" s="19" t="s">
        <v>14</v>
      </c>
      <c r="B570" s="9"/>
      <c r="C570" s="10"/>
      <c r="D570" s="37"/>
      <c r="E570" s="52">
        <f t="shared" si="516"/>
        <v>0</v>
      </c>
      <c r="F570" s="12"/>
      <c r="G570" s="10"/>
      <c r="H570" s="11"/>
      <c r="I570" s="52">
        <f t="shared" si="517"/>
        <v>0</v>
      </c>
      <c r="J570" s="59">
        <f t="shared" si="518"/>
        <v>0</v>
      </c>
      <c r="M570" s="19" t="s">
        <v>14</v>
      </c>
      <c r="N570" s="9"/>
      <c r="O570" s="10"/>
      <c r="P570" s="37"/>
      <c r="Q570" s="52">
        <f t="shared" si="522"/>
        <v>0</v>
      </c>
      <c r="R570" s="12"/>
      <c r="S570" s="10"/>
      <c r="T570" s="11"/>
      <c r="U570" s="52">
        <f t="shared" si="523"/>
        <v>0</v>
      </c>
      <c r="V570" s="59">
        <f t="shared" si="524"/>
        <v>0</v>
      </c>
    </row>
    <row r="571" spans="1:23" ht="14.25" thickBot="1" x14ac:dyDescent="0.2">
      <c r="A571" s="19" t="s">
        <v>15</v>
      </c>
      <c r="B571" s="25"/>
      <c r="C571" s="26"/>
      <c r="D571" s="38"/>
      <c r="E571" s="53">
        <f t="shared" si="516"/>
        <v>0</v>
      </c>
      <c r="F571" s="27"/>
      <c r="G571" s="27"/>
      <c r="H571" s="29"/>
      <c r="I571" s="53">
        <f t="shared" si="517"/>
        <v>0</v>
      </c>
      <c r="J571" s="60">
        <f t="shared" si="518"/>
        <v>0</v>
      </c>
      <c r="M571" s="19" t="s">
        <v>15</v>
      </c>
      <c r="N571" s="25"/>
      <c r="O571" s="26"/>
      <c r="P571" s="38"/>
      <c r="Q571" s="53">
        <f t="shared" si="522"/>
        <v>0</v>
      </c>
      <c r="R571" s="27"/>
      <c r="S571" s="27"/>
      <c r="T571" s="29"/>
      <c r="U571" s="53">
        <f t="shared" si="523"/>
        <v>0</v>
      </c>
      <c r="V571" s="60">
        <f t="shared" si="524"/>
        <v>0</v>
      </c>
    </row>
    <row r="572" spans="1:23" ht="14.25" thickBot="1" x14ac:dyDescent="0.2">
      <c r="A572" s="28" t="s">
        <v>16</v>
      </c>
      <c r="B572" s="22">
        <f>SUM(B563:B571)</f>
        <v>12</v>
      </c>
      <c r="C572" s="23">
        <f t="shared" ref="C572:D572" si="525">SUM(C563:C571)</f>
        <v>8</v>
      </c>
      <c r="D572" s="24">
        <f t="shared" si="525"/>
        <v>6</v>
      </c>
      <c r="E572" s="54">
        <f>SUM(B572:D572)</f>
        <v>26</v>
      </c>
      <c r="F572" s="22">
        <f>SUM(F563:F571)</f>
        <v>19</v>
      </c>
      <c r="G572" s="23">
        <f t="shared" ref="G572:H572" si="526">SUM(G563:G571)</f>
        <v>9</v>
      </c>
      <c r="H572" s="24">
        <f t="shared" si="526"/>
        <v>10</v>
      </c>
      <c r="I572" s="54">
        <f>SUM(F572:H572)</f>
        <v>38</v>
      </c>
      <c r="J572" s="61">
        <f>SUM(J564:J571)</f>
        <v>31</v>
      </c>
      <c r="M572" s="28" t="s">
        <v>16</v>
      </c>
      <c r="N572" s="22">
        <f>SUM(N563:N571)</f>
        <v>335</v>
      </c>
      <c r="O572" s="23">
        <f t="shared" ref="O572:P572" si="527">SUM(O563:O571)</f>
        <v>571</v>
      </c>
      <c r="P572" s="24">
        <f t="shared" si="527"/>
        <v>693</v>
      </c>
      <c r="Q572" s="54">
        <f>SUM(N572:P572)</f>
        <v>1599</v>
      </c>
      <c r="R572" s="22">
        <f>SUM(R563:R571)</f>
        <v>445</v>
      </c>
      <c r="S572" s="23">
        <f t="shared" ref="S572:T572" si="528">SUM(S563:S571)</f>
        <v>564</v>
      </c>
      <c r="T572" s="24">
        <f t="shared" si="528"/>
        <v>436</v>
      </c>
      <c r="U572" s="54">
        <f>SUM(R572:T572)</f>
        <v>1445</v>
      </c>
      <c r="V572" s="61">
        <f>Q572+U572</f>
        <v>3044</v>
      </c>
    </row>
    <row r="573" spans="1:23" x14ac:dyDescent="0.15">
      <c r="A573" s="17" t="s">
        <v>296</v>
      </c>
      <c r="B573" s="9">
        <v>1</v>
      </c>
      <c r="C573" s="10"/>
      <c r="D573" s="11"/>
      <c r="E573" s="51">
        <f t="shared" ref="E573:E599" si="529">SUM(B573:D573)</f>
        <v>1</v>
      </c>
      <c r="F573" s="12"/>
      <c r="G573" s="10"/>
      <c r="H573" s="11"/>
      <c r="I573" s="51">
        <f t="shared" ref="I573:I599" si="530">SUM(F573:H573)</f>
        <v>0</v>
      </c>
      <c r="J573" s="59">
        <f t="shared" ref="J573:J598" si="531">E573+I573</f>
        <v>1</v>
      </c>
      <c r="K573" s="40">
        <v>45982</v>
      </c>
      <c r="M573" s="148" t="s">
        <v>295</v>
      </c>
      <c r="N573" s="149"/>
      <c r="O573" s="150"/>
      <c r="P573" s="151"/>
      <c r="Q573" s="144">
        <f t="shared" ref="Q573:Q599" si="532">SUM(N573:P573)</f>
        <v>0</v>
      </c>
      <c r="R573" s="152">
        <v>5</v>
      </c>
      <c r="S573" s="150">
        <v>3</v>
      </c>
      <c r="T573" s="151"/>
      <c r="U573" s="144">
        <f t="shared" ref="U573:U599" si="533">SUM(R573:T573)</f>
        <v>8</v>
      </c>
      <c r="V573" s="99">
        <f t="shared" ref="V573:V593" si="534">Q573+U573</f>
        <v>8</v>
      </c>
      <c r="W573" s="153">
        <v>45994</v>
      </c>
    </row>
    <row r="574" spans="1:23" x14ac:dyDescent="0.15">
      <c r="A574" s="17" t="s">
        <v>57</v>
      </c>
      <c r="B574" s="5"/>
      <c r="C574" s="6"/>
      <c r="D574" s="7">
        <v>1</v>
      </c>
      <c r="E574" s="51">
        <f t="shared" si="529"/>
        <v>1</v>
      </c>
      <c r="F574" s="8"/>
      <c r="G574" s="6">
        <v>1</v>
      </c>
      <c r="H574" s="7"/>
      <c r="I574" s="51">
        <f t="shared" si="530"/>
        <v>1</v>
      </c>
      <c r="J574" s="59">
        <f t="shared" si="531"/>
        <v>2</v>
      </c>
      <c r="K574" s="41">
        <v>45986</v>
      </c>
      <c r="M574" s="148" t="s">
        <v>295</v>
      </c>
      <c r="N574" s="149"/>
      <c r="O574" s="150"/>
      <c r="P574" s="151"/>
      <c r="Q574" s="144">
        <f t="shared" si="532"/>
        <v>0</v>
      </c>
      <c r="R574" s="152">
        <v>3</v>
      </c>
      <c r="S574" s="150"/>
      <c r="T574" s="151">
        <v>5</v>
      </c>
      <c r="U574" s="144">
        <f t="shared" si="533"/>
        <v>8</v>
      </c>
      <c r="V574" s="99">
        <f t="shared" si="534"/>
        <v>8</v>
      </c>
      <c r="W574" s="153">
        <v>46008</v>
      </c>
    </row>
    <row r="575" spans="1:23" x14ac:dyDescent="0.15">
      <c r="A575" s="17" t="s">
        <v>57</v>
      </c>
      <c r="B575" s="5"/>
      <c r="C575" s="6"/>
      <c r="D575" s="7"/>
      <c r="E575" s="51">
        <f t="shared" si="529"/>
        <v>0</v>
      </c>
      <c r="F575" s="8">
        <v>1</v>
      </c>
      <c r="G575" s="6"/>
      <c r="H575" s="7"/>
      <c r="I575" s="51">
        <f t="shared" si="530"/>
        <v>1</v>
      </c>
      <c r="J575" s="59">
        <f t="shared" si="531"/>
        <v>1</v>
      </c>
      <c r="K575" s="41">
        <v>45989</v>
      </c>
      <c r="M575" s="148" t="s">
        <v>295</v>
      </c>
      <c r="N575" s="149">
        <v>3</v>
      </c>
      <c r="O575" s="150"/>
      <c r="P575" s="151"/>
      <c r="Q575" s="144">
        <f t="shared" si="532"/>
        <v>3</v>
      </c>
      <c r="R575" s="152"/>
      <c r="S575" s="150"/>
      <c r="T575" s="151"/>
      <c r="U575" s="144">
        <f t="shared" si="533"/>
        <v>0</v>
      </c>
      <c r="V575" s="99">
        <f t="shared" si="534"/>
        <v>3</v>
      </c>
      <c r="W575" s="153">
        <v>46015</v>
      </c>
    </row>
    <row r="576" spans="1:23" x14ac:dyDescent="0.15">
      <c r="A576" s="17" t="s">
        <v>299</v>
      </c>
      <c r="B576" s="5"/>
      <c r="C576" s="6"/>
      <c r="D576" s="7"/>
      <c r="E576" s="51">
        <f t="shared" si="529"/>
        <v>0</v>
      </c>
      <c r="F576" s="8">
        <v>2</v>
      </c>
      <c r="G576" s="6">
        <v>2</v>
      </c>
      <c r="H576" s="7">
        <v>1</v>
      </c>
      <c r="I576" s="51">
        <f t="shared" si="530"/>
        <v>5</v>
      </c>
      <c r="J576" s="59">
        <f t="shared" si="531"/>
        <v>5</v>
      </c>
      <c r="K576" s="41">
        <v>45990</v>
      </c>
      <c r="M576" s="20" t="s">
        <v>295</v>
      </c>
      <c r="N576" s="5"/>
      <c r="O576" s="6">
        <v>3</v>
      </c>
      <c r="P576" s="7"/>
      <c r="Q576" s="51">
        <f t="shared" si="532"/>
        <v>3</v>
      </c>
      <c r="R576" s="8"/>
      <c r="S576" s="6"/>
      <c r="T576" s="7"/>
      <c r="U576" s="51">
        <f t="shared" si="533"/>
        <v>0</v>
      </c>
      <c r="V576" s="59">
        <f t="shared" si="534"/>
        <v>3</v>
      </c>
      <c r="W576" s="108">
        <v>46063</v>
      </c>
    </row>
    <row r="577" spans="1:23" x14ac:dyDescent="0.15">
      <c r="A577" s="17" t="s">
        <v>57</v>
      </c>
      <c r="B577" s="5"/>
      <c r="C577" s="6"/>
      <c r="D577" s="7"/>
      <c r="E577" s="51">
        <f t="shared" si="529"/>
        <v>0</v>
      </c>
      <c r="F577" s="8"/>
      <c r="G577" s="6">
        <v>1</v>
      </c>
      <c r="H577" s="7"/>
      <c r="I577" s="51">
        <f t="shared" si="530"/>
        <v>1</v>
      </c>
      <c r="J577" s="59">
        <f t="shared" si="531"/>
        <v>1</v>
      </c>
      <c r="K577" s="41">
        <v>45992</v>
      </c>
      <c r="M577" s="20" t="s">
        <v>295</v>
      </c>
      <c r="N577" s="5">
        <v>3</v>
      </c>
      <c r="O577" s="6"/>
      <c r="P577" s="7"/>
      <c r="Q577" s="51">
        <f t="shared" si="532"/>
        <v>3</v>
      </c>
      <c r="R577" s="8">
        <v>3</v>
      </c>
      <c r="S577" s="6"/>
      <c r="T577" s="7"/>
      <c r="U577" s="51">
        <f t="shared" si="533"/>
        <v>3</v>
      </c>
      <c r="V577" s="59">
        <f t="shared" si="534"/>
        <v>6</v>
      </c>
      <c r="W577" s="108">
        <v>46074</v>
      </c>
    </row>
    <row r="578" spans="1:23" x14ac:dyDescent="0.15">
      <c r="A578" s="17" t="s">
        <v>57</v>
      </c>
      <c r="B578" s="5">
        <v>2</v>
      </c>
      <c r="C578" s="6"/>
      <c r="D578" s="14"/>
      <c r="E578" s="51">
        <f t="shared" si="529"/>
        <v>2</v>
      </c>
      <c r="F578" s="15">
        <v>2</v>
      </c>
      <c r="G578" s="13"/>
      <c r="H578" s="14"/>
      <c r="I578" s="51">
        <f t="shared" si="530"/>
        <v>2</v>
      </c>
      <c r="J578" s="59">
        <f t="shared" si="531"/>
        <v>4</v>
      </c>
      <c r="K578" s="41">
        <v>45993</v>
      </c>
      <c r="M578" s="20" t="s">
        <v>295</v>
      </c>
      <c r="N578" s="5"/>
      <c r="O578" s="6"/>
      <c r="P578" s="14"/>
      <c r="Q578" s="51">
        <f t="shared" si="532"/>
        <v>0</v>
      </c>
      <c r="R578" s="15">
        <v>3</v>
      </c>
      <c r="S578" s="13"/>
      <c r="T578" s="14"/>
      <c r="U578" s="51">
        <f t="shared" si="533"/>
        <v>3</v>
      </c>
      <c r="V578" s="59">
        <f t="shared" si="534"/>
        <v>3</v>
      </c>
      <c r="W578" s="108">
        <v>46086</v>
      </c>
    </row>
    <row r="579" spans="1:23" x14ac:dyDescent="0.15">
      <c r="A579" s="17" t="s">
        <v>57</v>
      </c>
      <c r="B579" s="5"/>
      <c r="C579" s="6"/>
      <c r="D579" s="7"/>
      <c r="E579" s="51">
        <f t="shared" si="529"/>
        <v>0</v>
      </c>
      <c r="F579" s="8"/>
      <c r="G579" s="6"/>
      <c r="H579" s="7">
        <v>1</v>
      </c>
      <c r="I579" s="51">
        <f t="shared" si="530"/>
        <v>1</v>
      </c>
      <c r="J579" s="59">
        <f t="shared" si="531"/>
        <v>1</v>
      </c>
      <c r="K579" s="41">
        <v>45994</v>
      </c>
      <c r="M579" s="148" t="s">
        <v>295</v>
      </c>
      <c r="N579" s="149"/>
      <c r="O579" s="150"/>
      <c r="P579" s="151">
        <v>3</v>
      </c>
      <c r="Q579" s="144">
        <f t="shared" si="532"/>
        <v>3</v>
      </c>
      <c r="R579" s="152"/>
      <c r="S579" s="150"/>
      <c r="T579" s="151"/>
      <c r="U579" s="144">
        <f t="shared" si="533"/>
        <v>0</v>
      </c>
      <c r="V579" s="99">
        <f t="shared" si="534"/>
        <v>3</v>
      </c>
      <c r="W579" s="153">
        <v>46099</v>
      </c>
    </row>
    <row r="580" spans="1:23" x14ac:dyDescent="0.15">
      <c r="A580" s="17" t="s">
        <v>301</v>
      </c>
      <c r="B580" s="5"/>
      <c r="C580" s="6"/>
      <c r="D580" s="7"/>
      <c r="E580" s="51">
        <f t="shared" si="529"/>
        <v>0</v>
      </c>
      <c r="F580" s="8"/>
      <c r="G580" s="6">
        <v>1</v>
      </c>
      <c r="H580" s="7"/>
      <c r="I580" s="51">
        <f t="shared" si="530"/>
        <v>1</v>
      </c>
      <c r="J580" s="59">
        <f t="shared" si="531"/>
        <v>1</v>
      </c>
      <c r="K580" s="40">
        <v>45997</v>
      </c>
      <c r="M580" s="148" t="s">
        <v>295</v>
      </c>
      <c r="N580" s="149" t="s">
        <v>22</v>
      </c>
      <c r="O580" s="150"/>
      <c r="P580" s="151"/>
      <c r="Q580" s="144">
        <f t="shared" si="532"/>
        <v>0</v>
      </c>
      <c r="R580" s="152"/>
      <c r="S580" s="150"/>
      <c r="T580" s="151">
        <v>3</v>
      </c>
      <c r="U580" s="144">
        <f t="shared" si="533"/>
        <v>3</v>
      </c>
      <c r="V580" s="99">
        <f t="shared" si="534"/>
        <v>3</v>
      </c>
      <c r="W580" s="153">
        <v>46106</v>
      </c>
    </row>
    <row r="581" spans="1:23" x14ac:dyDescent="0.15">
      <c r="A581" s="17" t="s">
        <v>57</v>
      </c>
      <c r="B581" s="5"/>
      <c r="C581" s="6"/>
      <c r="D581" s="7"/>
      <c r="E581" s="51">
        <f t="shared" si="529"/>
        <v>0</v>
      </c>
      <c r="F581" s="8">
        <v>1</v>
      </c>
      <c r="G581" s="6"/>
      <c r="H581" s="7"/>
      <c r="I581" s="51">
        <f t="shared" si="530"/>
        <v>1</v>
      </c>
      <c r="J581" s="59">
        <f t="shared" si="531"/>
        <v>1</v>
      </c>
      <c r="K581" s="41">
        <v>45996</v>
      </c>
      <c r="M581" s="20"/>
      <c r="N581" s="5"/>
      <c r="O581" s="6"/>
      <c r="P581" s="7"/>
      <c r="Q581" s="51">
        <f t="shared" si="532"/>
        <v>0</v>
      </c>
      <c r="R581" s="8"/>
      <c r="S581" s="6"/>
      <c r="T581" s="7"/>
      <c r="U581" s="51">
        <f t="shared" si="533"/>
        <v>0</v>
      </c>
      <c r="V581" s="59">
        <f t="shared" si="534"/>
        <v>0</v>
      </c>
    </row>
    <row r="582" spans="1:23" x14ac:dyDescent="0.15">
      <c r="A582" s="17" t="s">
        <v>57</v>
      </c>
      <c r="B582" s="9"/>
      <c r="C582" s="10"/>
      <c r="D582" s="11"/>
      <c r="E582" s="51">
        <f t="shared" si="529"/>
        <v>0</v>
      </c>
      <c r="F582" s="12">
        <v>1</v>
      </c>
      <c r="G582" s="10"/>
      <c r="H582" s="11"/>
      <c r="I582" s="51">
        <f t="shared" si="530"/>
        <v>1</v>
      </c>
      <c r="J582" s="59">
        <f t="shared" si="531"/>
        <v>1</v>
      </c>
      <c r="K582" s="41">
        <v>45999</v>
      </c>
      <c r="M582" s="18"/>
      <c r="N582" s="9"/>
      <c r="O582" s="10"/>
      <c r="P582" s="11"/>
      <c r="Q582" s="51">
        <f t="shared" si="532"/>
        <v>0</v>
      </c>
      <c r="R582" s="12"/>
      <c r="S582" s="10"/>
      <c r="T582" s="11"/>
      <c r="U582" s="51">
        <f t="shared" si="533"/>
        <v>0</v>
      </c>
      <c r="V582" s="59">
        <f t="shared" si="534"/>
        <v>0</v>
      </c>
    </row>
    <row r="583" spans="1:23" x14ac:dyDescent="0.15">
      <c r="A583" s="17" t="s">
        <v>304</v>
      </c>
      <c r="B583" s="5">
        <v>1</v>
      </c>
      <c r="C583" s="6"/>
      <c r="D583" s="7"/>
      <c r="E583" s="51">
        <f t="shared" si="529"/>
        <v>1</v>
      </c>
      <c r="F583" s="8">
        <v>1</v>
      </c>
      <c r="G583" s="6"/>
      <c r="H583" s="7"/>
      <c r="I583" s="51">
        <f t="shared" si="530"/>
        <v>1</v>
      </c>
      <c r="J583" s="59">
        <f t="shared" si="531"/>
        <v>2</v>
      </c>
      <c r="K583" s="41">
        <v>46006</v>
      </c>
      <c r="M583" s="20"/>
      <c r="N583" s="5"/>
      <c r="O583" s="6"/>
      <c r="P583" s="7"/>
      <c r="Q583" s="51">
        <f t="shared" si="532"/>
        <v>0</v>
      </c>
      <c r="R583" s="8"/>
      <c r="S583" s="6"/>
      <c r="T583" s="7"/>
      <c r="U583" s="51">
        <f t="shared" si="533"/>
        <v>0</v>
      </c>
      <c r="V583" s="59">
        <f t="shared" si="534"/>
        <v>0</v>
      </c>
    </row>
    <row r="584" spans="1:23" x14ac:dyDescent="0.15">
      <c r="A584" s="17" t="s">
        <v>57</v>
      </c>
      <c r="B584" s="5"/>
      <c r="C584" s="6"/>
      <c r="D584" s="7"/>
      <c r="E584" s="51">
        <f t="shared" si="529"/>
        <v>0</v>
      </c>
      <c r="F584" s="8"/>
      <c r="G584" s="6"/>
      <c r="H584" s="7">
        <v>2</v>
      </c>
      <c r="I584" s="51">
        <f t="shared" si="530"/>
        <v>2</v>
      </c>
      <c r="J584" s="59">
        <f t="shared" si="531"/>
        <v>2</v>
      </c>
      <c r="K584" s="40">
        <v>46007</v>
      </c>
      <c r="M584" s="20"/>
      <c r="N584" s="5"/>
      <c r="O584" s="6"/>
      <c r="P584" s="7"/>
      <c r="Q584" s="51">
        <f t="shared" si="532"/>
        <v>0</v>
      </c>
      <c r="R584" s="8"/>
      <c r="S584" s="6"/>
      <c r="T584" s="7"/>
      <c r="U584" s="51">
        <f t="shared" si="533"/>
        <v>0</v>
      </c>
      <c r="V584" s="59">
        <f t="shared" si="534"/>
        <v>0</v>
      </c>
    </row>
    <row r="585" spans="1:23" x14ac:dyDescent="0.15">
      <c r="A585" s="17" t="s">
        <v>307</v>
      </c>
      <c r="B585" s="5"/>
      <c r="C585" s="6">
        <v>2</v>
      </c>
      <c r="D585" s="7"/>
      <c r="E585" s="51">
        <f t="shared" si="529"/>
        <v>2</v>
      </c>
      <c r="F585" s="8"/>
      <c r="G585" s="6"/>
      <c r="H585" s="7"/>
      <c r="I585" s="51">
        <f t="shared" si="530"/>
        <v>0</v>
      </c>
      <c r="J585" s="59">
        <f t="shared" si="531"/>
        <v>2</v>
      </c>
      <c r="K585" s="40">
        <v>46009</v>
      </c>
      <c r="M585" s="18"/>
      <c r="N585" s="5"/>
      <c r="O585" s="6"/>
      <c r="P585" s="7"/>
      <c r="Q585" s="51">
        <f t="shared" si="532"/>
        <v>0</v>
      </c>
      <c r="R585" s="8"/>
      <c r="S585" s="6"/>
      <c r="T585" s="7"/>
      <c r="U585" s="51">
        <f t="shared" si="533"/>
        <v>0</v>
      </c>
      <c r="V585" s="59">
        <f t="shared" si="534"/>
        <v>0</v>
      </c>
    </row>
    <row r="586" spans="1:23" x14ac:dyDescent="0.15">
      <c r="A586" s="17" t="s">
        <v>57</v>
      </c>
      <c r="B586" s="5"/>
      <c r="C586" s="6"/>
      <c r="D586" s="7"/>
      <c r="E586" s="51">
        <f t="shared" si="529"/>
        <v>0</v>
      </c>
      <c r="F586" s="8"/>
      <c r="G586" s="6"/>
      <c r="H586" s="7">
        <v>1</v>
      </c>
      <c r="I586" s="51">
        <f t="shared" si="530"/>
        <v>1</v>
      </c>
      <c r="J586" s="59">
        <f t="shared" si="531"/>
        <v>1</v>
      </c>
      <c r="K586" s="41">
        <v>46011</v>
      </c>
      <c r="M586" s="18"/>
      <c r="N586" s="5"/>
      <c r="O586" s="6"/>
      <c r="P586" s="7"/>
      <c r="Q586" s="51">
        <f t="shared" si="532"/>
        <v>0</v>
      </c>
      <c r="R586" s="8"/>
      <c r="S586" s="6"/>
      <c r="T586" s="7"/>
      <c r="U586" s="51">
        <f t="shared" si="533"/>
        <v>0</v>
      </c>
      <c r="V586" s="59">
        <f t="shared" si="534"/>
        <v>0</v>
      </c>
    </row>
    <row r="587" spans="1:23" x14ac:dyDescent="0.15">
      <c r="A587" s="17" t="s">
        <v>57</v>
      </c>
      <c r="B587" s="5">
        <v>1</v>
      </c>
      <c r="C587" s="6"/>
      <c r="D587" s="7"/>
      <c r="E587" s="51">
        <f t="shared" si="529"/>
        <v>1</v>
      </c>
      <c r="F587" s="8"/>
      <c r="G587" s="6"/>
      <c r="H587" s="7"/>
      <c r="I587" s="51">
        <f t="shared" si="530"/>
        <v>0</v>
      </c>
      <c r="J587" s="59">
        <f t="shared" si="531"/>
        <v>1</v>
      </c>
      <c r="K587" s="41">
        <v>46013</v>
      </c>
      <c r="M587" s="20"/>
      <c r="N587" s="5"/>
      <c r="O587" s="6"/>
      <c r="P587" s="7"/>
      <c r="Q587" s="51">
        <f t="shared" si="532"/>
        <v>0</v>
      </c>
      <c r="R587" s="8"/>
      <c r="S587" s="6"/>
      <c r="T587" s="7"/>
      <c r="U587" s="51">
        <f t="shared" si="533"/>
        <v>0</v>
      </c>
      <c r="V587" s="59">
        <f t="shared" si="534"/>
        <v>0</v>
      </c>
    </row>
    <row r="588" spans="1:23" x14ac:dyDescent="0.15">
      <c r="A588" s="17" t="s">
        <v>57</v>
      </c>
      <c r="B588" s="5"/>
      <c r="C588" s="6"/>
      <c r="D588" s="7">
        <v>1</v>
      </c>
      <c r="E588" s="51">
        <f t="shared" si="529"/>
        <v>1</v>
      </c>
      <c r="F588" s="8"/>
      <c r="G588" s="6"/>
      <c r="H588" s="7"/>
      <c r="I588" s="51">
        <f t="shared" si="530"/>
        <v>0</v>
      </c>
      <c r="J588" s="59">
        <f t="shared" si="531"/>
        <v>1</v>
      </c>
      <c r="K588" s="41">
        <v>46027</v>
      </c>
      <c r="M588" s="20"/>
      <c r="N588" s="5"/>
      <c r="O588" s="6"/>
      <c r="P588" s="7"/>
      <c r="Q588" s="51">
        <f t="shared" si="532"/>
        <v>0</v>
      </c>
      <c r="R588" s="8"/>
      <c r="S588" s="6"/>
      <c r="T588" s="7"/>
      <c r="U588" s="51">
        <f t="shared" si="533"/>
        <v>0</v>
      </c>
      <c r="V588" s="59">
        <f t="shared" si="534"/>
        <v>0</v>
      </c>
    </row>
    <row r="589" spans="1:23" x14ac:dyDescent="0.15">
      <c r="A589" s="17" t="s">
        <v>57</v>
      </c>
      <c r="B589" s="5">
        <v>1</v>
      </c>
      <c r="C589" s="6"/>
      <c r="D589" s="7"/>
      <c r="E589" s="51">
        <f t="shared" si="529"/>
        <v>1</v>
      </c>
      <c r="F589" s="8"/>
      <c r="G589" s="6"/>
      <c r="H589" s="7"/>
      <c r="I589" s="51">
        <f t="shared" si="530"/>
        <v>0</v>
      </c>
      <c r="J589" s="59">
        <f t="shared" si="531"/>
        <v>1</v>
      </c>
      <c r="K589" s="41">
        <v>46051</v>
      </c>
      <c r="M589" s="18"/>
      <c r="N589" s="5"/>
      <c r="O589" s="6"/>
      <c r="P589" s="7"/>
      <c r="Q589" s="51">
        <f t="shared" si="532"/>
        <v>0</v>
      </c>
      <c r="R589" s="8"/>
      <c r="S589" s="6"/>
      <c r="T589" s="7"/>
      <c r="U589" s="51">
        <f t="shared" si="533"/>
        <v>0</v>
      </c>
      <c r="V589" s="59">
        <f t="shared" si="534"/>
        <v>0</v>
      </c>
    </row>
    <row r="590" spans="1:23" x14ac:dyDescent="0.15">
      <c r="A590" s="17" t="s">
        <v>38</v>
      </c>
      <c r="B590" s="5"/>
      <c r="C590" s="6">
        <v>1</v>
      </c>
      <c r="D590" s="7"/>
      <c r="E590" s="51">
        <f t="shared" si="529"/>
        <v>1</v>
      </c>
      <c r="F590" s="8"/>
      <c r="G590" s="6"/>
      <c r="H590" s="7"/>
      <c r="I590" s="51">
        <f t="shared" si="530"/>
        <v>0</v>
      </c>
      <c r="J590" s="59">
        <f t="shared" si="531"/>
        <v>1</v>
      </c>
      <c r="K590" s="40">
        <v>46062</v>
      </c>
      <c r="M590" s="20"/>
      <c r="N590" s="5"/>
      <c r="O590" s="6"/>
      <c r="P590" s="7"/>
      <c r="Q590" s="51">
        <f t="shared" si="532"/>
        <v>0</v>
      </c>
      <c r="R590" s="8"/>
      <c r="S590" s="6"/>
      <c r="T590" s="7"/>
      <c r="U590" s="51">
        <f t="shared" si="533"/>
        <v>0</v>
      </c>
      <c r="V590" s="59">
        <f t="shared" si="534"/>
        <v>0</v>
      </c>
    </row>
    <row r="591" spans="1:23" x14ac:dyDescent="0.15">
      <c r="A591" s="18" t="s">
        <v>57</v>
      </c>
      <c r="B591" s="5"/>
      <c r="C591" s="6">
        <v>1</v>
      </c>
      <c r="D591" s="7"/>
      <c r="E591" s="51">
        <f t="shared" si="529"/>
        <v>1</v>
      </c>
      <c r="F591" s="8"/>
      <c r="G591" s="6"/>
      <c r="H591" s="7"/>
      <c r="I591" s="51">
        <f t="shared" si="530"/>
        <v>0</v>
      </c>
      <c r="J591" s="59">
        <f t="shared" si="531"/>
        <v>1</v>
      </c>
      <c r="K591" s="41">
        <v>46062</v>
      </c>
      <c r="M591" s="18"/>
      <c r="N591" s="5"/>
      <c r="O591" s="6"/>
      <c r="P591" s="7"/>
      <c r="Q591" s="51">
        <f t="shared" si="532"/>
        <v>0</v>
      </c>
      <c r="R591" s="8"/>
      <c r="S591" s="6"/>
      <c r="T591" s="7"/>
      <c r="U591" s="51">
        <f t="shared" si="533"/>
        <v>0</v>
      </c>
      <c r="V591" s="59">
        <f t="shared" si="534"/>
        <v>0</v>
      </c>
    </row>
    <row r="592" spans="1:23" x14ac:dyDescent="0.15">
      <c r="A592" s="18" t="s">
        <v>57</v>
      </c>
      <c r="B592" s="5"/>
      <c r="C592" s="6"/>
      <c r="D592" s="7"/>
      <c r="E592" s="51">
        <f t="shared" si="529"/>
        <v>0</v>
      </c>
      <c r="F592" s="8">
        <v>1</v>
      </c>
      <c r="G592" s="6"/>
      <c r="H592" s="7"/>
      <c r="I592" s="51">
        <f t="shared" si="530"/>
        <v>1</v>
      </c>
      <c r="J592" s="59">
        <f t="shared" si="531"/>
        <v>1</v>
      </c>
      <c r="K592" s="41">
        <v>46065</v>
      </c>
      <c r="M592" s="20"/>
      <c r="N592" s="5"/>
      <c r="O592" s="6"/>
      <c r="P592" s="7"/>
      <c r="Q592" s="51">
        <f t="shared" si="532"/>
        <v>0</v>
      </c>
      <c r="R592" s="8"/>
      <c r="S592" s="6"/>
      <c r="T592" s="7"/>
      <c r="U592" s="51">
        <f t="shared" si="533"/>
        <v>0</v>
      </c>
      <c r="V592" s="59">
        <f t="shared" si="534"/>
        <v>0</v>
      </c>
    </row>
    <row r="593" spans="1:23" x14ac:dyDescent="0.15">
      <c r="A593" s="17" t="s">
        <v>269</v>
      </c>
      <c r="B593" s="5">
        <v>1</v>
      </c>
      <c r="C593" s="6"/>
      <c r="D593" s="7"/>
      <c r="E593" s="51">
        <f t="shared" si="529"/>
        <v>1</v>
      </c>
      <c r="F593" s="8">
        <v>1</v>
      </c>
      <c r="G593" s="6"/>
      <c r="H593" s="7"/>
      <c r="I593" s="51">
        <f t="shared" si="530"/>
        <v>1</v>
      </c>
      <c r="J593" s="59">
        <f t="shared" si="531"/>
        <v>2</v>
      </c>
      <c r="K593" s="40">
        <v>46069</v>
      </c>
      <c r="M593" s="20"/>
      <c r="N593" s="5"/>
      <c r="O593" s="6"/>
      <c r="P593" s="7"/>
      <c r="Q593" s="51">
        <f t="shared" si="532"/>
        <v>0</v>
      </c>
      <c r="R593" s="8"/>
      <c r="S593" s="6"/>
      <c r="T593" s="7"/>
      <c r="U593" s="51">
        <f t="shared" si="533"/>
        <v>0</v>
      </c>
      <c r="V593" s="59">
        <f t="shared" si="534"/>
        <v>0</v>
      </c>
    </row>
    <row r="594" spans="1:23" x14ac:dyDescent="0.15">
      <c r="A594" s="17" t="s">
        <v>38</v>
      </c>
      <c r="B594" s="9"/>
      <c r="C594" s="10"/>
      <c r="D594" s="11"/>
      <c r="E594" s="51">
        <f t="shared" si="529"/>
        <v>0</v>
      </c>
      <c r="F594" s="12"/>
      <c r="G594" s="10"/>
      <c r="H594" s="11">
        <v>1</v>
      </c>
      <c r="I594" s="51">
        <f t="shared" si="530"/>
        <v>1</v>
      </c>
      <c r="J594" s="59">
        <f t="shared" si="531"/>
        <v>1</v>
      </c>
      <c r="K594" s="40">
        <v>46069</v>
      </c>
      <c r="M594" s="20"/>
      <c r="N594" s="5"/>
      <c r="O594" s="6"/>
      <c r="P594" s="7"/>
      <c r="Q594" s="51">
        <f t="shared" ref="Q594:Q598" si="535">SUM(N594:P594)</f>
        <v>0</v>
      </c>
      <c r="R594" s="8"/>
      <c r="S594" s="6"/>
      <c r="T594" s="7"/>
      <c r="U594" s="51">
        <f t="shared" ref="U594:U598" si="536">SUM(R594:T594)</f>
        <v>0</v>
      </c>
      <c r="V594" s="59">
        <f t="shared" ref="V594:V598" si="537">Q594+U594</f>
        <v>0</v>
      </c>
    </row>
    <row r="595" spans="1:23" x14ac:dyDescent="0.15">
      <c r="A595" s="18" t="s">
        <v>57</v>
      </c>
      <c r="B595" s="5">
        <v>1</v>
      </c>
      <c r="C595" s="6"/>
      <c r="D595" s="7"/>
      <c r="E595" s="51">
        <f t="shared" si="529"/>
        <v>1</v>
      </c>
      <c r="F595" s="8">
        <v>1</v>
      </c>
      <c r="G595" s="6"/>
      <c r="H595" s="7"/>
      <c r="I595" s="51">
        <f t="shared" si="530"/>
        <v>1</v>
      </c>
      <c r="J595" s="59">
        <f t="shared" si="531"/>
        <v>2</v>
      </c>
      <c r="K595" s="41">
        <v>46073</v>
      </c>
      <c r="M595" s="20"/>
      <c r="N595" s="5"/>
      <c r="O595" s="6"/>
      <c r="P595" s="7"/>
      <c r="Q595" s="51">
        <f t="shared" si="535"/>
        <v>0</v>
      </c>
      <c r="R595" s="8"/>
      <c r="S595" s="6"/>
      <c r="T595" s="7"/>
      <c r="U595" s="51">
        <f t="shared" si="536"/>
        <v>0</v>
      </c>
      <c r="V595" s="59">
        <f t="shared" si="537"/>
        <v>0</v>
      </c>
    </row>
    <row r="596" spans="1:23" x14ac:dyDescent="0.15">
      <c r="A596" s="18" t="s">
        <v>57</v>
      </c>
      <c r="B596" s="9"/>
      <c r="C596" s="10"/>
      <c r="D596" s="11"/>
      <c r="E596" s="52">
        <f t="shared" si="529"/>
        <v>0</v>
      </c>
      <c r="F596" s="12">
        <v>2</v>
      </c>
      <c r="G596" s="10"/>
      <c r="H596" s="11"/>
      <c r="I596" s="52">
        <f t="shared" si="530"/>
        <v>2</v>
      </c>
      <c r="J596" s="59">
        <f t="shared" si="531"/>
        <v>2</v>
      </c>
      <c r="K596" s="41">
        <v>46077</v>
      </c>
      <c r="M596" s="20"/>
      <c r="N596" s="5"/>
      <c r="O596" s="6"/>
      <c r="P596" s="7"/>
      <c r="Q596" s="51">
        <f t="shared" si="535"/>
        <v>0</v>
      </c>
      <c r="R596" s="8"/>
      <c r="S596" s="6"/>
      <c r="T596" s="7"/>
      <c r="U596" s="51">
        <f t="shared" si="536"/>
        <v>0</v>
      </c>
      <c r="V596" s="59">
        <f t="shared" si="537"/>
        <v>0</v>
      </c>
    </row>
    <row r="597" spans="1:23" x14ac:dyDescent="0.15">
      <c r="A597" s="18" t="s">
        <v>57</v>
      </c>
      <c r="B597" s="5">
        <v>1</v>
      </c>
      <c r="C597" s="6"/>
      <c r="D597" s="7"/>
      <c r="E597" s="51">
        <f t="shared" si="529"/>
        <v>1</v>
      </c>
      <c r="F597" s="8">
        <v>1</v>
      </c>
      <c r="G597" s="6"/>
      <c r="H597" s="7"/>
      <c r="I597" s="51">
        <f t="shared" si="530"/>
        <v>1</v>
      </c>
      <c r="J597" s="59">
        <f t="shared" si="531"/>
        <v>2</v>
      </c>
      <c r="K597" s="41">
        <v>46083</v>
      </c>
      <c r="M597" s="20"/>
      <c r="N597" s="5"/>
      <c r="O597" s="6"/>
      <c r="P597" s="7"/>
      <c r="Q597" s="51">
        <f t="shared" si="535"/>
        <v>0</v>
      </c>
      <c r="R597" s="8"/>
      <c r="S597" s="6"/>
      <c r="T597" s="7"/>
      <c r="U597" s="51">
        <f t="shared" si="536"/>
        <v>0</v>
      </c>
      <c r="V597" s="59">
        <f t="shared" si="537"/>
        <v>0</v>
      </c>
    </row>
    <row r="598" spans="1:23" ht="14.25" thickBot="1" x14ac:dyDescent="0.2">
      <c r="A598" s="18" t="s">
        <v>57</v>
      </c>
      <c r="B598" s="9"/>
      <c r="C598" s="10"/>
      <c r="D598" s="11"/>
      <c r="E598" s="55">
        <f t="shared" si="529"/>
        <v>0</v>
      </c>
      <c r="F598" s="12">
        <v>1</v>
      </c>
      <c r="G598" s="10"/>
      <c r="H598" s="11"/>
      <c r="I598" s="55">
        <f t="shared" si="530"/>
        <v>1</v>
      </c>
      <c r="J598" s="59">
        <f t="shared" si="531"/>
        <v>1</v>
      </c>
      <c r="K598" s="41">
        <v>46087</v>
      </c>
      <c r="M598" s="20"/>
      <c r="N598" s="5"/>
      <c r="O598" s="6"/>
      <c r="P598" s="7"/>
      <c r="Q598" s="51">
        <f t="shared" si="535"/>
        <v>0</v>
      </c>
      <c r="R598" s="8"/>
      <c r="S598" s="6"/>
      <c r="T598" s="7"/>
      <c r="U598" s="51">
        <f t="shared" si="536"/>
        <v>0</v>
      </c>
      <c r="V598" s="59">
        <f t="shared" si="537"/>
        <v>0</v>
      </c>
    </row>
    <row r="599" spans="1:23" ht="14.25" thickBot="1" x14ac:dyDescent="0.2">
      <c r="A599" s="31" t="s">
        <v>19</v>
      </c>
      <c r="B599" s="34">
        <f>SUM(B573:B598)</f>
        <v>9</v>
      </c>
      <c r="C599" s="35">
        <f t="shared" ref="C599:D599" si="538">SUM(C573:C598)</f>
        <v>4</v>
      </c>
      <c r="D599" s="39">
        <f t="shared" si="538"/>
        <v>2</v>
      </c>
      <c r="E599" s="56">
        <f t="shared" si="529"/>
        <v>15</v>
      </c>
      <c r="F599" s="34">
        <f>SUM(F573:F598)</f>
        <v>15</v>
      </c>
      <c r="G599" s="35">
        <f t="shared" ref="G599:H599" si="539">SUM(G573:G598)</f>
        <v>5</v>
      </c>
      <c r="H599" s="39">
        <f t="shared" si="539"/>
        <v>6</v>
      </c>
      <c r="I599" s="56">
        <f t="shared" si="530"/>
        <v>26</v>
      </c>
      <c r="J599" s="62">
        <f>E599+I599</f>
        <v>41</v>
      </c>
      <c r="M599" s="31" t="s">
        <v>19</v>
      </c>
      <c r="N599" s="34">
        <f>SUM(N573:N598)</f>
        <v>6</v>
      </c>
      <c r="O599" s="35">
        <f t="shared" ref="O599:P599" si="540">SUM(O573:O598)</f>
        <v>3</v>
      </c>
      <c r="P599" s="39">
        <f t="shared" si="540"/>
        <v>3</v>
      </c>
      <c r="Q599" s="56">
        <f t="shared" si="532"/>
        <v>12</v>
      </c>
      <c r="R599" s="34">
        <f>SUM(R573:R598)</f>
        <v>14</v>
      </c>
      <c r="S599" s="35">
        <f t="shared" ref="S599:T599" si="541">SUM(S573:S598)</f>
        <v>3</v>
      </c>
      <c r="T599" s="39">
        <f t="shared" si="541"/>
        <v>8</v>
      </c>
      <c r="U599" s="56">
        <f t="shared" si="533"/>
        <v>25</v>
      </c>
      <c r="V599" s="62">
        <f>Q599+U599</f>
        <v>37</v>
      </c>
    </row>
    <row r="600" spans="1:23" ht="14.25" thickBot="1" x14ac:dyDescent="0.2">
      <c r="A600" s="16" t="s">
        <v>17</v>
      </c>
      <c r="B600" s="63">
        <f>B572-B599</f>
        <v>3</v>
      </c>
      <c r="C600" s="64">
        <f t="shared" ref="C600:D600" si="542">C572-C599</f>
        <v>4</v>
      </c>
      <c r="D600" s="65">
        <f t="shared" si="542"/>
        <v>4</v>
      </c>
      <c r="E600" s="57">
        <f>SUM(B600:D600)</f>
        <v>11</v>
      </c>
      <c r="F600" s="63">
        <f>F572-F599</f>
        <v>4</v>
      </c>
      <c r="G600" s="64">
        <f t="shared" ref="G600:H600" si="543">G572-G599</f>
        <v>4</v>
      </c>
      <c r="H600" s="65">
        <f t="shared" si="543"/>
        <v>4</v>
      </c>
      <c r="I600" s="57">
        <f>SUM(F600:H600)</f>
        <v>12</v>
      </c>
      <c r="J600" s="61">
        <f>E600+I600</f>
        <v>23</v>
      </c>
      <c r="M600" s="16" t="s">
        <v>17</v>
      </c>
      <c r="N600" s="63">
        <f>N572-N599</f>
        <v>329</v>
      </c>
      <c r="O600" s="64">
        <f t="shared" ref="O600:P600" si="544">O572-O599</f>
        <v>568</v>
      </c>
      <c r="P600" s="65">
        <f t="shared" si="544"/>
        <v>690</v>
      </c>
      <c r="Q600" s="57">
        <f>SUM(N600:P600)</f>
        <v>1587</v>
      </c>
      <c r="R600" s="63">
        <f>R572-R599</f>
        <v>431</v>
      </c>
      <c r="S600" s="64">
        <f t="shared" ref="S600:T600" si="545">S572-S599</f>
        <v>561</v>
      </c>
      <c r="T600" s="65">
        <f t="shared" si="545"/>
        <v>428</v>
      </c>
      <c r="U600" s="57">
        <f>SUM(R600:T600)</f>
        <v>1420</v>
      </c>
      <c r="V600" s="61">
        <f>Q600+U600</f>
        <v>3007</v>
      </c>
      <c r="W600" s="131" t="s">
        <v>317</v>
      </c>
    </row>
    <row r="601" spans="1:23" x14ac:dyDescent="0.15">
      <c r="M601" s="178" t="s">
        <v>283</v>
      </c>
      <c r="N601" s="30">
        <f>N599+N558</f>
        <v>401</v>
      </c>
      <c r="O601" s="30">
        <f t="shared" ref="O601:V601" si="546">O599+O558</f>
        <v>442</v>
      </c>
      <c r="P601" s="30">
        <f t="shared" si="546"/>
        <v>283</v>
      </c>
      <c r="Q601" s="30">
        <f t="shared" si="546"/>
        <v>1126</v>
      </c>
      <c r="R601" s="30">
        <f t="shared" si="546"/>
        <v>465</v>
      </c>
      <c r="S601" s="30">
        <f t="shared" si="546"/>
        <v>457</v>
      </c>
      <c r="T601" s="30">
        <f t="shared" si="546"/>
        <v>340</v>
      </c>
      <c r="U601" s="30">
        <f t="shared" si="546"/>
        <v>1262</v>
      </c>
      <c r="V601" s="30">
        <f t="shared" si="546"/>
        <v>2388</v>
      </c>
    </row>
    <row r="602" spans="1:23" ht="28.5" customHeight="1" x14ac:dyDescent="0.15">
      <c r="A602" s="197" t="s">
        <v>290</v>
      </c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</row>
    <row r="603" spans="1:23" ht="19.5" thickBot="1" x14ac:dyDescent="0.25">
      <c r="A603" s="66" t="s">
        <v>23</v>
      </c>
      <c r="B603" s="67"/>
      <c r="C603" s="67"/>
      <c r="D603" s="67"/>
      <c r="E603" s="67"/>
      <c r="F603" s="67"/>
      <c r="G603" s="67"/>
      <c r="H603" s="67"/>
      <c r="I603" s="67" t="s">
        <v>26</v>
      </c>
      <c r="J603" s="67"/>
      <c r="M603" s="73" t="s">
        <v>24</v>
      </c>
      <c r="N603" s="74"/>
      <c r="O603" s="74"/>
      <c r="P603" s="74"/>
      <c r="Q603" s="74"/>
      <c r="R603" s="74"/>
      <c r="S603" s="74"/>
      <c r="T603" s="74"/>
      <c r="U603" s="74"/>
      <c r="V603" s="74"/>
    </row>
    <row r="604" spans="1:23" ht="14.25" thickBot="1" x14ac:dyDescent="0.2">
      <c r="A604" s="4" t="s">
        <v>0</v>
      </c>
      <c r="B604" s="191" t="s">
        <v>21</v>
      </c>
      <c r="C604" s="192"/>
      <c r="D604" s="192"/>
      <c r="E604" s="193"/>
      <c r="F604" s="194" t="s">
        <v>18</v>
      </c>
      <c r="G604" s="195"/>
      <c r="H604" s="195"/>
      <c r="I604" s="196"/>
      <c r="J604" s="189" t="s">
        <v>1</v>
      </c>
      <c r="M604" s="4" t="s">
        <v>0</v>
      </c>
      <c r="N604" s="191" t="s">
        <v>21</v>
      </c>
      <c r="O604" s="192"/>
      <c r="P604" s="192"/>
      <c r="Q604" s="193"/>
      <c r="R604" s="194" t="s">
        <v>18</v>
      </c>
      <c r="S604" s="195"/>
      <c r="T604" s="195"/>
      <c r="U604" s="196"/>
      <c r="V604" s="189" t="s">
        <v>1</v>
      </c>
    </row>
    <row r="605" spans="1:23" ht="14.25" thickBot="1" x14ac:dyDescent="0.2">
      <c r="A605" s="4" t="s">
        <v>2</v>
      </c>
      <c r="B605" s="1" t="s">
        <v>3</v>
      </c>
      <c r="C605" s="2" t="s">
        <v>4</v>
      </c>
      <c r="D605" s="3" t="s">
        <v>5</v>
      </c>
      <c r="E605" s="4" t="s">
        <v>6</v>
      </c>
      <c r="F605" s="1" t="s">
        <v>3</v>
      </c>
      <c r="G605" s="2" t="s">
        <v>4</v>
      </c>
      <c r="H605" s="3" t="s">
        <v>5</v>
      </c>
      <c r="I605" s="4" t="s">
        <v>6</v>
      </c>
      <c r="J605" s="190"/>
      <c r="M605" s="4" t="s">
        <v>2</v>
      </c>
      <c r="N605" s="1" t="s">
        <v>3</v>
      </c>
      <c r="O605" s="2" t="s">
        <v>4</v>
      </c>
      <c r="P605" s="3" t="s">
        <v>5</v>
      </c>
      <c r="Q605" s="4" t="s">
        <v>6</v>
      </c>
      <c r="R605" s="1" t="s">
        <v>3</v>
      </c>
      <c r="S605" s="2" t="s">
        <v>4</v>
      </c>
      <c r="T605" s="3" t="s">
        <v>5</v>
      </c>
      <c r="U605" s="4" t="s">
        <v>6</v>
      </c>
      <c r="V605" s="190"/>
    </row>
    <row r="606" spans="1:23" ht="14.25" thickBot="1" x14ac:dyDescent="0.2">
      <c r="A606" s="21" t="s">
        <v>20</v>
      </c>
      <c r="B606" s="22">
        <f>B600</f>
        <v>3</v>
      </c>
      <c r="C606" s="23">
        <f>C600</f>
        <v>4</v>
      </c>
      <c r="D606" s="24">
        <f>D600</f>
        <v>4</v>
      </c>
      <c r="E606" s="54">
        <f>SUM(B606:D606)</f>
        <v>11</v>
      </c>
      <c r="F606" s="22">
        <f>F600</f>
        <v>4</v>
      </c>
      <c r="G606" s="23">
        <f>G600</f>
        <v>4</v>
      </c>
      <c r="H606" s="24">
        <f>H600</f>
        <v>4</v>
      </c>
      <c r="I606" s="54">
        <f>SUM(F606:H606)</f>
        <v>12</v>
      </c>
      <c r="J606" s="61">
        <f>E606+I606</f>
        <v>23</v>
      </c>
      <c r="M606" s="21" t="s">
        <v>20</v>
      </c>
      <c r="N606" s="68">
        <f>N600</f>
        <v>329</v>
      </c>
      <c r="O606" s="69">
        <f>O600</f>
        <v>568</v>
      </c>
      <c r="P606" s="70">
        <f>P600</f>
        <v>690</v>
      </c>
      <c r="Q606" s="71">
        <f>SUM(N606:P606)</f>
        <v>1587</v>
      </c>
      <c r="R606" s="68">
        <f>R600</f>
        <v>431</v>
      </c>
      <c r="S606" s="69">
        <f>S600</f>
        <v>561</v>
      </c>
      <c r="T606" s="70">
        <f>T600</f>
        <v>428</v>
      </c>
      <c r="U606" s="71">
        <f>SUM(R606:T606)</f>
        <v>1420</v>
      </c>
      <c r="V606" s="72">
        <f>Q606+U606</f>
        <v>3007</v>
      </c>
    </row>
    <row r="607" spans="1:23" x14ac:dyDescent="0.15">
      <c r="A607" s="92" t="s">
        <v>8</v>
      </c>
      <c r="B607" s="141"/>
      <c r="C607" s="142"/>
      <c r="D607" s="143">
        <v>3</v>
      </c>
      <c r="E607" s="144">
        <f t="shared" ref="E607:E614" si="547">SUM(B607:D607)</f>
        <v>3</v>
      </c>
      <c r="F607" s="145"/>
      <c r="G607" s="142"/>
      <c r="H607" s="143"/>
      <c r="I607" s="144">
        <f t="shared" ref="I607:I614" si="548">SUM(F607:H607)</f>
        <v>0</v>
      </c>
      <c r="J607" s="146">
        <f t="shared" ref="J607:J614" si="549">E607+I607</f>
        <v>3</v>
      </c>
      <c r="K607" s="147">
        <v>46099</v>
      </c>
      <c r="M607" s="19" t="s">
        <v>8</v>
      </c>
      <c r="N607" s="83"/>
      <c r="O607" s="46"/>
      <c r="P607" s="44"/>
      <c r="Q607" s="50">
        <f>SUM(N607:P607)</f>
        <v>0</v>
      </c>
      <c r="R607" s="45"/>
      <c r="S607" s="46"/>
      <c r="T607" s="47"/>
      <c r="U607" s="50">
        <f>SUM(R607:T607)</f>
        <v>0</v>
      </c>
      <c r="V607" s="84">
        <f>Q607+U607</f>
        <v>0</v>
      </c>
    </row>
    <row r="608" spans="1:23" x14ac:dyDescent="0.15">
      <c r="A608" s="92" t="s">
        <v>9</v>
      </c>
      <c r="B608" s="149"/>
      <c r="C608" s="150"/>
      <c r="D608" s="151"/>
      <c r="E608" s="144">
        <f t="shared" si="547"/>
        <v>0</v>
      </c>
      <c r="F608" s="152"/>
      <c r="G608" s="150"/>
      <c r="H608" s="151">
        <v>3</v>
      </c>
      <c r="I608" s="144">
        <f t="shared" si="548"/>
        <v>3</v>
      </c>
      <c r="J608" s="99">
        <f t="shared" si="549"/>
        <v>3</v>
      </c>
      <c r="K608" s="147">
        <v>46106</v>
      </c>
      <c r="M608" s="19" t="s">
        <v>9</v>
      </c>
      <c r="N608" s="5"/>
      <c r="O608" s="6"/>
      <c r="P608" s="36"/>
      <c r="Q608" s="52">
        <f t="shared" ref="Q608:Q610" si="550">SUM(N608:P608)</f>
        <v>0</v>
      </c>
      <c r="R608" s="8"/>
      <c r="S608" s="6"/>
      <c r="T608" s="7"/>
      <c r="U608" s="52">
        <f t="shared" ref="U608:U610" si="551">SUM(R608:T608)</f>
        <v>0</v>
      </c>
      <c r="V608" s="59">
        <f t="shared" ref="V608:V610" si="552">Q608+U608</f>
        <v>0</v>
      </c>
    </row>
    <row r="609" spans="1:23" x14ac:dyDescent="0.15">
      <c r="A609" s="17" t="s">
        <v>321</v>
      </c>
      <c r="B609" s="5">
        <v>1</v>
      </c>
      <c r="C609" s="6"/>
      <c r="D609" s="7"/>
      <c r="E609" s="51">
        <f t="shared" si="547"/>
        <v>1</v>
      </c>
      <c r="F609" s="8">
        <v>1</v>
      </c>
      <c r="G609" s="6"/>
      <c r="H609" s="7"/>
      <c r="I609" s="51">
        <f t="shared" si="548"/>
        <v>1</v>
      </c>
      <c r="J609" s="59">
        <f t="shared" si="549"/>
        <v>2</v>
      </c>
      <c r="K609" s="41">
        <v>46106</v>
      </c>
      <c r="M609" s="19" t="s">
        <v>305</v>
      </c>
      <c r="N609" s="5">
        <v>300</v>
      </c>
      <c r="O609" s="6">
        <v>200</v>
      </c>
      <c r="P609" s="36">
        <v>0</v>
      </c>
      <c r="Q609" s="52">
        <f t="shared" si="550"/>
        <v>500</v>
      </c>
      <c r="R609" s="8">
        <v>400</v>
      </c>
      <c r="S609" s="6">
        <v>300</v>
      </c>
      <c r="T609" s="7">
        <v>200</v>
      </c>
      <c r="U609" s="52">
        <f t="shared" si="551"/>
        <v>900</v>
      </c>
      <c r="V609" s="59">
        <f t="shared" si="552"/>
        <v>1400</v>
      </c>
      <c r="W609" s="108" t="s">
        <v>331</v>
      </c>
    </row>
    <row r="610" spans="1:23" x14ac:dyDescent="0.15">
      <c r="A610" s="92" t="s">
        <v>11</v>
      </c>
      <c r="B610" s="149">
        <v>3</v>
      </c>
      <c r="C610" s="150">
        <v>3</v>
      </c>
      <c r="D610" s="163">
        <v>3</v>
      </c>
      <c r="E610" s="96">
        <f t="shared" si="547"/>
        <v>9</v>
      </c>
      <c r="F610" s="152">
        <v>3</v>
      </c>
      <c r="G610" s="150">
        <v>3</v>
      </c>
      <c r="H610" s="151">
        <v>3</v>
      </c>
      <c r="I610" s="96">
        <f t="shared" si="548"/>
        <v>9</v>
      </c>
      <c r="J610" s="99">
        <f t="shared" si="549"/>
        <v>18</v>
      </c>
      <c r="K610" s="147">
        <v>46111</v>
      </c>
      <c r="M610" s="19" t="s">
        <v>328</v>
      </c>
      <c r="N610" s="9">
        <v>-7</v>
      </c>
      <c r="O610" s="10"/>
      <c r="P610" s="37"/>
      <c r="Q610" s="52">
        <f t="shared" si="550"/>
        <v>-7</v>
      </c>
      <c r="R610" s="12"/>
      <c r="S610" s="10">
        <v>20</v>
      </c>
      <c r="T610" s="11"/>
      <c r="U610" s="52">
        <f t="shared" si="551"/>
        <v>20</v>
      </c>
      <c r="V610" s="59">
        <f t="shared" si="552"/>
        <v>13</v>
      </c>
      <c r="W610" s="108" t="s">
        <v>331</v>
      </c>
    </row>
    <row r="611" spans="1:23" x14ac:dyDescent="0.15">
      <c r="A611" s="92" t="s">
        <v>12</v>
      </c>
      <c r="B611" s="149"/>
      <c r="C611" s="150">
        <v>3</v>
      </c>
      <c r="D611" s="163"/>
      <c r="E611" s="96">
        <f t="shared" si="547"/>
        <v>3</v>
      </c>
      <c r="F611" s="152"/>
      <c r="G611" s="150"/>
      <c r="H611" s="151"/>
      <c r="I611" s="96">
        <f t="shared" si="548"/>
        <v>0</v>
      </c>
      <c r="J611" s="99">
        <f t="shared" si="549"/>
        <v>3</v>
      </c>
      <c r="K611" s="147">
        <v>46120</v>
      </c>
      <c r="M611" s="19" t="s">
        <v>12</v>
      </c>
      <c r="N611" s="9"/>
      <c r="O611" s="10"/>
      <c r="P611" s="37"/>
      <c r="Q611" s="52">
        <f t="shared" ref="Q611:Q614" si="553">SUM(N611:P611)</f>
        <v>0</v>
      </c>
      <c r="R611" s="12"/>
      <c r="S611" s="10"/>
      <c r="T611" s="11"/>
      <c r="U611" s="52">
        <f t="shared" ref="U611:U614" si="554">SUM(R611:T611)</f>
        <v>0</v>
      </c>
      <c r="V611" s="59">
        <f t="shared" ref="V611:V614" si="555">Q611+U611</f>
        <v>0</v>
      </c>
    </row>
    <row r="612" spans="1:23" x14ac:dyDescent="0.15">
      <c r="A612" s="92" t="s">
        <v>13</v>
      </c>
      <c r="B612" s="149">
        <v>3</v>
      </c>
      <c r="C612" s="150"/>
      <c r="D612" s="163"/>
      <c r="E612" s="96">
        <f t="shared" si="547"/>
        <v>3</v>
      </c>
      <c r="F612" s="152"/>
      <c r="G612" s="150"/>
      <c r="H612" s="151"/>
      <c r="I612" s="96">
        <f t="shared" si="548"/>
        <v>0</v>
      </c>
      <c r="J612" s="99">
        <f t="shared" si="549"/>
        <v>3</v>
      </c>
      <c r="K612" s="147">
        <v>46126</v>
      </c>
      <c r="M612" s="19" t="s">
        <v>13</v>
      </c>
      <c r="N612" s="9"/>
      <c r="O612" s="10"/>
      <c r="P612" s="37"/>
      <c r="Q612" s="52">
        <f t="shared" si="553"/>
        <v>0</v>
      </c>
      <c r="R612" s="12"/>
      <c r="S612" s="10"/>
      <c r="T612" s="11"/>
      <c r="U612" s="52">
        <f t="shared" si="554"/>
        <v>0</v>
      </c>
      <c r="V612" s="59">
        <f t="shared" si="555"/>
        <v>0</v>
      </c>
    </row>
    <row r="613" spans="1:23" x14ac:dyDescent="0.15">
      <c r="A613" s="92" t="s">
        <v>14</v>
      </c>
      <c r="B613" s="93">
        <v>5</v>
      </c>
      <c r="C613" s="94">
        <v>3</v>
      </c>
      <c r="D613" s="95"/>
      <c r="E613" s="96">
        <f t="shared" si="547"/>
        <v>8</v>
      </c>
      <c r="F613" s="97">
        <v>3</v>
      </c>
      <c r="G613" s="94"/>
      <c r="H613" s="98"/>
      <c r="I613" s="96">
        <f t="shared" si="548"/>
        <v>3</v>
      </c>
      <c r="J613" s="99">
        <f t="shared" si="549"/>
        <v>11</v>
      </c>
      <c r="K613" s="147">
        <v>46128</v>
      </c>
      <c r="M613" s="19" t="s">
        <v>14</v>
      </c>
      <c r="N613" s="9"/>
      <c r="O613" s="10"/>
      <c r="P613" s="37"/>
      <c r="Q613" s="52">
        <f t="shared" si="553"/>
        <v>0</v>
      </c>
      <c r="R613" s="12"/>
      <c r="S613" s="10"/>
      <c r="T613" s="11"/>
      <c r="U613" s="52">
        <f t="shared" si="554"/>
        <v>0</v>
      </c>
      <c r="V613" s="59">
        <f t="shared" si="555"/>
        <v>0</v>
      </c>
    </row>
    <row r="614" spans="1:23" ht="14.25" thickBot="1" x14ac:dyDescent="0.2">
      <c r="A614" s="92" t="s">
        <v>15</v>
      </c>
      <c r="B614" s="170"/>
      <c r="C614" s="171"/>
      <c r="D614" s="172"/>
      <c r="E614" s="173">
        <f t="shared" si="547"/>
        <v>0</v>
      </c>
      <c r="F614" s="174"/>
      <c r="G614" s="174">
        <v>3</v>
      </c>
      <c r="H614" s="175"/>
      <c r="I614" s="173">
        <f t="shared" si="548"/>
        <v>3</v>
      </c>
      <c r="J614" s="176">
        <f t="shared" si="549"/>
        <v>3</v>
      </c>
      <c r="K614" s="147">
        <v>46130</v>
      </c>
      <c r="M614" s="19" t="s">
        <v>15</v>
      </c>
      <c r="N614" s="25"/>
      <c r="O614" s="26"/>
      <c r="P614" s="38"/>
      <c r="Q614" s="53">
        <f t="shared" si="553"/>
        <v>0</v>
      </c>
      <c r="R614" s="27"/>
      <c r="S614" s="27"/>
      <c r="T614" s="29"/>
      <c r="U614" s="53">
        <f t="shared" si="554"/>
        <v>0</v>
      </c>
      <c r="V614" s="60">
        <f t="shared" si="555"/>
        <v>0</v>
      </c>
    </row>
    <row r="615" spans="1:23" ht="14.25" thickBot="1" x14ac:dyDescent="0.2">
      <c r="A615" s="28" t="s">
        <v>16</v>
      </c>
      <c r="B615" s="22">
        <f>SUM(B606:B614)</f>
        <v>15</v>
      </c>
      <c r="C615" s="23">
        <f t="shared" ref="C615:D615" si="556">SUM(C606:C614)</f>
        <v>13</v>
      </c>
      <c r="D615" s="24">
        <f t="shared" si="556"/>
        <v>10</v>
      </c>
      <c r="E615" s="54">
        <f>SUM(B615:D615)</f>
        <v>38</v>
      </c>
      <c r="F615" s="22">
        <f>SUM(F606:F614)</f>
        <v>11</v>
      </c>
      <c r="G615" s="23">
        <f t="shared" ref="G615:H615" si="557">SUM(G606:G614)</f>
        <v>10</v>
      </c>
      <c r="H615" s="24">
        <f t="shared" si="557"/>
        <v>10</v>
      </c>
      <c r="I615" s="54">
        <f>SUM(F615:H615)</f>
        <v>31</v>
      </c>
      <c r="J615" s="61">
        <f>SUM(J607:J614)</f>
        <v>46</v>
      </c>
      <c r="M615" s="28" t="s">
        <v>16</v>
      </c>
      <c r="N615" s="22">
        <f>SUM(N606:N614)</f>
        <v>622</v>
      </c>
      <c r="O615" s="23">
        <f t="shared" ref="O615:P615" si="558">SUM(O606:O614)</f>
        <v>768</v>
      </c>
      <c r="P615" s="24">
        <f t="shared" si="558"/>
        <v>690</v>
      </c>
      <c r="Q615" s="54">
        <f>SUM(N615:P615)</f>
        <v>2080</v>
      </c>
      <c r="R615" s="22">
        <f>SUM(R606:R614)</f>
        <v>831</v>
      </c>
      <c r="S615" s="23">
        <f t="shared" ref="S615:T615" si="559">SUM(S606:S614)</f>
        <v>881</v>
      </c>
      <c r="T615" s="24">
        <f t="shared" si="559"/>
        <v>628</v>
      </c>
      <c r="U615" s="54">
        <f>SUM(R615:T615)</f>
        <v>2340</v>
      </c>
      <c r="V615" s="61">
        <f>Q615+U615</f>
        <v>4420</v>
      </c>
    </row>
    <row r="616" spans="1:23" x14ac:dyDescent="0.15">
      <c r="A616" s="17" t="s">
        <v>57</v>
      </c>
      <c r="B616" s="5">
        <v>1</v>
      </c>
      <c r="C616" s="6"/>
      <c r="D616" s="7">
        <v>1</v>
      </c>
      <c r="E616" s="51">
        <f t="shared" ref="E616:E617" si="560">SUM(B616:D616)</f>
        <v>2</v>
      </c>
      <c r="F616" s="8">
        <v>1</v>
      </c>
      <c r="G616" s="6"/>
      <c r="H616" s="7"/>
      <c r="I616" s="51">
        <f t="shared" ref="I616:I617" si="561">SUM(F616:H616)</f>
        <v>1</v>
      </c>
      <c r="J616" s="59">
        <f t="shared" ref="J616:J617" si="562">E616+I616</f>
        <v>3</v>
      </c>
      <c r="K616" s="41">
        <v>46090</v>
      </c>
      <c r="M616" s="20" t="s">
        <v>308</v>
      </c>
      <c r="N616" s="5">
        <v>40</v>
      </c>
      <c r="O616" s="6">
        <v>80</v>
      </c>
      <c r="P616" s="7">
        <v>40</v>
      </c>
      <c r="Q616" s="51">
        <f t="shared" ref="Q616:Q642" si="563">SUM(N616:P616)</f>
        <v>160</v>
      </c>
      <c r="R616" s="8">
        <v>80</v>
      </c>
      <c r="S616" s="6">
        <v>80</v>
      </c>
      <c r="T616" s="7">
        <v>40</v>
      </c>
      <c r="U616" s="51">
        <f t="shared" ref="U616:U642" si="564">SUM(R616:T616)</f>
        <v>200</v>
      </c>
      <c r="V616" s="59">
        <f t="shared" ref="V616:V641" si="565">Q616+U616</f>
        <v>360</v>
      </c>
      <c r="W616" s="108">
        <v>46057</v>
      </c>
    </row>
    <row r="617" spans="1:23" x14ac:dyDescent="0.15">
      <c r="A617" s="17" t="s">
        <v>318</v>
      </c>
      <c r="B617" s="5"/>
      <c r="C617" s="6"/>
      <c r="D617" s="7">
        <v>1</v>
      </c>
      <c r="E617" s="51">
        <f t="shared" si="560"/>
        <v>1</v>
      </c>
      <c r="F617" s="8"/>
      <c r="G617" s="6"/>
      <c r="H617" s="7"/>
      <c r="I617" s="51">
        <f t="shared" si="561"/>
        <v>0</v>
      </c>
      <c r="J617" s="59">
        <f t="shared" si="562"/>
        <v>1</v>
      </c>
      <c r="K617" s="40">
        <v>46092</v>
      </c>
      <c r="M617" s="20" t="s">
        <v>327</v>
      </c>
      <c r="N617" s="5">
        <v>20</v>
      </c>
      <c r="O617" s="6"/>
      <c r="P617" s="7"/>
      <c r="Q617" s="51">
        <f t="shared" si="563"/>
        <v>20</v>
      </c>
      <c r="R617" s="8"/>
      <c r="S617" s="6"/>
      <c r="T617" s="7"/>
      <c r="U617" s="51">
        <f t="shared" si="564"/>
        <v>0</v>
      </c>
      <c r="V617" s="59">
        <f t="shared" si="565"/>
        <v>20</v>
      </c>
      <c r="W617" s="108">
        <v>46120</v>
      </c>
    </row>
    <row r="618" spans="1:23" x14ac:dyDescent="0.15">
      <c r="A618" s="17" t="s">
        <v>57</v>
      </c>
      <c r="B618" s="5"/>
      <c r="C618" s="6">
        <v>1</v>
      </c>
      <c r="D618" s="7"/>
      <c r="E618" s="51">
        <f t="shared" ref="E618:E642" si="566">SUM(B618:D618)</f>
        <v>1</v>
      </c>
      <c r="F618" s="8"/>
      <c r="G618" s="6"/>
      <c r="H618" s="7"/>
      <c r="I618" s="51">
        <f t="shared" ref="I618:I642" si="567">SUM(F618:H618)</f>
        <v>0</v>
      </c>
      <c r="J618" s="59">
        <f t="shared" ref="J618:J641" si="568">E618+I618</f>
        <v>1</v>
      </c>
      <c r="K618" s="41">
        <v>46091</v>
      </c>
      <c r="M618" s="148" t="s">
        <v>322</v>
      </c>
      <c r="N618" s="149">
        <v>3</v>
      </c>
      <c r="O618" s="150">
        <v>3</v>
      </c>
      <c r="P618" s="151">
        <v>3</v>
      </c>
      <c r="Q618" s="144">
        <f t="shared" si="563"/>
        <v>9</v>
      </c>
      <c r="R618" s="152">
        <v>3</v>
      </c>
      <c r="S618" s="150">
        <v>3</v>
      </c>
      <c r="T618" s="151">
        <v>3</v>
      </c>
      <c r="U618" s="144">
        <f t="shared" si="564"/>
        <v>9</v>
      </c>
      <c r="V618" s="99">
        <f t="shared" si="565"/>
        <v>18</v>
      </c>
      <c r="W618" s="153">
        <v>46111</v>
      </c>
    </row>
    <row r="619" spans="1:23" x14ac:dyDescent="0.15">
      <c r="A619" s="17" t="s">
        <v>57</v>
      </c>
      <c r="B619" s="5"/>
      <c r="C619" s="6"/>
      <c r="D619" s="7">
        <v>1</v>
      </c>
      <c r="E619" s="51">
        <f t="shared" si="566"/>
        <v>1</v>
      </c>
      <c r="F619" s="8"/>
      <c r="G619" s="6"/>
      <c r="H619" s="7">
        <v>1</v>
      </c>
      <c r="I619" s="51">
        <f t="shared" si="567"/>
        <v>1</v>
      </c>
      <c r="J619" s="59">
        <f t="shared" si="568"/>
        <v>2</v>
      </c>
      <c r="K619" s="41">
        <v>46097</v>
      </c>
      <c r="M619" s="20" t="s">
        <v>337</v>
      </c>
      <c r="N619" s="5">
        <v>20</v>
      </c>
      <c r="O619" s="6"/>
      <c r="P619" s="7">
        <v>20</v>
      </c>
      <c r="Q619" s="51">
        <f t="shared" si="563"/>
        <v>40</v>
      </c>
      <c r="R619" s="8"/>
      <c r="S619" s="6"/>
      <c r="T619" s="7">
        <v>10</v>
      </c>
      <c r="U619" s="51">
        <f t="shared" si="564"/>
        <v>10</v>
      </c>
      <c r="V619" s="59">
        <f t="shared" si="565"/>
        <v>50</v>
      </c>
      <c r="W619" s="108">
        <v>46129</v>
      </c>
    </row>
    <row r="620" spans="1:23" x14ac:dyDescent="0.15">
      <c r="A620" s="17" t="s">
        <v>269</v>
      </c>
      <c r="B620" s="5"/>
      <c r="C620" s="6"/>
      <c r="D620" s="7">
        <v>1</v>
      </c>
      <c r="E620" s="51">
        <f t="shared" si="566"/>
        <v>1</v>
      </c>
      <c r="F620" s="8"/>
      <c r="G620" s="6"/>
      <c r="H620" s="7">
        <v>1</v>
      </c>
      <c r="I620" s="51">
        <f t="shared" si="567"/>
        <v>1</v>
      </c>
      <c r="J620" s="59">
        <f t="shared" si="568"/>
        <v>2</v>
      </c>
      <c r="K620" s="40">
        <v>46107</v>
      </c>
      <c r="M620" s="20" t="s">
        <v>332</v>
      </c>
      <c r="N620" s="5">
        <v>3</v>
      </c>
      <c r="O620" s="6">
        <v>3</v>
      </c>
      <c r="P620" s="7"/>
      <c r="Q620" s="51">
        <f t="shared" si="563"/>
        <v>6</v>
      </c>
      <c r="R620" s="8">
        <v>3</v>
      </c>
      <c r="S620" s="6">
        <v>3</v>
      </c>
      <c r="T620" s="7">
        <v>3</v>
      </c>
      <c r="U620" s="51">
        <f t="shared" si="564"/>
        <v>9</v>
      </c>
      <c r="V620" s="59">
        <f t="shared" si="565"/>
        <v>15</v>
      </c>
      <c r="W620" s="108">
        <v>46118</v>
      </c>
    </row>
    <row r="621" spans="1:23" x14ac:dyDescent="0.15">
      <c r="A621" s="17" t="s">
        <v>57</v>
      </c>
      <c r="B621" s="5"/>
      <c r="C621" s="6">
        <v>1</v>
      </c>
      <c r="D621" s="14"/>
      <c r="E621" s="51">
        <f t="shared" si="566"/>
        <v>1</v>
      </c>
      <c r="F621" s="15">
        <v>1</v>
      </c>
      <c r="G621" s="13"/>
      <c r="H621" s="14"/>
      <c r="I621" s="51">
        <f t="shared" si="567"/>
        <v>1</v>
      </c>
      <c r="J621" s="59">
        <f t="shared" si="568"/>
        <v>2</v>
      </c>
      <c r="K621" s="41">
        <v>46104</v>
      </c>
      <c r="M621" s="20" t="s">
        <v>333</v>
      </c>
      <c r="N621" s="5">
        <v>1</v>
      </c>
      <c r="O621" s="6">
        <v>1</v>
      </c>
      <c r="P621" s="14">
        <v>1</v>
      </c>
      <c r="Q621" s="51">
        <f t="shared" si="563"/>
        <v>3</v>
      </c>
      <c r="R621" s="15">
        <v>2</v>
      </c>
      <c r="S621" s="13">
        <v>2</v>
      </c>
      <c r="T621" s="14">
        <v>2</v>
      </c>
      <c r="U621" s="51">
        <f t="shared" si="564"/>
        <v>6</v>
      </c>
      <c r="V621" s="59">
        <f t="shared" si="565"/>
        <v>9</v>
      </c>
      <c r="W621" s="108">
        <v>46118</v>
      </c>
    </row>
    <row r="622" spans="1:23" x14ac:dyDescent="0.15">
      <c r="A622" s="17" t="s">
        <v>57</v>
      </c>
      <c r="B622" s="5"/>
      <c r="C622" s="6"/>
      <c r="D622" s="7"/>
      <c r="E622" s="51">
        <f t="shared" si="566"/>
        <v>0</v>
      </c>
      <c r="F622" s="8"/>
      <c r="G622" s="6"/>
      <c r="H622" s="7">
        <v>1</v>
      </c>
      <c r="I622" s="51">
        <f t="shared" si="567"/>
        <v>1</v>
      </c>
      <c r="J622" s="59">
        <f t="shared" si="568"/>
        <v>1</v>
      </c>
      <c r="K622" s="40">
        <v>46105</v>
      </c>
      <c r="M622" s="20" t="s">
        <v>334</v>
      </c>
      <c r="N622" s="5">
        <v>2</v>
      </c>
      <c r="O622" s="6">
        <v>2</v>
      </c>
      <c r="P622" s="7">
        <v>2</v>
      </c>
      <c r="Q622" s="51">
        <f t="shared" si="563"/>
        <v>6</v>
      </c>
      <c r="R622" s="8">
        <v>1</v>
      </c>
      <c r="S622" s="6">
        <v>1</v>
      </c>
      <c r="T622" s="7">
        <v>1</v>
      </c>
      <c r="U622" s="51">
        <f t="shared" si="564"/>
        <v>3</v>
      </c>
      <c r="V622" s="59">
        <f t="shared" si="565"/>
        <v>9</v>
      </c>
      <c r="W622" s="108">
        <v>46118</v>
      </c>
    </row>
    <row r="623" spans="1:23" x14ac:dyDescent="0.15">
      <c r="A623" s="17" t="s">
        <v>320</v>
      </c>
      <c r="B623" s="5"/>
      <c r="C623" s="6"/>
      <c r="D623" s="7"/>
      <c r="E623" s="51">
        <f t="shared" si="566"/>
        <v>0</v>
      </c>
      <c r="F623" s="8">
        <v>1</v>
      </c>
      <c r="G623" s="6"/>
      <c r="H623" s="7"/>
      <c r="I623" s="51">
        <f t="shared" si="567"/>
        <v>1</v>
      </c>
      <c r="J623" s="59">
        <f t="shared" si="568"/>
        <v>1</v>
      </c>
      <c r="K623" s="40">
        <v>46106</v>
      </c>
      <c r="M623" s="20" t="s">
        <v>351</v>
      </c>
      <c r="N623" s="5">
        <v>40</v>
      </c>
      <c r="O623" s="6"/>
      <c r="P623" s="7">
        <v>20</v>
      </c>
      <c r="Q623" s="51">
        <f t="shared" si="563"/>
        <v>60</v>
      </c>
      <c r="R623" s="8">
        <v>20</v>
      </c>
      <c r="S623" s="6"/>
      <c r="T623" s="7">
        <v>20</v>
      </c>
      <c r="U623" s="51">
        <f t="shared" si="564"/>
        <v>40</v>
      </c>
      <c r="V623" s="59">
        <f t="shared" si="565"/>
        <v>100</v>
      </c>
      <c r="W623" s="108">
        <v>46136</v>
      </c>
    </row>
    <row r="624" spans="1:23" x14ac:dyDescent="0.15">
      <c r="A624" s="17" t="s">
        <v>57</v>
      </c>
      <c r="B624" s="5">
        <v>1</v>
      </c>
      <c r="C624" s="6"/>
      <c r="D624" s="7"/>
      <c r="E624" s="51">
        <f t="shared" si="566"/>
        <v>1</v>
      </c>
      <c r="F624" s="8"/>
      <c r="G624" s="6"/>
      <c r="H624" s="7"/>
      <c r="I624" s="51">
        <f t="shared" si="567"/>
        <v>0</v>
      </c>
      <c r="J624" s="59">
        <f t="shared" si="568"/>
        <v>1</v>
      </c>
      <c r="K624" s="40">
        <v>46108</v>
      </c>
      <c r="M624" s="148" t="s">
        <v>295</v>
      </c>
      <c r="N624" s="149"/>
      <c r="O624" s="150">
        <v>3</v>
      </c>
      <c r="P624" s="151"/>
      <c r="Q624" s="144">
        <f t="shared" si="563"/>
        <v>3</v>
      </c>
      <c r="R624" s="152"/>
      <c r="S624" s="150"/>
      <c r="T624" s="151"/>
      <c r="U624" s="144">
        <f t="shared" si="564"/>
        <v>0</v>
      </c>
      <c r="V624" s="99">
        <f t="shared" si="565"/>
        <v>3</v>
      </c>
      <c r="W624" s="153">
        <v>46120</v>
      </c>
    </row>
    <row r="625" spans="1:24" x14ac:dyDescent="0.15">
      <c r="A625" s="17" t="s">
        <v>269</v>
      </c>
      <c r="B625" s="9"/>
      <c r="C625" s="10"/>
      <c r="D625" s="11"/>
      <c r="E625" s="51">
        <f t="shared" si="566"/>
        <v>0</v>
      </c>
      <c r="F625" s="12">
        <v>1</v>
      </c>
      <c r="G625" s="10"/>
      <c r="H625" s="11"/>
      <c r="I625" s="51">
        <f t="shared" si="567"/>
        <v>1</v>
      </c>
      <c r="J625" s="59">
        <f t="shared" si="568"/>
        <v>1</v>
      </c>
      <c r="K625" s="40">
        <v>46115</v>
      </c>
      <c r="M625" s="20" t="s">
        <v>329</v>
      </c>
      <c r="N625" s="9">
        <v>68</v>
      </c>
      <c r="O625" s="10">
        <v>59</v>
      </c>
      <c r="P625" s="11">
        <v>38</v>
      </c>
      <c r="Q625" s="51">
        <f t="shared" si="563"/>
        <v>165</v>
      </c>
      <c r="R625" s="12">
        <v>68</v>
      </c>
      <c r="S625" s="10">
        <v>59</v>
      </c>
      <c r="T625" s="11">
        <v>38</v>
      </c>
      <c r="U625" s="51">
        <f t="shared" si="564"/>
        <v>165</v>
      </c>
      <c r="V625" s="59">
        <f t="shared" si="565"/>
        <v>330</v>
      </c>
      <c r="W625" s="108">
        <v>46134</v>
      </c>
    </row>
    <row r="626" spans="1:24" x14ac:dyDescent="0.15">
      <c r="A626" s="17" t="s">
        <v>38</v>
      </c>
      <c r="B626" s="5"/>
      <c r="C626" s="6"/>
      <c r="D626" s="7"/>
      <c r="E626" s="51">
        <f t="shared" si="566"/>
        <v>0</v>
      </c>
      <c r="F626" s="8"/>
      <c r="G626" s="6"/>
      <c r="H626" s="7">
        <v>1</v>
      </c>
      <c r="I626" s="51">
        <f t="shared" si="567"/>
        <v>1</v>
      </c>
      <c r="J626" s="59">
        <f t="shared" si="568"/>
        <v>1</v>
      </c>
      <c r="K626" s="40">
        <v>46115</v>
      </c>
      <c r="M626" s="148" t="s">
        <v>295</v>
      </c>
      <c r="N626" s="149">
        <v>3</v>
      </c>
      <c r="O626" s="150"/>
      <c r="P626" s="151"/>
      <c r="Q626" s="144">
        <f t="shared" si="563"/>
        <v>3</v>
      </c>
      <c r="R626" s="152"/>
      <c r="S626" s="150"/>
      <c r="T626" s="151"/>
      <c r="U626" s="144">
        <f t="shared" si="564"/>
        <v>0</v>
      </c>
      <c r="V626" s="99">
        <f t="shared" si="565"/>
        <v>3</v>
      </c>
      <c r="W626" s="153">
        <v>46126</v>
      </c>
    </row>
    <row r="627" spans="1:24" x14ac:dyDescent="0.15">
      <c r="A627" s="17" t="s">
        <v>57</v>
      </c>
      <c r="B627" s="5">
        <v>2</v>
      </c>
      <c r="C627" s="6">
        <v>1</v>
      </c>
      <c r="D627" s="7"/>
      <c r="E627" s="51">
        <f t="shared" si="566"/>
        <v>3</v>
      </c>
      <c r="F627" s="8"/>
      <c r="G627" s="6">
        <v>1</v>
      </c>
      <c r="H627" s="7"/>
      <c r="I627" s="51">
        <f t="shared" si="567"/>
        <v>1</v>
      </c>
      <c r="J627" s="59">
        <f t="shared" si="568"/>
        <v>4</v>
      </c>
      <c r="K627" s="41">
        <v>46118</v>
      </c>
      <c r="M627" s="148" t="s">
        <v>295</v>
      </c>
      <c r="N627" s="149">
        <v>5</v>
      </c>
      <c r="O627" s="150">
        <v>3</v>
      </c>
      <c r="P627" s="151"/>
      <c r="Q627" s="144">
        <f t="shared" si="563"/>
        <v>8</v>
      </c>
      <c r="R627" s="152">
        <v>3</v>
      </c>
      <c r="S627" s="150"/>
      <c r="T627" s="151"/>
      <c r="U627" s="144">
        <f t="shared" si="564"/>
        <v>3</v>
      </c>
      <c r="V627" s="99">
        <f t="shared" si="565"/>
        <v>11</v>
      </c>
      <c r="W627" s="153">
        <v>46128</v>
      </c>
    </row>
    <row r="628" spans="1:24" x14ac:dyDescent="0.15">
      <c r="A628" s="17" t="s">
        <v>38</v>
      </c>
      <c r="B628" s="5"/>
      <c r="C628" s="6">
        <v>1</v>
      </c>
      <c r="D628" s="7"/>
      <c r="E628" s="51">
        <f t="shared" si="566"/>
        <v>1</v>
      </c>
      <c r="F628" s="8"/>
      <c r="G628" s="6"/>
      <c r="H628" s="7"/>
      <c r="I628" s="51">
        <f t="shared" si="567"/>
        <v>0</v>
      </c>
      <c r="J628" s="59">
        <f t="shared" si="568"/>
        <v>1</v>
      </c>
      <c r="K628" s="40">
        <v>46119</v>
      </c>
      <c r="M628" s="20" t="s">
        <v>335</v>
      </c>
      <c r="N628" s="5"/>
      <c r="O628" s="6">
        <v>7</v>
      </c>
      <c r="P628" s="7">
        <v>2</v>
      </c>
      <c r="Q628" s="51">
        <f t="shared" si="563"/>
        <v>9</v>
      </c>
      <c r="R628" s="8"/>
      <c r="S628" s="6">
        <v>14</v>
      </c>
      <c r="T628" s="7">
        <v>4</v>
      </c>
      <c r="U628" s="51">
        <f t="shared" si="564"/>
        <v>18</v>
      </c>
      <c r="V628" s="59">
        <f t="shared" si="565"/>
        <v>27</v>
      </c>
      <c r="W628" s="108">
        <v>46132</v>
      </c>
    </row>
    <row r="629" spans="1:24" x14ac:dyDescent="0.15">
      <c r="A629" s="17" t="s">
        <v>326</v>
      </c>
      <c r="B629" s="5"/>
      <c r="C629" s="6"/>
      <c r="D629" s="7"/>
      <c r="E629" s="51">
        <f t="shared" si="566"/>
        <v>0</v>
      </c>
      <c r="F629" s="8">
        <v>1</v>
      </c>
      <c r="G629" s="6"/>
      <c r="H629" s="7"/>
      <c r="I629" s="51">
        <f t="shared" si="567"/>
        <v>1</v>
      </c>
      <c r="J629" s="59">
        <f t="shared" si="568"/>
        <v>1</v>
      </c>
      <c r="K629" s="41">
        <v>46120</v>
      </c>
      <c r="M629" s="20" t="s">
        <v>336</v>
      </c>
      <c r="N629" s="5">
        <v>4</v>
      </c>
      <c r="O629" s="6">
        <v>4</v>
      </c>
      <c r="P629" s="7">
        <v>8</v>
      </c>
      <c r="Q629" s="51">
        <f t="shared" si="563"/>
        <v>16</v>
      </c>
      <c r="R629" s="8">
        <v>2</v>
      </c>
      <c r="S629" s="6">
        <v>2</v>
      </c>
      <c r="T629" s="7">
        <v>4</v>
      </c>
      <c r="U629" s="51">
        <f t="shared" si="564"/>
        <v>8</v>
      </c>
      <c r="V629" s="59">
        <f t="shared" si="565"/>
        <v>24</v>
      </c>
      <c r="W629" s="108">
        <v>46132</v>
      </c>
    </row>
    <row r="630" spans="1:24" x14ac:dyDescent="0.15">
      <c r="A630" s="17" t="s">
        <v>57</v>
      </c>
      <c r="B630" s="5"/>
      <c r="C630" s="6">
        <v>1</v>
      </c>
      <c r="D630" s="7"/>
      <c r="E630" s="51">
        <f t="shared" si="566"/>
        <v>1</v>
      </c>
      <c r="F630" s="8"/>
      <c r="G630" s="6"/>
      <c r="H630" s="7"/>
      <c r="I630" s="51">
        <f t="shared" si="567"/>
        <v>0</v>
      </c>
      <c r="J630" s="59">
        <f t="shared" si="568"/>
        <v>1</v>
      </c>
      <c r="K630" s="41">
        <v>46119</v>
      </c>
      <c r="M630" s="148" t="s">
        <v>295</v>
      </c>
      <c r="N630" s="149"/>
      <c r="O630" s="150"/>
      <c r="P630" s="151"/>
      <c r="Q630" s="144">
        <f t="shared" si="563"/>
        <v>0</v>
      </c>
      <c r="R630" s="152"/>
      <c r="S630" s="150">
        <v>3</v>
      </c>
      <c r="T630" s="151"/>
      <c r="U630" s="144">
        <f t="shared" si="564"/>
        <v>3</v>
      </c>
      <c r="V630" s="99">
        <f t="shared" si="565"/>
        <v>3</v>
      </c>
      <c r="W630" s="153">
        <v>46130</v>
      </c>
    </row>
    <row r="631" spans="1:24" x14ac:dyDescent="0.15">
      <c r="A631" s="17" t="s">
        <v>57</v>
      </c>
      <c r="B631" s="5"/>
      <c r="C631" s="6">
        <v>2</v>
      </c>
      <c r="D631" s="7"/>
      <c r="E631" s="51">
        <f t="shared" si="566"/>
        <v>2</v>
      </c>
      <c r="F631" s="8"/>
      <c r="G631" s="6">
        <v>1</v>
      </c>
      <c r="H631" s="7"/>
      <c r="I631" s="51">
        <f t="shared" si="567"/>
        <v>1</v>
      </c>
      <c r="J631" s="59">
        <f t="shared" si="568"/>
        <v>3</v>
      </c>
      <c r="K631" s="41">
        <v>46120</v>
      </c>
      <c r="M631" s="20" t="s">
        <v>348</v>
      </c>
      <c r="N631" s="5">
        <v>40</v>
      </c>
      <c r="O631" s="6"/>
      <c r="P631" s="7"/>
      <c r="Q631" s="51">
        <f t="shared" si="563"/>
        <v>40</v>
      </c>
      <c r="R631" s="8"/>
      <c r="S631" s="6"/>
      <c r="T631" s="7"/>
      <c r="U631" s="51">
        <f t="shared" si="564"/>
        <v>0</v>
      </c>
      <c r="V631" s="59">
        <f t="shared" si="565"/>
        <v>40</v>
      </c>
      <c r="W631" s="108">
        <v>46134</v>
      </c>
    </row>
    <row r="632" spans="1:24" x14ac:dyDescent="0.15">
      <c r="A632" s="17" t="s">
        <v>57</v>
      </c>
      <c r="B632" s="5">
        <v>2</v>
      </c>
      <c r="C632" s="6"/>
      <c r="D632" s="7"/>
      <c r="E632" s="51">
        <f t="shared" si="566"/>
        <v>2</v>
      </c>
      <c r="F632" s="8"/>
      <c r="G632" s="6">
        <v>1</v>
      </c>
      <c r="H632" s="7"/>
      <c r="I632" s="51">
        <f t="shared" si="567"/>
        <v>1</v>
      </c>
      <c r="J632" s="59">
        <f t="shared" si="568"/>
        <v>3</v>
      </c>
      <c r="K632" s="41">
        <v>46125</v>
      </c>
      <c r="M632" s="179" t="s">
        <v>295</v>
      </c>
      <c r="N632" s="149"/>
      <c r="O632" s="150">
        <v>5</v>
      </c>
      <c r="P632" s="151"/>
      <c r="Q632" s="144">
        <f t="shared" si="563"/>
        <v>5</v>
      </c>
      <c r="R632" s="152"/>
      <c r="S632" s="150"/>
      <c r="T632" s="151"/>
      <c r="U632" s="144">
        <f t="shared" si="564"/>
        <v>0</v>
      </c>
      <c r="V632" s="99">
        <f t="shared" si="565"/>
        <v>5</v>
      </c>
      <c r="W632" s="153">
        <v>46133</v>
      </c>
    </row>
    <row r="633" spans="1:24" x14ac:dyDescent="0.15">
      <c r="A633" s="17" t="s">
        <v>57</v>
      </c>
      <c r="B633" s="5"/>
      <c r="C633" s="6"/>
      <c r="D633" s="7">
        <v>1</v>
      </c>
      <c r="E633" s="51">
        <f t="shared" si="566"/>
        <v>1</v>
      </c>
      <c r="F633" s="8"/>
      <c r="G633" s="6"/>
      <c r="H633" s="7"/>
      <c r="I633" s="51">
        <f t="shared" si="567"/>
        <v>0</v>
      </c>
      <c r="J633" s="59">
        <f t="shared" si="568"/>
        <v>1</v>
      </c>
      <c r="K633" s="41">
        <v>46126</v>
      </c>
      <c r="M633" s="20" t="s">
        <v>344</v>
      </c>
      <c r="N633" s="5">
        <v>6</v>
      </c>
      <c r="O633" s="6"/>
      <c r="P633" s="7"/>
      <c r="Q633" s="51">
        <f t="shared" si="563"/>
        <v>6</v>
      </c>
      <c r="R633" s="8">
        <v>12</v>
      </c>
      <c r="S633" s="6"/>
      <c r="T633" s="7"/>
      <c r="U633" s="51">
        <f t="shared" si="564"/>
        <v>12</v>
      </c>
      <c r="V633" s="59">
        <f t="shared" si="565"/>
        <v>18</v>
      </c>
      <c r="W633" s="108">
        <v>46136</v>
      </c>
      <c r="X633" s="48"/>
    </row>
    <row r="634" spans="1:24" x14ac:dyDescent="0.15">
      <c r="A634" s="18" t="s">
        <v>330</v>
      </c>
      <c r="B634" s="5"/>
      <c r="C634" s="6">
        <v>1</v>
      </c>
      <c r="D634" s="7"/>
      <c r="E634" s="51">
        <f t="shared" si="566"/>
        <v>1</v>
      </c>
      <c r="F634" s="8"/>
      <c r="G634" s="6"/>
      <c r="H634" s="7"/>
      <c r="I634" s="51">
        <f t="shared" si="567"/>
        <v>0</v>
      </c>
      <c r="J634" s="59">
        <f t="shared" si="568"/>
        <v>1</v>
      </c>
      <c r="K634" s="41">
        <v>46126</v>
      </c>
      <c r="M634" s="179" t="s">
        <v>295</v>
      </c>
      <c r="N634" s="149">
        <v>3</v>
      </c>
      <c r="O634" s="150"/>
      <c r="P634" s="151"/>
      <c r="Q634" s="144">
        <f t="shared" si="563"/>
        <v>3</v>
      </c>
      <c r="R634" s="152"/>
      <c r="S634" s="150">
        <v>3</v>
      </c>
      <c r="T634" s="151"/>
      <c r="U634" s="144">
        <f t="shared" si="564"/>
        <v>3</v>
      </c>
      <c r="V634" s="99">
        <f t="shared" si="565"/>
        <v>6</v>
      </c>
      <c r="W634" s="153">
        <v>46134</v>
      </c>
    </row>
    <row r="635" spans="1:24" x14ac:dyDescent="0.15">
      <c r="A635" s="17" t="s">
        <v>57</v>
      </c>
      <c r="B635" s="5">
        <v>3</v>
      </c>
      <c r="C635" s="6">
        <v>1</v>
      </c>
      <c r="D635" s="7"/>
      <c r="E635" s="51">
        <f t="shared" si="566"/>
        <v>4</v>
      </c>
      <c r="F635" s="8">
        <v>1</v>
      </c>
      <c r="G635" s="6">
        <v>1</v>
      </c>
      <c r="H635" s="7"/>
      <c r="I635" s="51">
        <f t="shared" si="567"/>
        <v>2</v>
      </c>
      <c r="J635" s="59">
        <f t="shared" si="568"/>
        <v>6</v>
      </c>
      <c r="K635" s="41">
        <v>46127</v>
      </c>
      <c r="M635" s="20" t="s">
        <v>349</v>
      </c>
      <c r="N635" s="5">
        <v>2</v>
      </c>
      <c r="O635" s="6"/>
      <c r="P635" s="7"/>
      <c r="Q635" s="51">
        <f t="shared" si="563"/>
        <v>2</v>
      </c>
      <c r="R635" s="8">
        <v>4</v>
      </c>
      <c r="S635" s="6"/>
      <c r="T635" s="7"/>
      <c r="U635" s="51">
        <f t="shared" si="564"/>
        <v>4</v>
      </c>
      <c r="V635" s="59">
        <f t="shared" si="565"/>
        <v>6</v>
      </c>
      <c r="W635" s="108">
        <v>46139</v>
      </c>
    </row>
    <row r="636" spans="1:24" x14ac:dyDescent="0.15">
      <c r="A636" s="17" t="s">
        <v>57</v>
      </c>
      <c r="B636" s="5">
        <v>1</v>
      </c>
      <c r="C636" s="6"/>
      <c r="D636" s="7"/>
      <c r="E636" s="51">
        <f t="shared" si="566"/>
        <v>1</v>
      </c>
      <c r="F636" s="8"/>
      <c r="G636" s="6"/>
      <c r="H636" s="7"/>
      <c r="I636" s="51">
        <f t="shared" si="567"/>
        <v>0</v>
      </c>
      <c r="J636" s="59">
        <f t="shared" si="568"/>
        <v>1</v>
      </c>
      <c r="K636" s="41">
        <v>46128</v>
      </c>
      <c r="M636" s="20" t="s">
        <v>350</v>
      </c>
      <c r="N636" s="5">
        <v>6</v>
      </c>
      <c r="O636" s="6">
        <v>4</v>
      </c>
      <c r="P636" s="7">
        <v>2</v>
      </c>
      <c r="Q636" s="51">
        <f t="shared" si="563"/>
        <v>12</v>
      </c>
      <c r="R636" s="8">
        <v>3</v>
      </c>
      <c r="S636" s="6">
        <v>2</v>
      </c>
      <c r="T636" s="7">
        <v>1</v>
      </c>
      <c r="U636" s="51">
        <f t="shared" si="564"/>
        <v>6</v>
      </c>
      <c r="V636" s="59">
        <f t="shared" si="565"/>
        <v>18</v>
      </c>
      <c r="W636" s="108">
        <v>46139</v>
      </c>
    </row>
    <row r="637" spans="1:24" x14ac:dyDescent="0.15">
      <c r="A637" s="17" t="s">
        <v>57</v>
      </c>
      <c r="B637" s="9"/>
      <c r="C637" s="10">
        <v>1</v>
      </c>
      <c r="D637" s="11"/>
      <c r="E637" s="51">
        <f t="shared" si="566"/>
        <v>1</v>
      </c>
      <c r="F637" s="12"/>
      <c r="G637" s="10">
        <v>1</v>
      </c>
      <c r="H637" s="11"/>
      <c r="I637" s="51">
        <f t="shared" si="567"/>
        <v>1</v>
      </c>
      <c r="J637" s="59">
        <f t="shared" si="568"/>
        <v>2</v>
      </c>
      <c r="K637" s="40">
        <v>46129</v>
      </c>
      <c r="M637" s="20"/>
      <c r="N637" s="91"/>
      <c r="O637" s="7"/>
      <c r="P637" s="36"/>
      <c r="Q637" s="51">
        <f t="shared" si="563"/>
        <v>0</v>
      </c>
      <c r="R637" s="91"/>
      <c r="S637" s="7"/>
      <c r="T637" s="36"/>
      <c r="U637" s="51">
        <f t="shared" si="564"/>
        <v>0</v>
      </c>
      <c r="V637" s="59">
        <f t="shared" si="565"/>
        <v>0</v>
      </c>
      <c r="W637" s="116"/>
    </row>
    <row r="638" spans="1:24" x14ac:dyDescent="0.15">
      <c r="A638" s="17" t="s">
        <v>342</v>
      </c>
      <c r="B638" s="5"/>
      <c r="C638" s="6">
        <v>1</v>
      </c>
      <c r="D638" s="7"/>
      <c r="E638" s="51">
        <f t="shared" si="566"/>
        <v>1</v>
      </c>
      <c r="F638" s="8"/>
      <c r="G638" s="6">
        <v>1</v>
      </c>
      <c r="H638" s="7"/>
      <c r="I638" s="51">
        <f t="shared" si="567"/>
        <v>1</v>
      </c>
      <c r="J638" s="59">
        <f t="shared" si="568"/>
        <v>2</v>
      </c>
      <c r="K638" s="40">
        <v>46134</v>
      </c>
      <c r="M638" s="20" t="s">
        <v>309</v>
      </c>
      <c r="N638" s="5"/>
      <c r="O638" s="6"/>
      <c r="P638" s="7"/>
      <c r="Q638" s="51">
        <f t="shared" ref="Q638:Q639" si="569">SUM(N638:P638)</f>
        <v>0</v>
      </c>
      <c r="R638" s="8"/>
      <c r="S638" s="6"/>
      <c r="T638" s="7"/>
      <c r="U638" s="51">
        <f t="shared" ref="U638:U639" si="570">SUM(R638:T638)</f>
        <v>0</v>
      </c>
      <c r="V638" s="59">
        <f t="shared" ref="V638:V639" si="571">Q638+U638</f>
        <v>0</v>
      </c>
      <c r="W638" s="116" t="s">
        <v>310</v>
      </c>
    </row>
    <row r="639" spans="1:24" x14ac:dyDescent="0.15">
      <c r="A639" s="180" t="s">
        <v>174</v>
      </c>
      <c r="B639" s="93"/>
      <c r="C639" s="94">
        <v>-5</v>
      </c>
      <c r="D639" s="98"/>
      <c r="E639" s="96">
        <f t="shared" si="566"/>
        <v>-5</v>
      </c>
      <c r="F639" s="97"/>
      <c r="G639" s="94"/>
      <c r="H639" s="98"/>
      <c r="I639" s="96">
        <f t="shared" si="567"/>
        <v>0</v>
      </c>
      <c r="J639" s="99">
        <f t="shared" si="568"/>
        <v>-5</v>
      </c>
      <c r="K639" s="147">
        <v>46133</v>
      </c>
      <c r="M639" s="20" t="s">
        <v>302</v>
      </c>
      <c r="N639" s="91"/>
      <c r="O639" s="7"/>
      <c r="P639" s="36"/>
      <c r="Q639" s="51">
        <f t="shared" si="569"/>
        <v>0</v>
      </c>
      <c r="R639" s="91"/>
      <c r="S639" s="7"/>
      <c r="T639" s="36"/>
      <c r="U639" s="51">
        <f t="shared" si="570"/>
        <v>0</v>
      </c>
      <c r="V639" s="59">
        <f t="shared" si="571"/>
        <v>0</v>
      </c>
      <c r="W639" s="116" t="s">
        <v>303</v>
      </c>
    </row>
    <row r="640" spans="1:24" x14ac:dyDescent="0.15">
      <c r="A640" s="17" t="s">
        <v>57</v>
      </c>
      <c r="B640" s="5">
        <v>1</v>
      </c>
      <c r="C640" s="6">
        <v>2</v>
      </c>
      <c r="D640" s="7"/>
      <c r="E640" s="51">
        <f t="shared" si="566"/>
        <v>3</v>
      </c>
      <c r="F640" s="8"/>
      <c r="G640" s="6"/>
      <c r="H640" s="7"/>
      <c r="I640" s="51">
        <f t="shared" si="567"/>
        <v>0</v>
      </c>
      <c r="J640" s="59">
        <f t="shared" si="568"/>
        <v>3</v>
      </c>
      <c r="K640" s="41">
        <v>46132</v>
      </c>
      <c r="M640" s="101" t="s">
        <v>292</v>
      </c>
      <c r="N640" s="86"/>
      <c r="O640" s="87"/>
      <c r="P640" s="88"/>
      <c r="Q640" s="89">
        <f t="shared" si="563"/>
        <v>0</v>
      </c>
      <c r="R640" s="105"/>
      <c r="S640" s="87"/>
      <c r="T640" s="88"/>
      <c r="U640" s="89">
        <f t="shared" si="564"/>
        <v>0</v>
      </c>
      <c r="V640" s="90">
        <f t="shared" si="565"/>
        <v>0</v>
      </c>
      <c r="W640" s="116"/>
    </row>
    <row r="641" spans="1:32" ht="14.25" thickBot="1" x14ac:dyDescent="0.2">
      <c r="A641" s="17" t="s">
        <v>57</v>
      </c>
      <c r="B641" s="9"/>
      <c r="C641" s="10">
        <v>1</v>
      </c>
      <c r="D641" s="11"/>
      <c r="E641" s="55">
        <f t="shared" si="566"/>
        <v>1</v>
      </c>
      <c r="F641" s="12"/>
      <c r="G641" s="10">
        <v>1</v>
      </c>
      <c r="H641" s="11"/>
      <c r="I641" s="55">
        <f t="shared" si="567"/>
        <v>1</v>
      </c>
      <c r="J641" s="59">
        <f t="shared" si="568"/>
        <v>2</v>
      </c>
      <c r="K641" s="41">
        <v>46136</v>
      </c>
      <c r="M641" s="20" t="s">
        <v>369</v>
      </c>
      <c r="N641" s="5"/>
      <c r="O641" s="6"/>
      <c r="P641" s="7"/>
      <c r="Q641" s="51">
        <f t="shared" si="563"/>
        <v>0</v>
      </c>
      <c r="R641" s="8"/>
      <c r="S641" s="6"/>
      <c r="T641" s="7"/>
      <c r="U641" s="51">
        <f t="shared" si="564"/>
        <v>0</v>
      </c>
      <c r="V641" s="59">
        <f t="shared" si="565"/>
        <v>0</v>
      </c>
      <c r="W641" s="116" t="s">
        <v>300</v>
      </c>
    </row>
    <row r="642" spans="1:32" ht="14.25" thickBot="1" x14ac:dyDescent="0.2">
      <c r="A642" s="31" t="s">
        <v>19</v>
      </c>
      <c r="B642" s="34">
        <f>SUM(B616:B641)</f>
        <v>11</v>
      </c>
      <c r="C642" s="35">
        <f t="shared" ref="C642:D642" si="572">SUM(C616:C641)</f>
        <v>9</v>
      </c>
      <c r="D642" s="39">
        <f t="shared" si="572"/>
        <v>5</v>
      </c>
      <c r="E642" s="56">
        <f t="shared" si="566"/>
        <v>25</v>
      </c>
      <c r="F642" s="34">
        <f>SUM(F616:F641)</f>
        <v>6</v>
      </c>
      <c r="G642" s="35">
        <f t="shared" ref="G642:H642" si="573">SUM(G616:G641)</f>
        <v>7</v>
      </c>
      <c r="H642" s="39">
        <f t="shared" si="573"/>
        <v>4</v>
      </c>
      <c r="I642" s="56">
        <f t="shared" si="567"/>
        <v>17</v>
      </c>
      <c r="J642" s="62">
        <f>E642+I642</f>
        <v>42</v>
      </c>
      <c r="M642" s="31" t="s">
        <v>19</v>
      </c>
      <c r="N642" s="34">
        <f>SUM(N616:N641)</f>
        <v>266</v>
      </c>
      <c r="O642" s="35">
        <f t="shared" ref="O642:P642" si="574">SUM(O616:O641)</f>
        <v>174</v>
      </c>
      <c r="P642" s="39">
        <f t="shared" si="574"/>
        <v>136</v>
      </c>
      <c r="Q642" s="56">
        <f t="shared" si="563"/>
        <v>576</v>
      </c>
      <c r="R642" s="34">
        <f>SUM(R616:R641)</f>
        <v>201</v>
      </c>
      <c r="S642" s="35">
        <f t="shared" ref="S642:T642" si="575">SUM(S616:S641)</f>
        <v>172</v>
      </c>
      <c r="T642" s="39">
        <f t="shared" si="575"/>
        <v>126</v>
      </c>
      <c r="U642" s="56">
        <f t="shared" si="564"/>
        <v>499</v>
      </c>
      <c r="V642" s="62">
        <f>Q642+U642</f>
        <v>1075</v>
      </c>
    </row>
    <row r="643" spans="1:32" ht="14.25" thickBot="1" x14ac:dyDescent="0.2">
      <c r="A643" s="16" t="s">
        <v>17</v>
      </c>
      <c r="B643" s="63">
        <f>B615-B642</f>
        <v>4</v>
      </c>
      <c r="C643" s="64">
        <f t="shared" ref="C643:D643" si="576">C615-C642</f>
        <v>4</v>
      </c>
      <c r="D643" s="65">
        <f t="shared" si="576"/>
        <v>5</v>
      </c>
      <c r="E643" s="57">
        <f>SUM(B643:D643)</f>
        <v>13</v>
      </c>
      <c r="F643" s="63">
        <f>F615-F642</f>
        <v>5</v>
      </c>
      <c r="G643" s="64">
        <f t="shared" ref="G643:H643" si="577">G615-G642</f>
        <v>3</v>
      </c>
      <c r="H643" s="65">
        <f t="shared" si="577"/>
        <v>6</v>
      </c>
      <c r="I643" s="57">
        <f>SUM(F643:H643)</f>
        <v>14</v>
      </c>
      <c r="J643" s="61">
        <f>E643+I643</f>
        <v>27</v>
      </c>
      <c r="M643" s="16" t="s">
        <v>17</v>
      </c>
      <c r="N643" s="63">
        <f>N615-N642</f>
        <v>356</v>
      </c>
      <c r="O643" s="64">
        <f t="shared" ref="O643:P643" si="578">O615-O642</f>
        <v>594</v>
      </c>
      <c r="P643" s="65">
        <f t="shared" si="578"/>
        <v>554</v>
      </c>
      <c r="Q643" s="57">
        <f>SUM(N643:P643)</f>
        <v>1504</v>
      </c>
      <c r="R643" s="63">
        <f>R615-R642</f>
        <v>630</v>
      </c>
      <c r="S643" s="64">
        <f t="shared" ref="S643:T643" si="579">S615-S642</f>
        <v>709</v>
      </c>
      <c r="T643" s="65">
        <f t="shared" si="579"/>
        <v>502</v>
      </c>
      <c r="U643" s="57">
        <f>SUM(R643:T643)</f>
        <v>1841</v>
      </c>
      <c r="V643" s="61">
        <f>Q643+U643</f>
        <v>3345</v>
      </c>
      <c r="W643" s="131" t="s">
        <v>317</v>
      </c>
    </row>
    <row r="644" spans="1:32" x14ac:dyDescent="0.15">
      <c r="M644" s="129" t="s">
        <v>346</v>
      </c>
      <c r="N644" s="30">
        <f>N642+N601</f>
        <v>667</v>
      </c>
      <c r="O644" s="30">
        <f t="shared" ref="O644:V644" si="580">O642+O601</f>
        <v>616</v>
      </c>
      <c r="P644" s="30">
        <f t="shared" si="580"/>
        <v>419</v>
      </c>
      <c r="Q644" s="30">
        <f t="shared" si="580"/>
        <v>1702</v>
      </c>
      <c r="R644" s="30">
        <f t="shared" si="580"/>
        <v>666</v>
      </c>
      <c r="S644" s="30">
        <f t="shared" si="580"/>
        <v>629</v>
      </c>
      <c r="T644" s="30">
        <f t="shared" si="580"/>
        <v>466</v>
      </c>
      <c r="U644" s="30">
        <f t="shared" si="580"/>
        <v>1761</v>
      </c>
      <c r="V644" s="30">
        <f t="shared" si="580"/>
        <v>3463</v>
      </c>
      <c r="W644" s="129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 spans="1:32" x14ac:dyDescent="0.15">
      <c r="M645" s="130" t="s">
        <v>347</v>
      </c>
      <c r="N645" s="111">
        <f>N644/$Q$644*100</f>
        <v>39.189189189189186</v>
      </c>
      <c r="O645" s="111">
        <f t="shared" ref="O645:Q645" si="581">O644/$Q$644*100</f>
        <v>36.192714453584017</v>
      </c>
      <c r="P645" s="111">
        <f t="shared" si="581"/>
        <v>24.618096357226793</v>
      </c>
      <c r="Q645" s="111">
        <f t="shared" si="581"/>
        <v>100</v>
      </c>
      <c r="R645" s="111">
        <f>R644/$U$644*100</f>
        <v>37.819420783645654</v>
      </c>
      <c r="S645" s="111">
        <f t="shared" ref="S645:U645" si="582">S644/$U$644*100</f>
        <v>35.718341851220899</v>
      </c>
      <c r="T645" s="111">
        <f t="shared" si="582"/>
        <v>26.462237365133447</v>
      </c>
      <c r="U645" s="111">
        <f t="shared" si="582"/>
        <v>100</v>
      </c>
      <c r="V645" s="111"/>
      <c r="W645" s="130"/>
      <c r="X645" s="131"/>
      <c r="Y645" s="131"/>
      <c r="Z645" s="131"/>
      <c r="AA645" s="111"/>
      <c r="AB645" s="131"/>
      <c r="AC645" s="131"/>
      <c r="AD645" s="131"/>
      <c r="AE645" s="111"/>
      <c r="AF645" s="131"/>
    </row>
    <row r="646" spans="1:32" ht="19.5" thickBot="1" x14ac:dyDescent="0.25">
      <c r="A646" s="66" t="s">
        <v>23</v>
      </c>
      <c r="B646" s="67"/>
      <c r="C646" s="67"/>
      <c r="D646" s="67"/>
      <c r="E646" s="67"/>
      <c r="F646" s="67"/>
      <c r="G646" s="67"/>
      <c r="H646" s="67"/>
      <c r="I646" s="67" t="s">
        <v>26</v>
      </c>
      <c r="J646" s="67"/>
      <c r="M646" s="73" t="s">
        <v>24</v>
      </c>
      <c r="N646" s="74"/>
      <c r="O646" s="74"/>
      <c r="P646" s="74"/>
      <c r="Q646" s="74"/>
      <c r="R646" s="74"/>
      <c r="S646" s="74"/>
      <c r="T646" s="74"/>
      <c r="U646" s="74"/>
      <c r="V646" s="74"/>
    </row>
    <row r="647" spans="1:32" ht="14.25" thickBot="1" x14ac:dyDescent="0.2">
      <c r="A647" s="4" t="s">
        <v>0</v>
      </c>
      <c r="B647" s="191" t="s">
        <v>21</v>
      </c>
      <c r="C647" s="192"/>
      <c r="D647" s="192"/>
      <c r="E647" s="193"/>
      <c r="F647" s="194" t="s">
        <v>18</v>
      </c>
      <c r="G647" s="195"/>
      <c r="H647" s="195"/>
      <c r="I647" s="196"/>
      <c r="J647" s="189" t="s">
        <v>1</v>
      </c>
      <c r="M647" s="4" t="s">
        <v>0</v>
      </c>
      <c r="N647" s="198" t="s">
        <v>21</v>
      </c>
      <c r="O647" s="199"/>
      <c r="P647" s="199"/>
      <c r="Q647" s="200"/>
      <c r="R647" s="201" t="s">
        <v>18</v>
      </c>
      <c r="S647" s="202"/>
      <c r="T647" s="202"/>
      <c r="U647" s="203"/>
      <c r="V647" s="154" t="s">
        <v>1</v>
      </c>
    </row>
    <row r="648" spans="1:32" ht="14.25" thickBot="1" x14ac:dyDescent="0.2">
      <c r="A648" s="4" t="s">
        <v>2</v>
      </c>
      <c r="B648" s="1" t="s">
        <v>3</v>
      </c>
      <c r="C648" s="2" t="s">
        <v>4</v>
      </c>
      <c r="D648" s="3" t="s">
        <v>5</v>
      </c>
      <c r="E648" s="4" t="s">
        <v>6</v>
      </c>
      <c r="F648" s="1" t="s">
        <v>3</v>
      </c>
      <c r="G648" s="2" t="s">
        <v>4</v>
      </c>
      <c r="H648" s="3" t="s">
        <v>5</v>
      </c>
      <c r="I648" s="4" t="s">
        <v>6</v>
      </c>
      <c r="J648" s="190"/>
      <c r="M648" s="4" t="s">
        <v>2</v>
      </c>
      <c r="N648" s="1" t="s">
        <v>3</v>
      </c>
      <c r="O648" s="2" t="s">
        <v>4</v>
      </c>
      <c r="P648" s="3" t="s">
        <v>5</v>
      </c>
      <c r="Q648" s="4" t="s">
        <v>6</v>
      </c>
      <c r="R648" s="1" t="s">
        <v>3</v>
      </c>
      <c r="S648" s="2" t="s">
        <v>4</v>
      </c>
      <c r="T648" s="3" t="s">
        <v>5</v>
      </c>
      <c r="U648" s="4" t="s">
        <v>6</v>
      </c>
      <c r="V648" s="155"/>
    </row>
    <row r="649" spans="1:32" ht="14.25" thickBot="1" x14ac:dyDescent="0.2">
      <c r="A649" s="21" t="s">
        <v>20</v>
      </c>
      <c r="B649" s="22">
        <f>B643</f>
        <v>4</v>
      </c>
      <c r="C649" s="23">
        <f>C643</f>
        <v>4</v>
      </c>
      <c r="D649" s="24">
        <f>D643</f>
        <v>5</v>
      </c>
      <c r="E649" s="54">
        <f>SUM(B649:D649)</f>
        <v>13</v>
      </c>
      <c r="F649" s="22">
        <f>F643</f>
        <v>5</v>
      </c>
      <c r="G649" s="23">
        <f>G643</f>
        <v>3</v>
      </c>
      <c r="H649" s="24">
        <f>H643</f>
        <v>6</v>
      </c>
      <c r="I649" s="54">
        <f>SUM(F649:H649)</f>
        <v>14</v>
      </c>
      <c r="J649" s="61">
        <f>E649+I649</f>
        <v>27</v>
      </c>
      <c r="M649" s="21" t="s">
        <v>20</v>
      </c>
      <c r="N649" s="68">
        <f>N643</f>
        <v>356</v>
      </c>
      <c r="O649" s="69">
        <f>O643</f>
        <v>594</v>
      </c>
      <c r="P649" s="70">
        <f>P643</f>
        <v>554</v>
      </c>
      <c r="Q649" s="71">
        <f>SUM(N649:P649)</f>
        <v>1504</v>
      </c>
      <c r="R649" s="68">
        <f>R643</f>
        <v>630</v>
      </c>
      <c r="S649" s="69">
        <f>S643</f>
        <v>709</v>
      </c>
      <c r="T649" s="70">
        <f>T643</f>
        <v>502</v>
      </c>
      <c r="U649" s="71">
        <f>SUM(R649:T649)</f>
        <v>1841</v>
      </c>
      <c r="V649" s="72">
        <f>Q649+U649</f>
        <v>3345</v>
      </c>
    </row>
    <row r="650" spans="1:32" x14ac:dyDescent="0.15">
      <c r="A650" s="92" t="s">
        <v>8</v>
      </c>
      <c r="B650" s="141">
        <v>3</v>
      </c>
      <c r="C650" s="142"/>
      <c r="D650" s="143"/>
      <c r="E650" s="144">
        <f t="shared" ref="E650:E657" si="583">SUM(B650:D650)</f>
        <v>3</v>
      </c>
      <c r="F650" s="145"/>
      <c r="G650" s="142">
        <v>3</v>
      </c>
      <c r="H650" s="143"/>
      <c r="I650" s="144">
        <f t="shared" ref="I650:I657" si="584">SUM(F650:H650)</f>
        <v>3</v>
      </c>
      <c r="J650" s="146">
        <f t="shared" ref="J650:J657" si="585">E650+I650</f>
        <v>6</v>
      </c>
      <c r="K650" s="147">
        <v>46134</v>
      </c>
      <c r="M650" s="19" t="s">
        <v>8</v>
      </c>
      <c r="N650" s="83"/>
      <c r="O650" s="46"/>
      <c r="P650" s="44"/>
      <c r="Q650" s="50">
        <f>SUM(N650:P650)</f>
        <v>0</v>
      </c>
      <c r="R650" s="45"/>
      <c r="S650" s="46"/>
      <c r="T650" s="47"/>
      <c r="U650" s="50">
        <f>SUM(R650:T650)</f>
        <v>0</v>
      </c>
      <c r="V650" s="84">
        <f>Q650+U650</f>
        <v>0</v>
      </c>
    </row>
    <row r="651" spans="1:32" x14ac:dyDescent="0.15">
      <c r="A651" s="19" t="s">
        <v>9</v>
      </c>
      <c r="B651" s="5"/>
      <c r="C651" s="6"/>
      <c r="D651" s="7">
        <v>5</v>
      </c>
      <c r="E651" s="51">
        <f t="shared" si="583"/>
        <v>5</v>
      </c>
      <c r="F651" s="8"/>
      <c r="G651" s="6"/>
      <c r="H651" s="7"/>
      <c r="I651" s="51">
        <f t="shared" si="584"/>
        <v>0</v>
      </c>
      <c r="J651" s="59">
        <f t="shared" si="585"/>
        <v>5</v>
      </c>
      <c r="K651" s="40">
        <v>46140</v>
      </c>
      <c r="L651" s="30"/>
      <c r="M651" s="19" t="s">
        <v>9</v>
      </c>
      <c r="N651" s="5"/>
      <c r="O651" s="6"/>
      <c r="P651" s="36"/>
      <c r="Q651" s="52">
        <f t="shared" ref="Q651" si="586">SUM(N651:P651)</f>
        <v>0</v>
      </c>
      <c r="R651" s="8"/>
      <c r="S651" s="6"/>
      <c r="T651" s="7"/>
      <c r="U651" s="52">
        <f t="shared" ref="U651" si="587">SUM(R651:T651)</f>
        <v>0</v>
      </c>
      <c r="V651" s="59">
        <f t="shared" ref="V651" si="588">Q651+U651</f>
        <v>0</v>
      </c>
    </row>
    <row r="652" spans="1:32" x14ac:dyDescent="0.15">
      <c r="A652" s="19" t="s">
        <v>10</v>
      </c>
      <c r="B652" s="5">
        <v>5</v>
      </c>
      <c r="C652" s="6">
        <v>5</v>
      </c>
      <c r="D652" s="7"/>
      <c r="E652" s="51">
        <f t="shared" si="583"/>
        <v>10</v>
      </c>
      <c r="F652" s="8">
        <v>3</v>
      </c>
      <c r="G652" s="6">
        <v>3</v>
      </c>
      <c r="H652" s="7">
        <v>3</v>
      </c>
      <c r="I652" s="51">
        <f t="shared" si="584"/>
        <v>9</v>
      </c>
      <c r="J652" s="59">
        <f t="shared" si="585"/>
        <v>19</v>
      </c>
      <c r="K652" s="40">
        <v>46144</v>
      </c>
      <c r="M652" s="19" t="s">
        <v>10</v>
      </c>
      <c r="N652" s="5"/>
      <c r="O652" s="6"/>
      <c r="P652" s="36"/>
      <c r="Q652" s="52">
        <f t="shared" ref="Q652:Q653" si="589">SUM(N652:P652)</f>
        <v>0</v>
      </c>
      <c r="R652" s="8"/>
      <c r="S652" s="6"/>
      <c r="T652" s="7"/>
      <c r="U652" s="52">
        <f t="shared" ref="U652:U653" si="590">SUM(R652:T652)</f>
        <v>0</v>
      </c>
      <c r="V652" s="59">
        <f t="shared" ref="V652:V653" si="591">Q652+U652</f>
        <v>0</v>
      </c>
    </row>
    <row r="653" spans="1:32" x14ac:dyDescent="0.15">
      <c r="A653" s="19" t="s">
        <v>11</v>
      </c>
      <c r="B653" s="5">
        <v>5</v>
      </c>
      <c r="C653" s="6"/>
      <c r="D653" s="36"/>
      <c r="E653" s="52">
        <f t="shared" si="583"/>
        <v>5</v>
      </c>
      <c r="F653" s="8"/>
      <c r="G653" s="6"/>
      <c r="H653" s="7"/>
      <c r="I653" s="52">
        <f t="shared" si="584"/>
        <v>0</v>
      </c>
      <c r="J653" s="59">
        <f t="shared" si="585"/>
        <v>5</v>
      </c>
      <c r="K653" s="40">
        <v>46150</v>
      </c>
      <c r="M653" s="19" t="s">
        <v>11</v>
      </c>
      <c r="N653" s="5"/>
      <c r="O653" s="6"/>
      <c r="P653" s="36"/>
      <c r="Q653" s="52">
        <f t="shared" si="589"/>
        <v>0</v>
      </c>
      <c r="R653" s="8"/>
      <c r="S653" s="6"/>
      <c r="T653" s="7"/>
      <c r="U653" s="52">
        <f t="shared" si="590"/>
        <v>0</v>
      </c>
      <c r="V653" s="59">
        <f t="shared" si="591"/>
        <v>0</v>
      </c>
    </row>
    <row r="654" spans="1:32" x14ac:dyDescent="0.15">
      <c r="A654" s="92" t="s">
        <v>12</v>
      </c>
      <c r="B654" s="149"/>
      <c r="C654" s="150">
        <v>3</v>
      </c>
      <c r="D654" s="163">
        <v>3</v>
      </c>
      <c r="E654" s="96">
        <f t="shared" si="583"/>
        <v>6</v>
      </c>
      <c r="F654" s="152">
        <v>3</v>
      </c>
      <c r="G654" s="150"/>
      <c r="H654" s="151"/>
      <c r="I654" s="96">
        <f t="shared" si="584"/>
        <v>3</v>
      </c>
      <c r="J654" s="99">
        <f t="shared" si="585"/>
        <v>9</v>
      </c>
      <c r="K654" s="147">
        <v>46153</v>
      </c>
      <c r="L654" s="181"/>
      <c r="M654" s="19" t="s">
        <v>12</v>
      </c>
      <c r="N654" s="9"/>
      <c r="O654" s="10"/>
      <c r="P654" s="37"/>
      <c r="Q654" s="52">
        <f t="shared" ref="Q654:Q657" si="592">SUM(N654:P654)</f>
        <v>0</v>
      </c>
      <c r="R654" s="12"/>
      <c r="S654" s="10"/>
      <c r="T654" s="11"/>
      <c r="U654" s="52">
        <f t="shared" ref="U654:U657" si="593">SUM(R654:T654)</f>
        <v>0</v>
      </c>
      <c r="V654" s="59">
        <f t="shared" ref="V654:V657" si="594">Q654+U654</f>
        <v>0</v>
      </c>
    </row>
    <row r="655" spans="1:32" x14ac:dyDescent="0.15">
      <c r="A655" s="92" t="s">
        <v>13</v>
      </c>
      <c r="B655" s="149"/>
      <c r="C655" s="150"/>
      <c r="D655" s="163"/>
      <c r="E655" s="96">
        <f t="shared" si="583"/>
        <v>0</v>
      </c>
      <c r="F655" s="152"/>
      <c r="G655" s="150">
        <v>3</v>
      </c>
      <c r="H655" s="151"/>
      <c r="I655" s="96">
        <f t="shared" si="584"/>
        <v>3</v>
      </c>
      <c r="J655" s="99">
        <f t="shared" si="585"/>
        <v>3</v>
      </c>
      <c r="K655" s="147">
        <v>46154</v>
      </c>
      <c r="M655" s="19" t="s">
        <v>13</v>
      </c>
      <c r="N655" s="9"/>
      <c r="O655" s="10"/>
      <c r="P655" s="37"/>
      <c r="Q655" s="52">
        <f t="shared" si="592"/>
        <v>0</v>
      </c>
      <c r="R655" s="12"/>
      <c r="S655" s="10"/>
      <c r="T655" s="11"/>
      <c r="U655" s="52">
        <f t="shared" si="593"/>
        <v>0</v>
      </c>
      <c r="V655" s="59">
        <f t="shared" si="594"/>
        <v>0</v>
      </c>
    </row>
    <row r="656" spans="1:32" x14ac:dyDescent="0.15">
      <c r="A656" s="92" t="s">
        <v>14</v>
      </c>
      <c r="B656" s="93">
        <v>3</v>
      </c>
      <c r="C656" s="94"/>
      <c r="D656" s="95"/>
      <c r="E656" s="96">
        <f t="shared" si="583"/>
        <v>3</v>
      </c>
      <c r="F656" s="97"/>
      <c r="G656" s="94"/>
      <c r="H656" s="98"/>
      <c r="I656" s="96">
        <f t="shared" si="584"/>
        <v>0</v>
      </c>
      <c r="J656" s="99">
        <f t="shared" si="585"/>
        <v>3</v>
      </c>
      <c r="K656" s="147">
        <v>46155</v>
      </c>
      <c r="M656" s="19" t="s">
        <v>14</v>
      </c>
      <c r="N656" s="9"/>
      <c r="O656" s="10"/>
      <c r="P656" s="37"/>
      <c r="Q656" s="52">
        <f t="shared" si="592"/>
        <v>0</v>
      </c>
      <c r="R656" s="12"/>
      <c r="S656" s="10"/>
      <c r="T656" s="11"/>
      <c r="U656" s="52">
        <f t="shared" si="593"/>
        <v>0</v>
      </c>
      <c r="V656" s="59">
        <f t="shared" si="594"/>
        <v>0</v>
      </c>
    </row>
    <row r="657" spans="1:23" ht="14.25" thickBot="1" x14ac:dyDescent="0.2">
      <c r="A657" s="92" t="s">
        <v>15</v>
      </c>
      <c r="B657" s="170"/>
      <c r="C657" s="171">
        <v>5</v>
      </c>
      <c r="D657" s="172"/>
      <c r="E657" s="173">
        <f t="shared" si="583"/>
        <v>5</v>
      </c>
      <c r="F657" s="174"/>
      <c r="G657" s="174"/>
      <c r="H657" s="175">
        <v>3</v>
      </c>
      <c r="I657" s="173">
        <f t="shared" si="584"/>
        <v>3</v>
      </c>
      <c r="J657" s="176">
        <f t="shared" si="585"/>
        <v>8</v>
      </c>
      <c r="K657" s="147">
        <v>46156</v>
      </c>
      <c r="L657" s="181"/>
      <c r="M657" s="19" t="s">
        <v>15</v>
      </c>
      <c r="N657" s="25"/>
      <c r="O657" s="26"/>
      <c r="P657" s="38"/>
      <c r="Q657" s="53">
        <f t="shared" si="592"/>
        <v>0</v>
      </c>
      <c r="R657" s="27"/>
      <c r="S657" s="27"/>
      <c r="T657" s="29"/>
      <c r="U657" s="53">
        <f t="shared" si="593"/>
        <v>0</v>
      </c>
      <c r="V657" s="60">
        <f t="shared" si="594"/>
        <v>0</v>
      </c>
    </row>
    <row r="658" spans="1:23" ht="14.25" thickBot="1" x14ac:dyDescent="0.2">
      <c r="A658" s="28" t="s">
        <v>16</v>
      </c>
      <c r="B658" s="22">
        <f>SUM(B649:B657)</f>
        <v>20</v>
      </c>
      <c r="C658" s="23">
        <f t="shared" ref="C658:D658" si="595">SUM(C649:C657)</f>
        <v>17</v>
      </c>
      <c r="D658" s="24">
        <f t="shared" si="595"/>
        <v>13</v>
      </c>
      <c r="E658" s="54">
        <f>SUM(B658:D658)</f>
        <v>50</v>
      </c>
      <c r="F658" s="22">
        <f>SUM(F649:F657)</f>
        <v>11</v>
      </c>
      <c r="G658" s="23">
        <f t="shared" ref="G658:H658" si="596">SUM(G649:G657)</f>
        <v>12</v>
      </c>
      <c r="H658" s="24">
        <f t="shared" si="596"/>
        <v>12</v>
      </c>
      <c r="I658" s="54">
        <f>SUM(F658:H658)</f>
        <v>35</v>
      </c>
      <c r="J658" s="61">
        <f>SUM(J650:J657)</f>
        <v>58</v>
      </c>
      <c r="M658" s="28" t="s">
        <v>16</v>
      </c>
      <c r="N658" s="22">
        <f>SUM(N649:N657)</f>
        <v>356</v>
      </c>
      <c r="O658" s="23">
        <f t="shared" ref="O658:P658" si="597">SUM(O649:O657)</f>
        <v>594</v>
      </c>
      <c r="P658" s="24">
        <f t="shared" si="597"/>
        <v>554</v>
      </c>
      <c r="Q658" s="54">
        <f>SUM(N658:P658)</f>
        <v>1504</v>
      </c>
      <c r="R658" s="22">
        <f>SUM(R649:R657)</f>
        <v>630</v>
      </c>
      <c r="S658" s="23">
        <f t="shared" ref="S658:T658" si="598">SUM(S649:S657)</f>
        <v>709</v>
      </c>
      <c r="T658" s="24">
        <f t="shared" si="598"/>
        <v>502</v>
      </c>
      <c r="U658" s="54">
        <f>SUM(R658:T658)</f>
        <v>1841</v>
      </c>
      <c r="V658" s="61">
        <f>Q658+U658</f>
        <v>3345</v>
      </c>
    </row>
    <row r="659" spans="1:23" x14ac:dyDescent="0.15">
      <c r="A659" s="17" t="s">
        <v>57</v>
      </c>
      <c r="B659" s="5">
        <v>4</v>
      </c>
      <c r="C659" s="6"/>
      <c r="D659" s="7">
        <v>4</v>
      </c>
      <c r="E659" s="51">
        <f t="shared" ref="E659:E685" si="599">SUM(B659:D659)</f>
        <v>8</v>
      </c>
      <c r="F659" s="8">
        <v>2</v>
      </c>
      <c r="G659" s="6"/>
      <c r="H659" s="7">
        <v>2</v>
      </c>
      <c r="I659" s="51">
        <f t="shared" ref="I659:I685" si="600">SUM(F659:H659)</f>
        <v>4</v>
      </c>
      <c r="J659" s="59">
        <f t="shared" ref="J659:J684" si="601">E659+I659</f>
        <v>12</v>
      </c>
      <c r="K659" s="41">
        <v>46139</v>
      </c>
      <c r="M659" s="20" t="s">
        <v>271</v>
      </c>
      <c r="N659" s="5">
        <v>2</v>
      </c>
      <c r="O659" s="6">
        <v>2</v>
      </c>
      <c r="P659" s="7">
        <v>2</v>
      </c>
      <c r="Q659" s="51">
        <f t="shared" ref="Q659:Q661" si="602">SUM(N659:P659)</f>
        <v>6</v>
      </c>
      <c r="R659" s="8">
        <v>2</v>
      </c>
      <c r="S659" s="6">
        <v>2</v>
      </c>
      <c r="T659" s="7">
        <v>2</v>
      </c>
      <c r="U659" s="51">
        <f t="shared" ref="U659:U661" si="603">SUM(R659:T659)</f>
        <v>6</v>
      </c>
      <c r="V659" s="59">
        <f t="shared" ref="V659:V661" si="604">Q659+U659</f>
        <v>12</v>
      </c>
      <c r="W659" s="108">
        <v>46140</v>
      </c>
    </row>
    <row r="660" spans="1:23" x14ac:dyDescent="0.15">
      <c r="A660" s="17" t="s">
        <v>57</v>
      </c>
      <c r="B660" s="5"/>
      <c r="C660" s="6">
        <v>2</v>
      </c>
      <c r="D660" s="7">
        <v>1</v>
      </c>
      <c r="E660" s="51">
        <f t="shared" si="599"/>
        <v>3</v>
      </c>
      <c r="F660" s="8"/>
      <c r="G660" s="6">
        <v>1</v>
      </c>
      <c r="H660" s="7">
        <v>1</v>
      </c>
      <c r="I660" s="51">
        <f t="shared" si="600"/>
        <v>2</v>
      </c>
      <c r="J660" s="59">
        <f t="shared" si="601"/>
        <v>5</v>
      </c>
      <c r="K660" s="41">
        <v>46142</v>
      </c>
      <c r="M660" s="20" t="s">
        <v>362</v>
      </c>
      <c r="N660" s="5">
        <v>30</v>
      </c>
      <c r="O660" s="6">
        <v>20</v>
      </c>
      <c r="P660" s="7"/>
      <c r="Q660" s="51">
        <f t="shared" si="602"/>
        <v>50</v>
      </c>
      <c r="R660" s="8"/>
      <c r="S660" s="6">
        <v>20</v>
      </c>
      <c r="T660" s="7"/>
      <c r="U660" s="51">
        <f t="shared" si="603"/>
        <v>20</v>
      </c>
      <c r="V660" s="59">
        <f t="shared" si="604"/>
        <v>70</v>
      </c>
      <c r="W660" s="108">
        <v>46155</v>
      </c>
    </row>
    <row r="661" spans="1:23" x14ac:dyDescent="0.15">
      <c r="A661" s="17" t="s">
        <v>354</v>
      </c>
      <c r="B661" s="5">
        <v>1</v>
      </c>
      <c r="C661" s="6"/>
      <c r="D661" s="7"/>
      <c r="E661" s="51">
        <f t="shared" si="599"/>
        <v>1</v>
      </c>
      <c r="F661" s="8"/>
      <c r="G661" s="6"/>
      <c r="H661" s="7"/>
      <c r="I661" s="51">
        <f t="shared" si="600"/>
        <v>0</v>
      </c>
      <c r="J661" s="59">
        <f t="shared" si="601"/>
        <v>1</v>
      </c>
      <c r="K661" s="40">
        <v>46149</v>
      </c>
      <c r="M661" s="18" t="s">
        <v>295</v>
      </c>
      <c r="N661" s="5"/>
      <c r="O661" s="6"/>
      <c r="P661" s="7">
        <v>5</v>
      </c>
      <c r="Q661" s="51">
        <f t="shared" si="602"/>
        <v>5</v>
      </c>
      <c r="R661" s="8"/>
      <c r="S661" s="6"/>
      <c r="T661" s="7"/>
      <c r="U661" s="51">
        <f t="shared" si="603"/>
        <v>0</v>
      </c>
      <c r="V661" s="59">
        <f t="shared" si="604"/>
        <v>5</v>
      </c>
      <c r="W661" s="108">
        <v>46140</v>
      </c>
    </row>
    <row r="662" spans="1:23" x14ac:dyDescent="0.15">
      <c r="A662" s="17" t="s">
        <v>57</v>
      </c>
      <c r="B662" s="5">
        <v>1</v>
      </c>
      <c r="C662" s="6">
        <v>2</v>
      </c>
      <c r="D662" s="7"/>
      <c r="E662" s="51">
        <f t="shared" si="599"/>
        <v>3</v>
      </c>
      <c r="F662" s="8"/>
      <c r="G662" s="6">
        <v>2</v>
      </c>
      <c r="H662" s="7"/>
      <c r="I662" s="51">
        <f t="shared" si="600"/>
        <v>2</v>
      </c>
      <c r="J662" s="59">
        <f t="shared" si="601"/>
        <v>5</v>
      </c>
      <c r="K662" s="40">
        <v>46143</v>
      </c>
      <c r="M662" s="18" t="s">
        <v>295</v>
      </c>
      <c r="N662" s="5">
        <v>5</v>
      </c>
      <c r="O662" s="6">
        <v>5</v>
      </c>
      <c r="P662" s="7"/>
      <c r="Q662" s="51">
        <f t="shared" ref="Q662:Q685" si="605">SUM(N662:P662)</f>
        <v>10</v>
      </c>
      <c r="R662" s="8">
        <v>3</v>
      </c>
      <c r="S662" s="6">
        <v>3</v>
      </c>
      <c r="T662" s="7">
        <v>3</v>
      </c>
      <c r="U662" s="51">
        <f t="shared" ref="U662:U685" si="606">SUM(R662:T662)</f>
        <v>9</v>
      </c>
      <c r="V662" s="59">
        <f t="shared" ref="V662:V681" si="607">Q662+U662</f>
        <v>19</v>
      </c>
      <c r="W662" s="108">
        <v>46144</v>
      </c>
    </row>
    <row r="663" spans="1:23" x14ac:dyDescent="0.15">
      <c r="A663" s="17" t="s">
        <v>355</v>
      </c>
      <c r="B663" s="5"/>
      <c r="C663" s="6">
        <v>1</v>
      </c>
      <c r="D663" s="7">
        <v>1</v>
      </c>
      <c r="E663" s="51">
        <f t="shared" si="599"/>
        <v>2</v>
      </c>
      <c r="F663" s="8"/>
      <c r="G663" s="6">
        <v>1</v>
      </c>
      <c r="H663" s="7"/>
      <c r="I663" s="51">
        <f t="shared" si="600"/>
        <v>1</v>
      </c>
      <c r="J663" s="59">
        <f t="shared" si="601"/>
        <v>3</v>
      </c>
      <c r="K663" s="40">
        <v>46149</v>
      </c>
      <c r="M663" s="20" t="s">
        <v>356</v>
      </c>
      <c r="N663" s="5">
        <v>30</v>
      </c>
      <c r="O663" s="6">
        <v>30</v>
      </c>
      <c r="P663" s="7">
        <v>30</v>
      </c>
      <c r="Q663" s="51">
        <f t="shared" si="605"/>
        <v>90</v>
      </c>
      <c r="R663" s="8">
        <v>30</v>
      </c>
      <c r="S663" s="6">
        <v>30</v>
      </c>
      <c r="T663" s="7">
        <v>30</v>
      </c>
      <c r="U663" s="51">
        <f t="shared" si="606"/>
        <v>90</v>
      </c>
      <c r="V663" s="59">
        <f t="shared" si="607"/>
        <v>180</v>
      </c>
      <c r="W663" s="108">
        <v>46154</v>
      </c>
    </row>
    <row r="664" spans="1:23" x14ac:dyDescent="0.15">
      <c r="A664" s="17" t="s">
        <v>57</v>
      </c>
      <c r="B664" s="5">
        <v>4</v>
      </c>
      <c r="C664" s="6">
        <v>1</v>
      </c>
      <c r="D664" s="14"/>
      <c r="E664" s="51">
        <f t="shared" si="599"/>
        <v>5</v>
      </c>
      <c r="F664" s="15">
        <v>2</v>
      </c>
      <c r="G664" s="13"/>
      <c r="H664" s="14"/>
      <c r="I664" s="51">
        <f t="shared" si="600"/>
        <v>2</v>
      </c>
      <c r="J664" s="59">
        <f t="shared" si="601"/>
        <v>7</v>
      </c>
      <c r="K664" s="41">
        <v>46149</v>
      </c>
      <c r="M664" s="20" t="s">
        <v>295</v>
      </c>
      <c r="N664" s="5">
        <v>5</v>
      </c>
      <c r="O664" s="6"/>
      <c r="P664" s="14"/>
      <c r="Q664" s="51">
        <f t="shared" si="605"/>
        <v>5</v>
      </c>
      <c r="R664" s="15"/>
      <c r="S664" s="13"/>
      <c r="T664" s="14"/>
      <c r="U664" s="51">
        <f t="shared" si="606"/>
        <v>0</v>
      </c>
      <c r="V664" s="59">
        <f t="shared" si="607"/>
        <v>5</v>
      </c>
      <c r="W664" s="108">
        <v>46150</v>
      </c>
    </row>
    <row r="665" spans="1:23" x14ac:dyDescent="0.15">
      <c r="A665" s="17" t="s">
        <v>358</v>
      </c>
      <c r="B665" s="5">
        <v>1</v>
      </c>
      <c r="C665" s="6"/>
      <c r="D665" s="7"/>
      <c r="E665" s="51">
        <f t="shared" si="599"/>
        <v>1</v>
      </c>
      <c r="F665" s="8">
        <v>1</v>
      </c>
      <c r="G665" s="6"/>
      <c r="H665" s="7"/>
      <c r="I665" s="51">
        <f t="shared" si="600"/>
        <v>1</v>
      </c>
      <c r="J665" s="59">
        <f t="shared" si="601"/>
        <v>2</v>
      </c>
      <c r="K665" s="40">
        <v>46155</v>
      </c>
      <c r="M665" s="20" t="s">
        <v>271</v>
      </c>
      <c r="N665" s="5">
        <v>2</v>
      </c>
      <c r="O665" s="6"/>
      <c r="P665" s="7"/>
      <c r="Q665" s="51">
        <f t="shared" si="605"/>
        <v>2</v>
      </c>
      <c r="R665" s="8">
        <v>2</v>
      </c>
      <c r="S665" s="6"/>
      <c r="T665" s="7"/>
      <c r="U665" s="51">
        <f t="shared" si="606"/>
        <v>2</v>
      </c>
      <c r="V665" s="59">
        <f t="shared" si="607"/>
        <v>4</v>
      </c>
      <c r="W665" s="108">
        <v>46153</v>
      </c>
    </row>
    <row r="666" spans="1:23" x14ac:dyDescent="0.15">
      <c r="A666" s="17" t="s">
        <v>38</v>
      </c>
      <c r="B666" s="5"/>
      <c r="C666" s="6"/>
      <c r="D666" s="7"/>
      <c r="E666" s="51">
        <f t="shared" si="599"/>
        <v>0</v>
      </c>
      <c r="F666" s="8"/>
      <c r="G666" s="6">
        <v>2</v>
      </c>
      <c r="H666" s="7"/>
      <c r="I666" s="51">
        <f t="shared" si="600"/>
        <v>2</v>
      </c>
      <c r="J666" s="59">
        <f t="shared" si="601"/>
        <v>2</v>
      </c>
      <c r="K666" s="40">
        <v>46153</v>
      </c>
      <c r="L666" s="48"/>
      <c r="M666" s="179" t="s">
        <v>357</v>
      </c>
      <c r="N666" s="149" t="s">
        <v>22</v>
      </c>
      <c r="O666" s="150">
        <v>3</v>
      </c>
      <c r="P666" s="151">
        <v>3</v>
      </c>
      <c r="Q666" s="144">
        <f t="shared" si="605"/>
        <v>6</v>
      </c>
      <c r="R666" s="152">
        <v>3</v>
      </c>
      <c r="S666" s="150"/>
      <c r="T666" s="151"/>
      <c r="U666" s="144">
        <f t="shared" si="606"/>
        <v>3</v>
      </c>
      <c r="V666" s="99">
        <f t="shared" si="607"/>
        <v>9</v>
      </c>
      <c r="W666" s="153">
        <v>46153</v>
      </c>
    </row>
    <row r="667" spans="1:23" x14ac:dyDescent="0.15">
      <c r="A667" s="17" t="s">
        <v>57</v>
      </c>
      <c r="B667" s="5">
        <v>2</v>
      </c>
      <c r="C667" s="6"/>
      <c r="D667" s="7">
        <v>1</v>
      </c>
      <c r="E667" s="51">
        <f t="shared" si="599"/>
        <v>3</v>
      </c>
      <c r="F667" s="8">
        <v>3</v>
      </c>
      <c r="G667" s="6"/>
      <c r="H667" s="7"/>
      <c r="I667" s="51">
        <f t="shared" si="600"/>
        <v>3</v>
      </c>
      <c r="J667" s="59">
        <f t="shared" si="601"/>
        <v>6</v>
      </c>
      <c r="K667" s="41">
        <v>46153</v>
      </c>
      <c r="M667" s="20" t="s">
        <v>389</v>
      </c>
      <c r="N667" s="5">
        <v>20</v>
      </c>
      <c r="O667" s="6">
        <v>40</v>
      </c>
      <c r="P667" s="7">
        <v>20</v>
      </c>
      <c r="Q667" s="51">
        <f t="shared" si="605"/>
        <v>80</v>
      </c>
      <c r="R667" s="8">
        <v>24</v>
      </c>
      <c r="S667" s="6">
        <v>40</v>
      </c>
      <c r="T667" s="7"/>
      <c r="U667" s="51">
        <f t="shared" si="606"/>
        <v>64</v>
      </c>
      <c r="V667" s="59">
        <f t="shared" si="607"/>
        <v>144</v>
      </c>
      <c r="W667" s="108">
        <v>46169</v>
      </c>
    </row>
    <row r="668" spans="1:23" x14ac:dyDescent="0.15">
      <c r="A668" s="18" t="s">
        <v>361</v>
      </c>
      <c r="B668" s="9"/>
      <c r="C668" s="10">
        <v>2</v>
      </c>
      <c r="D668" s="11">
        <v>1</v>
      </c>
      <c r="E668" s="51">
        <f t="shared" si="599"/>
        <v>3</v>
      </c>
      <c r="F668" s="12">
        <v>-3</v>
      </c>
      <c r="G668" s="10">
        <v>-2</v>
      </c>
      <c r="H668" s="11">
        <v>2</v>
      </c>
      <c r="I668" s="51">
        <f t="shared" si="600"/>
        <v>-3</v>
      </c>
      <c r="J668" s="59">
        <f t="shared" si="601"/>
        <v>0</v>
      </c>
      <c r="K668" s="41">
        <v>46149</v>
      </c>
      <c r="M668" s="179" t="s">
        <v>295</v>
      </c>
      <c r="N668" s="93"/>
      <c r="O668" s="94"/>
      <c r="P668" s="98"/>
      <c r="Q668" s="144">
        <f t="shared" si="605"/>
        <v>0</v>
      </c>
      <c r="R668" s="97"/>
      <c r="S668" s="94">
        <v>3</v>
      </c>
      <c r="T668" s="98"/>
      <c r="U668" s="144">
        <f t="shared" si="606"/>
        <v>3</v>
      </c>
      <c r="V668" s="99">
        <f t="shared" si="607"/>
        <v>3</v>
      </c>
      <c r="W668" s="153">
        <v>46154</v>
      </c>
    </row>
    <row r="669" spans="1:23" x14ac:dyDescent="0.15">
      <c r="A669" s="17" t="s">
        <v>57</v>
      </c>
      <c r="B669" s="5">
        <v>1</v>
      </c>
      <c r="C669" s="6"/>
      <c r="D669" s="7"/>
      <c r="E669" s="51">
        <f t="shared" si="599"/>
        <v>1</v>
      </c>
      <c r="F669" s="8"/>
      <c r="G669" s="6"/>
      <c r="H669" s="7"/>
      <c r="I669" s="51">
        <f t="shared" si="600"/>
        <v>0</v>
      </c>
      <c r="J669" s="59">
        <f t="shared" si="601"/>
        <v>1</v>
      </c>
      <c r="K669" s="41">
        <v>46154</v>
      </c>
      <c r="M669" s="20" t="s">
        <v>271</v>
      </c>
      <c r="N669" s="5"/>
      <c r="O669" s="6">
        <v>4</v>
      </c>
      <c r="P669" s="7"/>
      <c r="Q669" s="51">
        <f t="shared" si="605"/>
        <v>4</v>
      </c>
      <c r="R669" s="8"/>
      <c r="S669" s="6">
        <v>4</v>
      </c>
      <c r="T669" s="7"/>
      <c r="U669" s="51">
        <f t="shared" si="606"/>
        <v>4</v>
      </c>
      <c r="V669" s="59">
        <f t="shared" si="607"/>
        <v>8</v>
      </c>
      <c r="W669" s="108">
        <v>46156</v>
      </c>
    </row>
    <row r="670" spans="1:23" x14ac:dyDescent="0.15">
      <c r="A670" s="17" t="s">
        <v>271</v>
      </c>
      <c r="B670" s="5">
        <v>1</v>
      </c>
      <c r="C670" s="6">
        <v>1</v>
      </c>
      <c r="D670" s="7"/>
      <c r="E670" s="51">
        <f t="shared" si="599"/>
        <v>2</v>
      </c>
      <c r="F670" s="8">
        <v>1</v>
      </c>
      <c r="G670" s="6">
        <v>1</v>
      </c>
      <c r="H670" s="7"/>
      <c r="I670" s="51">
        <f t="shared" si="600"/>
        <v>2</v>
      </c>
      <c r="J670" s="59">
        <f t="shared" si="601"/>
        <v>4</v>
      </c>
      <c r="K670" s="40">
        <v>46157</v>
      </c>
      <c r="M670" s="148" t="s">
        <v>295</v>
      </c>
      <c r="N670" s="149">
        <v>3</v>
      </c>
      <c r="O670" s="150"/>
      <c r="P670" s="151"/>
      <c r="Q670" s="144">
        <f t="shared" si="605"/>
        <v>3</v>
      </c>
      <c r="R670" s="152"/>
      <c r="S670" s="150"/>
      <c r="T670" s="151"/>
      <c r="U670" s="144">
        <f t="shared" si="606"/>
        <v>0</v>
      </c>
      <c r="V670" s="99">
        <f t="shared" si="607"/>
        <v>3</v>
      </c>
      <c r="W670" s="153">
        <v>46155</v>
      </c>
    </row>
    <row r="671" spans="1:23" x14ac:dyDescent="0.15">
      <c r="A671" s="17" t="s">
        <v>364</v>
      </c>
      <c r="B671" s="5"/>
      <c r="C671" s="6">
        <v>1</v>
      </c>
      <c r="D671" s="7"/>
      <c r="E671" s="51">
        <f t="shared" si="599"/>
        <v>1</v>
      </c>
      <c r="F671" s="8"/>
      <c r="G671" s="6">
        <v>-1</v>
      </c>
      <c r="H671" s="7"/>
      <c r="I671" s="51">
        <f t="shared" si="600"/>
        <v>-1</v>
      </c>
      <c r="J671" s="59">
        <f t="shared" si="601"/>
        <v>0</v>
      </c>
      <c r="K671" s="40">
        <v>46153</v>
      </c>
      <c r="M671" s="20" t="s">
        <v>363</v>
      </c>
      <c r="N671" s="5">
        <v>12</v>
      </c>
      <c r="O671" s="6">
        <v>8</v>
      </c>
      <c r="P671" s="7">
        <v>8</v>
      </c>
      <c r="Q671" s="51">
        <f t="shared" si="605"/>
        <v>28</v>
      </c>
      <c r="R671" s="8">
        <v>24</v>
      </c>
      <c r="S671" s="6">
        <v>18</v>
      </c>
      <c r="T671" s="7">
        <v>4</v>
      </c>
      <c r="U671" s="51">
        <f t="shared" si="606"/>
        <v>46</v>
      </c>
      <c r="V671" s="59">
        <f t="shared" si="607"/>
        <v>74</v>
      </c>
      <c r="W671" s="108">
        <v>46157</v>
      </c>
    </row>
    <row r="672" spans="1:23" x14ac:dyDescent="0.15">
      <c r="A672" s="17" t="s">
        <v>271</v>
      </c>
      <c r="B672" s="5">
        <v>1</v>
      </c>
      <c r="C672" s="6"/>
      <c r="D672" s="7"/>
      <c r="E672" s="51">
        <f t="shared" si="599"/>
        <v>1</v>
      </c>
      <c r="F672" s="8">
        <v>1</v>
      </c>
      <c r="G672" s="6"/>
      <c r="H672" s="7"/>
      <c r="I672" s="51">
        <f t="shared" si="600"/>
        <v>1</v>
      </c>
      <c r="J672" s="59">
        <f t="shared" si="601"/>
        <v>2</v>
      </c>
      <c r="K672" s="40">
        <v>46160</v>
      </c>
      <c r="M672" s="18" t="s">
        <v>295</v>
      </c>
      <c r="N672" s="5"/>
      <c r="O672" s="6">
        <v>5</v>
      </c>
      <c r="P672" s="7"/>
      <c r="Q672" s="51">
        <f t="shared" si="605"/>
        <v>5</v>
      </c>
      <c r="R672" s="8"/>
      <c r="S672" s="6"/>
      <c r="T672" s="7">
        <v>3</v>
      </c>
      <c r="U672" s="51">
        <f t="shared" si="606"/>
        <v>3</v>
      </c>
      <c r="V672" s="59">
        <f t="shared" si="607"/>
        <v>8</v>
      </c>
      <c r="W672" s="108">
        <v>46156</v>
      </c>
    </row>
    <row r="673" spans="1:24" x14ac:dyDescent="0.15">
      <c r="A673" s="17" t="s">
        <v>365</v>
      </c>
      <c r="B673" s="5"/>
      <c r="C673" s="6">
        <v>-2</v>
      </c>
      <c r="D673" s="7"/>
      <c r="E673" s="51">
        <f t="shared" si="599"/>
        <v>-2</v>
      </c>
      <c r="F673" s="8"/>
      <c r="G673" s="6">
        <v>-1</v>
      </c>
      <c r="H673" s="7"/>
      <c r="I673" s="51">
        <f t="shared" si="600"/>
        <v>-1</v>
      </c>
      <c r="J673" s="59">
        <f t="shared" si="601"/>
        <v>-3</v>
      </c>
      <c r="K673" s="40">
        <v>46155</v>
      </c>
      <c r="M673" s="17" t="s">
        <v>38</v>
      </c>
      <c r="N673" s="5"/>
      <c r="O673" s="6"/>
      <c r="P673" s="7"/>
      <c r="Q673" s="51">
        <f t="shared" si="605"/>
        <v>0</v>
      </c>
      <c r="R673" s="8"/>
      <c r="S673" s="6">
        <v>1</v>
      </c>
      <c r="T673" s="7"/>
      <c r="U673" s="51">
        <f t="shared" si="606"/>
        <v>1</v>
      </c>
      <c r="V673" s="59">
        <f t="shared" si="607"/>
        <v>1</v>
      </c>
      <c r="W673" s="108">
        <v>46158</v>
      </c>
    </row>
    <row r="674" spans="1:24" x14ac:dyDescent="0.15">
      <c r="A674" s="17" t="s">
        <v>57</v>
      </c>
      <c r="B674" s="5">
        <v>1</v>
      </c>
      <c r="C674" s="6"/>
      <c r="D674" s="7"/>
      <c r="E674" s="51">
        <f t="shared" ref="E674" si="608">SUM(B674:D674)</f>
        <v>1</v>
      </c>
      <c r="F674" s="8"/>
      <c r="G674" s="6"/>
      <c r="H674" s="7"/>
      <c r="I674" s="51">
        <f t="shared" ref="I674" si="609">SUM(F674:H674)</f>
        <v>0</v>
      </c>
      <c r="J674" s="59">
        <f t="shared" ref="J674" si="610">E674+I674</f>
        <v>1</v>
      </c>
      <c r="K674" s="41">
        <v>46157</v>
      </c>
      <c r="L674" s="30"/>
      <c r="M674" s="20" t="s">
        <v>370</v>
      </c>
      <c r="N674" s="5">
        <v>6</v>
      </c>
      <c r="O674" s="6">
        <v>2</v>
      </c>
      <c r="P674" s="7">
        <v>1</v>
      </c>
      <c r="Q674" s="51">
        <f t="shared" si="605"/>
        <v>9</v>
      </c>
      <c r="R674" s="8"/>
      <c r="S674" s="6"/>
      <c r="T674" s="7">
        <v>4</v>
      </c>
      <c r="U674" s="51">
        <f t="shared" si="606"/>
        <v>4</v>
      </c>
      <c r="V674" s="59">
        <f t="shared" si="607"/>
        <v>13</v>
      </c>
      <c r="W674" s="108">
        <v>46161</v>
      </c>
    </row>
    <row r="675" spans="1:24" x14ac:dyDescent="0.15">
      <c r="A675" s="17" t="s">
        <v>271</v>
      </c>
      <c r="B675" s="5">
        <v>1</v>
      </c>
      <c r="C675" s="6"/>
      <c r="D675" s="7"/>
      <c r="E675" s="51">
        <f t="shared" si="599"/>
        <v>1</v>
      </c>
      <c r="F675" s="8">
        <v>1</v>
      </c>
      <c r="G675" s="6"/>
      <c r="H675" s="7"/>
      <c r="I675" s="51">
        <f t="shared" si="600"/>
        <v>1</v>
      </c>
      <c r="J675" s="59">
        <f t="shared" si="601"/>
        <v>2</v>
      </c>
      <c r="K675" s="40">
        <v>46162</v>
      </c>
      <c r="M675" s="148" t="s">
        <v>295</v>
      </c>
      <c r="N675" s="149">
        <v>5</v>
      </c>
      <c r="O675" s="150"/>
      <c r="P675" s="151"/>
      <c r="Q675" s="144">
        <f t="shared" ref="Q675:Q679" si="611">SUM(N675:P675)</f>
        <v>5</v>
      </c>
      <c r="R675" s="152">
        <v>5</v>
      </c>
      <c r="S675" s="150"/>
      <c r="T675" s="151"/>
      <c r="U675" s="144">
        <f t="shared" ref="U675:U679" si="612">SUM(R675:T675)</f>
        <v>5</v>
      </c>
      <c r="V675" s="99">
        <f t="shared" ref="V675:V679" si="613">Q675+U675</f>
        <v>10</v>
      </c>
      <c r="W675" s="153">
        <v>46161</v>
      </c>
    </row>
    <row r="676" spans="1:24" x14ac:dyDescent="0.15">
      <c r="A676" s="17" t="s">
        <v>57</v>
      </c>
      <c r="B676" s="5">
        <v>2</v>
      </c>
      <c r="C676" s="6">
        <v>5</v>
      </c>
      <c r="D676" s="7"/>
      <c r="E676" s="51">
        <f t="shared" si="599"/>
        <v>7</v>
      </c>
      <c r="F676" s="8">
        <v>3</v>
      </c>
      <c r="G676" s="6"/>
      <c r="H676" s="7"/>
      <c r="I676" s="51">
        <f t="shared" si="600"/>
        <v>3</v>
      </c>
      <c r="J676" s="59">
        <f t="shared" si="601"/>
        <v>10</v>
      </c>
      <c r="K676" s="41">
        <v>46160</v>
      </c>
      <c r="M676" s="20" t="s">
        <v>373</v>
      </c>
      <c r="N676" s="5">
        <v>35</v>
      </c>
      <c r="O676" s="6">
        <v>20</v>
      </c>
      <c r="P676" s="7"/>
      <c r="Q676" s="51">
        <f t="shared" si="611"/>
        <v>55</v>
      </c>
      <c r="R676" s="8">
        <v>25</v>
      </c>
      <c r="S676" s="6">
        <v>40</v>
      </c>
      <c r="T676" s="7"/>
      <c r="U676" s="51">
        <f t="shared" si="612"/>
        <v>65</v>
      </c>
      <c r="V676" s="59">
        <f t="shared" si="613"/>
        <v>120</v>
      </c>
      <c r="W676" s="108">
        <v>46163</v>
      </c>
    </row>
    <row r="677" spans="1:24" x14ac:dyDescent="0.15">
      <c r="A677" s="179" t="s">
        <v>174</v>
      </c>
      <c r="B677" s="149">
        <v>-5</v>
      </c>
      <c r="C677" s="150"/>
      <c r="D677" s="151"/>
      <c r="E677" s="144">
        <f t="shared" si="599"/>
        <v>-5</v>
      </c>
      <c r="F677" s="152">
        <v>-5</v>
      </c>
      <c r="G677" s="150"/>
      <c r="H677" s="151"/>
      <c r="I677" s="144">
        <f t="shared" si="600"/>
        <v>-5</v>
      </c>
      <c r="J677" s="99">
        <f t="shared" si="601"/>
        <v>-10</v>
      </c>
      <c r="K677" s="147">
        <v>46161</v>
      </c>
      <c r="L677" s="181"/>
      <c r="M677" s="148" t="s">
        <v>322</v>
      </c>
      <c r="N677" s="149">
        <v>5</v>
      </c>
      <c r="O677" s="150">
        <v>5</v>
      </c>
      <c r="P677" s="151"/>
      <c r="Q677" s="144">
        <f t="shared" si="611"/>
        <v>10</v>
      </c>
      <c r="R677" s="152">
        <v>5</v>
      </c>
      <c r="S677" s="150"/>
      <c r="T677" s="151"/>
      <c r="U677" s="144">
        <f t="shared" si="612"/>
        <v>5</v>
      </c>
      <c r="V677" s="99">
        <f t="shared" si="613"/>
        <v>15</v>
      </c>
      <c r="W677" s="153">
        <v>46163</v>
      </c>
    </row>
    <row r="678" spans="1:24" x14ac:dyDescent="0.15">
      <c r="A678" s="17" t="s">
        <v>271</v>
      </c>
      <c r="B678" s="5">
        <v>1</v>
      </c>
      <c r="C678" s="6"/>
      <c r="D678" s="7"/>
      <c r="E678" s="51">
        <f t="shared" si="599"/>
        <v>1</v>
      </c>
      <c r="F678" s="8">
        <v>1</v>
      </c>
      <c r="G678" s="6"/>
      <c r="H678" s="7"/>
      <c r="I678" s="51">
        <f t="shared" si="600"/>
        <v>1</v>
      </c>
      <c r="J678" s="59">
        <f t="shared" si="601"/>
        <v>2</v>
      </c>
      <c r="K678" s="40">
        <v>46163</v>
      </c>
      <c r="M678" s="20" t="s">
        <v>379</v>
      </c>
      <c r="N678" s="5"/>
      <c r="O678" s="6"/>
      <c r="P678" s="7">
        <v>1</v>
      </c>
      <c r="Q678" s="51">
        <f t="shared" si="611"/>
        <v>1</v>
      </c>
      <c r="R678" s="8"/>
      <c r="S678" s="6"/>
      <c r="T678" s="7">
        <v>2</v>
      </c>
      <c r="U678" s="51">
        <f t="shared" si="612"/>
        <v>2</v>
      </c>
      <c r="V678" s="59">
        <f t="shared" si="613"/>
        <v>3</v>
      </c>
      <c r="W678" s="108">
        <v>46167</v>
      </c>
    </row>
    <row r="679" spans="1:24" x14ac:dyDescent="0.15">
      <c r="A679" s="18" t="s">
        <v>372</v>
      </c>
      <c r="B679" s="5">
        <v>1</v>
      </c>
      <c r="C679" s="6">
        <v>1</v>
      </c>
      <c r="D679" s="7"/>
      <c r="E679" s="51">
        <f t="shared" si="599"/>
        <v>2</v>
      </c>
      <c r="F679" s="8"/>
      <c r="G679" s="6">
        <v>1</v>
      </c>
      <c r="H679" s="7">
        <v>1</v>
      </c>
      <c r="I679" s="51">
        <f t="shared" si="600"/>
        <v>2</v>
      </c>
      <c r="J679" s="59">
        <f t="shared" si="601"/>
        <v>4</v>
      </c>
      <c r="K679" s="40">
        <v>46162</v>
      </c>
      <c r="M679" s="20"/>
      <c r="N679" s="5"/>
      <c r="O679" s="6"/>
      <c r="P679" s="7"/>
      <c r="Q679" s="51">
        <f t="shared" si="611"/>
        <v>0</v>
      </c>
      <c r="R679" s="8"/>
      <c r="S679" s="6"/>
      <c r="T679" s="7"/>
      <c r="U679" s="51">
        <f t="shared" si="612"/>
        <v>0</v>
      </c>
      <c r="V679" s="59">
        <f t="shared" si="613"/>
        <v>0</v>
      </c>
      <c r="W679" s="116"/>
      <c r="X679" s="48"/>
    </row>
    <row r="680" spans="1:24" x14ac:dyDescent="0.15">
      <c r="A680" s="17" t="s">
        <v>57</v>
      </c>
      <c r="B680" s="9">
        <v>1</v>
      </c>
      <c r="C680" s="10"/>
      <c r="D680" s="11"/>
      <c r="E680" s="51">
        <f t="shared" si="599"/>
        <v>1</v>
      </c>
      <c r="F680" s="12"/>
      <c r="G680" s="10"/>
      <c r="H680" s="11"/>
      <c r="I680" s="51">
        <f t="shared" si="600"/>
        <v>0</v>
      </c>
      <c r="J680" s="59">
        <f t="shared" si="601"/>
        <v>1</v>
      </c>
      <c r="K680" s="41">
        <v>46162</v>
      </c>
      <c r="M680" s="20"/>
      <c r="N680" s="5"/>
      <c r="O680" s="6"/>
      <c r="P680" s="7"/>
      <c r="Q680" s="51">
        <f t="shared" ref="Q680" si="614">SUM(N680:P680)</f>
        <v>0</v>
      </c>
      <c r="R680" s="8"/>
      <c r="S680" s="6"/>
      <c r="T680" s="7"/>
      <c r="U680" s="51">
        <f t="shared" ref="U680" si="615">SUM(R680:T680)</f>
        <v>0</v>
      </c>
      <c r="V680" s="59">
        <f t="shared" ref="V680" si="616">Q680+U680</f>
        <v>0</v>
      </c>
      <c r="W680" s="116"/>
      <c r="X680" s="48"/>
    </row>
    <row r="681" spans="1:24" x14ac:dyDescent="0.15">
      <c r="A681" s="180" t="s">
        <v>377</v>
      </c>
      <c r="B681" s="149">
        <v>-5</v>
      </c>
      <c r="C681" s="150">
        <v>-5</v>
      </c>
      <c r="D681" s="151"/>
      <c r="E681" s="144">
        <f t="shared" si="599"/>
        <v>-10</v>
      </c>
      <c r="F681" s="152">
        <v>-5</v>
      </c>
      <c r="G681" s="150"/>
      <c r="H681" s="151"/>
      <c r="I681" s="144">
        <f t="shared" si="600"/>
        <v>-5</v>
      </c>
      <c r="J681" s="99">
        <f t="shared" si="601"/>
        <v>-15</v>
      </c>
      <c r="K681" s="147">
        <v>46163</v>
      </c>
      <c r="M681" s="101" t="s">
        <v>325</v>
      </c>
      <c r="N681" s="86"/>
      <c r="O681" s="87"/>
      <c r="P681" s="88"/>
      <c r="Q681" s="89">
        <f t="shared" si="605"/>
        <v>0</v>
      </c>
      <c r="R681" s="105"/>
      <c r="S681" s="87"/>
      <c r="T681" s="88"/>
      <c r="U681" s="89">
        <f t="shared" si="606"/>
        <v>0</v>
      </c>
      <c r="V681" s="90">
        <f t="shared" si="607"/>
        <v>0</v>
      </c>
      <c r="W681" s="116"/>
    </row>
    <row r="682" spans="1:24" x14ac:dyDescent="0.15">
      <c r="A682" s="17" t="s">
        <v>378</v>
      </c>
      <c r="B682" s="9">
        <v>-2</v>
      </c>
      <c r="C682" s="10"/>
      <c r="D682" s="11">
        <v>2</v>
      </c>
      <c r="E682" s="52">
        <f t="shared" si="599"/>
        <v>0</v>
      </c>
      <c r="F682" s="12">
        <v>-1</v>
      </c>
      <c r="G682" s="10"/>
      <c r="H682" s="11">
        <v>1</v>
      </c>
      <c r="I682" s="52">
        <f t="shared" si="600"/>
        <v>0</v>
      </c>
      <c r="J682" s="59">
        <f t="shared" si="601"/>
        <v>0</v>
      </c>
      <c r="K682" s="41">
        <v>46162</v>
      </c>
      <c r="M682" s="20" t="s">
        <v>324</v>
      </c>
      <c r="N682" s="5"/>
      <c r="O682" s="6"/>
      <c r="P682" s="7"/>
      <c r="Q682" s="51">
        <f t="shared" ref="Q682:Q683" si="617">SUM(N682:P682)</f>
        <v>0</v>
      </c>
      <c r="R682" s="8"/>
      <c r="S682" s="6"/>
      <c r="T682" s="7"/>
      <c r="U682" s="51">
        <f t="shared" ref="U682:U683" si="618">SUM(R682:T682)</f>
        <v>0</v>
      </c>
      <c r="V682" s="59">
        <f t="shared" ref="V682:V683" si="619">Q682+U682</f>
        <v>0</v>
      </c>
      <c r="W682" s="116" t="s">
        <v>323</v>
      </c>
    </row>
    <row r="683" spans="1:24" x14ac:dyDescent="0.15">
      <c r="A683" s="17" t="s">
        <v>57</v>
      </c>
      <c r="B683" s="5">
        <v>1</v>
      </c>
      <c r="C683" s="6"/>
      <c r="D683" s="7"/>
      <c r="E683" s="51">
        <f t="shared" si="599"/>
        <v>1</v>
      </c>
      <c r="F683" s="8">
        <v>3</v>
      </c>
      <c r="G683" s="6"/>
      <c r="H683" s="7"/>
      <c r="I683" s="51">
        <f t="shared" si="600"/>
        <v>3</v>
      </c>
      <c r="J683" s="59">
        <f t="shared" si="601"/>
        <v>4</v>
      </c>
      <c r="K683" s="41">
        <v>46163</v>
      </c>
      <c r="M683" s="101" t="s">
        <v>227</v>
      </c>
      <c r="N683" s="86"/>
      <c r="O683" s="87"/>
      <c r="P683" s="88"/>
      <c r="Q683" s="89">
        <f t="shared" si="617"/>
        <v>0</v>
      </c>
      <c r="R683" s="105"/>
      <c r="S683" s="87"/>
      <c r="T683" s="88"/>
      <c r="U683" s="89">
        <f t="shared" si="618"/>
        <v>0</v>
      </c>
      <c r="V683" s="90">
        <f t="shared" si="619"/>
        <v>0</v>
      </c>
      <c r="W683" s="116"/>
    </row>
    <row r="684" spans="1:24" ht="14.25" thickBot="1" x14ac:dyDescent="0.2">
      <c r="A684" s="17" t="s">
        <v>271</v>
      </c>
      <c r="B684" s="9"/>
      <c r="C684" s="10">
        <v>1</v>
      </c>
      <c r="D684" s="11"/>
      <c r="E684" s="55">
        <f t="shared" si="599"/>
        <v>1</v>
      </c>
      <c r="F684" s="12"/>
      <c r="G684" s="10">
        <v>1</v>
      </c>
      <c r="H684" s="11"/>
      <c r="I684" s="55">
        <f t="shared" si="600"/>
        <v>1</v>
      </c>
      <c r="J684" s="59">
        <f t="shared" si="601"/>
        <v>2</v>
      </c>
      <c r="K684" s="40">
        <v>46167</v>
      </c>
      <c r="M684" s="20" t="s">
        <v>314</v>
      </c>
      <c r="N684" s="5"/>
      <c r="O684" s="6"/>
      <c r="P684" s="7"/>
      <c r="Q684" s="51">
        <f t="shared" ref="Q684" si="620">SUM(N684:P684)</f>
        <v>0</v>
      </c>
      <c r="R684" s="8"/>
      <c r="S684" s="6"/>
      <c r="T684" s="7"/>
      <c r="U684" s="51">
        <f t="shared" ref="U684" si="621">SUM(R684:T684)</f>
        <v>0</v>
      </c>
      <c r="V684" s="59">
        <f t="shared" ref="V684" si="622">Q684+U684</f>
        <v>0</v>
      </c>
      <c r="W684" s="116" t="s">
        <v>319</v>
      </c>
    </row>
    <row r="685" spans="1:24" ht="14.25" thickBot="1" x14ac:dyDescent="0.2">
      <c r="A685" s="31" t="s">
        <v>19</v>
      </c>
      <c r="B685" s="34">
        <f>SUM(B659:B684)</f>
        <v>12</v>
      </c>
      <c r="C685" s="35">
        <f t="shared" ref="C685:D685" si="623">SUM(C659:C684)</f>
        <v>10</v>
      </c>
      <c r="D685" s="39">
        <f t="shared" si="623"/>
        <v>10</v>
      </c>
      <c r="E685" s="56">
        <f t="shared" si="599"/>
        <v>32</v>
      </c>
      <c r="F685" s="34">
        <f>SUM(F659:F684)</f>
        <v>4</v>
      </c>
      <c r="G685" s="35">
        <f t="shared" ref="G685:H685" si="624">SUM(G659:G684)</f>
        <v>5</v>
      </c>
      <c r="H685" s="39">
        <f t="shared" si="624"/>
        <v>7</v>
      </c>
      <c r="I685" s="56">
        <f t="shared" si="600"/>
        <v>16</v>
      </c>
      <c r="J685" s="62">
        <f>E685+I685</f>
        <v>48</v>
      </c>
      <c r="M685" s="31" t="s">
        <v>19</v>
      </c>
      <c r="N685" s="34">
        <f>SUM(N659:N684)</f>
        <v>160</v>
      </c>
      <c r="O685" s="35">
        <f t="shared" ref="O685:P685" si="625">SUM(O659:O684)</f>
        <v>144</v>
      </c>
      <c r="P685" s="39">
        <f t="shared" si="625"/>
        <v>70</v>
      </c>
      <c r="Q685" s="56">
        <f t="shared" si="605"/>
        <v>374</v>
      </c>
      <c r="R685" s="34">
        <f>SUM(R659:R684)</f>
        <v>123</v>
      </c>
      <c r="S685" s="35">
        <f t="shared" ref="S685:T685" si="626">SUM(S659:S684)</f>
        <v>161</v>
      </c>
      <c r="T685" s="39">
        <f t="shared" si="626"/>
        <v>48</v>
      </c>
      <c r="U685" s="56">
        <f t="shared" si="606"/>
        <v>332</v>
      </c>
      <c r="V685" s="62">
        <f>Q685+U685</f>
        <v>706</v>
      </c>
    </row>
    <row r="686" spans="1:24" ht="14.25" thickBot="1" x14ac:dyDescent="0.2">
      <c r="A686" s="16" t="s">
        <v>17</v>
      </c>
      <c r="B686" s="63">
        <f>B658-B685</f>
        <v>8</v>
      </c>
      <c r="C686" s="64">
        <f t="shared" ref="C686:D686" si="627">C658-C685</f>
        <v>7</v>
      </c>
      <c r="D686" s="65">
        <f t="shared" si="627"/>
        <v>3</v>
      </c>
      <c r="E686" s="57">
        <f>SUM(B686:D686)</f>
        <v>18</v>
      </c>
      <c r="F686" s="63">
        <f>F658-F685</f>
        <v>7</v>
      </c>
      <c r="G686" s="64">
        <f t="shared" ref="G686:H686" si="628">G658-G685</f>
        <v>7</v>
      </c>
      <c r="H686" s="65">
        <f t="shared" si="628"/>
        <v>5</v>
      </c>
      <c r="I686" s="57">
        <f>SUM(F686:H686)</f>
        <v>19</v>
      </c>
      <c r="J686" s="61">
        <f>E686+I686</f>
        <v>37</v>
      </c>
      <c r="M686" s="16" t="s">
        <v>17</v>
      </c>
      <c r="N686" s="63">
        <f>N658-N685</f>
        <v>196</v>
      </c>
      <c r="O686" s="64">
        <f t="shared" ref="O686:P686" si="629">O658-O685</f>
        <v>450</v>
      </c>
      <c r="P686" s="65">
        <f t="shared" si="629"/>
        <v>484</v>
      </c>
      <c r="Q686" s="57">
        <f>SUM(N686:P686)</f>
        <v>1130</v>
      </c>
      <c r="R686" s="63">
        <f>R658-R685</f>
        <v>507</v>
      </c>
      <c r="S686" s="64">
        <f t="shared" ref="S686:T686" si="630">S658-S685</f>
        <v>548</v>
      </c>
      <c r="T686" s="65">
        <f t="shared" si="630"/>
        <v>454</v>
      </c>
      <c r="U686" s="57">
        <f>SUM(R686:T686)</f>
        <v>1509</v>
      </c>
      <c r="V686" s="61">
        <f>Q686+U686</f>
        <v>2639</v>
      </c>
    </row>
    <row r="687" spans="1:24" x14ac:dyDescent="0.15">
      <c r="M687" s="20" t="s">
        <v>343</v>
      </c>
      <c r="N687">
        <v>75</v>
      </c>
      <c r="O687">
        <v>71</v>
      </c>
      <c r="P687">
        <v>33</v>
      </c>
      <c r="Q687">
        <f>SUM(N687:P687)</f>
        <v>179</v>
      </c>
      <c r="R687">
        <v>92</v>
      </c>
      <c r="S687">
        <v>108</v>
      </c>
      <c r="T687">
        <v>59</v>
      </c>
      <c r="U687">
        <f>SUM(R687:T687)</f>
        <v>259</v>
      </c>
      <c r="V687" s="177">
        <f>Q687+U687</f>
        <v>438</v>
      </c>
    </row>
    <row r="688" spans="1:24" x14ac:dyDescent="0.15">
      <c r="M688" s="129" t="s">
        <v>298</v>
      </c>
      <c r="N688" s="30">
        <v>72</v>
      </c>
      <c r="O688" s="30">
        <v>86</v>
      </c>
      <c r="P688" s="30">
        <v>38</v>
      </c>
      <c r="Q688" s="30">
        <f>SUM(N688:P688)</f>
        <v>196</v>
      </c>
      <c r="R688" s="30">
        <v>96</v>
      </c>
      <c r="S688" s="30">
        <v>98</v>
      </c>
      <c r="T688" s="30">
        <v>70</v>
      </c>
      <c r="U688" s="30">
        <f>SUM(R688:T688)</f>
        <v>264</v>
      </c>
      <c r="V688" s="30">
        <f>Q688+U688</f>
        <v>460</v>
      </c>
    </row>
    <row r="689" spans="1:23" ht="19.5" thickBot="1" x14ac:dyDescent="0.25">
      <c r="A689" s="66" t="s">
        <v>23</v>
      </c>
      <c r="B689" s="67"/>
      <c r="C689" s="67"/>
      <c r="D689" s="67"/>
      <c r="E689" s="67"/>
      <c r="F689" s="67"/>
      <c r="G689" s="67"/>
      <c r="H689" s="67"/>
      <c r="I689" s="67" t="s">
        <v>26</v>
      </c>
      <c r="J689" s="67"/>
      <c r="M689" s="73" t="s">
        <v>24</v>
      </c>
      <c r="N689" s="74"/>
      <c r="O689" s="74"/>
      <c r="P689" s="74"/>
      <c r="Q689" s="74"/>
      <c r="R689" s="74"/>
      <c r="S689" s="74"/>
      <c r="T689" s="74"/>
      <c r="U689" s="74"/>
      <c r="V689" s="74"/>
    </row>
    <row r="690" spans="1:23" ht="14.25" thickBot="1" x14ac:dyDescent="0.2">
      <c r="A690" s="4" t="s">
        <v>0</v>
      </c>
      <c r="B690" s="191" t="s">
        <v>21</v>
      </c>
      <c r="C690" s="192"/>
      <c r="D690" s="192"/>
      <c r="E690" s="193"/>
      <c r="F690" s="194" t="s">
        <v>18</v>
      </c>
      <c r="G690" s="195"/>
      <c r="H690" s="195"/>
      <c r="I690" s="196"/>
      <c r="J690" s="189" t="s">
        <v>1</v>
      </c>
      <c r="M690" s="4" t="s">
        <v>0</v>
      </c>
      <c r="N690" s="198" t="s">
        <v>21</v>
      </c>
      <c r="O690" s="199"/>
      <c r="P690" s="199"/>
      <c r="Q690" s="200"/>
      <c r="R690" s="201" t="s">
        <v>18</v>
      </c>
      <c r="S690" s="202"/>
      <c r="T690" s="202"/>
      <c r="U690" s="203"/>
      <c r="V690" s="154" t="s">
        <v>1</v>
      </c>
    </row>
    <row r="691" spans="1:23" ht="14.25" thickBot="1" x14ac:dyDescent="0.2">
      <c r="A691" s="4" t="s">
        <v>2</v>
      </c>
      <c r="B691" s="1" t="s">
        <v>3</v>
      </c>
      <c r="C691" s="2" t="s">
        <v>4</v>
      </c>
      <c r="D691" s="3" t="s">
        <v>5</v>
      </c>
      <c r="E691" s="4" t="s">
        <v>6</v>
      </c>
      <c r="F691" s="1" t="s">
        <v>3</v>
      </c>
      <c r="G691" s="2" t="s">
        <v>4</v>
      </c>
      <c r="H691" s="3" t="s">
        <v>5</v>
      </c>
      <c r="I691" s="4" t="s">
        <v>6</v>
      </c>
      <c r="J691" s="190"/>
      <c r="M691" s="4" t="s">
        <v>2</v>
      </c>
      <c r="N691" s="1" t="s">
        <v>3</v>
      </c>
      <c r="O691" s="2" t="s">
        <v>4</v>
      </c>
      <c r="P691" s="3" t="s">
        <v>5</v>
      </c>
      <c r="Q691" s="4" t="s">
        <v>6</v>
      </c>
      <c r="R691" s="1" t="s">
        <v>3</v>
      </c>
      <c r="S691" s="2" t="s">
        <v>4</v>
      </c>
      <c r="T691" s="3" t="s">
        <v>5</v>
      </c>
      <c r="U691" s="4" t="s">
        <v>6</v>
      </c>
      <c r="V691" s="155"/>
    </row>
    <row r="692" spans="1:23" ht="14.25" thickBot="1" x14ac:dyDescent="0.2">
      <c r="A692" s="21" t="s">
        <v>20</v>
      </c>
      <c r="B692" s="22">
        <f>B686</f>
        <v>8</v>
      </c>
      <c r="C692" s="23">
        <f>C686</f>
        <v>7</v>
      </c>
      <c r="D692" s="24">
        <f>D686</f>
        <v>3</v>
      </c>
      <c r="E692" s="54">
        <f>SUM(B692:D692)</f>
        <v>18</v>
      </c>
      <c r="F692" s="22">
        <f>F686</f>
        <v>7</v>
      </c>
      <c r="G692" s="23">
        <f>G686</f>
        <v>7</v>
      </c>
      <c r="H692" s="24">
        <f>H686</f>
        <v>5</v>
      </c>
      <c r="I692" s="54">
        <f>SUM(F692:H692)</f>
        <v>19</v>
      </c>
      <c r="J692" s="61">
        <f>E692+I692</f>
        <v>37</v>
      </c>
      <c r="M692" s="21" t="s">
        <v>20</v>
      </c>
      <c r="N692" s="68">
        <f>N686</f>
        <v>196</v>
      </c>
      <c r="O692" s="69">
        <f>O686</f>
        <v>450</v>
      </c>
      <c r="P692" s="70">
        <f>P686</f>
        <v>484</v>
      </c>
      <c r="Q692" s="71">
        <f>SUM(N692:P692)</f>
        <v>1130</v>
      </c>
      <c r="R692" s="68">
        <f>R686</f>
        <v>507</v>
      </c>
      <c r="S692" s="69">
        <f>S686</f>
        <v>548</v>
      </c>
      <c r="T692" s="70">
        <f>T686</f>
        <v>454</v>
      </c>
      <c r="U692" s="71">
        <f>SUM(R692:T692)</f>
        <v>1509</v>
      </c>
      <c r="V692" s="72">
        <f>Q692+U692</f>
        <v>2639</v>
      </c>
    </row>
    <row r="693" spans="1:23" x14ac:dyDescent="0.15">
      <c r="A693" s="19" t="s">
        <v>8</v>
      </c>
      <c r="B693" s="113"/>
      <c r="C693" s="13"/>
      <c r="D693" s="14">
        <v>5</v>
      </c>
      <c r="E693" s="51">
        <f t="shared" ref="E693:E700" si="631">SUM(B693:D693)</f>
        <v>5</v>
      </c>
      <c r="F693" s="15"/>
      <c r="G693" s="13"/>
      <c r="H693" s="14"/>
      <c r="I693" s="51">
        <f t="shared" ref="I693:I700" si="632">SUM(F693:H693)</f>
        <v>0</v>
      </c>
      <c r="J693" s="109">
        <f t="shared" ref="J693:J700" si="633">E693+I693</f>
        <v>5</v>
      </c>
      <c r="K693" s="40">
        <v>46167</v>
      </c>
      <c r="M693" s="19" t="s">
        <v>8</v>
      </c>
      <c r="N693" s="83">
        <v>120</v>
      </c>
      <c r="O693" s="46"/>
      <c r="P693" s="44"/>
      <c r="Q693" s="50">
        <f>SUM(N693:P693)</f>
        <v>120</v>
      </c>
      <c r="R693" s="45"/>
      <c r="S693" s="46"/>
      <c r="T693" s="47"/>
      <c r="U693" s="50">
        <f>SUM(R693:T693)</f>
        <v>0</v>
      </c>
      <c r="V693" s="84">
        <f>Q693+U693</f>
        <v>120</v>
      </c>
      <c r="W693" s="108" t="s">
        <v>396</v>
      </c>
    </row>
    <row r="694" spans="1:23" x14ac:dyDescent="0.15">
      <c r="A694" s="19" t="s">
        <v>9</v>
      </c>
      <c r="B694" s="5"/>
      <c r="C694" s="6"/>
      <c r="D694" s="7"/>
      <c r="E694" s="51">
        <f t="shared" si="631"/>
        <v>0</v>
      </c>
      <c r="F694" s="8"/>
      <c r="G694" s="6"/>
      <c r="H694" s="7">
        <v>5</v>
      </c>
      <c r="I694" s="51">
        <f t="shared" si="632"/>
        <v>5</v>
      </c>
      <c r="J694" s="59">
        <f t="shared" si="633"/>
        <v>5</v>
      </c>
      <c r="K694" s="40">
        <v>46171</v>
      </c>
      <c r="M694" s="19" t="s">
        <v>390</v>
      </c>
      <c r="N694" s="5">
        <v>-120</v>
      </c>
      <c r="O694" s="6"/>
      <c r="P694" s="36"/>
      <c r="Q694" s="52">
        <f t="shared" ref="Q694:Q700" si="634">SUM(N694:P694)</f>
        <v>-120</v>
      </c>
      <c r="R694" s="8"/>
      <c r="S694" s="6"/>
      <c r="T694" s="7"/>
      <c r="U694" s="52">
        <f t="shared" ref="U694:U700" si="635">SUM(R694:T694)</f>
        <v>0</v>
      </c>
      <c r="V694" s="59">
        <f t="shared" ref="V694:V700" si="636">Q694+U694</f>
        <v>-120</v>
      </c>
    </row>
    <row r="695" spans="1:23" x14ac:dyDescent="0.15">
      <c r="A695" s="19" t="s">
        <v>10</v>
      </c>
      <c r="B695" s="5">
        <v>3</v>
      </c>
      <c r="C695" s="6">
        <v>3</v>
      </c>
      <c r="D695" s="7">
        <v>3</v>
      </c>
      <c r="E695" s="51">
        <f t="shared" si="631"/>
        <v>9</v>
      </c>
      <c r="F695" s="8">
        <v>3</v>
      </c>
      <c r="G695" s="6"/>
      <c r="H695" s="7"/>
      <c r="I695" s="51">
        <f t="shared" si="632"/>
        <v>3</v>
      </c>
      <c r="J695" s="59">
        <f t="shared" si="633"/>
        <v>12</v>
      </c>
      <c r="K695" s="40">
        <v>46172</v>
      </c>
      <c r="M695" s="19" t="s">
        <v>306</v>
      </c>
      <c r="N695" s="5">
        <v>300</v>
      </c>
      <c r="O695" s="6">
        <v>200</v>
      </c>
      <c r="P695" s="36">
        <v>0</v>
      </c>
      <c r="Q695" s="52">
        <f>SUM(N695:P695)</f>
        <v>500</v>
      </c>
      <c r="R695" s="8">
        <v>400</v>
      </c>
      <c r="S695" s="6">
        <v>300</v>
      </c>
      <c r="T695" s="7">
        <v>200</v>
      </c>
      <c r="U695" s="52">
        <f>SUM(R695:T695)</f>
        <v>900</v>
      </c>
      <c r="V695" s="59">
        <f>Q695+U695</f>
        <v>1400</v>
      </c>
      <c r="W695" s="108">
        <v>46188</v>
      </c>
    </row>
    <row r="696" spans="1:23" x14ac:dyDescent="0.15">
      <c r="A696" s="92" t="s">
        <v>11</v>
      </c>
      <c r="B696" s="149"/>
      <c r="C696" s="150"/>
      <c r="D696" s="163"/>
      <c r="E696" s="96">
        <f t="shared" si="631"/>
        <v>0</v>
      </c>
      <c r="F696" s="152">
        <v>3</v>
      </c>
      <c r="G696" s="150"/>
      <c r="H696" s="151"/>
      <c r="I696" s="96">
        <f t="shared" si="632"/>
        <v>3</v>
      </c>
      <c r="J696" s="99">
        <f t="shared" si="633"/>
        <v>3</v>
      </c>
      <c r="K696" s="147">
        <v>46177</v>
      </c>
      <c r="M696" s="19" t="s">
        <v>89</v>
      </c>
      <c r="N696" s="5">
        <v>-132</v>
      </c>
      <c r="O696" s="6">
        <v>-10</v>
      </c>
      <c r="P696" s="36"/>
      <c r="Q696" s="52">
        <f t="shared" si="634"/>
        <v>-142</v>
      </c>
      <c r="R696" s="8">
        <v>16</v>
      </c>
      <c r="S696" s="6">
        <v>-22</v>
      </c>
      <c r="T696" s="7">
        <v>7</v>
      </c>
      <c r="U696" s="52">
        <f t="shared" si="635"/>
        <v>1</v>
      </c>
      <c r="V696" s="59">
        <f t="shared" si="636"/>
        <v>-141</v>
      </c>
      <c r="W696" s="116" t="s">
        <v>368</v>
      </c>
    </row>
    <row r="697" spans="1:23" x14ac:dyDescent="0.15">
      <c r="A697" s="19" t="s">
        <v>12</v>
      </c>
      <c r="B697" s="5"/>
      <c r="C697" s="6">
        <v>5</v>
      </c>
      <c r="D697" s="36"/>
      <c r="E697" s="52">
        <f t="shared" si="631"/>
        <v>5</v>
      </c>
      <c r="F697" s="8">
        <v>5</v>
      </c>
      <c r="G697" s="6">
        <v>5</v>
      </c>
      <c r="H697" s="7"/>
      <c r="I697" s="52">
        <f t="shared" si="632"/>
        <v>10</v>
      </c>
      <c r="J697" s="59">
        <f t="shared" si="633"/>
        <v>15</v>
      </c>
      <c r="K697" s="40">
        <v>46179</v>
      </c>
      <c r="M697" s="19" t="s">
        <v>12</v>
      </c>
      <c r="N697" s="9"/>
      <c r="O697" s="10"/>
      <c r="P697" s="37"/>
      <c r="Q697" s="52">
        <f t="shared" si="634"/>
        <v>0</v>
      </c>
      <c r="R697" s="12"/>
      <c r="S697" s="10"/>
      <c r="T697" s="11"/>
      <c r="U697" s="52">
        <f t="shared" si="635"/>
        <v>0</v>
      </c>
      <c r="V697" s="59">
        <f t="shared" si="636"/>
        <v>0</v>
      </c>
    </row>
    <row r="698" spans="1:23" x14ac:dyDescent="0.15">
      <c r="A698" s="19" t="s">
        <v>160</v>
      </c>
      <c r="B698" s="5"/>
      <c r="C698" s="6">
        <v>1</v>
      </c>
      <c r="D698" s="36"/>
      <c r="E698" s="52">
        <f t="shared" si="631"/>
        <v>1</v>
      </c>
      <c r="F698" s="8"/>
      <c r="G698" s="6">
        <v>1</v>
      </c>
      <c r="H698" s="7"/>
      <c r="I698" s="52">
        <f t="shared" si="632"/>
        <v>1</v>
      </c>
      <c r="J698" s="59">
        <f t="shared" si="633"/>
        <v>2</v>
      </c>
      <c r="K698" s="41">
        <v>46181</v>
      </c>
      <c r="M698" s="159" t="s">
        <v>157</v>
      </c>
      <c r="N698" s="182"/>
      <c r="O698" s="183"/>
      <c r="P698" s="186"/>
      <c r="Q698" s="161">
        <f t="shared" si="634"/>
        <v>0</v>
      </c>
      <c r="R698" s="185">
        <v>6</v>
      </c>
      <c r="S698" s="183">
        <v>8</v>
      </c>
      <c r="T698" s="184"/>
      <c r="U698" s="161">
        <f t="shared" si="635"/>
        <v>14</v>
      </c>
      <c r="V698" s="128">
        <f t="shared" si="636"/>
        <v>14</v>
      </c>
      <c r="W698" s="115" t="s">
        <v>405</v>
      </c>
    </row>
    <row r="699" spans="1:23" x14ac:dyDescent="0.15">
      <c r="A699" s="92" t="s">
        <v>14</v>
      </c>
      <c r="B699" s="93"/>
      <c r="C699" s="94"/>
      <c r="D699" s="95">
        <v>3</v>
      </c>
      <c r="E699" s="96">
        <f t="shared" si="631"/>
        <v>3</v>
      </c>
      <c r="F699" s="97"/>
      <c r="G699" s="94"/>
      <c r="H699" s="98">
        <v>3</v>
      </c>
      <c r="I699" s="96">
        <f t="shared" si="632"/>
        <v>3</v>
      </c>
      <c r="J699" s="99">
        <f t="shared" si="633"/>
        <v>6</v>
      </c>
      <c r="K699" s="147">
        <v>46184</v>
      </c>
      <c r="L699" s="181"/>
      <c r="M699" s="19" t="s">
        <v>14</v>
      </c>
      <c r="N699" s="9"/>
      <c r="O699" s="10"/>
      <c r="P699" s="37"/>
      <c r="Q699" s="52">
        <f t="shared" si="634"/>
        <v>0</v>
      </c>
      <c r="R699" s="12"/>
      <c r="S699" s="10"/>
      <c r="T699" s="11"/>
      <c r="U699" s="52">
        <f t="shared" si="635"/>
        <v>0</v>
      </c>
      <c r="V699" s="59">
        <f t="shared" si="636"/>
        <v>0</v>
      </c>
    </row>
    <row r="700" spans="1:23" ht="14.25" thickBot="1" x14ac:dyDescent="0.2">
      <c r="A700" s="19" t="s">
        <v>15</v>
      </c>
      <c r="B700" s="25">
        <v>5</v>
      </c>
      <c r="C700" s="26"/>
      <c r="D700" s="38"/>
      <c r="E700" s="53">
        <f t="shared" si="631"/>
        <v>5</v>
      </c>
      <c r="F700" s="27">
        <v>5</v>
      </c>
      <c r="G700" s="27">
        <v>5</v>
      </c>
      <c r="H700" s="29"/>
      <c r="I700" s="53">
        <f t="shared" si="632"/>
        <v>10</v>
      </c>
      <c r="J700" s="60">
        <f t="shared" si="633"/>
        <v>15</v>
      </c>
      <c r="K700" s="40">
        <v>46188</v>
      </c>
      <c r="M700" s="19" t="s">
        <v>15</v>
      </c>
      <c r="N700" s="25"/>
      <c r="O700" s="26"/>
      <c r="P700" s="38"/>
      <c r="Q700" s="53">
        <f t="shared" si="634"/>
        <v>0</v>
      </c>
      <c r="R700" s="27"/>
      <c r="S700" s="27"/>
      <c r="T700" s="29"/>
      <c r="U700" s="53">
        <f t="shared" si="635"/>
        <v>0</v>
      </c>
      <c r="V700" s="60">
        <f t="shared" si="636"/>
        <v>0</v>
      </c>
    </row>
    <row r="701" spans="1:23" ht="14.25" thickBot="1" x14ac:dyDescent="0.2">
      <c r="A701" s="28" t="s">
        <v>16</v>
      </c>
      <c r="B701" s="22">
        <f>SUM(B692:B700)</f>
        <v>16</v>
      </c>
      <c r="C701" s="23">
        <f t="shared" ref="C701:D701" si="637">SUM(C692:C700)</f>
        <v>16</v>
      </c>
      <c r="D701" s="24">
        <f t="shared" si="637"/>
        <v>14</v>
      </c>
      <c r="E701" s="54">
        <f>SUM(B701:D701)</f>
        <v>46</v>
      </c>
      <c r="F701" s="22">
        <f>SUM(F692:F700)</f>
        <v>23</v>
      </c>
      <c r="G701" s="23">
        <f t="shared" ref="G701:H701" si="638">SUM(G692:G700)</f>
        <v>18</v>
      </c>
      <c r="H701" s="24">
        <f t="shared" si="638"/>
        <v>13</v>
      </c>
      <c r="I701" s="54">
        <f>SUM(F701:H701)</f>
        <v>54</v>
      </c>
      <c r="J701" s="61">
        <f>SUM(J693:J700)</f>
        <v>63</v>
      </c>
      <c r="M701" s="28" t="s">
        <v>16</v>
      </c>
      <c r="N701" s="22">
        <f>SUM(N692:N700)</f>
        <v>364</v>
      </c>
      <c r="O701" s="23">
        <f t="shared" ref="O701:P701" si="639">SUM(O692:O700)</f>
        <v>640</v>
      </c>
      <c r="P701" s="24">
        <f t="shared" si="639"/>
        <v>484</v>
      </c>
      <c r="Q701" s="54">
        <f>SUM(N701:P701)</f>
        <v>1488</v>
      </c>
      <c r="R701" s="22">
        <f>SUM(R692:R700)</f>
        <v>929</v>
      </c>
      <c r="S701" s="23">
        <f t="shared" ref="S701:T701" si="640">SUM(S692:S700)</f>
        <v>834</v>
      </c>
      <c r="T701" s="24">
        <f t="shared" si="640"/>
        <v>661</v>
      </c>
      <c r="U701" s="54">
        <f>SUM(R701:T701)</f>
        <v>2424</v>
      </c>
      <c r="V701" s="61">
        <f>Q701+U701</f>
        <v>3912</v>
      </c>
    </row>
    <row r="702" spans="1:23" x14ac:dyDescent="0.15">
      <c r="A702" s="17" t="s">
        <v>57</v>
      </c>
      <c r="B702" s="5"/>
      <c r="C702" s="6">
        <v>1</v>
      </c>
      <c r="D702" s="7">
        <v>1</v>
      </c>
      <c r="E702" s="51">
        <f t="shared" ref="E702:E728" si="641">SUM(B702:D702)</f>
        <v>2</v>
      </c>
      <c r="F702" s="8"/>
      <c r="G702" s="6"/>
      <c r="H702" s="7"/>
      <c r="I702" s="51">
        <f t="shared" ref="I702:I728" si="642">SUM(F702:H702)</f>
        <v>0</v>
      </c>
      <c r="J702" s="59">
        <f t="shared" ref="J702:J727" si="643">E702+I702</f>
        <v>2</v>
      </c>
      <c r="K702" s="41">
        <v>46164</v>
      </c>
      <c r="M702" s="20" t="s">
        <v>380</v>
      </c>
      <c r="N702" s="5"/>
      <c r="O702" s="6">
        <v>15</v>
      </c>
      <c r="P702" s="7">
        <v>10</v>
      </c>
      <c r="Q702" s="51">
        <f t="shared" ref="Q702:Q728" si="644">SUM(N702:P702)</f>
        <v>25</v>
      </c>
      <c r="R702" s="8">
        <v>25</v>
      </c>
      <c r="S702" s="6"/>
      <c r="T702" s="7">
        <v>25</v>
      </c>
      <c r="U702" s="51">
        <f t="shared" ref="U702:U728" si="645">SUM(R702:T702)</f>
        <v>50</v>
      </c>
      <c r="V702" s="59">
        <f t="shared" ref="V702:V719" si="646">Q702+U702</f>
        <v>75</v>
      </c>
      <c r="W702" s="108">
        <v>46164</v>
      </c>
    </row>
    <row r="703" spans="1:23" x14ac:dyDescent="0.15">
      <c r="A703" s="17" t="s">
        <v>57</v>
      </c>
      <c r="B703" s="5">
        <v>2</v>
      </c>
      <c r="C703" s="6"/>
      <c r="D703" s="7">
        <v>1</v>
      </c>
      <c r="E703" s="51">
        <f t="shared" si="641"/>
        <v>3</v>
      </c>
      <c r="F703" s="8"/>
      <c r="G703" s="6"/>
      <c r="H703" s="7">
        <v>1</v>
      </c>
      <c r="I703" s="51">
        <f t="shared" si="642"/>
        <v>1</v>
      </c>
      <c r="J703" s="59">
        <f t="shared" si="643"/>
        <v>4</v>
      </c>
      <c r="K703" s="41">
        <v>46167</v>
      </c>
      <c r="M703" s="20" t="s">
        <v>383</v>
      </c>
      <c r="N703" s="5">
        <v>10</v>
      </c>
      <c r="O703" s="6">
        <v>15</v>
      </c>
      <c r="P703" s="7"/>
      <c r="Q703" s="51">
        <f t="shared" si="644"/>
        <v>25</v>
      </c>
      <c r="R703" s="8">
        <v>5</v>
      </c>
      <c r="S703" s="6">
        <v>15</v>
      </c>
      <c r="T703" s="7"/>
      <c r="U703" s="51">
        <f t="shared" si="645"/>
        <v>20</v>
      </c>
      <c r="V703" s="59">
        <f t="shared" si="646"/>
        <v>45</v>
      </c>
      <c r="W703" s="108">
        <v>46165</v>
      </c>
    </row>
    <row r="704" spans="1:23" x14ac:dyDescent="0.15">
      <c r="A704" s="17" t="s">
        <v>57</v>
      </c>
      <c r="B704" s="5"/>
      <c r="C704" s="6">
        <v>1</v>
      </c>
      <c r="D704" s="7">
        <v>1</v>
      </c>
      <c r="E704" s="51">
        <f t="shared" si="641"/>
        <v>2</v>
      </c>
      <c r="F704" s="8"/>
      <c r="G704" s="6"/>
      <c r="H704" s="7"/>
      <c r="I704" s="51">
        <f t="shared" si="642"/>
        <v>0</v>
      </c>
      <c r="J704" s="59">
        <f t="shared" si="643"/>
        <v>2</v>
      </c>
      <c r="K704" s="40">
        <v>46168</v>
      </c>
      <c r="M704" s="20" t="s">
        <v>384</v>
      </c>
      <c r="N704" s="5"/>
      <c r="O704" s="6"/>
      <c r="P704" s="7">
        <v>5</v>
      </c>
      <c r="Q704" s="51">
        <f t="shared" si="644"/>
        <v>5</v>
      </c>
      <c r="R704" s="8"/>
      <c r="S704" s="6"/>
      <c r="T704" s="7"/>
      <c r="U704" s="51">
        <f t="shared" si="645"/>
        <v>0</v>
      </c>
      <c r="V704" s="59">
        <f t="shared" si="646"/>
        <v>5</v>
      </c>
      <c r="W704" s="108">
        <v>46167</v>
      </c>
    </row>
    <row r="705" spans="1:24" x14ac:dyDescent="0.15">
      <c r="A705" s="17" t="s">
        <v>391</v>
      </c>
      <c r="B705" s="5">
        <v>1</v>
      </c>
      <c r="C705" s="6"/>
      <c r="D705" s="7"/>
      <c r="E705" s="51">
        <f t="shared" si="641"/>
        <v>1</v>
      </c>
      <c r="F705" s="8">
        <v>1</v>
      </c>
      <c r="G705" s="6"/>
      <c r="H705" s="7"/>
      <c r="I705" s="51">
        <f t="shared" si="642"/>
        <v>1</v>
      </c>
      <c r="J705" s="59">
        <f t="shared" si="643"/>
        <v>2</v>
      </c>
      <c r="K705" s="40">
        <v>46172</v>
      </c>
      <c r="M705" s="20" t="s">
        <v>385</v>
      </c>
      <c r="N705" s="5">
        <v>3</v>
      </c>
      <c r="O705" s="6"/>
      <c r="P705" s="7"/>
      <c r="Q705" s="51">
        <f t="shared" si="644"/>
        <v>3</v>
      </c>
      <c r="R705" s="8"/>
      <c r="S705" s="6"/>
      <c r="T705" s="7">
        <v>3</v>
      </c>
      <c r="U705" s="51">
        <f t="shared" si="645"/>
        <v>3</v>
      </c>
      <c r="V705" s="59">
        <f t="shared" si="646"/>
        <v>6</v>
      </c>
      <c r="W705" s="108">
        <v>46168</v>
      </c>
    </row>
    <row r="706" spans="1:24" x14ac:dyDescent="0.15">
      <c r="A706" s="17" t="s">
        <v>57</v>
      </c>
      <c r="B706" s="5"/>
      <c r="C706" s="6"/>
      <c r="D706" s="7"/>
      <c r="E706" s="51">
        <f t="shared" si="641"/>
        <v>0</v>
      </c>
      <c r="F706" s="8"/>
      <c r="G706" s="6"/>
      <c r="H706" s="7">
        <v>1</v>
      </c>
      <c r="I706" s="51">
        <f t="shared" si="642"/>
        <v>1</v>
      </c>
      <c r="J706" s="59">
        <f t="shared" si="643"/>
        <v>1</v>
      </c>
      <c r="K706" s="41">
        <v>46170</v>
      </c>
      <c r="M706" s="20" t="s">
        <v>386</v>
      </c>
      <c r="N706" s="5">
        <v>5</v>
      </c>
      <c r="O706" s="6">
        <v>5</v>
      </c>
      <c r="P706" s="7">
        <v>6</v>
      </c>
      <c r="Q706" s="51">
        <f t="shared" si="644"/>
        <v>16</v>
      </c>
      <c r="R706" s="8">
        <v>10</v>
      </c>
      <c r="S706" s="6">
        <v>10</v>
      </c>
      <c r="T706" s="7">
        <v>12</v>
      </c>
      <c r="U706" s="51">
        <f t="shared" si="645"/>
        <v>32</v>
      </c>
      <c r="V706" s="59">
        <f t="shared" si="646"/>
        <v>48</v>
      </c>
      <c r="W706" s="108">
        <v>46168</v>
      </c>
    </row>
    <row r="707" spans="1:24" x14ac:dyDescent="0.15">
      <c r="A707" s="17" t="s">
        <v>57</v>
      </c>
      <c r="B707" s="5"/>
      <c r="C707" s="6">
        <v>1</v>
      </c>
      <c r="D707" s="14"/>
      <c r="E707" s="51">
        <f t="shared" si="641"/>
        <v>1</v>
      </c>
      <c r="F707" s="15">
        <v>1</v>
      </c>
      <c r="G707" s="13">
        <v>1</v>
      </c>
      <c r="H707" s="14"/>
      <c r="I707" s="51">
        <f t="shared" si="642"/>
        <v>2</v>
      </c>
      <c r="J707" s="59">
        <f t="shared" si="643"/>
        <v>3</v>
      </c>
      <c r="K707" s="40">
        <v>46171</v>
      </c>
      <c r="M707" s="20" t="s">
        <v>387</v>
      </c>
      <c r="N707" s="5">
        <v>6</v>
      </c>
      <c r="O707" s="6">
        <v>10</v>
      </c>
      <c r="P707" s="14">
        <v>10</v>
      </c>
      <c r="Q707" s="51">
        <f t="shared" si="644"/>
        <v>26</v>
      </c>
      <c r="R707" s="15">
        <v>3</v>
      </c>
      <c r="S707" s="13">
        <v>5</v>
      </c>
      <c r="T707" s="14">
        <v>5</v>
      </c>
      <c r="U707" s="51">
        <f t="shared" si="645"/>
        <v>13</v>
      </c>
      <c r="V707" s="59">
        <f t="shared" si="646"/>
        <v>39</v>
      </c>
      <c r="W707" s="108">
        <v>46168</v>
      </c>
    </row>
    <row r="708" spans="1:24" x14ac:dyDescent="0.15">
      <c r="A708" s="17" t="s">
        <v>271</v>
      </c>
      <c r="B708" s="5">
        <v>1</v>
      </c>
      <c r="C708" s="6"/>
      <c r="D708" s="7"/>
      <c r="E708" s="51">
        <f t="shared" si="641"/>
        <v>1</v>
      </c>
      <c r="F708" s="8">
        <v>1</v>
      </c>
      <c r="G708" s="6"/>
      <c r="H708" s="7"/>
      <c r="I708" s="51">
        <f t="shared" si="642"/>
        <v>1</v>
      </c>
      <c r="J708" s="59">
        <f t="shared" si="643"/>
        <v>2</v>
      </c>
      <c r="K708" s="40">
        <v>46176</v>
      </c>
      <c r="M708" s="20" t="s">
        <v>388</v>
      </c>
      <c r="N708" s="5">
        <v>6</v>
      </c>
      <c r="O708" s="6"/>
      <c r="P708" s="7"/>
      <c r="Q708" s="51">
        <f t="shared" si="644"/>
        <v>6</v>
      </c>
      <c r="R708" s="8"/>
      <c r="S708" s="6"/>
      <c r="T708" s="7"/>
      <c r="U708" s="51">
        <f t="shared" si="645"/>
        <v>0</v>
      </c>
      <c r="V708" s="59">
        <f t="shared" si="646"/>
        <v>6</v>
      </c>
      <c r="W708" s="108">
        <v>46169</v>
      </c>
    </row>
    <row r="709" spans="1:24" x14ac:dyDescent="0.15">
      <c r="A709" s="17" t="s">
        <v>392</v>
      </c>
      <c r="B709" s="5"/>
      <c r="C709" s="6"/>
      <c r="D709" s="7"/>
      <c r="E709" s="51">
        <f t="shared" si="641"/>
        <v>0</v>
      </c>
      <c r="F709" s="8">
        <v>2</v>
      </c>
      <c r="G709" s="6"/>
      <c r="H709" s="7"/>
      <c r="I709" s="51">
        <f t="shared" si="642"/>
        <v>2</v>
      </c>
      <c r="J709" s="59">
        <f t="shared" si="643"/>
        <v>2</v>
      </c>
      <c r="K709" s="40">
        <v>46175</v>
      </c>
      <c r="M709" s="20" t="s">
        <v>394</v>
      </c>
      <c r="N709" s="5">
        <v>50</v>
      </c>
      <c r="O709" s="6">
        <v>30</v>
      </c>
      <c r="P709" s="7"/>
      <c r="Q709" s="51">
        <f t="shared" si="644"/>
        <v>80</v>
      </c>
      <c r="R709" s="8">
        <v>60</v>
      </c>
      <c r="S709" s="6"/>
      <c r="T709" s="7"/>
      <c r="U709" s="51">
        <f t="shared" si="645"/>
        <v>60</v>
      </c>
      <c r="V709" s="59">
        <f t="shared" si="646"/>
        <v>140</v>
      </c>
      <c r="W709" s="108">
        <v>46177</v>
      </c>
    </row>
    <row r="710" spans="1:24" x14ac:dyDescent="0.15">
      <c r="A710" s="17" t="s">
        <v>57</v>
      </c>
      <c r="B710" s="5"/>
      <c r="C710" s="6">
        <v>2</v>
      </c>
      <c r="D710" s="7">
        <v>1</v>
      </c>
      <c r="E710" s="51">
        <f t="shared" si="641"/>
        <v>3</v>
      </c>
      <c r="F710" s="8">
        <v>1</v>
      </c>
      <c r="G710" s="6">
        <v>1</v>
      </c>
      <c r="H710" s="7">
        <v>2</v>
      </c>
      <c r="I710" s="51">
        <f t="shared" si="642"/>
        <v>4</v>
      </c>
      <c r="J710" s="59">
        <f t="shared" si="643"/>
        <v>7</v>
      </c>
      <c r="K710" s="41">
        <v>46174</v>
      </c>
      <c r="M710" s="18" t="s">
        <v>401</v>
      </c>
      <c r="N710" s="5"/>
      <c r="O710" s="6"/>
      <c r="P710" s="7">
        <v>20</v>
      </c>
      <c r="Q710" s="51">
        <f t="shared" ref="Q710:Q713" si="647">SUM(N710:P710)</f>
        <v>20</v>
      </c>
      <c r="R710" s="8"/>
      <c r="S710" s="6">
        <v>40</v>
      </c>
      <c r="T710" s="7">
        <v>60</v>
      </c>
      <c r="U710" s="51">
        <f t="shared" ref="U710:U713" si="648">SUM(R710:T710)</f>
        <v>100</v>
      </c>
      <c r="V710" s="59">
        <f t="shared" ref="V710:V713" si="649">Q710+U710</f>
        <v>120</v>
      </c>
      <c r="W710" s="108">
        <v>46184</v>
      </c>
    </row>
    <row r="711" spans="1:24" x14ac:dyDescent="0.15">
      <c r="A711" s="17" t="s">
        <v>57</v>
      </c>
      <c r="B711" s="9"/>
      <c r="C711" s="10"/>
      <c r="D711" s="11"/>
      <c r="E711" s="51">
        <f t="shared" si="641"/>
        <v>0</v>
      </c>
      <c r="F711" s="12"/>
      <c r="G711" s="10"/>
      <c r="H711" s="11">
        <v>1</v>
      </c>
      <c r="I711" s="51">
        <f t="shared" si="642"/>
        <v>1</v>
      </c>
      <c r="J711" s="59">
        <f t="shared" si="643"/>
        <v>1</v>
      </c>
      <c r="K711" s="41">
        <v>46175</v>
      </c>
      <c r="M711" s="20" t="s">
        <v>322</v>
      </c>
      <c r="N711" s="5"/>
      <c r="O711" s="6"/>
      <c r="P711" s="7"/>
      <c r="Q711" s="51">
        <f t="shared" si="647"/>
        <v>0</v>
      </c>
      <c r="R711" s="8"/>
      <c r="S711" s="6"/>
      <c r="T711" s="7">
        <v>5</v>
      </c>
      <c r="U711" s="51">
        <f t="shared" si="648"/>
        <v>5</v>
      </c>
      <c r="V711" s="59">
        <f t="shared" si="649"/>
        <v>5</v>
      </c>
      <c r="W711" s="108">
        <v>46171</v>
      </c>
      <c r="X711" s="48"/>
    </row>
    <row r="712" spans="1:24" x14ac:dyDescent="0.15">
      <c r="A712" s="17" t="s">
        <v>57</v>
      </c>
      <c r="B712" s="5"/>
      <c r="C712" s="6">
        <v>1</v>
      </c>
      <c r="D712" s="7"/>
      <c r="E712" s="51">
        <f t="shared" si="641"/>
        <v>1</v>
      </c>
      <c r="F712" s="8"/>
      <c r="G712" s="6">
        <v>1</v>
      </c>
      <c r="H712" s="7"/>
      <c r="I712" s="51">
        <f t="shared" si="642"/>
        <v>1</v>
      </c>
      <c r="J712" s="59">
        <f t="shared" si="643"/>
        <v>2</v>
      </c>
      <c r="K712" s="41">
        <v>46177</v>
      </c>
      <c r="M712" s="20" t="s">
        <v>322</v>
      </c>
      <c r="N712" s="9">
        <v>3</v>
      </c>
      <c r="O712" s="10">
        <v>3</v>
      </c>
      <c r="P712" s="11">
        <v>3</v>
      </c>
      <c r="Q712" s="51">
        <f t="shared" si="647"/>
        <v>9</v>
      </c>
      <c r="R712" s="12">
        <v>3</v>
      </c>
      <c r="S712" s="10"/>
      <c r="T712" s="11"/>
      <c r="U712" s="51">
        <f t="shared" si="648"/>
        <v>3</v>
      </c>
      <c r="V712" s="59">
        <f t="shared" si="649"/>
        <v>12</v>
      </c>
      <c r="W712" s="108">
        <v>46172</v>
      </c>
    </row>
    <row r="713" spans="1:24" x14ac:dyDescent="0.15">
      <c r="A713" s="17" t="s">
        <v>397</v>
      </c>
      <c r="B713" s="5">
        <v>-3</v>
      </c>
      <c r="C713" s="6"/>
      <c r="D713" s="7"/>
      <c r="E713" s="51">
        <f t="shared" si="641"/>
        <v>-3</v>
      </c>
      <c r="F713" s="8">
        <v>3</v>
      </c>
      <c r="G713" s="6"/>
      <c r="H713" s="7"/>
      <c r="I713" s="51">
        <f t="shared" si="642"/>
        <v>3</v>
      </c>
      <c r="J713" s="59">
        <f t="shared" si="643"/>
        <v>0</v>
      </c>
      <c r="K713" s="41">
        <v>46181</v>
      </c>
      <c r="M713" s="18" t="s">
        <v>406</v>
      </c>
      <c r="N713" s="5">
        <v>20</v>
      </c>
      <c r="O713" s="6">
        <v>30</v>
      </c>
      <c r="P713" s="7">
        <v>20</v>
      </c>
      <c r="Q713" s="51">
        <f t="shared" si="647"/>
        <v>70</v>
      </c>
      <c r="R713" s="8">
        <v>40</v>
      </c>
      <c r="S713" s="6">
        <v>60</v>
      </c>
      <c r="T713" s="7"/>
      <c r="U713" s="51">
        <f t="shared" si="648"/>
        <v>100</v>
      </c>
      <c r="V713" s="59">
        <f t="shared" si="649"/>
        <v>170</v>
      </c>
      <c r="W713" s="108">
        <v>46190</v>
      </c>
    </row>
    <row r="714" spans="1:24" x14ac:dyDescent="0.15">
      <c r="A714" s="17" t="s">
        <v>158</v>
      </c>
      <c r="B714" s="5"/>
      <c r="C714" s="6">
        <v>1</v>
      </c>
      <c r="D714" s="7"/>
      <c r="E714" s="51">
        <f t="shared" si="641"/>
        <v>1</v>
      </c>
      <c r="F714" s="8"/>
      <c r="G714" s="6">
        <v>1</v>
      </c>
      <c r="H714" s="7"/>
      <c r="I714" s="51">
        <f t="shared" si="642"/>
        <v>1</v>
      </c>
      <c r="J714" s="59">
        <f t="shared" si="643"/>
        <v>2</v>
      </c>
      <c r="K714" s="40">
        <v>46179</v>
      </c>
      <c r="M714" s="20" t="s">
        <v>393</v>
      </c>
      <c r="N714" s="5">
        <v>14</v>
      </c>
      <c r="O714" s="6">
        <v>13</v>
      </c>
      <c r="P714" s="7"/>
      <c r="Q714" s="51">
        <f t="shared" si="644"/>
        <v>27</v>
      </c>
      <c r="R714" s="8">
        <v>14</v>
      </c>
      <c r="S714" s="6">
        <v>13</v>
      </c>
      <c r="T714" s="7"/>
      <c r="U714" s="51">
        <f t="shared" si="645"/>
        <v>27</v>
      </c>
      <c r="V714" s="59">
        <f t="shared" si="646"/>
        <v>54</v>
      </c>
      <c r="W714" s="108">
        <v>46181</v>
      </c>
    </row>
    <row r="715" spans="1:24" x14ac:dyDescent="0.15">
      <c r="A715" s="17" t="s">
        <v>57</v>
      </c>
      <c r="B715" s="5"/>
      <c r="C715" s="6"/>
      <c r="D715" s="7">
        <v>1</v>
      </c>
      <c r="E715" s="51">
        <f t="shared" si="641"/>
        <v>1</v>
      </c>
      <c r="F715" s="8"/>
      <c r="G715" s="6"/>
      <c r="H715" s="7">
        <v>1</v>
      </c>
      <c r="I715" s="51">
        <f t="shared" si="642"/>
        <v>1</v>
      </c>
      <c r="J715" s="59">
        <f t="shared" si="643"/>
        <v>2</v>
      </c>
      <c r="K715" s="41">
        <v>46178</v>
      </c>
      <c r="M715" s="179" t="s">
        <v>395</v>
      </c>
      <c r="N715" s="149"/>
      <c r="O715" s="150"/>
      <c r="P715" s="151"/>
      <c r="Q715" s="144">
        <f t="shared" si="644"/>
        <v>0</v>
      </c>
      <c r="R715" s="152">
        <v>3</v>
      </c>
      <c r="S715" s="150"/>
      <c r="T715" s="151"/>
      <c r="U715" s="144">
        <f t="shared" si="645"/>
        <v>3</v>
      </c>
      <c r="V715" s="99">
        <f t="shared" si="646"/>
        <v>3</v>
      </c>
      <c r="W715" s="153">
        <v>46177</v>
      </c>
    </row>
    <row r="716" spans="1:24" x14ac:dyDescent="0.15">
      <c r="A716" s="17" t="s">
        <v>57</v>
      </c>
      <c r="B716" s="5">
        <v>3</v>
      </c>
      <c r="C716" s="6"/>
      <c r="D716" s="7">
        <v>2</v>
      </c>
      <c r="E716" s="51">
        <f t="shared" si="641"/>
        <v>5</v>
      </c>
      <c r="F716" s="8">
        <v>3</v>
      </c>
      <c r="G716" s="6"/>
      <c r="H716" s="7">
        <v>1</v>
      </c>
      <c r="I716" s="51">
        <f t="shared" si="642"/>
        <v>4</v>
      </c>
      <c r="J716" s="59">
        <f t="shared" si="643"/>
        <v>9</v>
      </c>
      <c r="K716" s="41">
        <v>46181</v>
      </c>
      <c r="M716" s="20" t="s">
        <v>398</v>
      </c>
      <c r="N716" s="5">
        <v>6</v>
      </c>
      <c r="O716" s="6">
        <v>4</v>
      </c>
      <c r="P716" s="7">
        <v>3</v>
      </c>
      <c r="Q716" s="51">
        <f t="shared" si="644"/>
        <v>13</v>
      </c>
      <c r="R716" s="8">
        <v>6</v>
      </c>
      <c r="S716" s="6">
        <v>4</v>
      </c>
      <c r="T716" s="7">
        <v>3</v>
      </c>
      <c r="U716" s="51">
        <f t="shared" si="645"/>
        <v>13</v>
      </c>
      <c r="V716" s="59">
        <f t="shared" si="646"/>
        <v>26</v>
      </c>
      <c r="W716" s="108">
        <v>46181</v>
      </c>
    </row>
    <row r="717" spans="1:24" x14ac:dyDescent="0.15">
      <c r="A717" s="17" t="s">
        <v>215</v>
      </c>
      <c r="B717" s="5">
        <v>1</v>
      </c>
      <c r="C717" s="6"/>
      <c r="D717" s="7"/>
      <c r="E717" s="51">
        <f t="shared" si="641"/>
        <v>1</v>
      </c>
      <c r="F717" s="8"/>
      <c r="G717" s="6"/>
      <c r="H717" s="7"/>
      <c r="I717" s="51">
        <f t="shared" si="642"/>
        <v>0</v>
      </c>
      <c r="J717" s="59">
        <f t="shared" si="643"/>
        <v>1</v>
      </c>
      <c r="K717" s="41">
        <v>46182</v>
      </c>
      <c r="M717" s="20" t="s">
        <v>399</v>
      </c>
      <c r="N717" s="5"/>
      <c r="O717" s="6">
        <v>5</v>
      </c>
      <c r="P717" s="7"/>
      <c r="Q717" s="51">
        <f t="shared" si="644"/>
        <v>5</v>
      </c>
      <c r="R717" s="8">
        <v>5</v>
      </c>
      <c r="S717" s="6">
        <v>5</v>
      </c>
      <c r="T717" s="7"/>
      <c r="U717" s="51">
        <f t="shared" si="645"/>
        <v>10</v>
      </c>
      <c r="V717" s="59">
        <f t="shared" si="646"/>
        <v>15</v>
      </c>
      <c r="W717" s="108">
        <v>46179</v>
      </c>
    </row>
    <row r="718" spans="1:24" x14ac:dyDescent="0.15">
      <c r="A718" s="17" t="s">
        <v>271</v>
      </c>
      <c r="B718" s="5"/>
      <c r="C718" s="6">
        <v>3</v>
      </c>
      <c r="D718" s="7"/>
      <c r="E718" s="51">
        <f t="shared" si="641"/>
        <v>3</v>
      </c>
      <c r="F718" s="8"/>
      <c r="G718" s="6">
        <v>3</v>
      </c>
      <c r="H718" s="7"/>
      <c r="I718" s="51">
        <f t="shared" si="642"/>
        <v>3</v>
      </c>
      <c r="J718" s="59">
        <f t="shared" si="643"/>
        <v>6</v>
      </c>
      <c r="K718" s="40">
        <v>46184</v>
      </c>
      <c r="L718" s="48"/>
      <c r="M718" s="162" t="s">
        <v>400</v>
      </c>
      <c r="N718" s="123">
        <v>40</v>
      </c>
      <c r="O718" s="124">
        <v>60</v>
      </c>
      <c r="P718" s="125"/>
      <c r="Q718" s="126">
        <f t="shared" si="644"/>
        <v>100</v>
      </c>
      <c r="R718" s="127"/>
      <c r="S718" s="124"/>
      <c r="T718" s="125"/>
      <c r="U718" s="126">
        <f t="shared" si="645"/>
        <v>0</v>
      </c>
      <c r="V718" s="128">
        <f t="shared" si="646"/>
        <v>100</v>
      </c>
      <c r="W718" s="117">
        <v>46198</v>
      </c>
    </row>
    <row r="719" spans="1:24" x14ac:dyDescent="0.15">
      <c r="A719" s="17" t="s">
        <v>57</v>
      </c>
      <c r="B719" s="5"/>
      <c r="C719" s="6"/>
      <c r="D719" s="7"/>
      <c r="E719" s="51">
        <f t="shared" si="641"/>
        <v>0</v>
      </c>
      <c r="F719" s="8">
        <v>1</v>
      </c>
      <c r="G719" s="6"/>
      <c r="H719" s="7"/>
      <c r="I719" s="51">
        <f t="shared" si="642"/>
        <v>1</v>
      </c>
      <c r="J719" s="59">
        <f t="shared" si="643"/>
        <v>1</v>
      </c>
      <c r="K719" s="41">
        <v>46182</v>
      </c>
      <c r="M719" s="20" t="s">
        <v>271</v>
      </c>
      <c r="N719" s="5"/>
      <c r="O719" s="6">
        <v>7</v>
      </c>
      <c r="P719" s="7">
        <v>6</v>
      </c>
      <c r="Q719" s="51">
        <f t="shared" si="644"/>
        <v>13</v>
      </c>
      <c r="R719" s="8"/>
      <c r="S719" s="6">
        <v>7</v>
      </c>
      <c r="T719" s="7">
        <v>6</v>
      </c>
      <c r="U719" s="51">
        <f t="shared" si="645"/>
        <v>13</v>
      </c>
      <c r="V719" s="59">
        <f t="shared" si="646"/>
        <v>26</v>
      </c>
      <c r="W719" s="108">
        <v>46185</v>
      </c>
    </row>
    <row r="720" spans="1:24" x14ac:dyDescent="0.15">
      <c r="A720" s="17" t="s">
        <v>57</v>
      </c>
      <c r="B720" s="5"/>
      <c r="C720" s="6"/>
      <c r="D720" s="7">
        <v>1</v>
      </c>
      <c r="E720" s="51">
        <f t="shared" si="641"/>
        <v>1</v>
      </c>
      <c r="F720" s="8"/>
      <c r="G720" s="6"/>
      <c r="H720" s="7">
        <v>1</v>
      </c>
      <c r="I720" s="51">
        <f t="shared" si="642"/>
        <v>1</v>
      </c>
      <c r="J720" s="59">
        <f t="shared" si="643"/>
        <v>2</v>
      </c>
      <c r="K720" s="41">
        <v>46184</v>
      </c>
      <c r="M720" s="148" t="s">
        <v>295</v>
      </c>
      <c r="N720" s="149"/>
      <c r="O720" s="150"/>
      <c r="P720" s="151">
        <v>3</v>
      </c>
      <c r="Q720" s="144">
        <f t="shared" ref="Q720:Q724" si="650">SUM(N720:P720)</f>
        <v>3</v>
      </c>
      <c r="R720" s="152"/>
      <c r="S720" s="150"/>
      <c r="T720" s="151">
        <v>3</v>
      </c>
      <c r="U720" s="144">
        <f t="shared" ref="U720:U724" si="651">SUM(R720:T720)</f>
        <v>3</v>
      </c>
      <c r="V720" s="99">
        <f t="shared" ref="V720:V724" si="652">Q720+U720</f>
        <v>6</v>
      </c>
      <c r="W720" s="153">
        <v>46184</v>
      </c>
    </row>
    <row r="721" spans="1:23" x14ac:dyDescent="0.15">
      <c r="A721" s="17" t="s">
        <v>158</v>
      </c>
      <c r="B721" s="5"/>
      <c r="C721" s="6"/>
      <c r="D721" s="7"/>
      <c r="E721" s="51">
        <f t="shared" si="641"/>
        <v>0</v>
      </c>
      <c r="F721" s="8">
        <v>1</v>
      </c>
      <c r="G721" s="6">
        <v>3</v>
      </c>
      <c r="H721" s="7"/>
      <c r="I721" s="51">
        <f t="shared" si="642"/>
        <v>4</v>
      </c>
      <c r="J721" s="59">
        <f t="shared" si="643"/>
        <v>4</v>
      </c>
      <c r="K721" s="40">
        <v>46188</v>
      </c>
      <c r="M721" s="20" t="s">
        <v>271</v>
      </c>
      <c r="N721" s="5">
        <v>3</v>
      </c>
      <c r="O721" s="6"/>
      <c r="P721" s="7">
        <v>2</v>
      </c>
      <c r="Q721" s="51">
        <f t="shared" si="650"/>
        <v>5</v>
      </c>
      <c r="R721" s="8">
        <v>3</v>
      </c>
      <c r="S721" s="6"/>
      <c r="T721" s="7">
        <v>2</v>
      </c>
      <c r="U721" s="51">
        <f t="shared" si="651"/>
        <v>5</v>
      </c>
      <c r="V721" s="59">
        <f t="shared" si="652"/>
        <v>10</v>
      </c>
      <c r="W721" s="108">
        <v>46185</v>
      </c>
    </row>
    <row r="722" spans="1:23" x14ac:dyDescent="0.15">
      <c r="A722" s="17" t="s">
        <v>271</v>
      </c>
      <c r="B722" s="5">
        <v>2</v>
      </c>
      <c r="C722" s="6"/>
      <c r="D722" s="7"/>
      <c r="E722" s="51">
        <f t="shared" si="641"/>
        <v>2</v>
      </c>
      <c r="F722" s="8">
        <v>2</v>
      </c>
      <c r="G722" s="6"/>
      <c r="H722" s="7"/>
      <c r="I722" s="51">
        <f t="shared" si="642"/>
        <v>2</v>
      </c>
      <c r="J722" s="59">
        <f t="shared" si="643"/>
        <v>4</v>
      </c>
      <c r="K722" s="40">
        <v>46188</v>
      </c>
      <c r="M722" s="20" t="s">
        <v>295</v>
      </c>
      <c r="N722" s="5">
        <v>5</v>
      </c>
      <c r="O722" s="6"/>
      <c r="P722" s="7"/>
      <c r="Q722" s="51">
        <f t="shared" ref="Q722:Q723" si="653">SUM(N722:P722)</f>
        <v>5</v>
      </c>
      <c r="R722" s="8">
        <v>5</v>
      </c>
      <c r="S722" s="6">
        <v>5</v>
      </c>
      <c r="T722" s="7"/>
      <c r="U722" s="51">
        <f t="shared" ref="U722:U723" si="654">SUM(R722:T722)</f>
        <v>10</v>
      </c>
      <c r="V722" s="59">
        <f t="shared" ref="V722:V723" si="655">Q722+U722</f>
        <v>15</v>
      </c>
      <c r="W722" s="108">
        <v>46188</v>
      </c>
    </row>
    <row r="723" spans="1:23" x14ac:dyDescent="0.15">
      <c r="A723" s="17" t="s">
        <v>57</v>
      </c>
      <c r="B723" s="9">
        <v>2</v>
      </c>
      <c r="C723" s="10"/>
      <c r="D723" s="11"/>
      <c r="E723" s="51">
        <f t="shared" si="641"/>
        <v>2</v>
      </c>
      <c r="F723" s="12">
        <v>1</v>
      </c>
      <c r="G723" s="10">
        <v>1</v>
      </c>
      <c r="H723" s="11"/>
      <c r="I723" s="51">
        <f t="shared" si="642"/>
        <v>2</v>
      </c>
      <c r="J723" s="59">
        <f t="shared" si="643"/>
        <v>4</v>
      </c>
      <c r="K723" s="41">
        <v>46185</v>
      </c>
      <c r="M723" s="148" t="s">
        <v>295</v>
      </c>
      <c r="N723" s="149"/>
      <c r="O723" s="150"/>
      <c r="P723" s="151">
        <v>3</v>
      </c>
      <c r="Q723" s="144">
        <f t="shared" si="653"/>
        <v>3</v>
      </c>
      <c r="R723" s="152"/>
      <c r="S723" s="150"/>
      <c r="T723" s="151">
        <v>5</v>
      </c>
      <c r="U723" s="144">
        <f t="shared" si="654"/>
        <v>5</v>
      </c>
      <c r="V723" s="99">
        <f t="shared" si="655"/>
        <v>8</v>
      </c>
      <c r="W723" s="153">
        <v>46189</v>
      </c>
    </row>
    <row r="724" spans="1:23" x14ac:dyDescent="0.15">
      <c r="A724" s="17" t="s">
        <v>57</v>
      </c>
      <c r="B724" s="5">
        <v>1</v>
      </c>
      <c r="C724" s="6">
        <v>1</v>
      </c>
      <c r="D724" s="7">
        <v>2</v>
      </c>
      <c r="E724" s="51">
        <f t="shared" si="641"/>
        <v>4</v>
      </c>
      <c r="F724" s="8"/>
      <c r="G724" s="6">
        <v>1</v>
      </c>
      <c r="H724" s="7">
        <v>3</v>
      </c>
      <c r="I724" s="51">
        <f t="shared" si="642"/>
        <v>4</v>
      </c>
      <c r="J724" s="59">
        <f t="shared" si="643"/>
        <v>8</v>
      </c>
      <c r="K724" s="41">
        <v>46188</v>
      </c>
      <c r="M724" s="20" t="s">
        <v>352</v>
      </c>
      <c r="N724" s="5"/>
      <c r="O724" s="6"/>
      <c r="P724" s="7"/>
      <c r="Q724" s="51">
        <f t="shared" si="650"/>
        <v>0</v>
      </c>
      <c r="R724" s="8"/>
      <c r="S724" s="6"/>
      <c r="T724" s="7"/>
      <c r="U724" s="51">
        <f t="shared" si="651"/>
        <v>0</v>
      </c>
      <c r="V724" s="59">
        <f t="shared" si="652"/>
        <v>0</v>
      </c>
      <c r="W724" s="116" t="s">
        <v>353</v>
      </c>
    </row>
    <row r="725" spans="1:23" x14ac:dyDescent="0.15">
      <c r="A725" s="180" t="s">
        <v>174</v>
      </c>
      <c r="B725" s="93"/>
      <c r="C725" s="94"/>
      <c r="D725" s="98">
        <v>-3</v>
      </c>
      <c r="E725" s="96">
        <f t="shared" si="641"/>
        <v>-3</v>
      </c>
      <c r="F725" s="97"/>
      <c r="G725" s="94"/>
      <c r="H725" s="98">
        <v>-5</v>
      </c>
      <c r="I725" s="96">
        <f t="shared" si="642"/>
        <v>-5</v>
      </c>
      <c r="J725" s="99">
        <f t="shared" si="643"/>
        <v>-8</v>
      </c>
      <c r="K725" s="147">
        <v>46189</v>
      </c>
      <c r="M725" s="122" t="s">
        <v>366</v>
      </c>
      <c r="N725" s="123">
        <v>10</v>
      </c>
      <c r="O725" s="124">
        <v>10</v>
      </c>
      <c r="P725" s="125">
        <v>10</v>
      </c>
      <c r="Q725" s="126">
        <f t="shared" si="644"/>
        <v>30</v>
      </c>
      <c r="R725" s="127">
        <v>10</v>
      </c>
      <c r="S725" s="124">
        <v>10</v>
      </c>
      <c r="T725" s="125">
        <v>10</v>
      </c>
      <c r="U725" s="126">
        <f t="shared" si="645"/>
        <v>30</v>
      </c>
      <c r="V725" s="128">
        <f t="shared" ref="V725:V727" si="656">Q725+U725</f>
        <v>60</v>
      </c>
      <c r="W725" s="115" t="s">
        <v>367</v>
      </c>
    </row>
    <row r="726" spans="1:23" x14ac:dyDescent="0.15">
      <c r="A726" s="17" t="s">
        <v>57</v>
      </c>
      <c r="B726" s="5"/>
      <c r="C726" s="6"/>
      <c r="D726" s="7">
        <v>1</v>
      </c>
      <c r="E726" s="51">
        <f t="shared" si="641"/>
        <v>1</v>
      </c>
      <c r="F726" s="8"/>
      <c r="G726" s="6"/>
      <c r="H726" s="7"/>
      <c r="I726" s="51">
        <f t="shared" si="642"/>
        <v>0</v>
      </c>
      <c r="J726" s="59">
        <f t="shared" si="643"/>
        <v>1</v>
      </c>
      <c r="K726" s="41">
        <v>46189</v>
      </c>
      <c r="M726" s="133" t="s">
        <v>312</v>
      </c>
      <c r="N726" s="134">
        <v>-100</v>
      </c>
      <c r="O726" s="135">
        <v>-100</v>
      </c>
      <c r="P726" s="136">
        <v>-70</v>
      </c>
      <c r="Q726" s="137">
        <f t="shared" si="644"/>
        <v>-270</v>
      </c>
      <c r="R726" s="138">
        <v>-100</v>
      </c>
      <c r="S726" s="135">
        <v>-100</v>
      </c>
      <c r="T726" s="136">
        <v>-70</v>
      </c>
      <c r="U726" s="137">
        <f t="shared" si="645"/>
        <v>-270</v>
      </c>
      <c r="V726" s="139">
        <f t="shared" si="656"/>
        <v>-540</v>
      </c>
    </row>
    <row r="727" spans="1:23" ht="14.25" thickBot="1" x14ac:dyDescent="0.2">
      <c r="A727" s="17" t="s">
        <v>271</v>
      </c>
      <c r="B727" s="9"/>
      <c r="C727" s="10">
        <v>1</v>
      </c>
      <c r="D727" s="11"/>
      <c r="E727" s="55">
        <f t="shared" si="641"/>
        <v>1</v>
      </c>
      <c r="F727" s="12"/>
      <c r="G727" s="10">
        <v>1</v>
      </c>
      <c r="H727" s="11"/>
      <c r="I727" s="55">
        <f t="shared" si="642"/>
        <v>1</v>
      </c>
      <c r="J727" s="59">
        <f t="shared" si="643"/>
        <v>2</v>
      </c>
      <c r="K727" s="40">
        <v>46192</v>
      </c>
      <c r="M727" s="122" t="s">
        <v>311</v>
      </c>
      <c r="N727" s="123">
        <f>226-68-14</f>
        <v>144</v>
      </c>
      <c r="O727" s="124">
        <f>198-59-13</f>
        <v>126</v>
      </c>
      <c r="P727" s="125">
        <f>126-38</f>
        <v>88</v>
      </c>
      <c r="Q727" s="126">
        <f t="shared" si="644"/>
        <v>358</v>
      </c>
      <c r="R727" s="123">
        <f>226-68-14</f>
        <v>144</v>
      </c>
      <c r="S727" s="124">
        <f>198-59-13</f>
        <v>126</v>
      </c>
      <c r="T727" s="125">
        <f>126-38</f>
        <v>88</v>
      </c>
      <c r="U727" s="126">
        <f t="shared" si="645"/>
        <v>358</v>
      </c>
      <c r="V727" s="128">
        <f t="shared" si="656"/>
        <v>716</v>
      </c>
      <c r="W727" s="115" t="s">
        <v>313</v>
      </c>
    </row>
    <row r="728" spans="1:23" ht="14.25" thickBot="1" x14ac:dyDescent="0.2">
      <c r="A728" s="31" t="s">
        <v>19</v>
      </c>
      <c r="B728" s="34">
        <f>SUM(B702:B727)</f>
        <v>10</v>
      </c>
      <c r="C728" s="35">
        <f t="shared" ref="C728:D728" si="657">SUM(C702:C727)</f>
        <v>12</v>
      </c>
      <c r="D728" s="39">
        <f t="shared" si="657"/>
        <v>8</v>
      </c>
      <c r="E728" s="56">
        <f t="shared" si="641"/>
        <v>30</v>
      </c>
      <c r="F728" s="34">
        <f>SUM(F702:F727)</f>
        <v>17</v>
      </c>
      <c r="G728" s="35">
        <f t="shared" ref="G728:H728" si="658">SUM(G702:G727)</f>
        <v>13</v>
      </c>
      <c r="H728" s="39">
        <f t="shared" si="658"/>
        <v>6</v>
      </c>
      <c r="I728" s="56">
        <f t="shared" si="642"/>
        <v>36</v>
      </c>
      <c r="J728" s="62">
        <f>E728+I728</f>
        <v>66</v>
      </c>
      <c r="M728" s="31" t="s">
        <v>19</v>
      </c>
      <c r="N728" s="34">
        <f>SUM(N702:N727)</f>
        <v>225</v>
      </c>
      <c r="O728" s="35">
        <f t="shared" ref="O728:P728" si="659">SUM(O702:O727)</f>
        <v>233</v>
      </c>
      <c r="P728" s="39">
        <f t="shared" si="659"/>
        <v>119</v>
      </c>
      <c r="Q728" s="56">
        <f t="shared" si="644"/>
        <v>577</v>
      </c>
      <c r="R728" s="34">
        <f>SUM(R702:R727)</f>
        <v>236</v>
      </c>
      <c r="S728" s="35">
        <f t="shared" ref="S728:T728" si="660">SUM(S702:S727)</f>
        <v>200</v>
      </c>
      <c r="T728" s="39">
        <f t="shared" si="660"/>
        <v>157</v>
      </c>
      <c r="U728" s="56">
        <f t="shared" si="645"/>
        <v>593</v>
      </c>
      <c r="V728" s="62">
        <f>Q728+U728</f>
        <v>1170</v>
      </c>
    </row>
    <row r="729" spans="1:23" ht="14.25" thickBot="1" x14ac:dyDescent="0.2">
      <c r="A729" s="16" t="s">
        <v>17</v>
      </c>
      <c r="B729" s="63">
        <f>B701-B728</f>
        <v>6</v>
      </c>
      <c r="C729" s="64">
        <f t="shared" ref="C729:D729" si="661">C701-C728</f>
        <v>4</v>
      </c>
      <c r="D729" s="65">
        <f t="shared" si="661"/>
        <v>6</v>
      </c>
      <c r="E729" s="57">
        <f>SUM(B729:D729)</f>
        <v>16</v>
      </c>
      <c r="F729" s="63">
        <f>F701-F728</f>
        <v>6</v>
      </c>
      <c r="G729" s="64">
        <f t="shared" ref="G729:H729" si="662">G701-G728</f>
        <v>5</v>
      </c>
      <c r="H729" s="65">
        <f t="shared" si="662"/>
        <v>7</v>
      </c>
      <c r="I729" s="57">
        <f>SUM(F729:H729)</f>
        <v>18</v>
      </c>
      <c r="J729" s="61">
        <f>E729+I729</f>
        <v>34</v>
      </c>
      <c r="M729" s="16" t="s">
        <v>17</v>
      </c>
      <c r="N729" s="63">
        <f>N701-N728</f>
        <v>139</v>
      </c>
      <c r="O729" s="64">
        <f t="shared" ref="O729:P729" si="663">O701-O728</f>
        <v>407</v>
      </c>
      <c r="P729" s="65">
        <f t="shared" si="663"/>
        <v>365</v>
      </c>
      <c r="Q729" s="57">
        <f>SUM(N729:P729)</f>
        <v>911</v>
      </c>
      <c r="R729" s="63">
        <f>R701-R728</f>
        <v>693</v>
      </c>
      <c r="S729" s="64">
        <f t="shared" ref="S729:T729" si="664">S701-S728</f>
        <v>634</v>
      </c>
      <c r="T729" s="65">
        <f t="shared" si="664"/>
        <v>504</v>
      </c>
      <c r="U729" s="57">
        <f>SUM(R729:T729)</f>
        <v>1831</v>
      </c>
      <c r="V729" s="61">
        <f>Q729+U729</f>
        <v>2742</v>
      </c>
    </row>
    <row r="730" spans="1:23" x14ac:dyDescent="0.15">
      <c r="M730" s="20"/>
      <c r="V730" s="177"/>
    </row>
    <row r="732" spans="1:23" ht="19.5" thickBot="1" x14ac:dyDescent="0.25">
      <c r="A732" s="66" t="s">
        <v>23</v>
      </c>
      <c r="B732" s="67"/>
      <c r="C732" s="67"/>
      <c r="D732" s="67"/>
      <c r="E732" s="67"/>
      <c r="F732" s="67"/>
      <c r="G732" s="67"/>
      <c r="H732" s="67"/>
      <c r="I732" s="67" t="s">
        <v>26</v>
      </c>
      <c r="J732" s="67"/>
      <c r="M732" s="73" t="s">
        <v>24</v>
      </c>
      <c r="N732" s="74"/>
      <c r="O732" s="74"/>
      <c r="P732" s="74"/>
      <c r="Q732" s="74"/>
      <c r="R732" s="74"/>
      <c r="S732" s="74"/>
      <c r="T732" s="74"/>
      <c r="U732" s="74"/>
      <c r="V732" s="74"/>
    </row>
    <row r="733" spans="1:23" ht="14.25" thickBot="1" x14ac:dyDescent="0.2">
      <c r="A733" s="4" t="s">
        <v>0</v>
      </c>
      <c r="B733" s="191" t="s">
        <v>21</v>
      </c>
      <c r="C733" s="192"/>
      <c r="D733" s="192"/>
      <c r="E733" s="193"/>
      <c r="F733" s="194" t="s">
        <v>18</v>
      </c>
      <c r="G733" s="195"/>
      <c r="H733" s="195"/>
      <c r="I733" s="196"/>
      <c r="J733" s="189" t="s">
        <v>1</v>
      </c>
      <c r="M733" s="4" t="s">
        <v>0</v>
      </c>
      <c r="N733" s="198" t="s">
        <v>21</v>
      </c>
      <c r="O733" s="199"/>
      <c r="P733" s="199"/>
      <c r="Q733" s="200"/>
      <c r="R733" s="201" t="s">
        <v>18</v>
      </c>
      <c r="S733" s="202"/>
      <c r="T733" s="202"/>
      <c r="U733" s="203"/>
      <c r="V733" s="154" t="s">
        <v>1</v>
      </c>
    </row>
    <row r="734" spans="1:23" ht="14.25" thickBot="1" x14ac:dyDescent="0.2">
      <c r="A734" s="4" t="s">
        <v>2</v>
      </c>
      <c r="B734" s="1" t="s">
        <v>3</v>
      </c>
      <c r="C734" s="2" t="s">
        <v>4</v>
      </c>
      <c r="D734" s="3" t="s">
        <v>5</v>
      </c>
      <c r="E734" s="4" t="s">
        <v>6</v>
      </c>
      <c r="F734" s="1" t="s">
        <v>3</v>
      </c>
      <c r="G734" s="2" t="s">
        <v>4</v>
      </c>
      <c r="H734" s="3" t="s">
        <v>5</v>
      </c>
      <c r="I734" s="4" t="s">
        <v>6</v>
      </c>
      <c r="J734" s="190"/>
      <c r="M734" s="4" t="s">
        <v>2</v>
      </c>
      <c r="N734" s="1" t="s">
        <v>3</v>
      </c>
      <c r="O734" s="2" t="s">
        <v>4</v>
      </c>
      <c r="P734" s="3" t="s">
        <v>5</v>
      </c>
      <c r="Q734" s="4" t="s">
        <v>6</v>
      </c>
      <c r="R734" s="1" t="s">
        <v>3</v>
      </c>
      <c r="S734" s="2" t="s">
        <v>4</v>
      </c>
      <c r="T734" s="3" t="s">
        <v>5</v>
      </c>
      <c r="U734" s="4" t="s">
        <v>6</v>
      </c>
      <c r="V734" s="155"/>
    </row>
    <row r="735" spans="1:23" ht="14.25" thickBot="1" x14ac:dyDescent="0.2">
      <c r="A735" s="21" t="s">
        <v>20</v>
      </c>
      <c r="B735" s="22">
        <f>B729</f>
        <v>6</v>
      </c>
      <c r="C735" s="23">
        <f>C729</f>
        <v>4</v>
      </c>
      <c r="D735" s="24">
        <f>D729</f>
        <v>6</v>
      </c>
      <c r="E735" s="54">
        <f>SUM(B735:D735)</f>
        <v>16</v>
      </c>
      <c r="F735" s="22">
        <f>F729</f>
        <v>6</v>
      </c>
      <c r="G735" s="23">
        <f>G729</f>
        <v>5</v>
      </c>
      <c r="H735" s="24">
        <f>H729</f>
        <v>7</v>
      </c>
      <c r="I735" s="54">
        <f>SUM(F735:H735)</f>
        <v>18</v>
      </c>
      <c r="J735" s="61">
        <f>E735+I735</f>
        <v>34</v>
      </c>
      <c r="M735" s="21" t="s">
        <v>20</v>
      </c>
      <c r="N735" s="68">
        <f>N729</f>
        <v>139</v>
      </c>
      <c r="O735" s="69">
        <f>O729</f>
        <v>407</v>
      </c>
      <c r="P735" s="70">
        <f>P729</f>
        <v>365</v>
      </c>
      <c r="Q735" s="71">
        <f>SUM(N735:P735)</f>
        <v>911</v>
      </c>
      <c r="R735" s="68">
        <f>R729</f>
        <v>693</v>
      </c>
      <c r="S735" s="69">
        <f>S729</f>
        <v>634</v>
      </c>
      <c r="T735" s="70">
        <f>T729</f>
        <v>504</v>
      </c>
      <c r="U735" s="71">
        <f>SUM(R735:T735)</f>
        <v>1831</v>
      </c>
      <c r="V735" s="72">
        <f>Q735+U735</f>
        <v>2742</v>
      </c>
    </row>
    <row r="736" spans="1:23" x14ac:dyDescent="0.15">
      <c r="A736" s="19" t="s">
        <v>205</v>
      </c>
      <c r="B736" s="113">
        <v>1</v>
      </c>
      <c r="C736" s="13"/>
      <c r="D736" s="14">
        <v>4</v>
      </c>
      <c r="E736" s="51">
        <f t="shared" ref="E736:E743" si="665">SUM(B736:D736)</f>
        <v>5</v>
      </c>
      <c r="F736" s="15"/>
      <c r="G736" s="13">
        <v>1</v>
      </c>
      <c r="H736" s="14"/>
      <c r="I736" s="51">
        <f t="shared" ref="I736:I743" si="666">SUM(F736:H736)</f>
        <v>1</v>
      </c>
      <c r="J736" s="109">
        <f t="shared" ref="J736:J743" si="667">E736+I736</f>
        <v>6</v>
      </c>
      <c r="K736" s="41">
        <v>46190</v>
      </c>
      <c r="M736" s="19" t="s">
        <v>8</v>
      </c>
      <c r="N736" s="83"/>
      <c r="O736" s="46"/>
      <c r="P736" s="44"/>
      <c r="Q736" s="50">
        <f>SUM(N736:P736)</f>
        <v>0</v>
      </c>
      <c r="R736" s="45"/>
      <c r="S736" s="46"/>
      <c r="T736" s="47"/>
      <c r="U736" s="50">
        <f>SUM(R736:T736)</f>
        <v>0</v>
      </c>
      <c r="V736" s="84">
        <f>Q736+U736</f>
        <v>0</v>
      </c>
    </row>
    <row r="737" spans="1:24" x14ac:dyDescent="0.15">
      <c r="A737" s="19" t="s">
        <v>9</v>
      </c>
      <c r="B737" s="5"/>
      <c r="C737" s="6">
        <v>5</v>
      </c>
      <c r="D737" s="7"/>
      <c r="E737" s="51">
        <f t="shared" si="665"/>
        <v>5</v>
      </c>
      <c r="F737" s="8"/>
      <c r="G737" s="6"/>
      <c r="H737" s="7"/>
      <c r="I737" s="51">
        <f t="shared" si="666"/>
        <v>0</v>
      </c>
      <c r="J737" s="59">
        <f t="shared" si="667"/>
        <v>5</v>
      </c>
      <c r="K737" s="40">
        <v>46191</v>
      </c>
      <c r="M737" s="159" t="s">
        <v>9</v>
      </c>
      <c r="N737" s="123">
        <v>100</v>
      </c>
      <c r="O737" s="124"/>
      <c r="P737" s="160"/>
      <c r="Q737" s="161">
        <f t="shared" ref="Q737" si="668">SUM(N737:P737)</f>
        <v>100</v>
      </c>
      <c r="R737" s="127"/>
      <c r="S737" s="124"/>
      <c r="T737" s="125"/>
      <c r="U737" s="161">
        <f t="shared" ref="U737" si="669">SUM(R737:T737)</f>
        <v>0</v>
      </c>
      <c r="V737" s="128">
        <f t="shared" ref="V737" si="670">Q737+U737</f>
        <v>100</v>
      </c>
      <c r="W737" s="117">
        <v>46214</v>
      </c>
      <c r="X737" s="112" t="s">
        <v>407</v>
      </c>
    </row>
    <row r="738" spans="1:24" x14ac:dyDescent="0.15">
      <c r="A738" s="19" t="s">
        <v>10</v>
      </c>
      <c r="B738" s="5"/>
      <c r="C738" s="6"/>
      <c r="D738" s="7"/>
      <c r="E738" s="51">
        <f t="shared" si="665"/>
        <v>0</v>
      </c>
      <c r="F738" s="8"/>
      <c r="G738" s="6"/>
      <c r="H738" s="7"/>
      <c r="I738" s="51">
        <f t="shared" si="666"/>
        <v>0</v>
      </c>
      <c r="J738" s="59">
        <f t="shared" si="667"/>
        <v>0</v>
      </c>
      <c r="M738" s="159" t="s">
        <v>305</v>
      </c>
      <c r="N738" s="123">
        <v>400</v>
      </c>
      <c r="O738" s="124">
        <v>250</v>
      </c>
      <c r="P738" s="160">
        <v>100</v>
      </c>
      <c r="Q738" s="161">
        <f t="shared" ref="Q738:Q739" si="671">SUM(N738:P738)</f>
        <v>750</v>
      </c>
      <c r="R738" s="127">
        <v>300</v>
      </c>
      <c r="S738" s="124">
        <v>250</v>
      </c>
      <c r="T738" s="125">
        <v>200</v>
      </c>
      <c r="U738" s="161">
        <f t="shared" ref="U738:U739" si="672">SUM(R738:T738)</f>
        <v>750</v>
      </c>
      <c r="V738" s="128">
        <f t="shared" ref="V738:V739" si="673">Q738+U738</f>
        <v>1500</v>
      </c>
      <c r="W738" s="117">
        <v>46228</v>
      </c>
      <c r="X738" s="30" t="s">
        <v>408</v>
      </c>
    </row>
    <row r="739" spans="1:24" x14ac:dyDescent="0.15">
      <c r="A739" s="19" t="s">
        <v>11</v>
      </c>
      <c r="B739" s="5"/>
      <c r="C739" s="6"/>
      <c r="D739" s="36"/>
      <c r="E739" s="52">
        <f t="shared" si="665"/>
        <v>0</v>
      </c>
      <c r="F739" s="8"/>
      <c r="G739" s="6"/>
      <c r="H739" s="7"/>
      <c r="I739" s="52">
        <f t="shared" si="666"/>
        <v>0</v>
      </c>
      <c r="J739" s="59">
        <f t="shared" si="667"/>
        <v>0</v>
      </c>
      <c r="M739" s="19" t="s">
        <v>11</v>
      </c>
      <c r="N739" s="9">
        <v>-100</v>
      </c>
      <c r="O739" s="10"/>
      <c r="P739" s="37"/>
      <c r="Q739" s="52">
        <f t="shared" si="671"/>
        <v>-100</v>
      </c>
      <c r="R739" s="12"/>
      <c r="S739" s="10"/>
      <c r="T739" s="11"/>
      <c r="U739" s="52">
        <f t="shared" si="672"/>
        <v>0</v>
      </c>
      <c r="V739" s="59">
        <f t="shared" si="673"/>
        <v>-100</v>
      </c>
    </row>
    <row r="740" spans="1:24" x14ac:dyDescent="0.15">
      <c r="A740" s="19" t="s">
        <v>12</v>
      </c>
      <c r="B740" s="5"/>
      <c r="C740" s="6"/>
      <c r="D740" s="36"/>
      <c r="E740" s="52">
        <f t="shared" si="665"/>
        <v>0</v>
      </c>
      <c r="F740" s="8"/>
      <c r="G740" s="6"/>
      <c r="H740" s="7"/>
      <c r="I740" s="52">
        <f t="shared" si="666"/>
        <v>0</v>
      </c>
      <c r="J740" s="59">
        <f t="shared" si="667"/>
        <v>0</v>
      </c>
      <c r="M740" s="19" t="s">
        <v>12</v>
      </c>
      <c r="N740" s="9"/>
      <c r="O740" s="10"/>
      <c r="P740" s="37"/>
      <c r="Q740" s="52">
        <f t="shared" ref="Q740:Q743" si="674">SUM(N740:P740)</f>
        <v>0</v>
      </c>
      <c r="R740" s="12"/>
      <c r="S740" s="10"/>
      <c r="T740" s="11"/>
      <c r="U740" s="52">
        <f t="shared" ref="U740:U743" si="675">SUM(R740:T740)</f>
        <v>0</v>
      </c>
      <c r="V740" s="59">
        <f t="shared" ref="V740:V743" si="676">Q740+U740</f>
        <v>0</v>
      </c>
    </row>
    <row r="741" spans="1:24" x14ac:dyDescent="0.15">
      <c r="A741" s="19" t="s">
        <v>13</v>
      </c>
      <c r="B741" s="5"/>
      <c r="C741" s="6"/>
      <c r="D741" s="36"/>
      <c r="E741" s="52">
        <f t="shared" si="665"/>
        <v>0</v>
      </c>
      <c r="F741" s="8"/>
      <c r="G741" s="6"/>
      <c r="H741" s="7"/>
      <c r="I741" s="52">
        <f t="shared" si="666"/>
        <v>0</v>
      </c>
      <c r="J741" s="59">
        <f t="shared" si="667"/>
        <v>0</v>
      </c>
      <c r="M741" s="19" t="s">
        <v>13</v>
      </c>
      <c r="N741" s="9"/>
      <c r="O741" s="10"/>
      <c r="P741" s="37"/>
      <c r="Q741" s="52">
        <f t="shared" si="674"/>
        <v>0</v>
      </c>
      <c r="R741" s="12"/>
      <c r="S741" s="10"/>
      <c r="T741" s="11"/>
      <c r="U741" s="52">
        <f t="shared" si="675"/>
        <v>0</v>
      </c>
      <c r="V741" s="59">
        <f t="shared" si="676"/>
        <v>0</v>
      </c>
    </row>
    <row r="742" spans="1:24" x14ac:dyDescent="0.15">
      <c r="A742" s="19" t="s">
        <v>14</v>
      </c>
      <c r="B742" s="9"/>
      <c r="C742" s="10"/>
      <c r="D742" s="37"/>
      <c r="E742" s="52">
        <f t="shared" si="665"/>
        <v>0</v>
      </c>
      <c r="F742" s="12"/>
      <c r="G742" s="10"/>
      <c r="H742" s="11"/>
      <c r="I742" s="52">
        <f t="shared" si="666"/>
        <v>0</v>
      </c>
      <c r="J742" s="59">
        <f t="shared" si="667"/>
        <v>0</v>
      </c>
      <c r="M742" s="19" t="s">
        <v>14</v>
      </c>
      <c r="N742" s="9"/>
      <c r="O742" s="10"/>
      <c r="P742" s="37"/>
      <c r="Q742" s="52">
        <f t="shared" si="674"/>
        <v>0</v>
      </c>
      <c r="R742" s="12"/>
      <c r="S742" s="10"/>
      <c r="T742" s="11"/>
      <c r="U742" s="52">
        <f t="shared" si="675"/>
        <v>0</v>
      </c>
      <c r="V742" s="59">
        <f t="shared" si="676"/>
        <v>0</v>
      </c>
    </row>
    <row r="743" spans="1:24" ht="14.25" thickBot="1" x14ac:dyDescent="0.2">
      <c r="A743" s="19" t="s">
        <v>15</v>
      </c>
      <c r="B743" s="25"/>
      <c r="C743" s="26"/>
      <c r="D743" s="38"/>
      <c r="E743" s="53">
        <f t="shared" si="665"/>
        <v>0</v>
      </c>
      <c r="F743" s="27"/>
      <c r="G743" s="27"/>
      <c r="H743" s="29"/>
      <c r="I743" s="53">
        <f t="shared" si="666"/>
        <v>0</v>
      </c>
      <c r="J743" s="60">
        <f t="shared" si="667"/>
        <v>0</v>
      </c>
      <c r="M743" s="19" t="s">
        <v>15</v>
      </c>
      <c r="N743" s="25"/>
      <c r="O743" s="26"/>
      <c r="P743" s="38"/>
      <c r="Q743" s="53">
        <f t="shared" si="674"/>
        <v>0</v>
      </c>
      <c r="R743" s="27"/>
      <c r="S743" s="27"/>
      <c r="T743" s="29"/>
      <c r="U743" s="53">
        <f t="shared" si="675"/>
        <v>0</v>
      </c>
      <c r="V743" s="60">
        <f t="shared" si="676"/>
        <v>0</v>
      </c>
    </row>
    <row r="744" spans="1:24" ht="14.25" thickBot="1" x14ac:dyDescent="0.2">
      <c r="A744" s="28" t="s">
        <v>16</v>
      </c>
      <c r="B744" s="22">
        <f>SUM(B735:B743)</f>
        <v>7</v>
      </c>
      <c r="C744" s="23">
        <f t="shared" ref="C744:D744" si="677">SUM(C735:C743)</f>
        <v>9</v>
      </c>
      <c r="D744" s="24">
        <f t="shared" si="677"/>
        <v>10</v>
      </c>
      <c r="E744" s="54">
        <f>SUM(B744:D744)</f>
        <v>26</v>
      </c>
      <c r="F744" s="22">
        <f>SUM(F735:F743)</f>
        <v>6</v>
      </c>
      <c r="G744" s="23">
        <f t="shared" ref="G744:H744" si="678">SUM(G735:G743)</f>
        <v>6</v>
      </c>
      <c r="H744" s="24">
        <f t="shared" si="678"/>
        <v>7</v>
      </c>
      <c r="I744" s="54">
        <f>SUM(F744:H744)</f>
        <v>19</v>
      </c>
      <c r="J744" s="61">
        <f>SUM(J736:J743)</f>
        <v>11</v>
      </c>
      <c r="M744" s="28" t="s">
        <v>16</v>
      </c>
      <c r="N744" s="22">
        <f>SUM(N735:N743)</f>
        <v>539</v>
      </c>
      <c r="O744" s="23">
        <f t="shared" ref="O744:P744" si="679">SUM(O735:O743)</f>
        <v>657</v>
      </c>
      <c r="P744" s="24">
        <f t="shared" si="679"/>
        <v>465</v>
      </c>
      <c r="Q744" s="54">
        <f>SUM(N744:P744)</f>
        <v>1661</v>
      </c>
      <c r="R744" s="22">
        <f>SUM(R735:R743)</f>
        <v>993</v>
      </c>
      <c r="S744" s="23">
        <f t="shared" ref="S744:T744" si="680">SUM(S735:S743)</f>
        <v>884</v>
      </c>
      <c r="T744" s="24">
        <f t="shared" si="680"/>
        <v>704</v>
      </c>
      <c r="U744" s="54">
        <f>SUM(R744:T744)</f>
        <v>2581</v>
      </c>
      <c r="V744" s="61">
        <f>Q744+U744</f>
        <v>4242</v>
      </c>
    </row>
    <row r="745" spans="1:24" x14ac:dyDescent="0.15">
      <c r="A745" s="188" t="s">
        <v>410</v>
      </c>
      <c r="B745" s="123"/>
      <c r="C745" s="124">
        <v>1</v>
      </c>
      <c r="D745" s="125"/>
      <c r="E745" s="126">
        <f t="shared" ref="E745:E771" si="681">SUM(B745:D745)</f>
        <v>1</v>
      </c>
      <c r="F745" s="127"/>
      <c r="G745" s="124">
        <v>1</v>
      </c>
      <c r="H745" s="125"/>
      <c r="I745" s="126">
        <f t="shared" ref="I745:I771" si="682">SUM(F745:H745)</f>
        <v>1</v>
      </c>
      <c r="J745" s="128">
        <f t="shared" ref="J745:J770" si="683">E745+I745</f>
        <v>2</v>
      </c>
      <c r="K745" s="187">
        <v>46192</v>
      </c>
      <c r="M745" s="20" t="s">
        <v>271</v>
      </c>
      <c r="N745" s="5">
        <v>1</v>
      </c>
      <c r="O745" s="6"/>
      <c r="P745" s="7">
        <v>5</v>
      </c>
      <c r="Q745" s="51">
        <f t="shared" ref="Q745:Q771" si="684">SUM(N745:P745)</f>
        <v>6</v>
      </c>
      <c r="R745" s="8">
        <v>1</v>
      </c>
      <c r="S745" s="6"/>
      <c r="T745" s="7">
        <v>5</v>
      </c>
      <c r="U745" s="51">
        <f t="shared" ref="U745:U771" si="685">SUM(R745:T745)</f>
        <v>6</v>
      </c>
      <c r="V745" s="59">
        <f t="shared" ref="V745:V761" si="686">Q745+U745</f>
        <v>12</v>
      </c>
      <c r="W745" s="108">
        <v>46190</v>
      </c>
    </row>
    <row r="746" spans="1:24" x14ac:dyDescent="0.15">
      <c r="A746" s="17" t="s">
        <v>411</v>
      </c>
      <c r="B746" s="5">
        <v>1</v>
      </c>
      <c r="C746" s="6"/>
      <c r="D746" s="7"/>
      <c r="E746" s="51">
        <f t="shared" si="681"/>
        <v>1</v>
      </c>
      <c r="F746" s="8"/>
      <c r="G746" s="6">
        <v>1</v>
      </c>
      <c r="H746" s="7"/>
      <c r="I746" s="51">
        <f t="shared" si="682"/>
        <v>1</v>
      </c>
      <c r="J746" s="59">
        <f t="shared" si="683"/>
        <v>2</v>
      </c>
      <c r="K746" s="41">
        <v>46191</v>
      </c>
      <c r="M746" s="162" t="s">
        <v>404</v>
      </c>
      <c r="N746" s="123">
        <v>20</v>
      </c>
      <c r="O746" s="124">
        <v>20</v>
      </c>
      <c r="P746" s="125">
        <v>40</v>
      </c>
      <c r="Q746" s="126">
        <f t="shared" si="684"/>
        <v>80</v>
      </c>
      <c r="R746" s="127"/>
      <c r="S746" s="124"/>
      <c r="T746" s="125"/>
      <c r="U746" s="126">
        <f t="shared" si="685"/>
        <v>0</v>
      </c>
      <c r="V746" s="128">
        <f t="shared" si="686"/>
        <v>80</v>
      </c>
      <c r="W746" s="117">
        <v>46204</v>
      </c>
    </row>
    <row r="747" spans="1:24" x14ac:dyDescent="0.15">
      <c r="A747" s="17" t="s">
        <v>412</v>
      </c>
      <c r="B747" s="5">
        <v>2</v>
      </c>
      <c r="C747" s="6">
        <v>1</v>
      </c>
      <c r="D747" s="7">
        <v>1</v>
      </c>
      <c r="E747" s="51">
        <f t="shared" si="681"/>
        <v>4</v>
      </c>
      <c r="F747" s="8">
        <v>2</v>
      </c>
      <c r="G747" s="6"/>
      <c r="H747" s="7"/>
      <c r="I747" s="51">
        <f t="shared" si="682"/>
        <v>2</v>
      </c>
      <c r="J747" s="59">
        <f t="shared" si="683"/>
        <v>6</v>
      </c>
      <c r="K747" s="41">
        <v>46217</v>
      </c>
      <c r="M747" s="20" t="s">
        <v>271</v>
      </c>
      <c r="N747" s="5"/>
      <c r="O747" s="6">
        <v>3</v>
      </c>
      <c r="P747" s="7">
        <v>1</v>
      </c>
      <c r="Q747" s="51">
        <f t="shared" si="684"/>
        <v>4</v>
      </c>
      <c r="R747" s="8"/>
      <c r="S747" s="6">
        <v>3</v>
      </c>
      <c r="T747" s="7">
        <v>1</v>
      </c>
      <c r="U747" s="51">
        <f t="shared" si="685"/>
        <v>4</v>
      </c>
      <c r="V747" s="59">
        <f t="shared" si="686"/>
        <v>8</v>
      </c>
      <c r="W747" s="108">
        <v>46191</v>
      </c>
    </row>
    <row r="748" spans="1:24" x14ac:dyDescent="0.15">
      <c r="A748" s="17" t="s">
        <v>412</v>
      </c>
      <c r="B748" s="5">
        <v>1</v>
      </c>
      <c r="C748" s="6">
        <v>1</v>
      </c>
      <c r="D748" s="7"/>
      <c r="E748" s="51">
        <f t="shared" si="681"/>
        <v>2</v>
      </c>
      <c r="F748" s="8">
        <v>1</v>
      </c>
      <c r="G748" s="6"/>
      <c r="H748" s="7"/>
      <c r="I748" s="51">
        <f t="shared" si="682"/>
        <v>1</v>
      </c>
      <c r="J748" s="59">
        <f t="shared" si="683"/>
        <v>3</v>
      </c>
      <c r="K748" s="41">
        <v>46218</v>
      </c>
      <c r="M748" s="18" t="s">
        <v>409</v>
      </c>
      <c r="N748" s="5"/>
      <c r="O748" s="6">
        <v>5</v>
      </c>
      <c r="P748" s="7"/>
      <c r="Q748" s="51">
        <f t="shared" si="684"/>
        <v>5</v>
      </c>
      <c r="R748" s="8"/>
      <c r="S748" s="6"/>
      <c r="T748" s="7"/>
      <c r="U748" s="51">
        <f t="shared" si="685"/>
        <v>0</v>
      </c>
      <c r="V748" s="59">
        <f t="shared" si="686"/>
        <v>5</v>
      </c>
      <c r="W748" s="108">
        <v>46191</v>
      </c>
    </row>
    <row r="749" spans="1:24" x14ac:dyDescent="0.15">
      <c r="A749" s="17" t="s">
        <v>412</v>
      </c>
      <c r="B749" s="5">
        <v>1</v>
      </c>
      <c r="C749" s="6">
        <v>1</v>
      </c>
      <c r="D749" s="7">
        <v>1</v>
      </c>
      <c r="E749" s="51">
        <f t="shared" si="681"/>
        <v>3</v>
      </c>
      <c r="F749" s="8">
        <v>1</v>
      </c>
      <c r="G749" s="6"/>
      <c r="H749" s="7">
        <v>1</v>
      </c>
      <c r="I749" s="51">
        <f t="shared" si="682"/>
        <v>2</v>
      </c>
      <c r="J749" s="59">
        <f t="shared" si="683"/>
        <v>5</v>
      </c>
      <c r="K749" s="41">
        <v>46218</v>
      </c>
      <c r="M749" s="18"/>
      <c r="N749" s="5"/>
      <c r="O749" s="6"/>
      <c r="P749" s="7"/>
      <c r="Q749" s="51">
        <f t="shared" si="684"/>
        <v>0</v>
      </c>
      <c r="R749" s="8"/>
      <c r="S749" s="6"/>
      <c r="T749" s="7"/>
      <c r="U749" s="51">
        <f t="shared" si="685"/>
        <v>0</v>
      </c>
      <c r="V749" s="59">
        <f t="shared" si="686"/>
        <v>0</v>
      </c>
      <c r="W749" s="116"/>
    </row>
    <row r="750" spans="1:24" x14ac:dyDescent="0.15">
      <c r="A750" s="17" t="s">
        <v>412</v>
      </c>
      <c r="B750" s="5"/>
      <c r="C750" s="6"/>
      <c r="D750" s="14">
        <v>1</v>
      </c>
      <c r="E750" s="51">
        <f t="shared" si="681"/>
        <v>1</v>
      </c>
      <c r="F750" s="15"/>
      <c r="G750" s="13"/>
      <c r="H750" s="14">
        <v>1</v>
      </c>
      <c r="I750" s="51">
        <f t="shared" si="682"/>
        <v>1</v>
      </c>
      <c r="J750" s="59">
        <f t="shared" si="683"/>
        <v>2</v>
      </c>
      <c r="K750" s="41">
        <v>46218</v>
      </c>
      <c r="M750" s="20"/>
      <c r="N750" s="5"/>
      <c r="O750" s="6"/>
      <c r="P750" s="14"/>
      <c r="Q750" s="51">
        <f t="shared" si="684"/>
        <v>0</v>
      </c>
      <c r="R750" s="15"/>
      <c r="S750" s="13"/>
      <c r="T750" s="14"/>
      <c r="U750" s="51">
        <f t="shared" si="685"/>
        <v>0</v>
      </c>
      <c r="V750" s="59">
        <f t="shared" si="686"/>
        <v>0</v>
      </c>
    </row>
    <row r="751" spans="1:24" x14ac:dyDescent="0.15">
      <c r="A751" s="17"/>
      <c r="B751" s="5"/>
      <c r="C751" s="6"/>
      <c r="D751" s="7"/>
      <c r="E751" s="51">
        <f t="shared" si="681"/>
        <v>0</v>
      </c>
      <c r="F751" s="8"/>
      <c r="G751" s="6"/>
      <c r="H751" s="7"/>
      <c r="I751" s="51">
        <f t="shared" si="682"/>
        <v>0</v>
      </c>
      <c r="J751" s="59">
        <f t="shared" si="683"/>
        <v>0</v>
      </c>
      <c r="M751" s="42"/>
      <c r="N751" s="5"/>
      <c r="O751" s="6"/>
      <c r="P751" s="7"/>
      <c r="Q751" s="51">
        <f t="shared" si="684"/>
        <v>0</v>
      </c>
      <c r="R751" s="8"/>
      <c r="S751" s="6"/>
      <c r="T751" s="7"/>
      <c r="U751" s="51">
        <f t="shared" si="685"/>
        <v>0</v>
      </c>
      <c r="V751" s="59">
        <f t="shared" si="686"/>
        <v>0</v>
      </c>
    </row>
    <row r="752" spans="1:24" x14ac:dyDescent="0.15">
      <c r="A752" s="17"/>
      <c r="B752" s="5"/>
      <c r="C752" s="6"/>
      <c r="D752" s="7"/>
      <c r="E752" s="51">
        <f t="shared" si="681"/>
        <v>0</v>
      </c>
      <c r="F752" s="8"/>
      <c r="G752" s="6"/>
      <c r="H752" s="7"/>
      <c r="I752" s="51">
        <f t="shared" si="682"/>
        <v>0</v>
      </c>
      <c r="J752" s="59">
        <f t="shared" si="683"/>
        <v>0</v>
      </c>
      <c r="M752" s="18"/>
      <c r="N752" s="5" t="s">
        <v>22</v>
      </c>
      <c r="O752" s="6"/>
      <c r="P752" s="7"/>
      <c r="Q752" s="51">
        <f t="shared" si="684"/>
        <v>0</v>
      </c>
      <c r="R752" s="8"/>
      <c r="S752" s="6"/>
      <c r="T752" s="7"/>
      <c r="U752" s="51">
        <f t="shared" si="685"/>
        <v>0</v>
      </c>
      <c r="V752" s="59">
        <f t="shared" si="686"/>
        <v>0</v>
      </c>
    </row>
    <row r="753" spans="1:23" x14ac:dyDescent="0.15">
      <c r="A753" s="17"/>
      <c r="B753" s="5"/>
      <c r="C753" s="6"/>
      <c r="D753" s="7"/>
      <c r="E753" s="51">
        <f t="shared" si="681"/>
        <v>0</v>
      </c>
      <c r="F753" s="8"/>
      <c r="G753" s="6"/>
      <c r="H753" s="7"/>
      <c r="I753" s="51">
        <f t="shared" si="682"/>
        <v>0</v>
      </c>
      <c r="J753" s="59">
        <f t="shared" si="683"/>
        <v>0</v>
      </c>
      <c r="M753" s="20"/>
      <c r="N753" s="5"/>
      <c r="O753" s="6"/>
      <c r="P753" s="7"/>
      <c r="Q753" s="51">
        <f t="shared" si="684"/>
        <v>0</v>
      </c>
      <c r="R753" s="8"/>
      <c r="S753" s="6"/>
      <c r="T753" s="7"/>
      <c r="U753" s="51">
        <f t="shared" si="685"/>
        <v>0</v>
      </c>
      <c r="V753" s="59">
        <f t="shared" si="686"/>
        <v>0</v>
      </c>
    </row>
    <row r="754" spans="1:23" x14ac:dyDescent="0.15">
      <c r="A754" s="18"/>
      <c r="B754" s="9"/>
      <c r="C754" s="10"/>
      <c r="D754" s="11"/>
      <c r="E754" s="51">
        <f t="shared" si="681"/>
        <v>0</v>
      </c>
      <c r="F754" s="12"/>
      <c r="G754" s="10"/>
      <c r="H754" s="11"/>
      <c r="I754" s="51">
        <f t="shared" si="682"/>
        <v>0</v>
      </c>
      <c r="J754" s="59">
        <f t="shared" si="683"/>
        <v>0</v>
      </c>
      <c r="M754" s="18"/>
      <c r="N754" s="9"/>
      <c r="O754" s="10"/>
      <c r="P754" s="11"/>
      <c r="Q754" s="51">
        <f t="shared" si="684"/>
        <v>0</v>
      </c>
      <c r="R754" s="12"/>
      <c r="S754" s="10"/>
      <c r="T754" s="11"/>
      <c r="U754" s="51">
        <f t="shared" si="685"/>
        <v>0</v>
      </c>
      <c r="V754" s="59">
        <f t="shared" si="686"/>
        <v>0</v>
      </c>
    </row>
    <row r="755" spans="1:23" x14ac:dyDescent="0.15">
      <c r="A755" s="17"/>
      <c r="B755" s="5"/>
      <c r="C755" s="6"/>
      <c r="D755" s="7"/>
      <c r="E755" s="51">
        <f t="shared" si="681"/>
        <v>0</v>
      </c>
      <c r="F755" s="8"/>
      <c r="G755" s="6"/>
      <c r="H755" s="7"/>
      <c r="I755" s="51">
        <f t="shared" si="682"/>
        <v>0</v>
      </c>
      <c r="J755" s="59">
        <f t="shared" si="683"/>
        <v>0</v>
      </c>
      <c r="M755" s="20"/>
      <c r="N755" s="5"/>
      <c r="O755" s="6"/>
      <c r="P755" s="7"/>
      <c r="Q755" s="51">
        <f t="shared" si="684"/>
        <v>0</v>
      </c>
      <c r="R755" s="8"/>
      <c r="S755" s="6"/>
      <c r="T755" s="7"/>
      <c r="U755" s="51">
        <f t="shared" si="685"/>
        <v>0</v>
      </c>
      <c r="V755" s="59">
        <f t="shared" si="686"/>
        <v>0</v>
      </c>
    </row>
    <row r="756" spans="1:23" x14ac:dyDescent="0.15">
      <c r="A756" s="17"/>
      <c r="B756" s="5"/>
      <c r="C756" s="6"/>
      <c r="D756" s="7"/>
      <c r="E756" s="51">
        <f t="shared" si="681"/>
        <v>0</v>
      </c>
      <c r="F756" s="8"/>
      <c r="G756" s="6"/>
      <c r="H756" s="7"/>
      <c r="I756" s="51">
        <f t="shared" si="682"/>
        <v>0</v>
      </c>
      <c r="J756" s="59">
        <f t="shared" si="683"/>
        <v>0</v>
      </c>
      <c r="M756" s="20"/>
      <c r="N756" s="5"/>
      <c r="O756" s="6"/>
      <c r="P756" s="7"/>
      <c r="Q756" s="51">
        <f t="shared" si="684"/>
        <v>0</v>
      </c>
      <c r="R756" s="8"/>
      <c r="S756" s="6"/>
      <c r="T756" s="7"/>
      <c r="U756" s="51">
        <f t="shared" si="685"/>
        <v>0</v>
      </c>
      <c r="V756" s="59">
        <f t="shared" si="686"/>
        <v>0</v>
      </c>
    </row>
    <row r="757" spans="1:23" x14ac:dyDescent="0.15">
      <c r="A757" s="17"/>
      <c r="B757" s="5"/>
      <c r="C757" s="6"/>
      <c r="D757" s="7"/>
      <c r="E757" s="51">
        <f t="shared" si="681"/>
        <v>0</v>
      </c>
      <c r="F757" s="8"/>
      <c r="G757" s="6"/>
      <c r="H757" s="7"/>
      <c r="I757" s="51">
        <f t="shared" si="682"/>
        <v>0</v>
      </c>
      <c r="J757" s="59">
        <f t="shared" si="683"/>
        <v>0</v>
      </c>
      <c r="M757" s="18"/>
      <c r="N757" s="5"/>
      <c r="O757" s="6"/>
      <c r="P757" s="7"/>
      <c r="Q757" s="51">
        <f t="shared" si="684"/>
        <v>0</v>
      </c>
      <c r="R757" s="8"/>
      <c r="S757" s="6"/>
      <c r="T757" s="7"/>
      <c r="U757" s="51">
        <f t="shared" si="685"/>
        <v>0</v>
      </c>
      <c r="V757" s="59">
        <f t="shared" si="686"/>
        <v>0</v>
      </c>
    </row>
    <row r="758" spans="1:23" x14ac:dyDescent="0.15">
      <c r="A758" s="17"/>
      <c r="B758" s="5"/>
      <c r="C758" s="6"/>
      <c r="D758" s="7"/>
      <c r="E758" s="51">
        <f t="shared" si="681"/>
        <v>0</v>
      </c>
      <c r="F758" s="8"/>
      <c r="G758" s="6"/>
      <c r="H758" s="7"/>
      <c r="I758" s="51">
        <f t="shared" si="682"/>
        <v>0</v>
      </c>
      <c r="J758" s="59">
        <f t="shared" si="683"/>
        <v>0</v>
      </c>
      <c r="M758" s="18"/>
      <c r="N758" s="5"/>
      <c r="O758" s="6"/>
      <c r="P758" s="7"/>
      <c r="Q758" s="51">
        <f t="shared" si="684"/>
        <v>0</v>
      </c>
      <c r="R758" s="8"/>
      <c r="S758" s="6"/>
      <c r="T758" s="7"/>
      <c r="U758" s="51">
        <f t="shared" si="685"/>
        <v>0</v>
      </c>
      <c r="V758" s="59">
        <f t="shared" si="686"/>
        <v>0</v>
      </c>
    </row>
    <row r="759" spans="1:23" x14ac:dyDescent="0.15">
      <c r="A759" s="17"/>
      <c r="B759" s="5"/>
      <c r="C759" s="6"/>
      <c r="D759" s="7"/>
      <c r="E759" s="51">
        <f t="shared" si="681"/>
        <v>0</v>
      </c>
      <c r="F759" s="8"/>
      <c r="G759" s="6"/>
      <c r="H759" s="7"/>
      <c r="I759" s="51">
        <f t="shared" si="682"/>
        <v>0</v>
      </c>
      <c r="J759" s="59">
        <f t="shared" si="683"/>
        <v>0</v>
      </c>
      <c r="M759" s="20"/>
      <c r="N759" s="5"/>
      <c r="O759" s="6"/>
      <c r="P759" s="7"/>
      <c r="Q759" s="51">
        <f t="shared" si="684"/>
        <v>0</v>
      </c>
      <c r="R759" s="8"/>
      <c r="S759" s="6"/>
      <c r="T759" s="7"/>
      <c r="U759" s="51">
        <f t="shared" si="685"/>
        <v>0</v>
      </c>
      <c r="V759" s="59">
        <f t="shared" si="686"/>
        <v>0</v>
      </c>
    </row>
    <row r="760" spans="1:23" x14ac:dyDescent="0.15">
      <c r="A760" s="17"/>
      <c r="B760" s="5"/>
      <c r="C760" s="6"/>
      <c r="D760" s="7"/>
      <c r="E760" s="51">
        <f t="shared" si="681"/>
        <v>0</v>
      </c>
      <c r="F760" s="8"/>
      <c r="G760" s="6"/>
      <c r="H760" s="7"/>
      <c r="I760" s="51">
        <f t="shared" si="682"/>
        <v>0</v>
      </c>
      <c r="J760" s="59">
        <f t="shared" si="683"/>
        <v>0</v>
      </c>
      <c r="M760" s="20"/>
      <c r="N760" s="5"/>
      <c r="O760" s="6"/>
      <c r="P760" s="7"/>
      <c r="Q760" s="51">
        <f t="shared" si="684"/>
        <v>0</v>
      </c>
      <c r="R760" s="8"/>
      <c r="S760" s="6"/>
      <c r="T760" s="7"/>
      <c r="U760" s="51">
        <f t="shared" si="685"/>
        <v>0</v>
      </c>
      <c r="V760" s="59">
        <f t="shared" si="686"/>
        <v>0</v>
      </c>
    </row>
    <row r="761" spans="1:23" x14ac:dyDescent="0.15">
      <c r="A761" s="17"/>
      <c r="B761" s="5"/>
      <c r="C761" s="6"/>
      <c r="D761" s="7"/>
      <c r="E761" s="51">
        <f t="shared" si="681"/>
        <v>0</v>
      </c>
      <c r="F761" s="8"/>
      <c r="G761" s="6"/>
      <c r="H761" s="7"/>
      <c r="I761" s="51">
        <f t="shared" si="682"/>
        <v>0</v>
      </c>
      <c r="J761" s="59">
        <f t="shared" si="683"/>
        <v>0</v>
      </c>
      <c r="M761" s="18"/>
      <c r="N761" s="5"/>
      <c r="O761" s="6"/>
      <c r="P761" s="7"/>
      <c r="Q761" s="51">
        <f t="shared" si="684"/>
        <v>0</v>
      </c>
      <c r="R761" s="8"/>
      <c r="S761" s="6"/>
      <c r="T761" s="7"/>
      <c r="U761" s="51">
        <f t="shared" si="685"/>
        <v>0</v>
      </c>
      <c r="V761" s="59">
        <f t="shared" si="686"/>
        <v>0</v>
      </c>
    </row>
    <row r="762" spans="1:23" x14ac:dyDescent="0.15">
      <c r="A762" s="17"/>
      <c r="B762" s="5"/>
      <c r="C762" s="6"/>
      <c r="D762" s="7"/>
      <c r="E762" s="51">
        <f t="shared" si="681"/>
        <v>0</v>
      </c>
      <c r="F762" s="8"/>
      <c r="G762" s="6"/>
      <c r="H762" s="7"/>
      <c r="I762" s="51">
        <f t="shared" si="682"/>
        <v>0</v>
      </c>
      <c r="J762" s="59">
        <f t="shared" si="683"/>
        <v>0</v>
      </c>
      <c r="M762" s="18"/>
      <c r="N762" s="5"/>
      <c r="O762" s="6"/>
      <c r="P762" s="7"/>
      <c r="Q762" s="51">
        <f t="shared" ref="Q762:Q763" si="687">SUM(N762:P762)</f>
        <v>0</v>
      </c>
      <c r="R762" s="8"/>
      <c r="S762" s="6"/>
      <c r="T762" s="7"/>
      <c r="U762" s="51">
        <f t="shared" ref="U762:U763" si="688">SUM(R762:T762)</f>
        <v>0</v>
      </c>
      <c r="V762" s="59">
        <f t="shared" ref="V762:V763" si="689">Q762+U762</f>
        <v>0</v>
      </c>
    </row>
    <row r="763" spans="1:23" x14ac:dyDescent="0.15">
      <c r="A763" s="18"/>
      <c r="B763" s="5"/>
      <c r="C763" s="6"/>
      <c r="D763" s="7"/>
      <c r="E763" s="51">
        <f t="shared" si="681"/>
        <v>0</v>
      </c>
      <c r="F763" s="8"/>
      <c r="G763" s="6"/>
      <c r="H763" s="7"/>
      <c r="I763" s="51">
        <f t="shared" si="682"/>
        <v>0</v>
      </c>
      <c r="J763" s="59">
        <f t="shared" si="683"/>
        <v>0</v>
      </c>
      <c r="M763" s="18"/>
      <c r="N763" s="5"/>
      <c r="O763" s="6"/>
      <c r="P763" s="7"/>
      <c r="Q763" s="51">
        <f t="shared" si="687"/>
        <v>0</v>
      </c>
      <c r="R763" s="8"/>
      <c r="S763" s="6"/>
      <c r="T763" s="7"/>
      <c r="U763" s="51">
        <f t="shared" si="688"/>
        <v>0</v>
      </c>
      <c r="V763" s="59">
        <f t="shared" si="689"/>
        <v>0</v>
      </c>
    </row>
    <row r="764" spans="1:23" x14ac:dyDescent="0.15">
      <c r="A764" s="17"/>
      <c r="B764" s="5"/>
      <c r="C764" s="6"/>
      <c r="D764" s="7"/>
      <c r="E764" s="51">
        <f t="shared" si="681"/>
        <v>0</v>
      </c>
      <c r="F764" s="8"/>
      <c r="G764" s="6"/>
      <c r="H764" s="7"/>
      <c r="I764" s="51">
        <f t="shared" si="682"/>
        <v>0</v>
      </c>
      <c r="J764" s="59">
        <f t="shared" si="683"/>
        <v>0</v>
      </c>
      <c r="M764" s="133" t="s">
        <v>341</v>
      </c>
      <c r="N764" s="134">
        <v>-30</v>
      </c>
      <c r="O764" s="135">
        <v>-30</v>
      </c>
      <c r="P764" s="136">
        <v>-20</v>
      </c>
      <c r="Q764" s="137">
        <f t="shared" ref="Q764:Q769" si="690">SUM(N764:P764)</f>
        <v>-80</v>
      </c>
      <c r="R764" s="138">
        <v>-30</v>
      </c>
      <c r="S764" s="135">
        <v>-30</v>
      </c>
      <c r="T764" s="136">
        <v>-20</v>
      </c>
      <c r="U764" s="137">
        <f t="shared" ref="U764:U769" si="691">SUM(R764:T764)</f>
        <v>-80</v>
      </c>
      <c r="V764" s="139">
        <f t="shared" ref="V764:V769" si="692">Q764+U764</f>
        <v>-160</v>
      </c>
      <c r="W764" s="115"/>
    </row>
    <row r="765" spans="1:23" x14ac:dyDescent="0.15">
      <c r="A765" s="18"/>
      <c r="B765" s="5"/>
      <c r="C765" s="6"/>
      <c r="D765" s="7"/>
      <c r="E765" s="51">
        <f t="shared" si="681"/>
        <v>0</v>
      </c>
      <c r="F765" s="8"/>
      <c r="G765" s="6"/>
      <c r="H765" s="7"/>
      <c r="I765" s="51">
        <f t="shared" si="682"/>
        <v>0</v>
      </c>
      <c r="J765" s="59">
        <f t="shared" si="683"/>
        <v>0</v>
      </c>
      <c r="M765" s="122" t="s">
        <v>340</v>
      </c>
      <c r="N765" s="123">
        <v>140</v>
      </c>
      <c r="O765" s="124">
        <v>140</v>
      </c>
      <c r="P765" s="125">
        <v>70</v>
      </c>
      <c r="Q765" s="126">
        <f t="shared" si="690"/>
        <v>350</v>
      </c>
      <c r="R765" s="127">
        <v>140</v>
      </c>
      <c r="S765" s="124">
        <v>150</v>
      </c>
      <c r="T765" s="125">
        <v>100</v>
      </c>
      <c r="U765" s="126">
        <f t="shared" si="691"/>
        <v>390</v>
      </c>
      <c r="V765" s="128">
        <f t="shared" si="692"/>
        <v>740</v>
      </c>
      <c r="W765" s="115" t="s">
        <v>371</v>
      </c>
    </row>
    <row r="766" spans="1:23" x14ac:dyDescent="0.15">
      <c r="A766" s="17"/>
      <c r="B766" s="9"/>
      <c r="C766" s="10"/>
      <c r="D766" s="11"/>
      <c r="E766" s="51">
        <f t="shared" si="681"/>
        <v>0</v>
      </c>
      <c r="F766" s="12"/>
      <c r="G766" s="10"/>
      <c r="H766" s="11"/>
      <c r="I766" s="51">
        <f t="shared" si="682"/>
        <v>0</v>
      </c>
      <c r="J766" s="59">
        <f t="shared" si="683"/>
        <v>0</v>
      </c>
      <c r="M766" s="122" t="s">
        <v>359</v>
      </c>
      <c r="N766" s="123">
        <v>21</v>
      </c>
      <c r="O766" s="124">
        <v>24</v>
      </c>
      <c r="P766" s="125">
        <v>15</v>
      </c>
      <c r="Q766" s="126">
        <f t="shared" si="690"/>
        <v>60</v>
      </c>
      <c r="R766" s="127">
        <v>21</v>
      </c>
      <c r="S766" s="124">
        <v>24</v>
      </c>
      <c r="T766" s="125">
        <v>15</v>
      </c>
      <c r="U766" s="126">
        <f t="shared" si="691"/>
        <v>60</v>
      </c>
      <c r="V766" s="128">
        <f t="shared" si="692"/>
        <v>120</v>
      </c>
      <c r="W766" s="115" t="s">
        <v>360</v>
      </c>
    </row>
    <row r="767" spans="1:23" x14ac:dyDescent="0.15">
      <c r="A767" s="17"/>
      <c r="B767" s="5"/>
      <c r="C767" s="6"/>
      <c r="D767" s="7"/>
      <c r="E767" s="51">
        <f t="shared" si="681"/>
        <v>0</v>
      </c>
      <c r="F767" s="8"/>
      <c r="G767" s="6"/>
      <c r="H767" s="7"/>
      <c r="I767" s="51">
        <f t="shared" si="682"/>
        <v>0</v>
      </c>
      <c r="J767" s="59">
        <f t="shared" si="683"/>
        <v>0</v>
      </c>
      <c r="M767" s="122" t="s">
        <v>374</v>
      </c>
      <c r="N767" s="123">
        <v>18</v>
      </c>
      <c r="O767" s="124">
        <v>18</v>
      </c>
      <c r="P767" s="125">
        <v>15</v>
      </c>
      <c r="Q767" s="126">
        <f t="shared" si="690"/>
        <v>51</v>
      </c>
      <c r="R767" s="127">
        <v>18</v>
      </c>
      <c r="S767" s="124">
        <v>18</v>
      </c>
      <c r="T767" s="125">
        <v>15</v>
      </c>
      <c r="U767" s="126">
        <f t="shared" si="691"/>
        <v>51</v>
      </c>
      <c r="V767" s="128">
        <f t="shared" si="692"/>
        <v>102</v>
      </c>
      <c r="W767" s="115" t="s">
        <v>375</v>
      </c>
    </row>
    <row r="768" spans="1:23" x14ac:dyDescent="0.15">
      <c r="A768" s="17"/>
      <c r="B768" s="9"/>
      <c r="C768" s="10"/>
      <c r="D768" s="11"/>
      <c r="E768" s="52">
        <f t="shared" si="681"/>
        <v>0</v>
      </c>
      <c r="F768" s="12"/>
      <c r="G768" s="10"/>
      <c r="H768" s="11"/>
      <c r="I768" s="52">
        <f t="shared" si="682"/>
        <v>0</v>
      </c>
      <c r="J768" s="59">
        <f t="shared" si="683"/>
        <v>0</v>
      </c>
      <c r="M768" s="133" t="s">
        <v>338</v>
      </c>
      <c r="N768" s="164"/>
      <c r="O768" s="165"/>
      <c r="P768" s="166"/>
      <c r="Q768" s="137">
        <f t="shared" si="690"/>
        <v>0</v>
      </c>
      <c r="R768" s="138">
        <v>-20</v>
      </c>
      <c r="S768" s="135">
        <v>-20</v>
      </c>
      <c r="T768" s="136">
        <v>-10</v>
      </c>
      <c r="U768" s="137">
        <f t="shared" si="691"/>
        <v>-50</v>
      </c>
      <c r="V768" s="139">
        <f t="shared" si="692"/>
        <v>-50</v>
      </c>
    </row>
    <row r="769" spans="1:23" x14ac:dyDescent="0.15">
      <c r="A769" s="17"/>
      <c r="B769" s="5"/>
      <c r="C769" s="6"/>
      <c r="D769" s="7"/>
      <c r="E769" s="51">
        <f t="shared" si="681"/>
        <v>0</v>
      </c>
      <c r="F769" s="8"/>
      <c r="G769" s="6"/>
      <c r="H769" s="7"/>
      <c r="I769" s="51">
        <f t="shared" si="682"/>
        <v>0</v>
      </c>
      <c r="J769" s="59">
        <f t="shared" si="683"/>
        <v>0</v>
      </c>
      <c r="M769" s="162" t="s">
        <v>339</v>
      </c>
      <c r="N769" s="167"/>
      <c r="O769" s="168"/>
      <c r="P769" s="169"/>
      <c r="Q769" s="126">
        <f t="shared" si="690"/>
        <v>0</v>
      </c>
      <c r="R769" s="123">
        <v>100</v>
      </c>
      <c r="S769" s="124">
        <v>115</v>
      </c>
      <c r="T769" s="125">
        <v>65</v>
      </c>
      <c r="U769" s="126">
        <f t="shared" si="691"/>
        <v>280</v>
      </c>
      <c r="V769" s="128">
        <f t="shared" si="692"/>
        <v>280</v>
      </c>
      <c r="W769" s="140" t="s">
        <v>376</v>
      </c>
    </row>
    <row r="770" spans="1:23" ht="14.25" thickBot="1" x14ac:dyDescent="0.2">
      <c r="A770" s="17"/>
      <c r="B770" s="9"/>
      <c r="C770" s="10"/>
      <c r="D770" s="11"/>
      <c r="E770" s="55">
        <f t="shared" si="681"/>
        <v>0</v>
      </c>
      <c r="F770" s="12"/>
      <c r="G770" s="10"/>
      <c r="H770" s="11"/>
      <c r="I770" s="55">
        <f t="shared" si="682"/>
        <v>0</v>
      </c>
      <c r="J770" s="59">
        <f t="shared" si="683"/>
        <v>0</v>
      </c>
      <c r="M770" s="162" t="s">
        <v>402</v>
      </c>
      <c r="N770" s="123">
        <v>10</v>
      </c>
      <c r="O770" s="124">
        <v>15</v>
      </c>
      <c r="P770" s="125">
        <v>10</v>
      </c>
      <c r="Q770" s="126">
        <f t="shared" ref="Q770" si="693">SUM(N770:P770)</f>
        <v>35</v>
      </c>
      <c r="R770" s="123">
        <v>10</v>
      </c>
      <c r="S770" s="124">
        <v>15</v>
      </c>
      <c r="T770" s="125">
        <v>10</v>
      </c>
      <c r="U770" s="126">
        <f t="shared" ref="U770" si="694">SUM(R770:T770)</f>
        <v>35</v>
      </c>
      <c r="V770" s="128">
        <f t="shared" ref="V770" si="695">Q770+U770</f>
        <v>70</v>
      </c>
      <c r="W770" s="140" t="s">
        <v>403</v>
      </c>
    </row>
    <row r="771" spans="1:23" ht="14.25" thickBot="1" x14ac:dyDescent="0.2">
      <c r="A771" s="31" t="s">
        <v>19</v>
      </c>
      <c r="B771" s="34">
        <f>SUM(B745:B770)</f>
        <v>5</v>
      </c>
      <c r="C771" s="35">
        <f t="shared" ref="C771:D771" si="696">SUM(C745:C770)</f>
        <v>4</v>
      </c>
      <c r="D771" s="39">
        <f t="shared" si="696"/>
        <v>3</v>
      </c>
      <c r="E771" s="56">
        <f t="shared" si="681"/>
        <v>12</v>
      </c>
      <c r="F771" s="34">
        <f>SUM(F745:F770)</f>
        <v>4</v>
      </c>
      <c r="G771" s="35">
        <f t="shared" ref="G771:H771" si="697">SUM(G745:G770)</f>
        <v>2</v>
      </c>
      <c r="H771" s="39">
        <f t="shared" si="697"/>
        <v>2</v>
      </c>
      <c r="I771" s="56">
        <f t="shared" si="682"/>
        <v>8</v>
      </c>
      <c r="J771" s="62">
        <f>E771+I771</f>
        <v>20</v>
      </c>
      <c r="M771" s="31" t="s">
        <v>19</v>
      </c>
      <c r="N771" s="34">
        <f>SUM(N745:N770)</f>
        <v>180</v>
      </c>
      <c r="O771" s="35">
        <f t="shared" ref="O771:P771" si="698">SUM(O745:O770)</f>
        <v>195</v>
      </c>
      <c r="P771" s="39">
        <f t="shared" si="698"/>
        <v>136</v>
      </c>
      <c r="Q771" s="56">
        <f t="shared" si="684"/>
        <v>511</v>
      </c>
      <c r="R771" s="34">
        <f>SUM(R745:R770)</f>
        <v>240</v>
      </c>
      <c r="S771" s="35">
        <f t="shared" ref="S771:T771" si="699">SUM(S745:S770)</f>
        <v>275</v>
      </c>
      <c r="T771" s="39">
        <f t="shared" si="699"/>
        <v>181</v>
      </c>
      <c r="U771" s="56">
        <f t="shared" si="685"/>
        <v>696</v>
      </c>
      <c r="V771" s="62">
        <f>Q771+U771</f>
        <v>1207</v>
      </c>
    </row>
    <row r="772" spans="1:23" ht="14.25" thickBot="1" x14ac:dyDescent="0.2">
      <c r="A772" s="16" t="s">
        <v>17</v>
      </c>
      <c r="B772" s="63">
        <f>B744-B771</f>
        <v>2</v>
      </c>
      <c r="C772" s="64">
        <f t="shared" ref="C772:D772" si="700">C744-C771</f>
        <v>5</v>
      </c>
      <c r="D772" s="65">
        <f t="shared" si="700"/>
        <v>7</v>
      </c>
      <c r="E772" s="57">
        <f>SUM(B772:D772)</f>
        <v>14</v>
      </c>
      <c r="F772" s="63">
        <f>F744-F771</f>
        <v>2</v>
      </c>
      <c r="G772" s="64">
        <f t="shared" ref="G772:H772" si="701">G744-G771</f>
        <v>4</v>
      </c>
      <c r="H772" s="65">
        <f t="shared" si="701"/>
        <v>5</v>
      </c>
      <c r="I772" s="57">
        <f>SUM(F772:H772)</f>
        <v>11</v>
      </c>
      <c r="J772" s="61">
        <f>E772+I772</f>
        <v>25</v>
      </c>
      <c r="M772" s="16" t="s">
        <v>17</v>
      </c>
      <c r="N772" s="63">
        <f>N744-N771</f>
        <v>359</v>
      </c>
      <c r="O772" s="64">
        <f t="shared" ref="O772:P772" si="702">O744-O771</f>
        <v>462</v>
      </c>
      <c r="P772" s="65">
        <f t="shared" si="702"/>
        <v>329</v>
      </c>
      <c r="Q772" s="57">
        <f>SUM(N772:P772)</f>
        <v>1150</v>
      </c>
      <c r="R772" s="63">
        <f>R744-R771</f>
        <v>753</v>
      </c>
      <c r="S772" s="64">
        <f t="shared" ref="S772:T772" si="703">S744-S771</f>
        <v>609</v>
      </c>
      <c r="T772" s="65">
        <f t="shared" si="703"/>
        <v>523</v>
      </c>
      <c r="U772" s="57">
        <f>SUM(R772:T772)</f>
        <v>1885</v>
      </c>
      <c r="V772" s="61">
        <f>Q772+U772</f>
        <v>3035</v>
      </c>
    </row>
    <row r="773" spans="1:23" x14ac:dyDescent="0.15">
      <c r="M773" s="129" t="s">
        <v>282</v>
      </c>
      <c r="N773" s="110">
        <f>N772/$Q$772*100</f>
        <v>31.217391304347824</v>
      </c>
      <c r="O773" s="110">
        <f t="shared" ref="O773:Q773" si="704">O772/$Q$772*100</f>
        <v>40.173913043478258</v>
      </c>
      <c r="P773" s="110">
        <f t="shared" si="704"/>
        <v>28.608695652173914</v>
      </c>
      <c r="Q773" s="110">
        <f t="shared" si="704"/>
        <v>100</v>
      </c>
      <c r="R773" s="110">
        <f>R772/$U$772*100</f>
        <v>39.946949602122018</v>
      </c>
      <c r="S773" s="110">
        <f t="shared" ref="S773:U773" si="705">S772/$U$772*100</f>
        <v>32.307692307692307</v>
      </c>
      <c r="T773" s="110">
        <f t="shared" si="705"/>
        <v>27.745358090185679</v>
      </c>
      <c r="U773" s="110">
        <f t="shared" si="705"/>
        <v>100</v>
      </c>
    </row>
    <row r="774" spans="1:23" x14ac:dyDescent="0.15">
      <c r="M774" s="130" t="s">
        <v>345</v>
      </c>
      <c r="N774" s="131">
        <v>38.9</v>
      </c>
      <c r="O774" s="131">
        <v>36.4</v>
      </c>
      <c r="P774" s="131">
        <v>24.7</v>
      </c>
      <c r="Q774" s="111">
        <f>SUM(N774:P774)</f>
        <v>100</v>
      </c>
      <c r="R774" s="131">
        <v>37.700000000000003</v>
      </c>
      <c r="S774" s="131">
        <v>35.700000000000003</v>
      </c>
      <c r="T774" s="131">
        <v>26.6</v>
      </c>
      <c r="U774" s="111">
        <f>SUM(R774:T774)</f>
        <v>100</v>
      </c>
    </row>
    <row r="775" spans="1:23" ht="19.5" thickBot="1" x14ac:dyDescent="0.25">
      <c r="A775" s="66" t="s">
        <v>23</v>
      </c>
      <c r="B775" s="67"/>
      <c r="C775" s="67"/>
      <c r="D775" s="67"/>
      <c r="E775" s="67"/>
      <c r="F775" s="67"/>
      <c r="G775" s="67"/>
      <c r="H775" s="67"/>
      <c r="I775" s="67" t="s">
        <v>26</v>
      </c>
      <c r="J775" s="67"/>
      <c r="M775" s="73" t="s">
        <v>24</v>
      </c>
      <c r="N775" s="74"/>
      <c r="O775" s="74"/>
      <c r="P775" s="74"/>
      <c r="Q775" s="74"/>
      <c r="R775" s="74"/>
      <c r="S775" s="74"/>
      <c r="T775" s="74"/>
      <c r="U775" s="74"/>
      <c r="V775" s="74"/>
    </row>
    <row r="776" spans="1:23" ht="14.25" thickBot="1" x14ac:dyDescent="0.2">
      <c r="A776" s="4" t="s">
        <v>0</v>
      </c>
      <c r="B776" s="191" t="s">
        <v>21</v>
      </c>
      <c r="C776" s="192"/>
      <c r="D776" s="192"/>
      <c r="E776" s="193"/>
      <c r="F776" s="194" t="s">
        <v>18</v>
      </c>
      <c r="G776" s="195"/>
      <c r="H776" s="195"/>
      <c r="I776" s="196"/>
      <c r="J776" s="189" t="s">
        <v>1</v>
      </c>
      <c r="M776" s="4" t="s">
        <v>0</v>
      </c>
      <c r="N776" s="198" t="s">
        <v>21</v>
      </c>
      <c r="O776" s="199"/>
      <c r="P776" s="199"/>
      <c r="Q776" s="200"/>
      <c r="R776" s="201" t="s">
        <v>18</v>
      </c>
      <c r="S776" s="202"/>
      <c r="T776" s="202"/>
      <c r="U776" s="203"/>
      <c r="V776" s="154" t="s">
        <v>1</v>
      </c>
    </row>
    <row r="777" spans="1:23" ht="14.25" thickBot="1" x14ac:dyDescent="0.2">
      <c r="A777" s="4" t="s">
        <v>2</v>
      </c>
      <c r="B777" s="1" t="s">
        <v>3</v>
      </c>
      <c r="C777" s="2" t="s">
        <v>4</v>
      </c>
      <c r="D777" s="3" t="s">
        <v>5</v>
      </c>
      <c r="E777" s="4" t="s">
        <v>6</v>
      </c>
      <c r="F777" s="1" t="s">
        <v>3</v>
      </c>
      <c r="G777" s="2" t="s">
        <v>4</v>
      </c>
      <c r="H777" s="3" t="s">
        <v>5</v>
      </c>
      <c r="I777" s="4" t="s">
        <v>6</v>
      </c>
      <c r="J777" s="190"/>
      <c r="M777" s="4" t="s">
        <v>2</v>
      </c>
      <c r="N777" s="1" t="s">
        <v>3</v>
      </c>
      <c r="O777" s="2" t="s">
        <v>4</v>
      </c>
      <c r="P777" s="3" t="s">
        <v>5</v>
      </c>
      <c r="Q777" s="4" t="s">
        <v>6</v>
      </c>
      <c r="R777" s="1" t="s">
        <v>3</v>
      </c>
      <c r="S777" s="2" t="s">
        <v>4</v>
      </c>
      <c r="T777" s="3" t="s">
        <v>5</v>
      </c>
      <c r="U777" s="4" t="s">
        <v>6</v>
      </c>
      <c r="V777" s="155"/>
    </row>
    <row r="778" spans="1:23" ht="14.25" thickBot="1" x14ac:dyDescent="0.2">
      <c r="A778" s="21" t="s">
        <v>20</v>
      </c>
      <c r="B778" s="22">
        <f>B772</f>
        <v>2</v>
      </c>
      <c r="C778" s="23">
        <f>C772</f>
        <v>5</v>
      </c>
      <c r="D778" s="24">
        <f>D772</f>
        <v>7</v>
      </c>
      <c r="E778" s="54">
        <f>SUM(B778:D778)</f>
        <v>14</v>
      </c>
      <c r="F778" s="22">
        <f>F772</f>
        <v>2</v>
      </c>
      <c r="G778" s="23">
        <f>G772</f>
        <v>4</v>
      </c>
      <c r="H778" s="24">
        <f>H772</f>
        <v>5</v>
      </c>
      <c r="I778" s="54">
        <f>SUM(F778:H778)</f>
        <v>11</v>
      </c>
      <c r="J778" s="61">
        <f>E778+I778</f>
        <v>25</v>
      </c>
      <c r="M778" s="21" t="s">
        <v>20</v>
      </c>
      <c r="N778" s="68">
        <f>N772</f>
        <v>359</v>
      </c>
      <c r="O778" s="69">
        <f>O772</f>
        <v>462</v>
      </c>
      <c r="P778" s="70">
        <f>P772</f>
        <v>329</v>
      </c>
      <c r="Q778" s="71">
        <f>SUM(N778:P778)</f>
        <v>1150</v>
      </c>
      <c r="R778" s="68">
        <f>R772</f>
        <v>753</v>
      </c>
      <c r="S778" s="69">
        <f>S772</f>
        <v>609</v>
      </c>
      <c r="T778" s="70">
        <f>T772</f>
        <v>523</v>
      </c>
      <c r="U778" s="71">
        <f>SUM(R778:T778)</f>
        <v>1885</v>
      </c>
      <c r="V778" s="72">
        <f>Q778+U778</f>
        <v>3035</v>
      </c>
    </row>
    <row r="779" spans="1:23" x14ac:dyDescent="0.15">
      <c r="A779" s="19" t="s">
        <v>8</v>
      </c>
      <c r="B779" s="113"/>
      <c r="C779" s="13"/>
      <c r="D779" s="14"/>
      <c r="E779" s="51">
        <f t="shared" ref="E779:E786" si="706">SUM(B779:D779)</f>
        <v>0</v>
      </c>
      <c r="F779" s="15"/>
      <c r="G779" s="13"/>
      <c r="H779" s="14"/>
      <c r="I779" s="51">
        <f t="shared" ref="I779:I786" si="707">SUM(F779:H779)</f>
        <v>0</v>
      </c>
      <c r="J779" s="109">
        <f t="shared" ref="J779:J786" si="708">E779+I779</f>
        <v>0</v>
      </c>
      <c r="M779" s="19" t="s">
        <v>8</v>
      </c>
      <c r="N779" s="83"/>
      <c r="O779" s="46"/>
      <c r="P779" s="44"/>
      <c r="Q779" s="50">
        <f>SUM(N779:P779)</f>
        <v>0</v>
      </c>
      <c r="R779" s="45"/>
      <c r="S779" s="46"/>
      <c r="T779" s="47"/>
      <c r="U779" s="50">
        <f>SUM(R779:T779)</f>
        <v>0</v>
      </c>
      <c r="V779" s="84">
        <f>Q779+U779</f>
        <v>0</v>
      </c>
    </row>
    <row r="780" spans="1:23" x14ac:dyDescent="0.15">
      <c r="A780" s="19" t="s">
        <v>9</v>
      </c>
      <c r="B780" s="5"/>
      <c r="C780" s="6"/>
      <c r="D780" s="7"/>
      <c r="E780" s="51">
        <f t="shared" si="706"/>
        <v>0</v>
      </c>
      <c r="F780" s="8"/>
      <c r="G780" s="6"/>
      <c r="H780" s="7"/>
      <c r="I780" s="51">
        <f t="shared" si="707"/>
        <v>0</v>
      </c>
      <c r="J780" s="59">
        <f t="shared" si="708"/>
        <v>0</v>
      </c>
      <c r="M780" s="19" t="s">
        <v>9</v>
      </c>
      <c r="N780" s="5"/>
      <c r="O780" s="6"/>
      <c r="P780" s="36"/>
      <c r="Q780" s="52">
        <f t="shared" ref="Q780:Q786" si="709">SUM(N780:P780)</f>
        <v>0</v>
      </c>
      <c r="R780" s="8"/>
      <c r="S780" s="6"/>
      <c r="T780" s="7"/>
      <c r="U780" s="52">
        <f t="shared" ref="U780:U786" si="710">SUM(R780:T780)</f>
        <v>0</v>
      </c>
      <c r="V780" s="59">
        <f t="shared" ref="V780:V786" si="711">Q780+U780</f>
        <v>0</v>
      </c>
    </row>
    <row r="781" spans="1:23" x14ac:dyDescent="0.15">
      <c r="A781" s="19" t="s">
        <v>10</v>
      </c>
      <c r="B781" s="5"/>
      <c r="C781" s="6"/>
      <c r="D781" s="7"/>
      <c r="E781" s="51">
        <f t="shared" si="706"/>
        <v>0</v>
      </c>
      <c r="F781" s="8"/>
      <c r="G781" s="6"/>
      <c r="H781" s="7"/>
      <c r="I781" s="51">
        <f t="shared" si="707"/>
        <v>0</v>
      </c>
      <c r="J781" s="59">
        <f t="shared" si="708"/>
        <v>0</v>
      </c>
      <c r="M781" s="19" t="s">
        <v>10</v>
      </c>
      <c r="N781" s="5"/>
      <c r="O781" s="6"/>
      <c r="P781" s="36"/>
      <c r="Q781" s="52">
        <f t="shared" ref="Q781" si="712">SUM(N781:P781)</f>
        <v>0</v>
      </c>
      <c r="R781" s="8"/>
      <c r="S781" s="6"/>
      <c r="T781" s="7"/>
      <c r="U781" s="52">
        <f t="shared" ref="U781" si="713">SUM(R781:T781)</f>
        <v>0</v>
      </c>
      <c r="V781" s="59">
        <f t="shared" ref="V781" si="714">Q781+U781</f>
        <v>0</v>
      </c>
    </row>
    <row r="782" spans="1:23" x14ac:dyDescent="0.15">
      <c r="A782" s="19" t="s">
        <v>11</v>
      </c>
      <c r="B782" s="5"/>
      <c r="C782" s="6"/>
      <c r="D782" s="36"/>
      <c r="E782" s="52">
        <f t="shared" si="706"/>
        <v>0</v>
      </c>
      <c r="F782" s="8"/>
      <c r="G782" s="6"/>
      <c r="H782" s="7"/>
      <c r="I782" s="52">
        <f t="shared" si="707"/>
        <v>0</v>
      </c>
      <c r="J782" s="59">
        <f t="shared" si="708"/>
        <v>0</v>
      </c>
      <c r="M782" s="19" t="s">
        <v>11</v>
      </c>
      <c r="N782" s="5"/>
      <c r="O782" s="6"/>
      <c r="P782" s="36"/>
      <c r="Q782" s="52">
        <f t="shared" ref="Q782" si="715">SUM(N782:P782)</f>
        <v>0</v>
      </c>
      <c r="R782" s="8"/>
      <c r="S782" s="6"/>
      <c r="T782" s="7"/>
      <c r="U782" s="52">
        <f t="shared" ref="U782" si="716">SUM(R782:T782)</f>
        <v>0</v>
      </c>
      <c r="V782" s="59">
        <f t="shared" ref="V782" si="717">Q782+U782</f>
        <v>0</v>
      </c>
    </row>
    <row r="783" spans="1:23" x14ac:dyDescent="0.15">
      <c r="A783" s="19" t="s">
        <v>12</v>
      </c>
      <c r="B783" s="5"/>
      <c r="C783" s="6"/>
      <c r="D783" s="36"/>
      <c r="E783" s="52">
        <f t="shared" si="706"/>
        <v>0</v>
      </c>
      <c r="F783" s="8"/>
      <c r="G783" s="6"/>
      <c r="H783" s="7"/>
      <c r="I783" s="52">
        <f t="shared" si="707"/>
        <v>0</v>
      </c>
      <c r="J783" s="59">
        <f t="shared" si="708"/>
        <v>0</v>
      </c>
      <c r="M783" s="19" t="s">
        <v>12</v>
      </c>
      <c r="N783" s="9"/>
      <c r="O783" s="10"/>
      <c r="P783" s="37"/>
      <c r="Q783" s="52">
        <f t="shared" si="709"/>
        <v>0</v>
      </c>
      <c r="R783" s="12"/>
      <c r="S783" s="10"/>
      <c r="T783" s="11"/>
      <c r="U783" s="52">
        <f t="shared" si="710"/>
        <v>0</v>
      </c>
      <c r="V783" s="59">
        <f t="shared" si="711"/>
        <v>0</v>
      </c>
    </row>
    <row r="784" spans="1:23" x14ac:dyDescent="0.15">
      <c r="A784" s="19" t="s">
        <v>13</v>
      </c>
      <c r="B784" s="5"/>
      <c r="C784" s="6"/>
      <c r="D784" s="36"/>
      <c r="E784" s="52">
        <f t="shared" si="706"/>
        <v>0</v>
      </c>
      <c r="F784" s="8"/>
      <c r="G784" s="6"/>
      <c r="H784" s="7"/>
      <c r="I784" s="52">
        <f t="shared" si="707"/>
        <v>0</v>
      </c>
      <c r="J784" s="59">
        <f t="shared" si="708"/>
        <v>0</v>
      </c>
      <c r="M784" s="19" t="s">
        <v>13</v>
      </c>
      <c r="N784" s="9"/>
      <c r="O784" s="10"/>
      <c r="P784" s="37"/>
      <c r="Q784" s="52">
        <f t="shared" si="709"/>
        <v>0</v>
      </c>
      <c r="R784" s="12"/>
      <c r="S784" s="10"/>
      <c r="T784" s="11"/>
      <c r="U784" s="52">
        <f t="shared" si="710"/>
        <v>0</v>
      </c>
      <c r="V784" s="59">
        <f t="shared" si="711"/>
        <v>0</v>
      </c>
    </row>
    <row r="785" spans="1:22" x14ac:dyDescent="0.15">
      <c r="A785" s="19" t="s">
        <v>14</v>
      </c>
      <c r="B785" s="9"/>
      <c r="C785" s="10"/>
      <c r="D785" s="37"/>
      <c r="E785" s="52">
        <f t="shared" si="706"/>
        <v>0</v>
      </c>
      <c r="F785" s="12"/>
      <c r="G785" s="10"/>
      <c r="H785" s="11"/>
      <c r="I785" s="52">
        <f t="shared" si="707"/>
        <v>0</v>
      </c>
      <c r="J785" s="59">
        <f t="shared" si="708"/>
        <v>0</v>
      </c>
      <c r="M785" s="19" t="s">
        <v>14</v>
      </c>
      <c r="N785" s="9"/>
      <c r="O785" s="10"/>
      <c r="P785" s="37"/>
      <c r="Q785" s="52">
        <f t="shared" si="709"/>
        <v>0</v>
      </c>
      <c r="R785" s="12"/>
      <c r="S785" s="10"/>
      <c r="T785" s="11"/>
      <c r="U785" s="52">
        <f t="shared" si="710"/>
        <v>0</v>
      </c>
      <c r="V785" s="59">
        <f t="shared" si="711"/>
        <v>0</v>
      </c>
    </row>
    <row r="786" spans="1:22" ht="14.25" thickBot="1" x14ac:dyDescent="0.2">
      <c r="A786" s="19" t="s">
        <v>15</v>
      </c>
      <c r="B786" s="25"/>
      <c r="C786" s="26"/>
      <c r="D786" s="38"/>
      <c r="E786" s="53">
        <f t="shared" si="706"/>
        <v>0</v>
      </c>
      <c r="F786" s="27"/>
      <c r="G786" s="27"/>
      <c r="H786" s="29"/>
      <c r="I786" s="53">
        <f t="shared" si="707"/>
        <v>0</v>
      </c>
      <c r="J786" s="60">
        <f t="shared" si="708"/>
        <v>0</v>
      </c>
      <c r="M786" s="19" t="s">
        <v>15</v>
      </c>
      <c r="N786" s="25"/>
      <c r="O786" s="26"/>
      <c r="P786" s="38"/>
      <c r="Q786" s="53">
        <f t="shared" si="709"/>
        <v>0</v>
      </c>
      <c r="R786" s="27"/>
      <c r="S786" s="27"/>
      <c r="T786" s="29"/>
      <c r="U786" s="53">
        <f t="shared" si="710"/>
        <v>0</v>
      </c>
      <c r="V786" s="60">
        <f t="shared" si="711"/>
        <v>0</v>
      </c>
    </row>
    <row r="787" spans="1:22" ht="14.25" thickBot="1" x14ac:dyDescent="0.2">
      <c r="A787" s="28" t="s">
        <v>16</v>
      </c>
      <c r="B787" s="22">
        <f>SUM(B778:B786)</f>
        <v>2</v>
      </c>
      <c r="C787" s="23">
        <f t="shared" ref="C787:D787" si="718">SUM(C778:C786)</f>
        <v>5</v>
      </c>
      <c r="D787" s="24">
        <f t="shared" si="718"/>
        <v>7</v>
      </c>
      <c r="E787" s="54">
        <f>SUM(B787:D787)</f>
        <v>14</v>
      </c>
      <c r="F787" s="22">
        <f>SUM(F778:F786)</f>
        <v>2</v>
      </c>
      <c r="G787" s="23">
        <f t="shared" ref="G787:H787" si="719">SUM(G778:G786)</f>
        <v>4</v>
      </c>
      <c r="H787" s="24">
        <f t="shared" si="719"/>
        <v>5</v>
      </c>
      <c r="I787" s="54">
        <f>SUM(F787:H787)</f>
        <v>11</v>
      </c>
      <c r="J787" s="61">
        <f>SUM(J779:J786)</f>
        <v>0</v>
      </c>
      <c r="M787" s="28" t="s">
        <v>16</v>
      </c>
      <c r="N787" s="22">
        <f>SUM(N778:N786)</f>
        <v>359</v>
      </c>
      <c r="O787" s="23">
        <f t="shared" ref="O787:P787" si="720">SUM(O778:O786)</f>
        <v>462</v>
      </c>
      <c r="P787" s="24">
        <f t="shared" si="720"/>
        <v>329</v>
      </c>
      <c r="Q787" s="54">
        <f>SUM(N787:P787)</f>
        <v>1150</v>
      </c>
      <c r="R787" s="22">
        <f>SUM(R778:R786)</f>
        <v>753</v>
      </c>
      <c r="S787" s="23">
        <f t="shared" ref="S787:T787" si="721">SUM(S778:S786)</f>
        <v>609</v>
      </c>
      <c r="T787" s="24">
        <f t="shared" si="721"/>
        <v>523</v>
      </c>
      <c r="U787" s="54">
        <f>SUM(R787:T787)</f>
        <v>1885</v>
      </c>
      <c r="V787" s="61">
        <f>Q787+U787</f>
        <v>3035</v>
      </c>
    </row>
    <row r="788" spans="1:22" x14ac:dyDescent="0.15">
      <c r="A788" s="17"/>
      <c r="B788" s="5"/>
      <c r="C788" s="6"/>
      <c r="D788" s="7"/>
      <c r="E788" s="51">
        <f t="shared" ref="E788:E814" si="722">SUM(B788:D788)</f>
        <v>0</v>
      </c>
      <c r="F788" s="8"/>
      <c r="G788" s="6"/>
      <c r="H788" s="7"/>
      <c r="I788" s="51">
        <f t="shared" ref="I788:I814" si="723">SUM(F788:H788)</f>
        <v>0</v>
      </c>
      <c r="J788" s="59">
        <f t="shared" ref="J788:J813" si="724">E788+I788</f>
        <v>0</v>
      </c>
      <c r="M788" s="20"/>
      <c r="N788" s="5"/>
      <c r="O788" s="6"/>
      <c r="P788" s="7"/>
      <c r="Q788" s="51">
        <f t="shared" ref="Q788:Q814" si="725">SUM(N788:P788)</f>
        <v>0</v>
      </c>
      <c r="R788" s="8"/>
      <c r="S788" s="6"/>
      <c r="T788" s="7"/>
      <c r="U788" s="51">
        <f t="shared" ref="U788:U814" si="726">SUM(R788:T788)</f>
        <v>0</v>
      </c>
      <c r="V788" s="59">
        <f t="shared" ref="V788:V813" si="727">Q788+U788</f>
        <v>0</v>
      </c>
    </row>
    <row r="789" spans="1:22" x14ac:dyDescent="0.15">
      <c r="A789" s="17"/>
      <c r="B789" s="5"/>
      <c r="C789" s="6"/>
      <c r="D789" s="7"/>
      <c r="E789" s="51">
        <f t="shared" si="722"/>
        <v>0</v>
      </c>
      <c r="F789" s="8"/>
      <c r="G789" s="6"/>
      <c r="H789" s="7"/>
      <c r="I789" s="51">
        <f t="shared" si="723"/>
        <v>0</v>
      </c>
      <c r="J789" s="59">
        <f t="shared" si="724"/>
        <v>0</v>
      </c>
      <c r="M789" s="20"/>
      <c r="N789" s="5"/>
      <c r="O789" s="6"/>
      <c r="P789" s="7"/>
      <c r="Q789" s="51">
        <f t="shared" si="725"/>
        <v>0</v>
      </c>
      <c r="R789" s="8"/>
      <c r="S789" s="6"/>
      <c r="T789" s="7"/>
      <c r="U789" s="51">
        <f t="shared" si="726"/>
        <v>0</v>
      </c>
      <c r="V789" s="59">
        <f t="shared" si="727"/>
        <v>0</v>
      </c>
    </row>
    <row r="790" spans="1:22" x14ac:dyDescent="0.15">
      <c r="A790" s="17"/>
      <c r="B790" s="5"/>
      <c r="C790" s="6"/>
      <c r="D790" s="7"/>
      <c r="E790" s="51">
        <f t="shared" si="722"/>
        <v>0</v>
      </c>
      <c r="F790" s="8"/>
      <c r="G790" s="6"/>
      <c r="H790" s="7"/>
      <c r="I790" s="51">
        <f t="shared" si="723"/>
        <v>0</v>
      </c>
      <c r="J790" s="59">
        <f t="shared" si="724"/>
        <v>0</v>
      </c>
      <c r="M790" s="20"/>
      <c r="N790" s="5"/>
      <c r="O790" s="6"/>
      <c r="P790" s="7"/>
      <c r="Q790" s="51">
        <f t="shared" si="725"/>
        <v>0</v>
      </c>
      <c r="R790" s="8"/>
      <c r="S790" s="6"/>
      <c r="T790" s="7"/>
      <c r="U790" s="51">
        <f t="shared" si="726"/>
        <v>0</v>
      </c>
      <c r="V790" s="59">
        <f t="shared" si="727"/>
        <v>0</v>
      </c>
    </row>
    <row r="791" spans="1:22" x14ac:dyDescent="0.15">
      <c r="A791" s="17"/>
      <c r="B791" s="5"/>
      <c r="C791" s="6"/>
      <c r="D791" s="7"/>
      <c r="E791" s="51">
        <f t="shared" si="722"/>
        <v>0</v>
      </c>
      <c r="F791" s="8"/>
      <c r="G791" s="6"/>
      <c r="H791" s="7"/>
      <c r="I791" s="51">
        <f t="shared" si="723"/>
        <v>0</v>
      </c>
      <c r="J791" s="59">
        <f t="shared" si="724"/>
        <v>0</v>
      </c>
      <c r="M791" s="18"/>
      <c r="N791" s="5"/>
      <c r="O791" s="6"/>
      <c r="P791" s="7"/>
      <c r="Q791" s="51">
        <f t="shared" si="725"/>
        <v>0</v>
      </c>
      <c r="R791" s="8"/>
      <c r="S791" s="6"/>
      <c r="T791" s="7"/>
      <c r="U791" s="51">
        <f t="shared" si="726"/>
        <v>0</v>
      </c>
      <c r="V791" s="59">
        <f t="shared" si="727"/>
        <v>0</v>
      </c>
    </row>
    <row r="792" spans="1:22" x14ac:dyDescent="0.15">
      <c r="A792" s="17"/>
      <c r="B792" s="5"/>
      <c r="C792" s="6"/>
      <c r="D792" s="7"/>
      <c r="E792" s="51">
        <f t="shared" si="722"/>
        <v>0</v>
      </c>
      <c r="F792" s="8"/>
      <c r="G792" s="6"/>
      <c r="H792" s="7"/>
      <c r="I792" s="51">
        <f t="shared" si="723"/>
        <v>0</v>
      </c>
      <c r="J792" s="59">
        <f t="shared" si="724"/>
        <v>0</v>
      </c>
      <c r="M792" s="18"/>
      <c r="N792" s="5"/>
      <c r="O792" s="6"/>
      <c r="P792" s="7"/>
      <c r="Q792" s="51">
        <f t="shared" si="725"/>
        <v>0</v>
      </c>
      <c r="R792" s="8"/>
      <c r="S792" s="6"/>
      <c r="T792" s="7"/>
      <c r="U792" s="51">
        <f t="shared" si="726"/>
        <v>0</v>
      </c>
      <c r="V792" s="59">
        <f t="shared" si="727"/>
        <v>0</v>
      </c>
    </row>
    <row r="793" spans="1:22" x14ac:dyDescent="0.15">
      <c r="A793" s="17"/>
      <c r="B793" s="5"/>
      <c r="C793" s="6"/>
      <c r="D793" s="14"/>
      <c r="E793" s="51">
        <f t="shared" si="722"/>
        <v>0</v>
      </c>
      <c r="F793" s="15"/>
      <c r="G793" s="13"/>
      <c r="H793" s="14"/>
      <c r="I793" s="51">
        <f t="shared" si="723"/>
        <v>0</v>
      </c>
      <c r="J793" s="59">
        <f t="shared" si="724"/>
        <v>0</v>
      </c>
      <c r="M793" s="20"/>
      <c r="N793" s="5"/>
      <c r="O793" s="6"/>
      <c r="P793" s="14"/>
      <c r="Q793" s="51">
        <f t="shared" si="725"/>
        <v>0</v>
      </c>
      <c r="R793" s="15"/>
      <c r="S793" s="13"/>
      <c r="T793" s="14"/>
      <c r="U793" s="51">
        <f t="shared" si="726"/>
        <v>0</v>
      </c>
      <c r="V793" s="59">
        <f t="shared" si="727"/>
        <v>0</v>
      </c>
    </row>
    <row r="794" spans="1:22" x14ac:dyDescent="0.15">
      <c r="A794" s="17"/>
      <c r="B794" s="5"/>
      <c r="C794" s="6"/>
      <c r="D794" s="7"/>
      <c r="E794" s="51">
        <f t="shared" si="722"/>
        <v>0</v>
      </c>
      <c r="F794" s="8"/>
      <c r="G794" s="6"/>
      <c r="H794" s="7"/>
      <c r="I794" s="51">
        <f t="shared" si="723"/>
        <v>0</v>
      </c>
      <c r="J794" s="59">
        <f t="shared" si="724"/>
        <v>0</v>
      </c>
      <c r="M794" s="42"/>
      <c r="N794" s="5"/>
      <c r="O794" s="6"/>
      <c r="P794" s="7"/>
      <c r="Q794" s="51">
        <f t="shared" si="725"/>
        <v>0</v>
      </c>
      <c r="R794" s="8"/>
      <c r="S794" s="6"/>
      <c r="T794" s="7"/>
      <c r="U794" s="51">
        <f t="shared" si="726"/>
        <v>0</v>
      </c>
      <c r="V794" s="59">
        <f t="shared" si="727"/>
        <v>0</v>
      </c>
    </row>
    <row r="795" spans="1:22" x14ac:dyDescent="0.15">
      <c r="A795" s="17"/>
      <c r="B795" s="5"/>
      <c r="C795" s="6"/>
      <c r="D795" s="7"/>
      <c r="E795" s="51">
        <f t="shared" si="722"/>
        <v>0</v>
      </c>
      <c r="F795" s="8"/>
      <c r="G795" s="6"/>
      <c r="H795" s="7"/>
      <c r="I795" s="51">
        <f t="shared" si="723"/>
        <v>0</v>
      </c>
      <c r="J795" s="59">
        <f t="shared" si="724"/>
        <v>0</v>
      </c>
      <c r="M795" s="18"/>
      <c r="N795" s="5" t="s">
        <v>22</v>
      </c>
      <c r="O795" s="6"/>
      <c r="P795" s="7"/>
      <c r="Q795" s="51">
        <f t="shared" si="725"/>
        <v>0</v>
      </c>
      <c r="R795" s="8"/>
      <c r="S795" s="6"/>
      <c r="T795" s="7"/>
      <c r="U795" s="51">
        <f t="shared" si="726"/>
        <v>0</v>
      </c>
      <c r="V795" s="59">
        <f t="shared" si="727"/>
        <v>0</v>
      </c>
    </row>
    <row r="796" spans="1:22" x14ac:dyDescent="0.15">
      <c r="A796" s="17"/>
      <c r="B796" s="5"/>
      <c r="C796" s="6"/>
      <c r="D796" s="7"/>
      <c r="E796" s="51">
        <f t="shared" si="722"/>
        <v>0</v>
      </c>
      <c r="F796" s="8"/>
      <c r="G796" s="6"/>
      <c r="H796" s="7"/>
      <c r="I796" s="51">
        <f t="shared" si="723"/>
        <v>0</v>
      </c>
      <c r="J796" s="59">
        <f t="shared" si="724"/>
        <v>0</v>
      </c>
      <c r="M796" s="20"/>
      <c r="N796" s="5"/>
      <c r="O796" s="6"/>
      <c r="P796" s="7"/>
      <c r="Q796" s="51">
        <f t="shared" si="725"/>
        <v>0</v>
      </c>
      <c r="R796" s="8"/>
      <c r="S796" s="6"/>
      <c r="T796" s="7"/>
      <c r="U796" s="51">
        <f t="shared" si="726"/>
        <v>0</v>
      </c>
      <c r="V796" s="59">
        <f t="shared" si="727"/>
        <v>0</v>
      </c>
    </row>
    <row r="797" spans="1:22" x14ac:dyDescent="0.15">
      <c r="A797" s="18"/>
      <c r="B797" s="9"/>
      <c r="C797" s="10"/>
      <c r="D797" s="11"/>
      <c r="E797" s="51">
        <f t="shared" si="722"/>
        <v>0</v>
      </c>
      <c r="F797" s="12"/>
      <c r="G797" s="10"/>
      <c r="H797" s="11"/>
      <c r="I797" s="51">
        <f t="shared" si="723"/>
        <v>0</v>
      </c>
      <c r="J797" s="59">
        <f t="shared" si="724"/>
        <v>0</v>
      </c>
      <c r="M797" s="18"/>
      <c r="N797" s="9"/>
      <c r="O797" s="10"/>
      <c r="P797" s="11"/>
      <c r="Q797" s="51">
        <f t="shared" si="725"/>
        <v>0</v>
      </c>
      <c r="R797" s="12"/>
      <c r="S797" s="10"/>
      <c r="T797" s="11"/>
      <c r="U797" s="51">
        <f t="shared" si="726"/>
        <v>0</v>
      </c>
      <c r="V797" s="59">
        <f t="shared" si="727"/>
        <v>0</v>
      </c>
    </row>
    <row r="798" spans="1:22" x14ac:dyDescent="0.15">
      <c r="A798" s="17"/>
      <c r="B798" s="5"/>
      <c r="C798" s="6"/>
      <c r="D798" s="7"/>
      <c r="E798" s="51">
        <f t="shared" si="722"/>
        <v>0</v>
      </c>
      <c r="F798" s="8"/>
      <c r="G798" s="6"/>
      <c r="H798" s="7"/>
      <c r="I798" s="51">
        <f t="shared" si="723"/>
        <v>0</v>
      </c>
      <c r="J798" s="59">
        <f t="shared" si="724"/>
        <v>0</v>
      </c>
      <c r="M798" s="20"/>
      <c r="N798" s="5"/>
      <c r="O798" s="6"/>
      <c r="P798" s="7"/>
      <c r="Q798" s="51">
        <f t="shared" si="725"/>
        <v>0</v>
      </c>
      <c r="R798" s="8"/>
      <c r="S798" s="6"/>
      <c r="T798" s="7"/>
      <c r="U798" s="51">
        <f t="shared" si="726"/>
        <v>0</v>
      </c>
      <c r="V798" s="59">
        <f t="shared" si="727"/>
        <v>0</v>
      </c>
    </row>
    <row r="799" spans="1:22" x14ac:dyDescent="0.15">
      <c r="A799" s="17"/>
      <c r="B799" s="5"/>
      <c r="C799" s="6"/>
      <c r="D799" s="7"/>
      <c r="E799" s="51">
        <f t="shared" si="722"/>
        <v>0</v>
      </c>
      <c r="F799" s="8"/>
      <c r="G799" s="6"/>
      <c r="H799" s="7"/>
      <c r="I799" s="51">
        <f t="shared" si="723"/>
        <v>0</v>
      </c>
      <c r="J799" s="59">
        <f t="shared" si="724"/>
        <v>0</v>
      </c>
      <c r="M799" s="20"/>
      <c r="N799" s="5"/>
      <c r="O799" s="6"/>
      <c r="P799" s="7"/>
      <c r="Q799" s="51">
        <f t="shared" si="725"/>
        <v>0</v>
      </c>
      <c r="R799" s="8"/>
      <c r="S799" s="6"/>
      <c r="T799" s="7"/>
      <c r="U799" s="51">
        <f t="shared" si="726"/>
        <v>0</v>
      </c>
      <c r="V799" s="59">
        <f t="shared" si="727"/>
        <v>0</v>
      </c>
    </row>
    <row r="800" spans="1:22" x14ac:dyDescent="0.15">
      <c r="A800" s="17"/>
      <c r="B800" s="5"/>
      <c r="C800" s="6"/>
      <c r="D800" s="7"/>
      <c r="E800" s="51">
        <f t="shared" si="722"/>
        <v>0</v>
      </c>
      <c r="F800" s="8"/>
      <c r="G800" s="6"/>
      <c r="H800" s="7"/>
      <c r="I800" s="51">
        <f t="shared" si="723"/>
        <v>0</v>
      </c>
      <c r="J800" s="59">
        <f t="shared" si="724"/>
        <v>0</v>
      </c>
      <c r="M800" s="18"/>
      <c r="N800" s="5"/>
      <c r="O800" s="6"/>
      <c r="P800" s="7"/>
      <c r="Q800" s="51">
        <f t="shared" si="725"/>
        <v>0</v>
      </c>
      <c r="R800" s="8"/>
      <c r="S800" s="6"/>
      <c r="T800" s="7"/>
      <c r="U800" s="51">
        <f t="shared" si="726"/>
        <v>0</v>
      </c>
      <c r="V800" s="59">
        <f t="shared" si="727"/>
        <v>0</v>
      </c>
    </row>
    <row r="801" spans="1:23" x14ac:dyDescent="0.15">
      <c r="A801" s="17"/>
      <c r="B801" s="5"/>
      <c r="C801" s="6"/>
      <c r="D801" s="7"/>
      <c r="E801" s="51">
        <f t="shared" si="722"/>
        <v>0</v>
      </c>
      <c r="F801" s="8"/>
      <c r="G801" s="6"/>
      <c r="H801" s="7"/>
      <c r="I801" s="51">
        <f t="shared" si="723"/>
        <v>0</v>
      </c>
      <c r="J801" s="59">
        <f t="shared" si="724"/>
        <v>0</v>
      </c>
      <c r="M801" s="18"/>
      <c r="N801" s="5"/>
      <c r="O801" s="6"/>
      <c r="P801" s="7"/>
      <c r="Q801" s="51">
        <f t="shared" si="725"/>
        <v>0</v>
      </c>
      <c r="R801" s="8"/>
      <c r="S801" s="6"/>
      <c r="T801" s="7"/>
      <c r="U801" s="51">
        <f t="shared" si="726"/>
        <v>0</v>
      </c>
      <c r="V801" s="59">
        <f t="shared" si="727"/>
        <v>0</v>
      </c>
    </row>
    <row r="802" spans="1:23" x14ac:dyDescent="0.15">
      <c r="A802" s="17"/>
      <c r="B802" s="5"/>
      <c r="C802" s="6"/>
      <c r="D802" s="7"/>
      <c r="E802" s="51">
        <f t="shared" si="722"/>
        <v>0</v>
      </c>
      <c r="F802" s="8"/>
      <c r="G802" s="6"/>
      <c r="H802" s="7"/>
      <c r="I802" s="51">
        <f t="shared" si="723"/>
        <v>0</v>
      </c>
      <c r="J802" s="59">
        <f t="shared" si="724"/>
        <v>0</v>
      </c>
      <c r="M802" s="20"/>
      <c r="N802" s="5"/>
      <c r="O802" s="6"/>
      <c r="P802" s="7"/>
      <c r="Q802" s="51">
        <f t="shared" si="725"/>
        <v>0</v>
      </c>
      <c r="R802" s="8"/>
      <c r="S802" s="6"/>
      <c r="T802" s="7"/>
      <c r="U802" s="51">
        <f t="shared" si="726"/>
        <v>0</v>
      </c>
      <c r="V802" s="59">
        <f t="shared" si="727"/>
        <v>0</v>
      </c>
    </row>
    <row r="803" spans="1:23" x14ac:dyDescent="0.15">
      <c r="A803" s="17"/>
      <c r="B803" s="5"/>
      <c r="C803" s="6"/>
      <c r="D803" s="7"/>
      <c r="E803" s="51">
        <f t="shared" si="722"/>
        <v>0</v>
      </c>
      <c r="F803" s="8"/>
      <c r="G803" s="6"/>
      <c r="H803" s="7"/>
      <c r="I803" s="51">
        <f t="shared" si="723"/>
        <v>0</v>
      </c>
      <c r="J803" s="59">
        <f t="shared" si="724"/>
        <v>0</v>
      </c>
      <c r="M803" s="20"/>
      <c r="N803" s="5"/>
      <c r="O803" s="6"/>
      <c r="P803" s="7"/>
      <c r="Q803" s="51">
        <f t="shared" si="725"/>
        <v>0</v>
      </c>
      <c r="R803" s="8"/>
      <c r="S803" s="6"/>
      <c r="T803" s="7"/>
      <c r="U803" s="51">
        <f t="shared" si="726"/>
        <v>0</v>
      </c>
      <c r="V803" s="59">
        <f t="shared" si="727"/>
        <v>0</v>
      </c>
    </row>
    <row r="804" spans="1:23" x14ac:dyDescent="0.15">
      <c r="A804" s="17"/>
      <c r="B804" s="5"/>
      <c r="C804" s="6"/>
      <c r="D804" s="7"/>
      <c r="E804" s="51">
        <f t="shared" si="722"/>
        <v>0</v>
      </c>
      <c r="F804" s="8"/>
      <c r="G804" s="6"/>
      <c r="H804" s="7"/>
      <c r="I804" s="51">
        <f t="shared" si="723"/>
        <v>0</v>
      </c>
      <c r="J804" s="59">
        <f t="shared" si="724"/>
        <v>0</v>
      </c>
      <c r="M804" s="18"/>
      <c r="N804" s="5"/>
      <c r="O804" s="6"/>
      <c r="P804" s="7"/>
      <c r="Q804" s="51">
        <f t="shared" si="725"/>
        <v>0</v>
      </c>
      <c r="R804" s="8"/>
      <c r="S804" s="6"/>
      <c r="T804" s="7"/>
      <c r="U804" s="51">
        <f t="shared" si="726"/>
        <v>0</v>
      </c>
      <c r="V804" s="59">
        <f t="shared" si="727"/>
        <v>0</v>
      </c>
    </row>
    <row r="805" spans="1:23" x14ac:dyDescent="0.15">
      <c r="A805" s="17"/>
      <c r="B805" s="5"/>
      <c r="C805" s="6"/>
      <c r="D805" s="7"/>
      <c r="E805" s="51">
        <f t="shared" si="722"/>
        <v>0</v>
      </c>
      <c r="F805" s="8"/>
      <c r="G805" s="6"/>
      <c r="H805" s="7"/>
      <c r="I805" s="51">
        <f t="shared" si="723"/>
        <v>0</v>
      </c>
      <c r="J805" s="59">
        <f t="shared" si="724"/>
        <v>0</v>
      </c>
      <c r="M805" s="20"/>
      <c r="N805" s="5"/>
      <c r="O805" s="6"/>
      <c r="P805" s="7"/>
      <c r="Q805" s="51">
        <f t="shared" si="725"/>
        <v>0</v>
      </c>
      <c r="R805" s="8"/>
      <c r="S805" s="6"/>
      <c r="T805" s="7"/>
      <c r="U805" s="51">
        <f t="shared" si="726"/>
        <v>0</v>
      </c>
      <c r="V805" s="59">
        <f t="shared" si="727"/>
        <v>0</v>
      </c>
    </row>
    <row r="806" spans="1:23" x14ac:dyDescent="0.15">
      <c r="A806" s="18"/>
      <c r="B806" s="5"/>
      <c r="C806" s="6"/>
      <c r="D806" s="7"/>
      <c r="E806" s="51">
        <f t="shared" si="722"/>
        <v>0</v>
      </c>
      <c r="F806" s="8"/>
      <c r="G806" s="6"/>
      <c r="H806" s="7"/>
      <c r="I806" s="51">
        <f t="shared" si="723"/>
        <v>0</v>
      </c>
      <c r="J806" s="59">
        <f t="shared" si="724"/>
        <v>0</v>
      </c>
      <c r="M806" s="20"/>
      <c r="N806" s="5"/>
      <c r="O806" s="6"/>
      <c r="P806" s="7"/>
      <c r="Q806" s="51">
        <f t="shared" si="725"/>
        <v>0</v>
      </c>
      <c r="R806" s="8"/>
      <c r="S806" s="6"/>
      <c r="T806" s="7"/>
      <c r="U806" s="51">
        <f t="shared" si="726"/>
        <v>0</v>
      </c>
      <c r="V806" s="59">
        <f t="shared" si="727"/>
        <v>0</v>
      </c>
    </row>
    <row r="807" spans="1:23" x14ac:dyDescent="0.15">
      <c r="A807" s="17"/>
      <c r="B807" s="5"/>
      <c r="C807" s="6"/>
      <c r="D807" s="7"/>
      <c r="E807" s="51">
        <f t="shared" si="722"/>
        <v>0</v>
      </c>
      <c r="F807" s="8"/>
      <c r="G807" s="6"/>
      <c r="H807" s="7"/>
      <c r="I807" s="51">
        <f t="shared" si="723"/>
        <v>0</v>
      </c>
      <c r="J807" s="59">
        <f t="shared" si="724"/>
        <v>0</v>
      </c>
      <c r="M807" s="20"/>
      <c r="N807" s="5"/>
      <c r="O807" s="6"/>
      <c r="P807" s="7"/>
      <c r="Q807" s="51">
        <f t="shared" si="725"/>
        <v>0</v>
      </c>
      <c r="R807" s="8"/>
      <c r="S807" s="6"/>
      <c r="T807" s="7"/>
      <c r="U807" s="51">
        <f t="shared" si="726"/>
        <v>0</v>
      </c>
      <c r="V807" s="59">
        <f t="shared" si="727"/>
        <v>0</v>
      </c>
    </row>
    <row r="808" spans="1:23" x14ac:dyDescent="0.15">
      <c r="A808" s="18"/>
      <c r="B808" s="5"/>
      <c r="C808" s="6"/>
      <c r="D808" s="7"/>
      <c r="E808" s="51">
        <f t="shared" si="722"/>
        <v>0</v>
      </c>
      <c r="F808" s="8"/>
      <c r="G808" s="6"/>
      <c r="H808" s="7"/>
      <c r="I808" s="51">
        <f t="shared" si="723"/>
        <v>0</v>
      </c>
      <c r="J808" s="59">
        <f t="shared" si="724"/>
        <v>0</v>
      </c>
      <c r="M808" s="20"/>
      <c r="N808" s="5"/>
      <c r="O808" s="6"/>
      <c r="P808" s="7"/>
      <c r="Q808" s="51">
        <f t="shared" si="725"/>
        <v>0</v>
      </c>
      <c r="R808" s="8"/>
      <c r="S808" s="6"/>
      <c r="T808" s="7"/>
      <c r="U808" s="51">
        <f t="shared" si="726"/>
        <v>0</v>
      </c>
      <c r="V808" s="59">
        <f t="shared" si="727"/>
        <v>0</v>
      </c>
    </row>
    <row r="809" spans="1:23" x14ac:dyDescent="0.15">
      <c r="A809" s="17"/>
      <c r="B809" s="9"/>
      <c r="C809" s="10"/>
      <c r="D809" s="11"/>
      <c r="E809" s="51">
        <f t="shared" si="722"/>
        <v>0</v>
      </c>
      <c r="F809" s="12"/>
      <c r="G809" s="10"/>
      <c r="H809" s="11"/>
      <c r="I809" s="51">
        <f t="shared" si="723"/>
        <v>0</v>
      </c>
      <c r="J809" s="59">
        <f t="shared" si="724"/>
        <v>0</v>
      </c>
      <c r="M809" s="20"/>
      <c r="N809" s="5"/>
      <c r="O809" s="6"/>
      <c r="P809" s="7"/>
      <c r="Q809" s="51">
        <f t="shared" si="725"/>
        <v>0</v>
      </c>
      <c r="R809" s="8"/>
      <c r="S809" s="6"/>
      <c r="T809" s="7"/>
      <c r="U809" s="51">
        <f t="shared" si="726"/>
        <v>0</v>
      </c>
      <c r="V809" s="59">
        <f t="shared" si="727"/>
        <v>0</v>
      </c>
    </row>
    <row r="810" spans="1:23" x14ac:dyDescent="0.15">
      <c r="A810" s="17"/>
      <c r="B810" s="5"/>
      <c r="C810" s="6"/>
      <c r="D810" s="7"/>
      <c r="E810" s="51">
        <f t="shared" si="722"/>
        <v>0</v>
      </c>
      <c r="F810" s="8"/>
      <c r="G810" s="6"/>
      <c r="H810" s="7"/>
      <c r="I810" s="51">
        <f t="shared" si="723"/>
        <v>0</v>
      </c>
      <c r="J810" s="59">
        <f t="shared" si="724"/>
        <v>0</v>
      </c>
      <c r="M810" s="20"/>
      <c r="N810" s="5"/>
      <c r="O810" s="6"/>
      <c r="P810" s="7"/>
      <c r="Q810" s="51">
        <f t="shared" si="725"/>
        <v>0</v>
      </c>
      <c r="R810" s="8"/>
      <c r="S810" s="6"/>
      <c r="T810" s="7"/>
      <c r="U810" s="51">
        <f t="shared" si="726"/>
        <v>0</v>
      </c>
      <c r="V810" s="59">
        <f t="shared" si="727"/>
        <v>0</v>
      </c>
    </row>
    <row r="811" spans="1:23" x14ac:dyDescent="0.15">
      <c r="A811" s="17"/>
      <c r="B811" s="9"/>
      <c r="C811" s="10"/>
      <c r="D811" s="11"/>
      <c r="E811" s="52">
        <f t="shared" si="722"/>
        <v>0</v>
      </c>
      <c r="F811" s="12"/>
      <c r="G811" s="10"/>
      <c r="H811" s="11"/>
      <c r="I811" s="52">
        <f t="shared" si="723"/>
        <v>0</v>
      </c>
      <c r="J811" s="59">
        <f t="shared" si="724"/>
        <v>0</v>
      </c>
      <c r="M811" s="133" t="s">
        <v>297</v>
      </c>
      <c r="N811" s="134">
        <v>-50</v>
      </c>
      <c r="O811" s="135">
        <v>-60</v>
      </c>
      <c r="P811" s="136">
        <v>-30</v>
      </c>
      <c r="Q811" s="137">
        <f t="shared" si="725"/>
        <v>-140</v>
      </c>
      <c r="R811" s="138">
        <v>-60</v>
      </c>
      <c r="S811" s="135">
        <v>-60</v>
      </c>
      <c r="T811" s="136">
        <v>-50</v>
      </c>
      <c r="U811" s="137">
        <f t="shared" si="726"/>
        <v>-170</v>
      </c>
      <c r="V811" s="139">
        <f t="shared" si="727"/>
        <v>-310</v>
      </c>
    </row>
    <row r="812" spans="1:23" x14ac:dyDescent="0.15">
      <c r="A812" s="17"/>
      <c r="B812" s="5"/>
      <c r="C812" s="6"/>
      <c r="D812" s="7"/>
      <c r="E812" s="51">
        <f t="shared" si="722"/>
        <v>0</v>
      </c>
      <c r="F812" s="8"/>
      <c r="G812" s="6"/>
      <c r="H812" s="7"/>
      <c r="I812" s="51">
        <f t="shared" si="723"/>
        <v>0</v>
      </c>
      <c r="J812" s="59">
        <f t="shared" si="724"/>
        <v>0</v>
      </c>
      <c r="M812" s="162" t="s">
        <v>316</v>
      </c>
      <c r="N812" s="123">
        <f>292-20-40-20</f>
        <v>212</v>
      </c>
      <c r="O812" s="124">
        <f>366-30-60-20</f>
        <v>256</v>
      </c>
      <c r="P812" s="125">
        <f>150-20-20-40</f>
        <v>70</v>
      </c>
      <c r="Q812" s="126">
        <f t="shared" si="725"/>
        <v>538</v>
      </c>
      <c r="R812" s="123">
        <f>432-40</f>
        <v>392</v>
      </c>
      <c r="S812" s="124">
        <f>400-40-60</f>
        <v>300</v>
      </c>
      <c r="T812" s="125">
        <f>270-60</f>
        <v>210</v>
      </c>
      <c r="U812" s="126">
        <f t="shared" si="726"/>
        <v>902</v>
      </c>
      <c r="V812" s="128">
        <f t="shared" si="727"/>
        <v>1440</v>
      </c>
      <c r="W812" s="140" t="s">
        <v>315</v>
      </c>
    </row>
    <row r="813" spans="1:23" ht="14.25" thickBot="1" x14ac:dyDescent="0.2">
      <c r="A813" s="17"/>
      <c r="B813" s="9"/>
      <c r="C813" s="10"/>
      <c r="D813" s="11"/>
      <c r="E813" s="55">
        <f t="shared" si="722"/>
        <v>0</v>
      </c>
      <c r="F813" s="12"/>
      <c r="G813" s="10"/>
      <c r="H813" s="11"/>
      <c r="I813" s="55">
        <f t="shared" si="723"/>
        <v>0</v>
      </c>
      <c r="J813" s="59">
        <f t="shared" si="724"/>
        <v>0</v>
      </c>
      <c r="M813" s="122" t="s">
        <v>381</v>
      </c>
      <c r="N813" s="123">
        <v>21</v>
      </c>
      <c r="O813" s="124">
        <v>24</v>
      </c>
      <c r="P813" s="125">
        <v>15</v>
      </c>
      <c r="Q813" s="126">
        <f t="shared" si="725"/>
        <v>60</v>
      </c>
      <c r="R813" s="127">
        <v>21</v>
      </c>
      <c r="S813" s="124">
        <v>24</v>
      </c>
      <c r="T813" s="125">
        <v>15</v>
      </c>
      <c r="U813" s="126">
        <f t="shared" si="726"/>
        <v>60</v>
      </c>
      <c r="V813" s="128">
        <f t="shared" si="727"/>
        <v>120</v>
      </c>
      <c r="W813" s="115" t="s">
        <v>382</v>
      </c>
    </row>
    <row r="814" spans="1:23" ht="14.25" thickBot="1" x14ac:dyDescent="0.2">
      <c r="A814" s="31" t="s">
        <v>19</v>
      </c>
      <c r="B814" s="34">
        <f>SUM(B788:B813)</f>
        <v>0</v>
      </c>
      <c r="C814" s="35">
        <f t="shared" ref="C814:D814" si="728">SUM(C788:C813)</f>
        <v>0</v>
      </c>
      <c r="D814" s="39">
        <f t="shared" si="728"/>
        <v>0</v>
      </c>
      <c r="E814" s="56">
        <f t="shared" si="722"/>
        <v>0</v>
      </c>
      <c r="F814" s="34">
        <f>SUM(F788:F813)</f>
        <v>0</v>
      </c>
      <c r="G814" s="35">
        <f t="shared" ref="G814:H814" si="729">SUM(G788:G813)</f>
        <v>0</v>
      </c>
      <c r="H814" s="39">
        <f t="shared" si="729"/>
        <v>0</v>
      </c>
      <c r="I814" s="56">
        <f t="shared" si="723"/>
        <v>0</v>
      </c>
      <c r="J814" s="62">
        <f>E814+I814</f>
        <v>0</v>
      </c>
      <c r="M814" s="31" t="s">
        <v>19</v>
      </c>
      <c r="N814" s="34">
        <f>SUM(N788:N813)</f>
        <v>183</v>
      </c>
      <c r="O814" s="35">
        <f t="shared" ref="O814:P814" si="730">SUM(O788:O813)</f>
        <v>220</v>
      </c>
      <c r="P814" s="39">
        <f t="shared" si="730"/>
        <v>55</v>
      </c>
      <c r="Q814" s="56">
        <f t="shared" si="725"/>
        <v>458</v>
      </c>
      <c r="R814" s="34">
        <f>SUM(R788:R813)</f>
        <v>353</v>
      </c>
      <c r="S814" s="35">
        <f t="shared" ref="S814:T814" si="731">SUM(S788:S813)</f>
        <v>264</v>
      </c>
      <c r="T814" s="39">
        <f t="shared" si="731"/>
        <v>175</v>
      </c>
      <c r="U814" s="56">
        <f t="shared" si="726"/>
        <v>792</v>
      </c>
      <c r="V814" s="62">
        <f>Q814+U814</f>
        <v>1250</v>
      </c>
    </row>
    <row r="815" spans="1:23" ht="14.25" thickBot="1" x14ac:dyDescent="0.2">
      <c r="A815" s="16" t="s">
        <v>17</v>
      </c>
      <c r="B815" s="63">
        <f>B787-B814</f>
        <v>2</v>
      </c>
      <c r="C815" s="64">
        <f t="shared" ref="C815:D815" si="732">C787-C814</f>
        <v>5</v>
      </c>
      <c r="D815" s="65">
        <f t="shared" si="732"/>
        <v>7</v>
      </c>
      <c r="E815" s="57">
        <f>SUM(B815:D815)</f>
        <v>14</v>
      </c>
      <c r="F815" s="63">
        <f>F787-F814</f>
        <v>2</v>
      </c>
      <c r="G815" s="64">
        <f t="shared" ref="G815:H815" si="733">G787-G814</f>
        <v>4</v>
      </c>
      <c r="H815" s="65">
        <f t="shared" si="733"/>
        <v>5</v>
      </c>
      <c r="I815" s="57">
        <f>SUM(F815:H815)</f>
        <v>11</v>
      </c>
      <c r="J815" s="61">
        <f>E815+I815</f>
        <v>25</v>
      </c>
      <c r="M815" s="16" t="s">
        <v>17</v>
      </c>
      <c r="N815" s="63">
        <f>N787-N814</f>
        <v>176</v>
      </c>
      <c r="O815" s="64">
        <f t="shared" ref="O815:P815" si="734">O787-O814</f>
        <v>242</v>
      </c>
      <c r="P815" s="65">
        <f t="shared" si="734"/>
        <v>274</v>
      </c>
      <c r="Q815" s="57">
        <f>SUM(N815:P815)</f>
        <v>692</v>
      </c>
      <c r="R815" s="63">
        <f>R787-R814</f>
        <v>400</v>
      </c>
      <c r="S815" s="64">
        <f t="shared" ref="S815:T815" si="735">S787-S814</f>
        <v>345</v>
      </c>
      <c r="T815" s="65">
        <f t="shared" si="735"/>
        <v>348</v>
      </c>
      <c r="U815" s="57">
        <f>SUM(R815:T815)</f>
        <v>1093</v>
      </c>
      <c r="V815" s="61">
        <f>Q815+U815</f>
        <v>1785</v>
      </c>
    </row>
    <row r="818" spans="1:22" ht="19.5" thickBot="1" x14ac:dyDescent="0.25">
      <c r="A818" s="66" t="s">
        <v>23</v>
      </c>
      <c r="B818" s="67"/>
      <c r="C818" s="67"/>
      <c r="D818" s="67"/>
      <c r="E818" s="67"/>
      <c r="F818" s="67"/>
      <c r="G818" s="67"/>
      <c r="H818" s="67"/>
      <c r="I818" s="67" t="s">
        <v>26</v>
      </c>
      <c r="J818" s="67"/>
      <c r="M818" s="73" t="s">
        <v>24</v>
      </c>
      <c r="N818" s="74"/>
      <c r="O818" s="74"/>
      <c r="P818" s="74"/>
      <c r="Q818" s="74"/>
      <c r="R818" s="74"/>
      <c r="S818" s="74"/>
      <c r="T818" s="74"/>
      <c r="U818" s="74"/>
      <c r="V818" s="74"/>
    </row>
    <row r="819" spans="1:22" ht="14.25" thickBot="1" x14ac:dyDescent="0.2">
      <c r="A819" s="4" t="s">
        <v>0</v>
      </c>
      <c r="B819" s="191" t="s">
        <v>21</v>
      </c>
      <c r="C819" s="192"/>
      <c r="D819" s="192"/>
      <c r="E819" s="193"/>
      <c r="F819" s="194" t="s">
        <v>18</v>
      </c>
      <c r="G819" s="195"/>
      <c r="H819" s="195"/>
      <c r="I819" s="196"/>
      <c r="J819" s="189" t="s">
        <v>1</v>
      </c>
      <c r="M819" s="4" t="s">
        <v>0</v>
      </c>
      <c r="N819" s="198" t="s">
        <v>21</v>
      </c>
      <c r="O819" s="199"/>
      <c r="P819" s="199"/>
      <c r="Q819" s="200"/>
      <c r="R819" s="201" t="s">
        <v>18</v>
      </c>
      <c r="S819" s="202"/>
      <c r="T819" s="202"/>
      <c r="U819" s="203"/>
      <c r="V819" s="154" t="s">
        <v>1</v>
      </c>
    </row>
    <row r="820" spans="1:22" ht="14.25" thickBot="1" x14ac:dyDescent="0.2">
      <c r="A820" s="4" t="s">
        <v>2</v>
      </c>
      <c r="B820" s="1" t="s">
        <v>3</v>
      </c>
      <c r="C820" s="2" t="s">
        <v>4</v>
      </c>
      <c r="D820" s="3" t="s">
        <v>5</v>
      </c>
      <c r="E820" s="4" t="s">
        <v>6</v>
      </c>
      <c r="F820" s="1" t="s">
        <v>3</v>
      </c>
      <c r="G820" s="2" t="s">
        <v>4</v>
      </c>
      <c r="H820" s="3" t="s">
        <v>5</v>
      </c>
      <c r="I820" s="4" t="s">
        <v>6</v>
      </c>
      <c r="J820" s="190"/>
      <c r="M820" s="4" t="s">
        <v>2</v>
      </c>
      <c r="N820" s="1" t="s">
        <v>3</v>
      </c>
      <c r="O820" s="2" t="s">
        <v>4</v>
      </c>
      <c r="P820" s="3" t="s">
        <v>5</v>
      </c>
      <c r="Q820" s="4" t="s">
        <v>6</v>
      </c>
      <c r="R820" s="1" t="s">
        <v>3</v>
      </c>
      <c r="S820" s="2" t="s">
        <v>4</v>
      </c>
      <c r="T820" s="3" t="s">
        <v>5</v>
      </c>
      <c r="U820" s="4" t="s">
        <v>6</v>
      </c>
      <c r="V820" s="155"/>
    </row>
    <row r="821" spans="1:22" ht="14.25" thickBot="1" x14ac:dyDescent="0.2">
      <c r="A821" s="21" t="s">
        <v>20</v>
      </c>
      <c r="B821" s="22">
        <f>B815</f>
        <v>2</v>
      </c>
      <c r="C821" s="23">
        <f>C815</f>
        <v>5</v>
      </c>
      <c r="D821" s="24">
        <f>D815</f>
        <v>7</v>
      </c>
      <c r="E821" s="54">
        <f>SUM(B821:D821)</f>
        <v>14</v>
      </c>
      <c r="F821" s="22">
        <f>F815</f>
        <v>2</v>
      </c>
      <c r="G821" s="23">
        <f>G815</f>
        <v>4</v>
      </c>
      <c r="H821" s="24">
        <f>H815</f>
        <v>5</v>
      </c>
      <c r="I821" s="54">
        <f>SUM(F821:H821)</f>
        <v>11</v>
      </c>
      <c r="J821" s="61">
        <f>E821+I821</f>
        <v>25</v>
      </c>
      <c r="M821" s="21" t="s">
        <v>20</v>
      </c>
      <c r="N821" s="68">
        <f>N815</f>
        <v>176</v>
      </c>
      <c r="O821" s="69">
        <f>O815</f>
        <v>242</v>
      </c>
      <c r="P821" s="70">
        <f>P815</f>
        <v>274</v>
      </c>
      <c r="Q821" s="71">
        <f>SUM(N821:P821)</f>
        <v>692</v>
      </c>
      <c r="R821" s="68">
        <f>R815</f>
        <v>400</v>
      </c>
      <c r="S821" s="69">
        <f>S815</f>
        <v>345</v>
      </c>
      <c r="T821" s="70">
        <f>T815</f>
        <v>348</v>
      </c>
      <c r="U821" s="71">
        <f>SUM(R821:T821)</f>
        <v>1093</v>
      </c>
      <c r="V821" s="72">
        <f>Q821+U821</f>
        <v>1785</v>
      </c>
    </row>
    <row r="822" spans="1:22" x14ac:dyDescent="0.15">
      <c r="A822" s="19" t="s">
        <v>8</v>
      </c>
      <c r="B822" s="113"/>
      <c r="C822" s="13"/>
      <c r="D822" s="14"/>
      <c r="E822" s="51">
        <f t="shared" ref="E822:E829" si="736">SUM(B822:D822)</f>
        <v>0</v>
      </c>
      <c r="F822" s="15"/>
      <c r="G822" s="13"/>
      <c r="H822" s="14"/>
      <c r="I822" s="51">
        <f t="shared" ref="I822:I829" si="737">SUM(F822:H822)</f>
        <v>0</v>
      </c>
      <c r="J822" s="109">
        <f t="shared" ref="J822:J829" si="738">E822+I822</f>
        <v>0</v>
      </c>
      <c r="M822" s="19" t="s">
        <v>8</v>
      </c>
      <c r="N822" s="83"/>
      <c r="O822" s="46"/>
      <c r="P822" s="44"/>
      <c r="Q822" s="50">
        <f>SUM(N822:P822)</f>
        <v>0</v>
      </c>
      <c r="R822" s="45"/>
      <c r="S822" s="46"/>
      <c r="T822" s="47"/>
      <c r="U822" s="50">
        <f>SUM(R822:T822)</f>
        <v>0</v>
      </c>
      <c r="V822" s="84">
        <f>Q822+U822</f>
        <v>0</v>
      </c>
    </row>
    <row r="823" spans="1:22" x14ac:dyDescent="0.15">
      <c r="A823" s="19" t="s">
        <v>9</v>
      </c>
      <c r="B823" s="5"/>
      <c r="C823" s="6"/>
      <c r="D823" s="7"/>
      <c r="E823" s="51">
        <f t="shared" si="736"/>
        <v>0</v>
      </c>
      <c r="F823" s="8"/>
      <c r="G823" s="6"/>
      <c r="H823" s="7"/>
      <c r="I823" s="51">
        <f t="shared" si="737"/>
        <v>0</v>
      </c>
      <c r="J823" s="59">
        <f t="shared" si="738"/>
        <v>0</v>
      </c>
      <c r="M823" s="19" t="s">
        <v>9</v>
      </c>
      <c r="N823" s="5"/>
      <c r="O823" s="6"/>
      <c r="P823" s="36"/>
      <c r="Q823" s="52">
        <f t="shared" ref="Q823:Q829" si="739">SUM(N823:P823)</f>
        <v>0</v>
      </c>
      <c r="R823" s="8"/>
      <c r="S823" s="6"/>
      <c r="T823" s="7"/>
      <c r="U823" s="52">
        <f t="shared" ref="U823:U829" si="740">SUM(R823:T823)</f>
        <v>0</v>
      </c>
      <c r="V823" s="59">
        <f t="shared" ref="V823:V829" si="741">Q823+U823</f>
        <v>0</v>
      </c>
    </row>
    <row r="824" spans="1:22" x14ac:dyDescent="0.15">
      <c r="A824" s="19" t="s">
        <v>10</v>
      </c>
      <c r="B824" s="5"/>
      <c r="C824" s="6"/>
      <c r="D824" s="7"/>
      <c r="E824" s="51">
        <f t="shared" si="736"/>
        <v>0</v>
      </c>
      <c r="F824" s="8"/>
      <c r="G824" s="6"/>
      <c r="H824" s="7"/>
      <c r="I824" s="51">
        <f t="shared" si="737"/>
        <v>0</v>
      </c>
      <c r="J824" s="59">
        <f t="shared" si="738"/>
        <v>0</v>
      </c>
      <c r="M824" s="19" t="s">
        <v>10</v>
      </c>
      <c r="N824" s="5"/>
      <c r="O824" s="6"/>
      <c r="P824" s="36"/>
      <c r="Q824" s="52">
        <f t="shared" si="739"/>
        <v>0</v>
      </c>
      <c r="R824" s="8"/>
      <c r="S824" s="6"/>
      <c r="T824" s="7"/>
      <c r="U824" s="52">
        <f t="shared" si="740"/>
        <v>0</v>
      </c>
      <c r="V824" s="59">
        <f t="shared" si="741"/>
        <v>0</v>
      </c>
    </row>
    <row r="825" spans="1:22" x14ac:dyDescent="0.15">
      <c r="A825" s="19" t="s">
        <v>11</v>
      </c>
      <c r="B825" s="5"/>
      <c r="C825" s="6"/>
      <c r="D825" s="36"/>
      <c r="E825" s="52">
        <f t="shared" si="736"/>
        <v>0</v>
      </c>
      <c r="F825" s="8"/>
      <c r="G825" s="6"/>
      <c r="H825" s="7"/>
      <c r="I825" s="52">
        <f t="shared" si="737"/>
        <v>0</v>
      </c>
      <c r="J825" s="59">
        <f t="shared" si="738"/>
        <v>0</v>
      </c>
      <c r="M825" s="159" t="s">
        <v>306</v>
      </c>
      <c r="N825" s="123">
        <v>250</v>
      </c>
      <c r="O825" s="124">
        <v>200</v>
      </c>
      <c r="P825" s="160">
        <v>200</v>
      </c>
      <c r="Q825" s="161">
        <f t="shared" si="739"/>
        <v>650</v>
      </c>
      <c r="R825" s="127">
        <v>250</v>
      </c>
      <c r="S825" s="124">
        <v>250</v>
      </c>
      <c r="T825" s="125">
        <v>200</v>
      </c>
      <c r="U825" s="161">
        <f t="shared" si="740"/>
        <v>700</v>
      </c>
      <c r="V825" s="128">
        <f t="shared" si="741"/>
        <v>1350</v>
      </c>
    </row>
    <row r="826" spans="1:22" x14ac:dyDescent="0.15">
      <c r="A826" s="19" t="s">
        <v>12</v>
      </c>
      <c r="B826" s="5"/>
      <c r="C826" s="6"/>
      <c r="D826" s="36"/>
      <c r="E826" s="52">
        <f t="shared" si="736"/>
        <v>0</v>
      </c>
      <c r="F826" s="8"/>
      <c r="G826" s="6"/>
      <c r="H826" s="7"/>
      <c r="I826" s="52">
        <f t="shared" si="737"/>
        <v>0</v>
      </c>
      <c r="J826" s="59">
        <f t="shared" si="738"/>
        <v>0</v>
      </c>
      <c r="M826" s="19" t="s">
        <v>12</v>
      </c>
      <c r="N826" s="9"/>
      <c r="O826" s="10"/>
      <c r="P826" s="37"/>
      <c r="Q826" s="52">
        <f t="shared" si="739"/>
        <v>0</v>
      </c>
      <c r="R826" s="12"/>
      <c r="S826" s="10"/>
      <c r="T826" s="11"/>
      <c r="U826" s="52">
        <f t="shared" si="740"/>
        <v>0</v>
      </c>
      <c r="V826" s="59">
        <f t="shared" si="741"/>
        <v>0</v>
      </c>
    </row>
    <row r="827" spans="1:22" x14ac:dyDescent="0.15">
      <c r="A827" s="19" t="s">
        <v>13</v>
      </c>
      <c r="B827" s="5"/>
      <c r="C827" s="6"/>
      <c r="D827" s="36"/>
      <c r="E827" s="52">
        <f t="shared" si="736"/>
        <v>0</v>
      </c>
      <c r="F827" s="8"/>
      <c r="G827" s="6"/>
      <c r="H827" s="7"/>
      <c r="I827" s="52">
        <f t="shared" si="737"/>
        <v>0</v>
      </c>
      <c r="J827" s="59">
        <f t="shared" si="738"/>
        <v>0</v>
      </c>
      <c r="M827" s="19" t="s">
        <v>13</v>
      </c>
      <c r="N827" s="9"/>
      <c r="O827" s="10"/>
      <c r="P827" s="37"/>
      <c r="Q827" s="52">
        <f t="shared" si="739"/>
        <v>0</v>
      </c>
      <c r="R827" s="12"/>
      <c r="S827" s="10"/>
      <c r="T827" s="11"/>
      <c r="U827" s="52">
        <f t="shared" si="740"/>
        <v>0</v>
      </c>
      <c r="V827" s="59">
        <f t="shared" si="741"/>
        <v>0</v>
      </c>
    </row>
    <row r="828" spans="1:22" x14ac:dyDescent="0.15">
      <c r="A828" s="19" t="s">
        <v>14</v>
      </c>
      <c r="B828" s="9"/>
      <c r="C828" s="10"/>
      <c r="D828" s="37"/>
      <c r="E828" s="52">
        <f t="shared" si="736"/>
        <v>0</v>
      </c>
      <c r="F828" s="12"/>
      <c r="G828" s="10"/>
      <c r="H828" s="11"/>
      <c r="I828" s="52">
        <f t="shared" si="737"/>
        <v>0</v>
      </c>
      <c r="J828" s="59">
        <f t="shared" si="738"/>
        <v>0</v>
      </c>
      <c r="M828" s="19" t="s">
        <v>14</v>
      </c>
      <c r="N828" s="9"/>
      <c r="O828" s="10"/>
      <c r="P828" s="37"/>
      <c r="Q828" s="52">
        <f t="shared" si="739"/>
        <v>0</v>
      </c>
      <c r="R828" s="12"/>
      <c r="S828" s="10"/>
      <c r="T828" s="11"/>
      <c r="U828" s="52">
        <f t="shared" si="740"/>
        <v>0</v>
      </c>
      <c r="V828" s="59">
        <f t="shared" si="741"/>
        <v>0</v>
      </c>
    </row>
    <row r="829" spans="1:22" ht="14.25" thickBot="1" x14ac:dyDescent="0.2">
      <c r="A829" s="19" t="s">
        <v>15</v>
      </c>
      <c r="B829" s="25"/>
      <c r="C829" s="26"/>
      <c r="D829" s="38"/>
      <c r="E829" s="53">
        <f t="shared" si="736"/>
        <v>0</v>
      </c>
      <c r="F829" s="27"/>
      <c r="G829" s="27"/>
      <c r="H829" s="29"/>
      <c r="I829" s="53">
        <f t="shared" si="737"/>
        <v>0</v>
      </c>
      <c r="J829" s="60">
        <f t="shared" si="738"/>
        <v>0</v>
      </c>
      <c r="M829" s="19" t="s">
        <v>15</v>
      </c>
      <c r="N829" s="25"/>
      <c r="O829" s="26"/>
      <c r="P829" s="38"/>
      <c r="Q829" s="53">
        <f t="shared" si="739"/>
        <v>0</v>
      </c>
      <c r="R829" s="27"/>
      <c r="S829" s="27"/>
      <c r="T829" s="29"/>
      <c r="U829" s="53">
        <f t="shared" si="740"/>
        <v>0</v>
      </c>
      <c r="V829" s="60">
        <f t="shared" si="741"/>
        <v>0</v>
      </c>
    </row>
    <row r="830" spans="1:22" ht="14.25" thickBot="1" x14ac:dyDescent="0.2">
      <c r="A830" s="28" t="s">
        <v>16</v>
      </c>
      <c r="B830" s="22">
        <f>SUM(B821:B829)</f>
        <v>2</v>
      </c>
      <c r="C830" s="23">
        <f t="shared" ref="C830:D830" si="742">SUM(C821:C829)</f>
        <v>5</v>
      </c>
      <c r="D830" s="24">
        <f t="shared" si="742"/>
        <v>7</v>
      </c>
      <c r="E830" s="54">
        <f>SUM(B830:D830)</f>
        <v>14</v>
      </c>
      <c r="F830" s="22">
        <f>SUM(F821:F829)</f>
        <v>2</v>
      </c>
      <c r="G830" s="23">
        <f t="shared" ref="G830:H830" si="743">SUM(G821:G829)</f>
        <v>4</v>
      </c>
      <c r="H830" s="24">
        <f t="shared" si="743"/>
        <v>5</v>
      </c>
      <c r="I830" s="54">
        <f>SUM(F830:H830)</f>
        <v>11</v>
      </c>
      <c r="J830" s="61">
        <f>SUM(J822:J829)</f>
        <v>0</v>
      </c>
      <c r="M830" s="28" t="s">
        <v>16</v>
      </c>
      <c r="N830" s="22">
        <f>SUM(N821:N829)</f>
        <v>426</v>
      </c>
      <c r="O830" s="23">
        <f t="shared" ref="O830:P830" si="744">SUM(O821:O829)</f>
        <v>442</v>
      </c>
      <c r="P830" s="24">
        <f t="shared" si="744"/>
        <v>474</v>
      </c>
      <c r="Q830" s="54">
        <f>SUM(N830:P830)</f>
        <v>1342</v>
      </c>
      <c r="R830" s="22">
        <f>SUM(R821:R829)</f>
        <v>650</v>
      </c>
      <c r="S830" s="23">
        <f t="shared" ref="S830:T830" si="745">SUM(S821:S829)</f>
        <v>595</v>
      </c>
      <c r="T830" s="24">
        <f t="shared" si="745"/>
        <v>548</v>
      </c>
      <c r="U830" s="54">
        <f>SUM(R830:T830)</f>
        <v>1793</v>
      </c>
      <c r="V830" s="61">
        <f>Q830+U830</f>
        <v>3135</v>
      </c>
    </row>
    <row r="831" spans="1:22" x14ac:dyDescent="0.15">
      <c r="A831" s="17"/>
      <c r="B831" s="5"/>
      <c r="C831" s="6"/>
      <c r="D831" s="7"/>
      <c r="E831" s="51">
        <f t="shared" ref="E831:E857" si="746">SUM(B831:D831)</f>
        <v>0</v>
      </c>
      <c r="F831" s="8"/>
      <c r="G831" s="6"/>
      <c r="H831" s="7"/>
      <c r="I831" s="51">
        <f t="shared" ref="I831:I857" si="747">SUM(F831:H831)</f>
        <v>0</v>
      </c>
      <c r="J831" s="59">
        <f t="shared" ref="J831:J856" si="748">E831+I831</f>
        <v>0</v>
      </c>
      <c r="M831" s="20"/>
      <c r="N831" s="5"/>
      <c r="O831" s="6"/>
      <c r="P831" s="7"/>
      <c r="Q831" s="51">
        <f t="shared" ref="Q831:Q857" si="749">SUM(N831:P831)</f>
        <v>0</v>
      </c>
      <c r="R831" s="8"/>
      <c r="S831" s="6"/>
      <c r="T831" s="7"/>
      <c r="U831" s="51">
        <f t="shared" ref="U831:U857" si="750">SUM(R831:T831)</f>
        <v>0</v>
      </c>
      <c r="V831" s="59">
        <f t="shared" ref="V831:V853" si="751">Q831+U831</f>
        <v>0</v>
      </c>
    </row>
    <row r="832" spans="1:22" x14ac:dyDescent="0.15">
      <c r="A832" s="17"/>
      <c r="B832" s="5"/>
      <c r="C832" s="6"/>
      <c r="D832" s="7"/>
      <c r="E832" s="51">
        <f t="shared" si="746"/>
        <v>0</v>
      </c>
      <c r="F832" s="8"/>
      <c r="G832" s="6"/>
      <c r="H832" s="7"/>
      <c r="I832" s="51">
        <f t="shared" si="747"/>
        <v>0</v>
      </c>
      <c r="J832" s="59">
        <f t="shared" si="748"/>
        <v>0</v>
      </c>
      <c r="M832" s="20"/>
      <c r="N832" s="5"/>
      <c r="O832" s="6"/>
      <c r="P832" s="7"/>
      <c r="Q832" s="51">
        <f t="shared" si="749"/>
        <v>0</v>
      </c>
      <c r="R832" s="8"/>
      <c r="S832" s="6"/>
      <c r="T832" s="7"/>
      <c r="U832" s="51">
        <f t="shared" si="750"/>
        <v>0</v>
      </c>
      <c r="V832" s="59">
        <f t="shared" si="751"/>
        <v>0</v>
      </c>
    </row>
    <row r="833" spans="1:22" x14ac:dyDescent="0.15">
      <c r="A833" s="17"/>
      <c r="B833" s="5"/>
      <c r="C833" s="6"/>
      <c r="D833" s="7"/>
      <c r="E833" s="51">
        <f t="shared" si="746"/>
        <v>0</v>
      </c>
      <c r="F833" s="8"/>
      <c r="G833" s="6"/>
      <c r="H833" s="7"/>
      <c r="I833" s="51">
        <f t="shared" si="747"/>
        <v>0</v>
      </c>
      <c r="J833" s="59">
        <f t="shared" si="748"/>
        <v>0</v>
      </c>
      <c r="M833" s="20"/>
      <c r="N833" s="5"/>
      <c r="O833" s="6"/>
      <c r="P833" s="7"/>
      <c r="Q833" s="51">
        <f t="shared" si="749"/>
        <v>0</v>
      </c>
      <c r="R833" s="8"/>
      <c r="S833" s="6"/>
      <c r="T833" s="7"/>
      <c r="U833" s="51">
        <f t="shared" si="750"/>
        <v>0</v>
      </c>
      <c r="V833" s="59">
        <f t="shared" si="751"/>
        <v>0</v>
      </c>
    </row>
    <row r="834" spans="1:22" x14ac:dyDescent="0.15">
      <c r="A834" s="17"/>
      <c r="B834" s="5"/>
      <c r="C834" s="6"/>
      <c r="D834" s="7"/>
      <c r="E834" s="51">
        <f t="shared" si="746"/>
        <v>0</v>
      </c>
      <c r="F834" s="8"/>
      <c r="G834" s="6"/>
      <c r="H834" s="7"/>
      <c r="I834" s="51">
        <f t="shared" si="747"/>
        <v>0</v>
      </c>
      <c r="J834" s="59">
        <f t="shared" si="748"/>
        <v>0</v>
      </c>
      <c r="M834" s="18"/>
      <c r="N834" s="5"/>
      <c r="O834" s="6"/>
      <c r="P834" s="7"/>
      <c r="Q834" s="51">
        <f t="shared" si="749"/>
        <v>0</v>
      </c>
      <c r="R834" s="8"/>
      <c r="S834" s="6"/>
      <c r="T834" s="7"/>
      <c r="U834" s="51">
        <f t="shared" si="750"/>
        <v>0</v>
      </c>
      <c r="V834" s="59">
        <f t="shared" si="751"/>
        <v>0</v>
      </c>
    </row>
    <row r="835" spans="1:22" x14ac:dyDescent="0.15">
      <c r="A835" s="17"/>
      <c r="B835" s="5"/>
      <c r="C835" s="6"/>
      <c r="D835" s="7"/>
      <c r="E835" s="51">
        <f t="shared" si="746"/>
        <v>0</v>
      </c>
      <c r="F835" s="8"/>
      <c r="G835" s="6"/>
      <c r="H835" s="7"/>
      <c r="I835" s="51">
        <f t="shared" si="747"/>
        <v>0</v>
      </c>
      <c r="J835" s="59">
        <f t="shared" si="748"/>
        <v>0</v>
      </c>
      <c r="M835" s="18"/>
      <c r="N835" s="5"/>
      <c r="O835" s="6"/>
      <c r="P835" s="7"/>
      <c r="Q835" s="51">
        <f t="shared" si="749"/>
        <v>0</v>
      </c>
      <c r="R835" s="8"/>
      <c r="S835" s="6"/>
      <c r="T835" s="7"/>
      <c r="U835" s="51">
        <f t="shared" si="750"/>
        <v>0</v>
      </c>
      <c r="V835" s="59">
        <f t="shared" si="751"/>
        <v>0</v>
      </c>
    </row>
    <row r="836" spans="1:22" x14ac:dyDescent="0.15">
      <c r="A836" s="17"/>
      <c r="B836" s="5"/>
      <c r="C836" s="6"/>
      <c r="D836" s="14"/>
      <c r="E836" s="51">
        <f t="shared" si="746"/>
        <v>0</v>
      </c>
      <c r="F836" s="15"/>
      <c r="G836" s="13"/>
      <c r="H836" s="14"/>
      <c r="I836" s="51">
        <f t="shared" si="747"/>
        <v>0</v>
      </c>
      <c r="J836" s="59">
        <f t="shared" si="748"/>
        <v>0</v>
      </c>
      <c r="M836" s="20"/>
      <c r="N836" s="5"/>
      <c r="O836" s="6"/>
      <c r="P836" s="14"/>
      <c r="Q836" s="51">
        <f t="shared" si="749"/>
        <v>0</v>
      </c>
      <c r="R836" s="15"/>
      <c r="S836" s="13"/>
      <c r="T836" s="14"/>
      <c r="U836" s="51">
        <f t="shared" si="750"/>
        <v>0</v>
      </c>
      <c r="V836" s="59">
        <f t="shared" si="751"/>
        <v>0</v>
      </c>
    </row>
    <row r="837" spans="1:22" x14ac:dyDescent="0.15">
      <c r="A837" s="17"/>
      <c r="B837" s="5"/>
      <c r="C837" s="6"/>
      <c r="D837" s="7"/>
      <c r="E837" s="51">
        <f t="shared" si="746"/>
        <v>0</v>
      </c>
      <c r="F837" s="8"/>
      <c r="G837" s="6"/>
      <c r="H837" s="7"/>
      <c r="I837" s="51">
        <f t="shared" si="747"/>
        <v>0</v>
      </c>
      <c r="J837" s="59">
        <f t="shared" si="748"/>
        <v>0</v>
      </c>
      <c r="M837" s="42"/>
      <c r="N837" s="5"/>
      <c r="O837" s="6"/>
      <c r="P837" s="7"/>
      <c r="Q837" s="51">
        <f t="shared" si="749"/>
        <v>0</v>
      </c>
      <c r="R837" s="8"/>
      <c r="S837" s="6"/>
      <c r="T837" s="7"/>
      <c r="U837" s="51">
        <f t="shared" si="750"/>
        <v>0</v>
      </c>
      <c r="V837" s="59">
        <f t="shared" si="751"/>
        <v>0</v>
      </c>
    </row>
    <row r="838" spans="1:22" x14ac:dyDescent="0.15">
      <c r="A838" s="17"/>
      <c r="B838" s="5"/>
      <c r="C838" s="6"/>
      <c r="D838" s="7"/>
      <c r="E838" s="51">
        <f t="shared" si="746"/>
        <v>0</v>
      </c>
      <c r="F838" s="8"/>
      <c r="G838" s="6"/>
      <c r="H838" s="7"/>
      <c r="I838" s="51">
        <f t="shared" si="747"/>
        <v>0</v>
      </c>
      <c r="J838" s="59">
        <f t="shared" si="748"/>
        <v>0</v>
      </c>
      <c r="M838" s="18"/>
      <c r="N838" s="5" t="s">
        <v>22</v>
      </c>
      <c r="O838" s="6"/>
      <c r="P838" s="7"/>
      <c r="Q838" s="51">
        <f t="shared" si="749"/>
        <v>0</v>
      </c>
      <c r="R838" s="8"/>
      <c r="S838" s="6"/>
      <c r="T838" s="7"/>
      <c r="U838" s="51">
        <f t="shared" si="750"/>
        <v>0</v>
      </c>
      <c r="V838" s="59">
        <f t="shared" si="751"/>
        <v>0</v>
      </c>
    </row>
    <row r="839" spans="1:22" x14ac:dyDescent="0.15">
      <c r="A839" s="17"/>
      <c r="B839" s="5"/>
      <c r="C839" s="6"/>
      <c r="D839" s="7"/>
      <c r="E839" s="51">
        <f t="shared" si="746"/>
        <v>0</v>
      </c>
      <c r="F839" s="8"/>
      <c r="G839" s="6"/>
      <c r="H839" s="7"/>
      <c r="I839" s="51">
        <f t="shared" si="747"/>
        <v>0</v>
      </c>
      <c r="J839" s="59">
        <f t="shared" si="748"/>
        <v>0</v>
      </c>
      <c r="M839" s="20"/>
      <c r="N839" s="5"/>
      <c r="O839" s="6"/>
      <c r="P839" s="7"/>
      <c r="Q839" s="51">
        <f t="shared" si="749"/>
        <v>0</v>
      </c>
      <c r="R839" s="8"/>
      <c r="S839" s="6"/>
      <c r="T839" s="7"/>
      <c r="U839" s="51">
        <f t="shared" si="750"/>
        <v>0</v>
      </c>
      <c r="V839" s="59">
        <f t="shared" si="751"/>
        <v>0</v>
      </c>
    </row>
    <row r="840" spans="1:22" x14ac:dyDescent="0.15">
      <c r="A840" s="18"/>
      <c r="B840" s="9"/>
      <c r="C840" s="10"/>
      <c r="D840" s="11"/>
      <c r="E840" s="51">
        <f t="shared" si="746"/>
        <v>0</v>
      </c>
      <c r="F840" s="12"/>
      <c r="G840" s="10"/>
      <c r="H840" s="11"/>
      <c r="I840" s="51">
        <f t="shared" si="747"/>
        <v>0</v>
      </c>
      <c r="J840" s="59">
        <f t="shared" si="748"/>
        <v>0</v>
      </c>
      <c r="M840" s="18"/>
      <c r="N840" s="9"/>
      <c r="O840" s="10"/>
      <c r="P840" s="11"/>
      <c r="Q840" s="51">
        <f t="shared" si="749"/>
        <v>0</v>
      </c>
      <c r="R840" s="12"/>
      <c r="S840" s="10"/>
      <c r="T840" s="11"/>
      <c r="U840" s="51">
        <f t="shared" si="750"/>
        <v>0</v>
      </c>
      <c r="V840" s="59">
        <f t="shared" si="751"/>
        <v>0</v>
      </c>
    </row>
    <row r="841" spans="1:22" x14ac:dyDescent="0.15">
      <c r="A841" s="17"/>
      <c r="B841" s="5"/>
      <c r="C841" s="6"/>
      <c r="D841" s="7"/>
      <c r="E841" s="51">
        <f t="shared" si="746"/>
        <v>0</v>
      </c>
      <c r="F841" s="8"/>
      <c r="G841" s="6"/>
      <c r="H841" s="7"/>
      <c r="I841" s="51">
        <f t="shared" si="747"/>
        <v>0</v>
      </c>
      <c r="J841" s="59">
        <f t="shared" si="748"/>
        <v>0</v>
      </c>
      <c r="M841" s="20"/>
      <c r="N841" s="5"/>
      <c r="O841" s="6"/>
      <c r="P841" s="7"/>
      <c r="Q841" s="51">
        <f t="shared" si="749"/>
        <v>0</v>
      </c>
      <c r="R841" s="8"/>
      <c r="S841" s="6"/>
      <c r="T841" s="7"/>
      <c r="U841" s="51">
        <f t="shared" si="750"/>
        <v>0</v>
      </c>
      <c r="V841" s="59">
        <f t="shared" si="751"/>
        <v>0</v>
      </c>
    </row>
    <row r="842" spans="1:22" x14ac:dyDescent="0.15">
      <c r="A842" s="17"/>
      <c r="B842" s="5"/>
      <c r="C842" s="6"/>
      <c r="D842" s="7"/>
      <c r="E842" s="51">
        <f t="shared" si="746"/>
        <v>0</v>
      </c>
      <c r="F842" s="8"/>
      <c r="G842" s="6"/>
      <c r="H842" s="7"/>
      <c r="I842" s="51">
        <f t="shared" si="747"/>
        <v>0</v>
      </c>
      <c r="J842" s="59">
        <f t="shared" si="748"/>
        <v>0</v>
      </c>
      <c r="M842" s="20"/>
      <c r="N842" s="5"/>
      <c r="O842" s="6"/>
      <c r="P842" s="7"/>
      <c r="Q842" s="51">
        <f t="shared" si="749"/>
        <v>0</v>
      </c>
      <c r="R842" s="8"/>
      <c r="S842" s="6"/>
      <c r="T842" s="7"/>
      <c r="U842" s="51">
        <f t="shared" si="750"/>
        <v>0</v>
      </c>
      <c r="V842" s="59">
        <f t="shared" si="751"/>
        <v>0</v>
      </c>
    </row>
    <row r="843" spans="1:22" x14ac:dyDescent="0.15">
      <c r="A843" s="17"/>
      <c r="B843" s="5"/>
      <c r="C843" s="6"/>
      <c r="D843" s="7"/>
      <c r="E843" s="51">
        <f t="shared" si="746"/>
        <v>0</v>
      </c>
      <c r="F843" s="8"/>
      <c r="G843" s="6"/>
      <c r="H843" s="7"/>
      <c r="I843" s="51">
        <f t="shared" si="747"/>
        <v>0</v>
      </c>
      <c r="J843" s="59">
        <f t="shared" si="748"/>
        <v>0</v>
      </c>
      <c r="M843" s="18"/>
      <c r="N843" s="5"/>
      <c r="O843" s="6"/>
      <c r="P843" s="7"/>
      <c r="Q843" s="51">
        <f t="shared" si="749"/>
        <v>0</v>
      </c>
      <c r="R843" s="8"/>
      <c r="S843" s="6"/>
      <c r="T843" s="7"/>
      <c r="U843" s="51">
        <f t="shared" si="750"/>
        <v>0</v>
      </c>
      <c r="V843" s="59">
        <f t="shared" si="751"/>
        <v>0</v>
      </c>
    </row>
    <row r="844" spans="1:22" x14ac:dyDescent="0.15">
      <c r="A844" s="17"/>
      <c r="B844" s="5"/>
      <c r="C844" s="6"/>
      <c r="D844" s="7"/>
      <c r="E844" s="51">
        <f t="shared" si="746"/>
        <v>0</v>
      </c>
      <c r="F844" s="8"/>
      <c r="G844" s="6"/>
      <c r="H844" s="7"/>
      <c r="I844" s="51">
        <f t="shared" si="747"/>
        <v>0</v>
      </c>
      <c r="J844" s="59">
        <f t="shared" si="748"/>
        <v>0</v>
      </c>
      <c r="M844" s="18"/>
      <c r="N844" s="5"/>
      <c r="O844" s="6"/>
      <c r="P844" s="7"/>
      <c r="Q844" s="51">
        <f t="shared" si="749"/>
        <v>0</v>
      </c>
      <c r="R844" s="8"/>
      <c r="S844" s="6"/>
      <c r="T844" s="7"/>
      <c r="U844" s="51">
        <f t="shared" si="750"/>
        <v>0</v>
      </c>
      <c r="V844" s="59">
        <f t="shared" si="751"/>
        <v>0</v>
      </c>
    </row>
    <row r="845" spans="1:22" x14ac:dyDescent="0.15">
      <c r="A845" s="17"/>
      <c r="B845" s="5"/>
      <c r="C845" s="6"/>
      <c r="D845" s="7"/>
      <c r="E845" s="51">
        <f t="shared" si="746"/>
        <v>0</v>
      </c>
      <c r="F845" s="8"/>
      <c r="G845" s="6"/>
      <c r="H845" s="7"/>
      <c r="I845" s="51">
        <f t="shared" si="747"/>
        <v>0</v>
      </c>
      <c r="J845" s="59">
        <f t="shared" si="748"/>
        <v>0</v>
      </c>
      <c r="M845" s="20"/>
      <c r="N845" s="5"/>
      <c r="O845" s="6"/>
      <c r="P845" s="7"/>
      <c r="Q845" s="51">
        <f t="shared" si="749"/>
        <v>0</v>
      </c>
      <c r="R845" s="8"/>
      <c r="S845" s="6"/>
      <c r="T845" s="7"/>
      <c r="U845" s="51">
        <f t="shared" si="750"/>
        <v>0</v>
      </c>
      <c r="V845" s="59">
        <f t="shared" si="751"/>
        <v>0</v>
      </c>
    </row>
    <row r="846" spans="1:22" x14ac:dyDescent="0.15">
      <c r="A846" s="17"/>
      <c r="B846" s="5"/>
      <c r="C846" s="6"/>
      <c r="D846" s="7"/>
      <c r="E846" s="51">
        <f t="shared" si="746"/>
        <v>0</v>
      </c>
      <c r="F846" s="8"/>
      <c r="G846" s="6"/>
      <c r="H846" s="7"/>
      <c r="I846" s="51">
        <f t="shared" si="747"/>
        <v>0</v>
      </c>
      <c r="J846" s="59">
        <f t="shared" si="748"/>
        <v>0</v>
      </c>
      <c r="M846" s="20"/>
      <c r="N846" s="5"/>
      <c r="O846" s="6"/>
      <c r="P846" s="7"/>
      <c r="Q846" s="51">
        <f t="shared" si="749"/>
        <v>0</v>
      </c>
      <c r="R846" s="8"/>
      <c r="S846" s="6"/>
      <c r="T846" s="7"/>
      <c r="U846" s="51">
        <f t="shared" si="750"/>
        <v>0</v>
      </c>
      <c r="V846" s="59">
        <f t="shared" si="751"/>
        <v>0</v>
      </c>
    </row>
    <row r="847" spans="1:22" x14ac:dyDescent="0.15">
      <c r="A847" s="17"/>
      <c r="B847" s="5"/>
      <c r="C847" s="6"/>
      <c r="D847" s="7"/>
      <c r="E847" s="51">
        <f t="shared" si="746"/>
        <v>0</v>
      </c>
      <c r="F847" s="8"/>
      <c r="G847" s="6"/>
      <c r="H847" s="7"/>
      <c r="I847" s="51">
        <f t="shared" si="747"/>
        <v>0</v>
      </c>
      <c r="J847" s="59">
        <f t="shared" si="748"/>
        <v>0</v>
      </c>
      <c r="M847" s="18"/>
      <c r="N847" s="5"/>
      <c r="O847" s="6"/>
      <c r="P847" s="7"/>
      <c r="Q847" s="51">
        <f t="shared" si="749"/>
        <v>0</v>
      </c>
      <c r="R847" s="8"/>
      <c r="S847" s="6"/>
      <c r="T847" s="7"/>
      <c r="U847" s="51">
        <f t="shared" si="750"/>
        <v>0</v>
      </c>
      <c r="V847" s="59">
        <f t="shared" si="751"/>
        <v>0</v>
      </c>
    </row>
    <row r="848" spans="1:22" x14ac:dyDescent="0.15">
      <c r="A848" s="17"/>
      <c r="B848" s="5"/>
      <c r="C848" s="6"/>
      <c r="D848" s="7"/>
      <c r="E848" s="51">
        <f t="shared" si="746"/>
        <v>0</v>
      </c>
      <c r="F848" s="8"/>
      <c r="G848" s="6"/>
      <c r="H848" s="7"/>
      <c r="I848" s="51">
        <f t="shared" si="747"/>
        <v>0</v>
      </c>
      <c r="J848" s="59">
        <f t="shared" si="748"/>
        <v>0</v>
      </c>
      <c r="M848" s="20"/>
      <c r="N848" s="5"/>
      <c r="O848" s="6"/>
      <c r="P848" s="7"/>
      <c r="Q848" s="51">
        <f t="shared" si="749"/>
        <v>0</v>
      </c>
      <c r="R848" s="8"/>
      <c r="S848" s="6"/>
      <c r="T848" s="7"/>
      <c r="U848" s="51">
        <f t="shared" si="750"/>
        <v>0</v>
      </c>
      <c r="V848" s="59">
        <f t="shared" si="751"/>
        <v>0</v>
      </c>
    </row>
    <row r="849" spans="1:22" x14ac:dyDescent="0.15">
      <c r="A849" s="18"/>
      <c r="B849" s="5"/>
      <c r="C849" s="6"/>
      <c r="D849" s="7"/>
      <c r="E849" s="51">
        <f t="shared" si="746"/>
        <v>0</v>
      </c>
      <c r="F849" s="8"/>
      <c r="G849" s="6"/>
      <c r="H849" s="7"/>
      <c r="I849" s="51">
        <f t="shared" si="747"/>
        <v>0</v>
      </c>
      <c r="J849" s="59">
        <f t="shared" si="748"/>
        <v>0</v>
      </c>
      <c r="M849" s="20"/>
      <c r="N849" s="5"/>
      <c r="O849" s="6"/>
      <c r="P849" s="7"/>
      <c r="Q849" s="51">
        <f t="shared" si="749"/>
        <v>0</v>
      </c>
      <c r="R849" s="8"/>
      <c r="S849" s="6"/>
      <c r="T849" s="7"/>
      <c r="U849" s="51">
        <f t="shared" si="750"/>
        <v>0</v>
      </c>
      <c r="V849" s="59">
        <f t="shared" si="751"/>
        <v>0</v>
      </c>
    </row>
    <row r="850" spans="1:22" x14ac:dyDescent="0.15">
      <c r="A850" s="17"/>
      <c r="B850" s="5"/>
      <c r="C850" s="6"/>
      <c r="D850" s="7"/>
      <c r="E850" s="51">
        <f t="shared" si="746"/>
        <v>0</v>
      </c>
      <c r="F850" s="8"/>
      <c r="G850" s="6"/>
      <c r="H850" s="7"/>
      <c r="I850" s="51">
        <f t="shared" si="747"/>
        <v>0</v>
      </c>
      <c r="J850" s="59">
        <f t="shared" si="748"/>
        <v>0</v>
      </c>
      <c r="M850" s="20"/>
      <c r="N850" s="5"/>
      <c r="O850" s="6"/>
      <c r="P850" s="7"/>
      <c r="Q850" s="51">
        <f t="shared" si="749"/>
        <v>0</v>
      </c>
      <c r="R850" s="8"/>
      <c r="S850" s="6"/>
      <c r="T850" s="7"/>
      <c r="U850" s="51">
        <f t="shared" si="750"/>
        <v>0</v>
      </c>
      <c r="V850" s="59">
        <f t="shared" si="751"/>
        <v>0</v>
      </c>
    </row>
    <row r="851" spans="1:22" x14ac:dyDescent="0.15">
      <c r="A851" s="18"/>
      <c r="B851" s="5"/>
      <c r="C851" s="6"/>
      <c r="D851" s="7"/>
      <c r="E851" s="51">
        <f t="shared" si="746"/>
        <v>0</v>
      </c>
      <c r="F851" s="8"/>
      <c r="G851" s="6"/>
      <c r="H851" s="7"/>
      <c r="I851" s="51">
        <f t="shared" si="747"/>
        <v>0</v>
      </c>
      <c r="J851" s="59">
        <f t="shared" si="748"/>
        <v>0</v>
      </c>
      <c r="M851" s="20"/>
      <c r="N851" s="5"/>
      <c r="O851" s="6"/>
      <c r="P851" s="7"/>
      <c r="Q851" s="51">
        <f t="shared" si="749"/>
        <v>0</v>
      </c>
      <c r="R851" s="8"/>
      <c r="S851" s="6"/>
      <c r="T851" s="7"/>
      <c r="U851" s="51">
        <f t="shared" si="750"/>
        <v>0</v>
      </c>
      <c r="V851" s="59">
        <f t="shared" si="751"/>
        <v>0</v>
      </c>
    </row>
    <row r="852" spans="1:22" x14ac:dyDescent="0.15">
      <c r="A852" s="17"/>
      <c r="B852" s="9"/>
      <c r="C852" s="10"/>
      <c r="D852" s="11"/>
      <c r="E852" s="51">
        <f t="shared" si="746"/>
        <v>0</v>
      </c>
      <c r="F852" s="12"/>
      <c r="G852" s="10"/>
      <c r="H852" s="11"/>
      <c r="I852" s="51">
        <f t="shared" si="747"/>
        <v>0</v>
      </c>
      <c r="J852" s="59">
        <f t="shared" si="748"/>
        <v>0</v>
      </c>
      <c r="M852" s="20"/>
      <c r="N852" s="5"/>
      <c r="O852" s="6"/>
      <c r="P852" s="7"/>
      <c r="Q852" s="51">
        <f t="shared" si="749"/>
        <v>0</v>
      </c>
      <c r="R852" s="8"/>
      <c r="S852" s="6"/>
      <c r="T852" s="7"/>
      <c r="U852" s="51">
        <f t="shared" si="750"/>
        <v>0</v>
      </c>
      <c r="V852" s="59">
        <f t="shared" si="751"/>
        <v>0</v>
      </c>
    </row>
    <row r="853" spans="1:22" x14ac:dyDescent="0.15">
      <c r="A853" s="17"/>
      <c r="B853" s="5"/>
      <c r="C853" s="6"/>
      <c r="D853" s="7"/>
      <c r="E853" s="51">
        <f t="shared" si="746"/>
        <v>0</v>
      </c>
      <c r="F853" s="8"/>
      <c r="G853" s="6"/>
      <c r="H853" s="7"/>
      <c r="I853" s="51">
        <f t="shared" si="747"/>
        <v>0</v>
      </c>
      <c r="J853" s="59">
        <f t="shared" si="748"/>
        <v>0</v>
      </c>
      <c r="M853" s="20"/>
      <c r="N853" s="5"/>
      <c r="O853" s="6"/>
      <c r="P853" s="7"/>
      <c r="Q853" s="51">
        <f t="shared" si="749"/>
        <v>0</v>
      </c>
      <c r="R853" s="8"/>
      <c r="S853" s="6"/>
      <c r="T853" s="7"/>
      <c r="U853" s="51">
        <f t="shared" si="750"/>
        <v>0</v>
      </c>
      <c r="V853" s="59">
        <f t="shared" si="751"/>
        <v>0</v>
      </c>
    </row>
    <row r="854" spans="1:22" x14ac:dyDescent="0.15">
      <c r="A854" s="17"/>
      <c r="B854" s="9"/>
      <c r="C854" s="10"/>
      <c r="D854" s="11"/>
      <c r="E854" s="52">
        <f t="shared" si="746"/>
        <v>0</v>
      </c>
      <c r="F854" s="12"/>
      <c r="G854" s="10"/>
      <c r="H854" s="11"/>
      <c r="I854" s="52">
        <f t="shared" si="747"/>
        <v>0</v>
      </c>
      <c r="J854" s="59">
        <f t="shared" si="748"/>
        <v>0</v>
      </c>
      <c r="M854" s="20"/>
      <c r="N854" s="5"/>
      <c r="O854" s="6"/>
      <c r="P854" s="7"/>
      <c r="Q854" s="51">
        <f t="shared" ref="Q854:Q856" si="752">SUM(N854:P854)</f>
        <v>0</v>
      </c>
      <c r="R854" s="8"/>
      <c r="S854" s="6"/>
      <c r="T854" s="7"/>
      <c r="U854" s="51">
        <f t="shared" ref="U854:U856" si="753">SUM(R854:T854)</f>
        <v>0</v>
      </c>
      <c r="V854" s="59">
        <f t="shared" ref="V854:V856" si="754">Q854+U854</f>
        <v>0</v>
      </c>
    </row>
    <row r="855" spans="1:22" x14ac:dyDescent="0.15">
      <c r="A855" s="17"/>
      <c r="B855" s="5"/>
      <c r="C855" s="6"/>
      <c r="D855" s="7"/>
      <c r="E855" s="51">
        <f t="shared" si="746"/>
        <v>0</v>
      </c>
      <c r="F855" s="8"/>
      <c r="G855" s="6"/>
      <c r="H855" s="7"/>
      <c r="I855" s="51">
        <f t="shared" si="747"/>
        <v>0</v>
      </c>
      <c r="J855" s="59">
        <f t="shared" si="748"/>
        <v>0</v>
      </c>
      <c r="M855" s="20"/>
      <c r="N855" s="5"/>
      <c r="O855" s="6"/>
      <c r="P855" s="7"/>
      <c r="Q855" s="51">
        <f t="shared" si="752"/>
        <v>0</v>
      </c>
      <c r="R855" s="8"/>
      <c r="S855" s="6"/>
      <c r="T855" s="7"/>
      <c r="U855" s="51">
        <f t="shared" si="753"/>
        <v>0</v>
      </c>
      <c r="V855" s="59">
        <f t="shared" si="754"/>
        <v>0</v>
      </c>
    </row>
    <row r="856" spans="1:22" ht="14.25" thickBot="1" x14ac:dyDescent="0.2">
      <c r="A856" s="17"/>
      <c r="B856" s="9"/>
      <c r="C856" s="10"/>
      <c r="D856" s="11"/>
      <c r="E856" s="55">
        <f t="shared" si="746"/>
        <v>0</v>
      </c>
      <c r="F856" s="12"/>
      <c r="G856" s="10"/>
      <c r="H856" s="11"/>
      <c r="I856" s="55">
        <f t="shared" si="747"/>
        <v>0</v>
      </c>
      <c r="J856" s="59">
        <f t="shared" si="748"/>
        <v>0</v>
      </c>
      <c r="M856" s="20"/>
      <c r="N856" s="5"/>
      <c r="O856" s="6"/>
      <c r="P856" s="7"/>
      <c r="Q856" s="51">
        <f t="shared" si="752"/>
        <v>0</v>
      </c>
      <c r="R856" s="8"/>
      <c r="S856" s="6"/>
      <c r="T856" s="7"/>
      <c r="U856" s="51">
        <f t="shared" si="753"/>
        <v>0</v>
      </c>
      <c r="V856" s="59">
        <f t="shared" si="754"/>
        <v>0</v>
      </c>
    </row>
    <row r="857" spans="1:22" ht="14.25" thickBot="1" x14ac:dyDescent="0.2">
      <c r="A857" s="31" t="s">
        <v>19</v>
      </c>
      <c r="B857" s="34">
        <f>SUM(B831:B856)</f>
        <v>0</v>
      </c>
      <c r="C857" s="35">
        <f t="shared" ref="C857:D857" si="755">SUM(C831:C856)</f>
        <v>0</v>
      </c>
      <c r="D857" s="39">
        <f t="shared" si="755"/>
        <v>0</v>
      </c>
      <c r="E857" s="56">
        <f t="shared" si="746"/>
        <v>0</v>
      </c>
      <c r="F857" s="34">
        <f>SUM(F831:F856)</f>
        <v>0</v>
      </c>
      <c r="G857" s="35">
        <f t="shared" ref="G857:H857" si="756">SUM(G831:G856)</f>
        <v>0</v>
      </c>
      <c r="H857" s="39">
        <f t="shared" si="756"/>
        <v>0</v>
      </c>
      <c r="I857" s="56">
        <f t="shared" si="747"/>
        <v>0</v>
      </c>
      <c r="J857" s="62">
        <f>E857+I857</f>
        <v>0</v>
      </c>
      <c r="M857" s="31" t="s">
        <v>19</v>
      </c>
      <c r="N857" s="34">
        <f>SUM(N831:N856)</f>
        <v>0</v>
      </c>
      <c r="O857" s="35">
        <f t="shared" ref="O857:P857" si="757">SUM(O831:O856)</f>
        <v>0</v>
      </c>
      <c r="P857" s="39">
        <f t="shared" si="757"/>
        <v>0</v>
      </c>
      <c r="Q857" s="56">
        <f t="shared" si="749"/>
        <v>0</v>
      </c>
      <c r="R857" s="34">
        <f>SUM(R831:R856)</f>
        <v>0</v>
      </c>
      <c r="S857" s="35">
        <f t="shared" ref="S857:T857" si="758">SUM(S831:S856)</f>
        <v>0</v>
      </c>
      <c r="T857" s="39">
        <f t="shared" si="758"/>
        <v>0</v>
      </c>
      <c r="U857" s="56">
        <f t="shared" si="750"/>
        <v>0</v>
      </c>
      <c r="V857" s="62">
        <f>Q857+U857</f>
        <v>0</v>
      </c>
    </row>
    <row r="858" spans="1:22" ht="14.25" thickBot="1" x14ac:dyDescent="0.2">
      <c r="A858" s="16" t="s">
        <v>17</v>
      </c>
      <c r="B858" s="63">
        <f>B830-B857</f>
        <v>2</v>
      </c>
      <c r="C858" s="64">
        <f t="shared" ref="C858:D858" si="759">C830-C857</f>
        <v>5</v>
      </c>
      <c r="D858" s="65">
        <f t="shared" si="759"/>
        <v>7</v>
      </c>
      <c r="E858" s="57">
        <f>SUM(B858:D858)</f>
        <v>14</v>
      </c>
      <c r="F858" s="63">
        <f>F830-F857</f>
        <v>2</v>
      </c>
      <c r="G858" s="64">
        <f t="shared" ref="G858:H858" si="760">G830-G857</f>
        <v>4</v>
      </c>
      <c r="H858" s="65">
        <f t="shared" si="760"/>
        <v>5</v>
      </c>
      <c r="I858" s="57">
        <f>SUM(F858:H858)</f>
        <v>11</v>
      </c>
      <c r="J858" s="61">
        <f>E858+I858</f>
        <v>25</v>
      </c>
      <c r="M858" s="16" t="s">
        <v>17</v>
      </c>
      <c r="N858" s="63">
        <f>N830-N857</f>
        <v>426</v>
      </c>
      <c r="O858" s="64">
        <f t="shared" ref="O858:P858" si="761">O830-O857</f>
        <v>442</v>
      </c>
      <c r="P858" s="65">
        <f t="shared" si="761"/>
        <v>474</v>
      </c>
      <c r="Q858" s="57">
        <f>SUM(N858:P858)</f>
        <v>1342</v>
      </c>
      <c r="R858" s="63">
        <f>R830-R857</f>
        <v>650</v>
      </c>
      <c r="S858" s="64">
        <f t="shared" ref="S858:T858" si="762">S830-S857</f>
        <v>595</v>
      </c>
      <c r="T858" s="65">
        <f t="shared" si="762"/>
        <v>548</v>
      </c>
      <c r="U858" s="57">
        <f>SUM(R858:T858)</f>
        <v>1793</v>
      </c>
      <c r="V858" s="61">
        <f>Q858+U858</f>
        <v>3135</v>
      </c>
    </row>
  </sheetData>
  <mergeCells count="117">
    <mergeCell ref="N819:Q819"/>
    <mergeCell ref="R819:U819"/>
    <mergeCell ref="B819:E819"/>
    <mergeCell ref="F819:I819"/>
    <mergeCell ref="J819:J820"/>
    <mergeCell ref="N776:Q776"/>
    <mergeCell ref="R776:U776"/>
    <mergeCell ref="B776:E776"/>
    <mergeCell ref="F776:I776"/>
    <mergeCell ref="J776:J777"/>
    <mergeCell ref="N733:Q733"/>
    <mergeCell ref="R733:U733"/>
    <mergeCell ref="B733:E733"/>
    <mergeCell ref="F733:I733"/>
    <mergeCell ref="J733:J734"/>
    <mergeCell ref="N690:Q690"/>
    <mergeCell ref="R690:U690"/>
    <mergeCell ref="B690:E690"/>
    <mergeCell ref="F690:I690"/>
    <mergeCell ref="J690:J691"/>
    <mergeCell ref="V561:V562"/>
    <mergeCell ref="B561:E561"/>
    <mergeCell ref="F561:I561"/>
    <mergeCell ref="J561:J562"/>
    <mergeCell ref="N561:Q561"/>
    <mergeCell ref="R561:U561"/>
    <mergeCell ref="F217:I217"/>
    <mergeCell ref="J217:J218"/>
    <mergeCell ref="B260:E260"/>
    <mergeCell ref="F260:I260"/>
    <mergeCell ref="J260:J261"/>
    <mergeCell ref="N260:Q260"/>
    <mergeCell ref="R260:U260"/>
    <mergeCell ref="N518:Q518"/>
    <mergeCell ref="R518:U518"/>
    <mergeCell ref="B432:E432"/>
    <mergeCell ref="J303:J304"/>
    <mergeCell ref="B518:E518"/>
    <mergeCell ref="F518:I518"/>
    <mergeCell ref="J518:J519"/>
    <mergeCell ref="B475:E475"/>
    <mergeCell ref="F475:I475"/>
    <mergeCell ref="J475:J476"/>
    <mergeCell ref="N475:Q475"/>
    <mergeCell ref="R475:U475"/>
    <mergeCell ref="N174:Q174"/>
    <mergeCell ref="R174:U174"/>
    <mergeCell ref="V174:V175"/>
    <mergeCell ref="B174:E174"/>
    <mergeCell ref="F174:I174"/>
    <mergeCell ref="J174:J175"/>
    <mergeCell ref="F432:I432"/>
    <mergeCell ref="J432:J433"/>
    <mergeCell ref="N432:Q432"/>
    <mergeCell ref="R432:U432"/>
    <mergeCell ref="J346:J347"/>
    <mergeCell ref="N346:Q346"/>
    <mergeCell ref="R346:U346"/>
    <mergeCell ref="N303:Q303"/>
    <mergeCell ref="R303:U303"/>
    <mergeCell ref="A345:V345"/>
    <mergeCell ref="V303:V304"/>
    <mergeCell ref="B303:E303"/>
    <mergeCell ref="V260:V261"/>
    <mergeCell ref="N217:Q217"/>
    <mergeCell ref="R217:U217"/>
    <mergeCell ref="V217:V218"/>
    <mergeCell ref="B217:E217"/>
    <mergeCell ref="F303:I303"/>
    <mergeCell ref="N88:Q88"/>
    <mergeCell ref="R88:U88"/>
    <mergeCell ref="V88:V89"/>
    <mergeCell ref="N131:Q131"/>
    <mergeCell ref="R131:U131"/>
    <mergeCell ref="V131:V132"/>
    <mergeCell ref="B88:E88"/>
    <mergeCell ref="F88:I88"/>
    <mergeCell ref="J88:J89"/>
    <mergeCell ref="B131:E131"/>
    <mergeCell ref="F131:I131"/>
    <mergeCell ref="J131:J132"/>
    <mergeCell ref="V2:V3"/>
    <mergeCell ref="B45:E45"/>
    <mergeCell ref="F45:I45"/>
    <mergeCell ref="J45:J46"/>
    <mergeCell ref="N45:Q45"/>
    <mergeCell ref="R45:U45"/>
    <mergeCell ref="B2:E2"/>
    <mergeCell ref="F2:I2"/>
    <mergeCell ref="J2:J3"/>
    <mergeCell ref="N2:Q2"/>
    <mergeCell ref="R2:U2"/>
    <mergeCell ref="V45:V46"/>
    <mergeCell ref="V432:V433"/>
    <mergeCell ref="V346:V347"/>
    <mergeCell ref="B389:E389"/>
    <mergeCell ref="F389:I389"/>
    <mergeCell ref="J389:J390"/>
    <mergeCell ref="A602:V602"/>
    <mergeCell ref="B647:E647"/>
    <mergeCell ref="F647:I647"/>
    <mergeCell ref="J647:J648"/>
    <mergeCell ref="N647:Q647"/>
    <mergeCell ref="R647:U647"/>
    <mergeCell ref="N604:Q604"/>
    <mergeCell ref="R604:U604"/>
    <mergeCell ref="V604:V605"/>
    <mergeCell ref="B604:E604"/>
    <mergeCell ref="F604:I604"/>
    <mergeCell ref="J604:J605"/>
    <mergeCell ref="N389:Q389"/>
    <mergeCell ref="R389:U389"/>
    <mergeCell ref="V389:V390"/>
    <mergeCell ref="B346:E346"/>
    <mergeCell ref="F346:I346"/>
    <mergeCell ref="V518:V519"/>
    <mergeCell ref="V475:V476"/>
  </mergeCells>
  <phoneticPr fontId="7"/>
  <pageMargins left="0.7" right="0.7" top="0.75" bottom="0.75" header="0.3" footer="0.3"/>
  <pageSetup paperSize="9" orientation="portrait" r:id="rId1"/>
  <ignoredErrors>
    <ignoredError sqref="Q637 Q640:Q64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ノースリーブ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2026-07-15T05:20:32Z</dcterms:modified>
</cp:coreProperties>
</file>