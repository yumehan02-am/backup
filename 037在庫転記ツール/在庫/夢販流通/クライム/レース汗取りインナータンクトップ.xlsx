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5A2C68D5-83ED-4FFF-A308-339E2238A9BB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タンクトップ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13" i="1" l="1"/>
  <c r="I1913" i="1"/>
  <c r="Q1906" i="1"/>
  <c r="U1906" i="1"/>
  <c r="V1906" i="1" s="1"/>
  <c r="Q1907" i="1"/>
  <c r="V1907" i="1" s="1"/>
  <c r="U1907" i="1"/>
  <c r="Q1908" i="1"/>
  <c r="U1908" i="1"/>
  <c r="Q1909" i="1"/>
  <c r="U1909" i="1"/>
  <c r="V1909" i="1"/>
  <c r="Q1910" i="1"/>
  <c r="U1910" i="1"/>
  <c r="V1910" i="1"/>
  <c r="Q1911" i="1"/>
  <c r="V1911" i="1" s="1"/>
  <c r="U1911" i="1"/>
  <c r="E1906" i="1"/>
  <c r="J1906" i="1" s="1"/>
  <c r="I1906" i="1"/>
  <c r="E1907" i="1"/>
  <c r="I1907" i="1"/>
  <c r="E1908" i="1"/>
  <c r="I1908" i="1"/>
  <c r="E1909" i="1"/>
  <c r="I1909" i="1"/>
  <c r="J1909" i="1"/>
  <c r="E1910" i="1"/>
  <c r="I1910" i="1"/>
  <c r="E1911" i="1"/>
  <c r="J1911" i="1" s="1"/>
  <c r="I1911" i="1"/>
  <c r="E1912" i="1"/>
  <c r="I1912" i="1"/>
  <c r="E1914" i="1"/>
  <c r="I1914" i="1"/>
  <c r="E1915" i="1"/>
  <c r="I1915" i="1"/>
  <c r="E1916" i="1"/>
  <c r="I1916" i="1"/>
  <c r="E1917" i="1"/>
  <c r="I1917" i="1"/>
  <c r="J1917" i="1"/>
  <c r="E1897" i="1"/>
  <c r="J1897" i="1" s="1"/>
  <c r="I1897" i="1"/>
  <c r="E1898" i="1"/>
  <c r="I1898" i="1"/>
  <c r="E1899" i="1"/>
  <c r="J1899" i="1" s="1"/>
  <c r="I1899" i="1"/>
  <c r="E1901" i="1"/>
  <c r="I1901" i="1"/>
  <c r="J1901" i="1"/>
  <c r="E1902" i="1"/>
  <c r="J1902" i="1" s="1"/>
  <c r="I1902" i="1"/>
  <c r="E1903" i="1"/>
  <c r="J1903" i="1" s="1"/>
  <c r="I1903" i="1"/>
  <c r="E1904" i="1"/>
  <c r="I1904" i="1"/>
  <c r="J1904" i="1"/>
  <c r="T1932" i="1"/>
  <c r="S1932" i="1"/>
  <c r="R1932" i="1"/>
  <c r="P1932" i="1"/>
  <c r="O1932" i="1"/>
  <c r="N1932" i="1"/>
  <c r="H1932" i="1"/>
  <c r="G1932" i="1"/>
  <c r="F1932" i="1"/>
  <c r="D1932" i="1"/>
  <c r="C1932" i="1"/>
  <c r="B1932" i="1"/>
  <c r="U1931" i="1"/>
  <c r="Q1931" i="1"/>
  <c r="V1931" i="1" s="1"/>
  <c r="J1931" i="1"/>
  <c r="I1931" i="1"/>
  <c r="E1931" i="1"/>
  <c r="U1930" i="1"/>
  <c r="Q1930" i="1"/>
  <c r="V1930" i="1" s="1"/>
  <c r="I1930" i="1"/>
  <c r="E1930" i="1"/>
  <c r="J1930" i="1" s="1"/>
  <c r="U1929" i="1"/>
  <c r="Q1929" i="1"/>
  <c r="V1929" i="1" s="1"/>
  <c r="J1929" i="1"/>
  <c r="I1929" i="1"/>
  <c r="E1929" i="1"/>
  <c r="U1928" i="1"/>
  <c r="V1928" i="1" s="1"/>
  <c r="Q1928" i="1"/>
  <c r="I1928" i="1"/>
  <c r="E1928" i="1"/>
  <c r="J1928" i="1" s="1"/>
  <c r="U1927" i="1"/>
  <c r="Q1927" i="1"/>
  <c r="V1927" i="1" s="1"/>
  <c r="J1927" i="1"/>
  <c r="I1927" i="1"/>
  <c r="E1927" i="1"/>
  <c r="U1926" i="1"/>
  <c r="V1926" i="1" s="1"/>
  <c r="Q1926" i="1"/>
  <c r="I1926" i="1"/>
  <c r="E1926" i="1"/>
  <c r="J1926" i="1" s="1"/>
  <c r="U1925" i="1"/>
  <c r="Q1925" i="1"/>
  <c r="V1925" i="1" s="1"/>
  <c r="J1925" i="1"/>
  <c r="I1925" i="1"/>
  <c r="E1925" i="1"/>
  <c r="U1924" i="1"/>
  <c r="V1924" i="1" s="1"/>
  <c r="Q1924" i="1"/>
  <c r="I1924" i="1"/>
  <c r="E1924" i="1"/>
  <c r="J1924" i="1" s="1"/>
  <c r="U1923" i="1"/>
  <c r="Q1923" i="1"/>
  <c r="V1923" i="1" s="1"/>
  <c r="J1923" i="1"/>
  <c r="I1923" i="1"/>
  <c r="E1923" i="1"/>
  <c r="U1922" i="1"/>
  <c r="V1922" i="1" s="1"/>
  <c r="Q1922" i="1"/>
  <c r="I1922" i="1"/>
  <c r="E1922" i="1"/>
  <c r="J1922" i="1" s="1"/>
  <c r="U1921" i="1"/>
  <c r="Q1921" i="1"/>
  <c r="V1921" i="1" s="1"/>
  <c r="J1921" i="1"/>
  <c r="I1921" i="1"/>
  <c r="E1921" i="1"/>
  <c r="U1920" i="1"/>
  <c r="V1920" i="1" s="1"/>
  <c r="Q1920" i="1"/>
  <c r="I1920" i="1"/>
  <c r="E1920" i="1"/>
  <c r="J1920" i="1" s="1"/>
  <c r="U1919" i="1"/>
  <c r="Q1919" i="1"/>
  <c r="V1919" i="1" s="1"/>
  <c r="J1919" i="1"/>
  <c r="I1919" i="1"/>
  <c r="E1919" i="1"/>
  <c r="U1918" i="1"/>
  <c r="V1918" i="1" s="1"/>
  <c r="Q1918" i="1"/>
  <c r="I1918" i="1"/>
  <c r="E1918" i="1"/>
  <c r="J1918" i="1" s="1"/>
  <c r="U1917" i="1"/>
  <c r="Q1917" i="1"/>
  <c r="V1917" i="1" s="1"/>
  <c r="U1916" i="1"/>
  <c r="V1916" i="1" s="1"/>
  <c r="Q1916" i="1"/>
  <c r="U1915" i="1"/>
  <c r="Q1915" i="1"/>
  <c r="V1915" i="1" s="1"/>
  <c r="U1914" i="1"/>
  <c r="V1914" i="1" s="1"/>
  <c r="Q1914" i="1"/>
  <c r="U1913" i="1"/>
  <c r="Q1913" i="1"/>
  <c r="V1913" i="1" s="1"/>
  <c r="U1912" i="1"/>
  <c r="V1912" i="1" s="1"/>
  <c r="Q1912" i="1"/>
  <c r="U1904" i="1"/>
  <c r="V1904" i="1" s="1"/>
  <c r="Q1904" i="1"/>
  <c r="U1903" i="1"/>
  <c r="Q1903" i="1"/>
  <c r="V1903" i="1" s="1"/>
  <c r="U1902" i="1"/>
  <c r="V1902" i="1" s="1"/>
  <c r="Q1902" i="1"/>
  <c r="U1901" i="1"/>
  <c r="Q1901" i="1"/>
  <c r="V1901" i="1" s="1"/>
  <c r="U1900" i="1"/>
  <c r="V1900" i="1" s="1"/>
  <c r="Q1900" i="1"/>
  <c r="I1900" i="1"/>
  <c r="E1900" i="1"/>
  <c r="U1899" i="1"/>
  <c r="Q1899" i="1"/>
  <c r="V1899" i="1" s="1"/>
  <c r="U1898" i="1"/>
  <c r="V1898" i="1" s="1"/>
  <c r="Q1898" i="1"/>
  <c r="U1897" i="1"/>
  <c r="Q1897" i="1"/>
  <c r="V1897" i="1" s="1"/>
  <c r="E1888" i="1"/>
  <c r="E1887" i="1"/>
  <c r="E1886" i="1"/>
  <c r="E1885" i="1"/>
  <c r="E1884" i="1"/>
  <c r="E1883" i="1"/>
  <c r="E1882" i="1"/>
  <c r="J1882" i="1" s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1" i="1"/>
  <c r="E1860" i="1"/>
  <c r="E1859" i="1"/>
  <c r="E1858" i="1"/>
  <c r="E1857" i="1"/>
  <c r="E1856" i="1"/>
  <c r="E1855" i="1"/>
  <c r="E1854" i="1"/>
  <c r="E1853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J1835" i="1" s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Q1887" i="1"/>
  <c r="U1887" i="1"/>
  <c r="V1887" i="1"/>
  <c r="Q1888" i="1"/>
  <c r="U1888" i="1"/>
  <c r="V1888" i="1"/>
  <c r="I1863" i="1"/>
  <c r="J1863" i="1" s="1"/>
  <c r="I1864" i="1"/>
  <c r="I1865" i="1"/>
  <c r="J1865" i="1" s="1"/>
  <c r="I1866" i="1"/>
  <c r="I1867" i="1"/>
  <c r="J1867" i="1" s="1"/>
  <c r="I1868" i="1"/>
  <c r="I1869" i="1"/>
  <c r="J1869" i="1" s="1"/>
  <c r="I1870" i="1"/>
  <c r="J1870" i="1"/>
  <c r="I1871" i="1"/>
  <c r="I1872" i="1"/>
  <c r="I1873" i="1"/>
  <c r="I1874" i="1"/>
  <c r="J1874" i="1" s="1"/>
  <c r="I1875" i="1"/>
  <c r="J1875" i="1" s="1"/>
  <c r="I1876" i="1"/>
  <c r="I1877" i="1"/>
  <c r="I1878" i="1"/>
  <c r="J1878" i="1"/>
  <c r="I1879" i="1"/>
  <c r="I1880" i="1"/>
  <c r="I1881" i="1"/>
  <c r="J1881" i="1" s="1"/>
  <c r="I1882" i="1"/>
  <c r="I1883" i="1"/>
  <c r="J1883" i="1" s="1"/>
  <c r="I1884" i="1"/>
  <c r="I1885" i="1"/>
  <c r="H1889" i="1"/>
  <c r="G1889" i="1"/>
  <c r="F1889" i="1"/>
  <c r="D1889" i="1"/>
  <c r="C1889" i="1"/>
  <c r="I1888" i="1"/>
  <c r="J1888" i="1" s="1"/>
  <c r="I1887" i="1"/>
  <c r="J1887" i="1" s="1"/>
  <c r="I1886" i="1"/>
  <c r="B1889" i="1"/>
  <c r="I1861" i="1"/>
  <c r="J1861" i="1" s="1"/>
  <c r="I1860" i="1"/>
  <c r="J1860" i="1" s="1"/>
  <c r="J1859" i="1"/>
  <c r="I1859" i="1"/>
  <c r="I1858" i="1"/>
  <c r="I1857" i="1"/>
  <c r="J1857" i="1" s="1"/>
  <c r="I1856" i="1"/>
  <c r="I1855" i="1"/>
  <c r="J1855" i="1" s="1"/>
  <c r="I1854" i="1"/>
  <c r="Q1841" i="1"/>
  <c r="V1841" i="1" s="1"/>
  <c r="U1841" i="1"/>
  <c r="Q1842" i="1"/>
  <c r="U1842" i="1"/>
  <c r="V1842" i="1"/>
  <c r="Q1843" i="1"/>
  <c r="U1843" i="1"/>
  <c r="V1843" i="1" s="1"/>
  <c r="Q1844" i="1"/>
  <c r="V1844" i="1" s="1"/>
  <c r="U1844" i="1"/>
  <c r="Q1845" i="1"/>
  <c r="V1845" i="1" s="1"/>
  <c r="U1845" i="1"/>
  <c r="Q1884" i="1"/>
  <c r="U1884" i="1"/>
  <c r="V1884" i="1"/>
  <c r="Q1885" i="1"/>
  <c r="V1885" i="1" s="1"/>
  <c r="U1885" i="1"/>
  <c r="Q1886" i="1"/>
  <c r="V1886" i="1" s="1"/>
  <c r="U1886" i="1"/>
  <c r="Q1863" i="1"/>
  <c r="V1863" i="1" s="1"/>
  <c r="U1863" i="1"/>
  <c r="Q1864" i="1"/>
  <c r="U1864" i="1"/>
  <c r="Q1865" i="1"/>
  <c r="U1865" i="1"/>
  <c r="V1865" i="1" s="1"/>
  <c r="Q1866" i="1"/>
  <c r="U1866" i="1"/>
  <c r="V1866" i="1"/>
  <c r="Q1867" i="1"/>
  <c r="U1867" i="1"/>
  <c r="Q1868" i="1"/>
  <c r="U1868" i="1"/>
  <c r="Q1869" i="1"/>
  <c r="U1869" i="1"/>
  <c r="V1869" i="1" s="1"/>
  <c r="Q1870" i="1"/>
  <c r="U1870" i="1"/>
  <c r="Q1871" i="1"/>
  <c r="V1871" i="1" s="1"/>
  <c r="U1871" i="1"/>
  <c r="Q1872" i="1"/>
  <c r="U1872" i="1"/>
  <c r="T1889" i="1"/>
  <c r="S1889" i="1"/>
  <c r="R1889" i="1"/>
  <c r="P1889" i="1"/>
  <c r="O1889" i="1"/>
  <c r="N1889" i="1"/>
  <c r="U1883" i="1"/>
  <c r="Q1883" i="1"/>
  <c r="V1883" i="1" s="1"/>
  <c r="U1882" i="1"/>
  <c r="V1882" i="1" s="1"/>
  <c r="Q1882" i="1"/>
  <c r="V1881" i="1"/>
  <c r="U1881" i="1"/>
  <c r="Q1881" i="1"/>
  <c r="U1880" i="1"/>
  <c r="Q1880" i="1"/>
  <c r="V1880" i="1" s="1"/>
  <c r="U1879" i="1"/>
  <c r="Q1879" i="1"/>
  <c r="V1879" i="1" s="1"/>
  <c r="U1878" i="1"/>
  <c r="V1878" i="1" s="1"/>
  <c r="Q1878" i="1"/>
  <c r="V1877" i="1"/>
  <c r="U1877" i="1"/>
  <c r="Q1877" i="1"/>
  <c r="U1876" i="1"/>
  <c r="Q1876" i="1"/>
  <c r="V1876" i="1" s="1"/>
  <c r="U1875" i="1"/>
  <c r="Q1875" i="1"/>
  <c r="V1875" i="1" s="1"/>
  <c r="U1874" i="1"/>
  <c r="V1874" i="1" s="1"/>
  <c r="Q1874" i="1"/>
  <c r="U1873" i="1"/>
  <c r="Q1873" i="1"/>
  <c r="V1873" i="1" s="1"/>
  <c r="U1861" i="1"/>
  <c r="Q1861" i="1"/>
  <c r="V1861" i="1" s="1"/>
  <c r="U1860" i="1"/>
  <c r="Q1860" i="1"/>
  <c r="V1860" i="1" s="1"/>
  <c r="V1859" i="1"/>
  <c r="U1859" i="1"/>
  <c r="Q1859" i="1"/>
  <c r="U1858" i="1"/>
  <c r="V1858" i="1" s="1"/>
  <c r="Q1858" i="1"/>
  <c r="U1857" i="1"/>
  <c r="Q1857" i="1"/>
  <c r="V1857" i="1" s="1"/>
  <c r="U1856" i="1"/>
  <c r="Q1856" i="1"/>
  <c r="V1856" i="1" s="1"/>
  <c r="V1855" i="1"/>
  <c r="U1855" i="1"/>
  <c r="Q1855" i="1"/>
  <c r="U1854" i="1"/>
  <c r="V1854" i="1" s="1"/>
  <c r="Q1854" i="1"/>
  <c r="I1839" i="1"/>
  <c r="B1820" i="1"/>
  <c r="I1820" i="1"/>
  <c r="J1820" i="1" s="1"/>
  <c r="Q1798" i="1"/>
  <c r="U1798" i="1"/>
  <c r="V1798" i="1" s="1"/>
  <c r="Q1799" i="1"/>
  <c r="U1799" i="1"/>
  <c r="V1799" i="1"/>
  <c r="Q1800" i="1"/>
  <c r="U1800" i="1"/>
  <c r="V1800" i="1" s="1"/>
  <c r="Q1801" i="1"/>
  <c r="U1801" i="1"/>
  <c r="V1801" i="1"/>
  <c r="Q1802" i="1"/>
  <c r="U1802" i="1"/>
  <c r="V1802" i="1" s="1"/>
  <c r="Q1820" i="1"/>
  <c r="U1820" i="1"/>
  <c r="V1820" i="1" s="1"/>
  <c r="Q1821" i="1"/>
  <c r="U1821" i="1"/>
  <c r="V1821" i="1" s="1"/>
  <c r="Q1822" i="1"/>
  <c r="U1822" i="1"/>
  <c r="V1822" i="1" s="1"/>
  <c r="Q1823" i="1"/>
  <c r="U1823" i="1"/>
  <c r="Q1824" i="1"/>
  <c r="U1824" i="1"/>
  <c r="V1824" i="1" s="1"/>
  <c r="Q1825" i="1"/>
  <c r="V1825" i="1" s="1"/>
  <c r="U1825" i="1"/>
  <c r="Q1826" i="1"/>
  <c r="U1826" i="1"/>
  <c r="T1846" i="1"/>
  <c r="S1846" i="1"/>
  <c r="R1846" i="1"/>
  <c r="P1846" i="1"/>
  <c r="O1846" i="1"/>
  <c r="N1846" i="1"/>
  <c r="H1846" i="1"/>
  <c r="G1846" i="1"/>
  <c r="F1846" i="1"/>
  <c r="D1846" i="1"/>
  <c r="C1846" i="1"/>
  <c r="B1846" i="1"/>
  <c r="I1845" i="1"/>
  <c r="J1845" i="1" s="1"/>
  <c r="I1844" i="1"/>
  <c r="J1844" i="1" s="1"/>
  <c r="I1843" i="1"/>
  <c r="J1843" i="1" s="1"/>
  <c r="I1842" i="1"/>
  <c r="J1842" i="1" s="1"/>
  <c r="I1841" i="1"/>
  <c r="J1841" i="1" s="1"/>
  <c r="U1840" i="1"/>
  <c r="Q1840" i="1"/>
  <c r="V1840" i="1" s="1"/>
  <c r="I1840" i="1"/>
  <c r="J1840" i="1" s="1"/>
  <c r="U1839" i="1"/>
  <c r="Q1839" i="1"/>
  <c r="V1839" i="1" s="1"/>
  <c r="U1838" i="1"/>
  <c r="Q1838" i="1"/>
  <c r="V1838" i="1" s="1"/>
  <c r="I1838" i="1"/>
  <c r="J1838" i="1" s="1"/>
  <c r="U1837" i="1"/>
  <c r="Q1837" i="1"/>
  <c r="V1837" i="1" s="1"/>
  <c r="I1837" i="1"/>
  <c r="U1836" i="1"/>
  <c r="Q1836" i="1"/>
  <c r="V1836" i="1" s="1"/>
  <c r="I1836" i="1"/>
  <c r="J1836" i="1" s="1"/>
  <c r="U1835" i="1"/>
  <c r="Q1835" i="1"/>
  <c r="V1835" i="1" s="1"/>
  <c r="I1835" i="1"/>
  <c r="U1834" i="1"/>
  <c r="Q1834" i="1"/>
  <c r="V1834" i="1" s="1"/>
  <c r="I1834" i="1"/>
  <c r="J1834" i="1" s="1"/>
  <c r="U1833" i="1"/>
  <c r="Q1833" i="1"/>
  <c r="V1833" i="1" s="1"/>
  <c r="I1833" i="1"/>
  <c r="J1833" i="1" s="1"/>
  <c r="U1832" i="1"/>
  <c r="Q1832" i="1"/>
  <c r="V1832" i="1" s="1"/>
  <c r="I1832" i="1"/>
  <c r="J1832" i="1" s="1"/>
  <c r="U1831" i="1"/>
  <c r="Q1831" i="1"/>
  <c r="V1831" i="1" s="1"/>
  <c r="J1831" i="1"/>
  <c r="I1831" i="1"/>
  <c r="U1830" i="1"/>
  <c r="Q1830" i="1"/>
  <c r="V1830" i="1" s="1"/>
  <c r="I1830" i="1"/>
  <c r="J1830" i="1" s="1"/>
  <c r="U1829" i="1"/>
  <c r="Q1829" i="1"/>
  <c r="I1829" i="1"/>
  <c r="U1828" i="1"/>
  <c r="Q1828" i="1"/>
  <c r="I1828" i="1"/>
  <c r="J1828" i="1" s="1"/>
  <c r="U1827" i="1"/>
  <c r="Q1827" i="1"/>
  <c r="I1827" i="1"/>
  <c r="I1826" i="1"/>
  <c r="J1826" i="1" s="1"/>
  <c r="I1825" i="1"/>
  <c r="I1824" i="1"/>
  <c r="J1824" i="1" s="1"/>
  <c r="I1823" i="1"/>
  <c r="I1822" i="1"/>
  <c r="J1822" i="1" s="1"/>
  <c r="I1821" i="1"/>
  <c r="U1818" i="1"/>
  <c r="Q1818" i="1"/>
  <c r="V1818" i="1" s="1"/>
  <c r="I1818" i="1"/>
  <c r="J1818" i="1" s="1"/>
  <c r="U1817" i="1"/>
  <c r="Q1817" i="1"/>
  <c r="V1817" i="1" s="1"/>
  <c r="I1817" i="1"/>
  <c r="U1816" i="1"/>
  <c r="Q1816" i="1"/>
  <c r="V1816" i="1" s="1"/>
  <c r="J1816" i="1"/>
  <c r="I1816" i="1"/>
  <c r="U1815" i="1"/>
  <c r="Q1815" i="1"/>
  <c r="V1815" i="1" s="1"/>
  <c r="I1815" i="1"/>
  <c r="J1815" i="1" s="1"/>
  <c r="U1814" i="1"/>
  <c r="Q1814" i="1"/>
  <c r="V1814" i="1" s="1"/>
  <c r="I1814" i="1"/>
  <c r="J1814" i="1" s="1"/>
  <c r="U1813" i="1"/>
  <c r="Q1813" i="1"/>
  <c r="V1813" i="1" s="1"/>
  <c r="I1813" i="1"/>
  <c r="J1813" i="1" s="1"/>
  <c r="U1812" i="1"/>
  <c r="Q1812" i="1"/>
  <c r="V1812" i="1" s="1"/>
  <c r="I1812" i="1"/>
  <c r="J1812" i="1" s="1"/>
  <c r="U1811" i="1"/>
  <c r="Q1811" i="1"/>
  <c r="V1811" i="1" s="1"/>
  <c r="I1811" i="1"/>
  <c r="J1811" i="1" s="1"/>
  <c r="H1810" i="1"/>
  <c r="H1819" i="1" s="1"/>
  <c r="Q1777" i="1"/>
  <c r="Q1778" i="1"/>
  <c r="Q1779" i="1"/>
  <c r="Q1780" i="1"/>
  <c r="Q1781" i="1"/>
  <c r="Q1758" i="1"/>
  <c r="U1758" i="1"/>
  <c r="Q1759" i="1"/>
  <c r="V1759" i="1" s="1"/>
  <c r="U1759" i="1"/>
  <c r="T1803" i="1"/>
  <c r="S1803" i="1"/>
  <c r="R1803" i="1"/>
  <c r="P1803" i="1"/>
  <c r="O1803" i="1"/>
  <c r="N1803" i="1"/>
  <c r="U1797" i="1"/>
  <c r="Q1797" i="1"/>
  <c r="V1797" i="1" s="1"/>
  <c r="U1796" i="1"/>
  <c r="Q1796" i="1"/>
  <c r="V1796" i="1" s="1"/>
  <c r="U1795" i="1"/>
  <c r="V1795" i="1" s="1"/>
  <c r="Q1795" i="1"/>
  <c r="U1794" i="1"/>
  <c r="Q1794" i="1"/>
  <c r="U1793" i="1"/>
  <c r="Q1793" i="1"/>
  <c r="U1792" i="1"/>
  <c r="Q1792" i="1"/>
  <c r="V1792" i="1" s="1"/>
  <c r="V1791" i="1"/>
  <c r="U1791" i="1"/>
  <c r="Q1791" i="1"/>
  <c r="U1790" i="1"/>
  <c r="Q1790" i="1"/>
  <c r="U1789" i="1"/>
  <c r="Q1789" i="1"/>
  <c r="V1789" i="1" s="1"/>
  <c r="U1788" i="1"/>
  <c r="Q1788" i="1"/>
  <c r="V1788" i="1" s="1"/>
  <c r="U1787" i="1"/>
  <c r="Q1787" i="1"/>
  <c r="V1787" i="1" s="1"/>
  <c r="U1786" i="1"/>
  <c r="V1786" i="1" s="1"/>
  <c r="Q1786" i="1"/>
  <c r="U1785" i="1"/>
  <c r="Q1785" i="1"/>
  <c r="V1785" i="1" s="1"/>
  <c r="U1784" i="1"/>
  <c r="Q1784" i="1"/>
  <c r="U1783" i="1"/>
  <c r="Q1783" i="1"/>
  <c r="U1782" i="1"/>
  <c r="Q1782" i="1"/>
  <c r="U1781" i="1"/>
  <c r="V1781" i="1" s="1"/>
  <c r="U1780" i="1"/>
  <c r="U1779" i="1"/>
  <c r="U1778" i="1"/>
  <c r="V1778" i="1" s="1"/>
  <c r="U1777" i="1"/>
  <c r="V1777" i="1" s="1"/>
  <c r="U1775" i="1"/>
  <c r="Q1775" i="1"/>
  <c r="V1775" i="1" s="1"/>
  <c r="U1774" i="1"/>
  <c r="Q1774" i="1"/>
  <c r="V1774" i="1" s="1"/>
  <c r="U1773" i="1"/>
  <c r="Q1773" i="1"/>
  <c r="V1773" i="1" s="1"/>
  <c r="U1772" i="1"/>
  <c r="V1772" i="1" s="1"/>
  <c r="Q1772" i="1"/>
  <c r="U1771" i="1"/>
  <c r="Q1771" i="1"/>
  <c r="V1771" i="1" s="1"/>
  <c r="U1770" i="1"/>
  <c r="Q1770" i="1"/>
  <c r="U1769" i="1"/>
  <c r="Q1769" i="1"/>
  <c r="V1769" i="1" s="1"/>
  <c r="U1768" i="1"/>
  <c r="Q1768" i="1"/>
  <c r="H1803" i="1"/>
  <c r="G1803" i="1"/>
  <c r="F1803" i="1"/>
  <c r="D1803" i="1"/>
  <c r="C1803" i="1"/>
  <c r="B1803" i="1"/>
  <c r="I1802" i="1"/>
  <c r="J1802" i="1" s="1"/>
  <c r="I1801" i="1"/>
  <c r="J1801" i="1" s="1"/>
  <c r="I1800" i="1"/>
  <c r="J1800" i="1" s="1"/>
  <c r="I1799" i="1"/>
  <c r="J1799" i="1" s="1"/>
  <c r="I1798" i="1"/>
  <c r="J1798" i="1" s="1"/>
  <c r="I1797" i="1"/>
  <c r="J1797" i="1" s="1"/>
  <c r="I1796" i="1"/>
  <c r="J1796" i="1" s="1"/>
  <c r="I1795" i="1"/>
  <c r="J1795" i="1" s="1"/>
  <c r="I1794" i="1"/>
  <c r="J1794" i="1" s="1"/>
  <c r="I1793" i="1"/>
  <c r="J1793" i="1" s="1"/>
  <c r="I1792" i="1"/>
  <c r="J1792" i="1" s="1"/>
  <c r="I1791" i="1"/>
  <c r="J1791" i="1" s="1"/>
  <c r="I1790" i="1"/>
  <c r="J1790" i="1" s="1"/>
  <c r="I1789" i="1"/>
  <c r="J1789" i="1" s="1"/>
  <c r="I1788" i="1"/>
  <c r="J1788" i="1" s="1"/>
  <c r="I1787" i="1"/>
  <c r="J1787" i="1" s="1"/>
  <c r="I1786" i="1"/>
  <c r="J1786" i="1" s="1"/>
  <c r="I1785" i="1"/>
  <c r="J1785" i="1" s="1"/>
  <c r="I1784" i="1"/>
  <c r="J1784" i="1" s="1"/>
  <c r="I1783" i="1"/>
  <c r="J1783" i="1" s="1"/>
  <c r="I1782" i="1"/>
  <c r="J1782" i="1" s="1"/>
  <c r="I1781" i="1"/>
  <c r="J1781" i="1" s="1"/>
  <c r="I1780" i="1"/>
  <c r="J1780" i="1" s="1"/>
  <c r="I1779" i="1"/>
  <c r="J1779" i="1" s="1"/>
  <c r="I1778" i="1"/>
  <c r="J1778" i="1" s="1"/>
  <c r="I1777" i="1"/>
  <c r="J1777" i="1" s="1"/>
  <c r="I1775" i="1"/>
  <c r="J1775" i="1" s="1"/>
  <c r="I1774" i="1"/>
  <c r="I1773" i="1"/>
  <c r="J1773" i="1" s="1"/>
  <c r="I1772" i="1"/>
  <c r="I1771" i="1"/>
  <c r="J1771" i="1" s="1"/>
  <c r="I1770" i="1"/>
  <c r="I1769" i="1"/>
  <c r="J1769" i="1" s="1"/>
  <c r="I1768" i="1"/>
  <c r="Q1713" i="1"/>
  <c r="U1713" i="1"/>
  <c r="V1713" i="1" s="1"/>
  <c r="Q1714" i="1"/>
  <c r="V1714" i="1" s="1"/>
  <c r="U1714" i="1"/>
  <c r="Q1715" i="1"/>
  <c r="U1715" i="1"/>
  <c r="V1715" i="1" s="1"/>
  <c r="Q1757" i="1"/>
  <c r="U1757" i="1"/>
  <c r="V1757" i="1" s="1"/>
  <c r="Q1726" i="1"/>
  <c r="U1726" i="1"/>
  <c r="V1726" i="1" s="1"/>
  <c r="Q1727" i="1"/>
  <c r="U1727" i="1"/>
  <c r="V1727" i="1"/>
  <c r="Q1728" i="1"/>
  <c r="U1728" i="1"/>
  <c r="Q1734" i="1"/>
  <c r="U1734" i="1"/>
  <c r="Q1735" i="1"/>
  <c r="V1735" i="1" s="1"/>
  <c r="U1735" i="1"/>
  <c r="Q1736" i="1"/>
  <c r="U1736" i="1"/>
  <c r="V1736" i="1" s="1"/>
  <c r="Q1737" i="1"/>
  <c r="U1737" i="1"/>
  <c r="V1737" i="1"/>
  <c r="T1760" i="1"/>
  <c r="S1760" i="1"/>
  <c r="R1760" i="1"/>
  <c r="P1760" i="1"/>
  <c r="O1760" i="1"/>
  <c r="N1760" i="1"/>
  <c r="H1760" i="1"/>
  <c r="G1760" i="1"/>
  <c r="F1760" i="1"/>
  <c r="D1760" i="1"/>
  <c r="C1760" i="1"/>
  <c r="B1760" i="1"/>
  <c r="J1759" i="1"/>
  <c r="I1759" i="1"/>
  <c r="E1759" i="1"/>
  <c r="I1758" i="1"/>
  <c r="E1758" i="1"/>
  <c r="I1757" i="1"/>
  <c r="E1757" i="1"/>
  <c r="J1757" i="1" s="1"/>
  <c r="U1756" i="1"/>
  <c r="V1756" i="1" s="1"/>
  <c r="Q1756" i="1"/>
  <c r="I1756" i="1"/>
  <c r="E1756" i="1"/>
  <c r="V1755" i="1"/>
  <c r="U1755" i="1"/>
  <c r="Q1755" i="1"/>
  <c r="I1755" i="1"/>
  <c r="E1755" i="1"/>
  <c r="J1755" i="1" s="1"/>
  <c r="U1754" i="1"/>
  <c r="Q1754" i="1"/>
  <c r="V1754" i="1" s="1"/>
  <c r="I1754" i="1"/>
  <c r="E1754" i="1"/>
  <c r="U1753" i="1"/>
  <c r="Q1753" i="1"/>
  <c r="V1753" i="1" s="1"/>
  <c r="I1753" i="1"/>
  <c r="E1753" i="1"/>
  <c r="J1753" i="1" s="1"/>
  <c r="U1752" i="1"/>
  <c r="V1752" i="1" s="1"/>
  <c r="Q1752" i="1"/>
  <c r="I1752" i="1"/>
  <c r="E1752" i="1"/>
  <c r="V1751" i="1"/>
  <c r="U1751" i="1"/>
  <c r="Q1751" i="1"/>
  <c r="I1751" i="1"/>
  <c r="E1751" i="1"/>
  <c r="J1751" i="1" s="1"/>
  <c r="U1750" i="1"/>
  <c r="Q1750" i="1"/>
  <c r="V1750" i="1" s="1"/>
  <c r="I1750" i="1"/>
  <c r="E1750" i="1"/>
  <c r="U1749" i="1"/>
  <c r="Q1749" i="1"/>
  <c r="V1749" i="1" s="1"/>
  <c r="I1749" i="1"/>
  <c r="E1749" i="1"/>
  <c r="U1748" i="1"/>
  <c r="V1748" i="1" s="1"/>
  <c r="Q1748" i="1"/>
  <c r="I1748" i="1"/>
  <c r="E1748" i="1"/>
  <c r="U1747" i="1"/>
  <c r="Q1747" i="1"/>
  <c r="I1747" i="1"/>
  <c r="E1747" i="1"/>
  <c r="U1746" i="1"/>
  <c r="Q1746" i="1"/>
  <c r="I1746" i="1"/>
  <c r="E1746" i="1"/>
  <c r="U1745" i="1"/>
  <c r="Q1745" i="1"/>
  <c r="I1745" i="1"/>
  <c r="E1745" i="1"/>
  <c r="U1744" i="1"/>
  <c r="Q1744" i="1"/>
  <c r="I1744" i="1"/>
  <c r="E1744" i="1"/>
  <c r="U1743" i="1"/>
  <c r="Q1743" i="1"/>
  <c r="I1743" i="1"/>
  <c r="E1743" i="1"/>
  <c r="U1742" i="1"/>
  <c r="Q1742" i="1"/>
  <c r="I1742" i="1"/>
  <c r="E1742" i="1"/>
  <c r="U1741" i="1"/>
  <c r="Q1741" i="1"/>
  <c r="I1741" i="1"/>
  <c r="E1741" i="1"/>
  <c r="U1740" i="1"/>
  <c r="Q1740" i="1"/>
  <c r="I1740" i="1"/>
  <c r="E1740" i="1"/>
  <c r="U1739" i="1"/>
  <c r="Q1739" i="1"/>
  <c r="I1739" i="1"/>
  <c r="E1739" i="1"/>
  <c r="U1738" i="1"/>
  <c r="Q1738" i="1"/>
  <c r="I1738" i="1"/>
  <c r="E1738" i="1"/>
  <c r="I1737" i="1"/>
  <c r="E1737" i="1"/>
  <c r="I1736" i="1"/>
  <c r="E1736" i="1"/>
  <c r="I1735" i="1"/>
  <c r="E1735" i="1"/>
  <c r="I1734" i="1"/>
  <c r="E1734" i="1"/>
  <c r="U1732" i="1"/>
  <c r="Q1732" i="1"/>
  <c r="I1732" i="1"/>
  <c r="E1732" i="1"/>
  <c r="U1731" i="1"/>
  <c r="Q1731" i="1"/>
  <c r="I1731" i="1"/>
  <c r="E1731" i="1"/>
  <c r="U1730" i="1"/>
  <c r="Q1730" i="1"/>
  <c r="I1730" i="1"/>
  <c r="E1730" i="1"/>
  <c r="U1729" i="1"/>
  <c r="Q1729" i="1"/>
  <c r="I1729" i="1"/>
  <c r="E1729" i="1"/>
  <c r="I1728" i="1"/>
  <c r="E1728" i="1"/>
  <c r="I1727" i="1"/>
  <c r="E1727" i="1"/>
  <c r="I1726" i="1"/>
  <c r="E1726" i="1"/>
  <c r="U1725" i="1"/>
  <c r="V1725" i="1" s="1"/>
  <c r="Q1725" i="1"/>
  <c r="I1725" i="1"/>
  <c r="E1725" i="1"/>
  <c r="F1711" i="1"/>
  <c r="U1691" i="1"/>
  <c r="Q1691" i="1"/>
  <c r="V1691" i="1" s="1"/>
  <c r="F1692" i="1"/>
  <c r="U1652" i="1"/>
  <c r="Q1652" i="1"/>
  <c r="V1652" i="1" s="1"/>
  <c r="I1665" i="1"/>
  <c r="J1665" i="1" s="1"/>
  <c r="I1666" i="1"/>
  <c r="I1667" i="1"/>
  <c r="I1668" i="1"/>
  <c r="I1669" i="1"/>
  <c r="J1669" i="1" s="1"/>
  <c r="E1660" i="1"/>
  <c r="E1661" i="1"/>
  <c r="E1662" i="1"/>
  <c r="E1663" i="1"/>
  <c r="E1664" i="1"/>
  <c r="E1665" i="1"/>
  <c r="E1666" i="1"/>
  <c r="J1666" i="1" s="1"/>
  <c r="E1667" i="1"/>
  <c r="J1667" i="1" s="1"/>
  <c r="E1668" i="1"/>
  <c r="E1669" i="1"/>
  <c r="U1651" i="1"/>
  <c r="Q1651" i="1"/>
  <c r="V1651" i="1" s="1"/>
  <c r="U1650" i="1"/>
  <c r="Q1650" i="1"/>
  <c r="V1650" i="1" s="1"/>
  <c r="E1642" i="1"/>
  <c r="I1642" i="1"/>
  <c r="J1916" i="1" l="1"/>
  <c r="J1915" i="1"/>
  <c r="J1914" i="1"/>
  <c r="J1913" i="1"/>
  <c r="V1908" i="1"/>
  <c r="J1912" i="1"/>
  <c r="J1910" i="1"/>
  <c r="U1932" i="1"/>
  <c r="Q1932" i="1"/>
  <c r="J1898" i="1"/>
  <c r="I1932" i="1"/>
  <c r="J1908" i="1"/>
  <c r="J1907" i="1"/>
  <c r="J1885" i="1"/>
  <c r="J1884" i="1"/>
  <c r="V1872" i="1"/>
  <c r="V1870" i="1"/>
  <c r="J1880" i="1"/>
  <c r="J1879" i="1"/>
  <c r="J1877" i="1"/>
  <c r="J1876" i="1"/>
  <c r="E1932" i="1"/>
  <c r="J1900" i="1"/>
  <c r="V1868" i="1"/>
  <c r="J1873" i="1"/>
  <c r="J1872" i="1"/>
  <c r="E1889" i="1"/>
  <c r="V1867" i="1"/>
  <c r="J1871" i="1"/>
  <c r="J1854" i="1"/>
  <c r="J1856" i="1"/>
  <c r="J1858" i="1"/>
  <c r="J1886" i="1"/>
  <c r="J1868" i="1"/>
  <c r="J1866" i="1"/>
  <c r="J1864" i="1"/>
  <c r="J1817" i="1"/>
  <c r="J1821" i="1"/>
  <c r="J1823" i="1"/>
  <c r="J1825" i="1"/>
  <c r="J1827" i="1"/>
  <c r="J1829" i="1"/>
  <c r="J1837" i="1"/>
  <c r="J1839" i="1"/>
  <c r="J1768" i="1"/>
  <c r="J1770" i="1"/>
  <c r="J1772" i="1"/>
  <c r="J1774" i="1"/>
  <c r="V1864" i="1"/>
  <c r="I1889" i="1"/>
  <c r="U1889" i="1"/>
  <c r="Q1889" i="1"/>
  <c r="V1829" i="1"/>
  <c r="V1828" i="1"/>
  <c r="V1827" i="1"/>
  <c r="V1826" i="1"/>
  <c r="H1847" i="1"/>
  <c r="H1853" i="1" s="1"/>
  <c r="H1862" i="1" s="1"/>
  <c r="H1890" i="1" s="1"/>
  <c r="H1896" i="1" s="1"/>
  <c r="H1905" i="1" s="1"/>
  <c r="H1933" i="1" s="1"/>
  <c r="V1823" i="1"/>
  <c r="Q1846" i="1"/>
  <c r="V1783" i="1"/>
  <c r="U1846" i="1"/>
  <c r="I1846" i="1"/>
  <c r="V1790" i="1"/>
  <c r="V1729" i="1"/>
  <c r="V1730" i="1"/>
  <c r="V1731" i="1"/>
  <c r="V1732" i="1"/>
  <c r="V1779" i="1"/>
  <c r="V1794" i="1"/>
  <c r="V1758" i="1"/>
  <c r="V1738" i="1"/>
  <c r="V1739" i="1"/>
  <c r="V1740" i="1"/>
  <c r="V1741" i="1"/>
  <c r="V1742" i="1"/>
  <c r="V1743" i="1"/>
  <c r="V1744" i="1"/>
  <c r="V1745" i="1"/>
  <c r="V1746" i="1"/>
  <c r="V1747" i="1"/>
  <c r="V1728" i="1"/>
  <c r="V1768" i="1"/>
  <c r="V1770" i="1"/>
  <c r="V1780" i="1"/>
  <c r="V1782" i="1"/>
  <c r="V1784" i="1"/>
  <c r="V1793" i="1"/>
  <c r="U1760" i="1"/>
  <c r="Q1803" i="1"/>
  <c r="I1803" i="1"/>
  <c r="U1803" i="1"/>
  <c r="J1749" i="1"/>
  <c r="E1760" i="1"/>
  <c r="V1734" i="1"/>
  <c r="Q1760" i="1"/>
  <c r="J1734" i="1"/>
  <c r="J1735" i="1"/>
  <c r="J1748" i="1"/>
  <c r="J1750" i="1"/>
  <c r="J1752" i="1"/>
  <c r="J1754" i="1"/>
  <c r="J1756" i="1"/>
  <c r="J1758" i="1"/>
  <c r="I1760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25" i="1"/>
  <c r="J1726" i="1"/>
  <c r="J1727" i="1"/>
  <c r="J1728" i="1"/>
  <c r="J1729" i="1"/>
  <c r="J1730" i="1"/>
  <c r="J1731" i="1"/>
  <c r="J1732" i="1"/>
  <c r="J1668" i="1"/>
  <c r="J1642" i="1"/>
  <c r="F1659" i="1"/>
  <c r="I1659" i="1" s="1"/>
  <c r="Q1672" i="1"/>
  <c r="V1672" i="1" s="1"/>
  <c r="U1672" i="1"/>
  <c r="Q1673" i="1"/>
  <c r="V1673" i="1" s="1"/>
  <c r="U1673" i="1"/>
  <c r="Q1640" i="1"/>
  <c r="U1640" i="1"/>
  <c r="V1640" i="1" s="1"/>
  <c r="E1682" i="1"/>
  <c r="J1682" i="1" s="1"/>
  <c r="I1682" i="1"/>
  <c r="E1683" i="1"/>
  <c r="J1683" i="1" s="1"/>
  <c r="I1683" i="1"/>
  <c r="E1684" i="1"/>
  <c r="I1684" i="1"/>
  <c r="J1684" i="1"/>
  <c r="E1685" i="1"/>
  <c r="I1685" i="1"/>
  <c r="J1685" i="1" s="1"/>
  <c r="Q1692" i="1"/>
  <c r="U1692" i="1"/>
  <c r="Q1693" i="1"/>
  <c r="U1693" i="1"/>
  <c r="V1693" i="1" s="1"/>
  <c r="E1691" i="1"/>
  <c r="J1691" i="1" s="1"/>
  <c r="I1691" i="1"/>
  <c r="E1692" i="1"/>
  <c r="I1692" i="1"/>
  <c r="J1692" i="1" s="1"/>
  <c r="E1693" i="1"/>
  <c r="J1693" i="1" s="1"/>
  <c r="I1693" i="1"/>
  <c r="E1694" i="1"/>
  <c r="I1694" i="1"/>
  <c r="E1695" i="1"/>
  <c r="I1695" i="1"/>
  <c r="J1695" i="1" s="1"/>
  <c r="E1696" i="1"/>
  <c r="I1696" i="1"/>
  <c r="E1697" i="1"/>
  <c r="I1697" i="1"/>
  <c r="J1697" i="1" s="1"/>
  <c r="E1698" i="1"/>
  <c r="J1698" i="1" s="1"/>
  <c r="I1698" i="1"/>
  <c r="E1699" i="1"/>
  <c r="I1699" i="1"/>
  <c r="J1699" i="1"/>
  <c r="E1700" i="1"/>
  <c r="I1700" i="1"/>
  <c r="E1701" i="1"/>
  <c r="J1701" i="1" s="1"/>
  <c r="I1701" i="1"/>
  <c r="E1702" i="1"/>
  <c r="I1702" i="1"/>
  <c r="J1702" i="1"/>
  <c r="T1717" i="1"/>
  <c r="S1717" i="1"/>
  <c r="R1717" i="1"/>
  <c r="P1717" i="1"/>
  <c r="O1717" i="1"/>
  <c r="N1717" i="1"/>
  <c r="D1717" i="1"/>
  <c r="U1716" i="1"/>
  <c r="Q1716" i="1"/>
  <c r="I1716" i="1"/>
  <c r="E1716" i="1"/>
  <c r="J1716" i="1" s="1"/>
  <c r="I1715" i="1"/>
  <c r="E1715" i="1"/>
  <c r="I1714" i="1"/>
  <c r="E1714" i="1"/>
  <c r="J1714" i="1" s="1"/>
  <c r="I1713" i="1"/>
  <c r="E1713" i="1"/>
  <c r="U1712" i="1"/>
  <c r="Q1712" i="1"/>
  <c r="V1712" i="1" s="1"/>
  <c r="I1712" i="1"/>
  <c r="E1712" i="1"/>
  <c r="U1711" i="1"/>
  <c r="Q1711" i="1"/>
  <c r="V1711" i="1" s="1"/>
  <c r="I1711" i="1"/>
  <c r="E1711" i="1"/>
  <c r="U1710" i="1"/>
  <c r="Q1710" i="1"/>
  <c r="V1710" i="1" s="1"/>
  <c r="I1710" i="1"/>
  <c r="E1710" i="1"/>
  <c r="U1709" i="1"/>
  <c r="Q1709" i="1"/>
  <c r="V1709" i="1" s="1"/>
  <c r="I1709" i="1"/>
  <c r="E1709" i="1"/>
  <c r="U1708" i="1"/>
  <c r="Q1708" i="1"/>
  <c r="V1708" i="1" s="1"/>
  <c r="I1708" i="1"/>
  <c r="E1708" i="1"/>
  <c r="U1707" i="1"/>
  <c r="Q1707" i="1"/>
  <c r="V1707" i="1" s="1"/>
  <c r="I1707" i="1"/>
  <c r="E1707" i="1"/>
  <c r="U1706" i="1"/>
  <c r="Q1706" i="1"/>
  <c r="V1706" i="1" s="1"/>
  <c r="I1706" i="1"/>
  <c r="E1706" i="1"/>
  <c r="U1705" i="1"/>
  <c r="Q1705" i="1"/>
  <c r="V1705" i="1" s="1"/>
  <c r="I1705" i="1"/>
  <c r="E1705" i="1"/>
  <c r="U1704" i="1"/>
  <c r="Q1704" i="1"/>
  <c r="V1704" i="1" s="1"/>
  <c r="I1704" i="1"/>
  <c r="E1704" i="1"/>
  <c r="U1703" i="1"/>
  <c r="Q1703" i="1"/>
  <c r="V1703" i="1" s="1"/>
  <c r="I1703" i="1"/>
  <c r="E1703" i="1"/>
  <c r="U1702" i="1"/>
  <c r="Q1702" i="1"/>
  <c r="V1702" i="1" s="1"/>
  <c r="U1701" i="1"/>
  <c r="Q1701" i="1"/>
  <c r="U1700" i="1"/>
  <c r="Q1700" i="1"/>
  <c r="V1700" i="1" s="1"/>
  <c r="U1699" i="1"/>
  <c r="Q1699" i="1"/>
  <c r="H1717" i="1"/>
  <c r="G1717" i="1"/>
  <c r="U1698" i="1"/>
  <c r="Q1698" i="1"/>
  <c r="U1697" i="1"/>
  <c r="Q1697" i="1"/>
  <c r="V1697" i="1" s="1"/>
  <c r="U1696" i="1"/>
  <c r="Q1696" i="1"/>
  <c r="U1695" i="1"/>
  <c r="Q1695" i="1"/>
  <c r="V1695" i="1" s="1"/>
  <c r="U1694" i="1"/>
  <c r="Q1694" i="1"/>
  <c r="F1717" i="1"/>
  <c r="U1689" i="1"/>
  <c r="Q1689" i="1"/>
  <c r="V1689" i="1" s="1"/>
  <c r="I1689" i="1"/>
  <c r="E1689" i="1"/>
  <c r="U1688" i="1"/>
  <c r="Q1688" i="1"/>
  <c r="V1688" i="1" s="1"/>
  <c r="I1688" i="1"/>
  <c r="E1688" i="1"/>
  <c r="U1687" i="1"/>
  <c r="Q1687" i="1"/>
  <c r="V1687" i="1" s="1"/>
  <c r="I1687" i="1"/>
  <c r="E1687" i="1"/>
  <c r="U1686" i="1"/>
  <c r="Q1686" i="1"/>
  <c r="V1686" i="1" s="1"/>
  <c r="I1686" i="1"/>
  <c r="E1686" i="1"/>
  <c r="U1685" i="1"/>
  <c r="Q1685" i="1"/>
  <c r="V1685" i="1" s="1"/>
  <c r="U1684" i="1"/>
  <c r="Q1684" i="1"/>
  <c r="U1683" i="1"/>
  <c r="Q1683" i="1"/>
  <c r="V1683" i="1" s="1"/>
  <c r="U1682" i="1"/>
  <c r="Q1682" i="1"/>
  <c r="U1649" i="1"/>
  <c r="Q1649" i="1"/>
  <c r="V1649" i="1" s="1"/>
  <c r="C1656" i="1"/>
  <c r="G1656" i="1"/>
  <c r="F1656" i="1"/>
  <c r="H1656" i="1"/>
  <c r="H1674" i="1" s="1"/>
  <c r="E1639" i="1"/>
  <c r="F1650" i="1"/>
  <c r="U1630" i="1"/>
  <c r="Q1630" i="1"/>
  <c r="V1630" i="1" s="1"/>
  <c r="B1648" i="1"/>
  <c r="U1609" i="1"/>
  <c r="Q1609" i="1"/>
  <c r="V1609" i="1" s="1"/>
  <c r="I1673" i="1"/>
  <c r="E1673" i="1"/>
  <c r="I1672" i="1"/>
  <c r="E1672" i="1"/>
  <c r="J1672" i="1" s="1"/>
  <c r="I1671" i="1"/>
  <c r="E1671" i="1"/>
  <c r="I1670" i="1"/>
  <c r="E1670" i="1"/>
  <c r="J1670" i="1" s="1"/>
  <c r="I1664" i="1"/>
  <c r="J1664" i="1" s="1"/>
  <c r="I1663" i="1"/>
  <c r="J1663" i="1" s="1"/>
  <c r="I1662" i="1"/>
  <c r="J1662" i="1"/>
  <c r="I1661" i="1"/>
  <c r="I1660" i="1"/>
  <c r="E1659" i="1"/>
  <c r="I1658" i="1"/>
  <c r="E1658" i="1"/>
  <c r="I1657" i="1"/>
  <c r="E1657" i="1"/>
  <c r="E1656" i="1"/>
  <c r="I1655" i="1"/>
  <c r="E1655" i="1"/>
  <c r="I1654" i="1"/>
  <c r="E1654" i="1"/>
  <c r="I1653" i="1"/>
  <c r="E1653" i="1"/>
  <c r="J1653" i="1" s="1"/>
  <c r="I1652" i="1"/>
  <c r="E1652" i="1"/>
  <c r="I1651" i="1"/>
  <c r="E1651" i="1"/>
  <c r="J1651" i="1" s="1"/>
  <c r="I1650" i="1"/>
  <c r="E1650" i="1"/>
  <c r="I1649" i="1"/>
  <c r="E1649" i="1"/>
  <c r="I1648" i="1"/>
  <c r="E1648" i="1"/>
  <c r="Q1654" i="1"/>
  <c r="U1654" i="1"/>
  <c r="V1654" i="1"/>
  <c r="Q1655" i="1"/>
  <c r="V1655" i="1" s="1"/>
  <c r="U1655" i="1"/>
  <c r="Q1656" i="1"/>
  <c r="V1656" i="1" s="1"/>
  <c r="U1656" i="1"/>
  <c r="Q1657" i="1"/>
  <c r="U1657" i="1"/>
  <c r="V1657" i="1"/>
  <c r="Q1658" i="1"/>
  <c r="U1658" i="1"/>
  <c r="V1658" i="1"/>
  <c r="Q1659" i="1"/>
  <c r="V1659" i="1" s="1"/>
  <c r="U1659" i="1"/>
  <c r="Q1660" i="1"/>
  <c r="V1660" i="1" s="1"/>
  <c r="U1660" i="1"/>
  <c r="Q1661" i="1"/>
  <c r="U1661" i="1"/>
  <c r="V1661" i="1"/>
  <c r="Q1662" i="1"/>
  <c r="U1662" i="1"/>
  <c r="V1662" i="1"/>
  <c r="Q1663" i="1"/>
  <c r="V1663" i="1" s="1"/>
  <c r="U1663" i="1"/>
  <c r="Q1664" i="1"/>
  <c r="V1664" i="1" s="1"/>
  <c r="U1664" i="1"/>
  <c r="Q1665" i="1"/>
  <c r="U1665" i="1"/>
  <c r="V1665" i="1"/>
  <c r="Q1666" i="1"/>
  <c r="U1666" i="1"/>
  <c r="V1666" i="1"/>
  <c r="Q1667" i="1"/>
  <c r="V1667" i="1" s="1"/>
  <c r="U1667" i="1"/>
  <c r="Q1668" i="1"/>
  <c r="V1668" i="1" s="1"/>
  <c r="U1668" i="1"/>
  <c r="Q1669" i="1"/>
  <c r="U1669" i="1"/>
  <c r="V1669" i="1"/>
  <c r="Q1670" i="1"/>
  <c r="U1670" i="1"/>
  <c r="V1670" i="1"/>
  <c r="Q1671" i="1"/>
  <c r="V1671" i="1" s="1"/>
  <c r="U1671" i="1"/>
  <c r="Q1648" i="1"/>
  <c r="U1648" i="1"/>
  <c r="V1648" i="1" s="1"/>
  <c r="I1639" i="1"/>
  <c r="E1640" i="1"/>
  <c r="I1640" i="1"/>
  <c r="J1640" i="1" s="1"/>
  <c r="E1641" i="1"/>
  <c r="I1641" i="1"/>
  <c r="T1674" i="1"/>
  <c r="S1674" i="1"/>
  <c r="R1674" i="1"/>
  <c r="P1674" i="1"/>
  <c r="O1674" i="1"/>
  <c r="N1674" i="1"/>
  <c r="U1653" i="1"/>
  <c r="Q1653" i="1"/>
  <c r="G1674" i="1"/>
  <c r="F1674" i="1"/>
  <c r="C1674" i="1"/>
  <c r="U1646" i="1"/>
  <c r="Q1646" i="1"/>
  <c r="V1646" i="1" s="1"/>
  <c r="I1646" i="1"/>
  <c r="E1646" i="1"/>
  <c r="U1645" i="1"/>
  <c r="V1645" i="1" s="1"/>
  <c r="Q1645" i="1"/>
  <c r="I1645" i="1"/>
  <c r="E1645" i="1"/>
  <c r="V1644" i="1"/>
  <c r="U1644" i="1"/>
  <c r="Q1644" i="1"/>
  <c r="I1644" i="1"/>
  <c r="E1644" i="1"/>
  <c r="U1643" i="1"/>
  <c r="Q1643" i="1"/>
  <c r="V1643" i="1" s="1"/>
  <c r="I1643" i="1"/>
  <c r="J1643" i="1" s="1"/>
  <c r="E1643" i="1"/>
  <c r="U1642" i="1"/>
  <c r="Q1642" i="1"/>
  <c r="V1642" i="1" s="1"/>
  <c r="U1641" i="1"/>
  <c r="Q1641" i="1"/>
  <c r="V1641" i="1" s="1"/>
  <c r="V1639" i="1"/>
  <c r="U1639" i="1"/>
  <c r="Q1639" i="1"/>
  <c r="G1626" i="1"/>
  <c r="I1626" i="1" s="1"/>
  <c r="J1626" i="1" s="1"/>
  <c r="C1625" i="1"/>
  <c r="U1608" i="1"/>
  <c r="Q1608" i="1"/>
  <c r="V1608" i="1" s="1"/>
  <c r="C1623" i="1"/>
  <c r="E1623" i="1" s="1"/>
  <c r="B1622" i="1"/>
  <c r="C1617" i="1"/>
  <c r="G1617" i="1"/>
  <c r="I1617" i="1" s="1"/>
  <c r="U1605" i="1"/>
  <c r="Q1605" i="1"/>
  <c r="F1614" i="1"/>
  <c r="I1614" i="1" s="1"/>
  <c r="C1614" i="1"/>
  <c r="E1614" i="1" s="1"/>
  <c r="B1611" i="1"/>
  <c r="G1611" i="1"/>
  <c r="E1560" i="1"/>
  <c r="H1608" i="1"/>
  <c r="U1569" i="1"/>
  <c r="Q1569" i="1"/>
  <c r="V1569" i="1" s="1"/>
  <c r="B1607" i="1"/>
  <c r="E1607" i="1" s="1"/>
  <c r="J1607" i="1" s="1"/>
  <c r="H1605" i="1"/>
  <c r="H1631" i="1" s="1"/>
  <c r="D1605" i="1"/>
  <c r="D1631" i="1" s="1"/>
  <c r="G1605" i="1"/>
  <c r="G1631" i="1" s="1"/>
  <c r="F1605" i="1"/>
  <c r="C1605" i="1"/>
  <c r="E1605" i="1" s="1"/>
  <c r="F1587" i="1"/>
  <c r="C1582" i="1"/>
  <c r="U1566" i="1"/>
  <c r="Q1566" i="1"/>
  <c r="V1566" i="1" s="1"/>
  <c r="C1580" i="1"/>
  <c r="F1578" i="1"/>
  <c r="I1578" i="1" s="1"/>
  <c r="U1564" i="1"/>
  <c r="Q1564" i="1"/>
  <c r="V1564" i="1" s="1"/>
  <c r="G1577" i="1"/>
  <c r="F1576" i="1"/>
  <c r="I1576" i="1" s="1"/>
  <c r="B1575" i="1"/>
  <c r="E1575" i="1" s="1"/>
  <c r="E1596" i="1"/>
  <c r="I1596" i="1"/>
  <c r="E1597" i="1"/>
  <c r="I1597" i="1"/>
  <c r="J1556" i="1"/>
  <c r="I1556" i="1"/>
  <c r="E1556" i="1"/>
  <c r="U1491" i="1"/>
  <c r="Q1491" i="1"/>
  <c r="V1491" i="1" s="1"/>
  <c r="F1572" i="1"/>
  <c r="G1568" i="1"/>
  <c r="I1568" i="1" s="1"/>
  <c r="U1490" i="1"/>
  <c r="Q1490" i="1"/>
  <c r="V1490" i="1" s="1"/>
  <c r="Q1513" i="1"/>
  <c r="U1513" i="1"/>
  <c r="V1513" i="1" s="1"/>
  <c r="Q1514" i="1"/>
  <c r="V1514" i="1" s="1"/>
  <c r="U1514" i="1"/>
  <c r="Q1515" i="1"/>
  <c r="U1515" i="1"/>
  <c r="V1515" i="1" s="1"/>
  <c r="U1557" i="1"/>
  <c r="Q1557" i="1"/>
  <c r="U1556" i="1"/>
  <c r="Q1556" i="1"/>
  <c r="Q1558" i="1"/>
  <c r="V1558" i="1" s="1"/>
  <c r="U1558" i="1"/>
  <c r="Q1542" i="1"/>
  <c r="U1542" i="1"/>
  <c r="Q1543" i="1"/>
  <c r="U1543" i="1"/>
  <c r="V1543" i="1"/>
  <c r="Q1544" i="1"/>
  <c r="V1544" i="1" s="1"/>
  <c r="U1544" i="1"/>
  <c r="U1587" i="1"/>
  <c r="Q1587" i="1"/>
  <c r="U1586" i="1"/>
  <c r="Q1586" i="1"/>
  <c r="U1585" i="1"/>
  <c r="Q1585" i="1"/>
  <c r="F1566" i="1"/>
  <c r="F1588" i="1" s="1"/>
  <c r="B1566" i="1"/>
  <c r="F1565" i="1"/>
  <c r="I1565" i="1" s="1"/>
  <c r="U1489" i="1"/>
  <c r="Q1489" i="1"/>
  <c r="E1554" i="1"/>
  <c r="I1554" i="1"/>
  <c r="I1553" i="1"/>
  <c r="E1553" i="1"/>
  <c r="Q1584" i="1"/>
  <c r="U1584" i="1"/>
  <c r="V1584" i="1" s="1"/>
  <c r="E1606" i="1"/>
  <c r="I1606" i="1"/>
  <c r="J1606" i="1" s="1"/>
  <c r="I1607" i="1"/>
  <c r="E1608" i="1"/>
  <c r="I1608" i="1"/>
  <c r="E1609" i="1"/>
  <c r="I1609" i="1"/>
  <c r="J1609" i="1"/>
  <c r="E1610" i="1"/>
  <c r="J1610" i="1" s="1"/>
  <c r="I1610" i="1"/>
  <c r="T1631" i="1"/>
  <c r="S1631" i="1"/>
  <c r="R1631" i="1"/>
  <c r="O1631" i="1"/>
  <c r="N1631" i="1"/>
  <c r="P1631" i="1"/>
  <c r="I1630" i="1"/>
  <c r="E1630" i="1"/>
  <c r="U1629" i="1"/>
  <c r="Q1629" i="1"/>
  <c r="I1629" i="1"/>
  <c r="E1629" i="1"/>
  <c r="U1628" i="1"/>
  <c r="Q1628" i="1"/>
  <c r="I1628" i="1"/>
  <c r="J1628" i="1" s="1"/>
  <c r="E1628" i="1"/>
  <c r="U1627" i="1"/>
  <c r="Q1627" i="1"/>
  <c r="I1627" i="1"/>
  <c r="J1627" i="1" s="1"/>
  <c r="E1627" i="1"/>
  <c r="U1626" i="1"/>
  <c r="Q1626" i="1"/>
  <c r="E1626" i="1"/>
  <c r="U1625" i="1"/>
  <c r="Q1625" i="1"/>
  <c r="I1625" i="1"/>
  <c r="E1625" i="1"/>
  <c r="U1624" i="1"/>
  <c r="Q1624" i="1"/>
  <c r="I1624" i="1"/>
  <c r="E1624" i="1"/>
  <c r="U1623" i="1"/>
  <c r="Q1623" i="1"/>
  <c r="I1623" i="1"/>
  <c r="U1622" i="1"/>
  <c r="V1622" i="1" s="1"/>
  <c r="Q1622" i="1"/>
  <c r="I1622" i="1"/>
  <c r="E1622" i="1"/>
  <c r="U1621" i="1"/>
  <c r="V1621" i="1" s="1"/>
  <c r="Q1621" i="1"/>
  <c r="I1621" i="1"/>
  <c r="E1621" i="1"/>
  <c r="U1620" i="1"/>
  <c r="V1620" i="1" s="1"/>
  <c r="Q1620" i="1"/>
  <c r="I1620" i="1"/>
  <c r="E1620" i="1"/>
  <c r="U1619" i="1"/>
  <c r="V1619" i="1" s="1"/>
  <c r="Q1619" i="1"/>
  <c r="I1619" i="1"/>
  <c r="E1619" i="1"/>
  <c r="U1618" i="1"/>
  <c r="V1618" i="1" s="1"/>
  <c r="Q1618" i="1"/>
  <c r="I1618" i="1"/>
  <c r="E1618" i="1"/>
  <c r="U1617" i="1"/>
  <c r="V1617" i="1" s="1"/>
  <c r="Q1617" i="1"/>
  <c r="E1617" i="1"/>
  <c r="U1616" i="1"/>
  <c r="V1616" i="1" s="1"/>
  <c r="Q1616" i="1"/>
  <c r="I1616" i="1"/>
  <c r="E1616" i="1"/>
  <c r="U1615" i="1"/>
  <c r="V1615" i="1" s="1"/>
  <c r="Q1615" i="1"/>
  <c r="I1615" i="1"/>
  <c r="E1615" i="1"/>
  <c r="U1614" i="1"/>
  <c r="V1614" i="1" s="1"/>
  <c r="Q1614" i="1"/>
  <c r="U1613" i="1"/>
  <c r="Q1613" i="1"/>
  <c r="I1613" i="1"/>
  <c r="E1613" i="1"/>
  <c r="U1612" i="1"/>
  <c r="Q1612" i="1"/>
  <c r="I1612" i="1"/>
  <c r="E1612" i="1"/>
  <c r="U1611" i="1"/>
  <c r="Q1611" i="1"/>
  <c r="I1611" i="1"/>
  <c r="E1611" i="1"/>
  <c r="U1610" i="1"/>
  <c r="Q1610" i="1"/>
  <c r="U1607" i="1"/>
  <c r="Q1607" i="1"/>
  <c r="U1606" i="1"/>
  <c r="Q1606" i="1"/>
  <c r="U1603" i="1"/>
  <c r="V1603" i="1" s="1"/>
  <c r="Q1603" i="1"/>
  <c r="I1603" i="1"/>
  <c r="E1603" i="1"/>
  <c r="U1602" i="1"/>
  <c r="V1602" i="1" s="1"/>
  <c r="Q1602" i="1"/>
  <c r="I1602" i="1"/>
  <c r="E1602" i="1"/>
  <c r="U1601" i="1"/>
  <c r="V1601" i="1" s="1"/>
  <c r="Q1601" i="1"/>
  <c r="I1601" i="1"/>
  <c r="E1601" i="1"/>
  <c r="U1600" i="1"/>
  <c r="V1600" i="1" s="1"/>
  <c r="Q1600" i="1"/>
  <c r="I1600" i="1"/>
  <c r="E1600" i="1"/>
  <c r="U1599" i="1"/>
  <c r="V1599" i="1" s="1"/>
  <c r="Q1599" i="1"/>
  <c r="I1599" i="1"/>
  <c r="E1599" i="1"/>
  <c r="U1598" i="1"/>
  <c r="Q1598" i="1"/>
  <c r="I1598" i="1"/>
  <c r="E1598" i="1"/>
  <c r="J1598" i="1" s="1"/>
  <c r="U1597" i="1"/>
  <c r="Q1597" i="1"/>
  <c r="U1596" i="1"/>
  <c r="Q1596" i="1"/>
  <c r="V1596" i="1" s="1"/>
  <c r="C1564" i="1"/>
  <c r="B1564" i="1"/>
  <c r="U1488" i="1"/>
  <c r="V1488" i="1" s="1"/>
  <c r="Q1488" i="1"/>
  <c r="G1562" i="1"/>
  <c r="Q1541" i="1"/>
  <c r="V1541" i="1" s="1"/>
  <c r="U1541" i="1"/>
  <c r="F1544" i="1"/>
  <c r="D1536" i="1"/>
  <c r="D1545" i="1" s="1"/>
  <c r="E1534" i="1"/>
  <c r="J1534" i="1" s="1"/>
  <c r="E1535" i="1"/>
  <c r="B1536" i="1"/>
  <c r="E1536" i="1" s="1"/>
  <c r="U1441" i="1"/>
  <c r="Q1441" i="1"/>
  <c r="U1487" i="1"/>
  <c r="Q1487" i="1"/>
  <c r="V1487" i="1" s="1"/>
  <c r="C1533" i="1"/>
  <c r="B1532" i="1"/>
  <c r="B1531" i="1"/>
  <c r="E1531" i="1" s="1"/>
  <c r="J1531" i="1" s="1"/>
  <c r="G1530" i="1"/>
  <c r="I1530" i="1" s="1"/>
  <c r="U1440" i="1"/>
  <c r="Q1440" i="1"/>
  <c r="U1486" i="1"/>
  <c r="Q1486" i="1"/>
  <c r="H1529" i="1"/>
  <c r="U1439" i="1"/>
  <c r="Q1439" i="1"/>
  <c r="V1439" i="1" s="1"/>
  <c r="U1485" i="1"/>
  <c r="Q1485" i="1"/>
  <c r="E1473" i="1"/>
  <c r="B1526" i="1"/>
  <c r="B1523" i="1"/>
  <c r="G1523" i="1"/>
  <c r="U1438" i="1"/>
  <c r="Q1438" i="1"/>
  <c r="V1438" i="1" s="1"/>
  <c r="U1484" i="1"/>
  <c r="Q1484" i="1"/>
  <c r="C1523" i="1"/>
  <c r="H1523" i="1"/>
  <c r="I1523" i="1" s="1"/>
  <c r="F1522" i="1"/>
  <c r="I1522" i="1" s="1"/>
  <c r="U1437" i="1"/>
  <c r="Q1437" i="1"/>
  <c r="U1483" i="1"/>
  <c r="Q1483" i="1"/>
  <c r="V1483" i="1" s="1"/>
  <c r="Q1519" i="1"/>
  <c r="U1519" i="1"/>
  <c r="V1519" i="1"/>
  <c r="B1520" i="1"/>
  <c r="E1520" i="1" s="1"/>
  <c r="F1520" i="1"/>
  <c r="B1519" i="1"/>
  <c r="C1519" i="1"/>
  <c r="R1502" i="1"/>
  <c r="H1500" i="1"/>
  <c r="Q1481" i="1"/>
  <c r="U1481" i="1"/>
  <c r="V1481" i="1"/>
  <c r="U1436" i="1"/>
  <c r="Q1436" i="1"/>
  <c r="V1436" i="1" s="1"/>
  <c r="F1500" i="1"/>
  <c r="B1500" i="1"/>
  <c r="P1588" i="1"/>
  <c r="Q1499" i="1"/>
  <c r="U1499" i="1"/>
  <c r="H1498" i="1"/>
  <c r="U1435" i="1"/>
  <c r="Q1435" i="1"/>
  <c r="V1435" i="1" s="1"/>
  <c r="G1489" i="1"/>
  <c r="G1502" i="1" s="1"/>
  <c r="U1480" i="1"/>
  <c r="Q1480" i="1"/>
  <c r="U1478" i="1"/>
  <c r="Q1478" i="1"/>
  <c r="V1478" i="1" s="1"/>
  <c r="F1482" i="1"/>
  <c r="U1477" i="1"/>
  <c r="Q1477" i="1"/>
  <c r="B1481" i="1"/>
  <c r="E1481" i="1" s="1"/>
  <c r="Q1578" i="1"/>
  <c r="U1578" i="1"/>
  <c r="Q1579" i="1"/>
  <c r="U1579" i="1"/>
  <c r="Q1580" i="1"/>
  <c r="U1580" i="1"/>
  <c r="Q1581" i="1"/>
  <c r="U1581" i="1"/>
  <c r="Q1582" i="1"/>
  <c r="V1582" i="1" s="1"/>
  <c r="U1582" i="1"/>
  <c r="Q1583" i="1"/>
  <c r="U1583" i="1"/>
  <c r="Q1555" i="1"/>
  <c r="U1555" i="1"/>
  <c r="T1588" i="1"/>
  <c r="S1588" i="1"/>
  <c r="R1588" i="1"/>
  <c r="O1588" i="1"/>
  <c r="N1588" i="1"/>
  <c r="H1588" i="1"/>
  <c r="D1588" i="1"/>
  <c r="C1588" i="1"/>
  <c r="B1588" i="1"/>
  <c r="I1587" i="1"/>
  <c r="E1587" i="1"/>
  <c r="I1586" i="1"/>
  <c r="E1586" i="1"/>
  <c r="I1585" i="1"/>
  <c r="E1585" i="1"/>
  <c r="I1584" i="1"/>
  <c r="E1584" i="1"/>
  <c r="I1583" i="1"/>
  <c r="E1583" i="1"/>
  <c r="I1582" i="1"/>
  <c r="E1582" i="1"/>
  <c r="I1581" i="1"/>
  <c r="E1581" i="1"/>
  <c r="I1580" i="1"/>
  <c r="E1580" i="1"/>
  <c r="I1579" i="1"/>
  <c r="E1579" i="1"/>
  <c r="E1578" i="1"/>
  <c r="U1577" i="1"/>
  <c r="Q1577" i="1"/>
  <c r="I1577" i="1"/>
  <c r="E1577" i="1"/>
  <c r="U1576" i="1"/>
  <c r="Q1576" i="1"/>
  <c r="E1576" i="1"/>
  <c r="U1575" i="1"/>
  <c r="Q1575" i="1"/>
  <c r="I1575" i="1"/>
  <c r="U1574" i="1"/>
  <c r="Q1574" i="1"/>
  <c r="I1574" i="1"/>
  <c r="E1574" i="1"/>
  <c r="U1573" i="1"/>
  <c r="Q1573" i="1"/>
  <c r="I1573" i="1"/>
  <c r="E1573" i="1"/>
  <c r="U1572" i="1"/>
  <c r="Q1572" i="1"/>
  <c r="I1572" i="1"/>
  <c r="E1572" i="1"/>
  <c r="U1571" i="1"/>
  <c r="Q1571" i="1"/>
  <c r="I1571" i="1"/>
  <c r="E1571" i="1"/>
  <c r="U1570" i="1"/>
  <c r="Q1570" i="1"/>
  <c r="I1570" i="1"/>
  <c r="E1570" i="1"/>
  <c r="I1569" i="1"/>
  <c r="E1569" i="1"/>
  <c r="U1568" i="1"/>
  <c r="Q1568" i="1"/>
  <c r="E1568" i="1"/>
  <c r="U1567" i="1"/>
  <c r="Q1567" i="1"/>
  <c r="I1567" i="1"/>
  <c r="E1567" i="1"/>
  <c r="E1566" i="1"/>
  <c r="U1565" i="1"/>
  <c r="Q1565" i="1"/>
  <c r="E1565" i="1"/>
  <c r="I1564" i="1"/>
  <c r="E1564" i="1"/>
  <c r="U1563" i="1"/>
  <c r="Q1563" i="1"/>
  <c r="I1563" i="1"/>
  <c r="E1563" i="1"/>
  <c r="U1562" i="1"/>
  <c r="Q1562" i="1"/>
  <c r="I1562" i="1"/>
  <c r="E1562" i="1"/>
  <c r="U1560" i="1"/>
  <c r="Q1560" i="1"/>
  <c r="I1560" i="1"/>
  <c r="U1559" i="1"/>
  <c r="Q1559" i="1"/>
  <c r="I1559" i="1"/>
  <c r="E1559" i="1"/>
  <c r="I1558" i="1"/>
  <c r="E1558" i="1"/>
  <c r="I1557" i="1"/>
  <c r="E1557" i="1"/>
  <c r="I1555" i="1"/>
  <c r="E1555" i="1"/>
  <c r="U1554" i="1"/>
  <c r="Q1554" i="1"/>
  <c r="U1553" i="1"/>
  <c r="Q1553" i="1"/>
  <c r="Q1498" i="1"/>
  <c r="U1498" i="1"/>
  <c r="B1476" i="1"/>
  <c r="C1476" i="1"/>
  <c r="F1476" i="1"/>
  <c r="I1476" i="1" s="1"/>
  <c r="U1476" i="1"/>
  <c r="Q1476" i="1"/>
  <c r="U1434" i="1"/>
  <c r="Q1434" i="1"/>
  <c r="U1500" i="1"/>
  <c r="Q1500" i="1"/>
  <c r="Q1471" i="1"/>
  <c r="U1471" i="1"/>
  <c r="Q1501" i="1"/>
  <c r="I1474" i="1"/>
  <c r="E1474" i="1"/>
  <c r="I1473" i="1"/>
  <c r="I1472" i="1"/>
  <c r="E1472" i="1"/>
  <c r="I1471" i="1"/>
  <c r="E1471" i="1"/>
  <c r="I1470" i="1"/>
  <c r="E1470" i="1"/>
  <c r="I1469" i="1"/>
  <c r="E1469" i="1"/>
  <c r="I1468" i="1"/>
  <c r="E1468" i="1"/>
  <c r="I1467" i="1"/>
  <c r="E1467" i="1"/>
  <c r="I1517" i="1"/>
  <c r="E1517" i="1"/>
  <c r="I1516" i="1"/>
  <c r="E1516" i="1"/>
  <c r="J1516" i="1" s="1"/>
  <c r="I1515" i="1"/>
  <c r="E1515" i="1"/>
  <c r="I1514" i="1"/>
  <c r="E1514" i="1"/>
  <c r="I1513" i="1"/>
  <c r="E1513" i="1"/>
  <c r="I1512" i="1"/>
  <c r="E1512" i="1"/>
  <c r="I1511" i="1"/>
  <c r="E1511" i="1"/>
  <c r="I1510" i="1"/>
  <c r="E1510" i="1"/>
  <c r="U1517" i="1"/>
  <c r="Q1517" i="1"/>
  <c r="U1516" i="1"/>
  <c r="Q1516" i="1"/>
  <c r="U1512" i="1"/>
  <c r="Q1512" i="1"/>
  <c r="U1511" i="1"/>
  <c r="Q1511" i="1"/>
  <c r="V1511" i="1" s="1"/>
  <c r="U1510" i="1"/>
  <c r="Q1510" i="1"/>
  <c r="U1540" i="1"/>
  <c r="Q1540" i="1"/>
  <c r="U1539" i="1"/>
  <c r="Q1539" i="1"/>
  <c r="U1538" i="1"/>
  <c r="Q1538" i="1"/>
  <c r="U1537" i="1"/>
  <c r="Q1537" i="1"/>
  <c r="U1536" i="1"/>
  <c r="Q1536" i="1"/>
  <c r="V1536" i="1" s="1"/>
  <c r="U1535" i="1"/>
  <c r="Q1535" i="1"/>
  <c r="U1534" i="1"/>
  <c r="Q1534" i="1"/>
  <c r="U1533" i="1"/>
  <c r="Q1533" i="1"/>
  <c r="U1532" i="1"/>
  <c r="Q1532" i="1"/>
  <c r="U1531" i="1"/>
  <c r="Q1531" i="1"/>
  <c r="U1530" i="1"/>
  <c r="Q1530" i="1"/>
  <c r="V1530" i="1" s="1"/>
  <c r="U1529" i="1"/>
  <c r="Q1529" i="1"/>
  <c r="U1528" i="1"/>
  <c r="Q1528" i="1"/>
  <c r="U1527" i="1"/>
  <c r="Q1527" i="1"/>
  <c r="U1526" i="1"/>
  <c r="Q1526" i="1"/>
  <c r="U1525" i="1"/>
  <c r="Q1525" i="1"/>
  <c r="U1524" i="1"/>
  <c r="Q1524" i="1"/>
  <c r="V1524" i="1" s="1"/>
  <c r="U1523" i="1"/>
  <c r="Q1523" i="1"/>
  <c r="U1522" i="1"/>
  <c r="Q1522" i="1"/>
  <c r="V1522" i="1" s="1"/>
  <c r="U1521" i="1"/>
  <c r="Q1521" i="1"/>
  <c r="U1520" i="1"/>
  <c r="Q1520" i="1"/>
  <c r="T1545" i="1"/>
  <c r="S1545" i="1"/>
  <c r="R1545" i="1"/>
  <c r="P1545" i="1"/>
  <c r="O1545" i="1"/>
  <c r="N1545" i="1"/>
  <c r="C1545" i="1"/>
  <c r="I1544" i="1"/>
  <c r="E1544" i="1"/>
  <c r="I1543" i="1"/>
  <c r="E1543" i="1"/>
  <c r="I1542" i="1"/>
  <c r="E1542" i="1"/>
  <c r="I1541" i="1"/>
  <c r="E1541" i="1"/>
  <c r="I1540" i="1"/>
  <c r="E1540" i="1"/>
  <c r="I1539" i="1"/>
  <c r="E1539" i="1"/>
  <c r="J1539" i="1" s="1"/>
  <c r="I1538" i="1"/>
  <c r="E1538" i="1"/>
  <c r="I1537" i="1"/>
  <c r="E1537" i="1"/>
  <c r="J1537" i="1" s="1"/>
  <c r="I1536" i="1"/>
  <c r="I1535" i="1"/>
  <c r="I1534" i="1"/>
  <c r="I1533" i="1"/>
  <c r="E1533" i="1"/>
  <c r="I1532" i="1"/>
  <c r="E1532" i="1"/>
  <c r="I1531" i="1"/>
  <c r="E1530" i="1"/>
  <c r="I1529" i="1"/>
  <c r="E1529" i="1"/>
  <c r="I1528" i="1"/>
  <c r="E1528" i="1"/>
  <c r="J1528" i="1" s="1"/>
  <c r="I1527" i="1"/>
  <c r="E1527" i="1"/>
  <c r="I1526" i="1"/>
  <c r="E1526" i="1"/>
  <c r="I1525" i="1"/>
  <c r="E1525" i="1"/>
  <c r="I1524" i="1"/>
  <c r="E1524" i="1"/>
  <c r="J1524" i="1" s="1"/>
  <c r="E1523" i="1"/>
  <c r="E1522" i="1"/>
  <c r="I1521" i="1"/>
  <c r="E1521" i="1"/>
  <c r="I1519" i="1"/>
  <c r="E1519" i="1"/>
  <c r="Q1396" i="1"/>
  <c r="U1396" i="1"/>
  <c r="U1433" i="1"/>
  <c r="Q1433" i="1"/>
  <c r="U1381" i="1"/>
  <c r="Q1381" i="1"/>
  <c r="B1416" i="1"/>
  <c r="Q1425" i="1"/>
  <c r="V1425" i="1" s="1"/>
  <c r="U1425" i="1"/>
  <c r="T1502" i="1"/>
  <c r="S1502" i="1"/>
  <c r="P1502" i="1"/>
  <c r="O1502" i="1"/>
  <c r="N1502" i="1"/>
  <c r="D1502" i="1"/>
  <c r="C1502" i="1"/>
  <c r="I1501" i="1"/>
  <c r="E1501" i="1"/>
  <c r="E1500" i="1"/>
  <c r="I1499" i="1"/>
  <c r="E1499" i="1"/>
  <c r="I1498" i="1"/>
  <c r="E1498" i="1"/>
  <c r="U1497" i="1"/>
  <c r="Q1497" i="1"/>
  <c r="I1497" i="1"/>
  <c r="E1497" i="1"/>
  <c r="U1496" i="1"/>
  <c r="Q1496" i="1"/>
  <c r="I1496" i="1"/>
  <c r="E1496" i="1"/>
  <c r="J1496" i="1" s="1"/>
  <c r="U1495" i="1"/>
  <c r="Q1495" i="1"/>
  <c r="I1495" i="1"/>
  <c r="E1495" i="1"/>
  <c r="U1494" i="1"/>
  <c r="Q1494" i="1"/>
  <c r="I1494" i="1"/>
  <c r="E1494" i="1"/>
  <c r="U1493" i="1"/>
  <c r="Q1493" i="1"/>
  <c r="I1493" i="1"/>
  <c r="E1493" i="1"/>
  <c r="J1493" i="1" s="1"/>
  <c r="U1492" i="1"/>
  <c r="Q1492" i="1"/>
  <c r="I1492" i="1"/>
  <c r="E1492" i="1"/>
  <c r="I1491" i="1"/>
  <c r="E1491" i="1"/>
  <c r="I1490" i="1"/>
  <c r="E1490" i="1"/>
  <c r="I1489" i="1"/>
  <c r="E1489" i="1"/>
  <c r="I1488" i="1"/>
  <c r="E1488" i="1"/>
  <c r="I1487" i="1"/>
  <c r="E1487" i="1"/>
  <c r="I1486" i="1"/>
  <c r="E1486" i="1"/>
  <c r="I1485" i="1"/>
  <c r="J1485" i="1" s="1"/>
  <c r="E1485" i="1"/>
  <c r="I1484" i="1"/>
  <c r="E1484" i="1"/>
  <c r="I1483" i="1"/>
  <c r="E1483" i="1"/>
  <c r="U1482" i="1"/>
  <c r="Q1482" i="1"/>
  <c r="V1482" i="1" s="1"/>
  <c r="I1482" i="1"/>
  <c r="E1482" i="1"/>
  <c r="I1481" i="1"/>
  <c r="I1480" i="1"/>
  <c r="E1480" i="1"/>
  <c r="U1479" i="1"/>
  <c r="Q1479" i="1"/>
  <c r="I1479" i="1"/>
  <c r="E1479" i="1"/>
  <c r="I1478" i="1"/>
  <c r="E1478" i="1"/>
  <c r="I1477" i="1"/>
  <c r="E1477" i="1"/>
  <c r="E1476" i="1"/>
  <c r="U1474" i="1"/>
  <c r="Q1474" i="1"/>
  <c r="U1473" i="1"/>
  <c r="V1473" i="1" s="1"/>
  <c r="Q1473" i="1"/>
  <c r="U1472" i="1"/>
  <c r="Q1472" i="1"/>
  <c r="V1472" i="1" s="1"/>
  <c r="U1470" i="1"/>
  <c r="Q1470" i="1"/>
  <c r="U1469" i="1"/>
  <c r="Q1469" i="1"/>
  <c r="U1468" i="1"/>
  <c r="Q1468" i="1"/>
  <c r="U1467" i="1"/>
  <c r="Q1467" i="1"/>
  <c r="V1467" i="1" s="1"/>
  <c r="G1401" i="1"/>
  <c r="U1395" i="1"/>
  <c r="Q1395" i="1"/>
  <c r="V1395" i="1" s="1"/>
  <c r="D1401" i="1"/>
  <c r="T988" i="1"/>
  <c r="S988" i="1"/>
  <c r="R988" i="1"/>
  <c r="P988" i="1"/>
  <c r="O988" i="1"/>
  <c r="N988" i="1"/>
  <c r="H1398" i="1"/>
  <c r="G1398" i="1"/>
  <c r="T1459" i="1"/>
  <c r="S1459" i="1"/>
  <c r="R1459" i="1"/>
  <c r="P1459" i="1"/>
  <c r="O1459" i="1"/>
  <c r="N1459" i="1"/>
  <c r="H1459" i="1"/>
  <c r="G1459" i="1"/>
  <c r="F1459" i="1"/>
  <c r="D1459" i="1"/>
  <c r="C1459" i="1"/>
  <c r="B1459" i="1"/>
  <c r="U1458" i="1"/>
  <c r="Q1458" i="1"/>
  <c r="I1458" i="1"/>
  <c r="E1458" i="1"/>
  <c r="J1458" i="1" s="1"/>
  <c r="U1457" i="1"/>
  <c r="Q1457" i="1"/>
  <c r="I1457" i="1"/>
  <c r="E1457" i="1"/>
  <c r="U1456" i="1"/>
  <c r="Q1456" i="1"/>
  <c r="I1456" i="1"/>
  <c r="E1456" i="1"/>
  <c r="U1455" i="1"/>
  <c r="Q1455" i="1"/>
  <c r="I1455" i="1"/>
  <c r="E1455" i="1"/>
  <c r="J1455" i="1" s="1"/>
  <c r="U1454" i="1"/>
  <c r="Q1454" i="1"/>
  <c r="I1454" i="1"/>
  <c r="E1454" i="1"/>
  <c r="U1453" i="1"/>
  <c r="Q1453" i="1"/>
  <c r="I1453" i="1"/>
  <c r="E1453" i="1"/>
  <c r="U1452" i="1"/>
  <c r="Q1452" i="1"/>
  <c r="I1452" i="1"/>
  <c r="E1452" i="1"/>
  <c r="J1452" i="1" s="1"/>
  <c r="U1451" i="1"/>
  <c r="Q1451" i="1"/>
  <c r="I1451" i="1"/>
  <c r="E1451" i="1"/>
  <c r="U1450" i="1"/>
  <c r="Q1450" i="1"/>
  <c r="I1450" i="1"/>
  <c r="E1450" i="1"/>
  <c r="U1449" i="1"/>
  <c r="Q1449" i="1"/>
  <c r="I1449" i="1"/>
  <c r="E1449" i="1"/>
  <c r="U1448" i="1"/>
  <c r="Q1448" i="1"/>
  <c r="I1448" i="1"/>
  <c r="E1448" i="1"/>
  <c r="U1447" i="1"/>
  <c r="Q1447" i="1"/>
  <c r="I1447" i="1"/>
  <c r="E1447" i="1"/>
  <c r="U1446" i="1"/>
  <c r="Q1446" i="1"/>
  <c r="I1446" i="1"/>
  <c r="E1446" i="1"/>
  <c r="J1446" i="1" s="1"/>
  <c r="U1445" i="1"/>
  <c r="Q1445" i="1"/>
  <c r="I1445" i="1"/>
  <c r="E1445" i="1"/>
  <c r="U1444" i="1"/>
  <c r="Q1444" i="1"/>
  <c r="I1444" i="1"/>
  <c r="E1444" i="1"/>
  <c r="U1443" i="1"/>
  <c r="Q1443" i="1"/>
  <c r="I1443" i="1"/>
  <c r="E1443" i="1"/>
  <c r="J1443" i="1" s="1"/>
  <c r="U1442" i="1"/>
  <c r="Q1442" i="1"/>
  <c r="I1442" i="1"/>
  <c r="E1442" i="1"/>
  <c r="I1441" i="1"/>
  <c r="E1441" i="1"/>
  <c r="I1440" i="1"/>
  <c r="E1440" i="1"/>
  <c r="J1440" i="1" s="1"/>
  <c r="I1439" i="1"/>
  <c r="E1439" i="1"/>
  <c r="I1438" i="1"/>
  <c r="E1438" i="1"/>
  <c r="I1437" i="1"/>
  <c r="E1437" i="1"/>
  <c r="I1436" i="1"/>
  <c r="E1436" i="1"/>
  <c r="I1435" i="1"/>
  <c r="E1435" i="1"/>
  <c r="I1434" i="1"/>
  <c r="E1434" i="1"/>
  <c r="I1433" i="1"/>
  <c r="E1433" i="1"/>
  <c r="U1431" i="1"/>
  <c r="Q1431" i="1"/>
  <c r="V1431" i="1" s="1"/>
  <c r="I1431" i="1"/>
  <c r="E1431" i="1"/>
  <c r="U1430" i="1"/>
  <c r="Q1430" i="1"/>
  <c r="I1430" i="1"/>
  <c r="E1430" i="1"/>
  <c r="U1429" i="1"/>
  <c r="Q1429" i="1"/>
  <c r="I1429" i="1"/>
  <c r="E1429" i="1"/>
  <c r="U1428" i="1"/>
  <c r="Q1428" i="1"/>
  <c r="I1428" i="1"/>
  <c r="E1428" i="1"/>
  <c r="U1427" i="1"/>
  <c r="Q1427" i="1"/>
  <c r="I1427" i="1"/>
  <c r="E1427" i="1"/>
  <c r="U1426" i="1"/>
  <c r="Q1426" i="1"/>
  <c r="I1426" i="1"/>
  <c r="E1426" i="1"/>
  <c r="I1425" i="1"/>
  <c r="E1425" i="1"/>
  <c r="J1425" i="1" s="1"/>
  <c r="U1424" i="1"/>
  <c r="Q1424" i="1"/>
  <c r="I1424" i="1"/>
  <c r="E1424" i="1"/>
  <c r="V1932" i="1" l="1"/>
  <c r="J1932" i="1"/>
  <c r="V1889" i="1"/>
  <c r="J1889" i="1"/>
  <c r="V1846" i="1"/>
  <c r="J1846" i="1"/>
  <c r="J1803" i="1"/>
  <c r="I1566" i="1"/>
  <c r="J1600" i="1"/>
  <c r="V1610" i="1"/>
  <c r="V1612" i="1"/>
  <c r="V1627" i="1"/>
  <c r="V1542" i="1"/>
  <c r="J1427" i="1"/>
  <c r="J1430" i="1"/>
  <c r="V1447" i="1"/>
  <c r="V1453" i="1"/>
  <c r="V1456" i="1"/>
  <c r="V1468" i="1"/>
  <c r="V1434" i="1"/>
  <c r="V1555" i="1"/>
  <c r="V1597" i="1"/>
  <c r="V1598" i="1"/>
  <c r="J1612" i="1"/>
  <c r="V1623" i="1"/>
  <c r="V1624" i="1"/>
  <c r="V1625" i="1"/>
  <c r="V1605" i="1"/>
  <c r="I1656" i="1"/>
  <c r="V1682" i="1"/>
  <c r="J1686" i="1"/>
  <c r="J1688" i="1"/>
  <c r="J1689" i="1"/>
  <c r="V1498" i="1"/>
  <c r="J1601" i="1"/>
  <c r="V1611" i="1"/>
  <c r="V1613" i="1"/>
  <c r="V1626" i="1"/>
  <c r="V1628" i="1"/>
  <c r="V1692" i="1"/>
  <c r="U988" i="1"/>
  <c r="T989" i="1" s="1"/>
  <c r="J1489" i="1"/>
  <c r="V1493" i="1"/>
  <c r="V1396" i="1"/>
  <c r="J1525" i="1"/>
  <c r="J1538" i="1"/>
  <c r="J1540" i="1"/>
  <c r="J1542" i="1"/>
  <c r="J1544" i="1"/>
  <c r="V1521" i="1"/>
  <c r="V1525" i="1"/>
  <c r="V1527" i="1"/>
  <c r="V1533" i="1"/>
  <c r="V1539" i="1"/>
  <c r="J1513" i="1"/>
  <c r="I1500" i="1"/>
  <c r="F1545" i="1"/>
  <c r="V1484" i="1"/>
  <c r="G1545" i="1"/>
  <c r="V1485" i="1"/>
  <c r="J1630" i="1"/>
  <c r="G1588" i="1"/>
  <c r="I1588" i="1" s="1"/>
  <c r="J1646" i="1"/>
  <c r="V1653" i="1"/>
  <c r="J1658" i="1"/>
  <c r="J1673" i="1"/>
  <c r="V1696" i="1"/>
  <c r="V1698" i="1"/>
  <c r="V1699" i="1"/>
  <c r="V1701" i="1"/>
  <c r="J1704" i="1"/>
  <c r="J1706" i="1"/>
  <c r="J1707" i="1"/>
  <c r="J1711" i="1"/>
  <c r="J1713" i="1"/>
  <c r="V1716" i="1"/>
  <c r="J1700" i="1"/>
  <c r="V1803" i="1"/>
  <c r="V1760" i="1"/>
  <c r="J1760" i="1"/>
  <c r="V1684" i="1"/>
  <c r="J1715" i="1"/>
  <c r="J1687" i="1"/>
  <c r="J1712" i="1"/>
  <c r="V1694" i="1"/>
  <c r="J1710" i="1"/>
  <c r="J1709" i="1"/>
  <c r="J1708" i="1"/>
  <c r="J1705" i="1"/>
  <c r="J1703" i="1"/>
  <c r="J1696" i="1"/>
  <c r="J1694" i="1"/>
  <c r="I1717" i="1"/>
  <c r="Q1717" i="1"/>
  <c r="J1671" i="1"/>
  <c r="J1645" i="1"/>
  <c r="J1644" i="1"/>
  <c r="J1661" i="1"/>
  <c r="J1660" i="1"/>
  <c r="J1659" i="1"/>
  <c r="U1717" i="1"/>
  <c r="B1717" i="1"/>
  <c r="C1717" i="1"/>
  <c r="J1641" i="1"/>
  <c r="J1657" i="1"/>
  <c r="J1656" i="1"/>
  <c r="J1655" i="1"/>
  <c r="J1654" i="1"/>
  <c r="J1639" i="1"/>
  <c r="J1652" i="1"/>
  <c r="J1650" i="1"/>
  <c r="J1649" i="1"/>
  <c r="Q1674" i="1"/>
  <c r="J1648" i="1"/>
  <c r="J1599" i="1"/>
  <c r="U1674" i="1"/>
  <c r="I1674" i="1"/>
  <c r="B1674" i="1"/>
  <c r="D1674" i="1"/>
  <c r="J1629" i="1"/>
  <c r="V1607" i="1"/>
  <c r="J1625" i="1"/>
  <c r="J1624" i="1"/>
  <c r="J1623" i="1"/>
  <c r="V1606" i="1"/>
  <c r="J1622" i="1"/>
  <c r="J1621" i="1"/>
  <c r="J1620" i="1"/>
  <c r="J1619" i="1"/>
  <c r="J1618" i="1"/>
  <c r="J1617" i="1"/>
  <c r="V1629" i="1"/>
  <c r="J1616" i="1"/>
  <c r="J1597" i="1"/>
  <c r="J1615" i="1"/>
  <c r="F1631" i="1"/>
  <c r="I1631" i="1" s="1"/>
  <c r="J1614" i="1"/>
  <c r="J1613" i="1"/>
  <c r="J1611" i="1"/>
  <c r="J1602" i="1"/>
  <c r="J1603" i="1"/>
  <c r="J1608" i="1"/>
  <c r="J1596" i="1"/>
  <c r="I1605" i="1"/>
  <c r="J1605" i="1"/>
  <c r="C1631" i="1"/>
  <c r="U1631" i="1"/>
  <c r="V1586" i="1"/>
  <c r="V1587" i="1"/>
  <c r="Q1631" i="1"/>
  <c r="V1556" i="1"/>
  <c r="V1585" i="1"/>
  <c r="J1554" i="1"/>
  <c r="J1553" i="1"/>
  <c r="V1489" i="1"/>
  <c r="B1631" i="1"/>
  <c r="J1543" i="1"/>
  <c r="J1541" i="1"/>
  <c r="J1536" i="1"/>
  <c r="B1545" i="1"/>
  <c r="E1545" i="1" s="1"/>
  <c r="V1441" i="1"/>
  <c r="J1535" i="1"/>
  <c r="J1533" i="1"/>
  <c r="J1532" i="1"/>
  <c r="J1530" i="1"/>
  <c r="V1486" i="1"/>
  <c r="V1440" i="1"/>
  <c r="J1529" i="1"/>
  <c r="J1527" i="1"/>
  <c r="J1526" i="1"/>
  <c r="H1545" i="1"/>
  <c r="J1523" i="1"/>
  <c r="J1522" i="1"/>
  <c r="J1521" i="1"/>
  <c r="V1437" i="1"/>
  <c r="J1510" i="1"/>
  <c r="I1520" i="1"/>
  <c r="J1520" i="1" s="1"/>
  <c r="J1519" i="1"/>
  <c r="H1502" i="1"/>
  <c r="I1502" i="1" s="1"/>
  <c r="B1502" i="1"/>
  <c r="F1502" i="1"/>
  <c r="J1499" i="1"/>
  <c r="J1479" i="1"/>
  <c r="J1487" i="1"/>
  <c r="U1501" i="1"/>
  <c r="V1501" i="1" s="1"/>
  <c r="V1581" i="1"/>
  <c r="V1578" i="1"/>
  <c r="V1516" i="1"/>
  <c r="J1426" i="1"/>
  <c r="J1429" i="1"/>
  <c r="J1501" i="1"/>
  <c r="V1510" i="1"/>
  <c r="V1580" i="1"/>
  <c r="V1480" i="1"/>
  <c r="V1476" i="1"/>
  <c r="V1499" i="1"/>
  <c r="S989" i="1"/>
  <c r="J1480" i="1"/>
  <c r="J1497" i="1"/>
  <c r="V1540" i="1"/>
  <c r="J1477" i="1"/>
  <c r="J1495" i="1"/>
  <c r="J1483" i="1"/>
  <c r="J1474" i="1"/>
  <c r="J1491" i="1"/>
  <c r="J1471" i="1"/>
  <c r="V1479" i="1"/>
  <c r="J1484" i="1"/>
  <c r="R989" i="1"/>
  <c r="J1428" i="1"/>
  <c r="V1429" i="1"/>
  <c r="J1431" i="1"/>
  <c r="J1434" i="1"/>
  <c r="J1436" i="1"/>
  <c r="J1439" i="1"/>
  <c r="J1442" i="1"/>
  <c r="V1443" i="1"/>
  <c r="J1448" i="1"/>
  <c r="V1449" i="1"/>
  <c r="J1451" i="1"/>
  <c r="V1452" i="1"/>
  <c r="J1454" i="1"/>
  <c r="V1455" i="1"/>
  <c r="J1457" i="1"/>
  <c r="V1458" i="1"/>
  <c r="U989" i="1"/>
  <c r="J1488" i="1"/>
  <c r="J1492" i="1"/>
  <c r="V1494" i="1"/>
  <c r="V1381" i="1"/>
  <c r="V1517" i="1"/>
  <c r="J1512" i="1"/>
  <c r="J1515" i="1"/>
  <c r="J1470" i="1"/>
  <c r="J1473" i="1"/>
  <c r="J1560" i="1"/>
  <c r="V1562" i="1"/>
  <c r="J1564" i="1"/>
  <c r="V1565" i="1"/>
  <c r="J1567" i="1"/>
  <c r="V1568" i="1"/>
  <c r="J1570" i="1"/>
  <c r="V1571" i="1"/>
  <c r="J1573" i="1"/>
  <c r="V1574" i="1"/>
  <c r="J1576" i="1"/>
  <c r="V1577" i="1"/>
  <c r="J1580" i="1"/>
  <c r="J1583" i="1"/>
  <c r="J1586" i="1"/>
  <c r="Q988" i="1"/>
  <c r="V1528" i="1"/>
  <c r="V1531" i="1"/>
  <c r="V1534" i="1"/>
  <c r="V1537" i="1"/>
  <c r="V1471" i="1"/>
  <c r="U1588" i="1"/>
  <c r="J1435" i="1"/>
  <c r="J1438" i="1"/>
  <c r="V1445" i="1"/>
  <c r="J1447" i="1"/>
  <c r="J1450" i="1"/>
  <c r="V1451" i="1"/>
  <c r="J1453" i="1"/>
  <c r="V1454" i="1"/>
  <c r="J1456" i="1"/>
  <c r="V1457" i="1"/>
  <c r="V1470" i="1"/>
  <c r="J1478" i="1"/>
  <c r="J1482" i="1"/>
  <c r="J1486" i="1"/>
  <c r="V1497" i="1"/>
  <c r="V1433" i="1"/>
  <c r="V1554" i="1"/>
  <c r="J1557" i="1"/>
  <c r="J1559" i="1"/>
  <c r="V1560" i="1"/>
  <c r="J1563" i="1"/>
  <c r="J1566" i="1"/>
  <c r="V1567" i="1"/>
  <c r="J1569" i="1"/>
  <c r="V1570" i="1"/>
  <c r="J1572" i="1"/>
  <c r="V1573" i="1"/>
  <c r="J1575" i="1"/>
  <c r="V1576" i="1"/>
  <c r="J1578" i="1"/>
  <c r="J1581" i="1"/>
  <c r="J1584" i="1"/>
  <c r="J1587" i="1"/>
  <c r="V1579" i="1"/>
  <c r="V1474" i="1"/>
  <c r="J1490" i="1"/>
  <c r="V1496" i="1"/>
  <c r="J1500" i="1"/>
  <c r="V1520" i="1"/>
  <c r="V1523" i="1"/>
  <c r="V1526" i="1"/>
  <c r="V1529" i="1"/>
  <c r="V1532" i="1"/>
  <c r="V1535" i="1"/>
  <c r="V1538" i="1"/>
  <c r="J1494" i="1"/>
  <c r="J1498" i="1"/>
  <c r="J1511" i="1"/>
  <c r="J1514" i="1"/>
  <c r="J1517" i="1"/>
  <c r="J1472" i="1"/>
  <c r="V1553" i="1"/>
  <c r="J1555" i="1"/>
  <c r="J1558" i="1"/>
  <c r="V1559" i="1"/>
  <c r="J1562" i="1"/>
  <c r="V1563" i="1"/>
  <c r="J1565" i="1"/>
  <c r="J1568" i="1"/>
  <c r="J1571" i="1"/>
  <c r="V1572" i="1"/>
  <c r="J1574" i="1"/>
  <c r="V1575" i="1"/>
  <c r="J1577" i="1"/>
  <c r="J1579" i="1"/>
  <c r="J1582" i="1"/>
  <c r="J1585" i="1"/>
  <c r="E1588" i="1"/>
  <c r="Q1588" i="1"/>
  <c r="V1583" i="1"/>
  <c r="V1492" i="1"/>
  <c r="V1477" i="1"/>
  <c r="V1495" i="1"/>
  <c r="J1481" i="1"/>
  <c r="V1500" i="1"/>
  <c r="J1469" i="1"/>
  <c r="J1476" i="1"/>
  <c r="E1502" i="1"/>
  <c r="J1468" i="1"/>
  <c r="J1467" i="1"/>
  <c r="V1512" i="1"/>
  <c r="V1469" i="1"/>
  <c r="U1502" i="1"/>
  <c r="Q1502" i="1"/>
  <c r="Q1545" i="1"/>
  <c r="U1545" i="1"/>
  <c r="J1449" i="1"/>
  <c r="J1445" i="1"/>
  <c r="J1444" i="1"/>
  <c r="J1441" i="1"/>
  <c r="E1459" i="1"/>
  <c r="J1437" i="1"/>
  <c r="Q1459" i="1"/>
  <c r="U1459" i="1"/>
  <c r="J1424" i="1"/>
  <c r="I1459" i="1"/>
  <c r="J1433" i="1"/>
  <c r="V1427" i="1"/>
  <c r="V1424" i="1"/>
  <c r="V1426" i="1"/>
  <c r="V1428" i="1"/>
  <c r="V1430" i="1"/>
  <c r="V1442" i="1"/>
  <c r="V1444" i="1"/>
  <c r="V1446" i="1"/>
  <c r="V1448" i="1"/>
  <c r="V1450" i="1"/>
  <c r="I1545" i="1" l="1"/>
  <c r="V1717" i="1"/>
  <c r="E1717" i="1"/>
  <c r="J1717" i="1" s="1"/>
  <c r="V1674" i="1"/>
  <c r="E1674" i="1"/>
  <c r="J1674" i="1" s="1"/>
  <c r="E1631" i="1"/>
  <c r="J1631" i="1" s="1"/>
  <c r="V1631" i="1"/>
  <c r="J1588" i="1"/>
  <c r="J1545" i="1"/>
  <c r="V1588" i="1"/>
  <c r="J1432" i="1"/>
  <c r="P989" i="1"/>
  <c r="V988" i="1"/>
  <c r="Q989" i="1"/>
  <c r="N989" i="1"/>
  <c r="O989" i="1"/>
  <c r="J1502" i="1"/>
  <c r="V1459" i="1"/>
  <c r="V1545" i="1"/>
  <c r="V1502" i="1"/>
  <c r="J1459" i="1"/>
  <c r="H1396" i="1" l="1"/>
  <c r="G1396" i="1"/>
  <c r="I1396" i="1" s="1"/>
  <c r="D1396" i="1"/>
  <c r="E1396" i="1" s="1"/>
  <c r="H1395" i="1"/>
  <c r="I1395" i="1" s="1"/>
  <c r="G1395" i="1"/>
  <c r="U1393" i="1"/>
  <c r="Q1393" i="1"/>
  <c r="G1392" i="1"/>
  <c r="I1392" i="1" s="1"/>
  <c r="C1392" i="1"/>
  <c r="D1392" i="1"/>
  <c r="H1392" i="1"/>
  <c r="C1384" i="1"/>
  <c r="E1384" i="1" s="1"/>
  <c r="F1392" i="1"/>
  <c r="F1416" i="1" s="1"/>
  <c r="F1384" i="1"/>
  <c r="U1392" i="1"/>
  <c r="Q1392" i="1"/>
  <c r="H1391" i="1"/>
  <c r="G1391" i="1"/>
  <c r="C1391" i="1"/>
  <c r="D1391" i="1"/>
  <c r="U1391" i="1"/>
  <c r="Q1391" i="1"/>
  <c r="E1390" i="1"/>
  <c r="I1390" i="1"/>
  <c r="J1390" i="1" s="1"/>
  <c r="E1361" i="1"/>
  <c r="I1361" i="1"/>
  <c r="U1390" i="1"/>
  <c r="Q1390" i="1"/>
  <c r="V1390" i="1" s="1"/>
  <c r="I1388" i="1"/>
  <c r="E1388" i="1"/>
  <c r="I1387" i="1"/>
  <c r="E1387" i="1"/>
  <c r="I1386" i="1"/>
  <c r="E1386" i="1"/>
  <c r="I1385" i="1"/>
  <c r="E1385" i="1"/>
  <c r="I1384" i="1"/>
  <c r="I1383" i="1"/>
  <c r="E1383" i="1"/>
  <c r="I1382" i="1"/>
  <c r="E1382" i="1"/>
  <c r="I1381" i="1"/>
  <c r="E1381" i="1"/>
  <c r="I1415" i="1"/>
  <c r="E1415" i="1"/>
  <c r="J1415" i="1" s="1"/>
  <c r="I1414" i="1"/>
  <c r="E1414" i="1"/>
  <c r="J1414" i="1" s="1"/>
  <c r="I1413" i="1"/>
  <c r="E1413" i="1"/>
  <c r="J1413" i="1" s="1"/>
  <c r="I1412" i="1"/>
  <c r="E1412" i="1"/>
  <c r="I1411" i="1"/>
  <c r="E1411" i="1"/>
  <c r="J1411" i="1" s="1"/>
  <c r="I1410" i="1"/>
  <c r="E1410" i="1"/>
  <c r="J1410" i="1" s="1"/>
  <c r="I1409" i="1"/>
  <c r="E1409" i="1"/>
  <c r="I1408" i="1"/>
  <c r="E1408" i="1"/>
  <c r="I1407" i="1"/>
  <c r="E1407" i="1"/>
  <c r="J1407" i="1" s="1"/>
  <c r="I1406" i="1"/>
  <c r="E1406" i="1"/>
  <c r="J1406" i="1" s="1"/>
  <c r="I1405" i="1"/>
  <c r="E1405" i="1"/>
  <c r="I1404" i="1"/>
  <c r="E1404" i="1"/>
  <c r="J1404" i="1" s="1"/>
  <c r="I1403" i="1"/>
  <c r="E1403" i="1"/>
  <c r="I1402" i="1"/>
  <c r="E1402" i="1"/>
  <c r="J1402" i="1" s="1"/>
  <c r="I1401" i="1"/>
  <c r="E1401" i="1"/>
  <c r="I1400" i="1"/>
  <c r="E1400" i="1"/>
  <c r="I1399" i="1"/>
  <c r="E1399" i="1"/>
  <c r="I1398" i="1"/>
  <c r="E1398" i="1"/>
  <c r="I1397" i="1"/>
  <c r="E1397" i="1"/>
  <c r="J1397" i="1" s="1"/>
  <c r="E1395" i="1"/>
  <c r="I1394" i="1"/>
  <c r="E1394" i="1"/>
  <c r="I1393" i="1"/>
  <c r="E1393" i="1"/>
  <c r="Q1394" i="1"/>
  <c r="U1394" i="1"/>
  <c r="E1360" i="1"/>
  <c r="I1360" i="1"/>
  <c r="T1416" i="1"/>
  <c r="S1416" i="1"/>
  <c r="R1416" i="1"/>
  <c r="P1416" i="1"/>
  <c r="O1416" i="1"/>
  <c r="N1416" i="1"/>
  <c r="U1415" i="1"/>
  <c r="Q1415" i="1"/>
  <c r="U1414" i="1"/>
  <c r="Q1414" i="1"/>
  <c r="U1413" i="1"/>
  <c r="Q1413" i="1"/>
  <c r="U1412" i="1"/>
  <c r="Q1412" i="1"/>
  <c r="U1411" i="1"/>
  <c r="Q1411" i="1"/>
  <c r="U1410" i="1"/>
  <c r="Q1410" i="1"/>
  <c r="U1409" i="1"/>
  <c r="Q1409" i="1"/>
  <c r="U1408" i="1"/>
  <c r="Q1408" i="1"/>
  <c r="U1407" i="1"/>
  <c r="Q1407" i="1"/>
  <c r="U1406" i="1"/>
  <c r="Q1406" i="1"/>
  <c r="U1405" i="1"/>
  <c r="Q1405" i="1"/>
  <c r="U1404" i="1"/>
  <c r="Q1404" i="1"/>
  <c r="U1403" i="1"/>
  <c r="Q1403" i="1"/>
  <c r="U1402" i="1"/>
  <c r="Q1402" i="1"/>
  <c r="U1401" i="1"/>
  <c r="Q1401" i="1"/>
  <c r="U1400" i="1"/>
  <c r="Q1400" i="1"/>
  <c r="U1399" i="1"/>
  <c r="Q1399" i="1"/>
  <c r="U1398" i="1"/>
  <c r="Q1398" i="1"/>
  <c r="U1397" i="1"/>
  <c r="Q1397" i="1"/>
  <c r="U1388" i="1"/>
  <c r="Q1388" i="1"/>
  <c r="U1387" i="1"/>
  <c r="Q1387" i="1"/>
  <c r="U1386" i="1"/>
  <c r="Q1386" i="1"/>
  <c r="U1385" i="1"/>
  <c r="Q1385" i="1"/>
  <c r="U1384" i="1"/>
  <c r="Q1384" i="1"/>
  <c r="U1383" i="1"/>
  <c r="Q1383" i="1"/>
  <c r="U1382" i="1"/>
  <c r="Q1382" i="1"/>
  <c r="C1373" i="1"/>
  <c r="U1351" i="1"/>
  <c r="Q1351" i="1"/>
  <c r="G1355" i="1"/>
  <c r="I1355" i="1" s="1"/>
  <c r="U1350" i="1"/>
  <c r="Q1350" i="1"/>
  <c r="U1349" i="1"/>
  <c r="Q1349" i="1"/>
  <c r="H1348" i="1"/>
  <c r="F1348" i="1"/>
  <c r="F1373" i="1" s="1"/>
  <c r="D1348" i="1"/>
  <c r="E1348" i="1" s="1"/>
  <c r="U1348" i="1"/>
  <c r="Q1348" i="1"/>
  <c r="F1327" i="1"/>
  <c r="H1325" i="1"/>
  <c r="I1325" i="1" s="1"/>
  <c r="R1373" i="1"/>
  <c r="U1347" i="1"/>
  <c r="Q1347" i="1"/>
  <c r="B1325" i="1"/>
  <c r="E1325" i="1" s="1"/>
  <c r="I1372" i="1"/>
  <c r="E1372" i="1"/>
  <c r="J1372" i="1" s="1"/>
  <c r="I1371" i="1"/>
  <c r="E1371" i="1"/>
  <c r="I1370" i="1"/>
  <c r="E1370" i="1"/>
  <c r="I1369" i="1"/>
  <c r="E1369" i="1"/>
  <c r="I1368" i="1"/>
  <c r="E1368" i="1"/>
  <c r="I1367" i="1"/>
  <c r="E1367" i="1"/>
  <c r="I1366" i="1"/>
  <c r="E1366" i="1"/>
  <c r="J1366" i="1" s="1"/>
  <c r="I1365" i="1"/>
  <c r="E1365" i="1"/>
  <c r="I1364" i="1"/>
  <c r="E1364" i="1"/>
  <c r="I1363" i="1"/>
  <c r="E1363" i="1"/>
  <c r="I1362" i="1"/>
  <c r="E1362" i="1"/>
  <c r="I1359" i="1"/>
  <c r="E1359" i="1"/>
  <c r="I1358" i="1"/>
  <c r="E1358" i="1"/>
  <c r="I1357" i="1"/>
  <c r="E1357" i="1"/>
  <c r="I1356" i="1"/>
  <c r="E1356" i="1"/>
  <c r="E1355" i="1"/>
  <c r="I1354" i="1"/>
  <c r="E1354" i="1"/>
  <c r="I1353" i="1"/>
  <c r="E1353" i="1"/>
  <c r="I1352" i="1"/>
  <c r="E1352" i="1"/>
  <c r="I1351" i="1"/>
  <c r="E1351" i="1"/>
  <c r="I1350" i="1"/>
  <c r="E1350" i="1"/>
  <c r="I1349" i="1"/>
  <c r="E1349" i="1"/>
  <c r="I1347" i="1"/>
  <c r="E1347" i="1"/>
  <c r="Q1360" i="1"/>
  <c r="U1360" i="1"/>
  <c r="Q1361" i="1"/>
  <c r="U1361" i="1"/>
  <c r="Q1362" i="1"/>
  <c r="U1362" i="1"/>
  <c r="Q1363" i="1"/>
  <c r="U1363" i="1"/>
  <c r="Q1364" i="1"/>
  <c r="U1364" i="1"/>
  <c r="Q1365" i="1"/>
  <c r="U1365" i="1"/>
  <c r="Q1366" i="1"/>
  <c r="U1366" i="1"/>
  <c r="Q1367" i="1"/>
  <c r="U1367" i="1"/>
  <c r="Q1368" i="1"/>
  <c r="U1368" i="1"/>
  <c r="Q1369" i="1"/>
  <c r="U1369" i="1"/>
  <c r="Q1370" i="1"/>
  <c r="U1370" i="1"/>
  <c r="Q1371" i="1"/>
  <c r="U1371" i="1"/>
  <c r="Q1372" i="1"/>
  <c r="U1372" i="1"/>
  <c r="Q1352" i="1"/>
  <c r="U1352" i="1"/>
  <c r="Q1353" i="1"/>
  <c r="U1353" i="1"/>
  <c r="I1345" i="1"/>
  <c r="E1345" i="1"/>
  <c r="I1344" i="1"/>
  <c r="E1344" i="1"/>
  <c r="I1343" i="1"/>
  <c r="E1343" i="1"/>
  <c r="I1342" i="1"/>
  <c r="E1342" i="1"/>
  <c r="I1341" i="1"/>
  <c r="E1341" i="1"/>
  <c r="I1340" i="1"/>
  <c r="E1340" i="1"/>
  <c r="I1339" i="1"/>
  <c r="E1339" i="1"/>
  <c r="J1339" i="1" s="1"/>
  <c r="I1338" i="1"/>
  <c r="E1338" i="1"/>
  <c r="T1373" i="1"/>
  <c r="S1373" i="1"/>
  <c r="P1373" i="1"/>
  <c r="O1373" i="1"/>
  <c r="N1373" i="1"/>
  <c r="B1373" i="1"/>
  <c r="U1359" i="1"/>
  <c r="Q1359" i="1"/>
  <c r="U1358" i="1"/>
  <c r="Q1358" i="1"/>
  <c r="U1357" i="1"/>
  <c r="Q1357" i="1"/>
  <c r="U1356" i="1"/>
  <c r="Q1356" i="1"/>
  <c r="U1355" i="1"/>
  <c r="Q1355" i="1"/>
  <c r="U1354" i="1"/>
  <c r="Q1354" i="1"/>
  <c r="U1345" i="1"/>
  <c r="Q1345" i="1"/>
  <c r="U1344" i="1"/>
  <c r="Q1344" i="1"/>
  <c r="U1343" i="1"/>
  <c r="Q1343" i="1"/>
  <c r="U1342" i="1"/>
  <c r="Q1342" i="1"/>
  <c r="U1341" i="1"/>
  <c r="Q1341" i="1"/>
  <c r="U1340" i="1"/>
  <c r="Q1340" i="1"/>
  <c r="U1339" i="1"/>
  <c r="Q1339" i="1"/>
  <c r="U1338" i="1"/>
  <c r="Q1338" i="1"/>
  <c r="G1322" i="1"/>
  <c r="I1322" i="1" s="1"/>
  <c r="U1310" i="1"/>
  <c r="Q1310" i="1"/>
  <c r="F1321" i="1"/>
  <c r="I1321" i="1" s="1"/>
  <c r="Q1302" i="1"/>
  <c r="U1302" i="1"/>
  <c r="E1328" i="1"/>
  <c r="I1328" i="1"/>
  <c r="E1329" i="1"/>
  <c r="I1329" i="1"/>
  <c r="F1315" i="1"/>
  <c r="I1315" i="1" s="1"/>
  <c r="H1314" i="1"/>
  <c r="D1314" i="1"/>
  <c r="U1309" i="1"/>
  <c r="Q1309" i="1"/>
  <c r="G1314" i="1"/>
  <c r="F1314" i="1"/>
  <c r="B1314" i="1"/>
  <c r="F1312" i="1"/>
  <c r="U1307" i="1"/>
  <c r="Q1307" i="1"/>
  <c r="V1307" i="1" s="1"/>
  <c r="U1306" i="1"/>
  <c r="Q1306" i="1"/>
  <c r="C1310" i="1"/>
  <c r="C1330" i="1" s="1"/>
  <c r="B1310" i="1"/>
  <c r="H1310" i="1"/>
  <c r="F1310" i="1"/>
  <c r="U1305" i="1"/>
  <c r="Q1305" i="1"/>
  <c r="U1304" i="1"/>
  <c r="Q1304" i="1"/>
  <c r="Q1286" i="1"/>
  <c r="U1286" i="1"/>
  <c r="U1329" i="1"/>
  <c r="O1330" i="1"/>
  <c r="Q1329" i="1"/>
  <c r="G1286" i="1"/>
  <c r="I1286" i="1" s="1"/>
  <c r="C1286" i="1"/>
  <c r="D1286" i="1"/>
  <c r="I1302" i="1"/>
  <c r="E1302" i="1"/>
  <c r="I1301" i="1"/>
  <c r="E1301" i="1"/>
  <c r="I1300" i="1"/>
  <c r="E1300" i="1"/>
  <c r="I1299" i="1"/>
  <c r="E1299" i="1"/>
  <c r="I1298" i="1"/>
  <c r="E1298" i="1"/>
  <c r="I1297" i="1"/>
  <c r="E1297" i="1"/>
  <c r="I1296" i="1"/>
  <c r="E1296" i="1"/>
  <c r="I1295" i="1"/>
  <c r="E1295" i="1"/>
  <c r="Q1319" i="1"/>
  <c r="U1319" i="1"/>
  <c r="Q1320" i="1"/>
  <c r="U1320" i="1"/>
  <c r="Q1321" i="1"/>
  <c r="U1321" i="1"/>
  <c r="Q1322" i="1"/>
  <c r="U1322" i="1"/>
  <c r="Q1323" i="1"/>
  <c r="U1323" i="1"/>
  <c r="Q1324" i="1"/>
  <c r="V1324" i="1" s="1"/>
  <c r="U1324" i="1"/>
  <c r="Q1325" i="1"/>
  <c r="U1325" i="1"/>
  <c r="Q1326" i="1"/>
  <c r="V1326" i="1" s="1"/>
  <c r="U1326" i="1"/>
  <c r="Q1327" i="1"/>
  <c r="U1327" i="1"/>
  <c r="Q1328" i="1"/>
  <c r="U1328" i="1"/>
  <c r="Q1308" i="1"/>
  <c r="U1308" i="1"/>
  <c r="Q1311" i="1"/>
  <c r="V1311" i="1" s="1"/>
  <c r="U1311" i="1"/>
  <c r="Q1312" i="1"/>
  <c r="U1312" i="1"/>
  <c r="Q1313" i="1"/>
  <c r="U1313" i="1"/>
  <c r="Q1314" i="1"/>
  <c r="U1314" i="1"/>
  <c r="Q1315" i="1"/>
  <c r="U1315" i="1"/>
  <c r="Q1316" i="1"/>
  <c r="U1316" i="1"/>
  <c r="Q1317" i="1"/>
  <c r="V1317" i="1" s="1"/>
  <c r="U1317" i="1"/>
  <c r="E1304" i="1"/>
  <c r="I1304" i="1"/>
  <c r="E1305" i="1"/>
  <c r="I1305" i="1"/>
  <c r="E1306" i="1"/>
  <c r="I1306" i="1"/>
  <c r="E1307" i="1"/>
  <c r="I1307" i="1"/>
  <c r="E1308" i="1"/>
  <c r="I1308" i="1"/>
  <c r="E1309" i="1"/>
  <c r="I1309" i="1"/>
  <c r="E1311" i="1"/>
  <c r="I1311" i="1"/>
  <c r="E1312" i="1"/>
  <c r="I1312" i="1"/>
  <c r="E1313" i="1"/>
  <c r="I1313" i="1"/>
  <c r="E1315" i="1"/>
  <c r="E1316" i="1"/>
  <c r="I1316" i="1"/>
  <c r="E1317" i="1"/>
  <c r="I1317" i="1"/>
  <c r="E1318" i="1"/>
  <c r="I1318" i="1"/>
  <c r="E1319" i="1"/>
  <c r="I1319" i="1"/>
  <c r="E1320" i="1"/>
  <c r="I1320" i="1"/>
  <c r="E1321" i="1"/>
  <c r="E1322" i="1"/>
  <c r="E1323" i="1"/>
  <c r="I1323" i="1"/>
  <c r="E1324" i="1"/>
  <c r="I1324" i="1"/>
  <c r="E1326" i="1"/>
  <c r="I1326" i="1"/>
  <c r="E1327" i="1"/>
  <c r="I1327" i="1"/>
  <c r="T1330" i="1"/>
  <c r="R1330" i="1"/>
  <c r="P1330" i="1"/>
  <c r="N1330" i="1"/>
  <c r="S1330" i="1"/>
  <c r="D1330" i="1"/>
  <c r="U1318" i="1"/>
  <c r="Q1318" i="1"/>
  <c r="U1301" i="1"/>
  <c r="Q1301" i="1"/>
  <c r="U1300" i="1"/>
  <c r="Q1300" i="1"/>
  <c r="U1299" i="1"/>
  <c r="Q1299" i="1"/>
  <c r="V1299" i="1" s="1"/>
  <c r="U1298" i="1"/>
  <c r="Q1298" i="1"/>
  <c r="U1297" i="1"/>
  <c r="Q1297" i="1"/>
  <c r="U1296" i="1"/>
  <c r="Q1296" i="1"/>
  <c r="U1295" i="1"/>
  <c r="Q1295" i="1"/>
  <c r="H1285" i="1"/>
  <c r="D1285" i="1"/>
  <c r="E1285" i="1" s="1"/>
  <c r="G1285" i="1"/>
  <c r="U1270" i="1"/>
  <c r="Q1270" i="1"/>
  <c r="C1283" i="1"/>
  <c r="E1283" i="1" s="1"/>
  <c r="H1280" i="1"/>
  <c r="G1280" i="1"/>
  <c r="F1280" i="1"/>
  <c r="C1280" i="1"/>
  <c r="E1280" i="1" s="1"/>
  <c r="U1269" i="1"/>
  <c r="Q1269" i="1"/>
  <c r="U1268" i="1"/>
  <c r="Q1268" i="1"/>
  <c r="U1265" i="1"/>
  <c r="Q1265" i="1"/>
  <c r="U1264" i="1"/>
  <c r="Q1264" i="1"/>
  <c r="C1270" i="1"/>
  <c r="E1270" i="1" s="1"/>
  <c r="G1270" i="1"/>
  <c r="F1270" i="1"/>
  <c r="U1263" i="1"/>
  <c r="Q1263" i="1"/>
  <c r="H1264" i="1"/>
  <c r="F1264" i="1"/>
  <c r="C1264" i="1"/>
  <c r="U1262" i="1"/>
  <c r="Q1262" i="1"/>
  <c r="Q1220" i="1"/>
  <c r="U1220" i="1"/>
  <c r="U1261" i="1"/>
  <c r="Q1261" i="1"/>
  <c r="Q1242" i="1"/>
  <c r="U1242" i="1"/>
  <c r="Q1243" i="1"/>
  <c r="U1243" i="1"/>
  <c r="S1287" i="1"/>
  <c r="U1285" i="1"/>
  <c r="Q1285" i="1"/>
  <c r="N1287" i="1"/>
  <c r="O1287" i="1"/>
  <c r="P1287" i="1"/>
  <c r="R1287" i="1"/>
  <c r="T1287" i="1"/>
  <c r="E1252" i="1"/>
  <c r="I1252" i="1"/>
  <c r="E1253" i="1"/>
  <c r="I1253" i="1"/>
  <c r="E1254" i="1"/>
  <c r="I1254" i="1"/>
  <c r="E1255" i="1"/>
  <c r="I1255" i="1"/>
  <c r="E1256" i="1"/>
  <c r="I1256" i="1"/>
  <c r="E1257" i="1"/>
  <c r="I1257" i="1"/>
  <c r="E1261" i="1"/>
  <c r="I1261" i="1"/>
  <c r="E1262" i="1"/>
  <c r="I1262" i="1"/>
  <c r="E1263" i="1"/>
  <c r="I1263" i="1"/>
  <c r="E1264" i="1"/>
  <c r="E1265" i="1"/>
  <c r="I1265" i="1"/>
  <c r="E1266" i="1"/>
  <c r="I1266" i="1"/>
  <c r="E1267" i="1"/>
  <c r="I1267" i="1"/>
  <c r="E1268" i="1"/>
  <c r="I1268" i="1"/>
  <c r="E1269" i="1"/>
  <c r="I1269" i="1"/>
  <c r="E1271" i="1"/>
  <c r="I1271" i="1"/>
  <c r="E1272" i="1"/>
  <c r="I1272" i="1"/>
  <c r="E1273" i="1"/>
  <c r="I1273" i="1"/>
  <c r="E1274" i="1"/>
  <c r="I1274" i="1"/>
  <c r="E1275" i="1"/>
  <c r="I1275" i="1"/>
  <c r="E1276" i="1"/>
  <c r="I1276" i="1"/>
  <c r="E1277" i="1"/>
  <c r="I1277" i="1"/>
  <c r="E1278" i="1"/>
  <c r="I1278" i="1"/>
  <c r="E1279" i="1"/>
  <c r="I1279" i="1"/>
  <c r="E1281" i="1"/>
  <c r="I1281" i="1"/>
  <c r="E1282" i="1"/>
  <c r="J1282" i="1" s="1"/>
  <c r="I1282" i="1"/>
  <c r="I1283" i="1"/>
  <c r="E1284" i="1"/>
  <c r="I1284" i="1"/>
  <c r="B1287" i="1"/>
  <c r="U1284" i="1"/>
  <c r="Q1284" i="1"/>
  <c r="U1283" i="1"/>
  <c r="Q1283" i="1"/>
  <c r="U1282" i="1"/>
  <c r="Q1282" i="1"/>
  <c r="U1281" i="1"/>
  <c r="Q1281" i="1"/>
  <c r="U1280" i="1"/>
  <c r="Q1280" i="1"/>
  <c r="U1279" i="1"/>
  <c r="Q1279" i="1"/>
  <c r="U1278" i="1"/>
  <c r="Q1278" i="1"/>
  <c r="U1277" i="1"/>
  <c r="Q1277" i="1"/>
  <c r="U1276" i="1"/>
  <c r="Q1276" i="1"/>
  <c r="U1275" i="1"/>
  <c r="Q1275" i="1"/>
  <c r="U1274" i="1"/>
  <c r="Q1274" i="1"/>
  <c r="U1273" i="1"/>
  <c r="Q1273" i="1"/>
  <c r="U1272" i="1"/>
  <c r="Q1272" i="1"/>
  <c r="U1271" i="1"/>
  <c r="Q1271" i="1"/>
  <c r="U1267" i="1"/>
  <c r="Q1267" i="1"/>
  <c r="U1266" i="1"/>
  <c r="Q1266" i="1"/>
  <c r="G1287" i="1"/>
  <c r="U1259" i="1"/>
  <c r="Q1259" i="1"/>
  <c r="I1259" i="1"/>
  <c r="E1259" i="1"/>
  <c r="U1258" i="1"/>
  <c r="Q1258" i="1"/>
  <c r="I1258" i="1"/>
  <c r="E1258" i="1"/>
  <c r="U1257" i="1"/>
  <c r="Q1257" i="1"/>
  <c r="U1256" i="1"/>
  <c r="Q1256" i="1"/>
  <c r="V1256" i="1" s="1"/>
  <c r="U1255" i="1"/>
  <c r="Q1255" i="1"/>
  <c r="U1254" i="1"/>
  <c r="Q1254" i="1"/>
  <c r="U1253" i="1"/>
  <c r="Q1253" i="1"/>
  <c r="U1252" i="1"/>
  <c r="Q1252" i="1"/>
  <c r="F1238" i="1"/>
  <c r="I1238" i="1" s="1"/>
  <c r="U1219" i="1"/>
  <c r="Q1219" i="1"/>
  <c r="F1237" i="1"/>
  <c r="I1237" i="1" s="1"/>
  <c r="G1232" i="1"/>
  <c r="C1232" i="1"/>
  <c r="E1232" i="1" s="1"/>
  <c r="I1235" i="1"/>
  <c r="C1235" i="1"/>
  <c r="E1235" i="1" s="1"/>
  <c r="U1193" i="1"/>
  <c r="Q1193" i="1"/>
  <c r="F1232" i="1"/>
  <c r="U1192" i="1"/>
  <c r="Q1192" i="1"/>
  <c r="I1211" i="1"/>
  <c r="E1211" i="1"/>
  <c r="U1191" i="1"/>
  <c r="Q1191" i="1"/>
  <c r="F1228" i="1"/>
  <c r="U1190" i="1"/>
  <c r="Q1190" i="1"/>
  <c r="Q1200" i="1"/>
  <c r="U1200" i="1"/>
  <c r="S1244" i="1"/>
  <c r="G1220" i="1"/>
  <c r="I1220" i="1" s="1"/>
  <c r="G1219" i="1"/>
  <c r="C1219" i="1"/>
  <c r="U1189" i="1"/>
  <c r="Q1189" i="1"/>
  <c r="F1219" i="1"/>
  <c r="Q1218" i="1"/>
  <c r="U1218" i="1"/>
  <c r="Q1221" i="1"/>
  <c r="U1221" i="1"/>
  <c r="Q1222" i="1"/>
  <c r="U1222" i="1"/>
  <c r="V1222" i="1" s="1"/>
  <c r="Q1223" i="1"/>
  <c r="U1223" i="1"/>
  <c r="Q1224" i="1"/>
  <c r="U1224" i="1"/>
  <c r="Q1225" i="1"/>
  <c r="U1225" i="1"/>
  <c r="Q1226" i="1"/>
  <c r="U1226" i="1"/>
  <c r="Q1227" i="1"/>
  <c r="U1227" i="1"/>
  <c r="Q1228" i="1"/>
  <c r="U1228" i="1"/>
  <c r="V1228" i="1" s="1"/>
  <c r="Q1229" i="1"/>
  <c r="U1229" i="1"/>
  <c r="Q1230" i="1"/>
  <c r="U1230" i="1"/>
  <c r="Q1231" i="1"/>
  <c r="U1231" i="1"/>
  <c r="E1218" i="1"/>
  <c r="I1218" i="1"/>
  <c r="E1219" i="1"/>
  <c r="E1220" i="1"/>
  <c r="E1221" i="1"/>
  <c r="I1221" i="1"/>
  <c r="E1222" i="1"/>
  <c r="I1222" i="1"/>
  <c r="E1223" i="1"/>
  <c r="I1223" i="1"/>
  <c r="E1224" i="1"/>
  <c r="I1224" i="1"/>
  <c r="E1225" i="1"/>
  <c r="I1225" i="1"/>
  <c r="E1226" i="1"/>
  <c r="I1226" i="1"/>
  <c r="E1227" i="1"/>
  <c r="I1227" i="1"/>
  <c r="E1228" i="1"/>
  <c r="I1228" i="1"/>
  <c r="E1229" i="1"/>
  <c r="I1229" i="1"/>
  <c r="E1230" i="1"/>
  <c r="I1230" i="1"/>
  <c r="E1231" i="1"/>
  <c r="I1231" i="1"/>
  <c r="E1233" i="1"/>
  <c r="I1233" i="1"/>
  <c r="E1234" i="1"/>
  <c r="I1234" i="1"/>
  <c r="E1236" i="1"/>
  <c r="I1236" i="1"/>
  <c r="E1237" i="1"/>
  <c r="E1238" i="1"/>
  <c r="E1239" i="1"/>
  <c r="I1239" i="1"/>
  <c r="E1240" i="1"/>
  <c r="I1240" i="1"/>
  <c r="E1241" i="1"/>
  <c r="I1241" i="1"/>
  <c r="E1242" i="1"/>
  <c r="I1242" i="1"/>
  <c r="T1244" i="1"/>
  <c r="P1244" i="1"/>
  <c r="D1244" i="1"/>
  <c r="B1244" i="1"/>
  <c r="O1244" i="1"/>
  <c r="I1243" i="1"/>
  <c r="E1243" i="1"/>
  <c r="U1241" i="1"/>
  <c r="Q1241" i="1"/>
  <c r="U1240" i="1"/>
  <c r="Q1240" i="1"/>
  <c r="U1239" i="1"/>
  <c r="Q1239" i="1"/>
  <c r="U1238" i="1"/>
  <c r="Q1238" i="1"/>
  <c r="V1238" i="1" s="1"/>
  <c r="U1237" i="1"/>
  <c r="Q1237" i="1"/>
  <c r="U1236" i="1"/>
  <c r="Q1236" i="1"/>
  <c r="U1235" i="1"/>
  <c r="Q1235" i="1"/>
  <c r="U1234" i="1"/>
  <c r="Q1234" i="1"/>
  <c r="U1233" i="1"/>
  <c r="Q1233" i="1"/>
  <c r="U1232" i="1"/>
  <c r="Q1232" i="1"/>
  <c r="V1232" i="1" s="1"/>
  <c r="U1216" i="1"/>
  <c r="Q1216" i="1"/>
  <c r="I1216" i="1"/>
  <c r="E1216" i="1"/>
  <c r="U1215" i="1"/>
  <c r="Q1215" i="1"/>
  <c r="I1215" i="1"/>
  <c r="E1215" i="1"/>
  <c r="U1214" i="1"/>
  <c r="Q1214" i="1"/>
  <c r="I1214" i="1"/>
  <c r="E1214" i="1"/>
  <c r="J1214" i="1" s="1"/>
  <c r="U1213" i="1"/>
  <c r="Q1213" i="1"/>
  <c r="I1213" i="1"/>
  <c r="E1213" i="1"/>
  <c r="U1212" i="1"/>
  <c r="Q1212" i="1"/>
  <c r="I1212" i="1"/>
  <c r="E1212" i="1"/>
  <c r="U1211" i="1"/>
  <c r="Q1211" i="1"/>
  <c r="U1210" i="1"/>
  <c r="Q1210" i="1"/>
  <c r="I1210" i="1"/>
  <c r="E1210" i="1"/>
  <c r="U1209" i="1"/>
  <c r="Q1209" i="1"/>
  <c r="I1209" i="1"/>
  <c r="E1209" i="1"/>
  <c r="U1188" i="1"/>
  <c r="Q1188" i="1"/>
  <c r="G1193" i="1"/>
  <c r="G1191" i="1"/>
  <c r="U1187" i="1"/>
  <c r="Q1187" i="1"/>
  <c r="V1187" i="1" s="1"/>
  <c r="V1190" i="1" l="1"/>
  <c r="J1268" i="1"/>
  <c r="V1314" i="1"/>
  <c r="V1321" i="1"/>
  <c r="G1330" i="1"/>
  <c r="J1345" i="1"/>
  <c r="V1386" i="1"/>
  <c r="V1404" i="1"/>
  <c r="V1406" i="1"/>
  <c r="V1408" i="1"/>
  <c r="V1410" i="1"/>
  <c r="V1412" i="1"/>
  <c r="V1414" i="1"/>
  <c r="V1393" i="1"/>
  <c r="V1188" i="1"/>
  <c r="V1200" i="1"/>
  <c r="V1193" i="1"/>
  <c r="V1253" i="1"/>
  <c r="V1258" i="1"/>
  <c r="V1242" i="1"/>
  <c r="V1296" i="1"/>
  <c r="J1297" i="1"/>
  <c r="I1310" i="1"/>
  <c r="V1309" i="1"/>
  <c r="V1310" i="1"/>
  <c r="J1363" i="1"/>
  <c r="J1369" i="1"/>
  <c r="V1212" i="1"/>
  <c r="V1235" i="1"/>
  <c r="V1227" i="1"/>
  <c r="V1192" i="1"/>
  <c r="V1267" i="1"/>
  <c r="J1267" i="1"/>
  <c r="B1330" i="1"/>
  <c r="V1302" i="1"/>
  <c r="V1355" i="1"/>
  <c r="V1383" i="1"/>
  <c r="V1397" i="1"/>
  <c r="V1403" i="1"/>
  <c r="V1405" i="1"/>
  <c r="V1407" i="1"/>
  <c r="V1409" i="1"/>
  <c r="V1411" i="1"/>
  <c r="V1413" i="1"/>
  <c r="V1415" i="1"/>
  <c r="V1231" i="1"/>
  <c r="V1339" i="1"/>
  <c r="V1342" i="1"/>
  <c r="V1345" i="1"/>
  <c r="V1353" i="1"/>
  <c r="V1371" i="1"/>
  <c r="V1368" i="1"/>
  <c r="V1365" i="1"/>
  <c r="V1362" i="1"/>
  <c r="V1351" i="1"/>
  <c r="J1237" i="1"/>
  <c r="V1224" i="1"/>
  <c r="V1275" i="1"/>
  <c r="V1278" i="1"/>
  <c r="V1281" i="1"/>
  <c r="V1284" i="1"/>
  <c r="J1276" i="1"/>
  <c r="J1273" i="1"/>
  <c r="V1315" i="1"/>
  <c r="V1325" i="1"/>
  <c r="V1354" i="1"/>
  <c r="V1357" i="1"/>
  <c r="J1349" i="1"/>
  <c r="H1416" i="1"/>
  <c r="V1214" i="1"/>
  <c r="J1216" i="1"/>
  <c r="V1243" i="1"/>
  <c r="I1264" i="1"/>
  <c r="I1285" i="1"/>
  <c r="J1309" i="1"/>
  <c r="J1364" i="1"/>
  <c r="J1367" i="1"/>
  <c r="J1370" i="1"/>
  <c r="V1348" i="1"/>
  <c r="V1391" i="1"/>
  <c r="V1392" i="1"/>
  <c r="J1225" i="1"/>
  <c r="V1229" i="1"/>
  <c r="V1223" i="1"/>
  <c r="J1281" i="1"/>
  <c r="J1272" i="1"/>
  <c r="V1220" i="1"/>
  <c r="V1270" i="1"/>
  <c r="J1323" i="1"/>
  <c r="J1317" i="1"/>
  <c r="V1305" i="1"/>
  <c r="V1306" i="1"/>
  <c r="I1219" i="1"/>
  <c r="C1416" i="1"/>
  <c r="J1238" i="1"/>
  <c r="J1227" i="1"/>
  <c r="J1315" i="1"/>
  <c r="V1338" i="1"/>
  <c r="V1341" i="1"/>
  <c r="V1344" i="1"/>
  <c r="V1372" i="1"/>
  <c r="V1369" i="1"/>
  <c r="V1366" i="1"/>
  <c r="V1363" i="1"/>
  <c r="V1360" i="1"/>
  <c r="V1350" i="1"/>
  <c r="V1382" i="1"/>
  <c r="V1385" i="1"/>
  <c r="V1388" i="1"/>
  <c r="V1398" i="1"/>
  <c r="V1401" i="1"/>
  <c r="V1191" i="1"/>
  <c r="J1255" i="1"/>
  <c r="H1287" i="1"/>
  <c r="V1328" i="1"/>
  <c r="V1320" i="1"/>
  <c r="J1299" i="1"/>
  <c r="V1359" i="1"/>
  <c r="J1351" i="1"/>
  <c r="G1373" i="1"/>
  <c r="V1399" i="1"/>
  <c r="V1402" i="1"/>
  <c r="J1263" i="1"/>
  <c r="V1285" i="1"/>
  <c r="V1327" i="1"/>
  <c r="V1322" i="1"/>
  <c r="E1392" i="1"/>
  <c r="J1392" i="1" s="1"/>
  <c r="J1235" i="1"/>
  <c r="V1262" i="1"/>
  <c r="I1270" i="1"/>
  <c r="V1313" i="1"/>
  <c r="V1304" i="1"/>
  <c r="V1340" i="1"/>
  <c r="V1343" i="1"/>
  <c r="V1352" i="1"/>
  <c r="V1370" i="1"/>
  <c r="V1367" i="1"/>
  <c r="V1364" i="1"/>
  <c r="V1361" i="1"/>
  <c r="V1349" i="1"/>
  <c r="V1384" i="1"/>
  <c r="V1387" i="1"/>
  <c r="V1400" i="1"/>
  <c r="J1393" i="1"/>
  <c r="J1385" i="1"/>
  <c r="J1361" i="1"/>
  <c r="V1234" i="1"/>
  <c r="V1240" i="1"/>
  <c r="V1273" i="1"/>
  <c r="V1276" i="1"/>
  <c r="V1261" i="1"/>
  <c r="V1268" i="1"/>
  <c r="J1321" i="1"/>
  <c r="J1412" i="1"/>
  <c r="J1409" i="1"/>
  <c r="J1408" i="1"/>
  <c r="J1405" i="1"/>
  <c r="J1387" i="1"/>
  <c r="J1403" i="1"/>
  <c r="J1401" i="1"/>
  <c r="J1388" i="1"/>
  <c r="J1400" i="1"/>
  <c r="J1399" i="1"/>
  <c r="J1398" i="1"/>
  <c r="J1396" i="1"/>
  <c r="J1395" i="1"/>
  <c r="V1394" i="1"/>
  <c r="J1386" i="1"/>
  <c r="J1394" i="1"/>
  <c r="J1384" i="1"/>
  <c r="J1383" i="1"/>
  <c r="I1391" i="1"/>
  <c r="E1391" i="1"/>
  <c r="J1382" i="1"/>
  <c r="J1344" i="1"/>
  <c r="J1358" i="1"/>
  <c r="J1360" i="1"/>
  <c r="Q1416" i="1"/>
  <c r="J1381" i="1"/>
  <c r="G1416" i="1"/>
  <c r="I1416" i="1" s="1"/>
  <c r="U1416" i="1"/>
  <c r="D1416" i="1"/>
  <c r="D1373" i="1"/>
  <c r="E1373" i="1" s="1"/>
  <c r="H1373" i="1"/>
  <c r="J1357" i="1"/>
  <c r="J1342" i="1"/>
  <c r="J1355" i="1"/>
  <c r="J1354" i="1"/>
  <c r="J1352" i="1"/>
  <c r="J1340" i="1"/>
  <c r="I1348" i="1"/>
  <c r="J1348" i="1"/>
  <c r="V1225" i="1"/>
  <c r="V1189" i="1"/>
  <c r="V1254" i="1"/>
  <c r="V1257" i="1"/>
  <c r="J1259" i="1"/>
  <c r="J1283" i="1"/>
  <c r="J1271" i="1"/>
  <c r="J1256" i="1"/>
  <c r="J1253" i="1"/>
  <c r="V1263" i="1"/>
  <c r="V1264" i="1"/>
  <c r="V1269" i="1"/>
  <c r="V1297" i="1"/>
  <c r="V1300" i="1"/>
  <c r="V1318" i="1"/>
  <c r="J1319" i="1"/>
  <c r="J1305" i="1"/>
  <c r="V1312" i="1"/>
  <c r="V1319" i="1"/>
  <c r="V1286" i="1"/>
  <c r="I1314" i="1"/>
  <c r="F1244" i="1"/>
  <c r="I1232" i="1"/>
  <c r="J1232" i="1" s="1"/>
  <c r="J1306" i="1"/>
  <c r="V1221" i="1"/>
  <c r="V1252" i="1"/>
  <c r="V1255" i="1"/>
  <c r="V1259" i="1"/>
  <c r="V1265" i="1"/>
  <c r="V1295" i="1"/>
  <c r="V1298" i="1"/>
  <c r="V1301" i="1"/>
  <c r="V1316" i="1"/>
  <c r="V1323" i="1"/>
  <c r="J1301" i="1"/>
  <c r="J1343" i="1"/>
  <c r="V1347" i="1"/>
  <c r="D1287" i="1"/>
  <c r="J1231" i="1"/>
  <c r="J1211" i="1"/>
  <c r="V1219" i="1"/>
  <c r="V1277" i="1"/>
  <c r="V1280" i="1"/>
  <c r="V1283" i="1"/>
  <c r="J1275" i="1"/>
  <c r="J1269" i="1"/>
  <c r="I1280" i="1"/>
  <c r="J1280" i="1" s="1"/>
  <c r="E1314" i="1"/>
  <c r="J1302" i="1"/>
  <c r="V1356" i="1"/>
  <c r="V1358" i="1"/>
  <c r="J1341" i="1"/>
  <c r="J1350" i="1"/>
  <c r="J1353" i="1"/>
  <c r="J1356" i="1"/>
  <c r="J1359" i="1"/>
  <c r="J1362" i="1"/>
  <c r="J1365" i="1"/>
  <c r="J1368" i="1"/>
  <c r="J1371" i="1"/>
  <c r="J1347" i="1"/>
  <c r="J1329" i="1"/>
  <c r="J1328" i="1"/>
  <c r="J1327" i="1"/>
  <c r="J1326" i="1"/>
  <c r="H1330" i="1"/>
  <c r="U1373" i="1"/>
  <c r="J1338" i="1"/>
  <c r="J1325" i="1"/>
  <c r="Q1373" i="1"/>
  <c r="J1324" i="1"/>
  <c r="J1322" i="1"/>
  <c r="J1320" i="1"/>
  <c r="J1318" i="1"/>
  <c r="J1316" i="1"/>
  <c r="F1330" i="1"/>
  <c r="J1300" i="1"/>
  <c r="J1284" i="1"/>
  <c r="V1308" i="1"/>
  <c r="J1313" i="1"/>
  <c r="J1298" i="1"/>
  <c r="J1312" i="1"/>
  <c r="J1311" i="1"/>
  <c r="J1296" i="1"/>
  <c r="E1310" i="1"/>
  <c r="J1308" i="1"/>
  <c r="J1295" i="1"/>
  <c r="V1329" i="1"/>
  <c r="J1307" i="1"/>
  <c r="J1304" i="1"/>
  <c r="C1287" i="1"/>
  <c r="E1286" i="1"/>
  <c r="J1286" i="1" s="1"/>
  <c r="Q1330" i="1"/>
  <c r="U1330" i="1"/>
  <c r="E1330" i="1"/>
  <c r="J1285" i="1"/>
  <c r="V1271" i="1"/>
  <c r="J1257" i="1"/>
  <c r="J1279" i="1"/>
  <c r="J1278" i="1"/>
  <c r="J1277" i="1"/>
  <c r="J1274" i="1"/>
  <c r="V1266" i="1"/>
  <c r="J1254" i="1"/>
  <c r="J1270" i="1"/>
  <c r="J1266" i="1"/>
  <c r="J1265" i="1"/>
  <c r="J1264" i="1"/>
  <c r="J1262" i="1"/>
  <c r="U1287" i="1"/>
  <c r="J1252" i="1"/>
  <c r="J1261" i="1"/>
  <c r="J1242" i="1"/>
  <c r="Q1287" i="1"/>
  <c r="F1287" i="1"/>
  <c r="I1287" i="1" s="1"/>
  <c r="J1258" i="1"/>
  <c r="V1272" i="1"/>
  <c r="V1274" i="1"/>
  <c r="V1279" i="1"/>
  <c r="V1282" i="1"/>
  <c r="J1239" i="1"/>
  <c r="J1234" i="1"/>
  <c r="J1213" i="1"/>
  <c r="J1233" i="1"/>
  <c r="J1229" i="1"/>
  <c r="J1210" i="1"/>
  <c r="J1226" i="1"/>
  <c r="N1244" i="1"/>
  <c r="Q1244" i="1" s="1"/>
  <c r="J1221" i="1"/>
  <c r="J1241" i="1"/>
  <c r="J1230" i="1"/>
  <c r="V1226" i="1"/>
  <c r="V1233" i="1"/>
  <c r="V1236" i="1"/>
  <c r="J1243" i="1"/>
  <c r="J1222" i="1"/>
  <c r="V1210" i="1"/>
  <c r="J1212" i="1"/>
  <c r="J1215" i="1"/>
  <c r="V1216" i="1"/>
  <c r="V1230" i="1"/>
  <c r="V1218" i="1"/>
  <c r="J1209" i="1"/>
  <c r="J1219" i="1"/>
  <c r="J1218" i="1"/>
  <c r="J1236" i="1"/>
  <c r="J1240" i="1"/>
  <c r="J1228" i="1"/>
  <c r="J1224" i="1"/>
  <c r="J1223" i="1"/>
  <c r="J1220" i="1"/>
  <c r="V1209" i="1"/>
  <c r="V1211" i="1"/>
  <c r="V1213" i="1"/>
  <c r="V1215" i="1"/>
  <c r="C1244" i="1"/>
  <c r="E1244" i="1" s="1"/>
  <c r="G1244" i="1"/>
  <c r="H1244" i="1"/>
  <c r="V1237" i="1"/>
  <c r="V1239" i="1"/>
  <c r="V1241" i="1"/>
  <c r="R1244" i="1"/>
  <c r="U1244" i="1" s="1"/>
  <c r="S1201" i="1"/>
  <c r="R1201" i="1"/>
  <c r="N1201" i="1"/>
  <c r="G1190" i="1"/>
  <c r="I1190" i="1" s="1"/>
  <c r="U1184" i="1"/>
  <c r="Q1184" i="1"/>
  <c r="V1184" i="1" s="1"/>
  <c r="C1189" i="1"/>
  <c r="E1189" i="1" s="1"/>
  <c r="U1181" i="1"/>
  <c r="Q1181" i="1"/>
  <c r="E1157" i="1"/>
  <c r="G1181" i="1"/>
  <c r="F1181" i="1"/>
  <c r="H1180" i="1"/>
  <c r="I1180" i="1" s="1"/>
  <c r="U1177" i="1"/>
  <c r="Q1177" i="1"/>
  <c r="F1179" i="1"/>
  <c r="G1179" i="1"/>
  <c r="C1179" i="1"/>
  <c r="U1175" i="1"/>
  <c r="Q1175" i="1"/>
  <c r="U1141" i="1"/>
  <c r="Q1141" i="1"/>
  <c r="E1155" i="1"/>
  <c r="U1140" i="1"/>
  <c r="Q1140" i="1"/>
  <c r="Q1155" i="1"/>
  <c r="U1155" i="1"/>
  <c r="Q1156" i="1"/>
  <c r="U1156" i="1"/>
  <c r="Q1157" i="1"/>
  <c r="U1157" i="1"/>
  <c r="E1166" i="1"/>
  <c r="I1166" i="1"/>
  <c r="E1167" i="1"/>
  <c r="I1167" i="1"/>
  <c r="E1168" i="1"/>
  <c r="I1168" i="1"/>
  <c r="E1169" i="1"/>
  <c r="I1169" i="1"/>
  <c r="E1170" i="1"/>
  <c r="I1170" i="1"/>
  <c r="E1171" i="1"/>
  <c r="I1171" i="1"/>
  <c r="Q1194" i="1"/>
  <c r="U1194" i="1"/>
  <c r="Q1195" i="1"/>
  <c r="U1195" i="1"/>
  <c r="Q1196" i="1"/>
  <c r="U1196" i="1"/>
  <c r="Q1197" i="1"/>
  <c r="U1197" i="1"/>
  <c r="Q1198" i="1"/>
  <c r="U1198" i="1"/>
  <c r="Q1199" i="1"/>
  <c r="U1199" i="1"/>
  <c r="Q1176" i="1"/>
  <c r="U1176" i="1"/>
  <c r="Q1178" i="1"/>
  <c r="U1178" i="1"/>
  <c r="Q1179" i="1"/>
  <c r="U1179" i="1"/>
  <c r="Q1180" i="1"/>
  <c r="U1180" i="1"/>
  <c r="Q1182" i="1"/>
  <c r="U1182" i="1"/>
  <c r="Q1183" i="1"/>
  <c r="U1183" i="1"/>
  <c r="Q1185" i="1"/>
  <c r="U1185" i="1"/>
  <c r="Q1186" i="1"/>
  <c r="U1186" i="1"/>
  <c r="E1175" i="1"/>
  <c r="I1175" i="1"/>
  <c r="E1176" i="1"/>
  <c r="I1176" i="1"/>
  <c r="E1177" i="1"/>
  <c r="I1177" i="1"/>
  <c r="E1178" i="1"/>
  <c r="I1178" i="1"/>
  <c r="E1180" i="1"/>
  <c r="E1181" i="1"/>
  <c r="E1182" i="1"/>
  <c r="I1182" i="1"/>
  <c r="E1183" i="1"/>
  <c r="I1183" i="1"/>
  <c r="E1184" i="1"/>
  <c r="I1184" i="1"/>
  <c r="E1185" i="1"/>
  <c r="I1185" i="1"/>
  <c r="E1186" i="1"/>
  <c r="I1186" i="1"/>
  <c r="E1187" i="1"/>
  <c r="I1187" i="1"/>
  <c r="E1188" i="1"/>
  <c r="I1188" i="1"/>
  <c r="I1189" i="1"/>
  <c r="E1190" i="1"/>
  <c r="E1191" i="1"/>
  <c r="I1191" i="1"/>
  <c r="E1192" i="1"/>
  <c r="I1192" i="1"/>
  <c r="E1193" i="1"/>
  <c r="I1193" i="1"/>
  <c r="E1194" i="1"/>
  <c r="I1194" i="1"/>
  <c r="E1195" i="1"/>
  <c r="I1195" i="1"/>
  <c r="E1196" i="1"/>
  <c r="I1196" i="1"/>
  <c r="E1197" i="1"/>
  <c r="I1197" i="1"/>
  <c r="T1201" i="1"/>
  <c r="P1201" i="1"/>
  <c r="O1201" i="1"/>
  <c r="B1201" i="1"/>
  <c r="I1200" i="1"/>
  <c r="E1200" i="1"/>
  <c r="I1199" i="1"/>
  <c r="E1199" i="1"/>
  <c r="I1198" i="1"/>
  <c r="E1198" i="1"/>
  <c r="D1201" i="1"/>
  <c r="U1173" i="1"/>
  <c r="Q1173" i="1"/>
  <c r="I1173" i="1"/>
  <c r="E1173" i="1"/>
  <c r="U1172" i="1"/>
  <c r="Q1172" i="1"/>
  <c r="I1172" i="1"/>
  <c r="E1172" i="1"/>
  <c r="U1171" i="1"/>
  <c r="Q1171" i="1"/>
  <c r="U1170" i="1"/>
  <c r="Q1170" i="1"/>
  <c r="U1169" i="1"/>
  <c r="Q1169" i="1"/>
  <c r="U1168" i="1"/>
  <c r="Q1168" i="1"/>
  <c r="U1167" i="1"/>
  <c r="Q1167" i="1"/>
  <c r="U1166" i="1"/>
  <c r="Q1166" i="1"/>
  <c r="U1139" i="1"/>
  <c r="Q1139" i="1"/>
  <c r="H1147" i="1"/>
  <c r="F1147" i="1"/>
  <c r="U1137" i="1"/>
  <c r="Q1137" i="1"/>
  <c r="G1143" i="1"/>
  <c r="I1143" i="1" s="1"/>
  <c r="U1136" i="1"/>
  <c r="Q1136" i="1"/>
  <c r="H1142" i="1"/>
  <c r="G1142" i="1"/>
  <c r="F1142" i="1"/>
  <c r="D1142" i="1"/>
  <c r="D1158" i="1" s="1"/>
  <c r="C1142" i="1"/>
  <c r="C1158" i="1" s="1"/>
  <c r="U1135" i="1"/>
  <c r="Q1135" i="1"/>
  <c r="F1140" i="1"/>
  <c r="U1134" i="1"/>
  <c r="Q1134" i="1"/>
  <c r="U1133" i="1"/>
  <c r="Q1133" i="1"/>
  <c r="Q1097" i="1"/>
  <c r="U1097" i="1"/>
  <c r="U1132" i="1"/>
  <c r="Q1132" i="1"/>
  <c r="U1096" i="1"/>
  <c r="Q1096" i="1"/>
  <c r="E1123" i="1"/>
  <c r="I1123" i="1"/>
  <c r="E1124" i="1"/>
  <c r="I1124" i="1"/>
  <c r="E1125" i="1"/>
  <c r="I1125" i="1"/>
  <c r="E1126" i="1"/>
  <c r="I1126" i="1"/>
  <c r="E1127" i="1"/>
  <c r="I1127" i="1"/>
  <c r="E1128" i="1"/>
  <c r="I1128" i="1"/>
  <c r="Q1111" i="1"/>
  <c r="U1111" i="1"/>
  <c r="Q1112" i="1"/>
  <c r="U1112" i="1"/>
  <c r="Q1113" i="1"/>
  <c r="U1113" i="1"/>
  <c r="Q1114" i="1"/>
  <c r="U1114" i="1"/>
  <c r="Q1152" i="1"/>
  <c r="U1152" i="1"/>
  <c r="Q1153" i="1"/>
  <c r="U1153" i="1"/>
  <c r="Q1154" i="1"/>
  <c r="U1154" i="1"/>
  <c r="Q1138" i="1"/>
  <c r="U1138" i="1"/>
  <c r="E1132" i="1"/>
  <c r="I1132" i="1"/>
  <c r="J1132" i="1" s="1"/>
  <c r="E1133" i="1"/>
  <c r="I1133" i="1"/>
  <c r="E1134" i="1"/>
  <c r="I1134" i="1"/>
  <c r="E1135" i="1"/>
  <c r="I1135" i="1"/>
  <c r="E1136" i="1"/>
  <c r="I1136" i="1"/>
  <c r="E1137" i="1"/>
  <c r="I1137" i="1"/>
  <c r="E1138" i="1"/>
  <c r="I1138" i="1"/>
  <c r="E1139" i="1"/>
  <c r="I1139" i="1"/>
  <c r="E1140" i="1"/>
  <c r="E1141" i="1"/>
  <c r="I1141" i="1"/>
  <c r="E1143" i="1"/>
  <c r="E1144" i="1"/>
  <c r="I1144" i="1"/>
  <c r="J1144" i="1" s="1"/>
  <c r="E1145" i="1"/>
  <c r="I1145" i="1"/>
  <c r="E1146" i="1"/>
  <c r="I1146" i="1"/>
  <c r="E1147" i="1"/>
  <c r="E1148" i="1"/>
  <c r="I1148" i="1"/>
  <c r="E1149" i="1"/>
  <c r="I1149" i="1"/>
  <c r="E1150" i="1"/>
  <c r="I1150" i="1"/>
  <c r="E1151" i="1"/>
  <c r="I1151" i="1"/>
  <c r="E1152" i="1"/>
  <c r="I1152" i="1"/>
  <c r="E1153" i="1"/>
  <c r="I1153" i="1"/>
  <c r="E1154" i="1"/>
  <c r="I1154" i="1"/>
  <c r="I1155" i="1"/>
  <c r="T1158" i="1"/>
  <c r="S1158" i="1"/>
  <c r="R1158" i="1"/>
  <c r="P1158" i="1"/>
  <c r="O1158" i="1"/>
  <c r="N1158" i="1"/>
  <c r="B1158" i="1"/>
  <c r="I1157" i="1"/>
  <c r="I1156" i="1"/>
  <c r="E1156" i="1"/>
  <c r="U1151" i="1"/>
  <c r="Q1151" i="1"/>
  <c r="U1150" i="1"/>
  <c r="Q1150" i="1"/>
  <c r="U1149" i="1"/>
  <c r="Q1149" i="1"/>
  <c r="V1149" i="1" s="1"/>
  <c r="U1148" i="1"/>
  <c r="Q1148" i="1"/>
  <c r="U1147" i="1"/>
  <c r="Q1147" i="1"/>
  <c r="U1146" i="1"/>
  <c r="Q1146" i="1"/>
  <c r="U1145" i="1"/>
  <c r="Q1145" i="1"/>
  <c r="U1144" i="1"/>
  <c r="Q1144" i="1"/>
  <c r="U1143" i="1"/>
  <c r="Q1143" i="1"/>
  <c r="V1143" i="1" s="1"/>
  <c r="U1142" i="1"/>
  <c r="Q1142" i="1"/>
  <c r="U1130" i="1"/>
  <c r="Q1130" i="1"/>
  <c r="I1130" i="1"/>
  <c r="E1130" i="1"/>
  <c r="U1129" i="1"/>
  <c r="Q1129" i="1"/>
  <c r="I1129" i="1"/>
  <c r="E1129" i="1"/>
  <c r="U1128" i="1"/>
  <c r="Q1128" i="1"/>
  <c r="V1128" i="1" s="1"/>
  <c r="U1127" i="1"/>
  <c r="Q1127" i="1"/>
  <c r="U1126" i="1"/>
  <c r="Q1126" i="1"/>
  <c r="U1125" i="1"/>
  <c r="Q1125" i="1"/>
  <c r="U1124" i="1"/>
  <c r="Q1124" i="1"/>
  <c r="U1123" i="1"/>
  <c r="Q1123" i="1"/>
  <c r="U1095" i="1"/>
  <c r="Q1095" i="1"/>
  <c r="V1095" i="1" s="1"/>
  <c r="U1094" i="1"/>
  <c r="Q1094" i="1"/>
  <c r="U1093" i="1"/>
  <c r="Q1093" i="1"/>
  <c r="U1092" i="1"/>
  <c r="Q1092" i="1"/>
  <c r="U1091" i="1"/>
  <c r="Q1091" i="1"/>
  <c r="I1082" i="1"/>
  <c r="I1083" i="1"/>
  <c r="U1090" i="1"/>
  <c r="Q1090" i="1"/>
  <c r="U1089" i="1"/>
  <c r="Q1089" i="1"/>
  <c r="U1049" i="1"/>
  <c r="Q1049" i="1"/>
  <c r="U1048" i="1"/>
  <c r="Q1048" i="1"/>
  <c r="Q1087" i="1"/>
  <c r="U1087" i="1"/>
  <c r="E1089" i="1"/>
  <c r="I1089" i="1"/>
  <c r="E1090" i="1"/>
  <c r="I1090" i="1"/>
  <c r="E1091" i="1"/>
  <c r="I1091" i="1"/>
  <c r="E1092" i="1"/>
  <c r="I1092" i="1"/>
  <c r="E1093" i="1"/>
  <c r="I1093" i="1"/>
  <c r="E1094" i="1"/>
  <c r="I1094" i="1"/>
  <c r="E1095" i="1"/>
  <c r="I1095" i="1"/>
  <c r="E1096" i="1"/>
  <c r="I1096" i="1"/>
  <c r="E1097" i="1"/>
  <c r="I1097" i="1"/>
  <c r="E1098" i="1"/>
  <c r="I1098" i="1"/>
  <c r="E1099" i="1"/>
  <c r="I1099" i="1"/>
  <c r="E1100" i="1"/>
  <c r="I1100" i="1"/>
  <c r="E1101" i="1"/>
  <c r="I1101" i="1"/>
  <c r="E1102" i="1"/>
  <c r="I1102" i="1"/>
  <c r="E1103" i="1"/>
  <c r="I1103" i="1"/>
  <c r="E1104" i="1"/>
  <c r="I1104" i="1"/>
  <c r="E1105" i="1"/>
  <c r="I1105" i="1"/>
  <c r="E1106" i="1"/>
  <c r="I1106" i="1"/>
  <c r="E1107" i="1"/>
  <c r="I1107" i="1"/>
  <c r="E1108" i="1"/>
  <c r="I1108" i="1"/>
  <c r="E1080" i="1"/>
  <c r="I1080" i="1"/>
  <c r="E1082" i="1"/>
  <c r="E1083" i="1"/>
  <c r="E1084" i="1"/>
  <c r="I1084" i="1"/>
  <c r="E1085" i="1"/>
  <c r="I1085" i="1"/>
  <c r="E1086" i="1"/>
  <c r="I1086" i="1"/>
  <c r="E1087" i="1"/>
  <c r="I1087" i="1"/>
  <c r="H1115" i="1"/>
  <c r="G1115" i="1"/>
  <c r="F1115" i="1"/>
  <c r="D1115" i="1"/>
  <c r="C1115" i="1"/>
  <c r="B1115" i="1"/>
  <c r="I1114" i="1"/>
  <c r="E1114" i="1"/>
  <c r="I1113" i="1"/>
  <c r="E1113" i="1"/>
  <c r="I1112" i="1"/>
  <c r="E1112" i="1"/>
  <c r="I1111" i="1"/>
  <c r="E1111" i="1"/>
  <c r="I1110" i="1"/>
  <c r="E1110" i="1"/>
  <c r="I1109" i="1"/>
  <c r="E1109" i="1"/>
  <c r="I1081" i="1"/>
  <c r="E1081" i="1"/>
  <c r="Q1070" i="1"/>
  <c r="U1070" i="1"/>
  <c r="Q1071" i="1"/>
  <c r="U1071" i="1"/>
  <c r="Q1081" i="1"/>
  <c r="U1081" i="1"/>
  <c r="Q1082" i="1"/>
  <c r="U1082" i="1"/>
  <c r="Q1083" i="1"/>
  <c r="U1083" i="1"/>
  <c r="Q1084" i="1"/>
  <c r="U1084" i="1"/>
  <c r="T1115" i="1"/>
  <c r="S1115" i="1"/>
  <c r="R1115" i="1"/>
  <c r="P1115" i="1"/>
  <c r="O1115" i="1"/>
  <c r="N1115" i="1"/>
  <c r="U1110" i="1"/>
  <c r="Q1110" i="1"/>
  <c r="U1109" i="1"/>
  <c r="Q1109" i="1"/>
  <c r="U1108" i="1"/>
  <c r="Q1108" i="1"/>
  <c r="U1107" i="1"/>
  <c r="Q1107" i="1"/>
  <c r="U1106" i="1"/>
  <c r="Q1106" i="1"/>
  <c r="U1105" i="1"/>
  <c r="Q1105" i="1"/>
  <c r="U1104" i="1"/>
  <c r="Q1104" i="1"/>
  <c r="U1103" i="1"/>
  <c r="Q1103" i="1"/>
  <c r="U1102" i="1"/>
  <c r="Q1102" i="1"/>
  <c r="U1101" i="1"/>
  <c r="Q1101" i="1"/>
  <c r="U1100" i="1"/>
  <c r="Q1100" i="1"/>
  <c r="U1099" i="1"/>
  <c r="Q1099" i="1"/>
  <c r="U1098" i="1"/>
  <c r="Q1098" i="1"/>
  <c r="U1086" i="1"/>
  <c r="Q1086" i="1"/>
  <c r="U1085" i="1"/>
  <c r="Q1085" i="1"/>
  <c r="U1080" i="1"/>
  <c r="Q1080" i="1"/>
  <c r="J1141" i="1" l="1"/>
  <c r="J1082" i="1"/>
  <c r="V1199" i="1"/>
  <c r="V1157" i="1"/>
  <c r="C1201" i="1"/>
  <c r="V1092" i="1"/>
  <c r="V1125" i="1"/>
  <c r="V1146" i="1"/>
  <c r="J1156" i="1"/>
  <c r="J1194" i="1"/>
  <c r="J1310" i="1"/>
  <c r="G1158" i="1"/>
  <c r="J1125" i="1"/>
  <c r="V1096" i="1"/>
  <c r="V1133" i="1"/>
  <c r="V1136" i="1"/>
  <c r="E1179" i="1"/>
  <c r="V1114" i="1"/>
  <c r="V1195" i="1"/>
  <c r="J1170" i="1"/>
  <c r="V1156" i="1"/>
  <c r="H1201" i="1"/>
  <c r="V1197" i="1"/>
  <c r="V1177" i="1"/>
  <c r="V1181" i="1"/>
  <c r="V1152" i="1"/>
  <c r="V1112" i="1"/>
  <c r="J1124" i="1"/>
  <c r="V1137" i="1"/>
  <c r="V1166" i="1"/>
  <c r="V1169" i="1"/>
  <c r="V1173" i="1"/>
  <c r="J1186" i="1"/>
  <c r="V1154" i="1"/>
  <c r="J1133" i="1"/>
  <c r="V1111" i="1"/>
  <c r="J1314" i="1"/>
  <c r="J1391" i="1"/>
  <c r="J1389" i="1"/>
  <c r="E1416" i="1"/>
  <c r="J1416" i="1" s="1"/>
  <c r="V1416" i="1"/>
  <c r="I1373" i="1"/>
  <c r="J1373" i="1" s="1"/>
  <c r="V1373" i="1"/>
  <c r="V1099" i="1"/>
  <c r="V1105" i="1"/>
  <c r="V1081" i="1"/>
  <c r="J1080" i="1"/>
  <c r="V1091" i="1"/>
  <c r="V1094" i="1"/>
  <c r="J1199" i="1"/>
  <c r="J1178" i="1"/>
  <c r="V1194" i="1"/>
  <c r="E1287" i="1"/>
  <c r="J1287" i="1" s="1"/>
  <c r="V1135" i="1"/>
  <c r="I1147" i="1"/>
  <c r="J1147" i="1" s="1"/>
  <c r="V1167" i="1"/>
  <c r="V1170" i="1"/>
  <c r="V1172" i="1"/>
  <c r="V1140" i="1"/>
  <c r="J1346" i="1"/>
  <c r="V1083" i="1"/>
  <c r="V1153" i="1"/>
  <c r="V1113" i="1"/>
  <c r="J1155" i="1"/>
  <c r="G1201" i="1"/>
  <c r="V1101" i="1"/>
  <c r="V1104" i="1"/>
  <c r="V1070" i="1"/>
  <c r="J1110" i="1"/>
  <c r="V1123" i="1"/>
  <c r="V1126" i="1"/>
  <c r="J1129" i="1"/>
  <c r="V1130" i="1"/>
  <c r="V1144" i="1"/>
  <c r="V1147" i="1"/>
  <c r="V1150" i="1"/>
  <c r="J1154" i="1"/>
  <c r="J1157" i="1"/>
  <c r="I1330" i="1"/>
  <c r="J1330" i="1" s="1"/>
  <c r="J1303" i="1"/>
  <c r="V1330" i="1"/>
  <c r="V1287" i="1"/>
  <c r="J1260" i="1"/>
  <c r="J1108" i="1"/>
  <c r="H1158" i="1"/>
  <c r="V1186" i="1"/>
  <c r="V1182" i="1"/>
  <c r="V1178" i="1"/>
  <c r="V1196" i="1"/>
  <c r="V1107" i="1"/>
  <c r="J1135" i="1"/>
  <c r="E1142" i="1"/>
  <c r="V1139" i="1"/>
  <c r="V1168" i="1"/>
  <c r="V1171" i="1"/>
  <c r="J1192" i="1"/>
  <c r="J1176" i="1"/>
  <c r="V1198" i="1"/>
  <c r="V1155" i="1"/>
  <c r="V1175" i="1"/>
  <c r="J1190" i="1"/>
  <c r="J1134" i="1"/>
  <c r="V1138" i="1"/>
  <c r="V1132" i="1"/>
  <c r="V1134" i="1"/>
  <c r="I1142" i="1"/>
  <c r="F1201" i="1"/>
  <c r="J1217" i="1"/>
  <c r="J1151" i="1"/>
  <c r="V1100" i="1"/>
  <c r="V1124" i="1"/>
  <c r="V1127" i="1"/>
  <c r="V1129" i="1"/>
  <c r="V1142" i="1"/>
  <c r="V1145" i="1"/>
  <c r="V1148" i="1"/>
  <c r="V1151" i="1"/>
  <c r="V1097" i="1"/>
  <c r="J1175" i="1"/>
  <c r="V1183" i="1"/>
  <c r="I1179" i="1"/>
  <c r="J1179" i="1" s="1"/>
  <c r="V1244" i="1"/>
  <c r="I1244" i="1"/>
  <c r="J1244" i="1" s="1"/>
  <c r="J1173" i="1"/>
  <c r="J1198" i="1"/>
  <c r="J1197" i="1"/>
  <c r="J1196" i="1"/>
  <c r="J1195" i="1"/>
  <c r="J1193" i="1"/>
  <c r="J1172" i="1"/>
  <c r="J1191" i="1"/>
  <c r="V1185" i="1"/>
  <c r="J1171" i="1"/>
  <c r="J1189" i="1"/>
  <c r="J1188" i="1"/>
  <c r="J1187" i="1"/>
  <c r="J1169" i="1"/>
  <c r="J1200" i="1"/>
  <c r="J1185" i="1"/>
  <c r="J1184" i="1"/>
  <c r="J1183" i="1"/>
  <c r="J1182" i="1"/>
  <c r="V1180" i="1"/>
  <c r="V1179" i="1"/>
  <c r="J1168" i="1"/>
  <c r="I1181" i="1"/>
  <c r="J1181" i="1" s="1"/>
  <c r="J1167" i="1"/>
  <c r="V1176" i="1"/>
  <c r="J1180" i="1"/>
  <c r="U1201" i="1"/>
  <c r="J1166" i="1"/>
  <c r="J1177" i="1"/>
  <c r="V1141" i="1"/>
  <c r="J1153" i="1"/>
  <c r="Q1201" i="1"/>
  <c r="E1201" i="1"/>
  <c r="J1152" i="1"/>
  <c r="J1150" i="1"/>
  <c r="J1149" i="1"/>
  <c r="J1130" i="1"/>
  <c r="J1148" i="1"/>
  <c r="J1146" i="1"/>
  <c r="J1145" i="1"/>
  <c r="J1128" i="1"/>
  <c r="J1143" i="1"/>
  <c r="J1127" i="1"/>
  <c r="F1158" i="1"/>
  <c r="J1126" i="1"/>
  <c r="I1140" i="1"/>
  <c r="J1140" i="1" s="1"/>
  <c r="J1139" i="1"/>
  <c r="J1138" i="1"/>
  <c r="J1137" i="1"/>
  <c r="Q1158" i="1"/>
  <c r="J1136" i="1"/>
  <c r="E1158" i="1"/>
  <c r="J1114" i="1"/>
  <c r="J1123" i="1"/>
  <c r="U1158" i="1"/>
  <c r="J1111" i="1"/>
  <c r="J1086" i="1"/>
  <c r="J1109" i="1"/>
  <c r="J1085" i="1"/>
  <c r="J1107" i="1"/>
  <c r="J1106" i="1"/>
  <c r="V1093" i="1"/>
  <c r="J1084" i="1"/>
  <c r="J1104" i="1"/>
  <c r="J1103" i="1"/>
  <c r="J1100" i="1"/>
  <c r="J1096" i="1"/>
  <c r="J1095" i="1"/>
  <c r="V1085" i="1"/>
  <c r="V1103" i="1"/>
  <c r="V1109" i="1"/>
  <c r="V1071" i="1"/>
  <c r="J1113" i="1"/>
  <c r="J1098" i="1"/>
  <c r="V1049" i="1"/>
  <c r="V1082" i="1"/>
  <c r="J1102" i="1"/>
  <c r="J1094" i="1"/>
  <c r="V1087" i="1"/>
  <c r="V1089" i="1"/>
  <c r="V1080" i="1"/>
  <c r="V1108" i="1"/>
  <c r="J1099" i="1"/>
  <c r="J1090" i="1"/>
  <c r="V1048" i="1"/>
  <c r="V1090" i="1"/>
  <c r="J1092" i="1"/>
  <c r="J1081" i="1"/>
  <c r="J1091" i="1"/>
  <c r="J1089" i="1"/>
  <c r="V1106" i="1"/>
  <c r="V1084" i="1"/>
  <c r="J1087" i="1"/>
  <c r="J1101" i="1"/>
  <c r="V1086" i="1"/>
  <c r="V1102" i="1"/>
  <c r="J1105" i="1"/>
  <c r="J1093" i="1"/>
  <c r="V1098" i="1"/>
  <c r="V1110" i="1"/>
  <c r="J1112" i="1"/>
  <c r="J1083" i="1"/>
  <c r="J1097" i="1"/>
  <c r="E1115" i="1"/>
  <c r="I1115" i="1"/>
  <c r="Q1115" i="1"/>
  <c r="U1115" i="1"/>
  <c r="U1047" i="1"/>
  <c r="Q1047" i="1"/>
  <c r="U1046" i="1"/>
  <c r="Q1046" i="1"/>
  <c r="U1040" i="1"/>
  <c r="Q1040" i="1"/>
  <c r="B1040" i="1"/>
  <c r="U1039" i="1"/>
  <c r="Q1039" i="1"/>
  <c r="I1158" i="1" l="1"/>
  <c r="I1201" i="1"/>
  <c r="J1201" i="1" s="1"/>
  <c r="J1142" i="1"/>
  <c r="J1131" i="1"/>
  <c r="V1201" i="1"/>
  <c r="J1174" i="1"/>
  <c r="V1158" i="1"/>
  <c r="J1158" i="1"/>
  <c r="J1088" i="1"/>
  <c r="V1047" i="1"/>
  <c r="J1115" i="1"/>
  <c r="V1115" i="1"/>
  <c r="V1039" i="1"/>
  <c r="V1046" i="1"/>
  <c r="V1040" i="1"/>
  <c r="B1011" i="1"/>
  <c r="U971" i="1"/>
  <c r="Q971" i="1"/>
  <c r="V971" i="1" l="1"/>
  <c r="E985" i="1"/>
  <c r="I985" i="1"/>
  <c r="Q1001" i="1"/>
  <c r="U1001" i="1"/>
  <c r="V1001" i="1" l="1"/>
  <c r="J985" i="1"/>
  <c r="U969" i="1"/>
  <c r="Q969" i="1"/>
  <c r="V969" i="1" l="1"/>
  <c r="Q984" i="1"/>
  <c r="U984" i="1"/>
  <c r="Q985" i="1"/>
  <c r="U985" i="1"/>
  <c r="U1027" i="1"/>
  <c r="Q1027" i="1"/>
  <c r="V984" i="1" l="1"/>
  <c r="V985" i="1"/>
  <c r="V1027" i="1"/>
  <c r="Q1028" i="1"/>
  <c r="U1028" i="1"/>
  <c r="V1028" i="1" l="1"/>
  <c r="O1029" i="1"/>
  <c r="T1072" i="1" l="1"/>
  <c r="S1072" i="1"/>
  <c r="R1072" i="1"/>
  <c r="P1072" i="1"/>
  <c r="O1072" i="1"/>
  <c r="N1072" i="1"/>
  <c r="H1072" i="1"/>
  <c r="G1072" i="1"/>
  <c r="F1072" i="1"/>
  <c r="D1072" i="1"/>
  <c r="C1072" i="1"/>
  <c r="B1072" i="1"/>
  <c r="I1071" i="1"/>
  <c r="E1071" i="1"/>
  <c r="I1070" i="1"/>
  <c r="E1070" i="1"/>
  <c r="U1069" i="1"/>
  <c r="Q1069" i="1"/>
  <c r="I1069" i="1"/>
  <c r="E1069" i="1"/>
  <c r="U1068" i="1"/>
  <c r="Q1068" i="1"/>
  <c r="I1068" i="1"/>
  <c r="E1068" i="1"/>
  <c r="U1067" i="1"/>
  <c r="Q1067" i="1"/>
  <c r="I1067" i="1"/>
  <c r="E1067" i="1"/>
  <c r="U1066" i="1"/>
  <c r="Q1066" i="1"/>
  <c r="I1066" i="1"/>
  <c r="E1066" i="1"/>
  <c r="U1065" i="1"/>
  <c r="Q1065" i="1"/>
  <c r="I1065" i="1"/>
  <c r="E1065" i="1"/>
  <c r="U1064" i="1"/>
  <c r="Q1064" i="1"/>
  <c r="I1064" i="1"/>
  <c r="E1064" i="1"/>
  <c r="U1063" i="1"/>
  <c r="Q1063" i="1"/>
  <c r="I1063" i="1"/>
  <c r="E1063" i="1"/>
  <c r="U1062" i="1"/>
  <c r="Q1062" i="1"/>
  <c r="I1062" i="1"/>
  <c r="E1062" i="1"/>
  <c r="U1061" i="1"/>
  <c r="Q1061" i="1"/>
  <c r="I1061" i="1"/>
  <c r="E1061" i="1"/>
  <c r="U1060" i="1"/>
  <c r="Q1060" i="1"/>
  <c r="I1060" i="1"/>
  <c r="E1060" i="1"/>
  <c r="U1059" i="1"/>
  <c r="Q1059" i="1"/>
  <c r="I1059" i="1"/>
  <c r="E1059" i="1"/>
  <c r="U1058" i="1"/>
  <c r="Q1058" i="1"/>
  <c r="I1058" i="1"/>
  <c r="E1058" i="1"/>
  <c r="U1057" i="1"/>
  <c r="Q1057" i="1"/>
  <c r="I1057" i="1"/>
  <c r="E1057" i="1"/>
  <c r="U1056" i="1"/>
  <c r="Q1056" i="1"/>
  <c r="I1056" i="1"/>
  <c r="E1056" i="1"/>
  <c r="U1055" i="1"/>
  <c r="Q1055" i="1"/>
  <c r="I1055" i="1"/>
  <c r="E1055" i="1"/>
  <c r="U1054" i="1"/>
  <c r="Q1054" i="1"/>
  <c r="I1054" i="1"/>
  <c r="E1054" i="1"/>
  <c r="U1053" i="1"/>
  <c r="Q1053" i="1"/>
  <c r="I1053" i="1"/>
  <c r="E1053" i="1"/>
  <c r="U1052" i="1"/>
  <c r="Q1052" i="1"/>
  <c r="I1052" i="1"/>
  <c r="E1052" i="1"/>
  <c r="U1051" i="1"/>
  <c r="Q1051" i="1"/>
  <c r="I1051" i="1"/>
  <c r="E1051" i="1"/>
  <c r="U1050" i="1"/>
  <c r="Q1050" i="1"/>
  <c r="I1050" i="1"/>
  <c r="E1050" i="1"/>
  <c r="I1049" i="1"/>
  <c r="E1049" i="1"/>
  <c r="I1048" i="1"/>
  <c r="E1048" i="1"/>
  <c r="I1047" i="1"/>
  <c r="E1047" i="1"/>
  <c r="I1046" i="1"/>
  <c r="E1046" i="1"/>
  <c r="U1044" i="1"/>
  <c r="Q1044" i="1"/>
  <c r="I1044" i="1"/>
  <c r="E1044" i="1"/>
  <c r="U1043" i="1"/>
  <c r="Q1043" i="1"/>
  <c r="I1043" i="1"/>
  <c r="E1043" i="1"/>
  <c r="U1042" i="1"/>
  <c r="Q1042" i="1"/>
  <c r="I1042" i="1"/>
  <c r="E1042" i="1"/>
  <c r="U1041" i="1"/>
  <c r="Q1041" i="1"/>
  <c r="I1041" i="1"/>
  <c r="E1041" i="1"/>
  <c r="I1040" i="1"/>
  <c r="E1040" i="1"/>
  <c r="I1039" i="1"/>
  <c r="E1039" i="1"/>
  <c r="U1038" i="1"/>
  <c r="Q1038" i="1"/>
  <c r="I1038" i="1"/>
  <c r="E1038" i="1"/>
  <c r="U1037" i="1"/>
  <c r="Q1037" i="1"/>
  <c r="I1037" i="1"/>
  <c r="E1037" i="1"/>
  <c r="Q1026" i="1"/>
  <c r="U1026" i="1"/>
  <c r="E1003" i="1"/>
  <c r="I1003" i="1"/>
  <c r="E1004" i="1"/>
  <c r="I1004" i="1"/>
  <c r="E1005" i="1"/>
  <c r="I1005" i="1"/>
  <c r="E1006" i="1"/>
  <c r="I1006" i="1"/>
  <c r="E1007" i="1"/>
  <c r="I1007" i="1"/>
  <c r="E1008" i="1"/>
  <c r="I1008" i="1"/>
  <c r="E1009" i="1"/>
  <c r="I1009" i="1"/>
  <c r="E1010" i="1"/>
  <c r="I1010" i="1"/>
  <c r="E1011" i="1"/>
  <c r="I1011" i="1"/>
  <c r="E1012" i="1"/>
  <c r="I1012" i="1"/>
  <c r="E994" i="1"/>
  <c r="I994" i="1"/>
  <c r="T1029" i="1"/>
  <c r="S1029" i="1"/>
  <c r="R1029" i="1"/>
  <c r="P1029" i="1"/>
  <c r="N1029" i="1"/>
  <c r="H1029" i="1"/>
  <c r="G1029" i="1"/>
  <c r="F1029" i="1"/>
  <c r="D1029" i="1"/>
  <c r="C1029" i="1"/>
  <c r="B1029" i="1"/>
  <c r="I1028" i="1"/>
  <c r="E1028" i="1"/>
  <c r="I1027" i="1"/>
  <c r="E1027" i="1"/>
  <c r="I1026" i="1"/>
  <c r="E1026" i="1"/>
  <c r="U1025" i="1"/>
  <c r="Q1025" i="1"/>
  <c r="I1025" i="1"/>
  <c r="E1025" i="1"/>
  <c r="U1024" i="1"/>
  <c r="Q1024" i="1"/>
  <c r="I1024" i="1"/>
  <c r="E1024" i="1"/>
  <c r="U1023" i="1"/>
  <c r="Q1023" i="1"/>
  <c r="I1023" i="1"/>
  <c r="E1023" i="1"/>
  <c r="U1022" i="1"/>
  <c r="Q1022" i="1"/>
  <c r="I1022" i="1"/>
  <c r="E1022" i="1"/>
  <c r="U1021" i="1"/>
  <c r="Q1021" i="1"/>
  <c r="I1021" i="1"/>
  <c r="E1021" i="1"/>
  <c r="U1020" i="1"/>
  <c r="Q1020" i="1"/>
  <c r="I1020" i="1"/>
  <c r="E1020" i="1"/>
  <c r="U1019" i="1"/>
  <c r="Q1019" i="1"/>
  <c r="I1019" i="1"/>
  <c r="E1019" i="1"/>
  <c r="U1018" i="1"/>
  <c r="Q1018" i="1"/>
  <c r="I1018" i="1"/>
  <c r="E1018" i="1"/>
  <c r="U1017" i="1"/>
  <c r="Q1017" i="1"/>
  <c r="I1017" i="1"/>
  <c r="E1017" i="1"/>
  <c r="U1016" i="1"/>
  <c r="Q1016" i="1"/>
  <c r="I1016" i="1"/>
  <c r="E1016" i="1"/>
  <c r="U1015" i="1"/>
  <c r="Q1015" i="1"/>
  <c r="I1015" i="1"/>
  <c r="E1015" i="1"/>
  <c r="U1014" i="1"/>
  <c r="Q1014" i="1"/>
  <c r="I1014" i="1"/>
  <c r="E1014" i="1"/>
  <c r="U1013" i="1"/>
  <c r="Q1013" i="1"/>
  <c r="I1013" i="1"/>
  <c r="E1013" i="1"/>
  <c r="U1012" i="1"/>
  <c r="Q1012" i="1"/>
  <c r="U1011" i="1"/>
  <c r="Q1011" i="1"/>
  <c r="U1010" i="1"/>
  <c r="Q1010" i="1"/>
  <c r="U1009" i="1"/>
  <c r="Q1009" i="1"/>
  <c r="U1008" i="1"/>
  <c r="Q1008" i="1"/>
  <c r="U1007" i="1"/>
  <c r="Q1007" i="1"/>
  <c r="U1006" i="1"/>
  <c r="Q1006" i="1"/>
  <c r="U1005" i="1"/>
  <c r="Q1005" i="1"/>
  <c r="U1004" i="1"/>
  <c r="Q1004" i="1"/>
  <c r="U1003" i="1"/>
  <c r="Q1003" i="1"/>
  <c r="I1001" i="1"/>
  <c r="E1001" i="1"/>
  <c r="U1000" i="1"/>
  <c r="Q1000" i="1"/>
  <c r="I1000" i="1"/>
  <c r="E1000" i="1"/>
  <c r="U999" i="1"/>
  <c r="Q999" i="1"/>
  <c r="I999" i="1"/>
  <c r="E999" i="1"/>
  <c r="U998" i="1"/>
  <c r="Q998" i="1"/>
  <c r="I998" i="1"/>
  <c r="E998" i="1"/>
  <c r="U997" i="1"/>
  <c r="Q997" i="1"/>
  <c r="I997" i="1"/>
  <c r="E997" i="1"/>
  <c r="U996" i="1"/>
  <c r="Q996" i="1"/>
  <c r="I996" i="1"/>
  <c r="E996" i="1"/>
  <c r="U995" i="1"/>
  <c r="Q995" i="1"/>
  <c r="I995" i="1"/>
  <c r="E995" i="1"/>
  <c r="U994" i="1"/>
  <c r="Q994" i="1"/>
  <c r="J1019" i="1" l="1"/>
  <c r="J1022" i="1"/>
  <c r="J1025" i="1"/>
  <c r="V1017" i="1"/>
  <c r="V1020" i="1"/>
  <c r="V1023" i="1"/>
  <c r="J1071" i="1"/>
  <c r="J1014" i="1"/>
  <c r="J1017" i="1"/>
  <c r="J1020" i="1"/>
  <c r="V1026" i="1"/>
  <c r="J1027" i="1"/>
  <c r="V995" i="1"/>
  <c r="V998" i="1"/>
  <c r="V1005" i="1"/>
  <c r="V1008" i="1"/>
  <c r="V1011" i="1"/>
  <c r="V1013" i="1"/>
  <c r="V1022" i="1"/>
  <c r="J1024" i="1"/>
  <c r="V1025" i="1"/>
  <c r="J1028" i="1"/>
  <c r="U1072" i="1"/>
  <c r="J1016" i="1"/>
  <c r="J1009" i="1"/>
  <c r="Q1072" i="1"/>
  <c r="J1021" i="1"/>
  <c r="J994" i="1"/>
  <c r="J1007" i="1"/>
  <c r="J1004" i="1"/>
  <c r="V1037" i="1"/>
  <c r="V1043" i="1"/>
  <c r="V1050" i="1"/>
  <c r="V1053" i="1"/>
  <c r="V1056" i="1"/>
  <c r="V1059" i="1"/>
  <c r="V1062" i="1"/>
  <c r="V1065" i="1"/>
  <c r="V1068" i="1"/>
  <c r="J1010" i="1"/>
  <c r="J1005" i="1"/>
  <c r="J1038" i="1"/>
  <c r="J1041" i="1"/>
  <c r="J1044" i="1"/>
  <c r="J1048" i="1"/>
  <c r="J1051" i="1"/>
  <c r="J1054" i="1"/>
  <c r="J1057" i="1"/>
  <c r="J1060" i="1"/>
  <c r="J1063" i="1"/>
  <c r="J1066" i="1"/>
  <c r="J1069" i="1"/>
  <c r="E1072" i="1"/>
  <c r="J1015" i="1"/>
  <c r="V1016" i="1"/>
  <c r="J1018" i="1"/>
  <c r="V1019" i="1"/>
  <c r="U1029" i="1"/>
  <c r="V1038" i="1"/>
  <c r="V1041" i="1"/>
  <c r="V1044" i="1"/>
  <c r="V1051" i="1"/>
  <c r="V1054" i="1"/>
  <c r="V1057" i="1"/>
  <c r="V1060" i="1"/>
  <c r="V1063" i="1"/>
  <c r="V1066" i="1"/>
  <c r="J999" i="1"/>
  <c r="I1072" i="1"/>
  <c r="J996" i="1"/>
  <c r="V996" i="1"/>
  <c r="V999" i="1"/>
  <c r="V1004" i="1"/>
  <c r="V1007" i="1"/>
  <c r="V1010" i="1"/>
  <c r="J1013" i="1"/>
  <c r="V1014" i="1"/>
  <c r="J1023" i="1"/>
  <c r="J1026" i="1"/>
  <c r="J1011" i="1"/>
  <c r="J1003" i="1"/>
  <c r="J997" i="1"/>
  <c r="J1000" i="1"/>
  <c r="J1006" i="1"/>
  <c r="V1069" i="1"/>
  <c r="V994" i="1"/>
  <c r="V997" i="1"/>
  <c r="V1000" i="1"/>
  <c r="V1006" i="1"/>
  <c r="V1009" i="1"/>
  <c r="V1012" i="1"/>
  <c r="V1018" i="1"/>
  <c r="V1024" i="1"/>
  <c r="J1008" i="1"/>
  <c r="J1037" i="1"/>
  <c r="J1040" i="1"/>
  <c r="J1043" i="1"/>
  <c r="J1047" i="1"/>
  <c r="J1050" i="1"/>
  <c r="J1053" i="1"/>
  <c r="J1056" i="1"/>
  <c r="J1059" i="1"/>
  <c r="J1062" i="1"/>
  <c r="J1065" i="1"/>
  <c r="J1068" i="1"/>
  <c r="J1012" i="1"/>
  <c r="J1039" i="1"/>
  <c r="J1042" i="1"/>
  <c r="J1046" i="1"/>
  <c r="J1049" i="1"/>
  <c r="J1052" i="1"/>
  <c r="J1055" i="1"/>
  <c r="J1058" i="1"/>
  <c r="J1061" i="1"/>
  <c r="J1064" i="1"/>
  <c r="J1067" i="1"/>
  <c r="J1070" i="1"/>
  <c r="J995" i="1"/>
  <c r="J998" i="1"/>
  <c r="J1001" i="1"/>
  <c r="V1015" i="1"/>
  <c r="V1021" i="1"/>
  <c r="I1029" i="1"/>
  <c r="V1042" i="1"/>
  <c r="V1052" i="1"/>
  <c r="V1055" i="1"/>
  <c r="V1058" i="1"/>
  <c r="V1061" i="1"/>
  <c r="V1064" i="1"/>
  <c r="V1067" i="1"/>
  <c r="Q1029" i="1"/>
  <c r="V1003" i="1"/>
  <c r="E1029" i="1"/>
  <c r="V1072" i="1" l="1"/>
  <c r="J1072" i="1"/>
  <c r="V1029" i="1"/>
  <c r="J1002" i="1"/>
  <c r="J1029" i="1"/>
  <c r="J1045" i="1"/>
  <c r="E968" i="1"/>
  <c r="E938" i="1" l="1"/>
  <c r="I938" i="1"/>
  <c r="I937" i="1"/>
  <c r="E937" i="1"/>
  <c r="J937" i="1" l="1"/>
  <c r="J938" i="1"/>
  <c r="U926" i="1"/>
  <c r="Q926" i="1"/>
  <c r="U925" i="1"/>
  <c r="Q925" i="1"/>
  <c r="B930" i="1"/>
  <c r="E872" i="1"/>
  <c r="I872" i="1"/>
  <c r="E952" i="1"/>
  <c r="I952" i="1"/>
  <c r="E953" i="1"/>
  <c r="I953" i="1"/>
  <c r="E954" i="1"/>
  <c r="I954" i="1"/>
  <c r="I911" i="1"/>
  <c r="E911" i="1"/>
  <c r="I910" i="1"/>
  <c r="E910" i="1"/>
  <c r="U923" i="1"/>
  <c r="Q923" i="1"/>
  <c r="U922" i="1"/>
  <c r="Q922" i="1"/>
  <c r="F923" i="1"/>
  <c r="C923" i="1"/>
  <c r="U920" i="1"/>
  <c r="Q920" i="1"/>
  <c r="Q897" i="1"/>
  <c r="U897" i="1"/>
  <c r="Q898" i="1"/>
  <c r="U898" i="1"/>
  <c r="U899" i="1"/>
  <c r="Q899" i="1"/>
  <c r="U942" i="1"/>
  <c r="Q942" i="1"/>
  <c r="U941" i="1"/>
  <c r="Q941" i="1"/>
  <c r="T986" i="1"/>
  <c r="S986" i="1"/>
  <c r="R986" i="1"/>
  <c r="P986" i="1"/>
  <c r="O986" i="1"/>
  <c r="N986" i="1"/>
  <c r="H986" i="1"/>
  <c r="G986" i="1"/>
  <c r="F986" i="1"/>
  <c r="D986" i="1"/>
  <c r="C986" i="1"/>
  <c r="B986" i="1"/>
  <c r="I984" i="1"/>
  <c r="E984" i="1"/>
  <c r="U983" i="1"/>
  <c r="Q983" i="1"/>
  <c r="I983" i="1"/>
  <c r="E983" i="1"/>
  <c r="U982" i="1"/>
  <c r="Q982" i="1"/>
  <c r="I982" i="1"/>
  <c r="E982" i="1"/>
  <c r="U981" i="1"/>
  <c r="Q981" i="1"/>
  <c r="I981" i="1"/>
  <c r="E981" i="1"/>
  <c r="U980" i="1"/>
  <c r="Q980" i="1"/>
  <c r="I980" i="1"/>
  <c r="E980" i="1"/>
  <c r="U979" i="1"/>
  <c r="Q979" i="1"/>
  <c r="I979" i="1"/>
  <c r="E979" i="1"/>
  <c r="U978" i="1"/>
  <c r="Q978" i="1"/>
  <c r="I978" i="1"/>
  <c r="E978" i="1"/>
  <c r="U977" i="1"/>
  <c r="Q977" i="1"/>
  <c r="I977" i="1"/>
  <c r="E977" i="1"/>
  <c r="U976" i="1"/>
  <c r="Q976" i="1"/>
  <c r="I976" i="1"/>
  <c r="E976" i="1"/>
  <c r="U975" i="1"/>
  <c r="Q975" i="1"/>
  <c r="I975" i="1"/>
  <c r="E975" i="1"/>
  <c r="U974" i="1"/>
  <c r="Q974" i="1"/>
  <c r="I974" i="1"/>
  <c r="E974" i="1"/>
  <c r="U973" i="1"/>
  <c r="Q973" i="1"/>
  <c r="I973" i="1"/>
  <c r="E973" i="1"/>
  <c r="U972" i="1"/>
  <c r="Q972" i="1"/>
  <c r="I972" i="1"/>
  <c r="E972" i="1"/>
  <c r="I971" i="1"/>
  <c r="E971" i="1"/>
  <c r="U970" i="1"/>
  <c r="Q970" i="1"/>
  <c r="I970" i="1"/>
  <c r="E970" i="1"/>
  <c r="I969" i="1"/>
  <c r="E969" i="1"/>
  <c r="U968" i="1"/>
  <c r="Q968" i="1"/>
  <c r="I968" i="1"/>
  <c r="U967" i="1"/>
  <c r="Q967" i="1"/>
  <c r="I967" i="1"/>
  <c r="E967" i="1"/>
  <c r="U966" i="1"/>
  <c r="Q966" i="1"/>
  <c r="I966" i="1"/>
  <c r="E966" i="1"/>
  <c r="U965" i="1"/>
  <c r="Q965" i="1"/>
  <c r="I965" i="1"/>
  <c r="E965" i="1"/>
  <c r="U964" i="1"/>
  <c r="Q964" i="1"/>
  <c r="I964" i="1"/>
  <c r="E964" i="1"/>
  <c r="U963" i="1"/>
  <c r="Q963" i="1"/>
  <c r="I963" i="1"/>
  <c r="E963" i="1"/>
  <c r="U962" i="1"/>
  <c r="Q962" i="1"/>
  <c r="I962" i="1"/>
  <c r="E962" i="1"/>
  <c r="U961" i="1"/>
  <c r="Q961" i="1"/>
  <c r="I961" i="1"/>
  <c r="E961" i="1"/>
  <c r="U960" i="1"/>
  <c r="Q960" i="1"/>
  <c r="I960" i="1"/>
  <c r="E960" i="1"/>
  <c r="U958" i="1"/>
  <c r="Q958" i="1"/>
  <c r="I958" i="1"/>
  <c r="E958" i="1"/>
  <c r="U957" i="1"/>
  <c r="Q957" i="1"/>
  <c r="I957" i="1"/>
  <c r="E957" i="1"/>
  <c r="U956" i="1"/>
  <c r="Q956" i="1"/>
  <c r="I956" i="1"/>
  <c r="E956" i="1"/>
  <c r="U955" i="1"/>
  <c r="Q955" i="1"/>
  <c r="I955" i="1"/>
  <c r="E955" i="1"/>
  <c r="U954" i="1"/>
  <c r="Q954" i="1"/>
  <c r="U953" i="1"/>
  <c r="Q953" i="1"/>
  <c r="U952" i="1"/>
  <c r="Q952" i="1"/>
  <c r="U951" i="1"/>
  <c r="Q951" i="1"/>
  <c r="I951" i="1"/>
  <c r="E951" i="1"/>
  <c r="J953" i="1" l="1"/>
  <c r="V926" i="1"/>
  <c r="V925" i="1"/>
  <c r="V951" i="1"/>
  <c r="V923" i="1"/>
  <c r="V954" i="1"/>
  <c r="V957" i="1"/>
  <c r="V961" i="1"/>
  <c r="V964" i="1"/>
  <c r="V967" i="1"/>
  <c r="V970" i="1"/>
  <c r="V973" i="1"/>
  <c r="V976" i="1"/>
  <c r="V979" i="1"/>
  <c r="V982" i="1"/>
  <c r="V920" i="1"/>
  <c r="V922" i="1"/>
  <c r="J872" i="1"/>
  <c r="J952" i="1"/>
  <c r="J911" i="1"/>
  <c r="J954" i="1"/>
  <c r="J910" i="1"/>
  <c r="V942" i="1"/>
  <c r="V897" i="1"/>
  <c r="V898" i="1"/>
  <c r="V953" i="1"/>
  <c r="V956" i="1"/>
  <c r="J957" i="1"/>
  <c r="J964" i="1"/>
  <c r="J979" i="1"/>
  <c r="J951" i="1"/>
  <c r="J961" i="1"/>
  <c r="J970" i="1"/>
  <c r="J976" i="1"/>
  <c r="J967" i="1"/>
  <c r="J973" i="1"/>
  <c r="J982" i="1"/>
  <c r="J962" i="1"/>
  <c r="J965" i="1"/>
  <c r="J968" i="1"/>
  <c r="J971" i="1"/>
  <c r="J974" i="1"/>
  <c r="J977" i="1"/>
  <c r="J980" i="1"/>
  <c r="J983" i="1"/>
  <c r="V941" i="1"/>
  <c r="I986" i="1"/>
  <c r="U986" i="1"/>
  <c r="V962" i="1"/>
  <c r="V965" i="1"/>
  <c r="V968" i="1"/>
  <c r="V974" i="1"/>
  <c r="V977" i="1"/>
  <c r="V980" i="1"/>
  <c r="V983" i="1"/>
  <c r="J956" i="1"/>
  <c r="J966" i="1"/>
  <c r="J975" i="1"/>
  <c r="J981" i="1"/>
  <c r="J955" i="1"/>
  <c r="J958" i="1"/>
  <c r="V960" i="1"/>
  <c r="V963" i="1"/>
  <c r="V966" i="1"/>
  <c r="V972" i="1"/>
  <c r="V975" i="1"/>
  <c r="V978" i="1"/>
  <c r="V981" i="1"/>
  <c r="J960" i="1"/>
  <c r="J963" i="1"/>
  <c r="J969" i="1"/>
  <c r="J972" i="1"/>
  <c r="J978" i="1"/>
  <c r="J984" i="1"/>
  <c r="V952" i="1"/>
  <c r="V955" i="1"/>
  <c r="V958" i="1"/>
  <c r="E986" i="1"/>
  <c r="Q986" i="1"/>
  <c r="V899" i="1"/>
  <c r="H898" i="1"/>
  <c r="H900" i="1" s="1"/>
  <c r="B898" i="1"/>
  <c r="D898" i="1"/>
  <c r="D900" i="1" s="1"/>
  <c r="U875" i="1"/>
  <c r="Q875" i="1"/>
  <c r="U874" i="1"/>
  <c r="Q874" i="1"/>
  <c r="U851" i="1"/>
  <c r="Q851" i="1"/>
  <c r="U849" i="1"/>
  <c r="Q849" i="1"/>
  <c r="Q844" i="1"/>
  <c r="U844" i="1"/>
  <c r="Q841" i="1"/>
  <c r="U841" i="1"/>
  <c r="B849" i="1"/>
  <c r="E849" i="1" s="1"/>
  <c r="B13" i="1"/>
  <c r="B40" i="1"/>
  <c r="B83" i="1"/>
  <c r="B126" i="1"/>
  <c r="B169" i="1"/>
  <c r="B212" i="1"/>
  <c r="C212" i="1"/>
  <c r="D212" i="1"/>
  <c r="B255" i="1"/>
  <c r="B287" i="1"/>
  <c r="B290" i="1"/>
  <c r="E290" i="1" s="1"/>
  <c r="B319" i="1"/>
  <c r="E319" i="1" s="1"/>
  <c r="B323" i="1"/>
  <c r="E323" i="1" s="1"/>
  <c r="B326" i="1"/>
  <c r="E326" i="1" s="1"/>
  <c r="B339" i="1"/>
  <c r="B365" i="1"/>
  <c r="E365" i="1" s="1"/>
  <c r="B371" i="1"/>
  <c r="E371" i="1" s="1"/>
  <c r="B377" i="1"/>
  <c r="B380" i="1"/>
  <c r="B401" i="1"/>
  <c r="B411" i="1"/>
  <c r="B470" i="1"/>
  <c r="B513" i="1"/>
  <c r="B535" i="1"/>
  <c r="B546" i="1"/>
  <c r="C546" i="1"/>
  <c r="F546" i="1"/>
  <c r="G546" i="1"/>
  <c r="G556" i="1" s="1"/>
  <c r="B551" i="1"/>
  <c r="E551" i="1" s="1"/>
  <c r="B577" i="1"/>
  <c r="B594" i="1"/>
  <c r="E594" i="1" s="1"/>
  <c r="B617" i="1"/>
  <c r="E617" i="1" s="1"/>
  <c r="B630" i="1"/>
  <c r="E630" i="1" s="1"/>
  <c r="B635" i="1"/>
  <c r="E635" i="1" s="1"/>
  <c r="B640" i="1"/>
  <c r="B660" i="1"/>
  <c r="B664" i="1"/>
  <c r="B666" i="1"/>
  <c r="E666" i="1" s="1"/>
  <c r="I666" i="1"/>
  <c r="B672" i="1"/>
  <c r="E672" i="1" s="1"/>
  <c r="B682" i="1"/>
  <c r="E682" i="1" s="1"/>
  <c r="B712" i="1"/>
  <c r="B728" i="1" s="1"/>
  <c r="B771" i="1"/>
  <c r="B814" i="1"/>
  <c r="B835" i="1"/>
  <c r="B900" i="1"/>
  <c r="C13" i="1"/>
  <c r="C40" i="1"/>
  <c r="C83" i="1"/>
  <c r="C126" i="1"/>
  <c r="C169" i="1"/>
  <c r="C255" i="1"/>
  <c r="C298" i="1"/>
  <c r="C321" i="1"/>
  <c r="E321" i="1" s="1"/>
  <c r="C329" i="1"/>
  <c r="C360" i="1"/>
  <c r="E360" i="1" s="1"/>
  <c r="C369" i="1"/>
  <c r="E369" i="1" s="1"/>
  <c r="C377" i="1"/>
  <c r="C379" i="1"/>
  <c r="E379" i="1" s="1"/>
  <c r="C380" i="1"/>
  <c r="C401" i="1"/>
  <c r="C407" i="1"/>
  <c r="E407" i="1" s="1"/>
  <c r="C445" i="1"/>
  <c r="C470" i="1" s="1"/>
  <c r="C513" i="1"/>
  <c r="C599" i="1"/>
  <c r="C640" i="1"/>
  <c r="C642" i="1" s="1"/>
  <c r="C662" i="1"/>
  <c r="C683" i="1"/>
  <c r="E683" i="1" s="1"/>
  <c r="C728" i="1"/>
  <c r="C771" i="1"/>
  <c r="C814" i="1"/>
  <c r="C857" i="1"/>
  <c r="C1074" i="1" s="1"/>
  <c r="C900" i="1"/>
  <c r="C943" i="1"/>
  <c r="D13" i="1"/>
  <c r="D40" i="1"/>
  <c r="D83" i="1"/>
  <c r="D126" i="1"/>
  <c r="D169" i="1"/>
  <c r="D255" i="1"/>
  <c r="D280" i="1"/>
  <c r="D298" i="1" s="1"/>
  <c r="D341" i="1"/>
  <c r="D367" i="1"/>
  <c r="E367" i="1" s="1"/>
  <c r="D375" i="1"/>
  <c r="E375" i="1" s="1"/>
  <c r="D377" i="1"/>
  <c r="D380" i="1"/>
  <c r="D427" i="1"/>
  <c r="D470" i="1"/>
  <c r="D513" i="1"/>
  <c r="D535" i="1"/>
  <c r="D577" i="1"/>
  <c r="D599" i="1" s="1"/>
  <c r="D628" i="1"/>
  <c r="E628" i="1" s="1"/>
  <c r="D660" i="1"/>
  <c r="D664" i="1"/>
  <c r="D717" i="1"/>
  <c r="D749" i="1"/>
  <c r="E749" i="1" s="1"/>
  <c r="D814" i="1"/>
  <c r="F814" i="1"/>
  <c r="G814" i="1"/>
  <c r="H814" i="1"/>
  <c r="D857" i="1"/>
  <c r="D943" i="1"/>
  <c r="F13" i="1"/>
  <c r="F40" i="1"/>
  <c r="F83" i="1"/>
  <c r="F126" i="1"/>
  <c r="F169" i="1"/>
  <c r="F212" i="1"/>
  <c r="F255" i="1"/>
  <c r="F298" i="1"/>
  <c r="F339" i="1"/>
  <c r="F341" i="1" s="1"/>
  <c r="F360" i="1"/>
  <c r="I360" i="1" s="1"/>
  <c r="F364" i="1"/>
  <c r="I364" i="1" s="1"/>
  <c r="F365" i="1"/>
  <c r="F369" i="1"/>
  <c r="F380" i="1"/>
  <c r="G380" i="1"/>
  <c r="H380" i="1"/>
  <c r="F403" i="1"/>
  <c r="I403" i="1" s="1"/>
  <c r="F406" i="1"/>
  <c r="I406" i="1" s="1"/>
  <c r="F409" i="1"/>
  <c r="I409" i="1" s="1"/>
  <c r="F410" i="1"/>
  <c r="F411" i="1"/>
  <c r="F470" i="1"/>
  <c r="G470" i="1"/>
  <c r="H470" i="1"/>
  <c r="F513" i="1"/>
  <c r="F535" i="1"/>
  <c r="F577" i="1"/>
  <c r="F594" i="1"/>
  <c r="G594" i="1"/>
  <c r="G599" i="1" s="1"/>
  <c r="F617" i="1"/>
  <c r="F630" i="1"/>
  <c r="I630" i="1" s="1"/>
  <c r="F635" i="1"/>
  <c r="I635" i="1" s="1"/>
  <c r="F638" i="1"/>
  <c r="F660" i="1"/>
  <c r="F672" i="1"/>
  <c r="I672" i="1" s="1"/>
  <c r="F677" i="1"/>
  <c r="I677" i="1" s="1"/>
  <c r="F679" i="1"/>
  <c r="I679" i="1" s="1"/>
  <c r="F682" i="1"/>
  <c r="I682" i="1" s="1"/>
  <c r="F728" i="1"/>
  <c r="G728" i="1"/>
  <c r="H705" i="1"/>
  <c r="F771" i="1"/>
  <c r="F857" i="1"/>
  <c r="G857" i="1"/>
  <c r="H857" i="1"/>
  <c r="F900" i="1"/>
  <c r="F943" i="1"/>
  <c r="G13" i="1"/>
  <c r="G40" i="1"/>
  <c r="G83" i="1"/>
  <c r="G126" i="1"/>
  <c r="G169" i="1"/>
  <c r="G212" i="1"/>
  <c r="G255" i="1"/>
  <c r="G290" i="1"/>
  <c r="I290" i="1" s="1"/>
  <c r="G292" i="1"/>
  <c r="I292" i="1" s="1"/>
  <c r="G296" i="1"/>
  <c r="G319" i="1"/>
  <c r="G326" i="1"/>
  <c r="I326" i="1" s="1"/>
  <c r="G329" i="1"/>
  <c r="I329" i="1" s="1"/>
  <c r="G365" i="1"/>
  <c r="G368" i="1"/>
  <c r="G369" i="1"/>
  <c r="G372" i="1"/>
  <c r="I372" i="1" s="1"/>
  <c r="G377" i="1"/>
  <c r="G379" i="1"/>
  <c r="G401" i="1"/>
  <c r="I401" i="1" s="1"/>
  <c r="G407" i="1"/>
  <c r="G411" i="1"/>
  <c r="I411" i="1" s="1"/>
  <c r="G513" i="1"/>
  <c r="G640" i="1"/>
  <c r="G642" i="1" s="1"/>
  <c r="G660" i="1"/>
  <c r="G661" i="1"/>
  <c r="I661" i="1" s="1"/>
  <c r="G664" i="1"/>
  <c r="G753" i="1"/>
  <c r="G771" i="1" s="1"/>
  <c r="G900" i="1"/>
  <c r="G943" i="1"/>
  <c r="G1074" i="1" s="1"/>
  <c r="H13" i="1"/>
  <c r="H40" i="1"/>
  <c r="H83" i="1"/>
  <c r="H126" i="1"/>
  <c r="H169" i="1"/>
  <c r="H212" i="1"/>
  <c r="H255" i="1"/>
  <c r="H298" i="1"/>
  <c r="H330" i="1"/>
  <c r="H331" i="1"/>
  <c r="I331" i="1" s="1"/>
  <c r="H369" i="1"/>
  <c r="H377" i="1"/>
  <c r="H379" i="1"/>
  <c r="H427" i="1"/>
  <c r="H513" i="1"/>
  <c r="H556" i="1"/>
  <c r="H577" i="1"/>
  <c r="H599" i="1" s="1"/>
  <c r="H617" i="1"/>
  <c r="H626" i="1"/>
  <c r="I626" i="1" s="1"/>
  <c r="H664" i="1"/>
  <c r="H749" i="1"/>
  <c r="H943" i="1"/>
  <c r="I942" i="1"/>
  <c r="E941" i="1"/>
  <c r="I941" i="1"/>
  <c r="E940" i="1"/>
  <c r="I940" i="1"/>
  <c r="E939" i="1"/>
  <c r="I939" i="1"/>
  <c r="E936" i="1"/>
  <c r="I936" i="1"/>
  <c r="E935" i="1"/>
  <c r="I935" i="1"/>
  <c r="E934" i="1"/>
  <c r="I934" i="1"/>
  <c r="E933" i="1"/>
  <c r="I933" i="1"/>
  <c r="E932" i="1"/>
  <c r="I932" i="1"/>
  <c r="E931" i="1"/>
  <c r="I931" i="1"/>
  <c r="E930" i="1"/>
  <c r="I930" i="1"/>
  <c r="E929" i="1"/>
  <c r="I929" i="1"/>
  <c r="E928" i="1"/>
  <c r="I928" i="1"/>
  <c r="E927" i="1"/>
  <c r="I927" i="1"/>
  <c r="E926" i="1"/>
  <c r="I926" i="1"/>
  <c r="E925" i="1"/>
  <c r="I925" i="1"/>
  <c r="E924" i="1"/>
  <c r="I924" i="1"/>
  <c r="E923" i="1"/>
  <c r="I923" i="1"/>
  <c r="E922" i="1"/>
  <c r="I922" i="1"/>
  <c r="E921" i="1"/>
  <c r="I921" i="1"/>
  <c r="E920" i="1"/>
  <c r="I920" i="1"/>
  <c r="E919" i="1"/>
  <c r="I919" i="1"/>
  <c r="E918" i="1"/>
  <c r="I918" i="1"/>
  <c r="E917" i="1"/>
  <c r="I917" i="1"/>
  <c r="E908" i="1"/>
  <c r="I908" i="1"/>
  <c r="E909" i="1"/>
  <c r="I909" i="1"/>
  <c r="E912" i="1"/>
  <c r="I912" i="1"/>
  <c r="E913" i="1"/>
  <c r="I913" i="1"/>
  <c r="E914" i="1"/>
  <c r="I914" i="1"/>
  <c r="E915" i="1"/>
  <c r="I915" i="1"/>
  <c r="Q895" i="1"/>
  <c r="U895" i="1"/>
  <c r="Q938" i="1"/>
  <c r="U938" i="1"/>
  <c r="Q939" i="1"/>
  <c r="U939" i="1"/>
  <c r="Q940" i="1"/>
  <c r="U940" i="1"/>
  <c r="N900" i="1"/>
  <c r="N13" i="1"/>
  <c r="N40" i="1"/>
  <c r="N83" i="1"/>
  <c r="N126" i="1"/>
  <c r="N169" i="1"/>
  <c r="N212" i="1"/>
  <c r="N255" i="1"/>
  <c r="N298" i="1"/>
  <c r="N341" i="1"/>
  <c r="N384" i="1"/>
  <c r="N427" i="1"/>
  <c r="N470" i="1"/>
  <c r="N513" i="1"/>
  <c r="N556" i="1"/>
  <c r="N599" i="1"/>
  <c r="N642" i="1"/>
  <c r="N685" i="1"/>
  <c r="N728" i="1"/>
  <c r="N771" i="1"/>
  <c r="N814" i="1"/>
  <c r="N857" i="1"/>
  <c r="N943" i="1"/>
  <c r="O900" i="1"/>
  <c r="O13" i="1"/>
  <c r="O40" i="1"/>
  <c r="O83" i="1"/>
  <c r="O126" i="1"/>
  <c r="O169" i="1"/>
  <c r="O212" i="1"/>
  <c r="O255" i="1"/>
  <c r="O298" i="1"/>
  <c r="O341" i="1"/>
  <c r="O384" i="1"/>
  <c r="O427" i="1"/>
  <c r="O470" i="1"/>
  <c r="O513" i="1"/>
  <c r="O556" i="1"/>
  <c r="O599" i="1"/>
  <c r="O642" i="1"/>
  <c r="O685" i="1"/>
  <c r="O728" i="1"/>
  <c r="O771" i="1"/>
  <c r="O814" i="1"/>
  <c r="O857" i="1"/>
  <c r="O943" i="1"/>
  <c r="P900" i="1"/>
  <c r="P13" i="1"/>
  <c r="P40" i="1"/>
  <c r="P83" i="1"/>
  <c r="P126" i="1"/>
  <c r="P169" i="1"/>
  <c r="P212" i="1"/>
  <c r="P255" i="1"/>
  <c r="P298" i="1"/>
  <c r="P341" i="1"/>
  <c r="P384" i="1"/>
  <c r="P427" i="1"/>
  <c r="P470" i="1"/>
  <c r="P513" i="1"/>
  <c r="P556" i="1"/>
  <c r="P599" i="1"/>
  <c r="P642" i="1"/>
  <c r="P685" i="1"/>
  <c r="P728" i="1"/>
  <c r="P771" i="1"/>
  <c r="P814" i="1"/>
  <c r="P857" i="1"/>
  <c r="P943" i="1"/>
  <c r="R900" i="1"/>
  <c r="R13" i="1"/>
  <c r="R40" i="1"/>
  <c r="R83" i="1"/>
  <c r="R126" i="1"/>
  <c r="R169" i="1"/>
  <c r="R212" i="1"/>
  <c r="R255" i="1"/>
  <c r="R298" i="1"/>
  <c r="R341" i="1"/>
  <c r="R384" i="1"/>
  <c r="R427" i="1"/>
  <c r="S427" i="1"/>
  <c r="T427" i="1"/>
  <c r="R470" i="1"/>
  <c r="R513" i="1"/>
  <c r="R556" i="1"/>
  <c r="R599" i="1"/>
  <c r="R642" i="1"/>
  <c r="R685" i="1"/>
  <c r="S685" i="1"/>
  <c r="T685" i="1"/>
  <c r="R728" i="1"/>
  <c r="R771" i="1"/>
  <c r="R814" i="1"/>
  <c r="R857" i="1"/>
  <c r="R943" i="1"/>
  <c r="S900" i="1"/>
  <c r="S13" i="1"/>
  <c r="S40" i="1"/>
  <c r="S83" i="1"/>
  <c r="S126" i="1"/>
  <c r="S169" i="1"/>
  <c r="S212" i="1"/>
  <c r="S255" i="1"/>
  <c r="S298" i="1"/>
  <c r="S341" i="1"/>
  <c r="S384" i="1"/>
  <c r="S470" i="1"/>
  <c r="S513" i="1"/>
  <c r="S556" i="1"/>
  <c r="S599" i="1"/>
  <c r="S642" i="1"/>
  <c r="S728" i="1"/>
  <c r="S771" i="1"/>
  <c r="S814" i="1"/>
  <c r="S857" i="1"/>
  <c r="T857" i="1"/>
  <c r="S943" i="1"/>
  <c r="T943" i="1"/>
  <c r="T900" i="1"/>
  <c r="T13" i="1"/>
  <c r="T40" i="1"/>
  <c r="T83" i="1"/>
  <c r="T126" i="1"/>
  <c r="T169" i="1"/>
  <c r="T212" i="1"/>
  <c r="T255" i="1"/>
  <c r="T298" i="1"/>
  <c r="T341" i="1"/>
  <c r="T384" i="1"/>
  <c r="T470" i="1"/>
  <c r="T513" i="1"/>
  <c r="T556" i="1"/>
  <c r="T599" i="1"/>
  <c r="T642" i="1"/>
  <c r="T728" i="1"/>
  <c r="T771" i="1"/>
  <c r="T814" i="1"/>
  <c r="Q937" i="1"/>
  <c r="U937" i="1"/>
  <c r="Q936" i="1"/>
  <c r="U936" i="1"/>
  <c r="Q935" i="1"/>
  <c r="U935" i="1"/>
  <c r="Q934" i="1"/>
  <c r="U934" i="1"/>
  <c r="Q933" i="1"/>
  <c r="U933" i="1"/>
  <c r="Q932" i="1"/>
  <c r="U932" i="1"/>
  <c r="Q931" i="1"/>
  <c r="U931" i="1"/>
  <c r="Q930" i="1"/>
  <c r="U930" i="1"/>
  <c r="Q929" i="1"/>
  <c r="U929" i="1"/>
  <c r="Q928" i="1"/>
  <c r="U928" i="1"/>
  <c r="Q927" i="1"/>
  <c r="U927" i="1"/>
  <c r="Q924" i="1"/>
  <c r="U924" i="1"/>
  <c r="Q921" i="1"/>
  <c r="U921" i="1"/>
  <c r="Q919" i="1"/>
  <c r="U919" i="1"/>
  <c r="Q918" i="1"/>
  <c r="U918" i="1"/>
  <c r="Q917" i="1"/>
  <c r="U917" i="1"/>
  <c r="Q915" i="1"/>
  <c r="U915" i="1"/>
  <c r="Q914" i="1"/>
  <c r="U914" i="1"/>
  <c r="Q913" i="1"/>
  <c r="U913" i="1"/>
  <c r="Q912" i="1"/>
  <c r="U912" i="1"/>
  <c r="Q911" i="1"/>
  <c r="U911" i="1"/>
  <c r="Q910" i="1"/>
  <c r="U910" i="1"/>
  <c r="Q909" i="1"/>
  <c r="U909" i="1"/>
  <c r="Q908" i="1"/>
  <c r="U908" i="1"/>
  <c r="Q835" i="1"/>
  <c r="U835" i="1"/>
  <c r="Q834" i="1"/>
  <c r="U834" i="1"/>
  <c r="E770" i="1"/>
  <c r="Q790" i="1"/>
  <c r="U790" i="1"/>
  <c r="Q853" i="1"/>
  <c r="U853" i="1"/>
  <c r="Q789" i="1"/>
  <c r="U789" i="1"/>
  <c r="Q855" i="1"/>
  <c r="U855" i="1"/>
  <c r="U856" i="1"/>
  <c r="Q856" i="1"/>
  <c r="I899" i="1"/>
  <c r="E899" i="1"/>
  <c r="I897" i="1"/>
  <c r="E897" i="1"/>
  <c r="U896" i="1"/>
  <c r="Q896" i="1"/>
  <c r="I896" i="1"/>
  <c r="E896" i="1"/>
  <c r="I895" i="1"/>
  <c r="E895" i="1"/>
  <c r="U894" i="1"/>
  <c r="Q894" i="1"/>
  <c r="I894" i="1"/>
  <c r="E894" i="1"/>
  <c r="U893" i="1"/>
  <c r="Q893" i="1"/>
  <c r="I893" i="1"/>
  <c r="E893" i="1"/>
  <c r="U892" i="1"/>
  <c r="Q892" i="1"/>
  <c r="I892" i="1"/>
  <c r="E892" i="1"/>
  <c r="U891" i="1"/>
  <c r="Q891" i="1"/>
  <c r="I891" i="1"/>
  <c r="E891" i="1"/>
  <c r="U890" i="1"/>
  <c r="Q890" i="1"/>
  <c r="I890" i="1"/>
  <c r="E890" i="1"/>
  <c r="U889" i="1"/>
  <c r="Q889" i="1"/>
  <c r="I889" i="1"/>
  <c r="E889" i="1"/>
  <c r="U888" i="1"/>
  <c r="Q888" i="1"/>
  <c r="I888" i="1"/>
  <c r="E888" i="1"/>
  <c r="U887" i="1"/>
  <c r="Q887" i="1"/>
  <c r="I887" i="1"/>
  <c r="E887" i="1"/>
  <c r="U886" i="1"/>
  <c r="Q886" i="1"/>
  <c r="I886" i="1"/>
  <c r="E886" i="1"/>
  <c r="U885" i="1"/>
  <c r="Q885" i="1"/>
  <c r="I885" i="1"/>
  <c r="E885" i="1"/>
  <c r="U884" i="1"/>
  <c r="Q884" i="1"/>
  <c r="I884" i="1"/>
  <c r="E884" i="1"/>
  <c r="U883" i="1"/>
  <c r="Q883" i="1"/>
  <c r="I883" i="1"/>
  <c r="E883" i="1"/>
  <c r="U882" i="1"/>
  <c r="Q882" i="1"/>
  <c r="I882" i="1"/>
  <c r="E882" i="1"/>
  <c r="U881" i="1"/>
  <c r="Q881" i="1"/>
  <c r="I881" i="1"/>
  <c r="E881" i="1"/>
  <c r="U880" i="1"/>
  <c r="Q880" i="1"/>
  <c r="I880" i="1"/>
  <c r="E880" i="1"/>
  <c r="U879" i="1"/>
  <c r="Q879" i="1"/>
  <c r="I879" i="1"/>
  <c r="E879" i="1"/>
  <c r="U878" i="1"/>
  <c r="Q878" i="1"/>
  <c r="I878" i="1"/>
  <c r="E878" i="1"/>
  <c r="U877" i="1"/>
  <c r="Q877" i="1"/>
  <c r="I877" i="1"/>
  <c r="E877" i="1"/>
  <c r="U876" i="1"/>
  <c r="Q876" i="1"/>
  <c r="I876" i="1"/>
  <c r="E876" i="1"/>
  <c r="I875" i="1"/>
  <c r="E875" i="1"/>
  <c r="I874" i="1"/>
  <c r="E874" i="1"/>
  <c r="U872" i="1"/>
  <c r="Q872" i="1"/>
  <c r="U871" i="1"/>
  <c r="Q871" i="1"/>
  <c r="I871" i="1"/>
  <c r="E871" i="1"/>
  <c r="U870" i="1"/>
  <c r="Q870" i="1"/>
  <c r="I870" i="1"/>
  <c r="E870" i="1"/>
  <c r="U869" i="1"/>
  <c r="Q869" i="1"/>
  <c r="I869" i="1"/>
  <c r="E869" i="1"/>
  <c r="U868" i="1"/>
  <c r="Q868" i="1"/>
  <c r="I868" i="1"/>
  <c r="E868" i="1"/>
  <c r="U867" i="1"/>
  <c r="Q867" i="1"/>
  <c r="I867" i="1"/>
  <c r="E867" i="1"/>
  <c r="U866" i="1"/>
  <c r="Q866" i="1"/>
  <c r="I866" i="1"/>
  <c r="E866" i="1"/>
  <c r="U865" i="1"/>
  <c r="Q865" i="1"/>
  <c r="I865" i="1"/>
  <c r="E865" i="1"/>
  <c r="U813" i="1"/>
  <c r="Q813" i="1"/>
  <c r="U788" i="1"/>
  <c r="Q788" i="1"/>
  <c r="U812" i="1"/>
  <c r="Q812" i="1"/>
  <c r="Q769" i="1"/>
  <c r="U769" i="1"/>
  <c r="Q770" i="1"/>
  <c r="U770" i="1"/>
  <c r="U779" i="1"/>
  <c r="Q779" i="1"/>
  <c r="I856" i="1"/>
  <c r="E856" i="1"/>
  <c r="I855" i="1"/>
  <c r="E855" i="1"/>
  <c r="U854" i="1"/>
  <c r="Q854" i="1"/>
  <c r="I854" i="1"/>
  <c r="E854" i="1"/>
  <c r="I853" i="1"/>
  <c r="E853" i="1"/>
  <c r="U852" i="1"/>
  <c r="Q852" i="1"/>
  <c r="I852" i="1"/>
  <c r="E852" i="1"/>
  <c r="I851" i="1"/>
  <c r="E851" i="1"/>
  <c r="U850" i="1"/>
  <c r="Q850" i="1"/>
  <c r="I850" i="1"/>
  <c r="E850" i="1"/>
  <c r="I849" i="1"/>
  <c r="U848" i="1"/>
  <c r="Q848" i="1"/>
  <c r="I848" i="1"/>
  <c r="E848" i="1"/>
  <c r="U847" i="1"/>
  <c r="Q847" i="1"/>
  <c r="I847" i="1"/>
  <c r="E847" i="1"/>
  <c r="U846" i="1"/>
  <c r="Q846" i="1"/>
  <c r="I846" i="1"/>
  <c r="E846" i="1"/>
  <c r="U845" i="1"/>
  <c r="Q845" i="1"/>
  <c r="I845" i="1"/>
  <c r="E845" i="1"/>
  <c r="I844" i="1"/>
  <c r="E844" i="1"/>
  <c r="U843" i="1"/>
  <c r="Q843" i="1"/>
  <c r="I843" i="1"/>
  <c r="E843" i="1"/>
  <c r="U842" i="1"/>
  <c r="Q842" i="1"/>
  <c r="I842" i="1"/>
  <c r="E842" i="1"/>
  <c r="I841" i="1"/>
  <c r="E841" i="1"/>
  <c r="U840" i="1"/>
  <c r="Q840" i="1"/>
  <c r="I840" i="1"/>
  <c r="E840" i="1"/>
  <c r="U839" i="1"/>
  <c r="Q839" i="1"/>
  <c r="I839" i="1"/>
  <c r="E839" i="1"/>
  <c r="U838" i="1"/>
  <c r="Q838" i="1"/>
  <c r="I838" i="1"/>
  <c r="E838" i="1"/>
  <c r="U837" i="1"/>
  <c r="Q837" i="1"/>
  <c r="I837" i="1"/>
  <c r="E837" i="1"/>
  <c r="U836" i="1"/>
  <c r="Q836" i="1"/>
  <c r="I836" i="1"/>
  <c r="E836" i="1"/>
  <c r="I835" i="1"/>
  <c r="I834" i="1"/>
  <c r="E834" i="1"/>
  <c r="U833" i="1"/>
  <c r="Q833" i="1"/>
  <c r="I833" i="1"/>
  <c r="E833" i="1"/>
  <c r="U832" i="1"/>
  <c r="Q832" i="1"/>
  <c r="I832" i="1"/>
  <c r="E832" i="1"/>
  <c r="U831" i="1"/>
  <c r="Q831" i="1"/>
  <c r="I831" i="1"/>
  <c r="E831" i="1"/>
  <c r="U829" i="1"/>
  <c r="Q829" i="1"/>
  <c r="I829" i="1"/>
  <c r="E829" i="1"/>
  <c r="U828" i="1"/>
  <c r="Q828" i="1"/>
  <c r="I828" i="1"/>
  <c r="E828" i="1"/>
  <c r="U827" i="1"/>
  <c r="Q827" i="1"/>
  <c r="I827" i="1"/>
  <c r="E827" i="1"/>
  <c r="U826" i="1"/>
  <c r="Q826" i="1"/>
  <c r="I826" i="1"/>
  <c r="E826" i="1"/>
  <c r="U825" i="1"/>
  <c r="Q825" i="1"/>
  <c r="I825" i="1"/>
  <c r="E825" i="1"/>
  <c r="U824" i="1"/>
  <c r="Q824" i="1"/>
  <c r="I824" i="1"/>
  <c r="E824" i="1"/>
  <c r="U823" i="1"/>
  <c r="Q823" i="1"/>
  <c r="I823" i="1"/>
  <c r="E823" i="1"/>
  <c r="U822" i="1"/>
  <c r="Q822" i="1"/>
  <c r="I822" i="1"/>
  <c r="E822" i="1"/>
  <c r="Q780" i="1"/>
  <c r="U780" i="1"/>
  <c r="Q781" i="1"/>
  <c r="U781" i="1"/>
  <c r="Q782" i="1"/>
  <c r="U782" i="1"/>
  <c r="E781" i="1"/>
  <c r="I781" i="1"/>
  <c r="E782" i="1"/>
  <c r="I782" i="1"/>
  <c r="E783" i="1"/>
  <c r="I783" i="1"/>
  <c r="E784" i="1"/>
  <c r="I784" i="1"/>
  <c r="E785" i="1"/>
  <c r="I785" i="1"/>
  <c r="E786" i="1"/>
  <c r="I786" i="1"/>
  <c r="E779" i="1"/>
  <c r="I779" i="1"/>
  <c r="E780" i="1"/>
  <c r="I780" i="1"/>
  <c r="I813" i="1"/>
  <c r="E813" i="1"/>
  <c r="I812" i="1"/>
  <c r="E812" i="1"/>
  <c r="U811" i="1"/>
  <c r="Q811" i="1"/>
  <c r="I811" i="1"/>
  <c r="E811" i="1"/>
  <c r="U810" i="1"/>
  <c r="Q810" i="1"/>
  <c r="I810" i="1"/>
  <c r="E810" i="1"/>
  <c r="U809" i="1"/>
  <c r="Q809" i="1"/>
  <c r="I809" i="1"/>
  <c r="E809" i="1"/>
  <c r="U808" i="1"/>
  <c r="Q808" i="1"/>
  <c r="I808" i="1"/>
  <c r="E808" i="1"/>
  <c r="U807" i="1"/>
  <c r="Q807" i="1"/>
  <c r="I807" i="1"/>
  <c r="E807" i="1"/>
  <c r="U806" i="1"/>
  <c r="Q806" i="1"/>
  <c r="I806" i="1"/>
  <c r="E806" i="1"/>
  <c r="U805" i="1"/>
  <c r="Q805" i="1"/>
  <c r="I805" i="1"/>
  <c r="E805" i="1"/>
  <c r="U804" i="1"/>
  <c r="Q804" i="1"/>
  <c r="I804" i="1"/>
  <c r="E804" i="1"/>
  <c r="U803" i="1"/>
  <c r="Q803" i="1"/>
  <c r="I803" i="1"/>
  <c r="E803" i="1"/>
  <c r="U802" i="1"/>
  <c r="Q802" i="1"/>
  <c r="I802" i="1"/>
  <c r="E802" i="1"/>
  <c r="U801" i="1"/>
  <c r="Q801" i="1"/>
  <c r="I801" i="1"/>
  <c r="E801" i="1"/>
  <c r="U800" i="1"/>
  <c r="Q800" i="1"/>
  <c r="I800" i="1"/>
  <c r="E800" i="1"/>
  <c r="U799" i="1"/>
  <c r="Q799" i="1"/>
  <c r="I799" i="1"/>
  <c r="E799" i="1"/>
  <c r="U798" i="1"/>
  <c r="Q798" i="1"/>
  <c r="I798" i="1"/>
  <c r="E798" i="1"/>
  <c r="U797" i="1"/>
  <c r="Q797" i="1"/>
  <c r="I797" i="1"/>
  <c r="E797" i="1"/>
  <c r="U796" i="1"/>
  <c r="Q796" i="1"/>
  <c r="E796" i="1"/>
  <c r="U795" i="1"/>
  <c r="Q795" i="1"/>
  <c r="I795" i="1"/>
  <c r="E795" i="1"/>
  <c r="U794" i="1"/>
  <c r="Q794" i="1"/>
  <c r="I794" i="1"/>
  <c r="E794" i="1"/>
  <c r="U793" i="1"/>
  <c r="Q793" i="1"/>
  <c r="I793" i="1"/>
  <c r="E793" i="1"/>
  <c r="U792" i="1"/>
  <c r="Q792" i="1"/>
  <c r="I792" i="1"/>
  <c r="E792" i="1"/>
  <c r="U791" i="1"/>
  <c r="Q791" i="1"/>
  <c r="I791" i="1"/>
  <c r="E791" i="1"/>
  <c r="I790" i="1"/>
  <c r="E790" i="1"/>
  <c r="I789" i="1"/>
  <c r="E789" i="1"/>
  <c r="I788" i="1"/>
  <c r="E788" i="1"/>
  <c r="U786" i="1"/>
  <c r="Q786" i="1"/>
  <c r="U785" i="1"/>
  <c r="Q785" i="1"/>
  <c r="U784" i="1"/>
  <c r="Q784" i="1"/>
  <c r="U783" i="1"/>
  <c r="Q783" i="1"/>
  <c r="U739" i="1"/>
  <c r="Q739" i="1"/>
  <c r="U751" i="1"/>
  <c r="Q751" i="1"/>
  <c r="I796" i="1"/>
  <c r="E750" i="1"/>
  <c r="I750" i="1"/>
  <c r="U746" i="1"/>
  <c r="Q746" i="1"/>
  <c r="U745" i="1"/>
  <c r="Q745" i="1"/>
  <c r="U736" i="1"/>
  <c r="Q736" i="1"/>
  <c r="Q766" i="1"/>
  <c r="U766" i="1"/>
  <c r="Q767" i="1"/>
  <c r="U767" i="1"/>
  <c r="Q768" i="1"/>
  <c r="U768" i="1"/>
  <c r="E745" i="1"/>
  <c r="I745" i="1"/>
  <c r="E746" i="1"/>
  <c r="I746" i="1"/>
  <c r="E747" i="1"/>
  <c r="I747" i="1"/>
  <c r="E748" i="1"/>
  <c r="I748" i="1"/>
  <c r="E751" i="1"/>
  <c r="I751" i="1"/>
  <c r="E752" i="1"/>
  <c r="I752" i="1"/>
  <c r="E753" i="1"/>
  <c r="E754" i="1"/>
  <c r="I754" i="1"/>
  <c r="E755" i="1"/>
  <c r="I755" i="1"/>
  <c r="E756" i="1"/>
  <c r="I756" i="1"/>
  <c r="E757" i="1"/>
  <c r="I757" i="1"/>
  <c r="E758" i="1"/>
  <c r="I758" i="1"/>
  <c r="E759" i="1"/>
  <c r="I759" i="1"/>
  <c r="E760" i="1"/>
  <c r="I760" i="1"/>
  <c r="E761" i="1"/>
  <c r="I761" i="1"/>
  <c r="E762" i="1"/>
  <c r="I762" i="1"/>
  <c r="E763" i="1"/>
  <c r="I763" i="1"/>
  <c r="E764" i="1"/>
  <c r="I764" i="1"/>
  <c r="E765" i="1"/>
  <c r="I765" i="1"/>
  <c r="E766" i="1"/>
  <c r="I766" i="1"/>
  <c r="E767" i="1"/>
  <c r="I767" i="1"/>
  <c r="E768" i="1"/>
  <c r="I768" i="1"/>
  <c r="E769" i="1"/>
  <c r="I769" i="1"/>
  <c r="I770" i="1"/>
  <c r="U765" i="1"/>
  <c r="Q765" i="1"/>
  <c r="U764" i="1"/>
  <c r="Q764" i="1"/>
  <c r="U763" i="1"/>
  <c r="Q763" i="1"/>
  <c r="U762" i="1"/>
  <c r="Q762" i="1"/>
  <c r="U761" i="1"/>
  <c r="Q761" i="1"/>
  <c r="U760" i="1"/>
  <c r="Q760" i="1"/>
  <c r="U759" i="1"/>
  <c r="Q759" i="1"/>
  <c r="U758" i="1"/>
  <c r="Q758" i="1"/>
  <c r="U757" i="1"/>
  <c r="Q757" i="1"/>
  <c r="U756" i="1"/>
  <c r="Q756" i="1"/>
  <c r="U755" i="1"/>
  <c r="Q755" i="1"/>
  <c r="U754" i="1"/>
  <c r="Q754" i="1"/>
  <c r="U753" i="1"/>
  <c r="Q753" i="1"/>
  <c r="U752" i="1"/>
  <c r="Q752" i="1"/>
  <c r="U750" i="1"/>
  <c r="Q750" i="1"/>
  <c r="U749" i="1"/>
  <c r="Q749" i="1"/>
  <c r="U748" i="1"/>
  <c r="Q748" i="1"/>
  <c r="U747" i="1"/>
  <c r="Q747" i="1"/>
  <c r="U743" i="1"/>
  <c r="Q743" i="1"/>
  <c r="I743" i="1"/>
  <c r="E743" i="1"/>
  <c r="U742" i="1"/>
  <c r="Q742" i="1"/>
  <c r="I742" i="1"/>
  <c r="E742" i="1"/>
  <c r="U741" i="1"/>
  <c r="Q741" i="1"/>
  <c r="I741" i="1"/>
  <c r="E741" i="1"/>
  <c r="U740" i="1"/>
  <c r="Q740" i="1"/>
  <c r="I740" i="1"/>
  <c r="E740" i="1"/>
  <c r="I739" i="1"/>
  <c r="E739" i="1"/>
  <c r="U738" i="1"/>
  <c r="Q738" i="1"/>
  <c r="I738" i="1"/>
  <c r="E738" i="1"/>
  <c r="U737" i="1"/>
  <c r="Q737" i="1"/>
  <c r="I737" i="1"/>
  <c r="E737" i="1"/>
  <c r="I736" i="1"/>
  <c r="E736" i="1"/>
  <c r="U693" i="1"/>
  <c r="Q693" i="1"/>
  <c r="U711" i="1"/>
  <c r="Q711" i="1"/>
  <c r="U710" i="1"/>
  <c r="Q710" i="1"/>
  <c r="E710" i="1"/>
  <c r="I710" i="1"/>
  <c r="I709" i="1"/>
  <c r="E709" i="1"/>
  <c r="I708" i="1"/>
  <c r="E708" i="1"/>
  <c r="I707" i="1"/>
  <c r="E707" i="1"/>
  <c r="I706" i="1"/>
  <c r="E706" i="1"/>
  <c r="U707" i="1"/>
  <c r="Q707" i="1"/>
  <c r="Q708" i="1"/>
  <c r="U708" i="1"/>
  <c r="Q709" i="1"/>
  <c r="U709" i="1"/>
  <c r="U706" i="1"/>
  <c r="Q706" i="1"/>
  <c r="U668" i="1"/>
  <c r="Q668" i="1"/>
  <c r="U723" i="1"/>
  <c r="Q723" i="1"/>
  <c r="I654" i="1"/>
  <c r="E654" i="1"/>
  <c r="U665" i="1"/>
  <c r="Q665" i="1"/>
  <c r="U681" i="1"/>
  <c r="Q681" i="1"/>
  <c r="I665" i="1"/>
  <c r="E665" i="1"/>
  <c r="I663" i="1"/>
  <c r="E663" i="1"/>
  <c r="I662" i="1"/>
  <c r="U662" i="1"/>
  <c r="Q662" i="1"/>
  <c r="U659" i="1"/>
  <c r="Q659" i="1"/>
  <c r="I727" i="1"/>
  <c r="E727" i="1"/>
  <c r="I726" i="1"/>
  <c r="E726" i="1"/>
  <c r="I725" i="1"/>
  <c r="E725" i="1"/>
  <c r="I724" i="1"/>
  <c r="E724" i="1"/>
  <c r="I723" i="1"/>
  <c r="E723" i="1"/>
  <c r="I722" i="1"/>
  <c r="E722" i="1"/>
  <c r="I721" i="1"/>
  <c r="E721" i="1"/>
  <c r="I720" i="1"/>
  <c r="E720" i="1"/>
  <c r="I719" i="1"/>
  <c r="E719" i="1"/>
  <c r="I718" i="1"/>
  <c r="E718" i="1"/>
  <c r="I717" i="1"/>
  <c r="I716" i="1"/>
  <c r="E716" i="1"/>
  <c r="I715" i="1"/>
  <c r="E715" i="1"/>
  <c r="I714" i="1"/>
  <c r="E714" i="1"/>
  <c r="I713" i="1"/>
  <c r="E713" i="1"/>
  <c r="I712" i="1"/>
  <c r="I711" i="1"/>
  <c r="E711" i="1"/>
  <c r="E705" i="1"/>
  <c r="I704" i="1"/>
  <c r="E704" i="1"/>
  <c r="I703" i="1"/>
  <c r="E703" i="1"/>
  <c r="I702" i="1"/>
  <c r="E702" i="1"/>
  <c r="I700" i="1"/>
  <c r="E700" i="1"/>
  <c r="I699" i="1"/>
  <c r="E699" i="1"/>
  <c r="I698" i="1"/>
  <c r="E698" i="1"/>
  <c r="I697" i="1"/>
  <c r="E697" i="1"/>
  <c r="I696" i="1"/>
  <c r="E696" i="1"/>
  <c r="I695" i="1"/>
  <c r="E695" i="1"/>
  <c r="I694" i="1"/>
  <c r="E694" i="1"/>
  <c r="I693" i="1"/>
  <c r="E693" i="1"/>
  <c r="U684" i="1"/>
  <c r="Q684" i="1"/>
  <c r="U683" i="1"/>
  <c r="Q683" i="1"/>
  <c r="U682" i="1"/>
  <c r="Q682" i="1"/>
  <c r="U727" i="1"/>
  <c r="Q727" i="1"/>
  <c r="U726" i="1"/>
  <c r="Q726" i="1"/>
  <c r="U725" i="1"/>
  <c r="Q725" i="1"/>
  <c r="U724" i="1"/>
  <c r="Q724" i="1"/>
  <c r="U722" i="1"/>
  <c r="Q722" i="1"/>
  <c r="U721" i="1"/>
  <c r="Q721" i="1"/>
  <c r="U720" i="1"/>
  <c r="Q720" i="1"/>
  <c r="U719" i="1"/>
  <c r="Q719" i="1"/>
  <c r="U718" i="1"/>
  <c r="Q718" i="1"/>
  <c r="U717" i="1"/>
  <c r="Q717" i="1"/>
  <c r="U716" i="1"/>
  <c r="Q716" i="1"/>
  <c r="U715" i="1"/>
  <c r="Q715" i="1"/>
  <c r="U714" i="1"/>
  <c r="Q714" i="1"/>
  <c r="U713" i="1"/>
  <c r="Q713" i="1"/>
  <c r="U712" i="1"/>
  <c r="Q712" i="1"/>
  <c r="U705" i="1"/>
  <c r="Q705" i="1"/>
  <c r="U704" i="1"/>
  <c r="Q704" i="1"/>
  <c r="U703" i="1"/>
  <c r="Q703" i="1"/>
  <c r="U702" i="1"/>
  <c r="Q702" i="1"/>
  <c r="U700" i="1"/>
  <c r="Q700" i="1"/>
  <c r="U699" i="1"/>
  <c r="Q699" i="1"/>
  <c r="U698" i="1"/>
  <c r="Q698" i="1"/>
  <c r="U697" i="1"/>
  <c r="Q697" i="1"/>
  <c r="U696" i="1"/>
  <c r="Q696" i="1"/>
  <c r="U695" i="1"/>
  <c r="Q695" i="1"/>
  <c r="U694" i="1"/>
  <c r="Q694" i="1"/>
  <c r="U621" i="1"/>
  <c r="Q621" i="1"/>
  <c r="U618" i="1"/>
  <c r="Q618" i="1"/>
  <c r="U678" i="1"/>
  <c r="Q678" i="1"/>
  <c r="Q679" i="1"/>
  <c r="U679" i="1"/>
  <c r="Q680" i="1"/>
  <c r="U680" i="1"/>
  <c r="U677" i="1"/>
  <c r="Q677" i="1"/>
  <c r="I684" i="1"/>
  <c r="E684" i="1"/>
  <c r="I683" i="1"/>
  <c r="I681" i="1"/>
  <c r="E681" i="1"/>
  <c r="I680" i="1"/>
  <c r="E680" i="1"/>
  <c r="E679" i="1"/>
  <c r="I678" i="1"/>
  <c r="E678" i="1"/>
  <c r="E677" i="1"/>
  <c r="I676" i="1"/>
  <c r="E676" i="1"/>
  <c r="I675" i="1"/>
  <c r="E675" i="1"/>
  <c r="I674" i="1"/>
  <c r="E674" i="1"/>
  <c r="I673" i="1"/>
  <c r="E673" i="1"/>
  <c r="I671" i="1"/>
  <c r="E671" i="1"/>
  <c r="I670" i="1"/>
  <c r="E670" i="1"/>
  <c r="I669" i="1"/>
  <c r="E669" i="1"/>
  <c r="I668" i="1"/>
  <c r="E668" i="1"/>
  <c r="I667" i="1"/>
  <c r="E667" i="1"/>
  <c r="E661" i="1"/>
  <c r="I659" i="1"/>
  <c r="E659" i="1"/>
  <c r="I657" i="1"/>
  <c r="E657" i="1"/>
  <c r="I656" i="1"/>
  <c r="E656" i="1"/>
  <c r="I655" i="1"/>
  <c r="E655" i="1"/>
  <c r="I653" i="1"/>
  <c r="E653" i="1"/>
  <c r="I652" i="1"/>
  <c r="E652" i="1"/>
  <c r="I651" i="1"/>
  <c r="E651" i="1"/>
  <c r="I650" i="1"/>
  <c r="E650" i="1"/>
  <c r="U641" i="1"/>
  <c r="Q641" i="1"/>
  <c r="U676" i="1"/>
  <c r="Q676" i="1"/>
  <c r="U675" i="1"/>
  <c r="Q675" i="1"/>
  <c r="U674" i="1"/>
  <c r="Q674" i="1"/>
  <c r="U673" i="1"/>
  <c r="Q673" i="1"/>
  <c r="U672" i="1"/>
  <c r="Q672" i="1"/>
  <c r="U671" i="1"/>
  <c r="Q671" i="1"/>
  <c r="U670" i="1"/>
  <c r="Q670" i="1"/>
  <c r="U669" i="1"/>
  <c r="Q669" i="1"/>
  <c r="U667" i="1"/>
  <c r="Q667" i="1"/>
  <c r="U666" i="1"/>
  <c r="Q666" i="1"/>
  <c r="U664" i="1"/>
  <c r="Q664" i="1"/>
  <c r="U663" i="1"/>
  <c r="Q663" i="1"/>
  <c r="U661" i="1"/>
  <c r="Q661" i="1"/>
  <c r="U660" i="1"/>
  <c r="Q660" i="1"/>
  <c r="U657" i="1"/>
  <c r="Q657" i="1"/>
  <c r="U656" i="1"/>
  <c r="Q656" i="1"/>
  <c r="U655" i="1"/>
  <c r="Q655" i="1"/>
  <c r="U654" i="1"/>
  <c r="Q654" i="1"/>
  <c r="U653" i="1"/>
  <c r="Q653" i="1"/>
  <c r="U652" i="1"/>
  <c r="Q652" i="1"/>
  <c r="U651" i="1"/>
  <c r="Q651" i="1"/>
  <c r="U650" i="1"/>
  <c r="Q650" i="1"/>
  <c r="U617" i="1"/>
  <c r="Q617" i="1"/>
  <c r="E527" i="1"/>
  <c r="E528" i="1"/>
  <c r="E598" i="1"/>
  <c r="E597" i="1"/>
  <c r="U616" i="1"/>
  <c r="Q616" i="1"/>
  <c r="E587" i="1"/>
  <c r="E588" i="1"/>
  <c r="U578" i="1"/>
  <c r="Q578" i="1"/>
  <c r="U577" i="1"/>
  <c r="Q577" i="1"/>
  <c r="U598" i="1"/>
  <c r="Q598" i="1"/>
  <c r="U597" i="1"/>
  <c r="Q597" i="1"/>
  <c r="I641" i="1"/>
  <c r="E641" i="1"/>
  <c r="U640" i="1"/>
  <c r="Q640" i="1"/>
  <c r="U639" i="1"/>
  <c r="Q639" i="1"/>
  <c r="I639" i="1"/>
  <c r="E639" i="1"/>
  <c r="U638" i="1"/>
  <c r="Q638" i="1"/>
  <c r="E638" i="1"/>
  <c r="U637" i="1"/>
  <c r="Q637" i="1"/>
  <c r="I637" i="1"/>
  <c r="E637" i="1"/>
  <c r="U636" i="1"/>
  <c r="Q636" i="1"/>
  <c r="I636" i="1"/>
  <c r="E636" i="1"/>
  <c r="U634" i="1"/>
  <c r="Q634" i="1"/>
  <c r="I634" i="1"/>
  <c r="E634" i="1"/>
  <c r="U633" i="1"/>
  <c r="Q633" i="1"/>
  <c r="I633" i="1"/>
  <c r="E633" i="1"/>
  <c r="U632" i="1"/>
  <c r="Q632" i="1"/>
  <c r="I632" i="1"/>
  <c r="E632" i="1"/>
  <c r="U631" i="1"/>
  <c r="Q631" i="1"/>
  <c r="I631" i="1"/>
  <c r="E631" i="1"/>
  <c r="U630" i="1"/>
  <c r="Q630" i="1"/>
  <c r="U629" i="1"/>
  <c r="Q629" i="1"/>
  <c r="I629" i="1"/>
  <c r="E629" i="1"/>
  <c r="U628" i="1"/>
  <c r="Q628" i="1"/>
  <c r="I628" i="1"/>
  <c r="U627" i="1"/>
  <c r="Q627" i="1"/>
  <c r="I627" i="1"/>
  <c r="E627" i="1"/>
  <c r="U626" i="1"/>
  <c r="Q626" i="1"/>
  <c r="E626" i="1"/>
  <c r="U625" i="1"/>
  <c r="Q625" i="1"/>
  <c r="I625" i="1"/>
  <c r="E625" i="1"/>
  <c r="U624" i="1"/>
  <c r="Q624" i="1"/>
  <c r="I624" i="1"/>
  <c r="E624" i="1"/>
  <c r="U623" i="1"/>
  <c r="Q623" i="1"/>
  <c r="I623" i="1"/>
  <c r="E623" i="1"/>
  <c r="U622" i="1"/>
  <c r="Q622" i="1"/>
  <c r="I622" i="1"/>
  <c r="E622" i="1"/>
  <c r="I621" i="1"/>
  <c r="E621" i="1"/>
  <c r="U620" i="1"/>
  <c r="Q620" i="1"/>
  <c r="I620" i="1"/>
  <c r="E620" i="1"/>
  <c r="U619" i="1"/>
  <c r="Q619" i="1"/>
  <c r="I619" i="1"/>
  <c r="E619" i="1"/>
  <c r="I618" i="1"/>
  <c r="E618" i="1"/>
  <c r="I616" i="1"/>
  <c r="E616" i="1"/>
  <c r="U614" i="1"/>
  <c r="Q614" i="1"/>
  <c r="I614" i="1"/>
  <c r="E614" i="1"/>
  <c r="U613" i="1"/>
  <c r="Q613" i="1"/>
  <c r="I613" i="1"/>
  <c r="E613" i="1"/>
  <c r="U612" i="1"/>
  <c r="Q612" i="1"/>
  <c r="I612" i="1"/>
  <c r="E612" i="1"/>
  <c r="U611" i="1"/>
  <c r="Q611" i="1"/>
  <c r="I611" i="1"/>
  <c r="E611" i="1"/>
  <c r="U610" i="1"/>
  <c r="Q610" i="1"/>
  <c r="I610" i="1"/>
  <c r="E610" i="1"/>
  <c r="U609" i="1"/>
  <c r="Q609" i="1"/>
  <c r="I609" i="1"/>
  <c r="E609" i="1"/>
  <c r="U608" i="1"/>
  <c r="Q608" i="1"/>
  <c r="I608" i="1"/>
  <c r="E608" i="1"/>
  <c r="U607" i="1"/>
  <c r="Q607" i="1"/>
  <c r="I607" i="1"/>
  <c r="E607" i="1"/>
  <c r="Q596" i="1"/>
  <c r="U596" i="1"/>
  <c r="U635" i="1"/>
  <c r="Q635" i="1"/>
  <c r="U544" i="1"/>
  <c r="Q544" i="1"/>
  <c r="U535" i="1"/>
  <c r="Q535" i="1"/>
  <c r="I545" i="1"/>
  <c r="E545" i="1"/>
  <c r="I544" i="1"/>
  <c r="E544" i="1"/>
  <c r="I543" i="1"/>
  <c r="E543" i="1"/>
  <c r="I542" i="1"/>
  <c r="E542" i="1"/>
  <c r="I541" i="1"/>
  <c r="E541" i="1"/>
  <c r="I540" i="1"/>
  <c r="E540" i="1"/>
  <c r="I539" i="1"/>
  <c r="E539" i="1"/>
  <c r="I538" i="1"/>
  <c r="E538" i="1"/>
  <c r="I537" i="1"/>
  <c r="E537" i="1"/>
  <c r="I536" i="1"/>
  <c r="E536" i="1"/>
  <c r="I534" i="1"/>
  <c r="E534" i="1"/>
  <c r="U595" i="1"/>
  <c r="Q595" i="1"/>
  <c r="U594" i="1"/>
  <c r="Q594" i="1"/>
  <c r="U593" i="1"/>
  <c r="Q593" i="1"/>
  <c r="U554" i="1"/>
  <c r="Q554" i="1"/>
  <c r="U552" i="1"/>
  <c r="Q552" i="1"/>
  <c r="U551" i="1"/>
  <c r="Q551" i="1"/>
  <c r="U553" i="1"/>
  <c r="Q553" i="1"/>
  <c r="I598" i="1"/>
  <c r="I597" i="1"/>
  <c r="I596" i="1"/>
  <c r="E596" i="1"/>
  <c r="I595" i="1"/>
  <c r="E595" i="1"/>
  <c r="I593" i="1"/>
  <c r="E593" i="1"/>
  <c r="I592" i="1"/>
  <c r="E592" i="1"/>
  <c r="I591" i="1"/>
  <c r="E591" i="1"/>
  <c r="I590" i="1"/>
  <c r="E590" i="1"/>
  <c r="I589" i="1"/>
  <c r="E589" i="1"/>
  <c r="I588" i="1"/>
  <c r="I587" i="1"/>
  <c r="I586" i="1"/>
  <c r="E586" i="1"/>
  <c r="I585" i="1"/>
  <c r="E585" i="1"/>
  <c r="I584" i="1"/>
  <c r="E584" i="1"/>
  <c r="I583" i="1"/>
  <c r="E583" i="1"/>
  <c r="I582" i="1"/>
  <c r="E582" i="1"/>
  <c r="I581" i="1"/>
  <c r="E581" i="1"/>
  <c r="I580" i="1"/>
  <c r="E580" i="1"/>
  <c r="I579" i="1"/>
  <c r="E579" i="1"/>
  <c r="I578" i="1"/>
  <c r="E578" i="1"/>
  <c r="I576" i="1"/>
  <c r="E576" i="1"/>
  <c r="I575" i="1"/>
  <c r="E575" i="1"/>
  <c r="I574" i="1"/>
  <c r="E574" i="1"/>
  <c r="I573" i="1"/>
  <c r="E573" i="1"/>
  <c r="I571" i="1"/>
  <c r="E571" i="1"/>
  <c r="I570" i="1"/>
  <c r="E570" i="1"/>
  <c r="I569" i="1"/>
  <c r="E569" i="1"/>
  <c r="I568" i="1"/>
  <c r="E568" i="1"/>
  <c r="I567" i="1"/>
  <c r="E567" i="1"/>
  <c r="I566" i="1"/>
  <c r="E566" i="1"/>
  <c r="I565" i="1"/>
  <c r="E565" i="1"/>
  <c r="I564" i="1"/>
  <c r="E564" i="1"/>
  <c r="U592" i="1"/>
  <c r="Q592" i="1"/>
  <c r="U591" i="1"/>
  <c r="Q591" i="1"/>
  <c r="U590" i="1"/>
  <c r="Q590" i="1"/>
  <c r="U589" i="1"/>
  <c r="Q589" i="1"/>
  <c r="U588" i="1"/>
  <c r="Q588" i="1"/>
  <c r="U587" i="1"/>
  <c r="Q587" i="1"/>
  <c r="U586" i="1"/>
  <c r="Q586" i="1"/>
  <c r="U585" i="1"/>
  <c r="Q585" i="1"/>
  <c r="U584" i="1"/>
  <c r="Q584" i="1"/>
  <c r="U583" i="1"/>
  <c r="Q583" i="1"/>
  <c r="U582" i="1"/>
  <c r="Q582" i="1"/>
  <c r="U581" i="1"/>
  <c r="Q581" i="1"/>
  <c r="U580" i="1"/>
  <c r="Q580" i="1"/>
  <c r="U579" i="1"/>
  <c r="Q579" i="1"/>
  <c r="U576" i="1"/>
  <c r="Q576" i="1"/>
  <c r="U575" i="1"/>
  <c r="Q575" i="1"/>
  <c r="U574" i="1"/>
  <c r="Q574" i="1"/>
  <c r="U573" i="1"/>
  <c r="Q573" i="1"/>
  <c r="U571" i="1"/>
  <c r="Q571" i="1"/>
  <c r="U570" i="1"/>
  <c r="Q570" i="1"/>
  <c r="U569" i="1"/>
  <c r="Q569" i="1"/>
  <c r="U568" i="1"/>
  <c r="Q568" i="1"/>
  <c r="U567" i="1"/>
  <c r="Q567" i="1"/>
  <c r="U566" i="1"/>
  <c r="Q566" i="1"/>
  <c r="U565" i="1"/>
  <c r="Q565" i="1"/>
  <c r="U564" i="1"/>
  <c r="Q564" i="1"/>
  <c r="U494" i="1"/>
  <c r="Q494" i="1"/>
  <c r="U548" i="1"/>
  <c r="Q548" i="1"/>
  <c r="U492" i="1"/>
  <c r="Q492" i="1"/>
  <c r="U489" i="1"/>
  <c r="Q489" i="1"/>
  <c r="U487" i="1"/>
  <c r="Q487" i="1"/>
  <c r="AF556" i="1"/>
  <c r="AE556" i="1"/>
  <c r="AD556" i="1"/>
  <c r="AB556" i="1"/>
  <c r="AA556" i="1"/>
  <c r="Z556" i="1"/>
  <c r="AG555" i="1"/>
  <c r="AC555" i="1"/>
  <c r="U555" i="1"/>
  <c r="Q555" i="1"/>
  <c r="I555" i="1"/>
  <c r="E555" i="1"/>
  <c r="AG554" i="1"/>
  <c r="AC554" i="1"/>
  <c r="I554" i="1"/>
  <c r="E554" i="1"/>
  <c r="AG553" i="1"/>
  <c r="AC553" i="1"/>
  <c r="I553" i="1"/>
  <c r="E553" i="1"/>
  <c r="AG552" i="1"/>
  <c r="AC552" i="1"/>
  <c r="I552" i="1"/>
  <c r="E552" i="1"/>
  <c r="AG551" i="1"/>
  <c r="AC551" i="1"/>
  <c r="I551" i="1"/>
  <c r="AG550" i="1"/>
  <c r="AC550" i="1"/>
  <c r="U550" i="1"/>
  <c r="Q550" i="1"/>
  <c r="I550" i="1"/>
  <c r="E550" i="1"/>
  <c r="AG549" i="1"/>
  <c r="AC549" i="1"/>
  <c r="U549" i="1"/>
  <c r="Q549" i="1"/>
  <c r="I549" i="1"/>
  <c r="E549" i="1"/>
  <c r="AG548" i="1"/>
  <c r="AC548" i="1"/>
  <c r="I548" i="1"/>
  <c r="E548" i="1"/>
  <c r="AG547" i="1"/>
  <c r="AC547" i="1"/>
  <c r="U547" i="1"/>
  <c r="Q547" i="1"/>
  <c r="I547" i="1"/>
  <c r="E547" i="1"/>
  <c r="AG546" i="1"/>
  <c r="AC546" i="1"/>
  <c r="U546" i="1"/>
  <c r="Q546" i="1"/>
  <c r="AG545" i="1"/>
  <c r="AC545" i="1"/>
  <c r="U545" i="1"/>
  <c r="Q545" i="1"/>
  <c r="AG544" i="1"/>
  <c r="AC544" i="1"/>
  <c r="AG543" i="1"/>
  <c r="AC543" i="1"/>
  <c r="U543" i="1"/>
  <c r="Q543" i="1"/>
  <c r="AG542" i="1"/>
  <c r="AC542" i="1"/>
  <c r="U542" i="1"/>
  <c r="Q542" i="1"/>
  <c r="AG541" i="1"/>
  <c r="AC541" i="1"/>
  <c r="U541" i="1"/>
  <c r="Q541" i="1"/>
  <c r="AG540" i="1"/>
  <c r="AC540" i="1"/>
  <c r="U540" i="1"/>
  <c r="Q540" i="1"/>
  <c r="AG539" i="1"/>
  <c r="AC539" i="1"/>
  <c r="U539" i="1"/>
  <c r="Q539" i="1"/>
  <c r="AG538" i="1"/>
  <c r="AC538" i="1"/>
  <c r="U538" i="1"/>
  <c r="Q538" i="1"/>
  <c r="AG537" i="1"/>
  <c r="AC537" i="1"/>
  <c r="U537" i="1"/>
  <c r="Q537" i="1"/>
  <c r="AG536" i="1"/>
  <c r="AC536" i="1"/>
  <c r="U536" i="1"/>
  <c r="Q536" i="1"/>
  <c r="AG535" i="1"/>
  <c r="AC535" i="1"/>
  <c r="AG534" i="1"/>
  <c r="AC534" i="1"/>
  <c r="U534" i="1"/>
  <c r="Q534" i="1"/>
  <c r="AG533" i="1"/>
  <c r="AC533" i="1"/>
  <c r="U533" i="1"/>
  <c r="Q533" i="1"/>
  <c r="I533" i="1"/>
  <c r="E533" i="1"/>
  <c r="AG532" i="1"/>
  <c r="AC532" i="1"/>
  <c r="U532" i="1"/>
  <c r="Q532" i="1"/>
  <c r="I532" i="1"/>
  <c r="E532" i="1"/>
  <c r="AG531" i="1"/>
  <c r="AC531" i="1"/>
  <c r="U531" i="1"/>
  <c r="Q531" i="1"/>
  <c r="I531" i="1"/>
  <c r="E531" i="1"/>
  <c r="AG530" i="1"/>
  <c r="AC530" i="1"/>
  <c r="U530" i="1"/>
  <c r="Q530" i="1"/>
  <c r="I530" i="1"/>
  <c r="E530" i="1"/>
  <c r="AG528" i="1"/>
  <c r="AC528" i="1"/>
  <c r="U528" i="1"/>
  <c r="Q528" i="1"/>
  <c r="I528" i="1"/>
  <c r="AG527" i="1"/>
  <c r="AC527" i="1"/>
  <c r="U527" i="1"/>
  <c r="Q527" i="1"/>
  <c r="I527" i="1"/>
  <c r="AG526" i="1"/>
  <c r="AC526" i="1"/>
  <c r="U526" i="1"/>
  <c r="Q526" i="1"/>
  <c r="I526" i="1"/>
  <c r="E526" i="1"/>
  <c r="AG525" i="1"/>
  <c r="AC525" i="1"/>
  <c r="U525" i="1"/>
  <c r="Q525" i="1"/>
  <c r="I525" i="1"/>
  <c r="E525" i="1"/>
  <c r="AG524" i="1"/>
  <c r="AC524" i="1"/>
  <c r="U524" i="1"/>
  <c r="Q524" i="1"/>
  <c r="I524" i="1"/>
  <c r="E524" i="1"/>
  <c r="AG523" i="1"/>
  <c r="AC523" i="1"/>
  <c r="U523" i="1"/>
  <c r="Q523" i="1"/>
  <c r="I523" i="1"/>
  <c r="E523" i="1"/>
  <c r="AG522" i="1"/>
  <c r="AC522" i="1"/>
  <c r="U522" i="1"/>
  <c r="Q522" i="1"/>
  <c r="I522" i="1"/>
  <c r="E522" i="1"/>
  <c r="AG521" i="1"/>
  <c r="AC521" i="1"/>
  <c r="U521" i="1"/>
  <c r="Q521" i="1"/>
  <c r="I521" i="1"/>
  <c r="E521" i="1"/>
  <c r="U448" i="1"/>
  <c r="Q448" i="1"/>
  <c r="U446" i="1"/>
  <c r="Q446" i="1"/>
  <c r="U436" i="1"/>
  <c r="Q436" i="1"/>
  <c r="U445" i="1"/>
  <c r="Q445" i="1"/>
  <c r="U444" i="1"/>
  <c r="Q444" i="1"/>
  <c r="U435" i="1"/>
  <c r="Q435" i="1"/>
  <c r="U393" i="1"/>
  <c r="Q393" i="1"/>
  <c r="I414" i="1"/>
  <c r="E414" i="1"/>
  <c r="U415" i="1"/>
  <c r="Q415" i="1"/>
  <c r="U414" i="1"/>
  <c r="Q414" i="1"/>
  <c r="U426" i="1"/>
  <c r="Q426" i="1"/>
  <c r="U410" i="1"/>
  <c r="Q410" i="1"/>
  <c r="AF513" i="1"/>
  <c r="AE513" i="1"/>
  <c r="AD513" i="1"/>
  <c r="AB513" i="1"/>
  <c r="AA513" i="1"/>
  <c r="Z513" i="1"/>
  <c r="AG512" i="1"/>
  <c r="AC512" i="1"/>
  <c r="U512" i="1"/>
  <c r="Q512" i="1"/>
  <c r="I512" i="1"/>
  <c r="E512" i="1"/>
  <c r="AG511" i="1"/>
  <c r="AC511" i="1"/>
  <c r="U511" i="1"/>
  <c r="Q511" i="1"/>
  <c r="I511" i="1"/>
  <c r="E511" i="1"/>
  <c r="AG510" i="1"/>
  <c r="AC510" i="1"/>
  <c r="U510" i="1"/>
  <c r="Q510" i="1"/>
  <c r="I510" i="1"/>
  <c r="E510" i="1"/>
  <c r="AG509" i="1"/>
  <c r="AC509" i="1"/>
  <c r="U509" i="1"/>
  <c r="Q509" i="1"/>
  <c r="I509" i="1"/>
  <c r="E509" i="1"/>
  <c r="AG508" i="1"/>
  <c r="AC508" i="1"/>
  <c r="U508" i="1"/>
  <c r="Q508" i="1"/>
  <c r="I508" i="1"/>
  <c r="E508" i="1"/>
  <c r="AG507" i="1"/>
  <c r="AC507" i="1"/>
  <c r="U507" i="1"/>
  <c r="Q507" i="1"/>
  <c r="I507" i="1"/>
  <c r="E507" i="1"/>
  <c r="AG506" i="1"/>
  <c r="AC506" i="1"/>
  <c r="U506" i="1"/>
  <c r="Q506" i="1"/>
  <c r="I506" i="1"/>
  <c r="E506" i="1"/>
  <c r="AG505" i="1"/>
  <c r="AC505" i="1"/>
  <c r="U505" i="1"/>
  <c r="Q505" i="1"/>
  <c r="I505" i="1"/>
  <c r="E505" i="1"/>
  <c r="AG504" i="1"/>
  <c r="AC504" i="1"/>
  <c r="U504" i="1"/>
  <c r="Q504" i="1"/>
  <c r="I504" i="1"/>
  <c r="E504" i="1"/>
  <c r="AG503" i="1"/>
  <c r="AC503" i="1"/>
  <c r="U503" i="1"/>
  <c r="Q503" i="1"/>
  <c r="I503" i="1"/>
  <c r="E503" i="1"/>
  <c r="AG502" i="1"/>
  <c r="AC502" i="1"/>
  <c r="U502" i="1"/>
  <c r="Q502" i="1"/>
  <c r="I502" i="1"/>
  <c r="E502" i="1"/>
  <c r="AG501" i="1"/>
  <c r="AC501" i="1"/>
  <c r="U501" i="1"/>
  <c r="Q501" i="1"/>
  <c r="I501" i="1"/>
  <c r="E501" i="1"/>
  <c r="AG500" i="1"/>
  <c r="AC500" i="1"/>
  <c r="U500" i="1"/>
  <c r="Q500" i="1"/>
  <c r="I500" i="1"/>
  <c r="E500" i="1"/>
  <c r="AG499" i="1"/>
  <c r="AC499" i="1"/>
  <c r="U499" i="1"/>
  <c r="Q499" i="1"/>
  <c r="I499" i="1"/>
  <c r="E499" i="1"/>
  <c r="AG498" i="1"/>
  <c r="AC498" i="1"/>
  <c r="U498" i="1"/>
  <c r="Q498" i="1"/>
  <c r="I498" i="1"/>
  <c r="E498" i="1"/>
  <c r="AG497" i="1"/>
  <c r="AC497" i="1"/>
  <c r="U497" i="1"/>
  <c r="Q497" i="1"/>
  <c r="I497" i="1"/>
  <c r="E497" i="1"/>
  <c r="AG496" i="1"/>
  <c r="AC496" i="1"/>
  <c r="U496" i="1"/>
  <c r="Q496" i="1"/>
  <c r="I496" i="1"/>
  <c r="E496" i="1"/>
  <c r="AG495" i="1"/>
  <c r="AC495" i="1"/>
  <c r="U495" i="1"/>
  <c r="Q495" i="1"/>
  <c r="I495" i="1"/>
  <c r="E495" i="1"/>
  <c r="AG494" i="1"/>
  <c r="AC494" i="1"/>
  <c r="I494" i="1"/>
  <c r="E494" i="1"/>
  <c r="AG493" i="1"/>
  <c r="AC493" i="1"/>
  <c r="U493" i="1"/>
  <c r="Q493" i="1"/>
  <c r="I493" i="1"/>
  <c r="E493" i="1"/>
  <c r="AG492" i="1"/>
  <c r="AC492" i="1"/>
  <c r="I492" i="1"/>
  <c r="E492" i="1"/>
  <c r="AG491" i="1"/>
  <c r="AC491" i="1"/>
  <c r="U491" i="1"/>
  <c r="Q491" i="1"/>
  <c r="I491" i="1"/>
  <c r="E491" i="1"/>
  <c r="AG490" i="1"/>
  <c r="AC490" i="1"/>
  <c r="U490" i="1"/>
  <c r="Q490" i="1"/>
  <c r="I490" i="1"/>
  <c r="E490" i="1"/>
  <c r="AG489" i="1"/>
  <c r="AC489" i="1"/>
  <c r="I489" i="1"/>
  <c r="E489" i="1"/>
  <c r="AG488" i="1"/>
  <c r="AC488" i="1"/>
  <c r="U488" i="1"/>
  <c r="Q488" i="1"/>
  <c r="I488" i="1"/>
  <c r="E488" i="1"/>
  <c r="AG487" i="1"/>
  <c r="AC487" i="1"/>
  <c r="I487" i="1"/>
  <c r="E487" i="1"/>
  <c r="AG485" i="1"/>
  <c r="AC485" i="1"/>
  <c r="U485" i="1"/>
  <c r="Q485" i="1"/>
  <c r="I485" i="1"/>
  <c r="E485" i="1"/>
  <c r="AG484" i="1"/>
  <c r="AC484" i="1"/>
  <c r="U484" i="1"/>
  <c r="Q484" i="1"/>
  <c r="I484" i="1"/>
  <c r="E484" i="1"/>
  <c r="AG483" i="1"/>
  <c r="AC483" i="1"/>
  <c r="U483" i="1"/>
  <c r="Q483" i="1"/>
  <c r="I483" i="1"/>
  <c r="E483" i="1"/>
  <c r="AG482" i="1"/>
  <c r="AC482" i="1"/>
  <c r="U482" i="1"/>
  <c r="Q482" i="1"/>
  <c r="I482" i="1"/>
  <c r="E482" i="1"/>
  <c r="AG481" i="1"/>
  <c r="AC481" i="1"/>
  <c r="U481" i="1"/>
  <c r="Q481" i="1"/>
  <c r="I481" i="1"/>
  <c r="E481" i="1"/>
  <c r="AG480" i="1"/>
  <c r="AC480" i="1"/>
  <c r="U480" i="1"/>
  <c r="Q480" i="1"/>
  <c r="I480" i="1"/>
  <c r="E480" i="1"/>
  <c r="AG479" i="1"/>
  <c r="AC479" i="1"/>
  <c r="U479" i="1"/>
  <c r="Q479" i="1"/>
  <c r="I479" i="1"/>
  <c r="E479" i="1"/>
  <c r="AG478" i="1"/>
  <c r="AC478" i="1"/>
  <c r="U478" i="1"/>
  <c r="Q478" i="1"/>
  <c r="I478" i="1"/>
  <c r="E478" i="1"/>
  <c r="U405" i="1"/>
  <c r="Q405" i="1"/>
  <c r="Q380" i="1"/>
  <c r="U380" i="1"/>
  <c r="U379" i="1"/>
  <c r="Q379" i="1"/>
  <c r="U382" i="1"/>
  <c r="Q382" i="1"/>
  <c r="U425" i="1"/>
  <c r="Q425" i="1"/>
  <c r="U354" i="1"/>
  <c r="Q354" i="1"/>
  <c r="Q381" i="1"/>
  <c r="U381" i="1"/>
  <c r="U365" i="1"/>
  <c r="Q365" i="1"/>
  <c r="AF470" i="1"/>
  <c r="AD470" i="1"/>
  <c r="AE470" i="1"/>
  <c r="AB470" i="1"/>
  <c r="AA470" i="1"/>
  <c r="Z470" i="1"/>
  <c r="AG469" i="1"/>
  <c r="AC469" i="1"/>
  <c r="U469" i="1"/>
  <c r="Q469" i="1"/>
  <c r="I469" i="1"/>
  <c r="E469" i="1"/>
  <c r="AG468" i="1"/>
  <c r="AC468" i="1"/>
  <c r="U468" i="1"/>
  <c r="Q468" i="1"/>
  <c r="I468" i="1"/>
  <c r="E468" i="1"/>
  <c r="AG467" i="1"/>
  <c r="AC467" i="1"/>
  <c r="U467" i="1"/>
  <c r="Q467" i="1"/>
  <c r="I467" i="1"/>
  <c r="E467" i="1"/>
  <c r="AG466" i="1"/>
  <c r="AC466" i="1"/>
  <c r="U466" i="1"/>
  <c r="Q466" i="1"/>
  <c r="I466" i="1"/>
  <c r="E466" i="1"/>
  <c r="AG465" i="1"/>
  <c r="AC465" i="1"/>
  <c r="U465" i="1"/>
  <c r="Q465" i="1"/>
  <c r="I465" i="1"/>
  <c r="E465" i="1"/>
  <c r="AG464" i="1"/>
  <c r="AC464" i="1"/>
  <c r="U464" i="1"/>
  <c r="Q464" i="1"/>
  <c r="I464" i="1"/>
  <c r="E464" i="1"/>
  <c r="AG463" i="1"/>
  <c r="AC463" i="1"/>
  <c r="U463" i="1"/>
  <c r="Q463" i="1"/>
  <c r="I463" i="1"/>
  <c r="E463" i="1"/>
  <c r="AG462" i="1"/>
  <c r="AC462" i="1"/>
  <c r="U462" i="1"/>
  <c r="Q462" i="1"/>
  <c r="I462" i="1"/>
  <c r="E462" i="1"/>
  <c r="AG461" i="1"/>
  <c r="AC461" i="1"/>
  <c r="U461" i="1"/>
  <c r="Q461" i="1"/>
  <c r="I461" i="1"/>
  <c r="E461" i="1"/>
  <c r="AG460" i="1"/>
  <c r="AC460" i="1"/>
  <c r="U460" i="1"/>
  <c r="Q460" i="1"/>
  <c r="I460" i="1"/>
  <c r="E460" i="1"/>
  <c r="AG459" i="1"/>
  <c r="AC459" i="1"/>
  <c r="U459" i="1"/>
  <c r="Q459" i="1"/>
  <c r="I459" i="1"/>
  <c r="E459" i="1"/>
  <c r="AG458" i="1"/>
  <c r="AC458" i="1"/>
  <c r="U458" i="1"/>
  <c r="Q458" i="1"/>
  <c r="I458" i="1"/>
  <c r="E458" i="1"/>
  <c r="AG457" i="1"/>
  <c r="AC457" i="1"/>
  <c r="U457" i="1"/>
  <c r="Q457" i="1"/>
  <c r="I457" i="1"/>
  <c r="E457" i="1"/>
  <c r="AG456" i="1"/>
  <c r="AC456" i="1"/>
  <c r="U456" i="1"/>
  <c r="Q456" i="1"/>
  <c r="I456" i="1"/>
  <c r="E456" i="1"/>
  <c r="AG455" i="1"/>
  <c r="AC455" i="1"/>
  <c r="U455" i="1"/>
  <c r="Q455" i="1"/>
  <c r="I455" i="1"/>
  <c r="E455" i="1"/>
  <c r="AG454" i="1"/>
  <c r="AC454" i="1"/>
  <c r="U454" i="1"/>
  <c r="Q454" i="1"/>
  <c r="I454" i="1"/>
  <c r="E454" i="1"/>
  <c r="AG453" i="1"/>
  <c r="AC453" i="1"/>
  <c r="U453" i="1"/>
  <c r="Q453" i="1"/>
  <c r="I453" i="1"/>
  <c r="E453" i="1"/>
  <c r="AG452" i="1"/>
  <c r="AC452" i="1"/>
  <c r="U452" i="1"/>
  <c r="Q452" i="1"/>
  <c r="I452" i="1"/>
  <c r="E452" i="1"/>
  <c r="AG451" i="1"/>
  <c r="AC451" i="1"/>
  <c r="U451" i="1"/>
  <c r="Q451" i="1"/>
  <c r="I451" i="1"/>
  <c r="E451" i="1"/>
  <c r="AG450" i="1"/>
  <c r="AC450" i="1"/>
  <c r="U450" i="1"/>
  <c r="Q450" i="1"/>
  <c r="I450" i="1"/>
  <c r="E450" i="1"/>
  <c r="AG449" i="1"/>
  <c r="AC449" i="1"/>
  <c r="U449" i="1"/>
  <c r="Q449" i="1"/>
  <c r="I449" i="1"/>
  <c r="E449" i="1"/>
  <c r="AG448" i="1"/>
  <c r="AC448" i="1"/>
  <c r="I448" i="1"/>
  <c r="E448" i="1"/>
  <c r="AG447" i="1"/>
  <c r="AC447" i="1"/>
  <c r="U447" i="1"/>
  <c r="Q447" i="1"/>
  <c r="I447" i="1"/>
  <c r="E447" i="1"/>
  <c r="AG446" i="1"/>
  <c r="AC446" i="1"/>
  <c r="I446" i="1"/>
  <c r="E446" i="1"/>
  <c r="AG445" i="1"/>
  <c r="AC445" i="1"/>
  <c r="I445" i="1"/>
  <c r="AG444" i="1"/>
  <c r="AC444" i="1"/>
  <c r="I444" i="1"/>
  <c r="E444" i="1"/>
  <c r="AG442" i="1"/>
  <c r="AC442" i="1"/>
  <c r="U442" i="1"/>
  <c r="Q442" i="1"/>
  <c r="I442" i="1"/>
  <c r="E442" i="1"/>
  <c r="AG441" i="1"/>
  <c r="AC441" i="1"/>
  <c r="U441" i="1"/>
  <c r="Q441" i="1"/>
  <c r="I441" i="1"/>
  <c r="E441" i="1"/>
  <c r="AG440" i="1"/>
  <c r="AC440" i="1"/>
  <c r="U440" i="1"/>
  <c r="Q440" i="1"/>
  <c r="I440" i="1"/>
  <c r="E440" i="1"/>
  <c r="AG439" i="1"/>
  <c r="AC439" i="1"/>
  <c r="U439" i="1"/>
  <c r="Q439" i="1"/>
  <c r="I439" i="1"/>
  <c r="E439" i="1"/>
  <c r="AG438" i="1"/>
  <c r="AC438" i="1"/>
  <c r="U438" i="1"/>
  <c r="Q438" i="1"/>
  <c r="I438" i="1"/>
  <c r="E438" i="1"/>
  <c r="AG437" i="1"/>
  <c r="AC437" i="1"/>
  <c r="U437" i="1"/>
  <c r="Q437" i="1"/>
  <c r="I437" i="1"/>
  <c r="E437" i="1"/>
  <c r="AG436" i="1"/>
  <c r="AC436" i="1"/>
  <c r="I436" i="1"/>
  <c r="E436" i="1"/>
  <c r="AG435" i="1"/>
  <c r="AC435" i="1"/>
  <c r="I435" i="1"/>
  <c r="E435" i="1"/>
  <c r="U340" i="1"/>
  <c r="Q340" i="1"/>
  <c r="U332" i="1"/>
  <c r="Q332" i="1"/>
  <c r="Q323" i="1"/>
  <c r="U351" i="1"/>
  <c r="Q351" i="1"/>
  <c r="U319" i="1"/>
  <c r="Q319" i="1"/>
  <c r="U310" i="1"/>
  <c r="Q310" i="1"/>
  <c r="AF427" i="1"/>
  <c r="AE427" i="1"/>
  <c r="AD427" i="1"/>
  <c r="AB427" i="1"/>
  <c r="AA427" i="1"/>
  <c r="Z427" i="1"/>
  <c r="AG426" i="1"/>
  <c r="AC426" i="1"/>
  <c r="AG425" i="1"/>
  <c r="AC425" i="1"/>
  <c r="AG424" i="1"/>
  <c r="AC424" i="1"/>
  <c r="AG423" i="1"/>
  <c r="AC423" i="1"/>
  <c r="AG422" i="1"/>
  <c r="AC422" i="1"/>
  <c r="AG421" i="1"/>
  <c r="AC421" i="1"/>
  <c r="AG420" i="1"/>
  <c r="AC420" i="1"/>
  <c r="AG419" i="1"/>
  <c r="AC419" i="1"/>
  <c r="AG418" i="1"/>
  <c r="AC418" i="1"/>
  <c r="AG417" i="1"/>
  <c r="AC417" i="1"/>
  <c r="AG416" i="1"/>
  <c r="AC416" i="1"/>
  <c r="AG415" i="1"/>
  <c r="AC415" i="1"/>
  <c r="AG414" i="1"/>
  <c r="AC414" i="1"/>
  <c r="AG413" i="1"/>
  <c r="AC413" i="1"/>
  <c r="AG412" i="1"/>
  <c r="AC412" i="1"/>
  <c r="AG411" i="1"/>
  <c r="AC411" i="1"/>
  <c r="AG410" i="1"/>
  <c r="AC410" i="1"/>
  <c r="AG409" i="1"/>
  <c r="AC409" i="1"/>
  <c r="AG408" i="1"/>
  <c r="AC408" i="1"/>
  <c r="AG407" i="1"/>
  <c r="AC407" i="1"/>
  <c r="AG406" i="1"/>
  <c r="AC406" i="1"/>
  <c r="AG405" i="1"/>
  <c r="AC405" i="1"/>
  <c r="AG404" i="1"/>
  <c r="AC404" i="1"/>
  <c r="AG403" i="1"/>
  <c r="AC403" i="1"/>
  <c r="AG402" i="1"/>
  <c r="AC402" i="1"/>
  <c r="AG401" i="1"/>
  <c r="AC401" i="1"/>
  <c r="AG399" i="1"/>
  <c r="AC399" i="1"/>
  <c r="AG398" i="1"/>
  <c r="AC398" i="1"/>
  <c r="AG397" i="1"/>
  <c r="AC397" i="1"/>
  <c r="AG396" i="1"/>
  <c r="AC396" i="1"/>
  <c r="AG395" i="1"/>
  <c r="AC395" i="1"/>
  <c r="AG394" i="1"/>
  <c r="AC394" i="1"/>
  <c r="AG393" i="1"/>
  <c r="AC393" i="1"/>
  <c r="AG392" i="1"/>
  <c r="AC392" i="1"/>
  <c r="U280" i="1"/>
  <c r="Q280" i="1"/>
  <c r="I426" i="1"/>
  <c r="E426" i="1"/>
  <c r="I425" i="1"/>
  <c r="E425" i="1"/>
  <c r="I424" i="1"/>
  <c r="E424" i="1"/>
  <c r="I423" i="1"/>
  <c r="E423" i="1"/>
  <c r="I422" i="1"/>
  <c r="E422" i="1"/>
  <c r="I421" i="1"/>
  <c r="E421" i="1"/>
  <c r="I420" i="1"/>
  <c r="E420" i="1"/>
  <c r="I419" i="1"/>
  <c r="E419" i="1"/>
  <c r="I418" i="1"/>
  <c r="E418" i="1"/>
  <c r="I417" i="1"/>
  <c r="E417" i="1"/>
  <c r="I416" i="1"/>
  <c r="E416" i="1"/>
  <c r="I415" i="1"/>
  <c r="E415" i="1"/>
  <c r="I413" i="1"/>
  <c r="E413" i="1"/>
  <c r="I412" i="1"/>
  <c r="E412" i="1"/>
  <c r="E410" i="1"/>
  <c r="E409" i="1"/>
  <c r="I408" i="1"/>
  <c r="E408" i="1"/>
  <c r="E406" i="1"/>
  <c r="I405" i="1"/>
  <c r="E405" i="1"/>
  <c r="I404" i="1"/>
  <c r="E404" i="1"/>
  <c r="E403" i="1"/>
  <c r="I402" i="1"/>
  <c r="E402" i="1"/>
  <c r="I399" i="1"/>
  <c r="E399" i="1"/>
  <c r="I398" i="1"/>
  <c r="E398" i="1"/>
  <c r="I397" i="1"/>
  <c r="E397" i="1"/>
  <c r="I396" i="1"/>
  <c r="E396" i="1"/>
  <c r="I395" i="1"/>
  <c r="E395" i="1"/>
  <c r="I394" i="1"/>
  <c r="E394" i="1"/>
  <c r="I393" i="1"/>
  <c r="E393" i="1"/>
  <c r="I392" i="1"/>
  <c r="E392" i="1"/>
  <c r="U424" i="1"/>
  <c r="Q424" i="1"/>
  <c r="U423" i="1"/>
  <c r="Q423" i="1"/>
  <c r="U422" i="1"/>
  <c r="Q422" i="1"/>
  <c r="U421" i="1"/>
  <c r="Q421" i="1"/>
  <c r="U420" i="1"/>
  <c r="Q420" i="1"/>
  <c r="U419" i="1"/>
  <c r="Q419" i="1"/>
  <c r="U418" i="1"/>
  <c r="Q418" i="1"/>
  <c r="U417" i="1"/>
  <c r="Q417" i="1"/>
  <c r="U416" i="1"/>
  <c r="Q416" i="1"/>
  <c r="U413" i="1"/>
  <c r="Q413" i="1"/>
  <c r="U412" i="1"/>
  <c r="Q412" i="1"/>
  <c r="U411" i="1"/>
  <c r="Q411" i="1"/>
  <c r="U409" i="1"/>
  <c r="Q409" i="1"/>
  <c r="U408" i="1"/>
  <c r="Q408" i="1"/>
  <c r="U407" i="1"/>
  <c r="Q407" i="1"/>
  <c r="U406" i="1"/>
  <c r="Q406" i="1"/>
  <c r="U404" i="1"/>
  <c r="Q404" i="1"/>
  <c r="U403" i="1"/>
  <c r="Q403" i="1"/>
  <c r="U402" i="1"/>
  <c r="Q402" i="1"/>
  <c r="U401" i="1"/>
  <c r="Q401" i="1"/>
  <c r="U399" i="1"/>
  <c r="Q399" i="1"/>
  <c r="U398" i="1"/>
  <c r="Q398" i="1"/>
  <c r="U397" i="1"/>
  <c r="Q397" i="1"/>
  <c r="U396" i="1"/>
  <c r="Q396" i="1"/>
  <c r="U395" i="1"/>
  <c r="Q395" i="1"/>
  <c r="U394" i="1"/>
  <c r="Q394" i="1"/>
  <c r="U392" i="1"/>
  <c r="Q392" i="1"/>
  <c r="Q338" i="1"/>
  <c r="U338" i="1"/>
  <c r="Q339" i="1"/>
  <c r="U339" i="1"/>
  <c r="U296" i="1"/>
  <c r="Q296" i="1"/>
  <c r="AG274" i="1"/>
  <c r="AC274" i="1"/>
  <c r="U269" i="1"/>
  <c r="Q269" i="1"/>
  <c r="U274" i="1"/>
  <c r="Q274" i="1"/>
  <c r="AG272" i="1"/>
  <c r="AC272" i="1"/>
  <c r="U307" i="1"/>
  <c r="Q307" i="1"/>
  <c r="AG316" i="1"/>
  <c r="AC316" i="1"/>
  <c r="AG315" i="1"/>
  <c r="AC315" i="1"/>
  <c r="I272" i="1"/>
  <c r="E272" i="1"/>
  <c r="Q383" i="1"/>
  <c r="U272" i="1"/>
  <c r="Q272" i="1"/>
  <c r="AG309" i="1"/>
  <c r="AC309" i="1"/>
  <c r="AG308" i="1"/>
  <c r="AC308" i="1"/>
  <c r="U230" i="1"/>
  <c r="Q230" i="1"/>
  <c r="AF384" i="1"/>
  <c r="AE384" i="1"/>
  <c r="AD384" i="1"/>
  <c r="AB384" i="1"/>
  <c r="AA384" i="1"/>
  <c r="Z384" i="1"/>
  <c r="AG383" i="1"/>
  <c r="AC383" i="1"/>
  <c r="U383" i="1"/>
  <c r="I383" i="1"/>
  <c r="E383" i="1"/>
  <c r="AG382" i="1"/>
  <c r="AC382" i="1"/>
  <c r="I382" i="1"/>
  <c r="E382" i="1"/>
  <c r="AG381" i="1"/>
  <c r="AC381" i="1"/>
  <c r="I381" i="1"/>
  <c r="E381" i="1"/>
  <c r="AG380" i="1"/>
  <c r="AC380" i="1"/>
  <c r="AG379" i="1"/>
  <c r="AC379" i="1"/>
  <c r="AG378" i="1"/>
  <c r="AC378" i="1"/>
  <c r="U378" i="1"/>
  <c r="Q378" i="1"/>
  <c r="I378" i="1"/>
  <c r="E378" i="1"/>
  <c r="AG377" i="1"/>
  <c r="AC377" i="1"/>
  <c r="U377" i="1"/>
  <c r="Q377" i="1"/>
  <c r="AG376" i="1"/>
  <c r="AC376" i="1"/>
  <c r="U376" i="1"/>
  <c r="Q376" i="1"/>
  <c r="I376" i="1"/>
  <c r="E376" i="1"/>
  <c r="AG375" i="1"/>
  <c r="AC375" i="1"/>
  <c r="U375" i="1"/>
  <c r="Q375" i="1"/>
  <c r="I375" i="1"/>
  <c r="AG374" i="1"/>
  <c r="AC374" i="1"/>
  <c r="U374" i="1"/>
  <c r="Q374" i="1"/>
  <c r="I374" i="1"/>
  <c r="E374" i="1"/>
  <c r="AG373" i="1"/>
  <c r="AC373" i="1"/>
  <c r="U373" i="1"/>
  <c r="Q373" i="1"/>
  <c r="I373" i="1"/>
  <c r="E373" i="1"/>
  <c r="AG372" i="1"/>
  <c r="AC372" i="1"/>
  <c r="U372" i="1"/>
  <c r="Q372" i="1"/>
  <c r="E372" i="1"/>
  <c r="AG371" i="1"/>
  <c r="AC371" i="1"/>
  <c r="U371" i="1"/>
  <c r="Q371" i="1"/>
  <c r="I371" i="1"/>
  <c r="AG370" i="1"/>
  <c r="AC370" i="1"/>
  <c r="U370" i="1"/>
  <c r="Q370" i="1"/>
  <c r="I370" i="1"/>
  <c r="E370" i="1"/>
  <c r="AG369" i="1"/>
  <c r="AC369" i="1"/>
  <c r="U369" i="1"/>
  <c r="Q369" i="1"/>
  <c r="AG368" i="1"/>
  <c r="AC368" i="1"/>
  <c r="U368" i="1"/>
  <c r="Q368" i="1"/>
  <c r="E368" i="1"/>
  <c r="AG367" i="1"/>
  <c r="AC367" i="1"/>
  <c r="U367" i="1"/>
  <c r="Q367" i="1"/>
  <c r="I367" i="1"/>
  <c r="AG366" i="1"/>
  <c r="AC366" i="1"/>
  <c r="U366" i="1"/>
  <c r="Q366" i="1"/>
  <c r="I366" i="1"/>
  <c r="E366" i="1"/>
  <c r="AG365" i="1"/>
  <c r="AC365" i="1"/>
  <c r="AG364" i="1"/>
  <c r="AC364" i="1"/>
  <c r="U364" i="1"/>
  <c r="Q364" i="1"/>
  <c r="E364" i="1"/>
  <c r="AG363" i="1"/>
  <c r="AC363" i="1"/>
  <c r="U363" i="1"/>
  <c r="Q363" i="1"/>
  <c r="I363" i="1"/>
  <c r="E363" i="1"/>
  <c r="AG362" i="1"/>
  <c r="AC362" i="1"/>
  <c r="U362" i="1"/>
  <c r="Q362" i="1"/>
  <c r="I362" i="1"/>
  <c r="E362" i="1"/>
  <c r="AG361" i="1"/>
  <c r="AC361" i="1"/>
  <c r="U361" i="1"/>
  <c r="Q361" i="1"/>
  <c r="I361" i="1"/>
  <c r="E361" i="1"/>
  <c r="AG360" i="1"/>
  <c r="AC360" i="1"/>
  <c r="U360" i="1"/>
  <c r="Q360" i="1"/>
  <c r="AG359" i="1"/>
  <c r="AC359" i="1"/>
  <c r="U359" i="1"/>
  <c r="Q359" i="1"/>
  <c r="I359" i="1"/>
  <c r="E359" i="1"/>
  <c r="AG358" i="1"/>
  <c r="AC358" i="1"/>
  <c r="U358" i="1"/>
  <c r="Q358" i="1"/>
  <c r="I358" i="1"/>
  <c r="E358" i="1"/>
  <c r="AG356" i="1"/>
  <c r="AC356" i="1"/>
  <c r="U356" i="1"/>
  <c r="Q356" i="1"/>
  <c r="I356" i="1"/>
  <c r="E356" i="1"/>
  <c r="AG355" i="1"/>
  <c r="AC355" i="1"/>
  <c r="U355" i="1"/>
  <c r="Q355" i="1"/>
  <c r="I355" i="1"/>
  <c r="E355" i="1"/>
  <c r="AG354" i="1"/>
  <c r="AC354" i="1"/>
  <c r="I354" i="1"/>
  <c r="E354" i="1"/>
  <c r="AG353" i="1"/>
  <c r="AC353" i="1"/>
  <c r="U353" i="1"/>
  <c r="Q353" i="1"/>
  <c r="I353" i="1"/>
  <c r="E353" i="1"/>
  <c r="AG352" i="1"/>
  <c r="AC352" i="1"/>
  <c r="U352" i="1"/>
  <c r="Q352" i="1"/>
  <c r="I352" i="1"/>
  <c r="E352" i="1"/>
  <c r="AG351" i="1"/>
  <c r="AC351" i="1"/>
  <c r="I351" i="1"/>
  <c r="E351" i="1"/>
  <c r="AG350" i="1"/>
  <c r="AC350" i="1"/>
  <c r="U350" i="1"/>
  <c r="Q350" i="1"/>
  <c r="I350" i="1"/>
  <c r="E350" i="1"/>
  <c r="AG349" i="1"/>
  <c r="AC349" i="1"/>
  <c r="U349" i="1"/>
  <c r="Q349" i="1"/>
  <c r="I349" i="1"/>
  <c r="E349" i="1"/>
  <c r="AF341" i="1"/>
  <c r="AE341" i="1"/>
  <c r="AD341" i="1"/>
  <c r="AB341" i="1"/>
  <c r="AA341" i="1"/>
  <c r="Z341" i="1"/>
  <c r="AG340" i="1"/>
  <c r="AC340" i="1"/>
  <c r="I340" i="1"/>
  <c r="E340" i="1"/>
  <c r="AG339" i="1"/>
  <c r="AC339" i="1"/>
  <c r="AG338" i="1"/>
  <c r="AC338" i="1"/>
  <c r="I338" i="1"/>
  <c r="E338" i="1"/>
  <c r="AG337" i="1"/>
  <c r="AC337" i="1"/>
  <c r="U337" i="1"/>
  <c r="Q337" i="1"/>
  <c r="I337" i="1"/>
  <c r="E337" i="1"/>
  <c r="AG336" i="1"/>
  <c r="AC336" i="1"/>
  <c r="U336" i="1"/>
  <c r="Q336" i="1"/>
  <c r="I336" i="1"/>
  <c r="E336" i="1"/>
  <c r="AG335" i="1"/>
  <c r="AC335" i="1"/>
  <c r="U335" i="1"/>
  <c r="Q335" i="1"/>
  <c r="I335" i="1"/>
  <c r="E335" i="1"/>
  <c r="AG334" i="1"/>
  <c r="AC334" i="1"/>
  <c r="U334" i="1"/>
  <c r="Q334" i="1"/>
  <c r="I334" i="1"/>
  <c r="E334" i="1"/>
  <c r="AG333" i="1"/>
  <c r="AC333" i="1"/>
  <c r="U333" i="1"/>
  <c r="Q333" i="1"/>
  <c r="I333" i="1"/>
  <c r="E333" i="1"/>
  <c r="AG332" i="1"/>
  <c r="AC332" i="1"/>
  <c r="I332" i="1"/>
  <c r="E332" i="1"/>
  <c r="AG331" i="1"/>
  <c r="AC331" i="1"/>
  <c r="U331" i="1"/>
  <c r="Q331" i="1"/>
  <c r="E331" i="1"/>
  <c r="AG330" i="1"/>
  <c r="AC330" i="1"/>
  <c r="U330" i="1"/>
  <c r="Q330" i="1"/>
  <c r="E330" i="1"/>
  <c r="AG329" i="1"/>
  <c r="AC329" i="1"/>
  <c r="U329" i="1"/>
  <c r="Q329" i="1"/>
  <c r="AG328" i="1"/>
  <c r="AC328" i="1"/>
  <c r="U328" i="1"/>
  <c r="Q328" i="1"/>
  <c r="I328" i="1"/>
  <c r="E328" i="1"/>
  <c r="AG327" i="1"/>
  <c r="AC327" i="1"/>
  <c r="U327" i="1"/>
  <c r="Q327" i="1"/>
  <c r="I327" i="1"/>
  <c r="E327" i="1"/>
  <c r="AG326" i="1"/>
  <c r="AC326" i="1"/>
  <c r="U326" i="1"/>
  <c r="Q326" i="1"/>
  <c r="AG325" i="1"/>
  <c r="AC325" i="1"/>
  <c r="U325" i="1"/>
  <c r="Q325" i="1"/>
  <c r="I325" i="1"/>
  <c r="E325" i="1"/>
  <c r="AG324" i="1"/>
  <c r="AC324" i="1"/>
  <c r="U324" i="1"/>
  <c r="Q324" i="1"/>
  <c r="I324" i="1"/>
  <c r="E324" i="1"/>
  <c r="AG323" i="1"/>
  <c r="AC323" i="1"/>
  <c r="U323" i="1"/>
  <c r="I323" i="1"/>
  <c r="AG322" i="1"/>
  <c r="AC322" i="1"/>
  <c r="U322" i="1"/>
  <c r="Q322" i="1"/>
  <c r="I322" i="1"/>
  <c r="E322" i="1"/>
  <c r="AG321" i="1"/>
  <c r="AC321" i="1"/>
  <c r="U321" i="1"/>
  <c r="Q321" i="1"/>
  <c r="I321" i="1"/>
  <c r="AG320" i="1"/>
  <c r="AC320" i="1"/>
  <c r="U320" i="1"/>
  <c r="Q320" i="1"/>
  <c r="I320" i="1"/>
  <c r="E320" i="1"/>
  <c r="AG319" i="1"/>
  <c r="AC319" i="1"/>
  <c r="AG318" i="1"/>
  <c r="AC318" i="1"/>
  <c r="U318" i="1"/>
  <c r="Q318" i="1"/>
  <c r="I318" i="1"/>
  <c r="E318" i="1"/>
  <c r="AG317" i="1"/>
  <c r="AC317" i="1"/>
  <c r="U317" i="1"/>
  <c r="Q317" i="1"/>
  <c r="I317" i="1"/>
  <c r="E317" i="1"/>
  <c r="U316" i="1"/>
  <c r="Q316" i="1"/>
  <c r="I316" i="1"/>
  <c r="E316" i="1"/>
  <c r="U315" i="1"/>
  <c r="Q315" i="1"/>
  <c r="I315" i="1"/>
  <c r="E315" i="1"/>
  <c r="AG313" i="1"/>
  <c r="AC313" i="1"/>
  <c r="U313" i="1"/>
  <c r="Q313" i="1"/>
  <c r="I313" i="1"/>
  <c r="E313" i="1"/>
  <c r="AG312" i="1"/>
  <c r="AC312" i="1"/>
  <c r="U312" i="1"/>
  <c r="Q312" i="1"/>
  <c r="I312" i="1"/>
  <c r="E312" i="1"/>
  <c r="AG311" i="1"/>
  <c r="AC311" i="1"/>
  <c r="U311" i="1"/>
  <c r="Q311" i="1"/>
  <c r="I311" i="1"/>
  <c r="E311" i="1"/>
  <c r="AG310" i="1"/>
  <c r="AC310" i="1"/>
  <c r="I310" i="1"/>
  <c r="E310" i="1"/>
  <c r="U309" i="1"/>
  <c r="Q309" i="1"/>
  <c r="I309" i="1"/>
  <c r="E309" i="1"/>
  <c r="U308" i="1"/>
  <c r="Q308" i="1"/>
  <c r="I308" i="1"/>
  <c r="E308" i="1"/>
  <c r="AG307" i="1"/>
  <c r="AC307" i="1"/>
  <c r="I307" i="1"/>
  <c r="E307" i="1"/>
  <c r="AG306" i="1"/>
  <c r="AC306" i="1"/>
  <c r="U306" i="1"/>
  <c r="Q306" i="1"/>
  <c r="I306" i="1"/>
  <c r="E306" i="1"/>
  <c r="U226" i="1"/>
  <c r="Q226" i="1"/>
  <c r="U225" i="1"/>
  <c r="Q225" i="1"/>
  <c r="AG265" i="1"/>
  <c r="AC265" i="1"/>
  <c r="AG264" i="1"/>
  <c r="AC264" i="1"/>
  <c r="AG273" i="1"/>
  <c r="AC273" i="1"/>
  <c r="AF298" i="1"/>
  <c r="AE298" i="1"/>
  <c r="AD298" i="1"/>
  <c r="AB298" i="1"/>
  <c r="AA298" i="1"/>
  <c r="Z298" i="1"/>
  <c r="AG297" i="1"/>
  <c r="AC297" i="1"/>
  <c r="U297" i="1"/>
  <c r="Q297" i="1"/>
  <c r="I297" i="1"/>
  <c r="E297" i="1"/>
  <c r="AG296" i="1"/>
  <c r="AC296" i="1"/>
  <c r="E296" i="1"/>
  <c r="AG295" i="1"/>
  <c r="AC295" i="1"/>
  <c r="U295" i="1"/>
  <c r="Q295" i="1"/>
  <c r="I295" i="1"/>
  <c r="E295" i="1"/>
  <c r="AG294" i="1"/>
  <c r="AC294" i="1"/>
  <c r="U294" i="1"/>
  <c r="Q294" i="1"/>
  <c r="I294" i="1"/>
  <c r="E294" i="1"/>
  <c r="AG293" i="1"/>
  <c r="AC293" i="1"/>
  <c r="U293" i="1"/>
  <c r="Q293" i="1"/>
  <c r="I293" i="1"/>
  <c r="E293" i="1"/>
  <c r="AG292" i="1"/>
  <c r="AC292" i="1"/>
  <c r="U292" i="1"/>
  <c r="Q292" i="1"/>
  <c r="E292" i="1"/>
  <c r="AG291" i="1"/>
  <c r="AC291" i="1"/>
  <c r="U291" i="1"/>
  <c r="Q291" i="1"/>
  <c r="I291" i="1"/>
  <c r="E291" i="1"/>
  <c r="AG290" i="1"/>
  <c r="AC290" i="1"/>
  <c r="U290" i="1"/>
  <c r="Q290" i="1"/>
  <c r="AG289" i="1"/>
  <c r="AC289" i="1"/>
  <c r="U289" i="1"/>
  <c r="Q289" i="1"/>
  <c r="I289" i="1"/>
  <c r="E289" i="1"/>
  <c r="AG288" i="1"/>
  <c r="AC288" i="1"/>
  <c r="U288" i="1"/>
  <c r="Q288" i="1"/>
  <c r="I288" i="1"/>
  <c r="E288" i="1"/>
  <c r="AG287" i="1"/>
  <c r="AC287" i="1"/>
  <c r="U287" i="1"/>
  <c r="Q287" i="1"/>
  <c r="I287" i="1"/>
  <c r="AG286" i="1"/>
  <c r="AC286" i="1"/>
  <c r="U286" i="1"/>
  <c r="Q286" i="1"/>
  <c r="I286" i="1"/>
  <c r="E286" i="1"/>
  <c r="AG285" i="1"/>
  <c r="AC285" i="1"/>
  <c r="U285" i="1"/>
  <c r="Q285" i="1"/>
  <c r="I285" i="1"/>
  <c r="E285" i="1"/>
  <c r="AG284" i="1"/>
  <c r="AC284" i="1"/>
  <c r="U284" i="1"/>
  <c r="Q284" i="1"/>
  <c r="I284" i="1"/>
  <c r="E284" i="1"/>
  <c r="AG283" i="1"/>
  <c r="AC283" i="1"/>
  <c r="U283" i="1"/>
  <c r="Q283" i="1"/>
  <c r="I283" i="1"/>
  <c r="E283" i="1"/>
  <c r="AG282" i="1"/>
  <c r="AC282" i="1"/>
  <c r="U282" i="1"/>
  <c r="Q282" i="1"/>
  <c r="I282" i="1"/>
  <c r="E282" i="1"/>
  <c r="AG281" i="1"/>
  <c r="AC281" i="1"/>
  <c r="U281" i="1"/>
  <c r="Q281" i="1"/>
  <c r="I281" i="1"/>
  <c r="E281" i="1"/>
  <c r="AG280" i="1"/>
  <c r="AC280" i="1"/>
  <c r="I280" i="1"/>
  <c r="AG279" i="1"/>
  <c r="AC279" i="1"/>
  <c r="U279" i="1"/>
  <c r="Q279" i="1"/>
  <c r="I279" i="1"/>
  <c r="E279" i="1"/>
  <c r="AG278" i="1"/>
  <c r="AC278" i="1"/>
  <c r="U278" i="1"/>
  <c r="Q278" i="1"/>
  <c r="I278" i="1"/>
  <c r="E278" i="1"/>
  <c r="AG277" i="1"/>
  <c r="AC277" i="1"/>
  <c r="U277" i="1"/>
  <c r="Q277" i="1"/>
  <c r="I277" i="1"/>
  <c r="E277" i="1"/>
  <c r="AG276" i="1"/>
  <c r="AC276" i="1"/>
  <c r="U276" i="1"/>
  <c r="Q276" i="1"/>
  <c r="I276" i="1"/>
  <c r="E276" i="1"/>
  <c r="AG275" i="1"/>
  <c r="AC275" i="1"/>
  <c r="U275" i="1"/>
  <c r="Q275" i="1"/>
  <c r="I275" i="1"/>
  <c r="E275" i="1"/>
  <c r="I274" i="1"/>
  <c r="E274" i="1"/>
  <c r="U273" i="1"/>
  <c r="Q273" i="1"/>
  <c r="I273" i="1"/>
  <c r="E273" i="1"/>
  <c r="AG270" i="1"/>
  <c r="AC270" i="1"/>
  <c r="U270" i="1"/>
  <c r="Q270" i="1"/>
  <c r="I270" i="1"/>
  <c r="E270" i="1"/>
  <c r="AG269" i="1"/>
  <c r="AC269" i="1"/>
  <c r="I269" i="1"/>
  <c r="E269" i="1"/>
  <c r="AG268" i="1"/>
  <c r="AC268" i="1"/>
  <c r="U268" i="1"/>
  <c r="Q268" i="1"/>
  <c r="I268" i="1"/>
  <c r="E268" i="1"/>
  <c r="AG267" i="1"/>
  <c r="AC267" i="1"/>
  <c r="U267" i="1"/>
  <c r="Q267" i="1"/>
  <c r="I267" i="1"/>
  <c r="E267" i="1"/>
  <c r="AG266" i="1"/>
  <c r="AC266" i="1"/>
  <c r="U266" i="1"/>
  <c r="Q266" i="1"/>
  <c r="I266" i="1"/>
  <c r="E266" i="1"/>
  <c r="U265" i="1"/>
  <c r="Q265" i="1"/>
  <c r="I265" i="1"/>
  <c r="E265" i="1"/>
  <c r="U264" i="1"/>
  <c r="Q264" i="1"/>
  <c r="I264" i="1"/>
  <c r="E264" i="1"/>
  <c r="AG263" i="1"/>
  <c r="AC263" i="1"/>
  <c r="U263" i="1"/>
  <c r="Q263" i="1"/>
  <c r="I263" i="1"/>
  <c r="E263" i="1"/>
  <c r="I208" i="1"/>
  <c r="E208" i="1"/>
  <c r="AF255" i="1"/>
  <c r="AE255" i="1"/>
  <c r="AD255" i="1"/>
  <c r="AB255" i="1"/>
  <c r="AA255" i="1"/>
  <c r="Z255" i="1"/>
  <c r="AG254" i="1"/>
  <c r="AC254" i="1"/>
  <c r="U254" i="1"/>
  <c r="Q254" i="1"/>
  <c r="I254" i="1"/>
  <c r="E254" i="1"/>
  <c r="AG253" i="1"/>
  <c r="AC253" i="1"/>
  <c r="U253" i="1"/>
  <c r="Q253" i="1"/>
  <c r="I253" i="1"/>
  <c r="E253" i="1"/>
  <c r="AG252" i="1"/>
  <c r="AC252" i="1"/>
  <c r="U252" i="1"/>
  <c r="Q252" i="1"/>
  <c r="I252" i="1"/>
  <c r="E252" i="1"/>
  <c r="AG251" i="1"/>
  <c r="AC251" i="1"/>
  <c r="U251" i="1"/>
  <c r="Q251" i="1"/>
  <c r="I251" i="1"/>
  <c r="E251" i="1"/>
  <c r="AG250" i="1"/>
  <c r="AC250" i="1"/>
  <c r="U250" i="1"/>
  <c r="Q250" i="1"/>
  <c r="I250" i="1"/>
  <c r="E250" i="1"/>
  <c r="AG249" i="1"/>
  <c r="AC249" i="1"/>
  <c r="U249" i="1"/>
  <c r="Q249" i="1"/>
  <c r="I249" i="1"/>
  <c r="E249" i="1"/>
  <c r="AG248" i="1"/>
  <c r="AC248" i="1"/>
  <c r="U248" i="1"/>
  <c r="Q248" i="1"/>
  <c r="I248" i="1"/>
  <c r="E248" i="1"/>
  <c r="AG247" i="1"/>
  <c r="AC247" i="1"/>
  <c r="U247" i="1"/>
  <c r="Q247" i="1"/>
  <c r="I247" i="1"/>
  <c r="E247" i="1"/>
  <c r="AG246" i="1"/>
  <c r="AC246" i="1"/>
  <c r="U246" i="1"/>
  <c r="Q246" i="1"/>
  <c r="I246" i="1"/>
  <c r="E246" i="1"/>
  <c r="AG245" i="1"/>
  <c r="AC245" i="1"/>
  <c r="U245" i="1"/>
  <c r="Q245" i="1"/>
  <c r="I245" i="1"/>
  <c r="E245" i="1"/>
  <c r="AG244" i="1"/>
  <c r="AC244" i="1"/>
  <c r="U244" i="1"/>
  <c r="Q244" i="1"/>
  <c r="I244" i="1"/>
  <c r="E244" i="1"/>
  <c r="AG243" i="1"/>
  <c r="AC243" i="1"/>
  <c r="U243" i="1"/>
  <c r="Q243" i="1"/>
  <c r="I243" i="1"/>
  <c r="E243" i="1"/>
  <c r="AG242" i="1"/>
  <c r="AC242" i="1"/>
  <c r="U242" i="1"/>
  <c r="Q242" i="1"/>
  <c r="I242" i="1"/>
  <c r="E242" i="1"/>
  <c r="AG241" i="1"/>
  <c r="AC241" i="1"/>
  <c r="U241" i="1"/>
  <c r="Q241" i="1"/>
  <c r="I241" i="1"/>
  <c r="E241" i="1"/>
  <c r="AG240" i="1"/>
  <c r="AC240" i="1"/>
  <c r="U240" i="1"/>
  <c r="Q240" i="1"/>
  <c r="I240" i="1"/>
  <c r="E240" i="1"/>
  <c r="AG239" i="1"/>
  <c r="AC239" i="1"/>
  <c r="U239" i="1"/>
  <c r="Q239" i="1"/>
  <c r="I239" i="1"/>
  <c r="E239" i="1"/>
  <c r="AG238" i="1"/>
  <c r="AC238" i="1"/>
  <c r="U238" i="1"/>
  <c r="Q238" i="1"/>
  <c r="I238" i="1"/>
  <c r="E238" i="1"/>
  <c r="AG237" i="1"/>
  <c r="AC237" i="1"/>
  <c r="U237" i="1"/>
  <c r="Q237" i="1"/>
  <c r="I237" i="1"/>
  <c r="E237" i="1"/>
  <c r="AG236" i="1"/>
  <c r="AC236" i="1"/>
  <c r="U236" i="1"/>
  <c r="Q236" i="1"/>
  <c r="I236" i="1"/>
  <c r="E236" i="1"/>
  <c r="AG235" i="1"/>
  <c r="AC235" i="1"/>
  <c r="U235" i="1"/>
  <c r="Q235" i="1"/>
  <c r="I235" i="1"/>
  <c r="E235" i="1"/>
  <c r="AG234" i="1"/>
  <c r="AC234" i="1"/>
  <c r="U234" i="1"/>
  <c r="Q234" i="1"/>
  <c r="I234" i="1"/>
  <c r="E234" i="1"/>
  <c r="AG233" i="1"/>
  <c r="AC233" i="1"/>
  <c r="U233" i="1"/>
  <c r="Q233" i="1"/>
  <c r="I233" i="1"/>
  <c r="E233" i="1"/>
  <c r="AG232" i="1"/>
  <c r="AC232" i="1"/>
  <c r="U232" i="1"/>
  <c r="Q232" i="1"/>
  <c r="I232" i="1"/>
  <c r="E232" i="1"/>
  <c r="AG231" i="1"/>
  <c r="AC231" i="1"/>
  <c r="U231" i="1"/>
  <c r="Q231" i="1"/>
  <c r="I231" i="1"/>
  <c r="E231" i="1"/>
  <c r="AG230" i="1"/>
  <c r="AC230" i="1"/>
  <c r="I230" i="1"/>
  <c r="E230" i="1"/>
  <c r="AG229" i="1"/>
  <c r="AC229" i="1"/>
  <c r="U229" i="1"/>
  <c r="Q229" i="1"/>
  <c r="I229" i="1"/>
  <c r="E229" i="1"/>
  <c r="AG227" i="1"/>
  <c r="AC227" i="1"/>
  <c r="U227" i="1"/>
  <c r="Q227" i="1"/>
  <c r="I227" i="1"/>
  <c r="E227" i="1"/>
  <c r="AG226" i="1"/>
  <c r="AC226" i="1"/>
  <c r="I226" i="1"/>
  <c r="E226" i="1"/>
  <c r="AG225" i="1"/>
  <c r="AC225" i="1"/>
  <c r="I225" i="1"/>
  <c r="E225" i="1"/>
  <c r="AG224" i="1"/>
  <c r="AC224" i="1"/>
  <c r="U224" i="1"/>
  <c r="Q224" i="1"/>
  <c r="I224" i="1"/>
  <c r="E224" i="1"/>
  <c r="AG223" i="1"/>
  <c r="AC223" i="1"/>
  <c r="U223" i="1"/>
  <c r="Q223" i="1"/>
  <c r="I223" i="1"/>
  <c r="E223" i="1"/>
  <c r="AG222" i="1"/>
  <c r="AC222" i="1"/>
  <c r="U222" i="1"/>
  <c r="Q222" i="1"/>
  <c r="I222" i="1"/>
  <c r="E222" i="1"/>
  <c r="AG221" i="1"/>
  <c r="AC221" i="1"/>
  <c r="Q221" i="1"/>
  <c r="V221" i="1" s="1"/>
  <c r="I221" i="1"/>
  <c r="E221" i="1"/>
  <c r="AG220" i="1"/>
  <c r="AC220" i="1"/>
  <c r="U220" i="1"/>
  <c r="Q220" i="1"/>
  <c r="I220" i="1"/>
  <c r="E220" i="1"/>
  <c r="U210" i="1"/>
  <c r="Q210" i="1"/>
  <c r="U211" i="1"/>
  <c r="Q211" i="1"/>
  <c r="U124" i="1"/>
  <c r="Q124" i="1"/>
  <c r="U123" i="1"/>
  <c r="Q123" i="1"/>
  <c r="Q164" i="1"/>
  <c r="U164" i="1"/>
  <c r="Q165" i="1"/>
  <c r="U165" i="1"/>
  <c r="U168" i="1"/>
  <c r="Q168" i="1"/>
  <c r="U167" i="1"/>
  <c r="Q167" i="1"/>
  <c r="U166" i="1"/>
  <c r="Q166" i="1"/>
  <c r="U163" i="1"/>
  <c r="Q163" i="1"/>
  <c r="U209" i="1"/>
  <c r="Q209" i="1"/>
  <c r="U208" i="1"/>
  <c r="Q208" i="1"/>
  <c r="U207" i="1"/>
  <c r="Q207" i="1"/>
  <c r="U206" i="1"/>
  <c r="Q206" i="1"/>
  <c r="U205" i="1"/>
  <c r="Q205" i="1"/>
  <c r="U204" i="1"/>
  <c r="Q204" i="1"/>
  <c r="U203" i="1"/>
  <c r="Q203" i="1"/>
  <c r="U202" i="1"/>
  <c r="Q202" i="1"/>
  <c r="U201" i="1"/>
  <c r="Q201" i="1"/>
  <c r="U200" i="1"/>
  <c r="Q200" i="1"/>
  <c r="U199" i="1"/>
  <c r="Q199" i="1"/>
  <c r="U198" i="1"/>
  <c r="Q198" i="1"/>
  <c r="U197" i="1"/>
  <c r="Q197" i="1"/>
  <c r="U196" i="1"/>
  <c r="Q196" i="1"/>
  <c r="U195" i="1"/>
  <c r="Q195" i="1"/>
  <c r="U194" i="1"/>
  <c r="Q194" i="1"/>
  <c r="U193" i="1"/>
  <c r="Q193" i="1"/>
  <c r="U192" i="1"/>
  <c r="Q192" i="1"/>
  <c r="U191" i="1"/>
  <c r="Q191" i="1"/>
  <c r="U190" i="1"/>
  <c r="Q190" i="1"/>
  <c r="U189" i="1"/>
  <c r="Q189" i="1"/>
  <c r="U188" i="1"/>
  <c r="Q188" i="1"/>
  <c r="U187" i="1"/>
  <c r="Q187" i="1"/>
  <c r="U186" i="1"/>
  <c r="Q186" i="1"/>
  <c r="U184" i="1"/>
  <c r="Q184" i="1"/>
  <c r="U183" i="1"/>
  <c r="Q183" i="1"/>
  <c r="U182" i="1"/>
  <c r="Q182" i="1"/>
  <c r="U181" i="1"/>
  <c r="Q181" i="1"/>
  <c r="U180" i="1"/>
  <c r="Q180" i="1"/>
  <c r="U179" i="1"/>
  <c r="Q179" i="1"/>
  <c r="U178" i="1"/>
  <c r="Q178" i="1"/>
  <c r="U177" i="1"/>
  <c r="Q177" i="1"/>
  <c r="U143" i="1"/>
  <c r="Q143" i="1"/>
  <c r="AF212" i="1"/>
  <c r="AE212" i="1"/>
  <c r="AD212" i="1"/>
  <c r="AB212" i="1"/>
  <c r="AA212" i="1"/>
  <c r="Z212" i="1"/>
  <c r="AG211" i="1"/>
  <c r="AC211" i="1"/>
  <c r="I211" i="1"/>
  <c r="E211" i="1"/>
  <c r="AG210" i="1"/>
  <c r="AC210" i="1"/>
  <c r="I210" i="1"/>
  <c r="E210" i="1"/>
  <c r="AG209" i="1"/>
  <c r="AC209" i="1"/>
  <c r="I209" i="1"/>
  <c r="E209" i="1"/>
  <c r="AG208" i="1"/>
  <c r="AC208" i="1"/>
  <c r="AG207" i="1"/>
  <c r="AC207" i="1"/>
  <c r="I207" i="1"/>
  <c r="E207" i="1"/>
  <c r="AG206" i="1"/>
  <c r="AC206" i="1"/>
  <c r="I206" i="1"/>
  <c r="E206" i="1"/>
  <c r="AG205" i="1"/>
  <c r="AC205" i="1"/>
  <c r="I205" i="1"/>
  <c r="E205" i="1"/>
  <c r="AG204" i="1"/>
  <c r="AC204" i="1"/>
  <c r="I204" i="1"/>
  <c r="E204" i="1"/>
  <c r="AG203" i="1"/>
  <c r="AC203" i="1"/>
  <c r="I203" i="1"/>
  <c r="E203" i="1"/>
  <c r="AG202" i="1"/>
  <c r="AC202" i="1"/>
  <c r="I202" i="1"/>
  <c r="E202" i="1"/>
  <c r="AG201" i="1"/>
  <c r="AC201" i="1"/>
  <c r="I201" i="1"/>
  <c r="E201" i="1"/>
  <c r="AG200" i="1"/>
  <c r="AC200" i="1"/>
  <c r="I200" i="1"/>
  <c r="E200" i="1"/>
  <c r="AG199" i="1"/>
  <c r="AC199" i="1"/>
  <c r="I199" i="1"/>
  <c r="E199" i="1"/>
  <c r="AG198" i="1"/>
  <c r="AC198" i="1"/>
  <c r="I198" i="1"/>
  <c r="E198" i="1"/>
  <c r="AG197" i="1"/>
  <c r="AC197" i="1"/>
  <c r="I197" i="1"/>
  <c r="E197" i="1"/>
  <c r="AG196" i="1"/>
  <c r="AC196" i="1"/>
  <c r="I196" i="1"/>
  <c r="E196" i="1"/>
  <c r="AG195" i="1"/>
  <c r="AC195" i="1"/>
  <c r="I195" i="1"/>
  <c r="E195" i="1"/>
  <c r="AG194" i="1"/>
  <c r="AC194" i="1"/>
  <c r="I194" i="1"/>
  <c r="E194" i="1"/>
  <c r="AG193" i="1"/>
  <c r="AC193" i="1"/>
  <c r="I193" i="1"/>
  <c r="E193" i="1"/>
  <c r="AG192" i="1"/>
  <c r="AC192" i="1"/>
  <c r="I192" i="1"/>
  <c r="E192" i="1"/>
  <c r="AG191" i="1"/>
  <c r="AC191" i="1"/>
  <c r="I191" i="1"/>
  <c r="E191" i="1"/>
  <c r="AG190" i="1"/>
  <c r="AC190" i="1"/>
  <c r="I190" i="1"/>
  <c r="E190" i="1"/>
  <c r="AG189" i="1"/>
  <c r="AC189" i="1"/>
  <c r="I189" i="1"/>
  <c r="E189" i="1"/>
  <c r="AG188" i="1"/>
  <c r="AC188" i="1"/>
  <c r="I188" i="1"/>
  <c r="E188" i="1"/>
  <c r="AG187" i="1"/>
  <c r="AC187" i="1"/>
  <c r="I187" i="1"/>
  <c r="E187" i="1"/>
  <c r="AG186" i="1"/>
  <c r="AC186" i="1"/>
  <c r="I186" i="1"/>
  <c r="E186" i="1"/>
  <c r="AG184" i="1"/>
  <c r="AC184" i="1"/>
  <c r="I184" i="1"/>
  <c r="E184" i="1"/>
  <c r="AG183" i="1"/>
  <c r="AC183" i="1"/>
  <c r="I183" i="1"/>
  <c r="E183" i="1"/>
  <c r="AG182" i="1"/>
  <c r="AC182" i="1"/>
  <c r="I182" i="1"/>
  <c r="E182" i="1"/>
  <c r="AG181" i="1"/>
  <c r="AC181" i="1"/>
  <c r="I181" i="1"/>
  <c r="E181" i="1"/>
  <c r="AG180" i="1"/>
  <c r="AC180" i="1"/>
  <c r="I180" i="1"/>
  <c r="E180" i="1"/>
  <c r="AG179" i="1"/>
  <c r="AC179" i="1"/>
  <c r="I179" i="1"/>
  <c r="E179" i="1"/>
  <c r="AG178" i="1"/>
  <c r="AC178" i="1"/>
  <c r="I178" i="1"/>
  <c r="E178" i="1"/>
  <c r="AG177" i="1"/>
  <c r="AC177" i="1"/>
  <c r="I177" i="1"/>
  <c r="E177" i="1"/>
  <c r="U150" i="1"/>
  <c r="Q150" i="1"/>
  <c r="U149" i="1"/>
  <c r="Q149" i="1"/>
  <c r="U125" i="1"/>
  <c r="Q125" i="1"/>
  <c r="I119" i="1"/>
  <c r="E119" i="1"/>
  <c r="AC94" i="1"/>
  <c r="AG104" i="1"/>
  <c r="AC104" i="1"/>
  <c r="AG96" i="1"/>
  <c r="AC96" i="1"/>
  <c r="U96" i="1"/>
  <c r="Q96" i="1"/>
  <c r="AG139" i="1"/>
  <c r="AC139" i="1"/>
  <c r="AF169" i="1"/>
  <c r="AD169" i="1"/>
  <c r="AE169" i="1"/>
  <c r="AB169" i="1"/>
  <c r="AA169" i="1"/>
  <c r="Z169" i="1"/>
  <c r="AG168" i="1"/>
  <c r="AC168" i="1"/>
  <c r="I168" i="1"/>
  <c r="E168" i="1"/>
  <c r="AG167" i="1"/>
  <c r="AC167" i="1"/>
  <c r="I167" i="1"/>
  <c r="E167" i="1"/>
  <c r="AG166" i="1"/>
  <c r="AC166" i="1"/>
  <c r="I166" i="1"/>
  <c r="E166" i="1"/>
  <c r="AG165" i="1"/>
  <c r="AC165" i="1"/>
  <c r="I165" i="1"/>
  <c r="E165" i="1"/>
  <c r="AG164" i="1"/>
  <c r="AC164" i="1"/>
  <c r="I164" i="1"/>
  <c r="E164" i="1"/>
  <c r="AG163" i="1"/>
  <c r="AC163" i="1"/>
  <c r="I163" i="1"/>
  <c r="E163" i="1"/>
  <c r="AG162" i="1"/>
  <c r="AC162" i="1"/>
  <c r="U162" i="1"/>
  <c r="Q162" i="1"/>
  <c r="I162" i="1"/>
  <c r="E162" i="1"/>
  <c r="AG161" i="1"/>
  <c r="AC161" i="1"/>
  <c r="U161" i="1"/>
  <c r="Q161" i="1"/>
  <c r="I161" i="1"/>
  <c r="E161" i="1"/>
  <c r="AG160" i="1"/>
  <c r="AC160" i="1"/>
  <c r="U160" i="1"/>
  <c r="Q160" i="1"/>
  <c r="I160" i="1"/>
  <c r="E160" i="1"/>
  <c r="AG159" i="1"/>
  <c r="AC159" i="1"/>
  <c r="U159" i="1"/>
  <c r="Q159" i="1"/>
  <c r="I159" i="1"/>
  <c r="E159" i="1"/>
  <c r="AG158" i="1"/>
  <c r="AC158" i="1"/>
  <c r="U158" i="1"/>
  <c r="Q158" i="1"/>
  <c r="I158" i="1"/>
  <c r="E158" i="1"/>
  <c r="AG157" i="1"/>
  <c r="AC157" i="1"/>
  <c r="U157" i="1"/>
  <c r="Q157" i="1"/>
  <c r="I157" i="1"/>
  <c r="E157" i="1"/>
  <c r="AG156" i="1"/>
  <c r="AC156" i="1"/>
  <c r="U156" i="1"/>
  <c r="Q156" i="1"/>
  <c r="I156" i="1"/>
  <c r="E156" i="1"/>
  <c r="AG155" i="1"/>
  <c r="AC155" i="1"/>
  <c r="U155" i="1"/>
  <c r="Q155" i="1"/>
  <c r="I155" i="1"/>
  <c r="E155" i="1"/>
  <c r="AG154" i="1"/>
  <c r="AC154" i="1"/>
  <c r="U154" i="1"/>
  <c r="Q154" i="1"/>
  <c r="I154" i="1"/>
  <c r="E154" i="1"/>
  <c r="AG153" i="1"/>
  <c r="AC153" i="1"/>
  <c r="U153" i="1"/>
  <c r="Q153" i="1"/>
  <c r="I153" i="1"/>
  <c r="E153" i="1"/>
  <c r="AG152" i="1"/>
  <c r="AC152" i="1"/>
  <c r="U152" i="1"/>
  <c r="Q152" i="1"/>
  <c r="I152" i="1"/>
  <c r="E152" i="1"/>
  <c r="AG151" i="1"/>
  <c r="AC151" i="1"/>
  <c r="U151" i="1"/>
  <c r="Q151" i="1"/>
  <c r="I151" i="1"/>
  <c r="E151" i="1"/>
  <c r="AG150" i="1"/>
  <c r="AC150" i="1"/>
  <c r="I150" i="1"/>
  <c r="E150" i="1"/>
  <c r="AG149" i="1"/>
  <c r="AC149" i="1"/>
  <c r="I149" i="1"/>
  <c r="E149" i="1"/>
  <c r="AG148" i="1"/>
  <c r="AC148" i="1"/>
  <c r="U148" i="1"/>
  <c r="Q148" i="1"/>
  <c r="I148" i="1"/>
  <c r="E148" i="1"/>
  <c r="AG147" i="1"/>
  <c r="AC147" i="1"/>
  <c r="U147" i="1"/>
  <c r="Q147" i="1"/>
  <c r="I147" i="1"/>
  <c r="E147" i="1"/>
  <c r="AG146" i="1"/>
  <c r="AC146" i="1"/>
  <c r="U146" i="1"/>
  <c r="Q146" i="1"/>
  <c r="I146" i="1"/>
  <c r="E146" i="1"/>
  <c r="AG145" i="1"/>
  <c r="AC145" i="1"/>
  <c r="U145" i="1"/>
  <c r="Q145" i="1"/>
  <c r="I145" i="1"/>
  <c r="E145" i="1"/>
  <c r="AG144" i="1"/>
  <c r="AC144" i="1"/>
  <c r="U144" i="1"/>
  <c r="Q144" i="1"/>
  <c r="I144" i="1"/>
  <c r="E144" i="1"/>
  <c r="AG143" i="1"/>
  <c r="AC143" i="1"/>
  <c r="I143" i="1"/>
  <c r="E143" i="1"/>
  <c r="AG141" i="1"/>
  <c r="AC141" i="1"/>
  <c r="U141" i="1"/>
  <c r="Q141" i="1"/>
  <c r="I141" i="1"/>
  <c r="E141" i="1"/>
  <c r="AG140" i="1"/>
  <c r="AC140" i="1"/>
  <c r="U140" i="1"/>
  <c r="Q140" i="1"/>
  <c r="I140" i="1"/>
  <c r="E140" i="1"/>
  <c r="U139" i="1"/>
  <c r="Q139" i="1"/>
  <c r="I139" i="1"/>
  <c r="E139" i="1"/>
  <c r="AG138" i="1"/>
  <c r="AC138" i="1"/>
  <c r="U138" i="1"/>
  <c r="Q138" i="1"/>
  <c r="I138" i="1"/>
  <c r="E138" i="1"/>
  <c r="AG137" i="1"/>
  <c r="AC137" i="1"/>
  <c r="U137" i="1"/>
  <c r="Q137" i="1"/>
  <c r="I137" i="1"/>
  <c r="E137" i="1"/>
  <c r="AG136" i="1"/>
  <c r="AC136" i="1"/>
  <c r="U136" i="1"/>
  <c r="Q136" i="1"/>
  <c r="I136" i="1"/>
  <c r="E136" i="1"/>
  <c r="AG135" i="1"/>
  <c r="AC135" i="1"/>
  <c r="U135" i="1"/>
  <c r="Q135" i="1"/>
  <c r="I135" i="1"/>
  <c r="E135" i="1"/>
  <c r="AG134" i="1"/>
  <c r="AC134" i="1"/>
  <c r="U134" i="1"/>
  <c r="Q134" i="1"/>
  <c r="I134" i="1"/>
  <c r="E134" i="1"/>
  <c r="AG103" i="1"/>
  <c r="AC103" i="1"/>
  <c r="AG102" i="1"/>
  <c r="AC102" i="1"/>
  <c r="AG101" i="1"/>
  <c r="AC101" i="1"/>
  <c r="AG100" i="1"/>
  <c r="AC100" i="1"/>
  <c r="U65" i="1"/>
  <c r="Q65" i="1"/>
  <c r="U122" i="1"/>
  <c r="Q122" i="1"/>
  <c r="U37" i="1"/>
  <c r="Q37" i="1"/>
  <c r="U36" i="1"/>
  <c r="Q36" i="1"/>
  <c r="U35" i="1"/>
  <c r="Q35" i="1"/>
  <c r="U57" i="1"/>
  <c r="Q57" i="1"/>
  <c r="U82" i="1"/>
  <c r="Q82" i="1"/>
  <c r="U121" i="1"/>
  <c r="Q121" i="1"/>
  <c r="AG59" i="1"/>
  <c r="AC59" i="1"/>
  <c r="AG58" i="1"/>
  <c r="AC58" i="1"/>
  <c r="AG57" i="1"/>
  <c r="AC57" i="1"/>
  <c r="AG51" i="1"/>
  <c r="AC51" i="1"/>
  <c r="U51" i="1"/>
  <c r="Q51" i="1"/>
  <c r="U94" i="1"/>
  <c r="Q94" i="1"/>
  <c r="U93" i="1"/>
  <c r="Q93" i="1"/>
  <c r="U92" i="1"/>
  <c r="Q92" i="1"/>
  <c r="U100" i="1"/>
  <c r="Q100" i="1"/>
  <c r="U81" i="1"/>
  <c r="Q81" i="1"/>
  <c r="U54" i="1"/>
  <c r="Q54" i="1"/>
  <c r="U53" i="1"/>
  <c r="Q53" i="1"/>
  <c r="U52" i="1"/>
  <c r="Q52" i="1"/>
  <c r="U50" i="1"/>
  <c r="Q50" i="1"/>
  <c r="U49" i="1"/>
  <c r="Q49" i="1"/>
  <c r="U39" i="1"/>
  <c r="Q39" i="1"/>
  <c r="AG121" i="1"/>
  <c r="AC121" i="1"/>
  <c r="AG50" i="1"/>
  <c r="AC50" i="1"/>
  <c r="AG49" i="1"/>
  <c r="AC49" i="1"/>
  <c r="AC91" i="1"/>
  <c r="AG91" i="1"/>
  <c r="AG39" i="1"/>
  <c r="AC39" i="1"/>
  <c r="AG8" i="1"/>
  <c r="AC8" i="1"/>
  <c r="AC9" i="1"/>
  <c r="AG9" i="1"/>
  <c r="AG81" i="1"/>
  <c r="AC81" i="1"/>
  <c r="U16" i="1"/>
  <c r="Q16" i="1"/>
  <c r="AG92" i="1"/>
  <c r="AC92" i="1"/>
  <c r="AG82" i="1"/>
  <c r="AC82" i="1"/>
  <c r="AG124" i="1"/>
  <c r="AC124" i="1"/>
  <c r="AG125" i="1"/>
  <c r="AC125" i="1"/>
  <c r="AG80" i="1"/>
  <c r="AC80" i="1"/>
  <c r="AG77" i="1"/>
  <c r="AC77" i="1"/>
  <c r="AG78" i="1"/>
  <c r="AC78" i="1"/>
  <c r="AG79" i="1"/>
  <c r="AC79" i="1"/>
  <c r="AG94" i="1"/>
  <c r="AG36" i="1"/>
  <c r="AC36" i="1"/>
  <c r="U8" i="1"/>
  <c r="Q8" i="1"/>
  <c r="U7" i="1"/>
  <c r="Q7" i="1"/>
  <c r="AG18" i="1"/>
  <c r="AC18" i="1"/>
  <c r="AG16" i="1"/>
  <c r="AC16" i="1"/>
  <c r="AF126" i="1"/>
  <c r="AD126" i="1"/>
  <c r="AE126" i="1"/>
  <c r="Z126" i="1"/>
  <c r="AA126" i="1"/>
  <c r="AB126" i="1"/>
  <c r="I125" i="1"/>
  <c r="E125" i="1"/>
  <c r="I124" i="1"/>
  <c r="E124" i="1"/>
  <c r="AG123" i="1"/>
  <c r="AC123" i="1"/>
  <c r="I123" i="1"/>
  <c r="E123" i="1"/>
  <c r="AG122" i="1"/>
  <c r="AC122" i="1"/>
  <c r="I122" i="1"/>
  <c r="E122" i="1"/>
  <c r="I121" i="1"/>
  <c r="E121" i="1"/>
  <c r="AG120" i="1"/>
  <c r="AC120" i="1"/>
  <c r="U120" i="1"/>
  <c r="Q120" i="1"/>
  <c r="I120" i="1"/>
  <c r="E120" i="1"/>
  <c r="AG119" i="1"/>
  <c r="AC119" i="1"/>
  <c r="U119" i="1"/>
  <c r="Q119" i="1"/>
  <c r="AG118" i="1"/>
  <c r="AC118" i="1"/>
  <c r="U118" i="1"/>
  <c r="Q118" i="1"/>
  <c r="I118" i="1"/>
  <c r="E118" i="1"/>
  <c r="AG117" i="1"/>
  <c r="AC117" i="1"/>
  <c r="U117" i="1"/>
  <c r="Q117" i="1"/>
  <c r="I117" i="1"/>
  <c r="E117" i="1"/>
  <c r="AG116" i="1"/>
  <c r="AC116" i="1"/>
  <c r="U116" i="1"/>
  <c r="Q116" i="1"/>
  <c r="I116" i="1"/>
  <c r="E116" i="1"/>
  <c r="AG115" i="1"/>
  <c r="AC115" i="1"/>
  <c r="U115" i="1"/>
  <c r="Q115" i="1"/>
  <c r="I115" i="1"/>
  <c r="E115" i="1"/>
  <c r="AG114" i="1"/>
  <c r="AC114" i="1"/>
  <c r="U114" i="1"/>
  <c r="Q114" i="1"/>
  <c r="I114" i="1"/>
  <c r="E114" i="1"/>
  <c r="AG113" i="1"/>
  <c r="AC113" i="1"/>
  <c r="U113" i="1"/>
  <c r="Q113" i="1"/>
  <c r="I113" i="1"/>
  <c r="E113" i="1"/>
  <c r="AG112" i="1"/>
  <c r="AC112" i="1"/>
  <c r="U112" i="1"/>
  <c r="Q112" i="1"/>
  <c r="I112" i="1"/>
  <c r="E112" i="1"/>
  <c r="AG111" i="1"/>
  <c r="AC111" i="1"/>
  <c r="U111" i="1"/>
  <c r="Q111" i="1"/>
  <c r="I111" i="1"/>
  <c r="E111" i="1"/>
  <c r="AG110" i="1"/>
  <c r="AC110" i="1"/>
  <c r="U110" i="1"/>
  <c r="Q110" i="1"/>
  <c r="I110" i="1"/>
  <c r="E110" i="1"/>
  <c r="AG109" i="1"/>
  <c r="AC109" i="1"/>
  <c r="U109" i="1"/>
  <c r="Q109" i="1"/>
  <c r="I109" i="1"/>
  <c r="E109" i="1"/>
  <c r="AG108" i="1"/>
  <c r="AC108" i="1"/>
  <c r="U108" i="1"/>
  <c r="Q108" i="1"/>
  <c r="I108" i="1"/>
  <c r="E108" i="1"/>
  <c r="AG107" i="1"/>
  <c r="AC107" i="1"/>
  <c r="U107" i="1"/>
  <c r="Q107" i="1"/>
  <c r="I107" i="1"/>
  <c r="E107" i="1"/>
  <c r="AG106" i="1"/>
  <c r="AC106" i="1"/>
  <c r="U106" i="1"/>
  <c r="Q106" i="1"/>
  <c r="I106" i="1"/>
  <c r="E106" i="1"/>
  <c r="AG105" i="1"/>
  <c r="AC105" i="1"/>
  <c r="U105" i="1"/>
  <c r="Q105" i="1"/>
  <c r="I105" i="1"/>
  <c r="E105" i="1"/>
  <c r="U104" i="1"/>
  <c r="Q104" i="1"/>
  <c r="I104" i="1"/>
  <c r="E104" i="1"/>
  <c r="U103" i="1"/>
  <c r="Q103" i="1"/>
  <c r="I103" i="1"/>
  <c r="E103" i="1"/>
  <c r="U102" i="1"/>
  <c r="Q102" i="1"/>
  <c r="I102" i="1"/>
  <c r="E102" i="1"/>
  <c r="U101" i="1"/>
  <c r="Q101" i="1"/>
  <c r="I101" i="1"/>
  <c r="E101" i="1"/>
  <c r="I100" i="1"/>
  <c r="E100" i="1"/>
  <c r="AG98" i="1"/>
  <c r="AC98" i="1"/>
  <c r="U98" i="1"/>
  <c r="Q98" i="1"/>
  <c r="I98" i="1"/>
  <c r="E98" i="1"/>
  <c r="AG97" i="1"/>
  <c r="AC97" i="1"/>
  <c r="U97" i="1"/>
  <c r="Q97" i="1"/>
  <c r="I97" i="1"/>
  <c r="E97" i="1"/>
  <c r="I96" i="1"/>
  <c r="E96" i="1"/>
  <c r="AG95" i="1"/>
  <c r="AC95" i="1"/>
  <c r="U95" i="1"/>
  <c r="Q95" i="1"/>
  <c r="I95" i="1"/>
  <c r="E95" i="1"/>
  <c r="I94" i="1"/>
  <c r="E94" i="1"/>
  <c r="AG93" i="1"/>
  <c r="AC93" i="1"/>
  <c r="I93" i="1"/>
  <c r="E93" i="1"/>
  <c r="I92" i="1"/>
  <c r="E92" i="1"/>
  <c r="U91" i="1"/>
  <c r="Q91" i="1"/>
  <c r="I91" i="1"/>
  <c r="E91" i="1"/>
  <c r="AF83" i="1"/>
  <c r="AE83" i="1"/>
  <c r="AD83" i="1"/>
  <c r="AB83" i="1"/>
  <c r="AB13" i="1"/>
  <c r="AB40" i="1"/>
  <c r="AA83" i="1"/>
  <c r="Z83" i="1"/>
  <c r="AG76" i="1"/>
  <c r="AC76" i="1"/>
  <c r="AG75" i="1"/>
  <c r="AC75" i="1"/>
  <c r="AG74" i="1"/>
  <c r="AC74" i="1"/>
  <c r="AG73" i="1"/>
  <c r="AC73" i="1"/>
  <c r="AG72" i="1"/>
  <c r="AC72" i="1"/>
  <c r="AG71" i="1"/>
  <c r="AC71" i="1"/>
  <c r="AG70" i="1"/>
  <c r="AC70" i="1"/>
  <c r="AG69" i="1"/>
  <c r="AC69" i="1"/>
  <c r="AG68" i="1"/>
  <c r="AC68" i="1"/>
  <c r="AG67" i="1"/>
  <c r="AC67" i="1"/>
  <c r="AG66" i="1"/>
  <c r="AC66" i="1"/>
  <c r="AG65" i="1"/>
  <c r="AC65" i="1"/>
  <c r="AG64" i="1"/>
  <c r="AC64" i="1"/>
  <c r="AG63" i="1"/>
  <c r="AC63" i="1"/>
  <c r="AG62" i="1"/>
  <c r="AC62" i="1"/>
  <c r="AG61" i="1"/>
  <c r="AC61" i="1"/>
  <c r="AG60" i="1"/>
  <c r="AC60" i="1"/>
  <c r="AG55" i="1"/>
  <c r="AC55" i="1"/>
  <c r="AG54" i="1"/>
  <c r="AC54" i="1"/>
  <c r="AG53" i="1"/>
  <c r="AC53" i="1"/>
  <c r="AG52" i="1"/>
  <c r="AC52" i="1"/>
  <c r="AG48" i="1"/>
  <c r="AC48" i="1"/>
  <c r="AF40" i="1"/>
  <c r="AE40" i="1"/>
  <c r="AD40" i="1"/>
  <c r="Z40" i="1"/>
  <c r="AA40" i="1"/>
  <c r="AG38" i="1"/>
  <c r="AC38" i="1"/>
  <c r="AG37" i="1"/>
  <c r="AC37" i="1"/>
  <c r="AG35" i="1"/>
  <c r="AC35" i="1"/>
  <c r="AG34" i="1"/>
  <c r="AC34" i="1"/>
  <c r="AG33" i="1"/>
  <c r="AC33" i="1"/>
  <c r="AG32" i="1"/>
  <c r="AC32" i="1"/>
  <c r="AG31" i="1"/>
  <c r="AC31" i="1"/>
  <c r="AG30" i="1"/>
  <c r="AC30" i="1"/>
  <c r="AG29" i="1"/>
  <c r="AC29" i="1"/>
  <c r="AG28" i="1"/>
  <c r="AC28" i="1"/>
  <c r="AG27" i="1"/>
  <c r="AC27" i="1"/>
  <c r="AG26" i="1"/>
  <c r="AC26" i="1"/>
  <c r="AG25" i="1"/>
  <c r="AC25" i="1"/>
  <c r="AG24" i="1"/>
  <c r="AC24" i="1"/>
  <c r="AG23" i="1"/>
  <c r="AC23" i="1"/>
  <c r="AG22" i="1"/>
  <c r="AC22" i="1"/>
  <c r="AG21" i="1"/>
  <c r="AC21" i="1"/>
  <c r="AG20" i="1"/>
  <c r="AC20" i="1"/>
  <c r="AG19" i="1"/>
  <c r="AC19" i="1"/>
  <c r="AG17" i="1"/>
  <c r="AC17" i="1"/>
  <c r="AG14" i="1"/>
  <c r="AC14" i="1"/>
  <c r="AF13" i="1"/>
  <c r="AE13" i="1"/>
  <c r="AD13" i="1"/>
  <c r="Z13" i="1"/>
  <c r="AA13" i="1"/>
  <c r="AG12" i="1"/>
  <c r="AC12" i="1"/>
  <c r="AG11" i="1"/>
  <c r="AC11" i="1"/>
  <c r="AG10" i="1"/>
  <c r="AC10" i="1"/>
  <c r="AG7" i="1"/>
  <c r="AC7" i="1"/>
  <c r="AG6" i="1"/>
  <c r="AC6" i="1"/>
  <c r="AG5" i="1"/>
  <c r="AC5" i="1"/>
  <c r="AG4" i="1"/>
  <c r="AC4" i="1"/>
  <c r="Q58" i="1"/>
  <c r="U58" i="1"/>
  <c r="Q59" i="1"/>
  <c r="Q60" i="1"/>
  <c r="Q61" i="1"/>
  <c r="Q62" i="1"/>
  <c r="Q63" i="1"/>
  <c r="AB271" i="1"/>
  <c r="AF271" i="1"/>
  <c r="U38" i="1"/>
  <c r="Q38" i="1"/>
  <c r="U9" i="1"/>
  <c r="Q9" i="1"/>
  <c r="U79" i="1"/>
  <c r="Q79" i="1"/>
  <c r="AA271" i="1"/>
  <c r="AE271" i="1"/>
  <c r="I20" i="1"/>
  <c r="E20" i="1"/>
  <c r="I19" i="1"/>
  <c r="E19" i="1"/>
  <c r="I7" i="1"/>
  <c r="E7" i="1"/>
  <c r="I6" i="1"/>
  <c r="E6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18" i="1"/>
  <c r="E18" i="1"/>
  <c r="E17" i="1"/>
  <c r="J17" i="1" s="1"/>
  <c r="I16" i="1"/>
  <c r="E16" i="1"/>
  <c r="I15" i="1"/>
  <c r="E15" i="1"/>
  <c r="I14" i="1"/>
  <c r="E14" i="1"/>
  <c r="I12" i="1"/>
  <c r="E12" i="1"/>
  <c r="I11" i="1"/>
  <c r="E11" i="1"/>
  <c r="I10" i="1"/>
  <c r="E10" i="1"/>
  <c r="I9" i="1"/>
  <c r="E9" i="1"/>
  <c r="I8" i="1"/>
  <c r="E8" i="1"/>
  <c r="I5" i="1"/>
  <c r="E5" i="1"/>
  <c r="I4" i="1"/>
  <c r="E4" i="1"/>
  <c r="Q48" i="1"/>
  <c r="U48" i="1"/>
  <c r="Q55" i="1"/>
  <c r="U55" i="1"/>
  <c r="U59" i="1"/>
  <c r="U60" i="1"/>
  <c r="U61" i="1"/>
  <c r="U62" i="1"/>
  <c r="U63" i="1"/>
  <c r="Q64" i="1"/>
  <c r="U64" i="1"/>
  <c r="Q66" i="1"/>
  <c r="U66" i="1"/>
  <c r="Q67" i="1"/>
  <c r="U67" i="1"/>
  <c r="Q68" i="1"/>
  <c r="U68" i="1"/>
  <c r="Q69" i="1"/>
  <c r="U69" i="1"/>
  <c r="Q70" i="1"/>
  <c r="U70" i="1"/>
  <c r="Q71" i="1"/>
  <c r="U71" i="1"/>
  <c r="Q72" i="1"/>
  <c r="U72" i="1"/>
  <c r="Q73" i="1"/>
  <c r="U73" i="1"/>
  <c r="Q74" i="1"/>
  <c r="U74" i="1"/>
  <c r="Q75" i="1"/>
  <c r="U75" i="1"/>
  <c r="Q76" i="1"/>
  <c r="U76" i="1"/>
  <c r="Q77" i="1"/>
  <c r="U77" i="1"/>
  <c r="Q78" i="1"/>
  <c r="U78" i="1"/>
  <c r="Q80" i="1"/>
  <c r="U80" i="1"/>
  <c r="U18" i="1"/>
  <c r="Q18" i="1"/>
  <c r="U34" i="1"/>
  <c r="Q34" i="1"/>
  <c r="U33" i="1"/>
  <c r="Q33" i="1"/>
  <c r="U32" i="1"/>
  <c r="Q32" i="1"/>
  <c r="U31" i="1"/>
  <c r="Q31" i="1"/>
  <c r="U30" i="1"/>
  <c r="Q30" i="1"/>
  <c r="U29" i="1"/>
  <c r="Q29" i="1"/>
  <c r="U28" i="1"/>
  <c r="Q28" i="1"/>
  <c r="U27" i="1"/>
  <c r="Q27" i="1"/>
  <c r="U26" i="1"/>
  <c r="Q26" i="1"/>
  <c r="U25" i="1"/>
  <c r="Q25" i="1"/>
  <c r="U24" i="1"/>
  <c r="Q24" i="1"/>
  <c r="U23" i="1"/>
  <c r="Q23" i="1"/>
  <c r="U22" i="1"/>
  <c r="Q22" i="1"/>
  <c r="U21" i="1"/>
  <c r="Q21" i="1"/>
  <c r="U20" i="1"/>
  <c r="Q20" i="1"/>
  <c r="U19" i="1"/>
  <c r="Q19" i="1"/>
  <c r="U17" i="1"/>
  <c r="Q17" i="1"/>
  <c r="U15" i="1"/>
  <c r="Q15" i="1"/>
  <c r="U14" i="1"/>
  <c r="Q14" i="1"/>
  <c r="U12" i="1"/>
  <c r="Q12" i="1"/>
  <c r="U11" i="1"/>
  <c r="Q11" i="1"/>
  <c r="U10" i="1"/>
  <c r="Q10" i="1"/>
  <c r="U5" i="1"/>
  <c r="Q5" i="1"/>
  <c r="U4" i="1"/>
  <c r="Q4" i="1"/>
  <c r="AG262" i="1"/>
  <c r="AD271" i="1"/>
  <c r="Z271" i="1"/>
  <c r="AC262" i="1"/>
  <c r="D1074" i="1" l="1"/>
  <c r="H1074" i="1"/>
  <c r="F1074" i="1"/>
  <c r="N1031" i="1"/>
  <c r="I379" i="1"/>
  <c r="S1031" i="1"/>
  <c r="R1031" i="1"/>
  <c r="O1031" i="1"/>
  <c r="T1031" i="1"/>
  <c r="P1031" i="1"/>
  <c r="V822" i="1"/>
  <c r="R41" i="1"/>
  <c r="R47" i="1" s="1"/>
  <c r="R56" i="1" s="1"/>
  <c r="V415" i="1"/>
  <c r="J639" i="1"/>
  <c r="V838" i="1"/>
  <c r="V845" i="1"/>
  <c r="V986" i="1"/>
  <c r="V539" i="1"/>
  <c r="J626" i="1"/>
  <c r="J919" i="1"/>
  <c r="V807" i="1"/>
  <c r="J932" i="1"/>
  <c r="J934" i="1"/>
  <c r="E280" i="1"/>
  <c r="J280" i="1" s="1"/>
  <c r="I753" i="1"/>
  <c r="J753" i="1" s="1"/>
  <c r="V929" i="1"/>
  <c r="V932" i="1"/>
  <c r="V935" i="1"/>
  <c r="V280" i="1"/>
  <c r="AH469" i="1"/>
  <c r="AH551" i="1"/>
  <c r="V593" i="1"/>
  <c r="J629" i="1"/>
  <c r="J631" i="1"/>
  <c r="V632" i="1"/>
  <c r="V910" i="1"/>
  <c r="V913" i="1"/>
  <c r="E660" i="1"/>
  <c r="D685" i="1"/>
  <c r="D41" i="1"/>
  <c r="D47" i="1" s="1"/>
  <c r="I255" i="1"/>
  <c r="J986" i="1"/>
  <c r="V911" i="1"/>
  <c r="V924" i="1"/>
  <c r="V930" i="1"/>
  <c r="J909" i="1"/>
  <c r="J924" i="1"/>
  <c r="AH457" i="1"/>
  <c r="AH463" i="1"/>
  <c r="J554" i="1"/>
  <c r="J718" i="1"/>
  <c r="V740" i="1"/>
  <c r="V749" i="1"/>
  <c r="J885" i="1"/>
  <c r="I640" i="1"/>
  <c r="V393" i="1"/>
  <c r="V445" i="1"/>
  <c r="V448" i="1"/>
  <c r="AH522" i="1"/>
  <c r="V534" i="1"/>
  <c r="U169" i="1"/>
  <c r="E898" i="1"/>
  <c r="J372" i="1"/>
  <c r="AC513" i="1"/>
  <c r="V589" i="1"/>
  <c r="V678" i="1"/>
  <c r="J889" i="1"/>
  <c r="V494" i="1"/>
  <c r="J959" i="1"/>
  <c r="I40" i="1"/>
  <c r="J721" i="1"/>
  <c r="J727" i="1"/>
  <c r="J840" i="1"/>
  <c r="J842" i="1"/>
  <c r="J847" i="1"/>
  <c r="I898" i="1"/>
  <c r="J915" i="1"/>
  <c r="J918" i="1"/>
  <c r="J921" i="1"/>
  <c r="J927" i="1"/>
  <c r="I660" i="1"/>
  <c r="V875" i="1"/>
  <c r="AH525" i="1"/>
  <c r="J533" i="1"/>
  <c r="V536" i="1"/>
  <c r="AH537" i="1"/>
  <c r="J547" i="1"/>
  <c r="V549" i="1"/>
  <c r="J583" i="1"/>
  <c r="V716" i="1"/>
  <c r="J704" i="1"/>
  <c r="V769" i="1"/>
  <c r="V834" i="1"/>
  <c r="J940" i="1"/>
  <c r="I577" i="1"/>
  <c r="V917" i="1"/>
  <c r="AH460" i="1"/>
  <c r="AH462" i="1"/>
  <c r="AH465" i="1"/>
  <c r="AH466" i="1"/>
  <c r="V379" i="1"/>
  <c r="J627" i="1"/>
  <c r="J166" i="1"/>
  <c r="V723" i="1"/>
  <c r="J737" i="1"/>
  <c r="J742" i="1"/>
  <c r="V743" i="1"/>
  <c r="V762" i="1"/>
  <c r="V765" i="1"/>
  <c r="J877" i="1"/>
  <c r="J880" i="1"/>
  <c r="V890" i="1"/>
  <c r="J895" i="1"/>
  <c r="J897" i="1"/>
  <c r="J899" i="1"/>
  <c r="U900" i="1"/>
  <c r="Q212" i="1"/>
  <c r="I13" i="1"/>
  <c r="H642" i="1"/>
  <c r="I377" i="1"/>
  <c r="J326" i="1"/>
  <c r="I212" i="1"/>
  <c r="G685" i="1"/>
  <c r="V144" i="1"/>
  <c r="J879" i="1"/>
  <c r="J891" i="1"/>
  <c r="V874" i="1"/>
  <c r="J672" i="1"/>
  <c r="E445" i="1"/>
  <c r="J445" i="1" s="1"/>
  <c r="V713" i="1"/>
  <c r="V719" i="1"/>
  <c r="J694" i="1"/>
  <c r="J700" i="1"/>
  <c r="V624" i="1"/>
  <c r="V121" i="1"/>
  <c r="J892" i="1"/>
  <c r="J178" i="1"/>
  <c r="J184" i="1"/>
  <c r="J194" i="1"/>
  <c r="J197" i="1"/>
  <c r="AH552" i="1"/>
  <c r="V555" i="1"/>
  <c r="V489" i="1"/>
  <c r="V553" i="1"/>
  <c r="J607" i="1"/>
  <c r="AH198" i="1"/>
  <c r="AH201" i="1"/>
  <c r="J512" i="1"/>
  <c r="J548" i="1"/>
  <c r="V704" i="1"/>
  <c r="V722" i="1"/>
  <c r="J697" i="1"/>
  <c r="V751" i="1"/>
  <c r="J791" i="1"/>
  <c r="V792" i="1"/>
  <c r="V795" i="1"/>
  <c r="J836" i="1"/>
  <c r="V707" i="1"/>
  <c r="V741" i="1"/>
  <c r="V748" i="1"/>
  <c r="J866" i="1"/>
  <c r="J869" i="1"/>
  <c r="V626" i="1"/>
  <c r="V656" i="1"/>
  <c r="V101" i="1"/>
  <c r="J103" i="1"/>
  <c r="J140" i="1"/>
  <c r="J141" i="1"/>
  <c r="J156" i="1"/>
  <c r="J159" i="1"/>
  <c r="AH167" i="1"/>
  <c r="AH139" i="1"/>
  <c r="V223" i="1"/>
  <c r="J229" i="1"/>
  <c r="J230" i="1"/>
  <c r="V231" i="1"/>
  <c r="V232" i="1"/>
  <c r="V233" i="1"/>
  <c r="V239" i="1"/>
  <c r="V242" i="1"/>
  <c r="V249" i="1"/>
  <c r="V252" i="1"/>
  <c r="J263" i="1"/>
  <c r="V265" i="1"/>
  <c r="AH266" i="1"/>
  <c r="V285" i="1"/>
  <c r="V286" i="1"/>
  <c r="V316" i="1"/>
  <c r="AH317" i="1"/>
  <c r="J413" i="1"/>
  <c r="AH396" i="1"/>
  <c r="AF299" i="1"/>
  <c r="AF305" i="1" s="1"/>
  <c r="AF314" i="1" s="1"/>
  <c r="AF342" i="1" s="1"/>
  <c r="AF348" i="1" s="1"/>
  <c r="AF357" i="1" s="1"/>
  <c r="AF385" i="1" s="1"/>
  <c r="AF391" i="1" s="1"/>
  <c r="AF400" i="1" s="1"/>
  <c r="AF428" i="1" s="1"/>
  <c r="AF434" i="1" s="1"/>
  <c r="AF443" i="1" s="1"/>
  <c r="AF471" i="1" s="1"/>
  <c r="AF477" i="1" s="1"/>
  <c r="AF486" i="1" s="1"/>
  <c r="AF514" i="1" s="1"/>
  <c r="AF520" i="1" s="1"/>
  <c r="AF529" i="1" s="1"/>
  <c r="AF557" i="1" s="1"/>
  <c r="AH17" i="1"/>
  <c r="AH21" i="1"/>
  <c r="AH24" i="1"/>
  <c r="AH30" i="1"/>
  <c r="AH33" i="1"/>
  <c r="AH51" i="1"/>
  <c r="AH336" i="1"/>
  <c r="AH366" i="1"/>
  <c r="J455" i="1"/>
  <c r="AH531" i="1"/>
  <c r="AH541" i="1"/>
  <c r="J608" i="1"/>
  <c r="V609" i="1"/>
  <c r="J611" i="1"/>
  <c r="V612" i="1"/>
  <c r="J618" i="1"/>
  <c r="J620" i="1"/>
  <c r="J622" i="1"/>
  <c r="V623" i="1"/>
  <c r="J625" i="1"/>
  <c r="V628" i="1"/>
  <c r="V630" i="1"/>
  <c r="J632" i="1"/>
  <c r="V640" i="1"/>
  <c r="V598" i="1"/>
  <c r="J843" i="1"/>
  <c r="J845" i="1"/>
  <c r="V908" i="1"/>
  <c r="V914" i="1"/>
  <c r="V918" i="1"/>
  <c r="V921" i="1"/>
  <c r="V927" i="1"/>
  <c r="V933" i="1"/>
  <c r="V936" i="1"/>
  <c r="S214" i="1"/>
  <c r="U212" i="1"/>
  <c r="J914" i="1"/>
  <c r="J922" i="1"/>
  <c r="J928" i="1"/>
  <c r="J931" i="1"/>
  <c r="B556" i="1"/>
  <c r="E13" i="1"/>
  <c r="V849" i="1"/>
  <c r="V58" i="1"/>
  <c r="AH6" i="1"/>
  <c r="AE41" i="1"/>
  <c r="AE47" i="1" s="1"/>
  <c r="AE56" i="1" s="1"/>
  <c r="AE84" i="1" s="1"/>
  <c r="AE90" i="1" s="1"/>
  <c r="AE99" i="1" s="1"/>
  <c r="AE127" i="1" s="1"/>
  <c r="AE133" i="1" s="1"/>
  <c r="AE142" i="1" s="1"/>
  <c r="AE170" i="1" s="1"/>
  <c r="AE176" i="1" s="1"/>
  <c r="AE185" i="1" s="1"/>
  <c r="AE213" i="1" s="1"/>
  <c r="AE219" i="1" s="1"/>
  <c r="AE228" i="1" s="1"/>
  <c r="AE256" i="1" s="1"/>
  <c r="E712" i="1"/>
  <c r="J712" i="1" s="1"/>
  <c r="J489" i="1"/>
  <c r="J502" i="1"/>
  <c r="J503" i="1"/>
  <c r="J506" i="1"/>
  <c r="J508" i="1"/>
  <c r="V565" i="1"/>
  <c r="V568" i="1"/>
  <c r="V580" i="1"/>
  <c r="V583" i="1"/>
  <c r="V586" i="1"/>
  <c r="V592" i="1"/>
  <c r="J569" i="1"/>
  <c r="J573" i="1"/>
  <c r="J576" i="1"/>
  <c r="J542" i="1"/>
  <c r="J545" i="1"/>
  <c r="J653" i="1"/>
  <c r="J715" i="1"/>
  <c r="J722" i="1"/>
  <c r="J663" i="1"/>
  <c r="V665" i="1"/>
  <c r="V668" i="1"/>
  <c r="V767" i="1"/>
  <c r="J797" i="1"/>
  <c r="V798" i="1"/>
  <c r="J800" i="1"/>
  <c r="V804" i="1"/>
  <c r="J806" i="1"/>
  <c r="J809" i="1"/>
  <c r="J779" i="1"/>
  <c r="J781" i="1"/>
  <c r="V780" i="1"/>
  <c r="V824" i="1"/>
  <c r="J829" i="1"/>
  <c r="J883" i="1"/>
  <c r="U513" i="1"/>
  <c r="I365" i="1"/>
  <c r="J365" i="1" s="1"/>
  <c r="J587" i="1"/>
  <c r="AH554" i="1"/>
  <c r="V852" i="1"/>
  <c r="V779" i="1"/>
  <c r="J865" i="1"/>
  <c r="J871" i="1"/>
  <c r="J875" i="1"/>
  <c r="J881" i="1"/>
  <c r="J887" i="1"/>
  <c r="J893" i="1"/>
  <c r="V853" i="1"/>
  <c r="V67" i="1"/>
  <c r="U470" i="1"/>
  <c r="J53" i="1"/>
  <c r="V324" i="1"/>
  <c r="V325" i="1"/>
  <c r="AH328" i="1"/>
  <c r="AH340" i="1"/>
  <c r="J353" i="1"/>
  <c r="J354" i="1"/>
  <c r="V355" i="1"/>
  <c r="V356" i="1"/>
  <c r="AH377" i="1"/>
  <c r="AH382" i="1"/>
  <c r="J482" i="1"/>
  <c r="V331" i="1"/>
  <c r="AH332" i="1"/>
  <c r="AH334" i="1"/>
  <c r="AH337" i="1"/>
  <c r="AH498" i="1"/>
  <c r="J395" i="1"/>
  <c r="J398" i="1"/>
  <c r="AH297" i="1"/>
  <c r="AH265" i="1"/>
  <c r="J530" i="1"/>
  <c r="U83" i="1"/>
  <c r="AE299" i="1"/>
  <c r="AE305" i="1" s="1"/>
  <c r="AE314" i="1" s="1"/>
  <c r="AE342" i="1" s="1"/>
  <c r="AE348" i="1" s="1"/>
  <c r="AE357" i="1" s="1"/>
  <c r="AE385" i="1" s="1"/>
  <c r="AE391" i="1" s="1"/>
  <c r="AE400" i="1" s="1"/>
  <c r="AE428" i="1" s="1"/>
  <c r="AE434" i="1" s="1"/>
  <c r="AE443" i="1" s="1"/>
  <c r="AE471" i="1" s="1"/>
  <c r="AE477" i="1" s="1"/>
  <c r="AE486" i="1" s="1"/>
  <c r="AE514" i="1" s="1"/>
  <c r="AE520" i="1" s="1"/>
  <c r="AE529" i="1" s="1"/>
  <c r="AE557" i="1" s="1"/>
  <c r="J628" i="1"/>
  <c r="J679" i="1"/>
  <c r="J736" i="1"/>
  <c r="J738" i="1"/>
  <c r="J740" i="1"/>
  <c r="J743" i="1"/>
  <c r="V752" i="1"/>
  <c r="V758" i="1"/>
  <c r="V761" i="1"/>
  <c r="V764" i="1"/>
  <c r="Q900" i="1"/>
  <c r="J912" i="1"/>
  <c r="V102" i="1"/>
  <c r="V118" i="1"/>
  <c r="AH119" i="1"/>
  <c r="J146" i="1"/>
  <c r="J149" i="1"/>
  <c r="AH150" i="1"/>
  <c r="AH155" i="1"/>
  <c r="J192" i="1"/>
  <c r="AH223" i="1"/>
  <c r="AH237" i="1"/>
  <c r="AH244" i="1"/>
  <c r="AH254" i="1"/>
  <c r="AG255" i="1"/>
  <c r="J415" i="1"/>
  <c r="J421" i="1"/>
  <c r="J424" i="1"/>
  <c r="V464" i="1"/>
  <c r="V381" i="1"/>
  <c r="V382" i="1"/>
  <c r="V478" i="1"/>
  <c r="V479" i="1"/>
  <c r="V480" i="1"/>
  <c r="AH500" i="1"/>
  <c r="AH509" i="1"/>
  <c r="AH511" i="1"/>
  <c r="V522" i="1"/>
  <c r="V523" i="1"/>
  <c r="V525" i="1"/>
  <c r="AH527" i="1"/>
  <c r="J709" i="1"/>
  <c r="V711" i="1"/>
  <c r="V799" i="1"/>
  <c r="J234" i="1"/>
  <c r="AH276" i="1"/>
  <c r="AH371" i="1"/>
  <c r="AH392" i="1"/>
  <c r="AH395" i="1"/>
  <c r="AH402" i="1"/>
  <c r="AH414" i="1"/>
  <c r="AH417" i="1"/>
  <c r="AH420" i="1"/>
  <c r="AH426" i="1"/>
  <c r="V437" i="1"/>
  <c r="V439" i="1"/>
  <c r="V835" i="1"/>
  <c r="V909" i="1"/>
  <c r="V912" i="1"/>
  <c r="V915" i="1"/>
  <c r="V919" i="1"/>
  <c r="V928" i="1"/>
  <c r="V931" i="1"/>
  <c r="V934" i="1"/>
  <c r="V937" i="1"/>
  <c r="T214" i="1"/>
  <c r="U255" i="1"/>
  <c r="U13" i="1"/>
  <c r="U384" i="1"/>
  <c r="Q83" i="1"/>
  <c r="Q40" i="1"/>
  <c r="Q513" i="1"/>
  <c r="Q255" i="1"/>
  <c r="Q13" i="1"/>
  <c r="V940" i="1"/>
  <c r="J920" i="1"/>
  <c r="J923" i="1"/>
  <c r="J941" i="1"/>
  <c r="I83" i="1"/>
  <c r="G298" i="1"/>
  <c r="I298" i="1" s="1"/>
  <c r="E377" i="1"/>
  <c r="E255" i="1"/>
  <c r="J682" i="1"/>
  <c r="V841" i="1"/>
  <c r="V851" i="1"/>
  <c r="D384" i="1"/>
  <c r="J853" i="1"/>
  <c r="V770" i="1"/>
  <c r="V788" i="1"/>
  <c r="V865" i="1"/>
  <c r="J870" i="1"/>
  <c r="V884" i="1"/>
  <c r="J886" i="1"/>
  <c r="V527" i="1"/>
  <c r="V653" i="1"/>
  <c r="V661" i="1"/>
  <c r="V673" i="1"/>
  <c r="V676" i="1"/>
  <c r="J651" i="1"/>
  <c r="J655" i="1"/>
  <c r="J659" i="1"/>
  <c r="V78" i="1"/>
  <c r="J4" i="1"/>
  <c r="J30" i="1"/>
  <c r="AH210" i="1"/>
  <c r="V201" i="1"/>
  <c r="J669" i="1"/>
  <c r="J680" i="1"/>
  <c r="AH8" i="1"/>
  <c r="V292" i="1"/>
  <c r="V294" i="1"/>
  <c r="AH528" i="1"/>
  <c r="AH530" i="1"/>
  <c r="AH532" i="1"/>
  <c r="AH535" i="1"/>
  <c r="V537" i="1"/>
  <c r="AH538" i="1"/>
  <c r="V540" i="1"/>
  <c r="AH546" i="1"/>
  <c r="J549" i="1"/>
  <c r="V570" i="1"/>
  <c r="V621" i="1"/>
  <c r="AG341" i="1"/>
  <c r="V442" i="1"/>
  <c r="AH444" i="1"/>
  <c r="J446" i="1"/>
  <c r="V447" i="1"/>
  <c r="V76" i="1"/>
  <c r="J32" i="1"/>
  <c r="AH79" i="1"/>
  <c r="AH134" i="1"/>
  <c r="AH137" i="1"/>
  <c r="J158" i="1"/>
  <c r="J203" i="1"/>
  <c r="AH204" i="1"/>
  <c r="J206" i="1"/>
  <c r="J322" i="1"/>
  <c r="V327" i="1"/>
  <c r="AH329" i="1"/>
  <c r="AH526" i="1"/>
  <c r="J551" i="1"/>
  <c r="U40" i="1"/>
  <c r="AA299" i="1"/>
  <c r="AA305" i="1" s="1"/>
  <c r="AA314" i="1" s="1"/>
  <c r="AA342" i="1" s="1"/>
  <c r="AA348" i="1" s="1"/>
  <c r="AA357" i="1" s="1"/>
  <c r="AA385" i="1" s="1"/>
  <c r="AA391" i="1" s="1"/>
  <c r="AA400" i="1" s="1"/>
  <c r="AA428" i="1" s="1"/>
  <c r="AA434" i="1" s="1"/>
  <c r="AA443" i="1" s="1"/>
  <c r="AA471" i="1" s="1"/>
  <c r="AA477" i="1" s="1"/>
  <c r="AA486" i="1" s="1"/>
  <c r="AA514" i="1" s="1"/>
  <c r="AA520" i="1" s="1"/>
  <c r="AA529" i="1" s="1"/>
  <c r="AA557" i="1" s="1"/>
  <c r="J94" i="1"/>
  <c r="AH78" i="1"/>
  <c r="V250" i="1"/>
  <c r="V253" i="1"/>
  <c r="J273" i="1"/>
  <c r="AC298" i="1"/>
  <c r="AH315" i="1"/>
  <c r="AH274" i="1"/>
  <c r="AH451" i="1"/>
  <c r="AH453" i="1"/>
  <c r="AH456" i="1"/>
  <c r="J766" i="1"/>
  <c r="J794" i="1"/>
  <c r="AH37" i="1"/>
  <c r="AH196" i="1"/>
  <c r="V186" i="1"/>
  <c r="V270" i="1"/>
  <c r="J293" i="1"/>
  <c r="I296" i="1"/>
  <c r="J296" i="1" s="1"/>
  <c r="AG298" i="1"/>
  <c r="I339" i="1"/>
  <c r="V411" i="1"/>
  <c r="J422" i="1"/>
  <c r="V567" i="1"/>
  <c r="J582" i="1"/>
  <c r="J589" i="1"/>
  <c r="J592" i="1"/>
  <c r="J596" i="1"/>
  <c r="V551" i="1"/>
  <c r="J544" i="1"/>
  <c r="V674" i="1"/>
  <c r="V641" i="1"/>
  <c r="V727" i="1"/>
  <c r="J723" i="1"/>
  <c r="J726" i="1"/>
  <c r="V662" i="1"/>
  <c r="I546" i="1"/>
  <c r="J23" i="1"/>
  <c r="J483" i="1"/>
  <c r="J484" i="1"/>
  <c r="E169" i="1"/>
  <c r="AB41" i="1"/>
  <c r="AB47" i="1" s="1"/>
  <c r="AB56" i="1" s="1"/>
  <c r="AB84" i="1" s="1"/>
  <c r="AB90" i="1" s="1"/>
  <c r="AB99" i="1" s="1"/>
  <c r="AB127" i="1" s="1"/>
  <c r="AB133" i="1" s="1"/>
  <c r="AB142" i="1" s="1"/>
  <c r="AB170" i="1" s="1"/>
  <c r="AB176" i="1" s="1"/>
  <c r="AB185" i="1" s="1"/>
  <c r="AB213" i="1" s="1"/>
  <c r="AB219" i="1" s="1"/>
  <c r="AB228" i="1" s="1"/>
  <c r="AB256" i="1" s="1"/>
  <c r="V104" i="1"/>
  <c r="AH107" i="1"/>
  <c r="AH108" i="1"/>
  <c r="AH109" i="1"/>
  <c r="AH207" i="1"/>
  <c r="V208" i="1"/>
  <c r="J306" i="1"/>
  <c r="J310" i="1"/>
  <c r="AH439" i="1"/>
  <c r="AH440" i="1"/>
  <c r="J479" i="1"/>
  <c r="V530" i="1"/>
  <c r="AH553" i="1"/>
  <c r="J555" i="1"/>
  <c r="V487" i="1"/>
  <c r="J593" i="1"/>
  <c r="V753" i="1"/>
  <c r="J752" i="1"/>
  <c r="J750" i="1"/>
  <c r="E664" i="1"/>
  <c r="V33" i="1"/>
  <c r="J6" i="1"/>
  <c r="AH28" i="1"/>
  <c r="AH54" i="1"/>
  <c r="AH93" i="1"/>
  <c r="AH82" i="1"/>
  <c r="AH81" i="1"/>
  <c r="V49" i="1"/>
  <c r="AH94" i="1"/>
  <c r="J202" i="1"/>
  <c r="V164" i="1"/>
  <c r="AH310" i="1"/>
  <c r="V329" i="1"/>
  <c r="AH372" i="1"/>
  <c r="AH374" i="1"/>
  <c r="AH375" i="1"/>
  <c r="AH376" i="1"/>
  <c r="V339" i="1"/>
  <c r="AC427" i="1"/>
  <c r="V481" i="1"/>
  <c r="V482" i="1"/>
  <c r="V483" i="1"/>
  <c r="V484" i="1"/>
  <c r="AH496" i="1"/>
  <c r="AH497" i="1"/>
  <c r="AH510" i="1"/>
  <c r="AH512" i="1"/>
  <c r="V660" i="1"/>
  <c r="F599" i="1"/>
  <c r="I599" i="1" s="1"/>
  <c r="F384" i="1"/>
  <c r="E513" i="1"/>
  <c r="U126" i="1"/>
  <c r="R214" i="1"/>
  <c r="I330" i="1"/>
  <c r="J330" i="1" s="1"/>
  <c r="H341" i="1"/>
  <c r="P214" i="1"/>
  <c r="V141" i="1"/>
  <c r="V154" i="1"/>
  <c r="V156" i="1"/>
  <c r="V96" i="1"/>
  <c r="AH181" i="1"/>
  <c r="AH188" i="1"/>
  <c r="AH191" i="1"/>
  <c r="J196" i="1"/>
  <c r="J199" i="1"/>
  <c r="AH200" i="1"/>
  <c r="B298" i="1"/>
  <c r="E298" i="1" s="1"/>
  <c r="E287" i="1"/>
  <c r="J287" i="1" s="1"/>
  <c r="J14" i="1"/>
  <c r="J51" i="1"/>
  <c r="J54" i="1"/>
  <c r="J64" i="1"/>
  <c r="J19" i="1"/>
  <c r="AH378" i="1"/>
  <c r="AH380" i="1"/>
  <c r="J272" i="1"/>
  <c r="J408" i="1"/>
  <c r="B427" i="1"/>
  <c r="E411" i="1"/>
  <c r="J411" i="1" s="1"/>
  <c r="E339" i="1"/>
  <c r="B341" i="1"/>
  <c r="E546" i="1"/>
  <c r="C556" i="1"/>
  <c r="O41" i="1"/>
  <c r="O47" i="1" s="1"/>
  <c r="O56" i="1" s="1"/>
  <c r="O84" i="1" s="1"/>
  <c r="O90" i="1" s="1"/>
  <c r="O99" i="1" s="1"/>
  <c r="O127" i="1" s="1"/>
  <c r="AG271" i="1"/>
  <c r="AH98" i="1"/>
  <c r="AH106" i="1"/>
  <c r="AH112" i="1"/>
  <c r="AH118" i="1"/>
  <c r="J125" i="1"/>
  <c r="V326" i="1"/>
  <c r="V328" i="1"/>
  <c r="V460" i="1"/>
  <c r="E40" i="1"/>
  <c r="C41" i="1"/>
  <c r="C47" i="1" s="1"/>
  <c r="C56" i="1" s="1"/>
  <c r="C84" i="1" s="1"/>
  <c r="C90" i="1" s="1"/>
  <c r="AH287" i="1"/>
  <c r="V297" i="1"/>
  <c r="AH264" i="1"/>
  <c r="V226" i="1"/>
  <c r="I126" i="1"/>
  <c r="J71" i="1"/>
  <c r="V120" i="1"/>
  <c r="V57" i="1"/>
  <c r="V137" i="1"/>
  <c r="AH140" i="1"/>
  <c r="AH158" i="1"/>
  <c r="AH160" i="1"/>
  <c r="AH96" i="1"/>
  <c r="J119" i="1"/>
  <c r="V150" i="1"/>
  <c r="J223" i="1"/>
  <c r="J233" i="1"/>
  <c r="J238" i="1"/>
  <c r="J240" i="1"/>
  <c r="J208" i="1"/>
  <c r="J265" i="1"/>
  <c r="V267" i="1"/>
  <c r="AH269" i="1"/>
  <c r="V337" i="1"/>
  <c r="V369" i="1"/>
  <c r="AH373" i="1"/>
  <c r="V351" i="1"/>
  <c r="AH459" i="1"/>
  <c r="V671" i="1"/>
  <c r="V679" i="1"/>
  <c r="V842" i="1"/>
  <c r="V847" i="1"/>
  <c r="V17" i="1"/>
  <c r="AH55" i="1"/>
  <c r="AH74" i="1"/>
  <c r="AG83" i="1"/>
  <c r="J92" i="1"/>
  <c r="V204" i="1"/>
  <c r="J283" i="1"/>
  <c r="J285" i="1"/>
  <c r="J286" i="1"/>
  <c r="V295" i="1"/>
  <c r="V406" i="1"/>
  <c r="V409" i="1"/>
  <c r="AH481" i="1"/>
  <c r="AH482" i="1"/>
  <c r="AH483" i="1"/>
  <c r="J598" i="1"/>
  <c r="V616" i="1"/>
  <c r="V718" i="1"/>
  <c r="J703" i="1"/>
  <c r="J724" i="1"/>
  <c r="J768" i="1"/>
  <c r="V739" i="1"/>
  <c r="J789" i="1"/>
  <c r="V791" i="1"/>
  <c r="J793" i="1"/>
  <c r="J802" i="1"/>
  <c r="V839" i="1"/>
  <c r="V59" i="1"/>
  <c r="AD41" i="1"/>
  <c r="AD47" i="1" s="1"/>
  <c r="AD56" i="1" s="1"/>
  <c r="AD84" i="1" s="1"/>
  <c r="V110" i="1"/>
  <c r="V145" i="1"/>
  <c r="V147" i="1"/>
  <c r="V148" i="1"/>
  <c r="AH149" i="1"/>
  <c r="J151" i="1"/>
  <c r="V198" i="1"/>
  <c r="V207" i="1"/>
  <c r="V168" i="1"/>
  <c r="J279" i="1"/>
  <c r="V283" i="1"/>
  <c r="V284" i="1"/>
  <c r="V287" i="1"/>
  <c r="V291" i="1"/>
  <c r="AH294" i="1"/>
  <c r="V359" i="1"/>
  <c r="AH370" i="1"/>
  <c r="AH381" i="1"/>
  <c r="J383" i="1"/>
  <c r="AC384" i="1"/>
  <c r="AH316" i="1"/>
  <c r="V274" i="1"/>
  <c r="V418" i="1"/>
  <c r="J453" i="1"/>
  <c r="J454" i="1"/>
  <c r="J532" i="1"/>
  <c r="V542" i="1"/>
  <c r="V569" i="1"/>
  <c r="V573" i="1"/>
  <c r="V576" i="1"/>
  <c r="V584" i="1"/>
  <c r="J564" i="1"/>
  <c r="J567" i="1"/>
  <c r="J570" i="1"/>
  <c r="J574" i="1"/>
  <c r="J591" i="1"/>
  <c r="J595" i="1"/>
  <c r="V625" i="1"/>
  <c r="J671" i="1"/>
  <c r="J675" i="1"/>
  <c r="J792" i="1"/>
  <c r="V793" i="1"/>
  <c r="J795" i="1"/>
  <c r="J807" i="1"/>
  <c r="J810" i="1"/>
  <c r="V889" i="1"/>
  <c r="Q685" i="1"/>
  <c r="Q427" i="1"/>
  <c r="Q169" i="1"/>
  <c r="J12" i="1"/>
  <c r="J69" i="1"/>
  <c r="AH36" i="1"/>
  <c r="AH125" i="1"/>
  <c r="J137" i="1"/>
  <c r="J138" i="1"/>
  <c r="J139" i="1"/>
  <c r="J211" i="1"/>
  <c r="V177" i="1"/>
  <c r="V183" i="1"/>
  <c r="V196" i="1"/>
  <c r="V199" i="1"/>
  <c r="V202" i="1"/>
  <c r="V166" i="1"/>
  <c r="V165" i="1"/>
  <c r="AH233" i="1"/>
  <c r="AH240" i="1"/>
  <c r="V264" i="1"/>
  <c r="J268" i="1"/>
  <c r="J269" i="1"/>
  <c r="AH290" i="1"/>
  <c r="J337" i="1"/>
  <c r="J349" i="1"/>
  <c r="J350" i="1"/>
  <c r="J351" i="1"/>
  <c r="V352" i="1"/>
  <c r="AH356" i="1"/>
  <c r="AH358" i="1"/>
  <c r="AH367" i="1"/>
  <c r="V374" i="1"/>
  <c r="V375" i="1"/>
  <c r="AH407" i="1"/>
  <c r="AH410" i="1"/>
  <c r="AH413" i="1"/>
  <c r="J528" i="1"/>
  <c r="E900" i="1"/>
  <c r="J360" i="1"/>
  <c r="J849" i="1"/>
  <c r="J481" i="1"/>
  <c r="V509" i="1"/>
  <c r="V511" i="1"/>
  <c r="J524" i="1"/>
  <c r="J525" i="1"/>
  <c r="V564" i="1"/>
  <c r="V638" i="1"/>
  <c r="V697" i="1"/>
  <c r="V726" i="1"/>
  <c r="V659" i="1"/>
  <c r="J665" i="1"/>
  <c r="J769" i="1"/>
  <c r="J746" i="1"/>
  <c r="J878" i="1"/>
  <c r="Q341" i="1"/>
  <c r="Q556" i="1"/>
  <c r="Q298" i="1"/>
  <c r="V938" i="1"/>
  <c r="J908" i="1"/>
  <c r="J925" i="1"/>
  <c r="I169" i="1"/>
  <c r="J874" i="1"/>
  <c r="AH52" i="1"/>
  <c r="V22" i="1"/>
  <c r="V77" i="1"/>
  <c r="V74" i="1"/>
  <c r="V64" i="1"/>
  <c r="J143" i="1"/>
  <c r="J275" i="1"/>
  <c r="J276" i="1"/>
  <c r="V272" i="1"/>
  <c r="J394" i="1"/>
  <c r="J34" i="1"/>
  <c r="AH115" i="1"/>
  <c r="AH117" i="1"/>
  <c r="V190" i="1"/>
  <c r="V193" i="1"/>
  <c r="AH368" i="1"/>
  <c r="J48" i="1"/>
  <c r="J102" i="1"/>
  <c r="V103" i="1"/>
  <c r="J105" i="1"/>
  <c r="J107" i="1"/>
  <c r="J108" i="1"/>
  <c r="J144" i="1"/>
  <c r="AH156" i="1"/>
  <c r="J183" i="1"/>
  <c r="J242" i="1"/>
  <c r="J243" i="1"/>
  <c r="J244" i="1"/>
  <c r="J245" i="1"/>
  <c r="J246" i="1"/>
  <c r="J252" i="1"/>
  <c r="J253" i="1"/>
  <c r="J254" i="1"/>
  <c r="J291" i="1"/>
  <c r="AH339" i="1"/>
  <c r="AH354" i="1"/>
  <c r="AH478" i="1"/>
  <c r="AH479" i="1"/>
  <c r="AH480" i="1"/>
  <c r="V485" i="1"/>
  <c r="AH487" i="1"/>
  <c r="AH488" i="1"/>
  <c r="J490" i="1"/>
  <c r="AH502" i="1"/>
  <c r="AH503" i="1"/>
  <c r="AH504" i="1"/>
  <c r="AH505" i="1"/>
  <c r="AH507" i="1"/>
  <c r="AH508" i="1"/>
  <c r="V436" i="1"/>
  <c r="J523" i="1"/>
  <c r="J531" i="1"/>
  <c r="AH540" i="1"/>
  <c r="AH543" i="1"/>
  <c r="AH545" i="1"/>
  <c r="V550" i="1"/>
  <c r="J553" i="1"/>
  <c r="E126" i="1"/>
  <c r="J630" i="1"/>
  <c r="J371" i="1"/>
  <c r="V699" i="1"/>
  <c r="J763" i="1"/>
  <c r="J757" i="1"/>
  <c r="J754" i="1"/>
  <c r="J868" i="1"/>
  <c r="U599" i="1"/>
  <c r="S41" i="1"/>
  <c r="S47" i="1" s="1"/>
  <c r="S56" i="1" s="1"/>
  <c r="S84" i="1" s="1"/>
  <c r="S90" i="1" s="1"/>
  <c r="S99" i="1" s="1"/>
  <c r="S127" i="1" s="1"/>
  <c r="S133" i="1" s="1"/>
  <c r="S142" i="1" s="1"/>
  <c r="S170" i="1" s="1"/>
  <c r="S176" i="1" s="1"/>
  <c r="S185" i="1" s="1"/>
  <c r="S213" i="1" s="1"/>
  <c r="S219" i="1" s="1"/>
  <c r="S228" i="1" s="1"/>
  <c r="S256" i="1" s="1"/>
  <c r="S262" i="1" s="1"/>
  <c r="S271" i="1" s="1"/>
  <c r="S299" i="1" s="1"/>
  <c r="S305" i="1" s="1"/>
  <c r="S314" i="1" s="1"/>
  <c r="S342" i="1" s="1"/>
  <c r="S348" i="1" s="1"/>
  <c r="S357" i="1" s="1"/>
  <c r="S385" i="1" s="1"/>
  <c r="S391" i="1" s="1"/>
  <c r="S400" i="1" s="1"/>
  <c r="S428" i="1" s="1"/>
  <c r="S434" i="1" s="1"/>
  <c r="S443" i="1" s="1"/>
  <c r="S471" i="1" s="1"/>
  <c r="S477" i="1" s="1"/>
  <c r="S486" i="1" s="1"/>
  <c r="S514" i="1" s="1"/>
  <c r="S520" i="1" s="1"/>
  <c r="S529" i="1" s="1"/>
  <c r="S557" i="1" s="1"/>
  <c r="S563" i="1" s="1"/>
  <c r="S572" i="1" s="1"/>
  <c r="S600" i="1" s="1"/>
  <c r="S606" i="1" s="1"/>
  <c r="S615" i="1" s="1"/>
  <c r="S643" i="1" s="1"/>
  <c r="S649" i="1" s="1"/>
  <c r="S658" i="1" s="1"/>
  <c r="S686" i="1" s="1"/>
  <c r="S692" i="1" s="1"/>
  <c r="S701" i="1" s="1"/>
  <c r="S729" i="1" s="1"/>
  <c r="S735" i="1" s="1"/>
  <c r="S744" i="1" s="1"/>
  <c r="S772" i="1" s="1"/>
  <c r="S778" i="1" s="1"/>
  <c r="S787" i="1" s="1"/>
  <c r="S815" i="1" s="1"/>
  <c r="S821" i="1" s="1"/>
  <c r="S830" i="1" s="1"/>
  <c r="S858" i="1" s="1"/>
  <c r="S864" i="1" s="1"/>
  <c r="S873" i="1" s="1"/>
  <c r="S901" i="1" s="1"/>
  <c r="S907" i="1" s="1"/>
  <c r="S916" i="1" s="1"/>
  <c r="S944" i="1" s="1"/>
  <c r="S950" i="1" s="1"/>
  <c r="S959" i="1" s="1"/>
  <c r="S987" i="1" s="1"/>
  <c r="S993" i="1" s="1"/>
  <c r="S1002" i="1" s="1"/>
  <c r="S1030" i="1" s="1"/>
  <c r="S1036" i="1" s="1"/>
  <c r="S1045" i="1" s="1"/>
  <c r="S1073" i="1" s="1"/>
  <c r="S1079" i="1" s="1"/>
  <c r="S1088" i="1" s="1"/>
  <c r="S1116" i="1" s="1"/>
  <c r="S1122" i="1" s="1"/>
  <c r="S1131" i="1" s="1"/>
  <c r="S1159" i="1" s="1"/>
  <c r="S1165" i="1" s="1"/>
  <c r="S1174" i="1" s="1"/>
  <c r="S1202" i="1" s="1"/>
  <c r="S1208" i="1" s="1"/>
  <c r="S1217" i="1" s="1"/>
  <c r="S1245" i="1" s="1"/>
  <c r="S1251" i="1" s="1"/>
  <c r="S1260" i="1" s="1"/>
  <c r="S1288" i="1" s="1"/>
  <c r="S1294" i="1" s="1"/>
  <c r="S1303" i="1" s="1"/>
  <c r="S1331" i="1" s="1"/>
  <c r="S1337" i="1" s="1"/>
  <c r="S1346" i="1" s="1"/>
  <c r="S1374" i="1" s="1"/>
  <c r="S1380" i="1" s="1"/>
  <c r="S1389" i="1" s="1"/>
  <c r="S1417" i="1" s="1"/>
  <c r="S1423" i="1" s="1"/>
  <c r="S1432" i="1" s="1"/>
  <c r="S1460" i="1" s="1"/>
  <c r="S1466" i="1" s="1"/>
  <c r="S1475" i="1" s="1"/>
  <c r="S1503" i="1" s="1"/>
  <c r="S1509" i="1" s="1"/>
  <c r="S1518" i="1" s="1"/>
  <c r="S1546" i="1" s="1"/>
  <c r="S1552" i="1" s="1"/>
  <c r="S1561" i="1" s="1"/>
  <c r="S1589" i="1" s="1"/>
  <c r="S1595" i="1" s="1"/>
  <c r="S1604" i="1" s="1"/>
  <c r="S1632" i="1" s="1"/>
  <c r="S1638" i="1" s="1"/>
  <c r="S1647" i="1" s="1"/>
  <c r="S1675" i="1" s="1"/>
  <c r="S1681" i="1" s="1"/>
  <c r="S1690" i="1" s="1"/>
  <c r="S1718" i="1" s="1"/>
  <c r="S1724" i="1" s="1"/>
  <c r="S1733" i="1" s="1"/>
  <c r="S1761" i="1" s="1"/>
  <c r="S1767" i="1" s="1"/>
  <c r="S1776" i="1" s="1"/>
  <c r="S1804" i="1" s="1"/>
  <c r="S1810" i="1" s="1"/>
  <c r="S1819" i="1" s="1"/>
  <c r="S1847" i="1" s="1"/>
  <c r="S1853" i="1" s="1"/>
  <c r="S1862" i="1" s="1"/>
  <c r="S1890" i="1" s="1"/>
  <c r="S1896" i="1" s="1"/>
  <c r="S1905" i="1" s="1"/>
  <c r="S1933" i="1" s="1"/>
  <c r="Q599" i="1"/>
  <c r="V5" i="1"/>
  <c r="V23" i="1"/>
  <c r="J59" i="1"/>
  <c r="J68" i="1"/>
  <c r="J76" i="1"/>
  <c r="J79" i="1"/>
  <c r="J111" i="1"/>
  <c r="J113" i="1"/>
  <c r="J115" i="1"/>
  <c r="V50" i="1"/>
  <c r="AH58" i="1"/>
  <c r="AH143" i="1"/>
  <c r="AH180" i="1"/>
  <c r="AH203" i="1"/>
  <c r="AH208" i="1"/>
  <c r="V229" i="1"/>
  <c r="V237" i="1"/>
  <c r="V238" i="1"/>
  <c r="V273" i="1"/>
  <c r="V275" i="1"/>
  <c r="V311" i="1"/>
  <c r="J361" i="1"/>
  <c r="V403" i="1"/>
  <c r="J418" i="1"/>
  <c r="AH408" i="1"/>
  <c r="J444" i="1"/>
  <c r="V454" i="1"/>
  <c r="V455" i="1"/>
  <c r="V458" i="1"/>
  <c r="V538" i="1"/>
  <c r="AH544" i="1"/>
  <c r="V547" i="1"/>
  <c r="AH548" i="1"/>
  <c r="AH549" i="1"/>
  <c r="J552" i="1"/>
  <c r="J588" i="1"/>
  <c r="V595" i="1"/>
  <c r="J537" i="1"/>
  <c r="J540" i="1"/>
  <c r="V535" i="1"/>
  <c r="V633" i="1"/>
  <c r="V680" i="1"/>
  <c r="J748" i="1"/>
  <c r="V766" i="1"/>
  <c r="V811" i="1"/>
  <c r="J780" i="1"/>
  <c r="J848" i="1"/>
  <c r="T41" i="1"/>
  <c r="T47" i="1" s="1"/>
  <c r="T56" i="1" s="1"/>
  <c r="T84" i="1" s="1"/>
  <c r="T90" i="1" s="1"/>
  <c r="T99" i="1" s="1"/>
  <c r="T127" i="1" s="1"/>
  <c r="T133" i="1" s="1"/>
  <c r="T142" i="1" s="1"/>
  <c r="T170" i="1" s="1"/>
  <c r="T176" i="1" s="1"/>
  <c r="T185" i="1" s="1"/>
  <c r="T213" i="1" s="1"/>
  <c r="T219" i="1" s="1"/>
  <c r="T228" i="1" s="1"/>
  <c r="T256" i="1" s="1"/>
  <c r="T262" i="1" s="1"/>
  <c r="T271" i="1" s="1"/>
  <c r="T299" i="1" s="1"/>
  <c r="T305" i="1" s="1"/>
  <c r="T314" i="1" s="1"/>
  <c r="T342" i="1" s="1"/>
  <c r="T348" i="1" s="1"/>
  <c r="T357" i="1" s="1"/>
  <c r="T385" i="1" s="1"/>
  <c r="T391" i="1" s="1"/>
  <c r="T400" i="1" s="1"/>
  <c r="T428" i="1" s="1"/>
  <c r="T434" i="1" s="1"/>
  <c r="T443" i="1" s="1"/>
  <c r="T471" i="1" s="1"/>
  <c r="T477" i="1" s="1"/>
  <c r="T486" i="1" s="1"/>
  <c r="T514" i="1" s="1"/>
  <c r="T520" i="1" s="1"/>
  <c r="T529" i="1" s="1"/>
  <c r="T557" i="1" s="1"/>
  <c r="T563" i="1" s="1"/>
  <c r="T572" i="1" s="1"/>
  <c r="T600" i="1" s="1"/>
  <c r="T606" i="1" s="1"/>
  <c r="T615" i="1" s="1"/>
  <c r="T643" i="1" s="1"/>
  <c r="T649" i="1" s="1"/>
  <c r="T658" i="1" s="1"/>
  <c r="T686" i="1" s="1"/>
  <c r="T692" i="1" s="1"/>
  <c r="T701" i="1" s="1"/>
  <c r="T729" i="1" s="1"/>
  <c r="T735" i="1" s="1"/>
  <c r="T744" i="1" s="1"/>
  <c r="T772" i="1" s="1"/>
  <c r="T778" i="1" s="1"/>
  <c r="T787" i="1" s="1"/>
  <c r="T815" i="1" s="1"/>
  <c r="T821" i="1" s="1"/>
  <c r="T830" i="1" s="1"/>
  <c r="T858" i="1" s="1"/>
  <c r="T864" i="1" s="1"/>
  <c r="T873" i="1" s="1"/>
  <c r="T901" i="1" s="1"/>
  <c r="T907" i="1" s="1"/>
  <c r="T916" i="1" s="1"/>
  <c r="T944" i="1" s="1"/>
  <c r="T950" i="1" s="1"/>
  <c r="T959" i="1" s="1"/>
  <c r="T987" i="1" s="1"/>
  <c r="T993" i="1" s="1"/>
  <c r="T1002" i="1" s="1"/>
  <c r="T1030" i="1" s="1"/>
  <c r="T1036" i="1" s="1"/>
  <c r="T1045" i="1" s="1"/>
  <c r="T1073" i="1" s="1"/>
  <c r="T1079" i="1" s="1"/>
  <c r="T1088" i="1" s="1"/>
  <c r="T1116" i="1" s="1"/>
  <c r="T1122" i="1" s="1"/>
  <c r="J926" i="1"/>
  <c r="J935" i="1"/>
  <c r="I594" i="1"/>
  <c r="J594" i="1" s="1"/>
  <c r="V24" i="1"/>
  <c r="V30" i="1"/>
  <c r="V61" i="1"/>
  <c r="V9" i="1"/>
  <c r="AH16" i="1"/>
  <c r="V8" i="1"/>
  <c r="V16" i="1"/>
  <c r="AH49" i="1"/>
  <c r="AH103" i="1"/>
  <c r="V136" i="1"/>
  <c r="V151" i="1"/>
  <c r="V152" i="1"/>
  <c r="J160" i="1"/>
  <c r="J161" i="1"/>
  <c r="J162" i="1"/>
  <c r="J163" i="1"/>
  <c r="AH164" i="1"/>
  <c r="AH202" i="1"/>
  <c r="J207" i="1"/>
  <c r="J209" i="1"/>
  <c r="V206" i="1"/>
  <c r="V209" i="1"/>
  <c r="V211" i="1"/>
  <c r="AH239" i="1"/>
  <c r="V277" i="1"/>
  <c r="V279" i="1"/>
  <c r="AH281" i="1"/>
  <c r="AH285" i="1"/>
  <c r="AH286" i="1"/>
  <c r="J327" i="1"/>
  <c r="J328" i="1"/>
  <c r="V360" i="1"/>
  <c r="V361" i="1"/>
  <c r="V362" i="1"/>
  <c r="V363" i="1"/>
  <c r="V364" i="1"/>
  <c r="V394" i="1"/>
  <c r="V401" i="1"/>
  <c r="J403" i="1"/>
  <c r="V340" i="1"/>
  <c r="J436" i="1"/>
  <c r="V582" i="1"/>
  <c r="J579" i="1"/>
  <c r="J585" i="1"/>
  <c r="J534" i="1"/>
  <c r="V611" i="1"/>
  <c r="J613" i="1"/>
  <c r="V622" i="1"/>
  <c r="J527" i="1"/>
  <c r="V651" i="1"/>
  <c r="J719" i="1"/>
  <c r="J707" i="1"/>
  <c r="V810" i="1"/>
  <c r="V832" i="1"/>
  <c r="V855" i="1"/>
  <c r="V790" i="1"/>
  <c r="P41" i="1"/>
  <c r="P47" i="1" s="1"/>
  <c r="P56" i="1" s="1"/>
  <c r="P84" i="1" s="1"/>
  <c r="P90" i="1" s="1"/>
  <c r="P99" i="1" s="1"/>
  <c r="P127" i="1" s="1"/>
  <c r="P133" i="1" s="1"/>
  <c r="P142" i="1" s="1"/>
  <c r="P170" i="1" s="1"/>
  <c r="P176" i="1" s="1"/>
  <c r="P185" i="1" s="1"/>
  <c r="P213" i="1" s="1"/>
  <c r="P219" i="1" s="1"/>
  <c r="P228" i="1" s="1"/>
  <c r="P256" i="1" s="1"/>
  <c r="P262" i="1" s="1"/>
  <c r="P271" i="1" s="1"/>
  <c r="P299" i="1" s="1"/>
  <c r="P305" i="1" s="1"/>
  <c r="P314" i="1" s="1"/>
  <c r="P342" i="1" s="1"/>
  <c r="P348" i="1" s="1"/>
  <c r="P357" i="1" s="1"/>
  <c r="P385" i="1" s="1"/>
  <c r="P391" i="1" s="1"/>
  <c r="P400" i="1" s="1"/>
  <c r="P428" i="1" s="1"/>
  <c r="P434" i="1" s="1"/>
  <c r="P443" i="1" s="1"/>
  <c r="P471" i="1" s="1"/>
  <c r="P477" i="1" s="1"/>
  <c r="P486" i="1" s="1"/>
  <c r="P514" i="1" s="1"/>
  <c r="P520" i="1" s="1"/>
  <c r="P529" i="1" s="1"/>
  <c r="P557" i="1" s="1"/>
  <c r="P563" i="1" s="1"/>
  <c r="P572" i="1" s="1"/>
  <c r="P600" i="1" s="1"/>
  <c r="P606" i="1" s="1"/>
  <c r="P615" i="1" s="1"/>
  <c r="P643" i="1" s="1"/>
  <c r="P649" i="1" s="1"/>
  <c r="P658" i="1" s="1"/>
  <c r="P686" i="1" s="1"/>
  <c r="P692" i="1" s="1"/>
  <c r="P701" i="1" s="1"/>
  <c r="P729" i="1" s="1"/>
  <c r="P735" i="1" s="1"/>
  <c r="P744" i="1" s="1"/>
  <c r="P772" i="1" s="1"/>
  <c r="P778" i="1" s="1"/>
  <c r="P787" i="1" s="1"/>
  <c r="P815" i="1" s="1"/>
  <c r="P821" i="1" s="1"/>
  <c r="P830" i="1" s="1"/>
  <c r="P858" i="1" s="1"/>
  <c r="P864" i="1" s="1"/>
  <c r="P873" i="1" s="1"/>
  <c r="P901" i="1" s="1"/>
  <c r="P907" i="1" s="1"/>
  <c r="P916" i="1" s="1"/>
  <c r="P944" i="1" s="1"/>
  <c r="P950" i="1" s="1"/>
  <c r="P959" i="1" s="1"/>
  <c r="P987" i="1" s="1"/>
  <c r="P993" i="1" s="1"/>
  <c r="P1002" i="1" s="1"/>
  <c r="P1030" i="1" s="1"/>
  <c r="P1036" i="1" s="1"/>
  <c r="P1045" i="1" s="1"/>
  <c r="P1073" i="1" s="1"/>
  <c r="P1079" i="1" s="1"/>
  <c r="P1088" i="1" s="1"/>
  <c r="P1116" i="1" s="1"/>
  <c r="P1122" i="1" s="1"/>
  <c r="P1131" i="1" s="1"/>
  <c r="P1159" i="1" s="1"/>
  <c r="P1165" i="1" s="1"/>
  <c r="P1174" i="1" s="1"/>
  <c r="P1202" i="1" s="1"/>
  <c r="P1208" i="1" s="1"/>
  <c r="P1217" i="1" s="1"/>
  <c r="P1245" i="1" s="1"/>
  <c r="P1251" i="1" s="1"/>
  <c r="P1260" i="1" s="1"/>
  <c r="P1288" i="1" s="1"/>
  <c r="P1294" i="1" s="1"/>
  <c r="P1303" i="1" s="1"/>
  <c r="P1331" i="1" s="1"/>
  <c r="P1337" i="1" s="1"/>
  <c r="AH262" i="1"/>
  <c r="J33" i="1"/>
  <c r="AH141" i="1"/>
  <c r="J181" i="1"/>
  <c r="AH189" i="1"/>
  <c r="J191" i="1"/>
  <c r="AH247" i="1"/>
  <c r="V317" i="1"/>
  <c r="V368" i="1"/>
  <c r="J378" i="1"/>
  <c r="J381" i="1"/>
  <c r="AH383" i="1"/>
  <c r="AH309" i="1"/>
  <c r="V417" i="1"/>
  <c r="V639" i="1"/>
  <c r="V617" i="1"/>
  <c r="J670" i="1"/>
  <c r="V702" i="1"/>
  <c r="V717" i="1"/>
  <c r="V724" i="1"/>
  <c r="J758" i="1"/>
  <c r="Q943" i="1"/>
  <c r="Q642" i="1"/>
  <c r="Q384" i="1"/>
  <c r="N214" i="1"/>
  <c r="E380" i="1"/>
  <c r="J72" i="1"/>
  <c r="J75" i="1"/>
  <c r="J78" i="1"/>
  <c r="J81" i="1"/>
  <c r="J7" i="1"/>
  <c r="V38" i="1"/>
  <c r="AH35" i="1"/>
  <c r="AH61" i="1"/>
  <c r="AH64" i="1"/>
  <c r="J124" i="1"/>
  <c r="AH135" i="1"/>
  <c r="AH166" i="1"/>
  <c r="J168" i="1"/>
  <c r="J239" i="1"/>
  <c r="AH267" i="1"/>
  <c r="AH268" i="1"/>
  <c r="J321" i="1"/>
  <c r="J325" i="1"/>
  <c r="J333" i="1"/>
  <c r="J334" i="1"/>
  <c r="J335" i="1"/>
  <c r="J336" i="1"/>
  <c r="AH361" i="1"/>
  <c r="AH362" i="1"/>
  <c r="AH363" i="1"/>
  <c r="AH364" i="1"/>
  <c r="J373" i="1"/>
  <c r="J374" i="1"/>
  <c r="J376" i="1"/>
  <c r="AH272" i="1"/>
  <c r="AH397" i="1"/>
  <c r="AH401" i="1"/>
  <c r="AH404" i="1"/>
  <c r="V332" i="1"/>
  <c r="J449" i="1"/>
  <c r="J451" i="1"/>
  <c r="J460" i="1"/>
  <c r="J597" i="1"/>
  <c r="J536" i="1"/>
  <c r="J539" i="1"/>
  <c r="V635" i="1"/>
  <c r="V613" i="1"/>
  <c r="J616" i="1"/>
  <c r="V619" i="1"/>
  <c r="J621" i="1"/>
  <c r="J623" i="1"/>
  <c r="V629" i="1"/>
  <c r="V631" i="1"/>
  <c r="J633" i="1"/>
  <c r="V578" i="1"/>
  <c r="J678" i="1"/>
  <c r="J654" i="1"/>
  <c r="V745" i="1"/>
  <c r="V797" i="1"/>
  <c r="V809" i="1"/>
  <c r="J811" i="1"/>
  <c r="J813" i="1"/>
  <c r="V831" i="1"/>
  <c r="V840" i="1"/>
  <c r="J852" i="1"/>
  <c r="J854" i="1"/>
  <c r="J856" i="1"/>
  <c r="J876" i="1"/>
  <c r="V880" i="1"/>
  <c r="V892" i="1"/>
  <c r="J896" i="1"/>
  <c r="U341" i="1"/>
  <c r="G41" i="1"/>
  <c r="G47" i="1" s="1"/>
  <c r="G56" i="1" s="1"/>
  <c r="G84" i="1" s="1"/>
  <c r="G90" i="1" s="1"/>
  <c r="G99" i="1" s="1"/>
  <c r="G127" i="1" s="1"/>
  <c r="G133" i="1" s="1"/>
  <c r="G142" i="1" s="1"/>
  <c r="G170" i="1" s="1"/>
  <c r="G176" i="1" s="1"/>
  <c r="G185" i="1" s="1"/>
  <c r="G213" i="1" s="1"/>
  <c r="G219" i="1" s="1"/>
  <c r="G228" i="1" s="1"/>
  <c r="G256" i="1" s="1"/>
  <c r="G262" i="1" s="1"/>
  <c r="G271" i="1" s="1"/>
  <c r="J677" i="1"/>
  <c r="I617" i="1"/>
  <c r="J617" i="1" s="1"/>
  <c r="I369" i="1"/>
  <c r="J369" i="1" s="1"/>
  <c r="B41" i="1"/>
  <c r="B47" i="1" s="1"/>
  <c r="B56" i="1" s="1"/>
  <c r="B84" i="1" s="1"/>
  <c r="B90" i="1" s="1"/>
  <c r="B99" i="1" s="1"/>
  <c r="B127" i="1" s="1"/>
  <c r="B133" i="1" s="1"/>
  <c r="B142" i="1" s="1"/>
  <c r="B170" i="1" s="1"/>
  <c r="B176" i="1" s="1"/>
  <c r="B185" i="1" s="1"/>
  <c r="B213" i="1" s="1"/>
  <c r="B219" i="1" s="1"/>
  <c r="B228" i="1" s="1"/>
  <c r="V856" i="1"/>
  <c r="Q857" i="1"/>
  <c r="H771" i="1"/>
  <c r="I771" i="1" s="1"/>
  <c r="I749" i="1"/>
  <c r="J749" i="1" s="1"/>
  <c r="G341" i="1"/>
  <c r="I319" i="1"/>
  <c r="J319" i="1" s="1"/>
  <c r="J179" i="1"/>
  <c r="AD299" i="1"/>
  <c r="E835" i="1"/>
  <c r="J835" i="1" s="1"/>
  <c r="B857" i="1"/>
  <c r="E857" i="1" s="1"/>
  <c r="V69" i="1"/>
  <c r="C685" i="1"/>
  <c r="E662" i="1"/>
  <c r="J662" i="1" s="1"/>
  <c r="V11" i="1"/>
  <c r="V28" i="1"/>
  <c r="V18" i="1"/>
  <c r="V80" i="1"/>
  <c r="V73" i="1"/>
  <c r="J10" i="1"/>
  <c r="J25" i="1"/>
  <c r="J28" i="1"/>
  <c r="J57" i="1"/>
  <c r="J62" i="1"/>
  <c r="J80" i="1"/>
  <c r="AH53" i="1"/>
  <c r="AH65" i="1"/>
  <c r="V98" i="1"/>
  <c r="J101" i="1"/>
  <c r="J106" i="1"/>
  <c r="V39" i="1"/>
  <c r="V52" i="1"/>
  <c r="V81" i="1"/>
  <c r="V93" i="1"/>
  <c r="AH59" i="1"/>
  <c r="AH136" i="1"/>
  <c r="AH138" i="1"/>
  <c r="AH179" i="1"/>
  <c r="J182" i="1"/>
  <c r="J186" i="1"/>
  <c r="J190" i="1"/>
  <c r="AH194" i="1"/>
  <c r="J205" i="1"/>
  <c r="AH220" i="1"/>
  <c r="J222" i="1"/>
  <c r="J225" i="1"/>
  <c r="AH236" i="1"/>
  <c r="J247" i="1"/>
  <c r="V278" i="1"/>
  <c r="V322" i="1"/>
  <c r="AH326" i="1"/>
  <c r="J634" i="1"/>
  <c r="J636" i="1"/>
  <c r="V637" i="1"/>
  <c r="V708" i="1"/>
  <c r="V768" i="1"/>
  <c r="I664" i="1"/>
  <c r="D556" i="1"/>
  <c r="E535" i="1"/>
  <c r="V20" i="1"/>
  <c r="V26" i="1"/>
  <c r="V32" i="1"/>
  <c r="J37" i="1"/>
  <c r="J60" i="1"/>
  <c r="J66" i="1"/>
  <c r="V63" i="1"/>
  <c r="AH25" i="1"/>
  <c r="AH38" i="1"/>
  <c r="AH66" i="1"/>
  <c r="AH69" i="1"/>
  <c r="AH72" i="1"/>
  <c r="AH75" i="1"/>
  <c r="J91" i="1"/>
  <c r="V105" i="1"/>
  <c r="V106" i="1"/>
  <c r="V107" i="1"/>
  <c r="J112" i="1"/>
  <c r="J121" i="1"/>
  <c r="J123" i="1"/>
  <c r="AH18" i="1"/>
  <c r="AH100" i="1"/>
  <c r="J134" i="1"/>
  <c r="J136" i="1"/>
  <c r="AH152" i="1"/>
  <c r="AH154" i="1"/>
  <c r="V160" i="1"/>
  <c r="V161" i="1"/>
  <c r="V162" i="1"/>
  <c r="J165" i="1"/>
  <c r="AC169" i="1"/>
  <c r="AH104" i="1"/>
  <c r="J189" i="1"/>
  <c r="AH190" i="1"/>
  <c r="AH199" i="1"/>
  <c r="AH211" i="1"/>
  <c r="AG212" i="1"/>
  <c r="V181" i="1"/>
  <c r="V184" i="1"/>
  <c r="V123" i="1"/>
  <c r="V210" i="1"/>
  <c r="J220" i="1"/>
  <c r="J221" i="1"/>
  <c r="AH229" i="1"/>
  <c r="J231" i="1"/>
  <c r="J232" i="1"/>
  <c r="V241" i="1"/>
  <c r="V243" i="1"/>
  <c r="V245" i="1"/>
  <c r="V246" i="1"/>
  <c r="J284" i="1"/>
  <c r="J294" i="1"/>
  <c r="V306" i="1"/>
  <c r="AH307" i="1"/>
  <c r="J309" i="1"/>
  <c r="J340" i="1"/>
  <c r="AH353" i="1"/>
  <c r="J355" i="1"/>
  <c r="J356" i="1"/>
  <c r="J358" i="1"/>
  <c r="AH365" i="1"/>
  <c r="J397" i="1"/>
  <c r="J439" i="1"/>
  <c r="V451" i="1"/>
  <c r="V452" i="1"/>
  <c r="J462" i="1"/>
  <c r="J463" i="1"/>
  <c r="J465" i="1"/>
  <c r="J468" i="1"/>
  <c r="V365" i="1"/>
  <c r="V380" i="1"/>
  <c r="J491" i="1"/>
  <c r="J492" i="1"/>
  <c r="V493" i="1"/>
  <c r="AH494" i="1"/>
  <c r="AH499" i="1"/>
  <c r="AH501" i="1"/>
  <c r="V414" i="1"/>
  <c r="V627" i="1"/>
  <c r="J720" i="1"/>
  <c r="V754" i="1"/>
  <c r="J767" i="1"/>
  <c r="J764" i="1"/>
  <c r="Q728" i="1"/>
  <c r="Q470" i="1"/>
  <c r="V939" i="1"/>
  <c r="D728" i="1"/>
  <c r="E728" i="1" s="1"/>
  <c r="E717" i="1"/>
  <c r="J717" i="1" s="1"/>
  <c r="V62" i="1"/>
  <c r="V48" i="1"/>
  <c r="J8" i="1"/>
  <c r="J11" i="1"/>
  <c r="J26" i="1"/>
  <c r="AH12" i="1"/>
  <c r="AH48" i="1"/>
  <c r="J96" i="1"/>
  <c r="J114" i="1"/>
  <c r="J117" i="1"/>
  <c r="AG126" i="1"/>
  <c r="V53" i="1"/>
  <c r="V100" i="1"/>
  <c r="AH57" i="1"/>
  <c r="V35" i="1"/>
  <c r="V149" i="1"/>
  <c r="J177" i="1"/>
  <c r="AH186" i="1"/>
  <c r="J188" i="1"/>
  <c r="J204" i="1"/>
  <c r="V197" i="1"/>
  <c r="V205" i="1"/>
  <c r="V224" i="1"/>
  <c r="J227" i="1"/>
  <c r="J277" i="1"/>
  <c r="U642" i="1"/>
  <c r="I814" i="1"/>
  <c r="V21" i="1"/>
  <c r="V27" i="1"/>
  <c r="J21" i="1"/>
  <c r="J24" i="1"/>
  <c r="J35" i="1"/>
  <c r="J38" i="1"/>
  <c r="J49" i="1"/>
  <c r="J55" i="1"/>
  <c r="J67" i="1"/>
  <c r="AA41" i="1"/>
  <c r="AA47" i="1" s="1"/>
  <c r="AA56" i="1" s="1"/>
  <c r="AA84" i="1" s="1"/>
  <c r="AA90" i="1" s="1"/>
  <c r="AA99" i="1" s="1"/>
  <c r="AA127" i="1" s="1"/>
  <c r="AA133" i="1" s="1"/>
  <c r="AA142" i="1" s="1"/>
  <c r="AA170" i="1" s="1"/>
  <c r="AA176" i="1" s="1"/>
  <c r="AA185" i="1" s="1"/>
  <c r="AA213" i="1" s="1"/>
  <c r="AA219" i="1" s="1"/>
  <c r="AA228" i="1" s="1"/>
  <c r="AA256" i="1" s="1"/>
  <c r="AH67" i="1"/>
  <c r="V95" i="1"/>
  <c r="J98" i="1"/>
  <c r="AH105" i="1"/>
  <c r="V113" i="1"/>
  <c r="V114" i="1"/>
  <c r="V117" i="1"/>
  <c r="AH123" i="1"/>
  <c r="AH121" i="1"/>
  <c r="V51" i="1"/>
  <c r="V36" i="1"/>
  <c r="V65" i="1"/>
  <c r="AH101" i="1"/>
  <c r="AH145" i="1"/>
  <c r="AH146" i="1"/>
  <c r="AH147" i="1"/>
  <c r="AH148" i="1"/>
  <c r="J150" i="1"/>
  <c r="J152" i="1"/>
  <c r="J153" i="1"/>
  <c r="J164" i="1"/>
  <c r="AH165" i="1"/>
  <c r="J167" i="1"/>
  <c r="AH168" i="1"/>
  <c r="AH177" i="1"/>
  <c r="AH184" i="1"/>
  <c r="J187" i="1"/>
  <c r="V195" i="1"/>
  <c r="V200" i="1"/>
  <c r="V203" i="1"/>
  <c r="V124" i="1"/>
  <c r="AH222" i="1"/>
  <c r="J226" i="1"/>
  <c r="V227" i="1"/>
  <c r="AH248" i="1"/>
  <c r="AH252" i="1"/>
  <c r="AH253" i="1"/>
  <c r="AH263" i="1"/>
  <c r="V266" i="1"/>
  <c r="V276" i="1"/>
  <c r="AH369" i="1"/>
  <c r="AH424" i="1"/>
  <c r="V310" i="1"/>
  <c r="J890" i="1"/>
  <c r="I513" i="1"/>
  <c r="F41" i="1"/>
  <c r="AH282" i="1"/>
  <c r="V290" i="1"/>
  <c r="V293" i="1"/>
  <c r="J311" i="1"/>
  <c r="AH319" i="1"/>
  <c r="AH320" i="1"/>
  <c r="AH322" i="1"/>
  <c r="AH325" i="1"/>
  <c r="J338" i="1"/>
  <c r="AH349" i="1"/>
  <c r="J370" i="1"/>
  <c r="V269" i="1"/>
  <c r="V416" i="1"/>
  <c r="V419" i="1"/>
  <c r="J405" i="1"/>
  <c r="AH405" i="1"/>
  <c r="J435" i="1"/>
  <c r="AH436" i="1"/>
  <c r="V440" i="1"/>
  <c r="AH448" i="1"/>
  <c r="AH449" i="1"/>
  <c r="AH450" i="1"/>
  <c r="AH454" i="1"/>
  <c r="V467" i="1"/>
  <c r="V468" i="1"/>
  <c r="V469" i="1"/>
  <c r="V491" i="1"/>
  <c r="AH492" i="1"/>
  <c r="J495" i="1"/>
  <c r="J498" i="1"/>
  <c r="J500" i="1"/>
  <c r="J510" i="1"/>
  <c r="J414" i="1"/>
  <c r="V444" i="1"/>
  <c r="V446" i="1"/>
  <c r="V521" i="1"/>
  <c r="V532" i="1"/>
  <c r="AH536" i="1"/>
  <c r="AH555" i="1"/>
  <c r="AG556" i="1"/>
  <c r="V492" i="1"/>
  <c r="J578" i="1"/>
  <c r="J581" i="1"/>
  <c r="J538" i="1"/>
  <c r="J541" i="1"/>
  <c r="J609" i="1"/>
  <c r="V650" i="1"/>
  <c r="J668" i="1"/>
  <c r="V705" i="1"/>
  <c r="J710" i="1"/>
  <c r="J751" i="1"/>
  <c r="V783" i="1"/>
  <c r="J786" i="1"/>
  <c r="J783" i="1"/>
  <c r="V782" i="1"/>
  <c r="V823" i="1"/>
  <c r="J825" i="1"/>
  <c r="J828" i="1"/>
  <c r="V829" i="1"/>
  <c r="J832" i="1"/>
  <c r="V813" i="1"/>
  <c r="V867" i="1"/>
  <c r="V870" i="1"/>
  <c r="V881" i="1"/>
  <c r="V887" i="1"/>
  <c r="U298" i="1"/>
  <c r="U427" i="1"/>
  <c r="J933" i="1"/>
  <c r="J936" i="1"/>
  <c r="J939" i="1"/>
  <c r="H41" i="1"/>
  <c r="H47" i="1" s="1"/>
  <c r="H56" i="1" s="1"/>
  <c r="H84" i="1" s="1"/>
  <c r="H90" i="1" s="1"/>
  <c r="H99" i="1" s="1"/>
  <c r="H127" i="1" s="1"/>
  <c r="H133" i="1" s="1"/>
  <c r="H142" i="1" s="1"/>
  <c r="H170" i="1" s="1"/>
  <c r="H176" i="1" s="1"/>
  <c r="H185" i="1" s="1"/>
  <c r="H213" i="1" s="1"/>
  <c r="H219" i="1" s="1"/>
  <c r="H228" i="1" s="1"/>
  <c r="H256" i="1" s="1"/>
  <c r="H262" i="1" s="1"/>
  <c r="H271" i="1" s="1"/>
  <c r="H299" i="1" s="1"/>
  <c r="H305" i="1" s="1"/>
  <c r="H314" i="1" s="1"/>
  <c r="J406" i="1"/>
  <c r="V634" i="1"/>
  <c r="V636" i="1"/>
  <c r="J683" i="1"/>
  <c r="V696" i="1"/>
  <c r="V712" i="1"/>
  <c r="V715" i="1"/>
  <c r="J695" i="1"/>
  <c r="J702" i="1"/>
  <c r="J716" i="1"/>
  <c r="V681" i="1"/>
  <c r="V755" i="1"/>
  <c r="J788" i="1"/>
  <c r="V801" i="1"/>
  <c r="V781" i="1"/>
  <c r="V836" i="1"/>
  <c r="J838" i="1"/>
  <c r="J882" i="1"/>
  <c r="V883" i="1"/>
  <c r="V886" i="1"/>
  <c r="J888" i="1"/>
  <c r="U728" i="1"/>
  <c r="U556" i="1"/>
  <c r="I470" i="1"/>
  <c r="D642" i="1"/>
  <c r="AH246" i="1"/>
  <c r="V254" i="1"/>
  <c r="AC255" i="1"/>
  <c r="AH277" i="1"/>
  <c r="J281" i="1"/>
  <c r="J297" i="1"/>
  <c r="AH273" i="1"/>
  <c r="V225" i="1"/>
  <c r="J312" i="1"/>
  <c r="J332" i="1"/>
  <c r="AH338" i="1"/>
  <c r="AH360" i="1"/>
  <c r="V371" i="1"/>
  <c r="V372" i="1"/>
  <c r="V376" i="1"/>
  <c r="V402" i="1"/>
  <c r="V423" i="1"/>
  <c r="AH399" i="1"/>
  <c r="AH403" i="1"/>
  <c r="AH423" i="1"/>
  <c r="AH435" i="1"/>
  <c r="J437" i="1"/>
  <c r="J438" i="1"/>
  <c r="AH442" i="1"/>
  <c r="J456" i="1"/>
  <c r="J457" i="1"/>
  <c r="J458" i="1"/>
  <c r="AH468" i="1"/>
  <c r="J485" i="1"/>
  <c r="V488" i="1"/>
  <c r="AH490" i="1"/>
  <c r="J493" i="1"/>
  <c r="J494" i="1"/>
  <c r="V497" i="1"/>
  <c r="V498" i="1"/>
  <c r="V500" i="1"/>
  <c r="V504" i="1"/>
  <c r="V505" i="1"/>
  <c r="AH523" i="1"/>
  <c r="V526" i="1"/>
  <c r="AH539" i="1"/>
  <c r="V541" i="1"/>
  <c r="V585" i="1"/>
  <c r="V591" i="1"/>
  <c r="J568" i="1"/>
  <c r="J571" i="1"/>
  <c r="V721" i="1"/>
  <c r="J725" i="1"/>
  <c r="J706" i="1"/>
  <c r="J762" i="1"/>
  <c r="J824" i="1"/>
  <c r="V825" i="1"/>
  <c r="J827" i="1"/>
  <c r="J851" i="1"/>
  <c r="V854" i="1"/>
  <c r="V812" i="1"/>
  <c r="V872" i="1"/>
  <c r="V876" i="1"/>
  <c r="D771" i="1"/>
  <c r="E771" i="1" s="1"/>
  <c r="V312" i="1"/>
  <c r="V313" i="1"/>
  <c r="V315" i="1"/>
  <c r="J317" i="1"/>
  <c r="J318" i="1"/>
  <c r="V320" i="1"/>
  <c r="V321" i="1"/>
  <c r="AH333" i="1"/>
  <c r="AH335" i="1"/>
  <c r="V350" i="1"/>
  <c r="AH352" i="1"/>
  <c r="AH308" i="1"/>
  <c r="V392" i="1"/>
  <c r="V396" i="1"/>
  <c r="V399" i="1"/>
  <c r="V413" i="1"/>
  <c r="V421" i="1"/>
  <c r="V424" i="1"/>
  <c r="J404" i="1"/>
  <c r="AG427" i="1"/>
  <c r="J440" i="1"/>
  <c r="J448" i="1"/>
  <c r="V449" i="1"/>
  <c r="AG513" i="1"/>
  <c r="V543" i="1"/>
  <c r="AC556" i="1"/>
  <c r="V575" i="1"/>
  <c r="J566" i="1"/>
  <c r="J580" i="1"/>
  <c r="J586" i="1"/>
  <c r="V608" i="1"/>
  <c r="J610" i="1"/>
  <c r="V655" i="1"/>
  <c r="V669" i="1"/>
  <c r="J657" i="1"/>
  <c r="J667" i="1"/>
  <c r="V694" i="1"/>
  <c r="V700" i="1"/>
  <c r="V682" i="1"/>
  <c r="J693" i="1"/>
  <c r="J699" i="1"/>
  <c r="V750" i="1"/>
  <c r="J837" i="1"/>
  <c r="J841" i="1"/>
  <c r="V879" i="1"/>
  <c r="V882" i="1"/>
  <c r="J884" i="1"/>
  <c r="V844" i="1"/>
  <c r="J278" i="1"/>
  <c r="V407" i="1"/>
  <c r="J409" i="1"/>
  <c r="J798" i="1"/>
  <c r="H728" i="1"/>
  <c r="I728" i="1" s="1"/>
  <c r="I705" i="1"/>
  <c r="J705" i="1" s="1"/>
  <c r="C427" i="1"/>
  <c r="E401" i="1"/>
  <c r="J401" i="1" s="1"/>
  <c r="C341" i="1"/>
  <c r="E329" i="1"/>
  <c r="J329" i="1" s="1"/>
  <c r="J666" i="1"/>
  <c r="B384" i="1"/>
  <c r="B642" i="1"/>
  <c r="V14" i="1"/>
  <c r="O214" i="1"/>
  <c r="V68" i="1"/>
  <c r="J52" i="1"/>
  <c r="J61" i="1"/>
  <c r="AB299" i="1"/>
  <c r="AB305" i="1" s="1"/>
  <c r="AB314" i="1" s="1"/>
  <c r="AB342" i="1" s="1"/>
  <c r="AB348" i="1" s="1"/>
  <c r="AB357" i="1" s="1"/>
  <c r="AB385" i="1" s="1"/>
  <c r="AB391" i="1" s="1"/>
  <c r="AB400" i="1" s="1"/>
  <c r="AB428" i="1" s="1"/>
  <c r="AB434" i="1" s="1"/>
  <c r="AB443" i="1" s="1"/>
  <c r="AB471" i="1" s="1"/>
  <c r="AB477" i="1" s="1"/>
  <c r="AB486" i="1" s="1"/>
  <c r="AB514" i="1" s="1"/>
  <c r="AB520" i="1" s="1"/>
  <c r="AB529" i="1" s="1"/>
  <c r="AB557" i="1" s="1"/>
  <c r="AH11" i="1"/>
  <c r="AH20" i="1"/>
  <c r="AH23" i="1"/>
  <c r="AH26" i="1"/>
  <c r="AH111" i="1"/>
  <c r="AH116" i="1"/>
  <c r="AH120" i="1"/>
  <c r="J236" i="1"/>
  <c r="J237" i="1"/>
  <c r="V244" i="1"/>
  <c r="AH270" i="1"/>
  <c r="J274" i="1"/>
  <c r="AH296" i="1"/>
  <c r="AC341" i="1"/>
  <c r="V358" i="1"/>
  <c r="J392" i="1"/>
  <c r="AH452" i="1"/>
  <c r="V60" i="1"/>
  <c r="AC13" i="1"/>
  <c r="J135" i="1"/>
  <c r="AH197" i="1"/>
  <c r="V330" i="1"/>
  <c r="B685" i="1"/>
  <c r="F685" i="1"/>
  <c r="V25" i="1"/>
  <c r="V72" i="1"/>
  <c r="J15" i="1"/>
  <c r="J18" i="1"/>
  <c r="Q126" i="1"/>
  <c r="AG40" i="1"/>
  <c r="AH80" i="1"/>
  <c r="AH50" i="1"/>
  <c r="J155" i="1"/>
  <c r="AH193" i="1"/>
  <c r="V187" i="1"/>
  <c r="AH251" i="1"/>
  <c r="AH306" i="1"/>
  <c r="J308" i="1"/>
  <c r="V309" i="1"/>
  <c r="AH311" i="1"/>
  <c r="J316" i="1"/>
  <c r="AH327" i="1"/>
  <c r="J416" i="1"/>
  <c r="J419" i="1"/>
  <c r="J425" i="1"/>
  <c r="AH418" i="1"/>
  <c r="V31" i="1"/>
  <c r="V70" i="1"/>
  <c r="J9" i="1"/>
  <c r="J16" i="1"/>
  <c r="J29" i="1"/>
  <c r="J65" i="1"/>
  <c r="J73" i="1"/>
  <c r="AH4" i="1"/>
  <c r="AH7" i="1"/>
  <c r="AG13" i="1"/>
  <c r="AH29" i="1"/>
  <c r="AH32" i="1"/>
  <c r="AH63" i="1"/>
  <c r="AH95" i="1"/>
  <c r="V108" i="1"/>
  <c r="V109" i="1"/>
  <c r="J116" i="1"/>
  <c r="J118" i="1"/>
  <c r="AH122" i="1"/>
  <c r="AH91" i="1"/>
  <c r="V94" i="1"/>
  <c r="AH102" i="1"/>
  <c r="V134" i="1"/>
  <c r="J145" i="1"/>
  <c r="J147" i="1"/>
  <c r="J148" i="1"/>
  <c r="AH159" i="1"/>
  <c r="AH162" i="1"/>
  <c r="AH192" i="1"/>
  <c r="J195" i="1"/>
  <c r="V188" i="1"/>
  <c r="V191" i="1"/>
  <c r="V194" i="1"/>
  <c r="V220" i="1"/>
  <c r="V234" i="1"/>
  <c r="V235" i="1"/>
  <c r="V236" i="1"/>
  <c r="AH243" i="1"/>
  <c r="AH245" i="1"/>
  <c r="V247" i="1"/>
  <c r="V248" i="1"/>
  <c r="J249" i="1"/>
  <c r="J250" i="1"/>
  <c r="J251" i="1"/>
  <c r="J267" i="1"/>
  <c r="V282" i="1"/>
  <c r="AH292" i="1"/>
  <c r="AH295" i="1"/>
  <c r="J307" i="1"/>
  <c r="V308" i="1"/>
  <c r="J313" i="1"/>
  <c r="J315" i="1"/>
  <c r="AH318" i="1"/>
  <c r="J320" i="1"/>
  <c r="J323" i="1"/>
  <c r="J324" i="1"/>
  <c r="AH330" i="1"/>
  <c r="J366" i="1"/>
  <c r="J367" i="1"/>
  <c r="V408" i="1"/>
  <c r="J396" i="1"/>
  <c r="J399" i="1"/>
  <c r="J426" i="1"/>
  <c r="AH419" i="1"/>
  <c r="AH422" i="1"/>
  <c r="V323" i="1"/>
  <c r="V438" i="1"/>
  <c r="J441" i="1"/>
  <c r="AH446" i="1"/>
  <c r="AH447" i="1"/>
  <c r="V490" i="1"/>
  <c r="AH506" i="1"/>
  <c r="V571" i="1"/>
  <c r="V594" i="1"/>
  <c r="J543" i="1"/>
  <c r="V55" i="1"/>
  <c r="AH10" i="1"/>
  <c r="AH114" i="1"/>
  <c r="V116" i="1"/>
  <c r="V37" i="1"/>
  <c r="AH153" i="1"/>
  <c r="AH187" i="1"/>
  <c r="J193" i="1"/>
  <c r="AH195" i="1"/>
  <c r="J201" i="1"/>
  <c r="AH209" i="1"/>
  <c r="AC212" i="1"/>
  <c r="V179" i="1"/>
  <c r="AH226" i="1"/>
  <c r="J288" i="1"/>
  <c r="V349" i="1"/>
  <c r="AH351" i="1"/>
  <c r="V533" i="1"/>
  <c r="AH534" i="1"/>
  <c r="V710" i="1"/>
  <c r="V15" i="1"/>
  <c r="V29" i="1"/>
  <c r="V71" i="1"/>
  <c r="V66" i="1"/>
  <c r="J58" i="1"/>
  <c r="J74" i="1"/>
  <c r="V79" i="1"/>
  <c r="AF41" i="1"/>
  <c r="AF47" i="1" s="1"/>
  <c r="AF56" i="1" s="1"/>
  <c r="AF84" i="1" s="1"/>
  <c r="AF90" i="1" s="1"/>
  <c r="AF99" i="1" s="1"/>
  <c r="AF127" i="1" s="1"/>
  <c r="AF133" i="1" s="1"/>
  <c r="AF142" i="1" s="1"/>
  <c r="AF170" i="1" s="1"/>
  <c r="AF176" i="1" s="1"/>
  <c r="AF185" i="1" s="1"/>
  <c r="AF213" i="1" s="1"/>
  <c r="AF219" i="1" s="1"/>
  <c r="AF228" i="1" s="1"/>
  <c r="AF256" i="1" s="1"/>
  <c r="AH31" i="1"/>
  <c r="AH34" i="1"/>
  <c r="AH97" i="1"/>
  <c r="J104" i="1"/>
  <c r="V111" i="1"/>
  <c r="J122" i="1"/>
  <c r="AH77" i="1"/>
  <c r="V82" i="1"/>
  <c r="V122" i="1"/>
  <c r="V139" i="1"/>
  <c r="V146" i="1"/>
  <c r="J154" i="1"/>
  <c r="V157" i="1"/>
  <c r="V159" i="1"/>
  <c r="AH178" i="1"/>
  <c r="AH182" i="1"/>
  <c r="J200" i="1"/>
  <c r="AH205" i="1"/>
  <c r="J210" i="1"/>
  <c r="V180" i="1"/>
  <c r="V192" i="1"/>
  <c r="V163" i="1"/>
  <c r="AH225" i="1"/>
  <c r="AH238" i="1"/>
  <c r="V240" i="1"/>
  <c r="V268" i="1"/>
  <c r="AH279" i="1"/>
  <c r="AH283" i="1"/>
  <c r="AH284" i="1"/>
  <c r="V288" i="1"/>
  <c r="V289" i="1"/>
  <c r="J295" i="1"/>
  <c r="V318" i="1"/>
  <c r="AH323" i="1"/>
  <c r="AH324" i="1"/>
  <c r="V333" i="1"/>
  <c r="V370" i="1"/>
  <c r="V373" i="1"/>
  <c r="V307" i="1"/>
  <c r="V456" i="1"/>
  <c r="V457" i="1"/>
  <c r="J461" i="1"/>
  <c r="AC470" i="1"/>
  <c r="V425" i="1"/>
  <c r="J575" i="1"/>
  <c r="V607" i="1"/>
  <c r="J612" i="1"/>
  <c r="J641" i="1"/>
  <c r="V577" i="1"/>
  <c r="V846" i="1"/>
  <c r="V335" i="1"/>
  <c r="V336" i="1"/>
  <c r="AH350" i="1"/>
  <c r="J352" i="1"/>
  <c r="J359" i="1"/>
  <c r="J362" i="1"/>
  <c r="V366" i="1"/>
  <c r="V383" i="1"/>
  <c r="AG384" i="1"/>
  <c r="V338" i="1"/>
  <c r="V398" i="1"/>
  <c r="V404" i="1"/>
  <c r="V420" i="1"/>
  <c r="J417" i="1"/>
  <c r="J420" i="1"/>
  <c r="J423" i="1"/>
  <c r="AH394" i="1"/>
  <c r="AH406" i="1"/>
  <c r="AH409" i="1"/>
  <c r="AH412" i="1"/>
  <c r="AH415" i="1"/>
  <c r="AH425" i="1"/>
  <c r="V319" i="1"/>
  <c r="AH441" i="1"/>
  <c r="J459" i="1"/>
  <c r="AH467" i="1"/>
  <c r="V405" i="1"/>
  <c r="J487" i="1"/>
  <c r="AH493" i="1"/>
  <c r="J496" i="1"/>
  <c r="J497" i="1"/>
  <c r="J509" i="1"/>
  <c r="AH521" i="1"/>
  <c r="AH524" i="1"/>
  <c r="AH542" i="1"/>
  <c r="V544" i="1"/>
  <c r="V596" i="1"/>
  <c r="V666" i="1"/>
  <c r="V677" i="1"/>
  <c r="V695" i="1"/>
  <c r="V683" i="1"/>
  <c r="V709" i="1"/>
  <c r="V737" i="1"/>
  <c r="J739" i="1"/>
  <c r="J741" i="1"/>
  <c r="V742" i="1"/>
  <c r="V747" i="1"/>
  <c r="V756" i="1"/>
  <c r="V759" i="1"/>
  <c r="V843" i="1"/>
  <c r="J867" i="1"/>
  <c r="V868" i="1"/>
  <c r="E470" i="1"/>
  <c r="E83" i="1"/>
  <c r="I943" i="1"/>
  <c r="J466" i="1"/>
  <c r="J467" i="1"/>
  <c r="AG470" i="1"/>
  <c r="AH491" i="1"/>
  <c r="V495" i="1"/>
  <c r="V501" i="1"/>
  <c r="J511" i="1"/>
  <c r="V410" i="1"/>
  <c r="V435" i="1"/>
  <c r="J521" i="1"/>
  <c r="V546" i="1"/>
  <c r="AH550" i="1"/>
  <c r="V784" i="1"/>
  <c r="J785" i="1"/>
  <c r="V833" i="1"/>
  <c r="U943" i="1"/>
  <c r="AH331" i="1"/>
  <c r="V353" i="1"/>
  <c r="AH355" i="1"/>
  <c r="AH359" i="1"/>
  <c r="V378" i="1"/>
  <c r="AH379" i="1"/>
  <c r="V230" i="1"/>
  <c r="V412" i="1"/>
  <c r="V422" i="1"/>
  <c r="J393" i="1"/>
  <c r="J402" i="1"/>
  <c r="J412" i="1"/>
  <c r="AH416" i="1"/>
  <c r="AH437" i="1"/>
  <c r="AH445" i="1"/>
  <c r="J450" i="1"/>
  <c r="J452" i="1"/>
  <c r="V461" i="1"/>
  <c r="V462" i="1"/>
  <c r="V463" i="1"/>
  <c r="V465" i="1"/>
  <c r="V466" i="1"/>
  <c r="J469" i="1"/>
  <c r="V354" i="1"/>
  <c r="J478" i="1"/>
  <c r="J480" i="1"/>
  <c r="AH484" i="1"/>
  <c r="AH485" i="1"/>
  <c r="J488" i="1"/>
  <c r="V502" i="1"/>
  <c r="V507" i="1"/>
  <c r="V510" i="1"/>
  <c r="V426" i="1"/>
  <c r="V574" i="1"/>
  <c r="V579" i="1"/>
  <c r="V588" i="1"/>
  <c r="J565" i="1"/>
  <c r="J584" i="1"/>
  <c r="J590" i="1"/>
  <c r="V552" i="1"/>
  <c r="V614" i="1"/>
  <c r="J619" i="1"/>
  <c r="V620" i="1"/>
  <c r="J624" i="1"/>
  <c r="V654" i="1"/>
  <c r="J713" i="1"/>
  <c r="J708" i="1"/>
  <c r="J805" i="1"/>
  <c r="V806" i="1"/>
  <c r="V893" i="1"/>
  <c r="V895" i="1"/>
  <c r="J913" i="1"/>
  <c r="J917" i="1"/>
  <c r="I380" i="1"/>
  <c r="V496" i="1"/>
  <c r="J499" i="1"/>
  <c r="J504" i="1"/>
  <c r="J505" i="1"/>
  <c r="J507" i="1"/>
  <c r="V524" i="1"/>
  <c r="V528" i="1"/>
  <c r="V531" i="1"/>
  <c r="V545" i="1"/>
  <c r="V548" i="1"/>
  <c r="V581" i="1"/>
  <c r="V587" i="1"/>
  <c r="V590" i="1"/>
  <c r="V554" i="1"/>
  <c r="V652" i="1"/>
  <c r="V657" i="1"/>
  <c r="V663" i="1"/>
  <c r="V667" i="1"/>
  <c r="J674" i="1"/>
  <c r="V698" i="1"/>
  <c r="V725" i="1"/>
  <c r="V684" i="1"/>
  <c r="J711" i="1"/>
  <c r="J714" i="1"/>
  <c r="V706" i="1"/>
  <c r="V757" i="1"/>
  <c r="V760" i="1"/>
  <c r="V763" i="1"/>
  <c r="J759" i="1"/>
  <c r="J745" i="1"/>
  <c r="V785" i="1"/>
  <c r="J801" i="1"/>
  <c r="J804" i="1"/>
  <c r="V805" i="1"/>
  <c r="J812" i="1"/>
  <c r="J823" i="1"/>
  <c r="V828" i="1"/>
  <c r="J831" i="1"/>
  <c r="J834" i="1"/>
  <c r="J844" i="1"/>
  <c r="J850" i="1"/>
  <c r="V871" i="1"/>
  <c r="J894" i="1"/>
  <c r="J929" i="1"/>
  <c r="H384" i="1"/>
  <c r="I900" i="1"/>
  <c r="I857" i="1"/>
  <c r="C384" i="1"/>
  <c r="N41" i="1"/>
  <c r="F642" i="1"/>
  <c r="J635" i="1"/>
  <c r="J637" i="1"/>
  <c r="V664" i="1"/>
  <c r="J652" i="1"/>
  <c r="J656" i="1"/>
  <c r="J681" i="1"/>
  <c r="V714" i="1"/>
  <c r="J761" i="1"/>
  <c r="J755" i="1"/>
  <c r="J747" i="1"/>
  <c r="V746" i="1"/>
  <c r="V786" i="1"/>
  <c r="J790" i="1"/>
  <c r="V794" i="1"/>
  <c r="J796" i="1"/>
  <c r="J799" i="1"/>
  <c r="J803" i="1"/>
  <c r="V808" i="1"/>
  <c r="J822" i="1"/>
  <c r="J826" i="1"/>
  <c r="J833" i="1"/>
  <c r="V850" i="1"/>
  <c r="V869" i="1"/>
  <c r="V877" i="1"/>
  <c r="V885" i="1"/>
  <c r="V888" i="1"/>
  <c r="V891" i="1"/>
  <c r="V894" i="1"/>
  <c r="V896" i="1"/>
  <c r="U771" i="1"/>
  <c r="E640" i="1"/>
  <c r="J650" i="1"/>
  <c r="J696" i="1"/>
  <c r="J760" i="1"/>
  <c r="V736" i="1"/>
  <c r="V796" i="1"/>
  <c r="V837" i="1"/>
  <c r="J839" i="1"/>
  <c r="J5" i="1"/>
  <c r="J22" i="1"/>
  <c r="J27" i="1"/>
  <c r="J63" i="1"/>
  <c r="J77" i="1"/>
  <c r="AH27" i="1"/>
  <c r="AH60" i="1"/>
  <c r="AH68" i="1"/>
  <c r="AH71" i="1"/>
  <c r="AC83" i="1"/>
  <c r="J100" i="1"/>
  <c r="J110" i="1"/>
  <c r="J120" i="1"/>
  <c r="AC40" i="1"/>
  <c r="Z41" i="1"/>
  <c r="F556" i="1"/>
  <c r="I556" i="1" s="1"/>
  <c r="I535" i="1"/>
  <c r="I410" i="1"/>
  <c r="J410" i="1" s="1"/>
  <c r="F427" i="1"/>
  <c r="I407" i="1"/>
  <c r="J407" i="1" s="1"/>
  <c r="G427" i="1"/>
  <c r="I368" i="1"/>
  <c r="J368" i="1" s="1"/>
  <c r="G384" i="1"/>
  <c r="Z299" i="1"/>
  <c r="AC271" i="1"/>
  <c r="V10" i="1"/>
  <c r="AH227" i="1"/>
  <c r="AH110" i="1"/>
  <c r="V7" i="1"/>
  <c r="AH144" i="1"/>
  <c r="V4" i="1"/>
  <c r="V19" i="1"/>
  <c r="V34" i="1"/>
  <c r="J31" i="1"/>
  <c r="J36" i="1"/>
  <c r="J39" i="1"/>
  <c r="J50" i="1"/>
  <c r="J70" i="1"/>
  <c r="J20" i="1"/>
  <c r="AH14" i="1"/>
  <c r="J95" i="1"/>
  <c r="V97" i="1"/>
  <c r="V119" i="1"/>
  <c r="J180" i="1"/>
  <c r="V12" i="1"/>
  <c r="V75" i="1"/>
  <c r="J82" i="1"/>
  <c r="AH5" i="1"/>
  <c r="V112" i="1"/>
  <c r="AH124" i="1"/>
  <c r="AH9" i="1"/>
  <c r="AH151" i="1"/>
  <c r="V155" i="1"/>
  <c r="J157" i="1"/>
  <c r="AH161" i="1"/>
  <c r="AC126" i="1"/>
  <c r="V135" i="1"/>
  <c r="V158" i="1"/>
  <c r="AG169" i="1"/>
  <c r="AH19" i="1"/>
  <c r="AH62" i="1"/>
  <c r="AH70" i="1"/>
  <c r="AH73" i="1"/>
  <c r="AH76" i="1"/>
  <c r="J93" i="1"/>
  <c r="J97" i="1"/>
  <c r="J109" i="1"/>
  <c r="AH113" i="1"/>
  <c r="V115" i="1"/>
  <c r="AH92" i="1"/>
  <c r="AH39" i="1"/>
  <c r="V140" i="1"/>
  <c r="AH157" i="1"/>
  <c r="AH183" i="1"/>
  <c r="J198" i="1"/>
  <c r="AH250" i="1"/>
  <c r="J264" i="1"/>
  <c r="V296" i="1"/>
  <c r="AH22" i="1"/>
  <c r="V91" i="1"/>
  <c r="V54" i="1"/>
  <c r="V92" i="1"/>
  <c r="V138" i="1"/>
  <c r="V153" i="1"/>
  <c r="AH163" i="1"/>
  <c r="V125" i="1"/>
  <c r="V182" i="1"/>
  <c r="AH232" i="1"/>
  <c r="V263" i="1"/>
  <c r="AH275" i="1"/>
  <c r="J292" i="1"/>
  <c r="V377" i="1"/>
  <c r="V178" i="1"/>
  <c r="V189" i="1"/>
  <c r="AH224" i="1"/>
  <c r="AH234" i="1"/>
  <c r="AH235" i="1"/>
  <c r="AH241" i="1"/>
  <c r="AH242" i="1"/>
  <c r="AH249" i="1"/>
  <c r="V251" i="1"/>
  <c r="J266" i="1"/>
  <c r="J282" i="1"/>
  <c r="AH288" i="1"/>
  <c r="AH289" i="1"/>
  <c r="J331" i="1"/>
  <c r="J363" i="1"/>
  <c r="J364" i="1"/>
  <c r="V367" i="1"/>
  <c r="J375" i="1"/>
  <c r="J382" i="1"/>
  <c r="V397" i="1"/>
  <c r="AH398" i="1"/>
  <c r="AH421" i="1"/>
  <c r="V503" i="1"/>
  <c r="V167" i="1"/>
  <c r="V222" i="1"/>
  <c r="J224" i="1"/>
  <c r="J248" i="1"/>
  <c r="J270" i="1"/>
  <c r="V281" i="1"/>
  <c r="AH291" i="1"/>
  <c r="AH312" i="1"/>
  <c r="AH313" i="1"/>
  <c r="AH321" i="1"/>
  <c r="AH393" i="1"/>
  <c r="AH206" i="1"/>
  <c r="V143" i="1"/>
  <c r="AH221" i="1"/>
  <c r="AH230" i="1"/>
  <c r="AH231" i="1"/>
  <c r="J235" i="1"/>
  <c r="J241" i="1"/>
  <c r="AH278" i="1"/>
  <c r="AH280" i="1"/>
  <c r="J289" i="1"/>
  <c r="J290" i="1"/>
  <c r="AH293" i="1"/>
  <c r="V334" i="1"/>
  <c r="J379" i="1"/>
  <c r="V395" i="1"/>
  <c r="AH411" i="1"/>
  <c r="J447" i="1"/>
  <c r="AH461" i="1"/>
  <c r="AH495" i="1"/>
  <c r="J501" i="1"/>
  <c r="V506" i="1"/>
  <c r="V508" i="1"/>
  <c r="J526" i="1"/>
  <c r="AH547" i="1"/>
  <c r="J550" i="1"/>
  <c r="J442" i="1"/>
  <c r="V450" i="1"/>
  <c r="AH455" i="1"/>
  <c r="V459" i="1"/>
  <c r="AH464" i="1"/>
  <c r="AH489" i="1"/>
  <c r="V499" i="1"/>
  <c r="AH533" i="1"/>
  <c r="B599" i="1"/>
  <c r="E599" i="1" s="1"/>
  <c r="E577" i="1"/>
  <c r="AH438" i="1"/>
  <c r="V441" i="1"/>
  <c r="V453" i="1"/>
  <c r="AH458" i="1"/>
  <c r="J464" i="1"/>
  <c r="V512" i="1"/>
  <c r="J522" i="1"/>
  <c r="V566" i="1"/>
  <c r="J765" i="1"/>
  <c r="J784" i="1"/>
  <c r="J930" i="1"/>
  <c r="J770" i="1"/>
  <c r="U857" i="1"/>
  <c r="U685" i="1"/>
  <c r="Q771" i="1"/>
  <c r="H685" i="1"/>
  <c r="I638" i="1"/>
  <c r="J638" i="1" s="1"/>
  <c r="E212" i="1"/>
  <c r="J614" i="1"/>
  <c r="V597" i="1"/>
  <c r="V672" i="1"/>
  <c r="V675" i="1"/>
  <c r="J661" i="1"/>
  <c r="J684" i="1"/>
  <c r="V693" i="1"/>
  <c r="V738" i="1"/>
  <c r="J756" i="1"/>
  <c r="V800" i="1"/>
  <c r="V803" i="1"/>
  <c r="V827" i="1"/>
  <c r="J846" i="1"/>
  <c r="V848" i="1"/>
  <c r="V866" i="1"/>
  <c r="V789" i="1"/>
  <c r="U814" i="1"/>
  <c r="Q814" i="1"/>
  <c r="E814" i="1"/>
  <c r="V610" i="1"/>
  <c r="V670" i="1"/>
  <c r="J673" i="1"/>
  <c r="J676" i="1"/>
  <c r="V618" i="1"/>
  <c r="V703" i="1"/>
  <c r="V720" i="1"/>
  <c r="J698" i="1"/>
  <c r="V802" i="1"/>
  <c r="J808" i="1"/>
  <c r="J782" i="1"/>
  <c r="V826" i="1"/>
  <c r="V878" i="1"/>
  <c r="J855" i="1"/>
  <c r="I1074" i="1" l="1"/>
  <c r="I1075" i="1"/>
  <c r="F1075" i="1"/>
  <c r="H1075" i="1"/>
  <c r="G1075" i="1"/>
  <c r="P1346" i="1"/>
  <c r="P1374" i="1" s="1"/>
  <c r="P1380" i="1" s="1"/>
  <c r="P1389" i="1" s="1"/>
  <c r="P1417" i="1" s="1"/>
  <c r="P1423" i="1" s="1"/>
  <c r="P1432" i="1" s="1"/>
  <c r="P1460" i="1" s="1"/>
  <c r="P1466" i="1" s="1"/>
  <c r="P1475" i="1" s="1"/>
  <c r="P1503" i="1" s="1"/>
  <c r="P1509" i="1" s="1"/>
  <c r="P1518" i="1" s="1"/>
  <c r="P1546" i="1" s="1"/>
  <c r="P1552" i="1" s="1"/>
  <c r="P1561" i="1" s="1"/>
  <c r="P1589" i="1" s="1"/>
  <c r="P1595" i="1" s="1"/>
  <c r="P1604" i="1" s="1"/>
  <c r="P1632" i="1" s="1"/>
  <c r="P1638" i="1" s="1"/>
  <c r="P1647" i="1" s="1"/>
  <c r="P1675" i="1" s="1"/>
  <c r="P1681" i="1" s="1"/>
  <c r="P1690" i="1" s="1"/>
  <c r="P1718" i="1" s="1"/>
  <c r="P1724" i="1" s="1"/>
  <c r="P1733" i="1" s="1"/>
  <c r="P1761" i="1" s="1"/>
  <c r="P1767" i="1" s="1"/>
  <c r="P1776" i="1" s="1"/>
  <c r="P1804" i="1" s="1"/>
  <c r="P1810" i="1" s="1"/>
  <c r="P1819" i="1" s="1"/>
  <c r="P1847" i="1" s="1"/>
  <c r="P1853" i="1" s="1"/>
  <c r="P1862" i="1" s="1"/>
  <c r="P1890" i="1" s="1"/>
  <c r="P1896" i="1" s="1"/>
  <c r="P1905" i="1" s="1"/>
  <c r="P1933" i="1" s="1"/>
  <c r="T1131" i="1"/>
  <c r="T1159" i="1" s="1"/>
  <c r="T1165" i="1" s="1"/>
  <c r="T1174" i="1" s="1"/>
  <c r="T1202" i="1" s="1"/>
  <c r="T1208" i="1" s="1"/>
  <c r="T1217" i="1" s="1"/>
  <c r="T1245" i="1" s="1"/>
  <c r="T1251" i="1" s="1"/>
  <c r="T1260" i="1" s="1"/>
  <c r="T1288" i="1" s="1"/>
  <c r="T1294" i="1" s="1"/>
  <c r="T1303" i="1" s="1"/>
  <c r="T1331" i="1" s="1"/>
  <c r="T1337" i="1" s="1"/>
  <c r="T1346" i="1" s="1"/>
  <c r="T1374" i="1" s="1"/>
  <c r="T1380" i="1" s="1"/>
  <c r="T1389" i="1" s="1"/>
  <c r="T1417" i="1" s="1"/>
  <c r="T1423" i="1" s="1"/>
  <c r="T1432" i="1" s="1"/>
  <c r="T1460" i="1" s="1"/>
  <c r="T1466" i="1" s="1"/>
  <c r="T1475" i="1" s="1"/>
  <c r="T1503" i="1" s="1"/>
  <c r="T1509" i="1" s="1"/>
  <c r="T1518" i="1" s="1"/>
  <c r="T1546" i="1" s="1"/>
  <c r="T1552" i="1" s="1"/>
  <c r="T1561" i="1" s="1"/>
  <c r="T1589" i="1" s="1"/>
  <c r="T1595" i="1" s="1"/>
  <c r="T1604" i="1" s="1"/>
  <c r="T1632" i="1" s="1"/>
  <c r="T1638" i="1" s="1"/>
  <c r="T1647" i="1" s="1"/>
  <c r="T1675" i="1" s="1"/>
  <c r="T1681" i="1" s="1"/>
  <c r="T1690" i="1" s="1"/>
  <c r="T1718" i="1" s="1"/>
  <c r="T1724" i="1" s="1"/>
  <c r="T1733" i="1" s="1"/>
  <c r="T1761" i="1" s="1"/>
  <c r="T1767" i="1" s="1"/>
  <c r="Q1031" i="1"/>
  <c r="Q1032" i="1" s="1"/>
  <c r="U1031" i="1"/>
  <c r="U1032" i="1" s="1"/>
  <c r="S1032" i="1"/>
  <c r="J640" i="1"/>
  <c r="J255" i="1"/>
  <c r="V255" i="1"/>
  <c r="V685" i="1"/>
  <c r="V169" i="1"/>
  <c r="V13" i="1"/>
  <c r="J660" i="1"/>
  <c r="J898" i="1"/>
  <c r="J40" i="1"/>
  <c r="AH513" i="1"/>
  <c r="J13" i="1"/>
  <c r="J577" i="1"/>
  <c r="I642" i="1"/>
  <c r="V900" i="1"/>
  <c r="J377" i="1"/>
  <c r="J212" i="1"/>
  <c r="V212" i="1"/>
  <c r="J664" i="1"/>
  <c r="V83" i="1"/>
  <c r="AH271" i="1"/>
  <c r="J298" i="1"/>
  <c r="V513" i="1"/>
  <c r="AH298" i="1"/>
  <c r="J916" i="1"/>
  <c r="AG299" i="1"/>
  <c r="J535" i="1"/>
  <c r="G299" i="1"/>
  <c r="G305" i="1" s="1"/>
  <c r="G314" i="1" s="1"/>
  <c r="G342" i="1" s="1"/>
  <c r="G348" i="1" s="1"/>
  <c r="G357" i="1" s="1"/>
  <c r="G385" i="1" s="1"/>
  <c r="G391" i="1" s="1"/>
  <c r="G400" i="1" s="1"/>
  <c r="G428" i="1" s="1"/>
  <c r="G434" i="1" s="1"/>
  <c r="G443" i="1" s="1"/>
  <c r="G471" i="1" s="1"/>
  <c r="G477" i="1" s="1"/>
  <c r="G486" i="1" s="1"/>
  <c r="G514" i="1" s="1"/>
  <c r="G520" i="1" s="1"/>
  <c r="G529" i="1" s="1"/>
  <c r="G557" i="1" s="1"/>
  <c r="G563" i="1" s="1"/>
  <c r="G572" i="1" s="1"/>
  <c r="G600" i="1" s="1"/>
  <c r="G606" i="1" s="1"/>
  <c r="G615" i="1" s="1"/>
  <c r="G643" i="1" s="1"/>
  <c r="G649" i="1" s="1"/>
  <c r="G658" i="1" s="1"/>
  <c r="G686" i="1" s="1"/>
  <c r="G692" i="1" s="1"/>
  <c r="G701" i="1" s="1"/>
  <c r="G729" i="1" s="1"/>
  <c r="G735" i="1" s="1"/>
  <c r="G744" i="1" s="1"/>
  <c r="G772" i="1" s="1"/>
  <c r="G778" i="1" s="1"/>
  <c r="G787" i="1" s="1"/>
  <c r="G815" i="1" s="1"/>
  <c r="G821" i="1" s="1"/>
  <c r="G830" i="1" s="1"/>
  <c r="G858" i="1" s="1"/>
  <c r="G864" i="1" s="1"/>
  <c r="G873" i="1" s="1"/>
  <c r="G901" i="1" s="1"/>
  <c r="G907" i="1" s="1"/>
  <c r="G916" i="1" s="1"/>
  <c r="G944" i="1" s="1"/>
  <c r="V470" i="1"/>
  <c r="J339" i="1"/>
  <c r="AH341" i="1"/>
  <c r="AH255" i="1"/>
  <c r="AH427" i="1"/>
  <c r="V599" i="1"/>
  <c r="V40" i="1"/>
  <c r="J169" i="1"/>
  <c r="U214" i="1"/>
  <c r="T215" i="1" s="1"/>
  <c r="V384" i="1"/>
  <c r="J83" i="1"/>
  <c r="AH470" i="1"/>
  <c r="E556" i="1"/>
  <c r="J556" i="1" s="1"/>
  <c r="J728" i="1"/>
  <c r="V427" i="1"/>
  <c r="E341" i="1"/>
  <c r="Q214" i="1"/>
  <c r="Q215" i="1" s="1"/>
  <c r="J513" i="1"/>
  <c r="J357" i="1"/>
  <c r="J771" i="1"/>
  <c r="J546" i="1"/>
  <c r="V771" i="1"/>
  <c r="E41" i="1"/>
  <c r="V341" i="1"/>
  <c r="J126" i="1"/>
  <c r="J599" i="1"/>
  <c r="AH384" i="1"/>
  <c r="E427" i="1"/>
  <c r="V556" i="1"/>
  <c r="J900" i="1"/>
  <c r="J142" i="1"/>
  <c r="J814" i="1"/>
  <c r="J529" i="1"/>
  <c r="AH83" i="1"/>
  <c r="J470" i="1"/>
  <c r="V298" i="1"/>
  <c r="V814" i="1"/>
  <c r="AD305" i="1"/>
  <c r="AD314" i="1" s="1"/>
  <c r="H342" i="1"/>
  <c r="H348" i="1" s="1"/>
  <c r="H357" i="1" s="1"/>
  <c r="H385" i="1" s="1"/>
  <c r="H391" i="1" s="1"/>
  <c r="H400" i="1" s="1"/>
  <c r="H428" i="1" s="1"/>
  <c r="H434" i="1" s="1"/>
  <c r="H443" i="1" s="1"/>
  <c r="H471" i="1" s="1"/>
  <c r="H477" i="1" s="1"/>
  <c r="H486" i="1" s="1"/>
  <c r="H514" i="1" s="1"/>
  <c r="H520" i="1" s="1"/>
  <c r="H529" i="1" s="1"/>
  <c r="H557" i="1" s="1"/>
  <c r="H563" i="1" s="1"/>
  <c r="H572" i="1" s="1"/>
  <c r="H600" i="1" s="1"/>
  <c r="H606" i="1" s="1"/>
  <c r="H615" i="1" s="1"/>
  <c r="H643" i="1" s="1"/>
  <c r="H649" i="1" s="1"/>
  <c r="H658" i="1" s="1"/>
  <c r="H686" i="1" s="1"/>
  <c r="H692" i="1" s="1"/>
  <c r="H701" i="1" s="1"/>
  <c r="H729" i="1" s="1"/>
  <c r="H735" i="1" s="1"/>
  <c r="H744" i="1" s="1"/>
  <c r="H772" i="1" s="1"/>
  <c r="H778" i="1" s="1"/>
  <c r="H787" i="1" s="1"/>
  <c r="H815" i="1" s="1"/>
  <c r="H821" i="1" s="1"/>
  <c r="H830" i="1" s="1"/>
  <c r="H858" i="1" s="1"/>
  <c r="H864" i="1" s="1"/>
  <c r="H873" i="1" s="1"/>
  <c r="H901" i="1" s="1"/>
  <c r="H907" i="1" s="1"/>
  <c r="H916" i="1" s="1"/>
  <c r="H944" i="1" s="1"/>
  <c r="V642" i="1"/>
  <c r="J380" i="1"/>
  <c r="I341" i="1"/>
  <c r="E642" i="1"/>
  <c r="V857" i="1"/>
  <c r="AH212" i="1"/>
  <c r="J185" i="1"/>
  <c r="J857" i="1"/>
  <c r="V943" i="1"/>
  <c r="U41" i="1"/>
  <c r="V126" i="1"/>
  <c r="U47" i="1"/>
  <c r="J615" i="1"/>
  <c r="J873" i="1"/>
  <c r="J314" i="1"/>
  <c r="AH126" i="1"/>
  <c r="I685" i="1"/>
  <c r="AH169" i="1"/>
  <c r="AH556" i="1"/>
  <c r="AG47" i="1"/>
  <c r="AH40" i="1"/>
  <c r="J658" i="1"/>
  <c r="V728" i="1"/>
  <c r="J701" i="1"/>
  <c r="AG56" i="1"/>
  <c r="E384" i="1"/>
  <c r="F47" i="1"/>
  <c r="I41" i="1"/>
  <c r="J744" i="1"/>
  <c r="J228" i="1"/>
  <c r="I384" i="1"/>
  <c r="J572" i="1"/>
  <c r="J486" i="1"/>
  <c r="AG41" i="1"/>
  <c r="AH13" i="1"/>
  <c r="J56" i="1"/>
  <c r="J443" i="1"/>
  <c r="J830" i="1"/>
  <c r="E685" i="1"/>
  <c r="N47" i="1"/>
  <c r="Q41" i="1"/>
  <c r="J99" i="1"/>
  <c r="J400" i="1"/>
  <c r="C99" i="1"/>
  <c r="O133" i="1"/>
  <c r="R84" i="1"/>
  <c r="U56" i="1"/>
  <c r="J271" i="1"/>
  <c r="Z47" i="1"/>
  <c r="AC41" i="1"/>
  <c r="B256" i="1"/>
  <c r="Z305" i="1"/>
  <c r="AC299" i="1"/>
  <c r="AD90" i="1"/>
  <c r="AG84" i="1"/>
  <c r="J787" i="1"/>
  <c r="I427" i="1"/>
  <c r="D56" i="1"/>
  <c r="E47" i="1"/>
  <c r="P1032" i="1" l="1"/>
  <c r="N1032" i="1"/>
  <c r="T1776" i="1"/>
  <c r="O1032" i="1"/>
  <c r="R1032" i="1"/>
  <c r="T1032" i="1"/>
  <c r="G950" i="1"/>
  <c r="G959" i="1" s="1"/>
  <c r="G987" i="1" s="1"/>
  <c r="G993" i="1" s="1"/>
  <c r="G1002" i="1" s="1"/>
  <c r="G1030" i="1" s="1"/>
  <c r="G1036" i="1" s="1"/>
  <c r="G1045" i="1" s="1"/>
  <c r="G1073" i="1" s="1"/>
  <c r="G1079" i="1" s="1"/>
  <c r="G1088" i="1" s="1"/>
  <c r="G1116" i="1" s="1"/>
  <c r="G1122" i="1" s="1"/>
  <c r="G1131" i="1" s="1"/>
  <c r="G1159" i="1" s="1"/>
  <c r="G1165" i="1" s="1"/>
  <c r="G1174" i="1" s="1"/>
  <c r="G1202" i="1" s="1"/>
  <c r="G1208" i="1" s="1"/>
  <c r="H950" i="1"/>
  <c r="H959" i="1" s="1"/>
  <c r="H987" i="1" s="1"/>
  <c r="H993" i="1" s="1"/>
  <c r="H1002" i="1" s="1"/>
  <c r="H1030" i="1" s="1"/>
  <c r="H1036" i="1" s="1"/>
  <c r="H1045" i="1" s="1"/>
  <c r="H1073" i="1" s="1"/>
  <c r="H1079" i="1" s="1"/>
  <c r="H1088" i="1" s="1"/>
  <c r="H1116" i="1" s="1"/>
  <c r="H1122" i="1" s="1"/>
  <c r="H1131" i="1" s="1"/>
  <c r="H1159" i="1" s="1"/>
  <c r="H1165" i="1" s="1"/>
  <c r="J642" i="1"/>
  <c r="S215" i="1"/>
  <c r="AH299" i="1"/>
  <c r="J341" i="1"/>
  <c r="R215" i="1"/>
  <c r="U215" i="1"/>
  <c r="O215" i="1"/>
  <c r="P215" i="1"/>
  <c r="N215" i="1"/>
  <c r="AG305" i="1"/>
  <c r="J41" i="1"/>
  <c r="J427" i="1"/>
  <c r="J384" i="1"/>
  <c r="AH41" i="1"/>
  <c r="J685" i="1"/>
  <c r="V41" i="1"/>
  <c r="F56" i="1"/>
  <c r="I47" i="1"/>
  <c r="J47" i="1" s="1"/>
  <c r="AD342" i="1"/>
  <c r="AG314" i="1"/>
  <c r="N56" i="1"/>
  <c r="Q47" i="1"/>
  <c r="V47" i="1" s="1"/>
  <c r="Z314" i="1"/>
  <c r="AC305" i="1"/>
  <c r="B262" i="1"/>
  <c r="R90" i="1"/>
  <c r="U84" i="1"/>
  <c r="E56" i="1"/>
  <c r="D84" i="1"/>
  <c r="O142" i="1"/>
  <c r="Z56" i="1"/>
  <c r="AC47" i="1"/>
  <c r="AH47" i="1" s="1"/>
  <c r="AG90" i="1"/>
  <c r="AD99" i="1"/>
  <c r="C127" i="1"/>
  <c r="T1804" i="1" l="1"/>
  <c r="T1810" i="1" s="1"/>
  <c r="T1819" i="1" s="1"/>
  <c r="T1847" i="1" s="1"/>
  <c r="T1853" i="1" s="1"/>
  <c r="T1862" i="1" s="1"/>
  <c r="T1890" i="1" s="1"/>
  <c r="T1896" i="1" s="1"/>
  <c r="T1905" i="1" s="1"/>
  <c r="T1933" i="1" s="1"/>
  <c r="G1217" i="1"/>
  <c r="H1174" i="1"/>
  <c r="AH305" i="1"/>
  <c r="F84" i="1"/>
  <c r="I56" i="1"/>
  <c r="N84" i="1"/>
  <c r="Q56" i="1"/>
  <c r="V56" i="1" s="1"/>
  <c r="AD348" i="1"/>
  <c r="AG342" i="1"/>
  <c r="B271" i="1"/>
  <c r="O170" i="1"/>
  <c r="D90" i="1"/>
  <c r="E84" i="1"/>
  <c r="C133" i="1"/>
  <c r="AC56" i="1"/>
  <c r="AH56" i="1" s="1"/>
  <c r="Z84" i="1"/>
  <c r="R99" i="1"/>
  <c r="U90" i="1"/>
  <c r="AD127" i="1"/>
  <c r="AG99" i="1"/>
  <c r="AC314" i="1"/>
  <c r="AH314" i="1" s="1"/>
  <c r="Z342" i="1"/>
  <c r="G1245" i="1" l="1"/>
  <c r="G1251" i="1" s="1"/>
  <c r="H1202" i="1"/>
  <c r="H1208" i="1" s="1"/>
  <c r="H1217" i="1" s="1"/>
  <c r="H1245" i="1" s="1"/>
  <c r="H1251" i="1" s="1"/>
  <c r="H1260" i="1" s="1"/>
  <c r="H1288" i="1" s="1"/>
  <c r="H1294" i="1" s="1"/>
  <c r="H1303" i="1" s="1"/>
  <c r="H1331" i="1" s="1"/>
  <c r="H1337" i="1" s="1"/>
  <c r="H1346" i="1" s="1"/>
  <c r="H1374" i="1" s="1"/>
  <c r="H1380" i="1" s="1"/>
  <c r="H1389" i="1" s="1"/>
  <c r="H1417" i="1" s="1"/>
  <c r="H1423" i="1" s="1"/>
  <c r="H1432" i="1" s="1"/>
  <c r="H1460" i="1" s="1"/>
  <c r="F90" i="1"/>
  <c r="I84" i="1"/>
  <c r="J84" i="1" s="1"/>
  <c r="AD357" i="1"/>
  <c r="AG348" i="1"/>
  <c r="N90" i="1"/>
  <c r="Q84" i="1"/>
  <c r="V84" i="1" s="1"/>
  <c r="AG127" i="1"/>
  <c r="AD133" i="1"/>
  <c r="D99" i="1"/>
  <c r="E90" i="1"/>
  <c r="Z348" i="1"/>
  <c r="AC342" i="1"/>
  <c r="AH342" i="1" s="1"/>
  <c r="R127" i="1"/>
  <c r="U99" i="1"/>
  <c r="O176" i="1"/>
  <c r="C142" i="1"/>
  <c r="Z90" i="1"/>
  <c r="AC84" i="1"/>
  <c r="AH84" i="1" s="1"/>
  <c r="B299" i="1"/>
  <c r="H1466" i="1" l="1"/>
  <c r="G1260" i="1"/>
  <c r="F99" i="1"/>
  <c r="I90" i="1"/>
  <c r="J90" i="1" s="1"/>
  <c r="AD385" i="1"/>
  <c r="AG357" i="1"/>
  <c r="N99" i="1"/>
  <c r="Q90" i="1"/>
  <c r="V90" i="1" s="1"/>
  <c r="D127" i="1"/>
  <c r="E99" i="1"/>
  <c r="O185" i="1"/>
  <c r="Z99" i="1"/>
  <c r="AC90" i="1"/>
  <c r="AH90" i="1" s="1"/>
  <c r="U127" i="1"/>
  <c r="R133" i="1"/>
  <c r="AD142" i="1"/>
  <c r="AG133" i="1"/>
  <c r="C170" i="1"/>
  <c r="B305" i="1"/>
  <c r="Z357" i="1"/>
  <c r="AC348" i="1"/>
  <c r="AH348" i="1" s="1"/>
  <c r="H1475" i="1" l="1"/>
  <c r="G1288" i="1"/>
  <c r="F127" i="1"/>
  <c r="I99" i="1"/>
  <c r="N127" i="1"/>
  <c r="Q99" i="1"/>
  <c r="V99" i="1" s="1"/>
  <c r="AG385" i="1"/>
  <c r="AD391" i="1"/>
  <c r="O213" i="1"/>
  <c r="B314" i="1"/>
  <c r="C176" i="1"/>
  <c r="AC357" i="1"/>
  <c r="AH357" i="1" s="1"/>
  <c r="Z385" i="1"/>
  <c r="AD170" i="1"/>
  <c r="AG142" i="1"/>
  <c r="R142" i="1"/>
  <c r="U133" i="1"/>
  <c r="Z127" i="1"/>
  <c r="AC99" i="1"/>
  <c r="AH99" i="1" s="1"/>
  <c r="D133" i="1"/>
  <c r="E127" i="1"/>
  <c r="H1503" i="1" l="1"/>
  <c r="H1509" i="1" s="1"/>
  <c r="H1518" i="1" s="1"/>
  <c r="H1546" i="1" s="1"/>
  <c r="H1552" i="1" s="1"/>
  <c r="H1561" i="1" s="1"/>
  <c r="H1589" i="1" s="1"/>
  <c r="H1595" i="1" s="1"/>
  <c r="H1604" i="1" s="1"/>
  <c r="H1632" i="1" s="1"/>
  <c r="H1638" i="1" s="1"/>
  <c r="H1647" i="1" s="1"/>
  <c r="H1675" i="1" s="1"/>
  <c r="H1681" i="1" s="1"/>
  <c r="H1690" i="1" s="1"/>
  <c r="H1718" i="1" s="1"/>
  <c r="H1724" i="1" s="1"/>
  <c r="G1294" i="1"/>
  <c r="F133" i="1"/>
  <c r="I127" i="1"/>
  <c r="J127" i="1" s="1"/>
  <c r="AD400" i="1"/>
  <c r="AG391" i="1"/>
  <c r="N133" i="1"/>
  <c r="Q127" i="1"/>
  <c r="V127" i="1" s="1"/>
  <c r="Z133" i="1"/>
  <c r="AC127" i="1"/>
  <c r="AH127" i="1" s="1"/>
  <c r="O219" i="1"/>
  <c r="B342" i="1"/>
  <c r="R170" i="1"/>
  <c r="U142" i="1"/>
  <c r="C185" i="1"/>
  <c r="D142" i="1"/>
  <c r="E133" i="1"/>
  <c r="AD176" i="1"/>
  <c r="AG170" i="1"/>
  <c r="Z391" i="1"/>
  <c r="AC385" i="1"/>
  <c r="AH385" i="1" s="1"/>
  <c r="H1733" i="1" l="1"/>
  <c r="G1303" i="1"/>
  <c r="F142" i="1"/>
  <c r="I133" i="1"/>
  <c r="J133" i="1" s="1"/>
  <c r="N142" i="1"/>
  <c r="Q133" i="1"/>
  <c r="V133" i="1" s="1"/>
  <c r="AD428" i="1"/>
  <c r="AG400" i="1"/>
  <c r="C213" i="1"/>
  <c r="O228" i="1"/>
  <c r="D170" i="1"/>
  <c r="E142" i="1"/>
  <c r="AG176" i="1"/>
  <c r="AD185" i="1"/>
  <c r="Z400" i="1"/>
  <c r="AC391" i="1"/>
  <c r="AH391" i="1" s="1"/>
  <c r="B348" i="1"/>
  <c r="U170" i="1"/>
  <c r="R176" i="1"/>
  <c r="AC133" i="1"/>
  <c r="AH133" i="1" s="1"/>
  <c r="Z142" i="1"/>
  <c r="H1761" i="1" l="1"/>
  <c r="G1331" i="1"/>
  <c r="I142" i="1"/>
  <c r="F170" i="1"/>
  <c r="AD434" i="1"/>
  <c r="AG428" i="1"/>
  <c r="N170" i="1"/>
  <c r="Q142" i="1"/>
  <c r="V142" i="1" s="1"/>
  <c r="D176" i="1"/>
  <c r="E170" i="1"/>
  <c r="O256" i="1"/>
  <c r="AD213" i="1"/>
  <c r="AG185" i="1"/>
  <c r="Z428" i="1"/>
  <c r="AC400" i="1"/>
  <c r="AH400" i="1" s="1"/>
  <c r="Z170" i="1"/>
  <c r="AC142" i="1"/>
  <c r="AH142" i="1" s="1"/>
  <c r="U176" i="1"/>
  <c r="R185" i="1"/>
  <c r="B357" i="1"/>
  <c r="C219" i="1"/>
  <c r="H1767" i="1" l="1"/>
  <c r="H1776" i="1" s="1"/>
  <c r="H1804" i="1" s="1"/>
  <c r="G1337" i="1"/>
  <c r="G1346" i="1" s="1"/>
  <c r="F176" i="1"/>
  <c r="I170" i="1"/>
  <c r="J170" i="1" s="1"/>
  <c r="N176" i="1"/>
  <c r="Q170" i="1"/>
  <c r="V170" i="1" s="1"/>
  <c r="AD443" i="1"/>
  <c r="AG434" i="1"/>
  <c r="Z176" i="1"/>
  <c r="AC170" i="1"/>
  <c r="AH170" i="1" s="1"/>
  <c r="B385" i="1"/>
  <c r="D185" i="1"/>
  <c r="E176" i="1"/>
  <c r="AG213" i="1"/>
  <c r="AD219" i="1"/>
  <c r="O262" i="1"/>
  <c r="U185" i="1"/>
  <c r="R213" i="1"/>
  <c r="C228" i="1"/>
  <c r="Z434" i="1"/>
  <c r="AC428" i="1"/>
  <c r="AH428" i="1" s="1"/>
  <c r="F185" i="1" l="1"/>
  <c r="I176" i="1"/>
  <c r="J176" i="1" s="1"/>
  <c r="N185" i="1"/>
  <c r="Q176" i="1"/>
  <c r="V176" i="1" s="1"/>
  <c r="AD471" i="1"/>
  <c r="AG443" i="1"/>
  <c r="U213" i="1"/>
  <c r="R219" i="1"/>
  <c r="D213" i="1"/>
  <c r="E185" i="1"/>
  <c r="Z443" i="1"/>
  <c r="AC434" i="1"/>
  <c r="AH434" i="1" s="1"/>
  <c r="O271" i="1"/>
  <c r="C256" i="1"/>
  <c r="AG219" i="1"/>
  <c r="AD228" i="1"/>
  <c r="B391" i="1"/>
  <c r="Z185" i="1"/>
  <c r="AC176" i="1"/>
  <c r="AH176" i="1" s="1"/>
  <c r="G1374" i="1" l="1"/>
  <c r="G1380" i="1" s="1"/>
  <c r="G1389" i="1" s="1"/>
  <c r="G1417" i="1" s="1"/>
  <c r="G1423" i="1" s="1"/>
  <c r="F213" i="1"/>
  <c r="I185" i="1"/>
  <c r="AG471" i="1"/>
  <c r="AD477" i="1"/>
  <c r="N213" i="1"/>
  <c r="Q185" i="1"/>
  <c r="V185" i="1" s="1"/>
  <c r="O299" i="1"/>
  <c r="D219" i="1"/>
  <c r="E213" i="1"/>
  <c r="B400" i="1"/>
  <c r="Z213" i="1"/>
  <c r="AC185" i="1"/>
  <c r="AH185" i="1" s="1"/>
  <c r="AG228" i="1"/>
  <c r="AD256" i="1"/>
  <c r="AG256" i="1" s="1"/>
  <c r="R228" i="1"/>
  <c r="U219" i="1"/>
  <c r="C262" i="1"/>
  <c r="Z471" i="1"/>
  <c r="AC443" i="1"/>
  <c r="AH443" i="1" s="1"/>
  <c r="G1432" i="1" l="1"/>
  <c r="F219" i="1"/>
  <c r="I213" i="1"/>
  <c r="J213" i="1" s="1"/>
  <c r="N219" i="1"/>
  <c r="Q213" i="1"/>
  <c r="V213" i="1" s="1"/>
  <c r="AD486" i="1"/>
  <c r="AG477" i="1"/>
  <c r="Z219" i="1"/>
  <c r="AC213" i="1"/>
  <c r="AH213" i="1" s="1"/>
  <c r="C271" i="1"/>
  <c r="D228" i="1"/>
  <c r="E219" i="1"/>
  <c r="U228" i="1"/>
  <c r="R256" i="1"/>
  <c r="Z477" i="1"/>
  <c r="AC471" i="1"/>
  <c r="AH471" i="1" s="1"/>
  <c r="B428" i="1"/>
  <c r="O305" i="1"/>
  <c r="G1460" i="1" l="1"/>
  <c r="G1466" i="1" s="1"/>
  <c r="G1475" i="1" s="1"/>
  <c r="F228" i="1"/>
  <c r="I219" i="1"/>
  <c r="J219" i="1" s="1"/>
  <c r="AG486" i="1"/>
  <c r="AD514" i="1"/>
  <c r="N228" i="1"/>
  <c r="Q219" i="1"/>
  <c r="V219" i="1" s="1"/>
  <c r="D256" i="1"/>
  <c r="E228" i="1"/>
  <c r="C299" i="1"/>
  <c r="Z486" i="1"/>
  <c r="AC477" i="1"/>
  <c r="AH477" i="1" s="1"/>
  <c r="O314" i="1"/>
  <c r="U256" i="1"/>
  <c r="R262" i="1"/>
  <c r="B434" i="1"/>
  <c r="Z228" i="1"/>
  <c r="AC219" i="1"/>
  <c r="AH219" i="1" s="1"/>
  <c r="I228" i="1" l="1"/>
  <c r="F256" i="1"/>
  <c r="AG514" i="1"/>
  <c r="AD520" i="1"/>
  <c r="N256" i="1"/>
  <c r="Q228" i="1"/>
  <c r="V228" i="1" s="1"/>
  <c r="Z514" i="1"/>
  <c r="AC486" i="1"/>
  <c r="AH486" i="1" s="1"/>
  <c r="C305" i="1"/>
  <c r="R271" i="1"/>
  <c r="U262" i="1"/>
  <c r="U257" i="1"/>
  <c r="T257" i="1"/>
  <c r="S257" i="1"/>
  <c r="Z256" i="1"/>
  <c r="AC256" i="1" s="1"/>
  <c r="AH256" i="1" s="1"/>
  <c r="AC228" i="1"/>
  <c r="AH228" i="1" s="1"/>
  <c r="B443" i="1"/>
  <c r="O342" i="1"/>
  <c r="R257" i="1"/>
  <c r="D262" i="1"/>
  <c r="E256" i="1"/>
  <c r="F262" i="1" l="1"/>
  <c r="I256" i="1"/>
  <c r="J256" i="1" s="1"/>
  <c r="N262" i="1"/>
  <c r="Q256" i="1"/>
  <c r="N257" i="1" s="1"/>
  <c r="AG520" i="1"/>
  <c r="AD529" i="1"/>
  <c r="O348" i="1"/>
  <c r="D271" i="1"/>
  <c r="E262" i="1"/>
  <c r="C314" i="1"/>
  <c r="B471" i="1"/>
  <c r="U271" i="1"/>
  <c r="R299" i="1"/>
  <c r="Z520" i="1"/>
  <c r="AC514" i="1"/>
  <c r="AH514" i="1" s="1"/>
  <c r="G1503" i="1" l="1"/>
  <c r="F271" i="1"/>
  <c r="I262" i="1"/>
  <c r="J262" i="1" s="1"/>
  <c r="AG529" i="1"/>
  <c r="AD557" i="1"/>
  <c r="AG557" i="1" s="1"/>
  <c r="O257" i="1"/>
  <c r="P257" i="1"/>
  <c r="Q257" i="1"/>
  <c r="V256" i="1"/>
  <c r="N271" i="1"/>
  <c r="Q262" i="1"/>
  <c r="V262" i="1" s="1"/>
  <c r="D299" i="1"/>
  <c r="E271" i="1"/>
  <c r="O357" i="1"/>
  <c r="B477" i="1"/>
  <c r="Z529" i="1"/>
  <c r="AC520" i="1"/>
  <c r="AH520" i="1" s="1"/>
  <c r="U299" i="1"/>
  <c r="R305" i="1"/>
  <c r="C342" i="1"/>
  <c r="G1509" i="1" l="1"/>
  <c r="F299" i="1"/>
  <c r="I271" i="1"/>
  <c r="N299" i="1"/>
  <c r="Q271" i="1"/>
  <c r="V271" i="1" s="1"/>
  <c r="Z557" i="1"/>
  <c r="AC557" i="1" s="1"/>
  <c r="AH557" i="1" s="1"/>
  <c r="AC529" i="1"/>
  <c r="AH529" i="1" s="1"/>
  <c r="O385" i="1"/>
  <c r="R314" i="1"/>
  <c r="U305" i="1"/>
  <c r="D305" i="1"/>
  <c r="E299" i="1"/>
  <c r="C348" i="1"/>
  <c r="B486" i="1"/>
  <c r="G1518" i="1" l="1"/>
  <c r="F305" i="1"/>
  <c r="I299" i="1"/>
  <c r="J299" i="1" s="1"/>
  <c r="N305" i="1"/>
  <c r="Q299" i="1"/>
  <c r="V299" i="1" s="1"/>
  <c r="B514" i="1"/>
  <c r="R342" i="1"/>
  <c r="U314" i="1"/>
  <c r="C357" i="1"/>
  <c r="O391" i="1"/>
  <c r="D314" i="1"/>
  <c r="E305" i="1"/>
  <c r="G1546" i="1" l="1"/>
  <c r="I305" i="1"/>
  <c r="J305" i="1" s="1"/>
  <c r="F314" i="1"/>
  <c r="N314" i="1"/>
  <c r="Q305" i="1"/>
  <c r="V305" i="1" s="1"/>
  <c r="D342" i="1"/>
  <c r="E314" i="1"/>
  <c r="C385" i="1"/>
  <c r="O400" i="1"/>
  <c r="U342" i="1"/>
  <c r="R348" i="1"/>
  <c r="B520" i="1"/>
  <c r="G1552" i="1" l="1"/>
  <c r="G1561" i="1" s="1"/>
  <c r="G1589" i="1" s="1"/>
  <c r="G1595" i="1" s="1"/>
  <c r="G1604" i="1" s="1"/>
  <c r="G1632" i="1" s="1"/>
  <c r="G1638" i="1" s="1"/>
  <c r="F342" i="1"/>
  <c r="I314" i="1"/>
  <c r="N342" i="1"/>
  <c r="Q314" i="1"/>
  <c r="V314" i="1" s="1"/>
  <c r="B529" i="1"/>
  <c r="U348" i="1"/>
  <c r="R357" i="1"/>
  <c r="O428" i="1"/>
  <c r="C391" i="1"/>
  <c r="D348" i="1"/>
  <c r="E342" i="1"/>
  <c r="G1647" i="1" l="1"/>
  <c r="F348" i="1"/>
  <c r="I342" i="1"/>
  <c r="J342" i="1" s="1"/>
  <c r="N348" i="1"/>
  <c r="Q342" i="1"/>
  <c r="V342" i="1" s="1"/>
  <c r="O434" i="1"/>
  <c r="D357" i="1"/>
  <c r="E348" i="1"/>
  <c r="R385" i="1"/>
  <c r="U357" i="1"/>
  <c r="C400" i="1"/>
  <c r="B557" i="1"/>
  <c r="G1675" i="1" l="1"/>
  <c r="F357" i="1"/>
  <c r="I348" i="1"/>
  <c r="J348" i="1" s="1"/>
  <c r="N357" i="1"/>
  <c r="Q348" i="1"/>
  <c r="V348" i="1" s="1"/>
  <c r="B563" i="1"/>
  <c r="U385" i="1"/>
  <c r="R391" i="1"/>
  <c r="D385" i="1"/>
  <c r="E357" i="1"/>
  <c r="C428" i="1"/>
  <c r="O443" i="1"/>
  <c r="G1681" i="1" l="1"/>
  <c r="F385" i="1"/>
  <c r="I357" i="1"/>
  <c r="N385" i="1"/>
  <c r="Q357" i="1"/>
  <c r="V357" i="1" s="1"/>
  <c r="O471" i="1"/>
  <c r="C434" i="1"/>
  <c r="B572" i="1"/>
  <c r="D391" i="1"/>
  <c r="E385" i="1"/>
  <c r="R400" i="1"/>
  <c r="U391" i="1"/>
  <c r="G1690" i="1" l="1"/>
  <c r="F391" i="1"/>
  <c r="I385" i="1"/>
  <c r="J385" i="1" s="1"/>
  <c r="N391" i="1"/>
  <c r="Q385" i="1"/>
  <c r="V385" i="1" s="1"/>
  <c r="D400" i="1"/>
  <c r="E391" i="1"/>
  <c r="R428" i="1"/>
  <c r="U400" i="1"/>
  <c r="C443" i="1"/>
  <c r="O477" i="1"/>
  <c r="B600" i="1"/>
  <c r="G1718" i="1" l="1"/>
  <c r="I391" i="1"/>
  <c r="J391" i="1" s="1"/>
  <c r="F400" i="1"/>
  <c r="N400" i="1"/>
  <c r="Q391" i="1"/>
  <c r="V391" i="1" s="1"/>
  <c r="O486" i="1"/>
  <c r="B606" i="1"/>
  <c r="R434" i="1"/>
  <c r="U428" i="1"/>
  <c r="C471" i="1"/>
  <c r="D428" i="1"/>
  <c r="E400" i="1"/>
  <c r="G1724" i="1" l="1"/>
  <c r="G1733" i="1" s="1"/>
  <c r="G1761" i="1" s="1"/>
  <c r="G1767" i="1" s="1"/>
  <c r="G1776" i="1" s="1"/>
  <c r="G1804" i="1" s="1"/>
  <c r="G1810" i="1" s="1"/>
  <c r="G1819" i="1" s="1"/>
  <c r="G1847" i="1" s="1"/>
  <c r="G1853" i="1" s="1"/>
  <c r="I400" i="1"/>
  <c r="F428" i="1"/>
  <c r="N428" i="1"/>
  <c r="Q400" i="1"/>
  <c r="V400" i="1" s="1"/>
  <c r="D434" i="1"/>
  <c r="E428" i="1"/>
  <c r="B615" i="1"/>
  <c r="R443" i="1"/>
  <c r="U434" i="1"/>
  <c r="O514" i="1"/>
  <c r="C477" i="1"/>
  <c r="G1862" i="1" l="1"/>
  <c r="F434" i="1"/>
  <c r="I428" i="1"/>
  <c r="J428" i="1" s="1"/>
  <c r="N434" i="1"/>
  <c r="Q428" i="1"/>
  <c r="V428" i="1" s="1"/>
  <c r="C486" i="1"/>
  <c r="R471" i="1"/>
  <c r="U443" i="1"/>
  <c r="B643" i="1"/>
  <c r="O520" i="1"/>
  <c r="D443" i="1"/>
  <c r="E434" i="1"/>
  <c r="G1890" i="1" l="1"/>
  <c r="G1896" i="1" s="1"/>
  <c r="I434" i="1"/>
  <c r="J434" i="1" s="1"/>
  <c r="F443" i="1"/>
  <c r="N443" i="1"/>
  <c r="Q434" i="1"/>
  <c r="V434" i="1" s="1"/>
  <c r="O529" i="1"/>
  <c r="D471" i="1"/>
  <c r="E443" i="1"/>
  <c r="R477" i="1"/>
  <c r="U471" i="1"/>
  <c r="B649" i="1"/>
  <c r="C514" i="1"/>
  <c r="G1905" i="1" l="1"/>
  <c r="I443" i="1"/>
  <c r="F471" i="1"/>
  <c r="N471" i="1"/>
  <c r="Q443" i="1"/>
  <c r="V443" i="1" s="1"/>
  <c r="B658" i="1"/>
  <c r="C520" i="1"/>
  <c r="D477" i="1"/>
  <c r="E471" i="1"/>
  <c r="U477" i="1"/>
  <c r="R486" i="1"/>
  <c r="O557" i="1"/>
  <c r="G1933" i="1" l="1"/>
  <c r="I471" i="1"/>
  <c r="J471" i="1" s="1"/>
  <c r="F477" i="1"/>
  <c r="N477" i="1"/>
  <c r="Q471" i="1"/>
  <c r="V471" i="1" s="1"/>
  <c r="D486" i="1"/>
  <c r="E477" i="1"/>
  <c r="R514" i="1"/>
  <c r="U486" i="1"/>
  <c r="C529" i="1"/>
  <c r="O563" i="1"/>
  <c r="B686" i="1"/>
  <c r="F486" i="1" l="1"/>
  <c r="I477" i="1"/>
  <c r="J477" i="1" s="1"/>
  <c r="N486" i="1"/>
  <c r="Q477" i="1"/>
  <c r="V477" i="1" s="1"/>
  <c r="O572" i="1"/>
  <c r="B692" i="1"/>
  <c r="C557" i="1"/>
  <c r="U514" i="1"/>
  <c r="R520" i="1"/>
  <c r="D514" i="1"/>
  <c r="E486" i="1"/>
  <c r="F514" i="1" l="1"/>
  <c r="I486" i="1"/>
  <c r="N514" i="1"/>
  <c r="Q486" i="1"/>
  <c r="V486" i="1" s="1"/>
  <c r="C563" i="1"/>
  <c r="R529" i="1"/>
  <c r="U520" i="1"/>
  <c r="O600" i="1"/>
  <c r="D520" i="1"/>
  <c r="E514" i="1"/>
  <c r="B701" i="1"/>
  <c r="F520" i="1" l="1"/>
  <c r="I514" i="1"/>
  <c r="J514" i="1" s="1"/>
  <c r="N520" i="1"/>
  <c r="Q514" i="1"/>
  <c r="V514" i="1" s="1"/>
  <c r="B729" i="1"/>
  <c r="O606" i="1"/>
  <c r="R557" i="1"/>
  <c r="U529" i="1"/>
  <c r="D529" i="1"/>
  <c r="E520" i="1"/>
  <c r="C572" i="1"/>
  <c r="F529" i="1" l="1"/>
  <c r="I520" i="1"/>
  <c r="J520" i="1" s="1"/>
  <c r="N529" i="1"/>
  <c r="Q520" i="1"/>
  <c r="V520" i="1" s="1"/>
  <c r="C600" i="1"/>
  <c r="O615" i="1"/>
  <c r="D557" i="1"/>
  <c r="E529" i="1"/>
  <c r="B735" i="1"/>
  <c r="R563" i="1"/>
  <c r="U557" i="1"/>
  <c r="I529" i="1" l="1"/>
  <c r="F557" i="1"/>
  <c r="N557" i="1"/>
  <c r="Q529" i="1"/>
  <c r="V529" i="1" s="1"/>
  <c r="D563" i="1"/>
  <c r="E557" i="1"/>
  <c r="R572" i="1"/>
  <c r="U563" i="1"/>
  <c r="B744" i="1"/>
  <c r="O643" i="1"/>
  <c r="C606" i="1"/>
  <c r="F563" i="1" l="1"/>
  <c r="I557" i="1"/>
  <c r="J557" i="1" s="1"/>
  <c r="N563" i="1"/>
  <c r="Q557" i="1"/>
  <c r="V557" i="1" s="1"/>
  <c r="C615" i="1"/>
  <c r="B772" i="1"/>
  <c r="R600" i="1"/>
  <c r="U572" i="1"/>
  <c r="O649" i="1"/>
  <c r="D572" i="1"/>
  <c r="E563" i="1"/>
  <c r="I563" i="1" l="1"/>
  <c r="J563" i="1" s="1"/>
  <c r="F572" i="1"/>
  <c r="N572" i="1"/>
  <c r="Q563" i="1"/>
  <c r="V563" i="1" s="1"/>
  <c r="O658" i="1"/>
  <c r="B778" i="1"/>
  <c r="D600" i="1"/>
  <c r="E572" i="1"/>
  <c r="U600" i="1"/>
  <c r="R606" i="1"/>
  <c r="C643" i="1"/>
  <c r="F600" i="1" l="1"/>
  <c r="I572" i="1"/>
  <c r="N600" i="1"/>
  <c r="Q572" i="1"/>
  <c r="V572" i="1" s="1"/>
  <c r="C649" i="1"/>
  <c r="R615" i="1"/>
  <c r="U606" i="1"/>
  <c r="B787" i="1"/>
  <c r="D606" i="1"/>
  <c r="E600" i="1"/>
  <c r="O686" i="1"/>
  <c r="F606" i="1" l="1"/>
  <c r="I600" i="1"/>
  <c r="J600" i="1" s="1"/>
  <c r="N606" i="1"/>
  <c r="Q600" i="1"/>
  <c r="V600" i="1" s="1"/>
  <c r="O692" i="1"/>
  <c r="D615" i="1"/>
  <c r="E606" i="1"/>
  <c r="U615" i="1"/>
  <c r="R643" i="1"/>
  <c r="B815" i="1"/>
  <c r="C658" i="1"/>
  <c r="F615" i="1" l="1"/>
  <c r="I606" i="1"/>
  <c r="J606" i="1" s="1"/>
  <c r="N615" i="1"/>
  <c r="Q606" i="1"/>
  <c r="V606" i="1" s="1"/>
  <c r="R649" i="1"/>
  <c r="U643" i="1"/>
  <c r="C686" i="1"/>
  <c r="D643" i="1"/>
  <c r="E615" i="1"/>
  <c r="B821" i="1"/>
  <c r="O701" i="1"/>
  <c r="F643" i="1" l="1"/>
  <c r="I615" i="1"/>
  <c r="N643" i="1"/>
  <c r="Q615" i="1"/>
  <c r="V615" i="1" s="1"/>
  <c r="O729" i="1"/>
  <c r="B830" i="1"/>
  <c r="C692" i="1"/>
  <c r="D649" i="1"/>
  <c r="E643" i="1"/>
  <c r="R658" i="1"/>
  <c r="U649" i="1"/>
  <c r="F649" i="1" l="1"/>
  <c r="I643" i="1"/>
  <c r="J643" i="1" s="1"/>
  <c r="N649" i="1"/>
  <c r="Q643" i="1"/>
  <c r="V643" i="1" s="1"/>
  <c r="D658" i="1"/>
  <c r="E649" i="1"/>
  <c r="R686" i="1"/>
  <c r="U658" i="1"/>
  <c r="O735" i="1"/>
  <c r="C701" i="1"/>
  <c r="B858" i="1"/>
  <c r="I649" i="1" l="1"/>
  <c r="J649" i="1" s="1"/>
  <c r="F658" i="1"/>
  <c r="N658" i="1"/>
  <c r="Q649" i="1"/>
  <c r="V649" i="1" s="1"/>
  <c r="B864" i="1"/>
  <c r="O744" i="1"/>
  <c r="R692" i="1"/>
  <c r="U686" i="1"/>
  <c r="C729" i="1"/>
  <c r="D686" i="1"/>
  <c r="E658" i="1"/>
  <c r="I658" i="1" l="1"/>
  <c r="F686" i="1"/>
  <c r="N686" i="1"/>
  <c r="Q658" i="1"/>
  <c r="V658" i="1" s="1"/>
  <c r="C735" i="1"/>
  <c r="D692" i="1"/>
  <c r="E686" i="1"/>
  <c r="O772" i="1"/>
  <c r="R701" i="1"/>
  <c r="U692" i="1"/>
  <c r="B873" i="1"/>
  <c r="F692" i="1" l="1"/>
  <c r="I686" i="1"/>
  <c r="J686" i="1" s="1"/>
  <c r="N692" i="1"/>
  <c r="Q686" i="1"/>
  <c r="V686" i="1" s="1"/>
  <c r="D701" i="1"/>
  <c r="E692" i="1"/>
  <c r="B901" i="1"/>
  <c r="R729" i="1"/>
  <c r="U701" i="1"/>
  <c r="O778" i="1"/>
  <c r="C744" i="1"/>
  <c r="F701" i="1" l="1"/>
  <c r="I692" i="1"/>
  <c r="J692" i="1" s="1"/>
  <c r="N701" i="1"/>
  <c r="Q692" i="1"/>
  <c r="V692" i="1" s="1"/>
  <c r="C772" i="1"/>
  <c r="O787" i="1"/>
  <c r="B907" i="1"/>
  <c r="U729" i="1"/>
  <c r="R735" i="1"/>
  <c r="D729" i="1"/>
  <c r="E701" i="1"/>
  <c r="F729" i="1" l="1"/>
  <c r="I701" i="1"/>
  <c r="N729" i="1"/>
  <c r="Q701" i="1"/>
  <c r="V701" i="1" s="1"/>
  <c r="D735" i="1"/>
  <c r="E729" i="1"/>
  <c r="R744" i="1"/>
  <c r="U735" i="1"/>
  <c r="B916" i="1"/>
  <c r="O815" i="1"/>
  <c r="C778" i="1"/>
  <c r="I729" i="1" l="1"/>
  <c r="J729" i="1" s="1"/>
  <c r="F735" i="1"/>
  <c r="N735" i="1"/>
  <c r="Q729" i="1"/>
  <c r="V729" i="1" s="1"/>
  <c r="O821" i="1"/>
  <c r="C787" i="1"/>
  <c r="U744" i="1"/>
  <c r="R772" i="1"/>
  <c r="D744" i="1"/>
  <c r="E735" i="1"/>
  <c r="I735" i="1" l="1"/>
  <c r="J735" i="1" s="1"/>
  <c r="F744" i="1"/>
  <c r="N744" i="1"/>
  <c r="Q735" i="1"/>
  <c r="V735" i="1" s="1"/>
  <c r="D772" i="1"/>
  <c r="E744" i="1"/>
  <c r="U772" i="1"/>
  <c r="R778" i="1"/>
  <c r="O830" i="1"/>
  <c r="C815" i="1"/>
  <c r="F772" i="1" l="1"/>
  <c r="I744" i="1"/>
  <c r="N772" i="1"/>
  <c r="Q744" i="1"/>
  <c r="V744" i="1" s="1"/>
  <c r="R787" i="1"/>
  <c r="U778" i="1"/>
  <c r="C821" i="1"/>
  <c r="O858" i="1"/>
  <c r="D778" i="1"/>
  <c r="E772" i="1"/>
  <c r="F778" i="1" l="1"/>
  <c r="I772" i="1"/>
  <c r="J772" i="1" s="1"/>
  <c r="N778" i="1"/>
  <c r="Q772" i="1"/>
  <c r="V772" i="1" s="1"/>
  <c r="D787" i="1"/>
  <c r="E778" i="1"/>
  <c r="C830" i="1"/>
  <c r="U787" i="1"/>
  <c r="R815" i="1"/>
  <c r="O864" i="1"/>
  <c r="I778" i="1" l="1"/>
  <c r="J778" i="1" s="1"/>
  <c r="F787" i="1"/>
  <c r="N787" i="1"/>
  <c r="Q778" i="1"/>
  <c r="V778" i="1" s="1"/>
  <c r="O873" i="1"/>
  <c r="C858" i="1"/>
  <c r="R821" i="1"/>
  <c r="U815" i="1"/>
  <c r="D815" i="1"/>
  <c r="E787" i="1"/>
  <c r="I787" i="1" l="1"/>
  <c r="F815" i="1"/>
  <c r="N815" i="1"/>
  <c r="Q787" i="1"/>
  <c r="V787" i="1" s="1"/>
  <c r="D821" i="1"/>
  <c r="E815" i="1"/>
  <c r="C864" i="1"/>
  <c r="O901" i="1"/>
  <c r="U821" i="1"/>
  <c r="R830" i="1"/>
  <c r="I815" i="1" l="1"/>
  <c r="J815" i="1" s="1"/>
  <c r="F821" i="1"/>
  <c r="N821" i="1"/>
  <c r="Q815" i="1"/>
  <c r="V815" i="1" s="1"/>
  <c r="U830" i="1"/>
  <c r="R858" i="1"/>
  <c r="C873" i="1"/>
  <c r="O907" i="1"/>
  <c r="D830" i="1"/>
  <c r="E821" i="1"/>
  <c r="F830" i="1" l="1"/>
  <c r="I821" i="1"/>
  <c r="J821" i="1" s="1"/>
  <c r="N830" i="1"/>
  <c r="Q821" i="1"/>
  <c r="V821" i="1" s="1"/>
  <c r="D858" i="1"/>
  <c r="E830" i="1"/>
  <c r="R864" i="1"/>
  <c r="U858" i="1"/>
  <c r="C901" i="1"/>
  <c r="O916" i="1"/>
  <c r="F858" i="1" l="1"/>
  <c r="I830" i="1"/>
  <c r="N858" i="1"/>
  <c r="Q830" i="1"/>
  <c r="V830" i="1" s="1"/>
  <c r="O944" i="1"/>
  <c r="O950" i="1" s="1"/>
  <c r="O959" i="1" s="1"/>
  <c r="O987" i="1" s="1"/>
  <c r="O993" i="1" s="1"/>
  <c r="O1002" i="1" s="1"/>
  <c r="O1030" i="1" s="1"/>
  <c r="O1036" i="1" s="1"/>
  <c r="O1045" i="1" s="1"/>
  <c r="O1073" i="1" s="1"/>
  <c r="O1079" i="1" s="1"/>
  <c r="O1088" i="1" s="1"/>
  <c r="O1116" i="1" s="1"/>
  <c r="O1122" i="1" s="1"/>
  <c r="O1131" i="1" s="1"/>
  <c r="O1159" i="1" s="1"/>
  <c r="O1165" i="1" s="1"/>
  <c r="O1174" i="1" s="1"/>
  <c r="O1202" i="1" s="1"/>
  <c r="O1208" i="1" s="1"/>
  <c r="O1217" i="1" s="1"/>
  <c r="O1245" i="1" s="1"/>
  <c r="O1251" i="1" s="1"/>
  <c r="O1260" i="1" s="1"/>
  <c r="O1288" i="1" s="1"/>
  <c r="O1294" i="1" s="1"/>
  <c r="O1303" i="1" s="1"/>
  <c r="O1331" i="1" s="1"/>
  <c r="O1337" i="1" s="1"/>
  <c r="O1346" i="1" s="1"/>
  <c r="O1374" i="1" s="1"/>
  <c r="O1380" i="1" s="1"/>
  <c r="O1389" i="1" s="1"/>
  <c r="O1417" i="1" s="1"/>
  <c r="O1423" i="1" s="1"/>
  <c r="O1432" i="1" s="1"/>
  <c r="O1460" i="1" s="1"/>
  <c r="O1466" i="1" s="1"/>
  <c r="O1475" i="1" s="1"/>
  <c r="O1503" i="1" s="1"/>
  <c r="O1509" i="1" s="1"/>
  <c r="O1518" i="1" s="1"/>
  <c r="O1546" i="1" s="1"/>
  <c r="O1552" i="1" s="1"/>
  <c r="O1561" i="1" s="1"/>
  <c r="O1589" i="1" s="1"/>
  <c r="O1595" i="1" s="1"/>
  <c r="C907" i="1"/>
  <c r="R873" i="1"/>
  <c r="U864" i="1"/>
  <c r="D864" i="1"/>
  <c r="E858" i="1"/>
  <c r="O1604" i="1" l="1"/>
  <c r="O1632" i="1" s="1"/>
  <c r="O1638" i="1" s="1"/>
  <c r="O1647" i="1" s="1"/>
  <c r="O1675" i="1" s="1"/>
  <c r="O1681" i="1" s="1"/>
  <c r="O1690" i="1" s="1"/>
  <c r="O1718" i="1" s="1"/>
  <c r="O1724" i="1" s="1"/>
  <c r="O1733" i="1" s="1"/>
  <c r="O1761" i="1" s="1"/>
  <c r="O1767" i="1" s="1"/>
  <c r="F864" i="1"/>
  <c r="I858" i="1"/>
  <c r="J858" i="1" s="1"/>
  <c r="N864" i="1"/>
  <c r="Q858" i="1"/>
  <c r="V858" i="1" s="1"/>
  <c r="D873" i="1"/>
  <c r="E864" i="1"/>
  <c r="C916" i="1"/>
  <c r="R901" i="1"/>
  <c r="U873" i="1"/>
  <c r="O1776" i="1" l="1"/>
  <c r="I864" i="1"/>
  <c r="J864" i="1" s="1"/>
  <c r="F873" i="1"/>
  <c r="N873" i="1"/>
  <c r="Q864" i="1"/>
  <c r="V864" i="1" s="1"/>
  <c r="C944" i="1"/>
  <c r="R907" i="1"/>
  <c r="U901" i="1"/>
  <c r="D901" i="1"/>
  <c r="E873" i="1"/>
  <c r="O1804" i="1" l="1"/>
  <c r="O1810" i="1" s="1"/>
  <c r="O1819" i="1" s="1"/>
  <c r="O1847" i="1" s="1"/>
  <c r="O1853" i="1" s="1"/>
  <c r="O1862" i="1" s="1"/>
  <c r="O1890" i="1" s="1"/>
  <c r="O1896" i="1" s="1"/>
  <c r="O1905" i="1" s="1"/>
  <c r="O1933" i="1" s="1"/>
  <c r="C950" i="1"/>
  <c r="C959" i="1" s="1"/>
  <c r="I873" i="1"/>
  <c r="F901" i="1"/>
  <c r="N901" i="1"/>
  <c r="Q873" i="1"/>
  <c r="V873" i="1" s="1"/>
  <c r="D907" i="1"/>
  <c r="E901" i="1"/>
  <c r="R916" i="1"/>
  <c r="U907" i="1"/>
  <c r="C987" i="1" l="1"/>
  <c r="C993" i="1" s="1"/>
  <c r="C1002" i="1" s="1"/>
  <c r="C1030" i="1" s="1"/>
  <c r="C1036" i="1" s="1"/>
  <c r="C1045" i="1" s="1"/>
  <c r="C1073" i="1" s="1"/>
  <c r="C1079" i="1" s="1"/>
  <c r="C1088" i="1" s="1"/>
  <c r="C1116" i="1" s="1"/>
  <c r="C1122" i="1" s="1"/>
  <c r="I901" i="1"/>
  <c r="J901" i="1" s="1"/>
  <c r="F907" i="1"/>
  <c r="N907" i="1"/>
  <c r="Q901" i="1"/>
  <c r="V901" i="1" s="1"/>
  <c r="U916" i="1"/>
  <c r="R944" i="1"/>
  <c r="D916" i="1"/>
  <c r="E907" i="1"/>
  <c r="C1131" i="1" l="1"/>
  <c r="U944" i="1"/>
  <c r="R950" i="1"/>
  <c r="F916" i="1"/>
  <c r="I907" i="1"/>
  <c r="J907" i="1" s="1"/>
  <c r="N916" i="1"/>
  <c r="Q907" i="1"/>
  <c r="V907" i="1" s="1"/>
  <c r="D944" i="1"/>
  <c r="E916" i="1"/>
  <c r="C1159" i="1" l="1"/>
  <c r="C1165" i="1" s="1"/>
  <c r="C1174" i="1" s="1"/>
  <c r="C1202" i="1" s="1"/>
  <c r="C1208" i="1" s="1"/>
  <c r="D950" i="1"/>
  <c r="U950" i="1"/>
  <c r="R959" i="1"/>
  <c r="I916" i="1"/>
  <c r="F944" i="1"/>
  <c r="N944" i="1"/>
  <c r="Q916" i="1"/>
  <c r="V916" i="1" s="1"/>
  <c r="C1217" i="1" l="1"/>
  <c r="D959" i="1"/>
  <c r="I944" i="1"/>
  <c r="F950" i="1"/>
  <c r="Q944" i="1"/>
  <c r="V944" i="1" s="1"/>
  <c r="N950" i="1"/>
  <c r="U959" i="1"/>
  <c r="R987" i="1"/>
  <c r="C1245" i="1" l="1"/>
  <c r="C1251" i="1" s="1"/>
  <c r="U987" i="1"/>
  <c r="R993" i="1"/>
  <c r="F959" i="1"/>
  <c r="I950" i="1"/>
  <c r="D987" i="1"/>
  <c r="D993" i="1" s="1"/>
  <c r="D1002" i="1" s="1"/>
  <c r="D1030" i="1" s="1"/>
  <c r="D1036" i="1" s="1"/>
  <c r="D1045" i="1" s="1"/>
  <c r="D1073" i="1" s="1"/>
  <c r="D1079" i="1" s="1"/>
  <c r="D1088" i="1" s="1"/>
  <c r="D1116" i="1" s="1"/>
  <c r="D1122" i="1" s="1"/>
  <c r="N959" i="1"/>
  <c r="Q950" i="1"/>
  <c r="V950" i="1" s="1"/>
  <c r="C1260" i="1" l="1"/>
  <c r="D1131" i="1"/>
  <c r="R1002" i="1"/>
  <c r="U993" i="1"/>
  <c r="F987" i="1"/>
  <c r="I959" i="1"/>
  <c r="Q959" i="1"/>
  <c r="V959" i="1" s="1"/>
  <c r="N987" i="1"/>
  <c r="B943" i="1"/>
  <c r="E942" i="1"/>
  <c r="J942" i="1" s="1"/>
  <c r="B944" i="1" l="1"/>
  <c r="B1074" i="1"/>
  <c r="C1288" i="1"/>
  <c r="C1294" i="1" s="1"/>
  <c r="C1303" i="1" s="1"/>
  <c r="C1331" i="1" s="1"/>
  <c r="C1337" i="1" s="1"/>
  <c r="D1159" i="1"/>
  <c r="I987" i="1"/>
  <c r="F993" i="1"/>
  <c r="R1030" i="1"/>
  <c r="U1002" i="1"/>
  <c r="Q987" i="1"/>
  <c r="V987" i="1" s="1"/>
  <c r="N993" i="1"/>
  <c r="E944" i="1"/>
  <c r="B950" i="1"/>
  <c r="E943" i="1"/>
  <c r="J943" i="1" l="1"/>
  <c r="J1074" i="1" s="1"/>
  <c r="E1074" i="1"/>
  <c r="C1346" i="1"/>
  <c r="D1165" i="1"/>
  <c r="F1002" i="1"/>
  <c r="I993" i="1"/>
  <c r="R1036" i="1"/>
  <c r="U1030" i="1"/>
  <c r="Q993" i="1"/>
  <c r="V993" i="1" s="1"/>
  <c r="N1002" i="1"/>
  <c r="J944" i="1"/>
  <c r="B959" i="1"/>
  <c r="E950" i="1"/>
  <c r="J950" i="1" s="1"/>
  <c r="E1075" i="1" l="1"/>
  <c r="D1075" i="1"/>
  <c r="C1075" i="1"/>
  <c r="B1075" i="1"/>
  <c r="C1374" i="1"/>
  <c r="C1380" i="1" s="1"/>
  <c r="C1389" i="1" s="1"/>
  <c r="D1174" i="1"/>
  <c r="F1030" i="1"/>
  <c r="I1002" i="1"/>
  <c r="R1045" i="1"/>
  <c r="U1036" i="1"/>
  <c r="N1030" i="1"/>
  <c r="Q1002" i="1"/>
  <c r="V1002" i="1" s="1"/>
  <c r="B987" i="1"/>
  <c r="E959" i="1"/>
  <c r="C1417" i="1" l="1"/>
  <c r="C1423" i="1" s="1"/>
  <c r="C1432" i="1" s="1"/>
  <c r="C1460" i="1" s="1"/>
  <c r="D1202" i="1"/>
  <c r="E987" i="1"/>
  <c r="J987" i="1" s="1"/>
  <c r="B993" i="1"/>
  <c r="F1036" i="1"/>
  <c r="I1030" i="1"/>
  <c r="R1073" i="1"/>
  <c r="U1045" i="1"/>
  <c r="Q1030" i="1"/>
  <c r="V1030" i="1" s="1"/>
  <c r="N1036" i="1"/>
  <c r="C1466" i="1" l="1"/>
  <c r="C1475" i="1" s="1"/>
  <c r="C1503" i="1" s="1"/>
  <c r="C1509" i="1" s="1"/>
  <c r="C1518" i="1" s="1"/>
  <c r="C1546" i="1" s="1"/>
  <c r="C1552" i="1" s="1"/>
  <c r="C1561" i="1" s="1"/>
  <c r="C1589" i="1" s="1"/>
  <c r="C1595" i="1" s="1"/>
  <c r="C1604" i="1" s="1"/>
  <c r="C1632" i="1" s="1"/>
  <c r="C1638" i="1" s="1"/>
  <c r="C1647" i="1" s="1"/>
  <c r="C1675" i="1" s="1"/>
  <c r="C1681" i="1" s="1"/>
  <c r="D1208" i="1"/>
  <c r="D1217" i="1" s="1"/>
  <c r="D1245" i="1" s="1"/>
  <c r="D1251" i="1" s="1"/>
  <c r="U1073" i="1"/>
  <c r="R1079" i="1"/>
  <c r="F1045" i="1"/>
  <c r="I1036" i="1"/>
  <c r="B1002" i="1"/>
  <c r="E993" i="1"/>
  <c r="J993" i="1" s="1"/>
  <c r="N1045" i="1"/>
  <c r="Q1036" i="1"/>
  <c r="V1036" i="1" s="1"/>
  <c r="C1690" i="1" l="1"/>
  <c r="D1260" i="1"/>
  <c r="R1088" i="1"/>
  <c r="U1079" i="1"/>
  <c r="B1030" i="1"/>
  <c r="E1002" i="1"/>
  <c r="F1073" i="1"/>
  <c r="I1045" i="1"/>
  <c r="N1073" i="1"/>
  <c r="Q1045" i="1"/>
  <c r="V1045" i="1" s="1"/>
  <c r="C1718" i="1" l="1"/>
  <c r="C1724" i="1" s="1"/>
  <c r="C1733" i="1" s="1"/>
  <c r="C1761" i="1" s="1"/>
  <c r="C1767" i="1" s="1"/>
  <c r="C1776" i="1" s="1"/>
  <c r="C1804" i="1" s="1"/>
  <c r="C1810" i="1" s="1"/>
  <c r="C1819" i="1" s="1"/>
  <c r="C1847" i="1" s="1"/>
  <c r="C1853" i="1" s="1"/>
  <c r="C1862" i="1" s="1"/>
  <c r="C1890" i="1" s="1"/>
  <c r="C1896" i="1" s="1"/>
  <c r="C1905" i="1" s="1"/>
  <c r="C1933" i="1" s="1"/>
  <c r="D1288" i="1"/>
  <c r="I1073" i="1"/>
  <c r="F1079" i="1"/>
  <c r="Q1073" i="1"/>
  <c r="V1073" i="1" s="1"/>
  <c r="N1079" i="1"/>
  <c r="U1088" i="1"/>
  <c r="R1116" i="1"/>
  <c r="E1030" i="1"/>
  <c r="J1030" i="1" s="1"/>
  <c r="B1036" i="1"/>
  <c r="D1294" i="1" l="1"/>
  <c r="U1116" i="1"/>
  <c r="R1122" i="1"/>
  <c r="F1088" i="1"/>
  <c r="I1079" i="1"/>
  <c r="N1088" i="1"/>
  <c r="Q1079" i="1"/>
  <c r="V1079" i="1" s="1"/>
  <c r="B1045" i="1"/>
  <c r="E1036" i="1"/>
  <c r="J1036" i="1" s="1"/>
  <c r="D1303" i="1" l="1"/>
  <c r="R1131" i="1"/>
  <c r="U1122" i="1"/>
  <c r="F1116" i="1"/>
  <c r="I1088" i="1"/>
  <c r="N1116" i="1"/>
  <c r="Q1088" i="1"/>
  <c r="V1088" i="1" s="1"/>
  <c r="E1045" i="1"/>
  <c r="B1073" i="1"/>
  <c r="D1331" i="1" l="1"/>
  <c r="I1116" i="1"/>
  <c r="F1122" i="1"/>
  <c r="U1131" i="1"/>
  <c r="R1159" i="1"/>
  <c r="Q1116" i="1"/>
  <c r="V1116" i="1" s="1"/>
  <c r="N1122" i="1"/>
  <c r="E1073" i="1"/>
  <c r="J1073" i="1" s="1"/>
  <c r="B1079" i="1"/>
  <c r="D1337" i="1" l="1"/>
  <c r="U1159" i="1"/>
  <c r="R1165" i="1"/>
  <c r="F1131" i="1"/>
  <c r="I1122" i="1"/>
  <c r="N1131" i="1"/>
  <c r="Q1122" i="1"/>
  <c r="V1122" i="1" s="1"/>
  <c r="B1088" i="1"/>
  <c r="E1079" i="1"/>
  <c r="J1079" i="1" s="1"/>
  <c r="D1346" i="1" l="1"/>
  <c r="R1174" i="1"/>
  <c r="U1165" i="1"/>
  <c r="F1159" i="1"/>
  <c r="I1131" i="1"/>
  <c r="N1159" i="1"/>
  <c r="Q1131" i="1"/>
  <c r="V1131" i="1" s="1"/>
  <c r="E1088" i="1"/>
  <c r="B1116" i="1"/>
  <c r="D1374" i="1" l="1"/>
  <c r="D1380" i="1" s="1"/>
  <c r="D1389" i="1" s="1"/>
  <c r="D1417" i="1" s="1"/>
  <c r="D1423" i="1" s="1"/>
  <c r="E1116" i="1"/>
  <c r="J1116" i="1" s="1"/>
  <c r="B1122" i="1"/>
  <c r="I1159" i="1"/>
  <c r="F1165" i="1"/>
  <c r="Q1159" i="1"/>
  <c r="V1159" i="1" s="1"/>
  <c r="N1165" i="1"/>
  <c r="R1202" i="1"/>
  <c r="U1174" i="1"/>
  <c r="D1432" i="1" l="1"/>
  <c r="B1131" i="1"/>
  <c r="E1122" i="1"/>
  <c r="J1122" i="1" s="1"/>
  <c r="U1202" i="1"/>
  <c r="R1208" i="1"/>
  <c r="F1174" i="1"/>
  <c r="I1165" i="1"/>
  <c r="N1174" i="1"/>
  <c r="Q1165" i="1"/>
  <c r="V1165" i="1" s="1"/>
  <c r="D1460" i="1" l="1"/>
  <c r="B1159" i="1"/>
  <c r="E1131" i="1"/>
  <c r="R1217" i="1"/>
  <c r="U1208" i="1"/>
  <c r="F1202" i="1"/>
  <c r="I1174" i="1"/>
  <c r="Q1174" i="1"/>
  <c r="V1174" i="1" s="1"/>
  <c r="N1202" i="1"/>
  <c r="D1466" i="1" l="1"/>
  <c r="D1475" i="1" s="1"/>
  <c r="D1503" i="1" s="1"/>
  <c r="D1509" i="1" s="1"/>
  <c r="D1518" i="1" s="1"/>
  <c r="D1546" i="1" s="1"/>
  <c r="D1552" i="1" s="1"/>
  <c r="D1561" i="1" s="1"/>
  <c r="D1589" i="1" s="1"/>
  <c r="D1595" i="1" s="1"/>
  <c r="D1604" i="1" s="1"/>
  <c r="D1632" i="1" s="1"/>
  <c r="D1638" i="1" s="1"/>
  <c r="D1647" i="1" s="1"/>
  <c r="D1675" i="1" s="1"/>
  <c r="D1681" i="1" s="1"/>
  <c r="B1165" i="1"/>
  <c r="E1159" i="1"/>
  <c r="J1159" i="1" s="1"/>
  <c r="I1202" i="1"/>
  <c r="F1208" i="1"/>
  <c r="Q1202" i="1"/>
  <c r="V1202" i="1" s="1"/>
  <c r="N1208" i="1"/>
  <c r="U1217" i="1"/>
  <c r="R1245" i="1"/>
  <c r="D1690" i="1" l="1"/>
  <c r="U1245" i="1"/>
  <c r="R1251" i="1"/>
  <c r="F1217" i="1"/>
  <c r="I1208" i="1"/>
  <c r="B1174" i="1"/>
  <c r="E1165" i="1"/>
  <c r="J1165" i="1" s="1"/>
  <c r="N1217" i="1"/>
  <c r="Q1208" i="1"/>
  <c r="V1208" i="1" s="1"/>
  <c r="D1718" i="1" l="1"/>
  <c r="D1724" i="1" s="1"/>
  <c r="D1733" i="1" s="1"/>
  <c r="D1761" i="1" s="1"/>
  <c r="D1767" i="1" s="1"/>
  <c r="D1776" i="1" s="1"/>
  <c r="D1804" i="1" s="1"/>
  <c r="D1810" i="1" s="1"/>
  <c r="D1819" i="1" s="1"/>
  <c r="D1847" i="1" s="1"/>
  <c r="D1853" i="1" s="1"/>
  <c r="D1862" i="1" s="1"/>
  <c r="D1890" i="1" s="1"/>
  <c r="D1896" i="1" s="1"/>
  <c r="D1905" i="1" s="1"/>
  <c r="D1933" i="1" s="1"/>
  <c r="U1251" i="1"/>
  <c r="R1260" i="1"/>
  <c r="B1202" i="1"/>
  <c r="E1174" i="1"/>
  <c r="F1245" i="1"/>
  <c r="I1217" i="1"/>
  <c r="N1245" i="1"/>
  <c r="Q1217" i="1"/>
  <c r="V1217" i="1" s="1"/>
  <c r="I1245" i="1" l="1"/>
  <c r="F1251" i="1"/>
  <c r="R1288" i="1"/>
  <c r="U1260" i="1"/>
  <c r="Q1245" i="1"/>
  <c r="V1245" i="1" s="1"/>
  <c r="N1251" i="1"/>
  <c r="B1208" i="1"/>
  <c r="E1202" i="1"/>
  <c r="J1202" i="1" s="1"/>
  <c r="F1260" i="1" l="1"/>
  <c r="I1251" i="1"/>
  <c r="U1288" i="1"/>
  <c r="R1294" i="1"/>
  <c r="Q1251" i="1"/>
  <c r="V1251" i="1" s="1"/>
  <c r="N1260" i="1"/>
  <c r="B1217" i="1"/>
  <c r="E1208" i="1"/>
  <c r="J1208" i="1" s="1"/>
  <c r="F1288" i="1" l="1"/>
  <c r="I1260" i="1"/>
  <c r="U1294" i="1"/>
  <c r="R1303" i="1"/>
  <c r="N1288" i="1"/>
  <c r="Q1260" i="1"/>
  <c r="V1260" i="1" s="1"/>
  <c r="B1245" i="1"/>
  <c r="E1217" i="1"/>
  <c r="E1245" i="1" l="1"/>
  <c r="J1245" i="1" s="1"/>
  <c r="B1251" i="1"/>
  <c r="F1294" i="1"/>
  <c r="I1288" i="1"/>
  <c r="Q1288" i="1"/>
  <c r="V1288" i="1" s="1"/>
  <c r="N1294" i="1"/>
  <c r="U1303" i="1"/>
  <c r="R1331" i="1"/>
  <c r="B1260" i="1" l="1"/>
  <c r="E1251" i="1"/>
  <c r="J1251" i="1" s="1"/>
  <c r="F1303" i="1"/>
  <c r="I1294" i="1"/>
  <c r="U1331" i="1"/>
  <c r="R1337" i="1"/>
  <c r="N1303" i="1"/>
  <c r="Q1294" i="1"/>
  <c r="V1294" i="1" s="1"/>
  <c r="F1331" i="1" l="1"/>
  <c r="I1303" i="1"/>
  <c r="B1288" i="1"/>
  <c r="E1260" i="1"/>
  <c r="U1337" i="1"/>
  <c r="R1346" i="1"/>
  <c r="N1331" i="1"/>
  <c r="Q1303" i="1"/>
  <c r="V1303" i="1" s="1"/>
  <c r="B1294" i="1" l="1"/>
  <c r="E1288" i="1"/>
  <c r="J1288" i="1" s="1"/>
  <c r="Q1331" i="1"/>
  <c r="V1331" i="1" s="1"/>
  <c r="N1337" i="1"/>
  <c r="F1337" i="1"/>
  <c r="I1331" i="1"/>
  <c r="R1374" i="1"/>
  <c r="U1346" i="1"/>
  <c r="U1374" i="1" l="1"/>
  <c r="R1380" i="1"/>
  <c r="N1346" i="1"/>
  <c r="Q1337" i="1"/>
  <c r="V1337" i="1" s="1"/>
  <c r="F1346" i="1"/>
  <c r="I1337" i="1"/>
  <c r="B1303" i="1"/>
  <c r="E1294" i="1"/>
  <c r="J1294" i="1" s="1"/>
  <c r="R1389" i="1" l="1"/>
  <c r="U1380" i="1"/>
  <c r="B1331" i="1"/>
  <c r="E1303" i="1"/>
  <c r="F1374" i="1"/>
  <c r="I1346" i="1"/>
  <c r="Q1346" i="1"/>
  <c r="V1346" i="1" s="1"/>
  <c r="N1374" i="1"/>
  <c r="Q1374" i="1" l="1"/>
  <c r="V1374" i="1" s="1"/>
  <c r="N1380" i="1"/>
  <c r="U1389" i="1"/>
  <c r="R1417" i="1"/>
  <c r="I1374" i="1"/>
  <c r="F1380" i="1"/>
  <c r="B1337" i="1"/>
  <c r="E1331" i="1"/>
  <c r="J1331" i="1" s="1"/>
  <c r="R1423" i="1" l="1"/>
  <c r="U1417" i="1"/>
  <c r="Q1380" i="1"/>
  <c r="V1380" i="1" s="1"/>
  <c r="N1389" i="1"/>
  <c r="F1389" i="1"/>
  <c r="F1417" i="1" s="1"/>
  <c r="F1423" i="1" s="1"/>
  <c r="I1380" i="1"/>
  <c r="B1346" i="1"/>
  <c r="E1337" i="1"/>
  <c r="J1337" i="1" s="1"/>
  <c r="Q1389" i="1" l="1"/>
  <c r="V1389" i="1" s="1"/>
  <c r="N1417" i="1"/>
  <c r="F1432" i="1"/>
  <c r="I1423" i="1"/>
  <c r="R1432" i="1"/>
  <c r="U1423" i="1"/>
  <c r="I1389" i="1"/>
  <c r="I1417" i="1"/>
  <c r="B1374" i="1"/>
  <c r="E1346" i="1"/>
  <c r="R1460" i="1" l="1"/>
  <c r="U1432" i="1"/>
  <c r="Q1417" i="1"/>
  <c r="V1417" i="1" s="1"/>
  <c r="N1423" i="1"/>
  <c r="F1460" i="1"/>
  <c r="I1432" i="1"/>
  <c r="E1374" i="1"/>
  <c r="J1374" i="1" s="1"/>
  <c r="B1380" i="1"/>
  <c r="F1466" i="1" l="1"/>
  <c r="I1460" i="1"/>
  <c r="N1432" i="1"/>
  <c r="Q1423" i="1"/>
  <c r="V1423" i="1" s="1"/>
  <c r="R1466" i="1"/>
  <c r="U1460" i="1"/>
  <c r="B1389" i="1"/>
  <c r="B1417" i="1" s="1"/>
  <c r="E1380" i="1"/>
  <c r="J1380" i="1" s="1"/>
  <c r="R1475" i="1" l="1"/>
  <c r="U1466" i="1"/>
  <c r="Q1432" i="1"/>
  <c r="V1432" i="1" s="1"/>
  <c r="N1460" i="1"/>
  <c r="F1475" i="1"/>
  <c r="I1466" i="1"/>
  <c r="E1389" i="1"/>
  <c r="N1466" i="1" l="1"/>
  <c r="Q1460" i="1"/>
  <c r="V1460" i="1" s="1"/>
  <c r="F1503" i="1"/>
  <c r="I1475" i="1"/>
  <c r="R1503" i="1"/>
  <c r="U1475" i="1"/>
  <c r="E1417" i="1"/>
  <c r="J1417" i="1" s="1"/>
  <c r="B1423" i="1"/>
  <c r="U1503" i="1" l="1"/>
  <c r="R1509" i="1"/>
  <c r="F1509" i="1"/>
  <c r="I1503" i="1"/>
  <c r="N1475" i="1"/>
  <c r="Q1466" i="1"/>
  <c r="V1466" i="1" s="1"/>
  <c r="B1432" i="1"/>
  <c r="E1423" i="1"/>
  <c r="J1423" i="1" s="1"/>
  <c r="F1518" i="1" l="1"/>
  <c r="I1509" i="1"/>
  <c r="R1518" i="1"/>
  <c r="U1509" i="1"/>
  <c r="N1503" i="1"/>
  <c r="Q1475" i="1"/>
  <c r="V1475" i="1" s="1"/>
  <c r="B1460" i="1"/>
  <c r="B1466" i="1" s="1"/>
  <c r="E1432" i="1"/>
  <c r="N1509" i="1" l="1"/>
  <c r="Q1503" i="1"/>
  <c r="V1503" i="1" s="1"/>
  <c r="R1546" i="1"/>
  <c r="U1518" i="1"/>
  <c r="B1475" i="1"/>
  <c r="E1475" i="1" s="1"/>
  <c r="J1475" i="1" s="1"/>
  <c r="E1466" i="1"/>
  <c r="J1466" i="1" s="1"/>
  <c r="F1546" i="1"/>
  <c r="I1518" i="1"/>
  <c r="E1460" i="1"/>
  <c r="J1460" i="1" s="1"/>
  <c r="U1546" i="1" l="1"/>
  <c r="R1552" i="1"/>
  <c r="F1552" i="1"/>
  <c r="I1546" i="1"/>
  <c r="N1518" i="1"/>
  <c r="Q1509" i="1"/>
  <c r="V1509" i="1" s="1"/>
  <c r="B1503" i="1"/>
  <c r="Q1518" i="1" l="1"/>
  <c r="V1518" i="1" s="1"/>
  <c r="N1546" i="1"/>
  <c r="F1561" i="1"/>
  <c r="I1552" i="1"/>
  <c r="R1561" i="1"/>
  <c r="U1552" i="1"/>
  <c r="E1503" i="1"/>
  <c r="J1503" i="1" s="1"/>
  <c r="B1509" i="1"/>
  <c r="Q1546" i="1" l="1"/>
  <c r="V1546" i="1" s="1"/>
  <c r="N1552" i="1"/>
  <c r="R1589" i="1"/>
  <c r="U1561" i="1"/>
  <c r="I1561" i="1"/>
  <c r="F1589" i="1"/>
  <c r="B1518" i="1"/>
  <c r="E1509" i="1"/>
  <c r="J1509" i="1" s="1"/>
  <c r="I1589" i="1" l="1"/>
  <c r="F1595" i="1"/>
  <c r="U1589" i="1"/>
  <c r="R1595" i="1"/>
  <c r="Q1552" i="1"/>
  <c r="V1552" i="1" s="1"/>
  <c r="N1561" i="1"/>
  <c r="E1518" i="1"/>
  <c r="J1518" i="1" s="1"/>
  <c r="B1546" i="1"/>
  <c r="I1595" i="1" l="1"/>
  <c r="F1604" i="1"/>
  <c r="R1604" i="1"/>
  <c r="U1595" i="1"/>
  <c r="Q1561" i="1"/>
  <c r="V1561" i="1" s="1"/>
  <c r="N1589" i="1"/>
  <c r="E1546" i="1"/>
  <c r="J1546" i="1" s="1"/>
  <c r="B1552" i="1"/>
  <c r="I1604" i="1" l="1"/>
  <c r="F1632" i="1"/>
  <c r="Q1589" i="1"/>
  <c r="V1589" i="1" s="1"/>
  <c r="N1595" i="1"/>
  <c r="U1604" i="1"/>
  <c r="R1632" i="1"/>
  <c r="B1561" i="1"/>
  <c r="E1552" i="1"/>
  <c r="J1552" i="1" s="1"/>
  <c r="I1632" i="1" l="1"/>
  <c r="F1638" i="1"/>
  <c r="U1632" i="1"/>
  <c r="R1638" i="1"/>
  <c r="N1604" i="1"/>
  <c r="Q1595" i="1"/>
  <c r="V1595" i="1" s="1"/>
  <c r="E1561" i="1"/>
  <c r="J1561" i="1" s="1"/>
  <c r="B1589" i="1"/>
  <c r="F1647" i="1" l="1"/>
  <c r="I1638" i="1"/>
  <c r="U1638" i="1"/>
  <c r="R1647" i="1"/>
  <c r="E1589" i="1"/>
  <c r="J1589" i="1" s="1"/>
  <c r="B1595" i="1"/>
  <c r="N1632" i="1"/>
  <c r="Q1604" i="1"/>
  <c r="V1604" i="1" s="1"/>
  <c r="F1675" i="1" l="1"/>
  <c r="I1647" i="1"/>
  <c r="Q1632" i="1"/>
  <c r="V1632" i="1" s="1"/>
  <c r="N1638" i="1"/>
  <c r="U1647" i="1"/>
  <c r="R1675" i="1"/>
  <c r="E1595" i="1"/>
  <c r="J1595" i="1" s="1"/>
  <c r="B1604" i="1"/>
  <c r="F1681" i="1" l="1"/>
  <c r="I1675" i="1"/>
  <c r="U1675" i="1"/>
  <c r="R1681" i="1"/>
  <c r="N1647" i="1"/>
  <c r="Q1638" i="1"/>
  <c r="V1638" i="1" s="1"/>
  <c r="B1632" i="1"/>
  <c r="E1604" i="1"/>
  <c r="J1604" i="1" s="1"/>
  <c r="F1690" i="1" l="1"/>
  <c r="I1681" i="1"/>
  <c r="R1690" i="1"/>
  <c r="U1681" i="1"/>
  <c r="N1675" i="1"/>
  <c r="Q1647" i="1"/>
  <c r="V1647" i="1" s="1"/>
  <c r="E1632" i="1"/>
  <c r="J1632" i="1" s="1"/>
  <c r="B1638" i="1"/>
  <c r="F1718" i="1" l="1"/>
  <c r="I1690" i="1"/>
  <c r="Q1675" i="1"/>
  <c r="V1675" i="1" s="1"/>
  <c r="N1681" i="1"/>
  <c r="R1718" i="1"/>
  <c r="U1690" i="1"/>
  <c r="B1647" i="1"/>
  <c r="E1638" i="1"/>
  <c r="J1638" i="1" s="1"/>
  <c r="F1724" i="1" l="1"/>
  <c r="I1718" i="1"/>
  <c r="U1718" i="1"/>
  <c r="R1724" i="1"/>
  <c r="N1690" i="1"/>
  <c r="Q1681" i="1"/>
  <c r="V1681" i="1" s="1"/>
  <c r="B1675" i="1"/>
  <c r="E1647" i="1"/>
  <c r="J1647" i="1" s="1"/>
  <c r="F1733" i="1" l="1"/>
  <c r="I1724" i="1"/>
  <c r="R1733" i="1"/>
  <c r="U1724" i="1"/>
  <c r="E1675" i="1"/>
  <c r="J1675" i="1" s="1"/>
  <c r="B1681" i="1"/>
  <c r="Q1690" i="1"/>
  <c r="V1690" i="1" s="1"/>
  <c r="N1718" i="1"/>
  <c r="F1761" i="1" l="1"/>
  <c r="I1733" i="1"/>
  <c r="U1733" i="1"/>
  <c r="R1761" i="1"/>
  <c r="Q1718" i="1"/>
  <c r="V1718" i="1" s="1"/>
  <c r="N1724" i="1"/>
  <c r="B1690" i="1"/>
  <c r="E1681" i="1"/>
  <c r="J1681" i="1" s="1"/>
  <c r="F1767" i="1" l="1"/>
  <c r="I1761" i="1"/>
  <c r="U1761" i="1"/>
  <c r="R1767" i="1"/>
  <c r="N1733" i="1"/>
  <c r="Q1724" i="1"/>
  <c r="V1724" i="1" s="1"/>
  <c r="B1718" i="1"/>
  <c r="E1690" i="1"/>
  <c r="J1690" i="1" s="1"/>
  <c r="E1718" i="1" l="1"/>
  <c r="J1718" i="1" s="1"/>
  <c r="B1724" i="1"/>
  <c r="F1776" i="1"/>
  <c r="I1767" i="1"/>
  <c r="R1776" i="1"/>
  <c r="U1767" i="1"/>
  <c r="N1761" i="1"/>
  <c r="Q1733" i="1"/>
  <c r="V1733" i="1" s="1"/>
  <c r="E1724" i="1" l="1"/>
  <c r="J1724" i="1" s="1"/>
  <c r="B1733" i="1"/>
  <c r="F1804" i="1"/>
  <c r="I1776" i="1"/>
  <c r="Q1761" i="1"/>
  <c r="V1761" i="1" s="1"/>
  <c r="N1767" i="1"/>
  <c r="R1804" i="1"/>
  <c r="U1776" i="1"/>
  <c r="I1804" i="1" l="1"/>
  <c r="F1810" i="1"/>
  <c r="U1804" i="1"/>
  <c r="R1810" i="1"/>
  <c r="E1733" i="1"/>
  <c r="J1733" i="1" s="1"/>
  <c r="B1761" i="1"/>
  <c r="N1776" i="1"/>
  <c r="Q1767" i="1"/>
  <c r="V1767" i="1" s="1"/>
  <c r="I1810" i="1" l="1"/>
  <c r="F1819" i="1"/>
  <c r="R1819" i="1"/>
  <c r="U1810" i="1"/>
  <c r="E1761" i="1"/>
  <c r="J1761" i="1" s="1"/>
  <c r="B1767" i="1"/>
  <c r="N1804" i="1"/>
  <c r="Q1776" i="1"/>
  <c r="V1776" i="1" s="1"/>
  <c r="I1819" i="1" l="1"/>
  <c r="F1847" i="1"/>
  <c r="Q1804" i="1"/>
  <c r="V1804" i="1" s="1"/>
  <c r="N1810" i="1"/>
  <c r="R1847" i="1"/>
  <c r="U1819" i="1"/>
  <c r="B1776" i="1"/>
  <c r="J1767" i="1"/>
  <c r="I1847" i="1" l="1"/>
  <c r="F1853" i="1"/>
  <c r="U1847" i="1"/>
  <c r="R1853" i="1"/>
  <c r="N1819" i="1"/>
  <c r="Q1810" i="1"/>
  <c r="V1810" i="1" s="1"/>
  <c r="B1804" i="1"/>
  <c r="J1776" i="1"/>
  <c r="F1862" i="1" l="1"/>
  <c r="I1853" i="1"/>
  <c r="R1862" i="1"/>
  <c r="U1853" i="1"/>
  <c r="E1804" i="1"/>
  <c r="J1804" i="1" s="1"/>
  <c r="B1810" i="1"/>
  <c r="N1847" i="1"/>
  <c r="Q1819" i="1"/>
  <c r="V1819" i="1" s="1"/>
  <c r="F1890" i="1" l="1"/>
  <c r="I1862" i="1"/>
  <c r="Q1847" i="1"/>
  <c r="V1847" i="1" s="1"/>
  <c r="N1853" i="1"/>
  <c r="R1890" i="1"/>
  <c r="U1862" i="1"/>
  <c r="J1810" i="1"/>
  <c r="B1819" i="1"/>
  <c r="U1890" i="1" l="1"/>
  <c r="R1896" i="1"/>
  <c r="I1890" i="1"/>
  <c r="F1896" i="1"/>
  <c r="N1862" i="1"/>
  <c r="Q1853" i="1"/>
  <c r="V1853" i="1" s="1"/>
  <c r="B1847" i="1"/>
  <c r="J1819" i="1"/>
  <c r="R1905" i="1" l="1"/>
  <c r="U1896" i="1"/>
  <c r="F1905" i="1"/>
  <c r="I1896" i="1"/>
  <c r="E1847" i="1"/>
  <c r="J1847" i="1" s="1"/>
  <c r="B1853" i="1"/>
  <c r="Q1862" i="1"/>
  <c r="V1862" i="1" s="1"/>
  <c r="N1890" i="1"/>
  <c r="R1933" i="1" l="1"/>
  <c r="U1933" i="1" s="1"/>
  <c r="U1905" i="1"/>
  <c r="Q1890" i="1"/>
  <c r="V1890" i="1" s="1"/>
  <c r="N1896" i="1"/>
  <c r="F1933" i="1"/>
  <c r="I1933" i="1" s="1"/>
  <c r="I1905" i="1"/>
  <c r="J1853" i="1"/>
  <c r="B1862" i="1"/>
  <c r="E1862" i="1" s="1"/>
  <c r="N1905" i="1" l="1"/>
  <c r="Q1896" i="1"/>
  <c r="V1896" i="1" s="1"/>
  <c r="B1890" i="1"/>
  <c r="J1862" i="1"/>
  <c r="Q1905" i="1" l="1"/>
  <c r="V1905" i="1" s="1"/>
  <c r="N1933" i="1"/>
  <c r="Q1933" i="1" s="1"/>
  <c r="V1933" i="1" s="1"/>
  <c r="E1890" i="1"/>
  <c r="J1890" i="1" s="1"/>
  <c r="B1896" i="1"/>
  <c r="E1896" i="1" l="1"/>
  <c r="J1896" i="1" s="1"/>
  <c r="B1905" i="1"/>
  <c r="B1933" i="1" l="1"/>
  <c r="E1933" i="1" s="1"/>
  <c r="J1933" i="1" s="1"/>
  <c r="E1905" i="1"/>
  <c r="J1905" i="1" s="1"/>
</calcChain>
</file>

<file path=xl/sharedStrings.xml><?xml version="1.0" encoding="utf-8"?>
<sst xmlns="http://schemas.openxmlformats.org/spreadsheetml/2006/main" count="4421" uniqueCount="531">
  <si>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</si>
  <si>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</si>
  <si>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</si>
  <si>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</si>
  <si>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</si>
  <si>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</si>
  <si>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</si>
  <si>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</si>
  <si>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</si>
  <si>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</si>
  <si>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</si>
  <si>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</si>
  <si>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</si>
  <si>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</si>
  <si>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</si>
  <si>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</si>
  <si>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</si>
  <si>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</si>
  <si>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ブラック</t>
    <phoneticPr fontId="7"/>
  </si>
  <si>
    <t>出荷数</t>
    <rPh sb="0" eb="2">
      <t>シュッカ</t>
    </rPh>
    <rPh sb="2" eb="3">
      <t>スウ</t>
    </rPh>
    <phoneticPr fontId="7"/>
  </si>
  <si>
    <t>残在庫</t>
    <rPh sb="0" eb="1">
      <t>ザン</t>
    </rPh>
    <rPh sb="1" eb="3">
      <t>ザイコ</t>
    </rPh>
    <phoneticPr fontId="2"/>
  </si>
  <si>
    <t>レース汗取りインナータンクトップ （夢販在庫）</t>
    <rPh sb="3" eb="5">
      <t>アセト</t>
    </rPh>
    <rPh sb="18" eb="19">
      <t>ユメ</t>
    </rPh>
    <rPh sb="19" eb="20">
      <t>ハン</t>
    </rPh>
    <rPh sb="20" eb="22">
      <t>ザイコ</t>
    </rPh>
    <phoneticPr fontId="2"/>
  </si>
  <si>
    <t>レース汗取りインナータンクトップ （KPORT在庫）</t>
    <rPh sb="3" eb="5">
      <t>アセト</t>
    </rPh>
    <rPh sb="23" eb="25">
      <t>ザイコ</t>
    </rPh>
    <phoneticPr fontId="2"/>
  </si>
  <si>
    <t>レース汗取りインナータンクトップ （クライム在庫）</t>
    <rPh sb="3" eb="5">
      <t>アセト</t>
    </rPh>
    <rPh sb="22" eb="24">
      <t>ザイコ</t>
    </rPh>
    <phoneticPr fontId="2"/>
  </si>
  <si>
    <t>ホワイト</t>
    <phoneticPr fontId="7"/>
  </si>
  <si>
    <t>ディノス２色組　夏号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</si>
  <si>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営業用サンプル</t>
    <rPh sb="0" eb="2">
      <t>エイギョウ</t>
    </rPh>
    <rPh sb="2" eb="3">
      <t>ヨウ</t>
    </rPh>
    <phoneticPr fontId="7"/>
  </si>
  <si>
    <t>2020/1/15伝数</t>
    <rPh sb="9" eb="10">
      <t>デン</t>
    </rPh>
    <rPh sb="10" eb="11">
      <t>スウ</t>
    </rPh>
    <phoneticPr fontId="7"/>
  </si>
  <si>
    <t>夢販</t>
    <rPh sb="0" eb="2">
      <t>ユメハン</t>
    </rPh>
    <phoneticPr fontId="7"/>
  </si>
  <si>
    <t>ディノス２色組　夏号 事前搬入</t>
    <rPh sb="5" eb="6">
      <t>ショク</t>
    </rPh>
    <rPh sb="6" eb="7">
      <t>グミ</t>
    </rPh>
    <rPh sb="8" eb="9">
      <t>ナツ</t>
    </rPh>
    <rPh sb="9" eb="10">
      <t>ゴウ</t>
    </rPh>
    <rPh sb="11" eb="15">
      <t>ジゼンハンニュウ</t>
    </rPh>
    <phoneticPr fontId="7"/>
  </si>
  <si>
    <t>4/1～12/28</t>
    <phoneticPr fontId="7"/>
  </si>
  <si>
    <t>オットージャパン6月企画</t>
    <rPh sb="9" eb="12">
      <t>ガツキカク</t>
    </rPh>
    <phoneticPr fontId="7"/>
  </si>
  <si>
    <t>西夢</t>
    <rPh sb="0" eb="1">
      <t>ニシ</t>
    </rPh>
    <rPh sb="1" eb="2">
      <t>ユメ</t>
    </rPh>
    <phoneticPr fontId="7"/>
  </si>
  <si>
    <t>ネット</t>
    <phoneticPr fontId="7"/>
  </si>
  <si>
    <t>追加２3-2</t>
    <rPh sb="0" eb="2">
      <t>ツイカ</t>
    </rPh>
    <phoneticPr fontId="2"/>
  </si>
  <si>
    <t>初回3-1</t>
    <rPh sb="0" eb="2">
      <t>ショカイ</t>
    </rPh>
    <phoneticPr fontId="2"/>
  </si>
  <si>
    <t>2回目3-3</t>
    <rPh sb="1" eb="3">
      <t>カイメ</t>
    </rPh>
    <phoneticPr fontId="7"/>
  </si>
  <si>
    <t>不良品(返品済み）</t>
    <rPh sb="0" eb="1">
      <t>フ</t>
    </rPh>
    <rPh sb="1" eb="3">
      <t>リョウヒン</t>
    </rPh>
    <rPh sb="4" eb="6">
      <t>ヘンピン</t>
    </rPh>
    <rPh sb="6" eb="7">
      <t>ズ</t>
    </rPh>
    <phoneticPr fontId="7"/>
  </si>
  <si>
    <t>JODルフェリ0408</t>
    <phoneticPr fontId="7"/>
  </si>
  <si>
    <t>4/6～</t>
    <phoneticPr fontId="7"/>
  </si>
  <si>
    <t>千趣会①</t>
    <rPh sb="0" eb="3">
      <t>センシュカイ</t>
    </rPh>
    <phoneticPr fontId="7"/>
  </si>
  <si>
    <t>4/18ship</t>
    <phoneticPr fontId="7"/>
  </si>
  <si>
    <t>.</t>
    <phoneticPr fontId="7"/>
  </si>
  <si>
    <t>6月</t>
    <rPh sb="1" eb="2">
      <t>ガツ</t>
    </rPh>
    <phoneticPr fontId="7"/>
  </si>
  <si>
    <t>千趣会②</t>
    <rPh sb="0" eb="3">
      <t>センシュカイ</t>
    </rPh>
    <phoneticPr fontId="7"/>
  </si>
  <si>
    <t>点4/22、アバウト5/5・5/12、最終5/20</t>
    <rPh sb="0" eb="1">
      <t>テン</t>
    </rPh>
    <rPh sb="19" eb="21">
      <t>サイシュウ</t>
    </rPh>
    <phoneticPr fontId="7"/>
  </si>
  <si>
    <t>kport3-1</t>
    <phoneticPr fontId="7"/>
  </si>
  <si>
    <t>kport3-2</t>
    <phoneticPr fontId="7"/>
  </si>
  <si>
    <t>点7/1、キャ7/14、デリ7/21、最終7/29</t>
    <rPh sb="0" eb="1">
      <t>テン</t>
    </rPh>
    <rPh sb="19" eb="21">
      <t>サイシュウ</t>
    </rPh>
    <phoneticPr fontId="7"/>
  </si>
  <si>
    <t>2020/3/28伝数</t>
    <rPh sb="9" eb="10">
      <t>デン</t>
    </rPh>
    <rPh sb="10" eb="11">
      <t>スウ</t>
    </rPh>
    <phoneticPr fontId="7"/>
  </si>
  <si>
    <t>千趣会③</t>
    <rPh sb="0" eb="3">
      <t>センシュカイ</t>
    </rPh>
    <phoneticPr fontId="7"/>
  </si>
  <si>
    <t>西夢</t>
    <rPh sb="0" eb="1">
      <t>ニシ</t>
    </rPh>
    <rPh sb="1" eb="2">
      <t>ユメ</t>
    </rPh>
    <phoneticPr fontId="7"/>
  </si>
  <si>
    <t>日生協10号1480円</t>
    <rPh sb="0" eb="3">
      <t>ニッセイキョウ</t>
    </rPh>
    <rPh sb="5" eb="6">
      <t>ゴウ</t>
    </rPh>
    <rPh sb="10" eb="11">
      <t>エン</t>
    </rPh>
    <phoneticPr fontId="7"/>
  </si>
  <si>
    <t>日生協20号　1480円</t>
    <rPh sb="0" eb="2">
      <t>ニッセイ</t>
    </rPh>
    <rPh sb="2" eb="3">
      <t>キョウ</t>
    </rPh>
    <rPh sb="5" eb="6">
      <t>ゴウ</t>
    </rPh>
    <rPh sb="11" eb="12">
      <t>エン</t>
    </rPh>
    <phoneticPr fontId="7"/>
  </si>
  <si>
    <t>夢販</t>
    <rPh sb="0" eb="2">
      <t>ユメハン</t>
    </rPh>
    <phoneticPr fontId="7"/>
  </si>
  <si>
    <t>ディノス２色組　夏号 ②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</si>
  <si>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オットージャパン6月企画①</t>
    <rPh sb="9" eb="12">
      <t>ガツキカク</t>
    </rPh>
    <phoneticPr fontId="7"/>
  </si>
  <si>
    <t>オバタサンプル</t>
    <phoneticPr fontId="7"/>
  </si>
  <si>
    <t>千趣会④</t>
    <rPh sb="0" eb="3">
      <t>センシュカイ</t>
    </rPh>
    <phoneticPr fontId="7"/>
  </si>
  <si>
    <t>ディノス２色組　夏号 ③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</si>
  <si>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ディノス２色組　夏号 ④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</si>
  <si>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JOD①</t>
    <phoneticPr fontId="7"/>
  </si>
  <si>
    <t>ディノス２色組　夏号 ⑤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</si>
  <si>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JOD②</t>
    <phoneticPr fontId="7"/>
  </si>
  <si>
    <t>JOD③</t>
    <phoneticPr fontId="7"/>
  </si>
  <si>
    <t>千趣会⑤</t>
    <rPh sb="0" eb="3">
      <t>センシュカイ</t>
    </rPh>
    <phoneticPr fontId="7"/>
  </si>
  <si>
    <t>JOD④</t>
    <phoneticPr fontId="7"/>
  </si>
  <si>
    <t>追加２　3-1</t>
    <rPh sb="0" eb="2">
      <t>ツイカ</t>
    </rPh>
    <phoneticPr fontId="2"/>
  </si>
  <si>
    <t>大阪いずみ生協7-1w</t>
    <rPh sb="0" eb="2">
      <t>オオサカ</t>
    </rPh>
    <rPh sb="5" eb="7">
      <t>セイキョウ</t>
    </rPh>
    <phoneticPr fontId="7"/>
  </si>
  <si>
    <t>JOD⑤</t>
    <phoneticPr fontId="7"/>
  </si>
  <si>
    <t>JOD⑥</t>
    <phoneticPr fontId="7"/>
  </si>
  <si>
    <t>西夢</t>
    <rPh sb="0" eb="1">
      <t>ニシ</t>
    </rPh>
    <rPh sb="1" eb="2">
      <t>ユメ</t>
    </rPh>
    <phoneticPr fontId="7"/>
  </si>
  <si>
    <t>コープさっぽろ7-2w</t>
    <phoneticPr fontId="7"/>
  </si>
  <si>
    <t>JOD⑦</t>
    <phoneticPr fontId="7"/>
  </si>
  <si>
    <t>KPORT</t>
    <phoneticPr fontId="7"/>
  </si>
  <si>
    <t>KPORT</t>
    <phoneticPr fontId="2"/>
  </si>
  <si>
    <t>日生協10号1480円（東日本）①</t>
    <rPh sb="0" eb="3">
      <t>ニッセイキョウ</t>
    </rPh>
    <rPh sb="5" eb="6">
      <t>ゴウ</t>
    </rPh>
    <rPh sb="10" eb="11">
      <t>エン</t>
    </rPh>
    <rPh sb="12" eb="13">
      <t>ヒガシ</t>
    </rPh>
    <rPh sb="13" eb="15">
      <t>ニホン</t>
    </rPh>
    <phoneticPr fontId="7"/>
  </si>
  <si>
    <t>日生協10号1480円（東日本）②</t>
    <rPh sb="0" eb="3">
      <t>ニッセイキョウ</t>
    </rPh>
    <rPh sb="5" eb="6">
      <t>ゴウ</t>
    </rPh>
    <rPh sb="10" eb="11">
      <t>エン</t>
    </rPh>
    <rPh sb="12" eb="13">
      <t>ヒガシ</t>
    </rPh>
    <rPh sb="13" eb="15">
      <t>ニホン</t>
    </rPh>
    <phoneticPr fontId="7"/>
  </si>
  <si>
    <t>日生協10号1480円（西日本）①</t>
    <rPh sb="0" eb="3">
      <t>ニッセイキョウ</t>
    </rPh>
    <rPh sb="5" eb="6">
      <t>ゴウ</t>
    </rPh>
    <rPh sb="10" eb="11">
      <t>エン</t>
    </rPh>
    <rPh sb="12" eb="13">
      <t>ニシ</t>
    </rPh>
    <rPh sb="13" eb="15">
      <t>ニホン</t>
    </rPh>
    <phoneticPr fontId="7"/>
  </si>
  <si>
    <t>JOD⑧</t>
    <phoneticPr fontId="7"/>
  </si>
  <si>
    <t>ディノス２色組　夏号 ⑥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</si>
  <si>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JOD⑨</t>
    <phoneticPr fontId="7"/>
  </si>
  <si>
    <t>2020/4/24伝数</t>
    <rPh sb="9" eb="10">
      <t>デン</t>
    </rPh>
    <rPh sb="10" eb="11">
      <t>スウ</t>
    </rPh>
    <phoneticPr fontId="7"/>
  </si>
  <si>
    <t>JOD⑩</t>
    <phoneticPr fontId="7"/>
  </si>
  <si>
    <t>千趣会⑥</t>
    <rPh sb="0" eb="3">
      <t>センシュカイ</t>
    </rPh>
    <phoneticPr fontId="7"/>
  </si>
  <si>
    <t>5/16ship</t>
    <phoneticPr fontId="7"/>
  </si>
  <si>
    <t>JOD⑪</t>
    <phoneticPr fontId="7"/>
  </si>
  <si>
    <t>ディノス２色組　夏号 ⑦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</si>
  <si>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①7/2（70％）②7/7（不足分）</t>
    <rPh sb="14" eb="17">
      <t>フソクブン</t>
    </rPh>
    <phoneticPr fontId="7"/>
  </si>
  <si>
    <t>6/19～7/1（1～5回）</t>
    <rPh sb="12" eb="13">
      <t>カイ</t>
    </rPh>
    <phoneticPr fontId="7"/>
  </si>
  <si>
    <t>JOD⑫</t>
    <phoneticPr fontId="7"/>
  </si>
  <si>
    <t>日生協10号1480円（西日本）②</t>
    <rPh sb="0" eb="3">
      <t>ニッセイキョウ</t>
    </rPh>
    <rPh sb="5" eb="6">
      <t>ゴウ</t>
    </rPh>
    <rPh sb="10" eb="11">
      <t>エン</t>
    </rPh>
    <rPh sb="12" eb="13">
      <t>ニシ</t>
    </rPh>
    <rPh sb="13" eb="15">
      <t>ニホン</t>
    </rPh>
    <phoneticPr fontId="7"/>
  </si>
  <si>
    <t>日生協10号1480円（西日本）③</t>
    <rPh sb="0" eb="3">
      <t>ニッセイキョウ</t>
    </rPh>
    <rPh sb="5" eb="6">
      <t>ゴウ</t>
    </rPh>
    <rPh sb="10" eb="11">
      <t>エン</t>
    </rPh>
    <rPh sb="12" eb="13">
      <t>ニシ</t>
    </rPh>
    <rPh sb="13" eb="15">
      <t>ニホン</t>
    </rPh>
    <phoneticPr fontId="7"/>
  </si>
  <si>
    <t>日生協10号1480円（東日本）③</t>
    <rPh sb="0" eb="3">
      <t>ニッセイキョウ</t>
    </rPh>
    <rPh sb="5" eb="6">
      <t>ゴウ</t>
    </rPh>
    <rPh sb="10" eb="11">
      <t>エン</t>
    </rPh>
    <rPh sb="12" eb="13">
      <t>ヒガシ</t>
    </rPh>
    <rPh sb="13" eb="15">
      <t>ニホン</t>
    </rPh>
    <phoneticPr fontId="7"/>
  </si>
  <si>
    <t>日生協10号1480円（西日本）④</t>
    <rPh sb="0" eb="3">
      <t>ニッセイキョウ</t>
    </rPh>
    <rPh sb="5" eb="6">
      <t>ゴウ</t>
    </rPh>
    <rPh sb="10" eb="11">
      <t>エン</t>
    </rPh>
    <rPh sb="12" eb="13">
      <t>ニシ</t>
    </rPh>
    <rPh sb="13" eb="15">
      <t>ニホン</t>
    </rPh>
    <phoneticPr fontId="7"/>
  </si>
  <si>
    <t>日生協10号1480円（東日本）④</t>
    <rPh sb="0" eb="3">
      <t>ニッセイキョウ</t>
    </rPh>
    <rPh sb="5" eb="6">
      <t>ゴウ</t>
    </rPh>
    <rPh sb="10" eb="11">
      <t>エン</t>
    </rPh>
    <rPh sb="12" eb="13">
      <t>ヒガシ</t>
    </rPh>
    <rPh sb="13" eb="15">
      <t>ニホン</t>
    </rPh>
    <phoneticPr fontId="7"/>
  </si>
  <si>
    <t>日生協10号1480円（西日本）⑤</t>
    <rPh sb="0" eb="3">
      <t>ニッセイキョウ</t>
    </rPh>
    <rPh sb="5" eb="6">
      <t>ゴウ</t>
    </rPh>
    <rPh sb="10" eb="11">
      <t>エン</t>
    </rPh>
    <rPh sb="12" eb="13">
      <t>ニシ</t>
    </rPh>
    <rPh sb="13" eb="15">
      <t>ニホン</t>
    </rPh>
    <phoneticPr fontId="7"/>
  </si>
  <si>
    <t>日生協10号1480円（東日本）⑤</t>
    <rPh sb="0" eb="3">
      <t>ニッセイキョウ</t>
    </rPh>
    <rPh sb="5" eb="6">
      <t>ゴウ</t>
    </rPh>
    <rPh sb="10" eb="11">
      <t>エン</t>
    </rPh>
    <rPh sb="12" eb="13">
      <t>ヒガシ</t>
    </rPh>
    <rPh sb="13" eb="15">
      <t>ニホン</t>
    </rPh>
    <phoneticPr fontId="7"/>
  </si>
  <si>
    <t>千趣会⑦</t>
    <rPh sb="0" eb="3">
      <t>センシュカイ</t>
    </rPh>
    <phoneticPr fontId="7"/>
  </si>
  <si>
    <t>ディノス２色組　夏号 ⑧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</si>
  <si>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夢販</t>
    <rPh sb="0" eb="2">
      <t>ユメハン</t>
    </rPh>
    <phoneticPr fontId="7"/>
  </si>
  <si>
    <t>日生協10号1480円（東日本）⑥</t>
    <rPh sb="0" eb="3">
      <t>ニッセイキョウ</t>
    </rPh>
    <rPh sb="5" eb="6">
      <t>ゴウ</t>
    </rPh>
    <rPh sb="10" eb="11">
      <t>エン</t>
    </rPh>
    <rPh sb="12" eb="13">
      <t>ヒガシ</t>
    </rPh>
    <rPh sb="13" eb="15">
      <t>ニホン</t>
    </rPh>
    <phoneticPr fontId="7"/>
  </si>
  <si>
    <t>ディノス２色組　夏号 ⑨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</si>
  <si>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追加２　3-2</t>
    <rPh sb="0" eb="2">
      <t>ツイカ</t>
    </rPh>
    <phoneticPr fontId="2"/>
  </si>
  <si>
    <t>追加４　3-3</t>
    <rPh sb="0" eb="2">
      <t>ツイカ</t>
    </rPh>
    <phoneticPr fontId="2"/>
  </si>
  <si>
    <t>JODアクセス7070</t>
    <phoneticPr fontId="7"/>
  </si>
  <si>
    <t>7/16～</t>
    <phoneticPr fontId="7"/>
  </si>
  <si>
    <t>ディノス２色組　夏号 ⑩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</si>
  <si>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JOD⑬</t>
    <phoneticPr fontId="7"/>
  </si>
  <si>
    <t>日生協10号1480円（東日本）⑦</t>
    <rPh sb="0" eb="3">
      <t>ニッセイキョウ</t>
    </rPh>
    <rPh sb="5" eb="6">
      <t>ゴウ</t>
    </rPh>
    <rPh sb="10" eb="11">
      <t>エン</t>
    </rPh>
    <rPh sb="12" eb="13">
      <t>ヒガシ</t>
    </rPh>
    <rPh sb="13" eb="15">
      <t>ニホン</t>
    </rPh>
    <phoneticPr fontId="7"/>
  </si>
  <si>
    <t>日生協10号1480円（東日本）⑧</t>
    <rPh sb="0" eb="3">
      <t>ニッセイキョウ</t>
    </rPh>
    <rPh sb="5" eb="6">
      <t>ゴウ</t>
    </rPh>
    <rPh sb="10" eb="11">
      <t>エン</t>
    </rPh>
    <rPh sb="12" eb="13">
      <t>ヒガシ</t>
    </rPh>
    <rPh sb="13" eb="15">
      <t>ニホン</t>
    </rPh>
    <phoneticPr fontId="7"/>
  </si>
  <si>
    <t>ディノス２色組　夏号 ⑪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</si>
  <si>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ディノス２色組　夏号 ⑫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</si>
  <si>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千趣会⑧</t>
    <rPh sb="0" eb="3">
      <t>センシュカイ</t>
    </rPh>
    <phoneticPr fontId="7"/>
  </si>
  <si>
    <t>kport</t>
    <phoneticPr fontId="7"/>
  </si>
  <si>
    <t>kport</t>
    <phoneticPr fontId="7"/>
  </si>
  <si>
    <t>発注残</t>
    <rPh sb="0" eb="2">
      <t>ハッチュウ</t>
    </rPh>
    <rPh sb="2" eb="3">
      <t>ザン</t>
    </rPh>
    <phoneticPr fontId="2"/>
  </si>
  <si>
    <t>ディノス２色組　夏号 ⑬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</si>
  <si>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2020/5/22伝数</t>
    <rPh sb="9" eb="10">
      <t>デン</t>
    </rPh>
    <rPh sb="10" eb="11">
      <t>スウ</t>
    </rPh>
    <phoneticPr fontId="7"/>
  </si>
  <si>
    <t>JOD⑭</t>
    <phoneticPr fontId="7"/>
  </si>
  <si>
    <t>千趣会⑨</t>
    <rPh sb="0" eb="3">
      <t>センシュカイ</t>
    </rPh>
    <phoneticPr fontId="7"/>
  </si>
  <si>
    <t>ディノス２色組　夏号 ⑭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</si>
  <si>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夢販</t>
    <rPh sb="0" eb="2">
      <t>ユメハン</t>
    </rPh>
    <phoneticPr fontId="7"/>
  </si>
  <si>
    <t>営業サンプル戻り</t>
    <rPh sb="0" eb="2">
      <t>エイギョウ</t>
    </rPh>
    <rPh sb="6" eb="7">
      <t>モド</t>
    </rPh>
    <phoneticPr fontId="2"/>
  </si>
  <si>
    <t>JOD⑮</t>
    <phoneticPr fontId="7"/>
  </si>
  <si>
    <t>西夢</t>
    <rPh sb="0" eb="1">
      <t>ニシ</t>
    </rPh>
    <rPh sb="1" eb="2">
      <t>ユメ</t>
    </rPh>
    <phoneticPr fontId="7"/>
  </si>
  <si>
    <t>千趣会⑩</t>
    <rPh sb="0" eb="3">
      <t>センシュカイ</t>
    </rPh>
    <phoneticPr fontId="7"/>
  </si>
  <si>
    <t>JOD⑯</t>
    <phoneticPr fontId="7"/>
  </si>
  <si>
    <t>2020/6/3伝数</t>
    <rPh sb="8" eb="9">
      <t>デン</t>
    </rPh>
    <rPh sb="9" eb="10">
      <t>スウ</t>
    </rPh>
    <phoneticPr fontId="7"/>
  </si>
  <si>
    <t>千趣会⑪</t>
    <rPh sb="0" eb="3">
      <t>センシュカイ</t>
    </rPh>
    <phoneticPr fontId="7"/>
  </si>
  <si>
    <t>夢販</t>
    <rPh sb="0" eb="2">
      <t>ユメハン</t>
    </rPh>
    <phoneticPr fontId="7"/>
  </si>
  <si>
    <t>JOD⑰</t>
    <phoneticPr fontId="7"/>
  </si>
  <si>
    <t>ディノス２色組　夏号 ⑮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</si>
  <si>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夢販</t>
    <rPh sb="0" eb="2">
      <t>ユメハン</t>
    </rPh>
    <phoneticPr fontId="7"/>
  </si>
  <si>
    <t>ディノス返品</t>
    <rPh sb="4" eb="6">
      <t>ヘンピン</t>
    </rPh>
    <phoneticPr fontId="2"/>
  </si>
  <si>
    <t>千趣会⑫</t>
    <rPh sb="0" eb="3">
      <t>センシュカイ</t>
    </rPh>
    <phoneticPr fontId="7"/>
  </si>
  <si>
    <t>大阪いずみ生協7-1w①</t>
    <rPh sb="0" eb="2">
      <t>オオサカ</t>
    </rPh>
    <rPh sb="5" eb="7">
      <t>セイキョウ</t>
    </rPh>
    <phoneticPr fontId="7"/>
  </si>
  <si>
    <t>くらし返品</t>
    <rPh sb="3" eb="5">
      <t>ヘンピン</t>
    </rPh>
    <phoneticPr fontId="2"/>
  </si>
  <si>
    <t>千趣会⑬</t>
    <rPh sb="0" eb="3">
      <t>センシュカイ</t>
    </rPh>
    <phoneticPr fontId="7"/>
  </si>
  <si>
    <t>ディノス２色組　夏号 ⑯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</si>
  <si>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大阪いずみ生協7-1w②</t>
    <rPh sb="0" eb="2">
      <t>オオサカ</t>
    </rPh>
    <rPh sb="5" eb="7">
      <t>セイキョウ</t>
    </rPh>
    <phoneticPr fontId="7"/>
  </si>
  <si>
    <t>大阪いずみ生協7-1w③</t>
    <rPh sb="0" eb="2">
      <t>オオサカ</t>
    </rPh>
    <rPh sb="5" eb="7">
      <t>セイキョウ</t>
    </rPh>
    <phoneticPr fontId="7"/>
  </si>
  <si>
    <t>大阪いずみ生協7-1w④</t>
    <rPh sb="0" eb="2">
      <t>オオサカ</t>
    </rPh>
    <rPh sb="5" eb="7">
      <t>セイキョウ</t>
    </rPh>
    <phoneticPr fontId="7"/>
  </si>
  <si>
    <t>JOD返品</t>
    <rPh sb="3" eb="5">
      <t>ヘンピン</t>
    </rPh>
    <phoneticPr fontId="2"/>
  </si>
  <si>
    <t>大阪いずみ生協7-1w⑤</t>
    <rPh sb="0" eb="2">
      <t>オオサカ</t>
    </rPh>
    <rPh sb="5" eb="7">
      <t>セイキョウ</t>
    </rPh>
    <phoneticPr fontId="7"/>
  </si>
  <si>
    <t>コープさっぽろ7-2w(オバタ）①</t>
    <phoneticPr fontId="7"/>
  </si>
  <si>
    <t>JOD⑱</t>
    <phoneticPr fontId="7"/>
  </si>
  <si>
    <t>ディノス２色組　夏号 ⑰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</si>
  <si>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日生協20号　1480円(西日本）①</t>
    <rPh sb="0" eb="2">
      <t>ニッセイ</t>
    </rPh>
    <rPh sb="2" eb="3">
      <t>キョウ</t>
    </rPh>
    <rPh sb="5" eb="6">
      <t>ゴウ</t>
    </rPh>
    <rPh sb="11" eb="12">
      <t>エン</t>
    </rPh>
    <rPh sb="13" eb="16">
      <t>ニシニホン</t>
    </rPh>
    <phoneticPr fontId="7"/>
  </si>
  <si>
    <t>日生協20号　1480円(東日本）①</t>
    <rPh sb="0" eb="2">
      <t>ニッセイ</t>
    </rPh>
    <rPh sb="2" eb="3">
      <t>キョウ</t>
    </rPh>
    <rPh sb="5" eb="6">
      <t>ゴウ</t>
    </rPh>
    <rPh sb="11" eb="12">
      <t>エン</t>
    </rPh>
    <rPh sb="13" eb="14">
      <t>ヒガシ</t>
    </rPh>
    <rPh sb="14" eb="16">
      <t>ニホン</t>
    </rPh>
    <phoneticPr fontId="7"/>
  </si>
  <si>
    <t>コープさっぽろ7-2w(オバタ）②</t>
    <phoneticPr fontId="7"/>
  </si>
  <si>
    <t>夢販</t>
    <rPh sb="0" eb="2">
      <t>ユメハン</t>
    </rPh>
    <phoneticPr fontId="7"/>
  </si>
  <si>
    <t>ディノス２色組　夏号 ⑱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</si>
  <si>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日生協20号　1480円(西日本）②</t>
    <rPh sb="0" eb="2">
      <t>ニッセイ</t>
    </rPh>
    <rPh sb="2" eb="3">
      <t>キョウ</t>
    </rPh>
    <rPh sb="5" eb="6">
      <t>ゴウ</t>
    </rPh>
    <rPh sb="11" eb="12">
      <t>エン</t>
    </rPh>
    <rPh sb="13" eb="16">
      <t>ニシニホン</t>
    </rPh>
    <phoneticPr fontId="7"/>
  </si>
  <si>
    <t>日生協20号　1480円(東日本）②</t>
    <rPh sb="0" eb="2">
      <t>ニッセイ</t>
    </rPh>
    <rPh sb="2" eb="3">
      <t>キョウ</t>
    </rPh>
    <rPh sb="5" eb="6">
      <t>ゴウ</t>
    </rPh>
    <rPh sb="11" eb="12">
      <t>エン</t>
    </rPh>
    <rPh sb="13" eb="14">
      <t>ヒガシ</t>
    </rPh>
    <rPh sb="14" eb="16">
      <t>ニホン</t>
    </rPh>
    <phoneticPr fontId="7"/>
  </si>
  <si>
    <t>日生協20号　1480円(東日本）③</t>
    <rPh sb="0" eb="2">
      <t>ニッセイ</t>
    </rPh>
    <rPh sb="2" eb="3">
      <t>キョウ</t>
    </rPh>
    <rPh sb="5" eb="6">
      <t>ゴウ</t>
    </rPh>
    <rPh sb="11" eb="12">
      <t>エン</t>
    </rPh>
    <rPh sb="13" eb="14">
      <t>ヒガシ</t>
    </rPh>
    <rPh sb="14" eb="16">
      <t>ニホン</t>
    </rPh>
    <phoneticPr fontId="7"/>
  </si>
  <si>
    <t>日生協20号　1480円(西日本）③</t>
    <rPh sb="0" eb="2">
      <t>ニッセイ</t>
    </rPh>
    <rPh sb="2" eb="3">
      <t>キョウ</t>
    </rPh>
    <rPh sb="5" eb="6">
      <t>ゴウ</t>
    </rPh>
    <rPh sb="11" eb="12">
      <t>エン</t>
    </rPh>
    <rPh sb="13" eb="16">
      <t>ニシニホン</t>
    </rPh>
    <phoneticPr fontId="7"/>
  </si>
  <si>
    <t>日生協20号　1480円(西日本）④</t>
    <rPh sb="0" eb="2">
      <t>ニッセイ</t>
    </rPh>
    <rPh sb="2" eb="3">
      <t>キョウ</t>
    </rPh>
    <rPh sb="5" eb="6">
      <t>ゴウ</t>
    </rPh>
    <rPh sb="11" eb="12">
      <t>エン</t>
    </rPh>
    <rPh sb="13" eb="16">
      <t>ニシニホン</t>
    </rPh>
    <phoneticPr fontId="7"/>
  </si>
  <si>
    <t>マイジール返品</t>
    <rPh sb="5" eb="7">
      <t>ヘンピン</t>
    </rPh>
    <phoneticPr fontId="2"/>
  </si>
  <si>
    <t>KPORT</t>
    <phoneticPr fontId="7"/>
  </si>
  <si>
    <t>夢販</t>
    <rPh sb="0" eb="2">
      <t>ユメハン</t>
    </rPh>
    <phoneticPr fontId="2"/>
  </si>
  <si>
    <t>JOD⑲</t>
    <phoneticPr fontId="7"/>
  </si>
  <si>
    <t>ディノス２色組　夏号 ⑲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</si>
  <si>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ネット</t>
  </si>
  <si>
    <t>日生協20号　1480円(東日本）④</t>
    <rPh sb="0" eb="2">
      <t>ニッセイ</t>
    </rPh>
    <rPh sb="2" eb="3">
      <t>キョウ</t>
    </rPh>
    <rPh sb="5" eb="6">
      <t>ゴウ</t>
    </rPh>
    <rPh sb="11" eb="12">
      <t>エン</t>
    </rPh>
    <rPh sb="13" eb="14">
      <t>ヒガシ</t>
    </rPh>
    <rPh sb="14" eb="16">
      <t>ニホン</t>
    </rPh>
    <phoneticPr fontId="7"/>
  </si>
  <si>
    <t>JOD⑳</t>
    <phoneticPr fontId="7"/>
  </si>
  <si>
    <t>ディノス２色組　夏号⑳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</si>
  <si>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</si>
  <si>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</si>
  <si>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</si>
  <si>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</si>
  <si>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</si>
  <si>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ディノス２色組　夏号㉑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</si>
  <si>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西夢</t>
    <rPh sb="0" eb="2">
      <t>ニシユメ</t>
    </rPh>
    <phoneticPr fontId="7"/>
  </si>
  <si>
    <t>JOD㉖</t>
    <phoneticPr fontId="7"/>
  </si>
  <si>
    <t>夢販</t>
    <rPh sb="0" eb="2">
      <t>ユメハン</t>
    </rPh>
    <phoneticPr fontId="7"/>
  </si>
  <si>
    <t>JOD㉗</t>
    <phoneticPr fontId="7"/>
  </si>
  <si>
    <t>ディノス２色組　夏号㉒</t>
    <rPh sb="5" eb="6">
      <t>ショク</t>
    </rPh>
    <rPh sb="6" eb="7">
      <t>グミ</t>
    </rPh>
    <rPh sb="8" eb="9">
      <t>ナツ</t>
    </rPh>
    <rPh sb="9" eb="10">
      <t>ゴウ</t>
    </rPh>
    <phoneticPr fontId="7"/>
  </si>
  <si>
    <t>JOD㉘</t>
    <phoneticPr fontId="7"/>
  </si>
  <si>
    <t>JOD㉙</t>
    <phoneticPr fontId="7"/>
  </si>
  <si>
    <t>JOD㉚</t>
    <phoneticPr fontId="7"/>
  </si>
  <si>
    <t>JOD㉛</t>
    <phoneticPr fontId="7"/>
  </si>
  <si>
    <t>オバタ返品</t>
    <rPh sb="3" eb="5">
      <t>ヘンピン</t>
    </rPh>
    <phoneticPr fontId="2"/>
  </si>
  <si>
    <t>西夢</t>
    <rPh sb="0" eb="2">
      <t>ニシユメ</t>
    </rPh>
    <phoneticPr fontId="7"/>
  </si>
  <si>
    <t>KPORT</t>
    <phoneticPr fontId="7"/>
  </si>
  <si>
    <t>夢販</t>
    <rPh sb="0" eb="2">
      <t>ユメハン</t>
    </rPh>
    <phoneticPr fontId="7"/>
  </si>
  <si>
    <t>マイジール返品</t>
    <rPh sb="5" eb="7">
      <t>ヘンピン</t>
    </rPh>
    <phoneticPr fontId="7"/>
  </si>
  <si>
    <t>KPORT</t>
    <phoneticPr fontId="7"/>
  </si>
  <si>
    <t>ネット</t>
    <phoneticPr fontId="7"/>
  </si>
  <si>
    <t>追加</t>
    <rPh sb="0" eb="2">
      <t>ツイカ</t>
    </rPh>
    <phoneticPr fontId="7"/>
  </si>
  <si>
    <t>くらし返品</t>
    <rPh sb="3" eb="5">
      <t>ヘンピン</t>
    </rPh>
    <phoneticPr fontId="7"/>
  </si>
  <si>
    <t>KPORT</t>
    <phoneticPr fontId="7"/>
  </si>
  <si>
    <t>KPORT2-1</t>
    <phoneticPr fontId="7"/>
  </si>
  <si>
    <t>夢販</t>
    <rPh sb="0" eb="2">
      <t>ユメハン</t>
    </rPh>
    <phoneticPr fontId="7"/>
  </si>
  <si>
    <t>オバタサンプル返却</t>
    <rPh sb="7" eb="9">
      <t>ヘンキャク</t>
    </rPh>
    <phoneticPr fontId="2"/>
  </si>
  <si>
    <t>再生</t>
    <rPh sb="0" eb="2">
      <t>サイセイ</t>
    </rPh>
    <phoneticPr fontId="2"/>
  </si>
  <si>
    <t>日生協9号</t>
    <rPh sb="0" eb="3">
      <t>ニッセイキョウ</t>
    </rPh>
    <rPh sb="4" eb="5">
      <t>ゴウ</t>
    </rPh>
    <phoneticPr fontId="7"/>
  </si>
  <si>
    <t>点4/23、アバウト5/4、5/11、最終5/19</t>
    <rPh sb="0" eb="1">
      <t>テン</t>
    </rPh>
    <rPh sb="19" eb="21">
      <t>サイシュウ</t>
    </rPh>
    <phoneticPr fontId="7"/>
  </si>
  <si>
    <t>くらし企画（眞鍋さん）</t>
    <rPh sb="3" eb="5">
      <t>キカク</t>
    </rPh>
    <rPh sb="6" eb="8">
      <t>マナベ</t>
    </rPh>
    <phoneticPr fontId="7"/>
  </si>
  <si>
    <t>コープきんき5-3w</t>
    <phoneticPr fontId="7"/>
  </si>
  <si>
    <t>5/20納品希望</t>
    <rPh sb="4" eb="8">
      <t>ノウヒンキボウ</t>
    </rPh>
    <phoneticPr fontId="7"/>
  </si>
  <si>
    <t>6/1伝</t>
    <rPh sb="3" eb="4">
      <t>デン</t>
    </rPh>
    <phoneticPr fontId="7"/>
  </si>
  <si>
    <t>ディノスselect9（2色組）</t>
    <rPh sb="13" eb="14">
      <t>ショク</t>
    </rPh>
    <rPh sb="14" eb="15">
      <t>クミ</t>
    </rPh>
    <phoneticPr fontId="7"/>
  </si>
  <si>
    <t>事前4/23、5/10～</t>
    <rPh sb="0" eb="2">
      <t>ジゼン</t>
    </rPh>
    <phoneticPr fontId="7"/>
  </si>
  <si>
    <t>在庫確認</t>
    <rPh sb="0" eb="4">
      <t>ザイコカクニン</t>
    </rPh>
    <phoneticPr fontId="2"/>
  </si>
  <si>
    <t>点4/29、アバウト5/11、本5/12～22</t>
    <rPh sb="0" eb="1">
      <t>テン</t>
    </rPh>
    <rPh sb="15" eb="16">
      <t>ホン</t>
    </rPh>
    <phoneticPr fontId="7"/>
  </si>
  <si>
    <t>2021/3/10伝数</t>
    <rPh sb="9" eb="10">
      <t>デン</t>
    </rPh>
    <rPh sb="10" eb="11">
      <t>スウ</t>
    </rPh>
    <phoneticPr fontId="7"/>
  </si>
  <si>
    <t>Kport</t>
    <phoneticPr fontId="7"/>
  </si>
  <si>
    <t>夢販</t>
    <rPh sb="0" eb="2">
      <t>ユメハン</t>
    </rPh>
    <phoneticPr fontId="7"/>
  </si>
  <si>
    <t>B品</t>
    <rPh sb="1" eb="2">
      <t>ヒン</t>
    </rPh>
    <phoneticPr fontId="7"/>
  </si>
  <si>
    <t>日生協19号</t>
    <rPh sb="0" eb="2">
      <t>ニッセイ</t>
    </rPh>
    <rPh sb="2" eb="3">
      <t>キョウ</t>
    </rPh>
    <rPh sb="5" eb="6">
      <t>ゴウ</t>
    </rPh>
    <phoneticPr fontId="7"/>
  </si>
  <si>
    <t>点7/2、アバウト7/13、7/20、最終7/28</t>
    <rPh sb="0" eb="1">
      <t>テン</t>
    </rPh>
    <rPh sb="19" eb="21">
      <t>サイシュウ</t>
    </rPh>
    <phoneticPr fontId="7"/>
  </si>
  <si>
    <t>KPORT残</t>
    <rPh sb="5" eb="6">
      <t>ザン</t>
    </rPh>
    <phoneticPr fontId="7"/>
  </si>
  <si>
    <t>JODメルシー0519（2色組）</t>
    <rPh sb="13" eb="14">
      <t>ショク</t>
    </rPh>
    <rPh sb="14" eb="15">
      <t>クミ</t>
    </rPh>
    <phoneticPr fontId="7"/>
  </si>
  <si>
    <t>5/19～</t>
    <phoneticPr fontId="7"/>
  </si>
  <si>
    <t>日生協9号（東日本）①</t>
    <rPh sb="0" eb="3">
      <t>ニッセイキョウ</t>
    </rPh>
    <rPh sb="4" eb="5">
      <t>ゴウ</t>
    </rPh>
    <rPh sb="6" eb="9">
      <t>ヒガシニホン</t>
    </rPh>
    <phoneticPr fontId="7"/>
  </si>
  <si>
    <t>日生協9号（西日本）①</t>
    <rPh sb="0" eb="3">
      <t>ニッセイキョウ</t>
    </rPh>
    <rPh sb="4" eb="5">
      <t>ゴウ</t>
    </rPh>
    <rPh sb="6" eb="7">
      <t>ニシ</t>
    </rPh>
    <rPh sb="7" eb="9">
      <t>ニホン</t>
    </rPh>
    <phoneticPr fontId="7"/>
  </si>
  <si>
    <t>日生協9号（東日本）②</t>
    <rPh sb="0" eb="3">
      <t>ニッセイキョウ</t>
    </rPh>
    <rPh sb="4" eb="5">
      <t>ゴウ</t>
    </rPh>
    <rPh sb="6" eb="9">
      <t>ヒガシニホン</t>
    </rPh>
    <phoneticPr fontId="7"/>
  </si>
  <si>
    <t>コープきんき5-3w①</t>
    <phoneticPr fontId="7"/>
  </si>
  <si>
    <t>牧野</t>
    <rPh sb="0" eb="2">
      <t>マキノ</t>
    </rPh>
    <phoneticPr fontId="7"/>
  </si>
  <si>
    <t>追加３ 2-2</t>
    <rPh sb="0" eb="2">
      <t>ツイカ</t>
    </rPh>
    <phoneticPr fontId="2"/>
  </si>
  <si>
    <t>コープきんき5-3w②</t>
    <phoneticPr fontId="7"/>
  </si>
  <si>
    <t>日生協9号（東日本）③</t>
    <rPh sb="0" eb="3">
      <t>ニッセイキョウ</t>
    </rPh>
    <rPh sb="4" eb="5">
      <t>ゴウ</t>
    </rPh>
    <rPh sb="6" eb="9">
      <t>ヒガシニホン</t>
    </rPh>
    <phoneticPr fontId="7"/>
  </si>
  <si>
    <t>2021/5/12伝数</t>
    <rPh sb="9" eb="10">
      <t>デン</t>
    </rPh>
    <rPh sb="10" eb="11">
      <t>スウ</t>
    </rPh>
    <phoneticPr fontId="7"/>
  </si>
  <si>
    <t>コープきんき5-3w③</t>
    <phoneticPr fontId="7"/>
  </si>
  <si>
    <t>追加２ 2-1</t>
    <rPh sb="0" eb="2">
      <t>ツイカ</t>
    </rPh>
    <phoneticPr fontId="2"/>
  </si>
  <si>
    <t>コープきんき5-3w④直送</t>
    <rPh sb="11" eb="13">
      <t>チョクソウ</t>
    </rPh>
    <phoneticPr fontId="7"/>
  </si>
  <si>
    <t>コープきんき5-3w⑤直送</t>
    <rPh sb="11" eb="13">
      <t>チョクソウ</t>
    </rPh>
    <phoneticPr fontId="7"/>
  </si>
  <si>
    <t>夢販</t>
    <rPh sb="0" eb="2">
      <t>ユメハン</t>
    </rPh>
    <phoneticPr fontId="7"/>
  </si>
  <si>
    <t>ディノスselect9（2色組）①</t>
    <rPh sb="13" eb="14">
      <t>ショク</t>
    </rPh>
    <rPh sb="14" eb="15">
      <t>クミ</t>
    </rPh>
    <phoneticPr fontId="7"/>
  </si>
  <si>
    <t>追加３ 2-1</t>
    <rPh sb="0" eb="2">
      <t>ツイカ</t>
    </rPh>
    <phoneticPr fontId="2"/>
  </si>
  <si>
    <t>JOD①</t>
    <phoneticPr fontId="7"/>
  </si>
  <si>
    <t>ディノスselect9（2色組）②</t>
    <rPh sb="13" eb="14">
      <t>ショク</t>
    </rPh>
    <rPh sb="14" eb="15">
      <t>クミ</t>
    </rPh>
    <phoneticPr fontId="7"/>
  </si>
  <si>
    <t>追加３　2-2</t>
    <rPh sb="0" eb="2">
      <t>ツイカ</t>
    </rPh>
    <phoneticPr fontId="2"/>
  </si>
  <si>
    <t>5/21数 伝6/1</t>
    <rPh sb="4" eb="5">
      <t>スウ</t>
    </rPh>
    <rPh sb="6" eb="7">
      <t>デン</t>
    </rPh>
    <phoneticPr fontId="7"/>
  </si>
  <si>
    <t>ディノスselect9（2色組）③</t>
    <rPh sb="13" eb="14">
      <t>ショク</t>
    </rPh>
    <rPh sb="14" eb="15">
      <t>クミ</t>
    </rPh>
    <phoneticPr fontId="7"/>
  </si>
  <si>
    <t>JOD②</t>
    <phoneticPr fontId="7"/>
  </si>
  <si>
    <t>ディノスselect9（2色組）④</t>
    <rPh sb="13" eb="14">
      <t>ショク</t>
    </rPh>
    <rPh sb="14" eb="15">
      <t>クミ</t>
    </rPh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</si>
  <si>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</si>
  <si>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</si>
  <si>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</si>
  <si>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</si>
  <si>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</si>
  <si>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ディノスselect9C秋冬（2色組）継続</t>
    <rPh sb="12" eb="14">
      <t>アキフユ</t>
    </rPh>
    <rPh sb="16" eb="17">
      <t>ショク</t>
    </rPh>
    <rPh sb="17" eb="18">
      <t>クミ</t>
    </rPh>
    <rPh sb="19" eb="21">
      <t>ケイゾク</t>
    </rPh>
    <phoneticPr fontId="7"/>
  </si>
  <si>
    <t>8月中旬</t>
    <rPh sb="1" eb="4">
      <t>ガツチュウジュン</t>
    </rPh>
    <phoneticPr fontId="7"/>
  </si>
  <si>
    <t>JOD⑧</t>
    <phoneticPr fontId="7"/>
  </si>
  <si>
    <t>2021/6/5伝</t>
    <rPh sb="8" eb="9">
      <t>デン</t>
    </rPh>
    <phoneticPr fontId="7"/>
  </si>
  <si>
    <t>JOD⑨</t>
    <phoneticPr fontId="7"/>
  </si>
  <si>
    <t>西夢</t>
    <rPh sb="0" eb="2">
      <t>ニシユメ</t>
    </rPh>
    <phoneticPr fontId="7"/>
  </si>
  <si>
    <t>JOD⑩</t>
    <phoneticPr fontId="7"/>
  </si>
  <si>
    <t>JOD⑪</t>
    <phoneticPr fontId="7"/>
  </si>
  <si>
    <t>JOD⑫</t>
    <phoneticPr fontId="7"/>
  </si>
  <si>
    <t>JOD⑬</t>
    <phoneticPr fontId="7"/>
  </si>
  <si>
    <t>ディノスselect9（2色組）⑤</t>
    <rPh sb="13" eb="14">
      <t>ショク</t>
    </rPh>
    <rPh sb="14" eb="15">
      <t>クミ</t>
    </rPh>
    <phoneticPr fontId="7"/>
  </si>
  <si>
    <t>追加</t>
    <rPh sb="0" eb="2">
      <t>ツイカ</t>
    </rPh>
    <phoneticPr fontId="7"/>
  </si>
  <si>
    <t>JOD⑭</t>
    <phoneticPr fontId="7"/>
  </si>
  <si>
    <t>JOD特別版0718</t>
    <rPh sb="3" eb="6">
      <t>トクベツバン</t>
    </rPh>
    <phoneticPr fontId="7"/>
  </si>
  <si>
    <t>7/17～</t>
    <phoneticPr fontId="7"/>
  </si>
  <si>
    <t>ディノスselect9（2色組）⑥</t>
    <rPh sb="13" eb="14">
      <t>ショク</t>
    </rPh>
    <rPh sb="14" eb="15">
      <t>クミ</t>
    </rPh>
    <phoneticPr fontId="7"/>
  </si>
  <si>
    <t>夢販</t>
    <rPh sb="0" eb="2">
      <t>ユメハン</t>
    </rPh>
    <phoneticPr fontId="7"/>
  </si>
  <si>
    <t>日生協19号（東日本）①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</si>
  <si>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日生協19号（西日本）①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</si>
  <si>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ディノスselect9（2色組）⑦</t>
    <rPh sb="13" eb="14">
      <t>ショク</t>
    </rPh>
    <rPh sb="14" eb="15">
      <t>クミ</t>
    </rPh>
    <phoneticPr fontId="7"/>
  </si>
  <si>
    <t>JOD⑯</t>
    <phoneticPr fontId="7"/>
  </si>
  <si>
    <t>日生協19号（東日本）②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</si>
  <si>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日生協19号（西日本）②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</si>
  <si>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日生協19号（東日本）③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</si>
  <si>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日生協19号（西日本）③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</si>
  <si>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日生協19号（西日本）④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</si>
  <si>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日生協19号（西日本）⑤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</si>
  <si>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ディノスselect9（2色組）⑧</t>
    <rPh sb="13" eb="14">
      <t>ショク</t>
    </rPh>
    <rPh sb="14" eb="15">
      <t>クミ</t>
    </rPh>
    <phoneticPr fontId="7"/>
  </si>
  <si>
    <t>日生協19号（西日本）⑥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</si>
  <si>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日生協19号（東日本）④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</si>
  <si>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K-PORT</t>
    <phoneticPr fontId="7"/>
  </si>
  <si>
    <t>夢販</t>
    <rPh sb="0" eb="2">
      <t>ユメハン</t>
    </rPh>
    <phoneticPr fontId="7"/>
  </si>
  <si>
    <t>追加</t>
    <rPh sb="0" eb="2">
      <t>ツイカ</t>
    </rPh>
    <phoneticPr fontId="7"/>
  </si>
  <si>
    <t>日生協19号（東日本）⑤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</si>
  <si>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ディノスselect9（2色組）⑨</t>
    <rPh sb="13" eb="14">
      <t>ショク</t>
    </rPh>
    <rPh sb="14" eb="15">
      <t>クミ</t>
    </rPh>
    <phoneticPr fontId="7"/>
  </si>
  <si>
    <t>日生協19号（東日本）⑥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</si>
  <si>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JOD⑰</t>
    <phoneticPr fontId="7"/>
  </si>
  <si>
    <t>JOD⑱</t>
    <phoneticPr fontId="7"/>
  </si>
  <si>
    <t>日生協19号⑦直送</t>
    <rPh sb="0" eb="2">
      <t>ニッセイ</t>
    </rPh>
    <rPh sb="2" eb="3">
      <t>キョウ</t>
    </rPh>
    <rPh sb="5" eb="6">
      <t>ゴウ</t>
    </rPh>
    <rPh sb="7" eb="9">
      <t>チョクソウ</t>
    </rPh>
    <phoneticPr fontId="7"/>
  </si>
  <si>
    <t>夢販</t>
    <rPh sb="0" eb="2">
      <t>ユメハン</t>
    </rPh>
    <phoneticPr fontId="7"/>
  </si>
  <si>
    <t>JOD⑲</t>
    <phoneticPr fontId="7"/>
  </si>
  <si>
    <t>JOD⑳</t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</si>
  <si>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</si>
  <si>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</si>
  <si>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</si>
  <si>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</si>
  <si>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</si>
  <si>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ディノスselect9（2色組）⑩</t>
    <rPh sb="13" eb="14">
      <t>ショク</t>
    </rPh>
    <rPh sb="14" eb="15">
      <t>クミ</t>
    </rPh>
    <phoneticPr fontId="7"/>
  </si>
  <si>
    <t>JOD㉖</t>
    <phoneticPr fontId="7"/>
  </si>
  <si>
    <t>ディノスselect9（2色組）⑪</t>
    <rPh sb="13" eb="14">
      <t>ショク</t>
    </rPh>
    <rPh sb="14" eb="15">
      <t>クミ</t>
    </rPh>
    <phoneticPr fontId="7"/>
  </si>
  <si>
    <t>ディノスselect9（2色組）⑫</t>
    <rPh sb="13" eb="14">
      <t>ショク</t>
    </rPh>
    <rPh sb="14" eb="15">
      <t>クミ</t>
    </rPh>
    <phoneticPr fontId="7"/>
  </si>
  <si>
    <t>くらし返品</t>
    <rPh sb="3" eb="5">
      <t>ヘンピン</t>
    </rPh>
    <phoneticPr fontId="7"/>
  </si>
  <si>
    <t>JOD㉘</t>
    <phoneticPr fontId="7"/>
  </si>
  <si>
    <t>JOD㉙</t>
    <phoneticPr fontId="7"/>
  </si>
  <si>
    <t>K-PORT</t>
    <phoneticPr fontId="7"/>
  </si>
  <si>
    <t>JOD返品</t>
    <rPh sb="3" eb="5">
      <t>ヘンピン</t>
    </rPh>
    <phoneticPr fontId="7"/>
  </si>
  <si>
    <t>くらしサンプル返却</t>
    <rPh sb="7" eb="9">
      <t>ヘンキャク</t>
    </rPh>
    <phoneticPr fontId="2"/>
  </si>
  <si>
    <t>K-PORT</t>
    <phoneticPr fontId="7"/>
  </si>
  <si>
    <t>ネット返品</t>
    <rPh sb="3" eb="5">
      <t>ヘンピン</t>
    </rPh>
    <phoneticPr fontId="7"/>
  </si>
  <si>
    <t>追加</t>
    <rPh sb="0" eb="2">
      <t>ツイカ</t>
    </rPh>
    <phoneticPr fontId="7"/>
  </si>
  <si>
    <t>ベルーナ3sample</t>
    <phoneticPr fontId="7"/>
  </si>
  <si>
    <t>夢販</t>
    <rPh sb="0" eb="2">
      <t>ユメハン</t>
    </rPh>
    <phoneticPr fontId="7"/>
  </si>
  <si>
    <t>オバタsample</t>
    <phoneticPr fontId="7"/>
  </si>
  <si>
    <t>丸藤sample</t>
    <rPh sb="0" eb="2">
      <t>マルフジ</t>
    </rPh>
    <phoneticPr fontId="7"/>
  </si>
  <si>
    <t>サクラマチsample</t>
    <phoneticPr fontId="7"/>
  </si>
  <si>
    <t>日生協8号4月￥1480</t>
    <rPh sb="0" eb="3">
      <t>ニッセイキョウ</t>
    </rPh>
    <rPh sb="4" eb="5">
      <t>ゴウ</t>
    </rPh>
    <rPh sb="6" eb="7">
      <t>ガツ</t>
    </rPh>
    <phoneticPr fontId="7"/>
  </si>
  <si>
    <t>点4/15・アバウト4/28、5/3・最終5/11</t>
    <rPh sb="0" eb="1">
      <t>テン</t>
    </rPh>
    <rPh sb="19" eb="21">
      <t>サイシュウ</t>
    </rPh>
    <phoneticPr fontId="7"/>
  </si>
  <si>
    <t>KPORT</t>
    <phoneticPr fontId="7"/>
  </si>
  <si>
    <t>ベルーナ3sample返却</t>
    <rPh sb="11" eb="13">
      <t>ヘンキャク</t>
    </rPh>
    <phoneticPr fontId="7"/>
  </si>
  <si>
    <t>サクラマチ（東都）sample</t>
    <rPh sb="6" eb="8">
      <t>トウト</t>
    </rPh>
    <phoneticPr fontId="7"/>
  </si>
  <si>
    <t>過不足</t>
    <rPh sb="0" eb="3">
      <t>カブソク</t>
    </rPh>
    <phoneticPr fontId="2"/>
  </si>
  <si>
    <t>ディノスselect9（2色組）⑬</t>
    <rPh sb="13" eb="14">
      <t>ショク</t>
    </rPh>
    <rPh sb="14" eb="15">
      <t>クミ</t>
    </rPh>
    <phoneticPr fontId="7"/>
  </si>
  <si>
    <t>サクラマチ（九州）sample</t>
    <rPh sb="6" eb="8">
      <t>キュウシュウ</t>
    </rPh>
    <phoneticPr fontId="7"/>
  </si>
  <si>
    <t>2022/2/9伝数</t>
    <rPh sb="8" eb="9">
      <t>デン</t>
    </rPh>
    <rPh sb="9" eb="10">
      <t>スウ</t>
    </rPh>
    <phoneticPr fontId="7"/>
  </si>
  <si>
    <t>3/26～</t>
    <phoneticPr fontId="7"/>
  </si>
  <si>
    <t>ジェス（チラシ）</t>
    <phoneticPr fontId="7"/>
  </si>
  <si>
    <t>6/17～</t>
    <phoneticPr fontId="7"/>
  </si>
  <si>
    <t>ジェス色合せ用sample</t>
    <rPh sb="3" eb="5">
      <t>イロアワ</t>
    </rPh>
    <rPh sb="6" eb="7">
      <t>ヨウ</t>
    </rPh>
    <phoneticPr fontId="7"/>
  </si>
  <si>
    <t>ディノスselect9（2色組）⑭</t>
    <rPh sb="13" eb="14">
      <t>ショク</t>
    </rPh>
    <rPh sb="14" eb="15">
      <t>クミ</t>
    </rPh>
    <phoneticPr fontId="7"/>
  </si>
  <si>
    <t>東都生協5-3ｗ</t>
    <rPh sb="0" eb="4">
      <t>トウトセイキョウ</t>
    </rPh>
    <phoneticPr fontId="7"/>
  </si>
  <si>
    <t>JOD特別版0327（2色組）</t>
    <rPh sb="3" eb="5">
      <t>トクベツ</t>
    </rPh>
    <rPh sb="5" eb="6">
      <t>バン</t>
    </rPh>
    <rPh sb="12" eb="14">
      <t>ショククミ</t>
    </rPh>
    <phoneticPr fontId="7"/>
  </si>
  <si>
    <t>5/4～18（1～5回）</t>
    <rPh sb="10" eb="11">
      <t>カイ</t>
    </rPh>
    <phoneticPr fontId="7"/>
  </si>
  <si>
    <t>ディノスselect9（2色組）⑮</t>
    <rPh sb="13" eb="14">
      <t>ショク</t>
    </rPh>
    <rPh sb="14" eb="15">
      <t>クミ</t>
    </rPh>
    <phoneticPr fontId="7"/>
  </si>
  <si>
    <t>日生協8号4月￥1480差分予測</t>
    <rPh sb="0" eb="3">
      <t>ニッセイキョウ</t>
    </rPh>
    <rPh sb="4" eb="5">
      <t>ゴウ</t>
    </rPh>
    <rPh sb="6" eb="7">
      <t>ガツ</t>
    </rPh>
    <rPh sb="12" eb="16">
      <t>サブンヨソク</t>
    </rPh>
    <phoneticPr fontId="7"/>
  </si>
  <si>
    <t>5/20～</t>
    <phoneticPr fontId="7"/>
  </si>
  <si>
    <t>千趣会CRAS\2990 ６月掲載</t>
    <rPh sb="0" eb="3">
      <t>センシュカイ</t>
    </rPh>
    <rPh sb="14" eb="15">
      <t>ガツ</t>
    </rPh>
    <rPh sb="15" eb="17">
      <t>ケイサイ</t>
    </rPh>
    <phoneticPr fontId="7"/>
  </si>
  <si>
    <t>JOD</t>
    <phoneticPr fontId="7"/>
  </si>
  <si>
    <t>夢販</t>
    <rPh sb="0" eb="2">
      <t>ユメハン</t>
    </rPh>
    <phoneticPr fontId="7"/>
  </si>
  <si>
    <t>日生協8号4月￥1480東日本①</t>
    <rPh sb="0" eb="3">
      <t>ニッセイキョウ</t>
    </rPh>
    <rPh sb="4" eb="5">
      <t>ゴウ</t>
    </rPh>
    <rPh sb="6" eb="7">
      <t>ガツ</t>
    </rPh>
    <rPh sb="12" eb="15">
      <t>ヒガシニホン</t>
    </rPh>
    <phoneticPr fontId="7"/>
  </si>
  <si>
    <t>日生協8号4月￥1480東日本②</t>
    <rPh sb="0" eb="3">
      <t>ニッセイキョウ</t>
    </rPh>
    <rPh sb="4" eb="5">
      <t>ゴウ</t>
    </rPh>
    <rPh sb="6" eb="7">
      <t>ガツ</t>
    </rPh>
    <rPh sb="12" eb="15">
      <t>ヒガシニホン</t>
    </rPh>
    <phoneticPr fontId="7"/>
  </si>
  <si>
    <t>日生協8号4月￥1480西日本①</t>
    <rPh sb="0" eb="3">
      <t>ニッセイキョウ</t>
    </rPh>
    <rPh sb="4" eb="5">
      <t>ゴウ</t>
    </rPh>
    <rPh sb="6" eb="7">
      <t>ガツ</t>
    </rPh>
    <rPh sb="12" eb="13">
      <t>ニシ</t>
    </rPh>
    <rPh sb="13" eb="15">
      <t>ニホン</t>
    </rPh>
    <phoneticPr fontId="7"/>
  </si>
  <si>
    <t>点8/12、アバウト8/23、30、最終9/7</t>
    <rPh sb="0" eb="1">
      <t>テン</t>
    </rPh>
    <rPh sb="18" eb="20">
      <t>サイシュウ</t>
    </rPh>
    <phoneticPr fontId="7"/>
  </si>
  <si>
    <t>千趣会CRAS\2990 ６月掲載①</t>
    <rPh sb="0" eb="3">
      <t>センシュカイ</t>
    </rPh>
    <rPh sb="14" eb="15">
      <t>ガツ</t>
    </rPh>
    <rPh sb="15" eb="17">
      <t>ケイサイ</t>
    </rPh>
    <phoneticPr fontId="7"/>
  </si>
  <si>
    <t>日生協8号4月￥1480西日本②</t>
    <rPh sb="0" eb="3">
      <t>ニッセイキョウ</t>
    </rPh>
    <rPh sb="4" eb="5">
      <t>ゴウ</t>
    </rPh>
    <rPh sb="6" eb="7">
      <t>ガツ</t>
    </rPh>
    <rPh sb="12" eb="13">
      <t>ニシ</t>
    </rPh>
    <rPh sb="13" eb="15">
      <t>ニホン</t>
    </rPh>
    <phoneticPr fontId="7"/>
  </si>
  <si>
    <t>東都生協7-3ｗ</t>
    <rPh sb="0" eb="4">
      <t>トウトセイキョウ</t>
    </rPh>
    <phoneticPr fontId="7"/>
  </si>
  <si>
    <t>7/6～20（1～5回）</t>
    <rPh sb="8" eb="11">
      <t>カラ5カイ</t>
    </rPh>
    <phoneticPr fontId="7"/>
  </si>
  <si>
    <t>夢販</t>
    <rPh sb="0" eb="2">
      <t>ユメハン</t>
    </rPh>
    <phoneticPr fontId="7"/>
  </si>
  <si>
    <t>東都生協5-3ｗ①</t>
    <rPh sb="0" eb="4">
      <t>トウトセイキョウ</t>
    </rPh>
    <phoneticPr fontId="7"/>
  </si>
  <si>
    <t>千趣会CRAS\2990 7月掲載</t>
    <rPh sb="0" eb="3">
      <t>センシュカイ</t>
    </rPh>
    <rPh sb="14" eb="15">
      <t>ガツ</t>
    </rPh>
    <rPh sb="15" eb="17">
      <t>ケイサイ</t>
    </rPh>
    <phoneticPr fontId="7"/>
  </si>
  <si>
    <t>6/20～</t>
    <phoneticPr fontId="7"/>
  </si>
  <si>
    <t>JOD西濃</t>
    <rPh sb="3" eb="5">
      <t>セイノウ</t>
    </rPh>
    <phoneticPr fontId="7"/>
  </si>
  <si>
    <t>コープきんき8月1回</t>
    <rPh sb="7" eb="8">
      <t>ガツ</t>
    </rPh>
    <rPh sb="9" eb="10">
      <t>カイ</t>
    </rPh>
    <phoneticPr fontId="7"/>
  </si>
  <si>
    <t>点7/7、アバウト7/26、本7/27～8/6</t>
    <rPh sb="0" eb="1">
      <t>テン</t>
    </rPh>
    <rPh sb="14" eb="15">
      <t>ホン</t>
    </rPh>
    <phoneticPr fontId="7"/>
  </si>
  <si>
    <t>IEI交換</t>
    <rPh sb="3" eb="5">
      <t>コウカン</t>
    </rPh>
    <phoneticPr fontId="7"/>
  </si>
  <si>
    <t>千趣会CRAS\2990 ６月掲載②</t>
    <rPh sb="0" eb="3">
      <t>センシュカイ</t>
    </rPh>
    <rPh sb="14" eb="15">
      <t>ガツ</t>
    </rPh>
    <rPh sb="15" eb="17">
      <t>ケイサイ</t>
    </rPh>
    <phoneticPr fontId="7"/>
  </si>
  <si>
    <t>くらし企画返品</t>
    <rPh sb="3" eb="7">
      <t>キカクヘンピン</t>
    </rPh>
    <phoneticPr fontId="2"/>
  </si>
  <si>
    <t>JOD特別版0714（2色組）</t>
    <rPh sb="3" eb="5">
      <t>トクベツ</t>
    </rPh>
    <rPh sb="5" eb="6">
      <t>バン</t>
    </rPh>
    <rPh sb="12" eb="14">
      <t>ショククミ</t>
    </rPh>
    <phoneticPr fontId="7"/>
  </si>
  <si>
    <t>7/13～</t>
    <phoneticPr fontId="7"/>
  </si>
  <si>
    <t>ジェス①</t>
    <phoneticPr fontId="7"/>
  </si>
  <si>
    <t>ジェス②</t>
    <phoneticPr fontId="7"/>
  </si>
  <si>
    <t>コープきんき8月1回差分予測</t>
    <rPh sb="7" eb="8">
      <t>ガツ</t>
    </rPh>
    <rPh sb="9" eb="10">
      <t>カイ</t>
    </rPh>
    <rPh sb="10" eb="14">
      <t>サブンヨソク</t>
    </rPh>
    <phoneticPr fontId="7"/>
  </si>
  <si>
    <t>東都生協7-3ｗ差分予測</t>
    <rPh sb="0" eb="4">
      <t>トウトセイキョウ</t>
    </rPh>
    <rPh sb="8" eb="12">
      <t>サブンヨソク</t>
    </rPh>
    <phoneticPr fontId="7"/>
  </si>
  <si>
    <t>日生協8月25号特価￥1480</t>
    <rPh sb="0" eb="3">
      <t>ニッセイキョウ</t>
    </rPh>
    <rPh sb="4" eb="5">
      <t>ガツ</t>
    </rPh>
    <rPh sb="7" eb="8">
      <t>ゴウ</t>
    </rPh>
    <rPh sb="8" eb="10">
      <t>トッカ</t>
    </rPh>
    <phoneticPr fontId="7"/>
  </si>
  <si>
    <t>日生協8月25号特価￥1480差分予測</t>
    <rPh sb="0" eb="3">
      <t>ニッセイキョウ</t>
    </rPh>
    <rPh sb="4" eb="5">
      <t>ガツ</t>
    </rPh>
    <rPh sb="7" eb="8">
      <t>ゴウ</t>
    </rPh>
    <rPh sb="8" eb="10">
      <t>トッカ</t>
    </rPh>
    <rPh sb="15" eb="17">
      <t>サブン</t>
    </rPh>
    <rPh sb="17" eb="19">
      <t>ヨソク</t>
    </rPh>
    <phoneticPr fontId="7"/>
  </si>
  <si>
    <t>ジェス③</t>
    <phoneticPr fontId="7"/>
  </si>
  <si>
    <t>ジェス④</t>
    <phoneticPr fontId="7"/>
  </si>
  <si>
    <t>千趣会CRAS\2990 7月掲載①</t>
    <rPh sb="0" eb="3">
      <t>センシュカイ</t>
    </rPh>
    <rPh sb="14" eb="15">
      <t>ガツ</t>
    </rPh>
    <rPh sb="15" eb="17">
      <t>ケイサイ</t>
    </rPh>
    <phoneticPr fontId="7"/>
  </si>
  <si>
    <t>ジェス⑤</t>
    <phoneticPr fontId="7"/>
  </si>
  <si>
    <t>千趣会CRAS\2990 7月掲載②</t>
    <rPh sb="0" eb="3">
      <t>センシュカイ</t>
    </rPh>
    <rPh sb="14" eb="15">
      <t>ガツ</t>
    </rPh>
    <rPh sb="15" eb="17">
      <t>ケイサイ</t>
    </rPh>
    <phoneticPr fontId="7"/>
  </si>
  <si>
    <t>ジェス⑥</t>
    <phoneticPr fontId="7"/>
  </si>
  <si>
    <t>夢販</t>
    <rPh sb="0" eb="2">
      <t>ユメハン</t>
    </rPh>
    <phoneticPr fontId="7"/>
  </si>
  <si>
    <t>ジェス⑦</t>
    <phoneticPr fontId="7"/>
  </si>
  <si>
    <t>千趣会CRAS\2990 7月掲載③</t>
    <rPh sb="0" eb="3">
      <t>センシュカイ</t>
    </rPh>
    <rPh sb="14" eb="15">
      <t>ガツ</t>
    </rPh>
    <rPh sb="15" eb="17">
      <t>ケイサイ</t>
    </rPh>
    <phoneticPr fontId="7"/>
  </si>
  <si>
    <t>コープきんき8月1回①</t>
    <rPh sb="7" eb="8">
      <t>ガツ</t>
    </rPh>
    <rPh sb="9" eb="10">
      <t>カイ</t>
    </rPh>
    <phoneticPr fontId="7"/>
  </si>
  <si>
    <t>千趣会返品</t>
    <rPh sb="0" eb="3">
      <t>センシュカイ</t>
    </rPh>
    <rPh sb="3" eb="5">
      <t>ヘンピン</t>
    </rPh>
    <phoneticPr fontId="2"/>
  </si>
  <si>
    <t>東都生協7-3ｗ①</t>
    <rPh sb="0" eb="4">
      <t>トウトセイキョウ</t>
    </rPh>
    <phoneticPr fontId="7"/>
  </si>
  <si>
    <t>東都生協7-3ｗ②</t>
    <rPh sb="0" eb="4">
      <t>トウトセイキョウ</t>
    </rPh>
    <phoneticPr fontId="7"/>
  </si>
  <si>
    <t>オバタsample返却</t>
    <rPh sb="9" eb="11">
      <t>ヘンキャク</t>
    </rPh>
    <phoneticPr fontId="7"/>
  </si>
  <si>
    <t>JOD特別版0806（2色組）</t>
    <rPh sb="3" eb="5">
      <t>トクベツ</t>
    </rPh>
    <rPh sb="5" eb="6">
      <t>バン</t>
    </rPh>
    <rPh sb="12" eb="14">
      <t>ショククミ</t>
    </rPh>
    <phoneticPr fontId="7"/>
  </si>
  <si>
    <t>8/5～</t>
    <phoneticPr fontId="7"/>
  </si>
  <si>
    <t>ジェス返品</t>
    <rPh sb="3" eb="5">
      <t>ヘンピン</t>
    </rPh>
    <phoneticPr fontId="2"/>
  </si>
  <si>
    <t>ジェス⑧</t>
    <phoneticPr fontId="7"/>
  </si>
  <si>
    <t>コープきんき8月1回②</t>
    <rPh sb="7" eb="8">
      <t>ガツ</t>
    </rPh>
    <rPh sb="9" eb="10">
      <t>カイ</t>
    </rPh>
    <phoneticPr fontId="7"/>
  </si>
  <si>
    <t>コープきんき8月1回③</t>
    <rPh sb="7" eb="8">
      <t>ガツ</t>
    </rPh>
    <rPh sb="9" eb="10">
      <t>カイ</t>
    </rPh>
    <phoneticPr fontId="7"/>
  </si>
  <si>
    <t>コープきんき8月1回④</t>
    <rPh sb="7" eb="8">
      <t>ガツ</t>
    </rPh>
    <rPh sb="9" eb="10">
      <t>カイ</t>
    </rPh>
    <phoneticPr fontId="7"/>
  </si>
  <si>
    <t>千趣会CRAS\2990 7月掲載④</t>
    <rPh sb="0" eb="3">
      <t>センシュカイ</t>
    </rPh>
    <rPh sb="14" eb="15">
      <t>ガツ</t>
    </rPh>
    <rPh sb="15" eb="17">
      <t>ケイサイ</t>
    </rPh>
    <phoneticPr fontId="7"/>
  </si>
  <si>
    <t>日生協8月25号特価￥1480(東日本）①</t>
    <rPh sb="0" eb="3">
      <t>ニッセイキョウ</t>
    </rPh>
    <rPh sb="4" eb="5">
      <t>ガツ</t>
    </rPh>
    <rPh sb="7" eb="8">
      <t>ゴウ</t>
    </rPh>
    <rPh sb="8" eb="10">
      <t>トッカ</t>
    </rPh>
    <rPh sb="16" eb="19">
      <t>ヒガシニホン</t>
    </rPh>
    <phoneticPr fontId="7"/>
  </si>
  <si>
    <t>日生協8月25号特価￥1480(西日本）①</t>
    <rPh sb="0" eb="3">
      <t>ニッセイキョウ</t>
    </rPh>
    <rPh sb="4" eb="5">
      <t>ガツ</t>
    </rPh>
    <rPh sb="7" eb="8">
      <t>ゴウ</t>
    </rPh>
    <rPh sb="8" eb="10">
      <t>トッカ</t>
    </rPh>
    <rPh sb="16" eb="17">
      <t>ニシ</t>
    </rPh>
    <rPh sb="17" eb="19">
      <t>ニホン</t>
    </rPh>
    <phoneticPr fontId="7"/>
  </si>
  <si>
    <t>千趣会返品</t>
    <rPh sb="0" eb="5">
      <t>センシュカイヘンピン</t>
    </rPh>
    <phoneticPr fontId="2"/>
  </si>
  <si>
    <t>K-PORT</t>
    <phoneticPr fontId="7"/>
  </si>
  <si>
    <t>JOD(西濃）</t>
    <rPh sb="4" eb="6">
      <t>セイノウ</t>
    </rPh>
    <phoneticPr fontId="7"/>
  </si>
  <si>
    <t>日生協8月25号特価￥1480(西日本）②</t>
    <rPh sb="0" eb="3">
      <t>ニッセイキョウ</t>
    </rPh>
    <rPh sb="4" eb="5">
      <t>ガツ</t>
    </rPh>
    <rPh sb="7" eb="8">
      <t>ゴウ</t>
    </rPh>
    <rPh sb="8" eb="10">
      <t>トッカ</t>
    </rPh>
    <rPh sb="16" eb="17">
      <t>ニシ</t>
    </rPh>
    <rPh sb="17" eb="19">
      <t>ニホン</t>
    </rPh>
    <phoneticPr fontId="7"/>
  </si>
  <si>
    <t>日生協8月25号特価￥1480(西日本）③</t>
    <rPh sb="0" eb="3">
      <t>ニッセイキョウ</t>
    </rPh>
    <rPh sb="4" eb="5">
      <t>ガツ</t>
    </rPh>
    <rPh sb="7" eb="8">
      <t>ゴウ</t>
    </rPh>
    <rPh sb="8" eb="10">
      <t>トッカ</t>
    </rPh>
    <rPh sb="16" eb="17">
      <t>ニシ</t>
    </rPh>
    <rPh sb="17" eb="19">
      <t>ニホン</t>
    </rPh>
    <phoneticPr fontId="7"/>
  </si>
  <si>
    <t>日生協8月25号特価￥1480(東日本）②</t>
    <rPh sb="0" eb="3">
      <t>ニッセイキョウ</t>
    </rPh>
    <rPh sb="4" eb="5">
      <t>ガツ</t>
    </rPh>
    <rPh sb="7" eb="8">
      <t>ゴウ</t>
    </rPh>
    <rPh sb="8" eb="10">
      <t>トッカ</t>
    </rPh>
    <rPh sb="16" eb="19">
      <t>ヒガシニホン</t>
    </rPh>
    <phoneticPr fontId="7"/>
  </si>
  <si>
    <t>日生協8月25号特価￥1480(東日本）③</t>
    <rPh sb="0" eb="3">
      <t>ニッセイキョウ</t>
    </rPh>
    <rPh sb="4" eb="5">
      <t>ガツ</t>
    </rPh>
    <rPh sb="7" eb="8">
      <t>ゴウ</t>
    </rPh>
    <rPh sb="8" eb="10">
      <t>トッカ</t>
    </rPh>
    <rPh sb="16" eb="19">
      <t>ヒガシニホン</t>
    </rPh>
    <phoneticPr fontId="7"/>
  </si>
  <si>
    <t>電話注文</t>
    <rPh sb="0" eb="4">
      <t>デンワチュウモン</t>
    </rPh>
    <phoneticPr fontId="7"/>
  </si>
  <si>
    <t>日生協8月25号特価￥1480(西日本）④</t>
    <rPh sb="0" eb="3">
      <t>ニッセイキョウ</t>
    </rPh>
    <rPh sb="4" eb="5">
      <t>ガツ</t>
    </rPh>
    <rPh sb="7" eb="8">
      <t>ゴウ</t>
    </rPh>
    <rPh sb="8" eb="10">
      <t>トッカ</t>
    </rPh>
    <rPh sb="16" eb="17">
      <t>ニシ</t>
    </rPh>
    <rPh sb="17" eb="19">
      <t>ニホン</t>
    </rPh>
    <phoneticPr fontId="7"/>
  </si>
  <si>
    <t>棚卸</t>
    <rPh sb="0" eb="2">
      <t>タナオロシ</t>
    </rPh>
    <phoneticPr fontId="2"/>
  </si>
  <si>
    <t>ジェス⑨</t>
    <phoneticPr fontId="7"/>
  </si>
  <si>
    <t>ジェス⑩</t>
    <phoneticPr fontId="7"/>
  </si>
  <si>
    <t>日生協8月25号特価￥1480(東日本）④</t>
    <rPh sb="0" eb="3">
      <t>ニッセイキョウ</t>
    </rPh>
    <rPh sb="4" eb="5">
      <t>ガツ</t>
    </rPh>
    <rPh sb="7" eb="8">
      <t>ゴウ</t>
    </rPh>
    <rPh sb="8" eb="10">
      <t>トッカ</t>
    </rPh>
    <rPh sb="16" eb="19">
      <t>ヒガシニホン</t>
    </rPh>
    <phoneticPr fontId="7"/>
  </si>
  <si>
    <t>日生協8月25号特価￥1480(東日本）⑤</t>
    <rPh sb="0" eb="3">
      <t>ニッセイキョウ</t>
    </rPh>
    <rPh sb="4" eb="5">
      <t>ガツ</t>
    </rPh>
    <rPh sb="7" eb="8">
      <t>ゴウ</t>
    </rPh>
    <rPh sb="8" eb="10">
      <t>トッカ</t>
    </rPh>
    <rPh sb="16" eb="19">
      <t>ヒガシニホン</t>
    </rPh>
    <phoneticPr fontId="7"/>
  </si>
  <si>
    <t>日生協8月25号特価￥1480(東日本）⑥</t>
    <rPh sb="0" eb="3">
      <t>ニッセイキョウ</t>
    </rPh>
    <rPh sb="4" eb="5">
      <t>ガツ</t>
    </rPh>
    <rPh sb="7" eb="8">
      <t>ゴウ</t>
    </rPh>
    <rPh sb="8" eb="10">
      <t>トッカ</t>
    </rPh>
    <rPh sb="16" eb="19">
      <t>ヒガシニホン</t>
    </rPh>
    <phoneticPr fontId="7"/>
  </si>
  <si>
    <t>ジェス⑩</t>
    <phoneticPr fontId="7"/>
  </si>
  <si>
    <t>ジェス返品</t>
    <rPh sb="3" eb="5">
      <t>ヘンピン</t>
    </rPh>
    <phoneticPr fontId="7"/>
  </si>
  <si>
    <t>サクラマチ返品</t>
    <rPh sb="5" eb="7">
      <t>ヘンピン</t>
    </rPh>
    <phoneticPr fontId="2"/>
  </si>
  <si>
    <t>JOD</t>
    <phoneticPr fontId="7"/>
  </si>
  <si>
    <t>K-PORT</t>
    <phoneticPr fontId="7"/>
  </si>
  <si>
    <t>丸藤サンプル返品</t>
    <rPh sb="0" eb="2">
      <t>マルフジ</t>
    </rPh>
    <rPh sb="6" eb="8">
      <t>ヘンピン</t>
    </rPh>
    <phoneticPr fontId="7"/>
  </si>
  <si>
    <t>日生協8号4月￥1480実績</t>
  </si>
  <si>
    <t>日生協8月25号￥1480実績</t>
  </si>
  <si>
    <t>JODアクセス7092/2色組</t>
    <rPh sb="13" eb="15">
      <t>ショククミ</t>
    </rPh>
    <phoneticPr fontId="7"/>
  </si>
  <si>
    <t>4/25～</t>
    <phoneticPr fontId="7"/>
  </si>
  <si>
    <t>JOD特別版0326/2色組</t>
    <rPh sb="3" eb="6">
      <t>トクベツバン</t>
    </rPh>
    <rPh sb="12" eb="14">
      <t>ショククミ</t>
    </rPh>
    <phoneticPr fontId="7"/>
  </si>
  <si>
    <t>3/25～</t>
    <phoneticPr fontId="7"/>
  </si>
  <si>
    <t>コープさっぽろ5-1ｗ</t>
    <phoneticPr fontId="7"/>
  </si>
  <si>
    <t>4/26、5/1</t>
    <phoneticPr fontId="7"/>
  </si>
  <si>
    <t>追加</t>
    <rPh sb="0" eb="2">
      <t>ツイカ</t>
    </rPh>
    <phoneticPr fontId="7"/>
  </si>
  <si>
    <t>JOD特別号9565/2色組</t>
    <rPh sb="3" eb="5">
      <t>トクベツ</t>
    </rPh>
    <rPh sb="5" eb="6">
      <t>ゴウ</t>
    </rPh>
    <rPh sb="12" eb="14">
      <t>ショククミ</t>
    </rPh>
    <phoneticPr fontId="7"/>
  </si>
  <si>
    <t>4/20～</t>
    <phoneticPr fontId="7"/>
  </si>
  <si>
    <t>日生協19号￥1380</t>
    <rPh sb="0" eb="3">
      <t>ニッセイキョウ</t>
    </rPh>
    <rPh sb="5" eb="6">
      <t>ゴウ</t>
    </rPh>
    <phoneticPr fontId="7"/>
  </si>
  <si>
    <t>点6/30、前取7/7、アバウト7/11・7/18、最終7/26</t>
    <rPh sb="0" eb="1">
      <t>テン</t>
    </rPh>
    <rPh sb="6" eb="8">
      <t>マエト</t>
    </rPh>
    <rPh sb="26" eb="28">
      <t>サイシュウ</t>
    </rPh>
    <phoneticPr fontId="7"/>
  </si>
  <si>
    <t>日生協19号差分予測</t>
    <rPh sb="6" eb="10">
      <t>サブンヨソク</t>
    </rPh>
    <phoneticPr fontId="7"/>
  </si>
  <si>
    <t>JOD</t>
    <phoneticPr fontId="7"/>
  </si>
  <si>
    <t>在庫調整</t>
    <rPh sb="0" eb="4">
      <t>ザイコチョウセイ</t>
    </rPh>
    <phoneticPr fontId="7"/>
  </si>
  <si>
    <t>サクラマチsample</t>
    <phoneticPr fontId="7"/>
  </si>
  <si>
    <t>JOD(西濃)</t>
    <rPh sb="4" eb="6">
      <t>セイノウ</t>
    </rPh>
    <phoneticPr fontId="7"/>
  </si>
  <si>
    <t>JODメルシー0525/2色組</t>
    <rPh sb="13" eb="15">
      <t>ショククミ</t>
    </rPh>
    <phoneticPr fontId="7"/>
  </si>
  <si>
    <t>5/25～</t>
    <phoneticPr fontId="7"/>
  </si>
  <si>
    <t>コープさっぽろ5-1ｗ①</t>
    <phoneticPr fontId="7"/>
  </si>
  <si>
    <t>コープさっぽろ5-1ｗ②</t>
    <phoneticPr fontId="7"/>
  </si>
  <si>
    <t>Amazon</t>
    <phoneticPr fontId="7"/>
  </si>
  <si>
    <t>Amazon</t>
    <phoneticPr fontId="7"/>
  </si>
  <si>
    <t>Amazon</t>
    <phoneticPr fontId="7"/>
  </si>
  <si>
    <t>点7/6、アバウト7/25、本7/26～8/5</t>
    <rPh sb="0" eb="1">
      <t>テン</t>
    </rPh>
    <rPh sb="14" eb="15">
      <t>ホン</t>
    </rPh>
    <phoneticPr fontId="7"/>
  </si>
  <si>
    <t>Amazon</t>
    <phoneticPr fontId="7"/>
  </si>
  <si>
    <t>Anazon</t>
    <phoneticPr fontId="7"/>
  </si>
  <si>
    <t>在庫調整</t>
    <rPh sb="0" eb="4">
      <t>ザイコチョウセイ</t>
    </rPh>
    <phoneticPr fontId="2"/>
  </si>
  <si>
    <t>Amazon</t>
    <phoneticPr fontId="7"/>
  </si>
  <si>
    <t>gf.p（ノースモール）</t>
    <phoneticPr fontId="7"/>
  </si>
  <si>
    <t>Amazon</t>
    <phoneticPr fontId="7"/>
  </si>
  <si>
    <t>日生協19号￥1380東日本①</t>
    <rPh sb="0" eb="3">
      <t>ニッセイキョウ</t>
    </rPh>
    <rPh sb="5" eb="6">
      <t>ゴウ</t>
    </rPh>
    <rPh sb="11" eb="14">
      <t>ヒガシニホン</t>
    </rPh>
    <phoneticPr fontId="7"/>
  </si>
  <si>
    <t>Amazon</t>
    <phoneticPr fontId="7"/>
  </si>
  <si>
    <t>JOD</t>
    <phoneticPr fontId="7"/>
  </si>
  <si>
    <t>日生協19号￥1380西日本①</t>
    <rPh sb="0" eb="3">
      <t>ニッセイキョウ</t>
    </rPh>
    <rPh sb="5" eb="6">
      <t>ゴウ</t>
    </rPh>
    <rPh sb="11" eb="12">
      <t>ニシ</t>
    </rPh>
    <rPh sb="12" eb="14">
      <t>ニホン</t>
    </rPh>
    <phoneticPr fontId="7"/>
  </si>
  <si>
    <t>日生協19号￥1380東日本②</t>
    <rPh sb="0" eb="3">
      <t>ニッセイキョウ</t>
    </rPh>
    <rPh sb="5" eb="6">
      <t>ゴウ</t>
    </rPh>
    <rPh sb="11" eb="14">
      <t>ヒガシニホン</t>
    </rPh>
    <phoneticPr fontId="7"/>
  </si>
  <si>
    <t>Amazon</t>
    <phoneticPr fontId="7"/>
  </si>
  <si>
    <t>夢販</t>
    <rPh sb="0" eb="2">
      <t>ユメハン</t>
    </rPh>
    <phoneticPr fontId="7"/>
  </si>
  <si>
    <t>日生協19号￥1380西日本②</t>
    <rPh sb="0" eb="3">
      <t>ニッセイキョウ</t>
    </rPh>
    <rPh sb="5" eb="6">
      <t>ゴウ</t>
    </rPh>
    <rPh sb="11" eb="12">
      <t>ニシ</t>
    </rPh>
    <rPh sb="12" eb="14">
      <t>ニホン</t>
    </rPh>
    <phoneticPr fontId="7"/>
  </si>
  <si>
    <t>日生協19号￥1380東日本③</t>
    <rPh sb="0" eb="3">
      <t>ニッセイキョウ</t>
    </rPh>
    <rPh sb="5" eb="6">
      <t>ゴウ</t>
    </rPh>
    <rPh sb="11" eb="14">
      <t>ヒガシニホン</t>
    </rPh>
    <phoneticPr fontId="7"/>
  </si>
  <si>
    <t>日生協19号￥1380西日本③</t>
    <rPh sb="0" eb="3">
      <t>ニッセイキョウ</t>
    </rPh>
    <rPh sb="5" eb="6">
      <t>ゴウ</t>
    </rPh>
    <rPh sb="11" eb="12">
      <t>ニシ</t>
    </rPh>
    <rPh sb="12" eb="14">
      <t>ニホン</t>
    </rPh>
    <phoneticPr fontId="7"/>
  </si>
  <si>
    <t>日生協19号￥1380東日本④</t>
    <rPh sb="0" eb="3">
      <t>ニッセイキョウ</t>
    </rPh>
    <rPh sb="5" eb="6">
      <t>ゴウ</t>
    </rPh>
    <rPh sb="11" eb="14">
      <t>ヒガシニホン</t>
    </rPh>
    <phoneticPr fontId="7"/>
  </si>
  <si>
    <t>日生協19号￥1380東日本⑤</t>
    <rPh sb="0" eb="3">
      <t>ニッセイキョウ</t>
    </rPh>
    <rPh sb="5" eb="6">
      <t>ゴウ</t>
    </rPh>
    <rPh sb="11" eb="14">
      <t>ヒガシニホン</t>
    </rPh>
    <phoneticPr fontId="7"/>
  </si>
  <si>
    <t>日生協19号￥1380東日本⑥</t>
    <rPh sb="0" eb="3">
      <t>ニッセイキョウ</t>
    </rPh>
    <rPh sb="5" eb="6">
      <t>ゴウ</t>
    </rPh>
    <rPh sb="11" eb="14">
      <t>ヒガシニホン</t>
    </rPh>
    <phoneticPr fontId="7"/>
  </si>
  <si>
    <t>Amazon</t>
    <phoneticPr fontId="7"/>
  </si>
  <si>
    <t>日生協19号￥1380東日本⑦</t>
    <rPh sb="0" eb="3">
      <t>ニッセイキョウ</t>
    </rPh>
    <rPh sb="5" eb="6">
      <t>ゴウ</t>
    </rPh>
    <rPh sb="11" eb="14">
      <t>ヒガシニホン</t>
    </rPh>
    <phoneticPr fontId="7"/>
  </si>
  <si>
    <t>日生協19号￥1380直送⑧</t>
    <rPh sb="0" eb="3">
      <t>ニッセイキョウ</t>
    </rPh>
    <rPh sb="5" eb="6">
      <t>ゴウ</t>
    </rPh>
    <rPh sb="11" eb="13">
      <t>チョクソウ</t>
    </rPh>
    <phoneticPr fontId="7"/>
  </si>
  <si>
    <t>Amazon</t>
    <phoneticPr fontId="7"/>
  </si>
  <si>
    <t>夢販</t>
    <rPh sb="0" eb="2">
      <t>ユメハン</t>
    </rPh>
    <phoneticPr fontId="7"/>
  </si>
  <si>
    <t>Amazon</t>
    <phoneticPr fontId="7"/>
  </si>
  <si>
    <t>確保</t>
    <rPh sb="0" eb="2">
      <t>カクホ</t>
    </rPh>
    <phoneticPr fontId="2"/>
  </si>
  <si>
    <t>Amazon</t>
    <phoneticPr fontId="7"/>
  </si>
  <si>
    <t>くらし返品予定</t>
    <rPh sb="3" eb="7">
      <t>ヘンピンヨテイ</t>
    </rPh>
    <phoneticPr fontId="2"/>
  </si>
  <si>
    <t>Amazon</t>
    <phoneticPr fontId="7"/>
  </si>
  <si>
    <t>Amazon</t>
    <phoneticPr fontId="7"/>
  </si>
  <si>
    <t>K-PORT</t>
    <phoneticPr fontId="7"/>
  </si>
  <si>
    <t>Amazon</t>
    <phoneticPr fontId="7"/>
  </si>
  <si>
    <t>追加</t>
    <rPh sb="0" eb="2">
      <t>ツイカ</t>
    </rPh>
    <phoneticPr fontId="7"/>
  </si>
  <si>
    <t>Amazon</t>
    <phoneticPr fontId="7"/>
  </si>
  <si>
    <t>追加</t>
    <rPh sb="0" eb="2">
      <t>ツイカ</t>
    </rPh>
    <phoneticPr fontId="7"/>
  </si>
  <si>
    <t>JODアクセス7000/2色組　\2990</t>
    <rPh sb="13" eb="15">
      <t>ショククミ</t>
    </rPh>
    <phoneticPr fontId="7"/>
  </si>
  <si>
    <t>ネット交換</t>
    <rPh sb="3" eb="5">
      <t>コウカン</t>
    </rPh>
    <phoneticPr fontId="7"/>
  </si>
  <si>
    <t>追加</t>
    <rPh sb="0" eb="2">
      <t>ツイカ</t>
    </rPh>
    <phoneticPr fontId="7"/>
  </si>
  <si>
    <t>JOD</t>
    <phoneticPr fontId="7"/>
  </si>
  <si>
    <t>Amazon返品</t>
    <rPh sb="6" eb="8">
      <t>ヘンピン</t>
    </rPh>
    <phoneticPr fontId="7"/>
  </si>
  <si>
    <t>在庫確認</t>
    <rPh sb="0" eb="4">
      <t>ザイコカクニン</t>
    </rPh>
    <phoneticPr fontId="7"/>
  </si>
  <si>
    <t>JOD</t>
  </si>
  <si>
    <t>Amazon</t>
    <phoneticPr fontId="7"/>
  </si>
  <si>
    <t>JOD</t>
    <phoneticPr fontId="7"/>
  </si>
  <si>
    <t>Amazon</t>
    <phoneticPr fontId="7"/>
  </si>
  <si>
    <t>JOD</t>
    <phoneticPr fontId="7"/>
  </si>
  <si>
    <t>Amazon</t>
    <phoneticPr fontId="7"/>
  </si>
  <si>
    <t>JOD</t>
    <phoneticPr fontId="7"/>
  </si>
  <si>
    <t>汚れ</t>
    <rPh sb="0" eb="1">
      <t>ヨゴ</t>
    </rPh>
    <phoneticPr fontId="7"/>
  </si>
  <si>
    <t>JOD：2024/7月末まで確保</t>
    <rPh sb="10" eb="12">
      <t>ガツマツ</t>
    </rPh>
    <rPh sb="14" eb="16">
      <t>カクホ</t>
    </rPh>
    <phoneticPr fontId="7"/>
  </si>
  <si>
    <t>JOD</t>
    <phoneticPr fontId="7"/>
  </si>
  <si>
    <t>JOD</t>
    <phoneticPr fontId="7"/>
  </si>
  <si>
    <t>ネット</t>
    <phoneticPr fontId="7"/>
  </si>
  <si>
    <t>汚れ</t>
    <rPh sb="0" eb="1">
      <t>ヨゴ</t>
    </rPh>
    <phoneticPr fontId="2"/>
  </si>
  <si>
    <t>Amazon返品</t>
    <rPh sb="6" eb="8">
      <t>ヘンピン</t>
    </rPh>
    <phoneticPr fontId="2"/>
  </si>
  <si>
    <t>汚れ</t>
    <rPh sb="0" eb="1">
      <t>ヨゴ</t>
    </rPh>
    <phoneticPr fontId="7"/>
  </si>
  <si>
    <t>２０２５年より</t>
    <rPh sb="4" eb="5">
      <t>ネン</t>
    </rPh>
    <phoneticPr fontId="7"/>
  </si>
  <si>
    <t>営業用サンプル</t>
    <rPh sb="0" eb="3">
      <t>エイギョウヨウ</t>
    </rPh>
    <phoneticPr fontId="7"/>
  </si>
  <si>
    <t>K-PORT</t>
    <phoneticPr fontId="7"/>
  </si>
  <si>
    <t>Amazon</t>
    <phoneticPr fontId="7"/>
  </si>
  <si>
    <t>　日生協鈴木BY</t>
    <rPh sb="1" eb="6">
      <t>ニッセイキョウスズキ</t>
    </rPh>
    <phoneticPr fontId="7"/>
  </si>
  <si>
    <t>コープきんき4月5回\1480</t>
    <rPh sb="7" eb="8">
      <t>ガツ</t>
    </rPh>
    <rPh sb="9" eb="10">
      <t>カイ</t>
    </rPh>
    <phoneticPr fontId="7"/>
  </si>
  <si>
    <t>3/1Ship</t>
  </si>
  <si>
    <t>点4/4、アバウト4/22、本4/22～28</t>
    <rPh sb="0" eb="1">
      <t>テン</t>
    </rPh>
    <rPh sb="14" eb="15">
      <t>ホン</t>
    </rPh>
    <phoneticPr fontId="7"/>
  </si>
  <si>
    <t>日生協6月17号\1480</t>
    <rPh sb="0" eb="3">
      <t>ニッセイキョウ</t>
    </rPh>
    <rPh sb="4" eb="5">
      <t>ガツ</t>
    </rPh>
    <rPh sb="7" eb="8">
      <t>ゴウ</t>
    </rPh>
    <phoneticPr fontId="7"/>
  </si>
  <si>
    <t>点6/20、前取6/27、デリ7/8、最終7/16</t>
    <rPh sb="0" eb="1">
      <t>テン</t>
    </rPh>
    <rPh sb="6" eb="8">
      <t>マエトリ</t>
    </rPh>
    <rPh sb="19" eb="21">
      <t>サイシュウ</t>
    </rPh>
    <phoneticPr fontId="7"/>
  </si>
  <si>
    <t>日生協6月17号\1480差分予測</t>
    <rPh sb="0" eb="3">
      <t>ニッセイキョウ</t>
    </rPh>
    <rPh sb="4" eb="5">
      <t>ガツ</t>
    </rPh>
    <rPh sb="7" eb="8">
      <t>ゴウ</t>
    </rPh>
    <rPh sb="13" eb="17">
      <t>サブンヨソク</t>
    </rPh>
    <phoneticPr fontId="7"/>
  </si>
  <si>
    <t>ゆめはん</t>
    <phoneticPr fontId="7"/>
  </si>
  <si>
    <t>コープきんき4月5回\1480差分予測</t>
    <rPh sb="7" eb="8">
      <t>ガツ</t>
    </rPh>
    <rPh sb="9" eb="10">
      <t>カイ</t>
    </rPh>
    <rPh sb="15" eb="17">
      <t>サブン</t>
    </rPh>
    <rPh sb="17" eb="19">
      <t>ヨソク</t>
    </rPh>
    <phoneticPr fontId="7"/>
  </si>
  <si>
    <t>2025/3/10数伝</t>
    <rPh sb="9" eb="10">
      <t>スウ</t>
    </rPh>
    <rPh sb="10" eb="11">
      <t>デン</t>
    </rPh>
    <phoneticPr fontId="7"/>
  </si>
  <si>
    <t>3613-340～345</t>
    <phoneticPr fontId="7"/>
  </si>
  <si>
    <t>コープきんき4月5回\1480①</t>
    <rPh sb="7" eb="8">
      <t>ガツ</t>
    </rPh>
    <rPh sb="9" eb="10">
      <t>カイ</t>
    </rPh>
    <phoneticPr fontId="7"/>
  </si>
  <si>
    <t>JODアクセス7009/2色組</t>
    <rPh sb="13" eb="15">
      <t>ショククミ</t>
    </rPh>
    <phoneticPr fontId="7"/>
  </si>
  <si>
    <t>6/16～</t>
    <phoneticPr fontId="7"/>
  </si>
  <si>
    <t>2025/4/3伝数</t>
    <rPh sb="8" eb="9">
      <t>デン</t>
    </rPh>
    <rPh sb="9" eb="10">
      <t>スウ</t>
    </rPh>
    <phoneticPr fontId="7"/>
  </si>
  <si>
    <t>コープきんき4月5回\1480②</t>
    <rPh sb="7" eb="8">
      <t>ガツ</t>
    </rPh>
    <rPh sb="9" eb="10">
      <t>カイ</t>
    </rPh>
    <phoneticPr fontId="7"/>
  </si>
  <si>
    <t>コープきんき4月5回\1480③</t>
    <rPh sb="7" eb="8">
      <t>ガツ</t>
    </rPh>
    <rPh sb="9" eb="10">
      <t>カイ</t>
    </rPh>
    <phoneticPr fontId="7"/>
  </si>
  <si>
    <t>夢販</t>
  </si>
  <si>
    <t>ネット返品</t>
    <rPh sb="3" eb="5">
      <t>ヘンピン</t>
    </rPh>
    <phoneticPr fontId="7"/>
  </si>
  <si>
    <t>JOD特別版0718/2色組</t>
    <rPh sb="3" eb="6">
      <t>トクベツバン</t>
    </rPh>
    <rPh sb="12" eb="14">
      <t>ショククミ</t>
    </rPh>
    <phoneticPr fontId="7"/>
  </si>
  <si>
    <t>JOD</t>
    <phoneticPr fontId="7"/>
  </si>
  <si>
    <t>過不足分</t>
    <rPh sb="0" eb="4">
      <t>カブソクブン</t>
    </rPh>
    <phoneticPr fontId="2"/>
  </si>
  <si>
    <t>JOD</t>
    <phoneticPr fontId="7"/>
  </si>
  <si>
    <t>日生協6月17号\1480東日本①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</si>
  <si>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2025/7/1数伝</t>
    <rPh sb="8" eb="9">
      <t>スウ</t>
    </rPh>
    <rPh sb="9" eb="10">
      <t>デン</t>
    </rPh>
    <phoneticPr fontId="7"/>
  </si>
  <si>
    <t>日生協6月17号\1480東日本②</t>
    <rPh sb="0" eb="3">
      <t>ニッセイキョウ</t>
    </rPh>
    <rPh sb="4" eb="5">
      <t>ガツ</t>
    </rPh>
    <rPh sb="7" eb="8">
      <t>ゴウ</t>
    </rPh>
    <rPh sb="13" eb="16">
      <t>ヒガシニホン</t>
    </rPh>
    <phoneticPr fontId="7"/>
  </si>
  <si>
    <t>夢販</t>
    <rPh sb="0" eb="2">
      <t>ユメハン</t>
    </rPh>
    <phoneticPr fontId="7"/>
  </si>
  <si>
    <t>JOD返品</t>
    <rPh sb="3" eb="5">
      <t>ヘンピン</t>
    </rPh>
    <phoneticPr fontId="7"/>
  </si>
  <si>
    <t>KPORT</t>
    <phoneticPr fontId="7"/>
  </si>
  <si>
    <t>夢販移動</t>
    <rPh sb="0" eb="2">
      <t>ユメハン</t>
    </rPh>
    <rPh sb="2" eb="4">
      <t>イドウ</t>
    </rPh>
    <phoneticPr fontId="2"/>
  </si>
  <si>
    <t>夢販</t>
    <rPh sb="0" eb="2">
      <t>ユメハン</t>
    </rPh>
    <phoneticPr fontId="7"/>
  </si>
  <si>
    <t>JOD</t>
    <phoneticPr fontId="7"/>
  </si>
  <si>
    <t>くらし企画返品</t>
    <phoneticPr fontId="2"/>
  </si>
  <si>
    <t>ゆめはん</t>
    <phoneticPr fontId="7"/>
  </si>
  <si>
    <t>点4/3、アバウト4/21、本4/21～27</t>
    <rPh sb="0" eb="1">
      <t>テン</t>
    </rPh>
    <rPh sb="14" eb="15">
      <t>ホン</t>
    </rPh>
    <phoneticPr fontId="7"/>
  </si>
  <si>
    <t>コープきんき4月5回差分予測</t>
    <rPh sb="7" eb="8">
      <t>ガツ</t>
    </rPh>
    <rPh sb="9" eb="10">
      <t>カイ</t>
    </rPh>
    <rPh sb="10" eb="14">
      <t>サブンヨソク</t>
    </rPh>
    <phoneticPr fontId="7"/>
  </si>
  <si>
    <t>←ここまで在庫管理済2026/2/25</t>
    <rPh sb="0" eb="10">
      <t>ヤジルシココマデザイコカンリスミ</t>
    </rPh>
    <phoneticPr fontId="7"/>
  </si>
  <si>
    <t>夢販</t>
    <rPh sb="0" eb="2">
      <t>y</t>
    </rPh>
    <phoneticPr fontId="7"/>
  </si>
  <si>
    <t>不良</t>
    <rPh sb="0" eb="2">
      <t>フリョウ</t>
    </rPh>
    <phoneticPr fontId="7"/>
  </si>
  <si>
    <t>ゆめはん</t>
    <phoneticPr fontId="7"/>
  </si>
  <si>
    <t>追加</t>
    <rPh sb="0" eb="2">
      <t>ツイカ</t>
    </rPh>
    <phoneticPr fontId="7"/>
  </si>
  <si>
    <t>汚れ</t>
    <rPh sb="0" eb="1">
      <t>ヨゴ</t>
    </rPh>
    <phoneticPr fontId="7"/>
  </si>
  <si>
    <t>ゆめはん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</si>
</sst>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2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2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4">
    <xf numFmtId="0" fontId="0" fillId="0" borderId="0" xfId="0">
      <alignment vertical="center"/>
    </xf>
    <xf numFmtId="0" fontId="1" fillId="0" borderId="0" xfId="1"/>
    <xf numFmtId="0" fontId="6" fillId="0" borderId="14" xfId="1" applyFont="1" applyBorder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10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4" xfId="1" applyBorder="1"/>
    <xf numFmtId="0" fontId="1" fillId="0" borderId="25" xfId="1" applyBorder="1"/>
    <xf numFmtId="0" fontId="5" fillId="0" borderId="27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6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6" fillId="0" borderId="27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6" fillId="0" borderId="11" xfId="1" applyFont="1" applyBorder="1"/>
    <xf numFmtId="0" fontId="1" fillId="0" borderId="28" xfId="1" applyBorder="1"/>
    <xf numFmtId="0" fontId="1" fillId="0" borderId="29" xfId="1" applyBorder="1"/>
    <xf numFmtId="0" fontId="1" fillId="0" borderId="32" xfId="1" applyBorder="1"/>
    <xf numFmtId="0" fontId="6" fillId="0" borderId="27" xfId="1" applyFont="1" applyBorder="1" applyAlignment="1">
      <alignment horizontal="center" vertical="center"/>
    </xf>
    <xf numFmtId="0" fontId="6" fillId="0" borderId="15" xfId="1" applyFont="1" applyBorder="1"/>
    <xf numFmtId="0" fontId="1" fillId="0" borderId="33" xfId="1" applyBorder="1"/>
    <xf numFmtId="0" fontId="6" fillId="0" borderId="12" xfId="1" applyFont="1" applyBorder="1"/>
    <xf numFmtId="0" fontId="6" fillId="0" borderId="13" xfId="1" applyFont="1" applyBorder="1"/>
    <xf numFmtId="0" fontId="8" fillId="0" borderId="0" xfId="0" applyFont="1">
      <alignment vertical="center"/>
    </xf>
    <xf numFmtId="0" fontId="1" fillId="0" borderId="27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31" xfId="1" applyBorder="1"/>
    <xf numFmtId="0" fontId="1" fillId="0" borderId="11" xfId="1" applyBorder="1"/>
    <xf numFmtId="0" fontId="1" fillId="0" borderId="1" xfId="1" applyBorder="1"/>
    <xf numFmtId="0" fontId="1" fillId="0" borderId="2" xfId="1" applyBorder="1"/>
    <xf numFmtId="0" fontId="1" fillId="0" borderId="15" xfId="1" applyBorder="1"/>
    <xf numFmtId="0" fontId="1" fillId="0" borderId="5" xfId="1" applyBorder="1"/>
    <xf numFmtId="0" fontId="5" fillId="0" borderId="34" xfId="1" applyFont="1" applyBorder="1"/>
    <xf numFmtId="0" fontId="1" fillId="0" borderId="40" xfId="1" applyBorder="1"/>
    <xf numFmtId="0" fontId="1" fillId="0" borderId="39" xfId="1" applyBorder="1"/>
    <xf numFmtId="0" fontId="1" fillId="0" borderId="41" xfId="1" applyBorder="1"/>
    <xf numFmtId="0" fontId="1" fillId="0" borderId="42" xfId="1" applyBorder="1"/>
    <xf numFmtId="0" fontId="1" fillId="0" borderId="37" xfId="1" applyBorder="1"/>
    <xf numFmtId="0" fontId="5" fillId="0" borderId="30" xfId="1" applyFont="1" applyBorder="1"/>
    <xf numFmtId="0" fontId="5" fillId="0" borderId="36" xfId="1" applyFont="1" applyBorder="1"/>
    <xf numFmtId="0" fontId="5" fillId="0" borderId="43" xfId="1" applyFont="1" applyBorder="1"/>
    <xf numFmtId="0" fontId="1" fillId="0" borderId="3" xfId="1" applyBorder="1"/>
    <xf numFmtId="0" fontId="1" fillId="0" borderId="38" xfId="1" applyBorder="1"/>
    <xf numFmtId="0" fontId="1" fillId="0" borderId="14" xfId="1" applyBorder="1"/>
    <xf numFmtId="0" fontId="1" fillId="0" borderId="35" xfId="1" applyBorder="1"/>
    <xf numFmtId="56" fontId="9" fillId="0" borderId="0" xfId="0" applyNumberFormat="1" applyFont="1">
      <alignment vertical="center"/>
    </xf>
    <xf numFmtId="0" fontId="6" fillId="0" borderId="44" xfId="1" applyFont="1" applyBorder="1"/>
    <xf numFmtId="0" fontId="1" fillId="0" borderId="45" xfId="1" applyBorder="1"/>
    <xf numFmtId="0" fontId="1" fillId="0" borderId="46" xfId="1" applyBorder="1"/>
    <xf numFmtId="0" fontId="1" fillId="0" borderId="47" xfId="1" applyBorder="1"/>
    <xf numFmtId="0" fontId="6" fillId="0" borderId="3" xfId="1" applyFont="1" applyBorder="1"/>
    <xf numFmtId="0" fontId="6" fillId="0" borderId="10" xfId="1" applyFont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0" fillId="0" borderId="10" xfId="1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1" fillId="0" borderId="23" xfId="1" applyBorder="1" applyAlignment="1">
      <alignment horizontal="center" vertical="center"/>
    </xf>
    <xf numFmtId="56" fontId="1" fillId="0" borderId="27" xfId="1" applyNumberFormat="1" applyBorder="1" applyAlignment="1">
      <alignment horizontal="center" vertical="center"/>
    </xf>
    <xf numFmtId="0" fontId="1" fillId="0" borderId="48" xfId="1" applyBorder="1"/>
    <xf numFmtId="0" fontId="1" fillId="0" borderId="23" xfId="1" applyBorder="1"/>
    <xf numFmtId="0" fontId="1" fillId="0" borderId="49" xfId="1" applyBorder="1"/>
    <xf numFmtId="0" fontId="1" fillId="0" borderId="50" xfId="1" applyBorder="1"/>
    <xf numFmtId="0" fontId="1" fillId="0" borderId="51" xfId="1" applyBorder="1"/>
    <xf numFmtId="0" fontId="6" fillId="0" borderId="10" xfId="1" applyFont="1" applyBorder="1" applyAlignment="1">
      <alignment horizontal="center" vertical="center" shrinkToFit="1"/>
    </xf>
    <xf numFmtId="0" fontId="9" fillId="0" borderId="0" xfId="0" applyFont="1">
      <alignment vertical="center"/>
    </xf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6" fillId="0" borderId="9" xfId="1" applyFont="1" applyBorder="1"/>
    <xf numFmtId="56" fontId="6" fillId="0" borderId="26" xfId="1" applyNumberFormat="1" applyFont="1" applyBorder="1" applyAlignment="1">
      <alignment horizontal="center" vertical="center"/>
    </xf>
    <xf numFmtId="0" fontId="6" fillId="0" borderId="39" xfId="1" applyFont="1" applyBorder="1"/>
    <xf numFmtId="0" fontId="1" fillId="0" borderId="53" xfId="1" applyBorder="1"/>
    <xf numFmtId="0" fontId="0" fillId="0" borderId="37" xfId="0" applyBorder="1" applyAlignment="1">
      <alignment horizontal="center" vertical="center"/>
    </xf>
    <xf numFmtId="0" fontId="1" fillId="0" borderId="52" xfId="1" applyBorder="1"/>
    <xf numFmtId="0" fontId="9" fillId="0" borderId="37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4" fillId="0" borderId="16" xfId="1" applyFont="1" applyBorder="1"/>
    <xf numFmtId="0" fontId="14" fillId="0" borderId="17" xfId="1" applyFont="1" applyBorder="1"/>
    <xf numFmtId="0" fontId="14" fillId="0" borderId="18" xfId="1" applyFont="1" applyBorder="1"/>
    <xf numFmtId="0" fontId="14" fillId="0" borderId="5" xfId="1" applyFont="1" applyBorder="1"/>
    <xf numFmtId="0" fontId="14" fillId="0" borderId="19" xfId="1" applyFont="1" applyBorder="1"/>
    <xf numFmtId="0" fontId="14" fillId="0" borderId="10" xfId="1" applyFont="1" applyBorder="1"/>
    <xf numFmtId="0" fontId="13" fillId="0" borderId="0" xfId="0" applyFont="1">
      <alignment vertical="center"/>
    </xf>
    <xf numFmtId="56" fontId="12" fillId="0" borderId="0" xfId="0" applyNumberFormat="1" applyFont="1">
      <alignment vertical="center"/>
    </xf>
    <xf numFmtId="0" fontId="10" fillId="0" borderId="5" xfId="1" applyFont="1" applyBorder="1" applyAlignment="1">
      <alignment horizontal="center" vertical="center"/>
    </xf>
    <xf numFmtId="0" fontId="4" fillId="0" borderId="7" xfId="1" applyFont="1" applyBorder="1"/>
    <xf numFmtId="0" fontId="4" fillId="0" borderId="8" xfId="1" applyFont="1" applyBorder="1"/>
    <xf numFmtId="0" fontId="12" fillId="0" borderId="0" xfId="0" applyFont="1">
      <alignment vertical="center"/>
    </xf>
    <xf numFmtId="0" fontId="4" fillId="0" borderId="6" xfId="1" applyFont="1" applyBorder="1"/>
    <xf numFmtId="0" fontId="4" fillId="0" borderId="9" xfId="1" applyFont="1" applyBorder="1"/>
    <xf numFmtId="176" fontId="0" fillId="0" borderId="0" xfId="0" applyNumberFormat="1">
      <alignment vertical="center"/>
    </xf>
    <xf numFmtId="0" fontId="6" fillId="0" borderId="20" xfId="1" applyFont="1" applyBorder="1"/>
    <xf numFmtId="0" fontId="6" fillId="0" borderId="21" xfId="1" applyFont="1" applyBorder="1"/>
    <xf numFmtId="0" fontId="6" fillId="0" borderId="40" xfId="1" applyFont="1" applyBorder="1"/>
    <xf numFmtId="0" fontId="6" fillId="0" borderId="24" xfId="1" applyFont="1" applyBorder="1"/>
    <xf numFmtId="0" fontId="6" fillId="0" borderId="22" xfId="1" applyFont="1" applyBorder="1"/>
    <xf numFmtId="0" fontId="6" fillId="0" borderId="5" xfId="1" applyFont="1" applyBorder="1"/>
    <xf numFmtId="176" fontId="12" fillId="0" borderId="0" xfId="0" applyNumberFormat="1" applyFont="1">
      <alignment vertical="center"/>
    </xf>
    <xf numFmtId="0" fontId="1" fillId="0" borderId="55" xfId="1" applyBorder="1"/>
    <xf numFmtId="0" fontId="1" fillId="0" borderId="5" xfId="1" applyBorder="1" applyAlignment="1">
      <alignment horizontal="center" vertical="center" shrinkToFit="1"/>
    </xf>
    <xf numFmtId="56" fontId="1" fillId="0" borderId="56" xfId="1" applyNumberFormat="1" applyBorder="1" applyAlignment="1">
      <alignment horizontal="center" vertical="center"/>
    </xf>
    <xf numFmtId="56" fontId="1" fillId="0" borderId="10" xfId="1" applyNumberFormat="1" applyBorder="1" applyAlignment="1">
      <alignment horizontal="center" vertical="center" shrinkToFit="1"/>
    </xf>
    <xf numFmtId="56" fontId="1" fillId="0" borderId="54" xfId="1" applyNumberFormat="1" applyBorder="1" applyAlignment="1">
      <alignment horizontal="center" vertical="center"/>
    </xf>
    <xf numFmtId="0" fontId="4" fillId="0" borderId="10" xfId="1" applyFont="1" applyBorder="1" applyAlignment="1">
      <alignment horizontal="center" vertical="center" shrinkToFit="1"/>
    </xf>
    <xf numFmtId="0" fontId="4" fillId="0" borderId="5" xfId="1" applyFont="1" applyBorder="1"/>
    <xf numFmtId="0" fontId="4" fillId="0" borderId="10" xfId="1" applyFont="1" applyBorder="1"/>
    <xf numFmtId="0" fontId="4" fillId="0" borderId="5" xfId="1" applyFont="1" applyBorder="1" applyAlignment="1">
      <alignment horizontal="center" vertical="center"/>
    </xf>
    <xf numFmtId="56" fontId="15" fillId="0" borderId="26" xfId="1" applyNumberFormat="1" applyFont="1" applyBorder="1" applyAlignment="1">
      <alignment horizontal="center" vertical="center"/>
    </xf>
    <xf numFmtId="0" fontId="15" fillId="0" borderId="12" xfId="1" applyFont="1" applyBorder="1"/>
    <xf numFmtId="0" fontId="15" fillId="0" borderId="13" xfId="1" applyFont="1" applyBorder="1"/>
    <xf numFmtId="0" fontId="15" fillId="0" borderId="31" xfId="1" applyFont="1" applyBorder="1"/>
    <xf numFmtId="0" fontId="15" fillId="0" borderId="15" xfId="1" applyFont="1" applyBorder="1"/>
    <xf numFmtId="0" fontId="15" fillId="0" borderId="38" xfId="1" applyFont="1" applyBorder="1"/>
    <xf numFmtId="0" fontId="15" fillId="0" borderId="14" xfId="1" applyFont="1" applyBorder="1"/>
    <xf numFmtId="56" fontId="17" fillId="0" borderId="0" xfId="0" applyNumberFormat="1" applyFont="1">
      <alignment vertical="center"/>
    </xf>
    <xf numFmtId="56" fontId="1" fillId="0" borderId="5" xfId="1" applyNumberFormat="1" applyBorder="1" applyAlignment="1">
      <alignment horizontal="center" vertical="center"/>
    </xf>
    <xf numFmtId="6" fontId="1" fillId="0" borderId="10" xfId="1" applyNumberFormat="1" applyBorder="1" applyAlignment="1">
      <alignment horizontal="center" vertical="center" shrinkToFit="1"/>
    </xf>
    <xf numFmtId="0" fontId="1" fillId="2" borderId="1" xfId="1" applyFill="1" applyBorder="1"/>
    <xf numFmtId="0" fontId="5" fillId="2" borderId="34" xfId="1" applyFont="1" applyFill="1" applyBorder="1"/>
    <xf numFmtId="0" fontId="1" fillId="2" borderId="2" xfId="1" applyFill="1" applyBorder="1"/>
    <xf numFmtId="0" fontId="5" fillId="2" borderId="36" xfId="1" applyFont="1" applyFill="1" applyBorder="1"/>
    <xf numFmtId="0" fontId="0" fillId="0" borderId="0" xfId="0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9" fillId="0" borderId="10" xfId="1" applyFont="1" applyBorder="1" applyAlignment="1">
      <alignment horizontal="center" vertical="center" shrinkToFit="1"/>
    </xf>
    <xf numFmtId="0" fontId="19" fillId="0" borderId="6" xfId="1" applyFont="1" applyBorder="1"/>
    <xf numFmtId="0" fontId="19" fillId="0" borderId="7" xfId="1" applyFont="1" applyBorder="1"/>
    <xf numFmtId="0" fontId="19" fillId="0" borderId="8" xfId="1" applyFont="1" applyBorder="1"/>
    <xf numFmtId="0" fontId="19" fillId="0" borderId="5" xfId="1" applyFont="1" applyBorder="1"/>
    <xf numFmtId="0" fontId="19" fillId="0" borderId="9" xfId="1" applyFont="1" applyBorder="1"/>
    <xf numFmtId="0" fontId="19" fillId="0" borderId="10" xfId="1" applyFont="1" applyBorder="1"/>
    <xf numFmtId="56" fontId="20" fillId="0" borderId="0" xfId="0" applyNumberFormat="1" applyFont="1">
      <alignment vertical="center"/>
    </xf>
    <xf numFmtId="56" fontId="19" fillId="0" borderId="26" xfId="1" applyNumberFormat="1" applyFont="1" applyBorder="1" applyAlignment="1">
      <alignment horizontal="center" vertical="center"/>
    </xf>
    <xf numFmtId="0" fontId="19" fillId="0" borderId="39" xfId="1" applyFont="1" applyBorder="1"/>
    <xf numFmtId="56" fontId="20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19" fillId="0" borderId="16" xfId="1" applyFont="1" applyBorder="1"/>
    <xf numFmtId="0" fontId="19" fillId="0" borderId="17" xfId="1" applyFont="1" applyBorder="1"/>
    <xf numFmtId="0" fontId="19" fillId="0" borderId="41" xfId="1" applyFont="1" applyBorder="1"/>
    <xf numFmtId="0" fontId="19" fillId="0" borderId="19" xfId="1" applyFont="1" applyBorder="1"/>
    <xf numFmtId="0" fontId="19" fillId="0" borderId="18" xfId="1" applyFont="1" applyBorder="1"/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33"/>
  <sheetViews>
    <sheetView tabSelected="1" topLeftCell="A1908" zoomScaleNormal="100" workbookViewId="0">
      <selection activeCell="A1916" sqref="A1916"/>
    </sheetView>
  </sheetViews>
  <sheetFormatPr defaultRowHeight="13.5" x14ac:dyDescent="0.15"/>
  <cols>
    <col min="1" max="1" width="21" customWidth="1"/>
    <col min="2" max="10" width="7.5" customWidth="1"/>
    <col min="11" max="11" width="10.5" bestFit="1" customWidth="1"/>
    <col min="12" max="12" width="5.625" customWidth="1"/>
    <col min="13" max="13" width="31.375" customWidth="1"/>
    <col min="14" max="22" width="7.5" customWidth="1"/>
    <col min="23" max="23" width="9.25" style="139" bestFit="1" customWidth="1"/>
    <col min="24" max="24" width="5.625" customWidth="1"/>
    <col min="25" max="25" width="20.875" customWidth="1"/>
    <col min="26" max="34" width="7.5" customWidth="1"/>
  </cols>
  <sheetData>
    <row r="1" spans="1:36" ht="19.5" thickBot="1" x14ac:dyDescent="0.25">
      <c r="A1" s="3" t="s">
        <v>21</v>
      </c>
      <c r="B1" s="1"/>
      <c r="C1" s="1"/>
      <c r="D1" s="1"/>
      <c r="E1" s="1"/>
      <c r="F1" s="1"/>
      <c r="G1" s="1"/>
      <c r="H1" s="1"/>
      <c r="I1" s="1"/>
      <c r="J1" s="1"/>
      <c r="M1" s="3" t="s">
        <v>22</v>
      </c>
      <c r="N1" s="1"/>
      <c r="O1" s="1"/>
      <c r="P1" s="1"/>
      <c r="Q1" s="1"/>
      <c r="R1" s="1"/>
      <c r="S1" s="1"/>
      <c r="T1" s="1"/>
      <c r="U1" s="1"/>
      <c r="V1" s="1"/>
      <c r="Y1" s="3" t="s">
        <v>23</v>
      </c>
      <c r="Z1" s="1"/>
      <c r="AA1" s="1"/>
      <c r="AB1" s="1"/>
      <c r="AC1" s="1"/>
      <c r="AD1" s="1"/>
      <c r="AE1" s="1"/>
      <c r="AF1" s="1"/>
      <c r="AG1" s="1"/>
      <c r="AH1" s="1"/>
    </row>
    <row r="2" spans="1:36" ht="14.25" thickBot="1" x14ac:dyDescent="0.2">
      <c r="A2" s="7"/>
      <c r="B2" s="165" t="s">
        <v>24</v>
      </c>
      <c r="C2" s="166"/>
      <c r="D2" s="166"/>
      <c r="E2" s="170"/>
      <c r="F2" s="165" t="s">
        <v>18</v>
      </c>
      <c r="G2" s="166"/>
      <c r="H2" s="166"/>
      <c r="I2" s="167"/>
      <c r="J2" s="171" t="s">
        <v>1</v>
      </c>
      <c r="M2" s="7"/>
      <c r="N2" s="165" t="s">
        <v>24</v>
      </c>
      <c r="O2" s="166"/>
      <c r="P2" s="166"/>
      <c r="Q2" s="170"/>
      <c r="R2" s="165" t="s">
        <v>18</v>
      </c>
      <c r="S2" s="166"/>
      <c r="T2" s="166"/>
      <c r="U2" s="167"/>
      <c r="V2" s="171" t="s">
        <v>1</v>
      </c>
      <c r="Y2" s="7"/>
      <c r="Z2" s="165" t="s">
        <v>24</v>
      </c>
      <c r="AA2" s="166"/>
      <c r="AB2" s="166"/>
      <c r="AC2" s="170"/>
      <c r="AD2" s="165" t="s">
        <v>18</v>
      </c>
      <c r="AE2" s="166"/>
      <c r="AF2" s="166"/>
      <c r="AG2" s="167"/>
      <c r="AH2" s="171" t="s">
        <v>1</v>
      </c>
    </row>
    <row r="3" spans="1:36" ht="14.25" thickBot="1" x14ac:dyDescent="0.2">
      <c r="A3" s="7" t="s">
        <v>2</v>
      </c>
      <c r="B3" s="4" t="s">
        <v>3</v>
      </c>
      <c r="C3" s="5" t="s">
        <v>4</v>
      </c>
      <c r="D3" s="6" t="s">
        <v>5</v>
      </c>
      <c r="E3" s="7" t="s">
        <v>6</v>
      </c>
      <c r="F3" s="4" t="s">
        <v>3</v>
      </c>
      <c r="G3" s="5" t="s">
        <v>4</v>
      </c>
      <c r="H3" s="6" t="s">
        <v>5</v>
      </c>
      <c r="I3" s="7" t="s">
        <v>6</v>
      </c>
      <c r="J3" s="172"/>
      <c r="M3" s="7" t="s">
        <v>2</v>
      </c>
      <c r="N3" s="4" t="s">
        <v>3</v>
      </c>
      <c r="O3" s="5" t="s">
        <v>4</v>
      </c>
      <c r="P3" s="6" t="s">
        <v>5</v>
      </c>
      <c r="Q3" s="7" t="s">
        <v>6</v>
      </c>
      <c r="R3" s="4" t="s">
        <v>3</v>
      </c>
      <c r="S3" s="5" t="s">
        <v>4</v>
      </c>
      <c r="T3" s="6" t="s">
        <v>5</v>
      </c>
      <c r="U3" s="7" t="s">
        <v>6</v>
      </c>
      <c r="V3" s="172"/>
      <c r="Y3" s="7" t="s">
        <v>2</v>
      </c>
      <c r="Z3" s="4" t="s">
        <v>3</v>
      </c>
      <c r="AA3" s="5" t="s">
        <v>4</v>
      </c>
      <c r="AB3" s="6" t="s">
        <v>5</v>
      </c>
      <c r="AC3" s="7" t="s">
        <v>6</v>
      </c>
      <c r="AD3" s="4" t="s">
        <v>3</v>
      </c>
      <c r="AE3" s="5" t="s">
        <v>4</v>
      </c>
      <c r="AF3" s="6" t="s">
        <v>5</v>
      </c>
      <c r="AG3" s="7" t="s">
        <v>6</v>
      </c>
      <c r="AH3" s="172"/>
    </row>
    <row r="4" spans="1:36" ht="14.25" thickBot="1" x14ac:dyDescent="0.2">
      <c r="A4" s="75" t="s">
        <v>7</v>
      </c>
      <c r="B4" s="42">
        <v>3</v>
      </c>
      <c r="C4" s="43">
        <v>3</v>
      </c>
      <c r="D4" s="61">
        <v>3</v>
      </c>
      <c r="E4" s="48">
        <f>SUM(B4:D4)</f>
        <v>9</v>
      </c>
      <c r="F4" s="42">
        <v>3</v>
      </c>
      <c r="G4" s="43">
        <v>3</v>
      </c>
      <c r="H4" s="61">
        <v>3</v>
      </c>
      <c r="I4" s="48">
        <f>SUM(F4:H4)</f>
        <v>9</v>
      </c>
      <c r="J4" s="48">
        <f>E4+I4</f>
        <v>18</v>
      </c>
      <c r="K4" s="63">
        <v>43815</v>
      </c>
      <c r="M4" s="75" t="s">
        <v>35</v>
      </c>
      <c r="N4" s="42">
        <v>100</v>
      </c>
      <c r="O4" s="43">
        <v>100</v>
      </c>
      <c r="P4" s="61">
        <v>200</v>
      </c>
      <c r="Q4" s="48">
        <f>SUM(N4:P4)</f>
        <v>400</v>
      </c>
      <c r="R4" s="42">
        <v>100</v>
      </c>
      <c r="S4" s="43">
        <v>100</v>
      </c>
      <c r="T4" s="61">
        <v>100</v>
      </c>
      <c r="U4" s="48">
        <f>SUM(R4:T4)</f>
        <v>300</v>
      </c>
      <c r="V4" s="48">
        <f>Q4+U4</f>
        <v>700</v>
      </c>
      <c r="W4" s="140" t="s">
        <v>27</v>
      </c>
      <c r="Y4" s="27" t="s">
        <v>35</v>
      </c>
      <c r="Z4" s="38">
        <v>100</v>
      </c>
      <c r="AA4" s="39">
        <v>100</v>
      </c>
      <c r="AB4" s="2">
        <v>200</v>
      </c>
      <c r="AC4" s="36">
        <f>SUM(Z4:AB4)</f>
        <v>400</v>
      </c>
      <c r="AD4" s="38">
        <v>100</v>
      </c>
      <c r="AE4" s="39">
        <v>100</v>
      </c>
      <c r="AF4" s="2">
        <v>100</v>
      </c>
      <c r="AG4" s="36">
        <f>SUM(AD4:AF4)</f>
        <v>300</v>
      </c>
      <c r="AH4" s="36">
        <f>AC4+AG4</f>
        <v>700</v>
      </c>
      <c r="AI4" s="70">
        <v>43845</v>
      </c>
    </row>
    <row r="5" spans="1:36" x14ac:dyDescent="0.15">
      <c r="A5" s="25" t="s">
        <v>8</v>
      </c>
      <c r="B5" s="42">
        <v>5</v>
      </c>
      <c r="C5" s="43">
        <v>5</v>
      </c>
      <c r="D5" s="76">
        <v>5</v>
      </c>
      <c r="E5" s="77">
        <f>SUM(B5:D5)</f>
        <v>15</v>
      </c>
      <c r="F5" s="78">
        <v>5</v>
      </c>
      <c r="G5" s="79">
        <v>5</v>
      </c>
      <c r="H5" s="80">
        <v>5</v>
      </c>
      <c r="I5" s="77">
        <f>SUM(F5:H5)</f>
        <v>15</v>
      </c>
      <c r="J5" s="48">
        <f>E5+I5</f>
        <v>30</v>
      </c>
      <c r="K5" s="63">
        <v>43851</v>
      </c>
      <c r="M5" s="25" t="s">
        <v>8</v>
      </c>
      <c r="N5" s="89"/>
      <c r="O5" s="79"/>
      <c r="P5" s="76"/>
      <c r="Q5" s="77">
        <f>SUM(N5:P5)</f>
        <v>0</v>
      </c>
      <c r="R5" s="78"/>
      <c r="S5" s="79"/>
      <c r="T5" s="80"/>
      <c r="U5" s="77">
        <f>SUM(R5:T5)</f>
        <v>0</v>
      </c>
      <c r="V5" s="77">
        <f>Q5+U5</f>
        <v>0</v>
      </c>
      <c r="W5" s="140"/>
      <c r="Y5" s="25" t="s">
        <v>8</v>
      </c>
      <c r="Z5" s="42"/>
      <c r="AA5" s="43"/>
      <c r="AB5" s="44"/>
      <c r="AC5" s="48">
        <f>SUM(Z5:AB5)</f>
        <v>0</v>
      </c>
      <c r="AD5" s="60"/>
      <c r="AE5" s="43"/>
      <c r="AF5" s="61"/>
      <c r="AG5" s="48">
        <f>SUM(AD5:AF5)</f>
        <v>0</v>
      </c>
      <c r="AH5" s="48">
        <f>AC5+AG5</f>
        <v>0</v>
      </c>
    </row>
    <row r="6" spans="1:36" x14ac:dyDescent="0.15">
      <c r="A6" s="25" t="s">
        <v>9</v>
      </c>
      <c r="B6" s="8"/>
      <c r="C6" s="9"/>
      <c r="D6" s="19"/>
      <c r="E6" s="49">
        <f t="shared" ref="E6:E7" si="0">SUM(B6:D6)</f>
        <v>0</v>
      </c>
      <c r="F6" s="20">
        <v>3</v>
      </c>
      <c r="G6" s="18">
        <v>3</v>
      </c>
      <c r="H6" s="19"/>
      <c r="I6" s="49">
        <f t="shared" ref="I6:I7" si="1">SUM(F6:H6)</f>
        <v>6</v>
      </c>
      <c r="J6" s="11">
        <f t="shared" ref="J6:J7" si="2">E6+I6</f>
        <v>6</v>
      </c>
      <c r="K6" s="63">
        <v>43853</v>
      </c>
      <c r="M6" s="25" t="s">
        <v>34</v>
      </c>
      <c r="N6" s="65">
        <v>191</v>
      </c>
      <c r="O6" s="66">
        <v>150</v>
      </c>
      <c r="P6" s="67">
        <v>0</v>
      </c>
      <c r="Q6" s="49">
        <v>350</v>
      </c>
      <c r="R6" s="91">
        <v>200</v>
      </c>
      <c r="S6" s="66">
        <v>150</v>
      </c>
      <c r="T6" s="67">
        <v>100</v>
      </c>
      <c r="U6" s="49">
        <v>441</v>
      </c>
      <c r="V6" s="49">
        <v>791</v>
      </c>
      <c r="W6" s="140" t="s">
        <v>49</v>
      </c>
      <c r="Y6" s="25" t="s">
        <v>34</v>
      </c>
      <c r="Z6" s="8">
        <v>191</v>
      </c>
      <c r="AA6" s="9">
        <v>150</v>
      </c>
      <c r="AB6" s="52">
        <v>0</v>
      </c>
      <c r="AC6" s="11">
        <f>SUM(Z6:AB6)</f>
        <v>341</v>
      </c>
      <c r="AD6" s="12">
        <v>200</v>
      </c>
      <c r="AE6" s="9">
        <v>150</v>
      </c>
      <c r="AF6" s="10">
        <v>100</v>
      </c>
      <c r="AG6" s="11">
        <f>SUM(AD6:AF6)</f>
        <v>450</v>
      </c>
      <c r="AH6" s="11">
        <f>AC6+AG6</f>
        <v>791</v>
      </c>
      <c r="AI6" s="63">
        <v>43918</v>
      </c>
      <c r="AJ6" s="82"/>
    </row>
    <row r="7" spans="1:36" x14ac:dyDescent="0.15">
      <c r="A7" s="25" t="s">
        <v>10</v>
      </c>
      <c r="B7" s="8">
        <v>3</v>
      </c>
      <c r="C7" s="9">
        <v>3</v>
      </c>
      <c r="D7" s="10">
        <v>3</v>
      </c>
      <c r="E7" s="49">
        <f t="shared" si="0"/>
        <v>9</v>
      </c>
      <c r="F7" s="12">
        <v>3</v>
      </c>
      <c r="G7" s="9">
        <v>3</v>
      </c>
      <c r="H7" s="10">
        <v>3</v>
      </c>
      <c r="I7" s="49">
        <f t="shared" si="1"/>
        <v>9</v>
      </c>
      <c r="J7" s="11">
        <f t="shared" si="2"/>
        <v>18</v>
      </c>
      <c r="K7" s="63">
        <v>43925</v>
      </c>
      <c r="M7" s="25" t="s">
        <v>10</v>
      </c>
      <c r="N7" s="8"/>
      <c r="O7" s="9"/>
      <c r="P7" s="10"/>
      <c r="Q7" s="49">
        <f t="shared" ref="Q7" si="3">SUM(N7:P7)</f>
        <v>0</v>
      </c>
      <c r="R7" s="12"/>
      <c r="S7" s="9"/>
      <c r="T7" s="10"/>
      <c r="U7" s="49">
        <f t="shared" ref="U7" si="4">SUM(R7:T7)</f>
        <v>0</v>
      </c>
      <c r="V7" s="11">
        <f t="shared" ref="V7" si="5">Q7+U7</f>
        <v>0</v>
      </c>
      <c r="W7" s="141"/>
      <c r="Y7" s="25" t="s">
        <v>10</v>
      </c>
      <c r="Z7" s="17"/>
      <c r="AA7" s="18"/>
      <c r="AB7" s="51"/>
      <c r="AC7" s="11">
        <f t="shared" ref="AC7" si="6">SUM(Z7:AB7)</f>
        <v>0</v>
      </c>
      <c r="AD7" s="20"/>
      <c r="AE7" s="18"/>
      <c r="AF7" s="19"/>
      <c r="AG7" s="11">
        <f t="shared" ref="AG7" si="7">SUM(AD7:AF7)</f>
        <v>0</v>
      </c>
      <c r="AH7" s="11">
        <f t="shared" ref="AH7" si="8">AC7+AG7</f>
        <v>0</v>
      </c>
      <c r="AI7" s="82"/>
    </row>
    <row r="8" spans="1:36" x14ac:dyDescent="0.15">
      <c r="A8" s="25" t="s">
        <v>11</v>
      </c>
      <c r="B8" s="8">
        <v>5</v>
      </c>
      <c r="C8" s="9"/>
      <c r="D8" s="52">
        <v>3</v>
      </c>
      <c r="E8" s="11">
        <f t="shared" ref="E8:E12" si="9">SUM(B8:D8)</f>
        <v>8</v>
      </c>
      <c r="F8" s="12">
        <v>5</v>
      </c>
      <c r="G8" s="9"/>
      <c r="H8" s="10">
        <v>3</v>
      </c>
      <c r="I8" s="11">
        <f t="shared" ref="I8:I12" si="10">SUM(F8:H8)</f>
        <v>8</v>
      </c>
      <c r="J8" s="11">
        <f t="shared" ref="J8:J12" si="11">E8+I8</f>
        <v>16</v>
      </c>
      <c r="K8" s="63">
        <v>43937</v>
      </c>
      <c r="M8" s="25" t="s">
        <v>11</v>
      </c>
      <c r="N8" s="65"/>
      <c r="O8" s="66"/>
      <c r="P8" s="67"/>
      <c r="Q8" s="49">
        <f>SUM(N8:P8)</f>
        <v>0</v>
      </c>
      <c r="R8" s="16"/>
      <c r="S8" s="14"/>
      <c r="T8" s="15"/>
      <c r="U8" s="49">
        <f>SUM(R8:T8)</f>
        <v>0</v>
      </c>
      <c r="V8" s="11">
        <f>Q8+U8</f>
        <v>0</v>
      </c>
      <c r="W8" s="140"/>
      <c r="Y8" s="25" t="s">
        <v>11</v>
      </c>
      <c r="Z8" s="65"/>
      <c r="AA8" s="66"/>
      <c r="AB8" s="67"/>
      <c r="AC8" s="49">
        <f>SUM(Z8:AB8)</f>
        <v>0</v>
      </c>
      <c r="AD8" s="91"/>
      <c r="AE8" s="66"/>
      <c r="AF8" s="67"/>
      <c r="AG8" s="49">
        <f>SUM(AD8:AF8)</f>
        <v>0</v>
      </c>
      <c r="AH8" s="49">
        <f>AC8+AG8</f>
        <v>0</v>
      </c>
      <c r="AI8" s="63"/>
    </row>
    <row r="9" spans="1:36" x14ac:dyDescent="0.15">
      <c r="A9" s="25" t="s">
        <v>12</v>
      </c>
      <c r="B9" s="8"/>
      <c r="C9" s="9"/>
      <c r="D9" s="52"/>
      <c r="E9" s="11">
        <f t="shared" si="9"/>
        <v>0</v>
      </c>
      <c r="F9" s="12"/>
      <c r="G9" s="9">
        <v>3</v>
      </c>
      <c r="H9" s="10">
        <v>3</v>
      </c>
      <c r="I9" s="11">
        <f t="shared" si="10"/>
        <v>6</v>
      </c>
      <c r="J9" s="11">
        <f t="shared" si="11"/>
        <v>6</v>
      </c>
      <c r="K9" s="63">
        <v>43938</v>
      </c>
      <c r="M9" s="25" t="s">
        <v>12</v>
      </c>
      <c r="N9" s="8"/>
      <c r="O9" s="9"/>
      <c r="P9" s="52"/>
      <c r="Q9" s="11">
        <f>SUM(N9:P9)</f>
        <v>0</v>
      </c>
      <c r="R9" s="12"/>
      <c r="S9" s="9"/>
      <c r="T9" s="10"/>
      <c r="U9" s="11">
        <f>SUM(R9:T9)</f>
        <v>0</v>
      </c>
      <c r="V9" s="11">
        <f>Q9+U9</f>
        <v>0</v>
      </c>
      <c r="W9" s="140"/>
      <c r="Y9" s="25" t="s">
        <v>12</v>
      </c>
      <c r="Z9" s="8"/>
      <c r="AA9" s="9"/>
      <c r="AB9" s="52"/>
      <c r="AC9" s="11">
        <f>SUM(Z9:AB9)</f>
        <v>0</v>
      </c>
      <c r="AD9" s="12"/>
      <c r="AE9" s="9"/>
      <c r="AF9" s="10"/>
      <c r="AG9" s="11">
        <f>SUM(AD9:AF9)</f>
        <v>0</v>
      </c>
      <c r="AH9" s="11">
        <f>AC9+AG9</f>
        <v>0</v>
      </c>
      <c r="AI9" s="63"/>
    </row>
    <row r="10" spans="1:36" x14ac:dyDescent="0.15">
      <c r="A10" s="25" t="s">
        <v>13</v>
      </c>
      <c r="B10" s="8">
        <v>5</v>
      </c>
      <c r="C10" s="9">
        <v>5</v>
      </c>
      <c r="D10" s="52"/>
      <c r="E10" s="11">
        <f t="shared" si="9"/>
        <v>10</v>
      </c>
      <c r="F10" s="12">
        <v>5</v>
      </c>
      <c r="G10" s="9">
        <v>5</v>
      </c>
      <c r="H10" s="10"/>
      <c r="I10" s="11">
        <f t="shared" si="10"/>
        <v>10</v>
      </c>
      <c r="J10" s="11">
        <f t="shared" si="11"/>
        <v>20</v>
      </c>
      <c r="K10" s="63">
        <v>43942</v>
      </c>
      <c r="M10" s="25" t="s">
        <v>13</v>
      </c>
      <c r="N10" s="8"/>
      <c r="O10" s="9"/>
      <c r="P10" s="52"/>
      <c r="Q10" s="11">
        <f t="shared" ref="Q10:Q12" si="12">SUM(N10:P10)</f>
        <v>0</v>
      </c>
      <c r="R10" s="12"/>
      <c r="S10" s="9"/>
      <c r="T10" s="10"/>
      <c r="U10" s="11">
        <f t="shared" ref="U10:U12" si="13">SUM(R10:T10)</f>
        <v>0</v>
      </c>
      <c r="V10" s="11">
        <f t="shared" ref="V10:V12" si="14">Q10+U10</f>
        <v>0</v>
      </c>
      <c r="W10" s="140"/>
      <c r="Y10" s="25" t="s">
        <v>13</v>
      </c>
      <c r="Z10" s="8"/>
      <c r="AA10" s="9"/>
      <c r="AB10" s="52"/>
      <c r="AC10" s="11">
        <f t="shared" ref="AC10:AC12" si="15">SUM(Z10:AB10)</f>
        <v>0</v>
      </c>
      <c r="AD10" s="12"/>
      <c r="AE10" s="9"/>
      <c r="AF10" s="10"/>
      <c r="AG10" s="11">
        <f t="shared" ref="AG10:AG12" si="16">SUM(AD10:AF10)</f>
        <v>0</v>
      </c>
      <c r="AH10" s="11">
        <f t="shared" ref="AH10:AH12" si="17">AC10+AG10</f>
        <v>0</v>
      </c>
    </row>
    <row r="11" spans="1:36" x14ac:dyDescent="0.15">
      <c r="A11" s="25" t="s">
        <v>14</v>
      </c>
      <c r="B11" s="13"/>
      <c r="C11" s="14"/>
      <c r="D11" s="53"/>
      <c r="E11" s="11">
        <f t="shared" si="9"/>
        <v>0</v>
      </c>
      <c r="F11" s="16"/>
      <c r="G11" s="14"/>
      <c r="H11" s="15"/>
      <c r="I11" s="11">
        <f t="shared" si="10"/>
        <v>0</v>
      </c>
      <c r="J11" s="11">
        <f t="shared" si="11"/>
        <v>0</v>
      </c>
      <c r="K11" s="63"/>
      <c r="M11" s="25" t="s">
        <v>14</v>
      </c>
      <c r="N11" s="13"/>
      <c r="O11" s="14"/>
      <c r="P11" s="53"/>
      <c r="Q11" s="11">
        <f t="shared" si="12"/>
        <v>0</v>
      </c>
      <c r="R11" s="16"/>
      <c r="S11" s="14"/>
      <c r="T11" s="15"/>
      <c r="U11" s="11">
        <f t="shared" si="13"/>
        <v>0</v>
      </c>
      <c r="V11" s="11">
        <f t="shared" si="14"/>
        <v>0</v>
      </c>
      <c r="Y11" s="25" t="s">
        <v>14</v>
      </c>
      <c r="Z11" s="13"/>
      <c r="AA11" s="14"/>
      <c r="AB11" s="53"/>
      <c r="AC11" s="11">
        <f t="shared" si="15"/>
        <v>0</v>
      </c>
      <c r="AD11" s="16"/>
      <c r="AE11" s="14"/>
      <c r="AF11" s="15"/>
      <c r="AG11" s="11">
        <f t="shared" si="16"/>
        <v>0</v>
      </c>
      <c r="AH11" s="11">
        <f t="shared" si="17"/>
        <v>0</v>
      </c>
    </row>
    <row r="12" spans="1:36" ht="14.25" thickBot="1" x14ac:dyDescent="0.2">
      <c r="A12" s="25" t="s">
        <v>15</v>
      </c>
      <c r="B12" s="32"/>
      <c r="C12" s="33"/>
      <c r="D12" s="54"/>
      <c r="E12" s="62">
        <f t="shared" si="9"/>
        <v>0</v>
      </c>
      <c r="F12" s="34"/>
      <c r="G12" s="34"/>
      <c r="H12" s="37"/>
      <c r="I12" s="62">
        <f t="shared" si="10"/>
        <v>0</v>
      </c>
      <c r="J12" s="21">
        <f t="shared" si="11"/>
        <v>0</v>
      </c>
      <c r="K12" s="63"/>
      <c r="M12" s="25" t="s">
        <v>15</v>
      </c>
      <c r="N12" s="32"/>
      <c r="O12" s="33"/>
      <c r="P12" s="54"/>
      <c r="Q12" s="62">
        <f t="shared" si="12"/>
        <v>0</v>
      </c>
      <c r="R12" s="34"/>
      <c r="S12" s="34"/>
      <c r="T12" s="37"/>
      <c r="U12" s="62">
        <f t="shared" si="13"/>
        <v>0</v>
      </c>
      <c r="V12" s="21">
        <f t="shared" si="14"/>
        <v>0</v>
      </c>
      <c r="Y12" s="25" t="s">
        <v>15</v>
      </c>
      <c r="Z12" s="32"/>
      <c r="AA12" s="33"/>
      <c r="AB12" s="54"/>
      <c r="AC12" s="62">
        <f t="shared" si="15"/>
        <v>0</v>
      </c>
      <c r="AD12" s="34"/>
      <c r="AE12" s="34"/>
      <c r="AF12" s="37"/>
      <c r="AG12" s="62">
        <f t="shared" si="16"/>
        <v>0</v>
      </c>
      <c r="AH12" s="21">
        <f t="shared" si="17"/>
        <v>0</v>
      </c>
    </row>
    <row r="13" spans="1:36" ht="14.25" thickBot="1" x14ac:dyDescent="0.2">
      <c r="A13" s="35" t="s">
        <v>16</v>
      </c>
      <c r="B13" s="28">
        <f>SUM(B4:B12)</f>
        <v>21</v>
      </c>
      <c r="C13" s="29">
        <f>SUM(C4:C12)</f>
        <v>16</v>
      </c>
      <c r="D13" s="30">
        <f>SUM(D4:D12)</f>
        <v>14</v>
      </c>
      <c r="E13" s="31">
        <f>SUM(B13:D13)</f>
        <v>51</v>
      </c>
      <c r="F13" s="28">
        <f>SUM(F4:F12)</f>
        <v>24</v>
      </c>
      <c r="G13" s="29">
        <f>SUM(G4:G12)</f>
        <v>22</v>
      </c>
      <c r="H13" s="30">
        <f>SUM(H4:H12)</f>
        <v>17</v>
      </c>
      <c r="I13" s="31">
        <f>SUM(F13:H13)</f>
        <v>63</v>
      </c>
      <c r="J13" s="31">
        <f>E13+I13</f>
        <v>114</v>
      </c>
      <c r="M13" s="35" t="s">
        <v>16</v>
      </c>
      <c r="N13" s="28">
        <f>SUM(N4:N12)</f>
        <v>291</v>
      </c>
      <c r="O13" s="29">
        <f>SUM(O4:O12)</f>
        <v>250</v>
      </c>
      <c r="P13" s="30">
        <f>SUM(P4:P12)</f>
        <v>200</v>
      </c>
      <c r="Q13" s="31">
        <f>SUM(N13:P13)</f>
        <v>741</v>
      </c>
      <c r="R13" s="28">
        <f>SUM(R4:R12)</f>
        <v>300</v>
      </c>
      <c r="S13" s="29">
        <f>SUM(S4:S12)</f>
        <v>250</v>
      </c>
      <c r="T13" s="30">
        <f>SUM(T4:T12)</f>
        <v>200</v>
      </c>
      <c r="U13" s="31">
        <f>SUM(R13:T13)</f>
        <v>750</v>
      </c>
      <c r="V13" s="31">
        <f>Q13+U13</f>
        <v>1491</v>
      </c>
      <c r="Y13" s="35" t="s">
        <v>16</v>
      </c>
      <c r="Z13" s="28">
        <f>SUM(Z4:Z12)</f>
        <v>291</v>
      </c>
      <c r="AA13" s="29">
        <f>SUM(AA4:AA12)</f>
        <v>250</v>
      </c>
      <c r="AB13" s="30">
        <f>SUM(AB4:AB12)</f>
        <v>200</v>
      </c>
      <c r="AC13" s="31">
        <f>SUM(Z13:AB13)</f>
        <v>741</v>
      </c>
      <c r="AD13" s="28">
        <f>SUM(AD4:AD12)</f>
        <v>300</v>
      </c>
      <c r="AE13" s="29">
        <f>SUM(AE4:AE12)</f>
        <v>250</v>
      </c>
      <c r="AF13" s="30">
        <f>SUM(AF4:AF12)</f>
        <v>200</v>
      </c>
      <c r="AG13" s="31">
        <f>SUM(AD13:AF13)</f>
        <v>750</v>
      </c>
      <c r="AH13" s="31">
        <f>AC13+AG13</f>
        <v>1491</v>
      </c>
    </row>
    <row r="14" spans="1:36" x14ac:dyDescent="0.15">
      <c r="A14" s="23" t="s">
        <v>26</v>
      </c>
      <c r="B14" s="13">
        <v>3</v>
      </c>
      <c r="C14" s="14">
        <v>3</v>
      </c>
      <c r="D14" s="15">
        <v>3</v>
      </c>
      <c r="E14" s="49">
        <f>SUM(B14:D14)</f>
        <v>9</v>
      </c>
      <c r="F14" s="16">
        <v>3</v>
      </c>
      <c r="G14" s="14">
        <v>3</v>
      </c>
      <c r="H14" s="15">
        <v>3</v>
      </c>
      <c r="I14" s="49">
        <f>SUM(F14:H14)</f>
        <v>9</v>
      </c>
      <c r="J14" s="11">
        <f>E14+I14</f>
        <v>18</v>
      </c>
      <c r="K14" s="63">
        <v>43815</v>
      </c>
      <c r="M14" s="74" t="s">
        <v>28</v>
      </c>
      <c r="N14" s="13">
        <v>5</v>
      </c>
      <c r="O14" s="14">
        <v>5</v>
      </c>
      <c r="P14" s="15">
        <v>5</v>
      </c>
      <c r="Q14" s="49">
        <f>SUM(N14:P14)</f>
        <v>15</v>
      </c>
      <c r="R14" s="16">
        <v>5</v>
      </c>
      <c r="S14" s="14">
        <v>5</v>
      </c>
      <c r="T14" s="15">
        <v>5</v>
      </c>
      <c r="U14" s="49">
        <f>SUM(R14:T14)</f>
        <v>15</v>
      </c>
      <c r="V14" s="11">
        <f>Q14+U14</f>
        <v>30</v>
      </c>
      <c r="W14" s="140">
        <v>43851</v>
      </c>
      <c r="Y14" s="74" t="s">
        <v>46</v>
      </c>
      <c r="Z14" s="13">
        <v>100</v>
      </c>
      <c r="AA14" s="14">
        <v>100</v>
      </c>
      <c r="AB14" s="15">
        <v>200</v>
      </c>
      <c r="AC14" s="49">
        <f>SUM(Z14:AB14)</f>
        <v>400</v>
      </c>
      <c r="AD14" s="16">
        <v>100</v>
      </c>
      <c r="AE14" s="14">
        <v>100</v>
      </c>
      <c r="AF14" s="15">
        <v>100</v>
      </c>
      <c r="AG14" s="49">
        <f>SUM(AD14:AF14)</f>
        <v>300</v>
      </c>
      <c r="AH14" s="11">
        <f>AC14+AG14</f>
        <v>700</v>
      </c>
      <c r="AI14" s="63">
        <v>43845</v>
      </c>
    </row>
    <row r="15" spans="1:36" x14ac:dyDescent="0.15">
      <c r="A15" s="23" t="s">
        <v>32</v>
      </c>
      <c r="B15" s="8">
        <v>1</v>
      </c>
      <c r="C15" s="9">
        <v>1</v>
      </c>
      <c r="D15" s="10"/>
      <c r="E15" s="49">
        <f t="shared" ref="E15:E40" si="18">SUM(B15:D15)</f>
        <v>2</v>
      </c>
      <c r="F15" s="12">
        <v>4</v>
      </c>
      <c r="G15" s="9">
        <v>4</v>
      </c>
      <c r="H15" s="10">
        <v>2</v>
      </c>
      <c r="I15" s="49">
        <f t="shared" ref="I15:I40" si="19">SUM(F15:H15)</f>
        <v>10</v>
      </c>
      <c r="J15" s="11">
        <f t="shared" ref="J15:J39" si="20">E15+I15</f>
        <v>12</v>
      </c>
      <c r="K15" s="63">
        <v>43853</v>
      </c>
      <c r="M15" s="23" t="s">
        <v>28</v>
      </c>
      <c r="N15" s="8"/>
      <c r="O15" s="9"/>
      <c r="P15" s="10"/>
      <c r="Q15" s="49">
        <f t="shared" ref="Q15:Q40" si="21">SUM(N15:P15)</f>
        <v>0</v>
      </c>
      <c r="R15" s="12">
        <v>3</v>
      </c>
      <c r="S15" s="9">
        <v>3</v>
      </c>
      <c r="T15" s="10"/>
      <c r="U15" s="49">
        <f t="shared" ref="U15:U40" si="22">SUM(R15:T15)</f>
        <v>6</v>
      </c>
      <c r="V15" s="11">
        <f t="shared" ref="V15:V39" si="23">Q15+U15</f>
        <v>6</v>
      </c>
      <c r="W15" s="140">
        <v>43853</v>
      </c>
      <c r="Y15" s="23" t="s">
        <v>47</v>
      </c>
      <c r="Z15" s="8">
        <v>191</v>
      </c>
      <c r="AA15" s="9">
        <v>150</v>
      </c>
      <c r="AB15" s="10">
        <v>0</v>
      </c>
      <c r="AC15" s="49">
        <v>350</v>
      </c>
      <c r="AD15" s="12">
        <v>200</v>
      </c>
      <c r="AE15" s="9">
        <v>150</v>
      </c>
      <c r="AF15" s="10">
        <v>100</v>
      </c>
      <c r="AG15" s="49">
        <v>441</v>
      </c>
      <c r="AH15" s="11">
        <v>791</v>
      </c>
      <c r="AI15" s="63">
        <v>43918</v>
      </c>
    </row>
    <row r="16" spans="1:36" x14ac:dyDescent="0.15">
      <c r="A16" s="23" t="s">
        <v>33</v>
      </c>
      <c r="B16" s="8"/>
      <c r="C16" s="9"/>
      <c r="D16" s="10"/>
      <c r="E16" s="49">
        <f t="shared" si="18"/>
        <v>0</v>
      </c>
      <c r="F16" s="12"/>
      <c r="G16" s="9">
        <v>1</v>
      </c>
      <c r="H16" s="10"/>
      <c r="I16" s="49">
        <f t="shared" si="19"/>
        <v>1</v>
      </c>
      <c r="J16" s="11">
        <f t="shared" si="20"/>
        <v>1</v>
      </c>
      <c r="K16" s="63">
        <v>43867</v>
      </c>
      <c r="M16" s="26" t="s">
        <v>29</v>
      </c>
      <c r="N16" s="8">
        <v>20</v>
      </c>
      <c r="O16" s="9">
        <v>10</v>
      </c>
      <c r="P16" s="10">
        <v>10</v>
      </c>
      <c r="Q16" s="49">
        <f t="shared" si="21"/>
        <v>40</v>
      </c>
      <c r="R16" s="12">
        <v>20</v>
      </c>
      <c r="S16" s="9">
        <v>10</v>
      </c>
      <c r="T16" s="10">
        <v>10</v>
      </c>
      <c r="U16" s="49">
        <f t="shared" si="22"/>
        <v>40</v>
      </c>
      <c r="V16" s="11">
        <f t="shared" si="23"/>
        <v>80</v>
      </c>
      <c r="W16" s="140">
        <v>43901</v>
      </c>
      <c r="Y16" s="26"/>
      <c r="Z16" s="65"/>
      <c r="AA16" s="66"/>
      <c r="AB16" s="67"/>
      <c r="AC16" s="49">
        <f>SUM(Z16:AB16)</f>
        <v>0</v>
      </c>
      <c r="AD16" s="16"/>
      <c r="AE16" s="14"/>
      <c r="AF16" s="15"/>
      <c r="AG16" s="49">
        <f>SUM(AD16:AF16)</f>
        <v>0</v>
      </c>
      <c r="AH16" s="11">
        <f>AC16+AG16</f>
        <v>0</v>
      </c>
      <c r="AI16" s="82"/>
    </row>
    <row r="17" spans="1:35" x14ac:dyDescent="0.15">
      <c r="A17" s="23" t="s">
        <v>33</v>
      </c>
      <c r="B17" s="8"/>
      <c r="C17" s="9"/>
      <c r="D17" s="10">
        <v>1</v>
      </c>
      <c r="E17" s="49">
        <f t="shared" si="18"/>
        <v>1</v>
      </c>
      <c r="F17" s="12"/>
      <c r="G17" s="9"/>
      <c r="H17" s="10"/>
      <c r="I17" s="49"/>
      <c r="J17" s="11">
        <f t="shared" si="20"/>
        <v>1</v>
      </c>
      <c r="K17" s="63">
        <v>43909</v>
      </c>
      <c r="M17" s="72" t="s">
        <v>37</v>
      </c>
      <c r="N17" s="8">
        <v>1</v>
      </c>
      <c r="O17" s="9"/>
      <c r="P17" s="10">
        <v>1</v>
      </c>
      <c r="Q17" s="49">
        <f t="shared" si="21"/>
        <v>2</v>
      </c>
      <c r="R17" s="12"/>
      <c r="S17" s="9">
        <v>1</v>
      </c>
      <c r="T17" s="10"/>
      <c r="U17" s="49">
        <f t="shared" si="22"/>
        <v>1</v>
      </c>
      <c r="V17" s="11">
        <f t="shared" si="23"/>
        <v>3</v>
      </c>
      <c r="W17" s="140">
        <v>43887</v>
      </c>
      <c r="Y17" s="72"/>
      <c r="Z17" s="8"/>
      <c r="AA17" s="9"/>
      <c r="AB17" s="10"/>
      <c r="AC17" s="49">
        <f t="shared" ref="AC17:AC40" si="24">SUM(Z17:AB17)</f>
        <v>0</v>
      </c>
      <c r="AD17" s="12"/>
      <c r="AE17" s="9"/>
      <c r="AF17" s="10"/>
      <c r="AG17" s="49">
        <f t="shared" ref="AG17:AG40" si="25">SUM(AD17:AF17)</f>
        <v>0</v>
      </c>
      <c r="AH17" s="11">
        <f t="shared" ref="AH17:AH39" si="26">AC17+AG17</f>
        <v>0</v>
      </c>
      <c r="AI17" s="82"/>
    </row>
    <row r="18" spans="1:35" x14ac:dyDescent="0.15">
      <c r="A18" s="23" t="s">
        <v>33</v>
      </c>
      <c r="B18" s="8"/>
      <c r="C18" s="9"/>
      <c r="D18" s="10">
        <v>2</v>
      </c>
      <c r="E18" s="49">
        <f t="shared" si="18"/>
        <v>2</v>
      </c>
      <c r="F18" s="12"/>
      <c r="G18" s="9"/>
      <c r="H18" s="10"/>
      <c r="I18" s="49">
        <f t="shared" si="19"/>
        <v>0</v>
      </c>
      <c r="J18" s="11">
        <f t="shared" si="20"/>
        <v>2</v>
      </c>
      <c r="K18" s="63">
        <v>43917</v>
      </c>
      <c r="M18" s="23" t="s">
        <v>40</v>
      </c>
      <c r="N18" s="8">
        <v>3</v>
      </c>
      <c r="O18" s="9">
        <v>3</v>
      </c>
      <c r="P18" s="10">
        <v>3</v>
      </c>
      <c r="Q18" s="49">
        <f t="shared" si="21"/>
        <v>9</v>
      </c>
      <c r="R18" s="12">
        <v>3</v>
      </c>
      <c r="S18" s="9">
        <v>3</v>
      </c>
      <c r="T18" s="10">
        <v>3</v>
      </c>
      <c r="U18" s="49">
        <f t="shared" si="22"/>
        <v>9</v>
      </c>
      <c r="V18" s="11">
        <f t="shared" si="23"/>
        <v>18</v>
      </c>
      <c r="W18" s="140">
        <v>43907</v>
      </c>
      <c r="Y18" s="26"/>
      <c r="Z18" s="65"/>
      <c r="AA18" s="66"/>
      <c r="AB18" s="67"/>
      <c r="AC18" s="49">
        <f>SUM(Z18:AB18)</f>
        <v>0</v>
      </c>
      <c r="AD18" s="16"/>
      <c r="AE18" s="14"/>
      <c r="AF18" s="15"/>
      <c r="AG18" s="49">
        <f>SUM(AD18:AF18)</f>
        <v>0</v>
      </c>
      <c r="AH18" s="11">
        <f>AC18+AG18</f>
        <v>0</v>
      </c>
      <c r="AI18" s="82"/>
    </row>
    <row r="19" spans="1:35" x14ac:dyDescent="0.15">
      <c r="A19" s="23" t="s">
        <v>33</v>
      </c>
      <c r="B19" s="8">
        <v>1</v>
      </c>
      <c r="C19" s="9"/>
      <c r="D19" s="19"/>
      <c r="E19" s="49">
        <f t="shared" si="18"/>
        <v>1</v>
      </c>
      <c r="F19" s="20">
        <v>1</v>
      </c>
      <c r="G19" s="18"/>
      <c r="H19" s="19">
        <v>1</v>
      </c>
      <c r="I19" s="49">
        <f t="shared" si="19"/>
        <v>2</v>
      </c>
      <c r="J19" s="11">
        <f t="shared" si="20"/>
        <v>3</v>
      </c>
      <c r="K19" s="63">
        <v>43922</v>
      </c>
      <c r="M19" s="23" t="s">
        <v>44</v>
      </c>
      <c r="N19" s="8">
        <v>9</v>
      </c>
      <c r="O19" s="9">
        <v>9</v>
      </c>
      <c r="P19" s="10"/>
      <c r="Q19" s="49">
        <f t="shared" si="21"/>
        <v>18</v>
      </c>
      <c r="R19" s="12">
        <v>9</v>
      </c>
      <c r="S19" s="9">
        <v>9</v>
      </c>
      <c r="T19" s="10">
        <v>9</v>
      </c>
      <c r="U19" s="49">
        <f t="shared" si="22"/>
        <v>27</v>
      </c>
      <c r="V19" s="11">
        <f t="shared" si="23"/>
        <v>45</v>
      </c>
      <c r="W19" s="140">
        <v>43917</v>
      </c>
      <c r="Y19" s="23"/>
      <c r="Z19" s="8"/>
      <c r="AA19" s="9"/>
      <c r="AB19" s="10"/>
      <c r="AC19" s="49">
        <f t="shared" si="24"/>
        <v>0</v>
      </c>
      <c r="AD19" s="12"/>
      <c r="AE19" s="9"/>
      <c r="AF19" s="10"/>
      <c r="AG19" s="49">
        <f t="shared" si="25"/>
        <v>0</v>
      </c>
      <c r="AH19" s="11">
        <f t="shared" si="26"/>
        <v>0</v>
      </c>
      <c r="AI19" s="82"/>
    </row>
    <row r="20" spans="1:35" x14ac:dyDescent="0.15">
      <c r="A20" s="23" t="s">
        <v>57</v>
      </c>
      <c r="B20" s="8">
        <v>1</v>
      </c>
      <c r="C20" s="9"/>
      <c r="D20" s="10"/>
      <c r="E20" s="49">
        <f t="shared" si="18"/>
        <v>1</v>
      </c>
      <c r="F20" s="12"/>
      <c r="G20" s="9"/>
      <c r="H20" s="10"/>
      <c r="I20" s="49">
        <f t="shared" si="19"/>
        <v>0</v>
      </c>
      <c r="J20" s="11">
        <f t="shared" si="20"/>
        <v>1</v>
      </c>
      <c r="K20" s="63">
        <v>43925</v>
      </c>
      <c r="M20" s="23" t="s">
        <v>50</v>
      </c>
      <c r="N20" s="8">
        <v>27</v>
      </c>
      <c r="O20" s="9">
        <v>30</v>
      </c>
      <c r="P20" s="10">
        <v>6</v>
      </c>
      <c r="Q20" s="49">
        <f t="shared" si="21"/>
        <v>63</v>
      </c>
      <c r="R20" s="12">
        <v>27</v>
      </c>
      <c r="S20" s="9">
        <v>27</v>
      </c>
      <c r="T20" s="10">
        <v>11</v>
      </c>
      <c r="U20" s="49">
        <f t="shared" si="22"/>
        <v>65</v>
      </c>
      <c r="V20" s="11">
        <f t="shared" si="23"/>
        <v>128</v>
      </c>
      <c r="W20" s="140">
        <v>43924</v>
      </c>
      <c r="X20" s="82"/>
      <c r="Y20" s="72"/>
      <c r="Z20" s="8"/>
      <c r="AA20" s="9"/>
      <c r="AB20" s="10"/>
      <c r="AC20" s="49">
        <f t="shared" si="24"/>
        <v>0</v>
      </c>
      <c r="AD20" s="12"/>
      <c r="AE20" s="9"/>
      <c r="AF20" s="10"/>
      <c r="AG20" s="49">
        <f t="shared" si="25"/>
        <v>0</v>
      </c>
      <c r="AH20" s="11">
        <f t="shared" si="26"/>
        <v>0</v>
      </c>
      <c r="AI20" s="82"/>
    </row>
    <row r="21" spans="1:35" x14ac:dyDescent="0.15">
      <c r="A21" s="23" t="s">
        <v>61</v>
      </c>
      <c r="B21" s="8"/>
      <c r="C21" s="9"/>
      <c r="D21" s="10">
        <v>1</v>
      </c>
      <c r="E21" s="49">
        <f t="shared" si="18"/>
        <v>1</v>
      </c>
      <c r="F21" s="12"/>
      <c r="G21" s="9"/>
      <c r="H21" s="10">
        <v>1</v>
      </c>
      <c r="I21" s="49">
        <f t="shared" si="19"/>
        <v>1</v>
      </c>
      <c r="J21" s="11">
        <f t="shared" si="20"/>
        <v>2</v>
      </c>
      <c r="K21" s="63">
        <v>43932</v>
      </c>
      <c r="M21" s="72" t="s">
        <v>51</v>
      </c>
      <c r="N21" s="8">
        <v>5</v>
      </c>
      <c r="O21" s="9">
        <v>5</v>
      </c>
      <c r="P21" s="10">
        <v>4</v>
      </c>
      <c r="Q21" s="49">
        <f t="shared" si="21"/>
        <v>14</v>
      </c>
      <c r="R21" s="12">
        <v>5</v>
      </c>
      <c r="S21" s="9">
        <v>5</v>
      </c>
      <c r="T21" s="10">
        <v>4</v>
      </c>
      <c r="U21" s="49">
        <f t="shared" si="22"/>
        <v>14</v>
      </c>
      <c r="V21" s="11">
        <f t="shared" si="23"/>
        <v>28</v>
      </c>
      <c r="W21" s="140">
        <v>43921</v>
      </c>
      <c r="Y21" s="72"/>
      <c r="Z21" s="8"/>
      <c r="AA21" s="9"/>
      <c r="AB21" s="10"/>
      <c r="AC21" s="49">
        <f t="shared" si="24"/>
        <v>0</v>
      </c>
      <c r="AD21" s="12"/>
      <c r="AE21" s="9"/>
      <c r="AF21" s="10"/>
      <c r="AG21" s="49">
        <f t="shared" si="25"/>
        <v>0</v>
      </c>
      <c r="AH21" s="11">
        <f t="shared" si="26"/>
        <v>0</v>
      </c>
      <c r="AI21" s="82"/>
    </row>
    <row r="22" spans="1:35" x14ac:dyDescent="0.15">
      <c r="A22" s="23" t="s">
        <v>33</v>
      </c>
      <c r="B22" s="8">
        <v>3</v>
      </c>
      <c r="C22" s="9"/>
      <c r="D22" s="10"/>
      <c r="E22" s="49">
        <f t="shared" si="18"/>
        <v>3</v>
      </c>
      <c r="F22" s="12"/>
      <c r="G22" s="9">
        <v>1</v>
      </c>
      <c r="H22" s="10"/>
      <c r="I22" s="49">
        <f t="shared" si="19"/>
        <v>1</v>
      </c>
      <c r="J22" s="11">
        <f t="shared" si="20"/>
        <v>4</v>
      </c>
      <c r="K22" s="63">
        <v>43931</v>
      </c>
      <c r="M22" s="23" t="s">
        <v>54</v>
      </c>
      <c r="N22" s="8">
        <v>3</v>
      </c>
      <c r="O22" s="9">
        <v>3</v>
      </c>
      <c r="P22" s="10">
        <v>3</v>
      </c>
      <c r="Q22" s="49">
        <f t="shared" si="21"/>
        <v>9</v>
      </c>
      <c r="R22" s="12">
        <v>3</v>
      </c>
      <c r="S22" s="9">
        <v>3</v>
      </c>
      <c r="T22" s="10">
        <v>3</v>
      </c>
      <c r="U22" s="49">
        <f t="shared" si="22"/>
        <v>9</v>
      </c>
      <c r="V22" s="11">
        <f t="shared" si="23"/>
        <v>18</v>
      </c>
      <c r="W22" s="140">
        <v>43925</v>
      </c>
      <c r="Y22" s="23"/>
      <c r="Z22" s="8"/>
      <c r="AA22" s="9"/>
      <c r="AB22" s="10"/>
      <c r="AC22" s="49">
        <f t="shared" si="24"/>
        <v>0</v>
      </c>
      <c r="AD22" s="12"/>
      <c r="AE22" s="9"/>
      <c r="AF22" s="10"/>
      <c r="AG22" s="49">
        <f t="shared" si="25"/>
        <v>0</v>
      </c>
      <c r="AH22" s="11">
        <f t="shared" si="26"/>
        <v>0</v>
      </c>
    </row>
    <row r="23" spans="1:35" x14ac:dyDescent="0.15">
      <c r="A23" s="23" t="s">
        <v>33</v>
      </c>
      <c r="B23" s="13"/>
      <c r="C23" s="14">
        <v>1</v>
      </c>
      <c r="D23" s="15"/>
      <c r="E23" s="49">
        <f t="shared" si="18"/>
        <v>1</v>
      </c>
      <c r="F23" s="16">
        <v>2</v>
      </c>
      <c r="G23" s="14"/>
      <c r="H23" s="15"/>
      <c r="I23" s="49">
        <f t="shared" si="19"/>
        <v>2</v>
      </c>
      <c r="J23" s="11">
        <f t="shared" si="20"/>
        <v>3</v>
      </c>
      <c r="K23" s="63">
        <v>43934</v>
      </c>
      <c r="M23" s="26" t="s">
        <v>55</v>
      </c>
      <c r="N23" s="13"/>
      <c r="O23" s="14">
        <v>5</v>
      </c>
      <c r="P23" s="15"/>
      <c r="Q23" s="49">
        <f t="shared" si="21"/>
        <v>5</v>
      </c>
      <c r="R23" s="16"/>
      <c r="S23" s="14">
        <v>5</v>
      </c>
      <c r="T23" s="15"/>
      <c r="U23" s="49">
        <f t="shared" si="22"/>
        <v>5</v>
      </c>
      <c r="V23" s="11">
        <f t="shared" si="23"/>
        <v>10</v>
      </c>
      <c r="W23" s="140">
        <v>43930</v>
      </c>
      <c r="Y23" s="72"/>
      <c r="Z23" s="13"/>
      <c r="AA23" s="14"/>
      <c r="AB23" s="15"/>
      <c r="AC23" s="49">
        <f t="shared" si="24"/>
        <v>0</v>
      </c>
      <c r="AD23" s="16"/>
      <c r="AE23" s="14"/>
      <c r="AF23" s="15"/>
      <c r="AG23" s="49">
        <f t="shared" si="25"/>
        <v>0</v>
      </c>
      <c r="AH23" s="11">
        <f t="shared" si="26"/>
        <v>0</v>
      </c>
    </row>
    <row r="24" spans="1:35" x14ac:dyDescent="0.15">
      <c r="A24" s="23" t="s">
        <v>33</v>
      </c>
      <c r="B24" s="8">
        <v>4</v>
      </c>
      <c r="C24" s="9"/>
      <c r="D24" s="10">
        <v>1</v>
      </c>
      <c r="E24" s="49">
        <f t="shared" si="18"/>
        <v>5</v>
      </c>
      <c r="F24" s="12">
        <v>3</v>
      </c>
      <c r="G24" s="9">
        <v>1</v>
      </c>
      <c r="H24" s="10">
        <v>1</v>
      </c>
      <c r="I24" s="49">
        <f t="shared" si="19"/>
        <v>5</v>
      </c>
      <c r="J24" s="11">
        <f t="shared" si="20"/>
        <v>10</v>
      </c>
      <c r="K24" s="63">
        <v>43936</v>
      </c>
      <c r="M24" s="23" t="s">
        <v>58</v>
      </c>
      <c r="N24" s="8">
        <v>26</v>
      </c>
      <c r="O24" s="9"/>
      <c r="P24" s="10">
        <v>10</v>
      </c>
      <c r="Q24" s="49">
        <f t="shared" si="21"/>
        <v>36</v>
      </c>
      <c r="R24" s="12">
        <v>22</v>
      </c>
      <c r="S24" s="9"/>
      <c r="T24" s="10"/>
      <c r="U24" s="49">
        <f t="shared" si="22"/>
        <v>22</v>
      </c>
      <c r="V24" s="11">
        <f t="shared" si="23"/>
        <v>58</v>
      </c>
      <c r="W24" s="140">
        <v>43931</v>
      </c>
      <c r="Y24" s="72"/>
      <c r="Z24" s="8"/>
      <c r="AA24" s="9"/>
      <c r="AB24" s="10"/>
      <c r="AC24" s="49">
        <f t="shared" si="24"/>
        <v>0</v>
      </c>
      <c r="AD24" s="12"/>
      <c r="AE24" s="9"/>
      <c r="AF24" s="10"/>
      <c r="AG24" s="49">
        <f t="shared" si="25"/>
        <v>0</v>
      </c>
      <c r="AH24" s="11">
        <f t="shared" si="26"/>
        <v>0</v>
      </c>
    </row>
    <row r="25" spans="1:35" x14ac:dyDescent="0.15">
      <c r="A25" s="23" t="s">
        <v>33</v>
      </c>
      <c r="B25" s="8"/>
      <c r="C25" s="9"/>
      <c r="D25" s="10"/>
      <c r="E25" s="49">
        <f t="shared" si="18"/>
        <v>0</v>
      </c>
      <c r="F25" s="12"/>
      <c r="G25" s="9"/>
      <c r="H25" s="10">
        <v>2</v>
      </c>
      <c r="I25" s="49">
        <f t="shared" si="19"/>
        <v>2</v>
      </c>
      <c r="J25" s="11">
        <f t="shared" si="20"/>
        <v>2</v>
      </c>
      <c r="K25" s="63">
        <v>43937</v>
      </c>
      <c r="M25" s="26" t="s">
        <v>59</v>
      </c>
      <c r="N25" s="8">
        <v>10</v>
      </c>
      <c r="O25" s="9">
        <v>10</v>
      </c>
      <c r="P25" s="10">
        <v>5</v>
      </c>
      <c r="Q25" s="49">
        <f t="shared" si="21"/>
        <v>25</v>
      </c>
      <c r="R25" s="12">
        <v>10</v>
      </c>
      <c r="S25" s="9">
        <v>10</v>
      </c>
      <c r="T25" s="10">
        <v>5</v>
      </c>
      <c r="U25" s="49">
        <f t="shared" si="22"/>
        <v>25</v>
      </c>
      <c r="V25" s="11">
        <f t="shared" si="23"/>
        <v>50</v>
      </c>
      <c r="W25" s="140">
        <v>43931</v>
      </c>
      <c r="X25" s="82"/>
      <c r="Y25" s="72"/>
      <c r="Z25" s="8"/>
      <c r="AA25" s="9"/>
      <c r="AB25" s="10"/>
      <c r="AC25" s="49">
        <f t="shared" si="24"/>
        <v>0</v>
      </c>
      <c r="AD25" s="12"/>
      <c r="AE25" s="9"/>
      <c r="AF25" s="10"/>
      <c r="AG25" s="49">
        <f t="shared" si="25"/>
        <v>0</v>
      </c>
      <c r="AH25" s="11">
        <f t="shared" si="26"/>
        <v>0</v>
      </c>
    </row>
    <row r="26" spans="1:35" x14ac:dyDescent="0.15">
      <c r="A26" s="23" t="s">
        <v>71</v>
      </c>
      <c r="B26" s="8">
        <v>2</v>
      </c>
      <c r="C26" s="9">
        <v>1</v>
      </c>
      <c r="D26" s="10"/>
      <c r="E26" s="49">
        <f t="shared" si="18"/>
        <v>3</v>
      </c>
      <c r="F26" s="12">
        <v>2</v>
      </c>
      <c r="G26" s="9">
        <v>1</v>
      </c>
      <c r="H26" s="10"/>
      <c r="I26" s="49">
        <f t="shared" si="19"/>
        <v>3</v>
      </c>
      <c r="J26" s="11">
        <f t="shared" si="20"/>
        <v>6</v>
      </c>
      <c r="K26" s="63">
        <v>43939</v>
      </c>
      <c r="M26" s="26" t="s">
        <v>60</v>
      </c>
      <c r="N26" s="8">
        <v>10</v>
      </c>
      <c r="O26" s="9">
        <v>10</v>
      </c>
      <c r="P26" s="10"/>
      <c r="Q26" s="49">
        <f t="shared" si="21"/>
        <v>20</v>
      </c>
      <c r="R26" s="12">
        <v>10</v>
      </c>
      <c r="S26" s="9">
        <v>10</v>
      </c>
      <c r="T26" s="10"/>
      <c r="U26" s="49">
        <f t="shared" si="22"/>
        <v>20</v>
      </c>
      <c r="V26" s="11">
        <f t="shared" si="23"/>
        <v>40</v>
      </c>
      <c r="W26" s="140">
        <v>43936</v>
      </c>
      <c r="Y26" s="72"/>
      <c r="Z26" s="8"/>
      <c r="AA26" s="9"/>
      <c r="AB26" s="10"/>
      <c r="AC26" s="49">
        <f t="shared" si="24"/>
        <v>0</v>
      </c>
      <c r="AD26" s="12"/>
      <c r="AE26" s="9"/>
      <c r="AF26" s="10"/>
      <c r="AG26" s="49">
        <f t="shared" si="25"/>
        <v>0</v>
      </c>
      <c r="AH26" s="11">
        <f t="shared" si="26"/>
        <v>0</v>
      </c>
    </row>
    <row r="27" spans="1:35" x14ac:dyDescent="0.15">
      <c r="A27" s="23" t="s">
        <v>33</v>
      </c>
      <c r="B27" s="8"/>
      <c r="C27" s="9"/>
      <c r="D27" s="10"/>
      <c r="E27" s="49">
        <f t="shared" si="18"/>
        <v>0</v>
      </c>
      <c r="F27" s="12"/>
      <c r="G27" s="9">
        <v>2</v>
      </c>
      <c r="H27" s="10"/>
      <c r="I27" s="49">
        <f t="shared" si="19"/>
        <v>2</v>
      </c>
      <c r="J27" s="11">
        <f t="shared" si="20"/>
        <v>2</v>
      </c>
      <c r="K27" s="63">
        <v>43941</v>
      </c>
      <c r="M27" s="26" t="s">
        <v>62</v>
      </c>
      <c r="N27" s="8"/>
      <c r="O27" s="9">
        <v>10</v>
      </c>
      <c r="P27" s="10"/>
      <c r="Q27" s="49">
        <f t="shared" si="21"/>
        <v>10</v>
      </c>
      <c r="R27" s="12"/>
      <c r="S27" s="9">
        <v>10</v>
      </c>
      <c r="T27" s="10"/>
      <c r="U27" s="49">
        <f t="shared" si="22"/>
        <v>10</v>
      </c>
      <c r="V27" s="11">
        <f t="shared" si="23"/>
        <v>20</v>
      </c>
      <c r="W27" s="140">
        <v>43937</v>
      </c>
      <c r="Y27" s="26"/>
      <c r="Z27" s="8"/>
      <c r="AA27" s="9"/>
      <c r="AB27" s="10"/>
      <c r="AC27" s="49">
        <f t="shared" si="24"/>
        <v>0</v>
      </c>
      <c r="AD27" s="12"/>
      <c r="AE27" s="9"/>
      <c r="AF27" s="10"/>
      <c r="AG27" s="49">
        <f t="shared" si="25"/>
        <v>0</v>
      </c>
      <c r="AH27" s="11">
        <f t="shared" si="26"/>
        <v>0</v>
      </c>
    </row>
    <row r="28" spans="1:35" x14ac:dyDescent="0.15">
      <c r="A28" s="23"/>
      <c r="B28" s="8"/>
      <c r="C28" s="9"/>
      <c r="D28" s="10"/>
      <c r="E28" s="49">
        <f t="shared" si="18"/>
        <v>0</v>
      </c>
      <c r="F28" s="12"/>
      <c r="G28" s="9"/>
      <c r="H28" s="10"/>
      <c r="I28" s="49">
        <f t="shared" si="19"/>
        <v>0</v>
      </c>
      <c r="J28" s="11">
        <f t="shared" si="20"/>
        <v>0</v>
      </c>
      <c r="K28" s="63"/>
      <c r="M28" s="23" t="s">
        <v>63</v>
      </c>
      <c r="N28" s="8">
        <v>4</v>
      </c>
      <c r="O28" s="9">
        <v>1</v>
      </c>
      <c r="P28" s="10">
        <v>1</v>
      </c>
      <c r="Q28" s="49">
        <f t="shared" si="21"/>
        <v>6</v>
      </c>
      <c r="R28" s="12">
        <v>4</v>
      </c>
      <c r="S28" s="9">
        <v>1</v>
      </c>
      <c r="T28" s="10">
        <v>1</v>
      </c>
      <c r="U28" s="49">
        <f t="shared" si="22"/>
        <v>6</v>
      </c>
      <c r="V28" s="11">
        <f t="shared" si="23"/>
        <v>12</v>
      </c>
      <c r="W28" s="140">
        <v>43935</v>
      </c>
      <c r="Y28" s="26"/>
      <c r="Z28" s="8"/>
      <c r="AA28" s="9"/>
      <c r="AB28" s="10"/>
      <c r="AC28" s="49">
        <f t="shared" si="24"/>
        <v>0</v>
      </c>
      <c r="AD28" s="12"/>
      <c r="AE28" s="9"/>
      <c r="AF28" s="10"/>
      <c r="AG28" s="49">
        <f t="shared" si="25"/>
        <v>0</v>
      </c>
      <c r="AH28" s="11">
        <f t="shared" si="26"/>
        <v>0</v>
      </c>
    </row>
    <row r="29" spans="1:35" x14ac:dyDescent="0.15">
      <c r="A29" s="24"/>
      <c r="B29" s="8"/>
      <c r="C29" s="9"/>
      <c r="D29" s="10"/>
      <c r="E29" s="49">
        <f t="shared" si="18"/>
        <v>0</v>
      </c>
      <c r="F29" s="12"/>
      <c r="G29" s="9"/>
      <c r="H29" s="10"/>
      <c r="I29" s="49">
        <f t="shared" si="19"/>
        <v>0</v>
      </c>
      <c r="J29" s="11">
        <f t="shared" si="20"/>
        <v>0</v>
      </c>
      <c r="K29" s="63"/>
      <c r="M29" s="23" t="s">
        <v>64</v>
      </c>
      <c r="N29" s="8">
        <v>2</v>
      </c>
      <c r="O29" s="9"/>
      <c r="P29" s="10">
        <v>5</v>
      </c>
      <c r="Q29" s="49">
        <f t="shared" si="21"/>
        <v>7</v>
      </c>
      <c r="R29" s="12">
        <v>2</v>
      </c>
      <c r="S29" s="9"/>
      <c r="T29" s="10">
        <v>5</v>
      </c>
      <c r="U29" s="49">
        <f t="shared" si="22"/>
        <v>7</v>
      </c>
      <c r="V29" s="11">
        <f t="shared" si="23"/>
        <v>14</v>
      </c>
      <c r="W29" s="140">
        <v>43936</v>
      </c>
      <c r="Y29" s="24"/>
      <c r="Z29" s="8"/>
      <c r="AA29" s="9"/>
      <c r="AB29" s="10"/>
      <c r="AC29" s="49">
        <f t="shared" si="24"/>
        <v>0</v>
      </c>
      <c r="AD29" s="12"/>
      <c r="AE29" s="9"/>
      <c r="AF29" s="10"/>
      <c r="AG29" s="49">
        <f t="shared" si="25"/>
        <v>0</v>
      </c>
      <c r="AH29" s="11">
        <f t="shared" si="26"/>
        <v>0</v>
      </c>
    </row>
    <row r="30" spans="1:35" x14ac:dyDescent="0.15">
      <c r="A30" s="23"/>
      <c r="B30" s="8"/>
      <c r="C30" s="9"/>
      <c r="D30" s="10"/>
      <c r="E30" s="49">
        <f t="shared" si="18"/>
        <v>0</v>
      </c>
      <c r="F30" s="12"/>
      <c r="G30" s="9"/>
      <c r="H30" s="10"/>
      <c r="I30" s="49">
        <f t="shared" si="19"/>
        <v>0</v>
      </c>
      <c r="J30" s="11">
        <f t="shared" si="20"/>
        <v>0</v>
      </c>
      <c r="K30" s="63"/>
      <c r="M30" s="23" t="s">
        <v>65</v>
      </c>
      <c r="N30" s="8">
        <v>54</v>
      </c>
      <c r="O30" s="9">
        <v>37</v>
      </c>
      <c r="P30" s="10">
        <v>24</v>
      </c>
      <c r="Q30" s="49">
        <f t="shared" si="21"/>
        <v>115</v>
      </c>
      <c r="R30" s="12">
        <v>84</v>
      </c>
      <c r="S30" s="9">
        <v>30</v>
      </c>
      <c r="T30" s="10">
        <v>32</v>
      </c>
      <c r="U30" s="49">
        <f t="shared" si="22"/>
        <v>146</v>
      </c>
      <c r="V30" s="11">
        <f t="shared" si="23"/>
        <v>261</v>
      </c>
      <c r="W30" s="140">
        <v>43942</v>
      </c>
      <c r="Y30" s="26"/>
      <c r="Z30" s="8"/>
      <c r="AA30" s="9"/>
      <c r="AB30" s="10"/>
      <c r="AC30" s="49">
        <f t="shared" si="24"/>
        <v>0</v>
      </c>
      <c r="AD30" s="12"/>
      <c r="AE30" s="9"/>
      <c r="AF30" s="10"/>
      <c r="AG30" s="49">
        <f t="shared" si="25"/>
        <v>0</v>
      </c>
      <c r="AH30" s="11">
        <f t="shared" si="26"/>
        <v>0</v>
      </c>
    </row>
    <row r="31" spans="1:35" x14ac:dyDescent="0.15">
      <c r="A31" s="23"/>
      <c r="B31" s="8"/>
      <c r="C31" s="9"/>
      <c r="D31" s="10"/>
      <c r="E31" s="49">
        <f t="shared" si="18"/>
        <v>0</v>
      </c>
      <c r="F31" s="12"/>
      <c r="G31" s="9"/>
      <c r="H31" s="10"/>
      <c r="I31" s="49">
        <f t="shared" si="19"/>
        <v>0</v>
      </c>
      <c r="J31" s="11">
        <f t="shared" si="20"/>
        <v>0</v>
      </c>
      <c r="K31" s="63"/>
      <c r="L31" s="82"/>
      <c r="M31" s="23" t="s">
        <v>66</v>
      </c>
      <c r="N31" s="8"/>
      <c r="O31" s="9">
        <v>1</v>
      </c>
      <c r="P31" s="10"/>
      <c r="Q31" s="49">
        <f t="shared" si="21"/>
        <v>1</v>
      </c>
      <c r="R31" s="12"/>
      <c r="S31" s="9">
        <v>1</v>
      </c>
      <c r="T31" s="10"/>
      <c r="U31" s="49">
        <f t="shared" si="22"/>
        <v>1</v>
      </c>
      <c r="V31" s="11">
        <f t="shared" si="23"/>
        <v>2</v>
      </c>
      <c r="W31" s="140">
        <v>43937</v>
      </c>
      <c r="Y31" s="24"/>
      <c r="Z31" s="8"/>
      <c r="AA31" s="9"/>
      <c r="AB31" s="10"/>
      <c r="AC31" s="49">
        <f t="shared" si="24"/>
        <v>0</v>
      </c>
      <c r="AD31" s="12"/>
      <c r="AE31" s="9"/>
      <c r="AF31" s="10"/>
      <c r="AG31" s="49">
        <f t="shared" si="25"/>
        <v>0</v>
      </c>
      <c r="AH31" s="11">
        <f t="shared" si="26"/>
        <v>0</v>
      </c>
    </row>
    <row r="32" spans="1:35" x14ac:dyDescent="0.15">
      <c r="A32" s="23"/>
      <c r="B32" s="8"/>
      <c r="C32" s="9"/>
      <c r="D32" s="10"/>
      <c r="E32" s="49">
        <f t="shared" si="18"/>
        <v>0</v>
      </c>
      <c r="F32" s="12"/>
      <c r="G32" s="9"/>
      <c r="H32" s="10"/>
      <c r="I32" s="49">
        <f t="shared" si="19"/>
        <v>0</v>
      </c>
      <c r="J32" s="11">
        <f t="shared" si="20"/>
        <v>0</v>
      </c>
      <c r="K32" s="71"/>
      <c r="M32" s="23" t="s">
        <v>28</v>
      </c>
      <c r="N32" s="8">
        <v>5</v>
      </c>
      <c r="O32" s="9"/>
      <c r="P32" s="10">
        <v>3</v>
      </c>
      <c r="Q32" s="49">
        <f t="shared" si="21"/>
        <v>8</v>
      </c>
      <c r="R32" s="12">
        <v>5</v>
      </c>
      <c r="S32" s="9"/>
      <c r="T32" s="10">
        <v>3</v>
      </c>
      <c r="U32" s="49">
        <f t="shared" si="22"/>
        <v>8</v>
      </c>
      <c r="V32" s="11">
        <f t="shared" si="23"/>
        <v>16</v>
      </c>
      <c r="W32" s="140">
        <v>43937</v>
      </c>
      <c r="Y32" s="23"/>
      <c r="Z32" s="8"/>
      <c r="AA32" s="9"/>
      <c r="AB32" s="10"/>
      <c r="AC32" s="49">
        <f t="shared" si="24"/>
        <v>0</v>
      </c>
      <c r="AD32" s="12"/>
      <c r="AE32" s="9"/>
      <c r="AF32" s="10"/>
      <c r="AG32" s="49">
        <f t="shared" si="25"/>
        <v>0</v>
      </c>
      <c r="AH32" s="11">
        <f t="shared" si="26"/>
        <v>0</v>
      </c>
    </row>
    <row r="33" spans="1:35" x14ac:dyDescent="0.15">
      <c r="A33" s="23"/>
      <c r="B33" s="8"/>
      <c r="C33" s="9"/>
      <c r="D33" s="10"/>
      <c r="E33" s="49">
        <f t="shared" si="18"/>
        <v>0</v>
      </c>
      <c r="F33" s="12"/>
      <c r="G33" s="9"/>
      <c r="H33" s="10"/>
      <c r="I33" s="49">
        <f t="shared" si="19"/>
        <v>0</v>
      </c>
      <c r="J33" s="11">
        <f t="shared" si="20"/>
        <v>0</v>
      </c>
      <c r="K33" s="63"/>
      <c r="M33" s="23" t="s">
        <v>69</v>
      </c>
      <c r="N33" s="8">
        <v>2</v>
      </c>
      <c r="O33" s="9">
        <v>2</v>
      </c>
      <c r="P33" s="10"/>
      <c r="Q33" s="49">
        <f t="shared" si="21"/>
        <v>4</v>
      </c>
      <c r="R33" s="12">
        <v>2</v>
      </c>
      <c r="S33" s="9">
        <v>2</v>
      </c>
      <c r="T33" s="10"/>
      <c r="U33" s="49">
        <f t="shared" si="22"/>
        <v>4</v>
      </c>
      <c r="V33" s="11">
        <f t="shared" si="23"/>
        <v>8</v>
      </c>
      <c r="W33" s="140">
        <v>43938</v>
      </c>
      <c r="Y33" s="24"/>
      <c r="Z33" s="8"/>
      <c r="AA33" s="9"/>
      <c r="AB33" s="10"/>
      <c r="AC33" s="49">
        <f t="shared" si="24"/>
        <v>0</v>
      </c>
      <c r="AD33" s="12"/>
      <c r="AE33" s="9"/>
      <c r="AF33" s="10"/>
      <c r="AG33" s="49">
        <f t="shared" si="25"/>
        <v>0</v>
      </c>
      <c r="AH33" s="11">
        <f t="shared" si="26"/>
        <v>0</v>
      </c>
    </row>
    <row r="34" spans="1:35" x14ac:dyDescent="0.15">
      <c r="A34" s="26"/>
      <c r="B34" s="8"/>
      <c r="C34" s="9"/>
      <c r="D34" s="10"/>
      <c r="E34" s="49">
        <f t="shared" si="18"/>
        <v>0</v>
      </c>
      <c r="F34" s="12"/>
      <c r="G34" s="9"/>
      <c r="H34" s="10"/>
      <c r="I34" s="49">
        <f t="shared" si="19"/>
        <v>0</v>
      </c>
      <c r="J34" s="11">
        <f t="shared" si="20"/>
        <v>0</v>
      </c>
      <c r="K34" s="63"/>
      <c r="M34" s="23" t="s">
        <v>28</v>
      </c>
      <c r="N34" s="8"/>
      <c r="O34" s="9"/>
      <c r="P34" s="10"/>
      <c r="Q34" s="49">
        <f t="shared" si="21"/>
        <v>0</v>
      </c>
      <c r="R34" s="12"/>
      <c r="S34" s="9">
        <v>3</v>
      </c>
      <c r="T34" s="10">
        <v>3</v>
      </c>
      <c r="U34" s="49">
        <f t="shared" si="22"/>
        <v>6</v>
      </c>
      <c r="V34" s="11">
        <f t="shared" si="23"/>
        <v>6</v>
      </c>
      <c r="W34" s="140">
        <v>43938</v>
      </c>
      <c r="Y34" s="26"/>
      <c r="Z34" s="8"/>
      <c r="AA34" s="9"/>
      <c r="AB34" s="10"/>
      <c r="AC34" s="49">
        <f t="shared" si="24"/>
        <v>0</v>
      </c>
      <c r="AD34" s="12"/>
      <c r="AE34" s="9"/>
      <c r="AF34" s="10"/>
      <c r="AG34" s="49">
        <f t="shared" si="25"/>
        <v>0</v>
      </c>
      <c r="AH34" s="11">
        <f t="shared" si="26"/>
        <v>0</v>
      </c>
    </row>
    <row r="35" spans="1:35" x14ac:dyDescent="0.15">
      <c r="A35" s="23"/>
      <c r="B35" s="13"/>
      <c r="C35" s="14"/>
      <c r="D35" s="15"/>
      <c r="E35" s="49">
        <f t="shared" si="18"/>
        <v>0</v>
      </c>
      <c r="F35" s="16"/>
      <c r="G35" s="14"/>
      <c r="H35" s="15"/>
      <c r="I35" s="49">
        <f t="shared" si="19"/>
        <v>0</v>
      </c>
      <c r="J35" s="11">
        <f t="shared" si="20"/>
        <v>0</v>
      </c>
      <c r="K35" s="63"/>
      <c r="M35" s="23" t="s">
        <v>70</v>
      </c>
      <c r="N35" s="8">
        <v>3</v>
      </c>
      <c r="O35" s="9">
        <v>1</v>
      </c>
      <c r="P35" s="10"/>
      <c r="Q35" s="49">
        <f t="shared" ref="Q35:Q37" si="27">SUM(N35:P35)</f>
        <v>4</v>
      </c>
      <c r="R35" s="12">
        <v>3</v>
      </c>
      <c r="S35" s="9">
        <v>1</v>
      </c>
      <c r="T35" s="10"/>
      <c r="U35" s="49">
        <f t="shared" ref="U35:U37" si="28">SUM(R35:T35)</f>
        <v>4</v>
      </c>
      <c r="V35" s="11">
        <f t="shared" ref="V35:V37" si="29">Q35+U35</f>
        <v>8</v>
      </c>
      <c r="W35" s="140">
        <v>43939</v>
      </c>
      <c r="Y35" s="90"/>
      <c r="Z35" s="13"/>
      <c r="AA35" s="14"/>
      <c r="AB35" s="15"/>
      <c r="AC35" s="49">
        <f t="shared" si="24"/>
        <v>0</v>
      </c>
      <c r="AD35" s="16"/>
      <c r="AE35" s="14"/>
      <c r="AF35" s="15"/>
      <c r="AG35" s="49">
        <f t="shared" si="25"/>
        <v>0</v>
      </c>
      <c r="AH35" s="11">
        <f t="shared" si="26"/>
        <v>0</v>
      </c>
    </row>
    <row r="36" spans="1:35" x14ac:dyDescent="0.15">
      <c r="A36" s="23"/>
      <c r="B36" s="8"/>
      <c r="C36" s="9"/>
      <c r="D36" s="10"/>
      <c r="E36" s="49">
        <f t="shared" si="18"/>
        <v>0</v>
      </c>
      <c r="F36" s="12"/>
      <c r="G36" s="9"/>
      <c r="H36" s="10"/>
      <c r="I36" s="49">
        <f t="shared" si="19"/>
        <v>0</v>
      </c>
      <c r="J36" s="11">
        <f t="shared" si="20"/>
        <v>0</v>
      </c>
      <c r="K36" s="63"/>
      <c r="M36" s="23" t="s">
        <v>73</v>
      </c>
      <c r="N36" s="8">
        <v>1</v>
      </c>
      <c r="O36" s="9">
        <v>1</v>
      </c>
      <c r="P36" s="10"/>
      <c r="Q36" s="49">
        <f t="shared" si="27"/>
        <v>2</v>
      </c>
      <c r="R36" s="12">
        <v>1</v>
      </c>
      <c r="S36" s="9">
        <v>1</v>
      </c>
      <c r="T36" s="10"/>
      <c r="U36" s="49">
        <f t="shared" si="28"/>
        <v>2</v>
      </c>
      <c r="V36" s="11">
        <f t="shared" si="29"/>
        <v>4</v>
      </c>
      <c r="W36" s="140">
        <v>43941</v>
      </c>
      <c r="Y36" s="26"/>
      <c r="Z36" s="8"/>
      <c r="AA36" s="9"/>
      <c r="AB36" s="10"/>
      <c r="AC36" s="49">
        <f t="shared" ref="AC36" si="30">SUM(Z36:AB36)</f>
        <v>0</v>
      </c>
      <c r="AD36" s="12"/>
      <c r="AE36" s="9"/>
      <c r="AF36" s="10"/>
      <c r="AG36" s="49">
        <f t="shared" ref="AG36" si="31">SUM(AD36:AF36)</f>
        <v>0</v>
      </c>
      <c r="AH36" s="11">
        <f t="shared" ref="AH36" si="32">AC36+AG36</f>
        <v>0</v>
      </c>
    </row>
    <row r="37" spans="1:35" x14ac:dyDescent="0.15">
      <c r="A37" s="24"/>
      <c r="B37" s="13"/>
      <c r="C37" s="14"/>
      <c r="D37" s="15"/>
      <c r="E37" s="11">
        <f t="shared" si="18"/>
        <v>0</v>
      </c>
      <c r="F37" s="16"/>
      <c r="G37" s="14"/>
      <c r="H37" s="15"/>
      <c r="I37" s="11">
        <f t="shared" si="19"/>
        <v>0</v>
      </c>
      <c r="J37" s="11">
        <f t="shared" si="20"/>
        <v>0</v>
      </c>
      <c r="K37" s="63"/>
      <c r="M37" s="23" t="s">
        <v>28</v>
      </c>
      <c r="N37" s="8">
        <v>5</v>
      </c>
      <c r="O37" s="9">
        <v>5</v>
      </c>
      <c r="P37" s="10"/>
      <c r="Q37" s="49">
        <f t="shared" si="27"/>
        <v>10</v>
      </c>
      <c r="R37" s="12">
        <v>5</v>
      </c>
      <c r="S37" s="9">
        <v>5</v>
      </c>
      <c r="T37" s="10"/>
      <c r="U37" s="49">
        <f t="shared" si="28"/>
        <v>10</v>
      </c>
      <c r="V37" s="11">
        <f t="shared" si="29"/>
        <v>20</v>
      </c>
      <c r="W37" s="140">
        <v>43942</v>
      </c>
      <c r="Y37" s="26"/>
      <c r="Z37" s="8"/>
      <c r="AA37" s="9"/>
      <c r="AB37" s="10"/>
      <c r="AC37" s="49">
        <f t="shared" si="24"/>
        <v>0</v>
      </c>
      <c r="AD37" s="12"/>
      <c r="AE37" s="9"/>
      <c r="AF37" s="10"/>
      <c r="AG37" s="49">
        <f t="shared" si="25"/>
        <v>0</v>
      </c>
      <c r="AH37" s="11">
        <f t="shared" si="26"/>
        <v>0</v>
      </c>
    </row>
    <row r="38" spans="1:35" x14ac:dyDescent="0.15">
      <c r="A38" s="23"/>
      <c r="B38" s="8"/>
      <c r="C38" s="9"/>
      <c r="D38" s="10"/>
      <c r="E38" s="49">
        <f t="shared" si="18"/>
        <v>0</v>
      </c>
      <c r="F38" s="12"/>
      <c r="G38" s="9"/>
      <c r="H38" s="10"/>
      <c r="I38" s="49">
        <f t="shared" si="19"/>
        <v>0</v>
      </c>
      <c r="J38" s="11">
        <f t="shared" si="20"/>
        <v>0</v>
      </c>
      <c r="K38" s="63"/>
      <c r="M38" s="23"/>
      <c r="N38" s="8"/>
      <c r="O38" s="9"/>
      <c r="P38" s="10"/>
      <c r="Q38" s="49">
        <f t="shared" si="21"/>
        <v>0</v>
      </c>
      <c r="R38" s="12"/>
      <c r="S38" s="9"/>
      <c r="T38" s="10"/>
      <c r="U38" s="49">
        <f t="shared" si="22"/>
        <v>0</v>
      </c>
      <c r="V38" s="11">
        <f t="shared" si="23"/>
        <v>0</v>
      </c>
      <c r="W38" s="140"/>
      <c r="Y38" s="24"/>
      <c r="Z38" s="8"/>
      <c r="AA38" s="9"/>
      <c r="AB38" s="10"/>
      <c r="AC38" s="49">
        <f t="shared" si="24"/>
        <v>0</v>
      </c>
      <c r="AD38" s="12"/>
      <c r="AE38" s="9"/>
      <c r="AF38" s="10"/>
      <c r="AG38" s="49">
        <f t="shared" si="25"/>
        <v>0</v>
      </c>
      <c r="AH38" s="11">
        <f t="shared" si="26"/>
        <v>0</v>
      </c>
      <c r="AI38" s="82"/>
    </row>
    <row r="39" spans="1:35" ht="14.25" thickBot="1" x14ac:dyDescent="0.2">
      <c r="A39" s="24"/>
      <c r="B39" s="13"/>
      <c r="C39" s="14"/>
      <c r="D39" s="15"/>
      <c r="E39" s="55">
        <f t="shared" si="18"/>
        <v>0</v>
      </c>
      <c r="F39" s="16"/>
      <c r="G39" s="14"/>
      <c r="H39" s="15"/>
      <c r="I39" s="55">
        <f t="shared" si="19"/>
        <v>0</v>
      </c>
      <c r="J39" s="11">
        <f t="shared" si="20"/>
        <v>0</v>
      </c>
      <c r="K39" s="63"/>
      <c r="M39" s="93" t="s">
        <v>38</v>
      </c>
      <c r="N39" s="13"/>
      <c r="O39" s="14"/>
      <c r="P39" s="15"/>
      <c r="Q39" s="49">
        <f t="shared" si="21"/>
        <v>0</v>
      </c>
      <c r="R39" s="16"/>
      <c r="S39" s="14"/>
      <c r="T39" s="15"/>
      <c r="U39" s="49">
        <f t="shared" si="22"/>
        <v>0</v>
      </c>
      <c r="V39" s="11">
        <f t="shared" si="23"/>
        <v>0</v>
      </c>
      <c r="W39" s="142" t="s">
        <v>39</v>
      </c>
      <c r="X39" s="82"/>
      <c r="Y39" s="93"/>
      <c r="Z39" s="94"/>
      <c r="AA39" s="95"/>
      <c r="AB39" s="96"/>
      <c r="AC39" s="97">
        <f t="shared" si="24"/>
        <v>0</v>
      </c>
      <c r="AD39" s="98"/>
      <c r="AE39" s="95"/>
      <c r="AF39" s="96"/>
      <c r="AG39" s="97">
        <f t="shared" si="25"/>
        <v>0</v>
      </c>
      <c r="AH39" s="99">
        <f t="shared" si="26"/>
        <v>0</v>
      </c>
      <c r="AI39" s="100"/>
    </row>
    <row r="40" spans="1:35" ht="14.25" thickBot="1" x14ac:dyDescent="0.2">
      <c r="A40" s="41" t="s">
        <v>19</v>
      </c>
      <c r="B40" s="46">
        <f>SUM(B14:B39)</f>
        <v>15</v>
      </c>
      <c r="C40" s="47">
        <f t="shared" ref="C40:D40" si="33">SUM(C14:C39)</f>
        <v>6</v>
      </c>
      <c r="D40" s="59">
        <f t="shared" si="33"/>
        <v>8</v>
      </c>
      <c r="E40" s="45">
        <f t="shared" si="18"/>
        <v>29</v>
      </c>
      <c r="F40" s="46">
        <f>SUM(F14:F39)</f>
        <v>15</v>
      </c>
      <c r="G40" s="47">
        <f t="shared" ref="G40:H40" si="34">SUM(G14:G39)</f>
        <v>13</v>
      </c>
      <c r="H40" s="59">
        <f t="shared" si="34"/>
        <v>10</v>
      </c>
      <c r="I40" s="45">
        <f t="shared" si="19"/>
        <v>38</v>
      </c>
      <c r="J40" s="45">
        <f>E40+I40</f>
        <v>67</v>
      </c>
      <c r="K40" s="40"/>
      <c r="M40" s="41" t="s">
        <v>19</v>
      </c>
      <c r="N40" s="46">
        <f>SUM(N14:N39)</f>
        <v>195</v>
      </c>
      <c r="O40" s="47">
        <f t="shared" ref="O40:P40" si="35">SUM(O14:O39)</f>
        <v>148</v>
      </c>
      <c r="P40" s="59">
        <f t="shared" si="35"/>
        <v>80</v>
      </c>
      <c r="Q40" s="45">
        <f t="shared" si="21"/>
        <v>423</v>
      </c>
      <c r="R40" s="46">
        <f>SUM(R14:R39)</f>
        <v>223</v>
      </c>
      <c r="S40" s="47">
        <f t="shared" ref="S40:T40" si="36">SUM(S14:S39)</f>
        <v>145</v>
      </c>
      <c r="T40" s="59">
        <f t="shared" si="36"/>
        <v>94</v>
      </c>
      <c r="U40" s="45">
        <f t="shared" si="22"/>
        <v>462</v>
      </c>
      <c r="V40" s="45">
        <f>Q40+U40</f>
        <v>885</v>
      </c>
      <c r="W40" s="141"/>
      <c r="Y40" s="41" t="s">
        <v>19</v>
      </c>
      <c r="Z40" s="46">
        <f>SUM(Z14:Z39)</f>
        <v>291</v>
      </c>
      <c r="AA40" s="47">
        <f t="shared" ref="AA40:AB40" si="37">SUM(AA14:AA39)</f>
        <v>250</v>
      </c>
      <c r="AB40" s="59">
        <f t="shared" si="37"/>
        <v>200</v>
      </c>
      <c r="AC40" s="45">
        <f t="shared" si="24"/>
        <v>741</v>
      </c>
      <c r="AD40" s="46">
        <f>SUM(AD14:AD39)</f>
        <v>300</v>
      </c>
      <c r="AE40" s="47">
        <f t="shared" ref="AE40:AF40" si="38">SUM(AE14:AE39)</f>
        <v>250</v>
      </c>
      <c r="AF40" s="59">
        <f t="shared" si="38"/>
        <v>200</v>
      </c>
      <c r="AG40" s="45">
        <f t="shared" si="25"/>
        <v>750</v>
      </c>
      <c r="AH40" s="45">
        <f>AC40+AG40</f>
        <v>1491</v>
      </c>
    </row>
    <row r="41" spans="1:35" ht="14.25" thickBot="1" x14ac:dyDescent="0.2">
      <c r="A41" s="22" t="s">
        <v>17</v>
      </c>
      <c r="B41" s="50">
        <f>B13-B40</f>
        <v>6</v>
      </c>
      <c r="C41" s="57">
        <f t="shared" ref="C41:D41" si="39">C13-C40</f>
        <v>10</v>
      </c>
      <c r="D41" s="58">
        <f t="shared" si="39"/>
        <v>6</v>
      </c>
      <c r="E41" s="56">
        <f>SUM(B41:D41)</f>
        <v>22</v>
      </c>
      <c r="F41" s="50">
        <f>F13-F40</f>
        <v>9</v>
      </c>
      <c r="G41" s="57">
        <f t="shared" ref="G41:H41" si="40">G13-G40</f>
        <v>9</v>
      </c>
      <c r="H41" s="58">
        <f t="shared" si="40"/>
        <v>7</v>
      </c>
      <c r="I41" s="56">
        <f>SUM(F41:H41)</f>
        <v>25</v>
      </c>
      <c r="J41" s="31">
        <f>E41+I41</f>
        <v>47</v>
      </c>
      <c r="M41" s="22" t="s">
        <v>17</v>
      </c>
      <c r="N41" s="50">
        <f>N13-N40</f>
        <v>96</v>
      </c>
      <c r="O41" s="57">
        <f t="shared" ref="O41:P41" si="41">O13-O40</f>
        <v>102</v>
      </c>
      <c r="P41" s="58">
        <f t="shared" si="41"/>
        <v>120</v>
      </c>
      <c r="Q41" s="56">
        <f>SUM(N41:P41)</f>
        <v>318</v>
      </c>
      <c r="R41" s="50">
        <f>R13-R40</f>
        <v>77</v>
      </c>
      <c r="S41" s="57">
        <f t="shared" ref="S41:T41" si="42">S13-S40</f>
        <v>105</v>
      </c>
      <c r="T41" s="58">
        <f t="shared" si="42"/>
        <v>106</v>
      </c>
      <c r="U41" s="56">
        <f>SUM(R41:T41)</f>
        <v>288</v>
      </c>
      <c r="V41" s="31">
        <f>Q41+U41</f>
        <v>606</v>
      </c>
      <c r="Y41" s="22" t="s">
        <v>17</v>
      </c>
      <c r="Z41" s="50">
        <f>Z13-Z40</f>
        <v>0</v>
      </c>
      <c r="AA41" s="57">
        <f t="shared" ref="AA41:AB41" si="43">AA13-AA40</f>
        <v>0</v>
      </c>
      <c r="AB41" s="58">
        <f t="shared" si="43"/>
        <v>0</v>
      </c>
      <c r="AC41" s="56">
        <f>SUM(Z41:AB41)</f>
        <v>0</v>
      </c>
      <c r="AD41" s="50">
        <f>AD13-AD40</f>
        <v>0</v>
      </c>
      <c r="AE41" s="57">
        <f t="shared" ref="AE41:AF41" si="44">AE13-AE40</f>
        <v>0</v>
      </c>
      <c r="AF41" s="58">
        <f t="shared" si="44"/>
        <v>0</v>
      </c>
      <c r="AG41" s="56">
        <f>SUM(AD41:AF41)</f>
        <v>0</v>
      </c>
      <c r="AH41" s="31">
        <f>AC41+AG41</f>
        <v>0</v>
      </c>
    </row>
    <row r="44" spans="1:35" ht="19.5" thickBot="1" x14ac:dyDescent="0.25">
      <c r="A44" s="3" t="s">
        <v>21</v>
      </c>
      <c r="B44" s="1"/>
      <c r="C44" s="1"/>
      <c r="D44" s="1"/>
      <c r="E44" s="1"/>
      <c r="F44" s="1"/>
      <c r="G44" s="1"/>
      <c r="H44" s="1"/>
      <c r="I44" s="1"/>
      <c r="J44" s="1"/>
      <c r="M44" s="3" t="s">
        <v>22</v>
      </c>
      <c r="N44" s="1"/>
      <c r="O44" s="1"/>
      <c r="P44" s="1"/>
      <c r="Q44" s="1"/>
      <c r="R44" s="1"/>
      <c r="S44" s="1"/>
      <c r="T44" s="1"/>
      <c r="U44" s="1"/>
      <c r="V44" s="1"/>
      <c r="Y44" s="3" t="s">
        <v>23</v>
      </c>
      <c r="Z44" s="1"/>
      <c r="AA44" s="1"/>
      <c r="AB44" s="1"/>
      <c r="AC44" s="1"/>
      <c r="AD44" s="1"/>
      <c r="AE44" s="1"/>
      <c r="AF44" s="1"/>
      <c r="AG44" s="1"/>
      <c r="AH44" s="1"/>
    </row>
    <row r="45" spans="1:35" ht="14.25" thickBot="1" x14ac:dyDescent="0.2">
      <c r="A45" s="7" t="s">
        <v>0</v>
      </c>
      <c r="B45" s="165" t="s">
        <v>24</v>
      </c>
      <c r="C45" s="166"/>
      <c r="D45" s="166"/>
      <c r="E45" s="170"/>
      <c r="F45" s="165" t="s">
        <v>18</v>
      </c>
      <c r="G45" s="166"/>
      <c r="H45" s="166"/>
      <c r="I45" s="167"/>
      <c r="J45" s="168" t="s">
        <v>1</v>
      </c>
      <c r="M45" s="7" t="s">
        <v>0</v>
      </c>
      <c r="N45" s="165" t="s">
        <v>24</v>
      </c>
      <c r="O45" s="166"/>
      <c r="P45" s="166"/>
      <c r="Q45" s="170"/>
      <c r="R45" s="165" t="s">
        <v>18</v>
      </c>
      <c r="S45" s="166"/>
      <c r="T45" s="166"/>
      <c r="U45" s="167"/>
      <c r="V45" s="168" t="s">
        <v>1</v>
      </c>
      <c r="Y45" s="7" t="s">
        <v>0</v>
      </c>
      <c r="Z45" s="165" t="s">
        <v>24</v>
      </c>
      <c r="AA45" s="166"/>
      <c r="AB45" s="166"/>
      <c r="AC45" s="170"/>
      <c r="AD45" s="165" t="s">
        <v>18</v>
      </c>
      <c r="AE45" s="166"/>
      <c r="AF45" s="166"/>
      <c r="AG45" s="167"/>
      <c r="AH45" s="168" t="s">
        <v>1</v>
      </c>
    </row>
    <row r="46" spans="1:35" ht="14.25" thickBot="1" x14ac:dyDescent="0.2">
      <c r="A46" s="7" t="s">
        <v>2</v>
      </c>
      <c r="B46" s="4" t="s">
        <v>3</v>
      </c>
      <c r="C46" s="5" t="s">
        <v>4</v>
      </c>
      <c r="D46" s="6" t="s">
        <v>5</v>
      </c>
      <c r="E46" s="7" t="s">
        <v>6</v>
      </c>
      <c r="F46" s="4" t="s">
        <v>3</v>
      </c>
      <c r="G46" s="5" t="s">
        <v>4</v>
      </c>
      <c r="H46" s="6" t="s">
        <v>5</v>
      </c>
      <c r="I46" s="7" t="s">
        <v>6</v>
      </c>
      <c r="J46" s="169"/>
      <c r="M46" s="7" t="s">
        <v>2</v>
      </c>
      <c r="N46" s="4" t="s">
        <v>3</v>
      </c>
      <c r="O46" s="5" t="s">
        <v>4</v>
      </c>
      <c r="P46" s="6" t="s">
        <v>5</v>
      </c>
      <c r="Q46" s="7" t="s">
        <v>6</v>
      </c>
      <c r="R46" s="4" t="s">
        <v>3</v>
      </c>
      <c r="S46" s="5" t="s">
        <v>4</v>
      </c>
      <c r="T46" s="6" t="s">
        <v>5</v>
      </c>
      <c r="U46" s="7" t="s">
        <v>6</v>
      </c>
      <c r="V46" s="169"/>
      <c r="Y46" s="7" t="s">
        <v>2</v>
      </c>
      <c r="Z46" s="4" t="s">
        <v>3</v>
      </c>
      <c r="AA46" s="5" t="s">
        <v>4</v>
      </c>
      <c r="AB46" s="6" t="s">
        <v>5</v>
      </c>
      <c r="AC46" s="7" t="s">
        <v>6</v>
      </c>
      <c r="AD46" s="4" t="s">
        <v>3</v>
      </c>
      <c r="AE46" s="5" t="s">
        <v>4</v>
      </c>
      <c r="AF46" s="6" t="s">
        <v>5</v>
      </c>
      <c r="AG46" s="7" t="s">
        <v>6</v>
      </c>
      <c r="AH46" s="169"/>
    </row>
    <row r="47" spans="1:35" ht="14.25" thickBot="1" x14ac:dyDescent="0.2">
      <c r="A47" s="27" t="s">
        <v>20</v>
      </c>
      <c r="B47" s="38">
        <f>B41</f>
        <v>6</v>
      </c>
      <c r="C47" s="39">
        <f>C41</f>
        <v>10</v>
      </c>
      <c r="D47" s="2">
        <f>D41</f>
        <v>6</v>
      </c>
      <c r="E47" s="36">
        <f>SUM(B47:D47)</f>
        <v>22</v>
      </c>
      <c r="F47" s="38">
        <f>F41</f>
        <v>9</v>
      </c>
      <c r="G47" s="39">
        <f>G41</f>
        <v>9</v>
      </c>
      <c r="H47" s="2">
        <f>H41</f>
        <v>7</v>
      </c>
      <c r="I47" s="36">
        <f>SUM(F47:H47)</f>
        <v>25</v>
      </c>
      <c r="J47" s="36">
        <f>E47+I47</f>
        <v>47</v>
      </c>
      <c r="M47" s="27" t="s">
        <v>20</v>
      </c>
      <c r="N47" s="38">
        <f>N41</f>
        <v>96</v>
      </c>
      <c r="O47" s="39">
        <f>O41</f>
        <v>102</v>
      </c>
      <c r="P47" s="2">
        <f>P41</f>
        <v>120</v>
      </c>
      <c r="Q47" s="36">
        <f>SUM(N47:P47)</f>
        <v>318</v>
      </c>
      <c r="R47" s="38">
        <f>R41</f>
        <v>77</v>
      </c>
      <c r="S47" s="39">
        <f>S41</f>
        <v>105</v>
      </c>
      <c r="T47" s="2">
        <f>T41</f>
        <v>106</v>
      </c>
      <c r="U47" s="36">
        <f>SUM(R47:T47)</f>
        <v>288</v>
      </c>
      <c r="V47" s="36">
        <f>Q47+U47</f>
        <v>606</v>
      </c>
      <c r="Y47" s="27" t="s">
        <v>20</v>
      </c>
      <c r="Z47" s="38">
        <f>Z41</f>
        <v>0</v>
      </c>
      <c r="AA47" s="39">
        <f>AA41</f>
        <v>0</v>
      </c>
      <c r="AB47" s="2">
        <f>AB41</f>
        <v>0</v>
      </c>
      <c r="AC47" s="36">
        <f>SUM(Z47:AB47)</f>
        <v>0</v>
      </c>
      <c r="AD47" s="38">
        <f>AD41</f>
        <v>0</v>
      </c>
      <c r="AE47" s="39">
        <f>AE41</f>
        <v>0</v>
      </c>
      <c r="AF47" s="2">
        <f>AF41</f>
        <v>0</v>
      </c>
      <c r="AG47" s="36">
        <f>SUM(AD47:AF47)</f>
        <v>0</v>
      </c>
      <c r="AH47" s="36">
        <f>AC47+AG47</f>
        <v>0</v>
      </c>
    </row>
    <row r="48" spans="1:35" x14ac:dyDescent="0.15">
      <c r="A48" s="25" t="s">
        <v>8</v>
      </c>
      <c r="B48" s="42"/>
      <c r="C48" s="43"/>
      <c r="D48" s="44">
        <v>5</v>
      </c>
      <c r="E48" s="48">
        <f>SUM(B48:D48)</f>
        <v>5</v>
      </c>
      <c r="F48" s="60">
        <v>5</v>
      </c>
      <c r="G48" s="43"/>
      <c r="H48" s="61"/>
      <c r="I48" s="48">
        <f>SUM(F48:H48)</f>
        <v>5</v>
      </c>
      <c r="J48" s="48">
        <f>E48+I48</f>
        <v>10</v>
      </c>
      <c r="K48" s="63">
        <v>43965</v>
      </c>
      <c r="M48" s="25" t="s">
        <v>8</v>
      </c>
      <c r="N48" s="89"/>
      <c r="O48" s="79"/>
      <c r="P48" s="76"/>
      <c r="Q48" s="77">
        <f>SUM(N48:P48)</f>
        <v>0</v>
      </c>
      <c r="R48" s="78"/>
      <c r="S48" s="79"/>
      <c r="T48" s="80"/>
      <c r="U48" s="77">
        <f>SUM(R48:T48)</f>
        <v>0</v>
      </c>
      <c r="V48" s="77">
        <f>Q48+U48</f>
        <v>0</v>
      </c>
      <c r="W48" s="140"/>
      <c r="Y48" s="25" t="s">
        <v>8</v>
      </c>
      <c r="Z48" s="89"/>
      <c r="AA48" s="79"/>
      <c r="AB48" s="76"/>
      <c r="AC48" s="77">
        <f>SUM(Z48:AB48)</f>
        <v>0</v>
      </c>
      <c r="AD48" s="78"/>
      <c r="AE48" s="79"/>
      <c r="AF48" s="80"/>
      <c r="AG48" s="77">
        <f>SUM(AD48:AF48)</f>
        <v>0</v>
      </c>
      <c r="AH48" s="77">
        <f>AC48+AG48</f>
        <v>0</v>
      </c>
    </row>
    <row r="49" spans="1:36" x14ac:dyDescent="0.15">
      <c r="A49" s="25" t="s">
        <v>9</v>
      </c>
      <c r="B49" s="8"/>
      <c r="C49" s="9"/>
      <c r="D49" s="52"/>
      <c r="E49" s="11">
        <f>SUM(B49:D49)</f>
        <v>0</v>
      </c>
      <c r="F49" s="12"/>
      <c r="G49" s="9"/>
      <c r="H49" s="10"/>
      <c r="I49" s="11">
        <f>SUM(F49:H49)</f>
        <v>0</v>
      </c>
      <c r="J49" s="11">
        <f>E49+I49</f>
        <v>0</v>
      </c>
      <c r="K49" s="63"/>
      <c r="M49" s="26" t="s">
        <v>36</v>
      </c>
      <c r="N49" s="65">
        <v>300</v>
      </c>
      <c r="O49" s="66">
        <v>250</v>
      </c>
      <c r="P49" s="67">
        <v>200</v>
      </c>
      <c r="Q49" s="49">
        <f>SUM(N49:P49)</f>
        <v>750</v>
      </c>
      <c r="R49" s="91">
        <v>300</v>
      </c>
      <c r="S49" s="66">
        <v>250</v>
      </c>
      <c r="T49" s="67">
        <v>200</v>
      </c>
      <c r="U49" s="49">
        <f>SUM(R49:T49)</f>
        <v>750</v>
      </c>
      <c r="V49" s="49">
        <f>Q49+U49</f>
        <v>1500</v>
      </c>
      <c r="W49" s="140" t="s">
        <v>82</v>
      </c>
      <c r="Y49" s="26" t="s">
        <v>36</v>
      </c>
      <c r="Z49" s="65">
        <v>300</v>
      </c>
      <c r="AA49" s="66">
        <v>250</v>
      </c>
      <c r="AB49" s="67">
        <v>200</v>
      </c>
      <c r="AC49" s="49">
        <f>SUM(Z49:AB49)</f>
        <v>750</v>
      </c>
      <c r="AD49" s="91">
        <v>300</v>
      </c>
      <c r="AE49" s="66">
        <v>250</v>
      </c>
      <c r="AF49" s="67">
        <v>200</v>
      </c>
      <c r="AG49" s="49">
        <f>SUM(AD49:AF49)</f>
        <v>750</v>
      </c>
      <c r="AH49" s="49">
        <f>AC49+AG49</f>
        <v>1500</v>
      </c>
      <c r="AI49" s="63" t="s">
        <v>82</v>
      </c>
      <c r="AJ49" s="82"/>
    </row>
    <row r="50" spans="1:36" x14ac:dyDescent="0.15">
      <c r="A50" s="25" t="s">
        <v>10</v>
      </c>
      <c r="B50" s="17"/>
      <c r="C50" s="18"/>
      <c r="D50" s="51"/>
      <c r="E50" s="11">
        <f t="shared" ref="E50:E55" si="45">SUM(B50:D50)</f>
        <v>0</v>
      </c>
      <c r="F50" s="20"/>
      <c r="G50" s="18"/>
      <c r="H50" s="19"/>
      <c r="I50" s="11">
        <f t="shared" ref="I50:I55" si="46">SUM(F50:H50)</f>
        <v>0</v>
      </c>
      <c r="J50" s="11">
        <f t="shared" ref="J50:J55" si="47">E50+I50</f>
        <v>0</v>
      </c>
      <c r="K50" s="63"/>
      <c r="M50" s="25" t="s">
        <v>12</v>
      </c>
      <c r="N50" s="8"/>
      <c r="O50" s="9"/>
      <c r="P50" s="52"/>
      <c r="Q50" s="11">
        <f>SUM(N50:P50)</f>
        <v>0</v>
      </c>
      <c r="R50" s="12"/>
      <c r="S50" s="9"/>
      <c r="T50" s="10"/>
      <c r="U50" s="11">
        <f>SUM(R50:T50)</f>
        <v>0</v>
      </c>
      <c r="V50" s="11">
        <f>Q50+U50</f>
        <v>0</v>
      </c>
      <c r="W50" s="140" t="s">
        <v>41</v>
      </c>
      <c r="Y50" s="25" t="s">
        <v>12</v>
      </c>
      <c r="Z50" s="8"/>
      <c r="AA50" s="9"/>
      <c r="AB50" s="52"/>
      <c r="AC50" s="11">
        <f>SUM(Z50:AB50)</f>
        <v>0</v>
      </c>
      <c r="AD50" s="12"/>
      <c r="AE50" s="9"/>
      <c r="AF50" s="10"/>
      <c r="AG50" s="11">
        <f>SUM(AD50:AF50)</f>
        <v>0</v>
      </c>
      <c r="AH50" s="11">
        <f>AC50+AG50</f>
        <v>0</v>
      </c>
      <c r="AI50" s="63" t="s">
        <v>41</v>
      </c>
    </row>
    <row r="51" spans="1:36" x14ac:dyDescent="0.15">
      <c r="A51" s="25" t="s">
        <v>11</v>
      </c>
      <c r="B51" s="8"/>
      <c r="C51" s="9"/>
      <c r="D51" s="52"/>
      <c r="E51" s="11">
        <f t="shared" si="45"/>
        <v>0</v>
      </c>
      <c r="F51" s="12"/>
      <c r="G51" s="9"/>
      <c r="H51" s="10"/>
      <c r="I51" s="11">
        <f t="shared" si="46"/>
        <v>0</v>
      </c>
      <c r="J51" s="11">
        <f t="shared" si="47"/>
        <v>0</v>
      </c>
      <c r="K51" s="63"/>
      <c r="M51" s="25" t="s">
        <v>67</v>
      </c>
      <c r="N51" s="13">
        <v>81</v>
      </c>
      <c r="O51" s="14">
        <v>250</v>
      </c>
      <c r="P51" s="53">
        <v>150</v>
      </c>
      <c r="Q51" s="11">
        <f t="shared" ref="Q51" si="48">SUM(N51:P51)</f>
        <v>481</v>
      </c>
      <c r="R51" s="16">
        <v>50</v>
      </c>
      <c r="S51" s="14">
        <v>200</v>
      </c>
      <c r="T51" s="15">
        <v>50</v>
      </c>
      <c r="U51" s="11">
        <f t="shared" ref="U51" si="49">SUM(R51:T51)</f>
        <v>300</v>
      </c>
      <c r="V51" s="11">
        <f t="shared" ref="V51" si="50">Q51+U51</f>
        <v>781</v>
      </c>
      <c r="W51" s="140" t="s">
        <v>82</v>
      </c>
      <c r="Y51" s="25" t="s">
        <v>67</v>
      </c>
      <c r="Z51" s="13">
        <v>81</v>
      </c>
      <c r="AA51" s="14">
        <v>250</v>
      </c>
      <c r="AB51" s="53">
        <v>150</v>
      </c>
      <c r="AC51" s="11">
        <f t="shared" ref="AC51" si="51">SUM(Z51:AB51)</f>
        <v>481</v>
      </c>
      <c r="AD51" s="16">
        <v>50</v>
      </c>
      <c r="AE51" s="14">
        <v>200</v>
      </c>
      <c r="AF51" s="15">
        <v>50</v>
      </c>
      <c r="AG51" s="11">
        <f t="shared" ref="AG51" si="52">SUM(AD51:AF51)</f>
        <v>300</v>
      </c>
      <c r="AH51" s="11">
        <f t="shared" ref="AH51" si="53">AC51+AG51</f>
        <v>781</v>
      </c>
      <c r="AI51" s="63" t="s">
        <v>82</v>
      </c>
    </row>
    <row r="52" spans="1:36" x14ac:dyDescent="0.15">
      <c r="A52" s="25" t="s">
        <v>12</v>
      </c>
      <c r="B52" s="8"/>
      <c r="C52" s="9"/>
      <c r="D52" s="52"/>
      <c r="E52" s="11">
        <f t="shared" si="45"/>
        <v>0</v>
      </c>
      <c r="F52" s="12"/>
      <c r="G52" s="9"/>
      <c r="H52" s="10"/>
      <c r="I52" s="11">
        <f t="shared" si="46"/>
        <v>0</v>
      </c>
      <c r="J52" s="11">
        <f t="shared" si="47"/>
        <v>0</v>
      </c>
      <c r="K52" s="63"/>
      <c r="L52" s="82"/>
      <c r="M52" s="25" t="s">
        <v>12</v>
      </c>
      <c r="N52" s="8"/>
      <c r="O52" s="9"/>
      <c r="P52" s="52"/>
      <c r="Q52" s="11">
        <f t="shared" ref="Q52:Q54" si="54">SUM(N52:P52)</f>
        <v>0</v>
      </c>
      <c r="R52" s="12"/>
      <c r="S52" s="9"/>
      <c r="T52" s="10"/>
      <c r="U52" s="11">
        <f t="shared" ref="U52:U54" si="55">SUM(R52:T52)</f>
        <v>0</v>
      </c>
      <c r="V52" s="11">
        <f t="shared" ref="V52:V54" si="56">Q52+U52</f>
        <v>0</v>
      </c>
      <c r="Y52" s="25" t="s">
        <v>12</v>
      </c>
      <c r="Z52" s="8"/>
      <c r="AA52" s="9"/>
      <c r="AB52" s="52"/>
      <c r="AC52" s="11">
        <f t="shared" ref="AC52:AC55" si="57">SUM(Z52:AB52)</f>
        <v>0</v>
      </c>
      <c r="AD52" s="12"/>
      <c r="AE52" s="9"/>
      <c r="AF52" s="10"/>
      <c r="AG52" s="11">
        <f t="shared" ref="AG52:AG55" si="58">SUM(AD52:AF52)</f>
        <v>0</v>
      </c>
      <c r="AH52" s="11">
        <f t="shared" ref="AH52:AH55" si="59">AC52+AG52</f>
        <v>0</v>
      </c>
    </row>
    <row r="53" spans="1:36" x14ac:dyDescent="0.15">
      <c r="A53" s="25" t="s">
        <v>13</v>
      </c>
      <c r="B53" s="8"/>
      <c r="C53" s="9"/>
      <c r="D53" s="52"/>
      <c r="E53" s="11">
        <f t="shared" si="45"/>
        <v>0</v>
      </c>
      <c r="F53" s="12"/>
      <c r="G53" s="9"/>
      <c r="H53" s="10"/>
      <c r="I53" s="11">
        <f t="shared" si="46"/>
        <v>0</v>
      </c>
      <c r="J53" s="11">
        <f t="shared" si="47"/>
        <v>0</v>
      </c>
      <c r="K53" s="63"/>
      <c r="M53" s="25" t="s">
        <v>13</v>
      </c>
      <c r="N53" s="8"/>
      <c r="O53" s="9"/>
      <c r="P53" s="52"/>
      <c r="Q53" s="11">
        <f t="shared" si="54"/>
        <v>0</v>
      </c>
      <c r="R53" s="12"/>
      <c r="S53" s="9"/>
      <c r="T53" s="10"/>
      <c r="U53" s="11">
        <f t="shared" si="55"/>
        <v>0</v>
      </c>
      <c r="V53" s="11">
        <f t="shared" si="56"/>
        <v>0</v>
      </c>
      <c r="W53" s="142"/>
      <c r="Y53" s="25" t="s">
        <v>13</v>
      </c>
      <c r="Z53" s="8"/>
      <c r="AA53" s="9"/>
      <c r="AB53" s="52"/>
      <c r="AC53" s="11">
        <f t="shared" si="57"/>
        <v>0</v>
      </c>
      <c r="AD53" s="12"/>
      <c r="AE53" s="9"/>
      <c r="AF53" s="10"/>
      <c r="AG53" s="11">
        <f t="shared" si="58"/>
        <v>0</v>
      </c>
      <c r="AH53" s="11">
        <f t="shared" si="59"/>
        <v>0</v>
      </c>
      <c r="AI53" s="82"/>
    </row>
    <row r="54" spans="1:36" x14ac:dyDescent="0.15">
      <c r="A54" s="25" t="s">
        <v>14</v>
      </c>
      <c r="B54" s="13"/>
      <c r="C54" s="14"/>
      <c r="D54" s="53"/>
      <c r="E54" s="11">
        <f t="shared" si="45"/>
        <v>0</v>
      </c>
      <c r="F54" s="16"/>
      <c r="G54" s="14"/>
      <c r="H54" s="15"/>
      <c r="I54" s="11">
        <f t="shared" si="46"/>
        <v>0</v>
      </c>
      <c r="J54" s="11">
        <f t="shared" si="47"/>
        <v>0</v>
      </c>
      <c r="K54" s="71"/>
      <c r="M54" s="25" t="s">
        <v>14</v>
      </c>
      <c r="N54" s="13"/>
      <c r="O54" s="14"/>
      <c r="P54" s="53"/>
      <c r="Q54" s="11">
        <f t="shared" si="54"/>
        <v>0</v>
      </c>
      <c r="R54" s="16"/>
      <c r="S54" s="14"/>
      <c r="T54" s="15"/>
      <c r="U54" s="11">
        <f t="shared" si="55"/>
        <v>0</v>
      </c>
      <c r="V54" s="11">
        <f t="shared" si="56"/>
        <v>0</v>
      </c>
      <c r="W54" s="140"/>
      <c r="Y54" s="25" t="s">
        <v>14</v>
      </c>
      <c r="Z54" s="13"/>
      <c r="AA54" s="14"/>
      <c r="AB54" s="53"/>
      <c r="AC54" s="11">
        <f t="shared" si="57"/>
        <v>0</v>
      </c>
      <c r="AD54" s="16"/>
      <c r="AE54" s="14"/>
      <c r="AF54" s="15"/>
      <c r="AG54" s="11">
        <f t="shared" si="58"/>
        <v>0</v>
      </c>
      <c r="AH54" s="11">
        <f t="shared" si="59"/>
        <v>0</v>
      </c>
      <c r="AI54" s="63"/>
    </row>
    <row r="55" spans="1:36" ht="14.25" thickBot="1" x14ac:dyDescent="0.2">
      <c r="A55" s="25" t="s">
        <v>15</v>
      </c>
      <c r="B55" s="13"/>
      <c r="C55" s="14"/>
      <c r="D55" s="53"/>
      <c r="E55" s="62">
        <f t="shared" si="45"/>
        <v>0</v>
      </c>
      <c r="F55" s="34"/>
      <c r="G55" s="34"/>
      <c r="H55" s="37"/>
      <c r="I55" s="62">
        <f t="shared" si="46"/>
        <v>0</v>
      </c>
      <c r="J55" s="21">
        <f t="shared" si="47"/>
        <v>0</v>
      </c>
      <c r="K55" s="63"/>
      <c r="M55" s="25" t="s">
        <v>15</v>
      </c>
      <c r="N55" s="13"/>
      <c r="O55" s="14"/>
      <c r="P55" s="53"/>
      <c r="Q55" s="62">
        <f t="shared" ref="Q55" si="60">SUM(N55:P55)</f>
        <v>0</v>
      </c>
      <c r="R55" s="34"/>
      <c r="S55" s="34"/>
      <c r="T55" s="37"/>
      <c r="U55" s="62">
        <f t="shared" ref="U55" si="61">SUM(R55:T55)</f>
        <v>0</v>
      </c>
      <c r="V55" s="21">
        <f t="shared" ref="V55" si="62">Q55+U55</f>
        <v>0</v>
      </c>
      <c r="Y55" s="25" t="s">
        <v>15</v>
      </c>
      <c r="Z55" s="13"/>
      <c r="AA55" s="14"/>
      <c r="AB55" s="53"/>
      <c r="AC55" s="62">
        <f t="shared" si="57"/>
        <v>0</v>
      </c>
      <c r="AD55" s="34"/>
      <c r="AE55" s="34"/>
      <c r="AF55" s="37"/>
      <c r="AG55" s="62">
        <f t="shared" si="58"/>
        <v>0</v>
      </c>
      <c r="AH55" s="21">
        <f t="shared" si="59"/>
        <v>0</v>
      </c>
      <c r="AI55" s="71" t="s">
        <v>42</v>
      </c>
    </row>
    <row r="56" spans="1:36" ht="14.25" thickBot="1" x14ac:dyDescent="0.2">
      <c r="A56" s="35" t="s">
        <v>16</v>
      </c>
      <c r="B56" s="28">
        <f>SUM(B47:B55)</f>
        <v>6</v>
      </c>
      <c r="C56" s="29">
        <f t="shared" ref="C56:D56" si="63">SUM(C47:C55)</f>
        <v>10</v>
      </c>
      <c r="D56" s="68">
        <f t="shared" si="63"/>
        <v>11</v>
      </c>
      <c r="E56" s="64">
        <f>SUM(B56:D56)</f>
        <v>27</v>
      </c>
      <c r="F56" s="28">
        <f>SUM(F47:F55)</f>
        <v>14</v>
      </c>
      <c r="G56" s="29">
        <f t="shared" ref="G56:H56" si="64">SUM(G47:G55)</f>
        <v>9</v>
      </c>
      <c r="H56" s="68">
        <f t="shared" si="64"/>
        <v>7</v>
      </c>
      <c r="I56" s="64">
        <f>SUM(F56:H56)</f>
        <v>30</v>
      </c>
      <c r="J56" s="31">
        <f>SUM(J48:J55)</f>
        <v>10</v>
      </c>
      <c r="M56" s="35" t="s">
        <v>16</v>
      </c>
      <c r="N56" s="28">
        <f>SUM(N47:N55)</f>
        <v>477</v>
      </c>
      <c r="O56" s="29">
        <f t="shared" ref="O56:P56" si="65">SUM(O47:O55)</f>
        <v>602</v>
      </c>
      <c r="P56" s="68">
        <f t="shared" si="65"/>
        <v>470</v>
      </c>
      <c r="Q56" s="64">
        <f>SUM(N56:P56)</f>
        <v>1549</v>
      </c>
      <c r="R56" s="28">
        <f>SUM(R47:R55)</f>
        <v>427</v>
      </c>
      <c r="S56" s="29">
        <f t="shared" ref="S56" si="66">SUM(S47:S55)</f>
        <v>555</v>
      </c>
      <c r="T56" s="68">
        <f t="shared" ref="T56" si="67">SUM(T47:T55)</f>
        <v>356</v>
      </c>
      <c r="U56" s="64">
        <f>SUM(R56:T56)</f>
        <v>1338</v>
      </c>
      <c r="V56" s="31">
        <f>Q56+U56</f>
        <v>2887</v>
      </c>
      <c r="Y56" s="35" t="s">
        <v>16</v>
      </c>
      <c r="Z56" s="28">
        <f>SUM(Z47:Z55)</f>
        <v>381</v>
      </c>
      <c r="AA56" s="29">
        <f t="shared" ref="AA56:AB56" si="68">SUM(AA47:AA55)</f>
        <v>500</v>
      </c>
      <c r="AB56" s="68">
        <f t="shared" si="68"/>
        <v>350</v>
      </c>
      <c r="AC56" s="64">
        <f>SUM(Z56:AB56)</f>
        <v>1231</v>
      </c>
      <c r="AD56" s="28">
        <f>SUM(AD47:AD55)</f>
        <v>350</v>
      </c>
      <c r="AE56" s="29">
        <f t="shared" ref="AE56:AF56" si="69">SUM(AE47:AE55)</f>
        <v>450</v>
      </c>
      <c r="AF56" s="68">
        <f t="shared" si="69"/>
        <v>250</v>
      </c>
      <c r="AG56" s="64">
        <f>SUM(AD56:AF56)</f>
        <v>1050</v>
      </c>
      <c r="AH56" s="31">
        <f>AC56+AG56</f>
        <v>2281</v>
      </c>
    </row>
    <row r="57" spans="1:36" x14ac:dyDescent="0.15">
      <c r="A57" s="23" t="s">
        <v>33</v>
      </c>
      <c r="B57" s="65"/>
      <c r="C57" s="66">
        <v>1</v>
      </c>
      <c r="D57" s="67">
        <v>1</v>
      </c>
      <c r="E57" s="49">
        <f>SUM(B57:D57)</f>
        <v>2</v>
      </c>
      <c r="F57" s="16"/>
      <c r="G57" s="14">
        <v>1</v>
      </c>
      <c r="H57" s="15"/>
      <c r="I57" s="49">
        <f>SUM(F57:H57)</f>
        <v>1</v>
      </c>
      <c r="J57" s="11">
        <f>E57+I57</f>
        <v>3</v>
      </c>
      <c r="K57" s="63">
        <v>43945</v>
      </c>
      <c r="M57" s="24" t="s">
        <v>76</v>
      </c>
      <c r="N57" s="13">
        <v>10</v>
      </c>
      <c r="O57" s="14">
        <v>10</v>
      </c>
      <c r="P57" s="15">
        <v>10</v>
      </c>
      <c r="Q57" s="49">
        <f t="shared" ref="Q57" si="70">SUM(N57:P57)</f>
        <v>30</v>
      </c>
      <c r="R57" s="16">
        <v>10</v>
      </c>
      <c r="S57" s="14">
        <v>10</v>
      </c>
      <c r="T57" s="15">
        <v>10</v>
      </c>
      <c r="U57" s="49">
        <f t="shared" ref="U57" si="71">SUM(R57:T57)</f>
        <v>30</v>
      </c>
      <c r="V57" s="11">
        <f t="shared" ref="V57" si="72">Q57+U57</f>
        <v>60</v>
      </c>
      <c r="W57" s="140">
        <v>43945</v>
      </c>
      <c r="Y57" s="26" t="s">
        <v>74</v>
      </c>
      <c r="Z57" s="65">
        <v>300</v>
      </c>
      <c r="AA57" s="66">
        <v>250</v>
      </c>
      <c r="AB57" s="67">
        <v>200</v>
      </c>
      <c r="AC57" s="49">
        <f>SUM(Z57:AB57)</f>
        <v>750</v>
      </c>
      <c r="AD57" s="91">
        <v>300</v>
      </c>
      <c r="AE57" s="66">
        <v>250</v>
      </c>
      <c r="AF57" s="67">
        <v>200</v>
      </c>
      <c r="AG57" s="49">
        <f>SUM(AD57:AF57)</f>
        <v>750</v>
      </c>
      <c r="AH57" s="49">
        <f>AC57+AG57</f>
        <v>1500</v>
      </c>
      <c r="AI57" s="63">
        <v>43945</v>
      </c>
    </row>
    <row r="58" spans="1:36" x14ac:dyDescent="0.15">
      <c r="A58" s="23" t="s">
        <v>33</v>
      </c>
      <c r="B58" s="8"/>
      <c r="C58" s="9"/>
      <c r="D58" s="10"/>
      <c r="E58" s="49">
        <f t="shared" ref="E58:E83" si="73">SUM(B58:D58)</f>
        <v>0</v>
      </c>
      <c r="F58" s="12"/>
      <c r="G58" s="9"/>
      <c r="H58" s="10">
        <v>2</v>
      </c>
      <c r="I58" s="49">
        <f t="shared" ref="I58:I83" si="74">SUM(F58:H58)</f>
        <v>2</v>
      </c>
      <c r="J58" s="11">
        <f t="shared" ref="J58:J82" si="75">E58+I58</f>
        <v>2</v>
      </c>
      <c r="K58" s="63">
        <v>43946</v>
      </c>
      <c r="M58" s="24" t="s">
        <v>77</v>
      </c>
      <c r="N58" s="8">
        <v>80</v>
      </c>
      <c r="O58" s="9">
        <v>100</v>
      </c>
      <c r="P58" s="10">
        <v>50</v>
      </c>
      <c r="Q58" s="49">
        <f t="shared" ref="Q58:Q83" si="76">SUM(N58:P58)</f>
        <v>230</v>
      </c>
      <c r="R58" s="12">
        <v>70</v>
      </c>
      <c r="S58" s="9">
        <v>85</v>
      </c>
      <c r="T58" s="10">
        <v>40</v>
      </c>
      <c r="U58" s="49">
        <f t="shared" ref="U58:U83" si="77">SUM(R58:T58)</f>
        <v>195</v>
      </c>
      <c r="V58" s="11">
        <f t="shared" ref="V58:V81" si="78">Q58+U58</f>
        <v>425</v>
      </c>
      <c r="W58" s="140">
        <v>43951</v>
      </c>
      <c r="Y58" s="25"/>
      <c r="Z58" s="8"/>
      <c r="AA58" s="9"/>
      <c r="AB58" s="52"/>
      <c r="AC58" s="11">
        <f>SUM(Z58:AB58)</f>
        <v>0</v>
      </c>
      <c r="AD58" s="12"/>
      <c r="AE58" s="9"/>
      <c r="AF58" s="10"/>
      <c r="AG58" s="11">
        <f>SUM(AD58:AF58)</f>
        <v>0</v>
      </c>
      <c r="AH58" s="11">
        <f>AC58+AG58</f>
        <v>0</v>
      </c>
      <c r="AI58" s="82"/>
    </row>
    <row r="59" spans="1:36" x14ac:dyDescent="0.15">
      <c r="A59" s="23" t="s">
        <v>33</v>
      </c>
      <c r="B59" s="8"/>
      <c r="C59" s="9"/>
      <c r="D59" s="10"/>
      <c r="E59" s="49">
        <f t="shared" si="73"/>
        <v>0</v>
      </c>
      <c r="F59" s="12">
        <v>1</v>
      </c>
      <c r="G59" s="9"/>
      <c r="H59" s="10"/>
      <c r="I59" s="49">
        <f t="shared" si="74"/>
        <v>1</v>
      </c>
      <c r="J59" s="11">
        <f t="shared" si="75"/>
        <v>1</v>
      </c>
      <c r="K59" s="63">
        <v>43948</v>
      </c>
      <c r="M59" s="24" t="s">
        <v>78</v>
      </c>
      <c r="N59" s="8">
        <v>45</v>
      </c>
      <c r="O59" s="9">
        <v>60</v>
      </c>
      <c r="P59" s="10">
        <v>30</v>
      </c>
      <c r="Q59" s="49">
        <f t="shared" si="76"/>
        <v>135</v>
      </c>
      <c r="R59" s="12">
        <v>35</v>
      </c>
      <c r="S59" s="9">
        <v>45</v>
      </c>
      <c r="T59" s="10">
        <v>30</v>
      </c>
      <c r="U59" s="49">
        <f t="shared" si="77"/>
        <v>110</v>
      </c>
      <c r="V59" s="11">
        <f t="shared" si="78"/>
        <v>245</v>
      </c>
      <c r="W59" s="140">
        <v>43951</v>
      </c>
      <c r="X59" s="82"/>
      <c r="Y59" s="25" t="s">
        <v>75</v>
      </c>
      <c r="Z59" s="13">
        <v>81</v>
      </c>
      <c r="AA59" s="14">
        <v>250</v>
      </c>
      <c r="AB59" s="53">
        <v>150</v>
      </c>
      <c r="AC59" s="11">
        <f t="shared" ref="AC59" si="79">SUM(Z59:AB59)</f>
        <v>481</v>
      </c>
      <c r="AD59" s="16">
        <v>50</v>
      </c>
      <c r="AE59" s="14">
        <v>200</v>
      </c>
      <c r="AF59" s="15">
        <v>50</v>
      </c>
      <c r="AG59" s="11">
        <f t="shared" ref="AG59" si="80">SUM(AD59:AF59)</f>
        <v>300</v>
      </c>
      <c r="AH59" s="11">
        <f t="shared" ref="AH59" si="81">AC59+AG59</f>
        <v>781</v>
      </c>
      <c r="AI59" s="63">
        <v>43945</v>
      </c>
    </row>
    <row r="60" spans="1:36" x14ac:dyDescent="0.15">
      <c r="A60" s="23" t="s">
        <v>33</v>
      </c>
      <c r="B60" s="8"/>
      <c r="C60" s="9"/>
      <c r="D60" s="10"/>
      <c r="E60" s="49">
        <f t="shared" si="73"/>
        <v>0</v>
      </c>
      <c r="F60" s="12">
        <v>1</v>
      </c>
      <c r="G60" s="9">
        <v>1</v>
      </c>
      <c r="H60" s="10"/>
      <c r="I60" s="49">
        <f t="shared" si="74"/>
        <v>2</v>
      </c>
      <c r="J60" s="11">
        <f t="shared" si="75"/>
        <v>2</v>
      </c>
      <c r="K60" s="63">
        <v>43949</v>
      </c>
      <c r="L60" s="82"/>
      <c r="M60" s="23" t="s">
        <v>79</v>
      </c>
      <c r="N60" s="8"/>
      <c r="O60" s="9">
        <v>1</v>
      </c>
      <c r="P60" s="10"/>
      <c r="Q60" s="49">
        <f t="shared" si="76"/>
        <v>1</v>
      </c>
      <c r="R60" s="12"/>
      <c r="S60" s="9">
        <v>1</v>
      </c>
      <c r="T60" s="10"/>
      <c r="U60" s="49">
        <f t="shared" si="77"/>
        <v>1</v>
      </c>
      <c r="V60" s="11">
        <f t="shared" si="78"/>
        <v>2</v>
      </c>
      <c r="W60" s="140">
        <v>43944</v>
      </c>
      <c r="Y60" s="26"/>
      <c r="Z60" s="8"/>
      <c r="AA60" s="9"/>
      <c r="AB60" s="10"/>
      <c r="AC60" s="49">
        <f t="shared" ref="AC60:AC83" si="82">SUM(Z60:AB60)</f>
        <v>0</v>
      </c>
      <c r="AD60" s="12"/>
      <c r="AE60" s="9"/>
      <c r="AF60" s="10"/>
      <c r="AG60" s="49">
        <f t="shared" ref="AG60:AG83" si="83">SUM(AD60:AF60)</f>
        <v>0</v>
      </c>
      <c r="AH60" s="11">
        <f t="shared" ref="AH60:AH81" si="84">AC60+AG60</f>
        <v>0</v>
      </c>
      <c r="AI60" s="82"/>
    </row>
    <row r="61" spans="1:36" x14ac:dyDescent="0.15">
      <c r="A61" s="23" t="s">
        <v>33</v>
      </c>
      <c r="B61" s="8">
        <v>2</v>
      </c>
      <c r="C61" s="9"/>
      <c r="D61" s="10"/>
      <c r="E61" s="49">
        <f t="shared" si="73"/>
        <v>2</v>
      </c>
      <c r="F61" s="12">
        <v>2</v>
      </c>
      <c r="G61" s="9"/>
      <c r="H61" s="10"/>
      <c r="I61" s="49">
        <f t="shared" si="74"/>
        <v>2</v>
      </c>
      <c r="J61" s="11">
        <f t="shared" si="75"/>
        <v>4</v>
      </c>
      <c r="K61" s="63">
        <v>43957</v>
      </c>
      <c r="L61" s="82"/>
      <c r="M61" s="26" t="s">
        <v>80</v>
      </c>
      <c r="N61" s="8"/>
      <c r="O61" s="9"/>
      <c r="P61" s="10">
        <v>5</v>
      </c>
      <c r="Q61" s="49">
        <f t="shared" si="76"/>
        <v>5</v>
      </c>
      <c r="R61" s="12"/>
      <c r="S61" s="9"/>
      <c r="T61" s="10">
        <v>5</v>
      </c>
      <c r="U61" s="49">
        <f t="shared" si="77"/>
        <v>5</v>
      </c>
      <c r="V61" s="11">
        <f t="shared" si="78"/>
        <v>10</v>
      </c>
      <c r="W61" s="140">
        <v>43949</v>
      </c>
      <c r="Y61" s="26"/>
      <c r="Z61" s="8"/>
      <c r="AA61" s="9"/>
      <c r="AB61" s="10"/>
      <c r="AC61" s="49">
        <f t="shared" si="82"/>
        <v>0</v>
      </c>
      <c r="AD61" s="12"/>
      <c r="AE61" s="9"/>
      <c r="AF61" s="10"/>
      <c r="AG61" s="49">
        <f t="shared" si="83"/>
        <v>0</v>
      </c>
      <c r="AH61" s="11">
        <f t="shared" si="84"/>
        <v>0</v>
      </c>
    </row>
    <row r="62" spans="1:36" x14ac:dyDescent="0.15">
      <c r="A62" s="23" t="s">
        <v>33</v>
      </c>
      <c r="B62" s="8"/>
      <c r="C62" s="9"/>
      <c r="D62" s="10"/>
      <c r="E62" s="49">
        <f t="shared" si="73"/>
        <v>0</v>
      </c>
      <c r="F62" s="12">
        <v>2</v>
      </c>
      <c r="G62" s="9"/>
      <c r="H62" s="10"/>
      <c r="I62" s="49">
        <f t="shared" si="74"/>
        <v>2</v>
      </c>
      <c r="J62" s="11">
        <f t="shared" si="75"/>
        <v>2</v>
      </c>
      <c r="K62" s="63">
        <v>43962</v>
      </c>
      <c r="M62" s="23" t="s">
        <v>81</v>
      </c>
      <c r="N62" s="8"/>
      <c r="O62" s="9">
        <v>2</v>
      </c>
      <c r="P62" s="10">
        <v>1</v>
      </c>
      <c r="Q62" s="49">
        <f t="shared" si="76"/>
        <v>3</v>
      </c>
      <c r="R62" s="12"/>
      <c r="S62" s="9">
        <v>2</v>
      </c>
      <c r="T62" s="10">
        <v>1</v>
      </c>
      <c r="U62" s="49">
        <f t="shared" si="77"/>
        <v>3</v>
      </c>
      <c r="V62" s="11">
        <f t="shared" si="78"/>
        <v>6</v>
      </c>
      <c r="W62" s="140">
        <v>43946</v>
      </c>
      <c r="Y62" s="26"/>
      <c r="Z62" s="8"/>
      <c r="AA62" s="9"/>
      <c r="AB62" s="10"/>
      <c r="AC62" s="49">
        <f t="shared" si="82"/>
        <v>0</v>
      </c>
      <c r="AD62" s="12"/>
      <c r="AE62" s="9"/>
      <c r="AF62" s="10"/>
      <c r="AG62" s="49">
        <f t="shared" si="83"/>
        <v>0</v>
      </c>
      <c r="AH62" s="11">
        <f t="shared" si="84"/>
        <v>0</v>
      </c>
    </row>
    <row r="63" spans="1:36" x14ac:dyDescent="0.15">
      <c r="A63" s="23" t="s">
        <v>33</v>
      </c>
      <c r="B63" s="8"/>
      <c r="C63" s="9"/>
      <c r="D63" s="10"/>
      <c r="E63" s="49">
        <f t="shared" si="73"/>
        <v>0</v>
      </c>
      <c r="F63" s="12">
        <v>1</v>
      </c>
      <c r="G63" s="9"/>
      <c r="H63" s="10"/>
      <c r="I63" s="49">
        <f t="shared" si="74"/>
        <v>1</v>
      </c>
      <c r="J63" s="11">
        <f t="shared" si="75"/>
        <v>1</v>
      </c>
      <c r="K63" s="63">
        <v>43963</v>
      </c>
      <c r="M63" s="23" t="s">
        <v>83</v>
      </c>
      <c r="N63" s="8"/>
      <c r="O63" s="9">
        <v>1</v>
      </c>
      <c r="P63" s="10">
        <v>1</v>
      </c>
      <c r="Q63" s="49">
        <f t="shared" si="76"/>
        <v>2</v>
      </c>
      <c r="R63" s="12"/>
      <c r="S63" s="9">
        <v>1</v>
      </c>
      <c r="T63" s="10">
        <v>1</v>
      </c>
      <c r="U63" s="49">
        <f t="shared" si="77"/>
        <v>2</v>
      </c>
      <c r="V63" s="11">
        <f t="shared" si="78"/>
        <v>4</v>
      </c>
      <c r="W63" s="140">
        <v>43949</v>
      </c>
      <c r="Y63" s="24"/>
      <c r="Z63" s="8"/>
      <c r="AA63" s="9"/>
      <c r="AB63" s="10"/>
      <c r="AC63" s="49">
        <f t="shared" si="82"/>
        <v>0</v>
      </c>
      <c r="AD63" s="12"/>
      <c r="AE63" s="9"/>
      <c r="AF63" s="10"/>
      <c r="AG63" s="49">
        <f t="shared" si="83"/>
        <v>0</v>
      </c>
      <c r="AH63" s="11">
        <f t="shared" si="84"/>
        <v>0</v>
      </c>
    </row>
    <row r="64" spans="1:36" ht="14.25" x14ac:dyDescent="0.15">
      <c r="A64" s="23" t="s">
        <v>33</v>
      </c>
      <c r="B64" s="8"/>
      <c r="C64" s="9"/>
      <c r="D64" s="10">
        <v>3</v>
      </c>
      <c r="E64" s="49">
        <f t="shared" si="73"/>
        <v>3</v>
      </c>
      <c r="F64" s="12"/>
      <c r="G64" s="9">
        <v>1</v>
      </c>
      <c r="H64" s="10"/>
      <c r="I64" s="49">
        <f t="shared" si="74"/>
        <v>1</v>
      </c>
      <c r="J64" s="11">
        <f t="shared" si="75"/>
        <v>4</v>
      </c>
      <c r="K64" s="73">
        <v>43964</v>
      </c>
      <c r="M64" s="23" t="s">
        <v>84</v>
      </c>
      <c r="N64" s="8">
        <v>50</v>
      </c>
      <c r="O64" s="9">
        <v>11</v>
      </c>
      <c r="P64" s="10">
        <v>2</v>
      </c>
      <c r="Q64" s="49">
        <f t="shared" si="76"/>
        <v>63</v>
      </c>
      <c r="R64" s="12"/>
      <c r="S64" s="9">
        <v>6</v>
      </c>
      <c r="T64" s="10"/>
      <c r="U64" s="49">
        <f t="shared" si="77"/>
        <v>6</v>
      </c>
      <c r="V64" s="11">
        <f t="shared" si="78"/>
        <v>69</v>
      </c>
      <c r="W64" s="143">
        <v>43958</v>
      </c>
      <c r="Y64" s="26"/>
      <c r="Z64" s="8"/>
      <c r="AA64" s="9"/>
      <c r="AB64" s="10"/>
      <c r="AC64" s="49">
        <f t="shared" si="82"/>
        <v>0</v>
      </c>
      <c r="AD64" s="12"/>
      <c r="AE64" s="9"/>
      <c r="AF64" s="10"/>
      <c r="AG64" s="49">
        <f t="shared" si="83"/>
        <v>0</v>
      </c>
      <c r="AH64" s="11">
        <f t="shared" si="84"/>
        <v>0</v>
      </c>
    </row>
    <row r="65" spans="1:35" x14ac:dyDescent="0.15">
      <c r="A65" s="23" t="s">
        <v>33</v>
      </c>
      <c r="B65" s="8">
        <v>2</v>
      </c>
      <c r="C65" s="9"/>
      <c r="D65" s="10"/>
      <c r="E65" s="49">
        <f t="shared" si="73"/>
        <v>2</v>
      </c>
      <c r="F65" s="12"/>
      <c r="G65" s="9"/>
      <c r="H65" s="10"/>
      <c r="I65" s="49">
        <f t="shared" si="74"/>
        <v>0</v>
      </c>
      <c r="J65" s="11">
        <f t="shared" si="75"/>
        <v>2</v>
      </c>
      <c r="K65" s="63">
        <v>43965</v>
      </c>
      <c r="M65" s="26" t="s">
        <v>56</v>
      </c>
      <c r="N65" s="65">
        <v>36</v>
      </c>
      <c r="O65" s="66">
        <v>36</v>
      </c>
      <c r="P65" s="67">
        <v>28</v>
      </c>
      <c r="Q65" s="49">
        <f>SUM(N65:P65)</f>
        <v>100</v>
      </c>
      <c r="R65" s="16">
        <v>36</v>
      </c>
      <c r="S65" s="14">
        <v>36</v>
      </c>
      <c r="T65" s="15">
        <v>28</v>
      </c>
      <c r="U65" s="49">
        <f>SUM(R65:T65)</f>
        <v>100</v>
      </c>
      <c r="V65" s="11">
        <f>Q65+U65</f>
        <v>200</v>
      </c>
      <c r="W65" s="140">
        <v>43972</v>
      </c>
      <c r="Y65" s="26"/>
      <c r="Z65" s="8"/>
      <c r="AA65" s="9"/>
      <c r="AB65" s="10"/>
      <c r="AC65" s="49">
        <f t="shared" si="82"/>
        <v>0</v>
      </c>
      <c r="AD65" s="12"/>
      <c r="AE65" s="9"/>
      <c r="AF65" s="10"/>
      <c r="AG65" s="49">
        <f t="shared" si="83"/>
        <v>0</v>
      </c>
      <c r="AH65" s="11">
        <f t="shared" si="84"/>
        <v>0</v>
      </c>
    </row>
    <row r="66" spans="1:35" x14ac:dyDescent="0.15">
      <c r="A66" s="23"/>
      <c r="B66" s="13"/>
      <c r="C66" s="14"/>
      <c r="D66" s="15"/>
      <c r="E66" s="49">
        <f t="shared" si="73"/>
        <v>0</v>
      </c>
      <c r="F66" s="16"/>
      <c r="G66" s="14"/>
      <c r="H66" s="15"/>
      <c r="I66" s="49">
        <f t="shared" si="74"/>
        <v>0</v>
      </c>
      <c r="J66" s="11">
        <f t="shared" si="75"/>
        <v>0</v>
      </c>
      <c r="K66" s="63"/>
      <c r="M66" s="23" t="s">
        <v>86</v>
      </c>
      <c r="N66" s="13">
        <v>1</v>
      </c>
      <c r="O66" s="14"/>
      <c r="P66" s="15"/>
      <c r="Q66" s="49">
        <f t="shared" si="76"/>
        <v>1</v>
      </c>
      <c r="R66" s="16">
        <v>1</v>
      </c>
      <c r="S66" s="14"/>
      <c r="T66" s="15"/>
      <c r="U66" s="49">
        <f t="shared" si="77"/>
        <v>1</v>
      </c>
      <c r="V66" s="11">
        <f t="shared" si="78"/>
        <v>2</v>
      </c>
      <c r="W66" s="140">
        <v>43950</v>
      </c>
      <c r="Y66" s="26"/>
      <c r="Z66" s="13"/>
      <c r="AA66" s="14"/>
      <c r="AB66" s="15"/>
      <c r="AC66" s="49">
        <f t="shared" si="82"/>
        <v>0</v>
      </c>
      <c r="AD66" s="16"/>
      <c r="AE66" s="14"/>
      <c r="AF66" s="15"/>
      <c r="AG66" s="49">
        <f t="shared" si="83"/>
        <v>0</v>
      </c>
      <c r="AH66" s="11">
        <f t="shared" si="84"/>
        <v>0</v>
      </c>
    </row>
    <row r="67" spans="1:35" x14ac:dyDescent="0.15">
      <c r="A67" s="23"/>
      <c r="B67" s="8"/>
      <c r="C67" s="9"/>
      <c r="D67" s="10"/>
      <c r="E67" s="49">
        <f t="shared" si="73"/>
        <v>0</v>
      </c>
      <c r="F67" s="12"/>
      <c r="G67" s="9"/>
      <c r="H67" s="10"/>
      <c r="I67" s="49">
        <f t="shared" si="74"/>
        <v>0</v>
      </c>
      <c r="J67" s="11">
        <f t="shared" si="75"/>
        <v>0</v>
      </c>
      <c r="K67" s="63"/>
      <c r="M67" s="26" t="s">
        <v>87</v>
      </c>
      <c r="N67" s="8">
        <v>5</v>
      </c>
      <c r="O67" s="9"/>
      <c r="P67" s="10"/>
      <c r="Q67" s="49">
        <f t="shared" si="76"/>
        <v>5</v>
      </c>
      <c r="R67" s="12">
        <v>5</v>
      </c>
      <c r="S67" s="9"/>
      <c r="T67" s="10"/>
      <c r="U67" s="49">
        <f t="shared" si="77"/>
        <v>5</v>
      </c>
      <c r="V67" s="11">
        <f t="shared" si="78"/>
        <v>10</v>
      </c>
      <c r="W67" s="140">
        <v>43959</v>
      </c>
      <c r="Y67" s="26"/>
      <c r="Z67" s="8"/>
      <c r="AA67" s="9"/>
      <c r="AB67" s="10"/>
      <c r="AC67" s="49">
        <f t="shared" si="82"/>
        <v>0</v>
      </c>
      <c r="AD67" s="12"/>
      <c r="AE67" s="9"/>
      <c r="AF67" s="10"/>
      <c r="AG67" s="49">
        <f t="shared" si="83"/>
        <v>0</v>
      </c>
      <c r="AH67" s="11">
        <f t="shared" si="84"/>
        <v>0</v>
      </c>
    </row>
    <row r="68" spans="1:35" x14ac:dyDescent="0.15">
      <c r="A68" s="23"/>
      <c r="B68" s="8"/>
      <c r="C68" s="9"/>
      <c r="D68" s="10"/>
      <c r="E68" s="49">
        <f t="shared" si="73"/>
        <v>0</v>
      </c>
      <c r="F68" s="12"/>
      <c r="G68" s="9"/>
      <c r="H68" s="10"/>
      <c r="I68" s="49">
        <f t="shared" si="74"/>
        <v>0</v>
      </c>
      <c r="J68" s="11">
        <f t="shared" si="75"/>
        <v>0</v>
      </c>
      <c r="K68" s="63"/>
      <c r="M68" s="23" t="s">
        <v>90</v>
      </c>
      <c r="N68" s="8"/>
      <c r="O68" s="9"/>
      <c r="P68" s="10">
        <v>1</v>
      </c>
      <c r="Q68" s="49">
        <f t="shared" si="76"/>
        <v>1</v>
      </c>
      <c r="R68" s="12"/>
      <c r="S68" s="9"/>
      <c r="T68" s="10">
        <v>1</v>
      </c>
      <c r="U68" s="49">
        <f t="shared" si="77"/>
        <v>1</v>
      </c>
      <c r="V68" s="11">
        <f t="shared" si="78"/>
        <v>2</v>
      </c>
      <c r="W68" s="140">
        <v>43953</v>
      </c>
      <c r="Y68" s="26"/>
      <c r="Z68" s="8"/>
      <c r="AA68" s="9"/>
      <c r="AB68" s="10"/>
      <c r="AC68" s="49">
        <f t="shared" si="82"/>
        <v>0</v>
      </c>
      <c r="AD68" s="12"/>
      <c r="AE68" s="9"/>
      <c r="AF68" s="10"/>
      <c r="AG68" s="49">
        <f t="shared" si="83"/>
        <v>0</v>
      </c>
      <c r="AH68" s="11">
        <f t="shared" si="84"/>
        <v>0</v>
      </c>
    </row>
    <row r="69" spans="1:35" x14ac:dyDescent="0.15">
      <c r="A69" s="23"/>
      <c r="B69" s="8"/>
      <c r="C69" s="9"/>
      <c r="D69" s="10"/>
      <c r="E69" s="49">
        <f t="shared" si="73"/>
        <v>0</v>
      </c>
      <c r="F69" s="12"/>
      <c r="G69" s="9"/>
      <c r="H69" s="10"/>
      <c r="I69" s="49">
        <f t="shared" si="74"/>
        <v>0</v>
      </c>
      <c r="J69" s="11">
        <f t="shared" si="75"/>
        <v>0</v>
      </c>
      <c r="K69" s="63"/>
      <c r="M69" s="24" t="s">
        <v>91</v>
      </c>
      <c r="N69" s="8">
        <v>25</v>
      </c>
      <c r="O69" s="9">
        <v>15</v>
      </c>
      <c r="P69" s="10"/>
      <c r="Q69" s="49">
        <f t="shared" si="76"/>
        <v>40</v>
      </c>
      <c r="R69" s="12">
        <v>30</v>
      </c>
      <c r="S69" s="9">
        <v>20</v>
      </c>
      <c r="T69" s="10"/>
      <c r="U69" s="49">
        <f t="shared" si="77"/>
        <v>50</v>
      </c>
      <c r="V69" s="11">
        <f t="shared" si="78"/>
        <v>90</v>
      </c>
      <c r="W69" s="140">
        <v>43960</v>
      </c>
      <c r="Y69" s="26"/>
      <c r="Z69" s="8"/>
      <c r="AA69" s="9"/>
      <c r="AB69" s="10"/>
      <c r="AC69" s="49">
        <f t="shared" si="82"/>
        <v>0</v>
      </c>
      <c r="AD69" s="12"/>
      <c r="AE69" s="9"/>
      <c r="AF69" s="10"/>
      <c r="AG69" s="49">
        <f t="shared" si="83"/>
        <v>0</v>
      </c>
      <c r="AH69" s="11">
        <f t="shared" si="84"/>
        <v>0</v>
      </c>
    </row>
    <row r="70" spans="1:35" x14ac:dyDescent="0.15">
      <c r="A70" s="23"/>
      <c r="B70" s="8"/>
      <c r="C70" s="9"/>
      <c r="D70" s="10"/>
      <c r="E70" s="49">
        <f t="shared" si="73"/>
        <v>0</v>
      </c>
      <c r="F70" s="12"/>
      <c r="G70" s="9"/>
      <c r="H70" s="10"/>
      <c r="I70" s="49">
        <f t="shared" si="74"/>
        <v>0</v>
      </c>
      <c r="J70" s="11">
        <f t="shared" si="75"/>
        <v>0</v>
      </c>
      <c r="K70" s="63"/>
      <c r="M70" s="24" t="s">
        <v>92</v>
      </c>
      <c r="N70" s="8">
        <v>30</v>
      </c>
      <c r="O70" s="9">
        <v>20</v>
      </c>
      <c r="P70" s="10">
        <v>20</v>
      </c>
      <c r="Q70" s="49">
        <f t="shared" si="76"/>
        <v>70</v>
      </c>
      <c r="R70" s="12">
        <v>15</v>
      </c>
      <c r="S70" s="9">
        <v>15</v>
      </c>
      <c r="T70" s="10">
        <v>20</v>
      </c>
      <c r="U70" s="49">
        <f t="shared" si="77"/>
        <v>50</v>
      </c>
      <c r="V70" s="11">
        <f t="shared" si="78"/>
        <v>120</v>
      </c>
      <c r="W70" s="140">
        <v>43960</v>
      </c>
      <c r="Y70" s="26"/>
      <c r="Z70" s="8"/>
      <c r="AA70" s="9"/>
      <c r="AB70" s="10"/>
      <c r="AC70" s="49">
        <f t="shared" si="82"/>
        <v>0</v>
      </c>
      <c r="AD70" s="12"/>
      <c r="AE70" s="9"/>
      <c r="AF70" s="10"/>
      <c r="AG70" s="49">
        <f t="shared" si="83"/>
        <v>0</v>
      </c>
      <c r="AH70" s="11">
        <f t="shared" si="84"/>
        <v>0</v>
      </c>
    </row>
    <row r="71" spans="1:35" x14ac:dyDescent="0.15">
      <c r="A71" s="23"/>
      <c r="B71" s="8"/>
      <c r="C71" s="9"/>
      <c r="D71" s="10"/>
      <c r="E71" s="49">
        <f t="shared" si="73"/>
        <v>0</v>
      </c>
      <c r="F71" s="12"/>
      <c r="G71" s="9"/>
      <c r="H71" s="10"/>
      <c r="I71" s="49">
        <f t="shared" si="74"/>
        <v>0</v>
      </c>
      <c r="J71" s="11">
        <f t="shared" si="75"/>
        <v>0</v>
      </c>
      <c r="K71" s="63"/>
      <c r="M71" s="24" t="s">
        <v>93</v>
      </c>
      <c r="N71" s="8">
        <v>30</v>
      </c>
      <c r="O71" s="9">
        <v>20</v>
      </c>
      <c r="P71" s="10"/>
      <c r="Q71" s="49">
        <f t="shared" si="76"/>
        <v>50</v>
      </c>
      <c r="R71" s="12">
        <v>30</v>
      </c>
      <c r="S71" s="9">
        <v>20</v>
      </c>
      <c r="T71" s="10">
        <v>15</v>
      </c>
      <c r="U71" s="49">
        <f t="shared" si="77"/>
        <v>65</v>
      </c>
      <c r="V71" s="11">
        <f t="shared" si="78"/>
        <v>115</v>
      </c>
      <c r="W71" s="140">
        <v>43960</v>
      </c>
      <c r="Y71" s="26"/>
      <c r="Z71" s="8"/>
      <c r="AA71" s="9"/>
      <c r="AB71" s="10"/>
      <c r="AC71" s="49">
        <f t="shared" si="82"/>
        <v>0</v>
      </c>
      <c r="AD71" s="12"/>
      <c r="AE71" s="9"/>
      <c r="AF71" s="10"/>
      <c r="AG71" s="49">
        <f t="shared" si="83"/>
        <v>0</v>
      </c>
      <c r="AH71" s="11">
        <f t="shared" si="84"/>
        <v>0</v>
      </c>
    </row>
    <row r="72" spans="1:35" x14ac:dyDescent="0.15">
      <c r="A72" s="23"/>
      <c r="B72" s="8"/>
      <c r="C72" s="9"/>
      <c r="D72" s="10"/>
      <c r="E72" s="49">
        <f t="shared" si="73"/>
        <v>0</v>
      </c>
      <c r="F72" s="12"/>
      <c r="G72" s="9"/>
      <c r="H72" s="10"/>
      <c r="I72" s="49">
        <f t="shared" si="74"/>
        <v>0</v>
      </c>
      <c r="J72" s="11">
        <f t="shared" si="75"/>
        <v>0</v>
      </c>
      <c r="K72" s="63"/>
      <c r="M72" s="24" t="s">
        <v>94</v>
      </c>
      <c r="N72" s="8">
        <v>15</v>
      </c>
      <c r="O72" s="9">
        <v>10</v>
      </c>
      <c r="P72" s="10">
        <v>10</v>
      </c>
      <c r="Q72" s="49">
        <f t="shared" si="76"/>
        <v>35</v>
      </c>
      <c r="R72" s="12"/>
      <c r="S72" s="9"/>
      <c r="T72" s="10">
        <v>10</v>
      </c>
      <c r="U72" s="49">
        <f t="shared" si="77"/>
        <v>10</v>
      </c>
      <c r="V72" s="11">
        <f t="shared" si="78"/>
        <v>45</v>
      </c>
      <c r="W72" s="140">
        <v>43960</v>
      </c>
      <c r="Y72" s="24"/>
      <c r="Z72" s="8"/>
      <c r="AA72" s="9"/>
      <c r="AB72" s="10"/>
      <c r="AC72" s="49">
        <f t="shared" si="82"/>
        <v>0</v>
      </c>
      <c r="AD72" s="12"/>
      <c r="AE72" s="9"/>
      <c r="AF72" s="10"/>
      <c r="AG72" s="49">
        <f t="shared" si="83"/>
        <v>0</v>
      </c>
      <c r="AH72" s="11">
        <f t="shared" si="84"/>
        <v>0</v>
      </c>
    </row>
    <row r="73" spans="1:35" x14ac:dyDescent="0.15">
      <c r="A73" s="23"/>
      <c r="B73" s="8"/>
      <c r="C73" s="9"/>
      <c r="D73" s="10"/>
      <c r="E73" s="49">
        <f t="shared" si="73"/>
        <v>0</v>
      </c>
      <c r="F73" s="12"/>
      <c r="G73" s="9"/>
      <c r="H73" s="10"/>
      <c r="I73" s="49">
        <f t="shared" si="74"/>
        <v>0</v>
      </c>
      <c r="J73" s="11">
        <f t="shared" si="75"/>
        <v>0</v>
      </c>
      <c r="K73" s="63"/>
      <c r="M73" s="24" t="s">
        <v>95</v>
      </c>
      <c r="N73" s="8">
        <v>40</v>
      </c>
      <c r="O73" s="9">
        <v>10</v>
      </c>
      <c r="P73" s="10">
        <v>20</v>
      </c>
      <c r="Q73" s="49">
        <f t="shared" si="76"/>
        <v>70</v>
      </c>
      <c r="R73" s="12">
        <v>20</v>
      </c>
      <c r="S73" s="9"/>
      <c r="T73" s="10"/>
      <c r="U73" s="49">
        <f t="shared" si="77"/>
        <v>20</v>
      </c>
      <c r="V73" s="11">
        <f t="shared" si="78"/>
        <v>90</v>
      </c>
      <c r="W73" s="140">
        <v>43962</v>
      </c>
      <c r="Y73" s="26"/>
      <c r="Z73" s="8"/>
      <c r="AA73" s="9"/>
      <c r="AB73" s="10"/>
      <c r="AC73" s="49">
        <f t="shared" si="82"/>
        <v>0</v>
      </c>
      <c r="AD73" s="12"/>
      <c r="AE73" s="9"/>
      <c r="AF73" s="10"/>
      <c r="AG73" s="49">
        <f t="shared" si="83"/>
        <v>0</v>
      </c>
      <c r="AH73" s="11">
        <f t="shared" si="84"/>
        <v>0</v>
      </c>
    </row>
    <row r="74" spans="1:35" x14ac:dyDescent="0.15">
      <c r="A74" s="23"/>
      <c r="B74" s="8"/>
      <c r="C74" s="9"/>
      <c r="D74" s="10"/>
      <c r="E74" s="49">
        <f t="shared" si="73"/>
        <v>0</v>
      </c>
      <c r="F74" s="12"/>
      <c r="G74" s="9"/>
      <c r="H74" s="10"/>
      <c r="I74" s="49">
        <f t="shared" si="74"/>
        <v>0</v>
      </c>
      <c r="J74" s="11">
        <f t="shared" si="75"/>
        <v>0</v>
      </c>
      <c r="K74" s="63"/>
      <c r="M74" s="24" t="s">
        <v>96</v>
      </c>
      <c r="N74" s="8"/>
      <c r="O74" s="9">
        <v>15</v>
      </c>
      <c r="P74" s="10">
        <v>10</v>
      </c>
      <c r="Q74" s="49">
        <f t="shared" si="76"/>
        <v>25</v>
      </c>
      <c r="R74" s="12"/>
      <c r="S74" s="9"/>
      <c r="T74" s="10"/>
      <c r="U74" s="49">
        <f t="shared" si="77"/>
        <v>0</v>
      </c>
      <c r="V74" s="11">
        <f t="shared" si="78"/>
        <v>25</v>
      </c>
      <c r="W74" s="140">
        <v>43964</v>
      </c>
      <c r="Y74" s="24"/>
      <c r="Z74" s="8"/>
      <c r="AA74" s="9"/>
      <c r="AB74" s="10"/>
      <c r="AC74" s="49">
        <f t="shared" si="82"/>
        <v>0</v>
      </c>
      <c r="AD74" s="12"/>
      <c r="AE74" s="9"/>
      <c r="AF74" s="10"/>
      <c r="AG74" s="49">
        <f t="shared" si="83"/>
        <v>0</v>
      </c>
      <c r="AH74" s="11">
        <f t="shared" si="84"/>
        <v>0</v>
      </c>
    </row>
    <row r="75" spans="1:35" x14ac:dyDescent="0.15">
      <c r="A75" s="24"/>
      <c r="B75" s="8"/>
      <c r="C75" s="9"/>
      <c r="D75" s="10"/>
      <c r="E75" s="49">
        <f t="shared" si="73"/>
        <v>0</v>
      </c>
      <c r="F75" s="12"/>
      <c r="G75" s="9"/>
      <c r="H75" s="10"/>
      <c r="I75" s="49">
        <f t="shared" si="74"/>
        <v>0</v>
      </c>
      <c r="J75" s="11">
        <f t="shared" si="75"/>
        <v>0</v>
      </c>
      <c r="K75" s="63"/>
      <c r="M75" s="24" t="s">
        <v>97</v>
      </c>
      <c r="N75" s="8">
        <v>15</v>
      </c>
      <c r="O75" s="9"/>
      <c r="P75" s="10">
        <v>15</v>
      </c>
      <c r="Q75" s="49">
        <f t="shared" si="76"/>
        <v>30</v>
      </c>
      <c r="R75" s="12"/>
      <c r="S75" s="9"/>
      <c r="T75" s="10"/>
      <c r="U75" s="49">
        <f t="shared" si="77"/>
        <v>0</v>
      </c>
      <c r="V75" s="11">
        <f t="shared" si="78"/>
        <v>30</v>
      </c>
      <c r="W75" s="140">
        <v>43964</v>
      </c>
      <c r="Y75" s="26"/>
      <c r="Z75" s="8"/>
      <c r="AA75" s="9"/>
      <c r="AB75" s="10"/>
      <c r="AC75" s="49">
        <f t="shared" si="82"/>
        <v>0</v>
      </c>
      <c r="AD75" s="12"/>
      <c r="AE75" s="9"/>
      <c r="AF75" s="10"/>
      <c r="AG75" s="49">
        <f t="shared" si="83"/>
        <v>0</v>
      </c>
      <c r="AH75" s="11">
        <f t="shared" si="84"/>
        <v>0</v>
      </c>
    </row>
    <row r="76" spans="1:35" x14ac:dyDescent="0.15">
      <c r="A76" s="23"/>
      <c r="B76" s="8"/>
      <c r="C76" s="9"/>
      <c r="D76" s="10"/>
      <c r="E76" s="49">
        <f t="shared" si="73"/>
        <v>0</v>
      </c>
      <c r="F76" s="12"/>
      <c r="G76" s="9"/>
      <c r="H76" s="10"/>
      <c r="I76" s="49">
        <f t="shared" si="74"/>
        <v>0</v>
      </c>
      <c r="J76" s="11">
        <f t="shared" si="75"/>
        <v>0</v>
      </c>
      <c r="K76" s="63"/>
      <c r="M76" s="24" t="s">
        <v>98</v>
      </c>
      <c r="N76" s="8"/>
      <c r="O76" s="9"/>
      <c r="P76" s="10">
        <v>30</v>
      </c>
      <c r="Q76" s="49">
        <f t="shared" si="76"/>
        <v>30</v>
      </c>
      <c r="R76" s="12"/>
      <c r="S76" s="9"/>
      <c r="T76" s="10">
        <v>45</v>
      </c>
      <c r="U76" s="49">
        <f t="shared" si="77"/>
        <v>45</v>
      </c>
      <c r="V76" s="11">
        <f t="shared" si="78"/>
        <v>75</v>
      </c>
      <c r="W76" s="140">
        <v>43966</v>
      </c>
      <c r="Y76" s="24"/>
      <c r="Z76" s="8"/>
      <c r="AA76" s="9"/>
      <c r="AB76" s="10"/>
      <c r="AC76" s="49">
        <f t="shared" si="82"/>
        <v>0</v>
      </c>
      <c r="AD76" s="12"/>
      <c r="AE76" s="9"/>
      <c r="AF76" s="10"/>
      <c r="AG76" s="49">
        <f t="shared" si="83"/>
        <v>0</v>
      </c>
      <c r="AH76" s="11">
        <f t="shared" si="84"/>
        <v>0</v>
      </c>
    </row>
    <row r="77" spans="1:35" x14ac:dyDescent="0.15">
      <c r="A77" s="24"/>
      <c r="B77" s="8"/>
      <c r="C77" s="9"/>
      <c r="D77" s="10"/>
      <c r="E77" s="49">
        <f t="shared" si="73"/>
        <v>0</v>
      </c>
      <c r="F77" s="12"/>
      <c r="G77" s="9"/>
      <c r="H77" s="10"/>
      <c r="I77" s="49">
        <f t="shared" si="74"/>
        <v>0</v>
      </c>
      <c r="J77" s="11">
        <f t="shared" si="75"/>
        <v>0</v>
      </c>
      <c r="K77" s="63"/>
      <c r="M77" s="26" t="s">
        <v>99</v>
      </c>
      <c r="N77" s="8"/>
      <c r="O77" s="9">
        <v>10</v>
      </c>
      <c r="P77" s="10"/>
      <c r="Q77" s="49">
        <f t="shared" si="76"/>
        <v>10</v>
      </c>
      <c r="R77" s="12"/>
      <c r="S77" s="9">
        <v>10</v>
      </c>
      <c r="T77" s="10"/>
      <c r="U77" s="49">
        <f t="shared" si="77"/>
        <v>10</v>
      </c>
      <c r="V77" s="11">
        <f t="shared" si="78"/>
        <v>20</v>
      </c>
      <c r="W77" s="140">
        <v>43966</v>
      </c>
      <c r="Y77" s="90"/>
      <c r="Z77" s="13"/>
      <c r="AA77" s="14"/>
      <c r="AB77" s="15"/>
      <c r="AC77" s="49">
        <f t="shared" ref="AC77" si="85">SUM(Z77:AB77)</f>
        <v>0</v>
      </c>
      <c r="AD77" s="16"/>
      <c r="AE77" s="14"/>
      <c r="AF77" s="15"/>
      <c r="AG77" s="49">
        <f t="shared" ref="AG77" si="86">SUM(AD77:AF77)</f>
        <v>0</v>
      </c>
      <c r="AH77" s="11">
        <f t="shared" ref="AH77" si="87">AC77+AG77</f>
        <v>0</v>
      </c>
    </row>
    <row r="78" spans="1:35" x14ac:dyDescent="0.15">
      <c r="A78" s="23"/>
      <c r="B78" s="13"/>
      <c r="C78" s="14"/>
      <c r="D78" s="15"/>
      <c r="E78" s="49">
        <f t="shared" si="73"/>
        <v>0</v>
      </c>
      <c r="F78" s="16"/>
      <c r="G78" s="14"/>
      <c r="H78" s="15"/>
      <c r="I78" s="49">
        <f t="shared" si="74"/>
        <v>0</v>
      </c>
      <c r="J78" s="11">
        <f t="shared" si="75"/>
        <v>0</v>
      </c>
      <c r="K78" s="63"/>
      <c r="M78" s="102" t="s">
        <v>100</v>
      </c>
      <c r="N78" s="13"/>
      <c r="O78" s="14"/>
      <c r="P78" s="15">
        <v>5</v>
      </c>
      <c r="Q78" s="49">
        <f t="shared" si="76"/>
        <v>5</v>
      </c>
      <c r="R78" s="16">
        <v>5</v>
      </c>
      <c r="S78" s="14"/>
      <c r="T78" s="15"/>
      <c r="U78" s="49">
        <f t="shared" si="77"/>
        <v>5</v>
      </c>
      <c r="V78" s="11">
        <f t="shared" si="78"/>
        <v>10</v>
      </c>
      <c r="W78" s="140">
        <v>43965</v>
      </c>
      <c r="Y78" s="26"/>
      <c r="Z78" s="8"/>
      <c r="AA78" s="9"/>
      <c r="AB78" s="10"/>
      <c r="AC78" s="49">
        <f t="shared" si="82"/>
        <v>0</v>
      </c>
      <c r="AD78" s="12"/>
      <c r="AE78" s="9"/>
      <c r="AF78" s="10"/>
      <c r="AG78" s="49">
        <f t="shared" si="83"/>
        <v>0</v>
      </c>
      <c r="AH78" s="11">
        <f t="shared" si="84"/>
        <v>0</v>
      </c>
      <c r="AI78" s="82"/>
    </row>
    <row r="79" spans="1:35" x14ac:dyDescent="0.15">
      <c r="A79" s="23"/>
      <c r="B79" s="8"/>
      <c r="C79" s="9"/>
      <c r="D79" s="10"/>
      <c r="E79" s="49">
        <f t="shared" si="73"/>
        <v>0</v>
      </c>
      <c r="F79" s="12"/>
      <c r="G79" s="9"/>
      <c r="H79" s="10"/>
      <c r="I79" s="49">
        <f t="shared" si="74"/>
        <v>0</v>
      </c>
      <c r="J79" s="11">
        <f t="shared" si="75"/>
        <v>0</v>
      </c>
      <c r="K79" s="63"/>
      <c r="M79" s="24" t="s">
        <v>101</v>
      </c>
      <c r="N79" s="8"/>
      <c r="O79" s="9">
        <v>50</v>
      </c>
      <c r="P79" s="10">
        <v>10</v>
      </c>
      <c r="Q79" s="49">
        <f t="shared" si="76"/>
        <v>60</v>
      </c>
      <c r="R79" s="12"/>
      <c r="S79" s="9"/>
      <c r="T79" s="10">
        <v>15</v>
      </c>
      <c r="U79" s="49">
        <f t="shared" si="77"/>
        <v>15</v>
      </c>
      <c r="V79" s="11">
        <f t="shared" si="78"/>
        <v>75</v>
      </c>
      <c r="W79" s="140">
        <v>43966</v>
      </c>
      <c r="Y79" s="24"/>
      <c r="Z79" s="8"/>
      <c r="AA79" s="9"/>
      <c r="AB79" s="10"/>
      <c r="AC79" s="49">
        <f t="shared" si="82"/>
        <v>0</v>
      </c>
      <c r="AD79" s="12"/>
      <c r="AE79" s="9"/>
      <c r="AF79" s="10"/>
      <c r="AG79" s="49">
        <f t="shared" si="83"/>
        <v>0</v>
      </c>
      <c r="AH79" s="11">
        <f t="shared" si="84"/>
        <v>0</v>
      </c>
      <c r="AI79" s="82"/>
    </row>
    <row r="80" spans="1:35" x14ac:dyDescent="0.15">
      <c r="A80" s="23"/>
      <c r="B80" s="8"/>
      <c r="C80" s="9"/>
      <c r="D80" s="10"/>
      <c r="E80" s="49">
        <f t="shared" si="73"/>
        <v>0</v>
      </c>
      <c r="F80" s="12"/>
      <c r="G80" s="9"/>
      <c r="H80" s="10"/>
      <c r="I80" s="49">
        <f t="shared" si="74"/>
        <v>0</v>
      </c>
      <c r="J80" s="11">
        <f t="shared" si="75"/>
        <v>0</v>
      </c>
      <c r="K80" s="63"/>
      <c r="M80" s="24" t="s">
        <v>109</v>
      </c>
      <c r="N80" s="8">
        <v>80</v>
      </c>
      <c r="O80" s="9">
        <v>120</v>
      </c>
      <c r="P80" s="10">
        <v>90</v>
      </c>
      <c r="Q80" s="49">
        <f t="shared" si="76"/>
        <v>290</v>
      </c>
      <c r="R80" s="12">
        <v>10</v>
      </c>
      <c r="S80" s="9">
        <v>70</v>
      </c>
      <c r="T80" s="10">
        <v>80</v>
      </c>
      <c r="U80" s="49">
        <f t="shared" si="77"/>
        <v>160</v>
      </c>
      <c r="V80" s="11">
        <f t="shared" si="78"/>
        <v>450</v>
      </c>
      <c r="W80" s="140">
        <v>43967</v>
      </c>
      <c r="Y80" s="92"/>
      <c r="Z80" s="13"/>
      <c r="AA80" s="14"/>
      <c r="AB80" s="15"/>
      <c r="AC80" s="49">
        <f t="shared" si="82"/>
        <v>0</v>
      </c>
      <c r="AD80" s="16"/>
      <c r="AE80" s="14"/>
      <c r="AF80" s="15"/>
      <c r="AG80" s="49">
        <f t="shared" si="83"/>
        <v>0</v>
      </c>
      <c r="AH80" s="11">
        <f t="shared" si="84"/>
        <v>0</v>
      </c>
      <c r="AI80" s="82"/>
    </row>
    <row r="81" spans="1:35" x14ac:dyDescent="0.15">
      <c r="A81" s="23"/>
      <c r="B81" s="8"/>
      <c r="C81" s="9"/>
      <c r="D81" s="10"/>
      <c r="E81" s="49">
        <f t="shared" si="73"/>
        <v>0</v>
      </c>
      <c r="F81" s="12"/>
      <c r="G81" s="9"/>
      <c r="H81" s="10"/>
      <c r="I81" s="49">
        <f t="shared" si="74"/>
        <v>0</v>
      </c>
      <c r="J81" s="11">
        <f t="shared" si="75"/>
        <v>0</v>
      </c>
      <c r="K81" s="63"/>
      <c r="M81" s="24"/>
      <c r="N81" s="8"/>
      <c r="O81" s="9"/>
      <c r="P81" s="10"/>
      <c r="Q81" s="49">
        <f t="shared" si="76"/>
        <v>0</v>
      </c>
      <c r="R81" s="12"/>
      <c r="S81" s="9"/>
      <c r="T81" s="10"/>
      <c r="U81" s="49">
        <f t="shared" si="77"/>
        <v>0</v>
      </c>
      <c r="V81" s="11">
        <f t="shared" si="78"/>
        <v>0</v>
      </c>
      <c r="W81" s="142"/>
      <c r="Y81" s="24"/>
      <c r="Z81" s="8"/>
      <c r="AA81" s="9"/>
      <c r="AB81" s="10"/>
      <c r="AC81" s="49">
        <f t="shared" si="82"/>
        <v>0</v>
      </c>
      <c r="AD81" s="12"/>
      <c r="AE81" s="9"/>
      <c r="AF81" s="10"/>
      <c r="AG81" s="49">
        <f t="shared" si="83"/>
        <v>0</v>
      </c>
      <c r="AH81" s="11">
        <f t="shared" si="84"/>
        <v>0</v>
      </c>
      <c r="AI81" s="82"/>
    </row>
    <row r="82" spans="1:35" ht="14.25" thickBot="1" x14ac:dyDescent="0.2">
      <c r="A82" s="23"/>
      <c r="B82" s="13"/>
      <c r="C82" s="14"/>
      <c r="D82" s="15"/>
      <c r="E82" s="55">
        <f t="shared" si="73"/>
        <v>0</v>
      </c>
      <c r="F82" s="16"/>
      <c r="G82" s="14"/>
      <c r="H82" s="15"/>
      <c r="I82" s="55">
        <f t="shared" si="74"/>
        <v>0</v>
      </c>
      <c r="J82" s="11">
        <f t="shared" si="75"/>
        <v>0</v>
      </c>
      <c r="K82" s="63"/>
      <c r="M82" s="24" t="s">
        <v>52</v>
      </c>
      <c r="N82" s="8">
        <v>0</v>
      </c>
      <c r="O82" s="9">
        <v>0</v>
      </c>
      <c r="P82" s="10">
        <v>0</v>
      </c>
      <c r="Q82" s="49">
        <f t="shared" ref="Q82" si="88">SUM(N82:P82)</f>
        <v>0</v>
      </c>
      <c r="R82" s="12"/>
      <c r="S82" s="9"/>
      <c r="T82" s="10">
        <v>0</v>
      </c>
      <c r="U82" s="49">
        <f t="shared" ref="U82" si="89">SUM(R82:T82)</f>
        <v>0</v>
      </c>
      <c r="V82" s="11">
        <f t="shared" ref="V82" si="90">Q82+U82</f>
        <v>0</v>
      </c>
      <c r="W82" s="142" t="s">
        <v>45</v>
      </c>
      <c r="Y82" s="26"/>
      <c r="Z82" s="8"/>
      <c r="AA82" s="9"/>
      <c r="AB82" s="10"/>
      <c r="AC82" s="49">
        <f t="shared" ref="AC82" si="91">SUM(Z82:AB82)</f>
        <v>0</v>
      </c>
      <c r="AD82" s="12"/>
      <c r="AE82" s="9"/>
      <c r="AF82" s="10"/>
      <c r="AG82" s="49">
        <f t="shared" ref="AG82" si="92">SUM(AD82:AF82)</f>
        <v>0</v>
      </c>
      <c r="AH82" s="11">
        <f t="shared" ref="AH82" si="93">AC82+AG82</f>
        <v>0</v>
      </c>
      <c r="AI82" s="82"/>
    </row>
    <row r="83" spans="1:35" ht="14.25" thickBot="1" x14ac:dyDescent="0.2">
      <c r="A83" s="41" t="s">
        <v>19</v>
      </c>
      <c r="B83" s="46">
        <f>SUM(B57:B82)</f>
        <v>4</v>
      </c>
      <c r="C83" s="47">
        <f t="shared" ref="C83:D83" si="94">SUM(C57:C82)</f>
        <v>1</v>
      </c>
      <c r="D83" s="59">
        <f t="shared" si="94"/>
        <v>4</v>
      </c>
      <c r="E83" s="45">
        <f t="shared" si="73"/>
        <v>9</v>
      </c>
      <c r="F83" s="46">
        <f>SUM(F57:F82)</f>
        <v>7</v>
      </c>
      <c r="G83" s="47">
        <f t="shared" ref="G83:H83" si="95">SUM(G57:G82)</f>
        <v>3</v>
      </c>
      <c r="H83" s="59">
        <f t="shared" si="95"/>
        <v>2</v>
      </c>
      <c r="I83" s="45">
        <f t="shared" si="74"/>
        <v>12</v>
      </c>
      <c r="J83" s="45">
        <f>E83+I83</f>
        <v>21</v>
      </c>
      <c r="M83" s="41" t="s">
        <v>19</v>
      </c>
      <c r="N83" s="46">
        <f>SUM(N57:N82)</f>
        <v>462</v>
      </c>
      <c r="O83" s="47">
        <f t="shared" ref="O83" si="96">SUM(O57:O82)</f>
        <v>491</v>
      </c>
      <c r="P83" s="59">
        <f t="shared" ref="P83" si="97">SUM(P57:P82)</f>
        <v>338</v>
      </c>
      <c r="Q83" s="45">
        <f t="shared" si="76"/>
        <v>1291</v>
      </c>
      <c r="R83" s="46">
        <f>SUM(R57:R82)</f>
        <v>267</v>
      </c>
      <c r="S83" s="47">
        <f t="shared" ref="S83" si="98">SUM(S57:S82)</f>
        <v>321</v>
      </c>
      <c r="T83" s="59">
        <f t="shared" ref="T83" si="99">SUM(T57:T82)</f>
        <v>301</v>
      </c>
      <c r="U83" s="45">
        <f t="shared" si="77"/>
        <v>889</v>
      </c>
      <c r="V83" s="45">
        <f>Q83+U83</f>
        <v>2180</v>
      </c>
      <c r="Y83" s="41" t="s">
        <v>19</v>
      </c>
      <c r="Z83" s="46">
        <f>SUM(Z57:Z82)</f>
        <v>381</v>
      </c>
      <c r="AA83" s="47">
        <f t="shared" ref="AA83:AB83" si="100">SUM(AA57:AA82)</f>
        <v>500</v>
      </c>
      <c r="AB83" s="59">
        <f t="shared" si="100"/>
        <v>350</v>
      </c>
      <c r="AC83" s="45">
        <f t="shared" si="82"/>
        <v>1231</v>
      </c>
      <c r="AD83" s="46">
        <f>SUM(AD57:AD82)</f>
        <v>350</v>
      </c>
      <c r="AE83" s="47">
        <f t="shared" ref="AE83:AF83" si="101">SUM(AE57:AE82)</f>
        <v>450</v>
      </c>
      <c r="AF83" s="59">
        <f t="shared" si="101"/>
        <v>250</v>
      </c>
      <c r="AG83" s="45">
        <f t="shared" si="83"/>
        <v>1050</v>
      </c>
      <c r="AH83" s="45">
        <f>AC83+AG83</f>
        <v>2281</v>
      </c>
    </row>
    <row r="84" spans="1:35" ht="14.25" thickBot="1" x14ac:dyDescent="0.2">
      <c r="A84" s="22" t="s">
        <v>17</v>
      </c>
      <c r="B84" s="50">
        <f>B56-B83</f>
        <v>2</v>
      </c>
      <c r="C84" s="57">
        <f t="shared" ref="C84:D84" si="102">C56-C83</f>
        <v>9</v>
      </c>
      <c r="D84" s="58">
        <f t="shared" si="102"/>
        <v>7</v>
      </c>
      <c r="E84" s="56">
        <f>SUM(B84:D84)</f>
        <v>18</v>
      </c>
      <c r="F84" s="50">
        <f>F56-F83</f>
        <v>7</v>
      </c>
      <c r="G84" s="57">
        <f t="shared" ref="G84:H84" si="103">G56-G83</f>
        <v>6</v>
      </c>
      <c r="H84" s="58">
        <f t="shared" si="103"/>
        <v>5</v>
      </c>
      <c r="I84" s="56">
        <f>SUM(F84:H84)</f>
        <v>18</v>
      </c>
      <c r="J84" s="31">
        <f>E84+I84</f>
        <v>36</v>
      </c>
      <c r="M84" s="22" t="s">
        <v>17</v>
      </c>
      <c r="N84" s="50">
        <f>N56-N83</f>
        <v>15</v>
      </c>
      <c r="O84" s="57">
        <f t="shared" ref="O84" si="104">O56-O83</f>
        <v>111</v>
      </c>
      <c r="P84" s="58">
        <f t="shared" ref="P84" si="105">P56-P83</f>
        <v>132</v>
      </c>
      <c r="Q84" s="56">
        <f>SUM(N84:P84)</f>
        <v>258</v>
      </c>
      <c r="R84" s="50">
        <f>R56-R83</f>
        <v>160</v>
      </c>
      <c r="S84" s="57">
        <f t="shared" ref="S84" si="106">S56-S83</f>
        <v>234</v>
      </c>
      <c r="T84" s="58">
        <f t="shared" ref="T84" si="107">T56-T83</f>
        <v>55</v>
      </c>
      <c r="U84" s="56">
        <f>SUM(R84:T84)</f>
        <v>449</v>
      </c>
      <c r="V84" s="31">
        <f>Q84+U84</f>
        <v>707</v>
      </c>
      <c r="Y84" s="22" t="s">
        <v>17</v>
      </c>
      <c r="Z84" s="50">
        <f>Z56-Z83</f>
        <v>0</v>
      </c>
      <c r="AA84" s="57">
        <f t="shared" ref="AA84:AB84" si="108">AA56-AA83</f>
        <v>0</v>
      </c>
      <c r="AB84" s="58">
        <f t="shared" si="108"/>
        <v>0</v>
      </c>
      <c r="AC84" s="56">
        <f>SUM(Z84:AB84)</f>
        <v>0</v>
      </c>
      <c r="AD84" s="50">
        <f>AD56-AD83</f>
        <v>0</v>
      </c>
      <c r="AE84" s="57">
        <f t="shared" ref="AE84:AF84" si="109">AE56-AE83</f>
        <v>0</v>
      </c>
      <c r="AF84" s="58">
        <f t="shared" si="109"/>
        <v>0</v>
      </c>
      <c r="AG84" s="56">
        <f>SUM(AD84:AF84)</f>
        <v>0</v>
      </c>
      <c r="AH84" s="31">
        <f>AC84+AG84</f>
        <v>0</v>
      </c>
    </row>
    <row r="87" spans="1:35" ht="19.5" thickBot="1" x14ac:dyDescent="0.25">
      <c r="A87" s="3" t="s">
        <v>21</v>
      </c>
      <c r="B87" s="1"/>
      <c r="C87" s="1"/>
      <c r="D87" s="1"/>
      <c r="E87" s="1"/>
      <c r="F87" s="1"/>
      <c r="G87" s="1"/>
      <c r="H87" s="1"/>
      <c r="I87" s="1"/>
      <c r="J87" s="1"/>
      <c r="M87" s="3" t="s">
        <v>22</v>
      </c>
      <c r="N87" s="1"/>
      <c r="O87" s="1"/>
      <c r="P87" s="1"/>
      <c r="Q87" s="1"/>
      <c r="R87" s="1"/>
      <c r="S87" s="1"/>
      <c r="T87" s="1"/>
      <c r="U87" s="1"/>
      <c r="V87" s="1"/>
      <c r="Y87" s="3" t="s">
        <v>23</v>
      </c>
      <c r="Z87" s="1"/>
      <c r="AA87" s="1"/>
      <c r="AB87" s="1"/>
      <c r="AC87" s="1"/>
      <c r="AD87" s="1"/>
      <c r="AE87" s="1"/>
      <c r="AF87" s="1"/>
      <c r="AG87" s="1"/>
      <c r="AH87" s="1"/>
    </row>
    <row r="88" spans="1:35" ht="14.25" thickBot="1" x14ac:dyDescent="0.2">
      <c r="A88" s="7" t="s">
        <v>0</v>
      </c>
      <c r="B88" s="165" t="s">
        <v>24</v>
      </c>
      <c r="C88" s="166"/>
      <c r="D88" s="166"/>
      <c r="E88" s="170"/>
      <c r="F88" s="165" t="s">
        <v>18</v>
      </c>
      <c r="G88" s="166"/>
      <c r="H88" s="166"/>
      <c r="I88" s="167"/>
      <c r="J88" s="168" t="s">
        <v>1</v>
      </c>
      <c r="M88" s="7" t="s">
        <v>0</v>
      </c>
      <c r="N88" s="165" t="s">
        <v>24</v>
      </c>
      <c r="O88" s="166"/>
      <c r="P88" s="166"/>
      <c r="Q88" s="170"/>
      <c r="R88" s="165" t="s">
        <v>18</v>
      </c>
      <c r="S88" s="166"/>
      <c r="T88" s="166"/>
      <c r="U88" s="167"/>
      <c r="V88" s="168" t="s">
        <v>1</v>
      </c>
      <c r="Y88" s="7" t="s">
        <v>0</v>
      </c>
      <c r="Z88" s="165" t="s">
        <v>24</v>
      </c>
      <c r="AA88" s="166"/>
      <c r="AB88" s="166"/>
      <c r="AC88" s="170"/>
      <c r="AD88" s="165" t="s">
        <v>18</v>
      </c>
      <c r="AE88" s="166"/>
      <c r="AF88" s="166"/>
      <c r="AG88" s="167"/>
      <c r="AH88" s="168" t="s">
        <v>1</v>
      </c>
    </row>
    <row r="89" spans="1:35" ht="14.25" thickBot="1" x14ac:dyDescent="0.2">
      <c r="A89" s="7" t="s">
        <v>2</v>
      </c>
      <c r="B89" s="4" t="s">
        <v>3</v>
      </c>
      <c r="C89" s="5" t="s">
        <v>4</v>
      </c>
      <c r="D89" s="6" t="s">
        <v>5</v>
      </c>
      <c r="E89" s="7" t="s">
        <v>6</v>
      </c>
      <c r="F89" s="4" t="s">
        <v>3</v>
      </c>
      <c r="G89" s="5" t="s">
        <v>4</v>
      </c>
      <c r="H89" s="6" t="s">
        <v>5</v>
      </c>
      <c r="I89" s="7" t="s">
        <v>6</v>
      </c>
      <c r="J89" s="169"/>
      <c r="M89" s="7" t="s">
        <v>2</v>
      </c>
      <c r="N89" s="4" t="s">
        <v>3</v>
      </c>
      <c r="O89" s="5" t="s">
        <v>4</v>
      </c>
      <c r="P89" s="6" t="s">
        <v>5</v>
      </c>
      <c r="Q89" s="7" t="s">
        <v>6</v>
      </c>
      <c r="R89" s="4" t="s">
        <v>3</v>
      </c>
      <c r="S89" s="5" t="s">
        <v>4</v>
      </c>
      <c r="T89" s="6" t="s">
        <v>5</v>
      </c>
      <c r="U89" s="7" t="s">
        <v>6</v>
      </c>
      <c r="V89" s="169"/>
      <c r="Y89" s="7" t="s">
        <v>2</v>
      </c>
      <c r="Z89" s="4" t="s">
        <v>3</v>
      </c>
      <c r="AA89" s="5" t="s">
        <v>4</v>
      </c>
      <c r="AB89" s="6" t="s">
        <v>5</v>
      </c>
      <c r="AC89" s="7" t="s">
        <v>6</v>
      </c>
      <c r="AD89" s="4" t="s">
        <v>3</v>
      </c>
      <c r="AE89" s="5" t="s">
        <v>4</v>
      </c>
      <c r="AF89" s="6" t="s">
        <v>5</v>
      </c>
      <c r="AG89" s="7" t="s">
        <v>6</v>
      </c>
      <c r="AH89" s="169"/>
    </row>
    <row r="90" spans="1:35" ht="14.25" thickBot="1" x14ac:dyDescent="0.2">
      <c r="A90" s="27" t="s">
        <v>20</v>
      </c>
      <c r="B90" s="38">
        <f>B84</f>
        <v>2</v>
      </c>
      <c r="C90" s="39">
        <f>C84</f>
        <v>9</v>
      </c>
      <c r="D90" s="2">
        <f>D84</f>
        <v>7</v>
      </c>
      <c r="E90" s="36">
        <f>SUM(B90:D90)</f>
        <v>18</v>
      </c>
      <c r="F90" s="38">
        <f>F84</f>
        <v>7</v>
      </c>
      <c r="G90" s="39">
        <f>G84</f>
        <v>6</v>
      </c>
      <c r="H90" s="2">
        <f>H84</f>
        <v>5</v>
      </c>
      <c r="I90" s="36">
        <f>SUM(F90:H90)</f>
        <v>18</v>
      </c>
      <c r="J90" s="36">
        <f>E90+I90</f>
        <v>36</v>
      </c>
      <c r="M90" s="27" t="s">
        <v>20</v>
      </c>
      <c r="N90" s="38">
        <f>N84</f>
        <v>15</v>
      </c>
      <c r="O90" s="39">
        <f>O84</f>
        <v>111</v>
      </c>
      <c r="P90" s="2">
        <f>P84</f>
        <v>132</v>
      </c>
      <c r="Q90" s="36">
        <f>SUM(N90:P90)</f>
        <v>258</v>
      </c>
      <c r="R90" s="38">
        <f>R84</f>
        <v>160</v>
      </c>
      <c r="S90" s="39">
        <f>S84</f>
        <v>234</v>
      </c>
      <c r="T90" s="2">
        <f>T84</f>
        <v>55</v>
      </c>
      <c r="U90" s="36">
        <f>SUM(R90:T90)</f>
        <v>449</v>
      </c>
      <c r="V90" s="36">
        <f>Q90+U90</f>
        <v>707</v>
      </c>
      <c r="Y90" s="27" t="s">
        <v>20</v>
      </c>
      <c r="Z90" s="38">
        <f>Z84</f>
        <v>0</v>
      </c>
      <c r="AA90" s="39">
        <f>AA84</f>
        <v>0</v>
      </c>
      <c r="AB90" s="2">
        <f>AB84</f>
        <v>0</v>
      </c>
      <c r="AC90" s="36">
        <f>SUM(Z90:AB90)</f>
        <v>0</v>
      </c>
      <c r="AD90" s="38">
        <f>AD84</f>
        <v>0</v>
      </c>
      <c r="AE90" s="39">
        <f>AE84</f>
        <v>0</v>
      </c>
      <c r="AF90" s="2">
        <f>AF84</f>
        <v>0</v>
      </c>
      <c r="AG90" s="36">
        <f>SUM(AD90:AF90)</f>
        <v>0</v>
      </c>
      <c r="AH90" s="36">
        <f>AC90+AG90</f>
        <v>0</v>
      </c>
    </row>
    <row r="91" spans="1:35" x14ac:dyDescent="0.15">
      <c r="A91" s="25" t="s">
        <v>8</v>
      </c>
      <c r="B91" s="42">
        <v>5</v>
      </c>
      <c r="C91" s="43"/>
      <c r="D91" s="44"/>
      <c r="E91" s="48">
        <f>SUM(B91:D91)</f>
        <v>5</v>
      </c>
      <c r="F91" s="60">
        <v>3</v>
      </c>
      <c r="G91" s="43"/>
      <c r="H91" s="61">
        <v>3</v>
      </c>
      <c r="I91" s="48">
        <f>SUM(F91:H91)</f>
        <v>6</v>
      </c>
      <c r="J91" s="48">
        <f>E91+I91</f>
        <v>11</v>
      </c>
      <c r="K91" s="63">
        <v>43978</v>
      </c>
      <c r="M91" s="25" t="s">
        <v>8</v>
      </c>
      <c r="N91" s="42"/>
      <c r="O91" s="43"/>
      <c r="P91" s="44"/>
      <c r="Q91" s="48">
        <f>SUM(N91:P91)</f>
        <v>0</v>
      </c>
      <c r="R91" s="60"/>
      <c r="S91" s="43"/>
      <c r="T91" s="61"/>
      <c r="U91" s="48">
        <f>SUM(R91:T91)</f>
        <v>0</v>
      </c>
      <c r="V91" s="48">
        <f>Q91+U91</f>
        <v>0</v>
      </c>
      <c r="W91" s="140"/>
      <c r="Y91" s="25" t="s">
        <v>8</v>
      </c>
      <c r="Z91" s="42"/>
      <c r="AA91" s="43"/>
      <c r="AB91" s="44"/>
      <c r="AC91" s="48">
        <f>SUM(Z91:AB91)</f>
        <v>0</v>
      </c>
      <c r="AD91" s="60"/>
      <c r="AE91" s="43"/>
      <c r="AF91" s="61"/>
      <c r="AG91" s="48">
        <f>SUM(AD91:AF91)</f>
        <v>0</v>
      </c>
      <c r="AH91" s="48">
        <f>AC91+AG91</f>
        <v>0</v>
      </c>
    </row>
    <row r="92" spans="1:35" x14ac:dyDescent="0.15">
      <c r="A92" s="25" t="s">
        <v>123</v>
      </c>
      <c r="B92" s="8">
        <v>1</v>
      </c>
      <c r="C92" s="9">
        <v>1</v>
      </c>
      <c r="D92" s="52">
        <v>2</v>
      </c>
      <c r="E92" s="11">
        <f>SUM(B92:D92)</f>
        <v>4</v>
      </c>
      <c r="F92" s="12"/>
      <c r="G92" s="9">
        <v>1</v>
      </c>
      <c r="H92" s="10">
        <v>1</v>
      </c>
      <c r="I92" s="11">
        <f>SUM(F92:H92)</f>
        <v>2</v>
      </c>
      <c r="J92" s="11">
        <f>E92+I92</f>
        <v>6</v>
      </c>
      <c r="K92" s="63">
        <v>43978</v>
      </c>
      <c r="M92" s="25" t="s">
        <v>103</v>
      </c>
      <c r="N92" s="8">
        <v>300</v>
      </c>
      <c r="O92" s="9">
        <v>250</v>
      </c>
      <c r="P92" s="52">
        <v>50</v>
      </c>
      <c r="Q92" s="11">
        <f t="shared" ref="Q92:Q94" si="110">SUM(N92:P92)</f>
        <v>600</v>
      </c>
      <c r="R92" s="12">
        <v>350</v>
      </c>
      <c r="S92" s="9">
        <v>300</v>
      </c>
      <c r="T92" s="10">
        <v>150</v>
      </c>
      <c r="U92" s="11">
        <f t="shared" ref="U92:U94" si="111">SUM(R92:T92)</f>
        <v>800</v>
      </c>
      <c r="V92" s="11">
        <f t="shared" ref="V92:V94" si="112">Q92+U92</f>
        <v>1400</v>
      </c>
      <c r="W92" s="140" t="s">
        <v>118</v>
      </c>
      <c r="Y92" s="87" t="s">
        <v>103</v>
      </c>
      <c r="Z92" s="83">
        <v>300</v>
      </c>
      <c r="AA92" s="84">
        <v>250</v>
      </c>
      <c r="AB92" s="88">
        <v>50</v>
      </c>
      <c r="AC92" s="69">
        <f t="shared" ref="AC92" si="113">SUM(Z92:AB92)</f>
        <v>600</v>
      </c>
      <c r="AD92" s="86">
        <v>350</v>
      </c>
      <c r="AE92" s="84">
        <v>300</v>
      </c>
      <c r="AF92" s="85">
        <v>150</v>
      </c>
      <c r="AG92" s="69">
        <f t="shared" ref="AG92" si="114">SUM(AD92:AF92)</f>
        <v>800</v>
      </c>
      <c r="AH92" s="69">
        <f t="shared" ref="AH92" si="115">AC92+AG92</f>
        <v>1400</v>
      </c>
      <c r="AI92" s="101">
        <v>43973</v>
      </c>
    </row>
    <row r="93" spans="1:35" x14ac:dyDescent="0.15">
      <c r="A93" s="25" t="s">
        <v>10</v>
      </c>
      <c r="B93" s="17"/>
      <c r="C93" s="18"/>
      <c r="D93" s="51">
        <v>5</v>
      </c>
      <c r="E93" s="11">
        <f t="shared" ref="E93:E98" si="116">SUM(B93:D93)</f>
        <v>5</v>
      </c>
      <c r="F93" s="20">
        <v>5</v>
      </c>
      <c r="G93" s="18">
        <v>5</v>
      </c>
      <c r="H93" s="19"/>
      <c r="I93" s="11">
        <f t="shared" ref="I93:I98" si="117">SUM(F93:H93)</f>
        <v>10</v>
      </c>
      <c r="J93" s="11">
        <f t="shared" ref="J93:J98" si="118">E93+I93</f>
        <v>15</v>
      </c>
      <c r="K93" s="63">
        <v>43991</v>
      </c>
      <c r="M93" s="25" t="s">
        <v>10</v>
      </c>
      <c r="N93" s="17"/>
      <c r="O93" s="18"/>
      <c r="P93" s="51"/>
      <c r="Q93" s="11">
        <f t="shared" si="110"/>
        <v>0</v>
      </c>
      <c r="R93" s="20"/>
      <c r="S93" s="18"/>
      <c r="T93" s="19"/>
      <c r="U93" s="11">
        <f t="shared" si="111"/>
        <v>0</v>
      </c>
      <c r="V93" s="11">
        <f t="shared" si="112"/>
        <v>0</v>
      </c>
      <c r="W93" s="142" t="s">
        <v>85</v>
      </c>
      <c r="Y93" s="25" t="s">
        <v>10</v>
      </c>
      <c r="Z93" s="17"/>
      <c r="AA93" s="18"/>
      <c r="AB93" s="51"/>
      <c r="AC93" s="11">
        <f t="shared" ref="AC93:AC98" si="119">SUM(Z93:AB93)</f>
        <v>0</v>
      </c>
      <c r="AD93" s="20"/>
      <c r="AE93" s="18"/>
      <c r="AF93" s="19"/>
      <c r="AG93" s="11">
        <f t="shared" ref="AG93:AG98" si="120">SUM(AD93:AF93)</f>
        <v>0</v>
      </c>
      <c r="AH93" s="11">
        <f t="shared" ref="AH93:AH98" si="121">AC93+AG93</f>
        <v>0</v>
      </c>
      <c r="AI93" t="s">
        <v>85</v>
      </c>
    </row>
    <row r="94" spans="1:35" x14ac:dyDescent="0.15">
      <c r="A94" s="25" t="s">
        <v>11</v>
      </c>
      <c r="B94" s="8"/>
      <c r="C94" s="9"/>
      <c r="D94" s="52"/>
      <c r="E94" s="11">
        <f t="shared" si="116"/>
        <v>0</v>
      </c>
      <c r="F94" s="12">
        <v>5</v>
      </c>
      <c r="G94" s="9"/>
      <c r="H94" s="10"/>
      <c r="I94" s="11">
        <f t="shared" si="117"/>
        <v>5</v>
      </c>
      <c r="J94" s="11">
        <f t="shared" si="118"/>
        <v>5</v>
      </c>
      <c r="K94" s="63">
        <v>43997</v>
      </c>
      <c r="L94" s="82"/>
      <c r="M94" s="25" t="s">
        <v>104</v>
      </c>
      <c r="N94" s="8">
        <v>209</v>
      </c>
      <c r="O94" s="9">
        <v>161</v>
      </c>
      <c r="P94" s="52">
        <v>119</v>
      </c>
      <c r="Q94" s="11">
        <f t="shared" si="110"/>
        <v>489</v>
      </c>
      <c r="R94" s="12">
        <v>71</v>
      </c>
      <c r="S94" s="9">
        <v>71</v>
      </c>
      <c r="T94" s="10">
        <v>71</v>
      </c>
      <c r="U94" s="11">
        <f t="shared" si="111"/>
        <v>213</v>
      </c>
      <c r="V94" s="11">
        <f t="shared" si="112"/>
        <v>702</v>
      </c>
      <c r="W94" s="140" t="s">
        <v>118</v>
      </c>
      <c r="Y94" s="87" t="s">
        <v>104</v>
      </c>
      <c r="Z94" s="83">
        <v>209</v>
      </c>
      <c r="AA94" s="84">
        <v>161</v>
      </c>
      <c r="AB94" s="88">
        <v>119</v>
      </c>
      <c r="AC94" s="69">
        <f t="shared" si="119"/>
        <v>489</v>
      </c>
      <c r="AD94" s="86">
        <v>71</v>
      </c>
      <c r="AE94" s="84">
        <v>71</v>
      </c>
      <c r="AF94" s="85">
        <v>71</v>
      </c>
      <c r="AG94" s="69">
        <f t="shared" si="120"/>
        <v>213</v>
      </c>
      <c r="AH94" s="69">
        <f t="shared" si="121"/>
        <v>702</v>
      </c>
      <c r="AI94" s="101">
        <v>43973</v>
      </c>
    </row>
    <row r="95" spans="1:35" x14ac:dyDescent="0.15">
      <c r="A95" s="25" t="s">
        <v>134</v>
      </c>
      <c r="B95" s="8"/>
      <c r="C95" s="9">
        <v>1</v>
      </c>
      <c r="D95" s="52"/>
      <c r="E95" s="11">
        <f t="shared" si="116"/>
        <v>1</v>
      </c>
      <c r="F95" s="12"/>
      <c r="G95" s="9">
        <v>1</v>
      </c>
      <c r="H95" s="10"/>
      <c r="I95" s="11">
        <f t="shared" si="117"/>
        <v>1</v>
      </c>
      <c r="J95" s="11">
        <f t="shared" si="118"/>
        <v>2</v>
      </c>
      <c r="K95" s="63">
        <v>43994</v>
      </c>
      <c r="L95" s="82"/>
      <c r="M95" s="25" t="s">
        <v>12</v>
      </c>
      <c r="N95" s="8"/>
      <c r="O95" s="9"/>
      <c r="P95" s="52"/>
      <c r="Q95" s="11">
        <f t="shared" ref="Q95:Q98" si="122">SUM(N95:P95)</f>
        <v>0</v>
      </c>
      <c r="R95" s="12"/>
      <c r="S95" s="9"/>
      <c r="T95" s="10"/>
      <c r="U95" s="11">
        <f t="shared" ref="U95:U98" si="123">SUM(R95:T95)</f>
        <v>0</v>
      </c>
      <c r="V95" s="11">
        <f t="shared" ref="V95:V98" si="124">Q95+U95</f>
        <v>0</v>
      </c>
      <c r="W95" s="144" t="s">
        <v>85</v>
      </c>
      <c r="Y95" s="25" t="s">
        <v>12</v>
      </c>
      <c r="Z95" s="8"/>
      <c r="AA95" s="9"/>
      <c r="AB95" s="52"/>
      <c r="AC95" s="11">
        <f t="shared" si="119"/>
        <v>0</v>
      </c>
      <c r="AD95" s="12"/>
      <c r="AE95" s="9"/>
      <c r="AF95" s="10"/>
      <c r="AG95" s="11">
        <f t="shared" si="120"/>
        <v>0</v>
      </c>
      <c r="AH95" s="11">
        <f t="shared" si="121"/>
        <v>0</v>
      </c>
      <c r="AI95" s="71" t="s">
        <v>85</v>
      </c>
    </row>
    <row r="96" spans="1:35" x14ac:dyDescent="0.15">
      <c r="A96" s="25" t="s">
        <v>137</v>
      </c>
      <c r="B96" s="8"/>
      <c r="C96" s="9">
        <v>1</v>
      </c>
      <c r="D96" s="52"/>
      <c r="E96" s="11">
        <f t="shared" si="116"/>
        <v>1</v>
      </c>
      <c r="F96" s="12"/>
      <c r="G96" s="9"/>
      <c r="H96" s="10"/>
      <c r="I96" s="11">
        <f t="shared" si="117"/>
        <v>0</v>
      </c>
      <c r="J96" s="11">
        <f t="shared" si="118"/>
        <v>1</v>
      </c>
      <c r="K96" s="63">
        <v>43999</v>
      </c>
      <c r="M96" s="25" t="s">
        <v>116</v>
      </c>
      <c r="N96" s="8">
        <v>87</v>
      </c>
      <c r="O96" s="9">
        <v>122</v>
      </c>
      <c r="P96" s="52">
        <v>144</v>
      </c>
      <c r="Q96" s="11">
        <f t="shared" si="122"/>
        <v>353</v>
      </c>
      <c r="R96" s="12">
        <v>90</v>
      </c>
      <c r="S96" s="9">
        <v>81</v>
      </c>
      <c r="T96" s="10">
        <v>127</v>
      </c>
      <c r="U96" s="11">
        <f t="shared" si="123"/>
        <v>298</v>
      </c>
      <c r="V96" s="11">
        <f t="shared" si="124"/>
        <v>651</v>
      </c>
      <c r="W96" s="140" t="s">
        <v>128</v>
      </c>
      <c r="Y96" s="87" t="s">
        <v>116</v>
      </c>
      <c r="Z96" s="83">
        <v>87</v>
      </c>
      <c r="AA96" s="84">
        <v>122</v>
      </c>
      <c r="AB96" s="88">
        <v>144</v>
      </c>
      <c r="AC96" s="69">
        <f t="shared" si="119"/>
        <v>353</v>
      </c>
      <c r="AD96" s="86">
        <v>90</v>
      </c>
      <c r="AE96" s="84">
        <v>81</v>
      </c>
      <c r="AF96" s="85">
        <v>127</v>
      </c>
      <c r="AG96" s="69">
        <f t="shared" si="120"/>
        <v>298</v>
      </c>
      <c r="AH96" s="69">
        <f t="shared" si="121"/>
        <v>651</v>
      </c>
    </row>
    <row r="97" spans="1:35" x14ac:dyDescent="0.15">
      <c r="A97" s="25" t="s">
        <v>14</v>
      </c>
      <c r="B97" s="13"/>
      <c r="C97" s="14"/>
      <c r="D97" s="53">
        <v>5</v>
      </c>
      <c r="E97" s="11">
        <f t="shared" si="116"/>
        <v>5</v>
      </c>
      <c r="F97" s="16">
        <v>5</v>
      </c>
      <c r="G97" s="14">
        <v>5</v>
      </c>
      <c r="H97" s="15">
        <v>5</v>
      </c>
      <c r="I97" s="11">
        <f t="shared" si="117"/>
        <v>15</v>
      </c>
      <c r="J97" s="11">
        <f t="shared" si="118"/>
        <v>20</v>
      </c>
      <c r="K97" s="71">
        <v>44004</v>
      </c>
      <c r="M97" s="25" t="s">
        <v>14</v>
      </c>
      <c r="N97" s="13"/>
      <c r="O97" s="14"/>
      <c r="P97" s="53"/>
      <c r="Q97" s="11">
        <f t="shared" si="122"/>
        <v>0</v>
      </c>
      <c r="R97" s="16"/>
      <c r="S97" s="14"/>
      <c r="T97" s="15"/>
      <c r="U97" s="11">
        <f t="shared" si="123"/>
        <v>0</v>
      </c>
      <c r="V97" s="11">
        <f t="shared" si="124"/>
        <v>0</v>
      </c>
      <c r="Y97" s="25" t="s">
        <v>14</v>
      </c>
      <c r="Z97" s="13"/>
      <c r="AA97" s="14"/>
      <c r="AB97" s="53"/>
      <c r="AC97" s="11">
        <f t="shared" si="119"/>
        <v>0</v>
      </c>
      <c r="AD97" s="16"/>
      <c r="AE97" s="14"/>
      <c r="AF97" s="15"/>
      <c r="AG97" s="11">
        <f t="shared" si="120"/>
        <v>0</v>
      </c>
      <c r="AH97" s="11">
        <f t="shared" si="121"/>
        <v>0</v>
      </c>
    </row>
    <row r="98" spans="1:35" ht="14.25" thickBot="1" x14ac:dyDescent="0.2">
      <c r="A98" s="25" t="s">
        <v>15</v>
      </c>
      <c r="B98" s="13"/>
      <c r="C98" s="14"/>
      <c r="D98" s="53"/>
      <c r="E98" s="62">
        <f t="shared" si="116"/>
        <v>0</v>
      </c>
      <c r="F98" s="34"/>
      <c r="G98" s="34"/>
      <c r="H98" s="37"/>
      <c r="I98" s="62">
        <f t="shared" si="117"/>
        <v>0</v>
      </c>
      <c r="J98" s="21">
        <f t="shared" si="118"/>
        <v>0</v>
      </c>
      <c r="K98" s="63"/>
      <c r="M98" s="25" t="s">
        <v>15</v>
      </c>
      <c r="N98" s="13"/>
      <c r="O98" s="14"/>
      <c r="P98" s="53"/>
      <c r="Q98" s="62">
        <f t="shared" si="122"/>
        <v>0</v>
      </c>
      <c r="R98" s="34"/>
      <c r="S98" s="34"/>
      <c r="T98" s="37"/>
      <c r="U98" s="62">
        <f t="shared" si="123"/>
        <v>0</v>
      </c>
      <c r="V98" s="21">
        <f t="shared" si="124"/>
        <v>0</v>
      </c>
      <c r="Y98" s="25" t="s">
        <v>15</v>
      </c>
      <c r="Z98" s="13"/>
      <c r="AA98" s="14"/>
      <c r="AB98" s="53"/>
      <c r="AC98" s="62">
        <f t="shared" si="119"/>
        <v>0</v>
      </c>
      <c r="AD98" s="34"/>
      <c r="AE98" s="34"/>
      <c r="AF98" s="37"/>
      <c r="AG98" s="62">
        <f t="shared" si="120"/>
        <v>0</v>
      </c>
      <c r="AH98" s="21">
        <f t="shared" si="121"/>
        <v>0</v>
      </c>
    </row>
    <row r="99" spans="1:35" ht="14.25" thickBot="1" x14ac:dyDescent="0.2">
      <c r="A99" s="35" t="s">
        <v>16</v>
      </c>
      <c r="B99" s="28">
        <f>SUM(B90:B98)</f>
        <v>8</v>
      </c>
      <c r="C99" s="29">
        <f t="shared" ref="C99:D99" si="125">SUM(C90:C98)</f>
        <v>12</v>
      </c>
      <c r="D99" s="68">
        <f t="shared" si="125"/>
        <v>19</v>
      </c>
      <c r="E99" s="64">
        <f>SUM(B99:D99)</f>
        <v>39</v>
      </c>
      <c r="F99" s="28">
        <f>SUM(F90:F98)</f>
        <v>25</v>
      </c>
      <c r="G99" s="29">
        <f t="shared" ref="G99:H99" si="126">SUM(G90:G98)</f>
        <v>18</v>
      </c>
      <c r="H99" s="68">
        <f t="shared" si="126"/>
        <v>14</v>
      </c>
      <c r="I99" s="64">
        <f>SUM(F99:H99)</f>
        <v>57</v>
      </c>
      <c r="J99" s="31">
        <f>SUM(J91:J98)</f>
        <v>60</v>
      </c>
      <c r="M99" s="35" t="s">
        <v>16</v>
      </c>
      <c r="N99" s="28">
        <f>SUM(N90:N98)</f>
        <v>611</v>
      </c>
      <c r="O99" s="29">
        <f t="shared" ref="O99:P99" si="127">SUM(O90:O98)</f>
        <v>644</v>
      </c>
      <c r="P99" s="68">
        <f t="shared" si="127"/>
        <v>445</v>
      </c>
      <c r="Q99" s="64">
        <f>SUM(N99:P99)</f>
        <v>1700</v>
      </c>
      <c r="R99" s="28">
        <f>SUM(R90:R98)</f>
        <v>671</v>
      </c>
      <c r="S99" s="29">
        <f t="shared" ref="S99:T99" si="128">SUM(S90:S98)</f>
        <v>686</v>
      </c>
      <c r="T99" s="68">
        <f t="shared" si="128"/>
        <v>403</v>
      </c>
      <c r="U99" s="64">
        <f>SUM(R99:T99)</f>
        <v>1760</v>
      </c>
      <c r="V99" s="31">
        <f>Q99+U99</f>
        <v>3460</v>
      </c>
      <c r="Y99" s="35" t="s">
        <v>16</v>
      </c>
      <c r="Z99" s="28">
        <f>SUM(Z90:Z98)</f>
        <v>596</v>
      </c>
      <c r="AA99" s="29">
        <f t="shared" ref="AA99:AB99" si="129">SUM(AA90:AA98)</f>
        <v>533</v>
      </c>
      <c r="AB99" s="68">
        <f t="shared" si="129"/>
        <v>313</v>
      </c>
      <c r="AC99" s="64">
        <f>SUM(Z99:AB99)</f>
        <v>1442</v>
      </c>
      <c r="AD99" s="28">
        <f>SUM(AD90:AD98)</f>
        <v>511</v>
      </c>
      <c r="AE99" s="29">
        <f t="shared" ref="AE99:AF99" si="130">SUM(AE90:AE98)</f>
        <v>452</v>
      </c>
      <c r="AF99" s="68">
        <f t="shared" si="130"/>
        <v>348</v>
      </c>
      <c r="AG99" s="64">
        <f>SUM(AD99:AF99)</f>
        <v>1311</v>
      </c>
      <c r="AH99" s="31">
        <f>AC99+AG99</f>
        <v>2753</v>
      </c>
    </row>
    <row r="100" spans="1:35" x14ac:dyDescent="0.15">
      <c r="A100" s="23" t="s">
        <v>33</v>
      </c>
      <c r="B100" s="65">
        <v>2</v>
      </c>
      <c r="C100" s="66"/>
      <c r="D100" s="67"/>
      <c r="E100" s="49">
        <f>SUM(B100:D100)</f>
        <v>2</v>
      </c>
      <c r="F100" s="16">
        <v>1</v>
      </c>
      <c r="G100" s="14"/>
      <c r="H100" s="15"/>
      <c r="I100" s="49">
        <f>SUM(F100:H100)</f>
        <v>1</v>
      </c>
      <c r="J100" s="11">
        <f>E100+I100</f>
        <v>3</v>
      </c>
      <c r="K100" s="63">
        <v>43966</v>
      </c>
      <c r="M100" s="26" t="s">
        <v>102</v>
      </c>
      <c r="N100" s="65">
        <v>4</v>
      </c>
      <c r="O100" s="66"/>
      <c r="P100" s="67"/>
      <c r="Q100" s="49">
        <f>SUM(N100:P100)</f>
        <v>4</v>
      </c>
      <c r="R100" s="16">
        <v>4</v>
      </c>
      <c r="S100" s="14"/>
      <c r="T100" s="15"/>
      <c r="U100" s="49">
        <f>SUM(R100:T100)</f>
        <v>4</v>
      </c>
      <c r="V100" s="11">
        <f>Q100+U100</f>
        <v>8</v>
      </c>
      <c r="W100" s="140">
        <v>43977</v>
      </c>
      <c r="Y100" s="81" t="s">
        <v>114</v>
      </c>
      <c r="Z100" s="83">
        <v>300</v>
      </c>
      <c r="AA100" s="84">
        <v>250</v>
      </c>
      <c r="AB100" s="88">
        <v>50</v>
      </c>
      <c r="AC100" s="69">
        <f t="shared" ref="AC100:AC104" si="131">SUM(Z100:AB100)</f>
        <v>600</v>
      </c>
      <c r="AD100" s="86">
        <v>350</v>
      </c>
      <c r="AE100" s="84">
        <v>300</v>
      </c>
      <c r="AF100" s="85">
        <v>150</v>
      </c>
      <c r="AG100" s="69">
        <f t="shared" ref="AG100:AG104" si="132">SUM(AD100:AF100)</f>
        <v>800</v>
      </c>
      <c r="AH100" s="69">
        <f t="shared" ref="AH100:AH104" si="133">AC100+AG100</f>
        <v>1400</v>
      </c>
      <c r="AI100" s="101">
        <v>43973</v>
      </c>
    </row>
    <row r="101" spans="1:35" x14ac:dyDescent="0.15">
      <c r="A101" s="23" t="s">
        <v>33</v>
      </c>
      <c r="B101" s="8"/>
      <c r="C101" s="9"/>
      <c r="D101" s="10">
        <v>1</v>
      </c>
      <c r="E101" s="49">
        <f t="shared" ref="E101:E126" si="134">SUM(B101:D101)</f>
        <v>1</v>
      </c>
      <c r="F101" s="12">
        <v>2</v>
      </c>
      <c r="G101" s="9">
        <v>1</v>
      </c>
      <c r="H101" s="10">
        <v>1</v>
      </c>
      <c r="I101" s="49">
        <f t="shared" ref="I101:I126" si="135">SUM(F101:H101)</f>
        <v>4</v>
      </c>
      <c r="J101" s="11">
        <f t="shared" ref="J101:J125" si="136">E101+I101</f>
        <v>5</v>
      </c>
      <c r="K101" s="63">
        <v>43967</v>
      </c>
      <c r="M101" s="26" t="s">
        <v>107</v>
      </c>
      <c r="N101" s="8">
        <v>10</v>
      </c>
      <c r="O101" s="9"/>
      <c r="P101" s="10"/>
      <c r="Q101" s="49">
        <f t="shared" ref="Q101:Q126" si="137">SUM(N101:P101)</f>
        <v>10</v>
      </c>
      <c r="R101" s="12">
        <v>10</v>
      </c>
      <c r="S101" s="9"/>
      <c r="T101" s="10"/>
      <c r="U101" s="49">
        <f t="shared" ref="U101:U126" si="138">SUM(R101:T101)</f>
        <v>10</v>
      </c>
      <c r="V101" s="11">
        <f t="shared" ref="V101:V121" si="139">Q101+U101</f>
        <v>20</v>
      </c>
      <c r="W101" s="140">
        <v>43977</v>
      </c>
      <c r="Y101" s="26"/>
      <c r="Z101" s="17"/>
      <c r="AA101" s="18"/>
      <c r="AB101" s="51"/>
      <c r="AC101" s="11">
        <f t="shared" si="131"/>
        <v>0</v>
      </c>
      <c r="AD101" s="20"/>
      <c r="AE101" s="18"/>
      <c r="AF101" s="19"/>
      <c r="AG101" s="11">
        <f t="shared" si="132"/>
        <v>0</v>
      </c>
      <c r="AH101" s="11">
        <f t="shared" si="133"/>
        <v>0</v>
      </c>
      <c r="AI101" t="s">
        <v>85</v>
      </c>
    </row>
    <row r="102" spans="1:35" x14ac:dyDescent="0.15">
      <c r="A102" s="23" t="s">
        <v>33</v>
      </c>
      <c r="B102" s="8"/>
      <c r="C102" s="9"/>
      <c r="D102" s="10">
        <v>1</v>
      </c>
      <c r="E102" s="49">
        <f t="shared" si="134"/>
        <v>1</v>
      </c>
      <c r="F102" s="12">
        <v>2</v>
      </c>
      <c r="G102" s="9"/>
      <c r="H102" s="10">
        <v>1</v>
      </c>
      <c r="I102" s="49">
        <f t="shared" si="135"/>
        <v>3</v>
      </c>
      <c r="J102" s="11">
        <f t="shared" si="136"/>
        <v>4</v>
      </c>
      <c r="K102" s="63">
        <v>43969</v>
      </c>
      <c r="M102" s="23" t="s">
        <v>108</v>
      </c>
      <c r="N102" s="8">
        <v>1</v>
      </c>
      <c r="O102" s="9"/>
      <c r="P102" s="10"/>
      <c r="Q102" s="49">
        <f t="shared" si="137"/>
        <v>1</v>
      </c>
      <c r="R102" s="12">
        <v>1</v>
      </c>
      <c r="S102" s="9"/>
      <c r="T102" s="10"/>
      <c r="U102" s="49">
        <f t="shared" si="138"/>
        <v>1</v>
      </c>
      <c r="V102" s="11">
        <f t="shared" si="139"/>
        <v>2</v>
      </c>
      <c r="W102" s="140">
        <v>43966</v>
      </c>
      <c r="X102" s="82"/>
      <c r="Y102" s="81" t="s">
        <v>115</v>
      </c>
      <c r="Z102" s="83">
        <v>209</v>
      </c>
      <c r="AA102" s="84">
        <v>161</v>
      </c>
      <c r="AB102" s="88">
        <v>119</v>
      </c>
      <c r="AC102" s="69">
        <f t="shared" si="131"/>
        <v>489</v>
      </c>
      <c r="AD102" s="86">
        <v>71</v>
      </c>
      <c r="AE102" s="84">
        <v>71</v>
      </c>
      <c r="AF102" s="85">
        <v>71</v>
      </c>
      <c r="AG102" s="69">
        <f t="shared" si="132"/>
        <v>213</v>
      </c>
      <c r="AH102" s="69">
        <f t="shared" si="133"/>
        <v>702</v>
      </c>
      <c r="AI102" s="101">
        <v>43973</v>
      </c>
    </row>
    <row r="103" spans="1:35" x14ac:dyDescent="0.15">
      <c r="A103" s="23" t="s">
        <v>33</v>
      </c>
      <c r="B103" s="8"/>
      <c r="C103" s="9">
        <v>1</v>
      </c>
      <c r="D103" s="10"/>
      <c r="E103" s="49">
        <f t="shared" si="134"/>
        <v>1</v>
      </c>
      <c r="F103" s="12"/>
      <c r="G103" s="9"/>
      <c r="H103" s="10"/>
      <c r="I103" s="49">
        <f t="shared" si="135"/>
        <v>0</v>
      </c>
      <c r="J103" s="11">
        <f t="shared" si="136"/>
        <v>1</v>
      </c>
      <c r="K103" s="63">
        <v>43970</v>
      </c>
      <c r="L103" s="82"/>
      <c r="M103" s="24" t="s">
        <v>110</v>
      </c>
      <c r="N103" s="8">
        <v>10</v>
      </c>
      <c r="O103" s="9"/>
      <c r="P103" s="10"/>
      <c r="Q103" s="49">
        <f t="shared" si="137"/>
        <v>10</v>
      </c>
      <c r="R103" s="12"/>
      <c r="S103" s="9"/>
      <c r="T103" s="10"/>
      <c r="U103" s="49">
        <f t="shared" si="138"/>
        <v>0</v>
      </c>
      <c r="V103" s="11">
        <f t="shared" si="139"/>
        <v>10</v>
      </c>
      <c r="W103" s="140">
        <v>43967</v>
      </c>
      <c r="X103" s="82"/>
      <c r="Y103" s="26"/>
      <c r="Z103" s="8"/>
      <c r="AA103" s="9"/>
      <c r="AB103" s="52"/>
      <c r="AC103" s="11">
        <f t="shared" si="131"/>
        <v>0</v>
      </c>
      <c r="AD103" s="12"/>
      <c r="AE103" s="9"/>
      <c r="AF103" s="10"/>
      <c r="AG103" s="11">
        <f t="shared" si="132"/>
        <v>0</v>
      </c>
      <c r="AH103" s="11">
        <f t="shared" si="133"/>
        <v>0</v>
      </c>
      <c r="AI103" s="71" t="s">
        <v>85</v>
      </c>
    </row>
    <row r="104" spans="1:35" x14ac:dyDescent="0.15">
      <c r="A104" s="23" t="s">
        <v>33</v>
      </c>
      <c r="B104" s="8"/>
      <c r="C104" s="9"/>
      <c r="D104" s="10">
        <v>1</v>
      </c>
      <c r="E104" s="49">
        <f t="shared" si="134"/>
        <v>1</v>
      </c>
      <c r="F104" s="12"/>
      <c r="G104" s="9"/>
      <c r="H104" s="10"/>
      <c r="I104" s="49">
        <f t="shared" si="135"/>
        <v>0</v>
      </c>
      <c r="J104" s="11">
        <f t="shared" si="136"/>
        <v>1</v>
      </c>
      <c r="K104" s="63">
        <v>43973</v>
      </c>
      <c r="L104" s="82"/>
      <c r="M104" s="26" t="s">
        <v>111</v>
      </c>
      <c r="N104" s="8"/>
      <c r="O104" s="9"/>
      <c r="P104" s="10">
        <v>5</v>
      </c>
      <c r="Q104" s="49">
        <f t="shared" si="137"/>
        <v>5</v>
      </c>
      <c r="R104" s="12"/>
      <c r="S104" s="9"/>
      <c r="T104" s="10">
        <v>5</v>
      </c>
      <c r="U104" s="49">
        <f t="shared" si="138"/>
        <v>5</v>
      </c>
      <c r="V104" s="11">
        <f t="shared" si="139"/>
        <v>10</v>
      </c>
      <c r="W104" s="140">
        <v>43977</v>
      </c>
      <c r="Y104" s="87" t="s">
        <v>116</v>
      </c>
      <c r="Z104" s="83">
        <v>87</v>
      </c>
      <c r="AA104" s="84">
        <v>122</v>
      </c>
      <c r="AB104" s="88">
        <v>144</v>
      </c>
      <c r="AC104" s="69">
        <f t="shared" si="131"/>
        <v>353</v>
      </c>
      <c r="AD104" s="86">
        <v>90</v>
      </c>
      <c r="AE104" s="84">
        <v>81</v>
      </c>
      <c r="AF104" s="85">
        <v>127</v>
      </c>
      <c r="AG104" s="69">
        <f t="shared" si="132"/>
        <v>298</v>
      </c>
      <c r="AH104" s="69">
        <f t="shared" si="133"/>
        <v>651</v>
      </c>
      <c r="AI104" s="70">
        <v>43985</v>
      </c>
    </row>
    <row r="105" spans="1:35" x14ac:dyDescent="0.15">
      <c r="A105" s="23" t="s">
        <v>33</v>
      </c>
      <c r="B105" s="8"/>
      <c r="C105" s="9"/>
      <c r="D105" s="10"/>
      <c r="E105" s="49">
        <f t="shared" si="134"/>
        <v>0</v>
      </c>
      <c r="F105" s="12"/>
      <c r="G105" s="9"/>
      <c r="H105" s="10">
        <v>1</v>
      </c>
      <c r="I105" s="49">
        <f t="shared" si="135"/>
        <v>1</v>
      </c>
      <c r="J105" s="11">
        <f t="shared" si="136"/>
        <v>1</v>
      </c>
      <c r="K105" s="63">
        <v>43976</v>
      </c>
      <c r="M105" s="26" t="s">
        <v>112</v>
      </c>
      <c r="N105" s="8">
        <v>10</v>
      </c>
      <c r="O105" s="9"/>
      <c r="P105" s="10"/>
      <c r="Q105" s="49">
        <f t="shared" si="137"/>
        <v>10</v>
      </c>
      <c r="R105" s="12">
        <v>10</v>
      </c>
      <c r="S105" s="9"/>
      <c r="T105" s="10"/>
      <c r="U105" s="49">
        <f t="shared" si="138"/>
        <v>10</v>
      </c>
      <c r="V105" s="11">
        <f t="shared" si="139"/>
        <v>20</v>
      </c>
      <c r="W105" s="140">
        <v>43977</v>
      </c>
      <c r="Y105" s="26"/>
      <c r="Z105" s="8"/>
      <c r="AA105" s="9"/>
      <c r="AB105" s="10"/>
      <c r="AC105" s="49">
        <f t="shared" ref="AC105:AC126" si="140">SUM(Z105:AB105)</f>
        <v>0</v>
      </c>
      <c r="AD105" s="12"/>
      <c r="AE105" s="9"/>
      <c r="AF105" s="10"/>
      <c r="AG105" s="49">
        <f t="shared" ref="AG105:AG126" si="141">SUM(AD105:AF105)</f>
        <v>0</v>
      </c>
      <c r="AH105" s="11">
        <f t="shared" ref="AH105:AH125" si="142">AC105+AG105</f>
        <v>0</v>
      </c>
    </row>
    <row r="106" spans="1:35" x14ac:dyDescent="0.15">
      <c r="A106" s="23" t="s">
        <v>124</v>
      </c>
      <c r="B106" s="8"/>
      <c r="C106" s="9">
        <v>1</v>
      </c>
      <c r="D106" s="10">
        <v>1</v>
      </c>
      <c r="E106" s="49">
        <f t="shared" si="134"/>
        <v>2</v>
      </c>
      <c r="F106" s="12"/>
      <c r="G106" s="9">
        <v>1</v>
      </c>
      <c r="H106" s="10">
        <v>1</v>
      </c>
      <c r="I106" s="49">
        <f t="shared" si="135"/>
        <v>2</v>
      </c>
      <c r="J106" s="11">
        <f t="shared" si="136"/>
        <v>4</v>
      </c>
      <c r="K106" s="63">
        <v>43980</v>
      </c>
      <c r="M106" s="24" t="s">
        <v>113</v>
      </c>
      <c r="N106" s="8"/>
      <c r="O106" s="9"/>
      <c r="P106" s="10"/>
      <c r="Q106" s="49">
        <f t="shared" si="137"/>
        <v>0</v>
      </c>
      <c r="R106" s="12"/>
      <c r="S106" s="9">
        <v>29</v>
      </c>
      <c r="T106" s="10"/>
      <c r="U106" s="49">
        <f t="shared" si="138"/>
        <v>29</v>
      </c>
      <c r="V106" s="11">
        <f t="shared" si="139"/>
        <v>29</v>
      </c>
      <c r="W106" s="140">
        <v>43973</v>
      </c>
      <c r="Y106" s="24"/>
      <c r="Z106" s="8"/>
      <c r="AA106" s="9"/>
      <c r="AB106" s="10"/>
      <c r="AC106" s="49">
        <f t="shared" si="140"/>
        <v>0</v>
      </c>
      <c r="AD106" s="12"/>
      <c r="AE106" s="9"/>
      <c r="AF106" s="10"/>
      <c r="AG106" s="49">
        <f t="shared" si="141"/>
        <v>0</v>
      </c>
      <c r="AH106" s="11">
        <f t="shared" si="142"/>
        <v>0</v>
      </c>
    </row>
    <row r="107" spans="1:35" ht="14.25" x14ac:dyDescent="0.15">
      <c r="A107" s="23" t="s">
        <v>33</v>
      </c>
      <c r="B107" s="8"/>
      <c r="C107" s="9"/>
      <c r="D107" s="10"/>
      <c r="E107" s="49">
        <f t="shared" si="134"/>
        <v>0</v>
      </c>
      <c r="F107" s="12"/>
      <c r="G107" s="9">
        <v>1</v>
      </c>
      <c r="H107" s="10"/>
      <c r="I107" s="49">
        <f t="shared" si="135"/>
        <v>1</v>
      </c>
      <c r="J107" s="11">
        <f t="shared" si="136"/>
        <v>1</v>
      </c>
      <c r="K107" s="73">
        <v>43981</v>
      </c>
      <c r="M107" s="26" t="s">
        <v>117</v>
      </c>
      <c r="N107" s="8"/>
      <c r="O107" s="9">
        <v>5</v>
      </c>
      <c r="P107" s="10">
        <v>5</v>
      </c>
      <c r="Q107" s="49">
        <f t="shared" si="137"/>
        <v>10</v>
      </c>
      <c r="R107" s="12"/>
      <c r="S107" s="9">
        <v>5</v>
      </c>
      <c r="T107" s="10">
        <v>5</v>
      </c>
      <c r="U107" s="49">
        <f t="shared" si="138"/>
        <v>10</v>
      </c>
      <c r="V107" s="11">
        <f t="shared" si="139"/>
        <v>20</v>
      </c>
      <c r="W107" s="140">
        <v>43978</v>
      </c>
      <c r="Y107" s="26"/>
      <c r="Z107" s="8"/>
      <c r="AA107" s="9"/>
      <c r="AB107" s="10"/>
      <c r="AC107" s="49">
        <f t="shared" si="140"/>
        <v>0</v>
      </c>
      <c r="AD107" s="12"/>
      <c r="AE107" s="9"/>
      <c r="AF107" s="10"/>
      <c r="AG107" s="49">
        <f t="shared" si="141"/>
        <v>0</v>
      </c>
      <c r="AH107" s="11">
        <f t="shared" si="142"/>
        <v>0</v>
      </c>
    </row>
    <row r="108" spans="1:35" x14ac:dyDescent="0.15">
      <c r="A108" s="23" t="s">
        <v>125</v>
      </c>
      <c r="B108" s="8"/>
      <c r="C108" s="9"/>
      <c r="D108" s="10"/>
      <c r="E108" s="49">
        <f t="shared" si="134"/>
        <v>0</v>
      </c>
      <c r="F108" s="12"/>
      <c r="G108" s="9"/>
      <c r="H108" s="10">
        <v>1</v>
      </c>
      <c r="I108" s="49">
        <f t="shared" si="135"/>
        <v>1</v>
      </c>
      <c r="J108" s="11">
        <f t="shared" si="136"/>
        <v>1</v>
      </c>
      <c r="K108" s="63">
        <v>43983</v>
      </c>
      <c r="M108" s="23" t="s">
        <v>119</v>
      </c>
      <c r="N108" s="8"/>
      <c r="O108" s="9"/>
      <c r="P108" s="10">
        <v>1</v>
      </c>
      <c r="Q108" s="49">
        <f t="shared" si="137"/>
        <v>1</v>
      </c>
      <c r="R108" s="12"/>
      <c r="S108" s="9"/>
      <c r="T108" s="10">
        <v>1</v>
      </c>
      <c r="U108" s="49">
        <f t="shared" si="138"/>
        <v>1</v>
      </c>
      <c r="V108" s="11">
        <f t="shared" si="139"/>
        <v>2</v>
      </c>
      <c r="W108" s="140">
        <v>43977</v>
      </c>
      <c r="Y108" s="26"/>
      <c r="Z108" s="8"/>
      <c r="AA108" s="9"/>
      <c r="AB108" s="10"/>
      <c r="AC108" s="49">
        <f t="shared" si="140"/>
        <v>0</v>
      </c>
      <c r="AD108" s="12"/>
      <c r="AE108" s="9"/>
      <c r="AF108" s="10"/>
      <c r="AG108" s="49">
        <f t="shared" si="141"/>
        <v>0</v>
      </c>
      <c r="AH108" s="11">
        <f t="shared" si="142"/>
        <v>0</v>
      </c>
    </row>
    <row r="109" spans="1:35" x14ac:dyDescent="0.15">
      <c r="A109" s="23" t="s">
        <v>33</v>
      </c>
      <c r="B109" s="13"/>
      <c r="C109" s="14"/>
      <c r="D109" s="15">
        <v>1</v>
      </c>
      <c r="E109" s="49">
        <f t="shared" si="134"/>
        <v>1</v>
      </c>
      <c r="F109" s="16">
        <v>4</v>
      </c>
      <c r="G109" s="14"/>
      <c r="H109" s="15"/>
      <c r="I109" s="49">
        <f t="shared" si="135"/>
        <v>4</v>
      </c>
      <c r="J109" s="11">
        <f t="shared" si="136"/>
        <v>5</v>
      </c>
      <c r="K109" s="63">
        <v>43987</v>
      </c>
      <c r="M109" s="24" t="s">
        <v>120</v>
      </c>
      <c r="N109" s="13">
        <v>40</v>
      </c>
      <c r="O109" s="14">
        <v>0</v>
      </c>
      <c r="P109" s="15"/>
      <c r="Q109" s="49">
        <f t="shared" si="137"/>
        <v>40</v>
      </c>
      <c r="R109" s="16"/>
      <c r="S109" s="14"/>
      <c r="T109" s="15"/>
      <c r="U109" s="49">
        <f t="shared" si="138"/>
        <v>0</v>
      </c>
      <c r="V109" s="11">
        <f t="shared" si="139"/>
        <v>40</v>
      </c>
      <c r="W109" s="140">
        <v>43980</v>
      </c>
      <c r="Y109" s="26"/>
      <c r="Z109" s="13"/>
      <c r="AA109" s="14"/>
      <c r="AB109" s="15"/>
      <c r="AC109" s="49">
        <f t="shared" si="140"/>
        <v>0</v>
      </c>
      <c r="AD109" s="16"/>
      <c r="AE109" s="14"/>
      <c r="AF109" s="15"/>
      <c r="AG109" s="49">
        <f t="shared" si="141"/>
        <v>0</v>
      </c>
      <c r="AH109" s="11">
        <f t="shared" si="142"/>
        <v>0</v>
      </c>
    </row>
    <row r="110" spans="1:35" x14ac:dyDescent="0.15">
      <c r="A110" s="23" t="s">
        <v>33</v>
      </c>
      <c r="B110" s="8"/>
      <c r="C110" s="9"/>
      <c r="D110" s="10">
        <v>1</v>
      </c>
      <c r="E110" s="49">
        <f t="shared" si="134"/>
        <v>1</v>
      </c>
      <c r="F110" s="12"/>
      <c r="G110" s="9"/>
      <c r="H110" s="10"/>
      <c r="I110" s="49">
        <f t="shared" si="135"/>
        <v>0</v>
      </c>
      <c r="J110" s="11">
        <f t="shared" si="136"/>
        <v>1</v>
      </c>
      <c r="K110" s="63">
        <v>43988</v>
      </c>
      <c r="M110" s="26" t="s">
        <v>121</v>
      </c>
      <c r="N110" s="8"/>
      <c r="O110" s="9">
        <v>10</v>
      </c>
      <c r="P110" s="10">
        <v>5</v>
      </c>
      <c r="Q110" s="49">
        <f t="shared" si="137"/>
        <v>15</v>
      </c>
      <c r="R110" s="12"/>
      <c r="S110" s="9">
        <v>10</v>
      </c>
      <c r="T110" s="10">
        <v>5</v>
      </c>
      <c r="U110" s="49">
        <f t="shared" si="138"/>
        <v>15</v>
      </c>
      <c r="V110" s="11">
        <f t="shared" si="139"/>
        <v>30</v>
      </c>
      <c r="W110" s="140">
        <v>43983</v>
      </c>
      <c r="Y110" s="26"/>
      <c r="Z110" s="8"/>
      <c r="AA110" s="9"/>
      <c r="AB110" s="10"/>
      <c r="AC110" s="49">
        <f t="shared" si="140"/>
        <v>0</v>
      </c>
      <c r="AD110" s="12"/>
      <c r="AE110" s="9"/>
      <c r="AF110" s="10"/>
      <c r="AG110" s="49">
        <f t="shared" si="141"/>
        <v>0</v>
      </c>
      <c r="AH110" s="11">
        <f t="shared" si="142"/>
        <v>0</v>
      </c>
    </row>
    <row r="111" spans="1:35" x14ac:dyDescent="0.15">
      <c r="A111" s="23" t="s">
        <v>33</v>
      </c>
      <c r="B111" s="8"/>
      <c r="C111" s="9"/>
      <c r="D111" s="10">
        <v>1</v>
      </c>
      <c r="E111" s="49">
        <f t="shared" si="134"/>
        <v>1</v>
      </c>
      <c r="F111" s="12">
        <v>1</v>
      </c>
      <c r="G111" s="9">
        <v>2</v>
      </c>
      <c r="H111" s="10"/>
      <c r="I111" s="49">
        <f t="shared" si="135"/>
        <v>3</v>
      </c>
      <c r="J111" s="11">
        <f t="shared" si="136"/>
        <v>4</v>
      </c>
      <c r="K111" s="63">
        <v>43990</v>
      </c>
      <c r="M111" s="26" t="s">
        <v>122</v>
      </c>
      <c r="N111" s="8">
        <v>5</v>
      </c>
      <c r="O111" s="9"/>
      <c r="P111" s="10"/>
      <c r="Q111" s="49">
        <f t="shared" si="137"/>
        <v>5</v>
      </c>
      <c r="R111" s="12">
        <v>3</v>
      </c>
      <c r="S111" s="9"/>
      <c r="T111" s="10">
        <v>3</v>
      </c>
      <c r="U111" s="49">
        <f t="shared" si="138"/>
        <v>6</v>
      </c>
      <c r="V111" s="11">
        <f t="shared" si="139"/>
        <v>11</v>
      </c>
      <c r="W111" s="140">
        <v>43978</v>
      </c>
      <c r="Y111" s="26"/>
      <c r="Z111" s="8"/>
      <c r="AA111" s="9"/>
      <c r="AB111" s="10"/>
      <c r="AC111" s="49">
        <f t="shared" si="140"/>
        <v>0</v>
      </c>
      <c r="AD111" s="12"/>
      <c r="AE111" s="9"/>
      <c r="AF111" s="10"/>
      <c r="AG111" s="49">
        <f t="shared" si="141"/>
        <v>0</v>
      </c>
      <c r="AH111" s="11">
        <f t="shared" si="142"/>
        <v>0</v>
      </c>
    </row>
    <row r="112" spans="1:35" x14ac:dyDescent="0.15">
      <c r="A112" s="23" t="s">
        <v>33</v>
      </c>
      <c r="B112" s="8"/>
      <c r="C112" s="9"/>
      <c r="D112" s="10"/>
      <c r="E112" s="49">
        <f t="shared" si="134"/>
        <v>0</v>
      </c>
      <c r="F112" s="12"/>
      <c r="G112" s="9">
        <v>1</v>
      </c>
      <c r="H112" s="10"/>
      <c r="I112" s="49">
        <f t="shared" si="135"/>
        <v>1</v>
      </c>
      <c r="J112" s="11">
        <f t="shared" si="136"/>
        <v>1</v>
      </c>
      <c r="K112" s="63">
        <v>43991</v>
      </c>
      <c r="M112" s="24" t="s">
        <v>126</v>
      </c>
      <c r="N112" s="8"/>
      <c r="O112" s="9"/>
      <c r="P112" s="10"/>
      <c r="Q112" s="49">
        <f t="shared" si="137"/>
        <v>0</v>
      </c>
      <c r="R112" s="12"/>
      <c r="S112" s="9">
        <v>45</v>
      </c>
      <c r="T112" s="10"/>
      <c r="U112" s="49">
        <f t="shared" si="138"/>
        <v>45</v>
      </c>
      <c r="V112" s="11">
        <f t="shared" si="139"/>
        <v>45</v>
      </c>
      <c r="W112" s="140">
        <v>43987</v>
      </c>
      <c r="Y112" s="26"/>
      <c r="Z112" s="8"/>
      <c r="AA112" s="9"/>
      <c r="AB112" s="10"/>
      <c r="AC112" s="49">
        <f t="shared" si="140"/>
        <v>0</v>
      </c>
      <c r="AD112" s="12"/>
      <c r="AE112" s="9"/>
      <c r="AF112" s="10"/>
      <c r="AG112" s="49">
        <f t="shared" si="141"/>
        <v>0</v>
      </c>
      <c r="AH112" s="11">
        <f t="shared" si="142"/>
        <v>0</v>
      </c>
    </row>
    <row r="113" spans="1:35" x14ac:dyDescent="0.15">
      <c r="A113" s="23" t="s">
        <v>33</v>
      </c>
      <c r="B113" s="8"/>
      <c r="C113" s="9"/>
      <c r="D113" s="10">
        <v>2</v>
      </c>
      <c r="E113" s="49">
        <f t="shared" si="134"/>
        <v>2</v>
      </c>
      <c r="F113" s="12">
        <v>2</v>
      </c>
      <c r="G113" s="9"/>
      <c r="H113" s="10"/>
      <c r="I113" s="49">
        <f t="shared" si="135"/>
        <v>2</v>
      </c>
      <c r="J113" s="11">
        <f t="shared" si="136"/>
        <v>4</v>
      </c>
      <c r="K113" s="63">
        <v>43992</v>
      </c>
      <c r="M113" s="23" t="s">
        <v>127</v>
      </c>
      <c r="N113" s="8"/>
      <c r="O113" s="9">
        <v>1</v>
      </c>
      <c r="P113" s="10"/>
      <c r="Q113" s="49">
        <f t="shared" si="137"/>
        <v>1</v>
      </c>
      <c r="R113" s="12"/>
      <c r="S113" s="9">
        <v>1</v>
      </c>
      <c r="T113" s="10"/>
      <c r="U113" s="49">
        <f t="shared" si="138"/>
        <v>1</v>
      </c>
      <c r="V113" s="11">
        <f t="shared" si="139"/>
        <v>2</v>
      </c>
      <c r="W113" s="140">
        <v>43986</v>
      </c>
      <c r="Y113" s="26"/>
      <c r="Z113" s="8"/>
      <c r="AA113" s="9"/>
      <c r="AB113" s="10"/>
      <c r="AC113" s="49">
        <f t="shared" si="140"/>
        <v>0</v>
      </c>
      <c r="AD113" s="12"/>
      <c r="AE113" s="9"/>
      <c r="AF113" s="10"/>
      <c r="AG113" s="49">
        <f t="shared" si="141"/>
        <v>0</v>
      </c>
      <c r="AH113" s="11">
        <f t="shared" si="142"/>
        <v>0</v>
      </c>
    </row>
    <row r="114" spans="1:35" x14ac:dyDescent="0.15">
      <c r="A114" s="23" t="s">
        <v>33</v>
      </c>
      <c r="B114" s="8"/>
      <c r="C114" s="9"/>
      <c r="D114" s="10">
        <v>1</v>
      </c>
      <c r="E114" s="49">
        <f t="shared" si="134"/>
        <v>1</v>
      </c>
      <c r="F114" s="12">
        <v>3</v>
      </c>
      <c r="G114" s="9"/>
      <c r="H114" s="10"/>
      <c r="I114" s="49">
        <f t="shared" si="135"/>
        <v>3</v>
      </c>
      <c r="J114" s="11">
        <f t="shared" si="136"/>
        <v>4</v>
      </c>
      <c r="K114" s="63">
        <v>43993</v>
      </c>
      <c r="M114" s="24" t="s">
        <v>129</v>
      </c>
      <c r="N114" s="8">
        <v>0</v>
      </c>
      <c r="O114" s="9"/>
      <c r="P114" s="10">
        <v>20</v>
      </c>
      <c r="Q114" s="49">
        <f t="shared" si="137"/>
        <v>20</v>
      </c>
      <c r="R114" s="12">
        <v>102</v>
      </c>
      <c r="S114" s="9"/>
      <c r="T114" s="10">
        <v>0</v>
      </c>
      <c r="U114" s="49">
        <f t="shared" si="138"/>
        <v>102</v>
      </c>
      <c r="V114" s="11">
        <f t="shared" si="139"/>
        <v>122</v>
      </c>
      <c r="W114" s="140">
        <v>43994</v>
      </c>
      <c r="Y114" s="26"/>
      <c r="Z114" s="8"/>
      <c r="AA114" s="9"/>
      <c r="AB114" s="10"/>
      <c r="AC114" s="49">
        <f t="shared" si="140"/>
        <v>0</v>
      </c>
      <c r="AD114" s="12"/>
      <c r="AE114" s="9"/>
      <c r="AF114" s="10"/>
      <c r="AG114" s="49">
        <f t="shared" si="141"/>
        <v>0</v>
      </c>
      <c r="AH114" s="11">
        <f t="shared" si="142"/>
        <v>0</v>
      </c>
    </row>
    <row r="115" spans="1:35" x14ac:dyDescent="0.15">
      <c r="A115" s="23" t="s">
        <v>33</v>
      </c>
      <c r="B115" s="8"/>
      <c r="C115" s="9"/>
      <c r="D115" s="10"/>
      <c r="E115" s="49">
        <f t="shared" si="134"/>
        <v>0</v>
      </c>
      <c r="F115" s="12">
        <v>2</v>
      </c>
      <c r="G115" s="9"/>
      <c r="H115" s="10"/>
      <c r="I115" s="49">
        <f t="shared" si="135"/>
        <v>2</v>
      </c>
      <c r="J115" s="11">
        <f t="shared" si="136"/>
        <v>2</v>
      </c>
      <c r="K115" s="63">
        <v>43997</v>
      </c>
      <c r="M115" s="24" t="s">
        <v>130</v>
      </c>
      <c r="N115" s="8"/>
      <c r="O115" s="9"/>
      <c r="P115" s="10">
        <v>5</v>
      </c>
      <c r="Q115" s="49">
        <f t="shared" si="137"/>
        <v>5</v>
      </c>
      <c r="R115" s="12">
        <v>5</v>
      </c>
      <c r="S115" s="9">
        <v>5</v>
      </c>
      <c r="T115" s="10"/>
      <c r="U115" s="49">
        <f t="shared" si="138"/>
        <v>10</v>
      </c>
      <c r="V115" s="11">
        <f t="shared" si="139"/>
        <v>15</v>
      </c>
      <c r="W115" s="140">
        <v>43991</v>
      </c>
      <c r="Y115" s="24"/>
      <c r="Z115" s="8"/>
      <c r="AA115" s="9"/>
      <c r="AB115" s="10"/>
      <c r="AC115" s="49">
        <f t="shared" si="140"/>
        <v>0</v>
      </c>
      <c r="AD115" s="12"/>
      <c r="AE115" s="9"/>
      <c r="AF115" s="10"/>
      <c r="AG115" s="49">
        <f t="shared" si="141"/>
        <v>0</v>
      </c>
      <c r="AH115" s="11">
        <f t="shared" si="142"/>
        <v>0</v>
      </c>
    </row>
    <row r="116" spans="1:35" x14ac:dyDescent="0.15">
      <c r="A116" s="23" t="s">
        <v>33</v>
      </c>
      <c r="B116" s="8"/>
      <c r="C116" s="9"/>
      <c r="D116" s="10"/>
      <c r="E116" s="49">
        <f t="shared" si="134"/>
        <v>0</v>
      </c>
      <c r="F116" s="12"/>
      <c r="G116" s="9">
        <v>2</v>
      </c>
      <c r="H116" s="10"/>
      <c r="I116" s="49">
        <f t="shared" si="135"/>
        <v>2</v>
      </c>
      <c r="J116" s="11">
        <f t="shared" si="136"/>
        <v>2</v>
      </c>
      <c r="K116" s="63">
        <v>44000</v>
      </c>
      <c r="M116" s="23" t="s">
        <v>131</v>
      </c>
      <c r="N116" s="8"/>
      <c r="O116" s="9"/>
      <c r="P116" s="10">
        <v>1</v>
      </c>
      <c r="Q116" s="49">
        <f t="shared" si="137"/>
        <v>1</v>
      </c>
      <c r="R116" s="12"/>
      <c r="S116" s="9"/>
      <c r="T116" s="10">
        <v>1</v>
      </c>
      <c r="U116" s="49">
        <f t="shared" si="138"/>
        <v>1</v>
      </c>
      <c r="V116" s="11">
        <f t="shared" si="139"/>
        <v>2</v>
      </c>
      <c r="W116" s="140">
        <v>43993</v>
      </c>
      <c r="Y116" s="26"/>
      <c r="Z116" s="8"/>
      <c r="AA116" s="9"/>
      <c r="AB116" s="10"/>
      <c r="AC116" s="49">
        <f t="shared" si="140"/>
        <v>0</v>
      </c>
      <c r="AD116" s="12"/>
      <c r="AE116" s="9"/>
      <c r="AF116" s="10"/>
      <c r="AG116" s="49">
        <f t="shared" si="141"/>
        <v>0</v>
      </c>
      <c r="AH116" s="11">
        <f t="shared" si="142"/>
        <v>0</v>
      </c>
    </row>
    <row r="117" spans="1:35" x14ac:dyDescent="0.15">
      <c r="A117" s="23" t="s">
        <v>33</v>
      </c>
      <c r="B117" s="8"/>
      <c r="C117" s="9"/>
      <c r="D117" s="10"/>
      <c r="E117" s="49">
        <f t="shared" si="134"/>
        <v>0</v>
      </c>
      <c r="F117" s="12">
        <v>2</v>
      </c>
      <c r="G117" s="9">
        <v>2</v>
      </c>
      <c r="H117" s="10"/>
      <c r="I117" s="49">
        <f t="shared" si="135"/>
        <v>4</v>
      </c>
      <c r="J117" s="11">
        <f t="shared" si="136"/>
        <v>4</v>
      </c>
      <c r="K117" s="63">
        <v>44002</v>
      </c>
      <c r="M117" s="26" t="s">
        <v>132</v>
      </c>
      <c r="N117" s="8">
        <v>5</v>
      </c>
      <c r="O117" s="9">
        <v>5</v>
      </c>
      <c r="P117" s="10"/>
      <c r="Q117" s="49">
        <f t="shared" si="137"/>
        <v>10</v>
      </c>
      <c r="R117" s="12">
        <v>5</v>
      </c>
      <c r="S117" s="9">
        <v>5</v>
      </c>
      <c r="T117" s="10"/>
      <c r="U117" s="49">
        <f t="shared" si="138"/>
        <v>10</v>
      </c>
      <c r="V117" s="11">
        <f t="shared" si="139"/>
        <v>20</v>
      </c>
      <c r="W117" s="140">
        <v>43999</v>
      </c>
      <c r="Y117" s="24"/>
      <c r="Z117" s="8"/>
      <c r="AA117" s="9"/>
      <c r="AB117" s="10"/>
      <c r="AC117" s="49">
        <f t="shared" si="140"/>
        <v>0</v>
      </c>
      <c r="AD117" s="12"/>
      <c r="AE117" s="9"/>
      <c r="AF117" s="10"/>
      <c r="AG117" s="49">
        <f t="shared" si="141"/>
        <v>0</v>
      </c>
      <c r="AH117" s="11">
        <f t="shared" si="142"/>
        <v>0</v>
      </c>
    </row>
    <row r="118" spans="1:35" x14ac:dyDescent="0.15">
      <c r="A118" s="23" t="s">
        <v>33</v>
      </c>
      <c r="B118" s="8"/>
      <c r="C118" s="9"/>
      <c r="D118" s="10"/>
      <c r="E118" s="49">
        <f t="shared" si="134"/>
        <v>0</v>
      </c>
      <c r="F118" s="12"/>
      <c r="G118" s="9">
        <v>2</v>
      </c>
      <c r="H118" s="10"/>
      <c r="I118" s="49">
        <f t="shared" si="135"/>
        <v>2</v>
      </c>
      <c r="J118" s="11">
        <f t="shared" si="136"/>
        <v>2</v>
      </c>
      <c r="K118" s="63">
        <v>44004</v>
      </c>
      <c r="M118" s="26" t="s">
        <v>133</v>
      </c>
      <c r="N118" s="8"/>
      <c r="O118" s="9"/>
      <c r="P118" s="10"/>
      <c r="Q118" s="49">
        <f t="shared" si="137"/>
        <v>0</v>
      </c>
      <c r="R118" s="12">
        <v>5</v>
      </c>
      <c r="S118" s="9"/>
      <c r="T118" s="10"/>
      <c r="U118" s="49">
        <f t="shared" si="138"/>
        <v>5</v>
      </c>
      <c r="V118" s="11">
        <f t="shared" si="139"/>
        <v>5</v>
      </c>
      <c r="W118" s="140">
        <v>43997</v>
      </c>
      <c r="Y118" s="26"/>
      <c r="Z118" s="8"/>
      <c r="AA118" s="9"/>
      <c r="AB118" s="10"/>
      <c r="AC118" s="49">
        <f t="shared" si="140"/>
        <v>0</v>
      </c>
      <c r="AD118" s="12"/>
      <c r="AE118" s="9"/>
      <c r="AF118" s="10"/>
      <c r="AG118" s="49">
        <f t="shared" si="141"/>
        <v>0</v>
      </c>
      <c r="AH118" s="11">
        <f t="shared" si="142"/>
        <v>0</v>
      </c>
    </row>
    <row r="119" spans="1:35" x14ac:dyDescent="0.15">
      <c r="A119" s="24" t="s">
        <v>32</v>
      </c>
      <c r="B119" s="8">
        <v>2</v>
      </c>
      <c r="C119" s="9"/>
      <c r="D119" s="10">
        <v>1</v>
      </c>
      <c r="E119" s="49">
        <f t="shared" si="134"/>
        <v>3</v>
      </c>
      <c r="F119" s="12">
        <v>2</v>
      </c>
      <c r="G119" s="9"/>
      <c r="H119" s="10">
        <v>1</v>
      </c>
      <c r="I119" s="49">
        <f t="shared" si="135"/>
        <v>3</v>
      </c>
      <c r="J119" s="11">
        <f t="shared" si="136"/>
        <v>6</v>
      </c>
      <c r="K119" s="63">
        <v>44005</v>
      </c>
      <c r="M119" s="24" t="s">
        <v>135</v>
      </c>
      <c r="N119" s="8"/>
      <c r="O119" s="9"/>
      <c r="P119" s="10">
        <v>30</v>
      </c>
      <c r="Q119" s="49">
        <f t="shared" si="137"/>
        <v>30</v>
      </c>
      <c r="R119" s="12"/>
      <c r="S119" s="9"/>
      <c r="T119" s="10"/>
      <c r="U119" s="49">
        <f t="shared" si="138"/>
        <v>0</v>
      </c>
      <c r="V119" s="11">
        <f t="shared" si="139"/>
        <v>30</v>
      </c>
      <c r="W119" s="140">
        <v>44001</v>
      </c>
      <c r="Y119" s="24"/>
      <c r="Z119" s="8"/>
      <c r="AA119" s="9"/>
      <c r="AB119" s="10"/>
      <c r="AC119" s="49">
        <f t="shared" si="140"/>
        <v>0</v>
      </c>
      <c r="AD119" s="12"/>
      <c r="AE119" s="9"/>
      <c r="AF119" s="10"/>
      <c r="AG119" s="49">
        <f t="shared" si="141"/>
        <v>0</v>
      </c>
      <c r="AH119" s="11">
        <f t="shared" si="142"/>
        <v>0</v>
      </c>
    </row>
    <row r="120" spans="1:35" x14ac:dyDescent="0.15">
      <c r="A120" s="24"/>
      <c r="B120" s="8"/>
      <c r="C120" s="9"/>
      <c r="D120" s="10"/>
      <c r="E120" s="49">
        <f t="shared" si="134"/>
        <v>0</v>
      </c>
      <c r="F120" s="12"/>
      <c r="G120" s="9"/>
      <c r="H120" s="10"/>
      <c r="I120" s="49">
        <f t="shared" si="135"/>
        <v>0</v>
      </c>
      <c r="J120" s="11">
        <f t="shared" si="136"/>
        <v>0</v>
      </c>
      <c r="K120" s="63"/>
      <c r="M120" s="26" t="s">
        <v>136</v>
      </c>
      <c r="N120" s="8">
        <v>10</v>
      </c>
      <c r="O120" s="9">
        <v>10</v>
      </c>
      <c r="P120" s="10">
        <v>10</v>
      </c>
      <c r="Q120" s="49">
        <f t="shared" si="137"/>
        <v>30</v>
      </c>
      <c r="R120" s="12">
        <v>10</v>
      </c>
      <c r="S120" s="9">
        <v>10</v>
      </c>
      <c r="T120" s="10">
        <v>10</v>
      </c>
      <c r="U120" s="49">
        <f t="shared" si="138"/>
        <v>30</v>
      </c>
      <c r="V120" s="11">
        <f t="shared" si="139"/>
        <v>60</v>
      </c>
      <c r="W120" s="140">
        <v>44001</v>
      </c>
      <c r="Y120" s="26"/>
      <c r="Z120" s="8"/>
      <c r="AA120" s="9"/>
      <c r="AB120" s="10"/>
      <c r="AC120" s="49">
        <f t="shared" si="140"/>
        <v>0</v>
      </c>
      <c r="AD120" s="12"/>
      <c r="AE120" s="9"/>
      <c r="AF120" s="10"/>
      <c r="AG120" s="49">
        <f t="shared" si="141"/>
        <v>0</v>
      </c>
      <c r="AH120" s="11">
        <f t="shared" si="142"/>
        <v>0</v>
      </c>
      <c r="AI120" s="82"/>
    </row>
    <row r="121" spans="1:35" x14ac:dyDescent="0.15">
      <c r="A121" s="23"/>
      <c r="B121" s="13"/>
      <c r="C121" s="14"/>
      <c r="D121" s="15"/>
      <c r="E121" s="49">
        <f t="shared" si="134"/>
        <v>0</v>
      </c>
      <c r="F121" s="16"/>
      <c r="G121" s="14"/>
      <c r="H121" s="15"/>
      <c r="I121" s="49">
        <f t="shared" si="135"/>
        <v>0</v>
      </c>
      <c r="J121" s="11">
        <f t="shared" si="136"/>
        <v>0</v>
      </c>
      <c r="K121" s="63"/>
      <c r="M121" s="26" t="s">
        <v>28</v>
      </c>
      <c r="N121" s="8"/>
      <c r="O121" s="9"/>
      <c r="P121" s="10">
        <v>5</v>
      </c>
      <c r="Q121" s="49">
        <f t="shared" si="137"/>
        <v>5</v>
      </c>
      <c r="R121" s="12">
        <v>5</v>
      </c>
      <c r="S121" s="9">
        <v>5</v>
      </c>
      <c r="T121" s="10">
        <v>5</v>
      </c>
      <c r="U121" s="49">
        <f t="shared" si="138"/>
        <v>15</v>
      </c>
      <c r="V121" s="11">
        <f t="shared" si="139"/>
        <v>20</v>
      </c>
      <c r="W121" s="140">
        <v>44004</v>
      </c>
      <c r="Y121" s="26"/>
      <c r="Z121" s="8"/>
      <c r="AA121" s="9"/>
      <c r="AB121" s="10"/>
      <c r="AC121" s="49">
        <f t="shared" ref="AC121" si="143">SUM(Z121:AB121)</f>
        <v>0</v>
      </c>
      <c r="AD121" s="12"/>
      <c r="AE121" s="9"/>
      <c r="AF121" s="10"/>
      <c r="AG121" s="49">
        <f t="shared" ref="AG121" si="144">SUM(AD121:AF121)</f>
        <v>0</v>
      </c>
      <c r="AH121" s="11">
        <f t="shared" ref="AH121" si="145">AC121+AG121</f>
        <v>0</v>
      </c>
      <c r="AI121" s="82"/>
    </row>
    <row r="122" spans="1:35" x14ac:dyDescent="0.15">
      <c r="A122" s="23"/>
      <c r="B122" s="8"/>
      <c r="C122" s="9"/>
      <c r="D122" s="10"/>
      <c r="E122" s="49">
        <f t="shared" si="134"/>
        <v>0</v>
      </c>
      <c r="F122" s="12"/>
      <c r="G122" s="9"/>
      <c r="H122" s="10"/>
      <c r="I122" s="49">
        <f t="shared" si="135"/>
        <v>0</v>
      </c>
      <c r="J122" s="11">
        <f t="shared" si="136"/>
        <v>0</v>
      </c>
      <c r="K122" s="63"/>
      <c r="M122" s="24"/>
      <c r="N122" s="8"/>
      <c r="O122" s="9"/>
      <c r="P122" s="10"/>
      <c r="Q122" s="49">
        <f t="shared" ref="Q122:Q124" si="146">SUM(N122:P122)</f>
        <v>0</v>
      </c>
      <c r="R122" s="12"/>
      <c r="S122" s="9"/>
      <c r="T122" s="10"/>
      <c r="U122" s="49">
        <f t="shared" ref="U122:U124" si="147">SUM(R122:T122)</f>
        <v>0</v>
      </c>
      <c r="V122" s="11">
        <f t="shared" ref="V122:V124" si="148">Q122+U122</f>
        <v>0</v>
      </c>
      <c r="W122" s="140"/>
      <c r="Y122" s="26"/>
      <c r="Z122" s="8"/>
      <c r="AA122" s="9"/>
      <c r="AB122" s="10"/>
      <c r="AC122" s="49">
        <f t="shared" si="140"/>
        <v>0</v>
      </c>
      <c r="AD122" s="12"/>
      <c r="AE122" s="9"/>
      <c r="AF122" s="10"/>
      <c r="AG122" s="49">
        <f t="shared" si="141"/>
        <v>0</v>
      </c>
      <c r="AH122" s="11">
        <f t="shared" si="142"/>
        <v>0</v>
      </c>
      <c r="AI122" s="82"/>
    </row>
    <row r="123" spans="1:35" x14ac:dyDescent="0.15">
      <c r="A123" s="23"/>
      <c r="B123" s="8"/>
      <c r="C123" s="9"/>
      <c r="D123" s="10"/>
      <c r="E123" s="49">
        <f t="shared" si="134"/>
        <v>0</v>
      </c>
      <c r="F123" s="12"/>
      <c r="G123" s="9"/>
      <c r="H123" s="10"/>
      <c r="I123" s="49">
        <f t="shared" si="135"/>
        <v>0</v>
      </c>
      <c r="J123" s="11">
        <f t="shared" si="136"/>
        <v>0</v>
      </c>
      <c r="K123" s="63"/>
      <c r="M123" s="102" t="s">
        <v>72</v>
      </c>
      <c r="N123" s="8"/>
      <c r="O123" s="9"/>
      <c r="P123" s="10"/>
      <c r="Q123" s="49">
        <f t="shared" si="146"/>
        <v>0</v>
      </c>
      <c r="R123" s="12"/>
      <c r="S123" s="9"/>
      <c r="T123" s="10"/>
      <c r="U123" s="49">
        <f t="shared" si="147"/>
        <v>0</v>
      </c>
      <c r="V123" s="11">
        <f t="shared" si="148"/>
        <v>0</v>
      </c>
      <c r="W123" s="140" t="s">
        <v>88</v>
      </c>
      <c r="Y123" s="26"/>
      <c r="Z123" s="8"/>
      <c r="AA123" s="9"/>
      <c r="AB123" s="10"/>
      <c r="AC123" s="49">
        <f t="shared" si="140"/>
        <v>0</v>
      </c>
      <c r="AD123" s="12"/>
      <c r="AE123" s="9"/>
      <c r="AF123" s="10"/>
      <c r="AG123" s="49">
        <f t="shared" si="141"/>
        <v>0</v>
      </c>
      <c r="AH123" s="11">
        <f t="shared" si="142"/>
        <v>0</v>
      </c>
      <c r="AI123" s="82"/>
    </row>
    <row r="124" spans="1:35" x14ac:dyDescent="0.15">
      <c r="A124" s="23"/>
      <c r="B124" s="8"/>
      <c r="C124" s="9"/>
      <c r="D124" s="10"/>
      <c r="E124" s="49">
        <f t="shared" si="134"/>
        <v>0</v>
      </c>
      <c r="F124" s="12"/>
      <c r="G124" s="9"/>
      <c r="H124" s="10"/>
      <c r="I124" s="49">
        <f t="shared" si="135"/>
        <v>0</v>
      </c>
      <c r="J124" s="11">
        <f t="shared" si="136"/>
        <v>0</v>
      </c>
      <c r="K124" s="63"/>
      <c r="M124" s="26" t="s">
        <v>68</v>
      </c>
      <c r="N124" s="8"/>
      <c r="O124" s="103"/>
      <c r="P124" s="104"/>
      <c r="Q124" s="49">
        <f t="shared" si="146"/>
        <v>0</v>
      </c>
      <c r="R124" s="12"/>
      <c r="S124" s="103"/>
      <c r="T124" s="104"/>
      <c r="U124" s="49">
        <f t="shared" si="147"/>
        <v>0</v>
      </c>
      <c r="V124" s="11">
        <f t="shared" si="148"/>
        <v>0</v>
      </c>
      <c r="W124" s="142" t="s">
        <v>89</v>
      </c>
      <c r="Y124" s="26"/>
      <c r="Z124" s="8"/>
      <c r="AA124" s="9"/>
      <c r="AB124" s="10"/>
      <c r="AC124" s="49">
        <f t="shared" si="140"/>
        <v>0</v>
      </c>
      <c r="AD124" s="12"/>
      <c r="AE124" s="9"/>
      <c r="AF124" s="10"/>
      <c r="AG124" s="49">
        <f t="shared" si="141"/>
        <v>0</v>
      </c>
      <c r="AH124" s="11">
        <f t="shared" si="142"/>
        <v>0</v>
      </c>
      <c r="AI124" s="82"/>
    </row>
    <row r="125" spans="1:35" ht="14.25" thickBot="1" x14ac:dyDescent="0.2">
      <c r="A125" s="23"/>
      <c r="B125" s="13"/>
      <c r="C125" s="14"/>
      <c r="D125" s="15"/>
      <c r="E125" s="55">
        <f t="shared" si="134"/>
        <v>0</v>
      </c>
      <c r="F125" s="16"/>
      <c r="G125" s="14"/>
      <c r="H125" s="15"/>
      <c r="I125" s="55">
        <f t="shared" si="135"/>
        <v>0</v>
      </c>
      <c r="J125" s="11">
        <f t="shared" si="136"/>
        <v>0</v>
      </c>
      <c r="K125" s="63"/>
      <c r="M125" s="26" t="s">
        <v>31</v>
      </c>
      <c r="N125" s="8"/>
      <c r="O125" s="9"/>
      <c r="P125" s="10"/>
      <c r="Q125" s="49">
        <f t="shared" ref="Q125" si="149">SUM(N125:P125)</f>
        <v>0</v>
      </c>
      <c r="R125" s="12"/>
      <c r="S125" s="9"/>
      <c r="T125" s="10"/>
      <c r="U125" s="49">
        <f t="shared" ref="U125" si="150">SUM(R125:T125)</f>
        <v>0</v>
      </c>
      <c r="V125" s="11">
        <f t="shared" ref="V125" si="151">Q125+U125</f>
        <v>0</v>
      </c>
      <c r="W125" s="142" t="s">
        <v>43</v>
      </c>
      <c r="Y125" s="92"/>
      <c r="Z125" s="13"/>
      <c r="AA125" s="14"/>
      <c r="AB125" s="15"/>
      <c r="AC125" s="49">
        <f t="shared" si="140"/>
        <v>0</v>
      </c>
      <c r="AD125" s="16"/>
      <c r="AE125" s="14"/>
      <c r="AF125" s="15"/>
      <c r="AG125" s="49">
        <f t="shared" si="141"/>
        <v>0</v>
      </c>
      <c r="AH125" s="11">
        <f t="shared" si="142"/>
        <v>0</v>
      </c>
      <c r="AI125" s="82"/>
    </row>
    <row r="126" spans="1:35" ht="14.25" thickBot="1" x14ac:dyDescent="0.2">
      <c r="A126" s="41" t="s">
        <v>19</v>
      </c>
      <c r="B126" s="46">
        <f>SUM(B100:B125)</f>
        <v>4</v>
      </c>
      <c r="C126" s="47">
        <f t="shared" ref="C126:D126" si="152">SUM(C100:C125)</f>
        <v>2</v>
      </c>
      <c r="D126" s="59">
        <f t="shared" si="152"/>
        <v>11</v>
      </c>
      <c r="E126" s="45">
        <f t="shared" si="134"/>
        <v>17</v>
      </c>
      <c r="F126" s="46">
        <f>SUM(F100:F125)</f>
        <v>21</v>
      </c>
      <c r="G126" s="47">
        <f t="shared" ref="G126:H126" si="153">SUM(G100:G125)</f>
        <v>12</v>
      </c>
      <c r="H126" s="59">
        <f t="shared" si="153"/>
        <v>6</v>
      </c>
      <c r="I126" s="45">
        <f t="shared" si="135"/>
        <v>39</v>
      </c>
      <c r="J126" s="45">
        <f>E126+I126</f>
        <v>56</v>
      </c>
      <c r="M126" s="41" t="s">
        <v>19</v>
      </c>
      <c r="N126" s="46">
        <f>SUM(N100:N125)</f>
        <v>95</v>
      </c>
      <c r="O126" s="47">
        <f t="shared" ref="O126:P126" si="154">SUM(O100:O125)</f>
        <v>31</v>
      </c>
      <c r="P126" s="59">
        <f t="shared" si="154"/>
        <v>87</v>
      </c>
      <c r="Q126" s="45">
        <f t="shared" si="137"/>
        <v>213</v>
      </c>
      <c r="R126" s="46">
        <f>SUM(R100:R125)</f>
        <v>160</v>
      </c>
      <c r="S126" s="47">
        <f t="shared" ref="S126:T126" si="155">SUM(S100:S125)</f>
        <v>115</v>
      </c>
      <c r="T126" s="59">
        <f t="shared" si="155"/>
        <v>35</v>
      </c>
      <c r="U126" s="45">
        <f t="shared" si="138"/>
        <v>310</v>
      </c>
      <c r="V126" s="45">
        <f>Q126+U126</f>
        <v>523</v>
      </c>
      <c r="Y126" s="41" t="s">
        <v>19</v>
      </c>
      <c r="Z126" s="46">
        <f>SUM(Z100:Z125)</f>
        <v>596</v>
      </c>
      <c r="AA126" s="47">
        <f t="shared" ref="AA126:AB126" si="156">SUM(AA100:AA125)</f>
        <v>533</v>
      </c>
      <c r="AB126" s="59">
        <f t="shared" si="156"/>
        <v>313</v>
      </c>
      <c r="AC126" s="45">
        <f t="shared" si="140"/>
        <v>1442</v>
      </c>
      <c r="AD126" s="46">
        <f>SUM(AD100:AD125)</f>
        <v>511</v>
      </c>
      <c r="AE126" s="47">
        <f t="shared" ref="AE126:AF126" si="157">SUM(AE100:AE125)</f>
        <v>452</v>
      </c>
      <c r="AF126" s="59">
        <f t="shared" si="157"/>
        <v>348</v>
      </c>
      <c r="AG126" s="45">
        <f t="shared" si="141"/>
        <v>1311</v>
      </c>
      <c r="AH126" s="45">
        <f>AC126+AG126</f>
        <v>2753</v>
      </c>
    </row>
    <row r="127" spans="1:35" ht="14.25" thickBot="1" x14ac:dyDescent="0.2">
      <c r="A127" s="22" t="s">
        <v>17</v>
      </c>
      <c r="B127" s="50">
        <f>B99-B126</f>
        <v>4</v>
      </c>
      <c r="C127" s="57">
        <f t="shared" ref="C127:D127" si="158">C99-C126</f>
        <v>10</v>
      </c>
      <c r="D127" s="58">
        <f t="shared" si="158"/>
        <v>8</v>
      </c>
      <c r="E127" s="56">
        <f>SUM(B127:D127)</f>
        <v>22</v>
      </c>
      <c r="F127" s="50">
        <f>F99-F126</f>
        <v>4</v>
      </c>
      <c r="G127" s="57">
        <f t="shared" ref="G127:H127" si="159">G99-G126</f>
        <v>6</v>
      </c>
      <c r="H127" s="58">
        <f t="shared" si="159"/>
        <v>8</v>
      </c>
      <c r="I127" s="56">
        <f>SUM(F127:H127)</f>
        <v>18</v>
      </c>
      <c r="J127" s="31">
        <f>E127+I127</f>
        <v>40</v>
      </c>
      <c r="M127" s="22" t="s">
        <v>17</v>
      </c>
      <c r="N127" s="50">
        <f>N99-N126</f>
        <v>516</v>
      </c>
      <c r="O127" s="57">
        <f t="shared" ref="O127:P127" si="160">O99-O126</f>
        <v>613</v>
      </c>
      <c r="P127" s="58">
        <f t="shared" si="160"/>
        <v>358</v>
      </c>
      <c r="Q127" s="56">
        <f>SUM(N127:P127)</f>
        <v>1487</v>
      </c>
      <c r="R127" s="50">
        <f>R99-R126</f>
        <v>511</v>
      </c>
      <c r="S127" s="57">
        <f t="shared" ref="S127:T127" si="161">S99-S126</f>
        <v>571</v>
      </c>
      <c r="T127" s="58">
        <f t="shared" si="161"/>
        <v>368</v>
      </c>
      <c r="U127" s="56">
        <f>SUM(R127:T127)</f>
        <v>1450</v>
      </c>
      <c r="V127" s="31">
        <f>Q127+U127</f>
        <v>2937</v>
      </c>
      <c r="Y127" s="22" t="s">
        <v>17</v>
      </c>
      <c r="Z127" s="50">
        <f>Z99-Z126</f>
        <v>0</v>
      </c>
      <c r="AA127" s="57">
        <f t="shared" ref="AA127:AB127" si="162">AA99-AA126</f>
        <v>0</v>
      </c>
      <c r="AB127" s="58">
        <f t="shared" si="162"/>
        <v>0</v>
      </c>
      <c r="AC127" s="56">
        <f>SUM(Z127:AB127)</f>
        <v>0</v>
      </c>
      <c r="AD127" s="50">
        <f>AD99-AD126</f>
        <v>0</v>
      </c>
      <c r="AE127" s="57">
        <f t="shared" ref="AE127:AF127" si="163">AE99-AE126</f>
        <v>0</v>
      </c>
      <c r="AF127" s="58">
        <f t="shared" si="163"/>
        <v>0</v>
      </c>
      <c r="AG127" s="56">
        <f>SUM(AD127:AF127)</f>
        <v>0</v>
      </c>
      <c r="AH127" s="31">
        <f>AC127+AG127</f>
        <v>0</v>
      </c>
    </row>
    <row r="130" spans="1:35" ht="19.5" thickBot="1" x14ac:dyDescent="0.25">
      <c r="A130" s="3" t="s">
        <v>21</v>
      </c>
      <c r="B130" s="1"/>
      <c r="C130" s="1"/>
      <c r="D130" s="1"/>
      <c r="E130" s="1"/>
      <c r="F130" s="1"/>
      <c r="G130" s="1"/>
      <c r="H130" s="1"/>
      <c r="I130" s="1"/>
      <c r="J130" s="1"/>
      <c r="M130" s="3" t="s">
        <v>22</v>
      </c>
      <c r="N130" s="1"/>
      <c r="O130" s="1"/>
      <c r="P130" s="1"/>
      <c r="Q130" s="1"/>
      <c r="R130" s="1"/>
      <c r="S130" s="1"/>
      <c r="T130" s="1"/>
      <c r="U130" s="1"/>
      <c r="V130" s="1"/>
      <c r="Y130" s="3" t="s">
        <v>23</v>
      </c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5" ht="14.25" thickBot="1" x14ac:dyDescent="0.2">
      <c r="A131" s="7" t="s">
        <v>0</v>
      </c>
      <c r="B131" s="165" t="s">
        <v>24</v>
      </c>
      <c r="C131" s="166"/>
      <c r="D131" s="166"/>
      <c r="E131" s="170"/>
      <c r="F131" s="165" t="s">
        <v>18</v>
      </c>
      <c r="G131" s="166"/>
      <c r="H131" s="166"/>
      <c r="I131" s="167"/>
      <c r="J131" s="168" t="s">
        <v>1</v>
      </c>
      <c r="M131" s="7" t="s">
        <v>0</v>
      </c>
      <c r="N131" s="165" t="s">
        <v>24</v>
      </c>
      <c r="O131" s="166"/>
      <c r="P131" s="166"/>
      <c r="Q131" s="170"/>
      <c r="R131" s="165" t="s">
        <v>18</v>
      </c>
      <c r="S131" s="166"/>
      <c r="T131" s="166"/>
      <c r="U131" s="167"/>
      <c r="V131" s="168" t="s">
        <v>1</v>
      </c>
      <c r="Y131" s="7" t="s">
        <v>0</v>
      </c>
      <c r="Z131" s="165" t="s">
        <v>24</v>
      </c>
      <c r="AA131" s="166"/>
      <c r="AB131" s="166"/>
      <c r="AC131" s="170"/>
      <c r="AD131" s="165" t="s">
        <v>18</v>
      </c>
      <c r="AE131" s="166"/>
      <c r="AF131" s="166"/>
      <c r="AG131" s="167"/>
      <c r="AH131" s="168" t="s">
        <v>1</v>
      </c>
    </row>
    <row r="132" spans="1:35" ht="14.25" thickBot="1" x14ac:dyDescent="0.2">
      <c r="A132" s="7" t="s">
        <v>2</v>
      </c>
      <c r="B132" s="4" t="s">
        <v>3</v>
      </c>
      <c r="C132" s="5" t="s">
        <v>4</v>
      </c>
      <c r="D132" s="6" t="s">
        <v>5</v>
      </c>
      <c r="E132" s="7" t="s">
        <v>6</v>
      </c>
      <c r="F132" s="4" t="s">
        <v>3</v>
      </c>
      <c r="G132" s="5" t="s">
        <v>4</v>
      </c>
      <c r="H132" s="6" t="s">
        <v>5</v>
      </c>
      <c r="I132" s="7" t="s">
        <v>6</v>
      </c>
      <c r="J132" s="169"/>
      <c r="M132" s="7" t="s">
        <v>2</v>
      </c>
      <c r="N132" s="4" t="s">
        <v>3</v>
      </c>
      <c r="O132" s="5" t="s">
        <v>4</v>
      </c>
      <c r="P132" s="6" t="s">
        <v>5</v>
      </c>
      <c r="Q132" s="7" t="s">
        <v>6</v>
      </c>
      <c r="R132" s="4" t="s">
        <v>3</v>
      </c>
      <c r="S132" s="5" t="s">
        <v>4</v>
      </c>
      <c r="T132" s="6" t="s">
        <v>5</v>
      </c>
      <c r="U132" s="7" t="s">
        <v>6</v>
      </c>
      <c r="V132" s="169"/>
      <c r="Y132" s="7" t="s">
        <v>2</v>
      </c>
      <c r="Z132" s="4" t="s">
        <v>3</v>
      </c>
      <c r="AA132" s="5" t="s">
        <v>4</v>
      </c>
      <c r="AB132" s="6" t="s">
        <v>5</v>
      </c>
      <c r="AC132" s="7" t="s">
        <v>6</v>
      </c>
      <c r="AD132" s="4" t="s">
        <v>3</v>
      </c>
      <c r="AE132" s="5" t="s">
        <v>4</v>
      </c>
      <c r="AF132" s="6" t="s">
        <v>5</v>
      </c>
      <c r="AG132" s="7" t="s">
        <v>6</v>
      </c>
      <c r="AH132" s="169"/>
    </row>
    <row r="133" spans="1:35" ht="14.25" thickBot="1" x14ac:dyDescent="0.2">
      <c r="A133" s="27" t="s">
        <v>20</v>
      </c>
      <c r="B133" s="38">
        <f>B127</f>
        <v>4</v>
      </c>
      <c r="C133" s="39">
        <f>C127</f>
        <v>10</v>
      </c>
      <c r="D133" s="2">
        <f>D127</f>
        <v>8</v>
      </c>
      <c r="E133" s="36">
        <f>SUM(B133:D133)</f>
        <v>22</v>
      </c>
      <c r="F133" s="38">
        <f>F127</f>
        <v>4</v>
      </c>
      <c r="G133" s="39">
        <f>G127</f>
        <v>6</v>
      </c>
      <c r="H133" s="2">
        <f>H127</f>
        <v>8</v>
      </c>
      <c r="I133" s="36">
        <f>SUM(F133:H133)</f>
        <v>18</v>
      </c>
      <c r="J133" s="36">
        <f>E133+I133</f>
        <v>40</v>
      </c>
      <c r="M133" s="27" t="s">
        <v>20</v>
      </c>
      <c r="N133" s="38">
        <f>N127</f>
        <v>516</v>
      </c>
      <c r="O133" s="39">
        <f>O127</f>
        <v>613</v>
      </c>
      <c r="P133" s="2">
        <f>P127</f>
        <v>358</v>
      </c>
      <c r="Q133" s="36">
        <f>SUM(N133:P133)</f>
        <v>1487</v>
      </c>
      <c r="R133" s="38">
        <f>R127</f>
        <v>511</v>
      </c>
      <c r="S133" s="39">
        <f>S127</f>
        <v>571</v>
      </c>
      <c r="T133" s="2">
        <f>T127</f>
        <v>368</v>
      </c>
      <c r="U133" s="36">
        <f>SUM(R133:T133)</f>
        <v>1450</v>
      </c>
      <c r="V133" s="36">
        <f>Q133+U133</f>
        <v>2937</v>
      </c>
      <c r="Y133" s="27" t="s">
        <v>20</v>
      </c>
      <c r="Z133" s="38">
        <f>Z127</f>
        <v>0</v>
      </c>
      <c r="AA133" s="39">
        <f>AA127</f>
        <v>0</v>
      </c>
      <c r="AB133" s="2">
        <f>AB127</f>
        <v>0</v>
      </c>
      <c r="AC133" s="36">
        <f>SUM(Z133:AB133)</f>
        <v>0</v>
      </c>
      <c r="AD133" s="38">
        <f>AD127</f>
        <v>0</v>
      </c>
      <c r="AE133" s="39">
        <f>AE127</f>
        <v>0</v>
      </c>
      <c r="AF133" s="2">
        <f>AF127</f>
        <v>0</v>
      </c>
      <c r="AG133" s="36">
        <f>SUM(AD133:AF133)</f>
        <v>0</v>
      </c>
      <c r="AH133" s="36">
        <f>AC133+AG133</f>
        <v>0</v>
      </c>
    </row>
    <row r="134" spans="1:35" x14ac:dyDescent="0.15">
      <c r="A134" s="25" t="s">
        <v>134</v>
      </c>
      <c r="B134" s="42">
        <v>1</v>
      </c>
      <c r="C134" s="43">
        <v>1</v>
      </c>
      <c r="D134" s="44">
        <v>1</v>
      </c>
      <c r="E134" s="48">
        <f>SUM(B134:D134)</f>
        <v>3</v>
      </c>
      <c r="F134" s="60">
        <v>1</v>
      </c>
      <c r="G134" s="43">
        <v>1</v>
      </c>
      <c r="H134" s="61">
        <v>1</v>
      </c>
      <c r="I134" s="48">
        <f>SUM(F134:H134)</f>
        <v>3</v>
      </c>
      <c r="J134" s="48">
        <f>E134+I134</f>
        <v>6</v>
      </c>
      <c r="K134" s="63">
        <v>44006</v>
      </c>
      <c r="M134" s="25" t="s">
        <v>160</v>
      </c>
      <c r="N134" s="42">
        <v>23</v>
      </c>
      <c r="O134" s="43">
        <v>23</v>
      </c>
      <c r="P134" s="44">
        <v>10</v>
      </c>
      <c r="Q134" s="48">
        <f>SUM(N134:P134)</f>
        <v>56</v>
      </c>
      <c r="R134" s="60">
        <v>5</v>
      </c>
      <c r="S134" s="43">
        <v>7</v>
      </c>
      <c r="T134" s="61">
        <v>13</v>
      </c>
      <c r="U134" s="48">
        <f>SUM(R134:T134)</f>
        <v>25</v>
      </c>
      <c r="V134" s="48">
        <f>Q134+U134</f>
        <v>81</v>
      </c>
      <c r="W134" s="140">
        <v>44029</v>
      </c>
      <c r="Y134" s="25" t="s">
        <v>8</v>
      </c>
      <c r="Z134" s="42"/>
      <c r="AA134" s="43"/>
      <c r="AB134" s="44"/>
      <c r="AC134" s="48">
        <f>SUM(Z134:AB134)</f>
        <v>0</v>
      </c>
      <c r="AD134" s="60"/>
      <c r="AE134" s="43"/>
      <c r="AF134" s="61"/>
      <c r="AG134" s="48">
        <f>SUM(AD134:AF134)</f>
        <v>0</v>
      </c>
      <c r="AH134" s="48">
        <f>AC134+AG134</f>
        <v>0</v>
      </c>
    </row>
    <row r="135" spans="1:35" x14ac:dyDescent="0.15">
      <c r="A135" s="25" t="s">
        <v>143</v>
      </c>
      <c r="B135" s="8"/>
      <c r="C135" s="9">
        <v>1</v>
      </c>
      <c r="D135" s="52"/>
      <c r="E135" s="11">
        <f>SUM(B135:D135)</f>
        <v>1</v>
      </c>
      <c r="F135" s="12"/>
      <c r="G135" s="9">
        <v>1</v>
      </c>
      <c r="H135" s="10"/>
      <c r="I135" s="11">
        <f>SUM(F135:H135)</f>
        <v>1</v>
      </c>
      <c r="J135" s="11">
        <f>E135+I135</f>
        <v>2</v>
      </c>
      <c r="K135" s="63">
        <v>44008</v>
      </c>
      <c r="M135" s="25" t="s">
        <v>9</v>
      </c>
      <c r="N135" s="8"/>
      <c r="O135" s="9"/>
      <c r="P135" s="52"/>
      <c r="Q135" s="11">
        <f t="shared" ref="Q135:Q141" si="164">SUM(N135:P135)</f>
        <v>0</v>
      </c>
      <c r="R135" s="12"/>
      <c r="S135" s="9"/>
      <c r="T135" s="10"/>
      <c r="U135" s="11">
        <f t="shared" ref="U135:U141" si="165">SUM(R135:T135)</f>
        <v>0</v>
      </c>
      <c r="V135" s="11">
        <f t="shared" ref="V135:V141" si="166">Q135+U135</f>
        <v>0</v>
      </c>
      <c r="W135" s="140"/>
      <c r="Y135" s="25" t="s">
        <v>9</v>
      </c>
      <c r="Z135" s="8"/>
      <c r="AA135" s="9"/>
      <c r="AB135" s="52"/>
      <c r="AC135" s="11">
        <f t="shared" ref="AC135:AC141" si="167">SUM(Z135:AB135)</f>
        <v>0</v>
      </c>
      <c r="AD135" s="12"/>
      <c r="AE135" s="9"/>
      <c r="AF135" s="10"/>
      <c r="AG135" s="11">
        <f t="shared" ref="AG135:AG141" si="168">SUM(AD135:AF135)</f>
        <v>0</v>
      </c>
      <c r="AH135" s="11">
        <f t="shared" ref="AH135:AH141" si="169">AC135+AG135</f>
        <v>0</v>
      </c>
      <c r="AI135" s="101"/>
    </row>
    <row r="136" spans="1:35" x14ac:dyDescent="0.15">
      <c r="A136" s="25" t="s">
        <v>10</v>
      </c>
      <c r="B136" s="17">
        <v>5</v>
      </c>
      <c r="C136" s="18"/>
      <c r="D136" s="51"/>
      <c r="E136" s="11">
        <f t="shared" ref="E136:E141" si="170">SUM(B136:D136)</f>
        <v>5</v>
      </c>
      <c r="F136" s="20">
        <v>10</v>
      </c>
      <c r="G136" s="18"/>
      <c r="H136" s="19"/>
      <c r="I136" s="11">
        <f t="shared" ref="I136:I141" si="171">SUM(F136:H136)</f>
        <v>10</v>
      </c>
      <c r="J136" s="11">
        <f t="shared" ref="J136:J141" si="172">E136+I136</f>
        <v>15</v>
      </c>
      <c r="K136" s="63">
        <v>44019</v>
      </c>
      <c r="M136" s="25" t="s">
        <v>10</v>
      </c>
      <c r="N136" s="17"/>
      <c r="O136" s="18"/>
      <c r="P136" s="51"/>
      <c r="Q136" s="11">
        <f t="shared" si="164"/>
        <v>0</v>
      </c>
      <c r="R136" s="20"/>
      <c r="S136" s="18"/>
      <c r="T136" s="19"/>
      <c r="U136" s="11">
        <f t="shared" si="165"/>
        <v>0</v>
      </c>
      <c r="V136" s="11">
        <f t="shared" si="166"/>
        <v>0</v>
      </c>
      <c r="W136" s="142"/>
      <c r="Y136" s="25" t="s">
        <v>10</v>
      </c>
      <c r="Z136" s="17"/>
      <c r="AA136" s="18"/>
      <c r="AB136" s="51"/>
      <c r="AC136" s="11">
        <f t="shared" si="167"/>
        <v>0</v>
      </c>
      <c r="AD136" s="20"/>
      <c r="AE136" s="18"/>
      <c r="AF136" s="19"/>
      <c r="AG136" s="11">
        <f t="shared" si="168"/>
        <v>0</v>
      </c>
      <c r="AH136" s="11">
        <f t="shared" si="169"/>
        <v>0</v>
      </c>
    </row>
    <row r="137" spans="1:35" x14ac:dyDescent="0.15">
      <c r="A137" s="25" t="s">
        <v>11</v>
      </c>
      <c r="B137" s="8"/>
      <c r="C137" s="9"/>
      <c r="D137" s="52"/>
      <c r="E137" s="11">
        <f t="shared" si="170"/>
        <v>0</v>
      </c>
      <c r="F137" s="12">
        <v>10</v>
      </c>
      <c r="G137" s="9"/>
      <c r="H137" s="10"/>
      <c r="I137" s="11">
        <f t="shared" si="171"/>
        <v>10</v>
      </c>
      <c r="J137" s="11">
        <f t="shared" si="172"/>
        <v>10</v>
      </c>
      <c r="K137" s="63">
        <v>44027</v>
      </c>
      <c r="M137" s="25" t="s">
        <v>11</v>
      </c>
      <c r="N137" s="8"/>
      <c r="O137" s="9"/>
      <c r="P137" s="52"/>
      <c r="Q137" s="11">
        <f t="shared" si="164"/>
        <v>0</v>
      </c>
      <c r="R137" s="12"/>
      <c r="S137" s="9"/>
      <c r="T137" s="10"/>
      <c r="U137" s="11">
        <f t="shared" si="165"/>
        <v>0</v>
      </c>
      <c r="V137" s="11">
        <f t="shared" si="166"/>
        <v>0</v>
      </c>
      <c r="W137" s="140"/>
      <c r="Y137" s="25" t="s">
        <v>11</v>
      </c>
      <c r="Z137" s="8"/>
      <c r="AA137" s="9"/>
      <c r="AB137" s="52"/>
      <c r="AC137" s="11">
        <f t="shared" si="167"/>
        <v>0</v>
      </c>
      <c r="AD137" s="12"/>
      <c r="AE137" s="9"/>
      <c r="AF137" s="10"/>
      <c r="AG137" s="11">
        <f t="shared" si="168"/>
        <v>0</v>
      </c>
      <c r="AH137" s="11">
        <f t="shared" si="169"/>
        <v>0</v>
      </c>
      <c r="AI137" s="101"/>
    </row>
    <row r="138" spans="1:35" x14ac:dyDescent="0.15">
      <c r="A138" s="25" t="s">
        <v>158</v>
      </c>
      <c r="B138" s="8">
        <v>9</v>
      </c>
      <c r="C138" s="9">
        <v>10</v>
      </c>
      <c r="D138" s="52">
        <v>2</v>
      </c>
      <c r="E138" s="11">
        <f t="shared" si="170"/>
        <v>21</v>
      </c>
      <c r="F138" s="12"/>
      <c r="G138" s="9"/>
      <c r="H138" s="10"/>
      <c r="I138" s="11">
        <f t="shared" si="171"/>
        <v>0</v>
      </c>
      <c r="J138" s="11">
        <f t="shared" si="172"/>
        <v>21</v>
      </c>
      <c r="K138" s="63">
        <v>44029</v>
      </c>
      <c r="L138" s="82"/>
      <c r="M138" s="25" t="s">
        <v>12</v>
      </c>
      <c r="N138" s="8"/>
      <c r="O138" s="9"/>
      <c r="P138" s="52"/>
      <c r="Q138" s="11">
        <f t="shared" si="164"/>
        <v>0</v>
      </c>
      <c r="R138" s="12"/>
      <c r="S138" s="9"/>
      <c r="T138" s="10"/>
      <c r="U138" s="11">
        <f t="shared" si="165"/>
        <v>0</v>
      </c>
      <c r="V138" s="11">
        <f t="shared" si="166"/>
        <v>0</v>
      </c>
      <c r="W138" s="144"/>
      <c r="Y138" s="25" t="s">
        <v>12</v>
      </c>
      <c r="Z138" s="8"/>
      <c r="AA138" s="9"/>
      <c r="AB138" s="52"/>
      <c r="AC138" s="11">
        <f t="shared" si="167"/>
        <v>0</v>
      </c>
      <c r="AD138" s="12"/>
      <c r="AE138" s="9"/>
      <c r="AF138" s="10"/>
      <c r="AG138" s="11">
        <f t="shared" si="168"/>
        <v>0</v>
      </c>
      <c r="AH138" s="11">
        <f t="shared" si="169"/>
        <v>0</v>
      </c>
      <c r="AI138" s="71"/>
    </row>
    <row r="139" spans="1:35" x14ac:dyDescent="0.15">
      <c r="A139" s="25" t="s">
        <v>137</v>
      </c>
      <c r="B139" s="8">
        <v>14</v>
      </c>
      <c r="C139" s="9">
        <v>11</v>
      </c>
      <c r="D139" s="52">
        <v>10</v>
      </c>
      <c r="E139" s="11">
        <f t="shared" si="170"/>
        <v>35</v>
      </c>
      <c r="F139" s="12">
        <v>5</v>
      </c>
      <c r="G139" s="9">
        <v>7</v>
      </c>
      <c r="H139" s="10">
        <v>13</v>
      </c>
      <c r="I139" s="11">
        <f t="shared" si="171"/>
        <v>25</v>
      </c>
      <c r="J139" s="11">
        <f t="shared" si="172"/>
        <v>60</v>
      </c>
      <c r="K139" s="63">
        <v>44027</v>
      </c>
      <c r="M139" s="25" t="s">
        <v>13</v>
      </c>
      <c r="N139" s="8"/>
      <c r="O139" s="9"/>
      <c r="P139" s="52"/>
      <c r="Q139" s="11">
        <f t="shared" si="164"/>
        <v>0</v>
      </c>
      <c r="R139" s="12"/>
      <c r="S139" s="9"/>
      <c r="T139" s="10"/>
      <c r="U139" s="11">
        <f t="shared" si="165"/>
        <v>0</v>
      </c>
      <c r="V139" s="11">
        <f t="shared" si="166"/>
        <v>0</v>
      </c>
      <c r="W139" s="140"/>
      <c r="Y139" s="25" t="s">
        <v>13</v>
      </c>
      <c r="Z139" s="8"/>
      <c r="AA139" s="9"/>
      <c r="AB139" s="52"/>
      <c r="AC139" s="11">
        <f t="shared" si="167"/>
        <v>0</v>
      </c>
      <c r="AD139" s="12"/>
      <c r="AE139" s="9"/>
      <c r="AF139" s="10"/>
      <c r="AG139" s="11">
        <f t="shared" si="168"/>
        <v>0</v>
      </c>
      <c r="AH139" s="11">
        <f t="shared" si="169"/>
        <v>0</v>
      </c>
      <c r="AI139" s="82"/>
    </row>
    <row r="140" spans="1:35" x14ac:dyDescent="0.15">
      <c r="A140" s="25" t="s">
        <v>14</v>
      </c>
      <c r="B140" s="13"/>
      <c r="C140" s="14"/>
      <c r="D140" s="53"/>
      <c r="E140" s="11">
        <f t="shared" si="170"/>
        <v>0</v>
      </c>
      <c r="F140" s="16"/>
      <c r="G140" s="14">
        <v>10</v>
      </c>
      <c r="H140" s="15"/>
      <c r="I140" s="11">
        <f t="shared" si="171"/>
        <v>10</v>
      </c>
      <c r="J140" s="11">
        <f t="shared" si="172"/>
        <v>10</v>
      </c>
      <c r="K140" s="63">
        <v>44033</v>
      </c>
      <c r="M140" s="25" t="s">
        <v>14</v>
      </c>
      <c r="N140" s="13"/>
      <c r="O140" s="14"/>
      <c r="P140" s="53"/>
      <c r="Q140" s="11">
        <f t="shared" si="164"/>
        <v>0</v>
      </c>
      <c r="R140" s="16"/>
      <c r="S140" s="14"/>
      <c r="T140" s="15"/>
      <c r="U140" s="11">
        <f t="shared" si="165"/>
        <v>0</v>
      </c>
      <c r="V140" s="11">
        <f t="shared" si="166"/>
        <v>0</v>
      </c>
      <c r="Y140" s="25" t="s">
        <v>14</v>
      </c>
      <c r="Z140" s="13"/>
      <c r="AA140" s="14"/>
      <c r="AB140" s="53"/>
      <c r="AC140" s="11">
        <f t="shared" si="167"/>
        <v>0</v>
      </c>
      <c r="AD140" s="16"/>
      <c r="AE140" s="14"/>
      <c r="AF140" s="15"/>
      <c r="AG140" s="11">
        <f t="shared" si="168"/>
        <v>0</v>
      </c>
      <c r="AH140" s="11">
        <f t="shared" si="169"/>
        <v>0</v>
      </c>
    </row>
    <row r="141" spans="1:35" ht="14.25" thickBot="1" x14ac:dyDescent="0.2">
      <c r="A141" s="25" t="s">
        <v>15</v>
      </c>
      <c r="B141" s="13"/>
      <c r="C141" s="14"/>
      <c r="D141" s="53"/>
      <c r="E141" s="62">
        <f t="shared" si="170"/>
        <v>0</v>
      </c>
      <c r="F141" s="34"/>
      <c r="G141" s="34"/>
      <c r="H141" s="37"/>
      <c r="I141" s="62">
        <f t="shared" si="171"/>
        <v>0</v>
      </c>
      <c r="J141" s="21">
        <f t="shared" si="172"/>
        <v>0</v>
      </c>
      <c r="K141" s="63"/>
      <c r="M141" s="25" t="s">
        <v>15</v>
      </c>
      <c r="N141" s="13"/>
      <c r="O141" s="14"/>
      <c r="P141" s="53"/>
      <c r="Q141" s="62">
        <f t="shared" si="164"/>
        <v>0</v>
      </c>
      <c r="R141" s="34"/>
      <c r="S141" s="34"/>
      <c r="T141" s="37"/>
      <c r="U141" s="62">
        <f t="shared" si="165"/>
        <v>0</v>
      </c>
      <c r="V141" s="21">
        <f t="shared" si="166"/>
        <v>0</v>
      </c>
      <c r="Y141" s="25" t="s">
        <v>15</v>
      </c>
      <c r="Z141" s="13"/>
      <c r="AA141" s="14"/>
      <c r="AB141" s="53"/>
      <c r="AC141" s="62">
        <f t="shared" si="167"/>
        <v>0</v>
      </c>
      <c r="AD141" s="34"/>
      <c r="AE141" s="34"/>
      <c r="AF141" s="37"/>
      <c r="AG141" s="62">
        <f t="shared" si="168"/>
        <v>0</v>
      </c>
      <c r="AH141" s="21">
        <f t="shared" si="169"/>
        <v>0</v>
      </c>
    </row>
    <row r="142" spans="1:35" ht="14.25" thickBot="1" x14ac:dyDescent="0.2">
      <c r="A142" s="35" t="s">
        <v>16</v>
      </c>
      <c r="B142" s="28">
        <f>SUM(B133:B141)</f>
        <v>33</v>
      </c>
      <c r="C142" s="29">
        <f t="shared" ref="C142:D142" si="173">SUM(C133:C141)</f>
        <v>33</v>
      </c>
      <c r="D142" s="68">
        <f t="shared" si="173"/>
        <v>21</v>
      </c>
      <c r="E142" s="64">
        <f>SUM(B142:D142)</f>
        <v>87</v>
      </c>
      <c r="F142" s="28">
        <f>SUM(F133:F141)</f>
        <v>30</v>
      </c>
      <c r="G142" s="29">
        <f t="shared" ref="G142:H142" si="174">SUM(G133:G141)</f>
        <v>25</v>
      </c>
      <c r="H142" s="68">
        <f t="shared" si="174"/>
        <v>22</v>
      </c>
      <c r="I142" s="64">
        <f>SUM(F142:H142)</f>
        <v>77</v>
      </c>
      <c r="J142" s="31">
        <f>SUM(J134:J141)</f>
        <v>124</v>
      </c>
      <c r="M142" s="35" t="s">
        <v>16</v>
      </c>
      <c r="N142" s="28">
        <f>SUM(N133:N141)</f>
        <v>539</v>
      </c>
      <c r="O142" s="29">
        <f t="shared" ref="O142:P142" si="175">SUM(O133:O141)</f>
        <v>636</v>
      </c>
      <c r="P142" s="68">
        <f t="shared" si="175"/>
        <v>368</v>
      </c>
      <c r="Q142" s="64">
        <f>SUM(N142:P142)</f>
        <v>1543</v>
      </c>
      <c r="R142" s="28">
        <f>SUM(R133:R141)</f>
        <v>516</v>
      </c>
      <c r="S142" s="29">
        <f t="shared" ref="S142:T142" si="176">SUM(S133:S141)</f>
        <v>578</v>
      </c>
      <c r="T142" s="68">
        <f t="shared" si="176"/>
        <v>381</v>
      </c>
      <c r="U142" s="64">
        <f>SUM(R142:T142)</f>
        <v>1475</v>
      </c>
      <c r="V142" s="31">
        <f>Q142+U142</f>
        <v>3018</v>
      </c>
      <c r="Y142" s="35" t="s">
        <v>16</v>
      </c>
      <c r="Z142" s="28">
        <f>SUM(Z133:Z141)</f>
        <v>0</v>
      </c>
      <c r="AA142" s="29">
        <f t="shared" ref="AA142:AB142" si="177">SUM(AA133:AA141)</f>
        <v>0</v>
      </c>
      <c r="AB142" s="68">
        <f t="shared" si="177"/>
        <v>0</v>
      </c>
      <c r="AC142" s="64">
        <f>SUM(Z142:AB142)</f>
        <v>0</v>
      </c>
      <c r="AD142" s="28">
        <f>SUM(AD133:AD141)</f>
        <v>0</v>
      </c>
      <c r="AE142" s="29">
        <f t="shared" ref="AE142:AF142" si="178">SUM(AE133:AE141)</f>
        <v>0</v>
      </c>
      <c r="AF142" s="68">
        <f t="shared" si="178"/>
        <v>0</v>
      </c>
      <c r="AG142" s="64">
        <f>SUM(AD142:AF142)</f>
        <v>0</v>
      </c>
      <c r="AH142" s="31">
        <f>AC142+AG142</f>
        <v>0</v>
      </c>
    </row>
    <row r="143" spans="1:35" x14ac:dyDescent="0.15">
      <c r="A143" s="24" t="s">
        <v>32</v>
      </c>
      <c r="B143" s="65">
        <v>1</v>
      </c>
      <c r="C143" s="66">
        <v>1</v>
      </c>
      <c r="D143" s="67"/>
      <c r="E143" s="49">
        <f>SUM(B143:D143)</f>
        <v>2</v>
      </c>
      <c r="F143" s="16">
        <v>2</v>
      </c>
      <c r="G143" s="14">
        <v>2</v>
      </c>
      <c r="H143" s="15"/>
      <c r="I143" s="49">
        <f>SUM(F143:H143)</f>
        <v>4</v>
      </c>
      <c r="J143" s="11">
        <f>E143+I143</f>
        <v>6</v>
      </c>
      <c r="K143" s="63">
        <v>44007</v>
      </c>
      <c r="M143" s="26" t="s">
        <v>138</v>
      </c>
      <c r="N143" s="65">
        <v>30</v>
      </c>
      <c r="O143" s="66">
        <v>20</v>
      </c>
      <c r="P143" s="67">
        <v>5</v>
      </c>
      <c r="Q143" s="49">
        <f t="shared" ref="Q143:Q169" si="179">SUM(N143:P143)</f>
        <v>55</v>
      </c>
      <c r="R143" s="16"/>
      <c r="S143" s="14"/>
      <c r="T143" s="15">
        <v>15</v>
      </c>
      <c r="U143" s="49">
        <f t="shared" ref="U143:U169" si="180">SUM(R143:T143)</f>
        <v>15</v>
      </c>
      <c r="V143" s="11">
        <f t="shared" ref="V143:V168" si="181">Q143+U143</f>
        <v>70</v>
      </c>
      <c r="W143" s="140">
        <v>44008</v>
      </c>
      <c r="Y143" s="26"/>
      <c r="Z143" s="8"/>
      <c r="AA143" s="9"/>
      <c r="AB143" s="52"/>
      <c r="AC143" s="11">
        <f t="shared" ref="AC143:AC169" si="182">SUM(Z143:AB143)</f>
        <v>0</v>
      </c>
      <c r="AD143" s="12"/>
      <c r="AE143" s="9"/>
      <c r="AF143" s="10"/>
      <c r="AG143" s="11">
        <f t="shared" ref="AG143:AG169" si="183">SUM(AD143:AF143)</f>
        <v>0</v>
      </c>
      <c r="AH143" s="11">
        <f t="shared" ref="AH143:AH168" si="184">AC143+AG143</f>
        <v>0</v>
      </c>
      <c r="AI143" s="63"/>
    </row>
    <row r="144" spans="1:35" x14ac:dyDescent="0.15">
      <c r="A144" s="23" t="s">
        <v>33</v>
      </c>
      <c r="B144" s="8"/>
      <c r="C144" s="9"/>
      <c r="D144" s="10">
        <v>1</v>
      </c>
      <c r="E144" s="49">
        <f t="shared" ref="E144:E169" si="185">SUM(B144:D144)</f>
        <v>1</v>
      </c>
      <c r="F144" s="12">
        <v>1</v>
      </c>
      <c r="G144" s="9"/>
      <c r="H144" s="10"/>
      <c r="I144" s="49">
        <f t="shared" ref="I144:I169" si="186">SUM(F144:H144)</f>
        <v>1</v>
      </c>
      <c r="J144" s="11">
        <f t="shared" ref="J144:J168" si="187">E144+I144</f>
        <v>2</v>
      </c>
      <c r="K144" s="63">
        <v>44008</v>
      </c>
      <c r="M144" s="26" t="s">
        <v>139</v>
      </c>
      <c r="N144" s="8">
        <v>10</v>
      </c>
      <c r="O144" s="9">
        <v>5</v>
      </c>
      <c r="P144" s="10">
        <v>5</v>
      </c>
      <c r="Q144" s="49">
        <f t="shared" si="179"/>
        <v>20</v>
      </c>
      <c r="R144" s="12">
        <v>10</v>
      </c>
      <c r="S144" s="9">
        <v>5</v>
      </c>
      <c r="T144" s="10">
        <v>5</v>
      </c>
      <c r="U144" s="49">
        <f t="shared" si="180"/>
        <v>20</v>
      </c>
      <c r="V144" s="11">
        <f t="shared" si="181"/>
        <v>40</v>
      </c>
      <c r="W144" s="140">
        <v>44012</v>
      </c>
      <c r="Y144" s="26"/>
      <c r="Z144" s="17"/>
      <c r="AA144" s="18"/>
      <c r="AB144" s="51"/>
      <c r="AC144" s="11">
        <f t="shared" si="182"/>
        <v>0</v>
      </c>
      <c r="AD144" s="20"/>
      <c r="AE144" s="18"/>
      <c r="AF144" s="19"/>
      <c r="AG144" s="11">
        <f t="shared" si="183"/>
        <v>0</v>
      </c>
      <c r="AH144" s="11">
        <f t="shared" si="184"/>
        <v>0</v>
      </c>
      <c r="AI144" s="82"/>
    </row>
    <row r="145" spans="1:35" x14ac:dyDescent="0.15">
      <c r="A145" s="23" t="s">
        <v>33</v>
      </c>
      <c r="B145" s="8"/>
      <c r="C145" s="9"/>
      <c r="D145" s="10">
        <v>1</v>
      </c>
      <c r="E145" s="49">
        <f t="shared" si="185"/>
        <v>1</v>
      </c>
      <c r="F145" s="12"/>
      <c r="G145" s="9"/>
      <c r="H145" s="10"/>
      <c r="I145" s="49">
        <f t="shared" si="186"/>
        <v>0</v>
      </c>
      <c r="J145" s="11">
        <f t="shared" si="187"/>
        <v>1</v>
      </c>
      <c r="K145" s="63">
        <v>44011</v>
      </c>
      <c r="M145" s="26" t="s">
        <v>140</v>
      </c>
      <c r="N145" s="8">
        <v>20</v>
      </c>
      <c r="O145" s="9">
        <v>40</v>
      </c>
      <c r="P145" s="10"/>
      <c r="Q145" s="49">
        <f t="shared" si="179"/>
        <v>60</v>
      </c>
      <c r="R145" s="12">
        <v>15</v>
      </c>
      <c r="S145" s="9">
        <v>8</v>
      </c>
      <c r="T145" s="10">
        <v>10</v>
      </c>
      <c r="U145" s="49">
        <f t="shared" si="180"/>
        <v>33</v>
      </c>
      <c r="V145" s="11">
        <f t="shared" si="181"/>
        <v>93</v>
      </c>
      <c r="W145" s="140">
        <v>44008</v>
      </c>
      <c r="X145" s="82"/>
      <c r="Y145" s="26"/>
      <c r="Z145" s="8"/>
      <c r="AA145" s="9"/>
      <c r="AB145" s="52"/>
      <c r="AC145" s="11">
        <f t="shared" si="182"/>
        <v>0</v>
      </c>
      <c r="AD145" s="12"/>
      <c r="AE145" s="9"/>
      <c r="AF145" s="10"/>
      <c r="AG145" s="11">
        <f t="shared" si="183"/>
        <v>0</v>
      </c>
      <c r="AH145" s="11">
        <f t="shared" si="184"/>
        <v>0</v>
      </c>
      <c r="AI145" s="63"/>
    </row>
    <row r="146" spans="1:35" x14ac:dyDescent="0.15">
      <c r="A146" s="23" t="s">
        <v>33</v>
      </c>
      <c r="B146" s="8"/>
      <c r="C146" s="9"/>
      <c r="D146" s="10"/>
      <c r="E146" s="49">
        <f t="shared" si="185"/>
        <v>0</v>
      </c>
      <c r="F146" s="12">
        <v>1</v>
      </c>
      <c r="G146" s="9"/>
      <c r="H146" s="10"/>
      <c r="I146" s="49">
        <f t="shared" si="186"/>
        <v>1</v>
      </c>
      <c r="J146" s="11">
        <f t="shared" si="187"/>
        <v>1</v>
      </c>
      <c r="K146" s="63">
        <v>44012</v>
      </c>
      <c r="L146" s="82"/>
      <c r="M146" s="26" t="s">
        <v>141</v>
      </c>
      <c r="N146" s="8">
        <v>15</v>
      </c>
      <c r="O146" s="9"/>
      <c r="P146" s="10">
        <v>10</v>
      </c>
      <c r="Q146" s="49">
        <f t="shared" si="179"/>
        <v>25</v>
      </c>
      <c r="R146" s="12">
        <v>7</v>
      </c>
      <c r="S146" s="9">
        <v>7</v>
      </c>
      <c r="T146" s="10"/>
      <c r="U146" s="49">
        <f t="shared" si="180"/>
        <v>14</v>
      </c>
      <c r="V146" s="11">
        <f t="shared" si="181"/>
        <v>39</v>
      </c>
      <c r="W146" s="140">
        <v>44009</v>
      </c>
      <c r="X146" s="82"/>
      <c r="Y146" s="26"/>
      <c r="Z146" s="8"/>
      <c r="AA146" s="9"/>
      <c r="AB146" s="52"/>
      <c r="AC146" s="11">
        <f t="shared" si="182"/>
        <v>0</v>
      </c>
      <c r="AD146" s="12"/>
      <c r="AE146" s="9"/>
      <c r="AF146" s="10"/>
      <c r="AG146" s="11">
        <f t="shared" si="183"/>
        <v>0</v>
      </c>
      <c r="AH146" s="11">
        <f t="shared" si="184"/>
        <v>0</v>
      </c>
      <c r="AI146" s="63"/>
    </row>
    <row r="147" spans="1:35" x14ac:dyDescent="0.15">
      <c r="A147" s="23" t="s">
        <v>33</v>
      </c>
      <c r="B147" s="8"/>
      <c r="C147" s="9"/>
      <c r="D147" s="10"/>
      <c r="E147" s="49">
        <f t="shared" si="185"/>
        <v>0</v>
      </c>
      <c r="F147" s="12">
        <v>1</v>
      </c>
      <c r="G147" s="9"/>
      <c r="H147" s="10"/>
      <c r="I147" s="49">
        <f t="shared" si="186"/>
        <v>1</v>
      </c>
      <c r="J147" s="11">
        <f t="shared" si="187"/>
        <v>1</v>
      </c>
      <c r="K147" s="63">
        <v>44013</v>
      </c>
      <c r="L147" s="82"/>
      <c r="M147" s="26" t="s">
        <v>142</v>
      </c>
      <c r="N147" s="8">
        <v>9</v>
      </c>
      <c r="O147" s="9"/>
      <c r="P147" s="10">
        <v>12</v>
      </c>
      <c r="Q147" s="49">
        <f t="shared" si="179"/>
        <v>21</v>
      </c>
      <c r="R147" s="12"/>
      <c r="S147" s="9">
        <v>2</v>
      </c>
      <c r="T147" s="10"/>
      <c r="U147" s="49">
        <f t="shared" si="180"/>
        <v>2</v>
      </c>
      <c r="V147" s="11">
        <f t="shared" si="181"/>
        <v>23</v>
      </c>
      <c r="W147" s="140">
        <v>44009</v>
      </c>
      <c r="Y147" s="26"/>
      <c r="Z147" s="8"/>
      <c r="AA147" s="9"/>
      <c r="AB147" s="10"/>
      <c r="AC147" s="49">
        <f t="shared" si="182"/>
        <v>0</v>
      </c>
      <c r="AD147" s="12"/>
      <c r="AE147" s="9"/>
      <c r="AF147" s="10"/>
      <c r="AG147" s="49">
        <f t="shared" si="183"/>
        <v>0</v>
      </c>
      <c r="AH147" s="11">
        <f t="shared" si="184"/>
        <v>0</v>
      </c>
      <c r="AI147" s="82"/>
    </row>
    <row r="148" spans="1:35" x14ac:dyDescent="0.15">
      <c r="A148" s="23" t="s">
        <v>33</v>
      </c>
      <c r="B148" s="8"/>
      <c r="C148" s="9"/>
      <c r="D148" s="10"/>
      <c r="E148" s="49">
        <f t="shared" si="185"/>
        <v>0</v>
      </c>
      <c r="F148" s="12"/>
      <c r="G148" s="9">
        <v>1</v>
      </c>
      <c r="H148" s="10"/>
      <c r="I148" s="49">
        <f t="shared" si="186"/>
        <v>1</v>
      </c>
      <c r="J148" s="11">
        <f t="shared" si="187"/>
        <v>1</v>
      </c>
      <c r="K148" s="63">
        <v>44018</v>
      </c>
      <c r="M148" s="26" t="s">
        <v>144</v>
      </c>
      <c r="N148" s="8"/>
      <c r="O148" s="9"/>
      <c r="P148" s="10"/>
      <c r="Q148" s="49">
        <f t="shared" si="179"/>
        <v>0</v>
      </c>
      <c r="R148" s="12"/>
      <c r="S148" s="9">
        <v>3</v>
      </c>
      <c r="T148" s="10">
        <v>1</v>
      </c>
      <c r="U148" s="49">
        <f t="shared" si="180"/>
        <v>4</v>
      </c>
      <c r="V148" s="11">
        <f t="shared" si="181"/>
        <v>4</v>
      </c>
      <c r="W148" s="140">
        <v>44012</v>
      </c>
      <c r="Y148" s="26"/>
      <c r="Z148" s="8"/>
      <c r="AA148" s="9"/>
      <c r="AB148" s="10"/>
      <c r="AC148" s="49">
        <f t="shared" si="182"/>
        <v>0</v>
      </c>
      <c r="AD148" s="12"/>
      <c r="AE148" s="9"/>
      <c r="AF148" s="10"/>
      <c r="AG148" s="49">
        <f t="shared" si="183"/>
        <v>0</v>
      </c>
      <c r="AH148" s="11">
        <f t="shared" si="184"/>
        <v>0</v>
      </c>
    </row>
    <row r="149" spans="1:35" ht="14.25" x14ac:dyDescent="0.15">
      <c r="A149" s="24" t="s">
        <v>32</v>
      </c>
      <c r="B149" s="8">
        <v>1</v>
      </c>
      <c r="C149" s="9"/>
      <c r="D149" s="10"/>
      <c r="E149" s="49">
        <f t="shared" si="185"/>
        <v>1</v>
      </c>
      <c r="F149" s="12">
        <v>1</v>
      </c>
      <c r="G149" s="9"/>
      <c r="H149" s="10"/>
      <c r="I149" s="49">
        <f t="shared" si="186"/>
        <v>1</v>
      </c>
      <c r="J149" s="11">
        <f t="shared" si="187"/>
        <v>2</v>
      </c>
      <c r="K149" s="63">
        <v>44020</v>
      </c>
      <c r="M149" s="102" t="s">
        <v>145</v>
      </c>
      <c r="N149" s="8">
        <v>1</v>
      </c>
      <c r="O149" s="9">
        <v>6</v>
      </c>
      <c r="P149" s="10">
        <v>6</v>
      </c>
      <c r="Q149" s="49">
        <f t="shared" ref="Q149:Q150" si="188">SUM(N149:P149)</f>
        <v>13</v>
      </c>
      <c r="R149" s="12">
        <v>2</v>
      </c>
      <c r="S149" s="9">
        <v>1</v>
      </c>
      <c r="T149" s="10">
        <v>4</v>
      </c>
      <c r="U149" s="49">
        <f t="shared" ref="U149:U150" si="189">SUM(R149:T149)</f>
        <v>7</v>
      </c>
      <c r="V149" s="11">
        <f t="shared" ref="V149:V150" si="190">Q149+U149</f>
        <v>20</v>
      </c>
      <c r="W149" s="143">
        <v>44014</v>
      </c>
      <c r="Y149" s="24"/>
      <c r="Z149" s="8"/>
      <c r="AA149" s="9"/>
      <c r="AB149" s="10"/>
      <c r="AC149" s="49">
        <f t="shared" si="182"/>
        <v>0</v>
      </c>
      <c r="AD149" s="12"/>
      <c r="AE149" s="9"/>
      <c r="AF149" s="10"/>
      <c r="AG149" s="49">
        <f t="shared" si="183"/>
        <v>0</v>
      </c>
      <c r="AH149" s="11">
        <f t="shared" si="184"/>
        <v>0</v>
      </c>
    </row>
    <row r="150" spans="1:35" ht="14.25" x14ac:dyDescent="0.15">
      <c r="A150" s="23" t="s">
        <v>33</v>
      </c>
      <c r="B150" s="8"/>
      <c r="C150" s="9"/>
      <c r="D150" s="10"/>
      <c r="E150" s="49">
        <f t="shared" si="185"/>
        <v>0</v>
      </c>
      <c r="F150" s="12">
        <v>1</v>
      </c>
      <c r="G150" s="9"/>
      <c r="H150" s="10"/>
      <c r="I150" s="49">
        <f t="shared" si="186"/>
        <v>1</v>
      </c>
      <c r="J150" s="11">
        <f t="shared" si="187"/>
        <v>1</v>
      </c>
      <c r="K150" s="73">
        <v>44019</v>
      </c>
      <c r="M150" s="23" t="s">
        <v>146</v>
      </c>
      <c r="N150" s="8">
        <v>1</v>
      </c>
      <c r="O150" s="9"/>
      <c r="P150" s="10">
        <v>1</v>
      </c>
      <c r="Q150" s="49">
        <f t="shared" si="188"/>
        <v>2</v>
      </c>
      <c r="R150" s="12">
        <v>1</v>
      </c>
      <c r="S150" s="9"/>
      <c r="T150" s="10">
        <v>1</v>
      </c>
      <c r="U150" s="49">
        <f t="shared" si="189"/>
        <v>2</v>
      </c>
      <c r="V150" s="11">
        <f t="shared" si="190"/>
        <v>4</v>
      </c>
      <c r="W150" s="140">
        <v>44014</v>
      </c>
      <c r="Y150" s="26"/>
      <c r="Z150" s="8"/>
      <c r="AA150" s="9"/>
      <c r="AB150" s="10"/>
      <c r="AC150" s="49">
        <f t="shared" si="182"/>
        <v>0</v>
      </c>
      <c r="AD150" s="12"/>
      <c r="AE150" s="9"/>
      <c r="AF150" s="10"/>
      <c r="AG150" s="49">
        <f t="shared" si="183"/>
        <v>0</v>
      </c>
      <c r="AH150" s="11">
        <f t="shared" si="184"/>
        <v>0</v>
      </c>
    </row>
    <row r="151" spans="1:35" x14ac:dyDescent="0.15">
      <c r="A151" s="23" t="s">
        <v>33</v>
      </c>
      <c r="B151" s="8"/>
      <c r="C151" s="9"/>
      <c r="D151" s="10"/>
      <c r="E151" s="49">
        <f t="shared" si="185"/>
        <v>0</v>
      </c>
      <c r="F151" s="12">
        <v>2</v>
      </c>
      <c r="G151" s="9">
        <v>1</v>
      </c>
      <c r="H151" s="10"/>
      <c r="I151" s="49">
        <f t="shared" si="186"/>
        <v>3</v>
      </c>
      <c r="J151" s="11">
        <f t="shared" si="187"/>
        <v>3</v>
      </c>
      <c r="K151" s="63">
        <v>44020</v>
      </c>
      <c r="M151" s="26" t="s">
        <v>147</v>
      </c>
      <c r="N151" s="8"/>
      <c r="O151" s="9">
        <v>5</v>
      </c>
      <c r="P151" s="10"/>
      <c r="Q151" s="49">
        <f t="shared" si="179"/>
        <v>5</v>
      </c>
      <c r="R151" s="12"/>
      <c r="S151" s="9">
        <v>5</v>
      </c>
      <c r="T151" s="10"/>
      <c r="U151" s="49">
        <f t="shared" si="180"/>
        <v>5</v>
      </c>
      <c r="V151" s="11">
        <f t="shared" si="181"/>
        <v>10</v>
      </c>
      <c r="W151" s="140">
        <v>44021</v>
      </c>
      <c r="X151" s="82"/>
      <c r="Y151" s="26"/>
      <c r="Z151" s="8"/>
      <c r="AA151" s="9"/>
      <c r="AB151" s="10"/>
      <c r="AC151" s="49">
        <f t="shared" si="182"/>
        <v>0</v>
      </c>
      <c r="AD151" s="12"/>
      <c r="AE151" s="9"/>
      <c r="AF151" s="10"/>
      <c r="AG151" s="49">
        <f t="shared" si="183"/>
        <v>0</v>
      </c>
      <c r="AH151" s="11">
        <f t="shared" si="184"/>
        <v>0</v>
      </c>
    </row>
    <row r="152" spans="1:35" x14ac:dyDescent="0.15">
      <c r="A152" s="23" t="s">
        <v>33</v>
      </c>
      <c r="B152" s="13"/>
      <c r="C152" s="14"/>
      <c r="D152" s="15"/>
      <c r="E152" s="49">
        <f t="shared" si="185"/>
        <v>0</v>
      </c>
      <c r="F152" s="16">
        <v>1</v>
      </c>
      <c r="G152" s="14"/>
      <c r="H152" s="15"/>
      <c r="I152" s="49">
        <f t="shared" si="186"/>
        <v>1</v>
      </c>
      <c r="J152" s="11">
        <f t="shared" si="187"/>
        <v>1</v>
      </c>
      <c r="K152" s="63">
        <v>44021</v>
      </c>
      <c r="M152" s="26" t="s">
        <v>148</v>
      </c>
      <c r="N152" s="13">
        <v>50</v>
      </c>
      <c r="O152" s="14">
        <v>30</v>
      </c>
      <c r="P152" s="15">
        <v>20</v>
      </c>
      <c r="Q152" s="49">
        <f t="shared" si="179"/>
        <v>100</v>
      </c>
      <c r="R152" s="16">
        <v>20</v>
      </c>
      <c r="S152" s="14">
        <v>15</v>
      </c>
      <c r="T152" s="15">
        <v>20</v>
      </c>
      <c r="U152" s="49">
        <f t="shared" si="180"/>
        <v>55</v>
      </c>
      <c r="V152" s="11">
        <f t="shared" si="181"/>
        <v>155</v>
      </c>
      <c r="W152" s="140">
        <v>44022</v>
      </c>
      <c r="Y152" s="26"/>
      <c r="Z152" s="13"/>
      <c r="AA152" s="14"/>
      <c r="AB152" s="15"/>
      <c r="AC152" s="49">
        <f t="shared" si="182"/>
        <v>0</v>
      </c>
      <c r="AD152" s="16"/>
      <c r="AE152" s="14"/>
      <c r="AF152" s="15"/>
      <c r="AG152" s="49">
        <f t="shared" si="183"/>
        <v>0</v>
      </c>
      <c r="AH152" s="11">
        <f t="shared" si="184"/>
        <v>0</v>
      </c>
    </row>
    <row r="153" spans="1:35" x14ac:dyDescent="0.15">
      <c r="A153" s="23" t="s">
        <v>33</v>
      </c>
      <c r="B153" s="8"/>
      <c r="C153" s="9"/>
      <c r="D153" s="10"/>
      <c r="E153" s="49">
        <f t="shared" si="185"/>
        <v>0</v>
      </c>
      <c r="F153" s="12">
        <v>3</v>
      </c>
      <c r="G153" s="9"/>
      <c r="H153" s="10"/>
      <c r="I153" s="49">
        <f t="shared" si="186"/>
        <v>3</v>
      </c>
      <c r="J153" s="11">
        <f t="shared" si="187"/>
        <v>3</v>
      </c>
      <c r="K153" s="63">
        <v>44022</v>
      </c>
      <c r="M153" s="26" t="s">
        <v>149</v>
      </c>
      <c r="N153" s="8">
        <v>40</v>
      </c>
      <c r="O153" s="9">
        <v>20</v>
      </c>
      <c r="P153" s="10"/>
      <c r="Q153" s="49">
        <f t="shared" si="179"/>
        <v>60</v>
      </c>
      <c r="R153" s="12">
        <v>25</v>
      </c>
      <c r="S153" s="9"/>
      <c r="T153" s="10"/>
      <c r="U153" s="49">
        <f t="shared" si="180"/>
        <v>25</v>
      </c>
      <c r="V153" s="11">
        <f t="shared" si="181"/>
        <v>85</v>
      </c>
      <c r="W153" s="140">
        <v>44022</v>
      </c>
      <c r="Y153" s="26"/>
      <c r="Z153" s="8"/>
      <c r="AA153" s="9"/>
      <c r="AB153" s="10"/>
      <c r="AC153" s="49">
        <f t="shared" si="182"/>
        <v>0</v>
      </c>
      <c r="AD153" s="12"/>
      <c r="AE153" s="9"/>
      <c r="AF153" s="10"/>
      <c r="AG153" s="49">
        <f t="shared" si="183"/>
        <v>0</v>
      </c>
      <c r="AH153" s="11">
        <f t="shared" si="184"/>
        <v>0</v>
      </c>
    </row>
    <row r="154" spans="1:35" x14ac:dyDescent="0.15">
      <c r="A154" s="23" t="s">
        <v>33</v>
      </c>
      <c r="B154" s="8"/>
      <c r="C154" s="9"/>
      <c r="D154" s="10">
        <v>3</v>
      </c>
      <c r="E154" s="49">
        <f t="shared" si="185"/>
        <v>3</v>
      </c>
      <c r="F154" s="12">
        <v>2</v>
      </c>
      <c r="G154" s="9">
        <v>2</v>
      </c>
      <c r="H154" s="10"/>
      <c r="I154" s="49">
        <f t="shared" si="186"/>
        <v>4</v>
      </c>
      <c r="J154" s="11">
        <f t="shared" si="187"/>
        <v>7</v>
      </c>
      <c r="K154" s="63">
        <v>44025</v>
      </c>
      <c r="M154" s="102" t="s">
        <v>150</v>
      </c>
      <c r="N154" s="8">
        <v>4</v>
      </c>
      <c r="O154" s="9"/>
      <c r="P154" s="10"/>
      <c r="Q154" s="49">
        <f t="shared" si="179"/>
        <v>4</v>
      </c>
      <c r="R154" s="12">
        <v>1</v>
      </c>
      <c r="S154" s="9">
        <v>5</v>
      </c>
      <c r="T154" s="10">
        <v>1</v>
      </c>
      <c r="U154" s="49">
        <f t="shared" si="180"/>
        <v>7</v>
      </c>
      <c r="V154" s="11">
        <f t="shared" si="181"/>
        <v>11</v>
      </c>
      <c r="W154" s="140">
        <v>44019</v>
      </c>
      <c r="Y154" s="26"/>
      <c r="Z154" s="8"/>
      <c r="AA154" s="9"/>
      <c r="AB154" s="10"/>
      <c r="AC154" s="49">
        <f t="shared" si="182"/>
        <v>0</v>
      </c>
      <c r="AD154" s="12"/>
      <c r="AE154" s="9"/>
      <c r="AF154" s="10"/>
      <c r="AG154" s="49">
        <f t="shared" si="183"/>
        <v>0</v>
      </c>
      <c r="AH154" s="11">
        <f t="shared" si="184"/>
        <v>0</v>
      </c>
    </row>
    <row r="155" spans="1:35" x14ac:dyDescent="0.15">
      <c r="A155" s="23" t="s">
        <v>33</v>
      </c>
      <c r="B155" s="8"/>
      <c r="C155" s="9"/>
      <c r="D155" s="10"/>
      <c r="E155" s="49">
        <f t="shared" si="185"/>
        <v>0</v>
      </c>
      <c r="F155" s="12">
        <v>1</v>
      </c>
      <c r="G155" s="9"/>
      <c r="H155" s="10"/>
      <c r="I155" s="49">
        <f t="shared" si="186"/>
        <v>1</v>
      </c>
      <c r="J155" s="11">
        <f t="shared" si="187"/>
        <v>1</v>
      </c>
      <c r="K155" s="63">
        <v>44027</v>
      </c>
      <c r="M155" s="26" t="s">
        <v>151</v>
      </c>
      <c r="N155" s="8">
        <v>5</v>
      </c>
      <c r="O155" s="9"/>
      <c r="P155" s="10"/>
      <c r="Q155" s="49">
        <f t="shared" si="179"/>
        <v>5</v>
      </c>
      <c r="R155" s="12">
        <v>10</v>
      </c>
      <c r="S155" s="9"/>
      <c r="T155" s="10"/>
      <c r="U155" s="49">
        <f t="shared" si="180"/>
        <v>10</v>
      </c>
      <c r="V155" s="11">
        <f t="shared" si="181"/>
        <v>15</v>
      </c>
      <c r="W155" s="140">
        <v>44019</v>
      </c>
      <c r="X155" s="82"/>
      <c r="Y155" s="26"/>
      <c r="Z155" s="8"/>
      <c r="AA155" s="9"/>
      <c r="AB155" s="10"/>
      <c r="AC155" s="49">
        <f t="shared" si="182"/>
        <v>0</v>
      </c>
      <c r="AD155" s="12"/>
      <c r="AE155" s="9"/>
      <c r="AF155" s="10"/>
      <c r="AG155" s="49">
        <f t="shared" si="183"/>
        <v>0</v>
      </c>
      <c r="AH155" s="11">
        <f t="shared" si="184"/>
        <v>0</v>
      </c>
    </row>
    <row r="156" spans="1:35" x14ac:dyDescent="0.15">
      <c r="A156" s="23" t="s">
        <v>159</v>
      </c>
      <c r="B156" s="8">
        <v>23</v>
      </c>
      <c r="C156" s="9">
        <v>23</v>
      </c>
      <c r="D156" s="10">
        <v>10</v>
      </c>
      <c r="E156" s="49">
        <f t="shared" si="185"/>
        <v>56</v>
      </c>
      <c r="F156" s="12">
        <v>5</v>
      </c>
      <c r="G156" s="9">
        <v>7</v>
      </c>
      <c r="H156" s="10">
        <v>13</v>
      </c>
      <c r="I156" s="49">
        <f t="shared" si="186"/>
        <v>25</v>
      </c>
      <c r="J156" s="11">
        <f t="shared" si="187"/>
        <v>81</v>
      </c>
      <c r="K156" s="63">
        <v>44029</v>
      </c>
      <c r="M156" s="26" t="s">
        <v>28</v>
      </c>
      <c r="N156" s="8"/>
      <c r="O156" s="9"/>
      <c r="P156" s="10"/>
      <c r="Q156" s="49">
        <f t="shared" si="179"/>
        <v>0</v>
      </c>
      <c r="R156" s="12">
        <v>10</v>
      </c>
      <c r="S156" s="9"/>
      <c r="T156" s="10"/>
      <c r="U156" s="49">
        <f t="shared" si="180"/>
        <v>10</v>
      </c>
      <c r="V156" s="11">
        <f t="shared" si="181"/>
        <v>10</v>
      </c>
      <c r="W156" s="140">
        <v>44027</v>
      </c>
      <c r="X156" s="82"/>
      <c r="Y156" s="26"/>
      <c r="Z156" s="8"/>
      <c r="AA156" s="9"/>
      <c r="AB156" s="10"/>
      <c r="AC156" s="49">
        <f t="shared" si="182"/>
        <v>0</v>
      </c>
      <c r="AD156" s="12"/>
      <c r="AE156" s="9"/>
      <c r="AF156" s="10"/>
      <c r="AG156" s="49">
        <f t="shared" si="183"/>
        <v>0</v>
      </c>
      <c r="AH156" s="11">
        <f t="shared" si="184"/>
        <v>0</v>
      </c>
    </row>
    <row r="157" spans="1:35" x14ac:dyDescent="0.15">
      <c r="A157" s="23" t="s">
        <v>33</v>
      </c>
      <c r="B157" s="8"/>
      <c r="C157" s="9"/>
      <c r="D157" s="10"/>
      <c r="E157" s="49">
        <f t="shared" si="185"/>
        <v>0</v>
      </c>
      <c r="F157" s="12">
        <v>1</v>
      </c>
      <c r="G157" s="9">
        <v>2</v>
      </c>
      <c r="H157" s="10"/>
      <c r="I157" s="49">
        <f t="shared" si="186"/>
        <v>3</v>
      </c>
      <c r="J157" s="11">
        <f t="shared" si="187"/>
        <v>3</v>
      </c>
      <c r="K157" s="63">
        <v>44032</v>
      </c>
      <c r="M157" s="26" t="s">
        <v>152</v>
      </c>
      <c r="N157" s="8">
        <v>5</v>
      </c>
      <c r="O157" s="9"/>
      <c r="P157" s="10"/>
      <c r="Q157" s="49">
        <f t="shared" si="179"/>
        <v>5</v>
      </c>
      <c r="R157" s="12">
        <v>5</v>
      </c>
      <c r="S157" s="9"/>
      <c r="T157" s="10"/>
      <c r="U157" s="49">
        <f t="shared" si="180"/>
        <v>5</v>
      </c>
      <c r="V157" s="11">
        <f t="shared" si="181"/>
        <v>10</v>
      </c>
      <c r="W157" s="140">
        <v>44033</v>
      </c>
      <c r="Y157" s="26"/>
      <c r="Z157" s="8"/>
      <c r="AA157" s="9"/>
      <c r="AB157" s="10"/>
      <c r="AC157" s="49">
        <f t="shared" si="182"/>
        <v>0</v>
      </c>
      <c r="AD157" s="12"/>
      <c r="AE157" s="9"/>
      <c r="AF157" s="10"/>
      <c r="AG157" s="49">
        <f t="shared" si="183"/>
        <v>0</v>
      </c>
      <c r="AH157" s="11">
        <f t="shared" si="184"/>
        <v>0</v>
      </c>
    </row>
    <row r="158" spans="1:35" x14ac:dyDescent="0.15">
      <c r="A158" s="23" t="s">
        <v>163</v>
      </c>
      <c r="B158" s="8"/>
      <c r="C158" s="9"/>
      <c r="D158" s="10"/>
      <c r="E158" s="49">
        <f t="shared" si="185"/>
        <v>0</v>
      </c>
      <c r="F158" s="12"/>
      <c r="G158" s="9">
        <v>2</v>
      </c>
      <c r="H158" s="10"/>
      <c r="I158" s="49">
        <f t="shared" si="186"/>
        <v>2</v>
      </c>
      <c r="J158" s="11">
        <f t="shared" si="187"/>
        <v>2</v>
      </c>
      <c r="K158" s="63">
        <v>44033</v>
      </c>
      <c r="M158" s="26" t="s">
        <v>153</v>
      </c>
      <c r="N158" s="8">
        <v>40</v>
      </c>
      <c r="O158" s="9">
        <v>100</v>
      </c>
      <c r="P158" s="10">
        <v>50</v>
      </c>
      <c r="Q158" s="49">
        <f t="shared" si="179"/>
        <v>190</v>
      </c>
      <c r="R158" s="12">
        <v>25</v>
      </c>
      <c r="S158" s="9">
        <v>45</v>
      </c>
      <c r="T158" s="10">
        <v>30</v>
      </c>
      <c r="U158" s="49">
        <f t="shared" si="180"/>
        <v>100</v>
      </c>
      <c r="V158" s="11">
        <f t="shared" si="181"/>
        <v>290</v>
      </c>
      <c r="W158" s="140">
        <v>44029</v>
      </c>
      <c r="Y158" s="24"/>
      <c r="Z158" s="8"/>
      <c r="AA158" s="9"/>
      <c r="AB158" s="10"/>
      <c r="AC158" s="49">
        <f t="shared" si="182"/>
        <v>0</v>
      </c>
      <c r="AD158" s="12"/>
      <c r="AE158" s="9"/>
      <c r="AF158" s="10"/>
      <c r="AG158" s="49">
        <f t="shared" si="183"/>
        <v>0</v>
      </c>
      <c r="AH158" s="11">
        <f t="shared" si="184"/>
        <v>0</v>
      </c>
    </row>
    <row r="159" spans="1:35" x14ac:dyDescent="0.15">
      <c r="A159" s="23" t="s">
        <v>163</v>
      </c>
      <c r="B159" s="8"/>
      <c r="C159" s="9"/>
      <c r="D159" s="10"/>
      <c r="E159" s="49">
        <f t="shared" si="185"/>
        <v>0</v>
      </c>
      <c r="F159" s="12"/>
      <c r="G159" s="9">
        <v>1</v>
      </c>
      <c r="H159" s="10"/>
      <c r="I159" s="49">
        <f t="shared" si="186"/>
        <v>1</v>
      </c>
      <c r="J159" s="11">
        <f t="shared" si="187"/>
        <v>1</v>
      </c>
      <c r="K159" s="63">
        <v>44034</v>
      </c>
      <c r="M159" s="26" t="s">
        <v>154</v>
      </c>
      <c r="N159" s="8">
        <v>60</v>
      </c>
      <c r="O159" s="9">
        <v>120</v>
      </c>
      <c r="P159" s="10">
        <v>60</v>
      </c>
      <c r="Q159" s="49">
        <f t="shared" si="179"/>
        <v>240</v>
      </c>
      <c r="R159" s="12">
        <v>40</v>
      </c>
      <c r="S159" s="9">
        <v>50</v>
      </c>
      <c r="T159" s="10">
        <v>15</v>
      </c>
      <c r="U159" s="49">
        <f t="shared" si="180"/>
        <v>105</v>
      </c>
      <c r="V159" s="11">
        <f t="shared" si="181"/>
        <v>345</v>
      </c>
      <c r="W159" s="140">
        <v>44029</v>
      </c>
      <c r="X159" s="82"/>
      <c r="Y159" s="26"/>
      <c r="Z159" s="8"/>
      <c r="AA159" s="9"/>
      <c r="AB159" s="10"/>
      <c r="AC159" s="49">
        <f t="shared" si="182"/>
        <v>0</v>
      </c>
      <c r="AD159" s="12"/>
      <c r="AE159" s="9"/>
      <c r="AF159" s="10"/>
      <c r="AG159" s="49">
        <f t="shared" si="183"/>
        <v>0</v>
      </c>
      <c r="AH159" s="11">
        <f t="shared" si="184"/>
        <v>0</v>
      </c>
    </row>
    <row r="160" spans="1:35" x14ac:dyDescent="0.15">
      <c r="A160" s="23" t="s">
        <v>163</v>
      </c>
      <c r="B160" s="8"/>
      <c r="C160" s="9"/>
      <c r="D160" s="10"/>
      <c r="E160" s="49">
        <f t="shared" si="185"/>
        <v>0</v>
      </c>
      <c r="F160" s="12">
        <v>1</v>
      </c>
      <c r="G160" s="9">
        <v>4</v>
      </c>
      <c r="H160" s="10"/>
      <c r="I160" s="49">
        <f t="shared" si="186"/>
        <v>5</v>
      </c>
      <c r="J160" s="11">
        <f t="shared" si="187"/>
        <v>5</v>
      </c>
      <c r="K160" s="63">
        <v>44039</v>
      </c>
      <c r="M160" s="26" t="s">
        <v>155</v>
      </c>
      <c r="N160" s="8">
        <v>75</v>
      </c>
      <c r="O160" s="9">
        <v>130</v>
      </c>
      <c r="P160" s="10">
        <v>50</v>
      </c>
      <c r="Q160" s="49">
        <f t="shared" si="179"/>
        <v>255</v>
      </c>
      <c r="R160" s="12">
        <v>45</v>
      </c>
      <c r="S160" s="9">
        <v>60</v>
      </c>
      <c r="T160" s="10">
        <v>20</v>
      </c>
      <c r="U160" s="49">
        <f t="shared" si="180"/>
        <v>125</v>
      </c>
      <c r="V160" s="11">
        <f t="shared" si="181"/>
        <v>380</v>
      </c>
      <c r="W160" s="140">
        <v>44030</v>
      </c>
      <c r="X160" s="82"/>
      <c r="Y160" s="24"/>
      <c r="Z160" s="8"/>
      <c r="AA160" s="9"/>
      <c r="AB160" s="10"/>
      <c r="AC160" s="49">
        <f t="shared" si="182"/>
        <v>0</v>
      </c>
      <c r="AD160" s="12"/>
      <c r="AE160" s="9"/>
      <c r="AF160" s="10"/>
      <c r="AG160" s="49">
        <f t="shared" si="183"/>
        <v>0</v>
      </c>
      <c r="AH160" s="11">
        <f t="shared" si="184"/>
        <v>0</v>
      </c>
    </row>
    <row r="161" spans="1:35" x14ac:dyDescent="0.15">
      <c r="A161" s="24"/>
      <c r="B161" s="8"/>
      <c r="C161" s="9"/>
      <c r="D161" s="10"/>
      <c r="E161" s="49">
        <f t="shared" si="185"/>
        <v>0</v>
      </c>
      <c r="F161" s="12"/>
      <c r="G161" s="9"/>
      <c r="H161" s="10"/>
      <c r="I161" s="49">
        <f t="shared" si="186"/>
        <v>0</v>
      </c>
      <c r="J161" s="11">
        <f t="shared" si="187"/>
        <v>0</v>
      </c>
      <c r="K161" s="63"/>
      <c r="M161" s="26" t="s">
        <v>156</v>
      </c>
      <c r="N161" s="8">
        <v>30</v>
      </c>
      <c r="O161" s="9"/>
      <c r="P161" s="10">
        <v>20</v>
      </c>
      <c r="Q161" s="49">
        <f t="shared" si="179"/>
        <v>50</v>
      </c>
      <c r="R161" s="12">
        <v>30</v>
      </c>
      <c r="S161" s="9">
        <v>20</v>
      </c>
      <c r="T161" s="10">
        <v>5</v>
      </c>
      <c r="U161" s="49">
        <f t="shared" si="180"/>
        <v>55</v>
      </c>
      <c r="V161" s="11">
        <f t="shared" si="181"/>
        <v>105</v>
      </c>
      <c r="W161" s="140">
        <v>44030</v>
      </c>
      <c r="Y161" s="26"/>
      <c r="Z161" s="8"/>
      <c r="AA161" s="9"/>
      <c r="AB161" s="10"/>
      <c r="AC161" s="49">
        <f t="shared" si="182"/>
        <v>0</v>
      </c>
      <c r="AD161" s="12"/>
      <c r="AE161" s="9"/>
      <c r="AF161" s="10"/>
      <c r="AG161" s="49">
        <f t="shared" si="183"/>
        <v>0</v>
      </c>
      <c r="AH161" s="11">
        <f t="shared" si="184"/>
        <v>0</v>
      </c>
    </row>
    <row r="162" spans="1:35" x14ac:dyDescent="0.15">
      <c r="A162" s="23"/>
      <c r="B162" s="8"/>
      <c r="C162" s="9"/>
      <c r="D162" s="10"/>
      <c r="E162" s="49">
        <f t="shared" si="185"/>
        <v>0</v>
      </c>
      <c r="F162" s="12"/>
      <c r="G162" s="9"/>
      <c r="H162" s="10"/>
      <c r="I162" s="49">
        <f t="shared" si="186"/>
        <v>0</v>
      </c>
      <c r="J162" s="11">
        <f t="shared" si="187"/>
        <v>0</v>
      </c>
      <c r="K162" s="63"/>
      <c r="M162" s="26" t="s">
        <v>157</v>
      </c>
      <c r="N162" s="8">
        <v>15</v>
      </c>
      <c r="O162" s="9">
        <v>5</v>
      </c>
      <c r="P162" s="10"/>
      <c r="Q162" s="49">
        <f t="shared" si="179"/>
        <v>20</v>
      </c>
      <c r="R162" s="12"/>
      <c r="S162" s="9"/>
      <c r="T162" s="10"/>
      <c r="U162" s="49">
        <f t="shared" si="180"/>
        <v>0</v>
      </c>
      <c r="V162" s="11">
        <f t="shared" si="181"/>
        <v>20</v>
      </c>
      <c r="W162" s="140">
        <v>44032</v>
      </c>
      <c r="Y162" s="24"/>
      <c r="Z162" s="8"/>
      <c r="AA162" s="9"/>
      <c r="AB162" s="10"/>
      <c r="AC162" s="49">
        <f t="shared" si="182"/>
        <v>0</v>
      </c>
      <c r="AD162" s="12"/>
      <c r="AE162" s="9"/>
      <c r="AF162" s="10"/>
      <c r="AG162" s="49">
        <f t="shared" si="183"/>
        <v>0</v>
      </c>
      <c r="AH162" s="11">
        <f t="shared" si="184"/>
        <v>0</v>
      </c>
    </row>
    <row r="163" spans="1:35" x14ac:dyDescent="0.15">
      <c r="A163" s="24"/>
      <c r="B163" s="8"/>
      <c r="C163" s="9"/>
      <c r="D163" s="10"/>
      <c r="E163" s="49">
        <f t="shared" si="185"/>
        <v>0</v>
      </c>
      <c r="F163" s="12"/>
      <c r="G163" s="9"/>
      <c r="H163" s="10"/>
      <c r="I163" s="49">
        <f t="shared" si="186"/>
        <v>0</v>
      </c>
      <c r="J163" s="11">
        <f t="shared" si="187"/>
        <v>0</v>
      </c>
      <c r="K163" s="63"/>
      <c r="M163" s="26" t="s">
        <v>28</v>
      </c>
      <c r="N163" s="8"/>
      <c r="O163" s="9"/>
      <c r="P163" s="10"/>
      <c r="Q163" s="49">
        <f t="shared" si="179"/>
        <v>0</v>
      </c>
      <c r="R163" s="12"/>
      <c r="S163" s="9">
        <v>10</v>
      </c>
      <c r="T163" s="10"/>
      <c r="U163" s="49">
        <f t="shared" si="180"/>
        <v>10</v>
      </c>
      <c r="V163" s="11">
        <f t="shared" si="181"/>
        <v>10</v>
      </c>
      <c r="W163" s="140">
        <v>44033</v>
      </c>
      <c r="Y163" s="26"/>
      <c r="Z163" s="8"/>
      <c r="AA163" s="9"/>
      <c r="AB163" s="10"/>
      <c r="AC163" s="49">
        <f t="shared" si="182"/>
        <v>0</v>
      </c>
      <c r="AD163" s="12"/>
      <c r="AE163" s="9"/>
      <c r="AF163" s="10"/>
      <c r="AG163" s="49">
        <f t="shared" si="183"/>
        <v>0</v>
      </c>
      <c r="AH163" s="11">
        <f t="shared" si="184"/>
        <v>0</v>
      </c>
      <c r="AI163" s="82"/>
    </row>
    <row r="164" spans="1:35" x14ac:dyDescent="0.15">
      <c r="A164" s="23"/>
      <c r="B164" s="13"/>
      <c r="C164" s="14"/>
      <c r="D164" s="15"/>
      <c r="E164" s="49">
        <f t="shared" si="185"/>
        <v>0</v>
      </c>
      <c r="F164" s="16"/>
      <c r="G164" s="14"/>
      <c r="H164" s="15"/>
      <c r="I164" s="49">
        <f t="shared" si="186"/>
        <v>0</v>
      </c>
      <c r="J164" s="11">
        <f t="shared" si="187"/>
        <v>0</v>
      </c>
      <c r="K164" s="63"/>
      <c r="M164" s="102" t="s">
        <v>161</v>
      </c>
      <c r="N164" s="8">
        <v>2</v>
      </c>
      <c r="O164" s="9"/>
      <c r="P164" s="10"/>
      <c r="Q164" s="49">
        <f t="shared" ref="Q164:Q165" si="191">SUM(N164:P164)</f>
        <v>2</v>
      </c>
      <c r="R164" s="12">
        <v>2</v>
      </c>
      <c r="S164" s="9"/>
      <c r="T164" s="10"/>
      <c r="U164" s="49">
        <f t="shared" ref="U164:U165" si="192">SUM(R164:T164)</f>
        <v>2</v>
      </c>
      <c r="V164" s="11">
        <f t="shared" ref="V164:V165" si="193">Q164+U164</f>
        <v>4</v>
      </c>
      <c r="W164" s="140">
        <v>44034</v>
      </c>
      <c r="Y164" s="26"/>
      <c r="Z164" s="8"/>
      <c r="AA164" s="9"/>
      <c r="AB164" s="10"/>
      <c r="AC164" s="49">
        <f t="shared" si="182"/>
        <v>0</v>
      </c>
      <c r="AD164" s="12"/>
      <c r="AE164" s="9"/>
      <c r="AF164" s="10"/>
      <c r="AG164" s="49">
        <f t="shared" si="183"/>
        <v>0</v>
      </c>
      <c r="AH164" s="11">
        <f t="shared" si="184"/>
        <v>0</v>
      </c>
      <c r="AI164" s="82"/>
    </row>
    <row r="165" spans="1:35" x14ac:dyDescent="0.15">
      <c r="A165" s="23"/>
      <c r="B165" s="8"/>
      <c r="C165" s="9"/>
      <c r="D165" s="10"/>
      <c r="E165" s="49">
        <f t="shared" si="185"/>
        <v>0</v>
      </c>
      <c r="F165" s="12"/>
      <c r="G165" s="9"/>
      <c r="H165" s="10"/>
      <c r="I165" s="49">
        <f t="shared" si="186"/>
        <v>0</v>
      </c>
      <c r="J165" s="11">
        <f t="shared" si="187"/>
        <v>0</v>
      </c>
      <c r="K165" s="63"/>
      <c r="M165" s="26" t="s">
        <v>164</v>
      </c>
      <c r="N165" s="106">
        <v>50</v>
      </c>
      <c r="O165" s="103">
        <v>0</v>
      </c>
      <c r="P165" s="10">
        <v>55</v>
      </c>
      <c r="Q165" s="49">
        <f t="shared" si="191"/>
        <v>105</v>
      </c>
      <c r="R165" s="12">
        <v>75</v>
      </c>
      <c r="S165" s="103">
        <v>30</v>
      </c>
      <c r="T165" s="104">
        <v>30</v>
      </c>
      <c r="U165" s="49">
        <f t="shared" si="192"/>
        <v>135</v>
      </c>
      <c r="V165" s="11">
        <f t="shared" si="193"/>
        <v>240</v>
      </c>
      <c r="W165" s="140">
        <v>44035</v>
      </c>
      <c r="Y165" s="26"/>
      <c r="Z165" s="8"/>
      <c r="AA165" s="9"/>
      <c r="AB165" s="10"/>
      <c r="AC165" s="49">
        <f t="shared" si="182"/>
        <v>0</v>
      </c>
      <c r="AD165" s="12"/>
      <c r="AE165" s="9"/>
      <c r="AF165" s="10"/>
      <c r="AG165" s="49">
        <f t="shared" si="183"/>
        <v>0</v>
      </c>
      <c r="AH165" s="11">
        <f t="shared" si="184"/>
        <v>0</v>
      </c>
      <c r="AI165" s="82"/>
    </row>
    <row r="166" spans="1:35" x14ac:dyDescent="0.15">
      <c r="A166" s="23"/>
      <c r="B166" s="8"/>
      <c r="C166" s="9"/>
      <c r="D166" s="10"/>
      <c r="E166" s="49">
        <f t="shared" si="185"/>
        <v>0</v>
      </c>
      <c r="F166" s="12"/>
      <c r="G166" s="9"/>
      <c r="H166" s="10"/>
      <c r="I166" s="49">
        <f t="shared" si="186"/>
        <v>0</v>
      </c>
      <c r="J166" s="11">
        <f t="shared" si="187"/>
        <v>0</v>
      </c>
      <c r="K166" s="63"/>
      <c r="M166" s="102" t="s">
        <v>165</v>
      </c>
      <c r="N166" s="8"/>
      <c r="O166" s="9">
        <v>5</v>
      </c>
      <c r="P166" s="10">
        <v>1</v>
      </c>
      <c r="Q166" s="49">
        <f t="shared" si="179"/>
        <v>6</v>
      </c>
      <c r="R166" s="12"/>
      <c r="S166" s="9">
        <v>5</v>
      </c>
      <c r="T166" s="10">
        <v>1</v>
      </c>
      <c r="U166" s="49">
        <f t="shared" si="180"/>
        <v>6</v>
      </c>
      <c r="V166" s="11">
        <f t="shared" si="181"/>
        <v>12</v>
      </c>
      <c r="W166" s="140">
        <v>44040</v>
      </c>
      <c r="X166" s="82"/>
      <c r="Y166" s="26"/>
      <c r="Z166" s="8"/>
      <c r="AA166" s="9"/>
      <c r="AB166" s="10"/>
      <c r="AC166" s="49">
        <f t="shared" si="182"/>
        <v>0</v>
      </c>
      <c r="AD166" s="12"/>
      <c r="AE166" s="9"/>
      <c r="AF166" s="10"/>
      <c r="AG166" s="49">
        <f t="shared" si="183"/>
        <v>0</v>
      </c>
      <c r="AH166" s="11">
        <f t="shared" si="184"/>
        <v>0</v>
      </c>
      <c r="AI166" s="82"/>
    </row>
    <row r="167" spans="1:35" x14ac:dyDescent="0.15">
      <c r="A167" s="23"/>
      <c r="B167" s="8"/>
      <c r="C167" s="9"/>
      <c r="D167" s="10"/>
      <c r="E167" s="49">
        <f t="shared" si="185"/>
        <v>0</v>
      </c>
      <c r="F167" s="12"/>
      <c r="G167" s="9"/>
      <c r="H167" s="10"/>
      <c r="I167" s="49">
        <f t="shared" si="186"/>
        <v>0</v>
      </c>
      <c r="J167" s="11">
        <f t="shared" si="187"/>
        <v>0</v>
      </c>
      <c r="K167" s="63"/>
      <c r="M167" s="23"/>
      <c r="N167" s="8"/>
      <c r="O167" s="9"/>
      <c r="P167" s="10"/>
      <c r="Q167" s="49">
        <f t="shared" si="179"/>
        <v>0</v>
      </c>
      <c r="R167" s="12"/>
      <c r="S167" s="9"/>
      <c r="T167" s="10"/>
      <c r="U167" s="49">
        <f t="shared" si="180"/>
        <v>0</v>
      </c>
      <c r="V167" s="11">
        <f t="shared" si="181"/>
        <v>0</v>
      </c>
      <c r="W167" s="140"/>
      <c r="Y167" s="26"/>
      <c r="Z167" s="8"/>
      <c r="AA167" s="9"/>
      <c r="AB167" s="10"/>
      <c r="AC167" s="49">
        <f t="shared" si="182"/>
        <v>0</v>
      </c>
      <c r="AD167" s="12"/>
      <c r="AE167" s="9"/>
      <c r="AF167" s="10"/>
      <c r="AG167" s="49">
        <f t="shared" si="183"/>
        <v>0</v>
      </c>
      <c r="AH167" s="11">
        <f t="shared" si="184"/>
        <v>0</v>
      </c>
      <c r="AI167" s="82"/>
    </row>
    <row r="168" spans="1:35" ht="14.25" thickBot="1" x14ac:dyDescent="0.2">
      <c r="A168" s="23"/>
      <c r="B168" s="13"/>
      <c r="C168" s="14"/>
      <c r="D168" s="15"/>
      <c r="E168" s="55">
        <f t="shared" si="185"/>
        <v>0</v>
      </c>
      <c r="F168" s="16"/>
      <c r="G168" s="14"/>
      <c r="H168" s="15"/>
      <c r="I168" s="55">
        <f t="shared" si="186"/>
        <v>0</v>
      </c>
      <c r="J168" s="11">
        <f t="shared" si="187"/>
        <v>0</v>
      </c>
      <c r="K168" s="63"/>
      <c r="M168" s="26" t="s">
        <v>53</v>
      </c>
      <c r="N168" s="106"/>
      <c r="O168" s="9"/>
      <c r="P168" s="10"/>
      <c r="Q168" s="49">
        <f t="shared" si="179"/>
        <v>0</v>
      </c>
      <c r="R168" s="12"/>
      <c r="S168" s="9"/>
      <c r="T168" s="10"/>
      <c r="U168" s="49">
        <f t="shared" si="180"/>
        <v>0</v>
      </c>
      <c r="V168" s="11">
        <f t="shared" si="181"/>
        <v>0</v>
      </c>
      <c r="W168" s="142" t="s">
        <v>48</v>
      </c>
      <c r="Y168" s="92"/>
      <c r="Z168" s="13"/>
      <c r="AA168" s="14"/>
      <c r="AB168" s="15"/>
      <c r="AC168" s="49">
        <f t="shared" si="182"/>
        <v>0</v>
      </c>
      <c r="AD168" s="16"/>
      <c r="AE168" s="14"/>
      <c r="AF168" s="15"/>
      <c r="AG168" s="49">
        <f t="shared" si="183"/>
        <v>0</v>
      </c>
      <c r="AH168" s="11">
        <f t="shared" si="184"/>
        <v>0</v>
      </c>
      <c r="AI168" s="82"/>
    </row>
    <row r="169" spans="1:35" ht="14.25" thickBot="1" x14ac:dyDescent="0.2">
      <c r="A169" s="41" t="s">
        <v>19</v>
      </c>
      <c r="B169" s="46">
        <f>SUM(B143:B168)</f>
        <v>25</v>
      </c>
      <c r="C169" s="47">
        <f t="shared" ref="C169:D169" si="194">SUM(C143:C168)</f>
        <v>24</v>
      </c>
      <c r="D169" s="59">
        <f t="shared" si="194"/>
        <v>15</v>
      </c>
      <c r="E169" s="45">
        <f t="shared" si="185"/>
        <v>64</v>
      </c>
      <c r="F169" s="46">
        <f>SUM(F143:F168)</f>
        <v>23</v>
      </c>
      <c r="G169" s="47">
        <f t="shared" ref="G169:H169" si="195">SUM(G143:G168)</f>
        <v>22</v>
      </c>
      <c r="H169" s="59">
        <f t="shared" si="195"/>
        <v>13</v>
      </c>
      <c r="I169" s="45">
        <f t="shared" si="186"/>
        <v>58</v>
      </c>
      <c r="J169" s="45">
        <f>E169+I169</f>
        <v>122</v>
      </c>
      <c r="M169" s="41" t="s">
        <v>19</v>
      </c>
      <c r="N169" s="46">
        <f>SUM(N143:N168)</f>
        <v>462</v>
      </c>
      <c r="O169" s="47">
        <f t="shared" ref="O169:P169" si="196">SUM(O143:O168)</f>
        <v>486</v>
      </c>
      <c r="P169" s="59">
        <f t="shared" si="196"/>
        <v>295</v>
      </c>
      <c r="Q169" s="45">
        <f t="shared" si="179"/>
        <v>1243</v>
      </c>
      <c r="R169" s="46">
        <f>SUM(R143:R168)</f>
        <v>323</v>
      </c>
      <c r="S169" s="47">
        <f t="shared" ref="S169:T169" si="197">SUM(S143:S168)</f>
        <v>271</v>
      </c>
      <c r="T169" s="59">
        <f t="shared" si="197"/>
        <v>158</v>
      </c>
      <c r="U169" s="45">
        <f t="shared" si="180"/>
        <v>752</v>
      </c>
      <c r="V169" s="45">
        <f>Q169+U169</f>
        <v>1995</v>
      </c>
      <c r="Y169" s="41" t="s">
        <v>19</v>
      </c>
      <c r="Z169" s="46">
        <f>SUM(Z143:Z168)</f>
        <v>0</v>
      </c>
      <c r="AA169" s="47">
        <f t="shared" ref="AA169:AB169" si="198">SUM(AA143:AA168)</f>
        <v>0</v>
      </c>
      <c r="AB169" s="59">
        <f t="shared" si="198"/>
        <v>0</v>
      </c>
      <c r="AC169" s="45">
        <f t="shared" si="182"/>
        <v>0</v>
      </c>
      <c r="AD169" s="46">
        <f>SUM(AD143:AD168)</f>
        <v>0</v>
      </c>
      <c r="AE169" s="47">
        <f t="shared" ref="AE169:AF169" si="199">SUM(AE143:AE168)</f>
        <v>0</v>
      </c>
      <c r="AF169" s="59">
        <f t="shared" si="199"/>
        <v>0</v>
      </c>
      <c r="AG169" s="45">
        <f t="shared" si="183"/>
        <v>0</v>
      </c>
      <c r="AH169" s="45">
        <f>AC169+AG169</f>
        <v>0</v>
      </c>
    </row>
    <row r="170" spans="1:35" ht="14.25" thickBot="1" x14ac:dyDescent="0.2">
      <c r="A170" s="22" t="s">
        <v>17</v>
      </c>
      <c r="B170" s="50">
        <f>B142-B169</f>
        <v>8</v>
      </c>
      <c r="C170" s="57">
        <f t="shared" ref="C170:D170" si="200">C142-C169</f>
        <v>9</v>
      </c>
      <c r="D170" s="58">
        <f t="shared" si="200"/>
        <v>6</v>
      </c>
      <c r="E170" s="56">
        <f>SUM(B170:D170)</f>
        <v>23</v>
      </c>
      <c r="F170" s="50">
        <f>F142-F169</f>
        <v>7</v>
      </c>
      <c r="G170" s="57">
        <f t="shared" ref="G170:H170" si="201">G142-G169</f>
        <v>3</v>
      </c>
      <c r="H170" s="58">
        <f t="shared" si="201"/>
        <v>9</v>
      </c>
      <c r="I170" s="56">
        <f>SUM(F170:H170)</f>
        <v>19</v>
      </c>
      <c r="J170" s="31">
        <f>E170+I170</f>
        <v>42</v>
      </c>
      <c r="M170" s="22" t="s">
        <v>17</v>
      </c>
      <c r="N170" s="50">
        <f>N142-N169</f>
        <v>77</v>
      </c>
      <c r="O170" s="57">
        <f t="shared" ref="O170:P170" si="202">O142-O169</f>
        <v>150</v>
      </c>
      <c r="P170" s="58">
        <f t="shared" si="202"/>
        <v>73</v>
      </c>
      <c r="Q170" s="56">
        <f>SUM(N170:P170)</f>
        <v>300</v>
      </c>
      <c r="R170" s="50">
        <f>R142-R169</f>
        <v>193</v>
      </c>
      <c r="S170" s="57">
        <f t="shared" ref="S170:T170" si="203">S142-S169</f>
        <v>307</v>
      </c>
      <c r="T170" s="58">
        <f t="shared" si="203"/>
        <v>223</v>
      </c>
      <c r="U170" s="56">
        <f>SUM(R170:T170)</f>
        <v>723</v>
      </c>
      <c r="V170" s="31">
        <f>Q170+U170</f>
        <v>1023</v>
      </c>
      <c r="Y170" s="22" t="s">
        <v>17</v>
      </c>
      <c r="Z170" s="50">
        <f>Z142-Z169</f>
        <v>0</v>
      </c>
      <c r="AA170" s="57">
        <f t="shared" ref="AA170:AB170" si="204">AA142-AA169</f>
        <v>0</v>
      </c>
      <c r="AB170" s="58">
        <f t="shared" si="204"/>
        <v>0</v>
      </c>
      <c r="AC170" s="56">
        <f>SUM(Z170:AB170)</f>
        <v>0</v>
      </c>
      <c r="AD170" s="50">
        <f>AD142-AD169</f>
        <v>0</v>
      </c>
      <c r="AE170" s="57">
        <f t="shared" ref="AE170:AF170" si="205">AE142-AE169</f>
        <v>0</v>
      </c>
      <c r="AF170" s="58">
        <f t="shared" si="205"/>
        <v>0</v>
      </c>
      <c r="AG170" s="56">
        <f>SUM(AD170:AF170)</f>
        <v>0</v>
      </c>
      <c r="AH170" s="31">
        <f>AC170+AG170</f>
        <v>0</v>
      </c>
    </row>
    <row r="172" spans="1:35" x14ac:dyDescent="0.15">
      <c r="N172" s="105"/>
      <c r="O172" s="105"/>
      <c r="P172" s="105"/>
      <c r="Q172" s="105"/>
      <c r="R172" s="105"/>
      <c r="S172" s="105"/>
      <c r="T172" s="105"/>
    </row>
    <row r="173" spans="1:35" ht="19.5" thickBot="1" x14ac:dyDescent="0.25">
      <c r="A173" s="3" t="s">
        <v>21</v>
      </c>
      <c r="B173" s="1"/>
      <c r="C173" s="1"/>
      <c r="D173" s="1"/>
      <c r="E173" s="1"/>
      <c r="F173" s="1"/>
      <c r="G173" s="1"/>
      <c r="H173" s="1"/>
      <c r="I173" s="1"/>
      <c r="J173" s="1"/>
      <c r="M173" s="3" t="s">
        <v>22</v>
      </c>
      <c r="N173" s="1"/>
      <c r="O173" s="1"/>
      <c r="P173" s="1"/>
      <c r="Q173" s="1"/>
      <c r="R173" s="1"/>
      <c r="S173" s="1"/>
      <c r="T173" s="1"/>
      <c r="U173" s="1"/>
      <c r="V173" s="1"/>
      <c r="Y173" s="3" t="s">
        <v>23</v>
      </c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5" ht="14.25" thickBot="1" x14ac:dyDescent="0.2">
      <c r="A174" s="7" t="s">
        <v>0</v>
      </c>
      <c r="B174" s="165" t="s">
        <v>24</v>
      </c>
      <c r="C174" s="166"/>
      <c r="D174" s="166"/>
      <c r="E174" s="170"/>
      <c r="F174" s="165" t="s">
        <v>18</v>
      </c>
      <c r="G174" s="166"/>
      <c r="H174" s="166"/>
      <c r="I174" s="167"/>
      <c r="J174" s="168" t="s">
        <v>1</v>
      </c>
      <c r="M174" s="7" t="s">
        <v>0</v>
      </c>
      <c r="N174" s="165" t="s">
        <v>24</v>
      </c>
      <c r="O174" s="166"/>
      <c r="P174" s="166"/>
      <c r="Q174" s="170"/>
      <c r="R174" s="165" t="s">
        <v>18</v>
      </c>
      <c r="S174" s="166"/>
      <c r="T174" s="166"/>
      <c r="U174" s="167"/>
      <c r="V174" s="168" t="s">
        <v>1</v>
      </c>
      <c r="Y174" s="7" t="s">
        <v>0</v>
      </c>
      <c r="Z174" s="165" t="s">
        <v>24</v>
      </c>
      <c r="AA174" s="166"/>
      <c r="AB174" s="166"/>
      <c r="AC174" s="170"/>
      <c r="AD174" s="165" t="s">
        <v>18</v>
      </c>
      <c r="AE174" s="166"/>
      <c r="AF174" s="166"/>
      <c r="AG174" s="167"/>
      <c r="AH174" s="168" t="s">
        <v>1</v>
      </c>
    </row>
    <row r="175" spans="1:35" ht="14.25" thickBot="1" x14ac:dyDescent="0.2">
      <c r="A175" s="7" t="s">
        <v>2</v>
      </c>
      <c r="B175" s="4" t="s">
        <v>3</v>
      </c>
      <c r="C175" s="5" t="s">
        <v>4</v>
      </c>
      <c r="D175" s="6" t="s">
        <v>5</v>
      </c>
      <c r="E175" s="7" t="s">
        <v>6</v>
      </c>
      <c r="F175" s="4" t="s">
        <v>3</v>
      </c>
      <c r="G175" s="5" t="s">
        <v>4</v>
      </c>
      <c r="H175" s="6" t="s">
        <v>5</v>
      </c>
      <c r="I175" s="7" t="s">
        <v>6</v>
      </c>
      <c r="J175" s="169"/>
      <c r="M175" s="7" t="s">
        <v>2</v>
      </c>
      <c r="N175" s="4" t="s">
        <v>3</v>
      </c>
      <c r="O175" s="5" t="s">
        <v>4</v>
      </c>
      <c r="P175" s="6" t="s">
        <v>5</v>
      </c>
      <c r="Q175" s="7" t="s">
        <v>6</v>
      </c>
      <c r="R175" s="4" t="s">
        <v>3</v>
      </c>
      <c r="S175" s="5" t="s">
        <v>4</v>
      </c>
      <c r="T175" s="6" t="s">
        <v>5</v>
      </c>
      <c r="U175" s="7" t="s">
        <v>6</v>
      </c>
      <c r="V175" s="169"/>
      <c r="Y175" s="7" t="s">
        <v>2</v>
      </c>
      <c r="Z175" s="4" t="s">
        <v>3</v>
      </c>
      <c r="AA175" s="5" t="s">
        <v>4</v>
      </c>
      <c r="AB175" s="6" t="s">
        <v>5</v>
      </c>
      <c r="AC175" s="7" t="s">
        <v>6</v>
      </c>
      <c r="AD175" s="4" t="s">
        <v>3</v>
      </c>
      <c r="AE175" s="5" t="s">
        <v>4</v>
      </c>
      <c r="AF175" s="6" t="s">
        <v>5</v>
      </c>
      <c r="AG175" s="7" t="s">
        <v>6</v>
      </c>
      <c r="AH175" s="169"/>
    </row>
    <row r="176" spans="1:35" ht="14.25" thickBot="1" x14ac:dyDescent="0.2">
      <c r="A176" s="27" t="s">
        <v>20</v>
      </c>
      <c r="B176" s="38">
        <f>B170</f>
        <v>8</v>
      </c>
      <c r="C176" s="39">
        <f>C170</f>
        <v>9</v>
      </c>
      <c r="D176" s="2">
        <f>D170</f>
        <v>6</v>
      </c>
      <c r="E176" s="36">
        <f>SUM(B176:D176)</f>
        <v>23</v>
      </c>
      <c r="F176" s="38">
        <f>F170</f>
        <v>7</v>
      </c>
      <c r="G176" s="39">
        <f>G170</f>
        <v>3</v>
      </c>
      <c r="H176" s="2">
        <f>H170</f>
        <v>9</v>
      </c>
      <c r="I176" s="36">
        <f>SUM(F176:H176)</f>
        <v>19</v>
      </c>
      <c r="J176" s="36">
        <f>E176+I176</f>
        <v>42</v>
      </c>
      <c r="M176" s="27" t="s">
        <v>20</v>
      </c>
      <c r="N176" s="38">
        <f>N170</f>
        <v>77</v>
      </c>
      <c r="O176" s="39">
        <f>O170</f>
        <v>150</v>
      </c>
      <c r="P176" s="2">
        <f>P170</f>
        <v>73</v>
      </c>
      <c r="Q176" s="36">
        <f>SUM(N176:P176)</f>
        <v>300</v>
      </c>
      <c r="R176" s="38">
        <f>R170</f>
        <v>193</v>
      </c>
      <c r="S176" s="39">
        <f>S170</f>
        <v>307</v>
      </c>
      <c r="T176" s="2">
        <f>T170</f>
        <v>223</v>
      </c>
      <c r="U176" s="36">
        <f>SUM(R176:T176)</f>
        <v>723</v>
      </c>
      <c r="V176" s="36">
        <f>Q176+U176</f>
        <v>1023</v>
      </c>
      <c r="Y176" s="27" t="s">
        <v>20</v>
      </c>
      <c r="Z176" s="38">
        <f>Z170</f>
        <v>0</v>
      </c>
      <c r="AA176" s="39">
        <f>AA170</f>
        <v>0</v>
      </c>
      <c r="AB176" s="2">
        <f>AB170</f>
        <v>0</v>
      </c>
      <c r="AC176" s="36">
        <f>SUM(Z176:AB176)</f>
        <v>0</v>
      </c>
      <c r="AD176" s="38">
        <f>AD170</f>
        <v>0</v>
      </c>
      <c r="AE176" s="39">
        <f>AE170</f>
        <v>0</v>
      </c>
      <c r="AF176" s="2">
        <f>AF170</f>
        <v>0</v>
      </c>
      <c r="AG176" s="36">
        <f>SUM(AD176:AF176)</f>
        <v>0</v>
      </c>
      <c r="AH176" s="36">
        <f>AC176+AG176</f>
        <v>0</v>
      </c>
    </row>
    <row r="177" spans="1:34" x14ac:dyDescent="0.15">
      <c r="A177" s="25" t="s">
        <v>8</v>
      </c>
      <c r="B177" s="42"/>
      <c r="C177" s="43"/>
      <c r="D177" s="44"/>
      <c r="E177" s="48">
        <f>SUM(B177:D177)</f>
        <v>0</v>
      </c>
      <c r="F177" s="60"/>
      <c r="G177" s="43">
        <v>5</v>
      </c>
      <c r="H177" s="61"/>
      <c r="I177" s="48">
        <f>SUM(F177:H177)</f>
        <v>5</v>
      </c>
      <c r="J177" s="48">
        <f>E177+I177</f>
        <v>5</v>
      </c>
      <c r="K177" s="63">
        <v>44055</v>
      </c>
      <c r="M177" s="25" t="s">
        <v>137</v>
      </c>
      <c r="N177" s="42">
        <v>56</v>
      </c>
      <c r="O177" s="43">
        <v>74</v>
      </c>
      <c r="P177" s="44">
        <v>55</v>
      </c>
      <c r="Q177" s="48">
        <f>SUM(N177:P177)</f>
        <v>185</v>
      </c>
      <c r="R177" s="60">
        <v>43</v>
      </c>
      <c r="S177" s="43">
        <v>56</v>
      </c>
      <c r="T177" s="61">
        <v>21</v>
      </c>
      <c r="U177" s="48">
        <f>SUM(R177:T177)</f>
        <v>120</v>
      </c>
      <c r="V177" s="48">
        <f>Q177+U177</f>
        <v>305</v>
      </c>
      <c r="W177" s="140">
        <v>44071</v>
      </c>
      <c r="Y177" s="25" t="s">
        <v>8</v>
      </c>
      <c r="Z177" s="42"/>
      <c r="AA177" s="43"/>
      <c r="AB177" s="44"/>
      <c r="AC177" s="48">
        <f>SUM(Z177:AB177)</f>
        <v>0</v>
      </c>
      <c r="AD177" s="60"/>
      <c r="AE177" s="43"/>
      <c r="AF177" s="61"/>
      <c r="AG177" s="48">
        <f>SUM(AD177:AF177)</f>
        <v>0</v>
      </c>
      <c r="AH177" s="48">
        <f>AC177+AG177</f>
        <v>0</v>
      </c>
    </row>
    <row r="178" spans="1:34" x14ac:dyDescent="0.15">
      <c r="A178" s="25" t="s">
        <v>137</v>
      </c>
      <c r="B178" s="8">
        <v>1</v>
      </c>
      <c r="C178" s="9">
        <v>1</v>
      </c>
      <c r="D178" s="52"/>
      <c r="E178" s="11">
        <f>SUM(B178:D178)</f>
        <v>2</v>
      </c>
      <c r="F178" s="12"/>
      <c r="G178" s="9"/>
      <c r="H178" s="10"/>
      <c r="I178" s="11">
        <f>SUM(F178:H178)</f>
        <v>0</v>
      </c>
      <c r="J178" s="11">
        <f>E178+I178</f>
        <v>2</v>
      </c>
      <c r="K178" s="63">
        <v>44061</v>
      </c>
      <c r="M178" s="25" t="s">
        <v>160</v>
      </c>
      <c r="N178" s="8">
        <v>7</v>
      </c>
      <c r="O178" s="9">
        <v>13</v>
      </c>
      <c r="P178" s="52">
        <v>5</v>
      </c>
      <c r="Q178" s="11">
        <f t="shared" ref="Q178:Q184" si="206">SUM(N178:P178)</f>
        <v>25</v>
      </c>
      <c r="R178" s="12">
        <v>6</v>
      </c>
      <c r="S178" s="9">
        <v>10</v>
      </c>
      <c r="T178" s="10">
        <v>4</v>
      </c>
      <c r="U178" s="11">
        <f t="shared" ref="U178:U184" si="207">SUM(R178:T178)</f>
        <v>20</v>
      </c>
      <c r="V178" s="11">
        <f t="shared" ref="V178:V184" si="208">Q178+U178</f>
        <v>45</v>
      </c>
      <c r="W178" s="140">
        <v>44100</v>
      </c>
      <c r="Y178" s="25" t="s">
        <v>9</v>
      </c>
      <c r="Z178" s="8"/>
      <c r="AA178" s="9"/>
      <c r="AB178" s="52"/>
      <c r="AC178" s="11">
        <f t="shared" ref="AC178:AC184" si="209">SUM(Z178:AB178)</f>
        <v>0</v>
      </c>
      <c r="AD178" s="12"/>
      <c r="AE178" s="9"/>
      <c r="AF178" s="10"/>
      <c r="AG178" s="11">
        <f t="shared" ref="AG178:AG184" si="210">SUM(AD178:AF178)</f>
        <v>0</v>
      </c>
      <c r="AH178" s="11">
        <f t="shared" ref="AH178:AH184" si="211">AC178+AG178</f>
        <v>0</v>
      </c>
    </row>
    <row r="179" spans="1:34" x14ac:dyDescent="0.15">
      <c r="A179" s="25" t="s">
        <v>134</v>
      </c>
      <c r="B179" s="17">
        <v>1</v>
      </c>
      <c r="C179" s="18"/>
      <c r="D179" s="51"/>
      <c r="E179" s="11">
        <f t="shared" ref="E179:E184" si="212">SUM(B179:D179)</f>
        <v>1</v>
      </c>
      <c r="F179" s="20">
        <v>1</v>
      </c>
      <c r="G179" s="18"/>
      <c r="H179" s="19"/>
      <c r="I179" s="11">
        <f t="shared" ref="I179:I184" si="213">SUM(F179:H179)</f>
        <v>1</v>
      </c>
      <c r="J179" s="11">
        <f t="shared" ref="J179:J184" si="214">E179+I179</f>
        <v>2</v>
      </c>
      <c r="K179" s="63">
        <v>44065</v>
      </c>
      <c r="M179" s="25" t="s">
        <v>160</v>
      </c>
      <c r="N179" s="17">
        <v>1</v>
      </c>
      <c r="O179" s="18">
        <v>1</v>
      </c>
      <c r="P179" s="51">
        <v>4</v>
      </c>
      <c r="Q179" s="11">
        <f t="shared" si="206"/>
        <v>6</v>
      </c>
      <c r="R179" s="20"/>
      <c r="S179" s="18">
        <v>2</v>
      </c>
      <c r="T179" s="19">
        <v>4</v>
      </c>
      <c r="U179" s="11">
        <f t="shared" si="207"/>
        <v>6</v>
      </c>
      <c r="V179" s="11">
        <f t="shared" si="208"/>
        <v>12</v>
      </c>
      <c r="W179" s="140">
        <v>44107</v>
      </c>
      <c r="Y179" s="25" t="s">
        <v>10</v>
      </c>
      <c r="Z179" s="17"/>
      <c r="AA179" s="18"/>
      <c r="AB179" s="51"/>
      <c r="AC179" s="11">
        <f t="shared" si="209"/>
        <v>0</v>
      </c>
      <c r="AD179" s="20"/>
      <c r="AE179" s="18"/>
      <c r="AF179" s="19"/>
      <c r="AG179" s="11">
        <f t="shared" si="210"/>
        <v>0</v>
      </c>
      <c r="AH179" s="11">
        <f t="shared" si="211"/>
        <v>0</v>
      </c>
    </row>
    <row r="180" spans="1:34" x14ac:dyDescent="0.15">
      <c r="A180" s="25" t="s">
        <v>143</v>
      </c>
      <c r="B180" s="8"/>
      <c r="C180" s="9">
        <v>1</v>
      </c>
      <c r="D180" s="52">
        <v>1</v>
      </c>
      <c r="E180" s="11">
        <f t="shared" si="212"/>
        <v>2</v>
      </c>
      <c r="F180" s="12"/>
      <c r="G180" s="9">
        <v>1</v>
      </c>
      <c r="H180" s="10">
        <v>1</v>
      </c>
      <c r="I180" s="11">
        <f t="shared" si="213"/>
        <v>2</v>
      </c>
      <c r="J180" s="11">
        <f t="shared" si="214"/>
        <v>4</v>
      </c>
      <c r="K180" s="63">
        <v>44070</v>
      </c>
      <c r="M180" s="25" t="s">
        <v>11</v>
      </c>
      <c r="N180" s="8"/>
      <c r="O180" s="9"/>
      <c r="P180" s="52"/>
      <c r="Q180" s="11">
        <f t="shared" si="206"/>
        <v>0</v>
      </c>
      <c r="R180" s="12"/>
      <c r="S180" s="9"/>
      <c r="T180" s="10"/>
      <c r="U180" s="11">
        <f t="shared" si="207"/>
        <v>0</v>
      </c>
      <c r="V180" s="11">
        <f t="shared" si="208"/>
        <v>0</v>
      </c>
      <c r="W180" s="140"/>
      <c r="Y180" s="25" t="s">
        <v>11</v>
      </c>
      <c r="Z180" s="8"/>
      <c r="AA180" s="9"/>
      <c r="AB180" s="52"/>
      <c r="AC180" s="11">
        <f t="shared" si="209"/>
        <v>0</v>
      </c>
      <c r="AD180" s="12"/>
      <c r="AE180" s="9"/>
      <c r="AF180" s="10"/>
      <c r="AG180" s="11">
        <f t="shared" si="210"/>
        <v>0</v>
      </c>
      <c r="AH180" s="11">
        <f t="shared" si="211"/>
        <v>0</v>
      </c>
    </row>
    <row r="181" spans="1:34" x14ac:dyDescent="0.15">
      <c r="A181" s="25" t="s">
        <v>182</v>
      </c>
      <c r="B181" s="8">
        <v>2</v>
      </c>
      <c r="C181" s="9">
        <v>1</v>
      </c>
      <c r="D181" s="52">
        <v>1</v>
      </c>
      <c r="E181" s="11">
        <f t="shared" si="212"/>
        <v>4</v>
      </c>
      <c r="F181" s="12"/>
      <c r="G181" s="9">
        <v>1</v>
      </c>
      <c r="H181" s="10"/>
      <c r="I181" s="11">
        <f t="shared" si="213"/>
        <v>1</v>
      </c>
      <c r="J181" s="11">
        <f t="shared" si="214"/>
        <v>5</v>
      </c>
      <c r="K181" s="63">
        <v>44078</v>
      </c>
      <c r="L181" s="82"/>
      <c r="M181" s="25" t="s">
        <v>12</v>
      </c>
      <c r="N181" s="8"/>
      <c r="O181" s="9"/>
      <c r="P181" s="52"/>
      <c r="Q181" s="11">
        <f t="shared" si="206"/>
        <v>0</v>
      </c>
      <c r="R181" s="12"/>
      <c r="S181" s="9"/>
      <c r="T181" s="10"/>
      <c r="U181" s="11">
        <f t="shared" si="207"/>
        <v>0</v>
      </c>
      <c r="V181" s="11">
        <f t="shared" si="208"/>
        <v>0</v>
      </c>
      <c r="W181" s="144"/>
      <c r="Y181" s="25" t="s">
        <v>12</v>
      </c>
      <c r="Z181" s="8"/>
      <c r="AA181" s="9"/>
      <c r="AB181" s="52"/>
      <c r="AC181" s="11">
        <f t="shared" si="209"/>
        <v>0</v>
      </c>
      <c r="AD181" s="12"/>
      <c r="AE181" s="9"/>
      <c r="AF181" s="10"/>
      <c r="AG181" s="11">
        <f t="shared" si="210"/>
        <v>0</v>
      </c>
      <c r="AH181" s="11">
        <f t="shared" si="211"/>
        <v>0</v>
      </c>
    </row>
    <row r="182" spans="1:34" x14ac:dyDescent="0.15">
      <c r="A182" s="25" t="s">
        <v>137</v>
      </c>
      <c r="B182" s="8">
        <v>7</v>
      </c>
      <c r="C182" s="9">
        <v>13</v>
      </c>
      <c r="D182" s="52">
        <v>5</v>
      </c>
      <c r="E182" s="11">
        <f t="shared" si="212"/>
        <v>25</v>
      </c>
      <c r="F182" s="12">
        <v>6</v>
      </c>
      <c r="G182" s="9">
        <v>11</v>
      </c>
      <c r="H182" s="10">
        <v>4</v>
      </c>
      <c r="I182" s="11">
        <f t="shared" si="213"/>
        <v>21</v>
      </c>
      <c r="J182" s="11">
        <f t="shared" si="214"/>
        <v>46</v>
      </c>
      <c r="K182" s="63">
        <v>44091</v>
      </c>
      <c r="M182" s="25" t="s">
        <v>13</v>
      </c>
      <c r="N182" s="8"/>
      <c r="O182" s="9"/>
      <c r="P182" s="52"/>
      <c r="Q182" s="11">
        <f t="shared" si="206"/>
        <v>0</v>
      </c>
      <c r="R182" s="12"/>
      <c r="S182" s="9"/>
      <c r="T182" s="10"/>
      <c r="U182" s="11">
        <f t="shared" si="207"/>
        <v>0</v>
      </c>
      <c r="V182" s="11">
        <f t="shared" si="208"/>
        <v>0</v>
      </c>
      <c r="W182" s="140"/>
      <c r="Y182" s="25" t="s">
        <v>13</v>
      </c>
      <c r="Z182" s="8"/>
      <c r="AA182" s="9"/>
      <c r="AB182" s="52"/>
      <c r="AC182" s="11">
        <f t="shared" si="209"/>
        <v>0</v>
      </c>
      <c r="AD182" s="12"/>
      <c r="AE182" s="9"/>
      <c r="AF182" s="10"/>
      <c r="AG182" s="11">
        <f t="shared" si="210"/>
        <v>0</v>
      </c>
      <c r="AH182" s="11">
        <f t="shared" si="211"/>
        <v>0</v>
      </c>
    </row>
    <row r="183" spans="1:34" x14ac:dyDescent="0.15">
      <c r="A183" s="25" t="s">
        <v>143</v>
      </c>
      <c r="B183" s="13"/>
      <c r="C183" s="14">
        <v>1</v>
      </c>
      <c r="D183" s="53"/>
      <c r="E183" s="11">
        <f t="shared" si="212"/>
        <v>1</v>
      </c>
      <c r="F183" s="16"/>
      <c r="G183" s="14">
        <v>1</v>
      </c>
      <c r="H183" s="15"/>
      <c r="I183" s="11">
        <f t="shared" si="213"/>
        <v>1</v>
      </c>
      <c r="J183" s="11">
        <f t="shared" si="214"/>
        <v>2</v>
      </c>
      <c r="K183" s="71">
        <v>44084</v>
      </c>
      <c r="M183" s="25" t="s">
        <v>14</v>
      </c>
      <c r="N183" s="13"/>
      <c r="O183" s="14"/>
      <c r="P183" s="53"/>
      <c r="Q183" s="11">
        <f t="shared" si="206"/>
        <v>0</v>
      </c>
      <c r="R183" s="16"/>
      <c r="S183" s="14"/>
      <c r="T183" s="15"/>
      <c r="U183" s="11">
        <f t="shared" si="207"/>
        <v>0</v>
      </c>
      <c r="V183" s="11">
        <f t="shared" si="208"/>
        <v>0</v>
      </c>
      <c r="Y183" s="25" t="s">
        <v>14</v>
      </c>
      <c r="Z183" s="13"/>
      <c r="AA183" s="14"/>
      <c r="AB183" s="53"/>
      <c r="AC183" s="11">
        <f t="shared" si="209"/>
        <v>0</v>
      </c>
      <c r="AD183" s="16"/>
      <c r="AE183" s="14"/>
      <c r="AF183" s="15"/>
      <c r="AG183" s="11">
        <f t="shared" si="210"/>
        <v>0</v>
      </c>
      <c r="AH183" s="11">
        <f t="shared" si="211"/>
        <v>0</v>
      </c>
    </row>
    <row r="184" spans="1:34" ht="14.25" thickBot="1" x14ac:dyDescent="0.2">
      <c r="A184" s="25" t="s">
        <v>15</v>
      </c>
      <c r="B184" s="13"/>
      <c r="C184" s="14"/>
      <c r="D184" s="53"/>
      <c r="E184" s="62">
        <f t="shared" si="212"/>
        <v>0</v>
      </c>
      <c r="F184" s="34">
        <v>5</v>
      </c>
      <c r="G184" s="34"/>
      <c r="H184" s="37"/>
      <c r="I184" s="62">
        <f t="shared" si="213"/>
        <v>5</v>
      </c>
      <c r="J184" s="21">
        <f t="shared" si="214"/>
        <v>5</v>
      </c>
      <c r="K184" s="63">
        <v>44103</v>
      </c>
      <c r="M184" s="25" t="s">
        <v>15</v>
      </c>
      <c r="N184" s="13"/>
      <c r="O184" s="14"/>
      <c r="P184" s="53"/>
      <c r="Q184" s="62">
        <f t="shared" si="206"/>
        <v>0</v>
      </c>
      <c r="R184" s="34"/>
      <c r="S184" s="34"/>
      <c r="T184" s="37"/>
      <c r="U184" s="62">
        <f t="shared" si="207"/>
        <v>0</v>
      </c>
      <c r="V184" s="21">
        <f t="shared" si="208"/>
        <v>0</v>
      </c>
      <c r="Y184" s="25" t="s">
        <v>15</v>
      </c>
      <c r="Z184" s="13"/>
      <c r="AA184" s="14"/>
      <c r="AB184" s="53"/>
      <c r="AC184" s="62">
        <f t="shared" si="209"/>
        <v>0</v>
      </c>
      <c r="AD184" s="34"/>
      <c r="AE184" s="34"/>
      <c r="AF184" s="37"/>
      <c r="AG184" s="62">
        <f t="shared" si="210"/>
        <v>0</v>
      </c>
      <c r="AH184" s="21">
        <f t="shared" si="211"/>
        <v>0</v>
      </c>
    </row>
    <row r="185" spans="1:34" ht="14.25" thickBot="1" x14ac:dyDescent="0.2">
      <c r="A185" s="35" t="s">
        <v>16</v>
      </c>
      <c r="B185" s="28">
        <f>SUM(B176:B184)</f>
        <v>19</v>
      </c>
      <c r="C185" s="29">
        <f t="shared" ref="C185:D185" si="215">SUM(C176:C184)</f>
        <v>26</v>
      </c>
      <c r="D185" s="68">
        <f t="shared" si="215"/>
        <v>13</v>
      </c>
      <c r="E185" s="64">
        <f>SUM(B185:D185)</f>
        <v>58</v>
      </c>
      <c r="F185" s="28">
        <f>SUM(F176:F184)</f>
        <v>19</v>
      </c>
      <c r="G185" s="29">
        <f t="shared" ref="G185:H185" si="216">SUM(G176:G184)</f>
        <v>22</v>
      </c>
      <c r="H185" s="68">
        <f t="shared" si="216"/>
        <v>14</v>
      </c>
      <c r="I185" s="64">
        <f>SUM(F185:H185)</f>
        <v>55</v>
      </c>
      <c r="J185" s="31">
        <f>SUM(J177:J184)</f>
        <v>71</v>
      </c>
      <c r="M185" s="35" t="s">
        <v>16</v>
      </c>
      <c r="N185" s="28">
        <f>SUM(N176:N184)</f>
        <v>141</v>
      </c>
      <c r="O185" s="29">
        <f t="shared" ref="O185:P185" si="217">SUM(O176:O184)</f>
        <v>238</v>
      </c>
      <c r="P185" s="68">
        <f t="shared" si="217"/>
        <v>137</v>
      </c>
      <c r="Q185" s="64">
        <f>SUM(N185:P185)</f>
        <v>516</v>
      </c>
      <c r="R185" s="28">
        <f>SUM(R176:R184)</f>
        <v>242</v>
      </c>
      <c r="S185" s="29">
        <f t="shared" ref="S185:T185" si="218">SUM(S176:S184)</f>
        <v>375</v>
      </c>
      <c r="T185" s="68">
        <f t="shared" si="218"/>
        <v>252</v>
      </c>
      <c r="U185" s="64">
        <f>SUM(R185:T185)</f>
        <v>869</v>
      </c>
      <c r="V185" s="31">
        <f>Q185+U185</f>
        <v>1385</v>
      </c>
      <c r="Y185" s="35" t="s">
        <v>16</v>
      </c>
      <c r="Z185" s="28">
        <f>SUM(Z176:Z184)</f>
        <v>0</v>
      </c>
      <c r="AA185" s="29">
        <f t="shared" ref="AA185:AB185" si="219">SUM(AA176:AA184)</f>
        <v>0</v>
      </c>
      <c r="AB185" s="68">
        <f t="shared" si="219"/>
        <v>0</v>
      </c>
      <c r="AC185" s="64">
        <f>SUM(Z185:AB185)</f>
        <v>0</v>
      </c>
      <c r="AD185" s="28">
        <f>SUM(AD176:AD184)</f>
        <v>0</v>
      </c>
      <c r="AE185" s="29">
        <f t="shared" ref="AE185:AF185" si="220">SUM(AE176:AE184)</f>
        <v>0</v>
      </c>
      <c r="AF185" s="68">
        <f t="shared" si="220"/>
        <v>0</v>
      </c>
      <c r="AG185" s="64">
        <f>SUM(AD185:AF185)</f>
        <v>0</v>
      </c>
      <c r="AH185" s="31">
        <f>AC185+AG185</f>
        <v>0</v>
      </c>
    </row>
    <row r="186" spans="1:34" x14ac:dyDescent="0.15">
      <c r="A186" s="24" t="s">
        <v>173</v>
      </c>
      <c r="B186" s="65">
        <v>1</v>
      </c>
      <c r="C186" s="66"/>
      <c r="D186" s="67">
        <v>1</v>
      </c>
      <c r="E186" s="49">
        <f>SUM(B186:D186)</f>
        <v>2</v>
      </c>
      <c r="F186" s="16">
        <v>1</v>
      </c>
      <c r="G186" s="14"/>
      <c r="H186" s="15">
        <v>1</v>
      </c>
      <c r="I186" s="49">
        <f>SUM(F186:H186)</f>
        <v>2</v>
      </c>
      <c r="J186" s="11">
        <f>E186+I186</f>
        <v>4</v>
      </c>
      <c r="K186" s="63">
        <v>44047</v>
      </c>
      <c r="M186" s="26" t="s">
        <v>162</v>
      </c>
      <c r="N186" s="65"/>
      <c r="O186" s="66"/>
      <c r="P186" s="67">
        <v>5</v>
      </c>
      <c r="Q186" s="49">
        <f t="shared" ref="Q186:Q212" si="221">SUM(N186:P186)</f>
        <v>5</v>
      </c>
      <c r="R186" s="16"/>
      <c r="S186" s="14"/>
      <c r="T186" s="15">
        <v>5</v>
      </c>
      <c r="U186" s="49">
        <f t="shared" ref="U186:U212" si="222">SUM(R186:T186)</f>
        <v>5</v>
      </c>
      <c r="V186" s="11">
        <f t="shared" ref="V186:V211" si="223">Q186+U186</f>
        <v>10</v>
      </c>
      <c r="W186" s="140">
        <v>44040</v>
      </c>
      <c r="Y186" s="26"/>
      <c r="Z186" s="8"/>
      <c r="AA186" s="9"/>
      <c r="AB186" s="52"/>
      <c r="AC186" s="11">
        <f t="shared" ref="AC186:AC212" si="224">SUM(Z186:AB186)</f>
        <v>0</v>
      </c>
      <c r="AD186" s="12"/>
      <c r="AE186" s="9"/>
      <c r="AF186" s="10"/>
      <c r="AG186" s="11">
        <f t="shared" ref="AG186:AG212" si="225">SUM(AD186:AF186)</f>
        <v>0</v>
      </c>
      <c r="AH186" s="11">
        <f t="shared" ref="AH186:AH211" si="226">AC186+AG186</f>
        <v>0</v>
      </c>
    </row>
    <row r="187" spans="1:34" x14ac:dyDescent="0.15">
      <c r="A187" s="23" t="s">
        <v>163</v>
      </c>
      <c r="B187" s="8"/>
      <c r="C187" s="9"/>
      <c r="D187" s="10"/>
      <c r="E187" s="49">
        <f t="shared" ref="E187:E212" si="227">SUM(B187:D187)</f>
        <v>0</v>
      </c>
      <c r="F187" s="12"/>
      <c r="G187" s="9">
        <v>1</v>
      </c>
      <c r="H187" s="10"/>
      <c r="I187" s="49">
        <f t="shared" ref="I187:I212" si="228">SUM(F187:H187)</f>
        <v>1</v>
      </c>
      <c r="J187" s="11">
        <f t="shared" ref="J187:J211" si="229">E187+I187</f>
        <v>1</v>
      </c>
      <c r="K187" s="63">
        <v>44046</v>
      </c>
      <c r="M187" s="26" t="s">
        <v>166</v>
      </c>
      <c r="N187" s="8">
        <v>5</v>
      </c>
      <c r="O187" s="9">
        <v>5</v>
      </c>
      <c r="P187" s="10"/>
      <c r="Q187" s="49">
        <f t="shared" si="221"/>
        <v>10</v>
      </c>
      <c r="R187" s="12">
        <v>5</v>
      </c>
      <c r="S187" s="9">
        <v>5</v>
      </c>
      <c r="T187" s="10"/>
      <c r="U187" s="49">
        <f t="shared" si="222"/>
        <v>10</v>
      </c>
      <c r="V187" s="11">
        <f t="shared" si="223"/>
        <v>20</v>
      </c>
      <c r="W187" s="140">
        <v>44042</v>
      </c>
      <c r="Y187" s="26"/>
      <c r="Z187" s="17"/>
      <c r="AA187" s="18"/>
      <c r="AB187" s="51"/>
      <c r="AC187" s="11">
        <f t="shared" si="224"/>
        <v>0</v>
      </c>
      <c r="AD187" s="20"/>
      <c r="AE187" s="18"/>
      <c r="AF187" s="19"/>
      <c r="AG187" s="11">
        <f t="shared" si="225"/>
        <v>0</v>
      </c>
      <c r="AH187" s="11">
        <f t="shared" si="226"/>
        <v>0</v>
      </c>
    </row>
    <row r="188" spans="1:34" x14ac:dyDescent="0.15">
      <c r="A188" s="23" t="s">
        <v>174</v>
      </c>
      <c r="B188" s="8"/>
      <c r="C188" s="9">
        <v>1</v>
      </c>
      <c r="D188" s="10"/>
      <c r="E188" s="49">
        <f t="shared" si="227"/>
        <v>1</v>
      </c>
      <c r="F188" s="12"/>
      <c r="G188" s="9">
        <v>1</v>
      </c>
      <c r="H188" s="10"/>
      <c r="I188" s="49">
        <f t="shared" si="228"/>
        <v>1</v>
      </c>
      <c r="J188" s="11">
        <f t="shared" si="229"/>
        <v>2</v>
      </c>
      <c r="K188" s="63">
        <v>44050</v>
      </c>
      <c r="M188" s="26" t="s">
        <v>167</v>
      </c>
      <c r="N188" s="8"/>
      <c r="O188" s="9"/>
      <c r="P188" s="10">
        <v>1</v>
      </c>
      <c r="Q188" s="49">
        <f t="shared" si="221"/>
        <v>1</v>
      </c>
      <c r="R188" s="12"/>
      <c r="S188" s="9"/>
      <c r="T188" s="10">
        <v>1</v>
      </c>
      <c r="U188" s="49">
        <f t="shared" si="222"/>
        <v>1</v>
      </c>
      <c r="V188" s="11">
        <f t="shared" si="223"/>
        <v>2</v>
      </c>
      <c r="W188" s="140">
        <v>44041</v>
      </c>
      <c r="X188" s="82"/>
      <c r="Y188" s="26"/>
      <c r="Z188" s="8"/>
      <c r="AA188" s="9"/>
      <c r="AB188" s="52"/>
      <c r="AC188" s="11">
        <f t="shared" si="224"/>
        <v>0</v>
      </c>
      <c r="AD188" s="12"/>
      <c r="AE188" s="9"/>
      <c r="AF188" s="10"/>
      <c r="AG188" s="11">
        <f t="shared" si="225"/>
        <v>0</v>
      </c>
      <c r="AH188" s="11">
        <f t="shared" si="226"/>
        <v>0</v>
      </c>
    </row>
    <row r="189" spans="1:34" x14ac:dyDescent="0.15">
      <c r="A189" s="23" t="s">
        <v>163</v>
      </c>
      <c r="B189" s="8"/>
      <c r="C189" s="9">
        <v>2</v>
      </c>
      <c r="D189" s="10"/>
      <c r="E189" s="49">
        <f t="shared" si="227"/>
        <v>2</v>
      </c>
      <c r="F189" s="12">
        <v>1</v>
      </c>
      <c r="G189" s="9">
        <v>1</v>
      </c>
      <c r="H189" s="10"/>
      <c r="I189" s="49">
        <f t="shared" si="228"/>
        <v>2</v>
      </c>
      <c r="J189" s="11">
        <f t="shared" si="229"/>
        <v>4</v>
      </c>
      <c r="K189" s="63">
        <v>44054</v>
      </c>
      <c r="L189" s="82"/>
      <c r="M189" s="26" t="s">
        <v>168</v>
      </c>
      <c r="N189" s="8"/>
      <c r="O189" s="9">
        <v>4</v>
      </c>
      <c r="P189" s="10"/>
      <c r="Q189" s="49">
        <f t="shared" si="221"/>
        <v>4</v>
      </c>
      <c r="R189" s="12"/>
      <c r="S189" s="9">
        <v>4</v>
      </c>
      <c r="T189" s="10"/>
      <c r="U189" s="49">
        <f t="shared" si="222"/>
        <v>4</v>
      </c>
      <c r="V189" s="11">
        <f t="shared" si="223"/>
        <v>8</v>
      </c>
      <c r="W189" s="140">
        <v>44042</v>
      </c>
      <c r="X189" s="82"/>
      <c r="Y189" s="26"/>
      <c r="Z189" s="8"/>
      <c r="AA189" s="9"/>
      <c r="AB189" s="52"/>
      <c r="AC189" s="11">
        <f t="shared" si="224"/>
        <v>0</v>
      </c>
      <c r="AD189" s="12"/>
      <c r="AE189" s="9"/>
      <c r="AF189" s="10"/>
      <c r="AG189" s="11">
        <f t="shared" si="225"/>
        <v>0</v>
      </c>
      <c r="AH189" s="11">
        <f t="shared" si="226"/>
        <v>0</v>
      </c>
    </row>
    <row r="190" spans="1:34" x14ac:dyDescent="0.15">
      <c r="A190" s="23" t="s">
        <v>163</v>
      </c>
      <c r="B190" s="8"/>
      <c r="C190" s="9"/>
      <c r="D190" s="10"/>
      <c r="E190" s="49">
        <f t="shared" si="227"/>
        <v>0</v>
      </c>
      <c r="F190" s="12">
        <v>1</v>
      </c>
      <c r="G190" s="9"/>
      <c r="H190" s="10"/>
      <c r="I190" s="49">
        <f t="shared" si="228"/>
        <v>1</v>
      </c>
      <c r="J190" s="11">
        <f t="shared" si="229"/>
        <v>1</v>
      </c>
      <c r="K190" s="63">
        <v>44055</v>
      </c>
      <c r="L190" s="82"/>
      <c r="M190" s="26" t="s">
        <v>169</v>
      </c>
      <c r="N190" s="8">
        <v>1</v>
      </c>
      <c r="O190" s="9"/>
      <c r="P190" s="10"/>
      <c r="Q190" s="49">
        <f t="shared" si="221"/>
        <v>1</v>
      </c>
      <c r="R190" s="12">
        <v>1</v>
      </c>
      <c r="S190" s="9"/>
      <c r="T190" s="10"/>
      <c r="U190" s="49">
        <f t="shared" si="222"/>
        <v>1</v>
      </c>
      <c r="V190" s="11">
        <f t="shared" si="223"/>
        <v>2</v>
      </c>
      <c r="W190" s="140">
        <v>44043</v>
      </c>
      <c r="Y190" s="26"/>
      <c r="Z190" s="8"/>
      <c r="AA190" s="9"/>
      <c r="AB190" s="10"/>
      <c r="AC190" s="49">
        <f t="shared" si="224"/>
        <v>0</v>
      </c>
      <c r="AD190" s="12"/>
      <c r="AE190" s="9"/>
      <c r="AF190" s="10"/>
      <c r="AG190" s="49">
        <f t="shared" si="225"/>
        <v>0</v>
      </c>
      <c r="AH190" s="11">
        <f t="shared" si="226"/>
        <v>0</v>
      </c>
    </row>
    <row r="191" spans="1:34" x14ac:dyDescent="0.15">
      <c r="A191" s="23" t="s">
        <v>163</v>
      </c>
      <c r="B191" s="8"/>
      <c r="C191" s="9"/>
      <c r="D191" s="10"/>
      <c r="E191" s="49">
        <f t="shared" si="227"/>
        <v>0</v>
      </c>
      <c r="F191" s="12">
        <v>1</v>
      </c>
      <c r="G191" s="9"/>
      <c r="H191" s="10"/>
      <c r="I191" s="49">
        <f t="shared" si="228"/>
        <v>1</v>
      </c>
      <c r="J191" s="11">
        <f t="shared" si="229"/>
        <v>1</v>
      </c>
      <c r="K191" s="63">
        <v>44061</v>
      </c>
      <c r="M191" s="26" t="s">
        <v>170</v>
      </c>
      <c r="N191" s="8"/>
      <c r="O191" s="9">
        <v>2</v>
      </c>
      <c r="P191" s="10"/>
      <c r="Q191" s="49">
        <f t="shared" si="221"/>
        <v>2</v>
      </c>
      <c r="R191" s="12"/>
      <c r="S191" s="9">
        <v>2</v>
      </c>
      <c r="T191" s="10"/>
      <c r="U191" s="49">
        <f t="shared" si="222"/>
        <v>2</v>
      </c>
      <c r="V191" s="11">
        <f t="shared" si="223"/>
        <v>4</v>
      </c>
      <c r="W191" s="140">
        <v>44044</v>
      </c>
      <c r="Y191" s="26"/>
      <c r="Z191" s="8"/>
      <c r="AA191" s="9"/>
      <c r="AB191" s="10"/>
      <c r="AC191" s="49">
        <f t="shared" si="224"/>
        <v>0</v>
      </c>
      <c r="AD191" s="12"/>
      <c r="AE191" s="9"/>
      <c r="AF191" s="10"/>
      <c r="AG191" s="49">
        <f t="shared" si="225"/>
        <v>0</v>
      </c>
      <c r="AH191" s="11">
        <f t="shared" si="226"/>
        <v>0</v>
      </c>
    </row>
    <row r="192" spans="1:34" ht="14.25" x14ac:dyDescent="0.15">
      <c r="A192" s="23" t="s">
        <v>163</v>
      </c>
      <c r="B192" s="8"/>
      <c r="C192" s="9"/>
      <c r="D192" s="10"/>
      <c r="E192" s="49">
        <f t="shared" si="227"/>
        <v>0</v>
      </c>
      <c r="F192" s="12"/>
      <c r="G192" s="9"/>
      <c r="H192" s="10">
        <v>2</v>
      </c>
      <c r="I192" s="49">
        <f t="shared" si="228"/>
        <v>2</v>
      </c>
      <c r="J192" s="11">
        <f t="shared" si="229"/>
        <v>2</v>
      </c>
      <c r="K192" s="63">
        <v>44063</v>
      </c>
      <c r="M192" s="26" t="s">
        <v>171</v>
      </c>
      <c r="N192" s="8"/>
      <c r="O192" s="9">
        <v>2</v>
      </c>
      <c r="P192" s="10"/>
      <c r="Q192" s="49">
        <f t="shared" si="221"/>
        <v>2</v>
      </c>
      <c r="R192" s="12"/>
      <c r="S192" s="9">
        <v>2</v>
      </c>
      <c r="T192" s="10"/>
      <c r="U192" s="49">
        <f t="shared" si="222"/>
        <v>2</v>
      </c>
      <c r="V192" s="11">
        <f t="shared" si="223"/>
        <v>4</v>
      </c>
      <c r="W192" s="143">
        <v>44047</v>
      </c>
      <c r="Y192" s="24"/>
      <c r="Z192" s="8"/>
      <c r="AA192" s="9"/>
      <c r="AB192" s="10"/>
      <c r="AC192" s="49">
        <f t="shared" si="224"/>
        <v>0</v>
      </c>
      <c r="AD192" s="12"/>
      <c r="AE192" s="9"/>
      <c r="AF192" s="10"/>
      <c r="AG192" s="49">
        <f t="shared" si="225"/>
        <v>0</v>
      </c>
      <c r="AH192" s="11">
        <f t="shared" si="226"/>
        <v>0</v>
      </c>
    </row>
    <row r="193" spans="1:34" ht="14.25" x14ac:dyDescent="0.15">
      <c r="A193" s="23" t="s">
        <v>163</v>
      </c>
      <c r="B193" s="8"/>
      <c r="C193" s="9">
        <v>2</v>
      </c>
      <c r="D193" s="10"/>
      <c r="E193" s="49">
        <f t="shared" si="227"/>
        <v>2</v>
      </c>
      <c r="F193" s="12"/>
      <c r="G193" s="9">
        <v>1</v>
      </c>
      <c r="H193" s="10"/>
      <c r="I193" s="49">
        <f t="shared" si="228"/>
        <v>1</v>
      </c>
      <c r="J193" s="11">
        <f t="shared" si="229"/>
        <v>3</v>
      </c>
      <c r="K193" s="73">
        <v>44067</v>
      </c>
      <c r="M193" s="23" t="s">
        <v>172</v>
      </c>
      <c r="N193" s="8">
        <v>5</v>
      </c>
      <c r="O193" s="9">
        <v>5</v>
      </c>
      <c r="P193" s="10"/>
      <c r="Q193" s="49">
        <f t="shared" si="221"/>
        <v>10</v>
      </c>
      <c r="R193" s="12">
        <v>5</v>
      </c>
      <c r="S193" s="9">
        <v>5</v>
      </c>
      <c r="T193" s="10"/>
      <c r="U193" s="49">
        <f t="shared" si="222"/>
        <v>10</v>
      </c>
      <c r="V193" s="11">
        <f t="shared" si="223"/>
        <v>20</v>
      </c>
      <c r="W193" s="140">
        <v>44049</v>
      </c>
      <c r="Y193" s="26"/>
      <c r="Z193" s="8"/>
      <c r="AA193" s="9"/>
      <c r="AB193" s="10"/>
      <c r="AC193" s="49">
        <f t="shared" si="224"/>
        <v>0</v>
      </c>
      <c r="AD193" s="12"/>
      <c r="AE193" s="9"/>
      <c r="AF193" s="10"/>
      <c r="AG193" s="49">
        <f t="shared" si="225"/>
        <v>0</v>
      </c>
      <c r="AH193" s="11">
        <f t="shared" si="226"/>
        <v>0</v>
      </c>
    </row>
    <row r="194" spans="1:34" x14ac:dyDescent="0.15">
      <c r="A194" s="23" t="s">
        <v>163</v>
      </c>
      <c r="B194" s="8"/>
      <c r="C194" s="9">
        <v>1</v>
      </c>
      <c r="D194" s="10"/>
      <c r="E194" s="49">
        <f t="shared" si="227"/>
        <v>1</v>
      </c>
      <c r="F194" s="12"/>
      <c r="G194" s="9">
        <v>1</v>
      </c>
      <c r="H194" s="10"/>
      <c r="I194" s="49">
        <f t="shared" si="228"/>
        <v>1</v>
      </c>
      <c r="J194" s="11">
        <f t="shared" si="229"/>
        <v>2</v>
      </c>
      <c r="K194" s="63">
        <v>44071</v>
      </c>
      <c r="M194" s="26" t="s">
        <v>175</v>
      </c>
      <c r="N194" s="8"/>
      <c r="O194" s="9"/>
      <c r="P194" s="10"/>
      <c r="Q194" s="49">
        <f t="shared" si="221"/>
        <v>0</v>
      </c>
      <c r="R194" s="12"/>
      <c r="S194" s="9">
        <v>5</v>
      </c>
      <c r="T194" s="10"/>
      <c r="U194" s="49">
        <f t="shared" si="222"/>
        <v>5</v>
      </c>
      <c r="V194" s="11">
        <f t="shared" si="223"/>
        <v>5</v>
      </c>
      <c r="W194" s="140">
        <v>44055</v>
      </c>
      <c r="X194" s="82"/>
      <c r="Y194" s="26"/>
      <c r="Z194" s="8"/>
      <c r="AA194" s="9"/>
      <c r="AB194" s="10"/>
      <c r="AC194" s="49">
        <f t="shared" si="224"/>
        <v>0</v>
      </c>
      <c r="AD194" s="12"/>
      <c r="AE194" s="9"/>
      <c r="AF194" s="10"/>
      <c r="AG194" s="49">
        <f t="shared" si="225"/>
        <v>0</v>
      </c>
      <c r="AH194" s="11">
        <f t="shared" si="226"/>
        <v>0</v>
      </c>
    </row>
    <row r="195" spans="1:34" x14ac:dyDescent="0.15">
      <c r="A195" s="23" t="s">
        <v>181</v>
      </c>
      <c r="B195" s="13"/>
      <c r="C195" s="14"/>
      <c r="D195" s="15">
        <v>1</v>
      </c>
      <c r="E195" s="49">
        <f t="shared" si="227"/>
        <v>1</v>
      </c>
      <c r="F195" s="16"/>
      <c r="G195" s="14"/>
      <c r="H195" s="15">
        <v>1</v>
      </c>
      <c r="I195" s="49">
        <f t="shared" si="228"/>
        <v>1</v>
      </c>
      <c r="J195" s="11">
        <f t="shared" si="229"/>
        <v>2</v>
      </c>
      <c r="K195" s="63">
        <v>44075</v>
      </c>
      <c r="M195" s="26" t="s">
        <v>176</v>
      </c>
      <c r="N195" s="13">
        <v>1</v>
      </c>
      <c r="O195" s="14">
        <v>1</v>
      </c>
      <c r="P195" s="15"/>
      <c r="Q195" s="49">
        <f t="shared" si="221"/>
        <v>2</v>
      </c>
      <c r="R195" s="16">
        <v>1</v>
      </c>
      <c r="S195" s="14">
        <v>1</v>
      </c>
      <c r="T195" s="15"/>
      <c r="U195" s="49">
        <f t="shared" si="222"/>
        <v>2</v>
      </c>
      <c r="V195" s="11">
        <f t="shared" si="223"/>
        <v>4</v>
      </c>
      <c r="W195" s="140">
        <v>44056</v>
      </c>
      <c r="Y195" s="26"/>
      <c r="Z195" s="13"/>
      <c r="AA195" s="14"/>
      <c r="AB195" s="15"/>
      <c r="AC195" s="49">
        <f t="shared" si="224"/>
        <v>0</v>
      </c>
      <c r="AD195" s="16"/>
      <c r="AE195" s="14"/>
      <c r="AF195" s="15"/>
      <c r="AG195" s="49">
        <f t="shared" si="225"/>
        <v>0</v>
      </c>
      <c r="AH195" s="11">
        <f t="shared" si="226"/>
        <v>0</v>
      </c>
    </row>
    <row r="196" spans="1:34" x14ac:dyDescent="0.15">
      <c r="A196" s="23" t="s">
        <v>163</v>
      </c>
      <c r="B196" s="8"/>
      <c r="C196" s="9">
        <v>1</v>
      </c>
      <c r="D196" s="10"/>
      <c r="E196" s="49">
        <f t="shared" si="227"/>
        <v>1</v>
      </c>
      <c r="F196" s="12"/>
      <c r="G196" s="9"/>
      <c r="H196" s="10"/>
      <c r="I196" s="49">
        <f t="shared" si="228"/>
        <v>0</v>
      </c>
      <c r="J196" s="11">
        <f t="shared" si="229"/>
        <v>1</v>
      </c>
      <c r="K196" s="63">
        <v>44074</v>
      </c>
      <c r="M196" s="26" t="s">
        <v>177</v>
      </c>
      <c r="N196" s="8"/>
      <c r="O196" s="9"/>
      <c r="P196" s="10">
        <v>5</v>
      </c>
      <c r="Q196" s="49">
        <f t="shared" si="221"/>
        <v>5</v>
      </c>
      <c r="R196" s="12"/>
      <c r="S196" s="9"/>
      <c r="T196" s="10">
        <v>5</v>
      </c>
      <c r="U196" s="49">
        <f t="shared" si="222"/>
        <v>5</v>
      </c>
      <c r="V196" s="11">
        <f t="shared" si="223"/>
        <v>10</v>
      </c>
      <c r="W196" s="140">
        <v>44067</v>
      </c>
      <c r="Y196" s="26"/>
      <c r="Z196" s="8"/>
      <c r="AA196" s="9"/>
      <c r="AB196" s="10"/>
      <c r="AC196" s="49">
        <f t="shared" si="224"/>
        <v>0</v>
      </c>
      <c r="AD196" s="12"/>
      <c r="AE196" s="9"/>
      <c r="AF196" s="10"/>
      <c r="AG196" s="49">
        <f t="shared" si="225"/>
        <v>0</v>
      </c>
      <c r="AH196" s="11">
        <f t="shared" si="226"/>
        <v>0</v>
      </c>
    </row>
    <row r="197" spans="1:34" x14ac:dyDescent="0.15">
      <c r="A197" s="23" t="s">
        <v>163</v>
      </c>
      <c r="B197" s="8"/>
      <c r="C197" s="9"/>
      <c r="D197" s="10"/>
      <c r="E197" s="49">
        <f t="shared" si="227"/>
        <v>0</v>
      </c>
      <c r="F197" s="12"/>
      <c r="G197" s="9"/>
      <c r="H197" s="10">
        <v>1</v>
      </c>
      <c r="I197" s="49">
        <f t="shared" si="228"/>
        <v>1</v>
      </c>
      <c r="J197" s="11">
        <f t="shared" si="229"/>
        <v>1</v>
      </c>
      <c r="K197" s="63">
        <v>44076</v>
      </c>
      <c r="M197" s="102" t="s">
        <v>178</v>
      </c>
      <c r="N197" s="8"/>
      <c r="O197" s="9">
        <v>1</v>
      </c>
      <c r="P197" s="10"/>
      <c r="Q197" s="49">
        <f t="shared" si="221"/>
        <v>1</v>
      </c>
      <c r="R197" s="12"/>
      <c r="S197" s="9">
        <v>1</v>
      </c>
      <c r="T197" s="10"/>
      <c r="U197" s="49">
        <f t="shared" si="222"/>
        <v>1</v>
      </c>
      <c r="V197" s="11">
        <f t="shared" si="223"/>
        <v>2</v>
      </c>
      <c r="W197" s="140">
        <v>44062</v>
      </c>
      <c r="Y197" s="26"/>
      <c r="Z197" s="8"/>
      <c r="AA197" s="9"/>
      <c r="AB197" s="10"/>
      <c r="AC197" s="49">
        <f t="shared" si="224"/>
        <v>0</v>
      </c>
      <c r="AD197" s="12"/>
      <c r="AE197" s="9"/>
      <c r="AF197" s="10"/>
      <c r="AG197" s="49">
        <f t="shared" si="225"/>
        <v>0</v>
      </c>
      <c r="AH197" s="11">
        <f t="shared" si="226"/>
        <v>0</v>
      </c>
    </row>
    <row r="198" spans="1:34" x14ac:dyDescent="0.15">
      <c r="A198" s="23" t="s">
        <v>163</v>
      </c>
      <c r="B198" s="8"/>
      <c r="C198" s="9"/>
      <c r="D198" s="10"/>
      <c r="E198" s="49">
        <f t="shared" si="227"/>
        <v>0</v>
      </c>
      <c r="F198" s="12"/>
      <c r="G198" s="9">
        <v>1</v>
      </c>
      <c r="H198" s="10"/>
      <c r="I198" s="49">
        <f t="shared" si="228"/>
        <v>1</v>
      </c>
      <c r="J198" s="11">
        <f t="shared" si="229"/>
        <v>1</v>
      </c>
      <c r="K198" s="63">
        <v>44079</v>
      </c>
      <c r="M198" s="102" t="s">
        <v>179</v>
      </c>
      <c r="N198" s="8"/>
      <c r="O198" s="9"/>
      <c r="P198" s="10">
        <v>1</v>
      </c>
      <c r="Q198" s="49">
        <f t="shared" si="221"/>
        <v>1</v>
      </c>
      <c r="R198" s="12"/>
      <c r="S198" s="9"/>
      <c r="T198" s="10">
        <v>1</v>
      </c>
      <c r="U198" s="49">
        <f t="shared" si="222"/>
        <v>1</v>
      </c>
      <c r="V198" s="11">
        <f t="shared" si="223"/>
        <v>2</v>
      </c>
      <c r="W198" s="140">
        <v>44065</v>
      </c>
      <c r="X198" s="82"/>
      <c r="Y198" s="26"/>
      <c r="Z198" s="8"/>
      <c r="AA198" s="9"/>
      <c r="AB198" s="10"/>
      <c r="AC198" s="49">
        <f t="shared" si="224"/>
        <v>0</v>
      </c>
      <c r="AD198" s="12"/>
      <c r="AE198" s="9"/>
      <c r="AF198" s="10"/>
      <c r="AG198" s="49">
        <f t="shared" si="225"/>
        <v>0</v>
      </c>
      <c r="AH198" s="11">
        <f t="shared" si="226"/>
        <v>0</v>
      </c>
    </row>
    <row r="199" spans="1:34" x14ac:dyDescent="0.15">
      <c r="A199" s="23" t="s">
        <v>163</v>
      </c>
      <c r="B199" s="8"/>
      <c r="C199" s="9">
        <v>1</v>
      </c>
      <c r="D199" s="10"/>
      <c r="E199" s="49">
        <f t="shared" si="227"/>
        <v>1</v>
      </c>
      <c r="F199" s="12"/>
      <c r="G199" s="9">
        <v>1</v>
      </c>
      <c r="H199" s="10">
        <v>1</v>
      </c>
      <c r="I199" s="49">
        <f t="shared" si="228"/>
        <v>2</v>
      </c>
      <c r="J199" s="11">
        <f t="shared" si="229"/>
        <v>3</v>
      </c>
      <c r="K199" s="63">
        <v>44085</v>
      </c>
      <c r="M199" s="102" t="s">
        <v>180</v>
      </c>
      <c r="N199" s="8"/>
      <c r="O199" s="9">
        <v>1</v>
      </c>
      <c r="P199" s="10"/>
      <c r="Q199" s="49">
        <f t="shared" si="221"/>
        <v>1</v>
      </c>
      <c r="R199" s="12"/>
      <c r="S199" s="9">
        <v>1</v>
      </c>
      <c r="T199" s="10"/>
      <c r="U199" s="49">
        <f t="shared" si="222"/>
        <v>1</v>
      </c>
      <c r="V199" s="11">
        <f t="shared" si="223"/>
        <v>2</v>
      </c>
      <c r="W199" s="140">
        <v>44068</v>
      </c>
      <c r="X199" s="82"/>
      <c r="Y199" s="26"/>
      <c r="Z199" s="8"/>
      <c r="AA199" s="9"/>
      <c r="AB199" s="10"/>
      <c r="AC199" s="49">
        <f t="shared" si="224"/>
        <v>0</v>
      </c>
      <c r="AD199" s="12"/>
      <c r="AE199" s="9"/>
      <c r="AF199" s="10"/>
      <c r="AG199" s="49">
        <f t="shared" si="225"/>
        <v>0</v>
      </c>
      <c r="AH199" s="11">
        <f t="shared" si="226"/>
        <v>0</v>
      </c>
    </row>
    <row r="200" spans="1:34" x14ac:dyDescent="0.15">
      <c r="A200" s="23" t="s">
        <v>163</v>
      </c>
      <c r="B200" s="8">
        <v>1</v>
      </c>
      <c r="C200" s="9">
        <v>1</v>
      </c>
      <c r="D200" s="10">
        <v>1</v>
      </c>
      <c r="E200" s="49">
        <f t="shared" si="227"/>
        <v>3</v>
      </c>
      <c r="F200" s="12">
        <v>1</v>
      </c>
      <c r="G200" s="9">
        <v>1</v>
      </c>
      <c r="H200" s="10">
        <v>1</v>
      </c>
      <c r="I200" s="49">
        <f t="shared" si="228"/>
        <v>3</v>
      </c>
      <c r="J200" s="11">
        <f t="shared" si="229"/>
        <v>6</v>
      </c>
      <c r="K200" s="63">
        <v>44088</v>
      </c>
      <c r="M200" s="26" t="s">
        <v>185</v>
      </c>
      <c r="N200" s="8"/>
      <c r="O200" s="9"/>
      <c r="P200" s="10"/>
      <c r="Q200" s="49">
        <f t="shared" si="221"/>
        <v>0</v>
      </c>
      <c r="R200" s="12">
        <v>5</v>
      </c>
      <c r="S200" s="9"/>
      <c r="T200" s="10"/>
      <c r="U200" s="49">
        <f t="shared" si="222"/>
        <v>5</v>
      </c>
      <c r="V200" s="11">
        <f t="shared" si="223"/>
        <v>5</v>
      </c>
      <c r="W200" s="140">
        <v>44103</v>
      </c>
      <c r="Y200" s="26"/>
      <c r="Z200" s="8"/>
      <c r="AA200" s="9"/>
      <c r="AB200" s="10"/>
      <c r="AC200" s="49">
        <f t="shared" si="224"/>
        <v>0</v>
      </c>
      <c r="AD200" s="12"/>
      <c r="AE200" s="9"/>
      <c r="AF200" s="10"/>
      <c r="AG200" s="49">
        <f t="shared" si="225"/>
        <v>0</v>
      </c>
      <c r="AH200" s="11">
        <f t="shared" si="226"/>
        <v>0</v>
      </c>
    </row>
    <row r="201" spans="1:34" x14ac:dyDescent="0.15">
      <c r="A201" s="23" t="s">
        <v>183</v>
      </c>
      <c r="B201" s="8"/>
      <c r="C201" s="9">
        <v>1</v>
      </c>
      <c r="D201" s="10"/>
      <c r="E201" s="49">
        <f t="shared" si="227"/>
        <v>1</v>
      </c>
      <c r="F201" s="12"/>
      <c r="G201" s="9">
        <v>1</v>
      </c>
      <c r="H201" s="10"/>
      <c r="I201" s="49">
        <f t="shared" si="228"/>
        <v>1</v>
      </c>
      <c r="J201" s="11">
        <f t="shared" si="229"/>
        <v>2</v>
      </c>
      <c r="K201" s="63">
        <v>44090</v>
      </c>
      <c r="M201" s="26" t="s">
        <v>28</v>
      </c>
      <c r="N201" s="8"/>
      <c r="O201" s="9"/>
      <c r="P201" s="10"/>
      <c r="Q201" s="49">
        <f t="shared" si="221"/>
        <v>0</v>
      </c>
      <c r="R201" s="12"/>
      <c r="S201" s="9"/>
      <c r="T201" s="10">
        <v>3</v>
      </c>
      <c r="U201" s="49">
        <f t="shared" si="222"/>
        <v>3</v>
      </c>
      <c r="V201" s="11">
        <f t="shared" si="223"/>
        <v>3</v>
      </c>
      <c r="W201" s="140">
        <v>44113</v>
      </c>
      <c r="Y201" s="24"/>
      <c r="Z201" s="8"/>
      <c r="AA201" s="9"/>
      <c r="AB201" s="10"/>
      <c r="AC201" s="49">
        <f t="shared" si="224"/>
        <v>0</v>
      </c>
      <c r="AD201" s="12"/>
      <c r="AE201" s="9"/>
      <c r="AF201" s="10"/>
      <c r="AG201" s="49">
        <f t="shared" si="225"/>
        <v>0</v>
      </c>
      <c r="AH201" s="11">
        <f t="shared" si="226"/>
        <v>0</v>
      </c>
    </row>
    <row r="202" spans="1:34" x14ac:dyDescent="0.15">
      <c r="A202" s="23" t="s">
        <v>163</v>
      </c>
      <c r="B202" s="8">
        <v>1</v>
      </c>
      <c r="C202" s="9"/>
      <c r="D202" s="10"/>
      <c r="E202" s="49">
        <f t="shared" si="227"/>
        <v>1</v>
      </c>
      <c r="F202" s="12">
        <v>3</v>
      </c>
      <c r="G202" s="9"/>
      <c r="H202" s="10"/>
      <c r="I202" s="49">
        <f t="shared" si="228"/>
        <v>3</v>
      </c>
      <c r="J202" s="11">
        <f t="shared" si="229"/>
        <v>4</v>
      </c>
      <c r="K202" s="63">
        <v>44090</v>
      </c>
      <c r="M202" s="26"/>
      <c r="N202" s="8"/>
      <c r="O202" s="9"/>
      <c r="P202" s="10"/>
      <c r="Q202" s="49">
        <f t="shared" si="221"/>
        <v>0</v>
      </c>
      <c r="R202" s="12"/>
      <c r="S202" s="9"/>
      <c r="T202" s="10"/>
      <c r="U202" s="49">
        <f t="shared" si="222"/>
        <v>0</v>
      </c>
      <c r="V202" s="11">
        <f t="shared" si="223"/>
        <v>0</v>
      </c>
      <c r="W202" s="140"/>
      <c r="Y202" s="26"/>
      <c r="Z202" s="8"/>
      <c r="AA202" s="9"/>
      <c r="AB202" s="10"/>
      <c r="AC202" s="49">
        <f t="shared" si="224"/>
        <v>0</v>
      </c>
      <c r="AD202" s="12"/>
      <c r="AE202" s="9"/>
      <c r="AF202" s="10"/>
      <c r="AG202" s="49">
        <f t="shared" si="225"/>
        <v>0</v>
      </c>
      <c r="AH202" s="11">
        <f t="shared" si="226"/>
        <v>0</v>
      </c>
    </row>
    <row r="203" spans="1:34" x14ac:dyDescent="0.15">
      <c r="A203" s="23" t="s">
        <v>184</v>
      </c>
      <c r="B203" s="8">
        <v>7</v>
      </c>
      <c r="C203" s="9">
        <v>13</v>
      </c>
      <c r="D203" s="10">
        <v>5</v>
      </c>
      <c r="E203" s="49">
        <f t="shared" si="227"/>
        <v>25</v>
      </c>
      <c r="F203" s="12">
        <v>6</v>
      </c>
      <c r="G203" s="9">
        <v>10</v>
      </c>
      <c r="H203" s="10">
        <v>4</v>
      </c>
      <c r="I203" s="49">
        <f t="shared" si="228"/>
        <v>20</v>
      </c>
      <c r="J203" s="11">
        <f t="shared" si="229"/>
        <v>45</v>
      </c>
      <c r="K203" s="63">
        <v>44100</v>
      </c>
      <c r="M203" s="24"/>
      <c r="N203" s="8"/>
      <c r="O203" s="9"/>
      <c r="P203" s="10"/>
      <c r="Q203" s="49">
        <f t="shared" si="221"/>
        <v>0</v>
      </c>
      <c r="R203" s="12"/>
      <c r="S203" s="9"/>
      <c r="T203" s="10"/>
      <c r="U203" s="49">
        <f t="shared" si="222"/>
        <v>0</v>
      </c>
      <c r="V203" s="11">
        <f t="shared" si="223"/>
        <v>0</v>
      </c>
      <c r="W203" s="140"/>
      <c r="Y203" s="24"/>
      <c r="Z203" s="8"/>
      <c r="AA203" s="9"/>
      <c r="AB203" s="10"/>
      <c r="AC203" s="49">
        <f t="shared" si="224"/>
        <v>0</v>
      </c>
      <c r="AD203" s="12"/>
      <c r="AE203" s="9"/>
      <c r="AF203" s="10"/>
      <c r="AG203" s="49">
        <f t="shared" si="225"/>
        <v>0</v>
      </c>
      <c r="AH203" s="11">
        <f t="shared" si="226"/>
        <v>0</v>
      </c>
    </row>
    <row r="204" spans="1:34" x14ac:dyDescent="0.15">
      <c r="A204" s="24" t="s">
        <v>186</v>
      </c>
      <c r="B204" s="8">
        <v>-1</v>
      </c>
      <c r="C204" s="9">
        <v>-1</v>
      </c>
      <c r="D204" s="10">
        <v>-4</v>
      </c>
      <c r="E204" s="49">
        <f t="shared" si="227"/>
        <v>-6</v>
      </c>
      <c r="F204" s="12">
        <v>-1</v>
      </c>
      <c r="G204" s="9">
        <v>-2</v>
      </c>
      <c r="H204" s="10">
        <v>-4</v>
      </c>
      <c r="I204" s="49">
        <f t="shared" si="228"/>
        <v>-7</v>
      </c>
      <c r="J204" s="11">
        <f t="shared" si="229"/>
        <v>-13</v>
      </c>
      <c r="K204" s="63">
        <v>44102</v>
      </c>
      <c r="M204" s="26"/>
      <c r="N204" s="8"/>
      <c r="O204" s="9"/>
      <c r="P204" s="10"/>
      <c r="Q204" s="49">
        <f t="shared" si="221"/>
        <v>0</v>
      </c>
      <c r="R204" s="12"/>
      <c r="S204" s="9"/>
      <c r="T204" s="10"/>
      <c r="U204" s="49">
        <f t="shared" si="222"/>
        <v>0</v>
      </c>
      <c r="V204" s="11">
        <f t="shared" si="223"/>
        <v>0</v>
      </c>
      <c r="W204" s="140"/>
      <c r="Y204" s="26"/>
      <c r="Z204" s="8"/>
      <c r="AA204" s="9"/>
      <c r="AB204" s="10"/>
      <c r="AC204" s="49">
        <f t="shared" si="224"/>
        <v>0</v>
      </c>
      <c r="AD204" s="12"/>
      <c r="AE204" s="9"/>
      <c r="AF204" s="10"/>
      <c r="AG204" s="49">
        <f t="shared" si="225"/>
        <v>0</v>
      </c>
      <c r="AH204" s="11">
        <f t="shared" si="226"/>
        <v>0</v>
      </c>
    </row>
    <row r="205" spans="1:34" x14ac:dyDescent="0.15">
      <c r="A205" s="23" t="s">
        <v>163</v>
      </c>
      <c r="B205" s="8"/>
      <c r="C205" s="9"/>
      <c r="D205" s="10"/>
      <c r="E205" s="49">
        <f t="shared" si="227"/>
        <v>0</v>
      </c>
      <c r="F205" s="12">
        <v>1</v>
      </c>
      <c r="G205" s="9"/>
      <c r="H205" s="10"/>
      <c r="I205" s="49">
        <f t="shared" si="228"/>
        <v>1</v>
      </c>
      <c r="J205" s="11">
        <f t="shared" si="229"/>
        <v>1</v>
      </c>
      <c r="K205" s="63">
        <v>44103</v>
      </c>
      <c r="M205" s="24"/>
      <c r="N205" s="8"/>
      <c r="O205" s="9"/>
      <c r="P205" s="10"/>
      <c r="Q205" s="49">
        <f t="shared" si="221"/>
        <v>0</v>
      </c>
      <c r="R205" s="12"/>
      <c r="S205" s="9"/>
      <c r="T205" s="10"/>
      <c r="U205" s="49">
        <f t="shared" si="222"/>
        <v>0</v>
      </c>
      <c r="V205" s="11">
        <f t="shared" si="223"/>
        <v>0</v>
      </c>
      <c r="W205" s="140"/>
      <c r="Y205" s="24"/>
      <c r="Z205" s="8"/>
      <c r="AA205" s="9"/>
      <c r="AB205" s="10"/>
      <c r="AC205" s="49">
        <f t="shared" si="224"/>
        <v>0</v>
      </c>
      <c r="AD205" s="12"/>
      <c r="AE205" s="9"/>
      <c r="AF205" s="10"/>
      <c r="AG205" s="49">
        <f t="shared" si="225"/>
        <v>0</v>
      </c>
      <c r="AH205" s="11">
        <f t="shared" si="226"/>
        <v>0</v>
      </c>
    </row>
    <row r="206" spans="1:34" x14ac:dyDescent="0.15">
      <c r="A206" s="23" t="s">
        <v>163</v>
      </c>
      <c r="B206" s="8"/>
      <c r="C206" s="9"/>
      <c r="D206" s="10">
        <v>1</v>
      </c>
      <c r="E206" s="49">
        <f t="shared" si="227"/>
        <v>1</v>
      </c>
      <c r="F206" s="12"/>
      <c r="G206" s="9"/>
      <c r="H206" s="10">
        <v>1</v>
      </c>
      <c r="I206" s="49">
        <f t="shared" si="228"/>
        <v>1</v>
      </c>
      <c r="J206" s="11">
        <f t="shared" si="229"/>
        <v>2</v>
      </c>
      <c r="K206" s="63">
        <v>44104</v>
      </c>
      <c r="M206" s="23"/>
      <c r="N206" s="8"/>
      <c r="O206" s="9"/>
      <c r="P206" s="10"/>
      <c r="Q206" s="49">
        <f t="shared" si="221"/>
        <v>0</v>
      </c>
      <c r="R206" s="12"/>
      <c r="S206" s="9"/>
      <c r="T206" s="10"/>
      <c r="U206" s="49">
        <f t="shared" si="222"/>
        <v>0</v>
      </c>
      <c r="V206" s="11">
        <f t="shared" si="223"/>
        <v>0</v>
      </c>
      <c r="W206" s="140"/>
      <c r="Y206" s="26"/>
      <c r="Z206" s="8"/>
      <c r="AA206" s="9"/>
      <c r="AB206" s="10"/>
      <c r="AC206" s="49">
        <f t="shared" si="224"/>
        <v>0</v>
      </c>
      <c r="AD206" s="12"/>
      <c r="AE206" s="9"/>
      <c r="AF206" s="10"/>
      <c r="AG206" s="49">
        <f t="shared" si="225"/>
        <v>0</v>
      </c>
      <c r="AH206" s="11">
        <f t="shared" si="226"/>
        <v>0</v>
      </c>
    </row>
    <row r="207" spans="1:34" x14ac:dyDescent="0.15">
      <c r="A207" s="23" t="s">
        <v>187</v>
      </c>
      <c r="B207" s="13">
        <v>1</v>
      </c>
      <c r="C207" s="14">
        <v>1</v>
      </c>
      <c r="D207" s="15">
        <v>4</v>
      </c>
      <c r="E207" s="49">
        <f t="shared" si="227"/>
        <v>6</v>
      </c>
      <c r="F207" s="16"/>
      <c r="G207" s="14">
        <v>2</v>
      </c>
      <c r="H207" s="15">
        <v>4</v>
      </c>
      <c r="I207" s="49">
        <f t="shared" si="228"/>
        <v>6</v>
      </c>
      <c r="J207" s="11">
        <f t="shared" si="229"/>
        <v>12</v>
      </c>
      <c r="K207" s="63">
        <v>44107</v>
      </c>
      <c r="M207" s="26"/>
      <c r="N207" s="8"/>
      <c r="O207" s="103"/>
      <c r="P207" s="104"/>
      <c r="Q207" s="49">
        <f t="shared" si="221"/>
        <v>0</v>
      </c>
      <c r="R207" s="12"/>
      <c r="S207" s="103"/>
      <c r="T207" s="104"/>
      <c r="U207" s="49">
        <f t="shared" si="222"/>
        <v>0</v>
      </c>
      <c r="V207" s="11">
        <f t="shared" si="223"/>
        <v>0</v>
      </c>
      <c r="W207" s="142"/>
      <c r="Y207" s="26"/>
      <c r="Z207" s="8"/>
      <c r="AA207" s="9"/>
      <c r="AB207" s="10"/>
      <c r="AC207" s="49">
        <f t="shared" si="224"/>
        <v>0</v>
      </c>
      <c r="AD207" s="12"/>
      <c r="AE207" s="9"/>
      <c r="AF207" s="10"/>
      <c r="AG207" s="49">
        <f t="shared" si="225"/>
        <v>0</v>
      </c>
      <c r="AH207" s="11">
        <f t="shared" si="226"/>
        <v>0</v>
      </c>
    </row>
    <row r="208" spans="1:34" x14ac:dyDescent="0.15">
      <c r="A208" s="25" t="s">
        <v>143</v>
      </c>
      <c r="B208" s="8"/>
      <c r="C208" s="9">
        <v>-1</v>
      </c>
      <c r="D208" s="10"/>
      <c r="E208" s="49">
        <f t="shared" ref="E208" si="230">SUM(B208:D208)</f>
        <v>-1</v>
      </c>
      <c r="F208" s="12"/>
      <c r="G208" s="9">
        <v>-1</v>
      </c>
      <c r="H208" s="10"/>
      <c r="I208" s="49">
        <f t="shared" ref="I208" si="231">SUM(F208:H208)</f>
        <v>-1</v>
      </c>
      <c r="J208" s="11">
        <f t="shared" ref="J208" si="232">E208+I208</f>
        <v>-2</v>
      </c>
      <c r="K208" s="63">
        <v>44110</v>
      </c>
      <c r="M208" s="26"/>
      <c r="N208" s="106"/>
      <c r="O208" s="103"/>
      <c r="P208" s="104"/>
      <c r="Q208" s="49">
        <f t="shared" si="221"/>
        <v>0</v>
      </c>
      <c r="R208" s="107"/>
      <c r="S208" s="103"/>
      <c r="T208" s="104"/>
      <c r="U208" s="49">
        <f t="shared" si="222"/>
        <v>0</v>
      </c>
      <c r="V208" s="11">
        <f t="shared" si="223"/>
        <v>0</v>
      </c>
      <c r="W208" s="142"/>
      <c r="Y208" s="26"/>
      <c r="Z208" s="8"/>
      <c r="AA208" s="9"/>
      <c r="AB208" s="10"/>
      <c r="AC208" s="49">
        <f t="shared" si="224"/>
        <v>0</v>
      </c>
      <c r="AD208" s="12"/>
      <c r="AE208" s="9"/>
      <c r="AF208" s="10"/>
      <c r="AG208" s="49">
        <f t="shared" si="225"/>
        <v>0</v>
      </c>
      <c r="AH208" s="11">
        <f t="shared" si="226"/>
        <v>0</v>
      </c>
    </row>
    <row r="209" spans="1:34" x14ac:dyDescent="0.15">
      <c r="A209" s="25" t="s">
        <v>188</v>
      </c>
      <c r="B209" s="8"/>
      <c r="C209" s="9"/>
      <c r="D209" s="10"/>
      <c r="E209" s="49">
        <f t="shared" si="227"/>
        <v>0</v>
      </c>
      <c r="F209" s="12"/>
      <c r="G209" s="9"/>
      <c r="H209" s="10">
        <v>1</v>
      </c>
      <c r="I209" s="49">
        <f t="shared" si="228"/>
        <v>1</v>
      </c>
      <c r="J209" s="11">
        <f t="shared" si="229"/>
        <v>1</v>
      </c>
      <c r="K209" s="63">
        <v>44112</v>
      </c>
      <c r="M209" s="26"/>
      <c r="N209" s="106"/>
      <c r="O209" s="103"/>
      <c r="P209" s="104"/>
      <c r="Q209" s="49">
        <f t="shared" si="221"/>
        <v>0</v>
      </c>
      <c r="R209" s="107"/>
      <c r="S209" s="103"/>
      <c r="T209" s="104"/>
      <c r="U209" s="49">
        <f t="shared" si="222"/>
        <v>0</v>
      </c>
      <c r="V209" s="11">
        <f t="shared" si="223"/>
        <v>0</v>
      </c>
      <c r="W209" s="142"/>
      <c r="Y209" s="26"/>
      <c r="Z209" s="8"/>
      <c r="AA209" s="9"/>
      <c r="AB209" s="10"/>
      <c r="AC209" s="49">
        <f t="shared" si="224"/>
        <v>0</v>
      </c>
      <c r="AD209" s="12"/>
      <c r="AE209" s="9"/>
      <c r="AF209" s="10"/>
      <c r="AG209" s="49">
        <f t="shared" si="225"/>
        <v>0</v>
      </c>
      <c r="AH209" s="11">
        <f t="shared" si="226"/>
        <v>0</v>
      </c>
    </row>
    <row r="210" spans="1:34" x14ac:dyDescent="0.15">
      <c r="A210" s="23" t="s">
        <v>189</v>
      </c>
      <c r="B210" s="8"/>
      <c r="C210" s="9"/>
      <c r="D210" s="10"/>
      <c r="E210" s="49">
        <f t="shared" si="227"/>
        <v>0</v>
      </c>
      <c r="F210" s="12"/>
      <c r="G210" s="9"/>
      <c r="H210" s="10">
        <v>-3</v>
      </c>
      <c r="I210" s="49">
        <f t="shared" si="228"/>
        <v>-3</v>
      </c>
      <c r="J210" s="11">
        <f t="shared" si="229"/>
        <v>-3</v>
      </c>
      <c r="K210" s="63">
        <v>44113</v>
      </c>
      <c r="M210" s="23" t="s">
        <v>105</v>
      </c>
      <c r="N210" s="8"/>
      <c r="O210" s="9"/>
      <c r="P210" s="10"/>
      <c r="Q210" s="49">
        <f t="shared" si="221"/>
        <v>0</v>
      </c>
      <c r="R210" s="12"/>
      <c r="S210" s="9"/>
      <c r="T210" s="10"/>
      <c r="U210" s="49">
        <f t="shared" si="222"/>
        <v>0</v>
      </c>
      <c r="V210" s="11">
        <f t="shared" si="223"/>
        <v>0</v>
      </c>
      <c r="W210" s="140" t="s">
        <v>106</v>
      </c>
      <c r="Y210" s="26"/>
      <c r="Z210" s="8"/>
      <c r="AA210" s="9"/>
      <c r="AB210" s="10"/>
      <c r="AC210" s="49">
        <f t="shared" si="224"/>
        <v>0</v>
      </c>
      <c r="AD210" s="12"/>
      <c r="AE210" s="9"/>
      <c r="AF210" s="10"/>
      <c r="AG210" s="49">
        <f t="shared" si="225"/>
        <v>0</v>
      </c>
      <c r="AH210" s="11">
        <f t="shared" si="226"/>
        <v>0</v>
      </c>
    </row>
    <row r="211" spans="1:34" ht="14.25" thickBot="1" x14ac:dyDescent="0.2">
      <c r="A211" s="23" t="s">
        <v>163</v>
      </c>
      <c r="B211" s="13">
        <v>2</v>
      </c>
      <c r="C211" s="14"/>
      <c r="D211" s="15"/>
      <c r="E211" s="55">
        <f t="shared" si="227"/>
        <v>2</v>
      </c>
      <c r="F211" s="16">
        <v>1</v>
      </c>
      <c r="G211" s="14"/>
      <c r="H211" s="15"/>
      <c r="I211" s="55">
        <f t="shared" si="228"/>
        <v>1</v>
      </c>
      <c r="J211" s="11">
        <f t="shared" si="229"/>
        <v>3</v>
      </c>
      <c r="K211" s="63">
        <v>44116</v>
      </c>
      <c r="M211" s="26" t="s">
        <v>25</v>
      </c>
      <c r="N211" s="106"/>
      <c r="O211" s="103"/>
      <c r="P211" s="104"/>
      <c r="Q211" s="49">
        <f t="shared" si="221"/>
        <v>0</v>
      </c>
      <c r="R211" s="107"/>
      <c r="S211" s="103"/>
      <c r="T211" s="104"/>
      <c r="U211" s="49">
        <f t="shared" si="222"/>
        <v>0</v>
      </c>
      <c r="V211" s="11">
        <f t="shared" si="223"/>
        <v>0</v>
      </c>
      <c r="W211" s="142" t="s">
        <v>30</v>
      </c>
      <c r="Y211" s="92"/>
      <c r="Z211" s="13"/>
      <c r="AA211" s="14"/>
      <c r="AB211" s="15"/>
      <c r="AC211" s="49">
        <f t="shared" si="224"/>
        <v>0</v>
      </c>
      <c r="AD211" s="16"/>
      <c r="AE211" s="14"/>
      <c r="AF211" s="15"/>
      <c r="AG211" s="49">
        <f t="shared" si="225"/>
        <v>0</v>
      </c>
      <c r="AH211" s="11">
        <f t="shared" si="226"/>
        <v>0</v>
      </c>
    </row>
    <row r="212" spans="1:34" ht="14.25" thickBot="1" x14ac:dyDescent="0.2">
      <c r="A212" s="41" t="s">
        <v>19</v>
      </c>
      <c r="B212" s="46">
        <f>SUM(B186:B211)</f>
        <v>12</v>
      </c>
      <c r="C212" s="47">
        <f t="shared" ref="C212:D212" si="233">SUM(C186:C211)</f>
        <v>22</v>
      </c>
      <c r="D212" s="59">
        <f t="shared" si="233"/>
        <v>9</v>
      </c>
      <c r="E212" s="45">
        <f t="shared" si="227"/>
        <v>43</v>
      </c>
      <c r="F212" s="46">
        <f>SUM(F186:F211)</f>
        <v>15</v>
      </c>
      <c r="G212" s="47">
        <f t="shared" ref="G212:H212" si="234">SUM(G186:G211)</f>
        <v>18</v>
      </c>
      <c r="H212" s="59">
        <f t="shared" si="234"/>
        <v>10</v>
      </c>
      <c r="I212" s="45">
        <f t="shared" si="228"/>
        <v>43</v>
      </c>
      <c r="J212" s="45">
        <f>E212+I212</f>
        <v>86</v>
      </c>
      <c r="M212" s="41" t="s">
        <v>19</v>
      </c>
      <c r="N212" s="46">
        <f>SUM(N186:N211)</f>
        <v>12</v>
      </c>
      <c r="O212" s="47">
        <f t="shared" ref="O212:P212" si="235">SUM(O186:O211)</f>
        <v>21</v>
      </c>
      <c r="P212" s="59">
        <f t="shared" si="235"/>
        <v>12</v>
      </c>
      <c r="Q212" s="45">
        <f t="shared" si="221"/>
        <v>45</v>
      </c>
      <c r="R212" s="46">
        <f>SUM(R186:R211)</f>
        <v>17</v>
      </c>
      <c r="S212" s="47">
        <f t="shared" ref="S212:T212" si="236">SUM(S186:S211)</f>
        <v>26</v>
      </c>
      <c r="T212" s="59">
        <f t="shared" si="236"/>
        <v>15</v>
      </c>
      <c r="U212" s="45">
        <f t="shared" si="222"/>
        <v>58</v>
      </c>
      <c r="V212" s="45">
        <f>Q212+U212</f>
        <v>103</v>
      </c>
      <c r="Y212" s="41" t="s">
        <v>19</v>
      </c>
      <c r="Z212" s="46">
        <f>SUM(Z186:Z211)</f>
        <v>0</v>
      </c>
      <c r="AA212" s="47">
        <f t="shared" ref="AA212:AB212" si="237">SUM(AA186:AA211)</f>
        <v>0</v>
      </c>
      <c r="AB212" s="59">
        <f t="shared" si="237"/>
        <v>0</v>
      </c>
      <c r="AC212" s="45">
        <f t="shared" si="224"/>
        <v>0</v>
      </c>
      <c r="AD212" s="46">
        <f>SUM(AD186:AD211)</f>
        <v>0</v>
      </c>
      <c r="AE212" s="47">
        <f t="shared" ref="AE212:AF212" si="238">SUM(AE186:AE211)</f>
        <v>0</v>
      </c>
      <c r="AF212" s="59">
        <f t="shared" si="238"/>
        <v>0</v>
      </c>
      <c r="AG212" s="45">
        <f t="shared" si="225"/>
        <v>0</v>
      </c>
      <c r="AH212" s="45">
        <f>AC212+AG212</f>
        <v>0</v>
      </c>
    </row>
    <row r="213" spans="1:34" ht="14.25" thickBot="1" x14ac:dyDescent="0.2">
      <c r="A213" s="22" t="s">
        <v>17</v>
      </c>
      <c r="B213" s="50">
        <f>B185-B212</f>
        <v>7</v>
      </c>
      <c r="C213" s="57">
        <f t="shared" ref="C213:D213" si="239">C185-C212</f>
        <v>4</v>
      </c>
      <c r="D213" s="58">
        <f t="shared" si="239"/>
        <v>4</v>
      </c>
      <c r="E213" s="56">
        <f>SUM(B213:D213)</f>
        <v>15</v>
      </c>
      <c r="F213" s="50">
        <f>F185-F212</f>
        <v>4</v>
      </c>
      <c r="G213" s="57">
        <f t="shared" ref="G213:H213" si="240">G185-G212</f>
        <v>4</v>
      </c>
      <c r="H213" s="58">
        <f t="shared" si="240"/>
        <v>4</v>
      </c>
      <c r="I213" s="56">
        <f>SUM(F213:H213)</f>
        <v>12</v>
      </c>
      <c r="J213" s="31">
        <f>E213+I213</f>
        <v>27</v>
      </c>
      <c r="M213" s="22" t="s">
        <v>17</v>
      </c>
      <c r="N213" s="50">
        <f>N185-N212</f>
        <v>129</v>
      </c>
      <c r="O213" s="57">
        <f t="shared" ref="O213:P213" si="241">O185-O212</f>
        <v>217</v>
      </c>
      <c r="P213" s="58">
        <f t="shared" si="241"/>
        <v>125</v>
      </c>
      <c r="Q213" s="56">
        <f>SUM(N213:P213)</f>
        <v>471</v>
      </c>
      <c r="R213" s="50">
        <f>R185-R212</f>
        <v>225</v>
      </c>
      <c r="S213" s="57">
        <f t="shared" ref="S213:T213" si="242">S185-S212</f>
        <v>349</v>
      </c>
      <c r="T213" s="58">
        <f t="shared" si="242"/>
        <v>237</v>
      </c>
      <c r="U213" s="56">
        <f>SUM(R213:T213)</f>
        <v>811</v>
      </c>
      <c r="V213" s="31">
        <f>Q213+U213</f>
        <v>1282</v>
      </c>
      <c r="Y213" s="22" t="s">
        <v>17</v>
      </c>
      <c r="Z213" s="50">
        <f>Z185-Z212</f>
        <v>0</v>
      </c>
      <c r="AA213" s="57">
        <f t="shared" ref="AA213:AB213" si="243">AA185-AA212</f>
        <v>0</v>
      </c>
      <c r="AB213" s="58">
        <f t="shared" si="243"/>
        <v>0</v>
      </c>
      <c r="AC213" s="56">
        <f>SUM(Z213:AB213)</f>
        <v>0</v>
      </c>
      <c r="AD213" s="50">
        <f>AD185-AD212</f>
        <v>0</v>
      </c>
      <c r="AE213" s="57">
        <f t="shared" ref="AE213:AF213" si="244">AE185-AE212</f>
        <v>0</v>
      </c>
      <c r="AF213" s="58">
        <f t="shared" si="244"/>
        <v>0</v>
      </c>
      <c r="AG213" s="56">
        <f>SUM(AD213:AF213)</f>
        <v>0</v>
      </c>
      <c r="AH213" s="31">
        <f>AC213+AG213</f>
        <v>0</v>
      </c>
    </row>
    <row r="214" spans="1:34" x14ac:dyDescent="0.15">
      <c r="N214">
        <f>N212+N169+N126+N83+N40</f>
        <v>1226</v>
      </c>
      <c r="O214">
        <f t="shared" ref="O214:U214" si="245">O212+O169+O126+O83+O40</f>
        <v>1177</v>
      </c>
      <c r="P214">
        <f t="shared" si="245"/>
        <v>812</v>
      </c>
      <c r="Q214">
        <f t="shared" si="245"/>
        <v>3215</v>
      </c>
      <c r="R214">
        <f t="shared" si="245"/>
        <v>990</v>
      </c>
      <c r="S214">
        <f t="shared" si="245"/>
        <v>878</v>
      </c>
      <c r="T214">
        <f t="shared" si="245"/>
        <v>603</v>
      </c>
      <c r="U214">
        <f t="shared" si="245"/>
        <v>2471</v>
      </c>
      <c r="V214" s="55"/>
    </row>
    <row r="215" spans="1:34" x14ac:dyDescent="0.15">
      <c r="N215" s="115">
        <f>N214/$Q$214*100</f>
        <v>38.13374805598756</v>
      </c>
      <c r="O215" s="115">
        <f t="shared" ref="O215:Q215" si="246">O214/$Q$214*100</f>
        <v>36.609642301710736</v>
      </c>
      <c r="P215" s="115">
        <f t="shared" si="246"/>
        <v>25.256609642301708</v>
      </c>
      <c r="Q215" s="115">
        <f t="shared" si="246"/>
        <v>100</v>
      </c>
      <c r="R215" s="115">
        <f>R214/$U$214*100</f>
        <v>40.064751112909754</v>
      </c>
      <c r="S215" s="115">
        <f t="shared" ref="S215:U215" si="247">S214/$U$214*100</f>
        <v>35.532173209227039</v>
      </c>
      <c r="T215" s="115">
        <f t="shared" si="247"/>
        <v>24.403075677863214</v>
      </c>
      <c r="U215" s="115">
        <f t="shared" si="247"/>
        <v>100</v>
      </c>
    </row>
    <row r="216" spans="1:34" ht="19.5" thickBot="1" x14ac:dyDescent="0.25">
      <c r="A216" s="3" t="s">
        <v>21</v>
      </c>
      <c r="B216" s="1"/>
      <c r="C216" s="1"/>
      <c r="D216" s="1"/>
      <c r="E216" s="1"/>
      <c r="F216" s="1"/>
      <c r="G216" s="1"/>
      <c r="H216" s="1"/>
      <c r="I216" s="1"/>
      <c r="J216" s="1"/>
      <c r="M216" s="3" t="s">
        <v>22</v>
      </c>
      <c r="N216" s="1"/>
      <c r="O216" s="1"/>
      <c r="P216" s="1"/>
      <c r="Q216" s="1"/>
      <c r="R216" s="1"/>
      <c r="S216" s="1"/>
      <c r="T216" s="1"/>
      <c r="U216" s="1"/>
      <c r="V216" s="1"/>
      <c r="Y216" s="3" t="s">
        <v>23</v>
      </c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4.25" thickBot="1" x14ac:dyDescent="0.2">
      <c r="A217" s="7" t="s">
        <v>0</v>
      </c>
      <c r="B217" s="165" t="s">
        <v>24</v>
      </c>
      <c r="C217" s="166"/>
      <c r="D217" s="166"/>
      <c r="E217" s="170"/>
      <c r="F217" s="165" t="s">
        <v>18</v>
      </c>
      <c r="G217" s="166"/>
      <c r="H217" s="166"/>
      <c r="I217" s="167"/>
      <c r="J217" s="168" t="s">
        <v>1</v>
      </c>
      <c r="M217" s="7" t="s">
        <v>0</v>
      </c>
      <c r="N217" s="165" t="s">
        <v>24</v>
      </c>
      <c r="O217" s="166"/>
      <c r="P217" s="166"/>
      <c r="Q217" s="170"/>
      <c r="R217" s="165" t="s">
        <v>18</v>
      </c>
      <c r="S217" s="166"/>
      <c r="T217" s="166"/>
      <c r="U217" s="167"/>
      <c r="V217" s="168" t="s">
        <v>1</v>
      </c>
      <c r="Y217" s="7" t="s">
        <v>0</v>
      </c>
      <c r="Z217" s="165" t="s">
        <v>24</v>
      </c>
      <c r="AA217" s="166"/>
      <c r="AB217" s="166"/>
      <c r="AC217" s="170"/>
      <c r="AD217" s="165" t="s">
        <v>18</v>
      </c>
      <c r="AE217" s="166"/>
      <c r="AF217" s="166"/>
      <c r="AG217" s="167"/>
      <c r="AH217" s="168" t="s">
        <v>1</v>
      </c>
    </row>
    <row r="218" spans="1:34" ht="14.25" thickBot="1" x14ac:dyDescent="0.2">
      <c r="A218" s="7" t="s">
        <v>2</v>
      </c>
      <c r="B218" s="4" t="s">
        <v>3</v>
      </c>
      <c r="C218" s="5" t="s">
        <v>4</v>
      </c>
      <c r="D218" s="6" t="s">
        <v>5</v>
      </c>
      <c r="E218" s="7" t="s">
        <v>6</v>
      </c>
      <c r="F218" s="4" t="s">
        <v>3</v>
      </c>
      <c r="G218" s="5" t="s">
        <v>4</v>
      </c>
      <c r="H218" s="6" t="s">
        <v>5</v>
      </c>
      <c r="I218" s="7" t="s">
        <v>6</v>
      </c>
      <c r="J218" s="169"/>
      <c r="M218" s="7" t="s">
        <v>2</v>
      </c>
      <c r="N218" s="4" t="s">
        <v>3</v>
      </c>
      <c r="O218" s="5" t="s">
        <v>4</v>
      </c>
      <c r="P218" s="6" t="s">
        <v>5</v>
      </c>
      <c r="Q218" s="7" t="s">
        <v>6</v>
      </c>
      <c r="R218" s="4" t="s">
        <v>3</v>
      </c>
      <c r="S218" s="5" t="s">
        <v>4</v>
      </c>
      <c r="T218" s="6" t="s">
        <v>5</v>
      </c>
      <c r="U218" s="7" t="s">
        <v>6</v>
      </c>
      <c r="V218" s="169"/>
      <c r="Y218" s="7" t="s">
        <v>2</v>
      </c>
      <c r="Z218" s="4" t="s">
        <v>3</v>
      </c>
      <c r="AA218" s="5" t="s">
        <v>4</v>
      </c>
      <c r="AB218" s="6" t="s">
        <v>5</v>
      </c>
      <c r="AC218" s="7" t="s">
        <v>6</v>
      </c>
      <c r="AD218" s="4" t="s">
        <v>3</v>
      </c>
      <c r="AE218" s="5" t="s">
        <v>4</v>
      </c>
      <c r="AF218" s="6" t="s">
        <v>5</v>
      </c>
      <c r="AG218" s="7" t="s">
        <v>6</v>
      </c>
      <c r="AH218" s="169"/>
    </row>
    <row r="219" spans="1:34" ht="14.25" thickBot="1" x14ac:dyDescent="0.2">
      <c r="A219" s="27" t="s">
        <v>20</v>
      </c>
      <c r="B219" s="38">
        <f>B213</f>
        <v>7</v>
      </c>
      <c r="C219" s="39">
        <f>C213</f>
        <v>4</v>
      </c>
      <c r="D219" s="2">
        <f>D213</f>
        <v>4</v>
      </c>
      <c r="E219" s="36">
        <f>SUM(B219:D219)</f>
        <v>15</v>
      </c>
      <c r="F219" s="38">
        <f>F213</f>
        <v>4</v>
      </c>
      <c r="G219" s="39">
        <f>G213</f>
        <v>4</v>
      </c>
      <c r="H219" s="2">
        <f>H213</f>
        <v>4</v>
      </c>
      <c r="I219" s="36">
        <f>SUM(F219:H219)</f>
        <v>12</v>
      </c>
      <c r="J219" s="36">
        <f>E219+I219</f>
        <v>27</v>
      </c>
      <c r="M219" s="27" t="s">
        <v>20</v>
      </c>
      <c r="N219" s="38">
        <f>N213</f>
        <v>129</v>
      </c>
      <c r="O219" s="39">
        <f>O213</f>
        <v>217</v>
      </c>
      <c r="P219" s="2">
        <f>P213</f>
        <v>125</v>
      </c>
      <c r="Q219" s="36">
        <f>SUM(N219:P219)</f>
        <v>471</v>
      </c>
      <c r="R219" s="38">
        <f>R213</f>
        <v>225</v>
      </c>
      <c r="S219" s="39">
        <f>S213</f>
        <v>349</v>
      </c>
      <c r="T219" s="2">
        <f>T213</f>
        <v>237</v>
      </c>
      <c r="U219" s="36">
        <f>SUM(R219:T219)</f>
        <v>811</v>
      </c>
      <c r="V219" s="36">
        <f>Q219+U219</f>
        <v>1282</v>
      </c>
      <c r="Y219" s="27" t="s">
        <v>20</v>
      </c>
      <c r="Z219" s="38">
        <f>Z213</f>
        <v>0</v>
      </c>
      <c r="AA219" s="39">
        <f>AA213</f>
        <v>0</v>
      </c>
      <c r="AB219" s="2">
        <f>AB213</f>
        <v>0</v>
      </c>
      <c r="AC219" s="36">
        <f>SUM(Z219:AB219)</f>
        <v>0</v>
      </c>
      <c r="AD219" s="38">
        <f>AD213</f>
        <v>0</v>
      </c>
      <c r="AE219" s="39">
        <f>AE213</f>
        <v>0</v>
      </c>
      <c r="AF219" s="2">
        <f>AF213</f>
        <v>0</v>
      </c>
      <c r="AG219" s="36">
        <f>SUM(AD219:AF219)</f>
        <v>0</v>
      </c>
      <c r="AH219" s="36">
        <f>AC219+AG219</f>
        <v>0</v>
      </c>
    </row>
    <row r="220" spans="1:34" x14ac:dyDescent="0.15">
      <c r="A220" s="23" t="s">
        <v>190</v>
      </c>
      <c r="B220" s="42">
        <v>7</v>
      </c>
      <c r="C220" s="43">
        <v>4</v>
      </c>
      <c r="D220" s="44">
        <v>6</v>
      </c>
      <c r="E220" s="48">
        <f>SUM(B220:D220)</f>
        <v>17</v>
      </c>
      <c r="F220" s="60">
        <v>3</v>
      </c>
      <c r="G220" s="43">
        <v>4</v>
      </c>
      <c r="H220" s="61"/>
      <c r="I220" s="48">
        <f>SUM(F220:H220)</f>
        <v>7</v>
      </c>
      <c r="J220" s="48">
        <f>E220+I220</f>
        <v>24</v>
      </c>
      <c r="K220" s="63">
        <v>44124</v>
      </c>
      <c r="M220" s="25" t="s">
        <v>160</v>
      </c>
      <c r="N220" s="42">
        <v>7</v>
      </c>
      <c r="O220" s="43">
        <v>4</v>
      </c>
      <c r="P220" s="44">
        <v>6</v>
      </c>
      <c r="Q220" s="48">
        <f>SUM(N220:P220)</f>
        <v>17</v>
      </c>
      <c r="R220" s="60">
        <v>3</v>
      </c>
      <c r="S220" s="43">
        <v>4</v>
      </c>
      <c r="T220" s="61"/>
      <c r="U220" s="48">
        <f>SUM(R220:T220)</f>
        <v>7</v>
      </c>
      <c r="V220" s="48">
        <f>Q220+U220</f>
        <v>24</v>
      </c>
      <c r="W220" s="140">
        <v>44124</v>
      </c>
      <c r="Y220" s="25" t="s">
        <v>8</v>
      </c>
      <c r="Z220" s="42"/>
      <c r="AA220" s="43"/>
      <c r="AB220" s="44"/>
      <c r="AC220" s="48">
        <f>SUM(Z220:AB220)</f>
        <v>0</v>
      </c>
      <c r="AD220" s="60"/>
      <c r="AE220" s="43"/>
      <c r="AF220" s="61"/>
      <c r="AG220" s="48">
        <f>SUM(AD220:AF220)</f>
        <v>0</v>
      </c>
      <c r="AH220" s="48">
        <f>AC220+AG220</f>
        <v>0</v>
      </c>
    </row>
    <row r="221" spans="1:34" x14ac:dyDescent="0.15">
      <c r="A221" s="25" t="s">
        <v>182</v>
      </c>
      <c r="B221" s="8"/>
      <c r="C221" s="9">
        <v>1</v>
      </c>
      <c r="D221" s="52">
        <v>1</v>
      </c>
      <c r="E221" s="11">
        <f>SUM(B221:D221)</f>
        <v>2</v>
      </c>
      <c r="F221" s="12"/>
      <c r="G221" s="9"/>
      <c r="H221" s="10">
        <v>1</v>
      </c>
      <c r="I221" s="11">
        <f>SUM(F221:H221)</f>
        <v>1</v>
      </c>
      <c r="J221" s="11">
        <f>E221+I221</f>
        <v>3</v>
      </c>
      <c r="K221" s="63">
        <v>44123</v>
      </c>
      <c r="M221" s="25" t="s">
        <v>160</v>
      </c>
      <c r="N221" s="8"/>
      <c r="O221" s="9">
        <v>1</v>
      </c>
      <c r="P221" s="52">
        <v>1</v>
      </c>
      <c r="Q221" s="11">
        <f t="shared" ref="Q221:Q227" si="248">SUM(N221:P221)</f>
        <v>2</v>
      </c>
      <c r="R221" s="12"/>
      <c r="S221" s="9">
        <v>1</v>
      </c>
      <c r="T221" s="10"/>
      <c r="U221" s="11">
        <v>1</v>
      </c>
      <c r="V221" s="11">
        <f t="shared" ref="V221:V227" si="249">Q221+U221</f>
        <v>3</v>
      </c>
      <c r="W221" s="140">
        <v>44135</v>
      </c>
      <c r="Y221" s="25" t="s">
        <v>9</v>
      </c>
      <c r="Z221" s="8"/>
      <c r="AA221" s="9"/>
      <c r="AB221" s="52"/>
      <c r="AC221" s="11">
        <f t="shared" ref="AC221:AC227" si="250">SUM(Z221:AB221)</f>
        <v>0</v>
      </c>
      <c r="AD221" s="12"/>
      <c r="AE221" s="9"/>
      <c r="AF221" s="10"/>
      <c r="AG221" s="11">
        <f t="shared" ref="AG221:AG227" si="251">SUM(AD221:AF221)</f>
        <v>0</v>
      </c>
      <c r="AH221" s="11">
        <f t="shared" ref="AH221:AH227" si="252">AC221+AG221</f>
        <v>0</v>
      </c>
    </row>
    <row r="222" spans="1:34" x14ac:dyDescent="0.15">
      <c r="A222" s="25" t="s">
        <v>10</v>
      </c>
      <c r="B222" s="17"/>
      <c r="C222" s="18">
        <v>3</v>
      </c>
      <c r="D222" s="51"/>
      <c r="E222" s="11">
        <f t="shared" ref="E222:E227" si="253">SUM(B222:D222)</f>
        <v>3</v>
      </c>
      <c r="F222" s="20">
        <v>3</v>
      </c>
      <c r="G222" s="18">
        <v>3</v>
      </c>
      <c r="H222" s="19"/>
      <c r="I222" s="11">
        <f t="shared" ref="I222:I227" si="254">SUM(F222:H222)</f>
        <v>6</v>
      </c>
      <c r="J222" s="11">
        <f t="shared" ref="J222:J227" si="255">E222+I222</f>
        <v>9</v>
      </c>
      <c r="K222" s="63">
        <v>44153</v>
      </c>
      <c r="M222" s="87" t="s">
        <v>204</v>
      </c>
      <c r="N222" s="109">
        <v>-10</v>
      </c>
      <c r="O222" s="110">
        <v>1</v>
      </c>
      <c r="P222" s="111">
        <v>5</v>
      </c>
      <c r="Q222" s="69">
        <f t="shared" si="248"/>
        <v>-4</v>
      </c>
      <c r="R222" s="112">
        <v>1</v>
      </c>
      <c r="S222" s="110">
        <v>-1</v>
      </c>
      <c r="T222" s="113">
        <v>-6</v>
      </c>
      <c r="U222" s="69">
        <f t="shared" ref="U222:U227" si="256">SUM(R222:T222)</f>
        <v>-6</v>
      </c>
      <c r="V222" s="69">
        <f t="shared" si="249"/>
        <v>-10</v>
      </c>
      <c r="W222" s="145">
        <v>44184</v>
      </c>
      <c r="Y222" s="25" t="s">
        <v>10</v>
      </c>
      <c r="Z222" s="17"/>
      <c r="AA222" s="18"/>
      <c r="AB222" s="51"/>
      <c r="AC222" s="11">
        <f t="shared" si="250"/>
        <v>0</v>
      </c>
      <c r="AD222" s="20"/>
      <c r="AE222" s="18"/>
      <c r="AF222" s="19"/>
      <c r="AG222" s="11">
        <f t="shared" si="251"/>
        <v>0</v>
      </c>
      <c r="AH222" s="11">
        <f t="shared" si="252"/>
        <v>0</v>
      </c>
    </row>
    <row r="223" spans="1:34" x14ac:dyDescent="0.15">
      <c r="A223" s="25" t="s">
        <v>194</v>
      </c>
      <c r="B223" s="8">
        <v>1</v>
      </c>
      <c r="C223" s="9"/>
      <c r="D223" s="52"/>
      <c r="E223" s="11">
        <f t="shared" si="253"/>
        <v>1</v>
      </c>
      <c r="F223" s="12"/>
      <c r="G223" s="9"/>
      <c r="H223" s="10"/>
      <c r="I223" s="11">
        <f t="shared" si="254"/>
        <v>0</v>
      </c>
      <c r="J223" s="11">
        <f t="shared" si="255"/>
        <v>1</v>
      </c>
      <c r="K223" s="63">
        <v>44174</v>
      </c>
      <c r="M223" s="25" t="s">
        <v>11</v>
      </c>
      <c r="N223" s="8"/>
      <c r="O223" s="9"/>
      <c r="P223" s="52"/>
      <c r="Q223" s="11">
        <f t="shared" si="248"/>
        <v>0</v>
      </c>
      <c r="R223" s="12"/>
      <c r="S223" s="9"/>
      <c r="T223" s="10"/>
      <c r="U223" s="11">
        <f t="shared" si="256"/>
        <v>0</v>
      </c>
      <c r="V223" s="11">
        <f t="shared" si="249"/>
        <v>0</v>
      </c>
      <c r="W223" s="140"/>
      <c r="Y223" s="25" t="s">
        <v>11</v>
      </c>
      <c r="Z223" s="8"/>
      <c r="AA223" s="9"/>
      <c r="AB223" s="52"/>
      <c r="AC223" s="11">
        <f t="shared" si="250"/>
        <v>0</v>
      </c>
      <c r="AD223" s="12"/>
      <c r="AE223" s="9"/>
      <c r="AF223" s="10"/>
      <c r="AG223" s="11">
        <f t="shared" si="251"/>
        <v>0</v>
      </c>
      <c r="AH223" s="11">
        <f t="shared" si="252"/>
        <v>0</v>
      </c>
    </row>
    <row r="224" spans="1:34" x14ac:dyDescent="0.15">
      <c r="A224" s="25" t="s">
        <v>195</v>
      </c>
      <c r="B224" s="8"/>
      <c r="C224" s="9"/>
      <c r="D224" s="52"/>
      <c r="E224" s="11">
        <f t="shared" si="253"/>
        <v>0</v>
      </c>
      <c r="F224" s="12">
        <v>1</v>
      </c>
      <c r="G224" s="9"/>
      <c r="H224" s="10"/>
      <c r="I224" s="11">
        <f t="shared" si="254"/>
        <v>1</v>
      </c>
      <c r="J224" s="11">
        <f t="shared" si="255"/>
        <v>1</v>
      </c>
      <c r="K224" s="63">
        <v>44188</v>
      </c>
      <c r="L224" s="82"/>
      <c r="M224" s="25" t="s">
        <v>12</v>
      </c>
      <c r="N224" s="8"/>
      <c r="O224" s="9"/>
      <c r="P224" s="52"/>
      <c r="Q224" s="11">
        <f t="shared" si="248"/>
        <v>0</v>
      </c>
      <c r="R224" s="12"/>
      <c r="S224" s="9"/>
      <c r="T224" s="10"/>
      <c r="U224" s="11">
        <f t="shared" si="256"/>
        <v>0</v>
      </c>
      <c r="V224" s="11">
        <f t="shared" si="249"/>
        <v>0</v>
      </c>
      <c r="W224" s="144"/>
      <c r="Y224" s="25" t="s">
        <v>12</v>
      </c>
      <c r="Z224" s="8"/>
      <c r="AA224" s="9"/>
      <c r="AB224" s="52"/>
      <c r="AC224" s="11">
        <f t="shared" si="250"/>
        <v>0</v>
      </c>
      <c r="AD224" s="12"/>
      <c r="AE224" s="9"/>
      <c r="AF224" s="10"/>
      <c r="AG224" s="11">
        <f t="shared" si="251"/>
        <v>0</v>
      </c>
      <c r="AH224" s="11">
        <f t="shared" si="252"/>
        <v>0</v>
      </c>
    </row>
    <row r="225" spans="1:34" x14ac:dyDescent="0.15">
      <c r="A225" s="25" t="s">
        <v>13</v>
      </c>
      <c r="B225" s="8"/>
      <c r="C225" s="9"/>
      <c r="D225" s="52">
        <v>3</v>
      </c>
      <c r="E225" s="11">
        <f t="shared" si="253"/>
        <v>3</v>
      </c>
      <c r="F225" s="12"/>
      <c r="G225" s="9"/>
      <c r="H225" s="10">
        <v>3</v>
      </c>
      <c r="I225" s="11">
        <f t="shared" si="254"/>
        <v>3</v>
      </c>
      <c r="J225" s="11">
        <f t="shared" si="255"/>
        <v>6</v>
      </c>
      <c r="K225" s="63">
        <v>44223</v>
      </c>
      <c r="M225" s="25" t="s">
        <v>13</v>
      </c>
      <c r="N225" s="8"/>
      <c r="O225" s="9"/>
      <c r="P225" s="52"/>
      <c r="Q225" s="11">
        <f t="shared" si="248"/>
        <v>0</v>
      </c>
      <c r="R225" s="12"/>
      <c r="S225" s="9"/>
      <c r="T225" s="10"/>
      <c r="U225" s="11">
        <f t="shared" si="256"/>
        <v>0</v>
      </c>
      <c r="V225" s="11">
        <f t="shared" si="249"/>
        <v>0</v>
      </c>
      <c r="W225" s="140"/>
      <c r="Y225" s="25" t="s">
        <v>13</v>
      </c>
      <c r="Z225" s="8"/>
      <c r="AA225" s="9"/>
      <c r="AB225" s="52"/>
      <c r="AC225" s="11">
        <f t="shared" si="250"/>
        <v>0</v>
      </c>
      <c r="AD225" s="12"/>
      <c r="AE225" s="9"/>
      <c r="AF225" s="10"/>
      <c r="AG225" s="11">
        <f t="shared" si="251"/>
        <v>0</v>
      </c>
      <c r="AH225" s="11">
        <f t="shared" si="252"/>
        <v>0</v>
      </c>
    </row>
    <row r="226" spans="1:34" x14ac:dyDescent="0.15">
      <c r="A226" s="25" t="s">
        <v>14</v>
      </c>
      <c r="B226" s="13">
        <v>3</v>
      </c>
      <c r="C226" s="14">
        <v>5</v>
      </c>
      <c r="D226" s="53"/>
      <c r="E226" s="11">
        <f t="shared" si="253"/>
        <v>8</v>
      </c>
      <c r="F226" s="16">
        <v>3</v>
      </c>
      <c r="G226" s="14">
        <v>5</v>
      </c>
      <c r="H226" s="15"/>
      <c r="I226" s="11">
        <f t="shared" si="254"/>
        <v>8</v>
      </c>
      <c r="J226" s="11">
        <f t="shared" si="255"/>
        <v>16</v>
      </c>
      <c r="K226" s="63">
        <v>44239</v>
      </c>
      <c r="M226" s="25" t="s">
        <v>14</v>
      </c>
      <c r="N226" s="17"/>
      <c r="O226" s="18"/>
      <c r="P226" s="51"/>
      <c r="Q226" s="11">
        <f t="shared" si="248"/>
        <v>0</v>
      </c>
      <c r="R226" s="20"/>
      <c r="S226" s="18"/>
      <c r="T226" s="19"/>
      <c r="U226" s="11">
        <f t="shared" si="256"/>
        <v>0</v>
      </c>
      <c r="V226" s="11">
        <f t="shared" si="249"/>
        <v>0</v>
      </c>
      <c r="W226" s="142"/>
      <c r="Y226" s="25" t="s">
        <v>14</v>
      </c>
      <c r="Z226" s="13"/>
      <c r="AA226" s="14"/>
      <c r="AB226" s="53"/>
      <c r="AC226" s="11">
        <f t="shared" si="250"/>
        <v>0</v>
      </c>
      <c r="AD226" s="16"/>
      <c r="AE226" s="14"/>
      <c r="AF226" s="15"/>
      <c r="AG226" s="11">
        <f t="shared" si="251"/>
        <v>0</v>
      </c>
      <c r="AH226" s="11">
        <f t="shared" si="252"/>
        <v>0</v>
      </c>
    </row>
    <row r="227" spans="1:34" ht="14.25" thickBot="1" x14ac:dyDescent="0.2">
      <c r="A227" s="25" t="s">
        <v>15</v>
      </c>
      <c r="B227" s="13"/>
      <c r="C227" s="14"/>
      <c r="D227" s="53"/>
      <c r="E227" s="62">
        <f t="shared" si="253"/>
        <v>0</v>
      </c>
      <c r="F227" s="34"/>
      <c r="G227" s="34">
        <v>5</v>
      </c>
      <c r="H227" s="37">
        <v>5</v>
      </c>
      <c r="I227" s="62">
        <f t="shared" si="254"/>
        <v>10</v>
      </c>
      <c r="J227" s="21">
        <f t="shared" si="255"/>
        <v>10</v>
      </c>
      <c r="K227" s="63">
        <v>44271</v>
      </c>
      <c r="M227" s="25" t="s">
        <v>15</v>
      </c>
      <c r="N227" s="13"/>
      <c r="O227" s="14"/>
      <c r="P227" s="53"/>
      <c r="Q227" s="62">
        <f t="shared" si="248"/>
        <v>0</v>
      </c>
      <c r="R227" s="34"/>
      <c r="S227" s="34"/>
      <c r="T227" s="37"/>
      <c r="U227" s="62">
        <f t="shared" si="256"/>
        <v>0</v>
      </c>
      <c r="V227" s="21">
        <f t="shared" si="249"/>
        <v>0</v>
      </c>
      <c r="Y227" s="25" t="s">
        <v>15</v>
      </c>
      <c r="Z227" s="13"/>
      <c r="AA227" s="14"/>
      <c r="AB227" s="53"/>
      <c r="AC227" s="62">
        <f t="shared" si="250"/>
        <v>0</v>
      </c>
      <c r="AD227" s="34"/>
      <c r="AE227" s="34"/>
      <c r="AF227" s="37"/>
      <c r="AG227" s="62">
        <f t="shared" si="251"/>
        <v>0</v>
      </c>
      <c r="AH227" s="21">
        <f t="shared" si="252"/>
        <v>0</v>
      </c>
    </row>
    <row r="228" spans="1:34" ht="14.25" thickBot="1" x14ac:dyDescent="0.2">
      <c r="A228" s="35" t="s">
        <v>16</v>
      </c>
      <c r="B228" s="28">
        <f>SUM(B219:B227)</f>
        <v>18</v>
      </c>
      <c r="C228" s="29">
        <f t="shared" ref="C228:D228" si="257">SUM(C219:C227)</f>
        <v>17</v>
      </c>
      <c r="D228" s="68">
        <f t="shared" si="257"/>
        <v>14</v>
      </c>
      <c r="E228" s="64">
        <f>SUM(B228:D228)</f>
        <v>49</v>
      </c>
      <c r="F228" s="28">
        <f>SUM(F219:F227)</f>
        <v>14</v>
      </c>
      <c r="G228" s="29">
        <f t="shared" ref="G228:H228" si="258">SUM(G219:G227)</f>
        <v>21</v>
      </c>
      <c r="H228" s="68">
        <f t="shared" si="258"/>
        <v>13</v>
      </c>
      <c r="I228" s="64">
        <f>SUM(F228:H228)</f>
        <v>48</v>
      </c>
      <c r="J228" s="31">
        <f>SUM(J220:J227)</f>
        <v>70</v>
      </c>
      <c r="M228" s="35" t="s">
        <v>16</v>
      </c>
      <c r="N228" s="28">
        <f>SUM(N219:N227)</f>
        <v>126</v>
      </c>
      <c r="O228" s="29">
        <f t="shared" ref="O228:P228" si="259">SUM(O219:O227)</f>
        <v>223</v>
      </c>
      <c r="P228" s="68">
        <f t="shared" si="259"/>
        <v>137</v>
      </c>
      <c r="Q228" s="64">
        <f>SUM(N228:P228)</f>
        <v>486</v>
      </c>
      <c r="R228" s="28">
        <f>SUM(R219:R227)</f>
        <v>229</v>
      </c>
      <c r="S228" s="29">
        <f t="shared" ref="S228:T228" si="260">SUM(S219:S227)</f>
        <v>353</v>
      </c>
      <c r="T228" s="68">
        <f t="shared" si="260"/>
        <v>231</v>
      </c>
      <c r="U228" s="64">
        <f>SUM(R228:T228)</f>
        <v>813</v>
      </c>
      <c r="V228" s="31">
        <f>Q228+U228</f>
        <v>1299</v>
      </c>
      <c r="Y228" s="35" t="s">
        <v>16</v>
      </c>
      <c r="Z228" s="28">
        <f>SUM(Z219:Z227)</f>
        <v>0</v>
      </c>
      <c r="AA228" s="29">
        <f t="shared" ref="AA228:AB228" si="261">SUM(AA219:AA227)</f>
        <v>0</v>
      </c>
      <c r="AB228" s="68">
        <f t="shared" si="261"/>
        <v>0</v>
      </c>
      <c r="AC228" s="64">
        <f>SUM(Z228:AB228)</f>
        <v>0</v>
      </c>
      <c r="AD228" s="28">
        <f>SUM(AD219:AD227)</f>
        <v>0</v>
      </c>
      <c r="AE228" s="29">
        <f t="shared" ref="AE228:AF228" si="262">SUM(AE219:AE227)</f>
        <v>0</v>
      </c>
      <c r="AF228" s="68">
        <f t="shared" si="262"/>
        <v>0</v>
      </c>
      <c r="AG228" s="64">
        <f>SUM(AD228:AF228)</f>
        <v>0</v>
      </c>
      <c r="AH228" s="31">
        <f>AC228+AG228</f>
        <v>0</v>
      </c>
    </row>
    <row r="229" spans="1:34" x14ac:dyDescent="0.15">
      <c r="A229" s="25" t="s">
        <v>33</v>
      </c>
      <c r="B229" s="65"/>
      <c r="C229" s="66"/>
      <c r="D229" s="67"/>
      <c r="E229" s="49">
        <f>SUM(B229:D229)</f>
        <v>0</v>
      </c>
      <c r="F229" s="16">
        <v>2</v>
      </c>
      <c r="G229" s="14">
        <v>2</v>
      </c>
      <c r="H229" s="15"/>
      <c r="I229" s="49">
        <f>SUM(F229:H229)</f>
        <v>4</v>
      </c>
      <c r="J229" s="11">
        <f>E229+I229</f>
        <v>4</v>
      </c>
      <c r="K229" s="63">
        <v>44124</v>
      </c>
      <c r="M229" s="26" t="s">
        <v>193</v>
      </c>
      <c r="N229" s="65"/>
      <c r="O229" s="66">
        <v>3</v>
      </c>
      <c r="P229" s="67"/>
      <c r="Q229" s="49">
        <f t="shared" ref="Q229:Q255" si="263">SUM(N229:P229)</f>
        <v>3</v>
      </c>
      <c r="R229" s="16">
        <v>3</v>
      </c>
      <c r="S229" s="14">
        <v>3</v>
      </c>
      <c r="T229" s="15"/>
      <c r="U229" s="49">
        <f t="shared" ref="U229:U255" si="264">SUM(R229:T229)</f>
        <v>6</v>
      </c>
      <c r="V229" s="11">
        <f t="shared" ref="V229:V254" si="265">Q229+U229</f>
        <v>9</v>
      </c>
      <c r="W229" s="140">
        <v>44153</v>
      </c>
      <c r="Y229" s="26"/>
      <c r="Z229" s="8"/>
      <c r="AA229" s="9"/>
      <c r="AB229" s="52"/>
      <c r="AC229" s="11">
        <f t="shared" ref="AC229:AC255" si="266">SUM(Z229:AB229)</f>
        <v>0</v>
      </c>
      <c r="AD229" s="12"/>
      <c r="AE229" s="9"/>
      <c r="AF229" s="10"/>
      <c r="AG229" s="11">
        <f t="shared" ref="AG229:AG255" si="267">SUM(AD229:AF229)</f>
        <v>0</v>
      </c>
      <c r="AH229" s="11">
        <f t="shared" ref="AH229:AH254" si="268">AC229+AG229</f>
        <v>0</v>
      </c>
    </row>
    <row r="230" spans="1:34" x14ac:dyDescent="0.15">
      <c r="A230" s="23" t="s">
        <v>191</v>
      </c>
      <c r="B230" s="8">
        <v>7</v>
      </c>
      <c r="C230" s="9">
        <v>4</v>
      </c>
      <c r="D230" s="10">
        <v>6</v>
      </c>
      <c r="E230" s="49">
        <f t="shared" ref="E230:E255" si="269">SUM(B230:D230)</f>
        <v>17</v>
      </c>
      <c r="F230" s="12">
        <v>3</v>
      </c>
      <c r="G230" s="9">
        <v>4</v>
      </c>
      <c r="H230" s="10"/>
      <c r="I230" s="49">
        <f t="shared" ref="I230:I255" si="270">SUM(F230:H230)</f>
        <v>7</v>
      </c>
      <c r="J230" s="11">
        <f t="shared" ref="J230:J254" si="271">E230+I230</f>
        <v>24</v>
      </c>
      <c r="K230" s="63">
        <v>44124</v>
      </c>
      <c r="M230" s="26" t="s">
        <v>28</v>
      </c>
      <c r="N230" s="8"/>
      <c r="O230" s="9"/>
      <c r="P230" s="52">
        <v>3</v>
      </c>
      <c r="Q230" s="11">
        <f t="shared" si="263"/>
        <v>3</v>
      </c>
      <c r="R230" s="12"/>
      <c r="S230" s="9"/>
      <c r="T230" s="10">
        <v>3</v>
      </c>
      <c r="U230" s="11">
        <f t="shared" si="264"/>
        <v>3</v>
      </c>
      <c r="V230" s="11">
        <f t="shared" si="265"/>
        <v>6</v>
      </c>
      <c r="W230" s="140">
        <v>44223</v>
      </c>
      <c r="Y230" s="26"/>
      <c r="Z230" s="17"/>
      <c r="AA230" s="18"/>
      <c r="AB230" s="51"/>
      <c r="AC230" s="11">
        <f t="shared" si="266"/>
        <v>0</v>
      </c>
      <c r="AD230" s="20"/>
      <c r="AE230" s="18"/>
      <c r="AF230" s="19"/>
      <c r="AG230" s="11">
        <f t="shared" si="267"/>
        <v>0</v>
      </c>
      <c r="AH230" s="11">
        <f t="shared" si="268"/>
        <v>0</v>
      </c>
    </row>
    <row r="231" spans="1:34" x14ac:dyDescent="0.15">
      <c r="A231" s="25" t="s">
        <v>33</v>
      </c>
      <c r="B231" s="8"/>
      <c r="C231" s="9">
        <v>1</v>
      </c>
      <c r="D231" s="10"/>
      <c r="E231" s="49">
        <f t="shared" si="269"/>
        <v>1</v>
      </c>
      <c r="F231" s="12"/>
      <c r="G231" s="9"/>
      <c r="H231" s="10"/>
      <c r="I231" s="49">
        <f t="shared" si="270"/>
        <v>0</v>
      </c>
      <c r="J231" s="11">
        <f t="shared" si="271"/>
        <v>1</v>
      </c>
      <c r="K231" s="63">
        <v>44130</v>
      </c>
      <c r="M231" s="26" t="s">
        <v>28</v>
      </c>
      <c r="N231" s="8">
        <v>3</v>
      </c>
      <c r="O231" s="9">
        <v>5</v>
      </c>
      <c r="P231" s="10"/>
      <c r="Q231" s="49">
        <f t="shared" si="263"/>
        <v>8</v>
      </c>
      <c r="R231" s="12">
        <v>3</v>
      </c>
      <c r="S231" s="9">
        <v>5</v>
      </c>
      <c r="T231" s="10"/>
      <c r="U231" s="49">
        <f t="shared" si="264"/>
        <v>8</v>
      </c>
      <c r="V231" s="11">
        <f t="shared" si="265"/>
        <v>16</v>
      </c>
      <c r="W231" s="140">
        <v>44239</v>
      </c>
      <c r="X231" s="82"/>
      <c r="Y231" s="26"/>
      <c r="Z231" s="8"/>
      <c r="AA231" s="9"/>
      <c r="AB231" s="52"/>
      <c r="AC231" s="11">
        <f t="shared" si="266"/>
        <v>0</v>
      </c>
      <c r="AD231" s="12"/>
      <c r="AE231" s="9"/>
      <c r="AF231" s="10"/>
      <c r="AG231" s="11">
        <f t="shared" si="267"/>
        <v>0</v>
      </c>
      <c r="AH231" s="11">
        <f t="shared" si="268"/>
        <v>0</v>
      </c>
    </row>
    <row r="232" spans="1:34" x14ac:dyDescent="0.15">
      <c r="A232" s="23" t="s">
        <v>74</v>
      </c>
      <c r="B232" s="8"/>
      <c r="C232" s="9">
        <v>1</v>
      </c>
      <c r="D232" s="10">
        <v>1</v>
      </c>
      <c r="E232" s="49">
        <f t="shared" si="269"/>
        <v>2</v>
      </c>
      <c r="F232" s="12"/>
      <c r="G232" s="9"/>
      <c r="H232" s="10">
        <v>1</v>
      </c>
      <c r="I232" s="49">
        <f t="shared" si="270"/>
        <v>1</v>
      </c>
      <c r="J232" s="11">
        <f t="shared" si="271"/>
        <v>3</v>
      </c>
      <c r="K232" s="63">
        <v>44135</v>
      </c>
      <c r="L232" s="82"/>
      <c r="M232" s="26" t="s">
        <v>28</v>
      </c>
      <c r="N232" s="8"/>
      <c r="O232" s="9"/>
      <c r="P232" s="10"/>
      <c r="Q232" s="49">
        <f t="shared" si="263"/>
        <v>0</v>
      </c>
      <c r="R232" s="12"/>
      <c r="S232" s="9">
        <v>5</v>
      </c>
      <c r="T232" s="10">
        <v>5</v>
      </c>
      <c r="U232" s="49">
        <f t="shared" si="264"/>
        <v>10</v>
      </c>
      <c r="V232" s="11">
        <f t="shared" si="265"/>
        <v>10</v>
      </c>
      <c r="W232" s="140">
        <v>44271</v>
      </c>
      <c r="X232" s="82"/>
      <c r="Y232" s="26"/>
      <c r="Z232" s="8"/>
      <c r="AA232" s="9"/>
      <c r="AB232" s="52"/>
      <c r="AC232" s="11">
        <f t="shared" si="266"/>
        <v>0</v>
      </c>
      <c r="AD232" s="12"/>
      <c r="AE232" s="9"/>
      <c r="AF232" s="10"/>
      <c r="AG232" s="11">
        <f t="shared" si="267"/>
        <v>0</v>
      </c>
      <c r="AH232" s="11">
        <f t="shared" si="268"/>
        <v>0</v>
      </c>
    </row>
    <row r="233" spans="1:34" x14ac:dyDescent="0.15">
      <c r="A233" s="25" t="s">
        <v>33</v>
      </c>
      <c r="B233" s="8"/>
      <c r="C233" s="9">
        <v>1</v>
      </c>
      <c r="D233" s="10"/>
      <c r="E233" s="49">
        <f t="shared" si="269"/>
        <v>1</v>
      </c>
      <c r="F233" s="12"/>
      <c r="G233" s="9">
        <v>1</v>
      </c>
      <c r="H233" s="10"/>
      <c r="I233" s="49">
        <f t="shared" si="270"/>
        <v>1</v>
      </c>
      <c r="J233" s="11">
        <f t="shared" si="271"/>
        <v>2</v>
      </c>
      <c r="K233" s="63">
        <v>44140</v>
      </c>
      <c r="L233" s="82"/>
      <c r="M233" s="26"/>
      <c r="N233" s="8"/>
      <c r="O233" s="9"/>
      <c r="P233" s="10"/>
      <c r="Q233" s="49">
        <f t="shared" si="263"/>
        <v>0</v>
      </c>
      <c r="R233" s="12"/>
      <c r="S233" s="9"/>
      <c r="T233" s="10"/>
      <c r="U233" s="49">
        <f t="shared" si="264"/>
        <v>0</v>
      </c>
      <c r="V233" s="11">
        <f t="shared" si="265"/>
        <v>0</v>
      </c>
      <c r="W233" s="140"/>
      <c r="Y233" s="26"/>
      <c r="Z233" s="8"/>
      <c r="AA233" s="9"/>
      <c r="AB233" s="10"/>
      <c r="AC233" s="49">
        <f t="shared" si="266"/>
        <v>0</v>
      </c>
      <c r="AD233" s="12"/>
      <c r="AE233" s="9"/>
      <c r="AF233" s="10"/>
      <c r="AG233" s="49">
        <f t="shared" si="267"/>
        <v>0</v>
      </c>
      <c r="AH233" s="11">
        <f t="shared" si="268"/>
        <v>0</v>
      </c>
    </row>
    <row r="234" spans="1:34" x14ac:dyDescent="0.15">
      <c r="A234" s="25" t="s">
        <v>33</v>
      </c>
      <c r="B234" s="8">
        <v>1</v>
      </c>
      <c r="C234" s="9"/>
      <c r="D234" s="10"/>
      <c r="E234" s="49">
        <f t="shared" si="269"/>
        <v>1</v>
      </c>
      <c r="F234" s="12"/>
      <c r="G234" s="9"/>
      <c r="H234" s="10">
        <v>1</v>
      </c>
      <c r="I234" s="49">
        <f t="shared" si="270"/>
        <v>1</v>
      </c>
      <c r="J234" s="11">
        <f t="shared" si="271"/>
        <v>2</v>
      </c>
      <c r="K234" s="63">
        <v>44146</v>
      </c>
      <c r="M234" s="26"/>
      <c r="N234" s="8"/>
      <c r="O234" s="9"/>
      <c r="P234" s="10"/>
      <c r="Q234" s="49">
        <f t="shared" si="263"/>
        <v>0</v>
      </c>
      <c r="R234" s="12"/>
      <c r="S234" s="9"/>
      <c r="T234" s="10"/>
      <c r="U234" s="49">
        <f t="shared" si="264"/>
        <v>0</v>
      </c>
      <c r="V234" s="11">
        <f t="shared" si="265"/>
        <v>0</v>
      </c>
      <c r="W234" s="140"/>
      <c r="Y234" s="26"/>
      <c r="Z234" s="8"/>
      <c r="AA234" s="9"/>
      <c r="AB234" s="10"/>
      <c r="AC234" s="49">
        <f t="shared" si="266"/>
        <v>0</v>
      </c>
      <c r="AD234" s="12"/>
      <c r="AE234" s="9"/>
      <c r="AF234" s="10"/>
      <c r="AG234" s="49">
        <f t="shared" si="267"/>
        <v>0</v>
      </c>
      <c r="AH234" s="11">
        <f t="shared" si="268"/>
        <v>0</v>
      </c>
    </row>
    <row r="235" spans="1:34" ht="14.25" x14ac:dyDescent="0.15">
      <c r="A235" s="25" t="s">
        <v>33</v>
      </c>
      <c r="B235" s="8">
        <v>1</v>
      </c>
      <c r="C235" s="9"/>
      <c r="D235" s="10"/>
      <c r="E235" s="49">
        <f t="shared" si="269"/>
        <v>1</v>
      </c>
      <c r="F235" s="12">
        <v>1</v>
      </c>
      <c r="G235" s="9"/>
      <c r="H235" s="10"/>
      <c r="I235" s="49">
        <f t="shared" si="270"/>
        <v>1</v>
      </c>
      <c r="J235" s="11">
        <f t="shared" si="271"/>
        <v>2</v>
      </c>
      <c r="K235" s="63">
        <v>44152</v>
      </c>
      <c r="M235" s="26"/>
      <c r="N235" s="8"/>
      <c r="O235" s="9"/>
      <c r="P235" s="10"/>
      <c r="Q235" s="49">
        <f t="shared" si="263"/>
        <v>0</v>
      </c>
      <c r="R235" s="12"/>
      <c r="S235" s="9"/>
      <c r="T235" s="10"/>
      <c r="U235" s="49">
        <f t="shared" si="264"/>
        <v>0</v>
      </c>
      <c r="V235" s="11">
        <f t="shared" si="265"/>
        <v>0</v>
      </c>
      <c r="W235" s="143"/>
      <c r="Y235" s="24"/>
      <c r="Z235" s="8"/>
      <c r="AA235" s="9"/>
      <c r="AB235" s="10"/>
      <c r="AC235" s="49">
        <f t="shared" si="266"/>
        <v>0</v>
      </c>
      <c r="AD235" s="12"/>
      <c r="AE235" s="9"/>
      <c r="AF235" s="10"/>
      <c r="AG235" s="49">
        <f t="shared" si="267"/>
        <v>0</v>
      </c>
      <c r="AH235" s="11">
        <f t="shared" si="268"/>
        <v>0</v>
      </c>
    </row>
    <row r="236" spans="1:34" ht="14.25" x14ac:dyDescent="0.15">
      <c r="A236" s="25" t="s">
        <v>33</v>
      </c>
      <c r="B236" s="8"/>
      <c r="C236" s="9">
        <v>1</v>
      </c>
      <c r="D236" s="10"/>
      <c r="E236" s="49">
        <f t="shared" si="269"/>
        <v>1</v>
      </c>
      <c r="F236" s="12"/>
      <c r="G236" s="9">
        <v>1</v>
      </c>
      <c r="H236" s="10"/>
      <c r="I236" s="49">
        <f t="shared" si="270"/>
        <v>1</v>
      </c>
      <c r="J236" s="11">
        <f t="shared" si="271"/>
        <v>2</v>
      </c>
      <c r="K236" s="73">
        <v>44172</v>
      </c>
      <c r="M236" s="23"/>
      <c r="N236" s="8"/>
      <c r="O236" s="9"/>
      <c r="P236" s="10"/>
      <c r="Q236" s="49">
        <f t="shared" si="263"/>
        <v>0</v>
      </c>
      <c r="R236" s="12"/>
      <c r="S236" s="9"/>
      <c r="T236" s="10"/>
      <c r="U236" s="49">
        <f t="shared" si="264"/>
        <v>0</v>
      </c>
      <c r="V236" s="11">
        <f t="shared" si="265"/>
        <v>0</v>
      </c>
      <c r="W236" s="140"/>
      <c r="Y236" s="26"/>
      <c r="Z236" s="8"/>
      <c r="AA236" s="9"/>
      <c r="AB236" s="10"/>
      <c r="AC236" s="49">
        <f t="shared" si="266"/>
        <v>0</v>
      </c>
      <c r="AD236" s="12"/>
      <c r="AE236" s="9"/>
      <c r="AF236" s="10"/>
      <c r="AG236" s="49">
        <f t="shared" si="267"/>
        <v>0</v>
      </c>
      <c r="AH236" s="11">
        <f t="shared" si="268"/>
        <v>0</v>
      </c>
    </row>
    <row r="237" spans="1:34" x14ac:dyDescent="0.15">
      <c r="A237" s="25" t="s">
        <v>33</v>
      </c>
      <c r="B237" s="8">
        <v>1</v>
      </c>
      <c r="C237" s="9"/>
      <c r="D237" s="10"/>
      <c r="E237" s="49">
        <f t="shared" si="269"/>
        <v>1</v>
      </c>
      <c r="F237" s="12"/>
      <c r="G237" s="9"/>
      <c r="H237" s="10"/>
      <c r="I237" s="49">
        <f t="shared" si="270"/>
        <v>0</v>
      </c>
      <c r="J237" s="11">
        <f t="shared" si="271"/>
        <v>1</v>
      </c>
      <c r="K237" s="63">
        <v>44190</v>
      </c>
      <c r="M237" s="26"/>
      <c r="N237" s="8"/>
      <c r="O237" s="9"/>
      <c r="P237" s="10"/>
      <c r="Q237" s="49">
        <f t="shared" si="263"/>
        <v>0</v>
      </c>
      <c r="R237" s="12"/>
      <c r="S237" s="9"/>
      <c r="T237" s="10"/>
      <c r="U237" s="49">
        <f t="shared" si="264"/>
        <v>0</v>
      </c>
      <c r="V237" s="11">
        <f t="shared" si="265"/>
        <v>0</v>
      </c>
      <c r="W237" s="140"/>
      <c r="X237" s="82"/>
      <c r="Y237" s="26"/>
      <c r="Z237" s="8"/>
      <c r="AA237" s="9"/>
      <c r="AB237" s="10"/>
      <c r="AC237" s="49">
        <f t="shared" si="266"/>
        <v>0</v>
      </c>
      <c r="AD237" s="12"/>
      <c r="AE237" s="9"/>
      <c r="AF237" s="10"/>
      <c r="AG237" s="49">
        <f t="shared" si="267"/>
        <v>0</v>
      </c>
      <c r="AH237" s="11">
        <f t="shared" si="268"/>
        <v>0</v>
      </c>
    </row>
    <row r="238" spans="1:34" x14ac:dyDescent="0.15">
      <c r="A238" s="25" t="s">
        <v>33</v>
      </c>
      <c r="B238" s="13"/>
      <c r="C238" s="14"/>
      <c r="D238" s="15"/>
      <c r="E238" s="49">
        <f t="shared" si="269"/>
        <v>0</v>
      </c>
      <c r="F238" s="16"/>
      <c r="G238" s="14"/>
      <c r="H238" s="15">
        <v>1</v>
      </c>
      <c r="I238" s="49">
        <f t="shared" si="270"/>
        <v>1</v>
      </c>
      <c r="J238" s="11">
        <f t="shared" si="271"/>
        <v>1</v>
      </c>
      <c r="K238" s="63">
        <v>44201</v>
      </c>
      <c r="M238" s="26"/>
      <c r="N238" s="13"/>
      <c r="O238" s="14"/>
      <c r="P238" s="15"/>
      <c r="Q238" s="49">
        <f t="shared" si="263"/>
        <v>0</v>
      </c>
      <c r="R238" s="16"/>
      <c r="S238" s="14"/>
      <c r="T238" s="15"/>
      <c r="U238" s="49">
        <f t="shared" si="264"/>
        <v>0</v>
      </c>
      <c r="V238" s="11">
        <f t="shared" si="265"/>
        <v>0</v>
      </c>
      <c r="W238" s="140"/>
      <c r="Y238" s="26"/>
      <c r="Z238" s="13"/>
      <c r="AA238" s="14"/>
      <c r="AB238" s="15"/>
      <c r="AC238" s="49">
        <f t="shared" si="266"/>
        <v>0</v>
      </c>
      <c r="AD238" s="16"/>
      <c r="AE238" s="14"/>
      <c r="AF238" s="15"/>
      <c r="AG238" s="49">
        <f t="shared" si="267"/>
        <v>0</v>
      </c>
      <c r="AH238" s="11">
        <f t="shared" si="268"/>
        <v>0</v>
      </c>
    </row>
    <row r="239" spans="1:34" x14ac:dyDescent="0.15">
      <c r="A239" s="23" t="s">
        <v>198</v>
      </c>
      <c r="B239" s="8"/>
      <c r="C239" s="9">
        <v>1</v>
      </c>
      <c r="D239" s="10"/>
      <c r="E239" s="49">
        <f t="shared" si="269"/>
        <v>1</v>
      </c>
      <c r="F239" s="12"/>
      <c r="G239" s="9"/>
      <c r="H239" s="10"/>
      <c r="I239" s="49">
        <f t="shared" si="270"/>
        <v>0</v>
      </c>
      <c r="J239" s="11">
        <f t="shared" si="271"/>
        <v>1</v>
      </c>
      <c r="K239" s="63">
        <v>44204</v>
      </c>
      <c r="M239" s="26"/>
      <c r="N239" s="8"/>
      <c r="O239" s="9"/>
      <c r="P239" s="10"/>
      <c r="Q239" s="49">
        <f t="shared" si="263"/>
        <v>0</v>
      </c>
      <c r="R239" s="12"/>
      <c r="S239" s="9"/>
      <c r="T239" s="10"/>
      <c r="U239" s="49">
        <f t="shared" si="264"/>
        <v>0</v>
      </c>
      <c r="V239" s="11">
        <f t="shared" si="265"/>
        <v>0</v>
      </c>
      <c r="W239" s="140"/>
      <c r="Y239" s="26"/>
      <c r="Z239" s="8"/>
      <c r="AA239" s="9"/>
      <c r="AB239" s="10"/>
      <c r="AC239" s="49">
        <f t="shared" si="266"/>
        <v>0</v>
      </c>
      <c r="AD239" s="12"/>
      <c r="AE239" s="9"/>
      <c r="AF239" s="10"/>
      <c r="AG239" s="49">
        <f t="shared" si="267"/>
        <v>0</v>
      </c>
      <c r="AH239" s="11">
        <f t="shared" si="268"/>
        <v>0</v>
      </c>
    </row>
    <row r="240" spans="1:34" x14ac:dyDescent="0.15">
      <c r="A240" s="25" t="s">
        <v>33</v>
      </c>
      <c r="B240" s="8"/>
      <c r="C240" s="9"/>
      <c r="D240" s="10">
        <v>1</v>
      </c>
      <c r="E240" s="49">
        <f t="shared" si="269"/>
        <v>1</v>
      </c>
      <c r="F240" s="12"/>
      <c r="G240" s="9"/>
      <c r="H240" s="10"/>
      <c r="I240" s="49">
        <f t="shared" si="270"/>
        <v>0</v>
      </c>
      <c r="J240" s="11">
        <f t="shared" si="271"/>
        <v>1</v>
      </c>
      <c r="K240" s="63">
        <v>44211</v>
      </c>
      <c r="M240" s="102"/>
      <c r="N240" s="8"/>
      <c r="O240" s="9"/>
      <c r="P240" s="10"/>
      <c r="Q240" s="49">
        <f t="shared" si="263"/>
        <v>0</v>
      </c>
      <c r="R240" s="12"/>
      <c r="S240" s="9"/>
      <c r="T240" s="10"/>
      <c r="U240" s="49">
        <f t="shared" si="264"/>
        <v>0</v>
      </c>
      <c r="V240" s="11">
        <f t="shared" si="265"/>
        <v>0</v>
      </c>
      <c r="W240" s="140"/>
      <c r="Y240" s="26"/>
      <c r="Z240" s="8"/>
      <c r="AA240" s="9"/>
      <c r="AB240" s="10"/>
      <c r="AC240" s="49">
        <f t="shared" si="266"/>
        <v>0</v>
      </c>
      <c r="AD240" s="12"/>
      <c r="AE240" s="9"/>
      <c r="AF240" s="10"/>
      <c r="AG240" s="49">
        <f t="shared" si="267"/>
        <v>0</v>
      </c>
      <c r="AH240" s="11">
        <f t="shared" si="268"/>
        <v>0</v>
      </c>
    </row>
    <row r="241" spans="1:34" x14ac:dyDescent="0.15">
      <c r="A241" s="25" t="s">
        <v>33</v>
      </c>
      <c r="B241" s="8">
        <v>1</v>
      </c>
      <c r="C241" s="9"/>
      <c r="D241" s="10"/>
      <c r="E241" s="49">
        <f t="shared" si="269"/>
        <v>1</v>
      </c>
      <c r="F241" s="12">
        <v>1</v>
      </c>
      <c r="G241" s="9"/>
      <c r="H241" s="10"/>
      <c r="I241" s="49">
        <f t="shared" si="270"/>
        <v>1</v>
      </c>
      <c r="J241" s="11">
        <f t="shared" si="271"/>
        <v>2</v>
      </c>
      <c r="K241" s="63">
        <v>44221</v>
      </c>
      <c r="M241" s="102"/>
      <c r="N241" s="8"/>
      <c r="O241" s="9"/>
      <c r="P241" s="10"/>
      <c r="Q241" s="49">
        <f t="shared" si="263"/>
        <v>0</v>
      </c>
      <c r="R241" s="12"/>
      <c r="S241" s="9"/>
      <c r="T241" s="10"/>
      <c r="U241" s="49">
        <f t="shared" si="264"/>
        <v>0</v>
      </c>
      <c r="V241" s="11">
        <f t="shared" si="265"/>
        <v>0</v>
      </c>
      <c r="W241" s="140"/>
      <c r="X241" s="82"/>
      <c r="Y241" s="26"/>
      <c r="Z241" s="8"/>
      <c r="AA241" s="9"/>
      <c r="AB241" s="10"/>
      <c r="AC241" s="49">
        <f t="shared" si="266"/>
        <v>0</v>
      </c>
      <c r="AD241" s="12"/>
      <c r="AE241" s="9"/>
      <c r="AF241" s="10"/>
      <c r="AG241" s="49">
        <f t="shared" si="267"/>
        <v>0</v>
      </c>
      <c r="AH241" s="11">
        <f t="shared" si="268"/>
        <v>0</v>
      </c>
    </row>
    <row r="242" spans="1:34" x14ac:dyDescent="0.15">
      <c r="A242" s="25" t="s">
        <v>33</v>
      </c>
      <c r="B242" s="8"/>
      <c r="C242" s="9"/>
      <c r="D242" s="10">
        <v>1</v>
      </c>
      <c r="E242" s="49">
        <f t="shared" si="269"/>
        <v>1</v>
      </c>
      <c r="F242" s="12"/>
      <c r="G242" s="9"/>
      <c r="H242" s="10">
        <v>1</v>
      </c>
      <c r="I242" s="49">
        <f t="shared" si="270"/>
        <v>1</v>
      </c>
      <c r="J242" s="11">
        <f t="shared" si="271"/>
        <v>2</v>
      </c>
      <c r="K242" s="63">
        <v>44222</v>
      </c>
      <c r="M242" s="102"/>
      <c r="N242" s="8"/>
      <c r="O242" s="9"/>
      <c r="P242" s="10"/>
      <c r="Q242" s="49">
        <f t="shared" si="263"/>
        <v>0</v>
      </c>
      <c r="R242" s="12"/>
      <c r="S242" s="9"/>
      <c r="T242" s="10"/>
      <c r="U242" s="49">
        <f t="shared" si="264"/>
        <v>0</v>
      </c>
      <c r="V242" s="11">
        <f t="shared" si="265"/>
        <v>0</v>
      </c>
      <c r="W242" s="140"/>
      <c r="X242" s="82"/>
      <c r="Y242" s="26"/>
      <c r="Z242" s="8"/>
      <c r="AA242" s="9"/>
      <c r="AB242" s="10"/>
      <c r="AC242" s="49">
        <f t="shared" si="266"/>
        <v>0</v>
      </c>
      <c r="AD242" s="12"/>
      <c r="AE242" s="9"/>
      <c r="AF242" s="10"/>
      <c r="AG242" s="49">
        <f t="shared" si="267"/>
        <v>0</v>
      </c>
      <c r="AH242" s="11">
        <f t="shared" si="268"/>
        <v>0</v>
      </c>
    </row>
    <row r="243" spans="1:34" x14ac:dyDescent="0.15">
      <c r="A243" s="25" t="s">
        <v>33</v>
      </c>
      <c r="B243" s="8"/>
      <c r="C243" s="9">
        <v>1</v>
      </c>
      <c r="D243" s="10"/>
      <c r="E243" s="49">
        <f t="shared" si="269"/>
        <v>1</v>
      </c>
      <c r="F243" s="12"/>
      <c r="G243" s="9">
        <v>1</v>
      </c>
      <c r="H243" s="10"/>
      <c r="I243" s="49">
        <f t="shared" si="270"/>
        <v>1</v>
      </c>
      <c r="J243" s="11">
        <f t="shared" si="271"/>
        <v>2</v>
      </c>
      <c r="K243" s="63">
        <v>44228</v>
      </c>
      <c r="M243" s="26"/>
      <c r="N243" s="8"/>
      <c r="O243" s="9"/>
      <c r="P243" s="10"/>
      <c r="Q243" s="49">
        <f t="shared" si="263"/>
        <v>0</v>
      </c>
      <c r="R243" s="12"/>
      <c r="S243" s="9"/>
      <c r="T243" s="10"/>
      <c r="U243" s="49">
        <f t="shared" si="264"/>
        <v>0</v>
      </c>
      <c r="V243" s="11">
        <f t="shared" si="265"/>
        <v>0</v>
      </c>
      <c r="W243" s="140"/>
      <c r="Y243" s="26"/>
      <c r="Z243" s="8"/>
      <c r="AA243" s="9"/>
      <c r="AB243" s="10"/>
      <c r="AC243" s="49">
        <f t="shared" si="266"/>
        <v>0</v>
      </c>
      <c r="AD243" s="12"/>
      <c r="AE243" s="9"/>
      <c r="AF243" s="10"/>
      <c r="AG243" s="49">
        <f t="shared" si="267"/>
        <v>0</v>
      </c>
      <c r="AH243" s="11">
        <f t="shared" si="268"/>
        <v>0</v>
      </c>
    </row>
    <row r="244" spans="1:34" x14ac:dyDescent="0.15">
      <c r="A244" s="25" t="s">
        <v>33</v>
      </c>
      <c r="B244" s="8"/>
      <c r="C244" s="9">
        <v>1</v>
      </c>
      <c r="D244" s="10"/>
      <c r="E244" s="49">
        <f t="shared" si="269"/>
        <v>1</v>
      </c>
      <c r="F244" s="12"/>
      <c r="G244" s="9"/>
      <c r="H244" s="10"/>
      <c r="I244" s="49">
        <f t="shared" si="270"/>
        <v>0</v>
      </c>
      <c r="J244" s="11">
        <f t="shared" si="271"/>
        <v>1</v>
      </c>
      <c r="K244" s="63">
        <v>44237</v>
      </c>
      <c r="M244" s="26"/>
      <c r="N244" s="8"/>
      <c r="O244" s="9"/>
      <c r="P244" s="10"/>
      <c r="Q244" s="49">
        <f t="shared" si="263"/>
        <v>0</v>
      </c>
      <c r="R244" s="12"/>
      <c r="S244" s="9"/>
      <c r="T244" s="10"/>
      <c r="U244" s="49">
        <f t="shared" si="264"/>
        <v>0</v>
      </c>
      <c r="V244" s="11">
        <f t="shared" si="265"/>
        <v>0</v>
      </c>
      <c r="W244" s="140"/>
      <c r="Y244" s="24"/>
      <c r="Z244" s="8"/>
      <c r="AA244" s="9"/>
      <c r="AB244" s="10"/>
      <c r="AC244" s="49">
        <f t="shared" si="266"/>
        <v>0</v>
      </c>
      <c r="AD244" s="12"/>
      <c r="AE244" s="9"/>
      <c r="AF244" s="10"/>
      <c r="AG244" s="49">
        <f t="shared" si="267"/>
        <v>0</v>
      </c>
      <c r="AH244" s="11">
        <f t="shared" si="268"/>
        <v>0</v>
      </c>
    </row>
    <row r="245" spans="1:34" x14ac:dyDescent="0.15">
      <c r="A245" s="25" t="s">
        <v>33</v>
      </c>
      <c r="B245" s="8"/>
      <c r="C245" s="9">
        <v>2</v>
      </c>
      <c r="D245" s="10"/>
      <c r="E245" s="49">
        <f t="shared" si="269"/>
        <v>2</v>
      </c>
      <c r="F245" s="12"/>
      <c r="G245" s="9">
        <v>2</v>
      </c>
      <c r="H245" s="10"/>
      <c r="I245" s="49">
        <f t="shared" si="270"/>
        <v>2</v>
      </c>
      <c r="J245" s="11">
        <f t="shared" si="271"/>
        <v>4</v>
      </c>
      <c r="K245" s="63">
        <v>44249</v>
      </c>
      <c r="M245" s="26"/>
      <c r="N245" s="8"/>
      <c r="O245" s="9"/>
      <c r="P245" s="10"/>
      <c r="Q245" s="49">
        <f t="shared" si="263"/>
        <v>0</v>
      </c>
      <c r="R245" s="12"/>
      <c r="S245" s="9"/>
      <c r="T245" s="10"/>
      <c r="U245" s="49">
        <f t="shared" si="264"/>
        <v>0</v>
      </c>
      <c r="V245" s="11">
        <f t="shared" si="265"/>
        <v>0</v>
      </c>
      <c r="W245" s="140"/>
      <c r="Y245" s="26"/>
      <c r="Z245" s="8"/>
      <c r="AA245" s="9"/>
      <c r="AB245" s="10"/>
      <c r="AC245" s="49">
        <f t="shared" si="266"/>
        <v>0</v>
      </c>
      <c r="AD245" s="12"/>
      <c r="AE245" s="9"/>
      <c r="AF245" s="10"/>
      <c r="AG245" s="49">
        <f t="shared" si="267"/>
        <v>0</v>
      </c>
      <c r="AH245" s="11">
        <f t="shared" si="268"/>
        <v>0</v>
      </c>
    </row>
    <row r="246" spans="1:34" x14ac:dyDescent="0.15">
      <c r="A246" s="25" t="s">
        <v>33</v>
      </c>
      <c r="B246" s="8"/>
      <c r="C246" s="9"/>
      <c r="D246" s="10"/>
      <c r="E246" s="49">
        <f t="shared" si="269"/>
        <v>0</v>
      </c>
      <c r="F246" s="12">
        <v>1</v>
      </c>
      <c r="G246" s="9"/>
      <c r="H246" s="10"/>
      <c r="I246" s="49">
        <f t="shared" si="270"/>
        <v>1</v>
      </c>
      <c r="J246" s="11">
        <f t="shared" si="271"/>
        <v>1</v>
      </c>
      <c r="K246" s="63">
        <v>44256</v>
      </c>
      <c r="M246" s="24"/>
      <c r="N246" s="8"/>
      <c r="O246" s="9"/>
      <c r="P246" s="10"/>
      <c r="Q246" s="49">
        <f t="shared" si="263"/>
        <v>0</v>
      </c>
      <c r="R246" s="12"/>
      <c r="S246" s="9"/>
      <c r="T246" s="10"/>
      <c r="U246" s="49">
        <f t="shared" si="264"/>
        <v>0</v>
      </c>
      <c r="V246" s="11">
        <f t="shared" si="265"/>
        <v>0</v>
      </c>
      <c r="W246" s="140"/>
      <c r="Y246" s="24"/>
      <c r="Z246" s="8"/>
      <c r="AA246" s="9"/>
      <c r="AB246" s="10"/>
      <c r="AC246" s="49">
        <f t="shared" si="266"/>
        <v>0</v>
      </c>
      <c r="AD246" s="12"/>
      <c r="AE246" s="9"/>
      <c r="AF246" s="10"/>
      <c r="AG246" s="49">
        <f t="shared" si="267"/>
        <v>0</v>
      </c>
      <c r="AH246" s="11">
        <f t="shared" si="268"/>
        <v>0</v>
      </c>
    </row>
    <row r="247" spans="1:34" x14ac:dyDescent="0.15">
      <c r="A247" s="25" t="s">
        <v>33</v>
      </c>
      <c r="B247" s="8">
        <v>1</v>
      </c>
      <c r="C247" s="9"/>
      <c r="D247" s="10"/>
      <c r="E247" s="49">
        <f t="shared" si="269"/>
        <v>1</v>
      </c>
      <c r="F247" s="12"/>
      <c r="G247" s="9"/>
      <c r="H247" s="10"/>
      <c r="I247" s="49">
        <f t="shared" si="270"/>
        <v>0</v>
      </c>
      <c r="J247" s="11">
        <f t="shared" si="271"/>
        <v>1</v>
      </c>
      <c r="K247" s="63">
        <v>44260</v>
      </c>
      <c r="M247" s="26"/>
      <c r="N247" s="8"/>
      <c r="O247" s="9"/>
      <c r="P247" s="10"/>
      <c r="Q247" s="49">
        <f t="shared" si="263"/>
        <v>0</v>
      </c>
      <c r="R247" s="12"/>
      <c r="S247" s="9"/>
      <c r="T247" s="10"/>
      <c r="U247" s="49">
        <f t="shared" si="264"/>
        <v>0</v>
      </c>
      <c r="V247" s="11">
        <f t="shared" si="265"/>
        <v>0</v>
      </c>
      <c r="W247" s="140"/>
      <c r="Y247" s="26"/>
      <c r="Z247" s="8"/>
      <c r="AA247" s="9"/>
      <c r="AB247" s="10"/>
      <c r="AC247" s="49">
        <f t="shared" si="266"/>
        <v>0</v>
      </c>
      <c r="AD247" s="12"/>
      <c r="AE247" s="9"/>
      <c r="AF247" s="10"/>
      <c r="AG247" s="49">
        <f t="shared" si="267"/>
        <v>0</v>
      </c>
      <c r="AH247" s="11">
        <f t="shared" si="268"/>
        <v>0</v>
      </c>
    </row>
    <row r="248" spans="1:34" x14ac:dyDescent="0.15">
      <c r="A248" s="25" t="s">
        <v>33</v>
      </c>
      <c r="B248" s="8"/>
      <c r="C248" s="9"/>
      <c r="D248" s="10"/>
      <c r="E248" s="49">
        <f t="shared" si="269"/>
        <v>0</v>
      </c>
      <c r="F248" s="12"/>
      <c r="G248" s="9">
        <v>2</v>
      </c>
      <c r="H248" s="10"/>
      <c r="I248" s="49">
        <f t="shared" si="270"/>
        <v>2</v>
      </c>
      <c r="J248" s="11">
        <f t="shared" si="271"/>
        <v>2</v>
      </c>
      <c r="K248" s="63">
        <v>44261</v>
      </c>
      <c r="M248" s="24"/>
      <c r="N248" s="8"/>
      <c r="O248" s="9"/>
      <c r="P248" s="10"/>
      <c r="Q248" s="49">
        <f t="shared" si="263"/>
        <v>0</v>
      </c>
      <c r="R248" s="12"/>
      <c r="S248" s="9"/>
      <c r="T248" s="10"/>
      <c r="U248" s="49">
        <f t="shared" si="264"/>
        <v>0</v>
      </c>
      <c r="V248" s="11">
        <f t="shared" si="265"/>
        <v>0</v>
      </c>
      <c r="W248" s="140"/>
      <c r="Y248" s="24"/>
      <c r="Z248" s="8"/>
      <c r="AA248" s="9"/>
      <c r="AB248" s="10"/>
      <c r="AC248" s="49">
        <f t="shared" si="266"/>
        <v>0</v>
      </c>
      <c r="AD248" s="12"/>
      <c r="AE248" s="9"/>
      <c r="AF248" s="10"/>
      <c r="AG248" s="49">
        <f t="shared" si="267"/>
        <v>0</v>
      </c>
      <c r="AH248" s="11">
        <f t="shared" si="268"/>
        <v>0</v>
      </c>
    </row>
    <row r="249" spans="1:34" x14ac:dyDescent="0.15">
      <c r="A249" s="25" t="s">
        <v>33</v>
      </c>
      <c r="B249" s="8"/>
      <c r="C249" s="9"/>
      <c r="D249" s="10">
        <v>1</v>
      </c>
      <c r="E249" s="49">
        <f t="shared" si="269"/>
        <v>1</v>
      </c>
      <c r="F249" s="12"/>
      <c r="G249" s="9"/>
      <c r="H249" s="10">
        <v>1</v>
      </c>
      <c r="I249" s="49">
        <f t="shared" si="270"/>
        <v>1</v>
      </c>
      <c r="J249" s="11">
        <f t="shared" si="271"/>
        <v>2</v>
      </c>
      <c r="K249" s="63">
        <v>44266</v>
      </c>
      <c r="M249" s="23"/>
      <c r="N249" s="8"/>
      <c r="O249" s="9"/>
      <c r="P249" s="10"/>
      <c r="Q249" s="49">
        <f t="shared" si="263"/>
        <v>0</v>
      </c>
      <c r="R249" s="12"/>
      <c r="S249" s="9"/>
      <c r="T249" s="10"/>
      <c r="U249" s="49">
        <f t="shared" si="264"/>
        <v>0</v>
      </c>
      <c r="V249" s="11">
        <f t="shared" si="265"/>
        <v>0</v>
      </c>
      <c r="W249" s="140"/>
      <c r="Y249" s="26"/>
      <c r="Z249" s="8"/>
      <c r="AA249" s="9"/>
      <c r="AB249" s="10"/>
      <c r="AC249" s="49">
        <f t="shared" si="266"/>
        <v>0</v>
      </c>
      <c r="AD249" s="12"/>
      <c r="AE249" s="9"/>
      <c r="AF249" s="10"/>
      <c r="AG249" s="49">
        <f t="shared" si="267"/>
        <v>0</v>
      </c>
      <c r="AH249" s="11">
        <f t="shared" si="268"/>
        <v>0</v>
      </c>
    </row>
    <row r="250" spans="1:34" x14ac:dyDescent="0.15">
      <c r="A250" s="25"/>
      <c r="B250" s="13"/>
      <c r="C250" s="14"/>
      <c r="D250" s="15"/>
      <c r="E250" s="49">
        <f t="shared" si="269"/>
        <v>0</v>
      </c>
      <c r="F250" s="16"/>
      <c r="G250" s="14"/>
      <c r="H250" s="15"/>
      <c r="I250" s="49">
        <f t="shared" si="270"/>
        <v>0</v>
      </c>
      <c r="J250" s="11">
        <f t="shared" si="271"/>
        <v>0</v>
      </c>
      <c r="K250" s="63"/>
      <c r="M250" s="26"/>
      <c r="N250" s="8"/>
      <c r="O250" s="103"/>
      <c r="P250" s="104"/>
      <c r="Q250" s="49">
        <f t="shared" si="263"/>
        <v>0</v>
      </c>
      <c r="R250" s="12"/>
      <c r="S250" s="103"/>
      <c r="T250" s="104"/>
      <c r="U250" s="49">
        <f t="shared" si="264"/>
        <v>0</v>
      </c>
      <c r="V250" s="11">
        <f t="shared" si="265"/>
        <v>0</v>
      </c>
      <c r="W250" s="142"/>
      <c r="Y250" s="26"/>
      <c r="Z250" s="8"/>
      <c r="AA250" s="9"/>
      <c r="AB250" s="10"/>
      <c r="AC250" s="49">
        <f t="shared" si="266"/>
        <v>0</v>
      </c>
      <c r="AD250" s="12"/>
      <c r="AE250" s="9"/>
      <c r="AF250" s="10"/>
      <c r="AG250" s="49">
        <f t="shared" si="267"/>
        <v>0</v>
      </c>
      <c r="AH250" s="11">
        <f t="shared" si="268"/>
        <v>0</v>
      </c>
    </row>
    <row r="251" spans="1:34" x14ac:dyDescent="0.15">
      <c r="A251" s="23"/>
      <c r="B251" s="8"/>
      <c r="C251" s="9"/>
      <c r="D251" s="10"/>
      <c r="E251" s="49">
        <f t="shared" si="269"/>
        <v>0</v>
      </c>
      <c r="F251" s="12"/>
      <c r="G251" s="9"/>
      <c r="H251" s="10"/>
      <c r="I251" s="49">
        <f t="shared" si="270"/>
        <v>0</v>
      </c>
      <c r="J251" s="11">
        <f t="shared" si="271"/>
        <v>0</v>
      </c>
      <c r="K251" s="63"/>
      <c r="M251" s="26"/>
      <c r="N251" s="106"/>
      <c r="O251" s="103"/>
      <c r="P251" s="104"/>
      <c r="Q251" s="49">
        <f t="shared" si="263"/>
        <v>0</v>
      </c>
      <c r="R251" s="107"/>
      <c r="S251" s="103"/>
      <c r="T251" s="104"/>
      <c r="U251" s="49">
        <f t="shared" si="264"/>
        <v>0</v>
      </c>
      <c r="V251" s="11">
        <f t="shared" si="265"/>
        <v>0</v>
      </c>
      <c r="W251" s="142"/>
      <c r="Y251" s="26"/>
      <c r="Z251" s="8"/>
      <c r="AA251" s="9"/>
      <c r="AB251" s="10"/>
      <c r="AC251" s="49">
        <f t="shared" si="266"/>
        <v>0</v>
      </c>
      <c r="AD251" s="12"/>
      <c r="AE251" s="9"/>
      <c r="AF251" s="10"/>
      <c r="AG251" s="49">
        <f t="shared" si="267"/>
        <v>0</v>
      </c>
      <c r="AH251" s="11">
        <f t="shared" si="268"/>
        <v>0</v>
      </c>
    </row>
    <row r="252" spans="1:34" x14ac:dyDescent="0.15">
      <c r="A252" s="23"/>
      <c r="B252" s="8"/>
      <c r="C252" s="9"/>
      <c r="D252" s="10"/>
      <c r="E252" s="49">
        <f t="shared" si="269"/>
        <v>0</v>
      </c>
      <c r="F252" s="12"/>
      <c r="G252" s="9"/>
      <c r="H252" s="10"/>
      <c r="I252" s="49">
        <f t="shared" si="270"/>
        <v>0</v>
      </c>
      <c r="J252" s="11">
        <f t="shared" si="271"/>
        <v>0</v>
      </c>
      <c r="K252" s="63"/>
      <c r="M252" s="26"/>
      <c r="N252" s="106"/>
      <c r="O252" s="103"/>
      <c r="P252" s="104"/>
      <c r="Q252" s="49">
        <f t="shared" si="263"/>
        <v>0</v>
      </c>
      <c r="R252" s="107"/>
      <c r="S252" s="103"/>
      <c r="T252" s="104"/>
      <c r="U252" s="49">
        <f t="shared" si="264"/>
        <v>0</v>
      </c>
      <c r="V252" s="11">
        <f t="shared" si="265"/>
        <v>0</v>
      </c>
      <c r="W252" s="142"/>
      <c r="Y252" s="26"/>
      <c r="Z252" s="8"/>
      <c r="AA252" s="9"/>
      <c r="AB252" s="10"/>
      <c r="AC252" s="49">
        <f t="shared" si="266"/>
        <v>0</v>
      </c>
      <c r="AD252" s="12"/>
      <c r="AE252" s="9"/>
      <c r="AF252" s="10"/>
      <c r="AG252" s="49">
        <f t="shared" si="267"/>
        <v>0</v>
      </c>
      <c r="AH252" s="11">
        <f t="shared" si="268"/>
        <v>0</v>
      </c>
    </row>
    <row r="253" spans="1:34" x14ac:dyDescent="0.15">
      <c r="A253" s="23"/>
      <c r="B253" s="8"/>
      <c r="C253" s="9"/>
      <c r="D253" s="10"/>
      <c r="E253" s="49">
        <f t="shared" si="269"/>
        <v>0</v>
      </c>
      <c r="F253" s="12"/>
      <c r="G253" s="9"/>
      <c r="H253" s="10"/>
      <c r="I253" s="49">
        <f t="shared" si="270"/>
        <v>0</v>
      </c>
      <c r="J253" s="11">
        <f t="shared" si="271"/>
        <v>0</v>
      </c>
      <c r="K253" s="63"/>
      <c r="M253" s="23"/>
      <c r="N253" s="8"/>
      <c r="O253" s="9"/>
      <c r="P253" s="10"/>
      <c r="Q253" s="49">
        <f t="shared" si="263"/>
        <v>0</v>
      </c>
      <c r="R253" s="12"/>
      <c r="S253" s="9"/>
      <c r="T253" s="10"/>
      <c r="U253" s="49">
        <f t="shared" si="264"/>
        <v>0</v>
      </c>
      <c r="V253" s="11">
        <f t="shared" si="265"/>
        <v>0</v>
      </c>
      <c r="W253" s="140"/>
      <c r="Y253" s="26"/>
      <c r="Z253" s="8"/>
      <c r="AA253" s="9"/>
      <c r="AB253" s="10"/>
      <c r="AC253" s="49">
        <f t="shared" si="266"/>
        <v>0</v>
      </c>
      <c r="AD253" s="12"/>
      <c r="AE253" s="9"/>
      <c r="AF253" s="10"/>
      <c r="AG253" s="49">
        <f t="shared" si="267"/>
        <v>0</v>
      </c>
      <c r="AH253" s="11">
        <f t="shared" si="268"/>
        <v>0</v>
      </c>
    </row>
    <row r="254" spans="1:34" ht="14.25" thickBot="1" x14ac:dyDescent="0.2">
      <c r="A254" s="23"/>
      <c r="B254" s="13"/>
      <c r="C254" s="14"/>
      <c r="D254" s="15"/>
      <c r="E254" s="55">
        <f t="shared" si="269"/>
        <v>0</v>
      </c>
      <c r="F254" s="16"/>
      <c r="G254" s="14"/>
      <c r="H254" s="15"/>
      <c r="I254" s="55">
        <f t="shared" si="270"/>
        <v>0</v>
      </c>
      <c r="J254" s="11">
        <f t="shared" si="271"/>
        <v>0</v>
      </c>
      <c r="K254" s="63"/>
      <c r="M254" s="26"/>
      <c r="N254" s="106"/>
      <c r="O254" s="103"/>
      <c r="P254" s="104"/>
      <c r="Q254" s="49">
        <f t="shared" si="263"/>
        <v>0</v>
      </c>
      <c r="R254" s="107"/>
      <c r="S254" s="103"/>
      <c r="T254" s="104"/>
      <c r="U254" s="49">
        <f t="shared" si="264"/>
        <v>0</v>
      </c>
      <c r="V254" s="11">
        <f t="shared" si="265"/>
        <v>0</v>
      </c>
      <c r="W254" s="142"/>
      <c r="Y254" s="92"/>
      <c r="Z254" s="13"/>
      <c r="AA254" s="14"/>
      <c r="AB254" s="15"/>
      <c r="AC254" s="49">
        <f t="shared" si="266"/>
        <v>0</v>
      </c>
      <c r="AD254" s="16"/>
      <c r="AE254" s="14"/>
      <c r="AF254" s="15"/>
      <c r="AG254" s="49">
        <f t="shared" si="267"/>
        <v>0</v>
      </c>
      <c r="AH254" s="11">
        <f t="shared" si="268"/>
        <v>0</v>
      </c>
    </row>
    <row r="255" spans="1:34" ht="14.25" thickBot="1" x14ac:dyDescent="0.2">
      <c r="A255" s="41" t="s">
        <v>19</v>
      </c>
      <c r="B255" s="46">
        <f>SUM(B229:B254)</f>
        <v>12</v>
      </c>
      <c r="C255" s="47">
        <f t="shared" ref="C255:D255" si="272">SUM(C229:C254)</f>
        <v>13</v>
      </c>
      <c r="D255" s="59">
        <f t="shared" si="272"/>
        <v>10</v>
      </c>
      <c r="E255" s="45">
        <f t="shared" si="269"/>
        <v>35</v>
      </c>
      <c r="F255" s="46">
        <f>SUM(F229:F254)</f>
        <v>8</v>
      </c>
      <c r="G255" s="47">
        <f t="shared" ref="G255:H255" si="273">SUM(G229:G254)</f>
        <v>13</v>
      </c>
      <c r="H255" s="59">
        <f t="shared" si="273"/>
        <v>5</v>
      </c>
      <c r="I255" s="45">
        <f t="shared" si="270"/>
        <v>26</v>
      </c>
      <c r="J255" s="45">
        <f>E255+I255</f>
        <v>61</v>
      </c>
      <c r="M255" s="41" t="s">
        <v>19</v>
      </c>
      <c r="N255" s="46">
        <f>SUM(N229:N254)</f>
        <v>3</v>
      </c>
      <c r="O255" s="47">
        <f t="shared" ref="O255:P255" si="274">SUM(O229:O254)</f>
        <v>8</v>
      </c>
      <c r="P255" s="59">
        <f t="shared" si="274"/>
        <v>3</v>
      </c>
      <c r="Q255" s="45">
        <f t="shared" si="263"/>
        <v>14</v>
      </c>
      <c r="R255" s="46">
        <f>SUM(R229:R254)</f>
        <v>6</v>
      </c>
      <c r="S255" s="47">
        <f t="shared" ref="S255:T255" si="275">SUM(S229:S254)</f>
        <v>13</v>
      </c>
      <c r="T255" s="59">
        <f t="shared" si="275"/>
        <v>8</v>
      </c>
      <c r="U255" s="45">
        <f t="shared" si="264"/>
        <v>27</v>
      </c>
      <c r="V255" s="45">
        <f>Q255+U255</f>
        <v>41</v>
      </c>
      <c r="Y255" s="41" t="s">
        <v>19</v>
      </c>
      <c r="Z255" s="46">
        <f>SUM(Z229:Z254)</f>
        <v>0</v>
      </c>
      <c r="AA255" s="47">
        <f t="shared" ref="AA255:AB255" si="276">SUM(AA229:AA254)</f>
        <v>0</v>
      </c>
      <c r="AB255" s="59">
        <f t="shared" si="276"/>
        <v>0</v>
      </c>
      <c r="AC255" s="45">
        <f t="shared" si="266"/>
        <v>0</v>
      </c>
      <c r="AD255" s="46">
        <f>SUM(AD229:AD254)</f>
        <v>0</v>
      </c>
      <c r="AE255" s="47">
        <f t="shared" ref="AE255:AF255" si="277">SUM(AE229:AE254)</f>
        <v>0</v>
      </c>
      <c r="AF255" s="59">
        <f t="shared" si="277"/>
        <v>0</v>
      </c>
      <c r="AG255" s="45">
        <f t="shared" si="267"/>
        <v>0</v>
      </c>
      <c r="AH255" s="45">
        <f>AC255+AG255</f>
        <v>0</v>
      </c>
    </row>
    <row r="256" spans="1:34" ht="14.25" thickBot="1" x14ac:dyDescent="0.2">
      <c r="A256" s="22" t="s">
        <v>17</v>
      </c>
      <c r="B256" s="50">
        <f>B228-B255</f>
        <v>6</v>
      </c>
      <c r="C256" s="57">
        <f t="shared" ref="C256:D256" si="278">C228-C255</f>
        <v>4</v>
      </c>
      <c r="D256" s="58">
        <f t="shared" si="278"/>
        <v>4</v>
      </c>
      <c r="E256" s="56">
        <f>SUM(B256:D256)</f>
        <v>14</v>
      </c>
      <c r="F256" s="50">
        <f>F228-F255</f>
        <v>6</v>
      </c>
      <c r="G256" s="57">
        <f t="shared" ref="G256:H256" si="279">G228-G255</f>
        <v>8</v>
      </c>
      <c r="H256" s="58">
        <f t="shared" si="279"/>
        <v>8</v>
      </c>
      <c r="I256" s="56">
        <f>SUM(F256:H256)</f>
        <v>22</v>
      </c>
      <c r="J256" s="31">
        <f>E256+I256</f>
        <v>36</v>
      </c>
      <c r="M256" s="22" t="s">
        <v>17</v>
      </c>
      <c r="N256" s="50">
        <f>N228-N255</f>
        <v>123</v>
      </c>
      <c r="O256" s="57">
        <f t="shared" ref="O256:P256" si="280">O228-O255</f>
        <v>215</v>
      </c>
      <c r="P256" s="58">
        <f t="shared" si="280"/>
        <v>134</v>
      </c>
      <c r="Q256" s="56">
        <f>SUM(N256:P256)</f>
        <v>472</v>
      </c>
      <c r="R256" s="50">
        <f>R228-R255</f>
        <v>223</v>
      </c>
      <c r="S256" s="57">
        <f t="shared" ref="S256:T256" si="281">S228-S255</f>
        <v>340</v>
      </c>
      <c r="T256" s="58">
        <f t="shared" si="281"/>
        <v>223</v>
      </c>
      <c r="U256" s="56">
        <f>SUM(R256:T256)</f>
        <v>786</v>
      </c>
      <c r="V256" s="31">
        <f>Q256+U256</f>
        <v>1258</v>
      </c>
      <c r="Y256" s="22" t="s">
        <v>17</v>
      </c>
      <c r="Z256" s="50">
        <f>Z228-Z255</f>
        <v>0</v>
      </c>
      <c r="AA256" s="57">
        <f t="shared" ref="AA256:AB256" si="282">AA228-AA255</f>
        <v>0</v>
      </c>
      <c r="AB256" s="58">
        <f t="shared" si="282"/>
        <v>0</v>
      </c>
      <c r="AC256" s="56">
        <f>SUM(Z256:AB256)</f>
        <v>0</v>
      </c>
      <c r="AD256" s="50">
        <f>AD228-AD255</f>
        <v>0</v>
      </c>
      <c r="AE256" s="57">
        <f t="shared" ref="AE256:AF256" si="283">AE228-AE255</f>
        <v>0</v>
      </c>
      <c r="AF256" s="58">
        <f t="shared" si="283"/>
        <v>0</v>
      </c>
      <c r="AG256" s="56">
        <f>SUM(AD256:AF256)</f>
        <v>0</v>
      </c>
      <c r="AH256" s="31">
        <f>AC256+AG256</f>
        <v>0</v>
      </c>
    </row>
    <row r="257" spans="1:35" x14ac:dyDescent="0.15">
      <c r="N257" s="108">
        <f>N256/$Q$256*100</f>
        <v>26.059322033898308</v>
      </c>
      <c r="O257" s="108">
        <f t="shared" ref="O257:Q257" si="284">O256/$Q$256*100</f>
        <v>45.550847457627121</v>
      </c>
      <c r="P257" s="108">
        <f t="shared" si="284"/>
        <v>28.389830508474578</v>
      </c>
      <c r="Q257" s="108">
        <f t="shared" si="284"/>
        <v>100</v>
      </c>
      <c r="R257" s="108">
        <f>R256/$U$256*100</f>
        <v>28.371501272264631</v>
      </c>
      <c r="S257" s="108">
        <f t="shared" ref="S257:U257" si="285">S256/$U$256*100</f>
        <v>43.256997455470739</v>
      </c>
      <c r="T257" s="108">
        <f t="shared" si="285"/>
        <v>28.371501272264631</v>
      </c>
      <c r="U257" s="108">
        <f t="shared" si="285"/>
        <v>100</v>
      </c>
      <c r="V257" s="55"/>
    </row>
    <row r="258" spans="1:35" x14ac:dyDescent="0.15">
      <c r="N258" s="108"/>
      <c r="O258" s="108"/>
      <c r="P258" s="108"/>
      <c r="Q258" s="108"/>
      <c r="R258" s="108"/>
      <c r="S258" s="108"/>
      <c r="T258" s="108"/>
      <c r="U258" s="108"/>
    </row>
    <row r="259" spans="1:35" ht="19.5" thickBot="1" x14ac:dyDescent="0.25">
      <c r="A259" s="3" t="s">
        <v>21</v>
      </c>
      <c r="B259" s="1"/>
      <c r="C259" s="1"/>
      <c r="D259" s="1"/>
      <c r="E259" s="1"/>
      <c r="F259" s="1"/>
      <c r="G259" s="1"/>
      <c r="H259" s="1"/>
      <c r="I259" s="1"/>
      <c r="J259" s="1"/>
      <c r="M259" s="3" t="s">
        <v>22</v>
      </c>
      <c r="N259" s="1"/>
      <c r="O259" s="1"/>
      <c r="P259" s="1"/>
      <c r="Q259" s="1"/>
      <c r="R259" s="1"/>
      <c r="S259" s="1"/>
      <c r="T259" s="1"/>
      <c r="U259" s="1"/>
      <c r="V259" s="1"/>
      <c r="Y259" s="3" t="s">
        <v>23</v>
      </c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5" ht="14.25" thickBot="1" x14ac:dyDescent="0.2">
      <c r="A260" s="7" t="s">
        <v>0</v>
      </c>
      <c r="B260" s="165" t="s">
        <v>24</v>
      </c>
      <c r="C260" s="166"/>
      <c r="D260" s="166"/>
      <c r="E260" s="170"/>
      <c r="F260" s="165" t="s">
        <v>18</v>
      </c>
      <c r="G260" s="166"/>
      <c r="H260" s="166"/>
      <c r="I260" s="167"/>
      <c r="J260" s="168" t="s">
        <v>1</v>
      </c>
      <c r="M260" s="7" t="s">
        <v>0</v>
      </c>
      <c r="N260" s="165" t="s">
        <v>24</v>
      </c>
      <c r="O260" s="166"/>
      <c r="P260" s="166"/>
      <c r="Q260" s="170"/>
      <c r="R260" s="165" t="s">
        <v>18</v>
      </c>
      <c r="S260" s="166"/>
      <c r="T260" s="166"/>
      <c r="U260" s="167"/>
      <c r="V260" s="168" t="s">
        <v>1</v>
      </c>
      <c r="Y260" s="7" t="s">
        <v>0</v>
      </c>
      <c r="Z260" s="165" t="s">
        <v>24</v>
      </c>
      <c r="AA260" s="166"/>
      <c r="AB260" s="166"/>
      <c r="AC260" s="170"/>
      <c r="AD260" s="165" t="s">
        <v>18</v>
      </c>
      <c r="AE260" s="166"/>
      <c r="AF260" s="166"/>
      <c r="AG260" s="167"/>
      <c r="AH260" s="168" t="s">
        <v>1</v>
      </c>
    </row>
    <row r="261" spans="1:35" ht="14.25" thickBot="1" x14ac:dyDescent="0.2">
      <c r="A261" s="7" t="s">
        <v>2</v>
      </c>
      <c r="B261" s="4" t="s">
        <v>3</v>
      </c>
      <c r="C261" s="5" t="s">
        <v>4</v>
      </c>
      <c r="D261" s="6" t="s">
        <v>5</v>
      </c>
      <c r="E261" s="7" t="s">
        <v>6</v>
      </c>
      <c r="F261" s="4" t="s">
        <v>3</v>
      </c>
      <c r="G261" s="5" t="s">
        <v>4</v>
      </c>
      <c r="H261" s="6" t="s">
        <v>5</v>
      </c>
      <c r="I261" s="7" t="s">
        <v>6</v>
      </c>
      <c r="J261" s="169"/>
      <c r="M261" s="7" t="s">
        <v>2</v>
      </c>
      <c r="N261" s="4" t="s">
        <v>3</v>
      </c>
      <c r="O261" s="5" t="s">
        <v>4</v>
      </c>
      <c r="P261" s="6" t="s">
        <v>5</v>
      </c>
      <c r="Q261" s="7" t="s">
        <v>6</v>
      </c>
      <c r="R261" s="4" t="s">
        <v>3</v>
      </c>
      <c r="S261" s="5" t="s">
        <v>4</v>
      </c>
      <c r="T261" s="6" t="s">
        <v>5</v>
      </c>
      <c r="U261" s="7" t="s">
        <v>6</v>
      </c>
      <c r="V261" s="169"/>
      <c r="Y261" s="7" t="s">
        <v>2</v>
      </c>
      <c r="Z261" s="4" t="s">
        <v>3</v>
      </c>
      <c r="AA261" s="5" t="s">
        <v>4</v>
      </c>
      <c r="AB261" s="6" t="s">
        <v>5</v>
      </c>
      <c r="AC261" s="7" t="s">
        <v>6</v>
      </c>
      <c r="AD261" s="4" t="s">
        <v>3</v>
      </c>
      <c r="AE261" s="5" t="s">
        <v>4</v>
      </c>
      <c r="AF261" s="6" t="s">
        <v>5</v>
      </c>
      <c r="AG261" s="7" t="s">
        <v>6</v>
      </c>
      <c r="AH261" s="169"/>
    </row>
    <row r="262" spans="1:35" ht="14.25" thickBot="1" x14ac:dyDescent="0.2">
      <c r="A262" s="27" t="s">
        <v>20</v>
      </c>
      <c r="B262" s="38">
        <f>B256</f>
        <v>6</v>
      </c>
      <c r="C262" s="39">
        <f>C256</f>
        <v>4</v>
      </c>
      <c r="D262" s="2">
        <f>D256</f>
        <v>4</v>
      </c>
      <c r="E262" s="36">
        <f>SUM(B262:D262)</f>
        <v>14</v>
      </c>
      <c r="F262" s="38">
        <f>F256</f>
        <v>6</v>
      </c>
      <c r="G262" s="39">
        <f>G256</f>
        <v>8</v>
      </c>
      <c r="H262" s="2">
        <f>H256</f>
        <v>8</v>
      </c>
      <c r="I262" s="36">
        <f>SUM(F262:H262)</f>
        <v>22</v>
      </c>
      <c r="J262" s="36">
        <f>E262+I262</f>
        <v>36</v>
      </c>
      <c r="M262" s="27" t="s">
        <v>20</v>
      </c>
      <c r="N262" s="38">
        <f>N256</f>
        <v>123</v>
      </c>
      <c r="O262" s="39">
        <f>O256</f>
        <v>215</v>
      </c>
      <c r="P262" s="2">
        <f>P256</f>
        <v>134</v>
      </c>
      <c r="Q262" s="36">
        <f>SUM(N262:P262)</f>
        <v>472</v>
      </c>
      <c r="R262" s="38">
        <f>R256</f>
        <v>223</v>
      </c>
      <c r="S262" s="39">
        <f>S256</f>
        <v>340</v>
      </c>
      <c r="T262" s="2">
        <f>T256</f>
        <v>223</v>
      </c>
      <c r="U262" s="36">
        <f>SUM(R262:T262)</f>
        <v>786</v>
      </c>
      <c r="V262" s="36">
        <f>Q262+U262</f>
        <v>1258</v>
      </c>
      <c r="Y262" s="27" t="s">
        <v>20</v>
      </c>
      <c r="Z262" s="38">
        <v>700</v>
      </c>
      <c r="AA262" s="39">
        <v>550</v>
      </c>
      <c r="AB262" s="2">
        <v>400</v>
      </c>
      <c r="AC262" s="36">
        <f>SUM(Z262:AB262)</f>
        <v>1650</v>
      </c>
      <c r="AD262" s="38">
        <v>400</v>
      </c>
      <c r="AE262" s="39">
        <v>250</v>
      </c>
      <c r="AF262" s="2">
        <v>250</v>
      </c>
      <c r="AG262" s="36">
        <f>SUM(AD262:AF262)</f>
        <v>900</v>
      </c>
      <c r="AH262" s="36">
        <f>AC262+AG262</f>
        <v>2550</v>
      </c>
    </row>
    <row r="263" spans="1:35" x14ac:dyDescent="0.15">
      <c r="A263" s="25" t="s">
        <v>8</v>
      </c>
      <c r="B263" s="42"/>
      <c r="C263" s="43"/>
      <c r="D263" s="44"/>
      <c r="E263" s="48">
        <f>SUM(B263:D263)</f>
        <v>0</v>
      </c>
      <c r="F263" s="60">
        <v>10</v>
      </c>
      <c r="G263" s="43">
        <v>10</v>
      </c>
      <c r="H263" s="61">
        <v>10</v>
      </c>
      <c r="I263" s="48">
        <f>SUM(F263:H263)</f>
        <v>30</v>
      </c>
      <c r="J263" s="48">
        <f>E263+I263</f>
        <v>30</v>
      </c>
      <c r="K263" s="63">
        <v>44285</v>
      </c>
      <c r="M263" s="25" t="s">
        <v>8</v>
      </c>
      <c r="N263" s="42"/>
      <c r="O263" s="43"/>
      <c r="P263" s="44"/>
      <c r="Q263" s="48">
        <f>SUM(N263:P263)</f>
        <v>0</v>
      </c>
      <c r="R263" s="60"/>
      <c r="S263" s="43"/>
      <c r="T263" s="61"/>
      <c r="U263" s="48">
        <f>SUM(R263:T263)</f>
        <v>0</v>
      </c>
      <c r="V263" s="48">
        <f>Q263+U263</f>
        <v>0</v>
      </c>
      <c r="W263" s="140"/>
      <c r="Y263" s="25" t="s">
        <v>8</v>
      </c>
      <c r="Z263" s="42"/>
      <c r="AA263" s="43"/>
      <c r="AB263" s="44"/>
      <c r="AC263" s="48">
        <f>SUM(Z263:AB263)</f>
        <v>0</v>
      </c>
      <c r="AD263" s="60"/>
      <c r="AE263" s="43"/>
      <c r="AF263" s="61"/>
      <c r="AG263" s="48">
        <f>SUM(AD263:AF263)</f>
        <v>0</v>
      </c>
      <c r="AH263" s="48">
        <f>AC263+AG263</f>
        <v>0</v>
      </c>
    </row>
    <row r="264" spans="1:35" x14ac:dyDescent="0.15">
      <c r="A264" s="25" t="s">
        <v>9</v>
      </c>
      <c r="B264" s="8">
        <v>5</v>
      </c>
      <c r="C264" s="9">
        <v>5</v>
      </c>
      <c r="D264" s="52">
        <v>5</v>
      </c>
      <c r="E264" s="11">
        <f>SUM(B264:D264)</f>
        <v>15</v>
      </c>
      <c r="F264" s="12"/>
      <c r="G264" s="9"/>
      <c r="H264" s="10"/>
      <c r="I264" s="11">
        <f>SUM(F264:H264)</f>
        <v>0</v>
      </c>
      <c r="J264" s="11">
        <f>E264+I264</f>
        <v>15</v>
      </c>
      <c r="K264" s="63">
        <v>44287</v>
      </c>
      <c r="M264" s="25" t="s">
        <v>9</v>
      </c>
      <c r="N264" s="8">
        <v>600</v>
      </c>
      <c r="O264" s="9">
        <v>478</v>
      </c>
      <c r="P264" s="52">
        <v>335</v>
      </c>
      <c r="Q264" s="11">
        <f t="shared" ref="Q264:Q270" si="286">SUM(N264:P264)</f>
        <v>1413</v>
      </c>
      <c r="R264" s="12">
        <v>391</v>
      </c>
      <c r="S264" s="9">
        <v>246</v>
      </c>
      <c r="T264" s="10">
        <v>237</v>
      </c>
      <c r="U264" s="11">
        <f t="shared" ref="U264:U270" si="287">SUM(R264:T264)</f>
        <v>874</v>
      </c>
      <c r="V264" s="11">
        <f t="shared" ref="V264:V270" si="288">Q264+U264</f>
        <v>2287</v>
      </c>
      <c r="W264" s="140" t="s">
        <v>206</v>
      </c>
      <c r="Y264" s="25" t="s">
        <v>9</v>
      </c>
      <c r="Z264" s="8"/>
      <c r="AA264" s="9"/>
      <c r="AB264" s="52"/>
      <c r="AC264" s="11">
        <f t="shared" ref="AC264:AC265" si="289">SUM(Z264:AB264)</f>
        <v>0</v>
      </c>
      <c r="AD264" s="12"/>
      <c r="AE264" s="9"/>
      <c r="AF264" s="10"/>
      <c r="AG264" s="11">
        <f t="shared" ref="AG264:AG265" si="290">SUM(AD264:AF264)</f>
        <v>0</v>
      </c>
      <c r="AH264" s="11">
        <f t="shared" ref="AH264:AH265" si="291">AC264+AG264</f>
        <v>0</v>
      </c>
      <c r="AI264" s="63"/>
    </row>
    <row r="265" spans="1:35" x14ac:dyDescent="0.15">
      <c r="A265" s="25" t="s">
        <v>10</v>
      </c>
      <c r="B265" s="17">
        <v>5</v>
      </c>
      <c r="C265" s="18">
        <v>5</v>
      </c>
      <c r="D265" s="51">
        <v>5</v>
      </c>
      <c r="E265" s="11">
        <f t="shared" ref="E265:E270" si="292">SUM(B265:D265)</f>
        <v>15</v>
      </c>
      <c r="F265" s="20"/>
      <c r="G265" s="18"/>
      <c r="H265" s="19"/>
      <c r="I265" s="11">
        <f t="shared" ref="I265:I270" si="293">SUM(F265:H265)</f>
        <v>0</v>
      </c>
      <c r="J265" s="11">
        <f t="shared" ref="J265:J270" si="294">E265+I265</f>
        <v>15</v>
      </c>
      <c r="K265" s="63">
        <v>44300</v>
      </c>
      <c r="M265" s="25" t="s">
        <v>10</v>
      </c>
      <c r="N265" s="109"/>
      <c r="O265" s="110"/>
      <c r="P265" s="111"/>
      <c r="Q265" s="69">
        <f t="shared" si="286"/>
        <v>0</v>
      </c>
      <c r="R265" s="112"/>
      <c r="S265" s="110"/>
      <c r="T265" s="113"/>
      <c r="U265" s="69">
        <f t="shared" si="287"/>
        <v>0</v>
      </c>
      <c r="V265" s="69">
        <f t="shared" si="288"/>
        <v>0</v>
      </c>
      <c r="W265" s="145"/>
      <c r="Y265" s="25" t="s">
        <v>10</v>
      </c>
      <c r="Z265" s="17"/>
      <c r="AA265" s="18"/>
      <c r="AB265" s="51"/>
      <c r="AC265" s="11">
        <f t="shared" si="289"/>
        <v>0</v>
      </c>
      <c r="AD265" s="20"/>
      <c r="AE265" s="18"/>
      <c r="AF265" s="19"/>
      <c r="AG265" s="11">
        <f t="shared" si="290"/>
        <v>0</v>
      </c>
      <c r="AH265" s="11">
        <f t="shared" si="291"/>
        <v>0</v>
      </c>
      <c r="AI265" s="63"/>
    </row>
    <row r="266" spans="1:35" x14ac:dyDescent="0.15">
      <c r="A266" s="25" t="s">
        <v>11</v>
      </c>
      <c r="B266" s="8">
        <v>5</v>
      </c>
      <c r="C266" s="9">
        <v>5</v>
      </c>
      <c r="D266" s="52">
        <v>3</v>
      </c>
      <c r="E266" s="11">
        <f t="shared" si="292"/>
        <v>13</v>
      </c>
      <c r="F266" s="8">
        <v>5</v>
      </c>
      <c r="G266" s="9">
        <v>5</v>
      </c>
      <c r="H266" s="52">
        <v>3</v>
      </c>
      <c r="I266" s="11">
        <f t="shared" si="293"/>
        <v>13</v>
      </c>
      <c r="J266" s="11">
        <f t="shared" si="294"/>
        <v>26</v>
      </c>
      <c r="K266" s="63">
        <v>44317</v>
      </c>
      <c r="M266" s="25" t="s">
        <v>11</v>
      </c>
      <c r="N266" s="8"/>
      <c r="O266" s="9"/>
      <c r="P266" s="52"/>
      <c r="Q266" s="11">
        <f t="shared" si="286"/>
        <v>0</v>
      </c>
      <c r="R266" s="12"/>
      <c r="S266" s="9"/>
      <c r="T266" s="10"/>
      <c r="U266" s="11">
        <f t="shared" si="287"/>
        <v>0</v>
      </c>
      <c r="V266" s="11">
        <f t="shared" si="288"/>
        <v>0</v>
      </c>
      <c r="W266" s="140"/>
      <c r="Y266" s="25" t="s">
        <v>11</v>
      </c>
      <c r="Z266" s="8"/>
      <c r="AA266" s="9"/>
      <c r="AB266" s="52"/>
      <c r="AC266" s="11">
        <f t="shared" ref="AC266:AC270" si="295">SUM(Z266:AB266)</f>
        <v>0</v>
      </c>
      <c r="AD266" s="12"/>
      <c r="AE266" s="9"/>
      <c r="AF266" s="10"/>
      <c r="AG266" s="11">
        <f t="shared" ref="AG266:AG270" si="296">SUM(AD266:AF266)</f>
        <v>0</v>
      </c>
      <c r="AH266" s="11">
        <f t="shared" ref="AH266:AH270" si="297">AC266+AG266</f>
        <v>0</v>
      </c>
      <c r="AI266" s="82"/>
    </row>
    <row r="267" spans="1:35" x14ac:dyDescent="0.15">
      <c r="A267" s="25" t="s">
        <v>12</v>
      </c>
      <c r="B267" s="8">
        <v>-1</v>
      </c>
      <c r="C267" s="9">
        <v>-1</v>
      </c>
      <c r="D267" s="52">
        <v>6</v>
      </c>
      <c r="E267" s="11">
        <f t="shared" si="292"/>
        <v>4</v>
      </c>
      <c r="F267" s="12"/>
      <c r="G267" s="9"/>
      <c r="H267" s="10">
        <v>-1</v>
      </c>
      <c r="I267" s="11">
        <f t="shared" si="293"/>
        <v>-1</v>
      </c>
      <c r="J267" s="11">
        <f t="shared" si="294"/>
        <v>3</v>
      </c>
      <c r="K267" s="63">
        <v>44317</v>
      </c>
      <c r="L267" s="82"/>
      <c r="M267" s="25" t="s">
        <v>12</v>
      </c>
      <c r="N267" s="8"/>
      <c r="O267" s="9"/>
      <c r="P267" s="52"/>
      <c r="Q267" s="11">
        <f t="shared" si="286"/>
        <v>0</v>
      </c>
      <c r="R267" s="12"/>
      <c r="S267" s="9"/>
      <c r="T267" s="10"/>
      <c r="U267" s="11">
        <f t="shared" si="287"/>
        <v>0</v>
      </c>
      <c r="V267" s="11">
        <f t="shared" si="288"/>
        <v>0</v>
      </c>
      <c r="W267" s="144"/>
      <c r="Y267" s="25" t="s">
        <v>12</v>
      </c>
      <c r="Z267" s="8"/>
      <c r="AA267" s="9"/>
      <c r="AB267" s="52"/>
      <c r="AC267" s="11">
        <f t="shared" si="295"/>
        <v>0</v>
      </c>
      <c r="AD267" s="12"/>
      <c r="AE267" s="9"/>
      <c r="AF267" s="10"/>
      <c r="AG267" s="11">
        <f t="shared" si="296"/>
        <v>0</v>
      </c>
      <c r="AH267" s="11">
        <f t="shared" si="297"/>
        <v>0</v>
      </c>
    </row>
    <row r="268" spans="1:35" x14ac:dyDescent="0.15">
      <c r="A268" s="25" t="s">
        <v>13</v>
      </c>
      <c r="B268" s="8"/>
      <c r="C268" s="9"/>
      <c r="D268" s="52"/>
      <c r="E268" s="11">
        <f t="shared" si="292"/>
        <v>0</v>
      </c>
      <c r="F268" s="12"/>
      <c r="G268" s="9"/>
      <c r="H268" s="10"/>
      <c r="I268" s="11">
        <f t="shared" si="293"/>
        <v>0</v>
      </c>
      <c r="J268" s="11">
        <f t="shared" si="294"/>
        <v>0</v>
      </c>
      <c r="K268" s="63"/>
      <c r="M268" s="25" t="s">
        <v>13</v>
      </c>
      <c r="N268" s="8"/>
      <c r="O268" s="9"/>
      <c r="P268" s="52"/>
      <c r="Q268" s="11">
        <f t="shared" si="286"/>
        <v>0</v>
      </c>
      <c r="R268" s="12"/>
      <c r="S268" s="9"/>
      <c r="T268" s="10"/>
      <c r="U268" s="11">
        <f t="shared" si="287"/>
        <v>0</v>
      </c>
      <c r="V268" s="11">
        <f t="shared" si="288"/>
        <v>0</v>
      </c>
      <c r="W268" s="140"/>
      <c r="Y268" s="25" t="s">
        <v>13</v>
      </c>
      <c r="Z268" s="8"/>
      <c r="AA268" s="9"/>
      <c r="AB268" s="52"/>
      <c r="AC268" s="11">
        <f t="shared" si="295"/>
        <v>0</v>
      </c>
      <c r="AD268" s="12"/>
      <c r="AE268" s="9"/>
      <c r="AF268" s="10"/>
      <c r="AG268" s="11">
        <f t="shared" si="296"/>
        <v>0</v>
      </c>
      <c r="AH268" s="11">
        <f t="shared" si="297"/>
        <v>0</v>
      </c>
    </row>
    <row r="269" spans="1:35" x14ac:dyDescent="0.15">
      <c r="A269" s="25" t="s">
        <v>14</v>
      </c>
      <c r="B269" s="13"/>
      <c r="C269" s="14"/>
      <c r="D269" s="53"/>
      <c r="E269" s="11">
        <f t="shared" si="292"/>
        <v>0</v>
      </c>
      <c r="F269" s="16"/>
      <c r="G269" s="14"/>
      <c r="H269" s="15"/>
      <c r="I269" s="11">
        <f t="shared" si="293"/>
        <v>0</v>
      </c>
      <c r="J269" s="11">
        <f t="shared" si="294"/>
        <v>0</v>
      </c>
      <c r="K269" s="71"/>
      <c r="M269" s="25" t="s">
        <v>14</v>
      </c>
      <c r="N269" s="17">
        <v>72</v>
      </c>
      <c r="O269" s="18">
        <v>31</v>
      </c>
      <c r="P269" s="51">
        <v>56</v>
      </c>
      <c r="Q269" s="49">
        <f t="shared" si="286"/>
        <v>159</v>
      </c>
      <c r="R269" s="20">
        <v>5</v>
      </c>
      <c r="S269" s="18">
        <v>2</v>
      </c>
      <c r="T269" s="19">
        <v>11</v>
      </c>
      <c r="U269" s="11">
        <f t="shared" si="287"/>
        <v>18</v>
      </c>
      <c r="V269" s="11">
        <f t="shared" si="288"/>
        <v>177</v>
      </c>
      <c r="W269" s="140" t="s">
        <v>223</v>
      </c>
      <c r="Y269" s="25" t="s">
        <v>14</v>
      </c>
      <c r="Z269" s="13"/>
      <c r="AA269" s="14"/>
      <c r="AB269" s="53"/>
      <c r="AC269" s="11">
        <f t="shared" si="295"/>
        <v>0</v>
      </c>
      <c r="AD269" s="16"/>
      <c r="AE269" s="14"/>
      <c r="AF269" s="15"/>
      <c r="AG269" s="11">
        <f t="shared" si="296"/>
        <v>0</v>
      </c>
      <c r="AH269" s="11">
        <f t="shared" si="297"/>
        <v>0</v>
      </c>
    </row>
    <row r="270" spans="1:35" ht="14.25" thickBot="1" x14ac:dyDescent="0.2">
      <c r="A270" s="25" t="s">
        <v>15</v>
      </c>
      <c r="B270" s="13"/>
      <c r="C270" s="14"/>
      <c r="D270" s="53"/>
      <c r="E270" s="62">
        <f t="shared" si="292"/>
        <v>0</v>
      </c>
      <c r="F270" s="34"/>
      <c r="G270" s="34"/>
      <c r="H270" s="37"/>
      <c r="I270" s="62">
        <f t="shared" si="293"/>
        <v>0</v>
      </c>
      <c r="J270" s="21">
        <f t="shared" si="294"/>
        <v>0</v>
      </c>
      <c r="K270" s="63"/>
      <c r="M270" s="25" t="s">
        <v>15</v>
      </c>
      <c r="N270" s="13"/>
      <c r="O270" s="14"/>
      <c r="P270" s="53"/>
      <c r="Q270" s="62">
        <f t="shared" si="286"/>
        <v>0</v>
      </c>
      <c r="R270" s="34"/>
      <c r="S270" s="34"/>
      <c r="T270" s="37"/>
      <c r="U270" s="62">
        <f t="shared" si="287"/>
        <v>0</v>
      </c>
      <c r="V270" s="21">
        <f t="shared" si="288"/>
        <v>0</v>
      </c>
      <c r="Y270" s="25" t="s">
        <v>15</v>
      </c>
      <c r="Z270" s="13"/>
      <c r="AA270" s="14"/>
      <c r="AB270" s="53"/>
      <c r="AC270" s="62">
        <f t="shared" si="295"/>
        <v>0</v>
      </c>
      <c r="AD270" s="34"/>
      <c r="AE270" s="34"/>
      <c r="AF270" s="37"/>
      <c r="AG270" s="62">
        <f t="shared" si="296"/>
        <v>0</v>
      </c>
      <c r="AH270" s="21">
        <f t="shared" si="297"/>
        <v>0</v>
      </c>
    </row>
    <row r="271" spans="1:35" ht="14.25" thickBot="1" x14ac:dyDescent="0.2">
      <c r="A271" s="35" t="s">
        <v>16</v>
      </c>
      <c r="B271" s="28">
        <f>SUM(B262:B270)</f>
        <v>20</v>
      </c>
      <c r="C271" s="29">
        <f t="shared" ref="C271:D271" si="298">SUM(C262:C270)</f>
        <v>18</v>
      </c>
      <c r="D271" s="68">
        <f t="shared" si="298"/>
        <v>23</v>
      </c>
      <c r="E271" s="64">
        <f>SUM(B271:D271)</f>
        <v>61</v>
      </c>
      <c r="F271" s="28">
        <f>SUM(F262:F270)</f>
        <v>21</v>
      </c>
      <c r="G271" s="29">
        <f t="shared" ref="G271:H271" si="299">SUM(G262:G270)</f>
        <v>23</v>
      </c>
      <c r="H271" s="68">
        <f t="shared" si="299"/>
        <v>20</v>
      </c>
      <c r="I271" s="64">
        <f>SUM(F271:H271)</f>
        <v>64</v>
      </c>
      <c r="J271" s="31">
        <f>SUM(J263:J270)</f>
        <v>89</v>
      </c>
      <c r="M271" s="35" t="s">
        <v>16</v>
      </c>
      <c r="N271" s="28">
        <f>SUM(N262:N270)</f>
        <v>795</v>
      </c>
      <c r="O271" s="29">
        <f t="shared" ref="O271:P271" si="300">SUM(O262:O270)</f>
        <v>724</v>
      </c>
      <c r="P271" s="68">
        <f t="shared" si="300"/>
        <v>525</v>
      </c>
      <c r="Q271" s="64">
        <f>SUM(N271:P271)</f>
        <v>2044</v>
      </c>
      <c r="R271" s="28">
        <f>SUM(R262:R270)</f>
        <v>619</v>
      </c>
      <c r="S271" s="29">
        <f t="shared" ref="S271:T271" si="301">SUM(S262:S270)</f>
        <v>588</v>
      </c>
      <c r="T271" s="68">
        <f t="shared" si="301"/>
        <v>471</v>
      </c>
      <c r="U271" s="64">
        <f>SUM(R271:T271)</f>
        <v>1678</v>
      </c>
      <c r="V271" s="31">
        <f>Q271+U271</f>
        <v>3722</v>
      </c>
      <c r="Y271" s="35" t="s">
        <v>16</v>
      </c>
      <c r="Z271" s="28">
        <f>SUM(Z262:Z270)</f>
        <v>700</v>
      </c>
      <c r="AA271" s="29">
        <f t="shared" ref="AA271:AB271" si="302">SUM(AA262:AA270)</f>
        <v>550</v>
      </c>
      <c r="AB271" s="68">
        <f t="shared" si="302"/>
        <v>400</v>
      </c>
      <c r="AC271" s="64">
        <f>SUM(Z271:AB271)</f>
        <v>1650</v>
      </c>
      <c r="AD271" s="28">
        <f>SUM(AD262:AD270)</f>
        <v>400</v>
      </c>
      <c r="AE271" s="29">
        <f t="shared" ref="AE271:AF271" si="303">SUM(AE262:AE270)</f>
        <v>250</v>
      </c>
      <c r="AF271" s="68">
        <f t="shared" si="303"/>
        <v>250</v>
      </c>
      <c r="AG271" s="64">
        <f>SUM(AD271:AF271)</f>
        <v>900</v>
      </c>
      <c r="AH271" s="31">
        <f>AC271+AG271</f>
        <v>2550</v>
      </c>
    </row>
    <row r="272" spans="1:35" x14ac:dyDescent="0.15">
      <c r="A272" s="25" t="s">
        <v>33</v>
      </c>
      <c r="B272" s="13">
        <v>1</v>
      </c>
      <c r="C272" s="14"/>
      <c r="D272" s="15"/>
      <c r="E272" s="49">
        <f t="shared" ref="E272" si="304">SUM(B272:D272)</f>
        <v>1</v>
      </c>
      <c r="F272" s="16"/>
      <c r="G272" s="14"/>
      <c r="H272" s="15"/>
      <c r="I272" s="49">
        <f t="shared" ref="I272" si="305">SUM(F272:H272)</f>
        <v>0</v>
      </c>
      <c r="J272" s="11">
        <f t="shared" ref="J272" si="306">E272+I272</f>
        <v>1</v>
      </c>
      <c r="K272" s="63">
        <v>44273</v>
      </c>
      <c r="M272" s="26" t="s">
        <v>40</v>
      </c>
      <c r="N272" s="8">
        <v>10</v>
      </c>
      <c r="O272" s="9">
        <v>10</v>
      </c>
      <c r="P272" s="10">
        <v>10</v>
      </c>
      <c r="Q272" s="49">
        <f t="shared" ref="Q272" si="307">SUM(N272:P272)</f>
        <v>30</v>
      </c>
      <c r="R272" s="12">
        <v>10</v>
      </c>
      <c r="S272" s="9">
        <v>10</v>
      </c>
      <c r="T272" s="10">
        <v>10</v>
      </c>
      <c r="U272" s="49">
        <f t="shared" ref="U272" si="308">SUM(R272:T272)</f>
        <v>30</v>
      </c>
      <c r="V272" s="11">
        <f t="shared" ref="V272" si="309">Q272+U272</f>
        <v>60</v>
      </c>
      <c r="W272" s="140">
        <v>44260</v>
      </c>
      <c r="Y272" s="26" t="s">
        <v>192</v>
      </c>
      <c r="Z272" s="8">
        <v>600</v>
      </c>
      <c r="AA272" s="9">
        <v>478</v>
      </c>
      <c r="AB272" s="52">
        <v>335</v>
      </c>
      <c r="AC272" s="11">
        <f t="shared" ref="AC272" si="310">SUM(Z272:AB272)</f>
        <v>1413</v>
      </c>
      <c r="AD272" s="12">
        <v>391</v>
      </c>
      <c r="AE272" s="9">
        <v>246</v>
      </c>
      <c r="AF272" s="10">
        <v>237</v>
      </c>
      <c r="AG272" s="11">
        <f t="shared" ref="AG272" si="311">SUM(AD272:AF272)</f>
        <v>874</v>
      </c>
      <c r="AH272" s="11">
        <f t="shared" ref="AH272" si="312">AC272+AG272</f>
        <v>2287</v>
      </c>
      <c r="AI272" s="63" t="s">
        <v>206</v>
      </c>
    </row>
    <row r="273" spans="1:35" x14ac:dyDescent="0.15">
      <c r="A273" s="25" t="s">
        <v>33</v>
      </c>
      <c r="B273" s="8"/>
      <c r="C273" s="9"/>
      <c r="D273" s="10">
        <v>1</v>
      </c>
      <c r="E273" s="49">
        <f t="shared" ref="E273:E298" si="313">SUM(B273:D273)</f>
        <v>1</v>
      </c>
      <c r="F273" s="12"/>
      <c r="G273" s="9"/>
      <c r="H273" s="10"/>
      <c r="I273" s="49">
        <f t="shared" ref="I273:I298" si="314">SUM(F273:H273)</f>
        <v>0</v>
      </c>
      <c r="J273" s="11">
        <f t="shared" ref="J273:J297" si="315">E273+I273</f>
        <v>1</v>
      </c>
      <c r="K273" s="63">
        <v>44274</v>
      </c>
      <c r="M273" s="26" t="s">
        <v>208</v>
      </c>
      <c r="N273" s="8"/>
      <c r="O273" s="9"/>
      <c r="P273" s="10"/>
      <c r="Q273" s="49">
        <f t="shared" ref="Q273:Q298" si="316">SUM(N273:P273)</f>
        <v>0</v>
      </c>
      <c r="R273" s="12">
        <v>10</v>
      </c>
      <c r="S273" s="9">
        <v>10</v>
      </c>
      <c r="T273" s="10">
        <v>10</v>
      </c>
      <c r="U273" s="49">
        <f t="shared" ref="U273:U298" si="317">SUM(R273:T273)</f>
        <v>30</v>
      </c>
      <c r="V273" s="11">
        <f t="shared" ref="V273:V297" si="318">Q273+U273</f>
        <v>30</v>
      </c>
      <c r="W273" s="140">
        <v>44285</v>
      </c>
      <c r="Y273" s="26" t="s">
        <v>209</v>
      </c>
      <c r="Z273" s="17">
        <v>42</v>
      </c>
      <c r="AA273" s="18">
        <v>32</v>
      </c>
      <c r="AB273" s="51">
        <v>-1</v>
      </c>
      <c r="AC273" s="11">
        <f t="shared" ref="AC273:AC274" si="319">SUM(Z273:AB273)</f>
        <v>73</v>
      </c>
      <c r="AD273" s="20">
        <v>4</v>
      </c>
      <c r="AE273" s="18">
        <v>2</v>
      </c>
      <c r="AF273" s="19">
        <v>3</v>
      </c>
      <c r="AG273" s="11">
        <f t="shared" ref="AG273:AG274" si="320">SUM(AD273:AF273)</f>
        <v>9</v>
      </c>
      <c r="AH273" s="11">
        <f t="shared" ref="AH273:AH274" si="321">AC273+AG273</f>
        <v>82</v>
      </c>
      <c r="AI273" s="63"/>
    </row>
    <row r="274" spans="1:35" x14ac:dyDescent="0.15">
      <c r="A274" s="25" t="s">
        <v>33</v>
      </c>
      <c r="B274" s="8"/>
      <c r="C274" s="9"/>
      <c r="D274" s="10"/>
      <c r="E274" s="49">
        <f t="shared" si="313"/>
        <v>0</v>
      </c>
      <c r="F274" s="12">
        <v>2</v>
      </c>
      <c r="G274" s="9"/>
      <c r="H274" s="10"/>
      <c r="I274" s="49">
        <f t="shared" si="314"/>
        <v>2</v>
      </c>
      <c r="J274" s="11">
        <f t="shared" si="315"/>
        <v>2</v>
      </c>
      <c r="K274" s="63">
        <v>44277</v>
      </c>
      <c r="M274" s="26" t="s">
        <v>28</v>
      </c>
      <c r="N274" s="8">
        <v>5</v>
      </c>
      <c r="O274" s="9">
        <v>5</v>
      </c>
      <c r="P274" s="52">
        <v>5</v>
      </c>
      <c r="Q274" s="11">
        <f>SUM(N274:P274)</f>
        <v>15</v>
      </c>
      <c r="R274" s="12"/>
      <c r="S274" s="9"/>
      <c r="T274" s="10"/>
      <c r="U274" s="11">
        <f>SUM(R274:T274)</f>
        <v>0</v>
      </c>
      <c r="V274" s="11">
        <f>Q274+U274</f>
        <v>15</v>
      </c>
      <c r="W274" s="140">
        <v>44287</v>
      </c>
      <c r="X274" s="82"/>
      <c r="Y274" s="81" t="s">
        <v>212</v>
      </c>
      <c r="Z274" s="109">
        <v>58</v>
      </c>
      <c r="AA274" s="110">
        <v>40</v>
      </c>
      <c r="AB274" s="111">
        <v>66</v>
      </c>
      <c r="AC274" s="114">
        <f t="shared" si="319"/>
        <v>164</v>
      </c>
      <c r="AD274" s="112">
        <v>5</v>
      </c>
      <c r="AE274" s="110">
        <v>2</v>
      </c>
      <c r="AF274" s="113">
        <v>10</v>
      </c>
      <c r="AG274" s="69">
        <f t="shared" si="320"/>
        <v>17</v>
      </c>
      <c r="AH274" s="69">
        <f t="shared" si="321"/>
        <v>181</v>
      </c>
      <c r="AI274" s="70">
        <v>44313</v>
      </c>
    </row>
    <row r="275" spans="1:35" x14ac:dyDescent="0.15">
      <c r="A275" s="25" t="s">
        <v>33</v>
      </c>
      <c r="B275" s="8"/>
      <c r="C275" s="9">
        <v>2</v>
      </c>
      <c r="D275" s="10"/>
      <c r="E275" s="49">
        <f t="shared" si="313"/>
        <v>2</v>
      </c>
      <c r="F275" s="12"/>
      <c r="G275" s="9">
        <v>1</v>
      </c>
      <c r="H275" s="10"/>
      <c r="I275" s="49">
        <f t="shared" si="314"/>
        <v>1</v>
      </c>
      <c r="J275" s="11">
        <f t="shared" si="315"/>
        <v>3</v>
      </c>
      <c r="K275" s="63">
        <v>44284</v>
      </c>
      <c r="L275" s="82"/>
      <c r="M275" s="26" t="s">
        <v>44</v>
      </c>
      <c r="N275" s="8">
        <v>20</v>
      </c>
      <c r="O275" s="9">
        <v>20</v>
      </c>
      <c r="P275" s="10">
        <v>20</v>
      </c>
      <c r="Q275" s="49">
        <f t="shared" si="316"/>
        <v>60</v>
      </c>
      <c r="R275" s="12">
        <v>20</v>
      </c>
      <c r="S275" s="9">
        <v>20</v>
      </c>
      <c r="T275" s="10">
        <v>20</v>
      </c>
      <c r="U275" s="49">
        <f t="shared" si="317"/>
        <v>60</v>
      </c>
      <c r="V275" s="11">
        <f t="shared" si="318"/>
        <v>120</v>
      </c>
      <c r="W275" s="140">
        <v>44295</v>
      </c>
      <c r="X275" s="82"/>
      <c r="Y275" s="26"/>
      <c r="Z275" s="8"/>
      <c r="AA275" s="9"/>
      <c r="AB275" s="52"/>
      <c r="AC275" s="11">
        <f t="shared" ref="AC275:AC298" si="322">SUM(Z275:AB275)</f>
        <v>0</v>
      </c>
      <c r="AD275" s="12"/>
      <c r="AE275" s="9"/>
      <c r="AF275" s="10"/>
      <c r="AG275" s="11">
        <f t="shared" ref="AG275:AG298" si="323">SUM(AD275:AF275)</f>
        <v>0</v>
      </c>
      <c r="AH275" s="11">
        <f t="shared" ref="AH275:AH297" si="324">AC275+AG275</f>
        <v>0</v>
      </c>
    </row>
    <row r="276" spans="1:35" x14ac:dyDescent="0.15">
      <c r="A276" s="25" t="s">
        <v>33</v>
      </c>
      <c r="B276" s="8"/>
      <c r="C276" s="9">
        <v>1</v>
      </c>
      <c r="D276" s="10"/>
      <c r="E276" s="49">
        <f t="shared" si="313"/>
        <v>1</v>
      </c>
      <c r="F276" s="12"/>
      <c r="G276" s="9">
        <v>1</v>
      </c>
      <c r="H276" s="10"/>
      <c r="I276" s="49">
        <f t="shared" si="314"/>
        <v>1</v>
      </c>
      <c r="J276" s="11">
        <f t="shared" si="315"/>
        <v>2</v>
      </c>
      <c r="K276" s="63">
        <v>44286</v>
      </c>
      <c r="L276" s="82"/>
      <c r="M276" s="26" t="s">
        <v>28</v>
      </c>
      <c r="N276" s="8">
        <v>5</v>
      </c>
      <c r="O276" s="9">
        <v>5</v>
      </c>
      <c r="P276" s="10">
        <v>5</v>
      </c>
      <c r="Q276" s="49">
        <f t="shared" si="316"/>
        <v>15</v>
      </c>
      <c r="R276" s="12"/>
      <c r="S276" s="9"/>
      <c r="T276" s="10"/>
      <c r="U276" s="49">
        <f t="shared" si="317"/>
        <v>0</v>
      </c>
      <c r="V276" s="11">
        <f t="shared" si="318"/>
        <v>15</v>
      </c>
      <c r="W276" s="140">
        <v>44300</v>
      </c>
      <c r="Y276" s="26"/>
      <c r="Z276" s="8"/>
      <c r="AA276" s="9"/>
      <c r="AB276" s="10"/>
      <c r="AC276" s="49">
        <f t="shared" si="322"/>
        <v>0</v>
      </c>
      <c r="AD276" s="12"/>
      <c r="AE276" s="9"/>
      <c r="AF276" s="10"/>
      <c r="AG276" s="49">
        <f t="shared" si="323"/>
        <v>0</v>
      </c>
      <c r="AH276" s="11">
        <f t="shared" si="324"/>
        <v>0</v>
      </c>
    </row>
    <row r="277" spans="1:35" x14ac:dyDescent="0.15">
      <c r="A277" s="25" t="s">
        <v>33</v>
      </c>
      <c r="B277" s="8"/>
      <c r="C277" s="9"/>
      <c r="D277" s="10"/>
      <c r="E277" s="49">
        <f t="shared" si="313"/>
        <v>0</v>
      </c>
      <c r="F277" s="12"/>
      <c r="G277" s="9"/>
      <c r="H277" s="10">
        <v>1</v>
      </c>
      <c r="I277" s="49">
        <f t="shared" si="314"/>
        <v>1</v>
      </c>
      <c r="J277" s="11">
        <f t="shared" si="315"/>
        <v>1</v>
      </c>
      <c r="K277" s="63">
        <v>44288</v>
      </c>
      <c r="M277" s="26" t="s">
        <v>215</v>
      </c>
      <c r="N277" s="8">
        <v>10</v>
      </c>
      <c r="O277" s="9">
        <v>10</v>
      </c>
      <c r="P277" s="10">
        <v>10</v>
      </c>
      <c r="Q277" s="49">
        <f t="shared" si="316"/>
        <v>30</v>
      </c>
      <c r="R277" s="12">
        <v>10</v>
      </c>
      <c r="S277" s="9">
        <v>10</v>
      </c>
      <c r="T277" s="10">
        <v>10</v>
      </c>
      <c r="U277" s="49">
        <f t="shared" si="317"/>
        <v>30</v>
      </c>
      <c r="V277" s="11">
        <f t="shared" si="318"/>
        <v>60</v>
      </c>
      <c r="W277" s="140">
        <v>44309</v>
      </c>
      <c r="Y277" s="26"/>
      <c r="Z277" s="8"/>
      <c r="AA277" s="9"/>
      <c r="AB277" s="10"/>
      <c r="AC277" s="49">
        <f t="shared" si="322"/>
        <v>0</v>
      </c>
      <c r="AD277" s="12"/>
      <c r="AE277" s="9"/>
      <c r="AF277" s="10"/>
      <c r="AG277" s="49">
        <f t="shared" si="323"/>
        <v>0</v>
      </c>
      <c r="AH277" s="11">
        <f t="shared" si="324"/>
        <v>0</v>
      </c>
    </row>
    <row r="278" spans="1:35" ht="14.25" x14ac:dyDescent="0.15">
      <c r="A278" s="25" t="s">
        <v>33</v>
      </c>
      <c r="B278" s="8"/>
      <c r="C278" s="9"/>
      <c r="D278" s="10"/>
      <c r="E278" s="49">
        <f t="shared" si="313"/>
        <v>0</v>
      </c>
      <c r="F278" s="12">
        <v>1</v>
      </c>
      <c r="G278" s="9"/>
      <c r="H278" s="10"/>
      <c r="I278" s="49">
        <f t="shared" si="314"/>
        <v>1</v>
      </c>
      <c r="J278" s="11">
        <f t="shared" si="315"/>
        <v>1</v>
      </c>
      <c r="K278" s="63">
        <v>44291</v>
      </c>
      <c r="M278" s="26" t="s">
        <v>216</v>
      </c>
      <c r="N278" s="8">
        <v>100</v>
      </c>
      <c r="O278" s="9">
        <v>130</v>
      </c>
      <c r="P278" s="10">
        <v>70</v>
      </c>
      <c r="Q278" s="49">
        <f t="shared" si="316"/>
        <v>300</v>
      </c>
      <c r="R278" s="12">
        <v>60</v>
      </c>
      <c r="S278" s="9">
        <v>100</v>
      </c>
      <c r="T278" s="10">
        <v>70</v>
      </c>
      <c r="U278" s="49">
        <f t="shared" si="317"/>
        <v>230</v>
      </c>
      <c r="V278" s="11">
        <f t="shared" si="318"/>
        <v>530</v>
      </c>
      <c r="W278" s="143">
        <v>44316</v>
      </c>
      <c r="Y278" s="24"/>
      <c r="Z278" s="8"/>
      <c r="AA278" s="9"/>
      <c r="AB278" s="10"/>
      <c r="AC278" s="49">
        <f t="shared" si="322"/>
        <v>0</v>
      </c>
      <c r="AD278" s="12"/>
      <c r="AE278" s="9"/>
      <c r="AF278" s="10"/>
      <c r="AG278" s="49">
        <f t="shared" si="323"/>
        <v>0</v>
      </c>
      <c r="AH278" s="11">
        <f t="shared" si="324"/>
        <v>0</v>
      </c>
    </row>
    <row r="279" spans="1:35" ht="14.25" x14ac:dyDescent="0.15">
      <c r="A279" s="25" t="s">
        <v>33</v>
      </c>
      <c r="B279" s="8"/>
      <c r="C279" s="9"/>
      <c r="D279" s="10">
        <v>2</v>
      </c>
      <c r="E279" s="49">
        <f t="shared" si="313"/>
        <v>2</v>
      </c>
      <c r="F279" s="12"/>
      <c r="G279" s="9"/>
      <c r="H279" s="10">
        <v>1</v>
      </c>
      <c r="I279" s="49">
        <f t="shared" si="314"/>
        <v>1</v>
      </c>
      <c r="J279" s="11">
        <f t="shared" si="315"/>
        <v>3</v>
      </c>
      <c r="K279" s="73">
        <v>44294</v>
      </c>
      <c r="M279" s="26" t="s">
        <v>217</v>
      </c>
      <c r="N279" s="8">
        <v>50</v>
      </c>
      <c r="O279" s="9">
        <v>70</v>
      </c>
      <c r="P279" s="10">
        <v>40</v>
      </c>
      <c r="Q279" s="49">
        <f t="shared" si="316"/>
        <v>160</v>
      </c>
      <c r="R279" s="12">
        <v>50</v>
      </c>
      <c r="S279" s="9">
        <v>50</v>
      </c>
      <c r="T279" s="10">
        <v>40</v>
      </c>
      <c r="U279" s="49">
        <f t="shared" si="317"/>
        <v>140</v>
      </c>
      <c r="V279" s="11">
        <f t="shared" si="318"/>
        <v>300</v>
      </c>
      <c r="W279" s="140">
        <v>44316</v>
      </c>
      <c r="Y279" s="26"/>
      <c r="Z279" s="8"/>
      <c r="AA279" s="9"/>
      <c r="AB279" s="10"/>
      <c r="AC279" s="49">
        <f t="shared" si="322"/>
        <v>0</v>
      </c>
      <c r="AD279" s="12"/>
      <c r="AE279" s="9"/>
      <c r="AF279" s="10"/>
      <c r="AG279" s="49">
        <f t="shared" si="323"/>
        <v>0</v>
      </c>
      <c r="AH279" s="11">
        <f t="shared" si="324"/>
        <v>0</v>
      </c>
    </row>
    <row r="280" spans="1:35" x14ac:dyDescent="0.15">
      <c r="A280" s="25" t="s">
        <v>33</v>
      </c>
      <c r="B280" s="8">
        <v>1</v>
      </c>
      <c r="C280" s="9"/>
      <c r="D280" s="10">
        <f>1+2</f>
        <v>3</v>
      </c>
      <c r="E280" s="49">
        <f t="shared" si="313"/>
        <v>4</v>
      </c>
      <c r="F280" s="12">
        <v>1</v>
      </c>
      <c r="G280" s="9">
        <v>1</v>
      </c>
      <c r="H280" s="10">
        <v>1</v>
      </c>
      <c r="I280" s="49">
        <f t="shared" si="314"/>
        <v>3</v>
      </c>
      <c r="J280" s="11">
        <f t="shared" si="315"/>
        <v>7</v>
      </c>
      <c r="K280" s="63">
        <v>44298</v>
      </c>
      <c r="M280" s="23" t="s">
        <v>218</v>
      </c>
      <c r="N280" s="8">
        <v>10</v>
      </c>
      <c r="O280" s="9">
        <v>10</v>
      </c>
      <c r="P280" s="52">
        <v>10</v>
      </c>
      <c r="Q280" s="11">
        <f t="shared" si="316"/>
        <v>30</v>
      </c>
      <c r="R280" s="12">
        <v>10</v>
      </c>
      <c r="S280" s="9">
        <v>10</v>
      </c>
      <c r="T280" s="10">
        <v>10</v>
      </c>
      <c r="U280" s="11">
        <f t="shared" si="317"/>
        <v>30</v>
      </c>
      <c r="V280" s="11">
        <f t="shared" si="318"/>
        <v>60</v>
      </c>
      <c r="W280" s="140">
        <v>44314</v>
      </c>
      <c r="X280" s="82"/>
      <c r="Y280" s="26"/>
      <c r="Z280" s="8"/>
      <c r="AA280" s="9"/>
      <c r="AB280" s="10"/>
      <c r="AC280" s="49">
        <f t="shared" si="322"/>
        <v>0</v>
      </c>
      <c r="AD280" s="12"/>
      <c r="AE280" s="9"/>
      <c r="AF280" s="10"/>
      <c r="AG280" s="49">
        <f t="shared" si="323"/>
        <v>0</v>
      </c>
      <c r="AH280" s="11">
        <f t="shared" si="324"/>
        <v>0</v>
      </c>
    </row>
    <row r="281" spans="1:35" x14ac:dyDescent="0.15">
      <c r="A281" s="25" t="s">
        <v>33</v>
      </c>
      <c r="B281" s="13"/>
      <c r="C281" s="14">
        <v>1</v>
      </c>
      <c r="D281" s="15">
        <v>2</v>
      </c>
      <c r="E281" s="49">
        <f t="shared" si="313"/>
        <v>3</v>
      </c>
      <c r="F281" s="16"/>
      <c r="G281" s="14">
        <v>1</v>
      </c>
      <c r="H281" s="15"/>
      <c r="I281" s="49">
        <f t="shared" si="314"/>
        <v>1</v>
      </c>
      <c r="J281" s="11">
        <f t="shared" si="315"/>
        <v>4</v>
      </c>
      <c r="K281" s="63">
        <v>44299</v>
      </c>
      <c r="M281" s="23" t="s">
        <v>221</v>
      </c>
      <c r="N281" s="13">
        <v>95</v>
      </c>
      <c r="O281" s="14">
        <v>75</v>
      </c>
      <c r="P281" s="15">
        <v>15</v>
      </c>
      <c r="Q281" s="49">
        <f t="shared" si="316"/>
        <v>185</v>
      </c>
      <c r="R281" s="16">
        <v>55</v>
      </c>
      <c r="S281" s="14">
        <v>35</v>
      </c>
      <c r="T281" s="15">
        <v>10</v>
      </c>
      <c r="U281" s="49">
        <f t="shared" si="317"/>
        <v>100</v>
      </c>
      <c r="V281" s="11">
        <f t="shared" si="318"/>
        <v>285</v>
      </c>
      <c r="W281" s="140">
        <v>44329</v>
      </c>
      <c r="Y281" s="26"/>
      <c r="Z281" s="13"/>
      <c r="AA281" s="14"/>
      <c r="AB281" s="15"/>
      <c r="AC281" s="49">
        <f t="shared" si="322"/>
        <v>0</v>
      </c>
      <c r="AD281" s="16"/>
      <c r="AE281" s="14"/>
      <c r="AF281" s="15"/>
      <c r="AG281" s="49">
        <f t="shared" si="323"/>
        <v>0</v>
      </c>
      <c r="AH281" s="11">
        <f t="shared" si="324"/>
        <v>0</v>
      </c>
    </row>
    <row r="282" spans="1:35" x14ac:dyDescent="0.15">
      <c r="A282" s="25" t="s">
        <v>33</v>
      </c>
      <c r="B282" s="8"/>
      <c r="C282" s="9"/>
      <c r="D282" s="10"/>
      <c r="E282" s="49">
        <f t="shared" si="313"/>
        <v>0</v>
      </c>
      <c r="F282" s="12">
        <v>1</v>
      </c>
      <c r="G282" s="9">
        <v>2</v>
      </c>
      <c r="H282" s="10"/>
      <c r="I282" s="49">
        <f t="shared" si="314"/>
        <v>3</v>
      </c>
      <c r="J282" s="11">
        <f t="shared" si="315"/>
        <v>3</v>
      </c>
      <c r="K282" s="63">
        <v>44301</v>
      </c>
      <c r="M282" s="26" t="s">
        <v>222</v>
      </c>
      <c r="N282" s="8">
        <v>40</v>
      </c>
      <c r="O282" s="9"/>
      <c r="P282" s="10">
        <v>35</v>
      </c>
      <c r="Q282" s="49">
        <f t="shared" si="316"/>
        <v>75</v>
      </c>
      <c r="R282" s="12">
        <v>25</v>
      </c>
      <c r="S282" s="9"/>
      <c r="T282" s="10">
        <v>20</v>
      </c>
      <c r="U282" s="49">
        <f t="shared" si="317"/>
        <v>45</v>
      </c>
      <c r="V282" s="11">
        <f t="shared" si="318"/>
        <v>120</v>
      </c>
      <c r="W282" s="140">
        <v>44330</v>
      </c>
      <c r="Y282" s="26"/>
      <c r="Z282" s="8"/>
      <c r="AA282" s="9"/>
      <c r="AB282" s="10"/>
      <c r="AC282" s="49">
        <f t="shared" si="322"/>
        <v>0</v>
      </c>
      <c r="AD282" s="12"/>
      <c r="AE282" s="9"/>
      <c r="AF282" s="10"/>
      <c r="AG282" s="49">
        <f t="shared" si="323"/>
        <v>0</v>
      </c>
      <c r="AH282" s="11">
        <f t="shared" si="324"/>
        <v>0</v>
      </c>
    </row>
    <row r="283" spans="1:35" x14ac:dyDescent="0.15">
      <c r="A283" s="25" t="s">
        <v>33</v>
      </c>
      <c r="B283" s="8"/>
      <c r="C283" s="9"/>
      <c r="D283" s="10"/>
      <c r="E283" s="49">
        <f t="shared" si="313"/>
        <v>0</v>
      </c>
      <c r="F283" s="12">
        <v>1</v>
      </c>
      <c r="G283" s="9"/>
      <c r="H283" s="10"/>
      <c r="I283" s="49">
        <f t="shared" si="314"/>
        <v>1</v>
      </c>
      <c r="J283" s="11">
        <f t="shared" si="315"/>
        <v>1</v>
      </c>
      <c r="K283" s="63">
        <v>44302</v>
      </c>
      <c r="M283" s="23" t="s">
        <v>224</v>
      </c>
      <c r="N283" s="8"/>
      <c r="O283" s="9">
        <v>15</v>
      </c>
      <c r="P283" s="10">
        <v>5</v>
      </c>
      <c r="Q283" s="49">
        <f t="shared" si="316"/>
        <v>20</v>
      </c>
      <c r="R283" s="12">
        <v>15</v>
      </c>
      <c r="S283" s="9">
        <v>5</v>
      </c>
      <c r="T283" s="10">
        <v>10</v>
      </c>
      <c r="U283" s="49">
        <f t="shared" si="317"/>
        <v>30</v>
      </c>
      <c r="V283" s="11">
        <f t="shared" si="318"/>
        <v>50</v>
      </c>
      <c r="W283" s="140">
        <v>44330</v>
      </c>
      <c r="Y283" s="26"/>
      <c r="Z283" s="8"/>
      <c r="AA283" s="9"/>
      <c r="AB283" s="10"/>
      <c r="AC283" s="49">
        <f t="shared" si="322"/>
        <v>0</v>
      </c>
      <c r="AD283" s="12"/>
      <c r="AE283" s="9"/>
      <c r="AF283" s="10"/>
      <c r="AG283" s="49">
        <f t="shared" si="323"/>
        <v>0</v>
      </c>
      <c r="AH283" s="11">
        <f t="shared" si="324"/>
        <v>0</v>
      </c>
    </row>
    <row r="284" spans="1:35" x14ac:dyDescent="0.15">
      <c r="A284" s="25" t="s">
        <v>33</v>
      </c>
      <c r="B284" s="8"/>
      <c r="C284" s="9"/>
      <c r="D284" s="10">
        <v>1</v>
      </c>
      <c r="E284" s="49">
        <f t="shared" si="313"/>
        <v>1</v>
      </c>
      <c r="F284" s="12"/>
      <c r="G284" s="9"/>
      <c r="H284" s="10">
        <v>1</v>
      </c>
      <c r="I284" s="49">
        <f t="shared" si="314"/>
        <v>1</v>
      </c>
      <c r="J284" s="11">
        <f t="shared" si="315"/>
        <v>2</v>
      </c>
      <c r="K284" s="63">
        <v>44305</v>
      </c>
      <c r="M284" s="23" t="s">
        <v>227</v>
      </c>
      <c r="N284" s="8"/>
      <c r="O284" s="9"/>
      <c r="P284" s="10">
        <v>10</v>
      </c>
      <c r="Q284" s="49">
        <f t="shared" si="316"/>
        <v>10</v>
      </c>
      <c r="R284" s="12"/>
      <c r="S284" s="9">
        <v>8</v>
      </c>
      <c r="T284" s="10">
        <v>5</v>
      </c>
      <c r="U284" s="49">
        <f t="shared" si="317"/>
        <v>13</v>
      </c>
      <c r="V284" s="11">
        <f t="shared" si="318"/>
        <v>23</v>
      </c>
      <c r="W284" s="140">
        <v>44335</v>
      </c>
      <c r="X284" s="82"/>
      <c r="Y284" s="26"/>
      <c r="Z284" s="8"/>
      <c r="AA284" s="9"/>
      <c r="AB284" s="10"/>
      <c r="AC284" s="49">
        <f t="shared" si="322"/>
        <v>0</v>
      </c>
      <c r="AD284" s="12"/>
      <c r="AE284" s="9"/>
      <c r="AF284" s="10"/>
      <c r="AG284" s="49">
        <f t="shared" si="323"/>
        <v>0</v>
      </c>
      <c r="AH284" s="11">
        <f t="shared" si="324"/>
        <v>0</v>
      </c>
    </row>
    <row r="285" spans="1:35" x14ac:dyDescent="0.15">
      <c r="A285" s="25" t="s">
        <v>33</v>
      </c>
      <c r="B285" s="8"/>
      <c r="C285" s="9">
        <v>1</v>
      </c>
      <c r="D285" s="10"/>
      <c r="E285" s="49">
        <f t="shared" si="313"/>
        <v>1</v>
      </c>
      <c r="F285" s="12"/>
      <c r="G285" s="9"/>
      <c r="H285" s="10"/>
      <c r="I285" s="49">
        <f t="shared" si="314"/>
        <v>0</v>
      </c>
      <c r="J285" s="11">
        <f t="shared" si="315"/>
        <v>1</v>
      </c>
      <c r="K285" s="63">
        <v>44306</v>
      </c>
      <c r="M285" s="102"/>
      <c r="N285" s="8"/>
      <c r="O285" s="9"/>
      <c r="P285" s="10"/>
      <c r="Q285" s="49">
        <f t="shared" si="316"/>
        <v>0</v>
      </c>
      <c r="R285" s="12"/>
      <c r="S285" s="9"/>
      <c r="T285" s="10"/>
      <c r="U285" s="49">
        <f t="shared" si="317"/>
        <v>0</v>
      </c>
      <c r="V285" s="11">
        <f t="shared" si="318"/>
        <v>0</v>
      </c>
      <c r="W285" s="140"/>
      <c r="X285" s="82"/>
      <c r="Y285" s="26"/>
      <c r="Z285" s="8"/>
      <c r="AA285" s="9"/>
      <c r="AB285" s="10"/>
      <c r="AC285" s="49">
        <f t="shared" si="322"/>
        <v>0</v>
      </c>
      <c r="AD285" s="12"/>
      <c r="AE285" s="9"/>
      <c r="AF285" s="10"/>
      <c r="AG285" s="49">
        <f t="shared" si="323"/>
        <v>0</v>
      </c>
      <c r="AH285" s="11">
        <f t="shared" si="324"/>
        <v>0</v>
      </c>
    </row>
    <row r="286" spans="1:35" x14ac:dyDescent="0.15">
      <c r="A286" s="23" t="s">
        <v>219</v>
      </c>
      <c r="B286" s="8"/>
      <c r="C286" s="9"/>
      <c r="D286" s="10"/>
      <c r="E286" s="49">
        <f t="shared" si="313"/>
        <v>0</v>
      </c>
      <c r="F286" s="12"/>
      <c r="G286" s="9">
        <v>1</v>
      </c>
      <c r="H286" s="10"/>
      <c r="I286" s="49">
        <f t="shared" si="314"/>
        <v>1</v>
      </c>
      <c r="J286" s="11">
        <f t="shared" si="315"/>
        <v>1</v>
      </c>
      <c r="K286" s="63">
        <v>44309</v>
      </c>
      <c r="M286" s="26"/>
      <c r="N286" s="8"/>
      <c r="O286" s="9"/>
      <c r="P286" s="10"/>
      <c r="Q286" s="49">
        <f t="shared" si="316"/>
        <v>0</v>
      </c>
      <c r="R286" s="12"/>
      <c r="S286" s="9"/>
      <c r="T286" s="10"/>
      <c r="U286" s="49">
        <f t="shared" si="317"/>
        <v>0</v>
      </c>
      <c r="V286" s="11">
        <f t="shared" si="318"/>
        <v>0</v>
      </c>
      <c r="W286" s="140"/>
      <c r="Y286" s="26"/>
      <c r="Z286" s="8"/>
      <c r="AA286" s="9"/>
      <c r="AB286" s="10"/>
      <c r="AC286" s="49">
        <f t="shared" si="322"/>
        <v>0</v>
      </c>
      <c r="AD286" s="12"/>
      <c r="AE286" s="9"/>
      <c r="AF286" s="10"/>
      <c r="AG286" s="49">
        <f t="shared" si="323"/>
        <v>0</v>
      </c>
      <c r="AH286" s="11">
        <f t="shared" si="324"/>
        <v>0</v>
      </c>
    </row>
    <row r="287" spans="1:35" x14ac:dyDescent="0.15">
      <c r="A287" s="25" t="s">
        <v>33</v>
      </c>
      <c r="B287" s="8">
        <f>1+1+1+2</f>
        <v>5</v>
      </c>
      <c r="C287" s="9"/>
      <c r="D287" s="10"/>
      <c r="E287" s="49">
        <f t="shared" si="313"/>
        <v>5</v>
      </c>
      <c r="F287" s="12">
        <v>2</v>
      </c>
      <c r="G287" s="9"/>
      <c r="H287" s="10"/>
      <c r="I287" s="49">
        <f t="shared" si="314"/>
        <v>2</v>
      </c>
      <c r="J287" s="11">
        <f t="shared" si="315"/>
        <v>7</v>
      </c>
      <c r="K287" s="63">
        <v>44312</v>
      </c>
      <c r="M287" s="26"/>
      <c r="N287" s="8"/>
      <c r="O287" s="9"/>
      <c r="P287" s="10"/>
      <c r="Q287" s="49">
        <f t="shared" si="316"/>
        <v>0</v>
      </c>
      <c r="R287" s="12"/>
      <c r="S287" s="9"/>
      <c r="T287" s="10"/>
      <c r="U287" s="49">
        <f t="shared" si="317"/>
        <v>0</v>
      </c>
      <c r="V287" s="11">
        <f t="shared" si="318"/>
        <v>0</v>
      </c>
      <c r="W287" s="140"/>
      <c r="Y287" s="24"/>
      <c r="Z287" s="8"/>
      <c r="AA287" s="9"/>
      <c r="AB287" s="10"/>
      <c r="AC287" s="49">
        <f t="shared" si="322"/>
        <v>0</v>
      </c>
      <c r="AD287" s="12"/>
      <c r="AE287" s="9"/>
      <c r="AF287" s="10"/>
      <c r="AG287" s="49">
        <f t="shared" si="323"/>
        <v>0</v>
      </c>
      <c r="AH287" s="11">
        <f t="shared" si="324"/>
        <v>0</v>
      </c>
    </row>
    <row r="288" spans="1:35" x14ac:dyDescent="0.15">
      <c r="A288" s="25" t="s">
        <v>33</v>
      </c>
      <c r="B288" s="8">
        <v>1</v>
      </c>
      <c r="C288" s="9"/>
      <c r="D288" s="10"/>
      <c r="E288" s="49">
        <f t="shared" si="313"/>
        <v>1</v>
      </c>
      <c r="F288" s="12">
        <v>1</v>
      </c>
      <c r="G288" s="9"/>
      <c r="H288" s="10"/>
      <c r="I288" s="49">
        <f t="shared" si="314"/>
        <v>1</v>
      </c>
      <c r="J288" s="11">
        <f t="shared" si="315"/>
        <v>2</v>
      </c>
      <c r="K288" s="63">
        <v>44316</v>
      </c>
      <c r="M288" s="26"/>
      <c r="N288" s="8"/>
      <c r="O288" s="9"/>
      <c r="P288" s="10"/>
      <c r="Q288" s="49">
        <f t="shared" si="316"/>
        <v>0</v>
      </c>
      <c r="R288" s="12"/>
      <c r="S288" s="9"/>
      <c r="T288" s="10"/>
      <c r="U288" s="49">
        <f t="shared" si="317"/>
        <v>0</v>
      </c>
      <c r="V288" s="11">
        <f t="shared" si="318"/>
        <v>0</v>
      </c>
      <c r="W288" s="140"/>
      <c r="Y288" s="26"/>
      <c r="Z288" s="8"/>
      <c r="AA288" s="9"/>
      <c r="AB288" s="10"/>
      <c r="AC288" s="49">
        <f t="shared" si="322"/>
        <v>0</v>
      </c>
      <c r="AD288" s="12"/>
      <c r="AE288" s="9"/>
      <c r="AF288" s="10"/>
      <c r="AG288" s="49">
        <f t="shared" si="323"/>
        <v>0</v>
      </c>
      <c r="AH288" s="11">
        <f t="shared" si="324"/>
        <v>0</v>
      </c>
    </row>
    <row r="289" spans="1:34" x14ac:dyDescent="0.15">
      <c r="A289" s="25" t="s">
        <v>33</v>
      </c>
      <c r="B289" s="8"/>
      <c r="C289" s="9">
        <v>1</v>
      </c>
      <c r="D289" s="10"/>
      <c r="E289" s="49">
        <f t="shared" si="313"/>
        <v>1</v>
      </c>
      <c r="F289" s="12"/>
      <c r="G289" s="9"/>
      <c r="H289" s="10"/>
      <c r="I289" s="49">
        <f t="shared" si="314"/>
        <v>0</v>
      </c>
      <c r="J289" s="11">
        <f t="shared" si="315"/>
        <v>1</v>
      </c>
      <c r="K289" s="63">
        <v>44317</v>
      </c>
      <c r="M289" s="24"/>
      <c r="N289" s="8"/>
      <c r="O289" s="9"/>
      <c r="P289" s="10"/>
      <c r="Q289" s="49">
        <f t="shared" si="316"/>
        <v>0</v>
      </c>
      <c r="R289" s="12"/>
      <c r="S289" s="9"/>
      <c r="T289" s="10"/>
      <c r="U289" s="49">
        <f t="shared" si="317"/>
        <v>0</v>
      </c>
      <c r="V289" s="11">
        <f t="shared" si="318"/>
        <v>0</v>
      </c>
      <c r="W289" s="140"/>
      <c r="Y289" s="24"/>
      <c r="Z289" s="8"/>
      <c r="AA289" s="9"/>
      <c r="AB289" s="10"/>
      <c r="AC289" s="49">
        <f t="shared" si="322"/>
        <v>0</v>
      </c>
      <c r="AD289" s="12"/>
      <c r="AE289" s="9"/>
      <c r="AF289" s="10"/>
      <c r="AG289" s="49">
        <f t="shared" si="323"/>
        <v>0</v>
      </c>
      <c r="AH289" s="11">
        <f t="shared" si="324"/>
        <v>0</v>
      </c>
    </row>
    <row r="290" spans="1:34" x14ac:dyDescent="0.15">
      <c r="A290" s="25" t="s">
        <v>33</v>
      </c>
      <c r="B290" s="8">
        <f>1+1</f>
        <v>2</v>
      </c>
      <c r="C290" s="9">
        <v>1</v>
      </c>
      <c r="D290" s="10"/>
      <c r="E290" s="49">
        <f t="shared" si="313"/>
        <v>3</v>
      </c>
      <c r="F290" s="12">
        <v>1</v>
      </c>
      <c r="G290" s="9">
        <f>1+1</f>
        <v>2</v>
      </c>
      <c r="H290" s="10">
        <v>1</v>
      </c>
      <c r="I290" s="49">
        <f t="shared" si="314"/>
        <v>4</v>
      </c>
      <c r="J290" s="11">
        <f t="shared" si="315"/>
        <v>7</v>
      </c>
      <c r="K290" s="63">
        <v>44322</v>
      </c>
      <c r="M290" s="26"/>
      <c r="N290" s="8"/>
      <c r="O290" s="9"/>
      <c r="P290" s="10"/>
      <c r="Q290" s="49">
        <f t="shared" si="316"/>
        <v>0</v>
      </c>
      <c r="R290" s="12"/>
      <c r="S290" s="9"/>
      <c r="T290" s="10"/>
      <c r="U290" s="49">
        <f t="shared" si="317"/>
        <v>0</v>
      </c>
      <c r="V290" s="11">
        <f t="shared" si="318"/>
        <v>0</v>
      </c>
      <c r="W290" s="140"/>
      <c r="Y290" s="26"/>
      <c r="Z290" s="8"/>
      <c r="AA290" s="9"/>
      <c r="AB290" s="10"/>
      <c r="AC290" s="49">
        <f t="shared" si="322"/>
        <v>0</v>
      </c>
      <c r="AD290" s="12"/>
      <c r="AE290" s="9"/>
      <c r="AF290" s="10"/>
      <c r="AG290" s="49">
        <f t="shared" si="323"/>
        <v>0</v>
      </c>
      <c r="AH290" s="11">
        <f t="shared" si="324"/>
        <v>0</v>
      </c>
    </row>
    <row r="291" spans="1:34" x14ac:dyDescent="0.15">
      <c r="A291" s="25" t="s">
        <v>33</v>
      </c>
      <c r="B291" s="8"/>
      <c r="C291" s="9">
        <v>1</v>
      </c>
      <c r="D291" s="10"/>
      <c r="E291" s="49">
        <f t="shared" si="313"/>
        <v>1</v>
      </c>
      <c r="F291" s="12"/>
      <c r="G291" s="9"/>
      <c r="H291" s="10"/>
      <c r="I291" s="49">
        <f t="shared" si="314"/>
        <v>0</v>
      </c>
      <c r="J291" s="11">
        <f t="shared" si="315"/>
        <v>1</v>
      </c>
      <c r="K291" s="63">
        <v>44323</v>
      </c>
      <c r="M291" s="24"/>
      <c r="N291" s="8"/>
      <c r="O291" s="9"/>
      <c r="P291" s="10"/>
      <c r="Q291" s="49">
        <f t="shared" si="316"/>
        <v>0</v>
      </c>
      <c r="R291" s="12"/>
      <c r="S291" s="9"/>
      <c r="T291" s="10"/>
      <c r="U291" s="49">
        <f t="shared" si="317"/>
        <v>0</v>
      </c>
      <c r="V291" s="11">
        <f t="shared" si="318"/>
        <v>0</v>
      </c>
      <c r="W291" s="140"/>
      <c r="Y291" s="24"/>
      <c r="Z291" s="8"/>
      <c r="AA291" s="9"/>
      <c r="AB291" s="10"/>
      <c r="AC291" s="49">
        <f t="shared" si="322"/>
        <v>0</v>
      </c>
      <c r="AD291" s="12"/>
      <c r="AE291" s="9"/>
      <c r="AF291" s="10"/>
      <c r="AG291" s="49">
        <f t="shared" si="323"/>
        <v>0</v>
      </c>
      <c r="AH291" s="11">
        <f t="shared" si="324"/>
        <v>0</v>
      </c>
    </row>
    <row r="292" spans="1:34" x14ac:dyDescent="0.15">
      <c r="A292" s="25" t="s">
        <v>33</v>
      </c>
      <c r="B292" s="8">
        <v>1</v>
      </c>
      <c r="C292" s="9"/>
      <c r="D292" s="10"/>
      <c r="E292" s="49">
        <f t="shared" si="313"/>
        <v>1</v>
      </c>
      <c r="F292" s="12"/>
      <c r="G292" s="9">
        <f>1+2</f>
        <v>3</v>
      </c>
      <c r="H292" s="10"/>
      <c r="I292" s="49">
        <f t="shared" si="314"/>
        <v>3</v>
      </c>
      <c r="J292" s="11">
        <f t="shared" si="315"/>
        <v>4</v>
      </c>
      <c r="K292" s="63">
        <v>44326</v>
      </c>
      <c r="M292" s="23"/>
      <c r="N292" s="8"/>
      <c r="O292" s="9"/>
      <c r="P292" s="10"/>
      <c r="Q292" s="49">
        <f t="shared" si="316"/>
        <v>0</v>
      </c>
      <c r="R292" s="12"/>
      <c r="S292" s="9"/>
      <c r="T292" s="10"/>
      <c r="U292" s="49">
        <f t="shared" si="317"/>
        <v>0</v>
      </c>
      <c r="V292" s="11">
        <f t="shared" si="318"/>
        <v>0</v>
      </c>
      <c r="W292" s="140"/>
      <c r="Y292" s="26"/>
      <c r="Z292" s="8"/>
      <c r="AA292" s="9"/>
      <c r="AB292" s="10"/>
      <c r="AC292" s="49">
        <f t="shared" si="322"/>
        <v>0</v>
      </c>
      <c r="AD292" s="12"/>
      <c r="AE292" s="9"/>
      <c r="AF292" s="10"/>
      <c r="AG292" s="49">
        <f t="shared" si="323"/>
        <v>0</v>
      </c>
      <c r="AH292" s="11">
        <f t="shared" si="324"/>
        <v>0</v>
      </c>
    </row>
    <row r="293" spans="1:34" x14ac:dyDescent="0.15">
      <c r="A293" s="25" t="s">
        <v>33</v>
      </c>
      <c r="B293" s="13"/>
      <c r="C293" s="14"/>
      <c r="D293" s="15"/>
      <c r="E293" s="49">
        <f t="shared" si="313"/>
        <v>0</v>
      </c>
      <c r="F293" s="16">
        <v>1</v>
      </c>
      <c r="G293" s="14"/>
      <c r="H293" s="15"/>
      <c r="I293" s="49">
        <f t="shared" si="314"/>
        <v>1</v>
      </c>
      <c r="J293" s="11">
        <f t="shared" si="315"/>
        <v>1</v>
      </c>
      <c r="K293" s="63">
        <v>44327</v>
      </c>
      <c r="M293" s="26"/>
      <c r="N293" s="8"/>
      <c r="O293" s="103"/>
      <c r="P293" s="104"/>
      <c r="Q293" s="49">
        <f t="shared" si="316"/>
        <v>0</v>
      </c>
      <c r="R293" s="12"/>
      <c r="S293" s="103"/>
      <c r="T293" s="104"/>
      <c r="U293" s="49">
        <f t="shared" si="317"/>
        <v>0</v>
      </c>
      <c r="V293" s="11">
        <f t="shared" si="318"/>
        <v>0</v>
      </c>
      <c r="W293" s="142"/>
      <c r="Y293" s="26"/>
      <c r="Z293" s="8"/>
      <c r="AA293" s="9"/>
      <c r="AB293" s="10"/>
      <c r="AC293" s="49">
        <f t="shared" si="322"/>
        <v>0</v>
      </c>
      <c r="AD293" s="12"/>
      <c r="AE293" s="9"/>
      <c r="AF293" s="10"/>
      <c r="AG293" s="49">
        <f t="shared" si="323"/>
        <v>0</v>
      </c>
      <c r="AH293" s="11">
        <f t="shared" si="324"/>
        <v>0</v>
      </c>
    </row>
    <row r="294" spans="1:34" x14ac:dyDescent="0.15">
      <c r="A294" s="25" t="s">
        <v>33</v>
      </c>
      <c r="B294" s="8">
        <v>1</v>
      </c>
      <c r="C294" s="9"/>
      <c r="D294" s="10"/>
      <c r="E294" s="49">
        <f t="shared" si="313"/>
        <v>1</v>
      </c>
      <c r="F294" s="12">
        <v>1</v>
      </c>
      <c r="G294" s="9">
        <v>2</v>
      </c>
      <c r="H294" s="10"/>
      <c r="I294" s="49">
        <f t="shared" si="314"/>
        <v>3</v>
      </c>
      <c r="J294" s="11">
        <f t="shared" si="315"/>
        <v>4</v>
      </c>
      <c r="K294" s="63">
        <v>44328</v>
      </c>
      <c r="M294" s="26"/>
      <c r="N294" s="106"/>
      <c r="O294" s="103"/>
      <c r="P294" s="104"/>
      <c r="Q294" s="49">
        <f t="shared" si="316"/>
        <v>0</v>
      </c>
      <c r="R294" s="107"/>
      <c r="S294" s="103"/>
      <c r="T294" s="104"/>
      <c r="U294" s="49">
        <f t="shared" si="317"/>
        <v>0</v>
      </c>
      <c r="V294" s="11">
        <f t="shared" si="318"/>
        <v>0</v>
      </c>
      <c r="W294" s="142"/>
      <c r="Y294" s="26"/>
      <c r="Z294" s="8"/>
      <c r="AA294" s="9"/>
      <c r="AB294" s="10"/>
      <c r="AC294" s="49">
        <f t="shared" si="322"/>
        <v>0</v>
      </c>
      <c r="AD294" s="12"/>
      <c r="AE294" s="9"/>
      <c r="AF294" s="10"/>
      <c r="AG294" s="49">
        <f t="shared" si="323"/>
        <v>0</v>
      </c>
      <c r="AH294" s="11">
        <f t="shared" si="324"/>
        <v>0</v>
      </c>
    </row>
    <row r="295" spans="1:34" x14ac:dyDescent="0.15">
      <c r="A295" s="25" t="s">
        <v>33</v>
      </c>
      <c r="B295" s="8"/>
      <c r="C295" s="9"/>
      <c r="D295" s="10"/>
      <c r="E295" s="49">
        <f t="shared" si="313"/>
        <v>0</v>
      </c>
      <c r="F295" s="12">
        <v>1</v>
      </c>
      <c r="G295" s="9"/>
      <c r="H295" s="10"/>
      <c r="I295" s="49">
        <f t="shared" si="314"/>
        <v>1</v>
      </c>
      <c r="J295" s="11">
        <f t="shared" si="315"/>
        <v>1</v>
      </c>
      <c r="K295" s="63">
        <v>44330</v>
      </c>
      <c r="M295" s="26"/>
      <c r="N295" s="106"/>
      <c r="O295" s="103"/>
      <c r="P295" s="104"/>
      <c r="Q295" s="49">
        <f t="shared" si="316"/>
        <v>0</v>
      </c>
      <c r="R295" s="107"/>
      <c r="S295" s="103"/>
      <c r="T295" s="104"/>
      <c r="U295" s="49">
        <f t="shared" si="317"/>
        <v>0</v>
      </c>
      <c r="V295" s="11">
        <f t="shared" si="318"/>
        <v>0</v>
      </c>
      <c r="W295" s="142"/>
      <c r="Y295" s="26"/>
      <c r="Z295" s="8"/>
      <c r="AA295" s="9"/>
      <c r="AB295" s="10"/>
      <c r="AC295" s="49">
        <f t="shared" si="322"/>
        <v>0</v>
      </c>
      <c r="AD295" s="12"/>
      <c r="AE295" s="9"/>
      <c r="AF295" s="10"/>
      <c r="AG295" s="49">
        <f t="shared" si="323"/>
        <v>0</v>
      </c>
      <c r="AH295" s="11">
        <f t="shared" si="324"/>
        <v>0</v>
      </c>
    </row>
    <row r="296" spans="1:34" x14ac:dyDescent="0.15">
      <c r="A296" s="25" t="s">
        <v>33</v>
      </c>
      <c r="B296" s="8">
        <v>1</v>
      </c>
      <c r="C296" s="9">
        <v>2</v>
      </c>
      <c r="D296" s="10"/>
      <c r="E296" s="49">
        <f t="shared" si="313"/>
        <v>3</v>
      </c>
      <c r="F296" s="12">
        <v>1</v>
      </c>
      <c r="G296" s="9">
        <f>1+1</f>
        <v>2</v>
      </c>
      <c r="H296" s="10"/>
      <c r="I296" s="49">
        <f t="shared" si="314"/>
        <v>3</v>
      </c>
      <c r="J296" s="11">
        <f t="shared" si="315"/>
        <v>6</v>
      </c>
      <c r="K296" s="63">
        <v>44331</v>
      </c>
      <c r="M296" s="23" t="s">
        <v>199</v>
      </c>
      <c r="N296" s="8"/>
      <c r="O296" s="9"/>
      <c r="P296" s="10"/>
      <c r="Q296" s="49">
        <f t="shared" si="316"/>
        <v>0</v>
      </c>
      <c r="R296" s="12"/>
      <c r="S296" s="9"/>
      <c r="T296" s="10"/>
      <c r="U296" s="49">
        <f t="shared" si="317"/>
        <v>0</v>
      </c>
      <c r="V296" s="11">
        <f t="shared" si="318"/>
        <v>0</v>
      </c>
      <c r="W296" s="140" t="s">
        <v>205</v>
      </c>
      <c r="X296" s="82"/>
      <c r="Y296" s="26"/>
      <c r="Z296" s="8"/>
      <c r="AA296" s="9"/>
      <c r="AB296" s="10"/>
      <c r="AC296" s="49">
        <f t="shared" si="322"/>
        <v>0</v>
      </c>
      <c r="AD296" s="12"/>
      <c r="AE296" s="9"/>
      <c r="AF296" s="10"/>
      <c r="AG296" s="49">
        <f t="shared" si="323"/>
        <v>0</v>
      </c>
      <c r="AH296" s="11">
        <f t="shared" si="324"/>
        <v>0</v>
      </c>
    </row>
    <row r="297" spans="1:34" ht="14.25" thickBot="1" x14ac:dyDescent="0.2">
      <c r="A297" s="23" t="s">
        <v>226</v>
      </c>
      <c r="B297" s="13"/>
      <c r="C297" s="14"/>
      <c r="D297" s="15">
        <v>5</v>
      </c>
      <c r="E297" s="55">
        <f t="shared" si="313"/>
        <v>5</v>
      </c>
      <c r="F297" s="16"/>
      <c r="G297" s="14"/>
      <c r="H297" s="15"/>
      <c r="I297" s="55">
        <f t="shared" si="314"/>
        <v>0</v>
      </c>
      <c r="J297" s="11">
        <f t="shared" si="315"/>
        <v>5</v>
      </c>
      <c r="K297" s="63">
        <v>44335</v>
      </c>
      <c r="M297" s="26" t="s">
        <v>196</v>
      </c>
      <c r="N297" s="8"/>
      <c r="O297" s="9"/>
      <c r="P297" s="10"/>
      <c r="Q297" s="49">
        <f t="shared" si="316"/>
        <v>0</v>
      </c>
      <c r="R297" s="12"/>
      <c r="S297" s="9"/>
      <c r="T297" s="10"/>
      <c r="U297" s="49">
        <f t="shared" si="317"/>
        <v>0</v>
      </c>
      <c r="V297" s="11">
        <f t="shared" si="318"/>
        <v>0</v>
      </c>
      <c r="W297" s="142" t="s">
        <v>197</v>
      </c>
      <c r="X297" s="82"/>
      <c r="Y297" s="92"/>
      <c r="Z297" s="13"/>
      <c r="AA297" s="14"/>
      <c r="AB297" s="15"/>
      <c r="AC297" s="49">
        <f t="shared" si="322"/>
        <v>0</v>
      </c>
      <c r="AD297" s="16"/>
      <c r="AE297" s="14"/>
      <c r="AF297" s="15"/>
      <c r="AG297" s="49">
        <f t="shared" si="323"/>
        <v>0</v>
      </c>
      <c r="AH297" s="11">
        <f t="shared" si="324"/>
        <v>0</v>
      </c>
    </row>
    <row r="298" spans="1:34" ht="14.25" thickBot="1" x14ac:dyDescent="0.2">
      <c r="A298" s="41" t="s">
        <v>19</v>
      </c>
      <c r="B298" s="46">
        <f>SUM(B272:B297)</f>
        <v>13</v>
      </c>
      <c r="C298" s="47">
        <f t="shared" ref="C298:D298" si="325">SUM(C272:C297)</f>
        <v>10</v>
      </c>
      <c r="D298" s="59">
        <f t="shared" si="325"/>
        <v>14</v>
      </c>
      <c r="E298" s="45">
        <f t="shared" si="313"/>
        <v>37</v>
      </c>
      <c r="F298" s="46">
        <f>SUM(F272:F297)</f>
        <v>14</v>
      </c>
      <c r="G298" s="47">
        <f t="shared" ref="G298:H298" si="326">SUM(G272:G297)</f>
        <v>16</v>
      </c>
      <c r="H298" s="59">
        <f t="shared" si="326"/>
        <v>5</v>
      </c>
      <c r="I298" s="45">
        <f t="shared" si="314"/>
        <v>35</v>
      </c>
      <c r="J298" s="45">
        <f>E298+I298</f>
        <v>72</v>
      </c>
      <c r="M298" s="41" t="s">
        <v>19</v>
      </c>
      <c r="N298" s="46">
        <f>SUM(N272:N297)</f>
        <v>345</v>
      </c>
      <c r="O298" s="47">
        <f t="shared" ref="O298:P298" si="327">SUM(O272:O297)</f>
        <v>350</v>
      </c>
      <c r="P298" s="59">
        <f t="shared" si="327"/>
        <v>235</v>
      </c>
      <c r="Q298" s="45">
        <f t="shared" si="316"/>
        <v>930</v>
      </c>
      <c r="R298" s="46">
        <f>SUM(R272:R297)</f>
        <v>265</v>
      </c>
      <c r="S298" s="47">
        <f t="shared" ref="S298:T298" si="328">SUM(S272:S297)</f>
        <v>258</v>
      </c>
      <c r="T298" s="59">
        <f t="shared" si="328"/>
        <v>215</v>
      </c>
      <c r="U298" s="45">
        <f t="shared" si="317"/>
        <v>738</v>
      </c>
      <c r="V298" s="45">
        <f>Q298+U298</f>
        <v>1668</v>
      </c>
      <c r="Y298" s="41" t="s">
        <v>19</v>
      </c>
      <c r="Z298" s="46">
        <f>SUM(Z272:Z297)</f>
        <v>700</v>
      </c>
      <c r="AA298" s="47">
        <f t="shared" ref="AA298:AB298" si="329">SUM(AA272:AA297)</f>
        <v>550</v>
      </c>
      <c r="AB298" s="59">
        <f t="shared" si="329"/>
        <v>400</v>
      </c>
      <c r="AC298" s="45">
        <f t="shared" si="322"/>
        <v>1650</v>
      </c>
      <c r="AD298" s="46">
        <f>SUM(AD272:AD297)</f>
        <v>400</v>
      </c>
      <c r="AE298" s="47">
        <f t="shared" ref="AE298:AF298" si="330">SUM(AE272:AE297)</f>
        <v>250</v>
      </c>
      <c r="AF298" s="59">
        <f t="shared" si="330"/>
        <v>250</v>
      </c>
      <c r="AG298" s="45">
        <f t="shared" si="323"/>
        <v>900</v>
      </c>
      <c r="AH298" s="45">
        <f>AC298+AG298</f>
        <v>2550</v>
      </c>
    </row>
    <row r="299" spans="1:34" ht="14.25" thickBot="1" x14ac:dyDescent="0.2">
      <c r="A299" s="22" t="s">
        <v>17</v>
      </c>
      <c r="B299" s="50">
        <f>B271-B298</f>
        <v>7</v>
      </c>
      <c r="C299" s="57">
        <f t="shared" ref="C299:D299" si="331">C271-C298</f>
        <v>8</v>
      </c>
      <c r="D299" s="58">
        <f t="shared" si="331"/>
        <v>9</v>
      </c>
      <c r="E299" s="56">
        <f>SUM(B299:D299)</f>
        <v>24</v>
      </c>
      <c r="F299" s="50">
        <f>F271-F298</f>
        <v>7</v>
      </c>
      <c r="G299" s="57">
        <f t="shared" ref="G299:H299" si="332">G271-G298</f>
        <v>7</v>
      </c>
      <c r="H299" s="58">
        <f t="shared" si="332"/>
        <v>15</v>
      </c>
      <c r="I299" s="56">
        <f>SUM(F299:H299)</f>
        <v>29</v>
      </c>
      <c r="J299" s="31">
        <f>E299+I299</f>
        <v>53</v>
      </c>
      <c r="M299" s="22" t="s">
        <v>17</v>
      </c>
      <c r="N299" s="50">
        <f>N271-N298</f>
        <v>450</v>
      </c>
      <c r="O299" s="57">
        <f t="shared" ref="O299:P299" si="333">O271-O298</f>
        <v>374</v>
      </c>
      <c r="P299" s="58">
        <f t="shared" si="333"/>
        <v>290</v>
      </c>
      <c r="Q299" s="56">
        <f>SUM(N299:P299)</f>
        <v>1114</v>
      </c>
      <c r="R299" s="50">
        <f>R271-R298</f>
        <v>354</v>
      </c>
      <c r="S299" s="57">
        <f t="shared" ref="S299:T299" si="334">S271-S298</f>
        <v>330</v>
      </c>
      <c r="T299" s="58">
        <f t="shared" si="334"/>
        <v>256</v>
      </c>
      <c r="U299" s="56">
        <f>SUM(R299:T299)</f>
        <v>940</v>
      </c>
      <c r="V299" s="31">
        <f>Q299+U299</f>
        <v>2054</v>
      </c>
      <c r="Y299" s="22" t="s">
        <v>17</v>
      </c>
      <c r="Z299" s="50">
        <f>Z271-Z298</f>
        <v>0</v>
      </c>
      <c r="AA299" s="57">
        <f t="shared" ref="AA299:AB299" si="335">AA271-AA298</f>
        <v>0</v>
      </c>
      <c r="AB299" s="58">
        <f t="shared" si="335"/>
        <v>0</v>
      </c>
      <c r="AC299" s="56">
        <f>SUM(Z299:AB299)</f>
        <v>0</v>
      </c>
      <c r="AD299" s="50">
        <f>AD271-AD298</f>
        <v>0</v>
      </c>
      <c r="AE299" s="57">
        <f t="shared" ref="AE299:AF299" si="336">AE271-AE298</f>
        <v>0</v>
      </c>
      <c r="AF299" s="58">
        <f t="shared" si="336"/>
        <v>0</v>
      </c>
      <c r="AG299" s="56">
        <f>SUM(AD299:AF299)</f>
        <v>0</v>
      </c>
      <c r="AH299" s="31">
        <f>AC299+AG299</f>
        <v>0</v>
      </c>
    </row>
    <row r="302" spans="1:34" ht="19.5" thickBot="1" x14ac:dyDescent="0.25">
      <c r="A302" s="3" t="s">
        <v>21</v>
      </c>
      <c r="B302" s="1"/>
      <c r="C302" s="1"/>
      <c r="D302" s="1"/>
      <c r="E302" s="1"/>
      <c r="F302" s="1"/>
      <c r="G302" s="1"/>
      <c r="H302" s="1"/>
      <c r="I302" s="1"/>
      <c r="J302" s="1"/>
      <c r="M302" s="3" t="s">
        <v>22</v>
      </c>
      <c r="N302" s="1"/>
      <c r="O302" s="1"/>
      <c r="P302" s="1"/>
      <c r="Q302" s="1"/>
      <c r="R302" s="1"/>
      <c r="S302" s="1"/>
      <c r="T302" s="1"/>
      <c r="U302" s="1"/>
      <c r="V302" s="1"/>
      <c r="Y302" s="3" t="s">
        <v>23</v>
      </c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4.25" thickBot="1" x14ac:dyDescent="0.2">
      <c r="A303" s="7" t="s">
        <v>0</v>
      </c>
      <c r="B303" s="165" t="s">
        <v>24</v>
      </c>
      <c r="C303" s="166"/>
      <c r="D303" s="166"/>
      <c r="E303" s="170"/>
      <c r="F303" s="165" t="s">
        <v>18</v>
      </c>
      <c r="G303" s="166"/>
      <c r="H303" s="166"/>
      <c r="I303" s="167"/>
      <c r="J303" s="168" t="s">
        <v>1</v>
      </c>
      <c r="M303" s="7" t="s">
        <v>0</v>
      </c>
      <c r="N303" s="165" t="s">
        <v>24</v>
      </c>
      <c r="O303" s="166"/>
      <c r="P303" s="166"/>
      <c r="Q303" s="170"/>
      <c r="R303" s="165" t="s">
        <v>18</v>
      </c>
      <c r="S303" s="166"/>
      <c r="T303" s="166"/>
      <c r="U303" s="167"/>
      <c r="V303" s="168" t="s">
        <v>1</v>
      </c>
      <c r="Y303" s="7" t="s">
        <v>0</v>
      </c>
      <c r="Z303" s="165" t="s">
        <v>24</v>
      </c>
      <c r="AA303" s="166"/>
      <c r="AB303" s="166"/>
      <c r="AC303" s="170"/>
      <c r="AD303" s="165" t="s">
        <v>18</v>
      </c>
      <c r="AE303" s="166"/>
      <c r="AF303" s="166"/>
      <c r="AG303" s="167"/>
      <c r="AH303" s="168" t="s">
        <v>1</v>
      </c>
    </row>
    <row r="304" spans="1:34" ht="14.25" thickBot="1" x14ac:dyDescent="0.2">
      <c r="A304" s="7" t="s">
        <v>2</v>
      </c>
      <c r="B304" s="4" t="s">
        <v>3</v>
      </c>
      <c r="C304" s="5" t="s">
        <v>4</v>
      </c>
      <c r="D304" s="6" t="s">
        <v>5</v>
      </c>
      <c r="E304" s="7" t="s">
        <v>6</v>
      </c>
      <c r="F304" s="4" t="s">
        <v>3</v>
      </c>
      <c r="G304" s="5" t="s">
        <v>4</v>
      </c>
      <c r="H304" s="6" t="s">
        <v>5</v>
      </c>
      <c r="I304" s="7" t="s">
        <v>6</v>
      </c>
      <c r="J304" s="169"/>
      <c r="M304" s="7" t="s">
        <v>2</v>
      </c>
      <c r="N304" s="4" t="s">
        <v>3</v>
      </c>
      <c r="O304" s="5" t="s">
        <v>4</v>
      </c>
      <c r="P304" s="6" t="s">
        <v>5</v>
      </c>
      <c r="Q304" s="7" t="s">
        <v>6</v>
      </c>
      <c r="R304" s="4" t="s">
        <v>3</v>
      </c>
      <c r="S304" s="5" t="s">
        <v>4</v>
      </c>
      <c r="T304" s="6" t="s">
        <v>5</v>
      </c>
      <c r="U304" s="7" t="s">
        <v>6</v>
      </c>
      <c r="V304" s="169"/>
      <c r="Y304" s="7" t="s">
        <v>2</v>
      </c>
      <c r="Z304" s="4" t="s">
        <v>3</v>
      </c>
      <c r="AA304" s="5" t="s">
        <v>4</v>
      </c>
      <c r="AB304" s="6" t="s">
        <v>5</v>
      </c>
      <c r="AC304" s="7" t="s">
        <v>6</v>
      </c>
      <c r="AD304" s="4" t="s">
        <v>3</v>
      </c>
      <c r="AE304" s="5" t="s">
        <v>4</v>
      </c>
      <c r="AF304" s="6" t="s">
        <v>5</v>
      </c>
      <c r="AG304" s="7" t="s">
        <v>6</v>
      </c>
      <c r="AH304" s="169"/>
    </row>
    <row r="305" spans="1:35" ht="14.25" thickBot="1" x14ac:dyDescent="0.2">
      <c r="A305" s="27" t="s">
        <v>20</v>
      </c>
      <c r="B305" s="38">
        <f>B299</f>
        <v>7</v>
      </c>
      <c r="C305" s="39">
        <f>C299</f>
        <v>8</v>
      </c>
      <c r="D305" s="2">
        <f>D299</f>
        <v>9</v>
      </c>
      <c r="E305" s="36">
        <f>SUM(B305:D305)</f>
        <v>24</v>
      </c>
      <c r="F305" s="38">
        <f>F299</f>
        <v>7</v>
      </c>
      <c r="G305" s="39">
        <f>G299</f>
        <v>7</v>
      </c>
      <c r="H305" s="2">
        <f>H299</f>
        <v>15</v>
      </c>
      <c r="I305" s="36">
        <f>SUM(F305:H305)</f>
        <v>29</v>
      </c>
      <c r="J305" s="36">
        <f>E305+I305</f>
        <v>53</v>
      </c>
      <c r="M305" s="27" t="s">
        <v>20</v>
      </c>
      <c r="N305" s="38">
        <f>N299</f>
        <v>450</v>
      </c>
      <c r="O305" s="39">
        <f>O299</f>
        <v>374</v>
      </c>
      <c r="P305" s="2">
        <f>P299</f>
        <v>290</v>
      </c>
      <c r="Q305" s="36">
        <f>SUM(N305:P305)</f>
        <v>1114</v>
      </c>
      <c r="R305" s="38">
        <f>R299</f>
        <v>354</v>
      </c>
      <c r="S305" s="39">
        <f>S299</f>
        <v>330</v>
      </c>
      <c r="T305" s="2">
        <f>T299</f>
        <v>256</v>
      </c>
      <c r="U305" s="36">
        <f>SUM(R305:T305)</f>
        <v>940</v>
      </c>
      <c r="V305" s="36">
        <f>Q305+U305</f>
        <v>2054</v>
      </c>
      <c r="Y305" s="27" t="s">
        <v>20</v>
      </c>
      <c r="Z305" s="38">
        <f>Z299</f>
        <v>0</v>
      </c>
      <c r="AA305" s="39">
        <f>AA299</f>
        <v>0</v>
      </c>
      <c r="AB305" s="2">
        <f>AB299</f>
        <v>0</v>
      </c>
      <c r="AC305" s="36">
        <f>SUM(Z305:AB305)</f>
        <v>0</v>
      </c>
      <c r="AD305" s="38">
        <f>AD299</f>
        <v>0</v>
      </c>
      <c r="AE305" s="39">
        <f>AE299</f>
        <v>0</v>
      </c>
      <c r="AF305" s="2">
        <f>AF299</f>
        <v>0</v>
      </c>
      <c r="AG305" s="36">
        <f>SUM(AD305:AF305)</f>
        <v>0</v>
      </c>
      <c r="AH305" s="36">
        <f>AC305+AG305</f>
        <v>0</v>
      </c>
    </row>
    <row r="306" spans="1:35" x14ac:dyDescent="0.15">
      <c r="A306" s="25" t="s">
        <v>8</v>
      </c>
      <c r="B306" s="42"/>
      <c r="C306" s="43"/>
      <c r="D306" s="44">
        <v>5</v>
      </c>
      <c r="E306" s="48">
        <f>SUM(B306:D306)</f>
        <v>5</v>
      </c>
      <c r="F306" s="60"/>
      <c r="G306" s="43"/>
      <c r="H306" s="61"/>
      <c r="I306" s="48">
        <f>SUM(F306:H306)</f>
        <v>0</v>
      </c>
      <c r="J306" s="48">
        <f>E306+I306</f>
        <v>5</v>
      </c>
      <c r="K306" s="63">
        <v>44334</v>
      </c>
      <c r="M306" s="25" t="s">
        <v>8</v>
      </c>
      <c r="N306" s="89"/>
      <c r="O306" s="79"/>
      <c r="P306" s="76"/>
      <c r="Q306" s="77">
        <f>SUM(N306:P306)</f>
        <v>0</v>
      </c>
      <c r="R306" s="78"/>
      <c r="S306" s="79"/>
      <c r="T306" s="76"/>
      <c r="U306" s="48">
        <f>SUM(R306:T306)</f>
        <v>0</v>
      </c>
      <c r="V306" s="48">
        <f>Q306+U306</f>
        <v>0</v>
      </c>
      <c r="W306" s="140"/>
      <c r="Y306" s="25" t="s">
        <v>8</v>
      </c>
      <c r="Z306" s="42"/>
      <c r="AA306" s="43"/>
      <c r="AB306" s="44"/>
      <c r="AC306" s="48">
        <f>SUM(Z306:AB306)</f>
        <v>0</v>
      </c>
      <c r="AD306" s="60"/>
      <c r="AE306" s="43"/>
      <c r="AF306" s="61"/>
      <c r="AG306" s="48">
        <f>SUM(AD306:AF306)</f>
        <v>0</v>
      </c>
      <c r="AH306" s="48">
        <f>AC306+AG306</f>
        <v>0</v>
      </c>
    </row>
    <row r="307" spans="1:35" x14ac:dyDescent="0.15">
      <c r="A307" s="25" t="s">
        <v>9</v>
      </c>
      <c r="B307" s="8">
        <v>5</v>
      </c>
      <c r="C307" s="9">
        <v>5</v>
      </c>
      <c r="D307" s="52"/>
      <c r="E307" s="11">
        <f>SUM(B307:D307)</f>
        <v>10</v>
      </c>
      <c r="F307" s="12">
        <v>5</v>
      </c>
      <c r="G307" s="9">
        <v>5</v>
      </c>
      <c r="H307" s="10"/>
      <c r="I307" s="11">
        <f>SUM(F307:H307)</f>
        <v>10</v>
      </c>
      <c r="J307" s="11">
        <f>E307+I307</f>
        <v>20</v>
      </c>
      <c r="K307" s="63">
        <v>44337</v>
      </c>
      <c r="M307" s="25" t="s">
        <v>9</v>
      </c>
      <c r="N307" s="17"/>
      <c r="O307" s="18"/>
      <c r="P307" s="51"/>
      <c r="Q307" s="49">
        <f t="shared" ref="Q307" si="337">SUM(N307:P307)</f>
        <v>0</v>
      </c>
      <c r="R307" s="20"/>
      <c r="S307" s="18"/>
      <c r="T307" s="19"/>
      <c r="U307" s="11">
        <f t="shared" ref="U307" si="338">SUM(R307:T307)</f>
        <v>0</v>
      </c>
      <c r="V307" s="11">
        <f t="shared" ref="V307" si="339">Q307+U307</f>
        <v>0</v>
      </c>
      <c r="W307" s="140"/>
      <c r="Y307" s="25" t="s">
        <v>9</v>
      </c>
      <c r="Z307" s="8"/>
      <c r="AA307" s="9"/>
      <c r="AB307" s="52"/>
      <c r="AC307" s="11">
        <f t="shared" ref="AC307:AC313" si="340">SUM(Z307:AB307)</f>
        <v>0</v>
      </c>
      <c r="AD307" s="12"/>
      <c r="AE307" s="9"/>
      <c r="AF307" s="10"/>
      <c r="AG307" s="11">
        <f t="shared" ref="AG307:AG313" si="341">SUM(AD307:AF307)</f>
        <v>0</v>
      </c>
      <c r="AH307" s="11">
        <f t="shared" ref="AH307:AH313" si="342">AC307+AG307</f>
        <v>0</v>
      </c>
      <c r="AI307" s="63"/>
    </row>
    <row r="308" spans="1:35" x14ac:dyDescent="0.15">
      <c r="A308" s="25" t="s">
        <v>10</v>
      </c>
      <c r="B308" s="17">
        <v>5</v>
      </c>
      <c r="C308" s="18">
        <v>5</v>
      </c>
      <c r="D308" s="51">
        <v>5</v>
      </c>
      <c r="E308" s="11">
        <f t="shared" ref="E308:E313" si="343">SUM(B308:D308)</f>
        <v>15</v>
      </c>
      <c r="F308" s="20"/>
      <c r="G308" s="18">
        <v>5</v>
      </c>
      <c r="H308" s="19"/>
      <c r="I308" s="11">
        <f t="shared" ref="I308:I313" si="344">SUM(F308:H308)</f>
        <v>5</v>
      </c>
      <c r="J308" s="11">
        <f t="shared" ref="J308:J313" si="345">E308+I308</f>
        <v>20</v>
      </c>
      <c r="K308" s="63">
        <v>44345</v>
      </c>
      <c r="M308" s="25" t="s">
        <v>230</v>
      </c>
      <c r="N308" s="17">
        <v>199</v>
      </c>
      <c r="O308" s="18">
        <v>200</v>
      </c>
      <c r="P308" s="51">
        <v>178</v>
      </c>
      <c r="Q308" s="11">
        <f t="shared" ref="Q308:Q313" si="346">SUM(N308:P308)</f>
        <v>577</v>
      </c>
      <c r="R308" s="20">
        <v>200</v>
      </c>
      <c r="S308" s="18">
        <v>197</v>
      </c>
      <c r="T308" s="19">
        <v>200</v>
      </c>
      <c r="U308" s="11">
        <f t="shared" ref="U308:U313" si="347">SUM(R308:T308)</f>
        <v>597</v>
      </c>
      <c r="V308" s="11">
        <f t="shared" ref="V308:V313" si="348">Q308+U308</f>
        <v>1174</v>
      </c>
      <c r="W308" s="140" t="s">
        <v>234</v>
      </c>
      <c r="Y308" s="87" t="s">
        <v>10</v>
      </c>
      <c r="Z308" s="109">
        <v>500</v>
      </c>
      <c r="AA308" s="110">
        <v>900</v>
      </c>
      <c r="AB308" s="111">
        <v>600</v>
      </c>
      <c r="AC308" s="69">
        <f t="shared" si="340"/>
        <v>2000</v>
      </c>
      <c r="AD308" s="112">
        <v>500</v>
      </c>
      <c r="AE308" s="110">
        <v>800</v>
      </c>
      <c r="AF308" s="113">
        <v>700</v>
      </c>
      <c r="AG308" s="69">
        <f t="shared" si="341"/>
        <v>2000</v>
      </c>
      <c r="AH308" s="69">
        <f t="shared" si="342"/>
        <v>4000</v>
      </c>
      <c r="AI308" s="70" t="s">
        <v>201</v>
      </c>
    </row>
    <row r="309" spans="1:35" x14ac:dyDescent="0.15">
      <c r="A309" s="25" t="s">
        <v>134</v>
      </c>
      <c r="B309" s="8"/>
      <c r="C309" s="9">
        <v>1</v>
      </c>
      <c r="D309" s="52"/>
      <c r="E309" s="11">
        <f t="shared" si="343"/>
        <v>1</v>
      </c>
      <c r="F309" s="12"/>
      <c r="G309" s="9">
        <v>1</v>
      </c>
      <c r="H309" s="10"/>
      <c r="I309" s="11">
        <f t="shared" si="344"/>
        <v>1</v>
      </c>
      <c r="J309" s="11">
        <f t="shared" si="345"/>
        <v>2</v>
      </c>
      <c r="K309" s="63">
        <v>44347</v>
      </c>
      <c r="M309" s="25" t="s">
        <v>11</v>
      </c>
      <c r="N309" s="8"/>
      <c r="O309" s="9"/>
      <c r="P309" s="52"/>
      <c r="Q309" s="11">
        <f t="shared" si="346"/>
        <v>0</v>
      </c>
      <c r="R309" s="12"/>
      <c r="S309" s="9"/>
      <c r="T309" s="10"/>
      <c r="U309" s="11">
        <f t="shared" si="347"/>
        <v>0</v>
      </c>
      <c r="V309" s="11">
        <f t="shared" si="348"/>
        <v>0</v>
      </c>
      <c r="W309" s="145"/>
      <c r="Y309" s="25" t="s">
        <v>11</v>
      </c>
      <c r="Z309" s="8"/>
      <c r="AA309" s="9"/>
      <c r="AB309" s="52"/>
      <c r="AC309" s="11">
        <f t="shared" si="340"/>
        <v>0</v>
      </c>
      <c r="AD309" s="12"/>
      <c r="AE309" s="9"/>
      <c r="AF309" s="10"/>
      <c r="AG309" s="11">
        <f t="shared" si="341"/>
        <v>0</v>
      </c>
      <c r="AH309" s="11">
        <f t="shared" si="342"/>
        <v>0</v>
      </c>
      <c r="AI309" s="70" t="s">
        <v>200</v>
      </c>
    </row>
    <row r="310" spans="1:35" x14ac:dyDescent="0.15">
      <c r="A310" s="25" t="s">
        <v>134</v>
      </c>
      <c r="B310" s="8"/>
      <c r="C310" s="9">
        <v>1</v>
      </c>
      <c r="D310" s="52"/>
      <c r="E310" s="11">
        <f t="shared" si="343"/>
        <v>1</v>
      </c>
      <c r="F310" s="12"/>
      <c r="G310" s="9">
        <v>1</v>
      </c>
      <c r="H310" s="10"/>
      <c r="I310" s="11">
        <f t="shared" si="344"/>
        <v>1</v>
      </c>
      <c r="J310" s="11">
        <f t="shared" si="345"/>
        <v>2</v>
      </c>
      <c r="K310" s="63">
        <v>44351</v>
      </c>
      <c r="L310" s="82"/>
      <c r="M310" s="25" t="s">
        <v>12</v>
      </c>
      <c r="N310" s="13"/>
      <c r="O310" s="14"/>
      <c r="P310" s="53"/>
      <c r="Q310" s="11">
        <f t="shared" ref="Q310" si="349">SUM(N310:P310)</f>
        <v>0</v>
      </c>
      <c r="R310" s="16"/>
      <c r="S310" s="14"/>
      <c r="T310" s="15"/>
      <c r="U310" s="11">
        <f t="shared" ref="U310" si="350">SUM(R310:T310)</f>
        <v>0</v>
      </c>
      <c r="V310" s="11">
        <f t="shared" ref="V310" si="351">Q310+U310</f>
        <v>0</v>
      </c>
      <c r="W310" s="140"/>
      <c r="Y310" s="25" t="s">
        <v>12</v>
      </c>
      <c r="Z310" s="8"/>
      <c r="AA310" s="9"/>
      <c r="AB310" s="52"/>
      <c r="AC310" s="11">
        <f t="shared" si="340"/>
        <v>0</v>
      </c>
      <c r="AD310" s="12"/>
      <c r="AE310" s="9"/>
      <c r="AF310" s="10"/>
      <c r="AG310" s="11">
        <f t="shared" si="341"/>
        <v>0</v>
      </c>
      <c r="AH310" s="11">
        <f t="shared" si="342"/>
        <v>0</v>
      </c>
    </row>
    <row r="311" spans="1:35" x14ac:dyDescent="0.15">
      <c r="A311" s="25" t="s">
        <v>13</v>
      </c>
      <c r="B311" s="8">
        <v>10</v>
      </c>
      <c r="C311" s="9"/>
      <c r="D311" s="52"/>
      <c r="E311" s="11">
        <f t="shared" si="343"/>
        <v>10</v>
      </c>
      <c r="F311" s="12"/>
      <c r="G311" s="9">
        <v>10</v>
      </c>
      <c r="H311" s="10"/>
      <c r="I311" s="11">
        <f t="shared" si="344"/>
        <v>10</v>
      </c>
      <c r="J311" s="11">
        <f t="shared" si="345"/>
        <v>20</v>
      </c>
      <c r="K311" s="63">
        <v>44356</v>
      </c>
      <c r="M311" s="25" t="s">
        <v>13</v>
      </c>
      <c r="N311" s="8"/>
      <c r="O311" s="9"/>
      <c r="P311" s="52"/>
      <c r="Q311" s="11">
        <f t="shared" si="346"/>
        <v>0</v>
      </c>
      <c r="R311" s="12"/>
      <c r="S311" s="9"/>
      <c r="T311" s="10"/>
      <c r="U311" s="11">
        <f t="shared" si="347"/>
        <v>0</v>
      </c>
      <c r="V311" s="11">
        <f t="shared" si="348"/>
        <v>0</v>
      </c>
      <c r="W311" s="140"/>
      <c r="Y311" s="25" t="s">
        <v>13</v>
      </c>
      <c r="Z311" s="8"/>
      <c r="AA311" s="9"/>
      <c r="AB311" s="52"/>
      <c r="AC311" s="11">
        <f t="shared" si="340"/>
        <v>0</v>
      </c>
      <c r="AD311" s="12"/>
      <c r="AE311" s="9"/>
      <c r="AF311" s="10"/>
      <c r="AG311" s="11">
        <f t="shared" si="341"/>
        <v>0</v>
      </c>
      <c r="AH311" s="11">
        <f t="shared" si="342"/>
        <v>0</v>
      </c>
    </row>
    <row r="312" spans="1:35" x14ac:dyDescent="0.15">
      <c r="A312" s="25" t="s">
        <v>143</v>
      </c>
      <c r="B312" s="13"/>
      <c r="C312" s="14">
        <v>1</v>
      </c>
      <c r="D312" s="53">
        <v>1</v>
      </c>
      <c r="E312" s="11">
        <f t="shared" si="343"/>
        <v>2</v>
      </c>
      <c r="F312" s="16"/>
      <c r="G312" s="14">
        <v>1</v>
      </c>
      <c r="H312" s="15">
        <v>1</v>
      </c>
      <c r="I312" s="11">
        <f t="shared" si="344"/>
        <v>2</v>
      </c>
      <c r="J312" s="11">
        <f t="shared" si="345"/>
        <v>4</v>
      </c>
      <c r="K312" s="71">
        <v>44357</v>
      </c>
      <c r="M312" s="25" t="s">
        <v>14</v>
      </c>
      <c r="N312" s="13"/>
      <c r="O312" s="14"/>
      <c r="P312" s="53"/>
      <c r="Q312" s="11">
        <f t="shared" si="346"/>
        <v>0</v>
      </c>
      <c r="R312" s="16"/>
      <c r="S312" s="14"/>
      <c r="T312" s="15"/>
      <c r="U312" s="11">
        <f t="shared" si="347"/>
        <v>0</v>
      </c>
      <c r="V312" s="11">
        <f t="shared" si="348"/>
        <v>0</v>
      </c>
      <c r="Y312" s="25" t="s">
        <v>14</v>
      </c>
      <c r="Z312" s="13"/>
      <c r="AA312" s="14"/>
      <c r="AB312" s="53"/>
      <c r="AC312" s="11">
        <f t="shared" si="340"/>
        <v>0</v>
      </c>
      <c r="AD312" s="16"/>
      <c r="AE312" s="14"/>
      <c r="AF312" s="15"/>
      <c r="AG312" s="11">
        <f t="shared" si="341"/>
        <v>0</v>
      </c>
      <c r="AH312" s="11">
        <f t="shared" si="342"/>
        <v>0</v>
      </c>
    </row>
    <row r="313" spans="1:35" ht="14.25" thickBot="1" x14ac:dyDescent="0.2">
      <c r="A313" s="25" t="s">
        <v>15</v>
      </c>
      <c r="B313" s="13"/>
      <c r="C313" s="14"/>
      <c r="D313" s="53">
        <v>5</v>
      </c>
      <c r="E313" s="62">
        <f t="shared" si="343"/>
        <v>5</v>
      </c>
      <c r="F313" s="34">
        <v>5</v>
      </c>
      <c r="G313" s="34"/>
      <c r="H313" s="37"/>
      <c r="I313" s="62">
        <f t="shared" si="344"/>
        <v>5</v>
      </c>
      <c r="J313" s="21">
        <f t="shared" si="345"/>
        <v>10</v>
      </c>
      <c r="K313" s="63">
        <v>44362</v>
      </c>
      <c r="M313" s="25" t="s">
        <v>15</v>
      </c>
      <c r="N313" s="13"/>
      <c r="O313" s="14"/>
      <c r="P313" s="53"/>
      <c r="Q313" s="62">
        <f t="shared" si="346"/>
        <v>0</v>
      </c>
      <c r="R313" s="34"/>
      <c r="S313" s="34"/>
      <c r="T313" s="37"/>
      <c r="U313" s="62">
        <f t="shared" si="347"/>
        <v>0</v>
      </c>
      <c r="V313" s="21">
        <f t="shared" si="348"/>
        <v>0</v>
      </c>
      <c r="Y313" s="25" t="s">
        <v>15</v>
      </c>
      <c r="Z313" s="13"/>
      <c r="AA313" s="14"/>
      <c r="AB313" s="53"/>
      <c r="AC313" s="62">
        <f t="shared" si="340"/>
        <v>0</v>
      </c>
      <c r="AD313" s="34"/>
      <c r="AE313" s="34"/>
      <c r="AF313" s="37"/>
      <c r="AG313" s="62">
        <f t="shared" si="341"/>
        <v>0</v>
      </c>
      <c r="AH313" s="21">
        <f t="shared" si="342"/>
        <v>0</v>
      </c>
    </row>
    <row r="314" spans="1:35" ht="14.25" thickBot="1" x14ac:dyDescent="0.2">
      <c r="A314" s="35" t="s">
        <v>16</v>
      </c>
      <c r="B314" s="28">
        <f>SUM(B305:B313)</f>
        <v>27</v>
      </c>
      <c r="C314" s="29">
        <f t="shared" ref="C314:D314" si="352">SUM(C305:C313)</f>
        <v>21</v>
      </c>
      <c r="D314" s="68">
        <f t="shared" si="352"/>
        <v>25</v>
      </c>
      <c r="E314" s="64">
        <f>SUM(B314:D314)</f>
        <v>73</v>
      </c>
      <c r="F314" s="28">
        <f>SUM(F305:F313)</f>
        <v>17</v>
      </c>
      <c r="G314" s="29">
        <f t="shared" ref="G314:H314" si="353">SUM(G305:G313)</f>
        <v>30</v>
      </c>
      <c r="H314" s="68">
        <f t="shared" si="353"/>
        <v>16</v>
      </c>
      <c r="I314" s="64">
        <f>SUM(F314:H314)</f>
        <v>63</v>
      </c>
      <c r="J314" s="31">
        <f>SUM(J306:J313)</f>
        <v>83</v>
      </c>
      <c r="M314" s="35" t="s">
        <v>16</v>
      </c>
      <c r="N314" s="28">
        <f>SUM(N305:N313)</f>
        <v>649</v>
      </c>
      <c r="O314" s="29">
        <f t="shared" ref="O314:P314" si="354">SUM(O305:O313)</f>
        <v>574</v>
      </c>
      <c r="P314" s="68">
        <f t="shared" si="354"/>
        <v>468</v>
      </c>
      <c r="Q314" s="64">
        <f>SUM(N314:P314)</f>
        <v>1691</v>
      </c>
      <c r="R314" s="28">
        <f>SUM(R305:R313)</f>
        <v>554</v>
      </c>
      <c r="S314" s="29">
        <f t="shared" ref="S314:T314" si="355">SUM(S305:S313)</f>
        <v>527</v>
      </c>
      <c r="T314" s="68">
        <f t="shared" si="355"/>
        <v>456</v>
      </c>
      <c r="U314" s="64">
        <f>SUM(R314:T314)</f>
        <v>1537</v>
      </c>
      <c r="V314" s="31">
        <f>Q314+U314</f>
        <v>3228</v>
      </c>
      <c r="Y314" s="35" t="s">
        <v>16</v>
      </c>
      <c r="Z314" s="28">
        <f>SUM(Z305:Z313)</f>
        <v>500</v>
      </c>
      <c r="AA314" s="29">
        <f t="shared" ref="AA314:AB314" si="356">SUM(AA305:AA313)</f>
        <v>900</v>
      </c>
      <c r="AB314" s="68">
        <f t="shared" si="356"/>
        <v>600</v>
      </c>
      <c r="AC314" s="64">
        <f>SUM(Z314:AB314)</f>
        <v>2000</v>
      </c>
      <c r="AD314" s="28">
        <f>SUM(AD305:AD313)</f>
        <v>500</v>
      </c>
      <c r="AE314" s="29">
        <f t="shared" ref="AE314:AF314" si="357">SUM(AE305:AE313)</f>
        <v>800</v>
      </c>
      <c r="AF314" s="68">
        <f t="shared" si="357"/>
        <v>700</v>
      </c>
      <c r="AG314" s="64">
        <f>SUM(AD314:AF314)</f>
        <v>2000</v>
      </c>
      <c r="AH314" s="31">
        <f>AC314+AG314</f>
        <v>4000</v>
      </c>
    </row>
    <row r="315" spans="1:35" x14ac:dyDescent="0.15">
      <c r="A315" s="25" t="s">
        <v>33</v>
      </c>
      <c r="B315" s="65"/>
      <c r="C315" s="66">
        <v>1</v>
      </c>
      <c r="D315" s="67">
        <v>3</v>
      </c>
      <c r="E315" s="49">
        <f>SUM(B315:D315)</f>
        <v>4</v>
      </c>
      <c r="F315" s="16"/>
      <c r="G315" s="14">
        <v>1</v>
      </c>
      <c r="H315" s="15"/>
      <c r="I315" s="49">
        <f>SUM(F315:H315)</f>
        <v>1</v>
      </c>
      <c r="J315" s="11">
        <f>E315+I315</f>
        <v>5</v>
      </c>
      <c r="K315" s="63">
        <v>44333</v>
      </c>
      <c r="M315" s="26" t="s">
        <v>228</v>
      </c>
      <c r="N315" s="65"/>
      <c r="O315" s="66"/>
      <c r="P315" s="67">
        <v>5</v>
      </c>
      <c r="Q315" s="49">
        <f t="shared" ref="Q315:Q341" si="358">SUM(N315:P315)</f>
        <v>5</v>
      </c>
      <c r="R315" s="16"/>
      <c r="S315" s="14"/>
      <c r="T315" s="15"/>
      <c r="U315" s="49">
        <f t="shared" ref="U315:U341" si="359">SUM(R315:T315)</f>
        <v>0</v>
      </c>
      <c r="V315" s="11">
        <f t="shared" ref="V315:V337" si="360">Q315+U315</f>
        <v>5</v>
      </c>
      <c r="W315" s="140">
        <v>44334</v>
      </c>
      <c r="Y315" s="81" t="s">
        <v>207</v>
      </c>
      <c r="Z315" s="109">
        <v>500</v>
      </c>
      <c r="AA315" s="110">
        <v>900</v>
      </c>
      <c r="AB315" s="111">
        <v>600</v>
      </c>
      <c r="AC315" s="69">
        <f t="shared" ref="AC315:AC316" si="361">SUM(Z315:AB315)</f>
        <v>2000</v>
      </c>
      <c r="AD315" s="112">
        <v>500</v>
      </c>
      <c r="AE315" s="110">
        <v>800</v>
      </c>
      <c r="AF315" s="113">
        <v>700</v>
      </c>
      <c r="AG315" s="69">
        <f t="shared" ref="AG315:AG316" si="362">SUM(AD315:AF315)</f>
        <v>2000</v>
      </c>
      <c r="AH315" s="69">
        <f t="shared" ref="AH315:AH316" si="363">AC315+AG315</f>
        <v>4000</v>
      </c>
      <c r="AI315" s="70" t="s">
        <v>201</v>
      </c>
    </row>
    <row r="316" spans="1:35" x14ac:dyDescent="0.15">
      <c r="A316" s="25" t="s">
        <v>33</v>
      </c>
      <c r="B316" s="8"/>
      <c r="C316" s="9"/>
      <c r="D316" s="10"/>
      <c r="E316" s="49">
        <f t="shared" ref="E316:E341" si="364">SUM(B316:D316)</f>
        <v>0</v>
      </c>
      <c r="F316" s="12"/>
      <c r="G316" s="9"/>
      <c r="H316" s="10">
        <v>1</v>
      </c>
      <c r="I316" s="49">
        <f t="shared" ref="I316:I341" si="365">SUM(F316:H316)</f>
        <v>1</v>
      </c>
      <c r="J316" s="11">
        <f t="shared" ref="J316:J340" si="366">E316+I316</f>
        <v>1</v>
      </c>
      <c r="K316" s="63">
        <v>44334</v>
      </c>
      <c r="M316" s="26" t="s">
        <v>229</v>
      </c>
      <c r="N316" s="8"/>
      <c r="O316" s="9">
        <v>5</v>
      </c>
      <c r="P316" s="10"/>
      <c r="Q316" s="49">
        <f t="shared" si="358"/>
        <v>5</v>
      </c>
      <c r="R316" s="12"/>
      <c r="S316" s="9">
        <v>5</v>
      </c>
      <c r="T316" s="10"/>
      <c r="U316" s="49">
        <f t="shared" si="359"/>
        <v>5</v>
      </c>
      <c r="V316" s="11">
        <f t="shared" si="360"/>
        <v>10</v>
      </c>
      <c r="W316" s="140">
        <v>44337</v>
      </c>
      <c r="Y316" s="26"/>
      <c r="Z316" s="8"/>
      <c r="AA316" s="9"/>
      <c r="AB316" s="52"/>
      <c r="AC316" s="11">
        <f t="shared" si="361"/>
        <v>0</v>
      </c>
      <c r="AD316" s="12"/>
      <c r="AE316" s="9"/>
      <c r="AF316" s="10"/>
      <c r="AG316" s="11">
        <f t="shared" si="362"/>
        <v>0</v>
      </c>
      <c r="AH316" s="11">
        <f t="shared" si="363"/>
        <v>0</v>
      </c>
      <c r="AI316" s="70" t="s">
        <v>200</v>
      </c>
    </row>
    <row r="317" spans="1:35" x14ac:dyDescent="0.15">
      <c r="A317" s="25" t="s">
        <v>33</v>
      </c>
      <c r="B317" s="8"/>
      <c r="C317" s="9">
        <v>1</v>
      </c>
      <c r="D317" s="10"/>
      <c r="E317" s="49">
        <f t="shared" si="364"/>
        <v>1</v>
      </c>
      <c r="F317" s="12"/>
      <c r="G317" s="9">
        <v>1</v>
      </c>
      <c r="H317" s="10"/>
      <c r="I317" s="49">
        <f t="shared" si="365"/>
        <v>1</v>
      </c>
      <c r="J317" s="11">
        <f t="shared" si="366"/>
        <v>2</v>
      </c>
      <c r="K317" s="63">
        <v>44335</v>
      </c>
      <c r="M317" s="26" t="s">
        <v>231</v>
      </c>
      <c r="N317" s="8">
        <v>2</v>
      </c>
      <c r="O317" s="9">
        <v>2</v>
      </c>
      <c r="P317" s="10">
        <v>2</v>
      </c>
      <c r="Q317" s="49">
        <f t="shared" si="358"/>
        <v>6</v>
      </c>
      <c r="R317" s="12">
        <v>2</v>
      </c>
      <c r="S317" s="9">
        <v>2</v>
      </c>
      <c r="T317" s="10">
        <v>2</v>
      </c>
      <c r="U317" s="49">
        <f t="shared" si="359"/>
        <v>6</v>
      </c>
      <c r="V317" s="11">
        <f t="shared" si="360"/>
        <v>12</v>
      </c>
      <c r="W317" s="140">
        <v>44336</v>
      </c>
      <c r="X317" s="82"/>
      <c r="Y317" s="26"/>
      <c r="Z317" s="8"/>
      <c r="AA317" s="9"/>
      <c r="AB317" s="52"/>
      <c r="AC317" s="11">
        <f t="shared" ref="AC317:AC341" si="367">SUM(Z317:AB317)</f>
        <v>0</v>
      </c>
      <c r="AD317" s="12"/>
      <c r="AE317" s="9"/>
      <c r="AF317" s="10"/>
      <c r="AG317" s="11">
        <f t="shared" ref="AG317:AG341" si="368">SUM(AD317:AF317)</f>
        <v>0</v>
      </c>
      <c r="AH317" s="11">
        <f t="shared" ref="AH317:AH340" si="369">AC317+AG317</f>
        <v>0</v>
      </c>
    </row>
    <row r="318" spans="1:35" x14ac:dyDescent="0.15">
      <c r="A318" s="25" t="s">
        <v>33</v>
      </c>
      <c r="B318" s="8">
        <v>1</v>
      </c>
      <c r="C318" s="9"/>
      <c r="D318" s="10"/>
      <c r="E318" s="49">
        <f t="shared" si="364"/>
        <v>1</v>
      </c>
      <c r="F318" s="12"/>
      <c r="G318" s="9"/>
      <c r="H318" s="10"/>
      <c r="I318" s="49">
        <f t="shared" si="365"/>
        <v>0</v>
      </c>
      <c r="J318" s="11">
        <f t="shared" si="366"/>
        <v>1</v>
      </c>
      <c r="K318" s="63">
        <v>44336</v>
      </c>
      <c r="L318" s="82"/>
      <c r="M318" s="26" t="s">
        <v>232</v>
      </c>
      <c r="N318" s="8"/>
      <c r="O318" s="9">
        <v>10</v>
      </c>
      <c r="P318" s="10"/>
      <c r="Q318" s="49">
        <f t="shared" si="358"/>
        <v>10</v>
      </c>
      <c r="R318" s="12"/>
      <c r="S318" s="9">
        <v>10</v>
      </c>
      <c r="T318" s="10"/>
      <c r="U318" s="49">
        <f t="shared" si="359"/>
        <v>10</v>
      </c>
      <c r="V318" s="11">
        <f t="shared" si="360"/>
        <v>20</v>
      </c>
      <c r="W318" s="140">
        <v>44342</v>
      </c>
      <c r="X318" s="82"/>
      <c r="Y318" s="26"/>
      <c r="Z318" s="8"/>
      <c r="AA318" s="9"/>
      <c r="AB318" s="52"/>
      <c r="AC318" s="11">
        <f t="shared" si="367"/>
        <v>0</v>
      </c>
      <c r="AD318" s="12"/>
      <c r="AE318" s="9"/>
      <c r="AF318" s="10"/>
      <c r="AG318" s="11">
        <f t="shared" si="368"/>
        <v>0</v>
      </c>
      <c r="AH318" s="11">
        <f t="shared" si="369"/>
        <v>0</v>
      </c>
    </row>
    <row r="319" spans="1:35" x14ac:dyDescent="0.15">
      <c r="A319" s="25" t="s">
        <v>33</v>
      </c>
      <c r="B319" s="8">
        <f>1+2</f>
        <v>3</v>
      </c>
      <c r="C319" s="9">
        <v>2</v>
      </c>
      <c r="D319" s="10"/>
      <c r="E319" s="49">
        <f t="shared" si="364"/>
        <v>5</v>
      </c>
      <c r="F319" s="12">
        <v>1</v>
      </c>
      <c r="G319" s="9">
        <f>1+1</f>
        <v>2</v>
      </c>
      <c r="H319" s="10"/>
      <c r="I319" s="49">
        <f t="shared" si="365"/>
        <v>3</v>
      </c>
      <c r="J319" s="11">
        <f t="shared" si="366"/>
        <v>8</v>
      </c>
      <c r="K319" s="63">
        <v>44340</v>
      </c>
      <c r="L319" s="82"/>
      <c r="M319" s="25" t="s">
        <v>160</v>
      </c>
      <c r="N319" s="8">
        <v>5</v>
      </c>
      <c r="O319" s="9">
        <v>5</v>
      </c>
      <c r="P319" s="52"/>
      <c r="Q319" s="11">
        <f>SUM(N319:P319)</f>
        <v>10</v>
      </c>
      <c r="R319" s="12">
        <v>5</v>
      </c>
      <c r="S319" s="9">
        <v>5</v>
      </c>
      <c r="T319" s="10"/>
      <c r="U319" s="11">
        <f>SUM(R319:T319)</f>
        <v>10</v>
      </c>
      <c r="V319" s="11">
        <f>Q319+U319</f>
        <v>20</v>
      </c>
      <c r="W319" s="140">
        <v>44337</v>
      </c>
      <c r="Y319" s="26"/>
      <c r="Z319" s="8"/>
      <c r="AA319" s="9"/>
      <c r="AB319" s="10"/>
      <c r="AC319" s="49">
        <f t="shared" si="367"/>
        <v>0</v>
      </c>
      <c r="AD319" s="12"/>
      <c r="AE319" s="9"/>
      <c r="AF319" s="10"/>
      <c r="AG319" s="49">
        <f t="shared" si="368"/>
        <v>0</v>
      </c>
      <c r="AH319" s="11">
        <f t="shared" si="369"/>
        <v>0</v>
      </c>
    </row>
    <row r="320" spans="1:35" x14ac:dyDescent="0.15">
      <c r="A320" s="25" t="s">
        <v>33</v>
      </c>
      <c r="B320" s="8">
        <v>2</v>
      </c>
      <c r="C320" s="9"/>
      <c r="D320" s="10"/>
      <c r="E320" s="49">
        <f t="shared" si="364"/>
        <v>2</v>
      </c>
      <c r="F320" s="12"/>
      <c r="G320" s="9">
        <v>2</v>
      </c>
      <c r="H320" s="10"/>
      <c r="I320" s="49">
        <f t="shared" si="365"/>
        <v>2</v>
      </c>
      <c r="J320" s="11">
        <f t="shared" si="366"/>
        <v>4</v>
      </c>
      <c r="K320" s="63">
        <v>44341</v>
      </c>
      <c r="M320" s="26" t="s">
        <v>235</v>
      </c>
      <c r="N320" s="8">
        <v>5</v>
      </c>
      <c r="O320" s="9">
        <v>10</v>
      </c>
      <c r="P320" s="10"/>
      <c r="Q320" s="49">
        <f t="shared" si="358"/>
        <v>15</v>
      </c>
      <c r="R320" s="12">
        <v>5</v>
      </c>
      <c r="S320" s="9">
        <v>10</v>
      </c>
      <c r="T320" s="10"/>
      <c r="U320" s="49">
        <f t="shared" si="359"/>
        <v>15</v>
      </c>
      <c r="V320" s="11">
        <f t="shared" si="360"/>
        <v>30</v>
      </c>
      <c r="W320" s="140">
        <v>44344</v>
      </c>
      <c r="Y320" s="26"/>
      <c r="Z320" s="8"/>
      <c r="AA320" s="9"/>
      <c r="AB320" s="10"/>
      <c r="AC320" s="49">
        <f t="shared" si="367"/>
        <v>0</v>
      </c>
      <c r="AD320" s="12"/>
      <c r="AE320" s="9"/>
      <c r="AF320" s="10"/>
      <c r="AG320" s="49">
        <f t="shared" si="368"/>
        <v>0</v>
      </c>
      <c r="AH320" s="11">
        <f t="shared" si="369"/>
        <v>0</v>
      </c>
    </row>
    <row r="321" spans="1:34" ht="14.25" x14ac:dyDescent="0.15">
      <c r="A321" s="25" t="s">
        <v>33</v>
      </c>
      <c r="B321" s="8">
        <v>1</v>
      </c>
      <c r="C321" s="9">
        <f>1+1</f>
        <v>2</v>
      </c>
      <c r="D321" s="10">
        <v>2</v>
      </c>
      <c r="E321" s="49">
        <f t="shared" si="364"/>
        <v>5</v>
      </c>
      <c r="F321" s="12"/>
      <c r="G321" s="9"/>
      <c r="H321" s="10"/>
      <c r="I321" s="49">
        <f t="shared" si="365"/>
        <v>0</v>
      </c>
      <c r="J321" s="11">
        <f t="shared" si="366"/>
        <v>5</v>
      </c>
      <c r="K321" s="63">
        <v>44342</v>
      </c>
      <c r="M321" s="26" t="s">
        <v>236</v>
      </c>
      <c r="N321" s="8">
        <v>4</v>
      </c>
      <c r="O321" s="9"/>
      <c r="P321" s="10">
        <v>4</v>
      </c>
      <c r="Q321" s="49">
        <f t="shared" si="358"/>
        <v>8</v>
      </c>
      <c r="R321" s="12">
        <v>4</v>
      </c>
      <c r="S321" s="9"/>
      <c r="T321" s="10">
        <v>4</v>
      </c>
      <c r="U321" s="49">
        <f t="shared" si="359"/>
        <v>8</v>
      </c>
      <c r="V321" s="11">
        <f t="shared" si="360"/>
        <v>16</v>
      </c>
      <c r="W321" s="143">
        <v>44342</v>
      </c>
      <c r="Y321" s="24"/>
      <c r="Z321" s="8"/>
      <c r="AA321" s="9"/>
      <c r="AB321" s="10"/>
      <c r="AC321" s="49">
        <f t="shared" si="367"/>
        <v>0</v>
      </c>
      <c r="AD321" s="12"/>
      <c r="AE321" s="9"/>
      <c r="AF321" s="10"/>
      <c r="AG321" s="49">
        <f t="shared" si="368"/>
        <v>0</v>
      </c>
      <c r="AH321" s="11">
        <f t="shared" si="369"/>
        <v>0</v>
      </c>
    </row>
    <row r="322" spans="1:34" x14ac:dyDescent="0.15">
      <c r="A322" s="25" t="s">
        <v>33</v>
      </c>
      <c r="B322" s="8"/>
      <c r="C322" s="9">
        <v>1</v>
      </c>
      <c r="D322" s="10"/>
      <c r="E322" s="49">
        <f t="shared" si="364"/>
        <v>1</v>
      </c>
      <c r="F322" s="12"/>
      <c r="G322" s="9"/>
      <c r="H322" s="10"/>
      <c r="I322" s="49">
        <f t="shared" si="365"/>
        <v>0</v>
      </c>
      <c r="J322" s="11">
        <f t="shared" si="366"/>
        <v>1</v>
      </c>
      <c r="K322" s="63">
        <v>44343</v>
      </c>
      <c r="M322" s="26" t="s">
        <v>237</v>
      </c>
      <c r="N322" s="8"/>
      <c r="O322" s="9">
        <v>10</v>
      </c>
      <c r="P322" s="10">
        <v>5</v>
      </c>
      <c r="Q322" s="49">
        <f t="shared" si="358"/>
        <v>15</v>
      </c>
      <c r="R322" s="12"/>
      <c r="S322" s="9">
        <v>10</v>
      </c>
      <c r="T322" s="10">
        <v>5</v>
      </c>
      <c r="U322" s="49">
        <f t="shared" si="359"/>
        <v>15</v>
      </c>
      <c r="V322" s="11">
        <f t="shared" si="360"/>
        <v>30</v>
      </c>
      <c r="W322" s="140">
        <v>44347</v>
      </c>
      <c r="Y322" s="26"/>
      <c r="Z322" s="8"/>
      <c r="AA322" s="9"/>
      <c r="AB322" s="10"/>
      <c r="AC322" s="49">
        <f t="shared" si="367"/>
        <v>0</v>
      </c>
      <c r="AD322" s="12"/>
      <c r="AE322" s="9"/>
      <c r="AF322" s="10"/>
      <c r="AG322" s="49">
        <f t="shared" si="368"/>
        <v>0</v>
      </c>
      <c r="AH322" s="11">
        <f t="shared" si="369"/>
        <v>0</v>
      </c>
    </row>
    <row r="323" spans="1:34" x14ac:dyDescent="0.15">
      <c r="A323" s="25" t="s">
        <v>33</v>
      </c>
      <c r="B323" s="8">
        <f>1+1</f>
        <v>2</v>
      </c>
      <c r="C323" s="9">
        <v>1</v>
      </c>
      <c r="D323" s="10"/>
      <c r="E323" s="49">
        <f t="shared" si="364"/>
        <v>3</v>
      </c>
      <c r="F323" s="12"/>
      <c r="G323" s="9"/>
      <c r="H323" s="10"/>
      <c r="I323" s="49">
        <f t="shared" si="365"/>
        <v>0</v>
      </c>
      <c r="J323" s="11">
        <f t="shared" si="366"/>
        <v>3</v>
      </c>
      <c r="K323" s="63">
        <v>44347</v>
      </c>
      <c r="M323" s="26" t="s">
        <v>238</v>
      </c>
      <c r="N323" s="8">
        <v>2</v>
      </c>
      <c r="O323" s="9">
        <v>4</v>
      </c>
      <c r="P323" s="10">
        <v>6</v>
      </c>
      <c r="Q323" s="49">
        <f t="shared" si="358"/>
        <v>12</v>
      </c>
      <c r="R323" s="12">
        <v>2</v>
      </c>
      <c r="S323" s="9">
        <v>4</v>
      </c>
      <c r="T323" s="10">
        <v>6</v>
      </c>
      <c r="U323" s="49">
        <f t="shared" si="359"/>
        <v>12</v>
      </c>
      <c r="V323" s="11">
        <f t="shared" si="360"/>
        <v>24</v>
      </c>
      <c r="W323" s="140">
        <v>44343</v>
      </c>
      <c r="X323" s="82"/>
      <c r="Y323" s="26"/>
      <c r="Z323" s="8"/>
      <c r="AA323" s="9"/>
      <c r="AB323" s="10"/>
      <c r="AC323" s="49">
        <f t="shared" si="367"/>
        <v>0</v>
      </c>
      <c r="AD323" s="12"/>
      <c r="AE323" s="9"/>
      <c r="AF323" s="10"/>
      <c r="AG323" s="49">
        <f t="shared" si="368"/>
        <v>0</v>
      </c>
      <c r="AH323" s="11">
        <f t="shared" si="369"/>
        <v>0</v>
      </c>
    </row>
    <row r="324" spans="1:34" x14ac:dyDescent="0.15">
      <c r="A324" s="25" t="s">
        <v>33</v>
      </c>
      <c r="B324" s="13"/>
      <c r="C324" s="14"/>
      <c r="D324" s="15">
        <v>1</v>
      </c>
      <c r="E324" s="49">
        <f t="shared" si="364"/>
        <v>1</v>
      </c>
      <c r="F324" s="16"/>
      <c r="G324" s="14"/>
      <c r="H324" s="15"/>
      <c r="I324" s="49">
        <f t="shared" si="365"/>
        <v>0</v>
      </c>
      <c r="J324" s="11">
        <f t="shared" si="366"/>
        <v>1</v>
      </c>
      <c r="K324" s="63">
        <v>44348</v>
      </c>
      <c r="M324" s="26" t="s">
        <v>239</v>
      </c>
      <c r="N324" s="13">
        <v>1</v>
      </c>
      <c r="O324" s="14">
        <v>7</v>
      </c>
      <c r="P324" s="15">
        <v>4</v>
      </c>
      <c r="Q324" s="49">
        <f t="shared" si="358"/>
        <v>12</v>
      </c>
      <c r="R324" s="16">
        <v>1</v>
      </c>
      <c r="S324" s="14">
        <v>7</v>
      </c>
      <c r="T324" s="15">
        <v>4</v>
      </c>
      <c r="U324" s="49">
        <f t="shared" si="359"/>
        <v>12</v>
      </c>
      <c r="V324" s="11">
        <f t="shared" si="360"/>
        <v>24</v>
      </c>
      <c r="W324" s="140">
        <v>44344</v>
      </c>
      <c r="Y324" s="26"/>
      <c r="Z324" s="13"/>
      <c r="AA324" s="14"/>
      <c r="AB324" s="15"/>
      <c r="AC324" s="49">
        <f t="shared" si="367"/>
        <v>0</v>
      </c>
      <c r="AD324" s="16"/>
      <c r="AE324" s="14"/>
      <c r="AF324" s="15"/>
      <c r="AG324" s="49">
        <f t="shared" si="368"/>
        <v>0</v>
      </c>
      <c r="AH324" s="11">
        <f t="shared" si="369"/>
        <v>0</v>
      </c>
    </row>
    <row r="325" spans="1:34" x14ac:dyDescent="0.15">
      <c r="A325" s="25" t="s">
        <v>33</v>
      </c>
      <c r="B325" s="8"/>
      <c r="C325" s="9"/>
      <c r="D325" s="10"/>
      <c r="E325" s="49">
        <f t="shared" si="364"/>
        <v>0</v>
      </c>
      <c r="F325" s="12">
        <v>1</v>
      </c>
      <c r="G325" s="9"/>
      <c r="H325" s="10"/>
      <c r="I325" s="49">
        <f t="shared" si="365"/>
        <v>1</v>
      </c>
      <c r="J325" s="11">
        <f t="shared" si="366"/>
        <v>1</v>
      </c>
      <c r="K325" s="63">
        <v>44350</v>
      </c>
      <c r="M325" s="26" t="s">
        <v>240</v>
      </c>
      <c r="N325" s="8">
        <v>3</v>
      </c>
      <c r="O325" s="9"/>
      <c r="P325" s="10">
        <v>1</v>
      </c>
      <c r="Q325" s="49">
        <f t="shared" si="358"/>
        <v>4</v>
      </c>
      <c r="R325" s="12">
        <v>3</v>
      </c>
      <c r="S325" s="9"/>
      <c r="T325" s="10">
        <v>1</v>
      </c>
      <c r="U325" s="49">
        <f t="shared" si="359"/>
        <v>4</v>
      </c>
      <c r="V325" s="11">
        <f t="shared" si="360"/>
        <v>8</v>
      </c>
      <c r="W325" s="140">
        <v>44345</v>
      </c>
      <c r="Y325" s="26"/>
      <c r="Z325" s="8"/>
      <c r="AA325" s="9"/>
      <c r="AB325" s="10"/>
      <c r="AC325" s="49">
        <f t="shared" si="367"/>
        <v>0</v>
      </c>
      <c r="AD325" s="12"/>
      <c r="AE325" s="9"/>
      <c r="AF325" s="10"/>
      <c r="AG325" s="49">
        <f t="shared" si="368"/>
        <v>0</v>
      </c>
      <c r="AH325" s="11">
        <f t="shared" si="369"/>
        <v>0</v>
      </c>
    </row>
    <row r="326" spans="1:34" x14ac:dyDescent="0.15">
      <c r="A326" s="25" t="s">
        <v>33</v>
      </c>
      <c r="B326" s="8">
        <f>1+1</f>
        <v>2</v>
      </c>
      <c r="C326" s="9"/>
      <c r="D326" s="10"/>
      <c r="E326" s="49">
        <f t="shared" si="364"/>
        <v>2</v>
      </c>
      <c r="F326" s="12">
        <v>1</v>
      </c>
      <c r="G326" s="9">
        <f>3+2</f>
        <v>5</v>
      </c>
      <c r="H326" s="10"/>
      <c r="I326" s="49">
        <f t="shared" si="365"/>
        <v>6</v>
      </c>
      <c r="J326" s="11">
        <f t="shared" si="366"/>
        <v>8</v>
      </c>
      <c r="K326" s="63">
        <v>44352</v>
      </c>
      <c r="M326" s="25" t="s">
        <v>160</v>
      </c>
      <c r="N326" s="8">
        <v>5</v>
      </c>
      <c r="O326" s="9">
        <v>5</v>
      </c>
      <c r="P326" s="10">
        <v>5</v>
      </c>
      <c r="Q326" s="49">
        <f t="shared" si="358"/>
        <v>15</v>
      </c>
      <c r="R326" s="12"/>
      <c r="S326" s="9">
        <v>5</v>
      </c>
      <c r="T326" s="10"/>
      <c r="U326" s="49">
        <f t="shared" si="359"/>
        <v>5</v>
      </c>
      <c r="V326" s="11">
        <f t="shared" si="360"/>
        <v>20</v>
      </c>
      <c r="W326" s="140">
        <v>44345</v>
      </c>
      <c r="Y326" s="26"/>
      <c r="Z326" s="8"/>
      <c r="AA326" s="9"/>
      <c r="AB326" s="10"/>
      <c r="AC326" s="49">
        <f t="shared" si="367"/>
        <v>0</v>
      </c>
      <c r="AD326" s="12"/>
      <c r="AE326" s="9"/>
      <c r="AF326" s="10"/>
      <c r="AG326" s="49">
        <f t="shared" si="368"/>
        <v>0</v>
      </c>
      <c r="AH326" s="11">
        <f t="shared" si="369"/>
        <v>0</v>
      </c>
    </row>
    <row r="327" spans="1:34" x14ac:dyDescent="0.15">
      <c r="A327" s="26" t="s">
        <v>247</v>
      </c>
      <c r="B327" s="8">
        <v>1</v>
      </c>
      <c r="C327" s="9">
        <v>1</v>
      </c>
      <c r="D327" s="10">
        <v>1</v>
      </c>
      <c r="E327" s="49">
        <f t="shared" si="364"/>
        <v>3</v>
      </c>
      <c r="F327" s="12">
        <v>1</v>
      </c>
      <c r="G327" s="9">
        <v>1</v>
      </c>
      <c r="H327" s="10">
        <v>1</v>
      </c>
      <c r="I327" s="49">
        <f t="shared" si="365"/>
        <v>3</v>
      </c>
      <c r="J327" s="11">
        <f t="shared" si="366"/>
        <v>6</v>
      </c>
      <c r="K327" s="63">
        <v>44355</v>
      </c>
      <c r="M327" s="26" t="s">
        <v>241</v>
      </c>
      <c r="N327" s="8">
        <v>2</v>
      </c>
      <c r="O327" s="9">
        <v>6</v>
      </c>
      <c r="P327" s="10"/>
      <c r="Q327" s="49">
        <f t="shared" si="358"/>
        <v>8</v>
      </c>
      <c r="R327" s="12">
        <v>2</v>
      </c>
      <c r="S327" s="9">
        <v>6</v>
      </c>
      <c r="T327" s="10"/>
      <c r="U327" s="49">
        <f t="shared" si="359"/>
        <v>8</v>
      </c>
      <c r="V327" s="11">
        <f t="shared" si="360"/>
        <v>16</v>
      </c>
      <c r="W327" s="140">
        <v>44348</v>
      </c>
      <c r="X327" s="82"/>
      <c r="Y327" s="26"/>
      <c r="Z327" s="8"/>
      <c r="AA327" s="9"/>
      <c r="AB327" s="10"/>
      <c r="AC327" s="49">
        <f t="shared" si="367"/>
        <v>0</v>
      </c>
      <c r="AD327" s="12"/>
      <c r="AE327" s="9"/>
      <c r="AF327" s="10"/>
      <c r="AG327" s="49">
        <f t="shared" si="368"/>
        <v>0</v>
      </c>
      <c r="AH327" s="11">
        <f t="shared" si="369"/>
        <v>0</v>
      </c>
    </row>
    <row r="328" spans="1:34" x14ac:dyDescent="0.15">
      <c r="A328" s="23" t="s">
        <v>248</v>
      </c>
      <c r="B328" s="8">
        <v>1</v>
      </c>
      <c r="C328" s="9">
        <v>1</v>
      </c>
      <c r="D328" s="10"/>
      <c r="E328" s="49">
        <f t="shared" si="364"/>
        <v>2</v>
      </c>
      <c r="F328" s="12"/>
      <c r="G328" s="9">
        <v>1</v>
      </c>
      <c r="H328" s="10"/>
      <c r="I328" s="49">
        <f t="shared" si="365"/>
        <v>1</v>
      </c>
      <c r="J328" s="11">
        <f t="shared" si="366"/>
        <v>3</v>
      </c>
      <c r="K328" s="63">
        <v>44355</v>
      </c>
      <c r="M328" s="26" t="s">
        <v>242</v>
      </c>
      <c r="N328" s="8">
        <v>2</v>
      </c>
      <c r="O328" s="9">
        <v>6</v>
      </c>
      <c r="P328" s="10"/>
      <c r="Q328" s="49">
        <f t="shared" si="358"/>
        <v>8</v>
      </c>
      <c r="R328" s="12">
        <v>2</v>
      </c>
      <c r="S328" s="9">
        <v>6</v>
      </c>
      <c r="T328" s="10"/>
      <c r="U328" s="49">
        <f t="shared" si="359"/>
        <v>8</v>
      </c>
      <c r="V328" s="11">
        <f t="shared" si="360"/>
        <v>16</v>
      </c>
      <c r="W328" s="140">
        <v>44349</v>
      </c>
      <c r="X328" s="82"/>
      <c r="Y328" s="26"/>
      <c r="Z328" s="8"/>
      <c r="AA328" s="9"/>
      <c r="AB328" s="10"/>
      <c r="AC328" s="49">
        <f t="shared" si="367"/>
        <v>0</v>
      </c>
      <c r="AD328" s="12"/>
      <c r="AE328" s="9"/>
      <c r="AF328" s="10"/>
      <c r="AG328" s="49">
        <f t="shared" si="368"/>
        <v>0</v>
      </c>
      <c r="AH328" s="11">
        <f t="shared" si="369"/>
        <v>0</v>
      </c>
    </row>
    <row r="329" spans="1:34" x14ac:dyDescent="0.15">
      <c r="A329" s="25" t="s">
        <v>33</v>
      </c>
      <c r="B329" s="8">
        <v>1</v>
      </c>
      <c r="C329" s="9">
        <f>1+1</f>
        <v>2</v>
      </c>
      <c r="D329" s="10"/>
      <c r="E329" s="49">
        <f t="shared" si="364"/>
        <v>3</v>
      </c>
      <c r="F329" s="12">
        <v>1</v>
      </c>
      <c r="G329" s="9">
        <f>1+1</f>
        <v>2</v>
      </c>
      <c r="H329" s="10"/>
      <c r="I329" s="49">
        <f t="shared" si="365"/>
        <v>3</v>
      </c>
      <c r="J329" s="11">
        <f t="shared" si="366"/>
        <v>6</v>
      </c>
      <c r="K329" s="63">
        <v>44354</v>
      </c>
      <c r="M329" s="26" t="s">
        <v>245</v>
      </c>
      <c r="N329" s="8">
        <v>2</v>
      </c>
      <c r="O329" s="9">
        <v>2</v>
      </c>
      <c r="P329" s="10"/>
      <c r="Q329" s="11">
        <f t="shared" si="358"/>
        <v>4</v>
      </c>
      <c r="R329" s="12">
        <v>2</v>
      </c>
      <c r="S329" s="9">
        <v>2</v>
      </c>
      <c r="T329" s="10"/>
      <c r="U329" s="11">
        <f t="shared" si="359"/>
        <v>4</v>
      </c>
      <c r="V329" s="11">
        <f t="shared" si="360"/>
        <v>8</v>
      </c>
      <c r="W329" s="140">
        <v>44352</v>
      </c>
      <c r="Y329" s="26"/>
      <c r="Z329" s="8"/>
      <c r="AA329" s="9"/>
      <c r="AB329" s="10"/>
      <c r="AC329" s="49">
        <f t="shared" si="367"/>
        <v>0</v>
      </c>
      <c r="AD329" s="12"/>
      <c r="AE329" s="9"/>
      <c r="AF329" s="10"/>
      <c r="AG329" s="49">
        <f t="shared" si="368"/>
        <v>0</v>
      </c>
      <c r="AH329" s="11">
        <f t="shared" si="369"/>
        <v>0</v>
      </c>
    </row>
    <row r="330" spans="1:34" x14ac:dyDescent="0.15">
      <c r="A330" s="25" t="s">
        <v>33</v>
      </c>
      <c r="B330" s="8">
        <v>1</v>
      </c>
      <c r="C330" s="9"/>
      <c r="D330" s="10">
        <v>1</v>
      </c>
      <c r="E330" s="49">
        <f t="shared" si="364"/>
        <v>2</v>
      </c>
      <c r="F330" s="12">
        <v>1</v>
      </c>
      <c r="G330" s="9"/>
      <c r="H330" s="10">
        <f>1+1</f>
        <v>2</v>
      </c>
      <c r="I330" s="49">
        <f t="shared" si="365"/>
        <v>3</v>
      </c>
      <c r="J330" s="11">
        <f t="shared" si="366"/>
        <v>5</v>
      </c>
      <c r="K330" s="63">
        <v>44355</v>
      </c>
      <c r="M330" s="25" t="s">
        <v>160</v>
      </c>
      <c r="N330" s="8">
        <v>10</v>
      </c>
      <c r="O330" s="9"/>
      <c r="P330" s="10"/>
      <c r="Q330" s="49">
        <f t="shared" si="358"/>
        <v>10</v>
      </c>
      <c r="R330" s="12"/>
      <c r="S330" s="9">
        <v>10</v>
      </c>
      <c r="T330" s="10"/>
      <c r="U330" s="49">
        <f t="shared" si="359"/>
        <v>10</v>
      </c>
      <c r="V330" s="11">
        <f t="shared" si="360"/>
        <v>20</v>
      </c>
      <c r="W330" s="140">
        <v>44356</v>
      </c>
      <c r="Y330" s="24"/>
      <c r="Z330" s="8"/>
      <c r="AA330" s="9"/>
      <c r="AB330" s="10"/>
      <c r="AC330" s="49">
        <f t="shared" si="367"/>
        <v>0</v>
      </c>
      <c r="AD330" s="12"/>
      <c r="AE330" s="9"/>
      <c r="AF330" s="10"/>
      <c r="AG330" s="49">
        <f t="shared" si="368"/>
        <v>0</v>
      </c>
      <c r="AH330" s="11">
        <f t="shared" si="369"/>
        <v>0</v>
      </c>
    </row>
    <row r="331" spans="1:34" x14ac:dyDescent="0.15">
      <c r="A331" s="25" t="s">
        <v>33</v>
      </c>
      <c r="B331" s="8">
        <v>1</v>
      </c>
      <c r="C331" s="9"/>
      <c r="D331" s="10">
        <v>1</v>
      </c>
      <c r="E331" s="49">
        <f t="shared" si="364"/>
        <v>2</v>
      </c>
      <c r="F331" s="12">
        <v>1</v>
      </c>
      <c r="G331" s="9"/>
      <c r="H331" s="10">
        <f>1+2</f>
        <v>3</v>
      </c>
      <c r="I331" s="49">
        <f t="shared" si="365"/>
        <v>4</v>
      </c>
      <c r="J331" s="11">
        <f t="shared" si="366"/>
        <v>6</v>
      </c>
      <c r="K331" s="63">
        <v>44357</v>
      </c>
      <c r="M331" s="26" t="s">
        <v>249</v>
      </c>
      <c r="N331" s="8"/>
      <c r="O331" s="9">
        <v>1</v>
      </c>
      <c r="P331" s="10"/>
      <c r="Q331" s="49">
        <f t="shared" si="358"/>
        <v>1</v>
      </c>
      <c r="R331" s="12"/>
      <c r="S331" s="9">
        <v>1</v>
      </c>
      <c r="T331" s="10"/>
      <c r="U331" s="49">
        <f t="shared" si="359"/>
        <v>1</v>
      </c>
      <c r="V331" s="11">
        <f t="shared" si="360"/>
        <v>2</v>
      </c>
      <c r="W331" s="140">
        <v>44359</v>
      </c>
      <c r="Y331" s="26"/>
      <c r="Z331" s="8"/>
      <c r="AA331" s="9"/>
      <c r="AB331" s="10"/>
      <c r="AC331" s="49">
        <f t="shared" si="367"/>
        <v>0</v>
      </c>
      <c r="AD331" s="12"/>
      <c r="AE331" s="9"/>
      <c r="AF331" s="10"/>
      <c r="AG331" s="49">
        <f t="shared" si="368"/>
        <v>0</v>
      </c>
      <c r="AH331" s="11">
        <f t="shared" si="369"/>
        <v>0</v>
      </c>
    </row>
    <row r="332" spans="1:34" x14ac:dyDescent="0.15">
      <c r="A332" s="25" t="s">
        <v>33</v>
      </c>
      <c r="B332" s="8">
        <v>2</v>
      </c>
      <c r="C332" s="9"/>
      <c r="D332" s="10">
        <v>2</v>
      </c>
      <c r="E332" s="49">
        <f t="shared" si="364"/>
        <v>4</v>
      </c>
      <c r="F332" s="12"/>
      <c r="G332" s="9"/>
      <c r="H332" s="10">
        <v>2</v>
      </c>
      <c r="I332" s="49">
        <f t="shared" si="365"/>
        <v>2</v>
      </c>
      <c r="J332" s="11">
        <f t="shared" si="366"/>
        <v>6</v>
      </c>
      <c r="K332" s="63">
        <v>44358</v>
      </c>
      <c r="M332" s="25" t="s">
        <v>28</v>
      </c>
      <c r="N332" s="8"/>
      <c r="O332" s="9"/>
      <c r="P332" s="52">
        <v>5</v>
      </c>
      <c r="Q332" s="11">
        <f t="shared" si="358"/>
        <v>5</v>
      </c>
      <c r="R332" s="12">
        <v>5</v>
      </c>
      <c r="S332" s="12"/>
      <c r="T332" s="116"/>
      <c r="U332" s="11">
        <f t="shared" si="359"/>
        <v>5</v>
      </c>
      <c r="V332" s="11">
        <f t="shared" si="360"/>
        <v>10</v>
      </c>
      <c r="W332" s="140">
        <v>44362</v>
      </c>
      <c r="Y332" s="24"/>
      <c r="Z332" s="8"/>
      <c r="AA332" s="9"/>
      <c r="AB332" s="10"/>
      <c r="AC332" s="49">
        <f t="shared" si="367"/>
        <v>0</v>
      </c>
      <c r="AD332" s="12"/>
      <c r="AE332" s="9"/>
      <c r="AF332" s="10"/>
      <c r="AG332" s="49">
        <f t="shared" si="368"/>
        <v>0</v>
      </c>
      <c r="AH332" s="11">
        <f t="shared" si="369"/>
        <v>0</v>
      </c>
    </row>
    <row r="333" spans="1:34" x14ac:dyDescent="0.15">
      <c r="A333" s="25" t="s">
        <v>33</v>
      </c>
      <c r="B333" s="8"/>
      <c r="C333" s="9">
        <v>1</v>
      </c>
      <c r="D333" s="10"/>
      <c r="E333" s="49">
        <f t="shared" si="364"/>
        <v>1</v>
      </c>
      <c r="F333" s="12"/>
      <c r="G333" s="9"/>
      <c r="H333" s="10">
        <v>1</v>
      </c>
      <c r="I333" s="49">
        <f t="shared" si="365"/>
        <v>1</v>
      </c>
      <c r="J333" s="11">
        <f t="shared" si="366"/>
        <v>2</v>
      </c>
      <c r="K333" s="63">
        <v>44361</v>
      </c>
      <c r="M333" s="117" t="s">
        <v>250</v>
      </c>
      <c r="N333" s="17"/>
      <c r="O333" s="18"/>
      <c r="P333" s="19">
        <v>1</v>
      </c>
      <c r="Q333" s="49">
        <f t="shared" si="358"/>
        <v>1</v>
      </c>
      <c r="R333" s="20"/>
      <c r="S333" s="18"/>
      <c r="T333" s="19">
        <v>1</v>
      </c>
      <c r="U333" s="49">
        <f t="shared" si="359"/>
        <v>1</v>
      </c>
      <c r="V333" s="49">
        <f t="shared" si="360"/>
        <v>2</v>
      </c>
      <c r="W333" s="140">
        <v>44363</v>
      </c>
      <c r="Y333" s="26"/>
      <c r="Z333" s="8"/>
      <c r="AA333" s="9"/>
      <c r="AB333" s="10"/>
      <c r="AC333" s="49">
        <f t="shared" si="367"/>
        <v>0</v>
      </c>
      <c r="AD333" s="12"/>
      <c r="AE333" s="9"/>
      <c r="AF333" s="10"/>
      <c r="AG333" s="49">
        <f t="shared" si="368"/>
        <v>0</v>
      </c>
      <c r="AH333" s="11">
        <f t="shared" si="369"/>
        <v>0</v>
      </c>
    </row>
    <row r="334" spans="1:34" x14ac:dyDescent="0.15">
      <c r="A334" s="25" t="s">
        <v>33</v>
      </c>
      <c r="B334" s="8"/>
      <c r="C334" s="9">
        <v>1</v>
      </c>
      <c r="D334" s="10"/>
      <c r="E334" s="49">
        <f t="shared" si="364"/>
        <v>1</v>
      </c>
      <c r="F334" s="12"/>
      <c r="G334" s="9">
        <v>1</v>
      </c>
      <c r="H334" s="10"/>
      <c r="I334" s="49">
        <f t="shared" si="365"/>
        <v>1</v>
      </c>
      <c r="J334" s="11">
        <f t="shared" si="366"/>
        <v>2</v>
      </c>
      <c r="K334" s="63">
        <v>44363</v>
      </c>
      <c r="M334" s="117" t="s">
        <v>251</v>
      </c>
      <c r="N334" s="8"/>
      <c r="O334" s="9">
        <v>1</v>
      </c>
      <c r="P334" s="10"/>
      <c r="Q334" s="49">
        <f t="shared" si="358"/>
        <v>1</v>
      </c>
      <c r="R334" s="12"/>
      <c r="S334" s="9">
        <v>1</v>
      </c>
      <c r="T334" s="10"/>
      <c r="U334" s="49">
        <f t="shared" si="359"/>
        <v>1</v>
      </c>
      <c r="V334" s="11">
        <f t="shared" si="360"/>
        <v>2</v>
      </c>
      <c r="W334" s="140">
        <v>44364</v>
      </c>
      <c r="Y334" s="24"/>
      <c r="Z334" s="8"/>
      <c r="AA334" s="9"/>
      <c r="AB334" s="10"/>
      <c r="AC334" s="49">
        <f t="shared" si="367"/>
        <v>0</v>
      </c>
      <c r="AD334" s="12"/>
      <c r="AE334" s="9"/>
      <c r="AF334" s="10"/>
      <c r="AG334" s="49">
        <f t="shared" si="368"/>
        <v>0</v>
      </c>
      <c r="AH334" s="11">
        <f t="shared" si="369"/>
        <v>0</v>
      </c>
    </row>
    <row r="335" spans="1:34" x14ac:dyDescent="0.15">
      <c r="A335" s="117" t="s">
        <v>252</v>
      </c>
      <c r="B335" s="8"/>
      <c r="C335" s="9"/>
      <c r="D335" s="10">
        <v>1</v>
      </c>
      <c r="E335" s="49">
        <f t="shared" si="364"/>
        <v>1</v>
      </c>
      <c r="F335" s="12"/>
      <c r="G335" s="9"/>
      <c r="H335" s="10">
        <v>1</v>
      </c>
      <c r="I335" s="49">
        <f t="shared" si="365"/>
        <v>1</v>
      </c>
      <c r="J335" s="11">
        <f t="shared" si="366"/>
        <v>2</v>
      </c>
      <c r="K335" s="63">
        <v>44365</v>
      </c>
      <c r="M335" s="26" t="s">
        <v>253</v>
      </c>
      <c r="N335" s="8">
        <v>8</v>
      </c>
      <c r="O335" s="9"/>
      <c r="P335" s="10"/>
      <c r="Q335" s="49">
        <f t="shared" si="358"/>
        <v>8</v>
      </c>
      <c r="R335" s="12">
        <v>8</v>
      </c>
      <c r="S335" s="9"/>
      <c r="T335" s="10"/>
      <c r="U335" s="49">
        <f t="shared" si="359"/>
        <v>8</v>
      </c>
      <c r="V335" s="11">
        <f t="shared" si="360"/>
        <v>16</v>
      </c>
      <c r="W335" s="140">
        <v>44371</v>
      </c>
      <c r="Y335" s="26"/>
      <c r="Z335" s="8"/>
      <c r="AA335" s="9"/>
      <c r="AB335" s="10"/>
      <c r="AC335" s="49">
        <f t="shared" si="367"/>
        <v>0</v>
      </c>
      <c r="AD335" s="12"/>
      <c r="AE335" s="9"/>
      <c r="AF335" s="10"/>
      <c r="AG335" s="49">
        <f t="shared" si="368"/>
        <v>0</v>
      </c>
      <c r="AH335" s="11">
        <f t="shared" si="369"/>
        <v>0</v>
      </c>
    </row>
    <row r="336" spans="1:34" x14ac:dyDescent="0.15">
      <c r="A336" s="25" t="s">
        <v>33</v>
      </c>
      <c r="B336" s="13">
        <v>1</v>
      </c>
      <c r="C336" s="14"/>
      <c r="D336" s="15">
        <v>2</v>
      </c>
      <c r="E336" s="49">
        <f t="shared" si="364"/>
        <v>3</v>
      </c>
      <c r="F336" s="16"/>
      <c r="G336" s="14"/>
      <c r="H336" s="15"/>
      <c r="I336" s="49">
        <f t="shared" si="365"/>
        <v>0</v>
      </c>
      <c r="J336" s="11">
        <f t="shared" si="366"/>
        <v>3</v>
      </c>
      <c r="K336" s="63">
        <v>44364</v>
      </c>
      <c r="M336" s="25" t="s">
        <v>28</v>
      </c>
      <c r="N336" s="8">
        <v>5</v>
      </c>
      <c r="O336" s="9">
        <v>5</v>
      </c>
      <c r="P336" s="10">
        <v>5</v>
      </c>
      <c r="Q336" s="49">
        <f t="shared" si="358"/>
        <v>15</v>
      </c>
      <c r="R336" s="12">
        <v>5</v>
      </c>
      <c r="S336" s="9"/>
      <c r="T336" s="10">
        <v>5</v>
      </c>
      <c r="U336" s="49">
        <f t="shared" si="359"/>
        <v>10</v>
      </c>
      <c r="V336" s="11">
        <f t="shared" si="360"/>
        <v>25</v>
      </c>
      <c r="W336" s="140">
        <v>44366</v>
      </c>
      <c r="Y336" s="26"/>
      <c r="Z336" s="8"/>
      <c r="AA336" s="9"/>
      <c r="AB336" s="10"/>
      <c r="AC336" s="49">
        <f t="shared" si="367"/>
        <v>0</v>
      </c>
      <c r="AD336" s="12"/>
      <c r="AE336" s="9"/>
      <c r="AF336" s="10"/>
      <c r="AG336" s="49">
        <f t="shared" si="368"/>
        <v>0</v>
      </c>
      <c r="AH336" s="11">
        <f t="shared" si="369"/>
        <v>0</v>
      </c>
    </row>
    <row r="337" spans="1:34" x14ac:dyDescent="0.15">
      <c r="A337" s="23" t="s">
        <v>254</v>
      </c>
      <c r="B337" s="8">
        <v>-5</v>
      </c>
      <c r="C337" s="9">
        <v>-5</v>
      </c>
      <c r="D337" s="10">
        <v>-5</v>
      </c>
      <c r="E337" s="49">
        <f t="shared" si="364"/>
        <v>-15</v>
      </c>
      <c r="F337" s="12">
        <v>-5</v>
      </c>
      <c r="G337" s="9"/>
      <c r="H337" s="10">
        <v>-5</v>
      </c>
      <c r="I337" s="49">
        <f t="shared" si="365"/>
        <v>-10</v>
      </c>
      <c r="J337" s="11">
        <f t="shared" si="366"/>
        <v>-25</v>
      </c>
      <c r="K337" s="63">
        <v>44366</v>
      </c>
      <c r="M337" s="117" t="s">
        <v>255</v>
      </c>
      <c r="N337" s="8">
        <v>1</v>
      </c>
      <c r="O337" s="9">
        <v>1</v>
      </c>
      <c r="P337" s="10">
        <v>3</v>
      </c>
      <c r="Q337" s="49">
        <f t="shared" si="358"/>
        <v>5</v>
      </c>
      <c r="R337" s="12">
        <v>1</v>
      </c>
      <c r="S337" s="9">
        <v>1</v>
      </c>
      <c r="T337" s="10">
        <v>3</v>
      </c>
      <c r="U337" s="49">
        <f t="shared" si="359"/>
        <v>5</v>
      </c>
      <c r="V337" s="11">
        <f t="shared" si="360"/>
        <v>10</v>
      </c>
      <c r="W337" s="140">
        <v>44369</v>
      </c>
      <c r="Y337" s="26"/>
      <c r="Z337" s="8"/>
      <c r="AA337" s="9"/>
      <c r="AB337" s="10"/>
      <c r="AC337" s="49">
        <f t="shared" si="367"/>
        <v>0</v>
      </c>
      <c r="AD337" s="12"/>
      <c r="AE337" s="9"/>
      <c r="AF337" s="10"/>
      <c r="AG337" s="49">
        <f t="shared" si="368"/>
        <v>0</v>
      </c>
      <c r="AH337" s="11">
        <f t="shared" si="369"/>
        <v>0</v>
      </c>
    </row>
    <row r="338" spans="1:34" x14ac:dyDescent="0.15">
      <c r="A338" s="25" t="s">
        <v>33</v>
      </c>
      <c r="B338" s="8"/>
      <c r="C338" s="9"/>
      <c r="D338" s="10"/>
      <c r="E338" s="49">
        <f t="shared" si="364"/>
        <v>0</v>
      </c>
      <c r="F338" s="12"/>
      <c r="G338" s="9"/>
      <c r="H338" s="10">
        <v>1</v>
      </c>
      <c r="I338" s="49">
        <f t="shared" si="365"/>
        <v>1</v>
      </c>
      <c r="J338" s="11">
        <f t="shared" si="366"/>
        <v>1</v>
      </c>
      <c r="K338" s="63">
        <v>44366</v>
      </c>
      <c r="M338" s="117" t="s">
        <v>124</v>
      </c>
      <c r="N338" s="8">
        <v>2</v>
      </c>
      <c r="O338" s="9"/>
      <c r="P338" s="10">
        <v>1</v>
      </c>
      <c r="Q338" s="49">
        <f t="shared" ref="Q338:Q339" si="370">SUM(N338:P338)</f>
        <v>3</v>
      </c>
      <c r="R338" s="8">
        <v>2</v>
      </c>
      <c r="S338" s="9"/>
      <c r="T338" s="10">
        <v>1</v>
      </c>
      <c r="U338" s="49">
        <f t="shared" ref="U338:U339" si="371">SUM(R338:T338)</f>
        <v>3</v>
      </c>
      <c r="V338" s="11">
        <f t="shared" ref="V338:V339" si="372">Q338+U338</f>
        <v>6</v>
      </c>
      <c r="W338" s="140">
        <v>44372</v>
      </c>
      <c r="Y338" s="26"/>
      <c r="Z338" s="8"/>
      <c r="AA338" s="9"/>
      <c r="AB338" s="10"/>
      <c r="AC338" s="49">
        <f t="shared" si="367"/>
        <v>0</v>
      </c>
      <c r="AD338" s="12"/>
      <c r="AE338" s="9"/>
      <c r="AF338" s="10"/>
      <c r="AG338" s="49">
        <f t="shared" si="368"/>
        <v>0</v>
      </c>
      <c r="AH338" s="11">
        <f t="shared" si="369"/>
        <v>0</v>
      </c>
    </row>
    <row r="339" spans="1:34" x14ac:dyDescent="0.15">
      <c r="A339" s="25" t="s">
        <v>33</v>
      </c>
      <c r="B339" s="8">
        <f>1+1</f>
        <v>2</v>
      </c>
      <c r="C339" s="9"/>
      <c r="D339" s="10"/>
      <c r="E339" s="49">
        <f t="shared" si="364"/>
        <v>2</v>
      </c>
      <c r="F339" s="12">
        <f>1+3</f>
        <v>4</v>
      </c>
      <c r="G339" s="9">
        <v>1</v>
      </c>
      <c r="H339" s="10">
        <v>1</v>
      </c>
      <c r="I339" s="49">
        <f t="shared" si="365"/>
        <v>6</v>
      </c>
      <c r="J339" s="11">
        <f t="shared" si="366"/>
        <v>8</v>
      </c>
      <c r="K339" s="63">
        <v>44368</v>
      </c>
      <c r="M339" s="26"/>
      <c r="N339" s="8"/>
      <c r="O339" s="9"/>
      <c r="P339" s="10"/>
      <c r="Q339" s="49">
        <f t="shared" si="370"/>
        <v>0</v>
      </c>
      <c r="R339" s="12"/>
      <c r="S339" s="9"/>
      <c r="T339" s="10"/>
      <c r="U339" s="49">
        <f t="shared" si="371"/>
        <v>0</v>
      </c>
      <c r="V339" s="11">
        <f t="shared" si="372"/>
        <v>0</v>
      </c>
      <c r="W339" s="142"/>
      <c r="Y339" s="26"/>
      <c r="Z339" s="8"/>
      <c r="AA339" s="9"/>
      <c r="AB339" s="10"/>
      <c r="AC339" s="49">
        <f t="shared" si="367"/>
        <v>0</v>
      </c>
      <c r="AD339" s="12"/>
      <c r="AE339" s="9"/>
      <c r="AF339" s="10"/>
      <c r="AG339" s="49">
        <f t="shared" si="368"/>
        <v>0</v>
      </c>
      <c r="AH339" s="11">
        <f t="shared" si="369"/>
        <v>0</v>
      </c>
    </row>
    <row r="340" spans="1:34" ht="14.25" thickBot="1" x14ac:dyDescent="0.2">
      <c r="A340" s="25" t="s">
        <v>33</v>
      </c>
      <c r="B340" s="13">
        <v>1</v>
      </c>
      <c r="C340" s="14"/>
      <c r="D340" s="15"/>
      <c r="E340" s="55">
        <f t="shared" si="364"/>
        <v>1</v>
      </c>
      <c r="F340" s="16"/>
      <c r="G340" s="14">
        <v>2</v>
      </c>
      <c r="H340" s="15"/>
      <c r="I340" s="55">
        <f t="shared" si="365"/>
        <v>2</v>
      </c>
      <c r="J340" s="11">
        <f t="shared" si="366"/>
        <v>3</v>
      </c>
      <c r="K340" s="63">
        <v>44369</v>
      </c>
      <c r="M340" s="26" t="s">
        <v>213</v>
      </c>
      <c r="N340" s="8"/>
      <c r="O340" s="9"/>
      <c r="P340" s="10"/>
      <c r="Q340" s="49">
        <f t="shared" ref="Q340" si="373">SUM(N340:P340)</f>
        <v>0</v>
      </c>
      <c r="R340" s="12"/>
      <c r="S340" s="9"/>
      <c r="T340" s="10"/>
      <c r="U340" s="49">
        <f t="shared" ref="U340" si="374">SUM(R340:T340)</f>
        <v>0</v>
      </c>
      <c r="V340" s="11">
        <f t="shared" ref="V340" si="375">Q340+U340</f>
        <v>0</v>
      </c>
      <c r="W340" s="142" t="s">
        <v>214</v>
      </c>
      <c r="Y340" s="92"/>
      <c r="Z340" s="13"/>
      <c r="AA340" s="14"/>
      <c r="AB340" s="15"/>
      <c r="AC340" s="49">
        <f t="shared" si="367"/>
        <v>0</v>
      </c>
      <c r="AD340" s="16"/>
      <c r="AE340" s="14"/>
      <c r="AF340" s="15"/>
      <c r="AG340" s="49">
        <f t="shared" si="368"/>
        <v>0</v>
      </c>
      <c r="AH340" s="11">
        <f t="shared" si="369"/>
        <v>0</v>
      </c>
    </row>
    <row r="341" spans="1:34" ht="14.25" thickBot="1" x14ac:dyDescent="0.2">
      <c r="A341" s="41" t="s">
        <v>19</v>
      </c>
      <c r="B341" s="46">
        <f>SUM(B315:B340)</f>
        <v>17</v>
      </c>
      <c r="C341" s="47">
        <f t="shared" ref="C341:D341" si="376">SUM(C315:C340)</f>
        <v>9</v>
      </c>
      <c r="D341" s="59">
        <f t="shared" si="376"/>
        <v>9</v>
      </c>
      <c r="E341" s="45">
        <f t="shared" si="364"/>
        <v>35</v>
      </c>
      <c r="F341" s="46">
        <f>SUM(F315:F340)</f>
        <v>6</v>
      </c>
      <c r="G341" s="47">
        <f t="shared" ref="G341:H341" si="377">SUM(G315:G340)</f>
        <v>19</v>
      </c>
      <c r="H341" s="59">
        <f t="shared" si="377"/>
        <v>8</v>
      </c>
      <c r="I341" s="45">
        <f t="shared" si="365"/>
        <v>33</v>
      </c>
      <c r="J341" s="45">
        <f>E341+I341</f>
        <v>68</v>
      </c>
      <c r="M341" s="41" t="s">
        <v>19</v>
      </c>
      <c r="N341" s="46">
        <f>SUM(N315:N340)</f>
        <v>59</v>
      </c>
      <c r="O341" s="47">
        <f t="shared" ref="O341:P341" si="378">SUM(O315:O340)</f>
        <v>80</v>
      </c>
      <c r="P341" s="59">
        <f t="shared" si="378"/>
        <v>47</v>
      </c>
      <c r="Q341" s="45">
        <f t="shared" si="358"/>
        <v>186</v>
      </c>
      <c r="R341" s="46">
        <f>SUM(R315:R340)</f>
        <v>49</v>
      </c>
      <c r="S341" s="47">
        <f t="shared" ref="S341:T341" si="379">SUM(S315:S340)</f>
        <v>85</v>
      </c>
      <c r="T341" s="59">
        <f t="shared" si="379"/>
        <v>32</v>
      </c>
      <c r="U341" s="45">
        <f t="shared" si="359"/>
        <v>166</v>
      </c>
      <c r="V341" s="45">
        <f>Q341+U341</f>
        <v>352</v>
      </c>
      <c r="Y341" s="41" t="s">
        <v>19</v>
      </c>
      <c r="Z341" s="46">
        <f>SUM(Z315:Z340)</f>
        <v>500</v>
      </c>
      <c r="AA341" s="47">
        <f t="shared" ref="AA341:AB341" si="380">SUM(AA315:AA340)</f>
        <v>900</v>
      </c>
      <c r="AB341" s="59">
        <f t="shared" si="380"/>
        <v>600</v>
      </c>
      <c r="AC341" s="45">
        <f t="shared" si="367"/>
        <v>2000</v>
      </c>
      <c r="AD341" s="46">
        <f>SUM(AD315:AD340)</f>
        <v>500</v>
      </c>
      <c r="AE341" s="47">
        <f t="shared" ref="AE341:AF341" si="381">SUM(AE315:AE340)</f>
        <v>800</v>
      </c>
      <c r="AF341" s="59">
        <f t="shared" si="381"/>
        <v>700</v>
      </c>
      <c r="AG341" s="45">
        <f t="shared" si="368"/>
        <v>2000</v>
      </c>
      <c r="AH341" s="45">
        <f>AC341+AG341</f>
        <v>4000</v>
      </c>
    </row>
    <row r="342" spans="1:34" ht="14.25" thickBot="1" x14ac:dyDescent="0.2">
      <c r="A342" s="22" t="s">
        <v>17</v>
      </c>
      <c r="B342" s="50">
        <f>B314-B341</f>
        <v>10</v>
      </c>
      <c r="C342" s="57">
        <f t="shared" ref="C342:D342" si="382">C314-C341</f>
        <v>12</v>
      </c>
      <c r="D342" s="58">
        <f t="shared" si="382"/>
        <v>16</v>
      </c>
      <c r="E342" s="56">
        <f>SUM(B342:D342)</f>
        <v>38</v>
      </c>
      <c r="F342" s="50">
        <f>F314-F341</f>
        <v>11</v>
      </c>
      <c r="G342" s="57">
        <f t="shared" ref="G342:H342" si="383">G314-G341</f>
        <v>11</v>
      </c>
      <c r="H342" s="58">
        <f t="shared" si="383"/>
        <v>8</v>
      </c>
      <c r="I342" s="56">
        <f>SUM(F342:H342)</f>
        <v>30</v>
      </c>
      <c r="J342" s="31">
        <f>E342+I342</f>
        <v>68</v>
      </c>
      <c r="M342" s="22" t="s">
        <v>17</v>
      </c>
      <c r="N342" s="50">
        <f>N314-N341</f>
        <v>590</v>
      </c>
      <c r="O342" s="57">
        <f t="shared" ref="O342:P342" si="384">O314-O341</f>
        <v>494</v>
      </c>
      <c r="P342" s="58">
        <f t="shared" si="384"/>
        <v>421</v>
      </c>
      <c r="Q342" s="56">
        <f>SUM(N342:P342)</f>
        <v>1505</v>
      </c>
      <c r="R342" s="50">
        <f>R314-R341</f>
        <v>505</v>
      </c>
      <c r="S342" s="57">
        <f t="shared" ref="S342:T342" si="385">S314-S341</f>
        <v>442</v>
      </c>
      <c r="T342" s="58">
        <f t="shared" si="385"/>
        <v>424</v>
      </c>
      <c r="U342" s="56">
        <f>SUM(R342:T342)</f>
        <v>1371</v>
      </c>
      <c r="V342" s="31">
        <f>Q342+U342</f>
        <v>2876</v>
      </c>
      <c r="Y342" s="22" t="s">
        <v>17</v>
      </c>
      <c r="Z342" s="50">
        <f>Z314-Z341</f>
        <v>0</v>
      </c>
      <c r="AA342" s="57">
        <f t="shared" ref="AA342:AB342" si="386">AA314-AA341</f>
        <v>0</v>
      </c>
      <c r="AB342" s="58">
        <f t="shared" si="386"/>
        <v>0</v>
      </c>
      <c r="AC342" s="56">
        <f>SUM(Z342:AB342)</f>
        <v>0</v>
      </c>
      <c r="AD342" s="50">
        <f>AD314-AD341</f>
        <v>0</v>
      </c>
      <c r="AE342" s="57">
        <f t="shared" ref="AE342:AF342" si="387">AE314-AE341</f>
        <v>0</v>
      </c>
      <c r="AF342" s="58">
        <f t="shared" si="387"/>
        <v>0</v>
      </c>
      <c r="AG342" s="56">
        <f>SUM(AD342:AF342)</f>
        <v>0</v>
      </c>
      <c r="AH342" s="31">
        <f>AC342+AG342</f>
        <v>0</v>
      </c>
    </row>
    <row r="345" spans="1:34" ht="19.5" thickBot="1" x14ac:dyDescent="0.25">
      <c r="A345" s="3" t="s">
        <v>21</v>
      </c>
      <c r="B345" s="1"/>
      <c r="C345" s="1"/>
      <c r="D345" s="1"/>
      <c r="E345" s="1"/>
      <c r="F345" s="1"/>
      <c r="G345" s="1"/>
      <c r="H345" s="1"/>
      <c r="I345" s="1"/>
      <c r="J345" s="1"/>
      <c r="M345" s="3" t="s">
        <v>22</v>
      </c>
      <c r="N345" s="1"/>
      <c r="O345" s="1"/>
      <c r="P345" s="1"/>
      <c r="Q345" s="1"/>
      <c r="R345" s="1"/>
      <c r="S345" s="1"/>
      <c r="T345" s="1"/>
      <c r="U345" s="1"/>
      <c r="V345" s="1"/>
      <c r="Y345" s="3" t="s">
        <v>23</v>
      </c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4.25" thickBot="1" x14ac:dyDescent="0.2">
      <c r="A346" s="7" t="s">
        <v>0</v>
      </c>
      <c r="B346" s="165" t="s">
        <v>24</v>
      </c>
      <c r="C346" s="166"/>
      <c r="D346" s="166"/>
      <c r="E346" s="170"/>
      <c r="F346" s="165" t="s">
        <v>18</v>
      </c>
      <c r="G346" s="166"/>
      <c r="H346" s="166"/>
      <c r="I346" s="167"/>
      <c r="J346" s="168" t="s">
        <v>1</v>
      </c>
      <c r="M346" s="7" t="s">
        <v>0</v>
      </c>
      <c r="N346" s="165" t="s">
        <v>24</v>
      </c>
      <c r="O346" s="166"/>
      <c r="P346" s="166"/>
      <c r="Q346" s="170"/>
      <c r="R346" s="165" t="s">
        <v>18</v>
      </c>
      <c r="S346" s="166"/>
      <c r="T346" s="166"/>
      <c r="U346" s="167"/>
      <c r="V346" s="168" t="s">
        <v>1</v>
      </c>
      <c r="Y346" s="7" t="s">
        <v>0</v>
      </c>
      <c r="Z346" s="165" t="s">
        <v>24</v>
      </c>
      <c r="AA346" s="166"/>
      <c r="AB346" s="166"/>
      <c r="AC346" s="170"/>
      <c r="AD346" s="165" t="s">
        <v>18</v>
      </c>
      <c r="AE346" s="166"/>
      <c r="AF346" s="166"/>
      <c r="AG346" s="167"/>
      <c r="AH346" s="168" t="s">
        <v>1</v>
      </c>
    </row>
    <row r="347" spans="1:34" ht="14.25" thickBot="1" x14ac:dyDescent="0.2">
      <c r="A347" s="7" t="s">
        <v>2</v>
      </c>
      <c r="B347" s="4" t="s">
        <v>3</v>
      </c>
      <c r="C347" s="5" t="s">
        <v>4</v>
      </c>
      <c r="D347" s="6" t="s">
        <v>5</v>
      </c>
      <c r="E347" s="7" t="s">
        <v>6</v>
      </c>
      <c r="F347" s="4" t="s">
        <v>3</v>
      </c>
      <c r="G347" s="5" t="s">
        <v>4</v>
      </c>
      <c r="H347" s="6" t="s">
        <v>5</v>
      </c>
      <c r="I347" s="7" t="s">
        <v>6</v>
      </c>
      <c r="J347" s="169"/>
      <c r="M347" s="7" t="s">
        <v>2</v>
      </c>
      <c r="N347" s="4" t="s">
        <v>3</v>
      </c>
      <c r="O347" s="5" t="s">
        <v>4</v>
      </c>
      <c r="P347" s="6" t="s">
        <v>5</v>
      </c>
      <c r="Q347" s="7" t="s">
        <v>6</v>
      </c>
      <c r="R347" s="4" t="s">
        <v>3</v>
      </c>
      <c r="S347" s="5" t="s">
        <v>4</v>
      </c>
      <c r="T347" s="6" t="s">
        <v>5</v>
      </c>
      <c r="U347" s="7" t="s">
        <v>6</v>
      </c>
      <c r="V347" s="169"/>
      <c r="Y347" s="7" t="s">
        <v>2</v>
      </c>
      <c r="Z347" s="4" t="s">
        <v>3</v>
      </c>
      <c r="AA347" s="5" t="s">
        <v>4</v>
      </c>
      <c r="AB347" s="6" t="s">
        <v>5</v>
      </c>
      <c r="AC347" s="7" t="s">
        <v>6</v>
      </c>
      <c r="AD347" s="4" t="s">
        <v>3</v>
      </c>
      <c r="AE347" s="5" t="s">
        <v>4</v>
      </c>
      <c r="AF347" s="6" t="s">
        <v>5</v>
      </c>
      <c r="AG347" s="7" t="s">
        <v>6</v>
      </c>
      <c r="AH347" s="169"/>
    </row>
    <row r="348" spans="1:34" ht="14.25" thickBot="1" x14ac:dyDescent="0.2">
      <c r="A348" s="27" t="s">
        <v>20</v>
      </c>
      <c r="B348" s="38">
        <f>B342</f>
        <v>10</v>
      </c>
      <c r="C348" s="39">
        <f>C342</f>
        <v>12</v>
      </c>
      <c r="D348" s="2">
        <f>D342</f>
        <v>16</v>
      </c>
      <c r="E348" s="36">
        <f>SUM(B348:D348)</f>
        <v>38</v>
      </c>
      <c r="F348" s="38">
        <f>F342</f>
        <v>11</v>
      </c>
      <c r="G348" s="39">
        <f>G342</f>
        <v>11</v>
      </c>
      <c r="H348" s="2">
        <f>H342</f>
        <v>8</v>
      </c>
      <c r="I348" s="36">
        <f>SUM(F348:H348)</f>
        <v>30</v>
      </c>
      <c r="J348" s="36">
        <f>E348+I348</f>
        <v>68</v>
      </c>
      <c r="M348" s="27" t="s">
        <v>20</v>
      </c>
      <c r="N348" s="38">
        <f>N342</f>
        <v>590</v>
      </c>
      <c r="O348" s="39">
        <f>O342</f>
        <v>494</v>
      </c>
      <c r="P348" s="2">
        <f>P342</f>
        <v>421</v>
      </c>
      <c r="Q348" s="36">
        <f>SUM(N348:P348)</f>
        <v>1505</v>
      </c>
      <c r="R348" s="38">
        <f>R342</f>
        <v>505</v>
      </c>
      <c r="S348" s="39">
        <f>S342</f>
        <v>442</v>
      </c>
      <c r="T348" s="2">
        <f>T342</f>
        <v>424</v>
      </c>
      <c r="U348" s="36">
        <f>SUM(R348:T348)</f>
        <v>1371</v>
      </c>
      <c r="V348" s="36">
        <f>Q348+U348</f>
        <v>2876</v>
      </c>
      <c r="Y348" s="27" t="s">
        <v>20</v>
      </c>
      <c r="Z348" s="38">
        <f>Z342</f>
        <v>0</v>
      </c>
      <c r="AA348" s="39">
        <f>AA342</f>
        <v>0</v>
      </c>
      <c r="AB348" s="2">
        <f>AB342</f>
        <v>0</v>
      </c>
      <c r="AC348" s="36">
        <f>SUM(Z348:AB348)</f>
        <v>0</v>
      </c>
      <c r="AD348" s="38">
        <f>AD342</f>
        <v>0</v>
      </c>
      <c r="AE348" s="39">
        <f>AE342</f>
        <v>0</v>
      </c>
      <c r="AF348" s="2">
        <f>AF342</f>
        <v>0</v>
      </c>
      <c r="AG348" s="36">
        <f>SUM(AD348:AF348)</f>
        <v>0</v>
      </c>
      <c r="AH348" s="36">
        <f>AC348+AG348</f>
        <v>0</v>
      </c>
    </row>
    <row r="349" spans="1:34" x14ac:dyDescent="0.15">
      <c r="A349" s="25" t="s">
        <v>143</v>
      </c>
      <c r="B349" s="42"/>
      <c r="C349" s="43">
        <v>3</v>
      </c>
      <c r="D349" s="44"/>
      <c r="E349" s="48">
        <f>SUM(B349:D349)</f>
        <v>3</v>
      </c>
      <c r="F349" s="60"/>
      <c r="G349" s="43">
        <v>3</v>
      </c>
      <c r="H349" s="61"/>
      <c r="I349" s="48">
        <f>SUM(F349:H349)</f>
        <v>3</v>
      </c>
      <c r="J349" s="48">
        <f>E349+I349</f>
        <v>6</v>
      </c>
      <c r="K349" s="63">
        <v>44370</v>
      </c>
      <c r="M349" s="25" t="s">
        <v>8</v>
      </c>
      <c r="N349" s="42"/>
      <c r="O349" s="43"/>
      <c r="P349" s="44"/>
      <c r="Q349" s="48">
        <f>SUM(N349:P349)</f>
        <v>0</v>
      </c>
      <c r="R349" s="60"/>
      <c r="S349" s="43"/>
      <c r="T349" s="61"/>
      <c r="U349" s="48">
        <f>SUM(R349:T349)</f>
        <v>0</v>
      </c>
      <c r="V349" s="48">
        <f>Q349+U349</f>
        <v>0</v>
      </c>
      <c r="W349" s="140"/>
      <c r="Y349" s="25" t="s">
        <v>8</v>
      </c>
      <c r="Z349" s="42"/>
      <c r="AA349" s="43"/>
      <c r="AB349" s="44"/>
      <c r="AC349" s="48">
        <f>SUM(Z349:AB349)</f>
        <v>0</v>
      </c>
      <c r="AD349" s="60"/>
      <c r="AE349" s="43"/>
      <c r="AF349" s="61"/>
      <c r="AG349" s="48">
        <f>SUM(AD349:AF349)</f>
        <v>0</v>
      </c>
      <c r="AH349" s="48">
        <f>AC349+AG349</f>
        <v>0</v>
      </c>
    </row>
    <row r="350" spans="1:34" x14ac:dyDescent="0.15">
      <c r="A350" s="25" t="s">
        <v>9</v>
      </c>
      <c r="B350" s="8"/>
      <c r="C350" s="9"/>
      <c r="D350" s="52">
        <v>10</v>
      </c>
      <c r="E350" s="11">
        <f>SUM(B350:D350)</f>
        <v>10</v>
      </c>
      <c r="F350" s="12"/>
      <c r="G350" s="9"/>
      <c r="H350" s="10">
        <v>10</v>
      </c>
      <c r="I350" s="11">
        <f>SUM(F350:H350)</f>
        <v>10</v>
      </c>
      <c r="J350" s="11">
        <f>E350+I350</f>
        <v>20</v>
      </c>
      <c r="K350" s="63">
        <v>44375</v>
      </c>
      <c r="M350" s="25" t="s">
        <v>9</v>
      </c>
      <c r="N350" s="8"/>
      <c r="O350" s="9"/>
      <c r="P350" s="52"/>
      <c r="Q350" s="11">
        <f t="shared" ref="Q350:Q356" si="388">SUM(N350:P350)</f>
        <v>0</v>
      </c>
      <c r="R350" s="12"/>
      <c r="S350" s="9"/>
      <c r="T350" s="10"/>
      <c r="U350" s="11">
        <f t="shared" ref="U350:U356" si="389">SUM(R350:T350)</f>
        <v>0</v>
      </c>
      <c r="V350" s="11">
        <f t="shared" ref="V350:V356" si="390">Q350+U350</f>
        <v>0</v>
      </c>
      <c r="W350" s="140"/>
      <c r="Y350" s="25" t="s">
        <v>9</v>
      </c>
      <c r="Z350" s="8"/>
      <c r="AA350" s="9"/>
      <c r="AB350" s="52"/>
      <c r="AC350" s="11">
        <f t="shared" ref="AC350:AC356" si="391">SUM(Z350:AB350)</f>
        <v>0</v>
      </c>
      <c r="AD350" s="12"/>
      <c r="AE350" s="9"/>
      <c r="AF350" s="10"/>
      <c r="AG350" s="11">
        <f t="shared" ref="AG350:AG356" si="392">SUM(AD350:AF350)</f>
        <v>0</v>
      </c>
      <c r="AH350" s="11">
        <f t="shared" ref="AH350:AH356" si="393">AC350+AG350</f>
        <v>0</v>
      </c>
    </row>
    <row r="351" spans="1:34" x14ac:dyDescent="0.15">
      <c r="A351" s="25" t="s">
        <v>10</v>
      </c>
      <c r="B351" s="17"/>
      <c r="C351" s="18"/>
      <c r="D351" s="51"/>
      <c r="E351" s="11">
        <f t="shared" ref="E351:E356" si="394">SUM(B351:D351)</f>
        <v>0</v>
      </c>
      <c r="F351" s="20">
        <v>5</v>
      </c>
      <c r="G351" s="18"/>
      <c r="H351" s="19"/>
      <c r="I351" s="11">
        <f t="shared" ref="I351:I356" si="395">SUM(F351:H351)</f>
        <v>5</v>
      </c>
      <c r="J351" s="11">
        <f t="shared" ref="J351:J356" si="396">E351+I351</f>
        <v>5</v>
      </c>
      <c r="K351" s="63">
        <v>44376</v>
      </c>
      <c r="M351" s="25" t="s">
        <v>233</v>
      </c>
      <c r="N351" s="13">
        <v>287</v>
      </c>
      <c r="O351" s="14">
        <v>665</v>
      </c>
      <c r="P351" s="53">
        <v>382</v>
      </c>
      <c r="Q351" s="11">
        <f t="shared" si="388"/>
        <v>1334</v>
      </c>
      <c r="R351" s="16">
        <v>310</v>
      </c>
      <c r="S351" s="14">
        <v>608</v>
      </c>
      <c r="T351" s="15">
        <v>501</v>
      </c>
      <c r="U351" s="11">
        <f t="shared" si="389"/>
        <v>1419</v>
      </c>
      <c r="V351" s="11">
        <f t="shared" si="390"/>
        <v>2753</v>
      </c>
      <c r="W351" s="140" t="s">
        <v>246</v>
      </c>
      <c r="Y351" s="25" t="s">
        <v>10</v>
      </c>
      <c r="Z351" s="17"/>
      <c r="AA351" s="18"/>
      <c r="AB351" s="51"/>
      <c r="AC351" s="11">
        <f t="shared" si="391"/>
        <v>0</v>
      </c>
      <c r="AD351" s="20"/>
      <c r="AE351" s="18"/>
      <c r="AF351" s="19"/>
      <c r="AG351" s="11">
        <f t="shared" si="392"/>
        <v>0</v>
      </c>
      <c r="AH351" s="11">
        <f t="shared" si="393"/>
        <v>0</v>
      </c>
    </row>
    <row r="352" spans="1:34" x14ac:dyDescent="0.15">
      <c r="A352" s="25" t="s">
        <v>11</v>
      </c>
      <c r="B352" s="8">
        <v>5</v>
      </c>
      <c r="C352" s="9"/>
      <c r="D352" s="52"/>
      <c r="E352" s="11">
        <f t="shared" si="394"/>
        <v>5</v>
      </c>
      <c r="F352" s="12">
        <v>5</v>
      </c>
      <c r="G352" s="9"/>
      <c r="H352" s="10">
        <v>5</v>
      </c>
      <c r="I352" s="11">
        <f t="shared" si="395"/>
        <v>10</v>
      </c>
      <c r="J352" s="11">
        <f t="shared" si="396"/>
        <v>15</v>
      </c>
      <c r="K352" s="63">
        <v>44380</v>
      </c>
      <c r="M352" s="25" t="s">
        <v>11</v>
      </c>
      <c r="N352" s="8"/>
      <c r="O352" s="9"/>
      <c r="P352" s="52"/>
      <c r="Q352" s="11">
        <f t="shared" si="388"/>
        <v>0</v>
      </c>
      <c r="R352" s="12"/>
      <c r="S352" s="9"/>
      <c r="T352" s="10"/>
      <c r="U352" s="11">
        <f t="shared" si="389"/>
        <v>0</v>
      </c>
      <c r="V352" s="11">
        <f t="shared" si="390"/>
        <v>0</v>
      </c>
      <c r="W352" s="140"/>
      <c r="Y352" s="25" t="s">
        <v>11</v>
      </c>
      <c r="Z352" s="8"/>
      <c r="AA352" s="9"/>
      <c r="AB352" s="52"/>
      <c r="AC352" s="11">
        <f t="shared" si="391"/>
        <v>0</v>
      </c>
      <c r="AD352" s="12"/>
      <c r="AE352" s="9"/>
      <c r="AF352" s="10"/>
      <c r="AG352" s="11">
        <f t="shared" si="392"/>
        <v>0</v>
      </c>
      <c r="AH352" s="11">
        <f t="shared" si="393"/>
        <v>0</v>
      </c>
    </row>
    <row r="353" spans="1:34" x14ac:dyDescent="0.15">
      <c r="A353" s="25" t="s">
        <v>134</v>
      </c>
      <c r="B353" s="8">
        <v>1</v>
      </c>
      <c r="C353" s="9"/>
      <c r="D353" s="52"/>
      <c r="E353" s="11">
        <f t="shared" si="394"/>
        <v>1</v>
      </c>
      <c r="F353" s="12">
        <v>1</v>
      </c>
      <c r="G353" s="9"/>
      <c r="H353" s="10"/>
      <c r="I353" s="11">
        <f t="shared" si="395"/>
        <v>1</v>
      </c>
      <c r="J353" s="11">
        <f t="shared" si="396"/>
        <v>2</v>
      </c>
      <c r="K353" s="63">
        <v>44384</v>
      </c>
      <c r="L353" s="82"/>
      <c r="M353" s="25" t="s">
        <v>137</v>
      </c>
      <c r="N353" s="8"/>
      <c r="O353" s="9">
        <v>1</v>
      </c>
      <c r="P353" s="52"/>
      <c r="Q353" s="11">
        <f t="shared" si="388"/>
        <v>1</v>
      </c>
      <c r="R353" s="12"/>
      <c r="S353" s="9"/>
      <c r="T353" s="10"/>
      <c r="U353" s="11">
        <f t="shared" si="389"/>
        <v>0</v>
      </c>
      <c r="V353" s="11">
        <f t="shared" si="390"/>
        <v>1</v>
      </c>
      <c r="W353" s="140">
        <v>44392</v>
      </c>
      <c r="Y353" s="25" t="s">
        <v>12</v>
      </c>
      <c r="Z353" s="8"/>
      <c r="AA353" s="9"/>
      <c r="AB353" s="52"/>
      <c r="AC353" s="11">
        <f t="shared" si="391"/>
        <v>0</v>
      </c>
      <c r="AD353" s="12"/>
      <c r="AE353" s="9"/>
      <c r="AF353" s="10"/>
      <c r="AG353" s="11">
        <f t="shared" si="392"/>
        <v>0</v>
      </c>
      <c r="AH353" s="11">
        <f t="shared" si="393"/>
        <v>0</v>
      </c>
    </row>
    <row r="354" spans="1:34" x14ac:dyDescent="0.15">
      <c r="A354" s="25" t="s">
        <v>13</v>
      </c>
      <c r="B354" s="8">
        <v>5</v>
      </c>
      <c r="C354" s="9">
        <v>5</v>
      </c>
      <c r="D354" s="52"/>
      <c r="E354" s="11">
        <f t="shared" si="394"/>
        <v>10</v>
      </c>
      <c r="F354" s="12">
        <v>5</v>
      </c>
      <c r="G354" s="9">
        <v>10</v>
      </c>
      <c r="H354" s="10">
        <v>5</v>
      </c>
      <c r="I354" s="11">
        <f t="shared" si="395"/>
        <v>20</v>
      </c>
      <c r="J354" s="11">
        <f t="shared" si="396"/>
        <v>30</v>
      </c>
      <c r="K354" s="63">
        <v>44386</v>
      </c>
      <c r="M354" s="25" t="s">
        <v>28</v>
      </c>
      <c r="N354" s="8">
        <v>11</v>
      </c>
      <c r="O354" s="9">
        <v>14</v>
      </c>
      <c r="P354" s="10"/>
      <c r="Q354" s="49">
        <f t="shared" si="388"/>
        <v>25</v>
      </c>
      <c r="R354" s="12">
        <v>10</v>
      </c>
      <c r="S354" s="9"/>
      <c r="T354" s="10"/>
      <c r="U354" s="49">
        <f t="shared" si="389"/>
        <v>10</v>
      </c>
      <c r="V354" s="11">
        <f t="shared" si="390"/>
        <v>35</v>
      </c>
      <c r="W354" s="140">
        <v>44394</v>
      </c>
      <c r="Y354" s="25" t="s">
        <v>13</v>
      </c>
      <c r="Z354" s="8"/>
      <c r="AA354" s="9"/>
      <c r="AB354" s="52"/>
      <c r="AC354" s="11">
        <f t="shared" si="391"/>
        <v>0</v>
      </c>
      <c r="AD354" s="12"/>
      <c r="AE354" s="9"/>
      <c r="AF354" s="10"/>
      <c r="AG354" s="11">
        <f t="shared" si="392"/>
        <v>0</v>
      </c>
      <c r="AH354" s="11">
        <f t="shared" si="393"/>
        <v>0</v>
      </c>
    </row>
    <row r="355" spans="1:34" x14ac:dyDescent="0.15">
      <c r="A355" s="25" t="s">
        <v>137</v>
      </c>
      <c r="B355" s="13">
        <v>16</v>
      </c>
      <c r="C355" s="14">
        <v>14</v>
      </c>
      <c r="D355" s="53">
        <v>2</v>
      </c>
      <c r="E355" s="11">
        <f t="shared" si="394"/>
        <v>32</v>
      </c>
      <c r="F355" s="16">
        <v>13</v>
      </c>
      <c r="G355" s="14">
        <v>5</v>
      </c>
      <c r="H355" s="15">
        <v>6</v>
      </c>
      <c r="I355" s="11">
        <f t="shared" si="395"/>
        <v>24</v>
      </c>
      <c r="J355" s="11">
        <f t="shared" si="396"/>
        <v>56</v>
      </c>
      <c r="K355" s="71">
        <v>44391</v>
      </c>
      <c r="M355" s="25" t="s">
        <v>14</v>
      </c>
      <c r="N355" s="13"/>
      <c r="O355" s="14"/>
      <c r="P355" s="53"/>
      <c r="Q355" s="11">
        <f t="shared" si="388"/>
        <v>0</v>
      </c>
      <c r="R355" s="16"/>
      <c r="S355" s="14"/>
      <c r="T355" s="15"/>
      <c r="U355" s="11">
        <f t="shared" si="389"/>
        <v>0</v>
      </c>
      <c r="V355" s="11">
        <f t="shared" si="390"/>
        <v>0</v>
      </c>
      <c r="W355" s="142"/>
      <c r="Y355" s="25" t="s">
        <v>14</v>
      </c>
      <c r="Z355" s="13"/>
      <c r="AA355" s="14"/>
      <c r="AB355" s="53"/>
      <c r="AC355" s="11">
        <f t="shared" si="391"/>
        <v>0</v>
      </c>
      <c r="AD355" s="16"/>
      <c r="AE355" s="14"/>
      <c r="AF355" s="15"/>
      <c r="AG355" s="11">
        <f t="shared" si="392"/>
        <v>0</v>
      </c>
      <c r="AH355" s="11">
        <f t="shared" si="393"/>
        <v>0</v>
      </c>
    </row>
    <row r="356" spans="1:34" ht="14.25" thickBot="1" x14ac:dyDescent="0.2">
      <c r="A356" s="25" t="s">
        <v>195</v>
      </c>
      <c r="B356" s="13"/>
      <c r="C356" s="14"/>
      <c r="D356" s="53"/>
      <c r="E356" s="62">
        <f t="shared" si="394"/>
        <v>0</v>
      </c>
      <c r="F356" s="34">
        <v>1</v>
      </c>
      <c r="G356" s="34"/>
      <c r="H356" s="37"/>
      <c r="I356" s="62">
        <f t="shared" si="395"/>
        <v>1</v>
      </c>
      <c r="J356" s="21">
        <f t="shared" si="396"/>
        <v>1</v>
      </c>
      <c r="K356" s="63">
        <v>44393</v>
      </c>
      <c r="M356" s="25" t="s">
        <v>15</v>
      </c>
      <c r="N356" s="13"/>
      <c r="O356" s="14"/>
      <c r="P356" s="53"/>
      <c r="Q356" s="62">
        <f t="shared" si="388"/>
        <v>0</v>
      </c>
      <c r="R356" s="34"/>
      <c r="S356" s="34"/>
      <c r="T356" s="37"/>
      <c r="U356" s="62">
        <f t="shared" si="389"/>
        <v>0</v>
      </c>
      <c r="V356" s="21">
        <f t="shared" si="390"/>
        <v>0</v>
      </c>
      <c r="Y356" s="25" t="s">
        <v>15</v>
      </c>
      <c r="Z356" s="13"/>
      <c r="AA356" s="14"/>
      <c r="AB356" s="53"/>
      <c r="AC356" s="62">
        <f t="shared" si="391"/>
        <v>0</v>
      </c>
      <c r="AD356" s="34"/>
      <c r="AE356" s="34"/>
      <c r="AF356" s="37"/>
      <c r="AG356" s="62">
        <f t="shared" si="392"/>
        <v>0</v>
      </c>
      <c r="AH356" s="21">
        <f t="shared" si="393"/>
        <v>0</v>
      </c>
    </row>
    <row r="357" spans="1:34" ht="14.25" thickBot="1" x14ac:dyDescent="0.2">
      <c r="A357" s="35" t="s">
        <v>16</v>
      </c>
      <c r="B357" s="28">
        <f>SUM(B348:B356)</f>
        <v>37</v>
      </c>
      <c r="C357" s="29">
        <f t="shared" ref="C357:D357" si="397">SUM(C348:C356)</f>
        <v>34</v>
      </c>
      <c r="D357" s="68">
        <f t="shared" si="397"/>
        <v>28</v>
      </c>
      <c r="E357" s="64">
        <f>SUM(B357:D357)</f>
        <v>99</v>
      </c>
      <c r="F357" s="28">
        <f>SUM(F348:F356)</f>
        <v>41</v>
      </c>
      <c r="G357" s="29">
        <f t="shared" ref="G357:H357" si="398">SUM(G348:G356)</f>
        <v>29</v>
      </c>
      <c r="H357" s="68">
        <f t="shared" si="398"/>
        <v>34</v>
      </c>
      <c r="I357" s="64">
        <f>SUM(F357:H357)</f>
        <v>104</v>
      </c>
      <c r="J357" s="31">
        <f>SUM(J349:J356)</f>
        <v>135</v>
      </c>
      <c r="M357" s="35" t="s">
        <v>16</v>
      </c>
      <c r="N357" s="28">
        <f>SUM(N348:N356)</f>
        <v>888</v>
      </c>
      <c r="O357" s="29">
        <f t="shared" ref="O357:P357" si="399">SUM(O348:O356)</f>
        <v>1174</v>
      </c>
      <c r="P357" s="68">
        <f t="shared" si="399"/>
        <v>803</v>
      </c>
      <c r="Q357" s="64">
        <f>SUM(N357:P357)</f>
        <v>2865</v>
      </c>
      <c r="R357" s="28">
        <f>SUM(R348:R356)</f>
        <v>825</v>
      </c>
      <c r="S357" s="29">
        <f t="shared" ref="S357:T357" si="400">SUM(S348:S356)</f>
        <v>1050</v>
      </c>
      <c r="T357" s="68">
        <f t="shared" si="400"/>
        <v>925</v>
      </c>
      <c r="U357" s="64">
        <f>SUM(R357:T357)</f>
        <v>2800</v>
      </c>
      <c r="V357" s="31">
        <f>Q357+U357</f>
        <v>5665</v>
      </c>
      <c r="Y357" s="35" t="s">
        <v>16</v>
      </c>
      <c r="Z357" s="28">
        <f>SUM(Z348:Z356)</f>
        <v>0</v>
      </c>
      <c r="AA357" s="29">
        <f t="shared" ref="AA357:AB357" si="401">SUM(AA348:AA356)</f>
        <v>0</v>
      </c>
      <c r="AB357" s="68">
        <f t="shared" si="401"/>
        <v>0</v>
      </c>
      <c r="AC357" s="64">
        <f>SUM(Z357:AB357)</f>
        <v>0</v>
      </c>
      <c r="AD357" s="28">
        <f>SUM(AD348:AD356)</f>
        <v>0</v>
      </c>
      <c r="AE357" s="29">
        <f t="shared" ref="AE357:AF357" si="402">SUM(AE348:AE356)</f>
        <v>0</v>
      </c>
      <c r="AF357" s="68">
        <f t="shared" si="402"/>
        <v>0</v>
      </c>
      <c r="AG357" s="64">
        <f>SUM(AD357:AF357)</f>
        <v>0</v>
      </c>
      <c r="AH357" s="31">
        <f>AC357+AG357</f>
        <v>0</v>
      </c>
    </row>
    <row r="358" spans="1:34" x14ac:dyDescent="0.15">
      <c r="A358" s="25" t="s">
        <v>33</v>
      </c>
      <c r="B358" s="65"/>
      <c r="C358" s="66">
        <v>1</v>
      </c>
      <c r="D358" s="67"/>
      <c r="E358" s="49">
        <f>SUM(B358:D358)</f>
        <v>1</v>
      </c>
      <c r="F358" s="16"/>
      <c r="G358" s="14">
        <v>1</v>
      </c>
      <c r="H358" s="15"/>
      <c r="I358" s="49">
        <f>SUM(F358:H358)</f>
        <v>1</v>
      </c>
      <c r="J358" s="11">
        <f>E358+I358</f>
        <v>2</v>
      </c>
      <c r="K358" s="63">
        <v>44371</v>
      </c>
      <c r="M358" s="26" t="s">
        <v>259</v>
      </c>
      <c r="N358" s="65"/>
      <c r="O358" s="66"/>
      <c r="P358" s="67">
        <v>10</v>
      </c>
      <c r="Q358" s="49">
        <f t="shared" ref="Q358:Q384" si="403">SUM(N358:P358)</f>
        <v>10</v>
      </c>
      <c r="R358" s="16"/>
      <c r="S358" s="14"/>
      <c r="T358" s="15">
        <v>10</v>
      </c>
      <c r="U358" s="49">
        <f t="shared" ref="U358:U384" si="404">SUM(R358:T358)</f>
        <v>10</v>
      </c>
      <c r="V358" s="11">
        <f t="shared" ref="V358:V383" si="405">Q358+U358</f>
        <v>20</v>
      </c>
      <c r="W358" s="140">
        <v>44375</v>
      </c>
      <c r="Y358" s="26"/>
      <c r="Z358" s="8"/>
      <c r="AA358" s="9"/>
      <c r="AB358" s="52"/>
      <c r="AC358" s="11">
        <f t="shared" ref="AC358:AC384" si="406">SUM(Z358:AB358)</f>
        <v>0</v>
      </c>
      <c r="AD358" s="12"/>
      <c r="AE358" s="9"/>
      <c r="AF358" s="10"/>
      <c r="AG358" s="11">
        <f t="shared" ref="AG358:AG384" si="407">SUM(AD358:AF358)</f>
        <v>0</v>
      </c>
      <c r="AH358" s="11">
        <f t="shared" ref="AH358:AH383" si="408">AC358+AG358</f>
        <v>0</v>
      </c>
    </row>
    <row r="359" spans="1:34" x14ac:dyDescent="0.15">
      <c r="A359" s="26" t="s">
        <v>258</v>
      </c>
      <c r="B359" s="8"/>
      <c r="C359" s="9"/>
      <c r="D359" s="10">
        <v>8</v>
      </c>
      <c r="E359" s="49">
        <f t="shared" ref="E359:E384" si="409">SUM(B359:D359)</f>
        <v>8</v>
      </c>
      <c r="F359" s="12"/>
      <c r="G359" s="9"/>
      <c r="H359" s="10">
        <v>8</v>
      </c>
      <c r="I359" s="49">
        <f t="shared" ref="I359:I384" si="410">SUM(F359:H359)</f>
        <v>8</v>
      </c>
      <c r="J359" s="11">
        <f t="shared" ref="J359:J383" si="411">E359+I359</f>
        <v>16</v>
      </c>
      <c r="K359" s="63">
        <v>44377</v>
      </c>
      <c r="M359" s="26" t="s">
        <v>28</v>
      </c>
      <c r="N359" s="8"/>
      <c r="O359" s="9"/>
      <c r="P359" s="10"/>
      <c r="Q359" s="49">
        <f t="shared" si="403"/>
        <v>0</v>
      </c>
      <c r="R359" s="12">
        <v>5</v>
      </c>
      <c r="S359" s="9"/>
      <c r="T359" s="10"/>
      <c r="U359" s="49">
        <f t="shared" si="404"/>
        <v>5</v>
      </c>
      <c r="V359" s="11">
        <f t="shared" si="405"/>
        <v>5</v>
      </c>
      <c r="W359" s="140">
        <v>44376</v>
      </c>
      <c r="Y359" s="26"/>
      <c r="Z359" s="17"/>
      <c r="AA359" s="18"/>
      <c r="AB359" s="51"/>
      <c r="AC359" s="11">
        <f t="shared" si="406"/>
        <v>0</v>
      </c>
      <c r="AD359" s="20"/>
      <c r="AE359" s="18"/>
      <c r="AF359" s="19"/>
      <c r="AG359" s="11">
        <f t="shared" si="407"/>
        <v>0</v>
      </c>
      <c r="AH359" s="11">
        <f t="shared" si="408"/>
        <v>0</v>
      </c>
    </row>
    <row r="360" spans="1:34" x14ac:dyDescent="0.15">
      <c r="A360" s="25" t="s">
        <v>33</v>
      </c>
      <c r="B360" s="8"/>
      <c r="C360" s="9">
        <f>1+1</f>
        <v>2</v>
      </c>
      <c r="D360" s="10"/>
      <c r="E360" s="49">
        <f t="shared" si="409"/>
        <v>2</v>
      </c>
      <c r="F360" s="12">
        <f>1+2+1</f>
        <v>4</v>
      </c>
      <c r="G360" s="9">
        <v>1</v>
      </c>
      <c r="H360" s="10">
        <v>1</v>
      </c>
      <c r="I360" s="49">
        <f t="shared" si="410"/>
        <v>6</v>
      </c>
      <c r="J360" s="11">
        <f t="shared" si="411"/>
        <v>8</v>
      </c>
      <c r="K360" s="63">
        <v>44372</v>
      </c>
      <c r="M360" s="26" t="s">
        <v>260</v>
      </c>
      <c r="N360" s="8">
        <v>15</v>
      </c>
      <c r="O360" s="9">
        <v>25</v>
      </c>
      <c r="P360" s="10"/>
      <c r="Q360" s="49">
        <f t="shared" si="403"/>
        <v>40</v>
      </c>
      <c r="R360" s="12"/>
      <c r="S360" s="9">
        <v>10</v>
      </c>
      <c r="T360" s="10"/>
      <c r="U360" s="49">
        <f t="shared" si="404"/>
        <v>10</v>
      </c>
      <c r="V360" s="11">
        <f t="shared" si="405"/>
        <v>50</v>
      </c>
      <c r="W360" s="140">
        <v>44386</v>
      </c>
      <c r="X360" s="82"/>
      <c r="Y360" s="26"/>
      <c r="Z360" s="8"/>
      <c r="AA360" s="9"/>
      <c r="AB360" s="52"/>
      <c r="AC360" s="11">
        <f t="shared" si="406"/>
        <v>0</v>
      </c>
      <c r="AD360" s="12"/>
      <c r="AE360" s="9"/>
      <c r="AF360" s="10"/>
      <c r="AG360" s="11">
        <f t="shared" si="407"/>
        <v>0</v>
      </c>
      <c r="AH360" s="11">
        <f t="shared" si="408"/>
        <v>0</v>
      </c>
    </row>
    <row r="361" spans="1:34" x14ac:dyDescent="0.15">
      <c r="A361" s="25" t="s">
        <v>33</v>
      </c>
      <c r="B361" s="8"/>
      <c r="C361" s="9"/>
      <c r="D361" s="10">
        <v>1</v>
      </c>
      <c r="E361" s="49">
        <f t="shared" si="409"/>
        <v>1</v>
      </c>
      <c r="F361" s="12">
        <v>1</v>
      </c>
      <c r="G361" s="9"/>
      <c r="H361" s="10"/>
      <c r="I361" s="49">
        <f t="shared" si="410"/>
        <v>1</v>
      </c>
      <c r="J361" s="11">
        <f t="shared" si="411"/>
        <v>2</v>
      </c>
      <c r="K361" s="63">
        <v>44375</v>
      </c>
      <c r="L361" s="82"/>
      <c r="M361" s="26" t="s">
        <v>261</v>
      </c>
      <c r="N361" s="8">
        <v>15</v>
      </c>
      <c r="O361" s="9"/>
      <c r="P361" s="10"/>
      <c r="Q361" s="49">
        <f t="shared" si="403"/>
        <v>15</v>
      </c>
      <c r="R361" s="12"/>
      <c r="S361" s="9"/>
      <c r="T361" s="10"/>
      <c r="U361" s="49">
        <f t="shared" si="404"/>
        <v>0</v>
      </c>
      <c r="V361" s="11">
        <f t="shared" si="405"/>
        <v>15</v>
      </c>
      <c r="W361" s="140">
        <v>44386</v>
      </c>
      <c r="X361" s="82"/>
      <c r="Y361" s="26"/>
      <c r="Z361" s="8"/>
      <c r="AA361" s="9"/>
      <c r="AB361" s="52"/>
      <c r="AC361" s="11">
        <f t="shared" si="406"/>
        <v>0</v>
      </c>
      <c r="AD361" s="12"/>
      <c r="AE361" s="9"/>
      <c r="AF361" s="10"/>
      <c r="AG361" s="11">
        <f t="shared" si="407"/>
        <v>0</v>
      </c>
      <c r="AH361" s="11">
        <f t="shared" si="408"/>
        <v>0</v>
      </c>
    </row>
    <row r="362" spans="1:34" x14ac:dyDescent="0.15">
      <c r="A362" s="25" t="s">
        <v>33</v>
      </c>
      <c r="B362" s="8"/>
      <c r="C362" s="9"/>
      <c r="D362" s="10"/>
      <c r="E362" s="49">
        <f t="shared" si="409"/>
        <v>0</v>
      </c>
      <c r="F362" s="12"/>
      <c r="G362" s="9"/>
      <c r="H362" s="10">
        <v>1</v>
      </c>
      <c r="I362" s="49">
        <f t="shared" si="410"/>
        <v>1</v>
      </c>
      <c r="J362" s="11">
        <f t="shared" si="411"/>
        <v>1</v>
      </c>
      <c r="K362" s="63">
        <v>44379</v>
      </c>
      <c r="L362" s="82"/>
      <c r="M362" s="26" t="s">
        <v>28</v>
      </c>
      <c r="N362" s="8">
        <v>5</v>
      </c>
      <c r="O362" s="9"/>
      <c r="P362" s="10"/>
      <c r="Q362" s="49">
        <f t="shared" si="403"/>
        <v>5</v>
      </c>
      <c r="R362" s="12">
        <v>5</v>
      </c>
      <c r="S362" s="9"/>
      <c r="T362" s="10">
        <v>5</v>
      </c>
      <c r="U362" s="49">
        <f t="shared" si="404"/>
        <v>10</v>
      </c>
      <c r="V362" s="11">
        <f t="shared" si="405"/>
        <v>15</v>
      </c>
      <c r="W362" s="140">
        <v>44380</v>
      </c>
      <c r="Y362" s="26"/>
      <c r="Z362" s="8"/>
      <c r="AA362" s="9"/>
      <c r="AB362" s="10"/>
      <c r="AC362" s="49">
        <f t="shared" si="406"/>
        <v>0</v>
      </c>
      <c r="AD362" s="12"/>
      <c r="AE362" s="9"/>
      <c r="AF362" s="10"/>
      <c r="AG362" s="49">
        <f t="shared" si="407"/>
        <v>0</v>
      </c>
      <c r="AH362" s="11">
        <f t="shared" si="408"/>
        <v>0</v>
      </c>
    </row>
    <row r="363" spans="1:34" x14ac:dyDescent="0.15">
      <c r="A363" s="25" t="s">
        <v>33</v>
      </c>
      <c r="B363" s="8"/>
      <c r="C363" s="9"/>
      <c r="D363" s="10"/>
      <c r="E363" s="49">
        <f t="shared" si="409"/>
        <v>0</v>
      </c>
      <c r="F363" s="12">
        <v>1</v>
      </c>
      <c r="G363" s="9"/>
      <c r="H363" s="10"/>
      <c r="I363" s="49">
        <f t="shared" si="410"/>
        <v>1</v>
      </c>
      <c r="J363" s="11">
        <f t="shared" si="411"/>
        <v>1</v>
      </c>
      <c r="K363" s="63">
        <v>44380</v>
      </c>
      <c r="M363" s="26" t="s">
        <v>262</v>
      </c>
      <c r="N363" s="8">
        <v>6</v>
      </c>
      <c r="O363" s="9"/>
      <c r="P363" s="10"/>
      <c r="Q363" s="49">
        <f t="shared" si="403"/>
        <v>6</v>
      </c>
      <c r="R363" s="12">
        <v>6</v>
      </c>
      <c r="S363" s="9"/>
      <c r="T363" s="10"/>
      <c r="U363" s="49">
        <f t="shared" si="404"/>
        <v>6</v>
      </c>
      <c r="V363" s="11">
        <f t="shared" si="405"/>
        <v>12</v>
      </c>
      <c r="W363" s="140">
        <v>44389</v>
      </c>
      <c r="Y363" s="26"/>
      <c r="Z363" s="8"/>
      <c r="AA363" s="9"/>
      <c r="AB363" s="10"/>
      <c r="AC363" s="49">
        <f t="shared" si="406"/>
        <v>0</v>
      </c>
      <c r="AD363" s="12"/>
      <c r="AE363" s="9"/>
      <c r="AF363" s="10"/>
      <c r="AG363" s="49">
        <f t="shared" si="407"/>
        <v>0</v>
      </c>
      <c r="AH363" s="11">
        <f t="shared" si="408"/>
        <v>0</v>
      </c>
    </row>
    <row r="364" spans="1:34" ht="14.25" x14ac:dyDescent="0.15">
      <c r="A364" s="25" t="s">
        <v>33</v>
      </c>
      <c r="B364" s="8">
        <v>1</v>
      </c>
      <c r="C364" s="9"/>
      <c r="D364" s="10">
        <v>1</v>
      </c>
      <c r="E364" s="49">
        <f t="shared" si="409"/>
        <v>2</v>
      </c>
      <c r="F364" s="12">
        <f>1+1</f>
        <v>2</v>
      </c>
      <c r="G364" s="9">
        <v>1</v>
      </c>
      <c r="H364" s="10">
        <v>1</v>
      </c>
      <c r="I364" s="49">
        <f t="shared" si="410"/>
        <v>4</v>
      </c>
      <c r="J364" s="11">
        <f t="shared" si="411"/>
        <v>6</v>
      </c>
      <c r="K364" s="63">
        <v>44382</v>
      </c>
      <c r="M364" s="117" t="s">
        <v>263</v>
      </c>
      <c r="N364" s="8"/>
      <c r="O364" s="9">
        <v>1</v>
      </c>
      <c r="P364" s="10"/>
      <c r="Q364" s="49">
        <f t="shared" si="403"/>
        <v>1</v>
      </c>
      <c r="R364" s="12"/>
      <c r="S364" s="9">
        <v>1</v>
      </c>
      <c r="T364" s="10"/>
      <c r="U364" s="49">
        <f t="shared" si="404"/>
        <v>1</v>
      </c>
      <c r="V364" s="11">
        <f t="shared" si="405"/>
        <v>2</v>
      </c>
      <c r="W364" s="143">
        <v>44385</v>
      </c>
      <c r="Y364" s="24"/>
      <c r="Z364" s="8"/>
      <c r="AA364" s="9"/>
      <c r="AB364" s="10"/>
      <c r="AC364" s="49">
        <f t="shared" si="406"/>
        <v>0</v>
      </c>
      <c r="AD364" s="12"/>
      <c r="AE364" s="9"/>
      <c r="AF364" s="10"/>
      <c r="AG364" s="49">
        <f t="shared" si="407"/>
        <v>0</v>
      </c>
      <c r="AH364" s="11">
        <f t="shared" si="408"/>
        <v>0</v>
      </c>
    </row>
    <row r="365" spans="1:34" x14ac:dyDescent="0.15">
      <c r="A365" s="25" t="s">
        <v>33</v>
      </c>
      <c r="B365" s="8">
        <f>1+1</f>
        <v>2</v>
      </c>
      <c r="C365" s="9">
        <v>1</v>
      </c>
      <c r="D365" s="10">
        <v>1</v>
      </c>
      <c r="E365" s="49">
        <f t="shared" si="409"/>
        <v>4</v>
      </c>
      <c r="F365" s="12">
        <f>1+1</f>
        <v>2</v>
      </c>
      <c r="G365" s="9">
        <f>1+1+1+2</f>
        <v>5</v>
      </c>
      <c r="H365" s="10">
        <v>1</v>
      </c>
      <c r="I365" s="49">
        <f t="shared" si="410"/>
        <v>8</v>
      </c>
      <c r="J365" s="11">
        <f t="shared" si="411"/>
        <v>12</v>
      </c>
      <c r="K365" s="63">
        <v>44383</v>
      </c>
      <c r="M365" s="25" t="s">
        <v>28</v>
      </c>
      <c r="N365" s="8">
        <v>5</v>
      </c>
      <c r="O365" s="9">
        <v>5</v>
      </c>
      <c r="P365" s="52"/>
      <c r="Q365" s="11">
        <f t="shared" si="403"/>
        <v>10</v>
      </c>
      <c r="R365" s="12">
        <v>5</v>
      </c>
      <c r="S365" s="9">
        <v>10</v>
      </c>
      <c r="T365" s="10">
        <v>5</v>
      </c>
      <c r="U365" s="11">
        <f t="shared" si="404"/>
        <v>20</v>
      </c>
      <c r="V365" s="11">
        <f t="shared" si="405"/>
        <v>30</v>
      </c>
      <c r="W365" s="140">
        <v>44386</v>
      </c>
      <c r="Y365" s="26"/>
      <c r="Z365" s="8"/>
      <c r="AA365" s="9"/>
      <c r="AB365" s="10"/>
      <c r="AC365" s="49">
        <f t="shared" si="406"/>
        <v>0</v>
      </c>
      <c r="AD365" s="12"/>
      <c r="AE365" s="9"/>
      <c r="AF365" s="10"/>
      <c r="AG365" s="49">
        <f t="shared" si="407"/>
        <v>0</v>
      </c>
      <c r="AH365" s="11">
        <f t="shared" si="408"/>
        <v>0</v>
      </c>
    </row>
    <row r="366" spans="1:34" x14ac:dyDescent="0.15">
      <c r="A366" s="25" t="s">
        <v>33</v>
      </c>
      <c r="B366" s="8">
        <v>1</v>
      </c>
      <c r="C366" s="9"/>
      <c r="D366" s="10"/>
      <c r="E366" s="49">
        <f t="shared" si="409"/>
        <v>1</v>
      </c>
      <c r="F366" s="12">
        <v>1</v>
      </c>
      <c r="G366" s="9"/>
      <c r="H366" s="10"/>
      <c r="I366" s="49">
        <f t="shared" si="410"/>
        <v>1</v>
      </c>
      <c r="J366" s="11">
        <f t="shared" si="411"/>
        <v>2</v>
      </c>
      <c r="K366" s="63">
        <v>44384</v>
      </c>
      <c r="M366" s="26" t="s">
        <v>264</v>
      </c>
      <c r="N366" s="8">
        <v>25</v>
      </c>
      <c r="O366" s="9">
        <v>15</v>
      </c>
      <c r="P366" s="10">
        <v>30</v>
      </c>
      <c r="Q366" s="49">
        <f t="shared" si="403"/>
        <v>70</v>
      </c>
      <c r="R366" s="12">
        <v>20</v>
      </c>
      <c r="S366" s="9">
        <v>15</v>
      </c>
      <c r="T366" s="10">
        <v>20</v>
      </c>
      <c r="U366" s="49">
        <f t="shared" si="404"/>
        <v>55</v>
      </c>
      <c r="V366" s="11">
        <f t="shared" si="405"/>
        <v>125</v>
      </c>
      <c r="W366" s="140">
        <v>44393</v>
      </c>
      <c r="X366" s="82"/>
      <c r="Y366" s="26"/>
      <c r="Z366" s="8"/>
      <c r="AA366" s="9"/>
      <c r="AB366" s="10"/>
      <c r="AC366" s="49">
        <f t="shared" si="406"/>
        <v>0</v>
      </c>
      <c r="AD366" s="12"/>
      <c r="AE366" s="9"/>
      <c r="AF366" s="10"/>
      <c r="AG366" s="49">
        <f t="shared" si="407"/>
        <v>0</v>
      </c>
      <c r="AH366" s="11">
        <f t="shared" si="408"/>
        <v>0</v>
      </c>
    </row>
    <row r="367" spans="1:34" x14ac:dyDescent="0.15">
      <c r="A367" s="25" t="s">
        <v>33</v>
      </c>
      <c r="B367" s="13">
        <v>1</v>
      </c>
      <c r="C367" s="14"/>
      <c r="D367" s="15">
        <f>1+1</f>
        <v>2</v>
      </c>
      <c r="E367" s="49">
        <f t="shared" si="409"/>
        <v>3</v>
      </c>
      <c r="F367" s="16"/>
      <c r="G367" s="14"/>
      <c r="H367" s="15">
        <v>1</v>
      </c>
      <c r="I367" s="49">
        <f t="shared" si="410"/>
        <v>1</v>
      </c>
      <c r="J367" s="11">
        <f t="shared" si="411"/>
        <v>4</v>
      </c>
      <c r="K367" s="63">
        <v>44385</v>
      </c>
      <c r="M367" s="26" t="s">
        <v>265</v>
      </c>
      <c r="N367" s="13">
        <v>5</v>
      </c>
      <c r="O367" s="14"/>
      <c r="P367" s="15">
        <v>10</v>
      </c>
      <c r="Q367" s="49">
        <f t="shared" si="403"/>
        <v>15</v>
      </c>
      <c r="R367" s="16"/>
      <c r="S367" s="14"/>
      <c r="T367" s="15">
        <v>5</v>
      </c>
      <c r="U367" s="49">
        <f t="shared" si="404"/>
        <v>5</v>
      </c>
      <c r="V367" s="11">
        <f t="shared" si="405"/>
        <v>20</v>
      </c>
      <c r="W367" s="140">
        <v>44393</v>
      </c>
      <c r="Y367" s="26"/>
      <c r="Z367" s="13"/>
      <c r="AA367" s="14"/>
      <c r="AB367" s="15"/>
      <c r="AC367" s="49">
        <f t="shared" si="406"/>
        <v>0</v>
      </c>
      <c r="AD367" s="16"/>
      <c r="AE367" s="14"/>
      <c r="AF367" s="15"/>
      <c r="AG367" s="49">
        <f t="shared" si="407"/>
        <v>0</v>
      </c>
      <c r="AH367" s="11">
        <f t="shared" si="408"/>
        <v>0</v>
      </c>
    </row>
    <row r="368" spans="1:34" x14ac:dyDescent="0.15">
      <c r="A368" s="25" t="s">
        <v>33</v>
      </c>
      <c r="B368" s="8"/>
      <c r="C368" s="9"/>
      <c r="D368" s="10"/>
      <c r="E368" s="49">
        <f t="shared" si="409"/>
        <v>0</v>
      </c>
      <c r="F368" s="12"/>
      <c r="G368" s="9">
        <f>1+1</f>
        <v>2</v>
      </c>
      <c r="H368" s="10"/>
      <c r="I368" s="49">
        <f t="shared" si="410"/>
        <v>2</v>
      </c>
      <c r="J368" s="11">
        <f t="shared" si="411"/>
        <v>2</v>
      </c>
      <c r="K368" s="63">
        <v>44386</v>
      </c>
      <c r="M368" s="26" t="s">
        <v>266</v>
      </c>
      <c r="N368" s="8">
        <v>10</v>
      </c>
      <c r="O368" s="9">
        <v>10</v>
      </c>
      <c r="P368" s="10"/>
      <c r="Q368" s="49">
        <f t="shared" si="403"/>
        <v>20</v>
      </c>
      <c r="R368" s="12"/>
      <c r="S368" s="9"/>
      <c r="T368" s="10"/>
      <c r="U368" s="49">
        <f t="shared" si="404"/>
        <v>0</v>
      </c>
      <c r="V368" s="11">
        <f t="shared" si="405"/>
        <v>20</v>
      </c>
      <c r="W368" s="140">
        <v>44394</v>
      </c>
      <c r="Y368" s="26"/>
      <c r="Z368" s="8"/>
      <c r="AA368" s="9"/>
      <c r="AB368" s="10"/>
      <c r="AC368" s="49">
        <f t="shared" si="406"/>
        <v>0</v>
      </c>
      <c r="AD368" s="12"/>
      <c r="AE368" s="9"/>
      <c r="AF368" s="10"/>
      <c r="AG368" s="49">
        <f t="shared" si="407"/>
        <v>0</v>
      </c>
      <c r="AH368" s="11">
        <f t="shared" si="408"/>
        <v>0</v>
      </c>
    </row>
    <row r="369" spans="1:34" x14ac:dyDescent="0.15">
      <c r="A369" s="25" t="s">
        <v>33</v>
      </c>
      <c r="B369" s="8"/>
      <c r="C369" s="9">
        <f>1+1</f>
        <v>2</v>
      </c>
      <c r="D369" s="10">
        <v>1</v>
      </c>
      <c r="E369" s="49">
        <f t="shared" si="409"/>
        <v>3</v>
      </c>
      <c r="F369" s="12">
        <f>1+1</f>
        <v>2</v>
      </c>
      <c r="G369" s="9">
        <f>1+3+1</f>
        <v>5</v>
      </c>
      <c r="H369" s="10">
        <f>1+6+2+2</f>
        <v>11</v>
      </c>
      <c r="I369" s="49">
        <f t="shared" si="410"/>
        <v>18</v>
      </c>
      <c r="J369" s="11">
        <f t="shared" si="411"/>
        <v>21</v>
      </c>
      <c r="K369" s="63">
        <v>44389</v>
      </c>
      <c r="M369" s="26" t="s">
        <v>267</v>
      </c>
      <c r="N369" s="8">
        <v>5</v>
      </c>
      <c r="O369" s="9">
        <v>10</v>
      </c>
      <c r="P369" s="10"/>
      <c r="Q369" s="49">
        <f t="shared" si="403"/>
        <v>15</v>
      </c>
      <c r="R369" s="12"/>
      <c r="S369" s="9"/>
      <c r="T369" s="10">
        <v>5</v>
      </c>
      <c r="U369" s="49">
        <f t="shared" si="404"/>
        <v>5</v>
      </c>
      <c r="V369" s="11">
        <f t="shared" si="405"/>
        <v>20</v>
      </c>
      <c r="W369" s="140">
        <v>44394</v>
      </c>
      <c r="Y369" s="26"/>
      <c r="Z369" s="8"/>
      <c r="AA369" s="9"/>
      <c r="AB369" s="10"/>
      <c r="AC369" s="49">
        <f t="shared" si="406"/>
        <v>0</v>
      </c>
      <c r="AD369" s="12"/>
      <c r="AE369" s="9"/>
      <c r="AF369" s="10"/>
      <c r="AG369" s="49">
        <f t="shared" si="407"/>
        <v>0</v>
      </c>
      <c r="AH369" s="11">
        <f t="shared" si="408"/>
        <v>0</v>
      </c>
    </row>
    <row r="370" spans="1:34" x14ac:dyDescent="0.15">
      <c r="A370" s="25" t="s">
        <v>33</v>
      </c>
      <c r="B370" s="8"/>
      <c r="C370" s="9"/>
      <c r="D370" s="10">
        <v>1</v>
      </c>
      <c r="E370" s="49">
        <f t="shared" si="409"/>
        <v>1</v>
      </c>
      <c r="F370" s="12"/>
      <c r="G370" s="9"/>
      <c r="H370" s="10">
        <v>2</v>
      </c>
      <c r="I370" s="49">
        <f t="shared" si="410"/>
        <v>2</v>
      </c>
      <c r="J370" s="11">
        <f t="shared" si="411"/>
        <v>3</v>
      </c>
      <c r="K370" s="63">
        <v>44390</v>
      </c>
      <c r="M370" s="26" t="s">
        <v>268</v>
      </c>
      <c r="N370" s="8"/>
      <c r="O370" s="9">
        <v>15</v>
      </c>
      <c r="P370" s="10"/>
      <c r="Q370" s="49">
        <f t="shared" si="403"/>
        <v>15</v>
      </c>
      <c r="R370" s="12"/>
      <c r="S370" s="9"/>
      <c r="T370" s="10"/>
      <c r="U370" s="49">
        <f t="shared" si="404"/>
        <v>0</v>
      </c>
      <c r="V370" s="11">
        <f t="shared" si="405"/>
        <v>15</v>
      </c>
      <c r="W370" s="140">
        <v>44393</v>
      </c>
      <c r="X370" s="82"/>
      <c r="Y370" s="26"/>
      <c r="Z370" s="8"/>
      <c r="AA370" s="9"/>
      <c r="AB370" s="10"/>
      <c r="AC370" s="49">
        <f t="shared" si="406"/>
        <v>0</v>
      </c>
      <c r="AD370" s="12"/>
      <c r="AE370" s="9"/>
      <c r="AF370" s="10"/>
      <c r="AG370" s="49">
        <f t="shared" si="407"/>
        <v>0</v>
      </c>
      <c r="AH370" s="11">
        <f t="shared" si="408"/>
        <v>0</v>
      </c>
    </row>
    <row r="371" spans="1:34" x14ac:dyDescent="0.15">
      <c r="A371" s="25" t="s">
        <v>33</v>
      </c>
      <c r="B371" s="8">
        <f>1+1</f>
        <v>2</v>
      </c>
      <c r="C371" s="9"/>
      <c r="D371" s="10"/>
      <c r="E371" s="49">
        <f t="shared" si="409"/>
        <v>2</v>
      </c>
      <c r="F371" s="12">
        <v>2</v>
      </c>
      <c r="G371" s="9"/>
      <c r="H371" s="10"/>
      <c r="I371" s="49">
        <f t="shared" si="410"/>
        <v>2</v>
      </c>
      <c r="J371" s="11">
        <f t="shared" si="411"/>
        <v>4</v>
      </c>
      <c r="K371" s="63">
        <v>44392</v>
      </c>
      <c r="M371" s="26" t="s">
        <v>269</v>
      </c>
      <c r="N371" s="8">
        <v>10</v>
      </c>
      <c r="O371" s="9"/>
      <c r="P371" s="10"/>
      <c r="Q371" s="49">
        <f t="shared" si="403"/>
        <v>10</v>
      </c>
      <c r="R371" s="12"/>
      <c r="S371" s="9"/>
      <c r="T371" s="10">
        <v>5</v>
      </c>
      <c r="U371" s="49">
        <f t="shared" si="404"/>
        <v>5</v>
      </c>
      <c r="V371" s="11">
        <f t="shared" si="405"/>
        <v>15</v>
      </c>
      <c r="W371" s="140">
        <v>44394</v>
      </c>
      <c r="X371" s="82"/>
      <c r="Y371" s="26"/>
      <c r="Z371" s="8"/>
      <c r="AA371" s="9"/>
      <c r="AB371" s="10"/>
      <c r="AC371" s="49">
        <f t="shared" si="406"/>
        <v>0</v>
      </c>
      <c r="AD371" s="12"/>
      <c r="AE371" s="9"/>
      <c r="AF371" s="10"/>
      <c r="AG371" s="49">
        <f t="shared" si="407"/>
        <v>0</v>
      </c>
      <c r="AH371" s="11">
        <f t="shared" si="408"/>
        <v>0</v>
      </c>
    </row>
    <row r="372" spans="1:34" x14ac:dyDescent="0.15">
      <c r="A372" s="25" t="s">
        <v>33</v>
      </c>
      <c r="B372" s="8"/>
      <c r="C372" s="9">
        <v>2</v>
      </c>
      <c r="D372" s="10"/>
      <c r="E372" s="49">
        <f t="shared" si="409"/>
        <v>2</v>
      </c>
      <c r="F372" s="12">
        <v>1</v>
      </c>
      <c r="G372" s="9">
        <f>1+2</f>
        <v>3</v>
      </c>
      <c r="H372" s="10"/>
      <c r="I372" s="49">
        <f t="shared" si="410"/>
        <v>4</v>
      </c>
      <c r="J372" s="11">
        <f t="shared" si="411"/>
        <v>6</v>
      </c>
      <c r="K372" s="63">
        <v>44393</v>
      </c>
      <c r="M372" s="26" t="s">
        <v>270</v>
      </c>
      <c r="N372" s="8">
        <v>10</v>
      </c>
      <c r="O372" s="9"/>
      <c r="P372" s="10"/>
      <c r="Q372" s="49">
        <f t="shared" si="403"/>
        <v>10</v>
      </c>
      <c r="R372" s="12">
        <v>10</v>
      </c>
      <c r="S372" s="9"/>
      <c r="T372" s="10"/>
      <c r="U372" s="49">
        <f t="shared" si="404"/>
        <v>10</v>
      </c>
      <c r="V372" s="11">
        <f t="shared" si="405"/>
        <v>20</v>
      </c>
      <c r="W372" s="140">
        <v>44398</v>
      </c>
      <c r="Y372" s="26"/>
      <c r="Z372" s="8"/>
      <c r="AA372" s="9"/>
      <c r="AB372" s="10"/>
      <c r="AC372" s="49">
        <f t="shared" si="406"/>
        <v>0</v>
      </c>
      <c r="AD372" s="12"/>
      <c r="AE372" s="9"/>
      <c r="AF372" s="10"/>
      <c r="AG372" s="49">
        <f t="shared" si="407"/>
        <v>0</v>
      </c>
      <c r="AH372" s="11">
        <f t="shared" si="408"/>
        <v>0</v>
      </c>
    </row>
    <row r="373" spans="1:34" x14ac:dyDescent="0.15">
      <c r="A373" s="23" t="s">
        <v>273</v>
      </c>
      <c r="B373" s="8">
        <v>11</v>
      </c>
      <c r="C373" s="9">
        <v>14</v>
      </c>
      <c r="D373" s="10"/>
      <c r="E373" s="49">
        <f t="shared" si="409"/>
        <v>25</v>
      </c>
      <c r="F373" s="12">
        <v>10</v>
      </c>
      <c r="G373" s="9"/>
      <c r="H373" s="10"/>
      <c r="I373" s="49">
        <f t="shared" si="410"/>
        <v>10</v>
      </c>
      <c r="J373" s="11">
        <f t="shared" si="411"/>
        <v>35</v>
      </c>
      <c r="K373" s="63">
        <v>44394</v>
      </c>
      <c r="M373" s="26" t="s">
        <v>271</v>
      </c>
      <c r="N373" s="8"/>
      <c r="O373" s="9">
        <v>15</v>
      </c>
      <c r="P373" s="10">
        <v>5</v>
      </c>
      <c r="Q373" s="49">
        <f t="shared" si="403"/>
        <v>20</v>
      </c>
      <c r="R373" s="12"/>
      <c r="S373" s="9">
        <v>5</v>
      </c>
      <c r="T373" s="10"/>
      <c r="U373" s="49">
        <f t="shared" si="404"/>
        <v>5</v>
      </c>
      <c r="V373" s="11">
        <f t="shared" si="405"/>
        <v>25</v>
      </c>
      <c r="W373" s="140">
        <v>44396</v>
      </c>
      <c r="Y373" s="24"/>
      <c r="Z373" s="8"/>
      <c r="AA373" s="9"/>
      <c r="AB373" s="10"/>
      <c r="AC373" s="49">
        <f t="shared" si="406"/>
        <v>0</v>
      </c>
      <c r="AD373" s="12"/>
      <c r="AE373" s="9"/>
      <c r="AF373" s="10"/>
      <c r="AG373" s="49">
        <f t="shared" si="407"/>
        <v>0</v>
      </c>
      <c r="AH373" s="11">
        <f t="shared" si="408"/>
        <v>0</v>
      </c>
    </row>
    <row r="374" spans="1:34" x14ac:dyDescent="0.15">
      <c r="A374" s="23" t="s">
        <v>275</v>
      </c>
      <c r="B374" s="8"/>
      <c r="C374" s="9">
        <v>-1</v>
      </c>
      <c r="D374" s="10"/>
      <c r="E374" s="49">
        <f t="shared" si="409"/>
        <v>-1</v>
      </c>
      <c r="F374" s="12"/>
      <c r="G374" s="9"/>
      <c r="H374" s="10"/>
      <c r="I374" s="49">
        <f t="shared" si="410"/>
        <v>0</v>
      </c>
      <c r="J374" s="11">
        <f t="shared" si="411"/>
        <v>-1</v>
      </c>
      <c r="K374" s="63">
        <v>44394</v>
      </c>
      <c r="M374" s="26" t="s">
        <v>272</v>
      </c>
      <c r="N374" s="8"/>
      <c r="O374" s="9">
        <v>20</v>
      </c>
      <c r="P374" s="10"/>
      <c r="Q374" s="49">
        <f t="shared" si="403"/>
        <v>20</v>
      </c>
      <c r="R374" s="12"/>
      <c r="S374" s="9"/>
      <c r="T374" s="10"/>
      <c r="U374" s="49">
        <f t="shared" si="404"/>
        <v>0</v>
      </c>
      <c r="V374" s="11">
        <f t="shared" si="405"/>
        <v>20</v>
      </c>
      <c r="W374" s="140">
        <v>44396</v>
      </c>
      <c r="Y374" s="26"/>
      <c r="Z374" s="8"/>
      <c r="AA374" s="9"/>
      <c r="AB374" s="10"/>
      <c r="AC374" s="49">
        <f t="shared" si="406"/>
        <v>0</v>
      </c>
      <c r="AD374" s="12"/>
      <c r="AE374" s="9"/>
      <c r="AF374" s="10"/>
      <c r="AG374" s="49">
        <f t="shared" si="407"/>
        <v>0</v>
      </c>
      <c r="AH374" s="11">
        <f t="shared" si="408"/>
        <v>0</v>
      </c>
    </row>
    <row r="375" spans="1:34" x14ac:dyDescent="0.15">
      <c r="A375" s="25" t="s">
        <v>33</v>
      </c>
      <c r="B375" s="8">
        <v>1</v>
      </c>
      <c r="C375" s="9"/>
      <c r="D375" s="10">
        <f>1+5</f>
        <v>6</v>
      </c>
      <c r="E375" s="49">
        <f t="shared" si="409"/>
        <v>7</v>
      </c>
      <c r="F375" s="12"/>
      <c r="G375" s="9">
        <v>1</v>
      </c>
      <c r="H375" s="10">
        <v>2</v>
      </c>
      <c r="I375" s="49">
        <f t="shared" si="410"/>
        <v>3</v>
      </c>
      <c r="J375" s="11">
        <f t="shared" si="411"/>
        <v>10</v>
      </c>
      <c r="K375" s="63">
        <v>44396</v>
      </c>
      <c r="M375" s="24" t="s">
        <v>274</v>
      </c>
      <c r="N375" s="8"/>
      <c r="O375" s="9">
        <v>1</v>
      </c>
      <c r="P375" s="10"/>
      <c r="Q375" s="49">
        <f t="shared" si="403"/>
        <v>1</v>
      </c>
      <c r="R375" s="12"/>
      <c r="S375" s="9"/>
      <c r="T375" s="10"/>
      <c r="U375" s="49">
        <f t="shared" si="404"/>
        <v>0</v>
      </c>
      <c r="V375" s="11">
        <f t="shared" si="405"/>
        <v>1</v>
      </c>
      <c r="W375" s="140">
        <v>44394</v>
      </c>
      <c r="Y375" s="24"/>
      <c r="Z375" s="8"/>
      <c r="AA375" s="9"/>
      <c r="AB375" s="10"/>
      <c r="AC375" s="49">
        <f t="shared" si="406"/>
        <v>0</v>
      </c>
      <c r="AD375" s="12"/>
      <c r="AE375" s="9"/>
      <c r="AF375" s="10"/>
      <c r="AG375" s="49">
        <f t="shared" si="407"/>
        <v>0</v>
      </c>
      <c r="AH375" s="11">
        <f t="shared" si="408"/>
        <v>0</v>
      </c>
    </row>
    <row r="376" spans="1:34" x14ac:dyDescent="0.15">
      <c r="A376" s="23" t="s">
        <v>189</v>
      </c>
      <c r="B376" s="8"/>
      <c r="C376" s="9"/>
      <c r="D376" s="10"/>
      <c r="E376" s="49">
        <f t="shared" si="409"/>
        <v>0</v>
      </c>
      <c r="F376" s="12"/>
      <c r="G376" s="9"/>
      <c r="H376" s="10">
        <v>-5</v>
      </c>
      <c r="I376" s="49">
        <f t="shared" si="410"/>
        <v>-5</v>
      </c>
      <c r="J376" s="11">
        <f t="shared" si="411"/>
        <v>-5</v>
      </c>
      <c r="K376" s="63">
        <v>44397</v>
      </c>
      <c r="M376" s="26" t="s">
        <v>276</v>
      </c>
      <c r="N376" s="8">
        <v>20</v>
      </c>
      <c r="O376" s="9">
        <v>20</v>
      </c>
      <c r="P376" s="10"/>
      <c r="Q376" s="49">
        <f t="shared" si="403"/>
        <v>40</v>
      </c>
      <c r="R376" s="12"/>
      <c r="S376" s="9"/>
      <c r="T376" s="10"/>
      <c r="U376" s="49">
        <f t="shared" si="404"/>
        <v>0</v>
      </c>
      <c r="V376" s="11">
        <f t="shared" si="405"/>
        <v>40</v>
      </c>
      <c r="W376" s="140">
        <v>44398</v>
      </c>
      <c r="Y376" s="26"/>
      <c r="Z376" s="8"/>
      <c r="AA376" s="9"/>
      <c r="AB376" s="10"/>
      <c r="AC376" s="49">
        <f t="shared" si="406"/>
        <v>0</v>
      </c>
      <c r="AD376" s="12"/>
      <c r="AE376" s="9"/>
      <c r="AF376" s="10"/>
      <c r="AG376" s="49">
        <f t="shared" si="407"/>
        <v>0</v>
      </c>
      <c r="AH376" s="11">
        <f t="shared" si="408"/>
        <v>0</v>
      </c>
    </row>
    <row r="377" spans="1:34" x14ac:dyDescent="0.15">
      <c r="A377" s="25" t="s">
        <v>33</v>
      </c>
      <c r="B377" s="8">
        <f>2+1</f>
        <v>3</v>
      </c>
      <c r="C377" s="9">
        <f>2+1+1+4</f>
        <v>8</v>
      </c>
      <c r="D377" s="10">
        <f>2+1</f>
        <v>3</v>
      </c>
      <c r="E377" s="49">
        <f t="shared" si="409"/>
        <v>14</v>
      </c>
      <c r="F377" s="12">
        <v>1</v>
      </c>
      <c r="G377" s="9">
        <f>1+1+5</f>
        <v>7</v>
      </c>
      <c r="H377" s="10">
        <f>1+1+1</f>
        <v>3</v>
      </c>
      <c r="I377" s="49">
        <f t="shared" si="410"/>
        <v>11</v>
      </c>
      <c r="J377" s="11">
        <f t="shared" si="411"/>
        <v>25</v>
      </c>
      <c r="K377" s="63">
        <v>44397</v>
      </c>
      <c r="M377" s="24" t="s">
        <v>28</v>
      </c>
      <c r="N377" s="8"/>
      <c r="O377" s="9"/>
      <c r="P377" s="10"/>
      <c r="Q377" s="49">
        <f t="shared" si="403"/>
        <v>0</v>
      </c>
      <c r="R377" s="12"/>
      <c r="S377" s="9"/>
      <c r="T377" s="10">
        <v>5</v>
      </c>
      <c r="U377" s="49">
        <f t="shared" si="404"/>
        <v>5</v>
      </c>
      <c r="V377" s="11">
        <f t="shared" si="405"/>
        <v>5</v>
      </c>
      <c r="W377" s="140">
        <v>44397</v>
      </c>
      <c r="X377" s="82"/>
      <c r="Y377" s="24"/>
      <c r="Z377" s="8"/>
      <c r="AA377" s="9"/>
      <c r="AB377" s="10"/>
      <c r="AC377" s="49">
        <f t="shared" si="406"/>
        <v>0</v>
      </c>
      <c r="AD377" s="12"/>
      <c r="AE377" s="9"/>
      <c r="AF377" s="10"/>
      <c r="AG377" s="49">
        <f t="shared" si="407"/>
        <v>0</v>
      </c>
      <c r="AH377" s="11">
        <f t="shared" si="408"/>
        <v>0</v>
      </c>
    </row>
    <row r="378" spans="1:34" x14ac:dyDescent="0.15">
      <c r="A378" s="23" t="s">
        <v>189</v>
      </c>
      <c r="B378" s="8"/>
      <c r="C378" s="9">
        <v>-10</v>
      </c>
      <c r="D378" s="10">
        <v>-10</v>
      </c>
      <c r="E378" s="49">
        <f t="shared" si="409"/>
        <v>-20</v>
      </c>
      <c r="F378" s="12"/>
      <c r="G378" s="9">
        <v>-10</v>
      </c>
      <c r="H378" s="10">
        <v>-5</v>
      </c>
      <c r="I378" s="49">
        <f t="shared" si="410"/>
        <v>-15</v>
      </c>
      <c r="J378" s="11">
        <f t="shared" si="411"/>
        <v>-35</v>
      </c>
      <c r="K378" s="63">
        <v>44398</v>
      </c>
      <c r="M378" s="26" t="s">
        <v>277</v>
      </c>
      <c r="N378" s="8"/>
      <c r="O378" s="9">
        <v>14</v>
      </c>
      <c r="P378" s="10"/>
      <c r="Q378" s="49">
        <f t="shared" si="403"/>
        <v>14</v>
      </c>
      <c r="R378" s="12"/>
      <c r="S378" s="9">
        <v>14</v>
      </c>
      <c r="T378" s="10"/>
      <c r="U378" s="49">
        <f t="shared" si="404"/>
        <v>14</v>
      </c>
      <c r="V378" s="11">
        <f t="shared" si="405"/>
        <v>28</v>
      </c>
      <c r="W378" s="140">
        <v>44404</v>
      </c>
      <c r="Y378" s="26"/>
      <c r="Z378" s="8"/>
      <c r="AA378" s="9"/>
      <c r="AB378" s="10"/>
      <c r="AC378" s="49">
        <f t="shared" si="406"/>
        <v>0</v>
      </c>
      <c r="AD378" s="12"/>
      <c r="AE378" s="9"/>
      <c r="AF378" s="10"/>
      <c r="AG378" s="49">
        <f t="shared" si="407"/>
        <v>0</v>
      </c>
      <c r="AH378" s="11">
        <f t="shared" si="408"/>
        <v>0</v>
      </c>
    </row>
    <row r="379" spans="1:34" x14ac:dyDescent="0.15">
      <c r="A379" s="25" t="s">
        <v>33</v>
      </c>
      <c r="B379" s="13">
        <v>1</v>
      </c>
      <c r="C379" s="14">
        <f>1+1</f>
        <v>2</v>
      </c>
      <c r="D379" s="15">
        <v>1</v>
      </c>
      <c r="E379" s="49">
        <f t="shared" si="409"/>
        <v>4</v>
      </c>
      <c r="F379" s="16">
        <v>1</v>
      </c>
      <c r="G379" s="14">
        <f>1+1</f>
        <v>2</v>
      </c>
      <c r="H379" s="15">
        <f>1+2</f>
        <v>3</v>
      </c>
      <c r="I379" s="49">
        <f t="shared" si="410"/>
        <v>6</v>
      </c>
      <c r="J379" s="11">
        <f t="shared" si="411"/>
        <v>10</v>
      </c>
      <c r="K379" s="63">
        <v>44398</v>
      </c>
      <c r="M379" s="23" t="s">
        <v>189</v>
      </c>
      <c r="N379" s="8"/>
      <c r="O379" s="9">
        <v>10</v>
      </c>
      <c r="P379" s="10">
        <v>10</v>
      </c>
      <c r="Q379" s="49">
        <f t="shared" si="403"/>
        <v>20</v>
      </c>
      <c r="R379" s="12"/>
      <c r="S379" s="9">
        <v>10</v>
      </c>
      <c r="T379" s="10">
        <v>5</v>
      </c>
      <c r="U379" s="49">
        <f t="shared" si="404"/>
        <v>15</v>
      </c>
      <c r="V379" s="11">
        <f t="shared" si="405"/>
        <v>35</v>
      </c>
      <c r="W379" s="140">
        <v>44398</v>
      </c>
      <c r="Y379" s="26"/>
      <c r="Z379" s="8"/>
      <c r="AA379" s="9"/>
      <c r="AB379" s="10"/>
      <c r="AC379" s="49">
        <f t="shared" si="406"/>
        <v>0</v>
      </c>
      <c r="AD379" s="12"/>
      <c r="AE379" s="9"/>
      <c r="AF379" s="10"/>
      <c r="AG379" s="49">
        <f t="shared" si="407"/>
        <v>0</v>
      </c>
      <c r="AH379" s="11">
        <f t="shared" si="408"/>
        <v>0</v>
      </c>
    </row>
    <row r="380" spans="1:34" x14ac:dyDescent="0.15">
      <c r="A380" s="25" t="s">
        <v>33</v>
      </c>
      <c r="B380" s="8">
        <f>4+1+2+2+1+1+1+1-1</f>
        <v>12</v>
      </c>
      <c r="C380" s="9">
        <f>2</f>
        <v>2</v>
      </c>
      <c r="D380" s="10">
        <f>1+3</f>
        <v>4</v>
      </c>
      <c r="E380" s="49">
        <f t="shared" si="409"/>
        <v>18</v>
      </c>
      <c r="F380" s="12">
        <f>4+1+3+1+2+1-2</f>
        <v>10</v>
      </c>
      <c r="G380" s="9">
        <f>4+1+1</f>
        <v>6</v>
      </c>
      <c r="H380" s="10">
        <f>2+1+2+3+1</f>
        <v>9</v>
      </c>
      <c r="I380" s="49">
        <f t="shared" si="410"/>
        <v>25</v>
      </c>
      <c r="J380" s="11">
        <f t="shared" si="411"/>
        <v>43</v>
      </c>
      <c r="K380" s="63">
        <v>44403</v>
      </c>
      <c r="M380" s="26" t="s">
        <v>278</v>
      </c>
      <c r="N380" s="8">
        <v>60</v>
      </c>
      <c r="O380" s="9">
        <v>75</v>
      </c>
      <c r="P380" s="10">
        <v>10</v>
      </c>
      <c r="Q380" s="49">
        <f t="shared" si="403"/>
        <v>145</v>
      </c>
      <c r="R380" s="12">
        <v>35</v>
      </c>
      <c r="S380" s="9">
        <v>50</v>
      </c>
      <c r="T380" s="10">
        <v>20</v>
      </c>
      <c r="U380" s="49">
        <f t="shared" si="404"/>
        <v>105</v>
      </c>
      <c r="V380" s="11">
        <f t="shared" si="405"/>
        <v>250</v>
      </c>
      <c r="W380" s="140">
        <v>44399</v>
      </c>
      <c r="Y380" s="26"/>
      <c r="Z380" s="8"/>
      <c r="AA380" s="9"/>
      <c r="AB380" s="10"/>
      <c r="AC380" s="49">
        <f t="shared" si="406"/>
        <v>0</v>
      </c>
      <c r="AD380" s="12"/>
      <c r="AE380" s="9"/>
      <c r="AF380" s="10"/>
      <c r="AG380" s="49">
        <f t="shared" si="407"/>
        <v>0</v>
      </c>
      <c r="AH380" s="11">
        <f t="shared" si="408"/>
        <v>0</v>
      </c>
    </row>
    <row r="381" spans="1:34" x14ac:dyDescent="0.15">
      <c r="A381" s="25"/>
      <c r="B381" s="8"/>
      <c r="C381" s="9"/>
      <c r="D381" s="10"/>
      <c r="E381" s="49">
        <f t="shared" si="409"/>
        <v>0</v>
      </c>
      <c r="F381" s="12"/>
      <c r="G381" s="9"/>
      <c r="H381" s="10"/>
      <c r="I381" s="49">
        <f t="shared" si="410"/>
        <v>0</v>
      </c>
      <c r="J381" s="11">
        <f t="shared" si="411"/>
        <v>0</v>
      </c>
      <c r="K381" s="63"/>
      <c r="M381" s="117" t="s">
        <v>279</v>
      </c>
      <c r="N381" s="8"/>
      <c r="O381" s="9">
        <v>2</v>
      </c>
      <c r="P381" s="10"/>
      <c r="Q381" s="49">
        <f t="shared" ref="Q381" si="412">SUM(N381:P381)</f>
        <v>2</v>
      </c>
      <c r="R381" s="12"/>
      <c r="S381" s="9">
        <v>2</v>
      </c>
      <c r="T381" s="10"/>
      <c r="U381" s="49">
        <f t="shared" ref="U381" si="413">SUM(R381:T381)</f>
        <v>2</v>
      </c>
      <c r="V381" s="11">
        <f t="shared" ref="V381" si="414">Q381+U381</f>
        <v>4</v>
      </c>
      <c r="W381" s="140">
        <v>44399</v>
      </c>
      <c r="Y381" s="26"/>
      <c r="Z381" s="8"/>
      <c r="AA381" s="9"/>
      <c r="AB381" s="10"/>
      <c r="AC381" s="49">
        <f t="shared" si="406"/>
        <v>0</v>
      </c>
      <c r="AD381" s="12"/>
      <c r="AE381" s="9"/>
      <c r="AF381" s="10"/>
      <c r="AG381" s="49">
        <f t="shared" si="407"/>
        <v>0</v>
      </c>
      <c r="AH381" s="11">
        <f t="shared" si="408"/>
        <v>0</v>
      </c>
    </row>
    <row r="382" spans="1:34" x14ac:dyDescent="0.15">
      <c r="A382" s="23"/>
      <c r="B382" s="8"/>
      <c r="C382" s="9"/>
      <c r="D382" s="10"/>
      <c r="E382" s="49">
        <f t="shared" si="409"/>
        <v>0</v>
      </c>
      <c r="F382" s="12"/>
      <c r="G382" s="9"/>
      <c r="H382" s="10"/>
      <c r="I382" s="49">
        <f t="shared" si="410"/>
        <v>0</v>
      </c>
      <c r="J382" s="11">
        <f t="shared" si="411"/>
        <v>0</v>
      </c>
      <c r="K382" s="63"/>
      <c r="M382" s="26" t="s">
        <v>256</v>
      </c>
      <c r="N382" s="8"/>
      <c r="O382" s="9"/>
      <c r="P382" s="10"/>
      <c r="Q382" s="49">
        <f t="shared" ref="Q382" si="415">SUM(N382:P382)</f>
        <v>0</v>
      </c>
      <c r="R382" s="12"/>
      <c r="S382" s="9"/>
      <c r="T382" s="10"/>
      <c r="U382" s="49">
        <f t="shared" ref="U382" si="416">SUM(R382:T382)</f>
        <v>0</v>
      </c>
      <c r="V382" s="11">
        <f t="shared" ref="V382" si="417">Q382+U382</f>
        <v>0</v>
      </c>
      <c r="W382" s="142" t="s">
        <v>257</v>
      </c>
      <c r="Y382" s="26"/>
      <c r="Z382" s="8"/>
      <c r="AA382" s="9"/>
      <c r="AB382" s="10"/>
      <c r="AC382" s="49">
        <f t="shared" si="406"/>
        <v>0</v>
      </c>
      <c r="AD382" s="12"/>
      <c r="AE382" s="9"/>
      <c r="AF382" s="10"/>
      <c r="AG382" s="49">
        <f t="shared" si="407"/>
        <v>0</v>
      </c>
      <c r="AH382" s="11">
        <f t="shared" si="408"/>
        <v>0</v>
      </c>
    </row>
    <row r="383" spans="1:34" ht="14.25" thickBot="1" x14ac:dyDescent="0.2">
      <c r="A383" s="23"/>
      <c r="B383" s="13"/>
      <c r="C383" s="14"/>
      <c r="D383" s="15"/>
      <c r="E383" s="55">
        <f t="shared" si="409"/>
        <v>0</v>
      </c>
      <c r="F383" s="16"/>
      <c r="G383" s="14"/>
      <c r="H383" s="15"/>
      <c r="I383" s="55">
        <f t="shared" si="410"/>
        <v>0</v>
      </c>
      <c r="J383" s="11">
        <f t="shared" si="411"/>
        <v>0</v>
      </c>
      <c r="K383" s="63"/>
      <c r="M383" s="26" t="s">
        <v>210</v>
      </c>
      <c r="N383" s="8"/>
      <c r="O383" s="9"/>
      <c r="P383" s="10"/>
      <c r="Q383" s="49">
        <f t="shared" si="403"/>
        <v>0</v>
      </c>
      <c r="R383" s="12"/>
      <c r="S383" s="9"/>
      <c r="T383" s="10"/>
      <c r="U383" s="49">
        <f t="shared" si="404"/>
        <v>0</v>
      </c>
      <c r="V383" s="11">
        <f t="shared" si="405"/>
        <v>0</v>
      </c>
      <c r="W383" s="142" t="s">
        <v>211</v>
      </c>
      <c r="Y383" s="92"/>
      <c r="Z383" s="13"/>
      <c r="AA383" s="14"/>
      <c r="AB383" s="15"/>
      <c r="AC383" s="49">
        <f t="shared" si="406"/>
        <v>0</v>
      </c>
      <c r="AD383" s="16"/>
      <c r="AE383" s="14"/>
      <c r="AF383" s="15"/>
      <c r="AG383" s="49">
        <f t="shared" si="407"/>
        <v>0</v>
      </c>
      <c r="AH383" s="11">
        <f t="shared" si="408"/>
        <v>0</v>
      </c>
    </row>
    <row r="384" spans="1:34" ht="14.25" thickBot="1" x14ac:dyDescent="0.2">
      <c r="A384" s="41" t="s">
        <v>19</v>
      </c>
      <c r="B384" s="46">
        <f>SUM(B358:B383)</f>
        <v>35</v>
      </c>
      <c r="C384" s="47">
        <f t="shared" ref="C384:D384" si="418">SUM(C358:C383)</f>
        <v>23</v>
      </c>
      <c r="D384" s="59">
        <f t="shared" si="418"/>
        <v>19</v>
      </c>
      <c r="E384" s="45">
        <f t="shared" si="409"/>
        <v>77</v>
      </c>
      <c r="F384" s="46">
        <f>SUM(F358:F383)</f>
        <v>38</v>
      </c>
      <c r="G384" s="47">
        <f t="shared" ref="G384:H384" si="419">SUM(G358:G383)</f>
        <v>24</v>
      </c>
      <c r="H384" s="59">
        <f t="shared" si="419"/>
        <v>33</v>
      </c>
      <c r="I384" s="45">
        <f t="shared" si="410"/>
        <v>95</v>
      </c>
      <c r="J384" s="45">
        <f>E384+I384</f>
        <v>172</v>
      </c>
      <c r="M384" s="41" t="s">
        <v>19</v>
      </c>
      <c r="N384" s="46">
        <f>SUM(N358:N383)</f>
        <v>191</v>
      </c>
      <c r="O384" s="47">
        <f t="shared" ref="O384:P384" si="420">SUM(O358:O383)</f>
        <v>238</v>
      </c>
      <c r="P384" s="59">
        <f t="shared" si="420"/>
        <v>75</v>
      </c>
      <c r="Q384" s="45">
        <f t="shared" si="403"/>
        <v>504</v>
      </c>
      <c r="R384" s="46">
        <f>SUM(R358:R383)</f>
        <v>86</v>
      </c>
      <c r="S384" s="47">
        <f t="shared" ref="S384:T384" si="421">SUM(S358:S383)</f>
        <v>117</v>
      </c>
      <c r="T384" s="59">
        <f t="shared" si="421"/>
        <v>85</v>
      </c>
      <c r="U384" s="45">
        <f t="shared" si="404"/>
        <v>288</v>
      </c>
      <c r="V384" s="45">
        <f>Q384+U384</f>
        <v>792</v>
      </c>
      <c r="Y384" s="41" t="s">
        <v>19</v>
      </c>
      <c r="Z384" s="46">
        <f>SUM(Z358:Z383)</f>
        <v>0</v>
      </c>
      <c r="AA384" s="47">
        <f t="shared" ref="AA384:AB384" si="422">SUM(AA358:AA383)</f>
        <v>0</v>
      </c>
      <c r="AB384" s="59">
        <f t="shared" si="422"/>
        <v>0</v>
      </c>
      <c r="AC384" s="45">
        <f t="shared" si="406"/>
        <v>0</v>
      </c>
      <c r="AD384" s="46">
        <f>SUM(AD358:AD383)</f>
        <v>0</v>
      </c>
      <c r="AE384" s="47">
        <f t="shared" ref="AE384:AF384" si="423">SUM(AE358:AE383)</f>
        <v>0</v>
      </c>
      <c r="AF384" s="59">
        <f t="shared" si="423"/>
        <v>0</v>
      </c>
      <c r="AG384" s="45">
        <f t="shared" si="407"/>
        <v>0</v>
      </c>
      <c r="AH384" s="45">
        <f>AC384+AG384</f>
        <v>0</v>
      </c>
    </row>
    <row r="385" spans="1:34" ht="14.25" thickBot="1" x14ac:dyDescent="0.2">
      <c r="A385" s="22" t="s">
        <v>17</v>
      </c>
      <c r="B385" s="50">
        <f>B357-B384</f>
        <v>2</v>
      </c>
      <c r="C385" s="57">
        <f t="shared" ref="C385:D385" si="424">C357-C384</f>
        <v>11</v>
      </c>
      <c r="D385" s="58">
        <f t="shared" si="424"/>
        <v>9</v>
      </c>
      <c r="E385" s="56">
        <f>SUM(B385:D385)</f>
        <v>22</v>
      </c>
      <c r="F385" s="50">
        <f>F357-F384</f>
        <v>3</v>
      </c>
      <c r="G385" s="57">
        <f t="shared" ref="G385:H385" si="425">G357-G384</f>
        <v>5</v>
      </c>
      <c r="H385" s="58">
        <f t="shared" si="425"/>
        <v>1</v>
      </c>
      <c r="I385" s="56">
        <f>SUM(F385:H385)</f>
        <v>9</v>
      </c>
      <c r="J385" s="31">
        <f>E385+I385</f>
        <v>31</v>
      </c>
      <c r="M385" s="22" t="s">
        <v>17</v>
      </c>
      <c r="N385" s="50">
        <f>N357-N384</f>
        <v>697</v>
      </c>
      <c r="O385" s="57">
        <f t="shared" ref="O385:P385" si="426">O357-O384</f>
        <v>936</v>
      </c>
      <c r="P385" s="58">
        <f t="shared" si="426"/>
        <v>728</v>
      </c>
      <c r="Q385" s="56">
        <f>SUM(N385:P385)</f>
        <v>2361</v>
      </c>
      <c r="R385" s="50">
        <f>R357-R384</f>
        <v>739</v>
      </c>
      <c r="S385" s="57">
        <f t="shared" ref="S385:T385" si="427">S357-S384</f>
        <v>933</v>
      </c>
      <c r="T385" s="58">
        <f t="shared" si="427"/>
        <v>840</v>
      </c>
      <c r="U385" s="56">
        <f>SUM(R385:T385)</f>
        <v>2512</v>
      </c>
      <c r="V385" s="31">
        <f>Q385+U385</f>
        <v>4873</v>
      </c>
      <c r="Y385" s="22" t="s">
        <v>17</v>
      </c>
      <c r="Z385" s="50">
        <f>Z357-Z384</f>
        <v>0</v>
      </c>
      <c r="AA385" s="57">
        <f t="shared" ref="AA385:AB385" si="428">AA357-AA384</f>
        <v>0</v>
      </c>
      <c r="AB385" s="58">
        <f t="shared" si="428"/>
        <v>0</v>
      </c>
      <c r="AC385" s="56">
        <f>SUM(Z385:AB385)</f>
        <v>0</v>
      </c>
      <c r="AD385" s="50">
        <f>AD357-AD384</f>
        <v>0</v>
      </c>
      <c r="AE385" s="57">
        <f t="shared" ref="AE385:AF385" si="429">AE357-AE384</f>
        <v>0</v>
      </c>
      <c r="AF385" s="58">
        <f t="shared" si="429"/>
        <v>0</v>
      </c>
      <c r="AG385" s="56">
        <f>SUM(AD385:AF385)</f>
        <v>0</v>
      </c>
      <c r="AH385" s="31">
        <f>AC385+AG385</f>
        <v>0</v>
      </c>
    </row>
    <row r="388" spans="1:34" ht="19.5" thickBot="1" x14ac:dyDescent="0.25">
      <c r="A388" s="3" t="s">
        <v>21</v>
      </c>
      <c r="B388" s="1"/>
      <c r="C388" s="1"/>
      <c r="D388" s="1"/>
      <c r="E388" s="1"/>
      <c r="F388" s="1"/>
      <c r="G388" s="1"/>
      <c r="H388" s="1"/>
      <c r="I388" s="1"/>
      <c r="J388" s="1"/>
      <c r="M388" s="3" t="s">
        <v>22</v>
      </c>
      <c r="N388" s="1"/>
      <c r="O388" s="1"/>
      <c r="P388" s="1"/>
      <c r="Q388" s="1"/>
      <c r="R388" s="1"/>
      <c r="S388" s="1"/>
      <c r="T388" s="1"/>
      <c r="U388" s="1"/>
      <c r="V388" s="1"/>
      <c r="Y388" s="3" t="s">
        <v>23</v>
      </c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4.25" thickBot="1" x14ac:dyDescent="0.2">
      <c r="A389" s="7" t="s">
        <v>0</v>
      </c>
      <c r="B389" s="165" t="s">
        <v>24</v>
      </c>
      <c r="C389" s="166"/>
      <c r="D389" s="166"/>
      <c r="E389" s="170"/>
      <c r="F389" s="165" t="s">
        <v>18</v>
      </c>
      <c r="G389" s="166"/>
      <c r="H389" s="166"/>
      <c r="I389" s="167"/>
      <c r="J389" s="168" t="s">
        <v>1</v>
      </c>
      <c r="M389" s="7" t="s">
        <v>0</v>
      </c>
      <c r="N389" s="165" t="s">
        <v>24</v>
      </c>
      <c r="O389" s="166"/>
      <c r="P389" s="166"/>
      <c r="Q389" s="170"/>
      <c r="R389" s="165" t="s">
        <v>18</v>
      </c>
      <c r="S389" s="166"/>
      <c r="T389" s="166"/>
      <c r="U389" s="167"/>
      <c r="V389" s="168" t="s">
        <v>1</v>
      </c>
      <c r="Y389" s="7" t="s">
        <v>0</v>
      </c>
      <c r="Z389" s="165" t="s">
        <v>24</v>
      </c>
      <c r="AA389" s="166"/>
      <c r="AB389" s="166"/>
      <c r="AC389" s="170"/>
      <c r="AD389" s="165" t="s">
        <v>18</v>
      </c>
      <c r="AE389" s="166"/>
      <c r="AF389" s="166"/>
      <c r="AG389" s="167"/>
      <c r="AH389" s="168" t="s">
        <v>1</v>
      </c>
    </row>
    <row r="390" spans="1:34" ht="14.25" thickBot="1" x14ac:dyDescent="0.2">
      <c r="A390" s="7" t="s">
        <v>2</v>
      </c>
      <c r="B390" s="4" t="s">
        <v>3</v>
      </c>
      <c r="C390" s="5" t="s">
        <v>4</v>
      </c>
      <c r="D390" s="6" t="s">
        <v>5</v>
      </c>
      <c r="E390" s="7" t="s">
        <v>6</v>
      </c>
      <c r="F390" s="4" t="s">
        <v>3</v>
      </c>
      <c r="G390" s="5" t="s">
        <v>4</v>
      </c>
      <c r="H390" s="6" t="s">
        <v>5</v>
      </c>
      <c r="I390" s="7" t="s">
        <v>6</v>
      </c>
      <c r="J390" s="169"/>
      <c r="M390" s="7" t="s">
        <v>2</v>
      </c>
      <c r="N390" s="4" t="s">
        <v>3</v>
      </c>
      <c r="O390" s="5" t="s">
        <v>4</v>
      </c>
      <c r="P390" s="6" t="s">
        <v>5</v>
      </c>
      <c r="Q390" s="7" t="s">
        <v>6</v>
      </c>
      <c r="R390" s="4" t="s">
        <v>3</v>
      </c>
      <c r="S390" s="5" t="s">
        <v>4</v>
      </c>
      <c r="T390" s="6" t="s">
        <v>5</v>
      </c>
      <c r="U390" s="7" t="s">
        <v>6</v>
      </c>
      <c r="V390" s="169"/>
      <c r="Y390" s="7" t="s">
        <v>2</v>
      </c>
      <c r="Z390" s="4" t="s">
        <v>3</v>
      </c>
      <c r="AA390" s="5" t="s">
        <v>4</v>
      </c>
      <c r="AB390" s="6" t="s">
        <v>5</v>
      </c>
      <c r="AC390" s="7" t="s">
        <v>6</v>
      </c>
      <c r="AD390" s="4" t="s">
        <v>3</v>
      </c>
      <c r="AE390" s="5" t="s">
        <v>4</v>
      </c>
      <c r="AF390" s="6" t="s">
        <v>5</v>
      </c>
      <c r="AG390" s="7" t="s">
        <v>6</v>
      </c>
      <c r="AH390" s="169"/>
    </row>
    <row r="391" spans="1:34" ht="14.25" thickBot="1" x14ac:dyDescent="0.2">
      <c r="A391" s="27" t="s">
        <v>20</v>
      </c>
      <c r="B391" s="38">
        <f>B385</f>
        <v>2</v>
      </c>
      <c r="C391" s="39">
        <f>C385</f>
        <v>11</v>
      </c>
      <c r="D391" s="2">
        <f>D385</f>
        <v>9</v>
      </c>
      <c r="E391" s="36">
        <f>SUM(B391:D391)</f>
        <v>22</v>
      </c>
      <c r="F391" s="38">
        <f>F385</f>
        <v>3</v>
      </c>
      <c r="G391" s="39">
        <f>G385</f>
        <v>5</v>
      </c>
      <c r="H391" s="2">
        <f>H385</f>
        <v>1</v>
      </c>
      <c r="I391" s="36">
        <f>SUM(F391:H391)</f>
        <v>9</v>
      </c>
      <c r="J391" s="36">
        <f>E391+I391</f>
        <v>31</v>
      </c>
      <c r="M391" s="27" t="s">
        <v>20</v>
      </c>
      <c r="N391" s="38">
        <f>N385</f>
        <v>697</v>
      </c>
      <c r="O391" s="39">
        <f>O385</f>
        <v>936</v>
      </c>
      <c r="P391" s="2">
        <f>P385</f>
        <v>728</v>
      </c>
      <c r="Q391" s="36">
        <f>SUM(N391:P391)</f>
        <v>2361</v>
      </c>
      <c r="R391" s="38">
        <f>R385</f>
        <v>739</v>
      </c>
      <c r="S391" s="39">
        <f>S385</f>
        <v>933</v>
      </c>
      <c r="T391" s="2">
        <f>T385</f>
        <v>840</v>
      </c>
      <c r="U391" s="36">
        <f>SUM(R391:T391)</f>
        <v>2512</v>
      </c>
      <c r="V391" s="36">
        <f>Q391+U391</f>
        <v>4873</v>
      </c>
      <c r="Y391" s="27" t="s">
        <v>20</v>
      </c>
      <c r="Z391" s="38">
        <f>Z385</f>
        <v>0</v>
      </c>
      <c r="AA391" s="39">
        <f>AA385</f>
        <v>0</v>
      </c>
      <c r="AB391" s="2">
        <f>AB385</f>
        <v>0</v>
      </c>
      <c r="AC391" s="36">
        <f>SUM(Z391:AB391)</f>
        <v>0</v>
      </c>
      <c r="AD391" s="38">
        <f>AD385</f>
        <v>0</v>
      </c>
      <c r="AE391" s="39">
        <f>AE385</f>
        <v>0</v>
      </c>
      <c r="AF391" s="2">
        <f>AF385</f>
        <v>0</v>
      </c>
      <c r="AG391" s="36">
        <f>SUM(AD391:AF391)</f>
        <v>0</v>
      </c>
      <c r="AH391" s="36">
        <f>AC391+AG391</f>
        <v>0</v>
      </c>
    </row>
    <row r="392" spans="1:34" x14ac:dyDescent="0.15">
      <c r="A392" s="25" t="s">
        <v>8</v>
      </c>
      <c r="B392" s="42">
        <v>30</v>
      </c>
      <c r="C392" s="43">
        <v>10</v>
      </c>
      <c r="D392" s="44"/>
      <c r="E392" s="48">
        <f>SUM(B392:D392)</f>
        <v>40</v>
      </c>
      <c r="F392" s="60">
        <v>30</v>
      </c>
      <c r="G392" s="43">
        <v>10</v>
      </c>
      <c r="H392" s="61">
        <v>10</v>
      </c>
      <c r="I392" s="48">
        <f>SUM(F392:H392)</f>
        <v>50</v>
      </c>
      <c r="J392" s="48">
        <f>E392+I392</f>
        <v>90</v>
      </c>
      <c r="K392" s="63">
        <v>44404</v>
      </c>
      <c r="M392" s="118" t="s">
        <v>137</v>
      </c>
      <c r="N392" s="89"/>
      <c r="O392" s="79">
        <v>9</v>
      </c>
      <c r="P392" s="76">
        <v>8</v>
      </c>
      <c r="Q392" s="77">
        <f>SUM(N392:P392)</f>
        <v>17</v>
      </c>
      <c r="R392" s="78">
        <v>4</v>
      </c>
      <c r="S392" s="79">
        <v>21</v>
      </c>
      <c r="T392" s="80">
        <v>22</v>
      </c>
      <c r="U392" s="77">
        <f>SUM(R392:T392)</f>
        <v>47</v>
      </c>
      <c r="V392" s="77">
        <f>Q392+U392</f>
        <v>64</v>
      </c>
      <c r="W392" s="140">
        <v>44434</v>
      </c>
      <c r="Y392" s="25" t="s">
        <v>8</v>
      </c>
      <c r="Z392" s="42"/>
      <c r="AA392" s="43"/>
      <c r="AB392" s="44"/>
      <c r="AC392" s="48">
        <f>SUM(Z392:AB392)</f>
        <v>0</v>
      </c>
      <c r="AD392" s="60"/>
      <c r="AE392" s="43"/>
      <c r="AF392" s="61"/>
      <c r="AG392" s="48">
        <f>SUM(AD392:AF392)</f>
        <v>0</v>
      </c>
      <c r="AH392" s="48">
        <f>AC392+AG392</f>
        <v>0</v>
      </c>
    </row>
    <row r="393" spans="1:34" x14ac:dyDescent="0.15">
      <c r="A393" s="25" t="s">
        <v>9</v>
      </c>
      <c r="B393" s="8"/>
      <c r="C393" s="9"/>
      <c r="D393" s="52">
        <v>10</v>
      </c>
      <c r="E393" s="11">
        <f>SUM(B393:D393)</f>
        <v>10</v>
      </c>
      <c r="F393" s="12"/>
      <c r="G393" s="9"/>
      <c r="H393" s="10">
        <v>10</v>
      </c>
      <c r="I393" s="11">
        <f>SUM(F393:H393)</f>
        <v>10</v>
      </c>
      <c r="J393" s="11">
        <f>E393+I393</f>
        <v>20</v>
      </c>
      <c r="K393" s="63">
        <v>44405</v>
      </c>
      <c r="M393" s="25" t="s">
        <v>28</v>
      </c>
      <c r="N393" s="17"/>
      <c r="O393" s="18"/>
      <c r="P393" s="19">
        <v>7</v>
      </c>
      <c r="Q393" s="49">
        <f t="shared" ref="Q393" si="430">SUM(N393:P393)</f>
        <v>7</v>
      </c>
      <c r="R393" s="20"/>
      <c r="S393" s="18"/>
      <c r="T393" s="19">
        <v>4</v>
      </c>
      <c r="U393" s="49">
        <f t="shared" ref="U393" si="431">SUM(R393:T393)</f>
        <v>4</v>
      </c>
      <c r="V393" s="49">
        <f t="shared" ref="V393" si="432">Q393+U393</f>
        <v>11</v>
      </c>
      <c r="W393" s="144">
        <v>44443</v>
      </c>
      <c r="Y393" s="25" t="s">
        <v>9</v>
      </c>
      <c r="Z393" s="8"/>
      <c r="AA393" s="9"/>
      <c r="AB393" s="52"/>
      <c r="AC393" s="11">
        <f t="shared" ref="AC393:AC399" si="433">SUM(Z393:AB393)</f>
        <v>0</v>
      </c>
      <c r="AD393" s="12"/>
      <c r="AE393" s="9"/>
      <c r="AF393" s="10"/>
      <c r="AG393" s="11">
        <f t="shared" ref="AG393:AG399" si="434">SUM(AD393:AF393)</f>
        <v>0</v>
      </c>
      <c r="AH393" s="11">
        <f t="shared" ref="AH393:AH399" si="435">AC393+AG393</f>
        <v>0</v>
      </c>
    </row>
    <row r="394" spans="1:34" x14ac:dyDescent="0.15">
      <c r="A394" s="25" t="s">
        <v>134</v>
      </c>
      <c r="B394" s="17"/>
      <c r="C394" s="18"/>
      <c r="D394" s="51">
        <v>1</v>
      </c>
      <c r="E394" s="11">
        <f t="shared" ref="E394:E399" si="436">SUM(B394:D394)</f>
        <v>1</v>
      </c>
      <c r="F394" s="20"/>
      <c r="G394" s="18"/>
      <c r="H394" s="19">
        <v>1</v>
      </c>
      <c r="I394" s="11">
        <f t="shared" ref="I394:I399" si="437">SUM(F394:H394)</f>
        <v>1</v>
      </c>
      <c r="J394" s="11">
        <f t="shared" ref="J394:J399" si="438">E394+I394</f>
        <v>2</v>
      </c>
      <c r="K394" s="71">
        <v>44404</v>
      </c>
      <c r="M394" s="25" t="s">
        <v>10</v>
      </c>
      <c r="N394" s="17"/>
      <c r="O394" s="18"/>
      <c r="P394" s="51"/>
      <c r="Q394" s="49">
        <f t="shared" ref="Q394:Q399" si="439">SUM(N394:P394)</f>
        <v>0</v>
      </c>
      <c r="R394" s="20"/>
      <c r="S394" s="18"/>
      <c r="T394" s="19"/>
      <c r="U394" s="49">
        <f t="shared" ref="U394:U399" si="440">SUM(R394:T394)</f>
        <v>0</v>
      </c>
      <c r="V394" s="49">
        <f t="shared" ref="V394:V399" si="441">Q394+U394</f>
        <v>0</v>
      </c>
      <c r="W394" s="142"/>
      <c r="Y394" s="25" t="s">
        <v>10</v>
      </c>
      <c r="Z394" s="17"/>
      <c r="AA394" s="18"/>
      <c r="AB394" s="51"/>
      <c r="AC394" s="11">
        <f t="shared" si="433"/>
        <v>0</v>
      </c>
      <c r="AD394" s="20"/>
      <c r="AE394" s="18"/>
      <c r="AF394" s="19"/>
      <c r="AG394" s="11">
        <f t="shared" si="434"/>
        <v>0</v>
      </c>
      <c r="AH394" s="11">
        <f t="shared" si="435"/>
        <v>0</v>
      </c>
    </row>
    <row r="395" spans="1:34" x14ac:dyDescent="0.15">
      <c r="A395" s="25" t="s">
        <v>134</v>
      </c>
      <c r="B395" s="8">
        <v>1</v>
      </c>
      <c r="C395" s="9"/>
      <c r="D395" s="52"/>
      <c r="E395" s="11">
        <f t="shared" si="436"/>
        <v>1</v>
      </c>
      <c r="F395" s="12">
        <v>1</v>
      </c>
      <c r="G395" s="9"/>
      <c r="H395" s="10"/>
      <c r="I395" s="11">
        <f t="shared" si="437"/>
        <v>1</v>
      </c>
      <c r="J395" s="11">
        <f t="shared" si="438"/>
        <v>2</v>
      </c>
      <c r="K395" s="71">
        <v>44405</v>
      </c>
      <c r="M395" s="25" t="s">
        <v>11</v>
      </c>
      <c r="N395" s="8"/>
      <c r="O395" s="9"/>
      <c r="P395" s="52"/>
      <c r="Q395" s="11">
        <f t="shared" si="439"/>
        <v>0</v>
      </c>
      <c r="R395" s="12"/>
      <c r="S395" s="9"/>
      <c r="T395" s="10"/>
      <c r="U395" s="11">
        <f t="shared" si="440"/>
        <v>0</v>
      </c>
      <c r="V395" s="11">
        <f t="shared" si="441"/>
        <v>0</v>
      </c>
      <c r="Y395" s="25" t="s">
        <v>11</v>
      </c>
      <c r="Z395" s="8"/>
      <c r="AA395" s="9"/>
      <c r="AB395" s="52"/>
      <c r="AC395" s="11">
        <f t="shared" si="433"/>
        <v>0</v>
      </c>
      <c r="AD395" s="12"/>
      <c r="AE395" s="9"/>
      <c r="AF395" s="10"/>
      <c r="AG395" s="11">
        <f t="shared" si="434"/>
        <v>0</v>
      </c>
      <c r="AH395" s="11">
        <f t="shared" si="435"/>
        <v>0</v>
      </c>
    </row>
    <row r="396" spans="1:34" x14ac:dyDescent="0.15">
      <c r="A396" s="25" t="s">
        <v>12</v>
      </c>
      <c r="B396" s="8"/>
      <c r="C396" s="9"/>
      <c r="D396" s="52"/>
      <c r="E396" s="11">
        <f t="shared" si="436"/>
        <v>0</v>
      </c>
      <c r="F396" s="12"/>
      <c r="G396" s="9">
        <v>5</v>
      </c>
      <c r="H396" s="10"/>
      <c r="I396" s="11">
        <f t="shared" si="437"/>
        <v>5</v>
      </c>
      <c r="J396" s="11">
        <f t="shared" si="438"/>
        <v>5</v>
      </c>
      <c r="K396" s="63">
        <v>44411</v>
      </c>
      <c r="M396" s="25" t="s">
        <v>12</v>
      </c>
      <c r="N396" s="8"/>
      <c r="O396" s="9"/>
      <c r="P396" s="52"/>
      <c r="Q396" s="11">
        <f t="shared" si="439"/>
        <v>0</v>
      </c>
      <c r="R396" s="12"/>
      <c r="S396" s="9"/>
      <c r="T396" s="10"/>
      <c r="U396" s="11">
        <f t="shared" si="440"/>
        <v>0</v>
      </c>
      <c r="V396" s="11">
        <f t="shared" si="441"/>
        <v>0</v>
      </c>
      <c r="Y396" s="25" t="s">
        <v>12</v>
      </c>
      <c r="Z396" s="8"/>
      <c r="AA396" s="9"/>
      <c r="AB396" s="52"/>
      <c r="AC396" s="11">
        <f t="shared" si="433"/>
        <v>0</v>
      </c>
      <c r="AD396" s="12"/>
      <c r="AE396" s="9"/>
      <c r="AF396" s="10"/>
      <c r="AG396" s="11">
        <f t="shared" si="434"/>
        <v>0</v>
      </c>
      <c r="AH396" s="11">
        <f t="shared" si="435"/>
        <v>0</v>
      </c>
    </row>
    <row r="397" spans="1:34" x14ac:dyDescent="0.15">
      <c r="A397" s="25" t="s">
        <v>13</v>
      </c>
      <c r="B397" s="8"/>
      <c r="C397" s="9"/>
      <c r="D397" s="52"/>
      <c r="E397" s="11">
        <f t="shared" si="436"/>
        <v>0</v>
      </c>
      <c r="F397" s="12"/>
      <c r="G397" s="9">
        <v>10</v>
      </c>
      <c r="H397" s="10"/>
      <c r="I397" s="11">
        <f t="shared" si="437"/>
        <v>10</v>
      </c>
      <c r="J397" s="11">
        <f t="shared" si="438"/>
        <v>10</v>
      </c>
      <c r="K397" s="63">
        <v>44415</v>
      </c>
      <c r="M397" s="25" t="s">
        <v>13</v>
      </c>
      <c r="N397" s="8"/>
      <c r="O397" s="9"/>
      <c r="P397" s="52"/>
      <c r="Q397" s="11">
        <f t="shared" si="439"/>
        <v>0</v>
      </c>
      <c r="R397" s="12"/>
      <c r="S397" s="9"/>
      <c r="T397" s="10"/>
      <c r="U397" s="11">
        <f t="shared" si="440"/>
        <v>0</v>
      </c>
      <c r="V397" s="11">
        <f t="shared" si="441"/>
        <v>0</v>
      </c>
      <c r="Y397" s="25" t="s">
        <v>13</v>
      </c>
      <c r="Z397" s="8"/>
      <c r="AA397" s="9"/>
      <c r="AB397" s="52"/>
      <c r="AC397" s="11">
        <f t="shared" si="433"/>
        <v>0</v>
      </c>
      <c r="AD397" s="12"/>
      <c r="AE397" s="9"/>
      <c r="AF397" s="10"/>
      <c r="AG397" s="11">
        <f t="shared" si="434"/>
        <v>0</v>
      </c>
      <c r="AH397" s="11">
        <f t="shared" si="435"/>
        <v>0</v>
      </c>
    </row>
    <row r="398" spans="1:34" x14ac:dyDescent="0.15">
      <c r="A398" s="25" t="s">
        <v>14</v>
      </c>
      <c r="B398" s="13"/>
      <c r="C398" s="14"/>
      <c r="D398" s="53"/>
      <c r="E398" s="11">
        <f t="shared" si="436"/>
        <v>0</v>
      </c>
      <c r="F398" s="16">
        <v>5</v>
      </c>
      <c r="G398" s="14"/>
      <c r="H398" s="15"/>
      <c r="I398" s="11">
        <f t="shared" si="437"/>
        <v>5</v>
      </c>
      <c r="J398" s="11">
        <f t="shared" si="438"/>
        <v>5</v>
      </c>
      <c r="K398" s="63">
        <v>44424</v>
      </c>
      <c r="M398" s="25" t="s">
        <v>14</v>
      </c>
      <c r="N398" s="13"/>
      <c r="O398" s="14"/>
      <c r="P398" s="53"/>
      <c r="Q398" s="11">
        <f t="shared" si="439"/>
        <v>0</v>
      </c>
      <c r="R398" s="16"/>
      <c r="S398" s="14"/>
      <c r="T398" s="15"/>
      <c r="U398" s="11">
        <f t="shared" si="440"/>
        <v>0</v>
      </c>
      <c r="V398" s="11">
        <f t="shared" si="441"/>
        <v>0</v>
      </c>
      <c r="W398" s="142"/>
      <c r="Y398" s="25" t="s">
        <v>14</v>
      </c>
      <c r="Z398" s="13"/>
      <c r="AA398" s="14"/>
      <c r="AB398" s="53"/>
      <c r="AC398" s="11">
        <f t="shared" si="433"/>
        <v>0</v>
      </c>
      <c r="AD398" s="16"/>
      <c r="AE398" s="14"/>
      <c r="AF398" s="15"/>
      <c r="AG398" s="11">
        <f t="shared" si="434"/>
        <v>0</v>
      </c>
      <c r="AH398" s="11">
        <f t="shared" si="435"/>
        <v>0</v>
      </c>
    </row>
    <row r="399" spans="1:34" ht="14.25" thickBot="1" x14ac:dyDescent="0.2">
      <c r="A399" s="25" t="s">
        <v>134</v>
      </c>
      <c r="B399" s="13"/>
      <c r="C399" s="14"/>
      <c r="D399" s="53"/>
      <c r="E399" s="62">
        <f t="shared" si="436"/>
        <v>0</v>
      </c>
      <c r="F399" s="34"/>
      <c r="G399" s="34">
        <v>1</v>
      </c>
      <c r="H399" s="37"/>
      <c r="I399" s="62">
        <f t="shared" si="437"/>
        <v>1</v>
      </c>
      <c r="J399" s="21">
        <f t="shared" si="438"/>
        <v>1</v>
      </c>
      <c r="K399" s="71">
        <v>44426</v>
      </c>
      <c r="M399" s="25" t="s">
        <v>15</v>
      </c>
      <c r="N399" s="13"/>
      <c r="O399" s="14"/>
      <c r="P399" s="53"/>
      <c r="Q399" s="62">
        <f t="shared" si="439"/>
        <v>0</v>
      </c>
      <c r="R399" s="34"/>
      <c r="S399" s="34"/>
      <c r="T399" s="37"/>
      <c r="U399" s="62">
        <f t="shared" si="440"/>
        <v>0</v>
      </c>
      <c r="V399" s="21">
        <f t="shared" si="441"/>
        <v>0</v>
      </c>
      <c r="Y399" s="25" t="s">
        <v>15</v>
      </c>
      <c r="Z399" s="13"/>
      <c r="AA399" s="14"/>
      <c r="AB399" s="53"/>
      <c r="AC399" s="62">
        <f t="shared" si="433"/>
        <v>0</v>
      </c>
      <c r="AD399" s="34"/>
      <c r="AE399" s="34"/>
      <c r="AF399" s="37"/>
      <c r="AG399" s="62">
        <f t="shared" si="434"/>
        <v>0</v>
      </c>
      <c r="AH399" s="21">
        <f t="shared" si="435"/>
        <v>0</v>
      </c>
    </row>
    <row r="400" spans="1:34" ht="14.25" thickBot="1" x14ac:dyDescent="0.2">
      <c r="A400" s="35" t="s">
        <v>16</v>
      </c>
      <c r="B400" s="28">
        <f>SUM(B391:B399)</f>
        <v>33</v>
      </c>
      <c r="C400" s="29">
        <f t="shared" ref="C400:D400" si="442">SUM(C391:C399)</f>
        <v>21</v>
      </c>
      <c r="D400" s="68">
        <f t="shared" si="442"/>
        <v>20</v>
      </c>
      <c r="E400" s="64">
        <f>SUM(B400:D400)</f>
        <v>74</v>
      </c>
      <c r="F400" s="28">
        <f>SUM(F391:F399)</f>
        <v>39</v>
      </c>
      <c r="G400" s="29">
        <f t="shared" ref="G400:H400" si="443">SUM(G391:G399)</f>
        <v>31</v>
      </c>
      <c r="H400" s="68">
        <f t="shared" si="443"/>
        <v>22</v>
      </c>
      <c r="I400" s="64">
        <f>SUM(F400:H400)</f>
        <v>92</v>
      </c>
      <c r="J400" s="31">
        <f>SUM(J392:J399)</f>
        <v>135</v>
      </c>
      <c r="M400" s="35" t="s">
        <v>16</v>
      </c>
      <c r="N400" s="28">
        <f>SUM(N391:N399)</f>
        <v>697</v>
      </c>
      <c r="O400" s="29">
        <f t="shared" ref="O400:P400" si="444">SUM(O391:O399)</f>
        <v>945</v>
      </c>
      <c r="P400" s="68">
        <f t="shared" si="444"/>
        <v>743</v>
      </c>
      <c r="Q400" s="64">
        <f>SUM(N400:P400)</f>
        <v>2385</v>
      </c>
      <c r="R400" s="28">
        <f>SUM(R391:R399)</f>
        <v>743</v>
      </c>
      <c r="S400" s="29">
        <f t="shared" ref="S400:T400" si="445">SUM(S391:S399)</f>
        <v>954</v>
      </c>
      <c r="T400" s="68">
        <f t="shared" si="445"/>
        <v>866</v>
      </c>
      <c r="U400" s="64">
        <f>SUM(R400:T400)</f>
        <v>2563</v>
      </c>
      <c r="V400" s="31">
        <f>Q400+U400</f>
        <v>4948</v>
      </c>
      <c r="Y400" s="35" t="s">
        <v>16</v>
      </c>
      <c r="Z400" s="28">
        <f>SUM(Z391:Z399)</f>
        <v>0</v>
      </c>
      <c r="AA400" s="29">
        <f t="shared" ref="AA400:AB400" si="446">SUM(AA391:AA399)</f>
        <v>0</v>
      </c>
      <c r="AB400" s="68">
        <f t="shared" si="446"/>
        <v>0</v>
      </c>
      <c r="AC400" s="64">
        <f>SUM(Z400:AB400)</f>
        <v>0</v>
      </c>
      <c r="AD400" s="28">
        <f>SUM(AD391:AD399)</f>
        <v>0</v>
      </c>
      <c r="AE400" s="29">
        <f t="shared" ref="AE400:AF400" si="447">SUM(AE391:AE399)</f>
        <v>0</v>
      </c>
      <c r="AF400" s="68">
        <f t="shared" si="447"/>
        <v>0</v>
      </c>
      <c r="AG400" s="64">
        <f>SUM(AD400:AF400)</f>
        <v>0</v>
      </c>
      <c r="AH400" s="31">
        <f>AC400+AG400</f>
        <v>0</v>
      </c>
    </row>
    <row r="401" spans="1:34" x14ac:dyDescent="0.15">
      <c r="A401" s="25" t="s">
        <v>33</v>
      </c>
      <c r="B401" s="65">
        <f>3+4</f>
        <v>7</v>
      </c>
      <c r="C401" s="66">
        <f>2+1</f>
        <v>3</v>
      </c>
      <c r="D401" s="67">
        <v>2</v>
      </c>
      <c r="E401" s="49">
        <f>SUM(B401:D401)</f>
        <v>12</v>
      </c>
      <c r="F401" s="16">
        <v>5</v>
      </c>
      <c r="G401" s="14">
        <f>1+1</f>
        <v>2</v>
      </c>
      <c r="H401" s="15">
        <v>1</v>
      </c>
      <c r="I401" s="49">
        <f>SUM(F401:H401)</f>
        <v>8</v>
      </c>
      <c r="J401" s="11">
        <f>E401+I401</f>
        <v>20</v>
      </c>
      <c r="K401" s="71">
        <v>44404</v>
      </c>
      <c r="M401" s="117" t="s">
        <v>280</v>
      </c>
      <c r="N401" s="65"/>
      <c r="O401" s="66">
        <v>6</v>
      </c>
      <c r="P401" s="67"/>
      <c r="Q401" s="49">
        <f t="shared" ref="Q401:Q427" si="448">SUM(N401:P401)</f>
        <v>6</v>
      </c>
      <c r="R401" s="16"/>
      <c r="S401" s="14">
        <v>6</v>
      </c>
      <c r="T401" s="15"/>
      <c r="U401" s="49">
        <f t="shared" ref="U401:U427" si="449">SUM(R401:T401)</f>
        <v>6</v>
      </c>
      <c r="V401" s="11">
        <f t="shared" ref="V401:V426" si="450">Q401+U401</f>
        <v>12</v>
      </c>
      <c r="W401" s="140">
        <v>44404</v>
      </c>
      <c r="Y401" s="26"/>
      <c r="Z401" s="8"/>
      <c r="AA401" s="9"/>
      <c r="AB401" s="52"/>
      <c r="AC401" s="11">
        <f t="shared" ref="AC401:AC427" si="451">SUM(Z401:AB401)</f>
        <v>0</v>
      </c>
      <c r="AD401" s="12"/>
      <c r="AE401" s="9"/>
      <c r="AF401" s="10"/>
      <c r="AG401" s="11">
        <f t="shared" ref="AG401:AG427" si="452">SUM(AD401:AF401)</f>
        <v>0</v>
      </c>
      <c r="AH401" s="11">
        <f t="shared" ref="AH401:AH426" si="453">AC401+AG401</f>
        <v>0</v>
      </c>
    </row>
    <row r="402" spans="1:34" x14ac:dyDescent="0.15">
      <c r="A402" s="25" t="s">
        <v>33</v>
      </c>
      <c r="B402" s="8"/>
      <c r="C402" s="9"/>
      <c r="D402" s="10"/>
      <c r="E402" s="49">
        <f t="shared" ref="E402:E427" si="454">SUM(B402:D402)</f>
        <v>0</v>
      </c>
      <c r="F402" s="12"/>
      <c r="G402" s="9">
        <v>2</v>
      </c>
      <c r="H402" s="10"/>
      <c r="I402" s="49">
        <f t="shared" ref="I402:I427" si="455">SUM(F402:H402)</f>
        <v>2</v>
      </c>
      <c r="J402" s="11">
        <f t="shared" ref="J402:J426" si="456">E402+I402</f>
        <v>2</v>
      </c>
      <c r="K402" s="71">
        <v>44406</v>
      </c>
      <c r="M402" s="26" t="s">
        <v>281</v>
      </c>
      <c r="N402" s="8">
        <v>3</v>
      </c>
      <c r="O402" s="9"/>
      <c r="P402" s="10"/>
      <c r="Q402" s="49">
        <f t="shared" si="448"/>
        <v>3</v>
      </c>
      <c r="R402" s="12"/>
      <c r="S402" s="9"/>
      <c r="T402" s="10"/>
      <c r="U402" s="49">
        <f t="shared" si="449"/>
        <v>0</v>
      </c>
      <c r="V402" s="11">
        <f t="shared" si="450"/>
        <v>3</v>
      </c>
      <c r="W402" s="140">
        <v>44405</v>
      </c>
      <c r="Y402" s="26"/>
      <c r="Z402" s="17"/>
      <c r="AA402" s="18"/>
      <c r="AB402" s="51"/>
      <c r="AC402" s="11">
        <f t="shared" si="451"/>
        <v>0</v>
      </c>
      <c r="AD402" s="20"/>
      <c r="AE402" s="18"/>
      <c r="AF402" s="19"/>
      <c r="AG402" s="11">
        <f t="shared" si="452"/>
        <v>0</v>
      </c>
      <c r="AH402" s="11">
        <f t="shared" si="453"/>
        <v>0</v>
      </c>
    </row>
    <row r="403" spans="1:34" x14ac:dyDescent="0.15">
      <c r="A403" s="25" t="s">
        <v>33</v>
      </c>
      <c r="B403" s="8">
        <v>3</v>
      </c>
      <c r="C403" s="9"/>
      <c r="D403" s="10"/>
      <c r="E403" s="49">
        <f t="shared" si="454"/>
        <v>3</v>
      </c>
      <c r="F403" s="12">
        <f>1+2</f>
        <v>3</v>
      </c>
      <c r="G403" s="9">
        <v>1</v>
      </c>
      <c r="H403" s="10">
        <v>1</v>
      </c>
      <c r="I403" s="49">
        <f t="shared" si="455"/>
        <v>5</v>
      </c>
      <c r="J403" s="11">
        <f t="shared" si="456"/>
        <v>8</v>
      </c>
      <c r="K403" s="71">
        <v>44407</v>
      </c>
      <c r="M403" s="26" t="s">
        <v>282</v>
      </c>
      <c r="N403" s="8">
        <v>30</v>
      </c>
      <c r="O403" s="9">
        <v>10</v>
      </c>
      <c r="P403" s="10"/>
      <c r="Q403" s="49">
        <f t="shared" si="448"/>
        <v>40</v>
      </c>
      <c r="R403" s="12">
        <v>30</v>
      </c>
      <c r="S403" s="9">
        <v>10</v>
      </c>
      <c r="T403" s="10">
        <v>10</v>
      </c>
      <c r="U403" s="49">
        <f t="shared" si="449"/>
        <v>50</v>
      </c>
      <c r="V403" s="11">
        <f t="shared" si="450"/>
        <v>90</v>
      </c>
      <c r="W403" s="140">
        <v>44404</v>
      </c>
      <c r="X403" s="82"/>
      <c r="Y403" s="26"/>
      <c r="Z403" s="8"/>
      <c r="AA403" s="9"/>
      <c r="AB403" s="52"/>
      <c r="AC403" s="11">
        <f t="shared" si="451"/>
        <v>0</v>
      </c>
      <c r="AD403" s="12"/>
      <c r="AE403" s="9"/>
      <c r="AF403" s="10"/>
      <c r="AG403" s="11">
        <f t="shared" si="452"/>
        <v>0</v>
      </c>
      <c r="AH403" s="11">
        <f t="shared" si="453"/>
        <v>0</v>
      </c>
    </row>
    <row r="404" spans="1:34" x14ac:dyDescent="0.15">
      <c r="A404" s="25" t="s">
        <v>33</v>
      </c>
      <c r="B404" s="8"/>
      <c r="C404" s="9">
        <v>1</v>
      </c>
      <c r="D404" s="10"/>
      <c r="E404" s="49">
        <f t="shared" si="454"/>
        <v>1</v>
      </c>
      <c r="F404" s="12"/>
      <c r="G404" s="9">
        <v>2</v>
      </c>
      <c r="H404" s="10">
        <v>2</v>
      </c>
      <c r="I404" s="49">
        <f t="shared" si="455"/>
        <v>4</v>
      </c>
      <c r="J404" s="11">
        <f t="shared" si="456"/>
        <v>5</v>
      </c>
      <c r="K404" s="71">
        <v>44408</v>
      </c>
      <c r="M404" s="117" t="s">
        <v>283</v>
      </c>
      <c r="N404" s="8">
        <v>3</v>
      </c>
      <c r="O404" s="9"/>
      <c r="P404" s="10">
        <v>6</v>
      </c>
      <c r="Q404" s="49">
        <f t="shared" si="448"/>
        <v>9</v>
      </c>
      <c r="R404" s="12">
        <v>3</v>
      </c>
      <c r="S404" s="9"/>
      <c r="T404" s="10">
        <v>6</v>
      </c>
      <c r="U404" s="49">
        <f t="shared" si="449"/>
        <v>9</v>
      </c>
      <c r="V404" s="11">
        <f t="shared" si="450"/>
        <v>18</v>
      </c>
      <c r="W404" s="140">
        <v>44405</v>
      </c>
      <c r="Y404" s="26"/>
      <c r="Z404" s="8"/>
      <c r="AA404" s="9"/>
      <c r="AB404" s="52"/>
      <c r="AC404" s="11">
        <f t="shared" si="451"/>
        <v>0</v>
      </c>
      <c r="AD404" s="12"/>
      <c r="AE404" s="9"/>
      <c r="AF404" s="10"/>
      <c r="AG404" s="11">
        <f t="shared" si="452"/>
        <v>0</v>
      </c>
      <c r="AH404" s="11">
        <f t="shared" si="453"/>
        <v>0</v>
      </c>
    </row>
    <row r="405" spans="1:34" x14ac:dyDescent="0.15">
      <c r="A405" s="25" t="s">
        <v>33</v>
      </c>
      <c r="B405" s="8"/>
      <c r="C405" s="9">
        <v>1</v>
      </c>
      <c r="D405" s="10"/>
      <c r="E405" s="49">
        <f t="shared" si="454"/>
        <v>1</v>
      </c>
      <c r="F405" s="12">
        <v>2</v>
      </c>
      <c r="G405" s="9">
        <v>1</v>
      </c>
      <c r="H405" s="10"/>
      <c r="I405" s="49">
        <f t="shared" si="455"/>
        <v>3</v>
      </c>
      <c r="J405" s="11">
        <f t="shared" si="456"/>
        <v>4</v>
      </c>
      <c r="K405" s="71">
        <v>44410</v>
      </c>
      <c r="M405" s="26" t="s">
        <v>28</v>
      </c>
      <c r="N405" s="8"/>
      <c r="O405" s="9"/>
      <c r="P405" s="52">
        <v>10</v>
      </c>
      <c r="Q405" s="11">
        <f>SUM(N405:P405)</f>
        <v>10</v>
      </c>
      <c r="R405" s="12"/>
      <c r="S405" s="9"/>
      <c r="T405" s="10">
        <v>10</v>
      </c>
      <c r="U405" s="11">
        <f>SUM(R405:T405)</f>
        <v>10</v>
      </c>
      <c r="V405" s="11">
        <f>Q405+U405</f>
        <v>20</v>
      </c>
      <c r="W405" s="140">
        <v>44405</v>
      </c>
      <c r="Y405" s="26"/>
      <c r="Z405" s="8"/>
      <c r="AA405" s="9"/>
      <c r="AB405" s="10"/>
      <c r="AC405" s="49">
        <f t="shared" si="451"/>
        <v>0</v>
      </c>
      <c r="AD405" s="12"/>
      <c r="AE405" s="9"/>
      <c r="AF405" s="10"/>
      <c r="AG405" s="49">
        <f t="shared" si="452"/>
        <v>0</v>
      </c>
      <c r="AH405" s="11">
        <f t="shared" si="453"/>
        <v>0</v>
      </c>
    </row>
    <row r="406" spans="1:34" x14ac:dyDescent="0.15">
      <c r="A406" s="25" t="s">
        <v>33</v>
      </c>
      <c r="B406" s="8"/>
      <c r="C406" s="9"/>
      <c r="D406" s="10"/>
      <c r="E406" s="49">
        <f t="shared" si="454"/>
        <v>0</v>
      </c>
      <c r="F406" s="12">
        <f>4+1</f>
        <v>5</v>
      </c>
      <c r="G406" s="9"/>
      <c r="H406" s="10"/>
      <c r="I406" s="49">
        <f t="shared" si="455"/>
        <v>5</v>
      </c>
      <c r="J406" s="11">
        <f t="shared" si="456"/>
        <v>5</v>
      </c>
      <c r="K406" s="71">
        <v>44411</v>
      </c>
      <c r="M406" s="117" t="s">
        <v>284</v>
      </c>
      <c r="N406" s="8"/>
      <c r="O406" s="9">
        <v>5</v>
      </c>
      <c r="P406" s="10"/>
      <c r="Q406" s="49">
        <f t="shared" si="448"/>
        <v>5</v>
      </c>
      <c r="R406" s="12"/>
      <c r="S406" s="9">
        <v>5</v>
      </c>
      <c r="T406" s="10"/>
      <c r="U406" s="49">
        <f t="shared" si="449"/>
        <v>5</v>
      </c>
      <c r="V406" s="11">
        <f t="shared" si="450"/>
        <v>10</v>
      </c>
      <c r="W406" s="140">
        <v>44406</v>
      </c>
      <c r="Y406" s="26"/>
      <c r="Z406" s="8"/>
      <c r="AA406" s="9"/>
      <c r="AB406" s="10"/>
      <c r="AC406" s="49">
        <f t="shared" si="451"/>
        <v>0</v>
      </c>
      <c r="AD406" s="12"/>
      <c r="AE406" s="9"/>
      <c r="AF406" s="10"/>
      <c r="AG406" s="49">
        <f t="shared" si="452"/>
        <v>0</v>
      </c>
      <c r="AH406" s="11">
        <f t="shared" si="453"/>
        <v>0</v>
      </c>
    </row>
    <row r="407" spans="1:34" x14ac:dyDescent="0.15">
      <c r="A407" s="25" t="s">
        <v>33</v>
      </c>
      <c r="B407" s="8">
        <v>2</v>
      </c>
      <c r="C407" s="9">
        <f>1+1</f>
        <v>2</v>
      </c>
      <c r="D407" s="10"/>
      <c r="E407" s="49">
        <f t="shared" si="454"/>
        <v>4</v>
      </c>
      <c r="F407" s="12">
        <v>1</v>
      </c>
      <c r="G407" s="9">
        <f>4+1</f>
        <v>5</v>
      </c>
      <c r="H407" s="10"/>
      <c r="I407" s="49">
        <f t="shared" si="455"/>
        <v>6</v>
      </c>
      <c r="J407" s="11">
        <f t="shared" si="456"/>
        <v>10</v>
      </c>
      <c r="K407" s="71">
        <v>44413</v>
      </c>
      <c r="M407" s="117" t="s">
        <v>285</v>
      </c>
      <c r="N407" s="8">
        <v>3</v>
      </c>
      <c r="O407" s="9">
        <v>3</v>
      </c>
      <c r="P407" s="10">
        <v>2</v>
      </c>
      <c r="Q407" s="49">
        <f t="shared" si="448"/>
        <v>8</v>
      </c>
      <c r="R407" s="12">
        <v>3</v>
      </c>
      <c r="S407" s="9">
        <v>3</v>
      </c>
      <c r="T407" s="10">
        <v>2</v>
      </c>
      <c r="U407" s="49">
        <f t="shared" si="449"/>
        <v>8</v>
      </c>
      <c r="V407" s="11">
        <f t="shared" si="450"/>
        <v>16</v>
      </c>
      <c r="W407" s="140">
        <v>44407</v>
      </c>
      <c r="Y407" s="24"/>
      <c r="Z407" s="8"/>
      <c r="AA407" s="9"/>
      <c r="AB407" s="10"/>
      <c r="AC407" s="49">
        <f t="shared" si="451"/>
        <v>0</v>
      </c>
      <c r="AD407" s="12"/>
      <c r="AE407" s="9"/>
      <c r="AF407" s="10"/>
      <c r="AG407" s="49">
        <f t="shared" si="452"/>
        <v>0</v>
      </c>
      <c r="AH407" s="11">
        <f t="shared" si="453"/>
        <v>0</v>
      </c>
    </row>
    <row r="408" spans="1:34" x14ac:dyDescent="0.15">
      <c r="A408" s="25" t="s">
        <v>33</v>
      </c>
      <c r="B408" s="8"/>
      <c r="C408" s="9"/>
      <c r="D408" s="10"/>
      <c r="E408" s="49">
        <f t="shared" si="454"/>
        <v>0</v>
      </c>
      <c r="F408" s="12"/>
      <c r="G408" s="9"/>
      <c r="H408" s="10">
        <v>2</v>
      </c>
      <c r="I408" s="49">
        <f t="shared" si="455"/>
        <v>2</v>
      </c>
      <c r="J408" s="11">
        <f t="shared" si="456"/>
        <v>2</v>
      </c>
      <c r="K408" s="71">
        <v>44414</v>
      </c>
      <c r="M408" s="117" t="s">
        <v>286</v>
      </c>
      <c r="N408" s="8">
        <v>1</v>
      </c>
      <c r="O408" s="9"/>
      <c r="P408" s="10"/>
      <c r="Q408" s="49">
        <f t="shared" si="448"/>
        <v>1</v>
      </c>
      <c r="R408" s="12">
        <v>1</v>
      </c>
      <c r="S408" s="9"/>
      <c r="T408" s="10"/>
      <c r="U408" s="49">
        <f t="shared" si="449"/>
        <v>1</v>
      </c>
      <c r="V408" s="11">
        <f t="shared" si="450"/>
        <v>2</v>
      </c>
      <c r="W408" s="140">
        <v>44408</v>
      </c>
      <c r="Y408" s="26"/>
      <c r="Z408" s="8"/>
      <c r="AA408" s="9"/>
      <c r="AB408" s="10"/>
      <c r="AC408" s="49">
        <f t="shared" si="451"/>
        <v>0</v>
      </c>
      <c r="AD408" s="12"/>
      <c r="AE408" s="9"/>
      <c r="AF408" s="10"/>
      <c r="AG408" s="49">
        <f t="shared" si="452"/>
        <v>0</v>
      </c>
      <c r="AH408" s="11">
        <f t="shared" si="453"/>
        <v>0</v>
      </c>
    </row>
    <row r="409" spans="1:34" x14ac:dyDescent="0.15">
      <c r="A409" s="25" t="s">
        <v>33</v>
      </c>
      <c r="B409" s="8">
        <v>3</v>
      </c>
      <c r="C409" s="9">
        <v>1</v>
      </c>
      <c r="D409" s="10">
        <v>1</v>
      </c>
      <c r="E409" s="49">
        <f t="shared" si="454"/>
        <v>5</v>
      </c>
      <c r="F409" s="12">
        <f>2+3+1</f>
        <v>6</v>
      </c>
      <c r="G409" s="9">
        <v>1</v>
      </c>
      <c r="H409" s="10">
        <v>1</v>
      </c>
      <c r="I409" s="49">
        <f t="shared" si="455"/>
        <v>8</v>
      </c>
      <c r="J409" s="11">
        <f t="shared" si="456"/>
        <v>13</v>
      </c>
      <c r="K409" s="71">
        <v>44418</v>
      </c>
      <c r="M409" s="117" t="s">
        <v>287</v>
      </c>
      <c r="N409" s="8"/>
      <c r="O409" s="9"/>
      <c r="P409" s="10">
        <v>2</v>
      </c>
      <c r="Q409" s="49">
        <f t="shared" si="448"/>
        <v>2</v>
      </c>
      <c r="R409" s="12"/>
      <c r="S409" s="9"/>
      <c r="T409" s="10">
        <v>2</v>
      </c>
      <c r="U409" s="49">
        <f t="shared" si="449"/>
        <v>2</v>
      </c>
      <c r="V409" s="11">
        <f t="shared" si="450"/>
        <v>4</v>
      </c>
      <c r="W409" s="140">
        <v>44411</v>
      </c>
      <c r="Y409" s="26"/>
      <c r="Z409" s="8"/>
      <c r="AA409" s="9"/>
      <c r="AB409" s="10"/>
      <c r="AC409" s="49">
        <f t="shared" si="451"/>
        <v>0</v>
      </c>
      <c r="AD409" s="12"/>
      <c r="AE409" s="9"/>
      <c r="AF409" s="10"/>
      <c r="AG409" s="49">
        <f t="shared" si="452"/>
        <v>0</v>
      </c>
      <c r="AH409" s="11">
        <f t="shared" si="453"/>
        <v>0</v>
      </c>
    </row>
    <row r="410" spans="1:34" x14ac:dyDescent="0.15">
      <c r="A410" s="25" t="s">
        <v>33</v>
      </c>
      <c r="B410" s="13">
        <v>1</v>
      </c>
      <c r="C410" s="14"/>
      <c r="D410" s="15"/>
      <c r="E410" s="49">
        <f t="shared" si="454"/>
        <v>1</v>
      </c>
      <c r="F410" s="16">
        <f>1+1</f>
        <v>2</v>
      </c>
      <c r="G410" s="14">
        <v>1</v>
      </c>
      <c r="H410" s="15">
        <v>1</v>
      </c>
      <c r="I410" s="49">
        <f t="shared" si="455"/>
        <v>4</v>
      </c>
      <c r="J410" s="11">
        <f t="shared" si="456"/>
        <v>5</v>
      </c>
      <c r="K410" s="71">
        <v>44419</v>
      </c>
      <c r="M410" s="25" t="s">
        <v>28</v>
      </c>
      <c r="N410" s="8"/>
      <c r="O410" s="9"/>
      <c r="P410" s="52"/>
      <c r="Q410" s="11">
        <f t="shared" si="448"/>
        <v>0</v>
      </c>
      <c r="R410" s="12"/>
      <c r="S410" s="9">
        <v>5</v>
      </c>
      <c r="T410" s="10"/>
      <c r="U410" s="11">
        <f t="shared" si="449"/>
        <v>5</v>
      </c>
      <c r="V410" s="11">
        <f t="shared" si="450"/>
        <v>5</v>
      </c>
      <c r="W410" s="140">
        <v>44411</v>
      </c>
      <c r="Y410" s="26"/>
      <c r="Z410" s="13"/>
      <c r="AA410" s="14"/>
      <c r="AB410" s="15"/>
      <c r="AC410" s="49">
        <f t="shared" si="451"/>
        <v>0</v>
      </c>
      <c r="AD410" s="16"/>
      <c r="AE410" s="14"/>
      <c r="AF410" s="15"/>
      <c r="AG410" s="49">
        <f t="shared" si="452"/>
        <v>0</v>
      </c>
      <c r="AH410" s="11">
        <f t="shared" si="453"/>
        <v>0</v>
      </c>
    </row>
    <row r="411" spans="1:34" x14ac:dyDescent="0.15">
      <c r="A411" s="25" t="s">
        <v>33</v>
      </c>
      <c r="B411" s="8">
        <f>2+1+1</f>
        <v>4</v>
      </c>
      <c r="C411" s="9">
        <v>1</v>
      </c>
      <c r="D411" s="10"/>
      <c r="E411" s="49">
        <f t="shared" si="454"/>
        <v>5</v>
      </c>
      <c r="F411" s="12">
        <f>1+2+1</f>
        <v>4</v>
      </c>
      <c r="G411" s="9">
        <f>1+1</f>
        <v>2</v>
      </c>
      <c r="H411" s="10"/>
      <c r="I411" s="49">
        <f t="shared" si="455"/>
        <v>6</v>
      </c>
      <c r="J411" s="11">
        <f t="shared" si="456"/>
        <v>11</v>
      </c>
      <c r="K411" s="71">
        <v>44424</v>
      </c>
      <c r="M411" s="117" t="s">
        <v>288</v>
      </c>
      <c r="N411" s="8"/>
      <c r="O411" s="9">
        <v>1</v>
      </c>
      <c r="P411" s="10"/>
      <c r="Q411" s="49">
        <f t="shared" si="448"/>
        <v>1</v>
      </c>
      <c r="R411" s="12"/>
      <c r="S411" s="9">
        <v>1</v>
      </c>
      <c r="T411" s="10"/>
      <c r="U411" s="49">
        <f t="shared" si="449"/>
        <v>1</v>
      </c>
      <c r="V411" s="11">
        <f t="shared" si="450"/>
        <v>2</v>
      </c>
      <c r="W411" s="140">
        <v>44412</v>
      </c>
      <c r="X411" s="82"/>
      <c r="Y411" s="26"/>
      <c r="Z411" s="8"/>
      <c r="AA411" s="9"/>
      <c r="AB411" s="10"/>
      <c r="AC411" s="49">
        <f t="shared" si="451"/>
        <v>0</v>
      </c>
      <c r="AD411" s="12"/>
      <c r="AE411" s="9"/>
      <c r="AF411" s="10"/>
      <c r="AG411" s="49">
        <f t="shared" si="452"/>
        <v>0</v>
      </c>
      <c r="AH411" s="11">
        <f t="shared" si="453"/>
        <v>0</v>
      </c>
    </row>
    <row r="412" spans="1:34" x14ac:dyDescent="0.15">
      <c r="A412" s="25" t="s">
        <v>33</v>
      </c>
      <c r="B412" s="8"/>
      <c r="C412" s="9"/>
      <c r="D412" s="10"/>
      <c r="E412" s="49">
        <f t="shared" si="454"/>
        <v>0</v>
      </c>
      <c r="F412" s="12">
        <v>1</v>
      </c>
      <c r="G412" s="9"/>
      <c r="H412" s="10"/>
      <c r="I412" s="49">
        <f t="shared" si="455"/>
        <v>1</v>
      </c>
      <c r="J412" s="11">
        <f t="shared" si="456"/>
        <v>1</v>
      </c>
      <c r="K412" s="71">
        <v>44427</v>
      </c>
      <c r="M412" s="117" t="s">
        <v>289</v>
      </c>
      <c r="N412" s="8"/>
      <c r="O412" s="9">
        <v>2</v>
      </c>
      <c r="P412" s="10"/>
      <c r="Q412" s="49">
        <f t="shared" si="448"/>
        <v>2</v>
      </c>
      <c r="R412" s="12"/>
      <c r="S412" s="9">
        <v>2</v>
      </c>
      <c r="T412" s="10"/>
      <c r="U412" s="49">
        <f t="shared" si="449"/>
        <v>2</v>
      </c>
      <c r="V412" s="11">
        <f t="shared" si="450"/>
        <v>4</v>
      </c>
      <c r="W412" s="140">
        <v>44413</v>
      </c>
      <c r="Y412" s="26"/>
      <c r="Z412" s="8"/>
      <c r="AA412" s="9"/>
      <c r="AB412" s="10"/>
      <c r="AC412" s="49">
        <f t="shared" si="451"/>
        <v>0</v>
      </c>
      <c r="AD412" s="12"/>
      <c r="AE412" s="9"/>
      <c r="AF412" s="10"/>
      <c r="AG412" s="49">
        <f t="shared" si="452"/>
        <v>0</v>
      </c>
      <c r="AH412" s="11">
        <f t="shared" si="453"/>
        <v>0</v>
      </c>
    </row>
    <row r="413" spans="1:34" x14ac:dyDescent="0.15">
      <c r="A413" s="25" t="s">
        <v>33</v>
      </c>
      <c r="B413" s="8">
        <v>3</v>
      </c>
      <c r="C413" s="9"/>
      <c r="D413" s="10"/>
      <c r="E413" s="49">
        <f t="shared" si="454"/>
        <v>3</v>
      </c>
      <c r="F413" s="12"/>
      <c r="G413" s="9"/>
      <c r="H413" s="10"/>
      <c r="I413" s="49">
        <f t="shared" si="455"/>
        <v>0</v>
      </c>
      <c r="J413" s="11">
        <f t="shared" si="456"/>
        <v>3</v>
      </c>
      <c r="K413" s="71">
        <v>44429</v>
      </c>
      <c r="M413" s="26" t="s">
        <v>290</v>
      </c>
      <c r="N413" s="8">
        <v>15</v>
      </c>
      <c r="O413" s="9">
        <v>10</v>
      </c>
      <c r="P413" s="10"/>
      <c r="Q413" s="49">
        <f t="shared" si="448"/>
        <v>25</v>
      </c>
      <c r="R413" s="12">
        <v>15</v>
      </c>
      <c r="S413" s="9">
        <v>10</v>
      </c>
      <c r="T413" s="10"/>
      <c r="U413" s="49">
        <f t="shared" si="449"/>
        <v>25</v>
      </c>
      <c r="V413" s="11">
        <f t="shared" si="450"/>
        <v>50</v>
      </c>
      <c r="W413" s="140">
        <v>44418</v>
      </c>
      <c r="Y413" s="26"/>
      <c r="Z413" s="8"/>
      <c r="AA413" s="9"/>
      <c r="AB413" s="10"/>
      <c r="AC413" s="49">
        <f t="shared" si="451"/>
        <v>0</v>
      </c>
      <c r="AD413" s="12"/>
      <c r="AE413" s="9"/>
      <c r="AF413" s="10"/>
      <c r="AG413" s="49">
        <f t="shared" si="452"/>
        <v>0</v>
      </c>
      <c r="AH413" s="11">
        <f t="shared" si="453"/>
        <v>0</v>
      </c>
    </row>
    <row r="414" spans="1:34" x14ac:dyDescent="0.15">
      <c r="A414" s="117" t="s">
        <v>176</v>
      </c>
      <c r="B414" s="8"/>
      <c r="C414" s="9">
        <v>1</v>
      </c>
      <c r="D414" s="10"/>
      <c r="E414" s="49">
        <f t="shared" si="454"/>
        <v>1</v>
      </c>
      <c r="F414" s="12"/>
      <c r="G414" s="9">
        <v>1</v>
      </c>
      <c r="H414" s="10"/>
      <c r="I414" s="49">
        <f t="shared" si="455"/>
        <v>1</v>
      </c>
      <c r="J414" s="11">
        <f t="shared" si="456"/>
        <v>2</v>
      </c>
      <c r="K414" s="63">
        <v>44432</v>
      </c>
      <c r="M414" s="25" t="s">
        <v>28</v>
      </c>
      <c r="N414" s="8"/>
      <c r="O414" s="9"/>
      <c r="P414" s="52"/>
      <c r="Q414" s="11">
        <f t="shared" si="448"/>
        <v>0</v>
      </c>
      <c r="R414" s="12"/>
      <c r="S414" s="9">
        <v>10</v>
      </c>
      <c r="T414" s="10"/>
      <c r="U414" s="11">
        <f t="shared" si="449"/>
        <v>10</v>
      </c>
      <c r="V414" s="11">
        <f t="shared" si="450"/>
        <v>10</v>
      </c>
      <c r="W414" s="140">
        <v>44415</v>
      </c>
      <c r="Y414" s="26"/>
      <c r="Z414" s="8"/>
      <c r="AA414" s="9"/>
      <c r="AB414" s="10"/>
      <c r="AC414" s="49">
        <f t="shared" si="451"/>
        <v>0</v>
      </c>
      <c r="AD414" s="12"/>
      <c r="AE414" s="9"/>
      <c r="AF414" s="10"/>
      <c r="AG414" s="49">
        <f t="shared" si="452"/>
        <v>0</v>
      </c>
      <c r="AH414" s="11">
        <f t="shared" si="453"/>
        <v>0</v>
      </c>
    </row>
    <row r="415" spans="1:34" x14ac:dyDescent="0.15">
      <c r="A415" s="25" t="s">
        <v>33</v>
      </c>
      <c r="B415" s="8"/>
      <c r="C415" s="9">
        <v>2</v>
      </c>
      <c r="D415" s="10"/>
      <c r="E415" s="49">
        <f t="shared" si="454"/>
        <v>2</v>
      </c>
      <c r="F415" s="12"/>
      <c r="G415" s="9">
        <v>2</v>
      </c>
      <c r="H415" s="10"/>
      <c r="I415" s="49">
        <f t="shared" si="455"/>
        <v>2</v>
      </c>
      <c r="J415" s="11">
        <f t="shared" si="456"/>
        <v>4</v>
      </c>
      <c r="K415" s="71">
        <v>44432</v>
      </c>
      <c r="M415" s="25" t="s">
        <v>28</v>
      </c>
      <c r="N415" s="13"/>
      <c r="O415" s="14"/>
      <c r="P415" s="53"/>
      <c r="Q415" s="11">
        <f t="shared" si="448"/>
        <v>0</v>
      </c>
      <c r="R415" s="16">
        <v>5</v>
      </c>
      <c r="S415" s="14"/>
      <c r="T415" s="15"/>
      <c r="U415" s="11">
        <f t="shared" si="449"/>
        <v>5</v>
      </c>
      <c r="V415" s="11">
        <f t="shared" si="450"/>
        <v>5</v>
      </c>
      <c r="W415" s="140">
        <v>44424</v>
      </c>
      <c r="Y415" s="26"/>
      <c r="Z415" s="8"/>
      <c r="AA415" s="9"/>
      <c r="AB415" s="10"/>
      <c r="AC415" s="49">
        <f t="shared" si="451"/>
        <v>0</v>
      </c>
      <c r="AD415" s="12"/>
      <c r="AE415" s="9"/>
      <c r="AF415" s="10"/>
      <c r="AG415" s="49">
        <f t="shared" si="452"/>
        <v>0</v>
      </c>
      <c r="AH415" s="11">
        <f t="shared" si="453"/>
        <v>0</v>
      </c>
    </row>
    <row r="416" spans="1:34" x14ac:dyDescent="0.15">
      <c r="A416" s="25" t="s">
        <v>33</v>
      </c>
      <c r="B416" s="8">
        <v>2</v>
      </c>
      <c r="C416" s="9"/>
      <c r="D416" s="10"/>
      <c r="E416" s="49">
        <f t="shared" si="454"/>
        <v>2</v>
      </c>
      <c r="F416" s="12">
        <v>1</v>
      </c>
      <c r="G416" s="9"/>
      <c r="H416" s="10"/>
      <c r="I416" s="49">
        <f t="shared" si="455"/>
        <v>1</v>
      </c>
      <c r="J416" s="11">
        <f t="shared" si="456"/>
        <v>3</v>
      </c>
      <c r="K416" s="71">
        <v>44433</v>
      </c>
      <c r="M416" s="117" t="s">
        <v>291</v>
      </c>
      <c r="N416" s="8"/>
      <c r="O416" s="9">
        <v>1</v>
      </c>
      <c r="P416" s="10"/>
      <c r="Q416" s="49">
        <f t="shared" si="448"/>
        <v>1</v>
      </c>
      <c r="R416" s="12"/>
      <c r="S416" s="9">
        <v>1</v>
      </c>
      <c r="T416" s="10"/>
      <c r="U416" s="49">
        <f t="shared" si="449"/>
        <v>1</v>
      </c>
      <c r="V416" s="11">
        <f t="shared" si="450"/>
        <v>2</v>
      </c>
      <c r="W416" s="140">
        <v>44429</v>
      </c>
      <c r="Y416" s="24"/>
      <c r="Z416" s="8"/>
      <c r="AA416" s="9"/>
      <c r="AB416" s="10"/>
      <c r="AC416" s="49">
        <f t="shared" si="451"/>
        <v>0</v>
      </c>
      <c r="AD416" s="12"/>
      <c r="AE416" s="9"/>
      <c r="AF416" s="10"/>
      <c r="AG416" s="49">
        <f t="shared" si="452"/>
        <v>0</v>
      </c>
      <c r="AH416" s="11">
        <f t="shared" si="453"/>
        <v>0</v>
      </c>
    </row>
    <row r="417" spans="1:34" x14ac:dyDescent="0.15">
      <c r="A417" s="23" t="s">
        <v>294</v>
      </c>
      <c r="B417" s="8">
        <v>-1</v>
      </c>
      <c r="C417" s="9"/>
      <c r="D417" s="10"/>
      <c r="E417" s="49">
        <f t="shared" si="454"/>
        <v>-1</v>
      </c>
      <c r="F417" s="12">
        <v>-1</v>
      </c>
      <c r="G417" s="9"/>
      <c r="H417" s="10"/>
      <c r="I417" s="49">
        <f t="shared" si="455"/>
        <v>-1</v>
      </c>
      <c r="J417" s="11">
        <f t="shared" si="456"/>
        <v>-2</v>
      </c>
      <c r="K417" s="71">
        <v>44435</v>
      </c>
      <c r="M417" s="26" t="s">
        <v>292</v>
      </c>
      <c r="N417" s="8"/>
      <c r="O417" s="9"/>
      <c r="P417" s="10">
        <v>3</v>
      </c>
      <c r="Q417" s="49">
        <f t="shared" si="448"/>
        <v>3</v>
      </c>
      <c r="R417" s="12"/>
      <c r="S417" s="9"/>
      <c r="T417" s="10">
        <v>3</v>
      </c>
      <c r="U417" s="49">
        <f t="shared" si="449"/>
        <v>3</v>
      </c>
      <c r="V417" s="11">
        <f t="shared" si="450"/>
        <v>6</v>
      </c>
      <c r="W417" s="140">
        <v>44434</v>
      </c>
      <c r="Y417" s="26"/>
      <c r="Z417" s="8"/>
      <c r="AA417" s="9"/>
      <c r="AB417" s="10"/>
      <c r="AC417" s="49">
        <f t="shared" si="451"/>
        <v>0</v>
      </c>
      <c r="AD417" s="12"/>
      <c r="AE417" s="9"/>
      <c r="AF417" s="10"/>
      <c r="AG417" s="49">
        <f t="shared" si="452"/>
        <v>0</v>
      </c>
      <c r="AH417" s="11">
        <f t="shared" si="453"/>
        <v>0</v>
      </c>
    </row>
    <row r="418" spans="1:34" x14ac:dyDescent="0.15">
      <c r="A418" s="117" t="s">
        <v>295</v>
      </c>
      <c r="B418" s="8"/>
      <c r="C418" s="9">
        <v>1</v>
      </c>
      <c r="D418" s="10"/>
      <c r="E418" s="49">
        <f t="shared" si="454"/>
        <v>1</v>
      </c>
      <c r="F418" s="12"/>
      <c r="G418" s="9">
        <v>1</v>
      </c>
      <c r="H418" s="10"/>
      <c r="I418" s="49">
        <f t="shared" si="455"/>
        <v>1</v>
      </c>
      <c r="J418" s="11">
        <f t="shared" si="456"/>
        <v>2</v>
      </c>
      <c r="K418" s="63">
        <v>44439</v>
      </c>
      <c r="M418" s="26" t="s">
        <v>293</v>
      </c>
      <c r="N418" s="8"/>
      <c r="O418" s="9"/>
      <c r="P418" s="10">
        <v>5</v>
      </c>
      <c r="Q418" s="49">
        <f t="shared" si="448"/>
        <v>5</v>
      </c>
      <c r="R418" s="12"/>
      <c r="S418" s="9"/>
      <c r="T418" s="10">
        <v>5</v>
      </c>
      <c r="U418" s="49">
        <f t="shared" si="449"/>
        <v>5</v>
      </c>
      <c r="V418" s="11">
        <f t="shared" si="450"/>
        <v>10</v>
      </c>
      <c r="W418" s="140">
        <v>44438</v>
      </c>
      <c r="X418" s="82"/>
      <c r="Y418" s="24"/>
      <c r="Z418" s="8"/>
      <c r="AA418" s="9"/>
      <c r="AB418" s="10"/>
      <c r="AC418" s="49">
        <f t="shared" si="451"/>
        <v>0</v>
      </c>
      <c r="AD418" s="12"/>
      <c r="AE418" s="9"/>
      <c r="AF418" s="10"/>
      <c r="AG418" s="49">
        <f t="shared" si="452"/>
        <v>0</v>
      </c>
      <c r="AH418" s="11">
        <f t="shared" si="453"/>
        <v>0</v>
      </c>
    </row>
    <row r="419" spans="1:34" x14ac:dyDescent="0.15">
      <c r="A419" s="25" t="s">
        <v>33</v>
      </c>
      <c r="B419" s="8"/>
      <c r="C419" s="9"/>
      <c r="D419" s="10"/>
      <c r="E419" s="49">
        <f t="shared" si="454"/>
        <v>0</v>
      </c>
      <c r="F419" s="12"/>
      <c r="G419" s="9"/>
      <c r="H419" s="10">
        <v>1</v>
      </c>
      <c r="I419" s="49">
        <f t="shared" si="455"/>
        <v>1</v>
      </c>
      <c r="J419" s="11">
        <f t="shared" si="456"/>
        <v>1</v>
      </c>
      <c r="K419" s="71">
        <v>44438</v>
      </c>
      <c r="M419" s="26"/>
      <c r="N419" s="8"/>
      <c r="O419" s="9"/>
      <c r="P419" s="10"/>
      <c r="Q419" s="49">
        <f t="shared" si="448"/>
        <v>0</v>
      </c>
      <c r="R419" s="12"/>
      <c r="S419" s="9"/>
      <c r="T419" s="10"/>
      <c r="U419" s="49">
        <f t="shared" si="449"/>
        <v>0</v>
      </c>
      <c r="V419" s="11">
        <f t="shared" si="450"/>
        <v>0</v>
      </c>
      <c r="W419" s="142"/>
      <c r="Y419" s="26"/>
      <c r="Z419" s="8"/>
      <c r="AA419" s="9"/>
      <c r="AB419" s="10"/>
      <c r="AC419" s="49">
        <f t="shared" si="451"/>
        <v>0</v>
      </c>
      <c r="AD419" s="12"/>
      <c r="AE419" s="9"/>
      <c r="AF419" s="10"/>
      <c r="AG419" s="49">
        <f t="shared" si="452"/>
        <v>0</v>
      </c>
      <c r="AH419" s="11">
        <f t="shared" si="453"/>
        <v>0</v>
      </c>
    </row>
    <row r="420" spans="1:34" x14ac:dyDescent="0.15">
      <c r="A420" s="117" t="s">
        <v>296</v>
      </c>
      <c r="B420" s="8"/>
      <c r="C420" s="9">
        <v>1</v>
      </c>
      <c r="D420" s="10"/>
      <c r="E420" s="49">
        <f t="shared" si="454"/>
        <v>1</v>
      </c>
      <c r="F420" s="12"/>
      <c r="G420" s="9">
        <v>1</v>
      </c>
      <c r="H420" s="10"/>
      <c r="I420" s="49">
        <f t="shared" si="455"/>
        <v>1</v>
      </c>
      <c r="J420" s="11">
        <f t="shared" si="456"/>
        <v>2</v>
      </c>
      <c r="K420" s="63">
        <v>44442</v>
      </c>
      <c r="M420" s="24"/>
      <c r="N420" s="8"/>
      <c r="O420" s="9"/>
      <c r="P420" s="10"/>
      <c r="Q420" s="49">
        <f t="shared" si="448"/>
        <v>0</v>
      </c>
      <c r="R420" s="12"/>
      <c r="S420" s="9"/>
      <c r="T420" s="10"/>
      <c r="U420" s="49">
        <f t="shared" si="449"/>
        <v>0</v>
      </c>
      <c r="V420" s="11">
        <f t="shared" si="450"/>
        <v>0</v>
      </c>
      <c r="W420" s="142"/>
      <c r="Y420" s="24"/>
      <c r="Z420" s="8"/>
      <c r="AA420" s="9"/>
      <c r="AB420" s="10"/>
      <c r="AC420" s="49">
        <f t="shared" si="451"/>
        <v>0</v>
      </c>
      <c r="AD420" s="12"/>
      <c r="AE420" s="9"/>
      <c r="AF420" s="10"/>
      <c r="AG420" s="49">
        <f t="shared" si="452"/>
        <v>0</v>
      </c>
      <c r="AH420" s="11">
        <f t="shared" si="453"/>
        <v>0</v>
      </c>
    </row>
    <row r="421" spans="1:34" x14ac:dyDescent="0.15">
      <c r="A421" s="24" t="s">
        <v>297</v>
      </c>
      <c r="B421" s="8"/>
      <c r="C421" s="9"/>
      <c r="D421" s="10">
        <v>7</v>
      </c>
      <c r="E421" s="49">
        <f t="shared" si="454"/>
        <v>7</v>
      </c>
      <c r="F421" s="12"/>
      <c r="G421" s="9"/>
      <c r="H421" s="10">
        <v>4</v>
      </c>
      <c r="I421" s="49">
        <f t="shared" si="455"/>
        <v>4</v>
      </c>
      <c r="J421" s="11">
        <f t="shared" si="456"/>
        <v>11</v>
      </c>
      <c r="K421" s="71">
        <v>44443</v>
      </c>
      <c r="M421" s="23"/>
      <c r="N421" s="8"/>
      <c r="O421" s="9"/>
      <c r="P421" s="10"/>
      <c r="Q421" s="49">
        <f t="shared" si="448"/>
        <v>0</v>
      </c>
      <c r="R421" s="12"/>
      <c r="S421" s="9"/>
      <c r="T421" s="10"/>
      <c r="U421" s="49">
        <f t="shared" si="449"/>
        <v>0</v>
      </c>
      <c r="V421" s="11">
        <f t="shared" si="450"/>
        <v>0</v>
      </c>
      <c r="W421" s="142"/>
      <c r="Y421" s="26"/>
      <c r="Z421" s="8"/>
      <c r="AA421" s="9"/>
      <c r="AB421" s="10"/>
      <c r="AC421" s="49">
        <f t="shared" si="451"/>
        <v>0</v>
      </c>
      <c r="AD421" s="12"/>
      <c r="AE421" s="9"/>
      <c r="AF421" s="10"/>
      <c r="AG421" s="49">
        <f t="shared" si="452"/>
        <v>0</v>
      </c>
      <c r="AH421" s="11">
        <f t="shared" si="453"/>
        <v>0</v>
      </c>
    </row>
    <row r="422" spans="1:34" x14ac:dyDescent="0.15">
      <c r="A422" s="25" t="s">
        <v>33</v>
      </c>
      <c r="B422" s="13">
        <v>2</v>
      </c>
      <c r="C422" s="14"/>
      <c r="D422" s="15"/>
      <c r="E422" s="49">
        <f t="shared" si="454"/>
        <v>2</v>
      </c>
      <c r="F422" s="16"/>
      <c r="G422" s="14"/>
      <c r="H422" s="15"/>
      <c r="I422" s="49">
        <f t="shared" si="455"/>
        <v>0</v>
      </c>
      <c r="J422" s="11">
        <f t="shared" si="456"/>
        <v>2</v>
      </c>
      <c r="K422" s="71">
        <v>44443</v>
      </c>
      <c r="M422" s="26"/>
      <c r="N422" s="8"/>
      <c r="O422" s="103"/>
      <c r="P422" s="104"/>
      <c r="Q422" s="49">
        <f t="shared" si="448"/>
        <v>0</v>
      </c>
      <c r="R422" s="12"/>
      <c r="S422" s="103"/>
      <c r="T422" s="104"/>
      <c r="U422" s="49">
        <f t="shared" si="449"/>
        <v>0</v>
      </c>
      <c r="V422" s="11">
        <f t="shared" si="450"/>
        <v>0</v>
      </c>
      <c r="Y422" s="26"/>
      <c r="Z422" s="8"/>
      <c r="AA422" s="9"/>
      <c r="AB422" s="10"/>
      <c r="AC422" s="49">
        <f t="shared" si="451"/>
        <v>0</v>
      </c>
      <c r="AD422" s="12"/>
      <c r="AE422" s="9"/>
      <c r="AF422" s="10"/>
      <c r="AG422" s="49">
        <f t="shared" si="452"/>
        <v>0</v>
      </c>
      <c r="AH422" s="11">
        <f t="shared" si="453"/>
        <v>0</v>
      </c>
    </row>
    <row r="423" spans="1:34" x14ac:dyDescent="0.15">
      <c r="A423" s="25" t="s">
        <v>33</v>
      </c>
      <c r="B423" s="8"/>
      <c r="C423" s="9">
        <v>2</v>
      </c>
      <c r="D423" s="10"/>
      <c r="E423" s="49">
        <f t="shared" si="454"/>
        <v>2</v>
      </c>
      <c r="F423" s="12"/>
      <c r="G423" s="9"/>
      <c r="H423" s="10"/>
      <c r="I423" s="49">
        <f t="shared" si="455"/>
        <v>0</v>
      </c>
      <c r="J423" s="11">
        <f t="shared" si="456"/>
        <v>2</v>
      </c>
      <c r="K423" s="71">
        <v>44445</v>
      </c>
      <c r="M423" s="26"/>
      <c r="N423" s="106"/>
      <c r="O423" s="103"/>
      <c r="P423" s="104"/>
      <c r="Q423" s="49">
        <f t="shared" si="448"/>
        <v>0</v>
      </c>
      <c r="R423" s="107"/>
      <c r="S423" s="103"/>
      <c r="T423" s="104"/>
      <c r="U423" s="49">
        <f t="shared" si="449"/>
        <v>0</v>
      </c>
      <c r="V423" s="11">
        <f t="shared" si="450"/>
        <v>0</v>
      </c>
      <c r="Y423" s="26"/>
      <c r="Z423" s="8"/>
      <c r="AA423" s="9"/>
      <c r="AB423" s="10"/>
      <c r="AC423" s="49">
        <f t="shared" si="451"/>
        <v>0</v>
      </c>
      <c r="AD423" s="12"/>
      <c r="AE423" s="9"/>
      <c r="AF423" s="10"/>
      <c r="AG423" s="49">
        <f t="shared" si="452"/>
        <v>0</v>
      </c>
      <c r="AH423" s="11">
        <f t="shared" si="453"/>
        <v>0</v>
      </c>
    </row>
    <row r="424" spans="1:34" x14ac:dyDescent="0.15">
      <c r="A424" s="25" t="s">
        <v>33</v>
      </c>
      <c r="B424" s="8"/>
      <c r="C424" s="9"/>
      <c r="D424" s="10"/>
      <c r="E424" s="49">
        <f t="shared" si="454"/>
        <v>0</v>
      </c>
      <c r="F424" s="12"/>
      <c r="G424" s="9"/>
      <c r="H424" s="10">
        <v>1</v>
      </c>
      <c r="I424" s="49">
        <f t="shared" si="455"/>
        <v>1</v>
      </c>
      <c r="J424" s="11">
        <f t="shared" si="456"/>
        <v>1</v>
      </c>
      <c r="K424" s="71">
        <v>44446</v>
      </c>
      <c r="M424" s="26"/>
      <c r="N424" s="106"/>
      <c r="O424" s="103"/>
      <c r="P424" s="104"/>
      <c r="Q424" s="49">
        <f t="shared" si="448"/>
        <v>0</v>
      </c>
      <c r="R424" s="107"/>
      <c r="S424" s="103"/>
      <c r="T424" s="104"/>
      <c r="U424" s="49">
        <f t="shared" si="449"/>
        <v>0</v>
      </c>
      <c r="V424" s="11">
        <f t="shared" si="450"/>
        <v>0</v>
      </c>
      <c r="Y424" s="26"/>
      <c r="Z424" s="8"/>
      <c r="AA424" s="9"/>
      <c r="AB424" s="10"/>
      <c r="AC424" s="49">
        <f t="shared" si="451"/>
        <v>0</v>
      </c>
      <c r="AD424" s="12"/>
      <c r="AE424" s="9"/>
      <c r="AF424" s="10"/>
      <c r="AG424" s="49">
        <f t="shared" si="452"/>
        <v>0</v>
      </c>
      <c r="AH424" s="11">
        <f t="shared" si="453"/>
        <v>0</v>
      </c>
    </row>
    <row r="425" spans="1:34" x14ac:dyDescent="0.15">
      <c r="A425" s="23" t="s">
        <v>298</v>
      </c>
      <c r="B425" s="8">
        <v>-1</v>
      </c>
      <c r="C425" s="9"/>
      <c r="D425" s="10"/>
      <c r="E425" s="49">
        <f t="shared" si="454"/>
        <v>-1</v>
      </c>
      <c r="F425" s="12">
        <v>-1</v>
      </c>
      <c r="G425" s="9"/>
      <c r="H425" s="10"/>
      <c r="I425" s="49">
        <f t="shared" si="455"/>
        <v>-1</v>
      </c>
      <c r="J425" s="11">
        <f t="shared" si="456"/>
        <v>-2</v>
      </c>
      <c r="K425" s="71">
        <v>44447</v>
      </c>
      <c r="M425" s="26" t="s">
        <v>202</v>
      </c>
      <c r="N425" s="8"/>
      <c r="O425" s="9"/>
      <c r="P425" s="10"/>
      <c r="Q425" s="49">
        <f t="shared" si="448"/>
        <v>0</v>
      </c>
      <c r="R425" s="12"/>
      <c r="S425" s="9"/>
      <c r="T425" s="10"/>
      <c r="U425" s="49">
        <f t="shared" si="449"/>
        <v>0</v>
      </c>
      <c r="V425" s="11">
        <f t="shared" si="450"/>
        <v>0</v>
      </c>
      <c r="W425" s="142" t="s">
        <v>203</v>
      </c>
      <c r="Y425" s="26"/>
      <c r="Z425" s="8"/>
      <c r="AA425" s="9"/>
      <c r="AB425" s="10"/>
      <c r="AC425" s="49">
        <f t="shared" si="451"/>
        <v>0</v>
      </c>
      <c r="AD425" s="12"/>
      <c r="AE425" s="9"/>
      <c r="AF425" s="10"/>
      <c r="AG425" s="49">
        <f t="shared" si="452"/>
        <v>0</v>
      </c>
      <c r="AH425" s="11">
        <f t="shared" si="453"/>
        <v>0</v>
      </c>
    </row>
    <row r="426" spans="1:34" ht="14.25" thickBot="1" x14ac:dyDescent="0.2">
      <c r="A426" s="25" t="s">
        <v>33</v>
      </c>
      <c r="B426" s="13"/>
      <c r="C426" s="14">
        <v>1</v>
      </c>
      <c r="D426" s="15"/>
      <c r="E426" s="55">
        <f t="shared" si="454"/>
        <v>1</v>
      </c>
      <c r="F426" s="16"/>
      <c r="G426" s="14">
        <v>1</v>
      </c>
      <c r="H426" s="15"/>
      <c r="I426" s="55">
        <f t="shared" si="455"/>
        <v>1</v>
      </c>
      <c r="J426" s="11">
        <f t="shared" si="456"/>
        <v>2</v>
      </c>
      <c r="K426" s="71">
        <v>44447</v>
      </c>
      <c r="M426" s="26" t="s">
        <v>243</v>
      </c>
      <c r="N426" s="8"/>
      <c r="O426" s="9"/>
      <c r="P426" s="10"/>
      <c r="Q426" s="49">
        <f t="shared" ref="Q426" si="457">SUM(N426:P426)</f>
        <v>0</v>
      </c>
      <c r="R426" s="12"/>
      <c r="S426" s="9"/>
      <c r="T426" s="10"/>
      <c r="U426" s="49">
        <f t="shared" ref="U426" si="458">SUM(R426:T426)</f>
        <v>0</v>
      </c>
      <c r="V426" s="11">
        <f t="shared" si="450"/>
        <v>0</v>
      </c>
      <c r="W426" s="142" t="s">
        <v>244</v>
      </c>
      <c r="X426" s="82"/>
      <c r="Y426" s="92"/>
      <c r="Z426" s="13"/>
      <c r="AA426" s="14"/>
      <c r="AB426" s="15"/>
      <c r="AC426" s="49">
        <f t="shared" si="451"/>
        <v>0</v>
      </c>
      <c r="AD426" s="16"/>
      <c r="AE426" s="14"/>
      <c r="AF426" s="15"/>
      <c r="AG426" s="49">
        <f t="shared" si="452"/>
        <v>0</v>
      </c>
      <c r="AH426" s="11">
        <f t="shared" si="453"/>
        <v>0</v>
      </c>
    </row>
    <row r="427" spans="1:34" ht="14.25" thickBot="1" x14ac:dyDescent="0.2">
      <c r="A427" s="41" t="s">
        <v>19</v>
      </c>
      <c r="B427" s="46">
        <f>SUM(B401:B426)</f>
        <v>25</v>
      </c>
      <c r="C427" s="47">
        <f t="shared" ref="C427:D427" si="459">SUM(C401:C426)</f>
        <v>17</v>
      </c>
      <c r="D427" s="59">
        <f t="shared" si="459"/>
        <v>10</v>
      </c>
      <c r="E427" s="45">
        <f t="shared" si="454"/>
        <v>52</v>
      </c>
      <c r="F427" s="46">
        <f>SUM(F401:F426)</f>
        <v>28</v>
      </c>
      <c r="G427" s="47">
        <f t="shared" ref="G427:H427" si="460">SUM(G401:G426)</f>
        <v>23</v>
      </c>
      <c r="H427" s="59">
        <f t="shared" si="460"/>
        <v>14</v>
      </c>
      <c r="I427" s="45">
        <f t="shared" si="455"/>
        <v>65</v>
      </c>
      <c r="J427" s="45">
        <f>E427+I427</f>
        <v>117</v>
      </c>
      <c r="M427" s="41" t="s">
        <v>19</v>
      </c>
      <c r="N427" s="46">
        <f>SUM(N401:N426)</f>
        <v>55</v>
      </c>
      <c r="O427" s="47">
        <f t="shared" ref="O427:P427" si="461">SUM(O401:O426)</f>
        <v>38</v>
      </c>
      <c r="P427" s="59">
        <f t="shared" si="461"/>
        <v>28</v>
      </c>
      <c r="Q427" s="45">
        <f t="shared" si="448"/>
        <v>121</v>
      </c>
      <c r="R427" s="46">
        <f>SUM(R401:R426)</f>
        <v>57</v>
      </c>
      <c r="S427" s="47">
        <f t="shared" ref="S427:T427" si="462">SUM(S401:S426)</f>
        <v>53</v>
      </c>
      <c r="T427" s="59">
        <f t="shared" si="462"/>
        <v>38</v>
      </c>
      <c r="U427" s="45">
        <f t="shared" si="449"/>
        <v>148</v>
      </c>
      <c r="V427" s="45">
        <f>Q427+U427</f>
        <v>269</v>
      </c>
      <c r="Y427" s="41" t="s">
        <v>19</v>
      </c>
      <c r="Z427" s="46">
        <f>SUM(Z401:Z426)</f>
        <v>0</v>
      </c>
      <c r="AA427" s="47">
        <f t="shared" ref="AA427:AB427" si="463">SUM(AA401:AA426)</f>
        <v>0</v>
      </c>
      <c r="AB427" s="59">
        <f t="shared" si="463"/>
        <v>0</v>
      </c>
      <c r="AC427" s="45">
        <f t="shared" si="451"/>
        <v>0</v>
      </c>
      <c r="AD427" s="46">
        <f>SUM(AD401:AD426)</f>
        <v>0</v>
      </c>
      <c r="AE427" s="47">
        <f t="shared" ref="AE427:AF427" si="464">SUM(AE401:AE426)</f>
        <v>0</v>
      </c>
      <c r="AF427" s="59">
        <f t="shared" si="464"/>
        <v>0</v>
      </c>
      <c r="AG427" s="45">
        <f t="shared" si="452"/>
        <v>0</v>
      </c>
      <c r="AH427" s="45">
        <f>AC427+AG427</f>
        <v>0</v>
      </c>
    </row>
    <row r="428" spans="1:34" ht="14.25" thickBot="1" x14ac:dyDescent="0.2">
      <c r="A428" s="22" t="s">
        <v>17</v>
      </c>
      <c r="B428" s="50">
        <f>B400-B427</f>
        <v>8</v>
      </c>
      <c r="C428" s="57">
        <f t="shared" ref="C428:D428" si="465">C400-C427</f>
        <v>4</v>
      </c>
      <c r="D428" s="58">
        <f t="shared" si="465"/>
        <v>10</v>
      </c>
      <c r="E428" s="56">
        <f>SUM(B428:D428)</f>
        <v>22</v>
      </c>
      <c r="F428" s="50">
        <f>F400-F427</f>
        <v>11</v>
      </c>
      <c r="G428" s="57">
        <f t="shared" ref="G428:H428" si="466">G400-G427</f>
        <v>8</v>
      </c>
      <c r="H428" s="58">
        <f t="shared" si="466"/>
        <v>8</v>
      </c>
      <c r="I428" s="56">
        <f>SUM(F428:H428)</f>
        <v>27</v>
      </c>
      <c r="J428" s="31">
        <f>E428+I428</f>
        <v>49</v>
      </c>
      <c r="M428" s="22" t="s">
        <v>17</v>
      </c>
      <c r="N428" s="50">
        <f>N400-N427</f>
        <v>642</v>
      </c>
      <c r="O428" s="57">
        <f t="shared" ref="O428:P428" si="467">O400-O427</f>
        <v>907</v>
      </c>
      <c r="P428" s="58">
        <f t="shared" si="467"/>
        <v>715</v>
      </c>
      <c r="Q428" s="56">
        <f>SUM(N428:P428)</f>
        <v>2264</v>
      </c>
      <c r="R428" s="50">
        <f>R400-R427</f>
        <v>686</v>
      </c>
      <c r="S428" s="57">
        <f t="shared" ref="S428:T428" si="468">S400-S427</f>
        <v>901</v>
      </c>
      <c r="T428" s="58">
        <f t="shared" si="468"/>
        <v>828</v>
      </c>
      <c r="U428" s="56">
        <f>SUM(R428:T428)</f>
        <v>2415</v>
      </c>
      <c r="V428" s="31">
        <f>Q428+U428</f>
        <v>4679</v>
      </c>
      <c r="Y428" s="22" t="s">
        <v>17</v>
      </c>
      <c r="Z428" s="50">
        <f>Z400-Z427</f>
        <v>0</v>
      </c>
      <c r="AA428" s="57">
        <f t="shared" ref="AA428:AB428" si="469">AA400-AA427</f>
        <v>0</v>
      </c>
      <c r="AB428" s="58">
        <f t="shared" si="469"/>
        <v>0</v>
      </c>
      <c r="AC428" s="56">
        <f>SUM(Z428:AB428)</f>
        <v>0</v>
      </c>
      <c r="AD428" s="50">
        <f>AD400-AD427</f>
        <v>0</v>
      </c>
      <c r="AE428" s="57">
        <f t="shared" ref="AE428:AF428" si="470">AE400-AE427</f>
        <v>0</v>
      </c>
      <c r="AF428" s="58">
        <f t="shared" si="470"/>
        <v>0</v>
      </c>
      <c r="AG428" s="56">
        <f>SUM(AD428:AF428)</f>
        <v>0</v>
      </c>
      <c r="AH428" s="31">
        <f>AC428+AG428</f>
        <v>0</v>
      </c>
    </row>
    <row r="429" spans="1:34" x14ac:dyDescent="0.15">
      <c r="N429" s="108"/>
      <c r="O429" s="108"/>
      <c r="P429" s="108"/>
    </row>
    <row r="431" spans="1:34" ht="19.5" thickBot="1" x14ac:dyDescent="0.25">
      <c r="A431" s="3" t="s">
        <v>21</v>
      </c>
      <c r="B431" s="1"/>
      <c r="C431" s="1"/>
      <c r="D431" s="1"/>
      <c r="E431" s="1"/>
      <c r="F431" s="1"/>
      <c r="G431" s="1"/>
      <c r="H431" s="1"/>
      <c r="I431" s="1"/>
      <c r="J431" s="1"/>
      <c r="M431" s="3" t="s">
        <v>22</v>
      </c>
      <c r="N431" s="1"/>
      <c r="O431" s="1"/>
      <c r="P431" s="1"/>
      <c r="Q431" s="1"/>
      <c r="R431" s="1"/>
      <c r="S431" s="1"/>
      <c r="T431" s="1"/>
      <c r="U431" s="1"/>
      <c r="V431" s="1"/>
      <c r="Y431" s="3" t="s">
        <v>23</v>
      </c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4.25" thickBot="1" x14ac:dyDescent="0.2">
      <c r="A432" s="7" t="s">
        <v>0</v>
      </c>
      <c r="B432" s="165" t="s">
        <v>24</v>
      </c>
      <c r="C432" s="166"/>
      <c r="D432" s="166"/>
      <c r="E432" s="170"/>
      <c r="F432" s="165" t="s">
        <v>18</v>
      </c>
      <c r="G432" s="166"/>
      <c r="H432" s="166"/>
      <c r="I432" s="167"/>
      <c r="J432" s="168" t="s">
        <v>1</v>
      </c>
      <c r="M432" s="7" t="s">
        <v>0</v>
      </c>
      <c r="N432" s="165" t="s">
        <v>24</v>
      </c>
      <c r="O432" s="166"/>
      <c r="P432" s="166"/>
      <c r="Q432" s="170"/>
      <c r="R432" s="165" t="s">
        <v>18</v>
      </c>
      <c r="S432" s="166"/>
      <c r="T432" s="166"/>
      <c r="U432" s="167"/>
      <c r="V432" s="168" t="s">
        <v>1</v>
      </c>
      <c r="Y432" s="7" t="s">
        <v>0</v>
      </c>
      <c r="Z432" s="165" t="s">
        <v>24</v>
      </c>
      <c r="AA432" s="166"/>
      <c r="AB432" s="166"/>
      <c r="AC432" s="170"/>
      <c r="AD432" s="165" t="s">
        <v>18</v>
      </c>
      <c r="AE432" s="166"/>
      <c r="AF432" s="166"/>
      <c r="AG432" s="167"/>
      <c r="AH432" s="168" t="s">
        <v>1</v>
      </c>
    </row>
    <row r="433" spans="1:34" ht="14.25" thickBot="1" x14ac:dyDescent="0.2">
      <c r="A433" s="7" t="s">
        <v>2</v>
      </c>
      <c r="B433" s="4" t="s">
        <v>3</v>
      </c>
      <c r="C433" s="5" t="s">
        <v>4</v>
      </c>
      <c r="D433" s="6" t="s">
        <v>5</v>
      </c>
      <c r="E433" s="7" t="s">
        <v>6</v>
      </c>
      <c r="F433" s="4" t="s">
        <v>3</v>
      </c>
      <c r="G433" s="5" t="s">
        <v>4</v>
      </c>
      <c r="H433" s="6" t="s">
        <v>5</v>
      </c>
      <c r="I433" s="7" t="s">
        <v>6</v>
      </c>
      <c r="J433" s="169"/>
      <c r="M433" s="7" t="s">
        <v>2</v>
      </c>
      <c r="N433" s="4" t="s">
        <v>3</v>
      </c>
      <c r="O433" s="5" t="s">
        <v>4</v>
      </c>
      <c r="P433" s="6" t="s">
        <v>5</v>
      </c>
      <c r="Q433" s="7" t="s">
        <v>6</v>
      </c>
      <c r="R433" s="4" t="s">
        <v>3</v>
      </c>
      <c r="S433" s="5" t="s">
        <v>4</v>
      </c>
      <c r="T433" s="6" t="s">
        <v>5</v>
      </c>
      <c r="U433" s="7" t="s">
        <v>6</v>
      </c>
      <c r="V433" s="169"/>
      <c r="Y433" s="7" t="s">
        <v>2</v>
      </c>
      <c r="Z433" s="4" t="s">
        <v>3</v>
      </c>
      <c r="AA433" s="5" t="s">
        <v>4</v>
      </c>
      <c r="AB433" s="6" t="s">
        <v>5</v>
      </c>
      <c r="AC433" s="7" t="s">
        <v>6</v>
      </c>
      <c r="AD433" s="4" t="s">
        <v>3</v>
      </c>
      <c r="AE433" s="5" t="s">
        <v>4</v>
      </c>
      <c r="AF433" s="6" t="s">
        <v>5</v>
      </c>
      <c r="AG433" s="7" t="s">
        <v>6</v>
      </c>
      <c r="AH433" s="169"/>
    </row>
    <row r="434" spans="1:34" ht="14.25" thickBot="1" x14ac:dyDescent="0.2">
      <c r="A434" s="27" t="s">
        <v>20</v>
      </c>
      <c r="B434" s="38">
        <f>B428</f>
        <v>8</v>
      </c>
      <c r="C434" s="39">
        <f>C428</f>
        <v>4</v>
      </c>
      <c r="D434" s="2">
        <f>D428</f>
        <v>10</v>
      </c>
      <c r="E434" s="36">
        <f>SUM(B434:D434)</f>
        <v>22</v>
      </c>
      <c r="F434" s="38">
        <f>F428</f>
        <v>11</v>
      </c>
      <c r="G434" s="39">
        <f>G428</f>
        <v>8</v>
      </c>
      <c r="H434" s="2">
        <f>H428</f>
        <v>8</v>
      </c>
      <c r="I434" s="36">
        <f>SUM(F434:H434)</f>
        <v>27</v>
      </c>
      <c r="J434" s="36">
        <f>E434+I434</f>
        <v>49</v>
      </c>
      <c r="M434" s="27" t="s">
        <v>20</v>
      </c>
      <c r="N434" s="38">
        <f>N428</f>
        <v>642</v>
      </c>
      <c r="O434" s="39">
        <f>O428</f>
        <v>907</v>
      </c>
      <c r="P434" s="2">
        <f>P428</f>
        <v>715</v>
      </c>
      <c r="Q434" s="36">
        <f>SUM(N434:P434)</f>
        <v>2264</v>
      </c>
      <c r="R434" s="38">
        <f>R428</f>
        <v>686</v>
      </c>
      <c r="S434" s="39">
        <f>S428</f>
        <v>901</v>
      </c>
      <c r="T434" s="2">
        <f>T428</f>
        <v>828</v>
      </c>
      <c r="U434" s="36">
        <f>SUM(R434:T434)</f>
        <v>2415</v>
      </c>
      <c r="V434" s="36">
        <f>Q434+U434</f>
        <v>4679</v>
      </c>
      <c r="Y434" s="27" t="s">
        <v>20</v>
      </c>
      <c r="Z434" s="38">
        <f>Z428</f>
        <v>0</v>
      </c>
      <c r="AA434" s="39">
        <f>AA428</f>
        <v>0</v>
      </c>
      <c r="AB434" s="2">
        <f>AB428</f>
        <v>0</v>
      </c>
      <c r="AC434" s="36">
        <f>SUM(Z434:AB434)</f>
        <v>0</v>
      </c>
      <c r="AD434" s="38">
        <f>AD428</f>
        <v>0</v>
      </c>
      <c r="AE434" s="39">
        <f>AE428</f>
        <v>0</v>
      </c>
      <c r="AF434" s="2">
        <f>AF428</f>
        <v>0</v>
      </c>
      <c r="AG434" s="36">
        <f>SUM(AD434:AF434)</f>
        <v>0</v>
      </c>
      <c r="AH434" s="36">
        <f>AC434+AG434</f>
        <v>0</v>
      </c>
    </row>
    <row r="435" spans="1:34" x14ac:dyDescent="0.15">
      <c r="A435" s="25" t="s">
        <v>143</v>
      </c>
      <c r="B435" s="42">
        <v>1</v>
      </c>
      <c r="C435" s="43"/>
      <c r="D435" s="44"/>
      <c r="E435" s="48">
        <f>SUM(B435:D435)</f>
        <v>1</v>
      </c>
      <c r="F435" s="60">
        <v>1</v>
      </c>
      <c r="G435" s="43"/>
      <c r="H435" s="61"/>
      <c r="I435" s="48">
        <f>SUM(F435:H435)</f>
        <v>1</v>
      </c>
      <c r="J435" s="48">
        <f>E435+I435</f>
        <v>2</v>
      </c>
      <c r="K435" s="71">
        <v>44448</v>
      </c>
      <c r="M435" s="25" t="s">
        <v>160</v>
      </c>
      <c r="N435" s="8">
        <v>14</v>
      </c>
      <c r="O435" s="9">
        <v>14</v>
      </c>
      <c r="P435" s="10">
        <v>8</v>
      </c>
      <c r="Q435" s="49">
        <f t="shared" ref="Q435:Q436" si="471">SUM(N435:P435)</f>
        <v>36</v>
      </c>
      <c r="R435" s="12">
        <v>16</v>
      </c>
      <c r="S435" s="9">
        <v>11</v>
      </c>
      <c r="T435" s="10">
        <v>13</v>
      </c>
      <c r="U435" s="49">
        <f t="shared" ref="U435:U436" si="472">SUM(R435:T435)</f>
        <v>40</v>
      </c>
      <c r="V435" s="11">
        <f t="shared" ref="V435:V436" si="473">Q435+U435</f>
        <v>76</v>
      </c>
      <c r="W435" s="144">
        <v>44457</v>
      </c>
      <c r="Y435" s="25" t="s">
        <v>8</v>
      </c>
      <c r="Z435" s="42"/>
      <c r="AA435" s="43"/>
      <c r="AB435" s="44"/>
      <c r="AC435" s="48">
        <f>SUM(Z435:AB435)</f>
        <v>0</v>
      </c>
      <c r="AD435" s="60"/>
      <c r="AE435" s="43"/>
      <c r="AF435" s="61"/>
      <c r="AG435" s="48">
        <f>SUM(AD435:AF435)</f>
        <v>0</v>
      </c>
      <c r="AH435" s="48">
        <f>AC435+AG435</f>
        <v>0</v>
      </c>
    </row>
    <row r="436" spans="1:34" x14ac:dyDescent="0.15">
      <c r="A436" s="25" t="s">
        <v>137</v>
      </c>
      <c r="B436" s="8">
        <v>8</v>
      </c>
      <c r="C436" s="9">
        <v>13</v>
      </c>
      <c r="D436" s="52">
        <v>3</v>
      </c>
      <c r="E436" s="11">
        <f>SUM(B436:D436)</f>
        <v>24</v>
      </c>
      <c r="F436" s="12">
        <v>7</v>
      </c>
      <c r="G436" s="9">
        <v>5</v>
      </c>
      <c r="H436" s="10">
        <v>8</v>
      </c>
      <c r="I436" s="11">
        <f>SUM(F436:H436)</f>
        <v>20</v>
      </c>
      <c r="J436" s="11">
        <f>E436+I436</f>
        <v>44</v>
      </c>
      <c r="K436" s="71">
        <v>44454</v>
      </c>
      <c r="M436" s="25" t="s">
        <v>160</v>
      </c>
      <c r="N436" s="8">
        <v>2</v>
      </c>
      <c r="O436" s="9">
        <v>3</v>
      </c>
      <c r="P436" s="10">
        <v>1</v>
      </c>
      <c r="Q436" s="49">
        <f t="shared" si="471"/>
        <v>6</v>
      </c>
      <c r="R436" s="12">
        <v>1</v>
      </c>
      <c r="S436" s="9">
        <v>2</v>
      </c>
      <c r="T436" s="10"/>
      <c r="U436" s="49">
        <f t="shared" si="472"/>
        <v>3</v>
      </c>
      <c r="V436" s="11">
        <f t="shared" si="473"/>
        <v>9</v>
      </c>
      <c r="W436" s="144">
        <v>44485</v>
      </c>
      <c r="Y436" s="25" t="s">
        <v>9</v>
      </c>
      <c r="Z436" s="8"/>
      <c r="AA436" s="9"/>
      <c r="AB436" s="52"/>
      <c r="AC436" s="11">
        <f t="shared" ref="AC436:AC442" si="474">SUM(Z436:AB436)</f>
        <v>0</v>
      </c>
      <c r="AD436" s="12"/>
      <c r="AE436" s="9"/>
      <c r="AF436" s="10"/>
      <c r="AG436" s="11">
        <f t="shared" ref="AG436:AG442" si="475">SUM(AD436:AF436)</f>
        <v>0</v>
      </c>
      <c r="AH436" s="11">
        <f t="shared" ref="AH436:AH442" si="476">AC436+AG436</f>
        <v>0</v>
      </c>
    </row>
    <row r="437" spans="1:34" x14ac:dyDescent="0.15">
      <c r="A437" s="25" t="s">
        <v>299</v>
      </c>
      <c r="B437" s="17"/>
      <c r="C437" s="18">
        <v>1</v>
      </c>
      <c r="D437" s="51"/>
      <c r="E437" s="11">
        <f t="shared" ref="E437:E442" si="477">SUM(B437:D437)</f>
        <v>1</v>
      </c>
      <c r="F437" s="20"/>
      <c r="G437" s="18"/>
      <c r="H437" s="19"/>
      <c r="I437" s="11">
        <f t="shared" ref="I437:I442" si="478">SUM(F437:H437)</f>
        <v>0</v>
      </c>
      <c r="J437" s="11">
        <f t="shared" ref="J437:J442" si="479">E437+I437</f>
        <v>1</v>
      </c>
      <c r="K437" s="71">
        <v>44455</v>
      </c>
      <c r="M437" s="25" t="s">
        <v>10</v>
      </c>
      <c r="N437" s="17"/>
      <c r="O437" s="18"/>
      <c r="P437" s="51"/>
      <c r="Q437" s="49">
        <f t="shared" ref="Q437:Q442" si="480">SUM(N437:P437)</f>
        <v>0</v>
      </c>
      <c r="R437" s="20"/>
      <c r="S437" s="18"/>
      <c r="T437" s="19"/>
      <c r="U437" s="49">
        <f t="shared" ref="U437:U442" si="481">SUM(R437:T437)</f>
        <v>0</v>
      </c>
      <c r="V437" s="49">
        <f t="shared" ref="V437:V442" si="482">Q437+U437</f>
        <v>0</v>
      </c>
      <c r="W437" s="142"/>
      <c r="Y437" s="25" t="s">
        <v>10</v>
      </c>
      <c r="Z437" s="17"/>
      <c r="AA437" s="18"/>
      <c r="AB437" s="51"/>
      <c r="AC437" s="11">
        <f t="shared" si="474"/>
        <v>0</v>
      </c>
      <c r="AD437" s="20"/>
      <c r="AE437" s="18"/>
      <c r="AF437" s="19"/>
      <c r="AG437" s="11">
        <f t="shared" si="475"/>
        <v>0</v>
      </c>
      <c r="AH437" s="11">
        <f t="shared" si="476"/>
        <v>0</v>
      </c>
    </row>
    <row r="438" spans="1:34" x14ac:dyDescent="0.15">
      <c r="A438" s="25" t="s">
        <v>11</v>
      </c>
      <c r="B438" s="8"/>
      <c r="C438" s="9">
        <v>3</v>
      </c>
      <c r="D438" s="52"/>
      <c r="E438" s="11">
        <f t="shared" si="477"/>
        <v>3</v>
      </c>
      <c r="F438" s="12"/>
      <c r="G438" s="9">
        <v>3</v>
      </c>
      <c r="H438" s="10">
        <v>3</v>
      </c>
      <c r="I438" s="11">
        <f t="shared" si="478"/>
        <v>6</v>
      </c>
      <c r="J438" s="11">
        <f t="shared" si="479"/>
        <v>9</v>
      </c>
      <c r="K438" s="63">
        <v>44461</v>
      </c>
      <c r="M438" s="25" t="s">
        <v>11</v>
      </c>
      <c r="N438" s="8"/>
      <c r="O438" s="9"/>
      <c r="P438" s="52"/>
      <c r="Q438" s="11">
        <f t="shared" si="480"/>
        <v>0</v>
      </c>
      <c r="R438" s="12"/>
      <c r="S438" s="9"/>
      <c r="T438" s="10"/>
      <c r="U438" s="11">
        <f t="shared" si="481"/>
        <v>0</v>
      </c>
      <c r="V438" s="11">
        <f t="shared" si="482"/>
        <v>0</v>
      </c>
      <c r="Y438" s="25" t="s">
        <v>11</v>
      </c>
      <c r="Z438" s="8"/>
      <c r="AA438" s="9"/>
      <c r="AB438" s="52"/>
      <c r="AC438" s="11">
        <f t="shared" si="474"/>
        <v>0</v>
      </c>
      <c r="AD438" s="12"/>
      <c r="AE438" s="9"/>
      <c r="AF438" s="10"/>
      <c r="AG438" s="11">
        <f t="shared" si="475"/>
        <v>0</v>
      </c>
      <c r="AH438" s="11">
        <f t="shared" si="476"/>
        <v>0</v>
      </c>
    </row>
    <row r="439" spans="1:34" x14ac:dyDescent="0.15">
      <c r="A439" s="25" t="s">
        <v>134</v>
      </c>
      <c r="B439" s="8"/>
      <c r="C439" s="9"/>
      <c r="D439" s="52">
        <v>1</v>
      </c>
      <c r="E439" s="11">
        <f t="shared" si="477"/>
        <v>1</v>
      </c>
      <c r="F439" s="12"/>
      <c r="G439" s="9"/>
      <c r="H439" s="10">
        <v>1</v>
      </c>
      <c r="I439" s="11">
        <f t="shared" si="478"/>
        <v>1</v>
      </c>
      <c r="J439" s="11">
        <f t="shared" si="479"/>
        <v>2</v>
      </c>
      <c r="K439" s="71">
        <v>44461</v>
      </c>
      <c r="M439" s="25" t="s">
        <v>12</v>
      </c>
      <c r="N439" s="8"/>
      <c r="O439" s="9"/>
      <c r="P439" s="52"/>
      <c r="Q439" s="11">
        <f t="shared" si="480"/>
        <v>0</v>
      </c>
      <c r="R439" s="12"/>
      <c r="S439" s="9"/>
      <c r="T439" s="10"/>
      <c r="U439" s="11">
        <f t="shared" si="481"/>
        <v>0</v>
      </c>
      <c r="V439" s="11">
        <f t="shared" si="482"/>
        <v>0</v>
      </c>
      <c r="Y439" s="25" t="s">
        <v>12</v>
      </c>
      <c r="Z439" s="8"/>
      <c r="AA439" s="9"/>
      <c r="AB439" s="52"/>
      <c r="AC439" s="11">
        <f t="shared" si="474"/>
        <v>0</v>
      </c>
      <c r="AD439" s="12"/>
      <c r="AE439" s="9"/>
      <c r="AF439" s="10"/>
      <c r="AG439" s="11">
        <f t="shared" si="475"/>
        <v>0</v>
      </c>
      <c r="AH439" s="11">
        <f t="shared" si="476"/>
        <v>0</v>
      </c>
    </row>
    <row r="440" spans="1:34" x14ac:dyDescent="0.15">
      <c r="A440" s="25" t="s">
        <v>13</v>
      </c>
      <c r="B440" s="8">
        <v>3</v>
      </c>
      <c r="C440" s="9"/>
      <c r="D440" s="52"/>
      <c r="E440" s="11">
        <f t="shared" si="477"/>
        <v>3</v>
      </c>
      <c r="F440" s="12">
        <v>3</v>
      </c>
      <c r="G440" s="9"/>
      <c r="H440" s="10"/>
      <c r="I440" s="11">
        <f t="shared" si="478"/>
        <v>3</v>
      </c>
      <c r="J440" s="11">
        <f t="shared" si="479"/>
        <v>6</v>
      </c>
      <c r="K440" s="63">
        <v>44466</v>
      </c>
      <c r="M440" s="25" t="s">
        <v>13</v>
      </c>
      <c r="N440" s="8"/>
      <c r="O440" s="9"/>
      <c r="P440" s="52"/>
      <c r="Q440" s="11">
        <f t="shared" si="480"/>
        <v>0</v>
      </c>
      <c r="R440" s="12"/>
      <c r="S440" s="9"/>
      <c r="T440" s="10"/>
      <c r="U440" s="11">
        <f t="shared" si="481"/>
        <v>0</v>
      </c>
      <c r="V440" s="11">
        <f t="shared" si="482"/>
        <v>0</v>
      </c>
      <c r="Y440" s="25" t="s">
        <v>13</v>
      </c>
      <c r="Z440" s="8"/>
      <c r="AA440" s="9"/>
      <c r="AB440" s="52"/>
      <c r="AC440" s="11">
        <f t="shared" si="474"/>
        <v>0</v>
      </c>
      <c r="AD440" s="12"/>
      <c r="AE440" s="9"/>
      <c r="AF440" s="10"/>
      <c r="AG440" s="11">
        <f t="shared" si="475"/>
        <v>0</v>
      </c>
      <c r="AH440" s="11">
        <f t="shared" si="476"/>
        <v>0</v>
      </c>
    </row>
    <row r="441" spans="1:34" x14ac:dyDescent="0.15">
      <c r="A441" s="25" t="s">
        <v>137</v>
      </c>
      <c r="B441" s="13">
        <v>2</v>
      </c>
      <c r="C441" s="14">
        <v>3</v>
      </c>
      <c r="D441" s="53">
        <v>1</v>
      </c>
      <c r="E441" s="11">
        <f t="shared" si="477"/>
        <v>6</v>
      </c>
      <c r="F441" s="16">
        <v>1</v>
      </c>
      <c r="G441" s="14">
        <v>2</v>
      </c>
      <c r="H441" s="15"/>
      <c r="I441" s="11">
        <f t="shared" si="478"/>
        <v>3</v>
      </c>
      <c r="J441" s="11">
        <f t="shared" si="479"/>
        <v>9</v>
      </c>
      <c r="K441" s="71">
        <v>44483</v>
      </c>
      <c r="M441" s="25" t="s">
        <v>14</v>
      </c>
      <c r="N441" s="13"/>
      <c r="O441" s="14"/>
      <c r="P441" s="53"/>
      <c r="Q441" s="11">
        <f t="shared" si="480"/>
        <v>0</v>
      </c>
      <c r="R441" s="16"/>
      <c r="S441" s="14"/>
      <c r="T441" s="15"/>
      <c r="U441" s="11">
        <f t="shared" si="481"/>
        <v>0</v>
      </c>
      <c r="V441" s="11">
        <f t="shared" si="482"/>
        <v>0</v>
      </c>
      <c r="W441" s="142"/>
      <c r="Y441" s="25" t="s">
        <v>14</v>
      </c>
      <c r="Z441" s="13"/>
      <c r="AA441" s="14"/>
      <c r="AB441" s="53"/>
      <c r="AC441" s="11">
        <f t="shared" si="474"/>
        <v>0</v>
      </c>
      <c r="AD441" s="16"/>
      <c r="AE441" s="14"/>
      <c r="AF441" s="15"/>
      <c r="AG441" s="11">
        <f t="shared" si="475"/>
        <v>0</v>
      </c>
      <c r="AH441" s="11">
        <f t="shared" si="476"/>
        <v>0</v>
      </c>
    </row>
    <row r="442" spans="1:34" ht="14.25" thickBot="1" x14ac:dyDescent="0.2">
      <c r="A442" s="25" t="s">
        <v>15</v>
      </c>
      <c r="B442" s="13"/>
      <c r="C442" s="14"/>
      <c r="D442" s="53"/>
      <c r="E442" s="62">
        <f t="shared" si="477"/>
        <v>0</v>
      </c>
      <c r="F442" s="34">
        <v>5</v>
      </c>
      <c r="G442" s="34"/>
      <c r="H442" s="37"/>
      <c r="I442" s="62">
        <f t="shared" si="478"/>
        <v>5</v>
      </c>
      <c r="J442" s="21">
        <f t="shared" si="479"/>
        <v>5</v>
      </c>
      <c r="K442" s="63">
        <v>44488</v>
      </c>
      <c r="M442" s="25" t="s">
        <v>15</v>
      </c>
      <c r="N442" s="13"/>
      <c r="O442" s="14"/>
      <c r="P442" s="53"/>
      <c r="Q442" s="62">
        <f t="shared" si="480"/>
        <v>0</v>
      </c>
      <c r="R442" s="34"/>
      <c r="S442" s="34"/>
      <c r="T442" s="37"/>
      <c r="U442" s="62">
        <f t="shared" si="481"/>
        <v>0</v>
      </c>
      <c r="V442" s="21">
        <f t="shared" si="482"/>
        <v>0</v>
      </c>
      <c r="Y442" s="25" t="s">
        <v>15</v>
      </c>
      <c r="Z442" s="13"/>
      <c r="AA442" s="14"/>
      <c r="AB442" s="53"/>
      <c r="AC442" s="62">
        <f t="shared" si="474"/>
        <v>0</v>
      </c>
      <c r="AD442" s="34"/>
      <c r="AE442" s="34"/>
      <c r="AF442" s="37"/>
      <c r="AG442" s="62">
        <f t="shared" si="475"/>
        <v>0</v>
      </c>
      <c r="AH442" s="21">
        <f t="shared" si="476"/>
        <v>0</v>
      </c>
    </row>
    <row r="443" spans="1:34" ht="14.25" thickBot="1" x14ac:dyDescent="0.2">
      <c r="A443" s="35" t="s">
        <v>16</v>
      </c>
      <c r="B443" s="28">
        <f>SUM(B434:B442)</f>
        <v>22</v>
      </c>
      <c r="C443" s="29">
        <f t="shared" ref="C443:D443" si="483">SUM(C434:C442)</f>
        <v>24</v>
      </c>
      <c r="D443" s="68">
        <f t="shared" si="483"/>
        <v>15</v>
      </c>
      <c r="E443" s="64">
        <f>SUM(B443:D443)</f>
        <v>61</v>
      </c>
      <c r="F443" s="28">
        <f>SUM(F434:F442)</f>
        <v>28</v>
      </c>
      <c r="G443" s="29">
        <f t="shared" ref="G443:H443" si="484">SUM(G434:G442)</f>
        <v>18</v>
      </c>
      <c r="H443" s="68">
        <f t="shared" si="484"/>
        <v>20</v>
      </c>
      <c r="I443" s="64">
        <f>SUM(F443:H443)</f>
        <v>66</v>
      </c>
      <c r="J443" s="31">
        <f>SUM(J435:J442)</f>
        <v>78</v>
      </c>
      <c r="M443" s="35" t="s">
        <v>16</v>
      </c>
      <c r="N443" s="28">
        <f>SUM(N434:N442)</f>
        <v>658</v>
      </c>
      <c r="O443" s="29">
        <f t="shared" ref="O443:P443" si="485">SUM(O434:O442)</f>
        <v>924</v>
      </c>
      <c r="P443" s="68">
        <f t="shared" si="485"/>
        <v>724</v>
      </c>
      <c r="Q443" s="64">
        <f>SUM(N443:P443)</f>
        <v>2306</v>
      </c>
      <c r="R443" s="28">
        <f>SUM(R434:R442)</f>
        <v>703</v>
      </c>
      <c r="S443" s="29">
        <f t="shared" ref="S443:T443" si="486">SUM(S434:S442)</f>
        <v>914</v>
      </c>
      <c r="T443" s="68">
        <f t="shared" si="486"/>
        <v>841</v>
      </c>
      <c r="U443" s="64">
        <f>SUM(R443:T443)</f>
        <v>2458</v>
      </c>
      <c r="V443" s="31">
        <f>Q443+U443</f>
        <v>4764</v>
      </c>
      <c r="Y443" s="35" t="s">
        <v>16</v>
      </c>
      <c r="Z443" s="28">
        <f>SUM(Z434:Z442)</f>
        <v>0</v>
      </c>
      <c r="AA443" s="29">
        <f t="shared" ref="AA443:AB443" si="487">SUM(AA434:AA442)</f>
        <v>0</v>
      </c>
      <c r="AB443" s="68">
        <f t="shared" si="487"/>
        <v>0</v>
      </c>
      <c r="AC443" s="64">
        <f>SUM(Z443:AB443)</f>
        <v>0</v>
      </c>
      <c r="AD443" s="28">
        <f>SUM(AD434:AD442)</f>
        <v>0</v>
      </c>
      <c r="AE443" s="29">
        <f t="shared" ref="AE443:AF443" si="488">SUM(AE434:AE442)</f>
        <v>0</v>
      </c>
      <c r="AF443" s="68">
        <f t="shared" si="488"/>
        <v>0</v>
      </c>
      <c r="AG443" s="64">
        <f>SUM(AD443:AF443)</f>
        <v>0</v>
      </c>
      <c r="AH443" s="31">
        <f>AC443+AG443</f>
        <v>0</v>
      </c>
    </row>
    <row r="444" spans="1:34" x14ac:dyDescent="0.15">
      <c r="A444" s="25" t="s">
        <v>33</v>
      </c>
      <c r="B444" s="65"/>
      <c r="C444" s="66"/>
      <c r="D444" s="67">
        <v>1</v>
      </c>
      <c r="E444" s="49">
        <f>SUM(B444:D444)</f>
        <v>1</v>
      </c>
      <c r="F444" s="16"/>
      <c r="G444" s="14"/>
      <c r="H444" s="15">
        <v>1</v>
      </c>
      <c r="I444" s="49">
        <f>SUM(F444:H444)</f>
        <v>1</v>
      </c>
      <c r="J444" s="11">
        <f>E444+I444</f>
        <v>2</v>
      </c>
      <c r="K444" s="71">
        <v>44449</v>
      </c>
      <c r="M444" s="25" t="s">
        <v>160</v>
      </c>
      <c r="N444" s="8"/>
      <c r="O444" s="9">
        <v>3</v>
      </c>
      <c r="P444" s="52"/>
      <c r="Q444" s="11">
        <f t="shared" ref="Q444:Q446" si="489">SUM(N444:P444)</f>
        <v>3</v>
      </c>
      <c r="R444" s="12"/>
      <c r="S444" s="9">
        <v>3</v>
      </c>
      <c r="T444" s="10">
        <v>3</v>
      </c>
      <c r="U444" s="11">
        <f t="shared" ref="U444:U446" si="490">SUM(R444:T444)</f>
        <v>6</v>
      </c>
      <c r="V444" s="11">
        <f t="shared" ref="V444:V446" si="491">Q444+U444</f>
        <v>9</v>
      </c>
      <c r="W444" s="140">
        <v>44461</v>
      </c>
      <c r="Y444" s="26"/>
      <c r="Z444" s="8"/>
      <c r="AA444" s="9"/>
      <c r="AB444" s="52"/>
      <c r="AC444" s="11">
        <f t="shared" ref="AC444:AC470" si="492">SUM(Z444:AB444)</f>
        <v>0</v>
      </c>
      <c r="AD444" s="12"/>
      <c r="AE444" s="9"/>
      <c r="AF444" s="10"/>
      <c r="AG444" s="11">
        <f t="shared" ref="AG444:AG470" si="493">SUM(AD444:AF444)</f>
        <v>0</v>
      </c>
      <c r="AH444" s="11">
        <f t="shared" ref="AH444:AH469" si="494">AC444+AG444</f>
        <v>0</v>
      </c>
    </row>
    <row r="445" spans="1:34" x14ac:dyDescent="0.15">
      <c r="A445" s="25" t="s">
        <v>33</v>
      </c>
      <c r="B445" s="8"/>
      <c r="C445" s="9">
        <f>1+1</f>
        <v>2</v>
      </c>
      <c r="D445" s="10">
        <v>1</v>
      </c>
      <c r="E445" s="49">
        <f t="shared" ref="E445:E470" si="495">SUM(B445:D445)</f>
        <v>3</v>
      </c>
      <c r="F445" s="12"/>
      <c r="G445" s="9">
        <v>1</v>
      </c>
      <c r="H445" s="10">
        <v>1</v>
      </c>
      <c r="I445" s="49">
        <f t="shared" ref="I445:I470" si="496">SUM(F445:H445)</f>
        <v>2</v>
      </c>
      <c r="J445" s="11">
        <f t="shared" ref="J445:J469" si="497">E445+I445</f>
        <v>5</v>
      </c>
      <c r="K445" s="71">
        <v>44452</v>
      </c>
      <c r="M445" s="25" t="s">
        <v>160</v>
      </c>
      <c r="N445" s="8">
        <v>3</v>
      </c>
      <c r="O445" s="9"/>
      <c r="P445" s="52"/>
      <c r="Q445" s="11">
        <f t="shared" si="489"/>
        <v>3</v>
      </c>
      <c r="R445" s="12">
        <v>3</v>
      </c>
      <c r="S445" s="9"/>
      <c r="T445" s="10"/>
      <c r="U445" s="11">
        <f t="shared" si="490"/>
        <v>3</v>
      </c>
      <c r="V445" s="11">
        <f t="shared" si="491"/>
        <v>6</v>
      </c>
      <c r="W445" s="140">
        <v>44466</v>
      </c>
      <c r="Y445" s="26"/>
      <c r="Z445" s="17"/>
      <c r="AA445" s="18"/>
      <c r="AB445" s="51"/>
      <c r="AC445" s="11">
        <f t="shared" si="492"/>
        <v>0</v>
      </c>
      <c r="AD445" s="20"/>
      <c r="AE445" s="18"/>
      <c r="AF445" s="19"/>
      <c r="AG445" s="11">
        <f t="shared" si="493"/>
        <v>0</v>
      </c>
      <c r="AH445" s="11">
        <f t="shared" si="494"/>
        <v>0</v>
      </c>
    </row>
    <row r="446" spans="1:34" x14ac:dyDescent="0.15">
      <c r="A446" s="23" t="s">
        <v>300</v>
      </c>
      <c r="B446" s="8">
        <v>14</v>
      </c>
      <c r="C446" s="9">
        <v>14</v>
      </c>
      <c r="D446" s="10">
        <v>8</v>
      </c>
      <c r="E446" s="49">
        <f t="shared" si="495"/>
        <v>36</v>
      </c>
      <c r="F446" s="12">
        <v>16</v>
      </c>
      <c r="G446" s="9">
        <v>11</v>
      </c>
      <c r="H446" s="10">
        <v>13</v>
      </c>
      <c r="I446" s="49">
        <f t="shared" si="496"/>
        <v>40</v>
      </c>
      <c r="J446" s="11">
        <f t="shared" si="497"/>
        <v>76</v>
      </c>
      <c r="K446" s="71">
        <v>44457</v>
      </c>
      <c r="M446" s="25" t="s">
        <v>160</v>
      </c>
      <c r="N446" s="8"/>
      <c r="O446" s="9"/>
      <c r="P446" s="52"/>
      <c r="Q446" s="11">
        <f t="shared" si="489"/>
        <v>0</v>
      </c>
      <c r="R446" s="12">
        <v>5</v>
      </c>
      <c r="S446" s="12"/>
      <c r="T446" s="116"/>
      <c r="U446" s="11">
        <f t="shared" si="490"/>
        <v>5</v>
      </c>
      <c r="V446" s="11">
        <f t="shared" si="491"/>
        <v>5</v>
      </c>
      <c r="W446" s="140">
        <v>44488</v>
      </c>
      <c r="Y446" s="26"/>
      <c r="Z446" s="8"/>
      <c r="AA446" s="9"/>
      <c r="AB446" s="52"/>
      <c r="AC446" s="11">
        <f t="shared" si="492"/>
        <v>0</v>
      </c>
      <c r="AD446" s="12"/>
      <c r="AE446" s="9"/>
      <c r="AF446" s="10"/>
      <c r="AG446" s="11">
        <f t="shared" si="493"/>
        <v>0</v>
      </c>
      <c r="AH446" s="11">
        <f t="shared" si="494"/>
        <v>0</v>
      </c>
    </row>
    <row r="447" spans="1:34" x14ac:dyDescent="0.15">
      <c r="A447" s="25" t="s">
        <v>33</v>
      </c>
      <c r="B447" s="8">
        <v>1</v>
      </c>
      <c r="C447" s="9"/>
      <c r="D447" s="10"/>
      <c r="E447" s="49">
        <f t="shared" si="495"/>
        <v>1</v>
      </c>
      <c r="F447" s="12">
        <v>1</v>
      </c>
      <c r="G447" s="9"/>
      <c r="H447" s="10"/>
      <c r="I447" s="49">
        <f t="shared" si="496"/>
        <v>1</v>
      </c>
      <c r="J447" s="11">
        <f t="shared" si="497"/>
        <v>2</v>
      </c>
      <c r="K447" s="71">
        <v>44460</v>
      </c>
      <c r="M447" s="25" t="s">
        <v>160</v>
      </c>
      <c r="N447" s="17">
        <v>5</v>
      </c>
      <c r="O447" s="18">
        <v>3</v>
      </c>
      <c r="P447" s="19">
        <v>3</v>
      </c>
      <c r="Q447" s="49">
        <f t="shared" ref="Q447:Q470" si="498">SUM(N447:P447)</f>
        <v>11</v>
      </c>
      <c r="R447" s="20"/>
      <c r="S447" s="18">
        <v>5</v>
      </c>
      <c r="T447" s="19"/>
      <c r="U447" s="49">
        <f t="shared" ref="U447:U470" si="499">SUM(R447:T447)</f>
        <v>5</v>
      </c>
      <c r="V447" s="49">
        <f t="shared" ref="V447:V469" si="500">Q447+U447</f>
        <v>16</v>
      </c>
      <c r="W447" s="140">
        <v>44490</v>
      </c>
      <c r="Y447" s="26"/>
      <c r="Z447" s="8"/>
      <c r="AA447" s="9"/>
      <c r="AB447" s="52"/>
      <c r="AC447" s="11">
        <f t="shared" si="492"/>
        <v>0</v>
      </c>
      <c r="AD447" s="12"/>
      <c r="AE447" s="9"/>
      <c r="AF447" s="10"/>
      <c r="AG447" s="11">
        <f t="shared" si="493"/>
        <v>0</v>
      </c>
      <c r="AH447" s="11">
        <f t="shared" si="494"/>
        <v>0</v>
      </c>
    </row>
    <row r="448" spans="1:34" x14ac:dyDescent="0.15">
      <c r="A448" s="25" t="s">
        <v>301</v>
      </c>
      <c r="B448" s="8"/>
      <c r="C448" s="9"/>
      <c r="D448" s="10"/>
      <c r="E448" s="49">
        <f t="shared" si="495"/>
        <v>0</v>
      </c>
      <c r="F448" s="12">
        <v>-1</v>
      </c>
      <c r="G448" s="9"/>
      <c r="H448" s="10"/>
      <c r="I448" s="49">
        <f t="shared" si="496"/>
        <v>-1</v>
      </c>
      <c r="J448" s="11">
        <f t="shared" si="497"/>
        <v>-1</v>
      </c>
      <c r="K448" s="71">
        <v>44466</v>
      </c>
      <c r="M448" s="25" t="s">
        <v>160</v>
      </c>
      <c r="N448" s="8">
        <v>3</v>
      </c>
      <c r="O448" s="9"/>
      <c r="P448" s="10"/>
      <c r="Q448" s="49">
        <f t="shared" si="498"/>
        <v>3</v>
      </c>
      <c r="R448" s="12"/>
      <c r="S448" s="9">
        <v>3</v>
      </c>
      <c r="T448" s="10"/>
      <c r="U448" s="49">
        <f t="shared" si="499"/>
        <v>3</v>
      </c>
      <c r="V448" s="11">
        <f t="shared" si="500"/>
        <v>6</v>
      </c>
      <c r="W448" s="140">
        <v>44512</v>
      </c>
      <c r="Y448" s="26"/>
      <c r="Z448" s="8"/>
      <c r="AA448" s="9"/>
      <c r="AB448" s="10"/>
      <c r="AC448" s="49">
        <f t="shared" si="492"/>
        <v>0</v>
      </c>
      <c r="AD448" s="12"/>
      <c r="AE448" s="9"/>
      <c r="AF448" s="10"/>
      <c r="AG448" s="49">
        <f t="shared" si="493"/>
        <v>0</v>
      </c>
      <c r="AH448" s="11">
        <f t="shared" si="494"/>
        <v>0</v>
      </c>
    </row>
    <row r="449" spans="1:34" x14ac:dyDescent="0.15">
      <c r="A449" s="25" t="s">
        <v>33</v>
      </c>
      <c r="B449" s="8"/>
      <c r="C449" s="9"/>
      <c r="D449" s="10"/>
      <c r="E449" s="49">
        <f t="shared" si="495"/>
        <v>0</v>
      </c>
      <c r="F449" s="12">
        <v>1</v>
      </c>
      <c r="G449" s="9"/>
      <c r="H449" s="10"/>
      <c r="I449" s="49">
        <f t="shared" si="496"/>
        <v>1</v>
      </c>
      <c r="J449" s="11">
        <f t="shared" si="497"/>
        <v>1</v>
      </c>
      <c r="K449" s="71">
        <v>44467</v>
      </c>
      <c r="M449" s="25" t="s">
        <v>160</v>
      </c>
      <c r="N449" s="8">
        <v>3</v>
      </c>
      <c r="O449" s="9"/>
      <c r="P449" s="10"/>
      <c r="Q449" s="49">
        <f t="shared" si="498"/>
        <v>3</v>
      </c>
      <c r="R449" s="12"/>
      <c r="S449" s="9"/>
      <c r="T449" s="10"/>
      <c r="U449" s="49">
        <f t="shared" si="499"/>
        <v>0</v>
      </c>
      <c r="V449" s="11">
        <f t="shared" si="500"/>
        <v>3</v>
      </c>
      <c r="W449" s="144">
        <v>44517</v>
      </c>
      <c r="Y449" s="26"/>
      <c r="Z449" s="8"/>
      <c r="AA449" s="9"/>
      <c r="AB449" s="10"/>
      <c r="AC449" s="49">
        <f t="shared" si="492"/>
        <v>0</v>
      </c>
      <c r="AD449" s="12"/>
      <c r="AE449" s="9"/>
      <c r="AF449" s="10"/>
      <c r="AG449" s="49">
        <f t="shared" si="493"/>
        <v>0</v>
      </c>
      <c r="AH449" s="11">
        <f t="shared" si="494"/>
        <v>0</v>
      </c>
    </row>
    <row r="450" spans="1:34" x14ac:dyDescent="0.15">
      <c r="A450" s="25" t="s">
        <v>33</v>
      </c>
      <c r="B450" s="8"/>
      <c r="C450" s="9"/>
      <c r="D450" s="10"/>
      <c r="E450" s="49">
        <f t="shared" si="495"/>
        <v>0</v>
      </c>
      <c r="F450" s="12"/>
      <c r="G450" s="9">
        <v>1</v>
      </c>
      <c r="H450" s="10"/>
      <c r="I450" s="49">
        <f t="shared" si="496"/>
        <v>1</v>
      </c>
      <c r="J450" s="11">
        <f t="shared" si="497"/>
        <v>1</v>
      </c>
      <c r="K450" s="71">
        <v>44476</v>
      </c>
      <c r="M450" s="26"/>
      <c r="N450" s="8"/>
      <c r="O450" s="9"/>
      <c r="P450" s="10"/>
      <c r="Q450" s="49">
        <f t="shared" si="498"/>
        <v>0</v>
      </c>
      <c r="R450" s="12"/>
      <c r="S450" s="9"/>
      <c r="T450" s="10"/>
      <c r="U450" s="49">
        <f t="shared" si="499"/>
        <v>0</v>
      </c>
      <c r="V450" s="11">
        <f t="shared" si="500"/>
        <v>0</v>
      </c>
      <c r="Y450" s="24"/>
      <c r="Z450" s="8"/>
      <c r="AA450" s="9"/>
      <c r="AB450" s="10"/>
      <c r="AC450" s="49">
        <f t="shared" si="492"/>
        <v>0</v>
      </c>
      <c r="AD450" s="12"/>
      <c r="AE450" s="9"/>
      <c r="AF450" s="10"/>
      <c r="AG450" s="49">
        <f t="shared" si="493"/>
        <v>0</v>
      </c>
      <c r="AH450" s="11">
        <f t="shared" si="494"/>
        <v>0</v>
      </c>
    </row>
    <row r="451" spans="1:34" x14ac:dyDescent="0.15">
      <c r="A451" s="25" t="s">
        <v>33</v>
      </c>
      <c r="B451" s="8"/>
      <c r="C451" s="9"/>
      <c r="D451" s="10">
        <v>1</v>
      </c>
      <c r="E451" s="49">
        <f t="shared" si="495"/>
        <v>1</v>
      </c>
      <c r="F451" s="12">
        <v>1</v>
      </c>
      <c r="G451" s="9"/>
      <c r="H451" s="10"/>
      <c r="I451" s="49">
        <f t="shared" si="496"/>
        <v>1</v>
      </c>
      <c r="J451" s="11">
        <f t="shared" si="497"/>
        <v>2</v>
      </c>
      <c r="K451" s="71">
        <v>44477</v>
      </c>
      <c r="M451" s="23"/>
      <c r="N451" s="8"/>
      <c r="O451" s="9"/>
      <c r="P451" s="10"/>
      <c r="Q451" s="49">
        <f t="shared" si="498"/>
        <v>0</v>
      </c>
      <c r="R451" s="12"/>
      <c r="S451" s="9"/>
      <c r="T451" s="10"/>
      <c r="U451" s="49">
        <f t="shared" si="499"/>
        <v>0</v>
      </c>
      <c r="V451" s="11">
        <f t="shared" si="500"/>
        <v>0</v>
      </c>
      <c r="Y451" s="26"/>
      <c r="Z451" s="8"/>
      <c r="AA451" s="9"/>
      <c r="AB451" s="10"/>
      <c r="AC451" s="49">
        <f t="shared" si="492"/>
        <v>0</v>
      </c>
      <c r="AD451" s="12"/>
      <c r="AE451" s="9"/>
      <c r="AF451" s="10"/>
      <c r="AG451" s="49">
        <f t="shared" si="493"/>
        <v>0</v>
      </c>
      <c r="AH451" s="11">
        <f t="shared" si="494"/>
        <v>0</v>
      </c>
    </row>
    <row r="452" spans="1:34" x14ac:dyDescent="0.15">
      <c r="A452" s="25" t="s">
        <v>33</v>
      </c>
      <c r="B452" s="8">
        <v>2</v>
      </c>
      <c r="C452" s="9">
        <v>1</v>
      </c>
      <c r="D452" s="10"/>
      <c r="E452" s="49">
        <f t="shared" si="495"/>
        <v>3</v>
      </c>
      <c r="F452" s="12">
        <v>2</v>
      </c>
      <c r="G452" s="9"/>
      <c r="H452" s="10"/>
      <c r="I452" s="49">
        <f t="shared" si="496"/>
        <v>2</v>
      </c>
      <c r="J452" s="11">
        <f t="shared" si="497"/>
        <v>5</v>
      </c>
      <c r="K452" s="71">
        <v>44480</v>
      </c>
      <c r="M452" s="26"/>
      <c r="N452" s="8"/>
      <c r="O452" s="9"/>
      <c r="P452" s="10"/>
      <c r="Q452" s="49">
        <f t="shared" si="498"/>
        <v>0</v>
      </c>
      <c r="R452" s="12"/>
      <c r="S452" s="9"/>
      <c r="T452" s="10"/>
      <c r="U452" s="49">
        <f t="shared" si="499"/>
        <v>0</v>
      </c>
      <c r="V452" s="11">
        <f t="shared" si="500"/>
        <v>0</v>
      </c>
      <c r="Y452" s="26"/>
      <c r="Z452" s="8"/>
      <c r="AA452" s="9"/>
      <c r="AB452" s="10"/>
      <c r="AC452" s="49">
        <f t="shared" si="492"/>
        <v>0</v>
      </c>
      <c r="AD452" s="12"/>
      <c r="AE452" s="9"/>
      <c r="AF452" s="10"/>
      <c r="AG452" s="49">
        <f t="shared" si="493"/>
        <v>0</v>
      </c>
      <c r="AH452" s="11">
        <f t="shared" si="494"/>
        <v>0</v>
      </c>
    </row>
    <row r="453" spans="1:34" x14ac:dyDescent="0.15">
      <c r="A453" s="25" t="s">
        <v>33</v>
      </c>
      <c r="B453" s="13"/>
      <c r="C453" s="14"/>
      <c r="D453" s="15"/>
      <c r="E453" s="49">
        <f t="shared" si="495"/>
        <v>0</v>
      </c>
      <c r="F453" s="16">
        <v>1</v>
      </c>
      <c r="G453" s="14"/>
      <c r="H453" s="15"/>
      <c r="I453" s="49">
        <f t="shared" si="496"/>
        <v>1</v>
      </c>
      <c r="J453" s="11">
        <f t="shared" si="497"/>
        <v>1</v>
      </c>
      <c r="K453" s="71">
        <v>44483</v>
      </c>
      <c r="M453" s="26"/>
      <c r="N453" s="13"/>
      <c r="O453" s="14"/>
      <c r="P453" s="15"/>
      <c r="Q453" s="49">
        <f t="shared" si="498"/>
        <v>0</v>
      </c>
      <c r="R453" s="16"/>
      <c r="S453" s="14"/>
      <c r="T453" s="15"/>
      <c r="U453" s="49">
        <f t="shared" si="499"/>
        <v>0</v>
      </c>
      <c r="V453" s="11">
        <f t="shared" si="500"/>
        <v>0</v>
      </c>
      <c r="Y453" s="26"/>
      <c r="Z453" s="13"/>
      <c r="AA453" s="14"/>
      <c r="AB453" s="15"/>
      <c r="AC453" s="49">
        <f t="shared" si="492"/>
        <v>0</v>
      </c>
      <c r="AD453" s="16"/>
      <c r="AE453" s="14"/>
      <c r="AF453" s="15"/>
      <c r="AG453" s="49">
        <f t="shared" si="493"/>
        <v>0</v>
      </c>
      <c r="AH453" s="11">
        <f t="shared" si="494"/>
        <v>0</v>
      </c>
    </row>
    <row r="454" spans="1:34" x14ac:dyDescent="0.15">
      <c r="A454" s="23" t="s">
        <v>273</v>
      </c>
      <c r="B454" s="8">
        <v>2</v>
      </c>
      <c r="C454" s="9">
        <v>3</v>
      </c>
      <c r="D454" s="10">
        <v>1</v>
      </c>
      <c r="E454" s="49">
        <f t="shared" si="495"/>
        <v>6</v>
      </c>
      <c r="F454" s="12">
        <v>1</v>
      </c>
      <c r="G454" s="9">
        <v>2</v>
      </c>
      <c r="H454" s="10"/>
      <c r="I454" s="49">
        <f t="shared" si="496"/>
        <v>3</v>
      </c>
      <c r="J454" s="11">
        <f t="shared" si="497"/>
        <v>9</v>
      </c>
      <c r="K454" s="71">
        <v>44485</v>
      </c>
      <c r="M454" s="26"/>
      <c r="N454" s="8"/>
      <c r="O454" s="9"/>
      <c r="P454" s="10"/>
      <c r="Q454" s="49">
        <f t="shared" si="498"/>
        <v>0</v>
      </c>
      <c r="R454" s="12"/>
      <c r="S454" s="9"/>
      <c r="T454" s="10"/>
      <c r="U454" s="49">
        <f t="shared" si="499"/>
        <v>0</v>
      </c>
      <c r="V454" s="11">
        <f t="shared" si="500"/>
        <v>0</v>
      </c>
      <c r="Y454" s="26"/>
      <c r="Z454" s="8"/>
      <c r="AA454" s="9"/>
      <c r="AB454" s="10"/>
      <c r="AC454" s="49">
        <f t="shared" si="492"/>
        <v>0</v>
      </c>
      <c r="AD454" s="12"/>
      <c r="AE454" s="9"/>
      <c r="AF454" s="10"/>
      <c r="AG454" s="49">
        <f t="shared" si="493"/>
        <v>0</v>
      </c>
      <c r="AH454" s="11">
        <f t="shared" si="494"/>
        <v>0</v>
      </c>
    </row>
    <row r="455" spans="1:34" x14ac:dyDescent="0.15">
      <c r="A455" s="23" t="s">
        <v>302</v>
      </c>
      <c r="B455" s="8">
        <v>-5</v>
      </c>
      <c r="C455" s="9">
        <v>-3</v>
      </c>
      <c r="D455" s="10">
        <v>-3</v>
      </c>
      <c r="E455" s="49">
        <f t="shared" si="495"/>
        <v>-11</v>
      </c>
      <c r="F455" s="12"/>
      <c r="G455" s="9">
        <v>-5</v>
      </c>
      <c r="H455" s="10"/>
      <c r="I455" s="49">
        <f t="shared" si="496"/>
        <v>-5</v>
      </c>
      <c r="J455" s="11">
        <f t="shared" si="497"/>
        <v>-16</v>
      </c>
      <c r="K455" s="63">
        <v>44490</v>
      </c>
      <c r="M455" s="102"/>
      <c r="N455" s="8"/>
      <c r="O455" s="9"/>
      <c r="P455" s="10"/>
      <c r="Q455" s="49">
        <f t="shared" si="498"/>
        <v>0</v>
      </c>
      <c r="R455" s="12"/>
      <c r="S455" s="9"/>
      <c r="T455" s="10"/>
      <c r="U455" s="49">
        <f t="shared" si="499"/>
        <v>0</v>
      </c>
      <c r="V455" s="11">
        <f t="shared" si="500"/>
        <v>0</v>
      </c>
      <c r="Y455" s="26"/>
      <c r="Z455" s="8"/>
      <c r="AA455" s="9"/>
      <c r="AB455" s="10"/>
      <c r="AC455" s="49">
        <f t="shared" si="492"/>
        <v>0</v>
      </c>
      <c r="AD455" s="12"/>
      <c r="AE455" s="9"/>
      <c r="AF455" s="10"/>
      <c r="AG455" s="49">
        <f t="shared" si="493"/>
        <v>0</v>
      </c>
      <c r="AH455" s="11">
        <f t="shared" si="494"/>
        <v>0</v>
      </c>
    </row>
    <row r="456" spans="1:34" x14ac:dyDescent="0.15">
      <c r="A456" s="25" t="s">
        <v>33</v>
      </c>
      <c r="B456" s="8"/>
      <c r="C456" s="9"/>
      <c r="D456" s="10"/>
      <c r="E456" s="49">
        <f t="shared" si="495"/>
        <v>0</v>
      </c>
      <c r="F456" s="12"/>
      <c r="G456" s="9">
        <v>1</v>
      </c>
      <c r="H456" s="10"/>
      <c r="I456" s="49">
        <f t="shared" si="496"/>
        <v>1</v>
      </c>
      <c r="J456" s="11">
        <f t="shared" si="497"/>
        <v>1</v>
      </c>
      <c r="K456" s="71">
        <v>44489</v>
      </c>
      <c r="M456" s="102"/>
      <c r="N456" s="8"/>
      <c r="O456" s="9"/>
      <c r="P456" s="10"/>
      <c r="Q456" s="49">
        <f t="shared" si="498"/>
        <v>0</v>
      </c>
      <c r="R456" s="12"/>
      <c r="S456" s="9"/>
      <c r="T456" s="10"/>
      <c r="U456" s="49">
        <f t="shared" si="499"/>
        <v>0</v>
      </c>
      <c r="V456" s="11">
        <f t="shared" si="500"/>
        <v>0</v>
      </c>
      <c r="Y456" s="26"/>
      <c r="Z456" s="8"/>
      <c r="AA456" s="9"/>
      <c r="AB456" s="10"/>
      <c r="AC456" s="49">
        <f t="shared" si="492"/>
        <v>0</v>
      </c>
      <c r="AD456" s="12"/>
      <c r="AE456" s="9"/>
      <c r="AF456" s="10"/>
      <c r="AG456" s="49">
        <f t="shared" si="493"/>
        <v>0</v>
      </c>
      <c r="AH456" s="11">
        <f t="shared" si="494"/>
        <v>0</v>
      </c>
    </row>
    <row r="457" spans="1:34" x14ac:dyDescent="0.15">
      <c r="A457" s="25" t="s">
        <v>33</v>
      </c>
      <c r="B457" s="8">
        <v>2</v>
      </c>
      <c r="C457" s="9">
        <v>4</v>
      </c>
      <c r="D457" s="10"/>
      <c r="E457" s="49">
        <f t="shared" si="495"/>
        <v>6</v>
      </c>
      <c r="F457" s="12">
        <v>2</v>
      </c>
      <c r="G457" s="9">
        <v>4</v>
      </c>
      <c r="H457" s="10"/>
      <c r="I457" s="49">
        <f t="shared" si="496"/>
        <v>6</v>
      </c>
      <c r="J457" s="11">
        <f t="shared" si="497"/>
        <v>12</v>
      </c>
      <c r="K457" s="71">
        <v>44490</v>
      </c>
      <c r="M457" s="102"/>
      <c r="N457" s="8"/>
      <c r="O457" s="9"/>
      <c r="P457" s="10"/>
      <c r="Q457" s="49">
        <f t="shared" si="498"/>
        <v>0</v>
      </c>
      <c r="R457" s="12"/>
      <c r="S457" s="9"/>
      <c r="T457" s="10"/>
      <c r="U457" s="49">
        <f t="shared" si="499"/>
        <v>0</v>
      </c>
      <c r="V457" s="11">
        <f t="shared" si="500"/>
        <v>0</v>
      </c>
      <c r="Y457" s="26"/>
      <c r="Z457" s="8"/>
      <c r="AA457" s="9"/>
      <c r="AB457" s="10"/>
      <c r="AC457" s="49">
        <f t="shared" si="492"/>
        <v>0</v>
      </c>
      <c r="AD457" s="12"/>
      <c r="AE457" s="9"/>
      <c r="AF457" s="10"/>
      <c r="AG457" s="49">
        <f t="shared" si="493"/>
        <v>0</v>
      </c>
      <c r="AH457" s="11">
        <f t="shared" si="494"/>
        <v>0</v>
      </c>
    </row>
    <row r="458" spans="1:34" x14ac:dyDescent="0.15">
      <c r="A458" s="25" t="s">
        <v>33</v>
      </c>
      <c r="B458" s="8">
        <v>1</v>
      </c>
      <c r="C458" s="9"/>
      <c r="D458" s="10"/>
      <c r="E458" s="49">
        <f t="shared" si="495"/>
        <v>1</v>
      </c>
      <c r="F458" s="12"/>
      <c r="G458" s="9"/>
      <c r="H458" s="10"/>
      <c r="I458" s="49">
        <f t="shared" si="496"/>
        <v>0</v>
      </c>
      <c r="J458" s="11">
        <f t="shared" si="497"/>
        <v>1</v>
      </c>
      <c r="K458" s="71">
        <v>44494</v>
      </c>
      <c r="M458" s="26"/>
      <c r="N458" s="8"/>
      <c r="O458" s="9"/>
      <c r="P458" s="10"/>
      <c r="Q458" s="49">
        <f t="shared" si="498"/>
        <v>0</v>
      </c>
      <c r="R458" s="12"/>
      <c r="S458" s="9"/>
      <c r="T458" s="10"/>
      <c r="U458" s="49">
        <f t="shared" si="499"/>
        <v>0</v>
      </c>
      <c r="V458" s="11">
        <f t="shared" si="500"/>
        <v>0</v>
      </c>
      <c r="Y458" s="26"/>
      <c r="Z458" s="8"/>
      <c r="AA458" s="9"/>
      <c r="AB458" s="10"/>
      <c r="AC458" s="49">
        <f t="shared" si="492"/>
        <v>0</v>
      </c>
      <c r="AD458" s="12"/>
      <c r="AE458" s="9"/>
      <c r="AF458" s="10"/>
      <c r="AG458" s="49">
        <f t="shared" si="493"/>
        <v>0</v>
      </c>
      <c r="AH458" s="11">
        <f t="shared" si="494"/>
        <v>0</v>
      </c>
    </row>
    <row r="459" spans="1:34" x14ac:dyDescent="0.15">
      <c r="A459" s="25" t="s">
        <v>33</v>
      </c>
      <c r="B459" s="8">
        <v>1</v>
      </c>
      <c r="C459" s="9"/>
      <c r="D459" s="10"/>
      <c r="E459" s="49">
        <f t="shared" si="495"/>
        <v>1</v>
      </c>
      <c r="F459" s="12">
        <v>1</v>
      </c>
      <c r="G459" s="9"/>
      <c r="H459" s="10"/>
      <c r="I459" s="49">
        <f t="shared" si="496"/>
        <v>1</v>
      </c>
      <c r="J459" s="11">
        <f t="shared" si="497"/>
        <v>2</v>
      </c>
      <c r="K459" s="71">
        <v>44497</v>
      </c>
      <c r="M459" s="26"/>
      <c r="N459" s="8"/>
      <c r="O459" s="9"/>
      <c r="P459" s="10"/>
      <c r="Q459" s="49">
        <f t="shared" si="498"/>
        <v>0</v>
      </c>
      <c r="R459" s="12"/>
      <c r="S459" s="9"/>
      <c r="T459" s="10"/>
      <c r="U459" s="49">
        <f t="shared" si="499"/>
        <v>0</v>
      </c>
      <c r="V459" s="11">
        <f t="shared" si="500"/>
        <v>0</v>
      </c>
      <c r="Y459" s="24"/>
      <c r="Z459" s="8"/>
      <c r="AA459" s="9"/>
      <c r="AB459" s="10"/>
      <c r="AC459" s="49">
        <f t="shared" si="492"/>
        <v>0</v>
      </c>
      <c r="AD459" s="12"/>
      <c r="AE459" s="9"/>
      <c r="AF459" s="10"/>
      <c r="AG459" s="49">
        <f t="shared" si="493"/>
        <v>0</v>
      </c>
      <c r="AH459" s="11">
        <f t="shared" si="494"/>
        <v>0</v>
      </c>
    </row>
    <row r="460" spans="1:34" x14ac:dyDescent="0.15">
      <c r="A460" s="25" t="s">
        <v>33</v>
      </c>
      <c r="B460" s="8">
        <v>2</v>
      </c>
      <c r="C460" s="9"/>
      <c r="D460" s="10"/>
      <c r="E460" s="49">
        <f t="shared" si="495"/>
        <v>2</v>
      </c>
      <c r="F460" s="12"/>
      <c r="G460" s="9"/>
      <c r="H460" s="10"/>
      <c r="I460" s="49">
        <f t="shared" si="496"/>
        <v>0</v>
      </c>
      <c r="J460" s="11">
        <f t="shared" si="497"/>
        <v>2</v>
      </c>
      <c r="K460" s="71">
        <v>44505</v>
      </c>
      <c r="M460" s="26"/>
      <c r="N460" s="8"/>
      <c r="O460" s="9"/>
      <c r="P460" s="10"/>
      <c r="Q460" s="49">
        <f t="shared" si="498"/>
        <v>0</v>
      </c>
      <c r="R460" s="12"/>
      <c r="S460" s="9"/>
      <c r="T460" s="10"/>
      <c r="U460" s="49">
        <f t="shared" si="499"/>
        <v>0</v>
      </c>
      <c r="V460" s="11">
        <f t="shared" si="500"/>
        <v>0</v>
      </c>
      <c r="Y460" s="26"/>
      <c r="Z460" s="8"/>
      <c r="AA460" s="9"/>
      <c r="AB460" s="10"/>
      <c r="AC460" s="49">
        <f t="shared" si="492"/>
        <v>0</v>
      </c>
      <c r="AD460" s="12"/>
      <c r="AE460" s="9"/>
      <c r="AF460" s="10"/>
      <c r="AG460" s="49">
        <f t="shared" si="493"/>
        <v>0</v>
      </c>
      <c r="AH460" s="11">
        <f t="shared" si="494"/>
        <v>0</v>
      </c>
    </row>
    <row r="461" spans="1:34" x14ac:dyDescent="0.15">
      <c r="A461" s="25" t="s">
        <v>33</v>
      </c>
      <c r="B461" s="8"/>
      <c r="C461" s="9"/>
      <c r="D461" s="10"/>
      <c r="E461" s="49">
        <f t="shared" si="495"/>
        <v>0</v>
      </c>
      <c r="F461" s="12"/>
      <c r="G461" s="9">
        <v>2</v>
      </c>
      <c r="H461" s="10"/>
      <c r="I461" s="49">
        <f t="shared" si="496"/>
        <v>2</v>
      </c>
      <c r="J461" s="11">
        <f t="shared" si="497"/>
        <v>2</v>
      </c>
      <c r="K461" s="71">
        <v>44510</v>
      </c>
      <c r="M461" s="24"/>
      <c r="N461" s="8"/>
      <c r="O461" s="9"/>
      <c r="P461" s="10"/>
      <c r="Q461" s="49">
        <f t="shared" si="498"/>
        <v>0</v>
      </c>
      <c r="R461" s="12"/>
      <c r="S461" s="9"/>
      <c r="T461" s="10"/>
      <c r="U461" s="49">
        <f t="shared" si="499"/>
        <v>0</v>
      </c>
      <c r="V461" s="11">
        <f t="shared" si="500"/>
        <v>0</v>
      </c>
      <c r="Y461" s="24"/>
      <c r="Z461" s="8"/>
      <c r="AA461" s="9"/>
      <c r="AB461" s="10"/>
      <c r="AC461" s="49">
        <f t="shared" si="492"/>
        <v>0</v>
      </c>
      <c r="AD461" s="12"/>
      <c r="AE461" s="9"/>
      <c r="AF461" s="10"/>
      <c r="AG461" s="49">
        <f t="shared" si="493"/>
        <v>0</v>
      </c>
      <c r="AH461" s="11">
        <f t="shared" si="494"/>
        <v>0</v>
      </c>
    </row>
    <row r="462" spans="1:34" x14ac:dyDescent="0.15">
      <c r="A462" s="25" t="s">
        <v>33</v>
      </c>
      <c r="B462" s="8">
        <v>1</v>
      </c>
      <c r="C462" s="9"/>
      <c r="D462" s="10"/>
      <c r="E462" s="49">
        <f t="shared" si="495"/>
        <v>1</v>
      </c>
      <c r="F462" s="12"/>
      <c r="G462" s="9"/>
      <c r="H462" s="10"/>
      <c r="I462" s="49">
        <f t="shared" si="496"/>
        <v>0</v>
      </c>
      <c r="J462" s="11">
        <f t="shared" si="497"/>
        <v>1</v>
      </c>
      <c r="K462" s="63">
        <v>44511</v>
      </c>
      <c r="M462" s="26"/>
      <c r="N462" s="8"/>
      <c r="O462" s="9"/>
      <c r="P462" s="10"/>
      <c r="Q462" s="49">
        <f t="shared" si="498"/>
        <v>0</v>
      </c>
      <c r="R462" s="12"/>
      <c r="S462" s="9"/>
      <c r="T462" s="10"/>
      <c r="U462" s="49">
        <f t="shared" si="499"/>
        <v>0</v>
      </c>
      <c r="V462" s="11">
        <f t="shared" si="500"/>
        <v>0</v>
      </c>
      <c r="Y462" s="26"/>
      <c r="Z462" s="8"/>
      <c r="AA462" s="9"/>
      <c r="AB462" s="10"/>
      <c r="AC462" s="49">
        <f t="shared" si="492"/>
        <v>0</v>
      </c>
      <c r="AD462" s="12"/>
      <c r="AE462" s="9"/>
      <c r="AF462" s="10"/>
      <c r="AG462" s="49">
        <f t="shared" si="493"/>
        <v>0</v>
      </c>
      <c r="AH462" s="11">
        <f t="shared" si="494"/>
        <v>0</v>
      </c>
    </row>
    <row r="463" spans="1:34" x14ac:dyDescent="0.15">
      <c r="A463" s="23" t="s">
        <v>189</v>
      </c>
      <c r="B463" s="8">
        <v>-3</v>
      </c>
      <c r="C463" s="9"/>
      <c r="D463" s="10"/>
      <c r="E463" s="49">
        <f t="shared" si="495"/>
        <v>-3</v>
      </c>
      <c r="F463" s="12"/>
      <c r="G463" s="9">
        <v>-3</v>
      </c>
      <c r="H463" s="10"/>
      <c r="I463" s="49">
        <f t="shared" si="496"/>
        <v>-3</v>
      </c>
      <c r="J463" s="11">
        <f t="shared" si="497"/>
        <v>-6</v>
      </c>
      <c r="K463" s="63">
        <v>44512</v>
      </c>
      <c r="M463" s="24"/>
      <c r="N463" s="8"/>
      <c r="O463" s="9"/>
      <c r="P463" s="10"/>
      <c r="Q463" s="49">
        <f t="shared" si="498"/>
        <v>0</v>
      </c>
      <c r="R463" s="12"/>
      <c r="S463" s="9"/>
      <c r="T463" s="10"/>
      <c r="U463" s="49">
        <f t="shared" si="499"/>
        <v>0</v>
      </c>
      <c r="V463" s="11">
        <f t="shared" si="500"/>
        <v>0</v>
      </c>
      <c r="Y463" s="24"/>
      <c r="Z463" s="8"/>
      <c r="AA463" s="9"/>
      <c r="AB463" s="10"/>
      <c r="AC463" s="49">
        <f t="shared" si="492"/>
        <v>0</v>
      </c>
      <c r="AD463" s="12"/>
      <c r="AE463" s="9"/>
      <c r="AF463" s="10"/>
      <c r="AG463" s="49">
        <f t="shared" si="493"/>
        <v>0</v>
      </c>
      <c r="AH463" s="11">
        <f t="shared" si="494"/>
        <v>0</v>
      </c>
    </row>
    <row r="464" spans="1:34" x14ac:dyDescent="0.15">
      <c r="A464" s="25" t="s">
        <v>33</v>
      </c>
      <c r="B464" s="8"/>
      <c r="C464" s="9">
        <v>1</v>
      </c>
      <c r="D464" s="10"/>
      <c r="E464" s="49">
        <f t="shared" si="495"/>
        <v>1</v>
      </c>
      <c r="F464" s="12"/>
      <c r="G464" s="9"/>
      <c r="H464" s="10"/>
      <c r="I464" s="49">
        <f t="shared" si="496"/>
        <v>0</v>
      </c>
      <c r="J464" s="11">
        <f t="shared" si="497"/>
        <v>1</v>
      </c>
      <c r="K464" s="71">
        <v>44515</v>
      </c>
      <c r="M464" s="23"/>
      <c r="N464" s="8"/>
      <c r="O464" s="9"/>
      <c r="P464" s="10"/>
      <c r="Q464" s="49">
        <f t="shared" si="498"/>
        <v>0</v>
      </c>
      <c r="R464" s="12"/>
      <c r="S464" s="9"/>
      <c r="T464" s="10"/>
      <c r="U464" s="49">
        <f t="shared" si="499"/>
        <v>0</v>
      </c>
      <c r="V464" s="11">
        <f t="shared" si="500"/>
        <v>0</v>
      </c>
      <c r="Y464" s="26"/>
      <c r="Z464" s="8"/>
      <c r="AA464" s="9"/>
      <c r="AB464" s="10"/>
      <c r="AC464" s="49">
        <f t="shared" si="492"/>
        <v>0</v>
      </c>
      <c r="AD464" s="12"/>
      <c r="AE464" s="9"/>
      <c r="AF464" s="10"/>
      <c r="AG464" s="49">
        <f t="shared" si="493"/>
        <v>0</v>
      </c>
      <c r="AH464" s="11">
        <f t="shared" si="494"/>
        <v>0</v>
      </c>
    </row>
    <row r="465" spans="1:34" x14ac:dyDescent="0.15">
      <c r="A465" s="23" t="s">
        <v>189</v>
      </c>
      <c r="B465" s="13">
        <v>-3</v>
      </c>
      <c r="C465" s="14"/>
      <c r="D465" s="15"/>
      <c r="E465" s="49">
        <f t="shared" si="495"/>
        <v>-3</v>
      </c>
      <c r="F465" s="16"/>
      <c r="G465" s="14"/>
      <c r="H465" s="15"/>
      <c r="I465" s="49">
        <f t="shared" si="496"/>
        <v>0</v>
      </c>
      <c r="J465" s="11">
        <f t="shared" si="497"/>
        <v>-3</v>
      </c>
      <c r="K465" s="71">
        <v>44517</v>
      </c>
      <c r="M465" s="26"/>
      <c r="N465" s="8"/>
      <c r="O465" s="103"/>
      <c r="P465" s="104"/>
      <c r="Q465" s="49">
        <f t="shared" si="498"/>
        <v>0</v>
      </c>
      <c r="R465" s="12"/>
      <c r="S465" s="103"/>
      <c r="T465" s="104"/>
      <c r="U465" s="49">
        <f t="shared" si="499"/>
        <v>0</v>
      </c>
      <c r="V465" s="11">
        <f t="shared" si="500"/>
        <v>0</v>
      </c>
      <c r="Y465" s="26"/>
      <c r="Z465" s="8"/>
      <c r="AA465" s="9"/>
      <c r="AB465" s="10"/>
      <c r="AC465" s="49">
        <f t="shared" si="492"/>
        <v>0</v>
      </c>
      <c r="AD465" s="12"/>
      <c r="AE465" s="9"/>
      <c r="AF465" s="10"/>
      <c r="AG465" s="49">
        <f t="shared" si="493"/>
        <v>0</v>
      </c>
      <c r="AH465" s="11">
        <f t="shared" si="494"/>
        <v>0</v>
      </c>
    </row>
    <row r="466" spans="1:34" x14ac:dyDescent="0.15">
      <c r="A466" s="23" t="s">
        <v>303</v>
      </c>
      <c r="B466" s="8"/>
      <c r="C466" s="9"/>
      <c r="D466" s="10"/>
      <c r="E466" s="49">
        <f t="shared" si="495"/>
        <v>0</v>
      </c>
      <c r="F466" s="12">
        <v>1</v>
      </c>
      <c r="G466" s="9"/>
      <c r="H466" s="10"/>
      <c r="I466" s="49">
        <f t="shared" si="496"/>
        <v>1</v>
      </c>
      <c r="J466" s="11">
        <f t="shared" si="497"/>
        <v>1</v>
      </c>
      <c r="K466" s="71">
        <v>44522</v>
      </c>
      <c r="M466" s="26"/>
      <c r="N466" s="106"/>
      <c r="O466" s="103"/>
      <c r="P466" s="104"/>
      <c r="Q466" s="49">
        <f t="shared" si="498"/>
        <v>0</v>
      </c>
      <c r="R466" s="107"/>
      <c r="S466" s="103"/>
      <c r="T466" s="104"/>
      <c r="U466" s="49">
        <f t="shared" si="499"/>
        <v>0</v>
      </c>
      <c r="V466" s="11">
        <f t="shared" si="500"/>
        <v>0</v>
      </c>
      <c r="Y466" s="26"/>
      <c r="Z466" s="8"/>
      <c r="AA466" s="9"/>
      <c r="AB466" s="10"/>
      <c r="AC466" s="49">
        <f t="shared" si="492"/>
        <v>0</v>
      </c>
      <c r="AD466" s="12"/>
      <c r="AE466" s="9"/>
      <c r="AF466" s="10"/>
      <c r="AG466" s="49">
        <f t="shared" si="493"/>
        <v>0</v>
      </c>
      <c r="AH466" s="11">
        <f t="shared" si="494"/>
        <v>0</v>
      </c>
    </row>
    <row r="467" spans="1:34" x14ac:dyDescent="0.15">
      <c r="A467" s="25" t="s">
        <v>301</v>
      </c>
      <c r="B467" s="8">
        <v>-1</v>
      </c>
      <c r="C467" s="9"/>
      <c r="D467" s="10"/>
      <c r="E467" s="49">
        <f t="shared" si="495"/>
        <v>-1</v>
      </c>
      <c r="F467" s="12"/>
      <c r="G467" s="9"/>
      <c r="H467" s="10"/>
      <c r="I467" s="49">
        <f t="shared" si="496"/>
        <v>0</v>
      </c>
      <c r="J467" s="11">
        <f t="shared" si="497"/>
        <v>-1</v>
      </c>
      <c r="K467" s="71">
        <v>44522</v>
      </c>
      <c r="M467" s="26"/>
      <c r="N467" s="106"/>
      <c r="O467" s="103"/>
      <c r="P467" s="104"/>
      <c r="Q467" s="49">
        <f t="shared" si="498"/>
        <v>0</v>
      </c>
      <c r="R467" s="107"/>
      <c r="S467" s="103"/>
      <c r="T467" s="104"/>
      <c r="U467" s="49">
        <f t="shared" si="499"/>
        <v>0</v>
      </c>
      <c r="V467" s="11">
        <f t="shared" si="500"/>
        <v>0</v>
      </c>
      <c r="Y467" s="26"/>
      <c r="Z467" s="8"/>
      <c r="AA467" s="9"/>
      <c r="AB467" s="10"/>
      <c r="AC467" s="49">
        <f t="shared" si="492"/>
        <v>0</v>
      </c>
      <c r="AD467" s="12"/>
      <c r="AE467" s="9"/>
      <c r="AF467" s="10"/>
      <c r="AG467" s="49">
        <f t="shared" si="493"/>
        <v>0</v>
      </c>
      <c r="AH467" s="11">
        <f t="shared" si="494"/>
        <v>0</v>
      </c>
    </row>
    <row r="468" spans="1:34" x14ac:dyDescent="0.15">
      <c r="A468" s="25" t="s">
        <v>33</v>
      </c>
      <c r="B468" s="8">
        <v>1</v>
      </c>
      <c r="C468" s="9"/>
      <c r="D468" s="10"/>
      <c r="E468" s="49">
        <f t="shared" si="495"/>
        <v>1</v>
      </c>
      <c r="F468" s="12"/>
      <c r="G468" s="9"/>
      <c r="H468" s="10"/>
      <c r="I468" s="49">
        <f t="shared" si="496"/>
        <v>0</v>
      </c>
      <c r="J468" s="11">
        <f t="shared" si="497"/>
        <v>1</v>
      </c>
      <c r="K468" s="71">
        <v>44522</v>
      </c>
      <c r="M468" s="23"/>
      <c r="N468" s="8"/>
      <c r="O468" s="9"/>
      <c r="P468" s="10"/>
      <c r="Q468" s="49">
        <f t="shared" si="498"/>
        <v>0</v>
      </c>
      <c r="R468" s="12"/>
      <c r="S468" s="9"/>
      <c r="T468" s="10"/>
      <c r="U468" s="49">
        <f t="shared" si="499"/>
        <v>0</v>
      </c>
      <c r="V468" s="11">
        <f t="shared" si="500"/>
        <v>0</v>
      </c>
      <c r="Y468" s="26"/>
      <c r="Z468" s="8"/>
      <c r="AA468" s="9"/>
      <c r="AB468" s="10"/>
      <c r="AC468" s="49">
        <f t="shared" si="492"/>
        <v>0</v>
      </c>
      <c r="AD468" s="12"/>
      <c r="AE468" s="9"/>
      <c r="AF468" s="10"/>
      <c r="AG468" s="49">
        <f t="shared" si="493"/>
        <v>0</v>
      </c>
      <c r="AH468" s="11">
        <f t="shared" si="494"/>
        <v>0</v>
      </c>
    </row>
    <row r="469" spans="1:34" ht="14.25" thickBot="1" x14ac:dyDescent="0.2">
      <c r="A469" s="25" t="s">
        <v>33</v>
      </c>
      <c r="B469" s="13"/>
      <c r="C469" s="14">
        <v>1</v>
      </c>
      <c r="D469" s="15"/>
      <c r="E469" s="55">
        <f t="shared" si="495"/>
        <v>1</v>
      </c>
      <c r="F469" s="16"/>
      <c r="G469" s="14"/>
      <c r="H469" s="15"/>
      <c r="I469" s="55">
        <f t="shared" si="496"/>
        <v>0</v>
      </c>
      <c r="J469" s="11">
        <f t="shared" si="497"/>
        <v>1</v>
      </c>
      <c r="K469" s="71">
        <v>44524</v>
      </c>
      <c r="M469" s="26"/>
      <c r="N469" s="8"/>
      <c r="O469" s="9"/>
      <c r="P469" s="10"/>
      <c r="Q469" s="49">
        <f t="shared" si="498"/>
        <v>0</v>
      </c>
      <c r="R469" s="12"/>
      <c r="S469" s="9"/>
      <c r="T469" s="10"/>
      <c r="U469" s="49">
        <f t="shared" si="499"/>
        <v>0</v>
      </c>
      <c r="V469" s="11">
        <f t="shared" si="500"/>
        <v>0</v>
      </c>
      <c r="W469" s="142"/>
      <c r="X469" s="82"/>
      <c r="Y469" s="92"/>
      <c r="Z469" s="13"/>
      <c r="AA469" s="14"/>
      <c r="AB469" s="15"/>
      <c r="AC469" s="49">
        <f t="shared" si="492"/>
        <v>0</v>
      </c>
      <c r="AD469" s="16"/>
      <c r="AE469" s="14"/>
      <c r="AF469" s="15"/>
      <c r="AG469" s="49">
        <f t="shared" si="493"/>
        <v>0</v>
      </c>
      <c r="AH469" s="11">
        <f t="shared" si="494"/>
        <v>0</v>
      </c>
    </row>
    <row r="470" spans="1:34" ht="14.25" thickBot="1" x14ac:dyDescent="0.2">
      <c r="A470" s="41" t="s">
        <v>19</v>
      </c>
      <c r="B470" s="46">
        <f>SUM(B444:B469)</f>
        <v>15</v>
      </c>
      <c r="C470" s="47">
        <f t="shared" ref="C470:D470" si="501">SUM(C444:C469)</f>
        <v>23</v>
      </c>
      <c r="D470" s="59">
        <f t="shared" si="501"/>
        <v>9</v>
      </c>
      <c r="E470" s="45">
        <f t="shared" si="495"/>
        <v>47</v>
      </c>
      <c r="F470" s="46">
        <f>SUM(F444:F469)</f>
        <v>26</v>
      </c>
      <c r="G470" s="47">
        <f t="shared" ref="G470:H470" si="502">SUM(G444:G469)</f>
        <v>14</v>
      </c>
      <c r="H470" s="59">
        <f t="shared" si="502"/>
        <v>15</v>
      </c>
      <c r="I470" s="45">
        <f t="shared" si="496"/>
        <v>55</v>
      </c>
      <c r="J470" s="45">
        <f>E470+I470</f>
        <v>102</v>
      </c>
      <c r="M470" s="41" t="s">
        <v>19</v>
      </c>
      <c r="N470" s="46">
        <f>SUM(N444:N469)</f>
        <v>14</v>
      </c>
      <c r="O470" s="47">
        <f t="shared" ref="O470:P470" si="503">SUM(O444:O469)</f>
        <v>6</v>
      </c>
      <c r="P470" s="59">
        <f t="shared" si="503"/>
        <v>3</v>
      </c>
      <c r="Q470" s="45">
        <f t="shared" si="498"/>
        <v>23</v>
      </c>
      <c r="R470" s="46">
        <f>SUM(R444:R469)</f>
        <v>8</v>
      </c>
      <c r="S470" s="47">
        <f t="shared" ref="S470:T470" si="504">SUM(S444:S469)</f>
        <v>11</v>
      </c>
      <c r="T470" s="59">
        <f t="shared" si="504"/>
        <v>3</v>
      </c>
      <c r="U470" s="45">
        <f t="shared" si="499"/>
        <v>22</v>
      </c>
      <c r="V470" s="45">
        <f>Q470+U470</f>
        <v>45</v>
      </c>
      <c r="Y470" s="41" t="s">
        <v>19</v>
      </c>
      <c r="Z470" s="46">
        <f>SUM(Z444:Z469)</f>
        <v>0</v>
      </c>
      <c r="AA470" s="47">
        <f t="shared" ref="AA470:AB470" si="505">SUM(AA444:AA469)</f>
        <v>0</v>
      </c>
      <c r="AB470" s="59">
        <f t="shared" si="505"/>
        <v>0</v>
      </c>
      <c r="AC470" s="45">
        <f t="shared" si="492"/>
        <v>0</v>
      </c>
      <c r="AD470" s="46">
        <f>SUM(AD444:AD469)</f>
        <v>0</v>
      </c>
      <c r="AE470" s="47">
        <f t="shared" ref="AE470:AF470" si="506">SUM(AE444:AE469)</f>
        <v>0</v>
      </c>
      <c r="AF470" s="59">
        <f t="shared" si="506"/>
        <v>0</v>
      </c>
      <c r="AG470" s="45">
        <f t="shared" si="493"/>
        <v>0</v>
      </c>
      <c r="AH470" s="45">
        <f>AC470+AG470</f>
        <v>0</v>
      </c>
    </row>
    <row r="471" spans="1:34" ht="14.25" thickBot="1" x14ac:dyDescent="0.2">
      <c r="A471" s="22" t="s">
        <v>17</v>
      </c>
      <c r="B471" s="50">
        <f>B443-B470</f>
        <v>7</v>
      </c>
      <c r="C471" s="57">
        <f t="shared" ref="C471:D471" si="507">C443-C470</f>
        <v>1</v>
      </c>
      <c r="D471" s="58">
        <f t="shared" si="507"/>
        <v>6</v>
      </c>
      <c r="E471" s="56">
        <f>SUM(B471:D471)</f>
        <v>14</v>
      </c>
      <c r="F471" s="50">
        <f>F443-F470</f>
        <v>2</v>
      </c>
      <c r="G471" s="57">
        <f t="shared" ref="G471:H471" si="508">G443-G470</f>
        <v>4</v>
      </c>
      <c r="H471" s="58">
        <f t="shared" si="508"/>
        <v>5</v>
      </c>
      <c r="I471" s="56">
        <f>SUM(F471:H471)</f>
        <v>11</v>
      </c>
      <c r="J471" s="31">
        <f>E471+I471</f>
        <v>25</v>
      </c>
      <c r="M471" s="22" t="s">
        <v>17</v>
      </c>
      <c r="N471" s="50">
        <f>N443-N470</f>
        <v>644</v>
      </c>
      <c r="O471" s="57">
        <f t="shared" ref="O471:P471" si="509">O443-O470</f>
        <v>918</v>
      </c>
      <c r="P471" s="58">
        <f t="shared" si="509"/>
        <v>721</v>
      </c>
      <c r="Q471" s="56">
        <f>SUM(N471:P471)</f>
        <v>2283</v>
      </c>
      <c r="R471" s="50">
        <f>R443-R470</f>
        <v>695</v>
      </c>
      <c r="S471" s="57">
        <f t="shared" ref="S471:T471" si="510">S443-S470</f>
        <v>903</v>
      </c>
      <c r="T471" s="58">
        <f t="shared" si="510"/>
        <v>838</v>
      </c>
      <c r="U471" s="56">
        <f>SUM(R471:T471)</f>
        <v>2436</v>
      </c>
      <c r="V471" s="31">
        <f>Q471+U471</f>
        <v>4719</v>
      </c>
      <c r="Y471" s="22" t="s">
        <v>17</v>
      </c>
      <c r="Z471" s="50">
        <f>Z443-Z470</f>
        <v>0</v>
      </c>
      <c r="AA471" s="57">
        <f t="shared" ref="AA471:AB471" si="511">AA443-AA470</f>
        <v>0</v>
      </c>
      <c r="AB471" s="58">
        <f t="shared" si="511"/>
        <v>0</v>
      </c>
      <c r="AC471" s="56">
        <f>SUM(Z471:AB471)</f>
        <v>0</v>
      </c>
      <c r="AD471" s="50">
        <f>AD443-AD470</f>
        <v>0</v>
      </c>
      <c r="AE471" s="57">
        <f t="shared" ref="AE471:AF471" si="512">AE443-AE470</f>
        <v>0</v>
      </c>
      <c r="AF471" s="58">
        <f t="shared" si="512"/>
        <v>0</v>
      </c>
      <c r="AG471" s="56">
        <f>SUM(AD471:AF471)</f>
        <v>0</v>
      </c>
      <c r="AH471" s="31">
        <f>AC471+AG471</f>
        <v>0</v>
      </c>
    </row>
    <row r="474" spans="1:34" ht="19.5" thickBot="1" x14ac:dyDescent="0.25">
      <c r="A474" s="3" t="s">
        <v>21</v>
      </c>
      <c r="B474" s="1"/>
      <c r="C474" s="1"/>
      <c r="D474" s="1"/>
      <c r="E474" s="1"/>
      <c r="F474" s="1"/>
      <c r="G474" s="1"/>
      <c r="H474" s="1"/>
      <c r="I474" s="1"/>
      <c r="J474" s="1"/>
      <c r="M474" s="3" t="s">
        <v>22</v>
      </c>
      <c r="N474" s="1"/>
      <c r="O474" s="1"/>
      <c r="P474" s="1"/>
      <c r="Q474" s="1"/>
      <c r="R474" s="1"/>
      <c r="S474" s="1"/>
      <c r="T474" s="1"/>
      <c r="U474" s="1"/>
      <c r="V474" s="1"/>
      <c r="Y474" s="3" t="s">
        <v>23</v>
      </c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4.25" thickBot="1" x14ac:dyDescent="0.2">
      <c r="A475" s="7" t="s">
        <v>0</v>
      </c>
      <c r="B475" s="165" t="s">
        <v>24</v>
      </c>
      <c r="C475" s="166"/>
      <c r="D475" s="166"/>
      <c r="E475" s="170"/>
      <c r="F475" s="165" t="s">
        <v>18</v>
      </c>
      <c r="G475" s="166"/>
      <c r="H475" s="166"/>
      <c r="I475" s="167"/>
      <c r="J475" s="168" t="s">
        <v>1</v>
      </c>
      <c r="M475" s="7" t="s">
        <v>0</v>
      </c>
      <c r="N475" s="165" t="s">
        <v>24</v>
      </c>
      <c r="O475" s="166"/>
      <c r="P475" s="166"/>
      <c r="Q475" s="170"/>
      <c r="R475" s="165" t="s">
        <v>18</v>
      </c>
      <c r="S475" s="166"/>
      <c r="T475" s="166"/>
      <c r="U475" s="167"/>
      <c r="V475" s="168" t="s">
        <v>1</v>
      </c>
      <c r="Y475" s="7" t="s">
        <v>0</v>
      </c>
      <c r="Z475" s="165" t="s">
        <v>24</v>
      </c>
      <c r="AA475" s="166"/>
      <c r="AB475" s="166"/>
      <c r="AC475" s="170"/>
      <c r="AD475" s="165" t="s">
        <v>18</v>
      </c>
      <c r="AE475" s="166"/>
      <c r="AF475" s="166"/>
      <c r="AG475" s="167"/>
      <c r="AH475" s="168" t="s">
        <v>1</v>
      </c>
    </row>
    <row r="476" spans="1:34" ht="14.25" thickBot="1" x14ac:dyDescent="0.2">
      <c r="A476" s="7" t="s">
        <v>2</v>
      </c>
      <c r="B476" s="4" t="s">
        <v>3</v>
      </c>
      <c r="C476" s="5" t="s">
        <v>4</v>
      </c>
      <c r="D476" s="6" t="s">
        <v>5</v>
      </c>
      <c r="E476" s="7" t="s">
        <v>6</v>
      </c>
      <c r="F476" s="4" t="s">
        <v>3</v>
      </c>
      <c r="G476" s="5" t="s">
        <v>4</v>
      </c>
      <c r="H476" s="6" t="s">
        <v>5</v>
      </c>
      <c r="I476" s="7" t="s">
        <v>6</v>
      </c>
      <c r="J476" s="169"/>
      <c r="M476" s="7" t="s">
        <v>2</v>
      </c>
      <c r="N476" s="4" t="s">
        <v>3</v>
      </c>
      <c r="O476" s="5" t="s">
        <v>4</v>
      </c>
      <c r="P476" s="6" t="s">
        <v>5</v>
      </c>
      <c r="Q476" s="7" t="s">
        <v>6</v>
      </c>
      <c r="R476" s="4" t="s">
        <v>3</v>
      </c>
      <c r="S476" s="5" t="s">
        <v>4</v>
      </c>
      <c r="T476" s="6" t="s">
        <v>5</v>
      </c>
      <c r="U476" s="7" t="s">
        <v>6</v>
      </c>
      <c r="V476" s="169"/>
      <c r="Y476" s="7" t="s">
        <v>2</v>
      </c>
      <c r="Z476" s="4" t="s">
        <v>3</v>
      </c>
      <c r="AA476" s="5" t="s">
        <v>4</v>
      </c>
      <c r="AB476" s="6" t="s">
        <v>5</v>
      </c>
      <c r="AC476" s="7" t="s">
        <v>6</v>
      </c>
      <c r="AD476" s="4" t="s">
        <v>3</v>
      </c>
      <c r="AE476" s="5" t="s">
        <v>4</v>
      </c>
      <c r="AF476" s="6" t="s">
        <v>5</v>
      </c>
      <c r="AG476" s="7" t="s">
        <v>6</v>
      </c>
      <c r="AH476" s="169"/>
    </row>
    <row r="477" spans="1:34" ht="14.25" thickBot="1" x14ac:dyDescent="0.2">
      <c r="A477" s="27" t="s">
        <v>20</v>
      </c>
      <c r="B477" s="38">
        <f>B471</f>
        <v>7</v>
      </c>
      <c r="C477" s="39">
        <f>C471</f>
        <v>1</v>
      </c>
      <c r="D477" s="2">
        <f>D471</f>
        <v>6</v>
      </c>
      <c r="E477" s="36">
        <f>SUM(B477:D477)</f>
        <v>14</v>
      </c>
      <c r="F477" s="38">
        <f>F471</f>
        <v>2</v>
      </c>
      <c r="G477" s="39">
        <f>G471</f>
        <v>4</v>
      </c>
      <c r="H477" s="2">
        <f>H471</f>
        <v>5</v>
      </c>
      <c r="I477" s="36">
        <f>SUM(F477:H477)</f>
        <v>11</v>
      </c>
      <c r="J477" s="36">
        <f>E477+I477</f>
        <v>25</v>
      </c>
      <c r="M477" s="27" t="s">
        <v>20</v>
      </c>
      <c r="N477" s="38">
        <f>N471</f>
        <v>644</v>
      </c>
      <c r="O477" s="39">
        <f>O471</f>
        <v>918</v>
      </c>
      <c r="P477" s="2">
        <f>P471</f>
        <v>721</v>
      </c>
      <c r="Q477" s="36">
        <f>SUM(N477:P477)</f>
        <v>2283</v>
      </c>
      <c r="R477" s="38">
        <f>R471</f>
        <v>695</v>
      </c>
      <c r="S477" s="39">
        <f>S471</f>
        <v>903</v>
      </c>
      <c r="T477" s="2">
        <f>T471</f>
        <v>838</v>
      </c>
      <c r="U477" s="36">
        <f>SUM(R477:T477)</f>
        <v>2436</v>
      </c>
      <c r="V477" s="36">
        <f>Q477+U477</f>
        <v>4719</v>
      </c>
      <c r="Y477" s="27" t="s">
        <v>20</v>
      </c>
      <c r="Z477" s="38">
        <f>Z471</f>
        <v>0</v>
      </c>
      <c r="AA477" s="39">
        <f>AA471</f>
        <v>0</v>
      </c>
      <c r="AB477" s="2">
        <f>AB471</f>
        <v>0</v>
      </c>
      <c r="AC477" s="36">
        <f>SUM(Z477:AB477)</f>
        <v>0</v>
      </c>
      <c r="AD477" s="38">
        <f>AD471</f>
        <v>0</v>
      </c>
      <c r="AE477" s="39">
        <f>AE471</f>
        <v>0</v>
      </c>
      <c r="AF477" s="2">
        <f>AF471</f>
        <v>0</v>
      </c>
      <c r="AG477" s="36">
        <f>SUM(AD477:AF477)</f>
        <v>0</v>
      </c>
      <c r="AH477" s="36">
        <f>AC477+AG477</f>
        <v>0</v>
      </c>
    </row>
    <row r="478" spans="1:34" x14ac:dyDescent="0.15">
      <c r="A478" s="25" t="s">
        <v>8</v>
      </c>
      <c r="B478" s="42"/>
      <c r="C478" s="43">
        <v>5</v>
      </c>
      <c r="D478" s="44"/>
      <c r="E478" s="48">
        <f>SUM(B478:D478)</f>
        <v>5</v>
      </c>
      <c r="F478" s="60">
        <v>5</v>
      </c>
      <c r="G478" s="43"/>
      <c r="H478" s="61"/>
      <c r="I478" s="48">
        <f>SUM(F478:H478)</f>
        <v>5</v>
      </c>
      <c r="J478" s="48">
        <f>E478+I478</f>
        <v>10</v>
      </c>
      <c r="K478" s="63">
        <v>44525</v>
      </c>
      <c r="M478" s="25" t="s">
        <v>160</v>
      </c>
      <c r="N478" s="42"/>
      <c r="O478" s="43"/>
      <c r="P478" s="44">
        <v>3</v>
      </c>
      <c r="Q478" s="48">
        <f>SUM(N478:P478)</f>
        <v>3</v>
      </c>
      <c r="R478" s="60"/>
      <c r="S478" s="43"/>
      <c r="T478" s="61"/>
      <c r="U478" s="48">
        <f>SUM(R478:T478)</f>
        <v>0</v>
      </c>
      <c r="V478" s="48">
        <f>Q478+U478</f>
        <v>3</v>
      </c>
      <c r="W478" s="140">
        <v>44569</v>
      </c>
      <c r="Y478" s="25" t="s">
        <v>8</v>
      </c>
      <c r="Z478" s="42"/>
      <c r="AA478" s="43"/>
      <c r="AB478" s="44"/>
      <c r="AC478" s="48">
        <f>SUM(Z478:AB478)</f>
        <v>0</v>
      </c>
      <c r="AD478" s="60"/>
      <c r="AE478" s="43"/>
      <c r="AF478" s="61"/>
      <c r="AG478" s="48">
        <f>SUM(AD478:AF478)</f>
        <v>0</v>
      </c>
      <c r="AH478" s="48">
        <f>AC478+AG478</f>
        <v>0</v>
      </c>
    </row>
    <row r="479" spans="1:34" x14ac:dyDescent="0.15">
      <c r="A479" s="25" t="s">
        <v>134</v>
      </c>
      <c r="B479" s="8"/>
      <c r="C479" s="9">
        <v>1</v>
      </c>
      <c r="D479" s="52"/>
      <c r="E479" s="11">
        <f>SUM(B479:D479)</f>
        <v>1</v>
      </c>
      <c r="F479" s="12"/>
      <c r="G479" s="9">
        <v>1</v>
      </c>
      <c r="H479" s="10"/>
      <c r="I479" s="11">
        <f>SUM(F479:H479)</f>
        <v>1</v>
      </c>
      <c r="J479" s="11">
        <f>E479+I479</f>
        <v>2</v>
      </c>
      <c r="K479" s="71">
        <v>44543</v>
      </c>
      <c r="M479" s="25" t="s">
        <v>9</v>
      </c>
      <c r="N479" s="8"/>
      <c r="O479" s="9"/>
      <c r="P479" s="52"/>
      <c r="Q479" s="11">
        <f t="shared" ref="Q479:Q485" si="513">SUM(N479:P479)</f>
        <v>0</v>
      </c>
      <c r="R479" s="12"/>
      <c r="S479" s="9"/>
      <c r="T479" s="10"/>
      <c r="U479" s="11">
        <f t="shared" ref="U479:U485" si="514">SUM(R479:T479)</f>
        <v>0</v>
      </c>
      <c r="V479" s="11">
        <f t="shared" ref="V479:V485" si="515">Q479+U479</f>
        <v>0</v>
      </c>
      <c r="W479" s="142"/>
      <c r="Y479" s="25" t="s">
        <v>9</v>
      </c>
      <c r="Z479" s="8"/>
      <c r="AA479" s="9"/>
      <c r="AB479" s="52"/>
      <c r="AC479" s="11">
        <f t="shared" ref="AC479:AC485" si="516">SUM(Z479:AB479)</f>
        <v>0</v>
      </c>
      <c r="AD479" s="12"/>
      <c r="AE479" s="9"/>
      <c r="AF479" s="10"/>
      <c r="AG479" s="11">
        <f t="shared" ref="AG479:AG485" si="517">SUM(AD479:AF479)</f>
        <v>0</v>
      </c>
      <c r="AH479" s="11">
        <f t="shared" ref="AH479:AH485" si="518">AC479+AG479</f>
        <v>0</v>
      </c>
    </row>
    <row r="480" spans="1:34" x14ac:dyDescent="0.15">
      <c r="A480" s="23" t="s">
        <v>311</v>
      </c>
      <c r="B480" s="17"/>
      <c r="C480" s="18"/>
      <c r="D480" s="51"/>
      <c r="E480" s="11">
        <f t="shared" ref="E480:E485" si="519">SUM(B480:D480)</f>
        <v>0</v>
      </c>
      <c r="F480" s="20">
        <v>1</v>
      </c>
      <c r="G480" s="18"/>
      <c r="H480" s="19"/>
      <c r="I480" s="11">
        <f t="shared" ref="I480:I485" si="520">SUM(F480:H480)</f>
        <v>1</v>
      </c>
      <c r="J480" s="11">
        <f t="shared" ref="J480:J485" si="521">E480+I480</f>
        <v>1</v>
      </c>
      <c r="K480" s="71">
        <v>44587</v>
      </c>
      <c r="M480" s="25" t="s">
        <v>10</v>
      </c>
      <c r="N480" s="17"/>
      <c r="O480" s="18"/>
      <c r="P480" s="51"/>
      <c r="Q480" s="49">
        <f t="shared" si="513"/>
        <v>0</v>
      </c>
      <c r="R480" s="20"/>
      <c r="S480" s="18"/>
      <c r="T480" s="19"/>
      <c r="U480" s="49">
        <f t="shared" si="514"/>
        <v>0</v>
      </c>
      <c r="V480" s="49">
        <f t="shared" si="515"/>
        <v>0</v>
      </c>
      <c r="W480" s="142"/>
      <c r="Y480" s="25" t="s">
        <v>10</v>
      </c>
      <c r="Z480" s="17"/>
      <c r="AA480" s="18"/>
      <c r="AB480" s="51"/>
      <c r="AC480" s="11">
        <f t="shared" si="516"/>
        <v>0</v>
      </c>
      <c r="AD480" s="20"/>
      <c r="AE480" s="18"/>
      <c r="AF480" s="19"/>
      <c r="AG480" s="11">
        <f t="shared" si="517"/>
        <v>0</v>
      </c>
      <c r="AH480" s="11">
        <f t="shared" si="518"/>
        <v>0</v>
      </c>
    </row>
    <row r="481" spans="1:34" x14ac:dyDescent="0.15">
      <c r="A481" s="25" t="s">
        <v>11</v>
      </c>
      <c r="B481" s="8"/>
      <c r="C481" s="9"/>
      <c r="D481" s="52">
        <v>3</v>
      </c>
      <c r="E481" s="11">
        <f t="shared" si="519"/>
        <v>3</v>
      </c>
      <c r="F481" s="12"/>
      <c r="G481" s="9">
        <v>3</v>
      </c>
      <c r="H481" s="10"/>
      <c r="I481" s="11">
        <f t="shared" si="520"/>
        <v>3</v>
      </c>
      <c r="J481" s="11">
        <f t="shared" si="521"/>
        <v>6</v>
      </c>
      <c r="K481" s="63">
        <v>44606</v>
      </c>
      <c r="M481" s="25" t="s">
        <v>11</v>
      </c>
      <c r="N481" s="8"/>
      <c r="O481" s="9"/>
      <c r="P481" s="52"/>
      <c r="Q481" s="11">
        <f t="shared" si="513"/>
        <v>0</v>
      </c>
      <c r="R481" s="12"/>
      <c r="S481" s="9"/>
      <c r="T481" s="10"/>
      <c r="U481" s="11">
        <f t="shared" si="514"/>
        <v>0</v>
      </c>
      <c r="V481" s="11">
        <f t="shared" si="515"/>
        <v>0</v>
      </c>
      <c r="W481" s="142"/>
      <c r="Y481" s="25" t="s">
        <v>11</v>
      </c>
      <c r="Z481" s="8"/>
      <c r="AA481" s="9"/>
      <c r="AB481" s="52"/>
      <c r="AC481" s="11">
        <f t="shared" si="516"/>
        <v>0</v>
      </c>
      <c r="AD481" s="12"/>
      <c r="AE481" s="9"/>
      <c r="AF481" s="10"/>
      <c r="AG481" s="11">
        <f t="shared" si="517"/>
        <v>0</v>
      </c>
      <c r="AH481" s="11">
        <f t="shared" si="518"/>
        <v>0</v>
      </c>
    </row>
    <row r="482" spans="1:34" x14ac:dyDescent="0.15">
      <c r="A482" s="25" t="s">
        <v>12</v>
      </c>
      <c r="B482" s="8">
        <v>5</v>
      </c>
      <c r="C482" s="9">
        <v>5</v>
      </c>
      <c r="D482" s="52">
        <v>5</v>
      </c>
      <c r="E482" s="11">
        <f t="shared" si="519"/>
        <v>15</v>
      </c>
      <c r="F482" s="12">
        <v>5</v>
      </c>
      <c r="G482" s="9">
        <v>5</v>
      </c>
      <c r="H482" s="10">
        <v>5</v>
      </c>
      <c r="I482" s="11">
        <f t="shared" si="520"/>
        <v>15</v>
      </c>
      <c r="J482" s="11">
        <f t="shared" si="521"/>
        <v>30</v>
      </c>
      <c r="K482" s="71">
        <v>44625</v>
      </c>
      <c r="M482" s="25" t="s">
        <v>12</v>
      </c>
      <c r="N482" s="8"/>
      <c r="O482" s="9"/>
      <c r="P482" s="52"/>
      <c r="Q482" s="11">
        <f t="shared" si="513"/>
        <v>0</v>
      </c>
      <c r="R482" s="12"/>
      <c r="S482" s="9"/>
      <c r="T482" s="10"/>
      <c r="U482" s="11">
        <f t="shared" si="514"/>
        <v>0</v>
      </c>
      <c r="V482" s="11">
        <f t="shared" si="515"/>
        <v>0</v>
      </c>
      <c r="W482" s="142"/>
      <c r="Y482" s="25" t="s">
        <v>12</v>
      </c>
      <c r="Z482" s="8"/>
      <c r="AA482" s="9"/>
      <c r="AB482" s="52"/>
      <c r="AC482" s="11">
        <f t="shared" si="516"/>
        <v>0</v>
      </c>
      <c r="AD482" s="12"/>
      <c r="AE482" s="9"/>
      <c r="AF482" s="10"/>
      <c r="AG482" s="11">
        <f t="shared" si="517"/>
        <v>0</v>
      </c>
      <c r="AH482" s="11">
        <f t="shared" si="518"/>
        <v>0</v>
      </c>
    </row>
    <row r="483" spans="1:34" x14ac:dyDescent="0.15">
      <c r="A483" s="25" t="s">
        <v>204</v>
      </c>
      <c r="B483" s="8">
        <v>-1</v>
      </c>
      <c r="C483" s="9"/>
      <c r="D483" s="52"/>
      <c r="E483" s="11">
        <f t="shared" si="519"/>
        <v>-1</v>
      </c>
      <c r="F483" s="12"/>
      <c r="G483" s="9"/>
      <c r="H483" s="10"/>
      <c r="I483" s="11">
        <f t="shared" si="520"/>
        <v>0</v>
      </c>
      <c r="J483" s="11">
        <f t="shared" si="521"/>
        <v>-1</v>
      </c>
      <c r="K483" s="71">
        <v>44625</v>
      </c>
      <c r="M483" s="25" t="s">
        <v>13</v>
      </c>
      <c r="N483" s="8"/>
      <c r="O483" s="9"/>
      <c r="P483" s="52"/>
      <c r="Q483" s="11">
        <f t="shared" si="513"/>
        <v>0</v>
      </c>
      <c r="R483" s="12"/>
      <c r="S483" s="9"/>
      <c r="T483" s="10"/>
      <c r="U483" s="11">
        <f t="shared" si="514"/>
        <v>0</v>
      </c>
      <c r="V483" s="11">
        <f t="shared" si="515"/>
        <v>0</v>
      </c>
      <c r="W483" s="142"/>
      <c r="Y483" s="25" t="s">
        <v>13</v>
      </c>
      <c r="Z483" s="8"/>
      <c r="AA483" s="9"/>
      <c r="AB483" s="52"/>
      <c r="AC483" s="11">
        <f t="shared" si="516"/>
        <v>0</v>
      </c>
      <c r="AD483" s="12"/>
      <c r="AE483" s="9"/>
      <c r="AF483" s="10"/>
      <c r="AG483" s="11">
        <f t="shared" si="517"/>
        <v>0</v>
      </c>
      <c r="AH483" s="11">
        <f t="shared" si="518"/>
        <v>0</v>
      </c>
    </row>
    <row r="484" spans="1:34" x14ac:dyDescent="0.15">
      <c r="A484" s="25" t="s">
        <v>14</v>
      </c>
      <c r="B484" s="13">
        <v>3</v>
      </c>
      <c r="C484" s="14"/>
      <c r="D484" s="53"/>
      <c r="E484" s="11">
        <f t="shared" si="519"/>
        <v>3</v>
      </c>
      <c r="F484" s="16"/>
      <c r="G484" s="14"/>
      <c r="H484" s="15"/>
      <c r="I484" s="11">
        <f t="shared" si="520"/>
        <v>0</v>
      </c>
      <c r="J484" s="11">
        <f t="shared" si="521"/>
        <v>3</v>
      </c>
      <c r="K484" s="63">
        <v>44634</v>
      </c>
      <c r="M484" s="25" t="s">
        <v>14</v>
      </c>
      <c r="N484" s="13"/>
      <c r="O484" s="14"/>
      <c r="P484" s="53"/>
      <c r="Q484" s="11">
        <f t="shared" si="513"/>
        <v>0</v>
      </c>
      <c r="R484" s="16"/>
      <c r="S484" s="14"/>
      <c r="T484" s="15"/>
      <c r="U484" s="11">
        <f t="shared" si="514"/>
        <v>0</v>
      </c>
      <c r="V484" s="11">
        <f t="shared" si="515"/>
        <v>0</v>
      </c>
      <c r="W484" s="142"/>
      <c r="Y484" s="25" t="s">
        <v>14</v>
      </c>
      <c r="Z484" s="13"/>
      <c r="AA484" s="14"/>
      <c r="AB484" s="53"/>
      <c r="AC484" s="11">
        <f t="shared" si="516"/>
        <v>0</v>
      </c>
      <c r="AD484" s="16"/>
      <c r="AE484" s="14"/>
      <c r="AF484" s="15"/>
      <c r="AG484" s="11">
        <f t="shared" si="517"/>
        <v>0</v>
      </c>
      <c r="AH484" s="11">
        <f t="shared" si="518"/>
        <v>0</v>
      </c>
    </row>
    <row r="485" spans="1:34" ht="14.25" thickBot="1" x14ac:dyDescent="0.2">
      <c r="A485" s="25" t="s">
        <v>15</v>
      </c>
      <c r="B485" s="13">
        <v>3</v>
      </c>
      <c r="C485" s="14"/>
      <c r="D485" s="53"/>
      <c r="E485" s="62">
        <f t="shared" si="519"/>
        <v>3</v>
      </c>
      <c r="F485" s="34">
        <v>3</v>
      </c>
      <c r="G485" s="34"/>
      <c r="H485" s="37"/>
      <c r="I485" s="62">
        <f t="shared" si="520"/>
        <v>3</v>
      </c>
      <c r="J485" s="21">
        <f t="shared" si="521"/>
        <v>6</v>
      </c>
      <c r="K485" s="63">
        <v>44643</v>
      </c>
      <c r="M485" s="25" t="s">
        <v>15</v>
      </c>
      <c r="N485" s="13"/>
      <c r="O485" s="14"/>
      <c r="P485" s="53"/>
      <c r="Q485" s="62">
        <f t="shared" si="513"/>
        <v>0</v>
      </c>
      <c r="R485" s="34"/>
      <c r="S485" s="34"/>
      <c r="T485" s="37"/>
      <c r="U485" s="62">
        <f t="shared" si="514"/>
        <v>0</v>
      </c>
      <c r="V485" s="21">
        <f t="shared" si="515"/>
        <v>0</v>
      </c>
      <c r="W485" s="142"/>
      <c r="Y485" s="25" t="s">
        <v>15</v>
      </c>
      <c r="Z485" s="13"/>
      <c r="AA485" s="14"/>
      <c r="AB485" s="53"/>
      <c r="AC485" s="62">
        <f t="shared" si="516"/>
        <v>0</v>
      </c>
      <c r="AD485" s="34"/>
      <c r="AE485" s="34"/>
      <c r="AF485" s="37"/>
      <c r="AG485" s="62">
        <f t="shared" si="517"/>
        <v>0</v>
      </c>
      <c r="AH485" s="21">
        <f t="shared" si="518"/>
        <v>0</v>
      </c>
    </row>
    <row r="486" spans="1:34" ht="14.25" thickBot="1" x14ac:dyDescent="0.2">
      <c r="A486" s="35" t="s">
        <v>16</v>
      </c>
      <c r="B486" s="28">
        <f>SUM(B477:B485)</f>
        <v>17</v>
      </c>
      <c r="C486" s="29">
        <f t="shared" ref="C486:D486" si="522">SUM(C477:C485)</f>
        <v>12</v>
      </c>
      <c r="D486" s="68">
        <f t="shared" si="522"/>
        <v>14</v>
      </c>
      <c r="E486" s="64">
        <f>SUM(B486:D486)</f>
        <v>43</v>
      </c>
      <c r="F486" s="28">
        <f>SUM(F477:F485)</f>
        <v>16</v>
      </c>
      <c r="G486" s="29">
        <f t="shared" ref="G486:H486" si="523">SUM(G477:G485)</f>
        <v>13</v>
      </c>
      <c r="H486" s="68">
        <f t="shared" si="523"/>
        <v>10</v>
      </c>
      <c r="I486" s="64">
        <f>SUM(F486:H486)</f>
        <v>39</v>
      </c>
      <c r="J486" s="31">
        <f>SUM(J478:J485)</f>
        <v>57</v>
      </c>
      <c r="M486" s="35" t="s">
        <v>16</v>
      </c>
      <c r="N486" s="28">
        <f>SUM(N477:N485)</f>
        <v>644</v>
      </c>
      <c r="O486" s="29">
        <f t="shared" ref="O486:P486" si="524">SUM(O477:O485)</f>
        <v>918</v>
      </c>
      <c r="P486" s="68">
        <f t="shared" si="524"/>
        <v>724</v>
      </c>
      <c r="Q486" s="64">
        <f>SUM(N486:P486)</f>
        <v>2286</v>
      </c>
      <c r="R486" s="28">
        <f>SUM(R477:R485)</f>
        <v>695</v>
      </c>
      <c r="S486" s="29">
        <f t="shared" ref="S486:T486" si="525">SUM(S477:S485)</f>
        <v>903</v>
      </c>
      <c r="T486" s="68">
        <f t="shared" si="525"/>
        <v>838</v>
      </c>
      <c r="U486" s="64">
        <f>SUM(R486:T486)</f>
        <v>2436</v>
      </c>
      <c r="V486" s="31">
        <f>Q486+U486</f>
        <v>4722</v>
      </c>
      <c r="Y486" s="35" t="s">
        <v>16</v>
      </c>
      <c r="Z486" s="28">
        <f>SUM(Z477:Z485)</f>
        <v>0</v>
      </c>
      <c r="AA486" s="29">
        <f t="shared" ref="AA486:AB486" si="526">SUM(AA477:AA485)</f>
        <v>0</v>
      </c>
      <c r="AB486" s="68">
        <f t="shared" si="526"/>
        <v>0</v>
      </c>
      <c r="AC486" s="64">
        <f>SUM(Z486:AB486)</f>
        <v>0</v>
      </c>
      <c r="AD486" s="28">
        <f>SUM(AD477:AD485)</f>
        <v>0</v>
      </c>
      <c r="AE486" s="29">
        <f t="shared" ref="AE486:AF486" si="527">SUM(AE477:AE485)</f>
        <v>0</v>
      </c>
      <c r="AF486" s="68">
        <f t="shared" si="527"/>
        <v>0</v>
      </c>
      <c r="AG486" s="64">
        <f>SUM(AD486:AF486)</f>
        <v>0</v>
      </c>
      <c r="AH486" s="31">
        <f>AC486+AG486</f>
        <v>0</v>
      </c>
    </row>
    <row r="487" spans="1:34" x14ac:dyDescent="0.15">
      <c r="A487" s="25" t="s">
        <v>33</v>
      </c>
      <c r="B487" s="65"/>
      <c r="C487" s="66">
        <v>2</v>
      </c>
      <c r="D487" s="67"/>
      <c r="E487" s="49">
        <f>SUM(B487:D487)</f>
        <v>2</v>
      </c>
      <c r="F487" s="16"/>
      <c r="G487" s="14"/>
      <c r="H487" s="15"/>
      <c r="I487" s="49">
        <f>SUM(F487:H487)</f>
        <v>0</v>
      </c>
      <c r="J487" s="11">
        <f>E487+I487</f>
        <v>2</v>
      </c>
      <c r="K487" s="71">
        <v>44529</v>
      </c>
      <c r="M487" s="119" t="s">
        <v>304</v>
      </c>
      <c r="N487" s="65"/>
      <c r="O487" s="66">
        <v>5</v>
      </c>
      <c r="P487" s="67"/>
      <c r="Q487" s="49">
        <f>SUM(N487:P487)</f>
        <v>5</v>
      </c>
      <c r="R487" s="16">
        <v>5</v>
      </c>
      <c r="S487" s="14"/>
      <c r="T487" s="15"/>
      <c r="U487" s="49">
        <f>SUM(R487:T487)</f>
        <v>5</v>
      </c>
      <c r="V487" s="11">
        <f>Q487+U487</f>
        <v>10</v>
      </c>
      <c r="W487" s="140">
        <v>44525</v>
      </c>
      <c r="Y487" s="26"/>
      <c r="Z487" s="8"/>
      <c r="AA487" s="9"/>
      <c r="AB487" s="52"/>
      <c r="AC487" s="11">
        <f t="shared" ref="AC487:AC513" si="528">SUM(Z487:AB487)</f>
        <v>0</v>
      </c>
      <c r="AD487" s="12"/>
      <c r="AE487" s="9"/>
      <c r="AF487" s="10"/>
      <c r="AG487" s="11">
        <f t="shared" ref="AG487:AG513" si="529">SUM(AD487:AF487)</f>
        <v>0</v>
      </c>
      <c r="AH487" s="11">
        <f t="shared" ref="AH487:AH512" si="530">AC487+AG487</f>
        <v>0</v>
      </c>
    </row>
    <row r="488" spans="1:34" x14ac:dyDescent="0.15">
      <c r="A488" s="25" t="s">
        <v>33</v>
      </c>
      <c r="B488" s="8"/>
      <c r="C488" s="9"/>
      <c r="D488" s="10"/>
      <c r="E488" s="49">
        <f t="shared" ref="E488:E513" si="531">SUM(B488:D488)</f>
        <v>0</v>
      </c>
      <c r="F488" s="12">
        <v>1</v>
      </c>
      <c r="G488" s="9"/>
      <c r="H488" s="10"/>
      <c r="I488" s="49">
        <f t="shared" ref="I488:I513" si="532">SUM(F488:H488)</f>
        <v>1</v>
      </c>
      <c r="J488" s="11">
        <f t="shared" ref="J488:J512" si="533">E488+I488</f>
        <v>1</v>
      </c>
      <c r="K488" s="71">
        <v>44532</v>
      </c>
      <c r="M488" s="26" t="s">
        <v>314</v>
      </c>
      <c r="N488" s="8"/>
      <c r="O488" s="9"/>
      <c r="P488" s="10">
        <v>5</v>
      </c>
      <c r="Q488" s="49">
        <f t="shared" ref="Q488:Q513" si="534">SUM(N488:P488)</f>
        <v>5</v>
      </c>
      <c r="R488" s="12"/>
      <c r="S488" s="9"/>
      <c r="T488" s="10">
        <v>5</v>
      </c>
      <c r="U488" s="49">
        <f t="shared" ref="U488:U513" si="535">SUM(R488:T488)</f>
        <v>5</v>
      </c>
      <c r="V488" s="11">
        <f t="shared" ref="V488:V512" si="536">Q488+U488</f>
        <v>10</v>
      </c>
      <c r="W488" s="140">
        <v>44599</v>
      </c>
      <c r="Y488" s="26"/>
      <c r="Z488" s="17"/>
      <c r="AA488" s="18"/>
      <c r="AB488" s="51"/>
      <c r="AC488" s="11">
        <f t="shared" si="528"/>
        <v>0</v>
      </c>
      <c r="AD488" s="20"/>
      <c r="AE488" s="18"/>
      <c r="AF488" s="19"/>
      <c r="AG488" s="11">
        <f t="shared" si="529"/>
        <v>0</v>
      </c>
      <c r="AH488" s="11">
        <f t="shared" si="530"/>
        <v>0</v>
      </c>
    </row>
    <row r="489" spans="1:34" x14ac:dyDescent="0.15">
      <c r="A489" s="23" t="s">
        <v>305</v>
      </c>
      <c r="B489" s="8"/>
      <c r="C489" s="9"/>
      <c r="D489" s="10"/>
      <c r="E489" s="49">
        <f t="shared" si="531"/>
        <v>0</v>
      </c>
      <c r="F489" s="12">
        <v>1</v>
      </c>
      <c r="G489" s="9"/>
      <c r="H489" s="10"/>
      <c r="I489" s="49">
        <f t="shared" si="532"/>
        <v>1</v>
      </c>
      <c r="J489" s="11">
        <f t="shared" si="533"/>
        <v>1</v>
      </c>
      <c r="K489" s="71">
        <v>44539</v>
      </c>
      <c r="M489" s="119" t="s">
        <v>28</v>
      </c>
      <c r="N489" s="8"/>
      <c r="O489" s="9"/>
      <c r="P489" s="10">
        <v>3</v>
      </c>
      <c r="Q489" s="49">
        <f t="shared" si="534"/>
        <v>3</v>
      </c>
      <c r="R489" s="12"/>
      <c r="S489" s="9">
        <v>3</v>
      </c>
      <c r="T489" s="10"/>
      <c r="U489" s="49">
        <f t="shared" si="535"/>
        <v>3</v>
      </c>
      <c r="V489" s="11">
        <f t="shared" si="536"/>
        <v>6</v>
      </c>
      <c r="W489" s="140">
        <v>44606</v>
      </c>
      <c r="Y489" s="26"/>
      <c r="Z489" s="8"/>
      <c r="AA489" s="9"/>
      <c r="AB489" s="52"/>
      <c r="AC489" s="11">
        <f t="shared" si="528"/>
        <v>0</v>
      </c>
      <c r="AD489" s="12"/>
      <c r="AE489" s="9"/>
      <c r="AF489" s="10"/>
      <c r="AG489" s="11">
        <f t="shared" si="529"/>
        <v>0</v>
      </c>
      <c r="AH489" s="11">
        <f t="shared" si="530"/>
        <v>0</v>
      </c>
    </row>
    <row r="490" spans="1:34" x14ac:dyDescent="0.15">
      <c r="A490" s="23" t="s">
        <v>306</v>
      </c>
      <c r="B490" s="8">
        <v>1</v>
      </c>
      <c r="C490" s="9"/>
      <c r="D490" s="10"/>
      <c r="E490" s="49">
        <f t="shared" si="531"/>
        <v>1</v>
      </c>
      <c r="F490" s="12"/>
      <c r="G490" s="9"/>
      <c r="H490" s="10"/>
      <c r="I490" s="49">
        <f t="shared" si="532"/>
        <v>0</v>
      </c>
      <c r="J490" s="11">
        <f t="shared" si="533"/>
        <v>1</v>
      </c>
      <c r="K490" s="71">
        <v>44548</v>
      </c>
      <c r="M490" s="119" t="s">
        <v>28</v>
      </c>
      <c r="N490" s="8">
        <v>5</v>
      </c>
      <c r="O490" s="9">
        <v>5</v>
      </c>
      <c r="P490" s="10">
        <v>5</v>
      </c>
      <c r="Q490" s="49">
        <f t="shared" si="534"/>
        <v>15</v>
      </c>
      <c r="R490" s="12">
        <v>5</v>
      </c>
      <c r="S490" s="9">
        <v>5</v>
      </c>
      <c r="T490" s="10">
        <v>5</v>
      </c>
      <c r="U490" s="49">
        <f t="shared" si="535"/>
        <v>15</v>
      </c>
      <c r="V490" s="11">
        <f t="shared" si="536"/>
        <v>30</v>
      </c>
      <c r="W490" s="140">
        <v>44625</v>
      </c>
      <c r="Y490" s="26"/>
      <c r="Z490" s="8"/>
      <c r="AA490" s="9"/>
      <c r="AB490" s="52"/>
      <c r="AC490" s="11">
        <f t="shared" si="528"/>
        <v>0</v>
      </c>
      <c r="AD490" s="12"/>
      <c r="AE490" s="9"/>
      <c r="AF490" s="10"/>
      <c r="AG490" s="11">
        <f t="shared" si="529"/>
        <v>0</v>
      </c>
      <c r="AH490" s="11">
        <f t="shared" si="530"/>
        <v>0</v>
      </c>
    </row>
    <row r="491" spans="1:34" x14ac:dyDescent="0.15">
      <c r="A491" s="23" t="s">
        <v>307</v>
      </c>
      <c r="B491" s="8">
        <v>1</v>
      </c>
      <c r="C491" s="9"/>
      <c r="D491" s="10"/>
      <c r="E491" s="49">
        <f t="shared" si="531"/>
        <v>1</v>
      </c>
      <c r="F491" s="12"/>
      <c r="G491" s="9"/>
      <c r="H491" s="10"/>
      <c r="I491" s="49">
        <f t="shared" si="532"/>
        <v>0</v>
      </c>
      <c r="J491" s="11">
        <f t="shared" si="533"/>
        <v>1</v>
      </c>
      <c r="K491" s="71">
        <v>44550</v>
      </c>
      <c r="M491" s="26" t="s">
        <v>321</v>
      </c>
      <c r="N491" s="8">
        <v>5</v>
      </c>
      <c r="O491" s="9"/>
      <c r="P491" s="10"/>
      <c r="Q491" s="49">
        <f t="shared" si="534"/>
        <v>5</v>
      </c>
      <c r="R491" s="12">
        <v>5</v>
      </c>
      <c r="S491" s="9"/>
      <c r="T491" s="10"/>
      <c r="U491" s="49">
        <f t="shared" si="535"/>
        <v>5</v>
      </c>
      <c r="V491" s="11">
        <f t="shared" si="536"/>
        <v>10</v>
      </c>
      <c r="W491" s="140">
        <v>44631</v>
      </c>
      <c r="Y491" s="26"/>
      <c r="Z491" s="8"/>
      <c r="AA491" s="9"/>
      <c r="AB491" s="10"/>
      <c r="AC491" s="49">
        <f t="shared" si="528"/>
        <v>0</v>
      </c>
      <c r="AD491" s="12"/>
      <c r="AE491" s="9"/>
      <c r="AF491" s="10"/>
      <c r="AG491" s="49">
        <f t="shared" si="529"/>
        <v>0</v>
      </c>
      <c r="AH491" s="11">
        <f t="shared" si="530"/>
        <v>0</v>
      </c>
    </row>
    <row r="492" spans="1:34" x14ac:dyDescent="0.15">
      <c r="A492" s="23" t="s">
        <v>310</v>
      </c>
      <c r="B492" s="8"/>
      <c r="C492" s="9"/>
      <c r="D492" s="10">
        <v>3</v>
      </c>
      <c r="E492" s="49">
        <f t="shared" si="531"/>
        <v>3</v>
      </c>
      <c r="F492" s="12"/>
      <c r="G492" s="9"/>
      <c r="H492" s="10"/>
      <c r="I492" s="49">
        <f t="shared" si="532"/>
        <v>0</v>
      </c>
      <c r="J492" s="11">
        <f t="shared" si="533"/>
        <v>3</v>
      </c>
      <c r="K492" s="71">
        <v>44569</v>
      </c>
      <c r="M492" s="119" t="s">
        <v>28</v>
      </c>
      <c r="N492" s="8">
        <v>3</v>
      </c>
      <c r="O492" s="9"/>
      <c r="P492" s="10"/>
      <c r="Q492" s="49">
        <f t="shared" si="534"/>
        <v>3</v>
      </c>
      <c r="R492" s="12"/>
      <c r="S492" s="9"/>
      <c r="T492" s="10"/>
      <c r="U492" s="49">
        <f t="shared" si="535"/>
        <v>0</v>
      </c>
      <c r="V492" s="11">
        <f t="shared" si="536"/>
        <v>3</v>
      </c>
      <c r="W492" s="140">
        <v>44634</v>
      </c>
      <c r="Y492" s="26"/>
      <c r="Z492" s="8"/>
      <c r="AA492" s="9"/>
      <c r="AB492" s="10"/>
      <c r="AC492" s="49">
        <f t="shared" si="528"/>
        <v>0</v>
      </c>
      <c r="AD492" s="12"/>
      <c r="AE492" s="9"/>
      <c r="AF492" s="10"/>
      <c r="AG492" s="49">
        <f t="shared" si="529"/>
        <v>0</v>
      </c>
      <c r="AH492" s="11">
        <f t="shared" si="530"/>
        <v>0</v>
      </c>
    </row>
    <row r="493" spans="1:34" x14ac:dyDescent="0.15">
      <c r="A493" s="25" t="s">
        <v>33</v>
      </c>
      <c r="B493" s="8"/>
      <c r="C493" s="9"/>
      <c r="D493" s="10"/>
      <c r="E493" s="49">
        <f t="shared" si="531"/>
        <v>0</v>
      </c>
      <c r="F493" s="12">
        <v>1</v>
      </c>
      <c r="G493" s="9"/>
      <c r="H493" s="10"/>
      <c r="I493" s="49">
        <f t="shared" si="532"/>
        <v>1</v>
      </c>
      <c r="J493" s="11">
        <f t="shared" si="533"/>
        <v>1</v>
      </c>
      <c r="K493" s="71">
        <v>44574</v>
      </c>
      <c r="M493" s="26" t="s">
        <v>325</v>
      </c>
      <c r="N493" s="8">
        <v>10</v>
      </c>
      <c r="O493" s="9"/>
      <c r="P493" s="10"/>
      <c r="Q493" s="49">
        <f t="shared" si="534"/>
        <v>10</v>
      </c>
      <c r="R493" s="12">
        <v>10</v>
      </c>
      <c r="S493" s="9"/>
      <c r="T493" s="10"/>
      <c r="U493" s="49">
        <f t="shared" si="535"/>
        <v>10</v>
      </c>
      <c r="V493" s="11">
        <f t="shared" si="536"/>
        <v>20</v>
      </c>
      <c r="W493" s="140">
        <v>44648</v>
      </c>
      <c r="Y493" s="24"/>
      <c r="Z493" s="8"/>
      <c r="AA493" s="9"/>
      <c r="AB493" s="10"/>
      <c r="AC493" s="49">
        <f t="shared" si="528"/>
        <v>0</v>
      </c>
      <c r="AD493" s="12"/>
      <c r="AE493" s="9"/>
      <c r="AF493" s="10"/>
      <c r="AG493" s="49">
        <f t="shared" si="529"/>
        <v>0</v>
      </c>
      <c r="AH493" s="11">
        <f t="shared" si="530"/>
        <v>0</v>
      </c>
    </row>
    <row r="494" spans="1:34" x14ac:dyDescent="0.15">
      <c r="A494" s="23" t="s">
        <v>312</v>
      </c>
      <c r="B494" s="8"/>
      <c r="C494" s="9"/>
      <c r="D494" s="10"/>
      <c r="E494" s="49">
        <f t="shared" si="531"/>
        <v>0</v>
      </c>
      <c r="F494" s="12">
        <v>1</v>
      </c>
      <c r="G494" s="9"/>
      <c r="H494" s="10"/>
      <c r="I494" s="49">
        <f t="shared" si="532"/>
        <v>1</v>
      </c>
      <c r="J494" s="11">
        <f t="shared" si="533"/>
        <v>1</v>
      </c>
      <c r="K494" s="71">
        <v>44589</v>
      </c>
      <c r="M494" s="119" t="s">
        <v>28</v>
      </c>
      <c r="N494" s="8">
        <v>3</v>
      </c>
      <c r="O494" s="9"/>
      <c r="P494" s="10"/>
      <c r="Q494" s="49">
        <f t="shared" si="534"/>
        <v>3</v>
      </c>
      <c r="R494" s="12">
        <v>3</v>
      </c>
      <c r="S494" s="9"/>
      <c r="T494" s="10"/>
      <c r="U494" s="49">
        <f t="shared" si="535"/>
        <v>3</v>
      </c>
      <c r="V494" s="11">
        <f t="shared" si="536"/>
        <v>6</v>
      </c>
      <c r="W494" s="140">
        <v>44643</v>
      </c>
      <c r="Y494" s="26"/>
      <c r="Z494" s="8"/>
      <c r="AA494" s="9"/>
      <c r="AB494" s="10"/>
      <c r="AC494" s="49">
        <f t="shared" si="528"/>
        <v>0</v>
      </c>
      <c r="AD494" s="12"/>
      <c r="AE494" s="9"/>
      <c r="AF494" s="10"/>
      <c r="AG494" s="49">
        <f t="shared" si="529"/>
        <v>0</v>
      </c>
      <c r="AH494" s="11">
        <f t="shared" si="530"/>
        <v>0</v>
      </c>
    </row>
    <row r="495" spans="1:34" x14ac:dyDescent="0.15">
      <c r="A495" s="25" t="s">
        <v>33</v>
      </c>
      <c r="B495" s="8"/>
      <c r="C495" s="9"/>
      <c r="D495" s="10"/>
      <c r="E495" s="49">
        <f t="shared" si="531"/>
        <v>0</v>
      </c>
      <c r="F495" s="12"/>
      <c r="G495" s="9">
        <v>1</v>
      </c>
      <c r="H495" s="10"/>
      <c r="I495" s="49">
        <f t="shared" si="532"/>
        <v>1</v>
      </c>
      <c r="J495" s="11">
        <f t="shared" si="533"/>
        <v>1</v>
      </c>
      <c r="K495" s="71">
        <v>44590</v>
      </c>
      <c r="M495" s="26"/>
      <c r="N495" s="8"/>
      <c r="O495" s="9"/>
      <c r="P495" s="10"/>
      <c r="Q495" s="49">
        <f t="shared" si="534"/>
        <v>0</v>
      </c>
      <c r="R495" s="12"/>
      <c r="S495" s="9"/>
      <c r="T495" s="10"/>
      <c r="U495" s="49">
        <f t="shared" si="535"/>
        <v>0</v>
      </c>
      <c r="V495" s="11">
        <f t="shared" si="536"/>
        <v>0</v>
      </c>
      <c r="W495" s="142"/>
      <c r="Y495" s="26"/>
      <c r="Z495" s="8"/>
      <c r="AA495" s="9"/>
      <c r="AB495" s="10"/>
      <c r="AC495" s="49">
        <f t="shared" si="528"/>
        <v>0</v>
      </c>
      <c r="AD495" s="12"/>
      <c r="AE495" s="9"/>
      <c r="AF495" s="10"/>
      <c r="AG495" s="49">
        <f t="shared" si="529"/>
        <v>0</v>
      </c>
      <c r="AH495" s="11">
        <f t="shared" si="530"/>
        <v>0</v>
      </c>
    </row>
    <row r="496" spans="1:34" x14ac:dyDescent="0.15">
      <c r="A496" s="25" t="s">
        <v>33</v>
      </c>
      <c r="B496" s="13">
        <v>1</v>
      </c>
      <c r="C496" s="14"/>
      <c r="D496" s="15"/>
      <c r="E496" s="49">
        <f t="shared" si="531"/>
        <v>1</v>
      </c>
      <c r="F496" s="16"/>
      <c r="G496" s="14"/>
      <c r="H496" s="15"/>
      <c r="I496" s="49">
        <f t="shared" si="532"/>
        <v>0</v>
      </c>
      <c r="J496" s="11">
        <f t="shared" si="533"/>
        <v>1</v>
      </c>
      <c r="K496" s="71">
        <v>44594</v>
      </c>
      <c r="M496" s="26"/>
      <c r="N496" s="13"/>
      <c r="O496" s="14"/>
      <c r="P496" s="15"/>
      <c r="Q496" s="49">
        <f t="shared" si="534"/>
        <v>0</v>
      </c>
      <c r="R496" s="16"/>
      <c r="S496" s="14"/>
      <c r="T496" s="15"/>
      <c r="U496" s="49">
        <f t="shared" si="535"/>
        <v>0</v>
      </c>
      <c r="V496" s="11">
        <f t="shared" si="536"/>
        <v>0</v>
      </c>
      <c r="Y496" s="26"/>
      <c r="Z496" s="13"/>
      <c r="AA496" s="14"/>
      <c r="AB496" s="15"/>
      <c r="AC496" s="49">
        <f t="shared" si="528"/>
        <v>0</v>
      </c>
      <c r="AD496" s="16"/>
      <c r="AE496" s="14"/>
      <c r="AF496" s="15"/>
      <c r="AG496" s="49">
        <f t="shared" si="529"/>
        <v>0</v>
      </c>
      <c r="AH496" s="11">
        <f t="shared" si="530"/>
        <v>0</v>
      </c>
    </row>
    <row r="497" spans="1:34" x14ac:dyDescent="0.15">
      <c r="A497" s="25" t="s">
        <v>33</v>
      </c>
      <c r="B497" s="8"/>
      <c r="C497" s="9"/>
      <c r="D497" s="10">
        <v>1</v>
      </c>
      <c r="E497" s="49">
        <f t="shared" si="531"/>
        <v>1</v>
      </c>
      <c r="F497" s="12"/>
      <c r="G497" s="9">
        <v>3</v>
      </c>
      <c r="H497" s="10"/>
      <c r="I497" s="49">
        <f t="shared" si="532"/>
        <v>3</v>
      </c>
      <c r="J497" s="11">
        <f t="shared" si="533"/>
        <v>4</v>
      </c>
      <c r="K497" s="71">
        <v>44599</v>
      </c>
      <c r="M497" s="26"/>
      <c r="N497" s="8"/>
      <c r="O497" s="9"/>
      <c r="P497" s="10"/>
      <c r="Q497" s="49">
        <f t="shared" si="534"/>
        <v>0</v>
      </c>
      <c r="R497" s="12"/>
      <c r="S497" s="9"/>
      <c r="T497" s="10"/>
      <c r="U497" s="49">
        <f t="shared" si="535"/>
        <v>0</v>
      </c>
      <c r="V497" s="11">
        <f t="shared" si="536"/>
        <v>0</v>
      </c>
      <c r="Y497" s="26"/>
      <c r="Z497" s="8"/>
      <c r="AA497" s="9"/>
      <c r="AB497" s="10"/>
      <c r="AC497" s="49">
        <f t="shared" si="528"/>
        <v>0</v>
      </c>
      <c r="AD497" s="12"/>
      <c r="AE497" s="9"/>
      <c r="AF497" s="10"/>
      <c r="AG497" s="49">
        <f t="shared" si="529"/>
        <v>0</v>
      </c>
      <c r="AH497" s="11">
        <f t="shared" si="530"/>
        <v>0</v>
      </c>
    </row>
    <row r="498" spans="1:34" x14ac:dyDescent="0.15">
      <c r="A498" s="23" t="s">
        <v>315</v>
      </c>
      <c r="B498" s="8"/>
      <c r="C498" s="9"/>
      <c r="D498" s="10"/>
      <c r="E498" s="49">
        <f t="shared" si="531"/>
        <v>0</v>
      </c>
      <c r="F498" s="12">
        <v>1</v>
      </c>
      <c r="G498" s="9"/>
      <c r="H498" s="10"/>
      <c r="I498" s="49">
        <f t="shared" si="532"/>
        <v>1</v>
      </c>
      <c r="J498" s="11">
        <f t="shared" si="533"/>
        <v>1</v>
      </c>
      <c r="K498" s="71">
        <v>44602</v>
      </c>
      <c r="M498" s="102"/>
      <c r="N498" s="8"/>
      <c r="O498" s="9"/>
      <c r="P498" s="10"/>
      <c r="Q498" s="49">
        <f t="shared" si="534"/>
        <v>0</v>
      </c>
      <c r="R498" s="12"/>
      <c r="S498" s="9"/>
      <c r="T498" s="10"/>
      <c r="U498" s="49">
        <f t="shared" si="535"/>
        <v>0</v>
      </c>
      <c r="V498" s="11">
        <f t="shared" si="536"/>
        <v>0</v>
      </c>
      <c r="Y498" s="26"/>
      <c r="Z498" s="8"/>
      <c r="AA498" s="9"/>
      <c r="AB498" s="10"/>
      <c r="AC498" s="49">
        <f t="shared" si="528"/>
        <v>0</v>
      </c>
      <c r="AD498" s="12"/>
      <c r="AE498" s="9"/>
      <c r="AF498" s="10"/>
      <c r="AG498" s="49">
        <f t="shared" si="529"/>
        <v>0</v>
      </c>
      <c r="AH498" s="11">
        <f t="shared" si="530"/>
        <v>0</v>
      </c>
    </row>
    <row r="499" spans="1:34" x14ac:dyDescent="0.15">
      <c r="A499" s="25" t="s">
        <v>33</v>
      </c>
      <c r="B499" s="8">
        <v>1</v>
      </c>
      <c r="C499" s="9"/>
      <c r="D499" s="10"/>
      <c r="E499" s="49">
        <f t="shared" si="531"/>
        <v>1</v>
      </c>
      <c r="F499" s="12">
        <v>1</v>
      </c>
      <c r="G499" s="9"/>
      <c r="H499" s="10"/>
      <c r="I499" s="49">
        <f t="shared" si="532"/>
        <v>1</v>
      </c>
      <c r="J499" s="11">
        <f t="shared" si="533"/>
        <v>2</v>
      </c>
      <c r="K499" s="71">
        <v>44606</v>
      </c>
      <c r="M499" s="102"/>
      <c r="N499" s="8"/>
      <c r="O499" s="9"/>
      <c r="P499" s="10"/>
      <c r="Q499" s="49">
        <f t="shared" si="534"/>
        <v>0</v>
      </c>
      <c r="R499" s="12"/>
      <c r="S499" s="9"/>
      <c r="T499" s="10"/>
      <c r="U499" s="49">
        <f t="shared" si="535"/>
        <v>0</v>
      </c>
      <c r="V499" s="11">
        <f t="shared" si="536"/>
        <v>0</v>
      </c>
      <c r="Y499" s="26"/>
      <c r="Z499" s="8"/>
      <c r="AA499" s="9"/>
      <c r="AB499" s="10"/>
      <c r="AC499" s="49">
        <f t="shared" si="528"/>
        <v>0</v>
      </c>
      <c r="AD499" s="12"/>
      <c r="AE499" s="9"/>
      <c r="AF499" s="10"/>
      <c r="AG499" s="49">
        <f t="shared" si="529"/>
        <v>0</v>
      </c>
      <c r="AH499" s="11">
        <f t="shared" si="530"/>
        <v>0</v>
      </c>
    </row>
    <row r="500" spans="1:34" x14ac:dyDescent="0.15">
      <c r="A500" s="25" t="s">
        <v>33</v>
      </c>
      <c r="B500" s="8"/>
      <c r="C500" s="9">
        <v>2</v>
      </c>
      <c r="D500" s="10"/>
      <c r="E500" s="49">
        <f t="shared" si="531"/>
        <v>2</v>
      </c>
      <c r="F500" s="12"/>
      <c r="G500" s="9"/>
      <c r="H500" s="10"/>
      <c r="I500" s="49">
        <f t="shared" si="532"/>
        <v>0</v>
      </c>
      <c r="J500" s="11">
        <f t="shared" si="533"/>
        <v>2</v>
      </c>
      <c r="K500" s="71">
        <v>44611</v>
      </c>
      <c r="M500" s="102"/>
      <c r="N500" s="8"/>
      <c r="O500" s="9"/>
      <c r="P500" s="10"/>
      <c r="Q500" s="49">
        <f t="shared" si="534"/>
        <v>0</v>
      </c>
      <c r="R500" s="12"/>
      <c r="S500" s="9"/>
      <c r="T500" s="10"/>
      <c r="U500" s="49">
        <f t="shared" si="535"/>
        <v>0</v>
      </c>
      <c r="V500" s="11">
        <f t="shared" si="536"/>
        <v>0</v>
      </c>
      <c r="Y500" s="26"/>
      <c r="Z500" s="8"/>
      <c r="AA500" s="9"/>
      <c r="AB500" s="10"/>
      <c r="AC500" s="49">
        <f t="shared" si="528"/>
        <v>0</v>
      </c>
      <c r="AD500" s="12"/>
      <c r="AE500" s="9"/>
      <c r="AF500" s="10"/>
      <c r="AG500" s="49">
        <f t="shared" si="529"/>
        <v>0</v>
      </c>
      <c r="AH500" s="11">
        <f t="shared" si="530"/>
        <v>0</v>
      </c>
    </row>
    <row r="501" spans="1:34" x14ac:dyDescent="0.15">
      <c r="A501" s="25" t="s">
        <v>33</v>
      </c>
      <c r="B501" s="8">
        <v>1</v>
      </c>
      <c r="C501" s="9"/>
      <c r="D501" s="10"/>
      <c r="E501" s="49">
        <f t="shared" si="531"/>
        <v>1</v>
      </c>
      <c r="F501" s="12"/>
      <c r="G501" s="9"/>
      <c r="H501" s="10"/>
      <c r="I501" s="49">
        <f t="shared" si="532"/>
        <v>0</v>
      </c>
      <c r="J501" s="11">
        <f t="shared" si="533"/>
        <v>1</v>
      </c>
      <c r="K501" s="71">
        <v>44613</v>
      </c>
      <c r="M501" s="26"/>
      <c r="N501" s="8"/>
      <c r="O501" s="9"/>
      <c r="P501" s="10"/>
      <c r="Q501" s="49">
        <f t="shared" si="534"/>
        <v>0</v>
      </c>
      <c r="R501" s="12"/>
      <c r="S501" s="9"/>
      <c r="T501" s="10"/>
      <c r="U501" s="49">
        <f t="shared" si="535"/>
        <v>0</v>
      </c>
      <c r="V501" s="11">
        <f t="shared" si="536"/>
        <v>0</v>
      </c>
      <c r="Y501" s="26"/>
      <c r="Z501" s="8"/>
      <c r="AA501" s="9"/>
      <c r="AB501" s="10"/>
      <c r="AC501" s="49">
        <f t="shared" si="528"/>
        <v>0</v>
      </c>
      <c r="AD501" s="12"/>
      <c r="AE501" s="9"/>
      <c r="AF501" s="10"/>
      <c r="AG501" s="49">
        <f t="shared" si="529"/>
        <v>0</v>
      </c>
      <c r="AH501" s="11">
        <f t="shared" si="530"/>
        <v>0</v>
      </c>
    </row>
    <row r="502" spans="1:34" x14ac:dyDescent="0.15">
      <c r="A502" s="23" t="s">
        <v>320</v>
      </c>
      <c r="B502" s="8">
        <v>1</v>
      </c>
      <c r="C502" s="9"/>
      <c r="D502" s="10"/>
      <c r="E502" s="49">
        <f t="shared" si="531"/>
        <v>1</v>
      </c>
      <c r="F502" s="12">
        <v>1</v>
      </c>
      <c r="G502" s="9"/>
      <c r="H502" s="10"/>
      <c r="I502" s="49">
        <f t="shared" si="532"/>
        <v>1</v>
      </c>
      <c r="J502" s="11">
        <f t="shared" si="533"/>
        <v>2</v>
      </c>
      <c r="K502" s="71">
        <v>44627</v>
      </c>
      <c r="M502" s="26"/>
      <c r="N502" s="8"/>
      <c r="O502" s="9"/>
      <c r="P502" s="10"/>
      <c r="Q502" s="49">
        <f t="shared" si="534"/>
        <v>0</v>
      </c>
      <c r="R502" s="12"/>
      <c r="S502" s="9"/>
      <c r="T502" s="10"/>
      <c r="U502" s="49">
        <f t="shared" si="535"/>
        <v>0</v>
      </c>
      <c r="V502" s="11">
        <f t="shared" si="536"/>
        <v>0</v>
      </c>
      <c r="Y502" s="24"/>
      <c r="Z502" s="8"/>
      <c r="AA502" s="9"/>
      <c r="AB502" s="10"/>
      <c r="AC502" s="49">
        <f t="shared" si="528"/>
        <v>0</v>
      </c>
      <c r="AD502" s="12"/>
      <c r="AE502" s="9"/>
      <c r="AF502" s="10"/>
      <c r="AG502" s="49">
        <f t="shared" si="529"/>
        <v>0</v>
      </c>
      <c r="AH502" s="11">
        <f t="shared" si="530"/>
        <v>0</v>
      </c>
    </row>
    <row r="503" spans="1:34" x14ac:dyDescent="0.15">
      <c r="A503" s="25" t="s">
        <v>33</v>
      </c>
      <c r="B503" s="8">
        <v>1</v>
      </c>
      <c r="C503" s="9">
        <v>1</v>
      </c>
      <c r="D503" s="10"/>
      <c r="E503" s="49">
        <f t="shared" si="531"/>
        <v>2</v>
      </c>
      <c r="F503" s="12"/>
      <c r="G503" s="9"/>
      <c r="H503" s="10">
        <v>2</v>
      </c>
      <c r="I503" s="49">
        <f t="shared" si="532"/>
        <v>2</v>
      </c>
      <c r="J503" s="11">
        <f t="shared" si="533"/>
        <v>4</v>
      </c>
      <c r="K503" s="71">
        <v>44627</v>
      </c>
      <c r="M503" s="26"/>
      <c r="N503" s="8"/>
      <c r="O503" s="9"/>
      <c r="P503" s="10"/>
      <c r="Q503" s="49">
        <f t="shared" si="534"/>
        <v>0</v>
      </c>
      <c r="R503" s="12"/>
      <c r="S503" s="9"/>
      <c r="T503" s="10"/>
      <c r="U503" s="49">
        <f t="shared" si="535"/>
        <v>0</v>
      </c>
      <c r="V503" s="11">
        <f t="shared" si="536"/>
        <v>0</v>
      </c>
      <c r="Y503" s="26"/>
      <c r="Z503" s="8"/>
      <c r="AA503" s="9"/>
      <c r="AB503" s="10"/>
      <c r="AC503" s="49">
        <f t="shared" si="528"/>
        <v>0</v>
      </c>
      <c r="AD503" s="12"/>
      <c r="AE503" s="9"/>
      <c r="AF503" s="10"/>
      <c r="AG503" s="49">
        <f t="shared" si="529"/>
        <v>0</v>
      </c>
      <c r="AH503" s="11">
        <f t="shared" si="530"/>
        <v>0</v>
      </c>
    </row>
    <row r="504" spans="1:34" x14ac:dyDescent="0.15">
      <c r="A504" s="25" t="s">
        <v>33</v>
      </c>
      <c r="B504" s="8">
        <v>2</v>
      </c>
      <c r="C504" s="9"/>
      <c r="D504" s="10"/>
      <c r="E504" s="49">
        <f t="shared" si="531"/>
        <v>2</v>
      </c>
      <c r="F504" s="12"/>
      <c r="G504" s="9"/>
      <c r="H504" s="10"/>
      <c r="I504" s="49">
        <f t="shared" si="532"/>
        <v>0</v>
      </c>
      <c r="J504" s="11">
        <f t="shared" si="533"/>
        <v>2</v>
      </c>
      <c r="K504" s="71">
        <v>44630</v>
      </c>
      <c r="M504" s="24"/>
      <c r="N504" s="8"/>
      <c r="O504" s="9"/>
      <c r="P504" s="10"/>
      <c r="Q504" s="49">
        <f t="shared" si="534"/>
        <v>0</v>
      </c>
      <c r="R504" s="12"/>
      <c r="S504" s="9"/>
      <c r="T504" s="10"/>
      <c r="U504" s="49">
        <f t="shared" si="535"/>
        <v>0</v>
      </c>
      <c r="V504" s="11">
        <f t="shared" si="536"/>
        <v>0</v>
      </c>
      <c r="Y504" s="24"/>
      <c r="Z504" s="8"/>
      <c r="AA504" s="9"/>
      <c r="AB504" s="10"/>
      <c r="AC504" s="49">
        <f t="shared" si="528"/>
        <v>0</v>
      </c>
      <c r="AD504" s="12"/>
      <c r="AE504" s="9"/>
      <c r="AF504" s="10"/>
      <c r="AG504" s="49">
        <f t="shared" si="529"/>
        <v>0</v>
      </c>
      <c r="AH504" s="11">
        <f t="shared" si="530"/>
        <v>0</v>
      </c>
    </row>
    <row r="505" spans="1:34" x14ac:dyDescent="0.15">
      <c r="A505" s="25" t="s">
        <v>33</v>
      </c>
      <c r="B505" s="8"/>
      <c r="C505" s="9">
        <v>1</v>
      </c>
      <c r="D505" s="10">
        <v>1</v>
      </c>
      <c r="E505" s="49">
        <f t="shared" si="531"/>
        <v>2</v>
      </c>
      <c r="F505" s="12"/>
      <c r="G505" s="9">
        <v>2</v>
      </c>
      <c r="H505" s="10">
        <v>1</v>
      </c>
      <c r="I505" s="49">
        <f t="shared" si="532"/>
        <v>3</v>
      </c>
      <c r="J505" s="11">
        <f t="shared" si="533"/>
        <v>5</v>
      </c>
      <c r="K505" s="71">
        <v>44642</v>
      </c>
      <c r="M505" s="26"/>
      <c r="N505" s="8"/>
      <c r="O505" s="9"/>
      <c r="P505" s="10"/>
      <c r="Q505" s="49">
        <f t="shared" si="534"/>
        <v>0</v>
      </c>
      <c r="R505" s="12"/>
      <c r="S505" s="9"/>
      <c r="T505" s="10"/>
      <c r="U505" s="49">
        <f t="shared" si="535"/>
        <v>0</v>
      </c>
      <c r="V505" s="11">
        <f t="shared" si="536"/>
        <v>0</v>
      </c>
      <c r="Y505" s="26"/>
      <c r="Z505" s="8"/>
      <c r="AA505" s="9"/>
      <c r="AB505" s="10"/>
      <c r="AC505" s="49">
        <f t="shared" si="528"/>
        <v>0</v>
      </c>
      <c r="AD505" s="12"/>
      <c r="AE505" s="9"/>
      <c r="AF505" s="10"/>
      <c r="AG505" s="49">
        <f t="shared" si="529"/>
        <v>0</v>
      </c>
      <c r="AH505" s="11">
        <f t="shared" si="530"/>
        <v>0</v>
      </c>
    </row>
    <row r="506" spans="1:34" x14ac:dyDescent="0.15">
      <c r="A506" s="25" t="s">
        <v>33</v>
      </c>
      <c r="B506" s="8"/>
      <c r="C506" s="9">
        <v>1</v>
      </c>
      <c r="D506" s="10"/>
      <c r="E506" s="49">
        <f t="shared" si="531"/>
        <v>1</v>
      </c>
      <c r="F506" s="12"/>
      <c r="G506" s="9"/>
      <c r="H506" s="10"/>
      <c r="I506" s="49">
        <f t="shared" si="532"/>
        <v>0</v>
      </c>
      <c r="J506" s="11">
        <f t="shared" si="533"/>
        <v>1</v>
      </c>
      <c r="K506" s="71">
        <v>44645</v>
      </c>
      <c r="M506" s="24"/>
      <c r="N506" s="8"/>
      <c r="O506" s="9"/>
      <c r="P506" s="10"/>
      <c r="Q506" s="49">
        <f t="shared" si="534"/>
        <v>0</v>
      </c>
      <c r="R506" s="12"/>
      <c r="S506" s="9"/>
      <c r="T506" s="10"/>
      <c r="U506" s="49">
        <f t="shared" si="535"/>
        <v>0</v>
      </c>
      <c r="V506" s="11">
        <f t="shared" si="536"/>
        <v>0</v>
      </c>
      <c r="Y506" s="24"/>
      <c r="Z506" s="8"/>
      <c r="AA506" s="9"/>
      <c r="AB506" s="10"/>
      <c r="AC506" s="49">
        <f t="shared" si="528"/>
        <v>0</v>
      </c>
      <c r="AD506" s="12"/>
      <c r="AE506" s="9"/>
      <c r="AF506" s="10"/>
      <c r="AG506" s="49">
        <f t="shared" si="529"/>
        <v>0</v>
      </c>
      <c r="AH506" s="11">
        <f t="shared" si="530"/>
        <v>0</v>
      </c>
    </row>
    <row r="507" spans="1:34" x14ac:dyDescent="0.15">
      <c r="A507" s="25" t="s">
        <v>33</v>
      </c>
      <c r="B507" s="8">
        <v>1</v>
      </c>
      <c r="C507" s="9"/>
      <c r="D507" s="10"/>
      <c r="E507" s="49">
        <f t="shared" si="531"/>
        <v>1</v>
      </c>
      <c r="F507" s="12"/>
      <c r="G507" s="9"/>
      <c r="H507" s="10">
        <v>2</v>
      </c>
      <c r="I507" s="49">
        <f t="shared" si="532"/>
        <v>2</v>
      </c>
      <c r="J507" s="11">
        <f t="shared" si="533"/>
        <v>3</v>
      </c>
      <c r="K507" s="71">
        <v>44648</v>
      </c>
      <c r="M507" s="23"/>
      <c r="N507" s="8"/>
      <c r="O507" s="9"/>
      <c r="P507" s="10"/>
      <c r="Q507" s="49">
        <f t="shared" si="534"/>
        <v>0</v>
      </c>
      <c r="R507" s="12"/>
      <c r="S507" s="9"/>
      <c r="T507" s="10"/>
      <c r="U507" s="49">
        <f t="shared" si="535"/>
        <v>0</v>
      </c>
      <c r="V507" s="11">
        <f t="shared" si="536"/>
        <v>0</v>
      </c>
      <c r="Y507" s="26"/>
      <c r="Z507" s="8"/>
      <c r="AA507" s="9"/>
      <c r="AB507" s="10"/>
      <c r="AC507" s="49">
        <f t="shared" si="528"/>
        <v>0</v>
      </c>
      <c r="AD507" s="12"/>
      <c r="AE507" s="9"/>
      <c r="AF507" s="10"/>
      <c r="AG507" s="49">
        <f t="shared" si="529"/>
        <v>0</v>
      </c>
      <c r="AH507" s="11">
        <f t="shared" si="530"/>
        <v>0</v>
      </c>
    </row>
    <row r="508" spans="1:34" x14ac:dyDescent="0.15">
      <c r="A508" s="25" t="s">
        <v>33</v>
      </c>
      <c r="B508" s="13">
        <v>1</v>
      </c>
      <c r="C508" s="14"/>
      <c r="D508" s="15"/>
      <c r="E508" s="49">
        <f t="shared" si="531"/>
        <v>1</v>
      </c>
      <c r="F508" s="16">
        <v>1</v>
      </c>
      <c r="G508" s="14"/>
      <c r="H508" s="15"/>
      <c r="I508" s="49">
        <f t="shared" si="532"/>
        <v>1</v>
      </c>
      <c r="J508" s="11">
        <f t="shared" si="533"/>
        <v>2</v>
      </c>
      <c r="K508" s="71">
        <v>44649</v>
      </c>
      <c r="M508" s="26"/>
      <c r="N508" s="8"/>
      <c r="O508" s="103"/>
      <c r="P508" s="104"/>
      <c r="Q508" s="49">
        <f t="shared" si="534"/>
        <v>0</v>
      </c>
      <c r="R508" s="12"/>
      <c r="S508" s="103"/>
      <c r="T508" s="104"/>
      <c r="U508" s="49">
        <f t="shared" si="535"/>
        <v>0</v>
      </c>
      <c r="V508" s="11">
        <f t="shared" si="536"/>
        <v>0</v>
      </c>
      <c r="Y508" s="26"/>
      <c r="Z508" s="8"/>
      <c r="AA508" s="9"/>
      <c r="AB508" s="10"/>
      <c r="AC508" s="49">
        <f t="shared" si="528"/>
        <v>0</v>
      </c>
      <c r="AD508" s="12"/>
      <c r="AE508" s="9"/>
      <c r="AF508" s="10"/>
      <c r="AG508" s="49">
        <f t="shared" si="529"/>
        <v>0</v>
      </c>
      <c r="AH508" s="11">
        <f t="shared" si="530"/>
        <v>0</v>
      </c>
    </row>
    <row r="509" spans="1:34" x14ac:dyDescent="0.15">
      <c r="A509" s="25" t="s">
        <v>33</v>
      </c>
      <c r="B509" s="8"/>
      <c r="C509" s="9"/>
      <c r="D509" s="10"/>
      <c r="E509" s="49">
        <f t="shared" si="531"/>
        <v>0</v>
      </c>
      <c r="F509" s="12">
        <v>1</v>
      </c>
      <c r="G509" s="9"/>
      <c r="H509" s="10"/>
      <c r="I509" s="49">
        <f t="shared" si="532"/>
        <v>1</v>
      </c>
      <c r="J509" s="11">
        <f t="shared" si="533"/>
        <v>1</v>
      </c>
      <c r="K509" s="71">
        <v>44652</v>
      </c>
      <c r="M509" s="26"/>
      <c r="N509" s="8"/>
      <c r="O509" s="9"/>
      <c r="P509" s="10"/>
      <c r="Q509" s="49">
        <f t="shared" si="534"/>
        <v>0</v>
      </c>
      <c r="R509" s="12"/>
      <c r="S509" s="9"/>
      <c r="T509" s="10"/>
      <c r="U509" s="49">
        <f t="shared" si="535"/>
        <v>0</v>
      </c>
      <c r="V509" s="11">
        <f t="shared" si="536"/>
        <v>0</v>
      </c>
      <c r="Y509" s="26"/>
      <c r="Z509" s="8"/>
      <c r="AA509" s="9"/>
      <c r="AB509" s="10"/>
      <c r="AC509" s="49">
        <f t="shared" si="528"/>
        <v>0</v>
      </c>
      <c r="AD509" s="12"/>
      <c r="AE509" s="9"/>
      <c r="AF509" s="10"/>
      <c r="AG509" s="49">
        <f t="shared" si="529"/>
        <v>0</v>
      </c>
      <c r="AH509" s="11">
        <f t="shared" si="530"/>
        <v>0</v>
      </c>
    </row>
    <row r="510" spans="1:34" x14ac:dyDescent="0.15">
      <c r="A510" s="25" t="s">
        <v>33</v>
      </c>
      <c r="B510" s="8"/>
      <c r="C510" s="9"/>
      <c r="D510" s="10"/>
      <c r="E510" s="49">
        <f t="shared" si="531"/>
        <v>0</v>
      </c>
      <c r="F510" s="12">
        <v>3</v>
      </c>
      <c r="G510" s="9"/>
      <c r="H510" s="10"/>
      <c r="I510" s="49">
        <f t="shared" si="532"/>
        <v>3</v>
      </c>
      <c r="J510" s="11">
        <f t="shared" si="533"/>
        <v>3</v>
      </c>
      <c r="K510" s="71">
        <v>44653</v>
      </c>
      <c r="M510" s="26"/>
      <c r="N510" s="8"/>
      <c r="O510" s="9"/>
      <c r="P510" s="10"/>
      <c r="Q510" s="49">
        <f t="shared" si="534"/>
        <v>0</v>
      </c>
      <c r="R510" s="12"/>
      <c r="S510" s="9"/>
      <c r="T510" s="10"/>
      <c r="U510" s="49">
        <f t="shared" si="535"/>
        <v>0</v>
      </c>
      <c r="V510" s="11">
        <f t="shared" si="536"/>
        <v>0</v>
      </c>
      <c r="Y510" s="26"/>
      <c r="Z510" s="8"/>
      <c r="AA510" s="9"/>
      <c r="AB510" s="10"/>
      <c r="AC510" s="49">
        <f t="shared" si="528"/>
        <v>0</v>
      </c>
      <c r="AD510" s="12"/>
      <c r="AE510" s="9"/>
      <c r="AF510" s="10"/>
      <c r="AG510" s="49">
        <f t="shared" si="529"/>
        <v>0</v>
      </c>
      <c r="AH510" s="11">
        <f t="shared" si="530"/>
        <v>0</v>
      </c>
    </row>
    <row r="511" spans="1:34" x14ac:dyDescent="0.15">
      <c r="A511" s="23"/>
      <c r="B511" s="8"/>
      <c r="C511" s="9"/>
      <c r="D511" s="10"/>
      <c r="E511" s="49">
        <f t="shared" si="531"/>
        <v>0</v>
      </c>
      <c r="F511" s="12"/>
      <c r="G511" s="9"/>
      <c r="H511" s="10"/>
      <c r="I511" s="49">
        <f t="shared" si="532"/>
        <v>0</v>
      </c>
      <c r="J511" s="11">
        <f t="shared" si="533"/>
        <v>0</v>
      </c>
      <c r="M511" s="23"/>
      <c r="N511" s="8"/>
      <c r="O511" s="9"/>
      <c r="P511" s="10"/>
      <c r="Q511" s="49">
        <f t="shared" si="534"/>
        <v>0</v>
      </c>
      <c r="R511" s="12"/>
      <c r="S511" s="9"/>
      <c r="T511" s="10"/>
      <c r="U511" s="49">
        <f t="shared" si="535"/>
        <v>0</v>
      </c>
      <c r="V511" s="11">
        <f t="shared" si="536"/>
        <v>0</v>
      </c>
      <c r="Y511" s="26"/>
      <c r="Z511" s="8"/>
      <c r="AA511" s="9"/>
      <c r="AB511" s="10"/>
      <c r="AC511" s="49">
        <f t="shared" si="528"/>
        <v>0</v>
      </c>
      <c r="AD511" s="12"/>
      <c r="AE511" s="9"/>
      <c r="AF511" s="10"/>
      <c r="AG511" s="49">
        <f t="shared" si="529"/>
        <v>0</v>
      </c>
      <c r="AH511" s="11">
        <f t="shared" si="530"/>
        <v>0</v>
      </c>
    </row>
    <row r="512" spans="1:34" ht="14.25" thickBot="1" x14ac:dyDescent="0.2">
      <c r="A512" s="23"/>
      <c r="B512" s="13"/>
      <c r="C512" s="14"/>
      <c r="D512" s="15"/>
      <c r="E512" s="55">
        <f t="shared" si="531"/>
        <v>0</v>
      </c>
      <c r="F512" s="16"/>
      <c r="G512" s="14"/>
      <c r="H512" s="15"/>
      <c r="I512" s="55">
        <f t="shared" si="532"/>
        <v>0</v>
      </c>
      <c r="J512" s="11">
        <f t="shared" si="533"/>
        <v>0</v>
      </c>
      <c r="M512" s="26"/>
      <c r="N512" s="8"/>
      <c r="O512" s="9"/>
      <c r="P512" s="10"/>
      <c r="Q512" s="49">
        <f t="shared" si="534"/>
        <v>0</v>
      </c>
      <c r="R512" s="12"/>
      <c r="S512" s="9"/>
      <c r="T512" s="10"/>
      <c r="U512" s="49">
        <f t="shared" si="535"/>
        <v>0</v>
      </c>
      <c r="V512" s="11">
        <f t="shared" si="536"/>
        <v>0</v>
      </c>
      <c r="W512" s="142"/>
      <c r="X512" s="82"/>
      <c r="Y512" s="92"/>
      <c r="Z512" s="13"/>
      <c r="AA512" s="14"/>
      <c r="AB512" s="15"/>
      <c r="AC512" s="49">
        <f t="shared" si="528"/>
        <v>0</v>
      </c>
      <c r="AD512" s="16"/>
      <c r="AE512" s="14"/>
      <c r="AF512" s="15"/>
      <c r="AG512" s="49">
        <f t="shared" si="529"/>
        <v>0</v>
      </c>
      <c r="AH512" s="11">
        <f t="shared" si="530"/>
        <v>0</v>
      </c>
    </row>
    <row r="513" spans="1:34" ht="14.25" thickBot="1" x14ac:dyDescent="0.2">
      <c r="A513" s="41" t="s">
        <v>19</v>
      </c>
      <c r="B513" s="46">
        <f>SUM(B487:B512)</f>
        <v>11</v>
      </c>
      <c r="C513" s="47">
        <f t="shared" ref="C513:D513" si="537">SUM(C487:C512)</f>
        <v>7</v>
      </c>
      <c r="D513" s="59">
        <f t="shared" si="537"/>
        <v>5</v>
      </c>
      <c r="E513" s="45">
        <f t="shared" si="531"/>
        <v>23</v>
      </c>
      <c r="F513" s="46">
        <f>SUM(F487:F512)</f>
        <v>12</v>
      </c>
      <c r="G513" s="47">
        <f t="shared" ref="G513:H513" si="538">SUM(G487:G512)</f>
        <v>6</v>
      </c>
      <c r="H513" s="59">
        <f t="shared" si="538"/>
        <v>5</v>
      </c>
      <c r="I513" s="45">
        <f t="shared" si="532"/>
        <v>23</v>
      </c>
      <c r="J513" s="45">
        <f>E513+I513</f>
        <v>46</v>
      </c>
      <c r="M513" s="41" t="s">
        <v>19</v>
      </c>
      <c r="N513" s="46">
        <f>SUM(N487:N512)</f>
        <v>26</v>
      </c>
      <c r="O513" s="47">
        <f t="shared" ref="O513:P513" si="539">SUM(O487:O512)</f>
        <v>10</v>
      </c>
      <c r="P513" s="59">
        <f t="shared" si="539"/>
        <v>13</v>
      </c>
      <c r="Q513" s="45">
        <f t="shared" si="534"/>
        <v>49</v>
      </c>
      <c r="R513" s="46">
        <f>SUM(R487:R512)</f>
        <v>28</v>
      </c>
      <c r="S513" s="47">
        <f t="shared" ref="S513:T513" si="540">SUM(S487:S512)</f>
        <v>8</v>
      </c>
      <c r="T513" s="59">
        <f t="shared" si="540"/>
        <v>10</v>
      </c>
      <c r="U513" s="45">
        <f t="shared" si="535"/>
        <v>46</v>
      </c>
      <c r="V513" s="45">
        <f>Q513+U513</f>
        <v>95</v>
      </c>
      <c r="Y513" s="41" t="s">
        <v>19</v>
      </c>
      <c r="Z513" s="46">
        <f>SUM(Z487:Z512)</f>
        <v>0</v>
      </c>
      <c r="AA513" s="47">
        <f t="shared" ref="AA513:AB513" si="541">SUM(AA487:AA512)</f>
        <v>0</v>
      </c>
      <c r="AB513" s="59">
        <f t="shared" si="541"/>
        <v>0</v>
      </c>
      <c r="AC513" s="45">
        <f t="shared" si="528"/>
        <v>0</v>
      </c>
      <c r="AD513" s="46">
        <f>SUM(AD487:AD512)</f>
        <v>0</v>
      </c>
      <c r="AE513" s="47">
        <f t="shared" ref="AE513:AF513" si="542">SUM(AE487:AE512)</f>
        <v>0</v>
      </c>
      <c r="AF513" s="59">
        <f t="shared" si="542"/>
        <v>0</v>
      </c>
      <c r="AG513" s="45">
        <f t="shared" si="529"/>
        <v>0</v>
      </c>
      <c r="AH513" s="45">
        <f>AC513+AG513</f>
        <v>0</v>
      </c>
    </row>
    <row r="514" spans="1:34" ht="14.25" thickBot="1" x14ac:dyDescent="0.2">
      <c r="A514" s="22" t="s">
        <v>17</v>
      </c>
      <c r="B514" s="50">
        <f>B486-B513</f>
        <v>6</v>
      </c>
      <c r="C514" s="57">
        <f t="shared" ref="C514:D514" si="543">C486-C513</f>
        <v>5</v>
      </c>
      <c r="D514" s="58">
        <f t="shared" si="543"/>
        <v>9</v>
      </c>
      <c r="E514" s="56">
        <f>SUM(B514:D514)</f>
        <v>20</v>
      </c>
      <c r="F514" s="50">
        <f>F486-F513</f>
        <v>4</v>
      </c>
      <c r="G514" s="57">
        <f t="shared" ref="G514:H514" si="544">G486-G513</f>
        <v>7</v>
      </c>
      <c r="H514" s="58">
        <f t="shared" si="544"/>
        <v>5</v>
      </c>
      <c r="I514" s="56">
        <f>SUM(F514:H514)</f>
        <v>16</v>
      </c>
      <c r="J514" s="31">
        <f>E514+I514</f>
        <v>36</v>
      </c>
      <c r="M514" s="22" t="s">
        <v>17</v>
      </c>
      <c r="N514" s="50">
        <f>N486-N513</f>
        <v>618</v>
      </c>
      <c r="O514" s="57">
        <f t="shared" ref="O514:P514" si="545">O486-O513</f>
        <v>908</v>
      </c>
      <c r="P514" s="58">
        <f t="shared" si="545"/>
        <v>711</v>
      </c>
      <c r="Q514" s="56">
        <f>SUM(N514:P514)</f>
        <v>2237</v>
      </c>
      <c r="R514" s="50">
        <f>R486-R513</f>
        <v>667</v>
      </c>
      <c r="S514" s="57">
        <f t="shared" ref="S514:T514" si="546">S486-S513</f>
        <v>895</v>
      </c>
      <c r="T514" s="58">
        <f t="shared" si="546"/>
        <v>828</v>
      </c>
      <c r="U514" s="56">
        <f>SUM(R514:T514)</f>
        <v>2390</v>
      </c>
      <c r="V514" s="31">
        <f>Q514+U514</f>
        <v>4627</v>
      </c>
      <c r="Y514" s="22" t="s">
        <v>17</v>
      </c>
      <c r="Z514" s="50">
        <f>Z486-Z513</f>
        <v>0</v>
      </c>
      <c r="AA514" s="57">
        <f t="shared" ref="AA514:AB514" si="547">AA486-AA513</f>
        <v>0</v>
      </c>
      <c r="AB514" s="58">
        <f t="shared" si="547"/>
        <v>0</v>
      </c>
      <c r="AC514" s="56">
        <f>SUM(Z514:AB514)</f>
        <v>0</v>
      </c>
      <c r="AD514" s="50">
        <f>AD486-AD513</f>
        <v>0</v>
      </c>
      <c r="AE514" s="57">
        <f t="shared" ref="AE514:AF514" si="548">AE486-AE513</f>
        <v>0</v>
      </c>
      <c r="AF514" s="58">
        <f t="shared" si="548"/>
        <v>0</v>
      </c>
      <c r="AG514" s="56">
        <f>SUM(AD514:AF514)</f>
        <v>0</v>
      </c>
      <c r="AH514" s="31">
        <f>AC514+AG514</f>
        <v>0</v>
      </c>
    </row>
    <row r="517" spans="1:34" ht="19.5" thickBot="1" x14ac:dyDescent="0.25">
      <c r="A517" s="3" t="s">
        <v>21</v>
      </c>
      <c r="B517" s="1"/>
      <c r="C517" s="1"/>
      <c r="D517" s="1"/>
      <c r="E517" s="1"/>
      <c r="F517" s="1"/>
      <c r="G517" s="1"/>
      <c r="H517" s="1"/>
      <c r="I517" s="1"/>
      <c r="J517" s="1"/>
      <c r="M517" s="3" t="s">
        <v>22</v>
      </c>
      <c r="N517" s="1"/>
      <c r="O517" s="1"/>
      <c r="P517" s="1"/>
      <c r="Q517" s="1"/>
      <c r="R517" s="1"/>
      <c r="S517" s="1"/>
      <c r="T517" s="1"/>
      <c r="U517" s="1"/>
      <c r="V517" s="1"/>
      <c r="Y517" s="3" t="s">
        <v>23</v>
      </c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4.25" thickBot="1" x14ac:dyDescent="0.2">
      <c r="A518" s="7" t="s">
        <v>0</v>
      </c>
      <c r="B518" s="165" t="s">
        <v>24</v>
      </c>
      <c r="C518" s="166"/>
      <c r="D518" s="166"/>
      <c r="E518" s="170"/>
      <c r="F518" s="165" t="s">
        <v>18</v>
      </c>
      <c r="G518" s="166"/>
      <c r="H518" s="166"/>
      <c r="I518" s="167"/>
      <c r="J518" s="168" t="s">
        <v>1</v>
      </c>
      <c r="M518" s="7" t="s">
        <v>0</v>
      </c>
      <c r="N518" s="165" t="s">
        <v>24</v>
      </c>
      <c r="O518" s="166"/>
      <c r="P518" s="166"/>
      <c r="Q518" s="170"/>
      <c r="R518" s="165" t="s">
        <v>18</v>
      </c>
      <c r="S518" s="166"/>
      <c r="T518" s="166"/>
      <c r="U518" s="167"/>
      <c r="V518" s="168" t="s">
        <v>1</v>
      </c>
      <c r="Y518" s="7" t="s">
        <v>0</v>
      </c>
      <c r="Z518" s="165" t="s">
        <v>24</v>
      </c>
      <c r="AA518" s="166"/>
      <c r="AB518" s="166"/>
      <c r="AC518" s="170"/>
      <c r="AD518" s="165" t="s">
        <v>18</v>
      </c>
      <c r="AE518" s="166"/>
      <c r="AF518" s="166"/>
      <c r="AG518" s="167"/>
      <c r="AH518" s="168" t="s">
        <v>1</v>
      </c>
    </row>
    <row r="519" spans="1:34" ht="14.25" thickBot="1" x14ac:dyDescent="0.2">
      <c r="A519" s="7" t="s">
        <v>2</v>
      </c>
      <c r="B519" s="4" t="s">
        <v>3</v>
      </c>
      <c r="C519" s="5" t="s">
        <v>4</v>
      </c>
      <c r="D519" s="6" t="s">
        <v>5</v>
      </c>
      <c r="E519" s="7" t="s">
        <v>6</v>
      </c>
      <c r="F519" s="4" t="s">
        <v>3</v>
      </c>
      <c r="G519" s="5" t="s">
        <v>4</v>
      </c>
      <c r="H519" s="6" t="s">
        <v>5</v>
      </c>
      <c r="I519" s="7" t="s">
        <v>6</v>
      </c>
      <c r="J519" s="169"/>
      <c r="M519" s="7" t="s">
        <v>2</v>
      </c>
      <c r="N519" s="4" t="s">
        <v>3</v>
      </c>
      <c r="O519" s="5" t="s">
        <v>4</v>
      </c>
      <c r="P519" s="6" t="s">
        <v>5</v>
      </c>
      <c r="Q519" s="7" t="s">
        <v>6</v>
      </c>
      <c r="R519" s="4" t="s">
        <v>3</v>
      </c>
      <c r="S519" s="5" t="s">
        <v>4</v>
      </c>
      <c r="T519" s="6" t="s">
        <v>5</v>
      </c>
      <c r="U519" s="7" t="s">
        <v>6</v>
      </c>
      <c r="V519" s="169"/>
      <c r="Y519" s="7" t="s">
        <v>2</v>
      </c>
      <c r="Z519" s="4" t="s">
        <v>3</v>
      </c>
      <c r="AA519" s="5" t="s">
        <v>4</v>
      </c>
      <c r="AB519" s="6" t="s">
        <v>5</v>
      </c>
      <c r="AC519" s="7" t="s">
        <v>6</v>
      </c>
      <c r="AD519" s="4" t="s">
        <v>3</v>
      </c>
      <c r="AE519" s="5" t="s">
        <v>4</v>
      </c>
      <c r="AF519" s="6" t="s">
        <v>5</v>
      </c>
      <c r="AG519" s="7" t="s">
        <v>6</v>
      </c>
      <c r="AH519" s="169"/>
    </row>
    <row r="520" spans="1:34" ht="14.25" thickBot="1" x14ac:dyDescent="0.2">
      <c r="A520" s="27" t="s">
        <v>20</v>
      </c>
      <c r="B520" s="38">
        <f>B514</f>
        <v>6</v>
      </c>
      <c r="C520" s="39">
        <f>C514</f>
        <v>5</v>
      </c>
      <c r="D520" s="2">
        <f>D514</f>
        <v>9</v>
      </c>
      <c r="E520" s="36">
        <f>SUM(B520:D520)</f>
        <v>20</v>
      </c>
      <c r="F520" s="38">
        <f>F514</f>
        <v>4</v>
      </c>
      <c r="G520" s="39">
        <f>G514</f>
        <v>7</v>
      </c>
      <c r="H520" s="2">
        <f>H514</f>
        <v>5</v>
      </c>
      <c r="I520" s="36">
        <f>SUM(F520:H520)</f>
        <v>16</v>
      </c>
      <c r="J520" s="36">
        <f>E520+I520</f>
        <v>36</v>
      </c>
      <c r="M520" s="27" t="s">
        <v>20</v>
      </c>
      <c r="N520" s="38">
        <f>N514</f>
        <v>618</v>
      </c>
      <c r="O520" s="39">
        <f>O514</f>
        <v>908</v>
      </c>
      <c r="P520" s="2">
        <f>P514</f>
        <v>711</v>
      </c>
      <c r="Q520" s="36">
        <f>SUM(N520:P520)</f>
        <v>2237</v>
      </c>
      <c r="R520" s="38">
        <f>R514</f>
        <v>667</v>
      </c>
      <c r="S520" s="39">
        <f>S514</f>
        <v>895</v>
      </c>
      <c r="T520" s="2">
        <f>T514</f>
        <v>828</v>
      </c>
      <c r="U520" s="36">
        <f>SUM(R520:T520)</f>
        <v>2390</v>
      </c>
      <c r="V520" s="36">
        <f>Q520+U520</f>
        <v>4627</v>
      </c>
      <c r="Y520" s="27" t="s">
        <v>20</v>
      </c>
      <c r="Z520" s="38">
        <f>Z514</f>
        <v>0</v>
      </c>
      <c r="AA520" s="39">
        <f>AA514</f>
        <v>0</v>
      </c>
      <c r="AB520" s="2">
        <f>AB514</f>
        <v>0</v>
      </c>
      <c r="AC520" s="36">
        <f>SUM(Z520:AB520)</f>
        <v>0</v>
      </c>
      <c r="AD520" s="38">
        <f>AD514</f>
        <v>0</v>
      </c>
      <c r="AE520" s="39">
        <f>AE514</f>
        <v>0</v>
      </c>
      <c r="AF520" s="2">
        <f>AF514</f>
        <v>0</v>
      </c>
      <c r="AG520" s="36">
        <f>SUM(AD520:AF520)</f>
        <v>0</v>
      </c>
      <c r="AH520" s="36">
        <f>AC520+AG520</f>
        <v>0</v>
      </c>
    </row>
    <row r="521" spans="1:34" x14ac:dyDescent="0.15">
      <c r="A521" s="25" t="s">
        <v>8</v>
      </c>
      <c r="B521" s="42"/>
      <c r="C521" s="43"/>
      <c r="D521" s="44"/>
      <c r="E521" s="48">
        <f>SUM(B521:D521)</f>
        <v>0</v>
      </c>
      <c r="F521" s="60">
        <v>5</v>
      </c>
      <c r="G521" s="43"/>
      <c r="H521" s="61"/>
      <c r="I521" s="48">
        <f>SUM(F521:H521)</f>
        <v>5</v>
      </c>
      <c r="J521" s="48">
        <f>E521+I521</f>
        <v>5</v>
      </c>
      <c r="K521" s="63">
        <v>44657</v>
      </c>
      <c r="M521" s="25" t="s">
        <v>8</v>
      </c>
      <c r="N521" s="42"/>
      <c r="O521" s="43"/>
      <c r="P521" s="44"/>
      <c r="Q521" s="48">
        <f>SUM(N521:P521)</f>
        <v>0</v>
      </c>
      <c r="R521" s="60"/>
      <c r="S521" s="43"/>
      <c r="T521" s="61"/>
      <c r="U521" s="48">
        <f>SUM(R521:T521)</f>
        <v>0</v>
      </c>
      <c r="V521" s="48">
        <f>Q521+U521</f>
        <v>0</v>
      </c>
      <c r="Y521" s="25" t="s">
        <v>8</v>
      </c>
      <c r="Z521" s="42"/>
      <c r="AA521" s="43"/>
      <c r="AB521" s="44"/>
      <c r="AC521" s="48">
        <f>SUM(Z521:AB521)</f>
        <v>0</v>
      </c>
      <c r="AD521" s="60"/>
      <c r="AE521" s="43"/>
      <c r="AF521" s="61"/>
      <c r="AG521" s="48">
        <f>SUM(AD521:AF521)</f>
        <v>0</v>
      </c>
      <c r="AH521" s="48">
        <f>AC521+AG521</f>
        <v>0</v>
      </c>
    </row>
    <row r="522" spans="1:34" x14ac:dyDescent="0.15">
      <c r="A522" s="25" t="s">
        <v>9</v>
      </c>
      <c r="B522" s="8">
        <v>10</v>
      </c>
      <c r="C522" s="9">
        <v>10</v>
      </c>
      <c r="D522" s="52">
        <v>10</v>
      </c>
      <c r="E522" s="11">
        <f>SUM(B522:D522)</f>
        <v>30</v>
      </c>
      <c r="F522" s="12">
        <v>15</v>
      </c>
      <c r="G522" s="9">
        <v>10</v>
      </c>
      <c r="H522" s="10">
        <v>10</v>
      </c>
      <c r="I522" s="11">
        <f>SUM(F522:H522)</f>
        <v>35</v>
      </c>
      <c r="J522" s="11">
        <f>E522+I522</f>
        <v>65</v>
      </c>
      <c r="K522" s="63">
        <v>44664</v>
      </c>
      <c r="M522" s="120" t="s">
        <v>225</v>
      </c>
      <c r="N522" s="8">
        <v>300</v>
      </c>
      <c r="O522" s="9">
        <v>200</v>
      </c>
      <c r="P522" s="52">
        <v>100</v>
      </c>
      <c r="Q522" s="11">
        <f t="shared" ref="Q522:Q528" si="549">SUM(N522:P522)</f>
        <v>600</v>
      </c>
      <c r="R522" s="12">
        <v>350</v>
      </c>
      <c r="S522" s="9">
        <v>200</v>
      </c>
      <c r="T522" s="10">
        <v>150</v>
      </c>
      <c r="U522" s="11">
        <f t="shared" ref="U522:U528" si="550">SUM(R522:T522)</f>
        <v>700</v>
      </c>
      <c r="V522" s="11">
        <f t="shared" ref="V522:V528" si="551">Q522+U522</f>
        <v>1300</v>
      </c>
      <c r="W522" s="140" t="s">
        <v>316</v>
      </c>
      <c r="Y522" s="25" t="s">
        <v>9</v>
      </c>
      <c r="Z522" s="8"/>
      <c r="AA522" s="9"/>
      <c r="AB522" s="52"/>
      <c r="AC522" s="11">
        <f t="shared" ref="AC522:AC528" si="552">SUM(Z522:AB522)</f>
        <v>0</v>
      </c>
      <c r="AD522" s="12"/>
      <c r="AE522" s="9"/>
      <c r="AF522" s="10"/>
      <c r="AG522" s="11">
        <f t="shared" ref="AG522:AG528" si="553">SUM(AD522:AF522)</f>
        <v>0</v>
      </c>
      <c r="AH522" s="11">
        <f t="shared" ref="AH522:AH528" si="554">AC522+AG522</f>
        <v>0</v>
      </c>
    </row>
    <row r="523" spans="1:34" x14ac:dyDescent="0.15">
      <c r="A523" s="25" t="s">
        <v>10</v>
      </c>
      <c r="B523" s="17"/>
      <c r="C523" s="18"/>
      <c r="D523" s="51"/>
      <c r="E523" s="11">
        <f t="shared" ref="E523:E528" si="555">SUM(B523:D523)</f>
        <v>0</v>
      </c>
      <c r="F523" s="20"/>
      <c r="G523" s="18">
        <v>5</v>
      </c>
      <c r="H523" s="19"/>
      <c r="I523" s="11">
        <f t="shared" ref="I523:I528" si="556">SUM(F523:H523)</f>
        <v>5</v>
      </c>
      <c r="J523" s="11">
        <f t="shared" ref="J523:J528" si="557">E523+I523</f>
        <v>5</v>
      </c>
      <c r="K523" s="63">
        <v>44672</v>
      </c>
      <c r="M523" s="25" t="s">
        <v>220</v>
      </c>
      <c r="N523" s="17">
        <v>150</v>
      </c>
      <c r="O523" s="18">
        <v>150</v>
      </c>
      <c r="P523" s="51">
        <v>200</v>
      </c>
      <c r="Q523" s="49">
        <f t="shared" si="549"/>
        <v>500</v>
      </c>
      <c r="R523" s="20">
        <v>150</v>
      </c>
      <c r="S523" s="18">
        <v>250</v>
      </c>
      <c r="T523" s="19">
        <v>200</v>
      </c>
      <c r="U523" s="49">
        <f t="shared" si="550"/>
        <v>600</v>
      </c>
      <c r="V523" s="49">
        <f t="shared" si="551"/>
        <v>1100</v>
      </c>
      <c r="W523" s="140" t="s">
        <v>316</v>
      </c>
      <c r="Y523" s="25" t="s">
        <v>10</v>
      </c>
      <c r="Z523" s="17"/>
      <c r="AA523" s="18"/>
      <c r="AB523" s="51"/>
      <c r="AC523" s="11">
        <f t="shared" si="552"/>
        <v>0</v>
      </c>
      <c r="AD523" s="20"/>
      <c r="AE523" s="18"/>
      <c r="AF523" s="19"/>
      <c r="AG523" s="11">
        <f t="shared" si="553"/>
        <v>0</v>
      </c>
      <c r="AH523" s="11">
        <f t="shared" si="554"/>
        <v>0</v>
      </c>
    </row>
    <row r="524" spans="1:34" x14ac:dyDescent="0.15">
      <c r="A524" s="25" t="s">
        <v>11</v>
      </c>
      <c r="B524" s="8">
        <v>5</v>
      </c>
      <c r="C524" s="9"/>
      <c r="D524" s="52"/>
      <c r="E524" s="11">
        <f t="shared" si="555"/>
        <v>5</v>
      </c>
      <c r="F524" s="12"/>
      <c r="G524" s="9"/>
      <c r="H524" s="10"/>
      <c r="I524" s="11">
        <f t="shared" si="556"/>
        <v>0</v>
      </c>
      <c r="J524" s="11">
        <f t="shared" si="557"/>
        <v>5</v>
      </c>
      <c r="K524" s="63">
        <v>44676</v>
      </c>
      <c r="M524" s="87" t="s">
        <v>313</v>
      </c>
      <c r="N524" s="83">
        <v>-12</v>
      </c>
      <c r="O524" s="84">
        <v>-1</v>
      </c>
      <c r="P524" s="88">
        <v>19</v>
      </c>
      <c r="Q524" s="69">
        <f t="shared" si="549"/>
        <v>6</v>
      </c>
      <c r="R524" s="86">
        <v>2</v>
      </c>
      <c r="S524" s="84">
        <v>39</v>
      </c>
      <c r="T524" s="85">
        <v>-2</v>
      </c>
      <c r="U524" s="69">
        <f t="shared" si="550"/>
        <v>39</v>
      </c>
      <c r="V524" s="69">
        <f t="shared" si="551"/>
        <v>45</v>
      </c>
      <c r="Y524" s="25" t="s">
        <v>11</v>
      </c>
      <c r="Z524" s="8"/>
      <c r="AA524" s="9"/>
      <c r="AB524" s="52"/>
      <c r="AC524" s="11">
        <f t="shared" si="552"/>
        <v>0</v>
      </c>
      <c r="AD524" s="12"/>
      <c r="AE524" s="9"/>
      <c r="AF524" s="10"/>
      <c r="AG524" s="11">
        <f t="shared" si="553"/>
        <v>0</v>
      </c>
      <c r="AH524" s="11">
        <f t="shared" si="554"/>
        <v>0</v>
      </c>
    </row>
    <row r="525" spans="1:34" x14ac:dyDescent="0.15">
      <c r="A525" s="25" t="s">
        <v>12</v>
      </c>
      <c r="B525" s="8">
        <v>5</v>
      </c>
      <c r="C525" s="9">
        <v>10</v>
      </c>
      <c r="D525" s="52">
        <v>5</v>
      </c>
      <c r="E525" s="11">
        <f t="shared" si="555"/>
        <v>20</v>
      </c>
      <c r="F525" s="12">
        <v>5</v>
      </c>
      <c r="G525" s="9">
        <v>10</v>
      </c>
      <c r="H525" s="10">
        <v>5</v>
      </c>
      <c r="I525" s="11">
        <f t="shared" si="556"/>
        <v>20</v>
      </c>
      <c r="J525" s="11">
        <f t="shared" si="557"/>
        <v>40</v>
      </c>
      <c r="K525" s="63">
        <v>44677</v>
      </c>
      <c r="M525" s="25" t="s">
        <v>12</v>
      </c>
      <c r="N525" s="8"/>
      <c r="O525" s="9"/>
      <c r="P525" s="52"/>
      <c r="Q525" s="11">
        <f t="shared" si="549"/>
        <v>0</v>
      </c>
      <c r="R525" s="12"/>
      <c r="S525" s="9"/>
      <c r="T525" s="10"/>
      <c r="U525" s="11">
        <f t="shared" si="550"/>
        <v>0</v>
      </c>
      <c r="V525" s="11">
        <f t="shared" si="551"/>
        <v>0</v>
      </c>
      <c r="Y525" s="25" t="s">
        <v>12</v>
      </c>
      <c r="Z525" s="8"/>
      <c r="AA525" s="9"/>
      <c r="AB525" s="52"/>
      <c r="AC525" s="11">
        <f t="shared" si="552"/>
        <v>0</v>
      </c>
      <c r="AD525" s="12"/>
      <c r="AE525" s="9"/>
      <c r="AF525" s="10"/>
      <c r="AG525" s="11">
        <f t="shared" si="553"/>
        <v>0</v>
      </c>
      <c r="AH525" s="11">
        <f t="shared" si="554"/>
        <v>0</v>
      </c>
    </row>
    <row r="526" spans="1:34" x14ac:dyDescent="0.15">
      <c r="A526" s="25" t="s">
        <v>13</v>
      </c>
      <c r="B526" s="8"/>
      <c r="C526" s="9">
        <v>5</v>
      </c>
      <c r="D526" s="52"/>
      <c r="E526" s="11">
        <f t="shared" si="555"/>
        <v>5</v>
      </c>
      <c r="F526" s="12">
        <v>5</v>
      </c>
      <c r="G526" s="9">
        <v>5</v>
      </c>
      <c r="H526" s="10"/>
      <c r="I526" s="11">
        <f t="shared" si="556"/>
        <v>10</v>
      </c>
      <c r="J526" s="11">
        <f t="shared" si="557"/>
        <v>15</v>
      </c>
      <c r="K526" s="63">
        <v>44683</v>
      </c>
      <c r="M526" s="25" t="s">
        <v>13</v>
      </c>
      <c r="N526" s="8"/>
      <c r="O526" s="9"/>
      <c r="P526" s="52"/>
      <c r="Q526" s="11">
        <f t="shared" si="549"/>
        <v>0</v>
      </c>
      <c r="R526" s="12"/>
      <c r="S526" s="9"/>
      <c r="T526" s="10"/>
      <c r="U526" s="11">
        <f t="shared" si="550"/>
        <v>0</v>
      </c>
      <c r="V526" s="11">
        <f t="shared" si="551"/>
        <v>0</v>
      </c>
      <c r="Y526" s="25" t="s">
        <v>13</v>
      </c>
      <c r="Z526" s="8"/>
      <c r="AA526" s="9"/>
      <c r="AB526" s="52"/>
      <c r="AC526" s="11">
        <f t="shared" si="552"/>
        <v>0</v>
      </c>
      <c r="AD526" s="12"/>
      <c r="AE526" s="9"/>
      <c r="AF526" s="10"/>
      <c r="AG526" s="11">
        <f t="shared" si="553"/>
        <v>0</v>
      </c>
      <c r="AH526" s="11">
        <f t="shared" si="554"/>
        <v>0</v>
      </c>
    </row>
    <row r="527" spans="1:34" x14ac:dyDescent="0.15">
      <c r="A527" s="25" t="s">
        <v>14</v>
      </c>
      <c r="B527" s="13"/>
      <c r="C527" s="14"/>
      <c r="D527" s="53"/>
      <c r="E527" s="11">
        <f t="shared" si="555"/>
        <v>0</v>
      </c>
      <c r="F527" s="16"/>
      <c r="G527" s="14"/>
      <c r="H527" s="15"/>
      <c r="I527" s="11">
        <f t="shared" si="556"/>
        <v>0</v>
      </c>
      <c r="J527" s="11">
        <f t="shared" si="557"/>
        <v>0</v>
      </c>
      <c r="M527" s="25" t="s">
        <v>14</v>
      </c>
      <c r="N527" s="13"/>
      <c r="O527" s="14"/>
      <c r="P527" s="53"/>
      <c r="Q527" s="11">
        <f t="shared" si="549"/>
        <v>0</v>
      </c>
      <c r="R527" s="16"/>
      <c r="S527" s="14"/>
      <c r="T527" s="15"/>
      <c r="U527" s="11">
        <f t="shared" si="550"/>
        <v>0</v>
      </c>
      <c r="V527" s="11">
        <f t="shared" si="551"/>
        <v>0</v>
      </c>
      <c r="W527" s="142"/>
      <c r="Y527" s="25" t="s">
        <v>14</v>
      </c>
      <c r="Z527" s="13"/>
      <c r="AA527" s="14"/>
      <c r="AB527" s="53"/>
      <c r="AC527" s="11">
        <f t="shared" si="552"/>
        <v>0</v>
      </c>
      <c r="AD527" s="16"/>
      <c r="AE527" s="14"/>
      <c r="AF527" s="15"/>
      <c r="AG527" s="11">
        <f t="shared" si="553"/>
        <v>0</v>
      </c>
      <c r="AH527" s="11">
        <f t="shared" si="554"/>
        <v>0</v>
      </c>
    </row>
    <row r="528" spans="1:34" ht="14.25" thickBot="1" x14ac:dyDescent="0.2">
      <c r="A528" s="25" t="s">
        <v>15</v>
      </c>
      <c r="B528" s="13">
        <v>1</v>
      </c>
      <c r="C528" s="14">
        <v>0</v>
      </c>
      <c r="D528" s="53">
        <v>1</v>
      </c>
      <c r="E528" s="11">
        <f t="shared" si="555"/>
        <v>2</v>
      </c>
      <c r="F528" s="34">
        <v>2</v>
      </c>
      <c r="G528" s="34">
        <v>-3</v>
      </c>
      <c r="H528" s="37">
        <v>1</v>
      </c>
      <c r="I528" s="62">
        <f t="shared" si="556"/>
        <v>0</v>
      </c>
      <c r="J528" s="21">
        <f t="shared" si="557"/>
        <v>2</v>
      </c>
      <c r="M528" s="25" t="s">
        <v>15</v>
      </c>
      <c r="N528" s="13"/>
      <c r="O528" s="14"/>
      <c r="P528" s="53"/>
      <c r="Q528" s="62">
        <f t="shared" si="549"/>
        <v>0</v>
      </c>
      <c r="R528" s="34"/>
      <c r="S528" s="34"/>
      <c r="T528" s="37"/>
      <c r="U528" s="62">
        <f t="shared" si="550"/>
        <v>0</v>
      </c>
      <c r="V528" s="21">
        <f t="shared" si="551"/>
        <v>0</v>
      </c>
      <c r="Y528" s="25" t="s">
        <v>15</v>
      </c>
      <c r="Z528" s="13"/>
      <c r="AA528" s="14"/>
      <c r="AB528" s="53"/>
      <c r="AC528" s="62">
        <f t="shared" si="552"/>
        <v>0</v>
      </c>
      <c r="AD528" s="34"/>
      <c r="AE528" s="34"/>
      <c r="AF528" s="37"/>
      <c r="AG528" s="62">
        <f t="shared" si="553"/>
        <v>0</v>
      </c>
      <c r="AH528" s="21">
        <f t="shared" si="554"/>
        <v>0</v>
      </c>
    </row>
    <row r="529" spans="1:34" ht="14.25" thickBot="1" x14ac:dyDescent="0.2">
      <c r="A529" s="35" t="s">
        <v>16</v>
      </c>
      <c r="B529" s="28">
        <f>SUM(B520:B528)</f>
        <v>27</v>
      </c>
      <c r="C529" s="29">
        <f t="shared" ref="C529:D529" si="558">SUM(C520:C528)</f>
        <v>30</v>
      </c>
      <c r="D529" s="68">
        <f t="shared" si="558"/>
        <v>25</v>
      </c>
      <c r="E529" s="64">
        <f>SUM(B529:D529)</f>
        <v>82</v>
      </c>
      <c r="F529" s="28">
        <f>SUM(F520:F528)</f>
        <v>36</v>
      </c>
      <c r="G529" s="29">
        <f t="shared" ref="G529:H529" si="559">SUM(G520:G528)</f>
        <v>34</v>
      </c>
      <c r="H529" s="68">
        <f t="shared" si="559"/>
        <v>21</v>
      </c>
      <c r="I529" s="64">
        <f>SUM(F529:H529)</f>
        <v>91</v>
      </c>
      <c r="J529" s="31">
        <f>SUM(J521:J528)</f>
        <v>137</v>
      </c>
      <c r="M529" s="35" t="s">
        <v>16</v>
      </c>
      <c r="N529" s="28">
        <f>SUM(N520:N528)</f>
        <v>1056</v>
      </c>
      <c r="O529" s="29">
        <f t="shared" ref="O529:P529" si="560">SUM(O520:O528)</f>
        <v>1257</v>
      </c>
      <c r="P529" s="68">
        <f t="shared" si="560"/>
        <v>1030</v>
      </c>
      <c r="Q529" s="64">
        <f>SUM(N529:P529)</f>
        <v>3343</v>
      </c>
      <c r="R529" s="28">
        <f>SUM(R520:R528)</f>
        <v>1169</v>
      </c>
      <c r="S529" s="29">
        <f t="shared" ref="S529:T529" si="561">SUM(S520:S528)</f>
        <v>1384</v>
      </c>
      <c r="T529" s="68">
        <f t="shared" si="561"/>
        <v>1176</v>
      </c>
      <c r="U529" s="64">
        <f>SUM(R529:T529)</f>
        <v>3729</v>
      </c>
      <c r="V529" s="31">
        <f>Q529+U529</f>
        <v>7072</v>
      </c>
      <c r="Y529" s="35" t="s">
        <v>16</v>
      </c>
      <c r="Z529" s="28">
        <f>SUM(Z520:Z528)</f>
        <v>0</v>
      </c>
      <c r="AA529" s="29">
        <f t="shared" ref="AA529:AB529" si="562">SUM(AA520:AA528)</f>
        <v>0</v>
      </c>
      <c r="AB529" s="68">
        <f t="shared" si="562"/>
        <v>0</v>
      </c>
      <c r="AC529" s="64">
        <f>SUM(Z529:AB529)</f>
        <v>0</v>
      </c>
      <c r="AD529" s="28">
        <f>SUM(AD520:AD528)</f>
        <v>0</v>
      </c>
      <c r="AE529" s="29">
        <f t="shared" ref="AE529:AF529" si="563">SUM(AE520:AE528)</f>
        <v>0</v>
      </c>
      <c r="AF529" s="68">
        <f t="shared" si="563"/>
        <v>0</v>
      </c>
      <c r="AG529" s="64">
        <f>SUM(AD529:AF529)</f>
        <v>0</v>
      </c>
      <c r="AH529" s="31">
        <f>AC529+AG529</f>
        <v>0</v>
      </c>
    </row>
    <row r="530" spans="1:34" x14ac:dyDescent="0.15">
      <c r="A530" s="25" t="s">
        <v>33</v>
      </c>
      <c r="B530" s="65"/>
      <c r="C530" s="66"/>
      <c r="D530" s="67"/>
      <c r="E530" s="49">
        <f>SUM(B530:D530)</f>
        <v>0</v>
      </c>
      <c r="F530" s="16">
        <v>3</v>
      </c>
      <c r="G530" s="14"/>
      <c r="H530" s="15"/>
      <c r="I530" s="49">
        <f>SUM(F530:H530)</f>
        <v>3</v>
      </c>
      <c r="J530" s="11">
        <f>E530+I530</f>
        <v>3</v>
      </c>
      <c r="K530" s="71">
        <v>44655</v>
      </c>
      <c r="M530" s="26" t="s">
        <v>329</v>
      </c>
      <c r="N530" s="65">
        <v>1</v>
      </c>
      <c r="O530" s="66">
        <v>1</v>
      </c>
      <c r="P530" s="67"/>
      <c r="Q530" s="49">
        <f t="shared" ref="Q530:Q556" si="564">SUM(N530:P530)</f>
        <v>2</v>
      </c>
      <c r="R530" s="16">
        <v>1</v>
      </c>
      <c r="S530" s="14">
        <v>1</v>
      </c>
      <c r="T530" s="15"/>
      <c r="U530" s="49">
        <f t="shared" ref="U530:U556" si="565">SUM(R530:T530)</f>
        <v>2</v>
      </c>
      <c r="V530" s="11">
        <f t="shared" ref="V530:V555" si="566">Q530+U530</f>
        <v>4</v>
      </c>
      <c r="W530" s="140">
        <v>44655</v>
      </c>
      <c r="Y530" s="26"/>
      <c r="Z530" s="8"/>
      <c r="AA530" s="9"/>
      <c r="AB530" s="52"/>
      <c r="AC530" s="11">
        <f t="shared" ref="AC530:AC556" si="567">SUM(Z530:AB530)</f>
        <v>0</v>
      </c>
      <c r="AD530" s="12"/>
      <c r="AE530" s="9"/>
      <c r="AF530" s="10"/>
      <c r="AG530" s="11">
        <f t="shared" ref="AG530:AG556" si="568">SUM(AD530:AF530)</f>
        <v>0</v>
      </c>
      <c r="AH530" s="11">
        <f t="shared" ref="AH530:AH555" si="569">AC530+AG530</f>
        <v>0</v>
      </c>
    </row>
    <row r="531" spans="1:34" x14ac:dyDescent="0.15">
      <c r="A531" s="26" t="s">
        <v>329</v>
      </c>
      <c r="B531" s="8"/>
      <c r="C531" s="9">
        <v>1</v>
      </c>
      <c r="D531" s="10"/>
      <c r="E531" s="49">
        <f t="shared" ref="E531:E556" si="570">SUM(B531:D531)</f>
        <v>1</v>
      </c>
      <c r="F531" s="12"/>
      <c r="G531" s="9">
        <v>1</v>
      </c>
      <c r="H531" s="10"/>
      <c r="I531" s="49">
        <f t="shared" ref="I531:I556" si="571">SUM(F531:H531)</f>
        <v>1</v>
      </c>
      <c r="J531" s="11">
        <f t="shared" ref="J531:J555" si="572">E531+I531</f>
        <v>2</v>
      </c>
      <c r="K531" s="63">
        <v>44658</v>
      </c>
      <c r="M531" s="26" t="s">
        <v>329</v>
      </c>
      <c r="N531" s="8">
        <v>6</v>
      </c>
      <c r="O531" s="9">
        <v>4</v>
      </c>
      <c r="P531" s="10">
        <v>6</v>
      </c>
      <c r="Q531" s="49">
        <f t="shared" si="564"/>
        <v>16</v>
      </c>
      <c r="R531" s="12">
        <v>6</v>
      </c>
      <c r="S531" s="9">
        <v>4</v>
      </c>
      <c r="T531" s="10">
        <v>6</v>
      </c>
      <c r="U531" s="49">
        <f t="shared" si="565"/>
        <v>16</v>
      </c>
      <c r="V531" s="11">
        <f t="shared" si="566"/>
        <v>32</v>
      </c>
      <c r="W531" s="140">
        <v>44656</v>
      </c>
      <c r="Y531" s="26"/>
      <c r="Z531" s="17"/>
      <c r="AA531" s="18"/>
      <c r="AB531" s="51"/>
      <c r="AC531" s="11">
        <f t="shared" si="567"/>
        <v>0</v>
      </c>
      <c r="AD531" s="20"/>
      <c r="AE531" s="18"/>
      <c r="AF531" s="19"/>
      <c r="AG531" s="11">
        <f t="shared" si="568"/>
        <v>0</v>
      </c>
      <c r="AH531" s="11">
        <f t="shared" si="569"/>
        <v>0</v>
      </c>
    </row>
    <row r="532" spans="1:34" x14ac:dyDescent="0.15">
      <c r="A532" s="25" t="s">
        <v>33</v>
      </c>
      <c r="B532" s="8"/>
      <c r="C532" s="9">
        <v>1</v>
      </c>
      <c r="D532" s="10"/>
      <c r="E532" s="49">
        <f t="shared" si="570"/>
        <v>1</v>
      </c>
      <c r="F532" s="12"/>
      <c r="G532" s="9">
        <v>1</v>
      </c>
      <c r="H532" s="10"/>
      <c r="I532" s="49">
        <f t="shared" si="571"/>
        <v>1</v>
      </c>
      <c r="J532" s="11">
        <f t="shared" si="572"/>
        <v>2</v>
      </c>
      <c r="K532" s="71">
        <v>44657</v>
      </c>
      <c r="M532" s="26" t="s">
        <v>329</v>
      </c>
      <c r="N532" s="8"/>
      <c r="O532" s="9">
        <v>1</v>
      </c>
      <c r="P532" s="10"/>
      <c r="Q532" s="49">
        <f t="shared" si="564"/>
        <v>1</v>
      </c>
      <c r="R532" s="12"/>
      <c r="S532" s="9">
        <v>1</v>
      </c>
      <c r="T532" s="10"/>
      <c r="U532" s="49">
        <f t="shared" si="565"/>
        <v>1</v>
      </c>
      <c r="V532" s="11">
        <f t="shared" si="566"/>
        <v>2</v>
      </c>
      <c r="W532" s="140">
        <v>44657</v>
      </c>
      <c r="Y532" s="26"/>
      <c r="Z532" s="8"/>
      <c r="AA532" s="9"/>
      <c r="AB532" s="52"/>
      <c r="AC532" s="11">
        <f t="shared" si="567"/>
        <v>0</v>
      </c>
      <c r="AD532" s="12"/>
      <c r="AE532" s="9"/>
      <c r="AF532" s="10"/>
      <c r="AG532" s="11">
        <f t="shared" si="568"/>
        <v>0</v>
      </c>
      <c r="AH532" s="11">
        <f t="shared" si="569"/>
        <v>0</v>
      </c>
    </row>
    <row r="533" spans="1:34" x14ac:dyDescent="0.15">
      <c r="A533" s="26" t="s">
        <v>329</v>
      </c>
      <c r="B533" s="8"/>
      <c r="C533" s="9">
        <v>1</v>
      </c>
      <c r="D533" s="10"/>
      <c r="E533" s="49">
        <f t="shared" si="570"/>
        <v>1</v>
      </c>
      <c r="F533" s="12"/>
      <c r="G533" s="9">
        <v>1</v>
      </c>
      <c r="H533" s="10"/>
      <c r="I533" s="49">
        <f t="shared" si="571"/>
        <v>1</v>
      </c>
      <c r="J533" s="11">
        <f t="shared" si="572"/>
        <v>2</v>
      </c>
      <c r="K533" s="63">
        <v>44659</v>
      </c>
      <c r="M533" s="26" t="s">
        <v>330</v>
      </c>
      <c r="N533" s="8"/>
      <c r="O533" s="9"/>
      <c r="P533" s="10"/>
      <c r="Q533" s="49">
        <f t="shared" si="564"/>
        <v>0</v>
      </c>
      <c r="R533" s="12">
        <v>5</v>
      </c>
      <c r="S533" s="9"/>
      <c r="T533" s="10"/>
      <c r="U533" s="49">
        <f t="shared" si="565"/>
        <v>5</v>
      </c>
      <c r="V533" s="11">
        <f t="shared" si="566"/>
        <v>5</v>
      </c>
      <c r="W533" s="140">
        <v>44657</v>
      </c>
      <c r="X533" s="82"/>
      <c r="Y533" s="26"/>
      <c r="Z533" s="8"/>
      <c r="AA533" s="9"/>
      <c r="AB533" s="52"/>
      <c r="AC533" s="11">
        <f t="shared" si="567"/>
        <v>0</v>
      </c>
      <c r="AD533" s="12"/>
      <c r="AE533" s="9"/>
      <c r="AF533" s="10"/>
      <c r="AG533" s="11">
        <f t="shared" si="568"/>
        <v>0</v>
      </c>
      <c r="AH533" s="11">
        <f t="shared" si="569"/>
        <v>0</v>
      </c>
    </row>
    <row r="534" spans="1:34" x14ac:dyDescent="0.15">
      <c r="A534" s="25" t="s">
        <v>33</v>
      </c>
      <c r="B534" s="8"/>
      <c r="C534" s="9"/>
      <c r="D534" s="10"/>
      <c r="E534" s="49">
        <f t="shared" ref="E534:E546" si="573">SUM(B534:D534)</f>
        <v>0</v>
      </c>
      <c r="F534" s="12"/>
      <c r="G534" s="9">
        <v>1</v>
      </c>
      <c r="H534" s="10"/>
      <c r="I534" s="49">
        <f t="shared" ref="I534:I546" si="574">SUM(F534:H534)</f>
        <v>1</v>
      </c>
      <c r="J534" s="11">
        <f t="shared" ref="J534:J546" si="575">E534+I534</f>
        <v>1</v>
      </c>
      <c r="K534" s="71">
        <v>44659</v>
      </c>
      <c r="M534" s="26" t="s">
        <v>331</v>
      </c>
      <c r="N534" s="8">
        <v>10</v>
      </c>
      <c r="O534" s="9">
        <v>10</v>
      </c>
      <c r="P534" s="10">
        <v>10</v>
      </c>
      <c r="Q534" s="49">
        <f t="shared" si="564"/>
        <v>30</v>
      </c>
      <c r="R534" s="12">
        <v>10</v>
      </c>
      <c r="S534" s="9">
        <v>10</v>
      </c>
      <c r="T534" s="10">
        <v>10</v>
      </c>
      <c r="U534" s="49">
        <f t="shared" si="565"/>
        <v>30</v>
      </c>
      <c r="V534" s="11">
        <f t="shared" si="566"/>
        <v>60</v>
      </c>
      <c r="W534" s="140">
        <v>44666</v>
      </c>
      <c r="Y534" s="26"/>
      <c r="Z534" s="8"/>
      <c r="AA534" s="9"/>
      <c r="AB534" s="10"/>
      <c r="AC534" s="49">
        <f t="shared" si="567"/>
        <v>0</v>
      </c>
      <c r="AD534" s="12"/>
      <c r="AE534" s="9"/>
      <c r="AF534" s="10"/>
      <c r="AG534" s="49">
        <f t="shared" si="568"/>
        <v>0</v>
      </c>
      <c r="AH534" s="11">
        <f t="shared" si="569"/>
        <v>0</v>
      </c>
    </row>
    <row r="535" spans="1:34" x14ac:dyDescent="0.15">
      <c r="A535" s="25" t="s">
        <v>33</v>
      </c>
      <c r="B535" s="8">
        <f>1+3</f>
        <v>4</v>
      </c>
      <c r="C535" s="9">
        <v>1</v>
      </c>
      <c r="D535" s="10">
        <f>2+2</f>
        <v>4</v>
      </c>
      <c r="E535" s="49">
        <f t="shared" si="573"/>
        <v>9</v>
      </c>
      <c r="F535" s="12">
        <f>3+3</f>
        <v>6</v>
      </c>
      <c r="G535" s="9">
        <v>1</v>
      </c>
      <c r="H535" s="10">
        <v>2</v>
      </c>
      <c r="I535" s="49">
        <f t="shared" si="574"/>
        <v>9</v>
      </c>
      <c r="J535" s="11">
        <f t="shared" si="575"/>
        <v>18</v>
      </c>
      <c r="K535" s="71">
        <v>44662</v>
      </c>
      <c r="M535" s="25" t="s">
        <v>28</v>
      </c>
      <c r="N535" s="8">
        <v>10</v>
      </c>
      <c r="O535" s="9">
        <v>10</v>
      </c>
      <c r="P535" s="52">
        <v>10</v>
      </c>
      <c r="Q535" s="11">
        <f>SUM(N535:P535)</f>
        <v>30</v>
      </c>
      <c r="R535" s="12">
        <v>15</v>
      </c>
      <c r="S535" s="9">
        <v>10</v>
      </c>
      <c r="T535" s="10">
        <v>10</v>
      </c>
      <c r="U535" s="11">
        <f>SUM(R535:T535)</f>
        <v>35</v>
      </c>
      <c r="V535" s="11">
        <f>Q535+U535</f>
        <v>65</v>
      </c>
      <c r="W535" s="140">
        <v>44664</v>
      </c>
      <c r="Y535" s="26"/>
      <c r="Z535" s="8"/>
      <c r="AA535" s="9"/>
      <c r="AB535" s="10"/>
      <c r="AC535" s="49">
        <f t="shared" si="567"/>
        <v>0</v>
      </c>
      <c r="AD535" s="12"/>
      <c r="AE535" s="9"/>
      <c r="AF535" s="10"/>
      <c r="AG535" s="49">
        <f t="shared" si="568"/>
        <v>0</v>
      </c>
      <c r="AH535" s="11">
        <f t="shared" si="569"/>
        <v>0</v>
      </c>
    </row>
    <row r="536" spans="1:34" x14ac:dyDescent="0.15">
      <c r="A536" s="25" t="s">
        <v>33</v>
      </c>
      <c r="B536" s="8"/>
      <c r="C536" s="9">
        <v>1</v>
      </c>
      <c r="D536" s="10">
        <v>1</v>
      </c>
      <c r="E536" s="49">
        <f t="shared" si="573"/>
        <v>2</v>
      </c>
      <c r="F536" s="12"/>
      <c r="G536" s="9">
        <v>2</v>
      </c>
      <c r="H536" s="10"/>
      <c r="I536" s="49">
        <f t="shared" si="574"/>
        <v>2</v>
      </c>
      <c r="J536" s="11">
        <f t="shared" si="575"/>
        <v>4</v>
      </c>
      <c r="K536" s="71">
        <v>44664</v>
      </c>
      <c r="M536" s="26" t="s">
        <v>329</v>
      </c>
      <c r="N536" s="8"/>
      <c r="O536" s="9">
        <v>5</v>
      </c>
      <c r="P536" s="10"/>
      <c r="Q536" s="49">
        <f t="shared" si="564"/>
        <v>5</v>
      </c>
      <c r="R536" s="12"/>
      <c r="S536" s="9">
        <v>5</v>
      </c>
      <c r="T536" s="10"/>
      <c r="U536" s="49">
        <f t="shared" si="565"/>
        <v>5</v>
      </c>
      <c r="V536" s="11">
        <f t="shared" si="566"/>
        <v>10</v>
      </c>
      <c r="W536" s="140">
        <v>44663</v>
      </c>
      <c r="X536" s="82"/>
      <c r="Y536" s="24"/>
      <c r="Z536" s="8"/>
      <c r="AA536" s="9"/>
      <c r="AB536" s="10"/>
      <c r="AC536" s="49">
        <f t="shared" si="567"/>
        <v>0</v>
      </c>
      <c r="AD536" s="12"/>
      <c r="AE536" s="9"/>
      <c r="AF536" s="10"/>
      <c r="AG536" s="49">
        <f t="shared" si="568"/>
        <v>0</v>
      </c>
      <c r="AH536" s="11">
        <f t="shared" si="569"/>
        <v>0</v>
      </c>
    </row>
    <row r="537" spans="1:34" x14ac:dyDescent="0.15">
      <c r="A537" s="25" t="s">
        <v>33</v>
      </c>
      <c r="B537" s="8"/>
      <c r="C537" s="9"/>
      <c r="D537" s="10"/>
      <c r="E537" s="49">
        <f t="shared" si="573"/>
        <v>0</v>
      </c>
      <c r="F537" s="12"/>
      <c r="G537" s="9">
        <v>1</v>
      </c>
      <c r="H537" s="10">
        <v>1</v>
      </c>
      <c r="I537" s="49">
        <f t="shared" si="574"/>
        <v>2</v>
      </c>
      <c r="J537" s="11">
        <f t="shared" si="575"/>
        <v>2</v>
      </c>
      <c r="K537" s="71">
        <v>44665</v>
      </c>
      <c r="M537" s="26" t="s">
        <v>332</v>
      </c>
      <c r="N537" s="8">
        <v>80</v>
      </c>
      <c r="O537" s="9">
        <v>80</v>
      </c>
      <c r="P537" s="10">
        <v>50</v>
      </c>
      <c r="Q537" s="49">
        <f t="shared" si="564"/>
        <v>210</v>
      </c>
      <c r="R537" s="12">
        <v>70</v>
      </c>
      <c r="S537" s="9">
        <v>70</v>
      </c>
      <c r="T537" s="10">
        <v>50</v>
      </c>
      <c r="U537" s="49">
        <f t="shared" si="565"/>
        <v>190</v>
      </c>
      <c r="V537" s="11">
        <f t="shared" si="566"/>
        <v>400</v>
      </c>
      <c r="W537" s="140">
        <v>44673</v>
      </c>
      <c r="X537" s="82"/>
      <c r="Y537" s="26"/>
      <c r="Z537" s="8"/>
      <c r="AA537" s="9"/>
      <c r="AB537" s="10"/>
      <c r="AC537" s="49">
        <f t="shared" si="567"/>
        <v>0</v>
      </c>
      <c r="AD537" s="12"/>
      <c r="AE537" s="9"/>
      <c r="AF537" s="10"/>
      <c r="AG537" s="49">
        <f t="shared" si="568"/>
        <v>0</v>
      </c>
      <c r="AH537" s="11">
        <f t="shared" si="569"/>
        <v>0</v>
      </c>
    </row>
    <row r="538" spans="1:34" x14ac:dyDescent="0.15">
      <c r="A538" s="25" t="s">
        <v>33</v>
      </c>
      <c r="B538" s="13">
        <v>1</v>
      </c>
      <c r="C538" s="14"/>
      <c r="D538" s="15"/>
      <c r="E538" s="49">
        <f t="shared" si="573"/>
        <v>1</v>
      </c>
      <c r="F538" s="16">
        <v>1</v>
      </c>
      <c r="G538" s="14">
        <v>1</v>
      </c>
      <c r="H538" s="15"/>
      <c r="I538" s="49">
        <f t="shared" si="574"/>
        <v>2</v>
      </c>
      <c r="J538" s="11">
        <f t="shared" si="575"/>
        <v>3</v>
      </c>
      <c r="K538" s="71">
        <v>44666</v>
      </c>
      <c r="M538" s="26" t="s">
        <v>333</v>
      </c>
      <c r="N538" s="8">
        <v>35</v>
      </c>
      <c r="O538" s="9">
        <v>35</v>
      </c>
      <c r="P538" s="10">
        <v>25</v>
      </c>
      <c r="Q538" s="49">
        <f t="shared" si="564"/>
        <v>95</v>
      </c>
      <c r="R538" s="12">
        <v>30</v>
      </c>
      <c r="S538" s="9">
        <v>30</v>
      </c>
      <c r="T538" s="10">
        <v>20</v>
      </c>
      <c r="U538" s="49">
        <f t="shared" si="565"/>
        <v>80</v>
      </c>
      <c r="V538" s="11">
        <f t="shared" si="566"/>
        <v>175</v>
      </c>
      <c r="W538" s="140">
        <v>44673</v>
      </c>
      <c r="Y538" s="26"/>
      <c r="Z538" s="8"/>
      <c r="AA538" s="9"/>
      <c r="AB538" s="10"/>
      <c r="AC538" s="49">
        <f t="shared" si="567"/>
        <v>0</v>
      </c>
      <c r="AD538" s="12"/>
      <c r="AE538" s="9"/>
      <c r="AF538" s="10"/>
      <c r="AG538" s="49">
        <f t="shared" si="568"/>
        <v>0</v>
      </c>
      <c r="AH538" s="11">
        <f t="shared" si="569"/>
        <v>0</v>
      </c>
    </row>
    <row r="539" spans="1:34" x14ac:dyDescent="0.15">
      <c r="A539" s="25" t="s">
        <v>33</v>
      </c>
      <c r="B539" s="8"/>
      <c r="C539" s="9"/>
      <c r="D539" s="10"/>
      <c r="E539" s="49">
        <f t="shared" si="573"/>
        <v>0</v>
      </c>
      <c r="F539" s="12">
        <v>1</v>
      </c>
      <c r="G539" s="9"/>
      <c r="H539" s="10"/>
      <c r="I539" s="49">
        <f t="shared" si="574"/>
        <v>1</v>
      </c>
      <c r="J539" s="11">
        <f t="shared" si="575"/>
        <v>1</v>
      </c>
      <c r="K539" s="71">
        <v>44667</v>
      </c>
      <c r="M539" s="26" t="s">
        <v>329</v>
      </c>
      <c r="N539" s="13"/>
      <c r="O539" s="14">
        <v>2</v>
      </c>
      <c r="P539" s="15">
        <v>1</v>
      </c>
      <c r="Q539" s="49">
        <f t="shared" si="564"/>
        <v>3</v>
      </c>
      <c r="R539" s="16"/>
      <c r="S539" s="14">
        <v>2</v>
      </c>
      <c r="T539" s="15">
        <v>1</v>
      </c>
      <c r="U539" s="49">
        <f t="shared" si="565"/>
        <v>3</v>
      </c>
      <c r="V539" s="11">
        <f t="shared" si="566"/>
        <v>6</v>
      </c>
      <c r="W539" s="140">
        <v>44666</v>
      </c>
      <c r="Y539" s="26"/>
      <c r="Z539" s="13"/>
      <c r="AA539" s="14"/>
      <c r="AB539" s="15"/>
      <c r="AC539" s="49">
        <f t="shared" si="567"/>
        <v>0</v>
      </c>
      <c r="AD539" s="16"/>
      <c r="AE539" s="14"/>
      <c r="AF539" s="15"/>
      <c r="AG539" s="49">
        <f t="shared" si="568"/>
        <v>0</v>
      </c>
      <c r="AH539" s="11">
        <f t="shared" si="569"/>
        <v>0</v>
      </c>
    </row>
    <row r="540" spans="1:34" x14ac:dyDescent="0.15">
      <c r="A540" s="25" t="s">
        <v>33</v>
      </c>
      <c r="B540" s="8">
        <v>2</v>
      </c>
      <c r="C540" s="9">
        <v>2</v>
      </c>
      <c r="D540" s="10">
        <v>1</v>
      </c>
      <c r="E540" s="49">
        <f t="shared" si="573"/>
        <v>5</v>
      </c>
      <c r="F540" s="12"/>
      <c r="G540" s="9">
        <v>3</v>
      </c>
      <c r="H540" s="10">
        <v>1</v>
      </c>
      <c r="I540" s="49">
        <f t="shared" si="574"/>
        <v>4</v>
      </c>
      <c r="J540" s="11">
        <f t="shared" si="575"/>
        <v>9</v>
      </c>
      <c r="K540" s="71">
        <v>44669</v>
      </c>
      <c r="M540" s="26" t="s">
        <v>329</v>
      </c>
      <c r="N540" s="8">
        <v>1</v>
      </c>
      <c r="O540" s="9"/>
      <c r="P540" s="10"/>
      <c r="Q540" s="49">
        <f t="shared" si="564"/>
        <v>1</v>
      </c>
      <c r="R540" s="12">
        <v>1</v>
      </c>
      <c r="S540" s="9"/>
      <c r="T540" s="10"/>
      <c r="U540" s="49">
        <f t="shared" si="565"/>
        <v>1</v>
      </c>
      <c r="V540" s="11">
        <f t="shared" si="566"/>
        <v>2</v>
      </c>
      <c r="W540" s="140">
        <v>44670</v>
      </c>
      <c r="X540" s="82"/>
      <c r="Y540" s="26"/>
      <c r="Z540" s="8"/>
      <c r="AA540" s="9"/>
      <c r="AB540" s="10"/>
      <c r="AC540" s="49">
        <f t="shared" si="567"/>
        <v>0</v>
      </c>
      <c r="AD540" s="12"/>
      <c r="AE540" s="9"/>
      <c r="AF540" s="10"/>
      <c r="AG540" s="49">
        <f t="shared" si="568"/>
        <v>0</v>
      </c>
      <c r="AH540" s="11">
        <f t="shared" si="569"/>
        <v>0</v>
      </c>
    </row>
    <row r="541" spans="1:34" x14ac:dyDescent="0.15">
      <c r="A541" s="25" t="s">
        <v>33</v>
      </c>
      <c r="B541" s="8"/>
      <c r="C541" s="9">
        <v>1</v>
      </c>
      <c r="D541" s="10"/>
      <c r="E541" s="49">
        <f t="shared" si="573"/>
        <v>1</v>
      </c>
      <c r="F541" s="12">
        <v>2</v>
      </c>
      <c r="G541" s="9">
        <v>1</v>
      </c>
      <c r="H541" s="10"/>
      <c r="I541" s="49">
        <f t="shared" si="574"/>
        <v>3</v>
      </c>
      <c r="J541" s="11">
        <f t="shared" si="575"/>
        <v>4</v>
      </c>
      <c r="K541" s="71">
        <v>44670</v>
      </c>
      <c r="L541" s="40"/>
      <c r="M541" s="25" t="s">
        <v>28</v>
      </c>
      <c r="N541" s="8"/>
      <c r="O541" s="9"/>
      <c r="P541" s="10"/>
      <c r="Q541" s="49">
        <f t="shared" si="564"/>
        <v>0</v>
      </c>
      <c r="R541" s="12"/>
      <c r="S541" s="9">
        <v>5</v>
      </c>
      <c r="T541" s="10"/>
      <c r="U541" s="49">
        <f t="shared" si="565"/>
        <v>5</v>
      </c>
      <c r="V541" s="11">
        <f t="shared" si="566"/>
        <v>5</v>
      </c>
      <c r="W541" s="140">
        <v>44672</v>
      </c>
      <c r="X541" s="82"/>
      <c r="Y541" s="26"/>
      <c r="Z541" s="8"/>
      <c r="AA541" s="9"/>
      <c r="AB541" s="10"/>
      <c r="AC541" s="49">
        <f t="shared" si="567"/>
        <v>0</v>
      </c>
      <c r="AD541" s="12"/>
      <c r="AE541" s="9"/>
      <c r="AF541" s="10"/>
      <c r="AG541" s="49">
        <f t="shared" si="568"/>
        <v>0</v>
      </c>
      <c r="AH541" s="11">
        <f t="shared" si="569"/>
        <v>0</v>
      </c>
    </row>
    <row r="542" spans="1:34" x14ac:dyDescent="0.15">
      <c r="A542" s="26" t="s">
        <v>329</v>
      </c>
      <c r="B542" s="8"/>
      <c r="C542" s="9"/>
      <c r="D542" s="10">
        <v>1</v>
      </c>
      <c r="E542" s="49">
        <f t="shared" si="573"/>
        <v>1</v>
      </c>
      <c r="F542" s="12"/>
      <c r="G542" s="9"/>
      <c r="H542" s="10">
        <v>1</v>
      </c>
      <c r="I542" s="49">
        <f t="shared" si="574"/>
        <v>1</v>
      </c>
      <c r="J542" s="11">
        <f t="shared" si="575"/>
        <v>2</v>
      </c>
      <c r="K542" s="63">
        <v>44672</v>
      </c>
      <c r="M542" s="26" t="s">
        <v>329</v>
      </c>
      <c r="N542" s="8">
        <v>1</v>
      </c>
      <c r="O542" s="9"/>
      <c r="P542" s="10">
        <v>1</v>
      </c>
      <c r="Q542" s="49">
        <f t="shared" si="564"/>
        <v>2</v>
      </c>
      <c r="R542" s="12">
        <v>1</v>
      </c>
      <c r="S542" s="9"/>
      <c r="T542" s="10">
        <v>1</v>
      </c>
      <c r="U542" s="49">
        <f t="shared" si="565"/>
        <v>2</v>
      </c>
      <c r="V542" s="11">
        <f t="shared" si="566"/>
        <v>4</v>
      </c>
      <c r="W542" s="140">
        <v>44677</v>
      </c>
      <c r="X542" s="82"/>
      <c r="Y542" s="26"/>
      <c r="Z542" s="8"/>
      <c r="AA542" s="9"/>
      <c r="AB542" s="10"/>
      <c r="AC542" s="49">
        <f t="shared" si="567"/>
        <v>0</v>
      </c>
      <c r="AD542" s="12"/>
      <c r="AE542" s="9"/>
      <c r="AF542" s="10"/>
      <c r="AG542" s="49">
        <f t="shared" si="568"/>
        <v>0</v>
      </c>
      <c r="AH542" s="11">
        <f t="shared" si="569"/>
        <v>0</v>
      </c>
    </row>
    <row r="543" spans="1:34" x14ac:dyDescent="0.15">
      <c r="A543" s="25" t="s">
        <v>33</v>
      </c>
      <c r="B543" s="8"/>
      <c r="C543" s="9"/>
      <c r="D543" s="10"/>
      <c r="E543" s="49">
        <f t="shared" si="573"/>
        <v>0</v>
      </c>
      <c r="F543" s="12"/>
      <c r="G543" s="9">
        <v>1</v>
      </c>
      <c r="H543" s="10">
        <v>1</v>
      </c>
      <c r="I543" s="49">
        <f t="shared" si="574"/>
        <v>2</v>
      </c>
      <c r="J543" s="11">
        <f t="shared" si="575"/>
        <v>2</v>
      </c>
      <c r="K543" s="71">
        <v>44671</v>
      </c>
      <c r="M543" s="25" t="s">
        <v>28</v>
      </c>
      <c r="N543" s="8">
        <v>5</v>
      </c>
      <c r="O543" s="9"/>
      <c r="P543" s="10"/>
      <c r="Q543" s="49">
        <f t="shared" si="564"/>
        <v>5</v>
      </c>
      <c r="R543" s="12"/>
      <c r="S543" s="9"/>
      <c r="T543" s="10"/>
      <c r="U543" s="49">
        <f t="shared" si="565"/>
        <v>0</v>
      </c>
      <c r="V543" s="11">
        <f t="shared" si="566"/>
        <v>5</v>
      </c>
      <c r="W543" s="140">
        <v>44676</v>
      </c>
      <c r="Y543" s="26"/>
      <c r="Z543" s="8"/>
      <c r="AA543" s="9"/>
      <c r="AB543" s="10"/>
      <c r="AC543" s="49">
        <f t="shared" si="567"/>
        <v>0</v>
      </c>
      <c r="AD543" s="12"/>
      <c r="AE543" s="9"/>
      <c r="AF543" s="10"/>
      <c r="AG543" s="49">
        <f t="shared" si="568"/>
        <v>0</v>
      </c>
      <c r="AH543" s="11">
        <f t="shared" si="569"/>
        <v>0</v>
      </c>
    </row>
    <row r="544" spans="1:34" x14ac:dyDescent="0.15">
      <c r="A544" s="25" t="s">
        <v>33</v>
      </c>
      <c r="B544" s="8"/>
      <c r="C544" s="9"/>
      <c r="D544" s="10"/>
      <c r="E544" s="49">
        <f t="shared" si="573"/>
        <v>0</v>
      </c>
      <c r="F544" s="12"/>
      <c r="G544" s="9">
        <v>1</v>
      </c>
      <c r="H544" s="10"/>
      <c r="I544" s="49">
        <f t="shared" si="574"/>
        <v>1</v>
      </c>
      <c r="J544" s="11">
        <f t="shared" si="575"/>
        <v>1</v>
      </c>
      <c r="K544" s="71">
        <v>44672</v>
      </c>
      <c r="M544" s="25" t="s">
        <v>28</v>
      </c>
      <c r="N544" s="8">
        <v>5</v>
      </c>
      <c r="O544" s="9">
        <v>10</v>
      </c>
      <c r="P544" s="10">
        <v>5</v>
      </c>
      <c r="Q544" s="49">
        <f t="shared" si="564"/>
        <v>20</v>
      </c>
      <c r="R544" s="12">
        <v>5</v>
      </c>
      <c r="S544" s="9">
        <v>10</v>
      </c>
      <c r="T544" s="10">
        <v>5</v>
      </c>
      <c r="U544" s="49">
        <f t="shared" si="565"/>
        <v>20</v>
      </c>
      <c r="V544" s="11">
        <f t="shared" si="566"/>
        <v>40</v>
      </c>
      <c r="W544" s="140">
        <v>44677</v>
      </c>
      <c r="Y544" s="26"/>
      <c r="Z544" s="8"/>
      <c r="AA544" s="9"/>
      <c r="AB544" s="10"/>
      <c r="AC544" s="49">
        <f t="shared" si="567"/>
        <v>0</v>
      </c>
      <c r="AD544" s="12"/>
      <c r="AE544" s="9"/>
      <c r="AF544" s="10"/>
      <c r="AG544" s="49">
        <f t="shared" si="568"/>
        <v>0</v>
      </c>
      <c r="AH544" s="11">
        <f t="shared" si="569"/>
        <v>0</v>
      </c>
    </row>
    <row r="545" spans="1:34" x14ac:dyDescent="0.15">
      <c r="A545" s="26" t="s">
        <v>329</v>
      </c>
      <c r="B545" s="8">
        <v>1</v>
      </c>
      <c r="C545" s="9"/>
      <c r="D545" s="10"/>
      <c r="E545" s="49">
        <f t="shared" si="573"/>
        <v>1</v>
      </c>
      <c r="F545" s="12">
        <v>1</v>
      </c>
      <c r="G545" s="9"/>
      <c r="H545" s="10"/>
      <c r="I545" s="49">
        <f t="shared" si="574"/>
        <v>1</v>
      </c>
      <c r="J545" s="11">
        <f t="shared" si="575"/>
        <v>2</v>
      </c>
      <c r="K545" s="63">
        <v>44676</v>
      </c>
      <c r="L545" s="82"/>
      <c r="M545" s="26" t="s">
        <v>329</v>
      </c>
      <c r="N545" s="8"/>
      <c r="O545" s="9">
        <v>2</v>
      </c>
      <c r="P545" s="10"/>
      <c r="Q545" s="49">
        <f t="shared" si="564"/>
        <v>2</v>
      </c>
      <c r="R545" s="12"/>
      <c r="S545" s="9">
        <v>2</v>
      </c>
      <c r="T545" s="10"/>
      <c r="U545" s="49">
        <f t="shared" si="565"/>
        <v>2</v>
      </c>
      <c r="V545" s="11">
        <f t="shared" si="566"/>
        <v>4</v>
      </c>
      <c r="W545" s="140">
        <v>44681</v>
      </c>
      <c r="Y545" s="24"/>
      <c r="Z545" s="8"/>
      <c r="AA545" s="9"/>
      <c r="AB545" s="10"/>
      <c r="AC545" s="49">
        <f t="shared" si="567"/>
        <v>0</v>
      </c>
      <c r="AD545" s="12"/>
      <c r="AE545" s="9"/>
      <c r="AF545" s="10"/>
      <c r="AG545" s="49">
        <f t="shared" si="568"/>
        <v>0</v>
      </c>
      <c r="AH545" s="11">
        <f t="shared" si="569"/>
        <v>0</v>
      </c>
    </row>
    <row r="546" spans="1:34" x14ac:dyDescent="0.15">
      <c r="A546" s="25" t="s">
        <v>33</v>
      </c>
      <c r="B546" s="8">
        <f>1+2</f>
        <v>3</v>
      </c>
      <c r="C546" s="9">
        <f>1+2+1+1</f>
        <v>5</v>
      </c>
      <c r="D546" s="10">
        <v>2</v>
      </c>
      <c r="E546" s="49">
        <f t="shared" si="573"/>
        <v>10</v>
      </c>
      <c r="F546" s="12">
        <f>1+2</f>
        <v>3</v>
      </c>
      <c r="G546" s="9">
        <f>1+2+1</f>
        <v>4</v>
      </c>
      <c r="H546" s="10">
        <v>1</v>
      </c>
      <c r="I546" s="49">
        <f t="shared" si="574"/>
        <v>8</v>
      </c>
      <c r="J546" s="11">
        <f t="shared" si="575"/>
        <v>18</v>
      </c>
      <c r="K546" s="71">
        <v>44676</v>
      </c>
      <c r="M546" s="26" t="s">
        <v>336</v>
      </c>
      <c r="N546" s="8"/>
      <c r="O546" s="9"/>
      <c r="P546" s="10"/>
      <c r="Q546" s="49">
        <f t="shared" si="564"/>
        <v>0</v>
      </c>
      <c r="R546" s="12"/>
      <c r="S546" s="9"/>
      <c r="T546" s="10">
        <v>10</v>
      </c>
      <c r="U546" s="49">
        <f t="shared" si="565"/>
        <v>10</v>
      </c>
      <c r="V546" s="11">
        <f t="shared" si="566"/>
        <v>10</v>
      </c>
      <c r="W546" s="140">
        <v>44680</v>
      </c>
      <c r="Y546" s="26"/>
      <c r="Z546" s="8"/>
      <c r="AA546" s="9"/>
      <c r="AB546" s="10"/>
      <c r="AC546" s="49">
        <f t="shared" si="567"/>
        <v>0</v>
      </c>
      <c r="AD546" s="12"/>
      <c r="AE546" s="9"/>
      <c r="AF546" s="10"/>
      <c r="AG546" s="49">
        <f t="shared" si="568"/>
        <v>0</v>
      </c>
      <c r="AH546" s="11">
        <f t="shared" si="569"/>
        <v>0</v>
      </c>
    </row>
    <row r="547" spans="1:34" x14ac:dyDescent="0.15">
      <c r="A547" s="25" t="s">
        <v>33</v>
      </c>
      <c r="B547" s="8">
        <v>2</v>
      </c>
      <c r="C547" s="9"/>
      <c r="D547" s="10"/>
      <c r="E547" s="49">
        <f t="shared" si="570"/>
        <v>2</v>
      </c>
      <c r="F547" s="12"/>
      <c r="G547" s="9">
        <v>1</v>
      </c>
      <c r="H547" s="10"/>
      <c r="I547" s="49">
        <f t="shared" si="571"/>
        <v>1</v>
      </c>
      <c r="J547" s="11">
        <f t="shared" si="572"/>
        <v>3</v>
      </c>
      <c r="K547" s="71">
        <v>44677</v>
      </c>
      <c r="M547" s="25" t="s">
        <v>28</v>
      </c>
      <c r="N547" s="8"/>
      <c r="O547" s="9">
        <v>5</v>
      </c>
      <c r="P547" s="10"/>
      <c r="Q547" s="49">
        <f t="shared" si="564"/>
        <v>5</v>
      </c>
      <c r="R547" s="12">
        <v>5</v>
      </c>
      <c r="S547" s="9">
        <v>5</v>
      </c>
      <c r="T547" s="10"/>
      <c r="U547" s="49">
        <f t="shared" si="565"/>
        <v>10</v>
      </c>
      <c r="V547" s="11">
        <f t="shared" si="566"/>
        <v>15</v>
      </c>
      <c r="W547" s="140">
        <v>44683</v>
      </c>
      <c r="X547" s="82"/>
      <c r="Y547" s="24"/>
      <c r="Z547" s="8"/>
      <c r="AA547" s="9"/>
      <c r="AB547" s="10"/>
      <c r="AC547" s="49">
        <f t="shared" si="567"/>
        <v>0</v>
      </c>
      <c r="AD547" s="12"/>
      <c r="AE547" s="9"/>
      <c r="AF547" s="10"/>
      <c r="AG547" s="49">
        <f t="shared" si="568"/>
        <v>0</v>
      </c>
      <c r="AH547" s="11">
        <f t="shared" si="569"/>
        <v>0</v>
      </c>
    </row>
    <row r="548" spans="1:34" x14ac:dyDescent="0.15">
      <c r="A548" s="26" t="s">
        <v>329</v>
      </c>
      <c r="B548" s="8"/>
      <c r="C548" s="9">
        <v>2</v>
      </c>
      <c r="D548" s="10">
        <v>1</v>
      </c>
      <c r="E548" s="49">
        <f t="shared" si="570"/>
        <v>3</v>
      </c>
      <c r="F548" s="12"/>
      <c r="G548" s="9">
        <v>2</v>
      </c>
      <c r="H548" s="10">
        <v>1</v>
      </c>
      <c r="I548" s="49">
        <f t="shared" si="571"/>
        <v>3</v>
      </c>
      <c r="J548" s="11">
        <f t="shared" si="572"/>
        <v>6</v>
      </c>
      <c r="K548" s="63">
        <v>44679</v>
      </c>
      <c r="M548" s="26"/>
      <c r="N548" s="8"/>
      <c r="O548" s="9"/>
      <c r="P548" s="10"/>
      <c r="Q548" s="49">
        <f t="shared" ref="Q548" si="576">SUM(N548:P548)</f>
        <v>0</v>
      </c>
      <c r="R548" s="12"/>
      <c r="S548" s="9"/>
      <c r="T548" s="10"/>
      <c r="U548" s="49">
        <f t="shared" ref="U548" si="577">SUM(R548:T548)</f>
        <v>0</v>
      </c>
      <c r="V548" s="11">
        <f t="shared" ref="V548" si="578">Q548+U548</f>
        <v>0</v>
      </c>
      <c r="W548" s="142"/>
      <c r="Y548" s="26"/>
      <c r="Z548" s="8"/>
      <c r="AA548" s="9"/>
      <c r="AB548" s="10"/>
      <c r="AC548" s="49">
        <f t="shared" si="567"/>
        <v>0</v>
      </c>
      <c r="AD548" s="12"/>
      <c r="AE548" s="9"/>
      <c r="AF548" s="10"/>
      <c r="AG548" s="49">
        <f t="shared" si="568"/>
        <v>0</v>
      </c>
      <c r="AH548" s="11">
        <f t="shared" si="569"/>
        <v>0</v>
      </c>
    </row>
    <row r="549" spans="1:34" x14ac:dyDescent="0.15">
      <c r="A549" s="25" t="s">
        <v>33</v>
      </c>
      <c r="B549" s="8"/>
      <c r="C549" s="9"/>
      <c r="D549" s="10"/>
      <c r="E549" s="49">
        <f t="shared" si="570"/>
        <v>0</v>
      </c>
      <c r="F549" s="12">
        <v>1</v>
      </c>
      <c r="G549" s="9"/>
      <c r="H549" s="10"/>
      <c r="I549" s="49">
        <f t="shared" si="571"/>
        <v>1</v>
      </c>
      <c r="J549" s="11">
        <f t="shared" si="572"/>
        <v>1</v>
      </c>
      <c r="K549" s="71">
        <v>44678</v>
      </c>
      <c r="M549" s="24"/>
      <c r="N549" s="8"/>
      <c r="O549" s="9"/>
      <c r="P549" s="10"/>
      <c r="Q549" s="49">
        <f t="shared" si="564"/>
        <v>0</v>
      </c>
      <c r="R549" s="12"/>
      <c r="S549" s="9"/>
      <c r="T549" s="10"/>
      <c r="U549" s="49">
        <f t="shared" si="565"/>
        <v>0</v>
      </c>
      <c r="V549" s="11">
        <f t="shared" si="566"/>
        <v>0</v>
      </c>
      <c r="W549" s="140"/>
      <c r="Y549" s="24"/>
      <c r="Z549" s="8"/>
      <c r="AA549" s="9"/>
      <c r="AB549" s="10"/>
      <c r="AC549" s="49">
        <f t="shared" si="567"/>
        <v>0</v>
      </c>
      <c r="AD549" s="12"/>
      <c r="AE549" s="9"/>
      <c r="AF549" s="10"/>
      <c r="AG549" s="49">
        <f t="shared" si="568"/>
        <v>0</v>
      </c>
      <c r="AH549" s="11">
        <f t="shared" si="569"/>
        <v>0</v>
      </c>
    </row>
    <row r="550" spans="1:34" x14ac:dyDescent="0.15">
      <c r="A550" s="25" t="s">
        <v>33</v>
      </c>
      <c r="B550" s="8">
        <v>2</v>
      </c>
      <c r="C550" s="9">
        <v>2</v>
      </c>
      <c r="D550" s="10"/>
      <c r="E550" s="49">
        <f t="shared" si="570"/>
        <v>4</v>
      </c>
      <c r="F550" s="12">
        <v>2</v>
      </c>
      <c r="G550" s="9">
        <v>1</v>
      </c>
      <c r="H550" s="10"/>
      <c r="I550" s="49">
        <f t="shared" si="571"/>
        <v>3</v>
      </c>
      <c r="J550" s="11">
        <f t="shared" si="572"/>
        <v>7</v>
      </c>
      <c r="K550" s="71">
        <v>44679</v>
      </c>
      <c r="M550" s="23"/>
      <c r="N550" s="8"/>
      <c r="O550" s="9"/>
      <c r="P550" s="10"/>
      <c r="Q550" s="49">
        <f t="shared" si="564"/>
        <v>0</v>
      </c>
      <c r="R550" s="12"/>
      <c r="S550" s="9"/>
      <c r="T550" s="10"/>
      <c r="U550" s="49">
        <f t="shared" si="565"/>
        <v>0</v>
      </c>
      <c r="V550" s="11">
        <f t="shared" si="566"/>
        <v>0</v>
      </c>
      <c r="W550" s="142"/>
      <c r="Y550" s="26"/>
      <c r="Z550" s="8"/>
      <c r="AA550" s="9"/>
      <c r="AB550" s="10"/>
      <c r="AC550" s="49">
        <f t="shared" si="567"/>
        <v>0</v>
      </c>
      <c r="AD550" s="12"/>
      <c r="AE550" s="9"/>
      <c r="AF550" s="10"/>
      <c r="AG550" s="49">
        <f t="shared" si="568"/>
        <v>0</v>
      </c>
      <c r="AH550" s="11">
        <f t="shared" si="569"/>
        <v>0</v>
      </c>
    </row>
    <row r="551" spans="1:34" x14ac:dyDescent="0.15">
      <c r="A551" s="25" t="s">
        <v>33</v>
      </c>
      <c r="B551" s="13">
        <f>1+1</f>
        <v>2</v>
      </c>
      <c r="C551" s="14"/>
      <c r="D551" s="15"/>
      <c r="E551" s="49">
        <f t="shared" si="570"/>
        <v>2</v>
      </c>
      <c r="F551" s="16"/>
      <c r="G551" s="14"/>
      <c r="H551" s="15"/>
      <c r="I551" s="49">
        <f t="shared" si="571"/>
        <v>0</v>
      </c>
      <c r="J551" s="11">
        <f t="shared" si="572"/>
        <v>2</v>
      </c>
      <c r="K551" s="71">
        <v>44681</v>
      </c>
      <c r="M551" s="24"/>
      <c r="N551" s="8"/>
      <c r="O551" s="9"/>
      <c r="P551" s="10"/>
      <c r="Q551" s="49">
        <f t="shared" si="564"/>
        <v>0</v>
      </c>
      <c r="R551" s="12"/>
      <c r="S551" s="9"/>
      <c r="T551" s="10"/>
      <c r="U551" s="49">
        <f t="shared" si="565"/>
        <v>0</v>
      </c>
      <c r="V551" s="11">
        <f t="shared" si="566"/>
        <v>0</v>
      </c>
      <c r="W551" s="140"/>
      <c r="Y551" s="26"/>
      <c r="Z551" s="8"/>
      <c r="AA551" s="9"/>
      <c r="AB551" s="10"/>
      <c r="AC551" s="49">
        <f t="shared" si="567"/>
        <v>0</v>
      </c>
      <c r="AD551" s="12"/>
      <c r="AE551" s="9"/>
      <c r="AF551" s="10"/>
      <c r="AG551" s="49">
        <f t="shared" si="568"/>
        <v>0</v>
      </c>
      <c r="AH551" s="11">
        <f t="shared" si="569"/>
        <v>0</v>
      </c>
    </row>
    <row r="552" spans="1:34" x14ac:dyDescent="0.15">
      <c r="A552" s="26" t="s">
        <v>329</v>
      </c>
      <c r="B552" s="8">
        <v>1</v>
      </c>
      <c r="C552" s="9">
        <v>3</v>
      </c>
      <c r="D552" s="10"/>
      <c r="E552" s="49">
        <f t="shared" si="570"/>
        <v>4</v>
      </c>
      <c r="F552" s="12">
        <v>1</v>
      </c>
      <c r="G552" s="9">
        <v>3</v>
      </c>
      <c r="H552" s="10"/>
      <c r="I552" s="49">
        <f t="shared" si="571"/>
        <v>4</v>
      </c>
      <c r="J552" s="11">
        <f t="shared" si="572"/>
        <v>8</v>
      </c>
      <c r="K552" s="63">
        <v>44687</v>
      </c>
      <c r="M552" s="26"/>
      <c r="N552" s="8"/>
      <c r="O552" s="9"/>
      <c r="P552" s="10"/>
      <c r="Q552" s="49">
        <f t="shared" si="564"/>
        <v>0</v>
      </c>
      <c r="R552" s="12"/>
      <c r="S552" s="9"/>
      <c r="T552" s="10"/>
      <c r="U552" s="49">
        <f t="shared" si="565"/>
        <v>0</v>
      </c>
      <c r="V552" s="11">
        <f t="shared" si="566"/>
        <v>0</v>
      </c>
      <c r="W552" s="142"/>
      <c r="Y552" s="26"/>
      <c r="Z552" s="8"/>
      <c r="AA552" s="9"/>
      <c r="AB552" s="10"/>
      <c r="AC552" s="49">
        <f t="shared" si="567"/>
        <v>0</v>
      </c>
      <c r="AD552" s="12"/>
      <c r="AE552" s="9"/>
      <c r="AF552" s="10"/>
      <c r="AG552" s="49">
        <f t="shared" si="568"/>
        <v>0</v>
      </c>
      <c r="AH552" s="11">
        <f t="shared" si="569"/>
        <v>0</v>
      </c>
    </row>
    <row r="553" spans="1:34" x14ac:dyDescent="0.15">
      <c r="A553" s="25" t="s">
        <v>33</v>
      </c>
      <c r="B553" s="8">
        <v>1</v>
      </c>
      <c r="C553" s="9"/>
      <c r="D553" s="10">
        <v>1</v>
      </c>
      <c r="E553" s="49">
        <f t="shared" si="570"/>
        <v>2</v>
      </c>
      <c r="F553" s="12"/>
      <c r="G553" s="9"/>
      <c r="H553" s="10"/>
      <c r="I553" s="49">
        <f t="shared" si="571"/>
        <v>0</v>
      </c>
      <c r="J553" s="11">
        <f t="shared" si="572"/>
        <v>2</v>
      </c>
      <c r="K553" s="63">
        <v>44683</v>
      </c>
      <c r="M553" s="26" t="s">
        <v>323</v>
      </c>
      <c r="N553" s="8"/>
      <c r="O553" s="9"/>
      <c r="P553" s="10"/>
      <c r="Q553" s="49">
        <f t="shared" ref="Q553:Q554" si="579">SUM(N553:P553)</f>
        <v>0</v>
      </c>
      <c r="R553" s="12"/>
      <c r="S553" s="9"/>
      <c r="T553" s="10"/>
      <c r="U553" s="49">
        <f t="shared" ref="U553:U554" si="580">SUM(R553:T553)</f>
        <v>0</v>
      </c>
      <c r="V553" s="11">
        <f t="shared" ref="V553:V554" si="581">Q553+U553</f>
        <v>0</v>
      </c>
      <c r="W553" s="142" t="s">
        <v>317</v>
      </c>
      <c r="Y553" s="26"/>
      <c r="Z553" s="8"/>
      <c r="AA553" s="9"/>
      <c r="AB553" s="10"/>
      <c r="AC553" s="49">
        <f t="shared" si="567"/>
        <v>0</v>
      </c>
      <c r="AD553" s="12"/>
      <c r="AE553" s="9"/>
      <c r="AF553" s="10"/>
      <c r="AG553" s="49">
        <f t="shared" si="568"/>
        <v>0</v>
      </c>
      <c r="AH553" s="11">
        <f t="shared" si="569"/>
        <v>0</v>
      </c>
    </row>
    <row r="554" spans="1:34" x14ac:dyDescent="0.15">
      <c r="A554" s="26" t="s">
        <v>329</v>
      </c>
      <c r="B554" s="8">
        <v>1</v>
      </c>
      <c r="C554" s="9">
        <v>2</v>
      </c>
      <c r="D554" s="10">
        <v>2</v>
      </c>
      <c r="E554" s="49">
        <f t="shared" si="570"/>
        <v>5</v>
      </c>
      <c r="F554" s="12">
        <v>1</v>
      </c>
      <c r="G554" s="9">
        <v>2</v>
      </c>
      <c r="H554" s="10">
        <v>2</v>
      </c>
      <c r="I554" s="49">
        <f t="shared" si="571"/>
        <v>5</v>
      </c>
      <c r="J554" s="11">
        <f t="shared" si="572"/>
        <v>10</v>
      </c>
      <c r="K554" s="63">
        <v>44690</v>
      </c>
      <c r="M554" s="121" t="s">
        <v>326</v>
      </c>
      <c r="N554" s="8"/>
      <c r="O554" s="9"/>
      <c r="P554" s="10"/>
      <c r="Q554" s="49">
        <f t="shared" si="579"/>
        <v>0</v>
      </c>
      <c r="R554" s="12"/>
      <c r="S554" s="9"/>
      <c r="T554" s="10"/>
      <c r="U554" s="49">
        <f t="shared" si="580"/>
        <v>0</v>
      </c>
      <c r="V554" s="11">
        <f t="shared" si="581"/>
        <v>0</v>
      </c>
      <c r="W554" s="142"/>
      <c r="Y554" s="26"/>
      <c r="Z554" s="8"/>
      <c r="AA554" s="9"/>
      <c r="AB554" s="10"/>
      <c r="AC554" s="49">
        <f t="shared" si="567"/>
        <v>0</v>
      </c>
      <c r="AD554" s="12"/>
      <c r="AE554" s="9"/>
      <c r="AF554" s="10"/>
      <c r="AG554" s="49">
        <f t="shared" si="568"/>
        <v>0</v>
      </c>
      <c r="AH554" s="11">
        <f t="shared" si="569"/>
        <v>0</v>
      </c>
    </row>
    <row r="555" spans="1:34" ht="14.25" thickBot="1" x14ac:dyDescent="0.2">
      <c r="A555" s="25" t="s">
        <v>33</v>
      </c>
      <c r="B555" s="13">
        <v>1</v>
      </c>
      <c r="C555" s="14">
        <v>1</v>
      </c>
      <c r="D555" s="15"/>
      <c r="E555" s="55">
        <f t="shared" si="570"/>
        <v>2</v>
      </c>
      <c r="F555" s="16"/>
      <c r="G555" s="14"/>
      <c r="H555" s="15">
        <v>1</v>
      </c>
      <c r="I555" s="55">
        <f t="shared" si="571"/>
        <v>1</v>
      </c>
      <c r="J555" s="11">
        <f t="shared" si="572"/>
        <v>3</v>
      </c>
      <c r="K555" s="71">
        <v>44687</v>
      </c>
      <c r="M555" s="26" t="s">
        <v>308</v>
      </c>
      <c r="N555" s="8"/>
      <c r="O555" s="9"/>
      <c r="P555" s="10"/>
      <c r="Q555" s="49">
        <f t="shared" si="564"/>
        <v>0</v>
      </c>
      <c r="R555" s="12"/>
      <c r="S555" s="9"/>
      <c r="T555" s="10"/>
      <c r="U555" s="49">
        <f t="shared" si="565"/>
        <v>0</v>
      </c>
      <c r="V555" s="11">
        <f t="shared" si="566"/>
        <v>0</v>
      </c>
      <c r="W555" s="142" t="s">
        <v>309</v>
      </c>
      <c r="X555" s="82"/>
      <c r="Y555" s="92"/>
      <c r="Z555" s="13"/>
      <c r="AA555" s="14"/>
      <c r="AB555" s="15"/>
      <c r="AC555" s="49">
        <f t="shared" si="567"/>
        <v>0</v>
      </c>
      <c r="AD555" s="16"/>
      <c r="AE555" s="14"/>
      <c r="AF555" s="15"/>
      <c r="AG555" s="49">
        <f t="shared" si="568"/>
        <v>0</v>
      </c>
      <c r="AH555" s="11">
        <f t="shared" si="569"/>
        <v>0</v>
      </c>
    </row>
    <row r="556" spans="1:34" ht="14.25" thickBot="1" x14ac:dyDescent="0.2">
      <c r="A556" s="41" t="s">
        <v>19</v>
      </c>
      <c r="B556" s="46">
        <f>SUM(B530:B555)</f>
        <v>21</v>
      </c>
      <c r="C556" s="47">
        <f t="shared" ref="C556:D556" si="582">SUM(C530:C555)</f>
        <v>23</v>
      </c>
      <c r="D556" s="59">
        <f t="shared" si="582"/>
        <v>13</v>
      </c>
      <c r="E556" s="45">
        <f t="shared" si="570"/>
        <v>57</v>
      </c>
      <c r="F556" s="46">
        <f>SUM(F530:F555)</f>
        <v>22</v>
      </c>
      <c r="G556" s="47">
        <f t="shared" ref="G556:H556" si="583">SUM(G530:G555)</f>
        <v>28</v>
      </c>
      <c r="H556" s="59">
        <f t="shared" si="583"/>
        <v>11</v>
      </c>
      <c r="I556" s="45">
        <f t="shared" si="571"/>
        <v>61</v>
      </c>
      <c r="J556" s="45">
        <f>E556+I556</f>
        <v>118</v>
      </c>
      <c r="M556" s="41" t="s">
        <v>19</v>
      </c>
      <c r="N556" s="46">
        <f>SUM(N530:N555)</f>
        <v>154</v>
      </c>
      <c r="O556" s="47">
        <f t="shared" ref="O556:P556" si="584">SUM(O530:O555)</f>
        <v>165</v>
      </c>
      <c r="P556" s="59">
        <f t="shared" si="584"/>
        <v>108</v>
      </c>
      <c r="Q556" s="45">
        <f t="shared" si="564"/>
        <v>427</v>
      </c>
      <c r="R556" s="46">
        <f>SUM(R530:R555)</f>
        <v>149</v>
      </c>
      <c r="S556" s="47">
        <f t="shared" ref="S556:T556" si="585">SUM(S530:S555)</f>
        <v>155</v>
      </c>
      <c r="T556" s="59">
        <f t="shared" si="585"/>
        <v>113</v>
      </c>
      <c r="U556" s="45">
        <f t="shared" si="565"/>
        <v>417</v>
      </c>
      <c r="V556" s="45">
        <f>Q556+U556</f>
        <v>844</v>
      </c>
      <c r="Y556" s="41" t="s">
        <v>19</v>
      </c>
      <c r="Z556" s="46">
        <f>SUM(Z530:Z555)</f>
        <v>0</v>
      </c>
      <c r="AA556" s="47">
        <f t="shared" ref="AA556:AB556" si="586">SUM(AA530:AA555)</f>
        <v>0</v>
      </c>
      <c r="AB556" s="59">
        <f t="shared" si="586"/>
        <v>0</v>
      </c>
      <c r="AC556" s="45">
        <f t="shared" si="567"/>
        <v>0</v>
      </c>
      <c r="AD556" s="46">
        <f>SUM(AD530:AD555)</f>
        <v>0</v>
      </c>
      <c r="AE556" s="47">
        <f t="shared" ref="AE556:AF556" si="587">SUM(AE530:AE555)</f>
        <v>0</v>
      </c>
      <c r="AF556" s="59">
        <f t="shared" si="587"/>
        <v>0</v>
      </c>
      <c r="AG556" s="45">
        <f t="shared" si="568"/>
        <v>0</v>
      </c>
      <c r="AH556" s="45">
        <f>AC556+AG556</f>
        <v>0</v>
      </c>
    </row>
    <row r="557" spans="1:34" ht="14.25" thickBot="1" x14ac:dyDescent="0.2">
      <c r="A557" s="22" t="s">
        <v>17</v>
      </c>
      <c r="B557" s="50">
        <f>B529-B556</f>
        <v>6</v>
      </c>
      <c r="C557" s="57">
        <f t="shared" ref="C557:D557" si="588">C529-C556</f>
        <v>7</v>
      </c>
      <c r="D557" s="58">
        <f t="shared" si="588"/>
        <v>12</v>
      </c>
      <c r="E557" s="56">
        <f>SUM(B557:D557)</f>
        <v>25</v>
      </c>
      <c r="F557" s="50">
        <f>F529-F556</f>
        <v>14</v>
      </c>
      <c r="G557" s="57">
        <f t="shared" ref="G557:H557" si="589">G529-G556</f>
        <v>6</v>
      </c>
      <c r="H557" s="58">
        <f t="shared" si="589"/>
        <v>10</v>
      </c>
      <c r="I557" s="56">
        <f>SUM(F557:H557)</f>
        <v>30</v>
      </c>
      <c r="J557" s="31">
        <f>E557+I557</f>
        <v>55</v>
      </c>
      <c r="M557" s="22" t="s">
        <v>17</v>
      </c>
      <c r="N557" s="50">
        <f>N529-N556</f>
        <v>902</v>
      </c>
      <c r="O557" s="57">
        <f t="shared" ref="O557:P557" si="590">O529-O556</f>
        <v>1092</v>
      </c>
      <c r="P557" s="58">
        <f t="shared" si="590"/>
        <v>922</v>
      </c>
      <c r="Q557" s="56">
        <f>SUM(N557:P557)</f>
        <v>2916</v>
      </c>
      <c r="R557" s="50">
        <f>R529-R556</f>
        <v>1020</v>
      </c>
      <c r="S557" s="57">
        <f t="shared" ref="S557:T557" si="591">S529-S556</f>
        <v>1229</v>
      </c>
      <c r="T557" s="58">
        <f t="shared" si="591"/>
        <v>1063</v>
      </c>
      <c r="U557" s="56">
        <f>SUM(R557:T557)</f>
        <v>3312</v>
      </c>
      <c r="V557" s="31">
        <f>Q557+U557</f>
        <v>6228</v>
      </c>
      <c r="Y557" s="22" t="s">
        <v>17</v>
      </c>
      <c r="Z557" s="50">
        <f>Z529-Z556</f>
        <v>0</v>
      </c>
      <c r="AA557" s="57">
        <f t="shared" ref="AA557:AB557" si="592">AA529-AA556</f>
        <v>0</v>
      </c>
      <c r="AB557" s="58">
        <f t="shared" si="592"/>
        <v>0</v>
      </c>
      <c r="AC557" s="56">
        <f>SUM(Z557:AB557)</f>
        <v>0</v>
      </c>
      <c r="AD557" s="50">
        <f>AD529-AD556</f>
        <v>0</v>
      </c>
      <c r="AE557" s="57">
        <f t="shared" ref="AE557:AF557" si="593">AE529-AE556</f>
        <v>0</v>
      </c>
      <c r="AF557" s="58">
        <f t="shared" si="593"/>
        <v>0</v>
      </c>
      <c r="AG557" s="56">
        <f>SUM(AD557:AF557)</f>
        <v>0</v>
      </c>
      <c r="AH557" s="31">
        <f>AC557+AG557</f>
        <v>0</v>
      </c>
    </row>
    <row r="560" spans="1:34" ht="19.5" thickBot="1" x14ac:dyDescent="0.25">
      <c r="A560" s="3" t="s">
        <v>21</v>
      </c>
      <c r="B560" s="1"/>
      <c r="C560" s="1"/>
      <c r="D560" s="1"/>
      <c r="E560" s="1"/>
      <c r="F560" s="1"/>
      <c r="G560" s="1"/>
      <c r="H560" s="1"/>
      <c r="I560" s="1"/>
      <c r="J560" s="1"/>
      <c r="M560" s="3" t="s">
        <v>22</v>
      </c>
      <c r="N560" s="1"/>
      <c r="O560" s="1"/>
      <c r="P560" s="1"/>
      <c r="Q560" s="1"/>
      <c r="R560" s="1"/>
      <c r="S560" s="1"/>
      <c r="T560" s="1"/>
      <c r="U560" s="1"/>
      <c r="V560" s="1"/>
    </row>
    <row r="561" spans="1:23" ht="14.25" thickBot="1" x14ac:dyDescent="0.2">
      <c r="A561" s="7" t="s">
        <v>0</v>
      </c>
      <c r="B561" s="165" t="s">
        <v>24</v>
      </c>
      <c r="C561" s="166"/>
      <c r="D561" s="166"/>
      <c r="E561" s="170"/>
      <c r="F561" s="165" t="s">
        <v>18</v>
      </c>
      <c r="G561" s="166"/>
      <c r="H561" s="166"/>
      <c r="I561" s="167"/>
      <c r="J561" s="168" t="s">
        <v>1</v>
      </c>
      <c r="M561" s="7" t="s">
        <v>0</v>
      </c>
      <c r="N561" s="165" t="s">
        <v>24</v>
      </c>
      <c r="O561" s="166"/>
      <c r="P561" s="166"/>
      <c r="Q561" s="170"/>
      <c r="R561" s="165" t="s">
        <v>18</v>
      </c>
      <c r="S561" s="166"/>
      <c r="T561" s="166"/>
      <c r="U561" s="167"/>
      <c r="V561" s="168" t="s">
        <v>1</v>
      </c>
    </row>
    <row r="562" spans="1:23" ht="14.25" thickBot="1" x14ac:dyDescent="0.2">
      <c r="A562" s="7" t="s">
        <v>2</v>
      </c>
      <c r="B562" s="4" t="s">
        <v>3</v>
      </c>
      <c r="C562" s="5" t="s">
        <v>4</v>
      </c>
      <c r="D562" s="6" t="s">
        <v>5</v>
      </c>
      <c r="E562" s="7" t="s">
        <v>6</v>
      </c>
      <c r="F562" s="4" t="s">
        <v>3</v>
      </c>
      <c r="G562" s="5" t="s">
        <v>4</v>
      </c>
      <c r="H562" s="6" t="s">
        <v>5</v>
      </c>
      <c r="I562" s="7" t="s">
        <v>6</v>
      </c>
      <c r="J562" s="169"/>
      <c r="M562" s="7" t="s">
        <v>2</v>
      </c>
      <c r="N562" s="4" t="s">
        <v>3</v>
      </c>
      <c r="O562" s="5" t="s">
        <v>4</v>
      </c>
      <c r="P562" s="6" t="s">
        <v>5</v>
      </c>
      <c r="Q562" s="7" t="s">
        <v>6</v>
      </c>
      <c r="R562" s="4" t="s">
        <v>3</v>
      </c>
      <c r="S562" s="5" t="s">
        <v>4</v>
      </c>
      <c r="T562" s="6" t="s">
        <v>5</v>
      </c>
      <c r="U562" s="7" t="s">
        <v>6</v>
      </c>
      <c r="V562" s="169"/>
    </row>
    <row r="563" spans="1:23" ht="14.25" thickBot="1" x14ac:dyDescent="0.2">
      <c r="A563" s="27" t="s">
        <v>20</v>
      </c>
      <c r="B563" s="38">
        <f>B557</f>
        <v>6</v>
      </c>
      <c r="C563" s="39">
        <f>C557</f>
        <v>7</v>
      </c>
      <c r="D563" s="2">
        <f>D557</f>
        <v>12</v>
      </c>
      <c r="E563" s="36">
        <f>SUM(B563:D563)</f>
        <v>25</v>
      </c>
      <c r="F563" s="38">
        <f>F557</f>
        <v>14</v>
      </c>
      <c r="G563" s="39">
        <f>G557</f>
        <v>6</v>
      </c>
      <c r="H563" s="2">
        <f>H557</f>
        <v>10</v>
      </c>
      <c r="I563" s="36">
        <f>SUM(F563:H563)</f>
        <v>30</v>
      </c>
      <c r="J563" s="36">
        <f>E563+I563</f>
        <v>55</v>
      </c>
      <c r="M563" s="27" t="s">
        <v>20</v>
      </c>
      <c r="N563" s="38">
        <f>N557</f>
        <v>902</v>
      </c>
      <c r="O563" s="39">
        <f>O557</f>
        <v>1092</v>
      </c>
      <c r="P563" s="2">
        <f>P557</f>
        <v>922</v>
      </c>
      <c r="Q563" s="36">
        <f>SUM(N563:P563)</f>
        <v>2916</v>
      </c>
      <c r="R563" s="38">
        <f>R557</f>
        <v>1020</v>
      </c>
      <c r="S563" s="39">
        <f>S557</f>
        <v>1229</v>
      </c>
      <c r="T563" s="2">
        <f>T557</f>
        <v>1063</v>
      </c>
      <c r="U563" s="36">
        <f>SUM(R563:T563)</f>
        <v>3312</v>
      </c>
      <c r="V563" s="36">
        <f>Q563+U563</f>
        <v>6228</v>
      </c>
    </row>
    <row r="564" spans="1:23" x14ac:dyDescent="0.15">
      <c r="A564" s="25" t="s">
        <v>8</v>
      </c>
      <c r="B564" s="42">
        <v>10</v>
      </c>
      <c r="C564" s="43">
        <v>5</v>
      </c>
      <c r="D564" s="44"/>
      <c r="E564" s="48">
        <f>SUM(B564:D564)</f>
        <v>15</v>
      </c>
      <c r="F564" s="60"/>
      <c r="G564" s="43">
        <v>5</v>
      </c>
      <c r="H564" s="61"/>
      <c r="I564" s="48">
        <f>SUM(F564:H564)</f>
        <v>5</v>
      </c>
      <c r="J564" s="48">
        <f>E564+I564</f>
        <v>20</v>
      </c>
      <c r="K564" s="63">
        <v>44688</v>
      </c>
      <c r="M564" s="25" t="s">
        <v>8</v>
      </c>
      <c r="N564" s="42"/>
      <c r="O564" s="43"/>
      <c r="P564" s="44"/>
      <c r="Q564" s="48">
        <f>SUM(N564:P564)</f>
        <v>0</v>
      </c>
      <c r="R564" s="60"/>
      <c r="S564" s="43"/>
      <c r="T564" s="61"/>
      <c r="U564" s="48">
        <f>SUM(R564:T564)</f>
        <v>0</v>
      </c>
      <c r="V564" s="48">
        <f>Q564+U564</f>
        <v>0</v>
      </c>
    </row>
    <row r="565" spans="1:23" x14ac:dyDescent="0.15">
      <c r="A565" s="25" t="s">
        <v>143</v>
      </c>
      <c r="B565" s="8"/>
      <c r="C565" s="9"/>
      <c r="D565" s="52"/>
      <c r="E565" s="11">
        <f>SUM(B565:D565)</f>
        <v>0</v>
      </c>
      <c r="F565" s="12"/>
      <c r="G565" s="9">
        <v>1</v>
      </c>
      <c r="H565" s="10"/>
      <c r="I565" s="11">
        <f>SUM(F565:H565)</f>
        <v>1</v>
      </c>
      <c r="J565" s="11">
        <f>E565+I565</f>
        <v>1</v>
      </c>
      <c r="K565" s="63">
        <v>44694</v>
      </c>
      <c r="M565" s="25" t="s">
        <v>9</v>
      </c>
      <c r="N565" s="8"/>
      <c r="O565" s="9"/>
      <c r="P565" s="52"/>
      <c r="Q565" s="11">
        <f t="shared" ref="Q565:Q571" si="594">SUM(N565:P565)</f>
        <v>0</v>
      </c>
      <c r="R565" s="12"/>
      <c r="S565" s="9"/>
      <c r="T565" s="10"/>
      <c r="U565" s="11">
        <f t="shared" ref="U565:U571" si="595">SUM(R565:T565)</f>
        <v>0</v>
      </c>
      <c r="V565" s="11">
        <f t="shared" ref="V565:V571" si="596">Q565+U565</f>
        <v>0</v>
      </c>
      <c r="W565" s="142"/>
    </row>
    <row r="566" spans="1:23" x14ac:dyDescent="0.15">
      <c r="A566" s="25" t="s">
        <v>10</v>
      </c>
      <c r="B566" s="17">
        <v>10</v>
      </c>
      <c r="C566" s="18"/>
      <c r="D566" s="51">
        <v>5</v>
      </c>
      <c r="E566" s="11">
        <f t="shared" ref="E566:E571" si="597">SUM(B566:D566)</f>
        <v>15</v>
      </c>
      <c r="F566" s="20">
        <v>5</v>
      </c>
      <c r="G566" s="18"/>
      <c r="H566" s="19">
        <v>10</v>
      </c>
      <c r="I566" s="11">
        <f t="shared" ref="I566:I571" si="598">SUM(F566:H566)</f>
        <v>15</v>
      </c>
      <c r="J566" s="11">
        <f t="shared" ref="J566:J571" si="599">E566+I566</f>
        <v>30</v>
      </c>
      <c r="K566" s="63">
        <v>44698</v>
      </c>
      <c r="M566" s="25" t="s">
        <v>10</v>
      </c>
      <c r="N566" s="17"/>
      <c r="O566" s="18"/>
      <c r="P566" s="51"/>
      <c r="Q566" s="49">
        <f t="shared" si="594"/>
        <v>0</v>
      </c>
      <c r="R566" s="20"/>
      <c r="S566" s="18"/>
      <c r="T566" s="19"/>
      <c r="U566" s="49">
        <f t="shared" si="595"/>
        <v>0</v>
      </c>
      <c r="V566" s="49">
        <f t="shared" si="596"/>
        <v>0</v>
      </c>
      <c r="W566" s="142"/>
    </row>
    <row r="567" spans="1:23" x14ac:dyDescent="0.15">
      <c r="A567" s="25" t="s">
        <v>11</v>
      </c>
      <c r="B567" s="8"/>
      <c r="C567" s="9">
        <v>5</v>
      </c>
      <c r="D567" s="52"/>
      <c r="E567" s="11">
        <f t="shared" si="597"/>
        <v>5</v>
      </c>
      <c r="F567" s="12"/>
      <c r="G567" s="9"/>
      <c r="H567" s="10"/>
      <c r="I567" s="11">
        <f t="shared" si="598"/>
        <v>0</v>
      </c>
      <c r="J567" s="11">
        <f t="shared" si="599"/>
        <v>5</v>
      </c>
      <c r="K567" s="71">
        <v>44702</v>
      </c>
      <c r="M567" s="25" t="s">
        <v>11</v>
      </c>
      <c r="N567" s="8"/>
      <c r="O567" s="9"/>
      <c r="P567" s="52"/>
      <c r="Q567" s="11">
        <f t="shared" si="594"/>
        <v>0</v>
      </c>
      <c r="R567" s="12"/>
      <c r="S567" s="9"/>
      <c r="T567" s="10"/>
      <c r="U567" s="11">
        <f t="shared" si="595"/>
        <v>0</v>
      </c>
      <c r="V567" s="11">
        <f t="shared" si="596"/>
        <v>0</v>
      </c>
      <c r="W567" s="142"/>
    </row>
    <row r="568" spans="1:23" x14ac:dyDescent="0.15">
      <c r="A568" s="25" t="s">
        <v>134</v>
      </c>
      <c r="B568" s="8">
        <v>7</v>
      </c>
      <c r="C568" s="9">
        <v>7</v>
      </c>
      <c r="D568" s="52">
        <v>7</v>
      </c>
      <c r="E568" s="11">
        <f t="shared" si="597"/>
        <v>21</v>
      </c>
      <c r="F568" s="12">
        <v>7</v>
      </c>
      <c r="G568" s="9">
        <v>7</v>
      </c>
      <c r="H568" s="10">
        <v>7</v>
      </c>
      <c r="I568" s="11">
        <f t="shared" si="598"/>
        <v>21</v>
      </c>
      <c r="J568" s="11">
        <f t="shared" si="599"/>
        <v>42</v>
      </c>
      <c r="K568" s="71">
        <v>44702</v>
      </c>
      <c r="M568" s="25" t="s">
        <v>12</v>
      </c>
      <c r="N568" s="8"/>
      <c r="O568" s="9"/>
      <c r="P568" s="52"/>
      <c r="Q568" s="11">
        <f t="shared" si="594"/>
        <v>0</v>
      </c>
      <c r="R568" s="12"/>
      <c r="S568" s="9"/>
      <c r="T568" s="10"/>
      <c r="U568" s="11">
        <f t="shared" si="595"/>
        <v>0</v>
      </c>
      <c r="V568" s="11">
        <f t="shared" si="596"/>
        <v>0</v>
      </c>
      <c r="W568" s="142"/>
    </row>
    <row r="569" spans="1:23" x14ac:dyDescent="0.15">
      <c r="A569" s="25" t="s">
        <v>143</v>
      </c>
      <c r="B569" s="8"/>
      <c r="C569" s="9"/>
      <c r="D569" s="52">
        <v>1</v>
      </c>
      <c r="E569" s="11">
        <f t="shared" si="597"/>
        <v>1</v>
      </c>
      <c r="F569" s="12"/>
      <c r="G569" s="9"/>
      <c r="H569" s="10">
        <v>1</v>
      </c>
      <c r="I569" s="11">
        <f t="shared" si="598"/>
        <v>1</v>
      </c>
      <c r="J569" s="11">
        <f t="shared" si="599"/>
        <v>2</v>
      </c>
      <c r="K569" s="63">
        <v>44708</v>
      </c>
      <c r="M569" s="25" t="s">
        <v>13</v>
      </c>
      <c r="N569" s="8"/>
      <c r="O569" s="9"/>
      <c r="P569" s="52"/>
      <c r="Q569" s="11">
        <f t="shared" si="594"/>
        <v>0</v>
      </c>
      <c r="R569" s="12"/>
      <c r="S569" s="9"/>
      <c r="T569" s="10"/>
      <c r="U569" s="11">
        <f t="shared" si="595"/>
        <v>0</v>
      </c>
      <c r="V569" s="11">
        <f t="shared" si="596"/>
        <v>0</v>
      </c>
    </row>
    <row r="570" spans="1:23" x14ac:dyDescent="0.15">
      <c r="A570" s="25" t="s">
        <v>14</v>
      </c>
      <c r="B570" s="13">
        <v>5</v>
      </c>
      <c r="C570" s="14"/>
      <c r="D570" s="53"/>
      <c r="E570" s="11">
        <f t="shared" si="597"/>
        <v>5</v>
      </c>
      <c r="F570" s="16">
        <v>5</v>
      </c>
      <c r="G570" s="14"/>
      <c r="H570" s="15"/>
      <c r="I570" s="11">
        <f t="shared" si="598"/>
        <v>5</v>
      </c>
      <c r="J570" s="11">
        <f t="shared" si="599"/>
        <v>10</v>
      </c>
      <c r="K570" s="63">
        <v>44715</v>
      </c>
      <c r="M570" s="25" t="s">
        <v>14</v>
      </c>
      <c r="N570" s="13"/>
      <c r="O570" s="14"/>
      <c r="P570" s="53"/>
      <c r="Q570" s="11">
        <f t="shared" si="594"/>
        <v>0</v>
      </c>
      <c r="R570" s="16"/>
      <c r="S570" s="14"/>
      <c r="T570" s="15"/>
      <c r="U570" s="11">
        <f t="shared" si="595"/>
        <v>0</v>
      </c>
      <c r="V570" s="11">
        <f t="shared" si="596"/>
        <v>0</v>
      </c>
    </row>
    <row r="571" spans="1:23" ht="14.25" thickBot="1" x14ac:dyDescent="0.2">
      <c r="A571" s="25" t="s">
        <v>143</v>
      </c>
      <c r="B571" s="13">
        <v>1</v>
      </c>
      <c r="C571" s="14">
        <v>1</v>
      </c>
      <c r="D571" s="53"/>
      <c r="E571" s="62">
        <f t="shared" si="597"/>
        <v>2</v>
      </c>
      <c r="F571" s="34">
        <v>1</v>
      </c>
      <c r="G571" s="34">
        <v>1</v>
      </c>
      <c r="H571" s="37"/>
      <c r="I571" s="62">
        <f t="shared" si="598"/>
        <v>2</v>
      </c>
      <c r="J571" s="21">
        <f t="shared" si="599"/>
        <v>4</v>
      </c>
      <c r="K571" s="71">
        <v>44720</v>
      </c>
      <c r="M571" s="25" t="s">
        <v>15</v>
      </c>
      <c r="N571" s="13"/>
      <c r="O571" s="14"/>
      <c r="P571" s="53"/>
      <c r="Q571" s="62">
        <f t="shared" si="594"/>
        <v>0</v>
      </c>
      <c r="R571" s="34"/>
      <c r="S571" s="34"/>
      <c r="T571" s="37"/>
      <c r="U571" s="62">
        <f t="shared" si="595"/>
        <v>0</v>
      </c>
      <c r="V571" s="21">
        <f t="shared" si="596"/>
        <v>0</v>
      </c>
    </row>
    <row r="572" spans="1:23" ht="14.25" thickBot="1" x14ac:dyDescent="0.2">
      <c r="A572" s="35" t="s">
        <v>16</v>
      </c>
      <c r="B572" s="28">
        <f>SUM(B563:B571)</f>
        <v>39</v>
      </c>
      <c r="C572" s="29">
        <f t="shared" ref="C572:D572" si="600">SUM(C563:C571)</f>
        <v>25</v>
      </c>
      <c r="D572" s="68">
        <f t="shared" si="600"/>
        <v>25</v>
      </c>
      <c r="E572" s="64">
        <f>SUM(B572:D572)</f>
        <v>89</v>
      </c>
      <c r="F572" s="28">
        <f>SUM(F563:F571)</f>
        <v>32</v>
      </c>
      <c r="G572" s="29">
        <f t="shared" ref="G572:H572" si="601">SUM(G563:G571)</f>
        <v>20</v>
      </c>
      <c r="H572" s="68">
        <f t="shared" si="601"/>
        <v>28</v>
      </c>
      <c r="I572" s="64">
        <f>SUM(F572:H572)</f>
        <v>80</v>
      </c>
      <c r="J572" s="31">
        <f>SUM(J564:J571)</f>
        <v>114</v>
      </c>
      <c r="M572" s="35" t="s">
        <v>16</v>
      </c>
      <c r="N572" s="28">
        <f>SUM(N563:N571)</f>
        <v>902</v>
      </c>
      <c r="O572" s="29">
        <f t="shared" ref="O572:P572" si="602">SUM(O563:O571)</f>
        <v>1092</v>
      </c>
      <c r="P572" s="68">
        <f t="shared" si="602"/>
        <v>922</v>
      </c>
      <c r="Q572" s="64">
        <f>SUM(N572:P572)</f>
        <v>2916</v>
      </c>
      <c r="R572" s="28">
        <f>SUM(R563:R571)</f>
        <v>1020</v>
      </c>
      <c r="S572" s="29">
        <f t="shared" ref="S572:T572" si="603">SUM(S563:S571)</f>
        <v>1229</v>
      </c>
      <c r="T572" s="68">
        <f t="shared" si="603"/>
        <v>1063</v>
      </c>
      <c r="U572" s="64">
        <f>SUM(R572:T572)</f>
        <v>3312</v>
      </c>
      <c r="V572" s="31">
        <f>Q572+U572</f>
        <v>6228</v>
      </c>
    </row>
    <row r="573" spans="1:23" x14ac:dyDescent="0.15">
      <c r="A573" s="25" t="s">
        <v>33</v>
      </c>
      <c r="B573" s="65">
        <v>1</v>
      </c>
      <c r="C573" s="66"/>
      <c r="D573" s="67"/>
      <c r="E573" s="49">
        <f>SUM(B573:D573)</f>
        <v>1</v>
      </c>
      <c r="F573" s="16">
        <v>1</v>
      </c>
      <c r="G573" s="14">
        <v>1</v>
      </c>
      <c r="H573" s="15">
        <v>2</v>
      </c>
      <c r="I573" s="49">
        <f>SUM(F573:H573)</f>
        <v>4</v>
      </c>
      <c r="J573" s="11">
        <f>E573+I573</f>
        <v>5</v>
      </c>
      <c r="K573" s="71">
        <v>44690</v>
      </c>
      <c r="M573" s="24" t="s">
        <v>335</v>
      </c>
      <c r="N573" s="65">
        <v>15</v>
      </c>
      <c r="O573" s="66">
        <v>20</v>
      </c>
      <c r="P573" s="67">
        <v>15</v>
      </c>
      <c r="Q573" s="49">
        <f t="shared" ref="Q573:Q599" si="604">SUM(N573:P573)</f>
        <v>50</v>
      </c>
      <c r="R573" s="16">
        <v>15</v>
      </c>
      <c r="S573" s="14">
        <v>20</v>
      </c>
      <c r="T573" s="15">
        <v>15</v>
      </c>
      <c r="U573" s="49">
        <f t="shared" ref="U573:U599" si="605">SUM(R573:T573)</f>
        <v>50</v>
      </c>
      <c r="V573" s="11">
        <f t="shared" ref="V573:V592" si="606">Q573+U573</f>
        <v>100</v>
      </c>
      <c r="W573" s="140">
        <v>44694</v>
      </c>
    </row>
    <row r="574" spans="1:23" x14ac:dyDescent="0.15">
      <c r="A574" s="25" t="s">
        <v>33</v>
      </c>
      <c r="B574" s="8"/>
      <c r="C574" s="9"/>
      <c r="D574" s="10"/>
      <c r="E574" s="49">
        <f t="shared" ref="E574:E599" si="607">SUM(B574:D574)</f>
        <v>0</v>
      </c>
      <c r="F574" s="12"/>
      <c r="G574" s="9">
        <v>1</v>
      </c>
      <c r="H574" s="10"/>
      <c r="I574" s="49">
        <f t="shared" ref="I574:I599" si="608">SUM(F574:H574)</f>
        <v>1</v>
      </c>
      <c r="J574" s="11">
        <f t="shared" ref="J574:J598" si="609">E574+I574</f>
        <v>1</v>
      </c>
      <c r="K574" s="71">
        <v>44691</v>
      </c>
      <c r="M574" s="26" t="s">
        <v>339</v>
      </c>
      <c r="N574" s="8">
        <v>10</v>
      </c>
      <c r="O574" s="9">
        <v>5</v>
      </c>
      <c r="P574" s="10"/>
      <c r="Q574" s="49">
        <f t="shared" si="604"/>
        <v>15</v>
      </c>
      <c r="R574" s="12"/>
      <c r="S574" s="9">
        <v>5</v>
      </c>
      <c r="T574" s="10"/>
      <c r="U574" s="49">
        <f t="shared" si="605"/>
        <v>5</v>
      </c>
      <c r="V574" s="11">
        <f t="shared" si="606"/>
        <v>20</v>
      </c>
      <c r="W574" s="140">
        <v>44688</v>
      </c>
    </row>
    <row r="575" spans="1:23" x14ac:dyDescent="0.15">
      <c r="A575" s="25" t="s">
        <v>33</v>
      </c>
      <c r="B575" s="8">
        <v>1</v>
      </c>
      <c r="C575" s="9">
        <v>1</v>
      </c>
      <c r="D575" s="10"/>
      <c r="E575" s="49">
        <f t="shared" si="607"/>
        <v>2</v>
      </c>
      <c r="F575" s="12"/>
      <c r="G575" s="9"/>
      <c r="H575" s="10"/>
      <c r="I575" s="49">
        <f t="shared" si="608"/>
        <v>0</v>
      </c>
      <c r="J575" s="11">
        <f t="shared" si="609"/>
        <v>2</v>
      </c>
      <c r="K575" s="71">
        <v>44692</v>
      </c>
      <c r="M575" s="26" t="s">
        <v>329</v>
      </c>
      <c r="N575" s="8">
        <v>2</v>
      </c>
      <c r="O575" s="9">
        <v>4</v>
      </c>
      <c r="P575" s="10">
        <v>2</v>
      </c>
      <c r="Q575" s="49">
        <f t="shared" si="604"/>
        <v>8</v>
      </c>
      <c r="R575" s="12">
        <v>2</v>
      </c>
      <c r="S575" s="9">
        <v>4</v>
      </c>
      <c r="T575" s="10">
        <v>2</v>
      </c>
      <c r="U575" s="49">
        <f t="shared" si="605"/>
        <v>8</v>
      </c>
      <c r="V575" s="11">
        <f t="shared" si="606"/>
        <v>16</v>
      </c>
      <c r="W575" s="140">
        <v>44691</v>
      </c>
    </row>
    <row r="576" spans="1:23" x14ac:dyDescent="0.15">
      <c r="A576" s="25" t="s">
        <v>33</v>
      </c>
      <c r="B576" s="8">
        <v>1</v>
      </c>
      <c r="C576" s="9"/>
      <c r="D576" s="10"/>
      <c r="E576" s="49">
        <f t="shared" si="607"/>
        <v>1</v>
      </c>
      <c r="F576" s="12"/>
      <c r="G576" s="9"/>
      <c r="H576" s="10"/>
      <c r="I576" s="49">
        <f t="shared" si="608"/>
        <v>0</v>
      </c>
      <c r="J576" s="11">
        <f t="shared" si="609"/>
        <v>1</v>
      </c>
      <c r="K576" s="63">
        <v>44694</v>
      </c>
      <c r="M576" s="24" t="s">
        <v>340</v>
      </c>
      <c r="N576" s="8">
        <v>20</v>
      </c>
      <c r="O576" s="9">
        <v>18</v>
      </c>
      <c r="P576" s="10">
        <v>4</v>
      </c>
      <c r="Q576" s="49">
        <f t="shared" si="604"/>
        <v>42</v>
      </c>
      <c r="R576" s="12">
        <v>10</v>
      </c>
      <c r="S576" s="9">
        <v>5</v>
      </c>
      <c r="T576" s="10">
        <v>2</v>
      </c>
      <c r="U576" s="49">
        <f t="shared" si="605"/>
        <v>17</v>
      </c>
      <c r="V576" s="11">
        <f t="shared" si="606"/>
        <v>59</v>
      </c>
      <c r="W576" s="140">
        <v>44691</v>
      </c>
    </row>
    <row r="577" spans="1:23" x14ac:dyDescent="0.15">
      <c r="A577" s="25" t="s">
        <v>33</v>
      </c>
      <c r="B577" s="8">
        <f>3+4+2+2</f>
        <v>11</v>
      </c>
      <c r="C577" s="9">
        <v>1</v>
      </c>
      <c r="D577" s="10">
        <f>2+2</f>
        <v>4</v>
      </c>
      <c r="E577" s="49">
        <f t="shared" si="607"/>
        <v>16</v>
      </c>
      <c r="F577" s="12">
        <f>3+1+1</f>
        <v>5</v>
      </c>
      <c r="G577" s="9">
        <v>1</v>
      </c>
      <c r="H577" s="10">
        <f>2+2</f>
        <v>4</v>
      </c>
      <c r="I577" s="49">
        <f t="shared" si="608"/>
        <v>10</v>
      </c>
      <c r="J577" s="11">
        <f t="shared" si="609"/>
        <v>26</v>
      </c>
      <c r="K577" s="63">
        <v>44697</v>
      </c>
      <c r="M577" s="26" t="s">
        <v>329</v>
      </c>
      <c r="N577" s="8"/>
      <c r="O577" s="9"/>
      <c r="P577" s="10">
        <v>1</v>
      </c>
      <c r="Q577" s="49">
        <f t="shared" si="604"/>
        <v>1</v>
      </c>
      <c r="R577" s="12"/>
      <c r="S577" s="9"/>
      <c r="T577" s="10">
        <v>1</v>
      </c>
      <c r="U577" s="49">
        <f t="shared" si="605"/>
        <v>1</v>
      </c>
      <c r="V577" s="11">
        <f t="shared" si="606"/>
        <v>2</v>
      </c>
      <c r="W577" s="140">
        <v>44694</v>
      </c>
    </row>
    <row r="578" spans="1:23" x14ac:dyDescent="0.15">
      <c r="A578" s="25" t="s">
        <v>33</v>
      </c>
      <c r="B578" s="8"/>
      <c r="C578" s="9">
        <v>1</v>
      </c>
      <c r="D578" s="10"/>
      <c r="E578" s="49">
        <f t="shared" si="607"/>
        <v>1</v>
      </c>
      <c r="F578" s="12"/>
      <c r="G578" s="9">
        <v>1</v>
      </c>
      <c r="H578" s="10"/>
      <c r="I578" s="49">
        <f t="shared" si="608"/>
        <v>1</v>
      </c>
      <c r="J578" s="11">
        <f t="shared" si="609"/>
        <v>2</v>
      </c>
      <c r="K578" s="71">
        <v>44699</v>
      </c>
      <c r="M578" s="26" t="s">
        <v>28</v>
      </c>
      <c r="N578" s="8">
        <v>10</v>
      </c>
      <c r="O578" s="9"/>
      <c r="P578" s="10">
        <v>5</v>
      </c>
      <c r="Q578" s="49">
        <f t="shared" si="604"/>
        <v>15</v>
      </c>
      <c r="R578" s="12">
        <v>5</v>
      </c>
      <c r="S578" s="9"/>
      <c r="T578" s="10">
        <v>10</v>
      </c>
      <c r="U578" s="49">
        <f t="shared" si="605"/>
        <v>15</v>
      </c>
      <c r="V578" s="11">
        <f t="shared" si="606"/>
        <v>30</v>
      </c>
      <c r="W578" s="140">
        <v>44698</v>
      </c>
    </row>
    <row r="579" spans="1:23" x14ac:dyDescent="0.15">
      <c r="A579" s="25" t="s">
        <v>33</v>
      </c>
      <c r="B579" s="8"/>
      <c r="C579" s="9"/>
      <c r="D579" s="10"/>
      <c r="E579" s="49">
        <f t="shared" si="607"/>
        <v>0</v>
      </c>
      <c r="F579" s="12">
        <v>1</v>
      </c>
      <c r="G579" s="9"/>
      <c r="H579" s="10"/>
      <c r="I579" s="49">
        <f t="shared" si="608"/>
        <v>1</v>
      </c>
      <c r="J579" s="11">
        <f t="shared" si="609"/>
        <v>1</v>
      </c>
      <c r="K579" s="71">
        <v>44700</v>
      </c>
      <c r="M579" s="26" t="s">
        <v>28</v>
      </c>
      <c r="N579" s="8"/>
      <c r="O579" s="9">
        <v>5</v>
      </c>
      <c r="P579" s="10"/>
      <c r="Q579" s="49">
        <f t="shared" si="604"/>
        <v>5</v>
      </c>
      <c r="R579" s="12"/>
      <c r="S579" s="9"/>
      <c r="T579" s="10"/>
      <c r="U579" s="49">
        <f t="shared" si="605"/>
        <v>0</v>
      </c>
      <c r="V579" s="11">
        <f t="shared" si="606"/>
        <v>5</v>
      </c>
      <c r="W579" s="140">
        <v>44702</v>
      </c>
    </row>
    <row r="580" spans="1:23" x14ac:dyDescent="0.15">
      <c r="A580" s="25" t="s">
        <v>33</v>
      </c>
      <c r="B580" s="8">
        <v>1</v>
      </c>
      <c r="C580" s="9"/>
      <c r="D580" s="10"/>
      <c r="E580" s="49">
        <f t="shared" si="607"/>
        <v>1</v>
      </c>
      <c r="F580" s="12"/>
      <c r="G580" s="9"/>
      <c r="H580" s="10"/>
      <c r="I580" s="49">
        <f t="shared" si="608"/>
        <v>0</v>
      </c>
      <c r="J580" s="11">
        <f t="shared" si="609"/>
        <v>1</v>
      </c>
      <c r="K580" s="71">
        <v>44701</v>
      </c>
      <c r="M580" s="26" t="s">
        <v>28</v>
      </c>
      <c r="N580" s="8">
        <v>5</v>
      </c>
      <c r="O580" s="9"/>
      <c r="P580" s="10"/>
      <c r="Q580" s="49">
        <f t="shared" si="604"/>
        <v>5</v>
      </c>
      <c r="R580" s="12">
        <v>5</v>
      </c>
      <c r="S580" s="9"/>
      <c r="T580" s="10"/>
      <c r="U580" s="49">
        <f t="shared" si="605"/>
        <v>5</v>
      </c>
      <c r="V580" s="11">
        <f t="shared" si="606"/>
        <v>10</v>
      </c>
      <c r="W580" s="140">
        <v>44715</v>
      </c>
    </row>
    <row r="581" spans="1:23" x14ac:dyDescent="0.15">
      <c r="A581" s="25" t="s">
        <v>33</v>
      </c>
      <c r="B581" s="8">
        <v>2</v>
      </c>
      <c r="C581" s="9"/>
      <c r="D581" s="10"/>
      <c r="E581" s="49">
        <f t="shared" si="607"/>
        <v>2</v>
      </c>
      <c r="F581" s="12"/>
      <c r="G581" s="9"/>
      <c r="H581" s="10"/>
      <c r="I581" s="49">
        <f t="shared" si="608"/>
        <v>0</v>
      </c>
      <c r="J581" s="11">
        <f t="shared" si="609"/>
        <v>2</v>
      </c>
      <c r="K581" s="71">
        <v>44705</v>
      </c>
      <c r="M581" s="24" t="s">
        <v>347</v>
      </c>
      <c r="N581" s="8">
        <v>10</v>
      </c>
      <c r="O581" s="9"/>
      <c r="P581" s="10"/>
      <c r="Q581" s="49">
        <f t="shared" si="604"/>
        <v>10</v>
      </c>
      <c r="R581" s="12">
        <v>10</v>
      </c>
      <c r="S581" s="9"/>
      <c r="T581" s="10"/>
      <c r="U581" s="49">
        <f t="shared" si="605"/>
        <v>10</v>
      </c>
      <c r="V581" s="11">
        <f t="shared" si="606"/>
        <v>20</v>
      </c>
      <c r="W581" s="140">
        <v>44722</v>
      </c>
    </row>
    <row r="582" spans="1:23" x14ac:dyDescent="0.15">
      <c r="A582" s="25" t="s">
        <v>33</v>
      </c>
      <c r="B582" s="13"/>
      <c r="C582" s="14"/>
      <c r="D582" s="15"/>
      <c r="E582" s="49">
        <f t="shared" si="607"/>
        <v>0</v>
      </c>
      <c r="F582" s="16">
        <v>2</v>
      </c>
      <c r="G582" s="14"/>
      <c r="H582" s="15"/>
      <c r="I582" s="49">
        <f t="shared" si="608"/>
        <v>2</v>
      </c>
      <c r="J582" s="11">
        <f t="shared" si="609"/>
        <v>2</v>
      </c>
      <c r="K582" s="71">
        <v>44706</v>
      </c>
      <c r="M582" s="26"/>
      <c r="N582" s="13"/>
      <c r="O582" s="14"/>
      <c r="P582" s="15"/>
      <c r="Q582" s="49">
        <f t="shared" si="604"/>
        <v>0</v>
      </c>
      <c r="R582" s="16"/>
      <c r="S582" s="14"/>
      <c r="T582" s="15"/>
      <c r="U582" s="49">
        <f t="shared" si="605"/>
        <v>0</v>
      </c>
      <c r="V582" s="11">
        <f t="shared" si="606"/>
        <v>0</v>
      </c>
    </row>
    <row r="583" spans="1:23" x14ac:dyDescent="0.15">
      <c r="A583" s="25" t="s">
        <v>33</v>
      </c>
      <c r="B583" s="8">
        <v>1</v>
      </c>
      <c r="C583" s="9">
        <v>1</v>
      </c>
      <c r="D583" s="10"/>
      <c r="E583" s="49">
        <f t="shared" si="607"/>
        <v>2</v>
      </c>
      <c r="F583" s="12">
        <v>2</v>
      </c>
      <c r="G583" s="9">
        <v>1</v>
      </c>
      <c r="H583" s="10">
        <v>1</v>
      </c>
      <c r="I583" s="49">
        <f t="shared" si="608"/>
        <v>4</v>
      </c>
      <c r="J583" s="11">
        <f t="shared" si="609"/>
        <v>6</v>
      </c>
      <c r="K583" s="71">
        <v>44707</v>
      </c>
      <c r="M583" s="26"/>
      <c r="N583" s="8"/>
      <c r="O583" s="9"/>
      <c r="P583" s="10"/>
      <c r="Q583" s="49">
        <f t="shared" si="604"/>
        <v>0</v>
      </c>
      <c r="R583" s="12"/>
      <c r="S583" s="9"/>
      <c r="T583" s="10"/>
      <c r="U583" s="49">
        <f t="shared" si="605"/>
        <v>0</v>
      </c>
      <c r="V583" s="11">
        <f t="shared" si="606"/>
        <v>0</v>
      </c>
    </row>
    <row r="584" spans="1:23" x14ac:dyDescent="0.15">
      <c r="A584" s="26" t="s">
        <v>343</v>
      </c>
      <c r="B584" s="8"/>
      <c r="C584" s="9">
        <v>1</v>
      </c>
      <c r="D584" s="10"/>
      <c r="E584" s="49">
        <f t="shared" si="607"/>
        <v>1</v>
      </c>
      <c r="F584" s="12"/>
      <c r="G584" s="9">
        <v>1</v>
      </c>
      <c r="H584" s="10"/>
      <c r="I584" s="49">
        <f t="shared" si="608"/>
        <v>1</v>
      </c>
      <c r="J584" s="11">
        <f t="shared" si="609"/>
        <v>2</v>
      </c>
      <c r="K584" s="63">
        <v>44712</v>
      </c>
      <c r="L584" s="82"/>
      <c r="M584" s="102"/>
      <c r="N584" s="8"/>
      <c r="O584" s="9"/>
      <c r="P584" s="10"/>
      <c r="Q584" s="49">
        <f t="shared" si="604"/>
        <v>0</v>
      </c>
      <c r="R584" s="12"/>
      <c r="S584" s="9"/>
      <c r="T584" s="10"/>
      <c r="U584" s="49">
        <f t="shared" si="605"/>
        <v>0</v>
      </c>
      <c r="V584" s="11">
        <f t="shared" si="606"/>
        <v>0</v>
      </c>
    </row>
    <row r="585" spans="1:23" x14ac:dyDescent="0.15">
      <c r="A585" s="25" t="s">
        <v>33</v>
      </c>
      <c r="B585" s="8">
        <v>3</v>
      </c>
      <c r="C585" s="9">
        <v>1</v>
      </c>
      <c r="D585" s="10"/>
      <c r="E585" s="49">
        <f t="shared" si="607"/>
        <v>4</v>
      </c>
      <c r="F585" s="12">
        <v>1</v>
      </c>
      <c r="G585" s="9">
        <v>2</v>
      </c>
      <c r="H585" s="10"/>
      <c r="I585" s="49">
        <f t="shared" si="608"/>
        <v>3</v>
      </c>
      <c r="J585" s="11">
        <f t="shared" si="609"/>
        <v>7</v>
      </c>
      <c r="K585" s="71">
        <v>44711</v>
      </c>
      <c r="M585" s="102"/>
      <c r="N585" s="8"/>
      <c r="O585" s="9"/>
      <c r="P585" s="10"/>
      <c r="Q585" s="49">
        <f t="shared" si="604"/>
        <v>0</v>
      </c>
      <c r="R585" s="12"/>
      <c r="S585" s="9"/>
      <c r="T585" s="10"/>
      <c r="U585" s="49">
        <f t="shared" si="605"/>
        <v>0</v>
      </c>
      <c r="V585" s="11">
        <f t="shared" si="606"/>
        <v>0</v>
      </c>
    </row>
    <row r="586" spans="1:23" x14ac:dyDescent="0.15">
      <c r="A586" s="23" t="s">
        <v>346</v>
      </c>
      <c r="B586" s="8">
        <v>2</v>
      </c>
      <c r="C586" s="9">
        <v>-2</v>
      </c>
      <c r="D586" s="10"/>
      <c r="E586" s="49">
        <f t="shared" si="607"/>
        <v>0</v>
      </c>
      <c r="F586" s="12">
        <v>2</v>
      </c>
      <c r="G586" s="9">
        <v>-2</v>
      </c>
      <c r="H586" s="10"/>
      <c r="I586" s="49">
        <f t="shared" si="608"/>
        <v>0</v>
      </c>
      <c r="J586" s="11">
        <f t="shared" si="609"/>
        <v>0</v>
      </c>
      <c r="K586" s="71">
        <v>44712</v>
      </c>
      <c r="M586" s="102"/>
      <c r="N586" s="8"/>
      <c r="O586" s="9"/>
      <c r="P586" s="10"/>
      <c r="Q586" s="49">
        <f t="shared" si="604"/>
        <v>0</v>
      </c>
      <c r="R586" s="12"/>
      <c r="S586" s="9"/>
      <c r="T586" s="10"/>
      <c r="U586" s="49">
        <f t="shared" si="605"/>
        <v>0</v>
      </c>
      <c r="V586" s="11">
        <f t="shared" si="606"/>
        <v>0</v>
      </c>
    </row>
    <row r="587" spans="1:23" x14ac:dyDescent="0.15">
      <c r="A587" s="25" t="s">
        <v>33</v>
      </c>
      <c r="B587" s="8"/>
      <c r="C587" s="9"/>
      <c r="D587" s="10">
        <v>1</v>
      </c>
      <c r="E587" s="49">
        <f t="shared" si="607"/>
        <v>1</v>
      </c>
      <c r="F587" s="12">
        <v>1</v>
      </c>
      <c r="G587" s="9"/>
      <c r="H587" s="10"/>
      <c r="I587" s="49">
        <f t="shared" si="608"/>
        <v>1</v>
      </c>
      <c r="J587" s="11">
        <f t="shared" si="609"/>
        <v>2</v>
      </c>
      <c r="K587" s="71">
        <v>44712</v>
      </c>
      <c r="M587" s="26"/>
      <c r="N587" s="8"/>
      <c r="O587" s="9"/>
      <c r="P587" s="10"/>
      <c r="Q587" s="49">
        <f t="shared" si="604"/>
        <v>0</v>
      </c>
      <c r="R587" s="12"/>
      <c r="S587" s="9"/>
      <c r="T587" s="10"/>
      <c r="U587" s="49">
        <f t="shared" si="605"/>
        <v>0</v>
      </c>
      <c r="V587" s="11">
        <f t="shared" si="606"/>
        <v>0</v>
      </c>
    </row>
    <row r="588" spans="1:23" x14ac:dyDescent="0.15">
      <c r="A588" s="25" t="s">
        <v>33</v>
      </c>
      <c r="B588" s="8">
        <v>1</v>
      </c>
      <c r="C588" s="9"/>
      <c r="D588" s="10"/>
      <c r="E588" s="49">
        <f t="shared" si="607"/>
        <v>1</v>
      </c>
      <c r="F588" s="12">
        <v>1</v>
      </c>
      <c r="G588" s="9"/>
      <c r="H588" s="10"/>
      <c r="I588" s="49">
        <f t="shared" si="608"/>
        <v>1</v>
      </c>
      <c r="J588" s="11">
        <f t="shared" si="609"/>
        <v>2</v>
      </c>
      <c r="K588" s="71">
        <v>44713</v>
      </c>
      <c r="M588" s="26"/>
      <c r="N588" s="8"/>
      <c r="O588" s="9"/>
      <c r="P588" s="10"/>
      <c r="Q588" s="49">
        <f t="shared" si="604"/>
        <v>0</v>
      </c>
      <c r="R588" s="12"/>
      <c r="S588" s="9"/>
      <c r="T588" s="10"/>
      <c r="U588" s="49">
        <f t="shared" si="605"/>
        <v>0</v>
      </c>
      <c r="V588" s="11">
        <f t="shared" si="606"/>
        <v>0</v>
      </c>
    </row>
    <row r="589" spans="1:23" x14ac:dyDescent="0.15">
      <c r="A589" s="25" t="s">
        <v>33</v>
      </c>
      <c r="B589" s="8"/>
      <c r="C589" s="9">
        <v>2</v>
      </c>
      <c r="D589" s="10"/>
      <c r="E589" s="49">
        <f t="shared" si="607"/>
        <v>2</v>
      </c>
      <c r="F589" s="12"/>
      <c r="G589" s="9">
        <v>1</v>
      </c>
      <c r="H589" s="10"/>
      <c r="I589" s="49">
        <f t="shared" si="608"/>
        <v>1</v>
      </c>
      <c r="J589" s="11">
        <f t="shared" si="609"/>
        <v>3</v>
      </c>
      <c r="K589" s="71">
        <v>44714</v>
      </c>
      <c r="M589" s="26"/>
      <c r="N589" s="8"/>
      <c r="O589" s="9"/>
      <c r="P589" s="10"/>
      <c r="Q589" s="49">
        <f t="shared" si="604"/>
        <v>0</v>
      </c>
      <c r="R589" s="12"/>
      <c r="S589" s="9"/>
      <c r="T589" s="10"/>
      <c r="U589" s="49">
        <f t="shared" si="605"/>
        <v>0</v>
      </c>
      <c r="V589" s="11">
        <f t="shared" si="606"/>
        <v>0</v>
      </c>
    </row>
    <row r="590" spans="1:23" x14ac:dyDescent="0.15">
      <c r="A590" s="26" t="s">
        <v>329</v>
      </c>
      <c r="B590" s="8"/>
      <c r="C590" s="9">
        <v>1</v>
      </c>
      <c r="D590" s="10"/>
      <c r="E590" s="49">
        <f t="shared" si="607"/>
        <v>1</v>
      </c>
      <c r="F590" s="12"/>
      <c r="G590" s="9">
        <v>1</v>
      </c>
      <c r="H590" s="10"/>
      <c r="I590" s="49">
        <f t="shared" si="608"/>
        <v>1</v>
      </c>
      <c r="J590" s="11">
        <f t="shared" si="609"/>
        <v>2</v>
      </c>
      <c r="K590" s="63">
        <v>44718</v>
      </c>
      <c r="L590" s="82"/>
      <c r="M590" s="24"/>
      <c r="N590" s="8"/>
      <c r="O590" s="9"/>
      <c r="P590" s="10"/>
      <c r="Q590" s="49">
        <f t="shared" si="604"/>
        <v>0</v>
      </c>
      <c r="R590" s="12"/>
      <c r="S590" s="9"/>
      <c r="T590" s="10"/>
      <c r="U590" s="49">
        <f t="shared" si="605"/>
        <v>0</v>
      </c>
      <c r="V590" s="11">
        <f t="shared" si="606"/>
        <v>0</v>
      </c>
    </row>
    <row r="591" spans="1:23" x14ac:dyDescent="0.15">
      <c r="A591" s="25" t="s">
        <v>33</v>
      </c>
      <c r="B591" s="8"/>
      <c r="C591" s="9">
        <v>1</v>
      </c>
      <c r="D591" s="10"/>
      <c r="E591" s="49">
        <f t="shared" si="607"/>
        <v>1</v>
      </c>
      <c r="F591" s="12"/>
      <c r="G591" s="9"/>
      <c r="H591" s="10"/>
      <c r="I591" s="49">
        <f t="shared" si="608"/>
        <v>0</v>
      </c>
      <c r="J591" s="11">
        <f t="shared" si="609"/>
        <v>1</v>
      </c>
      <c r="K591" s="71">
        <v>44715</v>
      </c>
      <c r="M591" s="26"/>
      <c r="N591" s="8"/>
      <c r="O591" s="9"/>
      <c r="P591" s="10"/>
      <c r="Q591" s="49">
        <f t="shared" si="604"/>
        <v>0</v>
      </c>
      <c r="R591" s="12"/>
      <c r="S591" s="9"/>
      <c r="T591" s="10"/>
      <c r="U591" s="49">
        <f t="shared" si="605"/>
        <v>0</v>
      </c>
      <c r="V591" s="11">
        <f t="shared" si="606"/>
        <v>0</v>
      </c>
      <c r="W591" s="142"/>
    </row>
    <row r="592" spans="1:23" x14ac:dyDescent="0.15">
      <c r="A592" s="25" t="s">
        <v>33</v>
      </c>
      <c r="B592" s="8"/>
      <c r="C592" s="9"/>
      <c r="D592" s="10"/>
      <c r="E592" s="49">
        <f t="shared" si="607"/>
        <v>0</v>
      </c>
      <c r="F592" s="12"/>
      <c r="G592" s="9">
        <v>2</v>
      </c>
      <c r="H592" s="10"/>
      <c r="I592" s="49">
        <f t="shared" si="608"/>
        <v>2</v>
      </c>
      <c r="J592" s="11">
        <f t="shared" si="609"/>
        <v>2</v>
      </c>
      <c r="K592" s="71">
        <v>44716</v>
      </c>
      <c r="M592" s="24"/>
      <c r="N592" s="8"/>
      <c r="O592" s="9"/>
      <c r="P592" s="10"/>
      <c r="Q592" s="49">
        <f t="shared" si="604"/>
        <v>0</v>
      </c>
      <c r="R592" s="8"/>
      <c r="S592" s="9"/>
      <c r="T592" s="10"/>
      <c r="U592" s="49">
        <f t="shared" si="605"/>
        <v>0</v>
      </c>
      <c r="V592" s="11">
        <f t="shared" si="606"/>
        <v>0</v>
      </c>
      <c r="W592" s="142"/>
    </row>
    <row r="593" spans="1:23" x14ac:dyDescent="0.15">
      <c r="A593" s="26" t="s">
        <v>329</v>
      </c>
      <c r="B593" s="8"/>
      <c r="C593" s="9"/>
      <c r="D593" s="10">
        <v>1</v>
      </c>
      <c r="E593" s="49">
        <f t="shared" si="607"/>
        <v>1</v>
      </c>
      <c r="F593" s="12"/>
      <c r="G593" s="9"/>
      <c r="H593" s="10">
        <v>1</v>
      </c>
      <c r="I593" s="49">
        <f t="shared" si="608"/>
        <v>1</v>
      </c>
      <c r="J593" s="11">
        <f t="shared" si="609"/>
        <v>2</v>
      </c>
      <c r="K593" s="63">
        <v>44719</v>
      </c>
      <c r="M593" s="24"/>
      <c r="N593" s="8"/>
      <c r="O593" s="9"/>
      <c r="P593" s="10"/>
      <c r="Q593" s="49">
        <f t="shared" ref="Q593:Q596" si="610">SUM(N593:P593)</f>
        <v>0</v>
      </c>
      <c r="R593" s="12"/>
      <c r="S593" s="9"/>
      <c r="T593" s="10"/>
      <c r="U593" s="49">
        <f t="shared" ref="U593:U596" si="611">SUM(R593:T593)</f>
        <v>0</v>
      </c>
      <c r="V593" s="11">
        <f t="shared" ref="V593:V596" si="612">Q593+U593</f>
        <v>0</v>
      </c>
      <c r="W593" s="140"/>
    </row>
    <row r="594" spans="1:23" x14ac:dyDescent="0.15">
      <c r="A594" s="25" t="s">
        <v>33</v>
      </c>
      <c r="B594" s="13">
        <f>2+1</f>
        <v>3</v>
      </c>
      <c r="C594" s="14">
        <v>2</v>
      </c>
      <c r="D594" s="15">
        <v>1</v>
      </c>
      <c r="E594" s="49">
        <f t="shared" si="607"/>
        <v>6</v>
      </c>
      <c r="F594" s="16">
        <f>1+1+2</f>
        <v>4</v>
      </c>
      <c r="G594" s="14">
        <f>1+1</f>
        <v>2</v>
      </c>
      <c r="H594" s="15"/>
      <c r="I594" s="49">
        <f t="shared" si="608"/>
        <v>6</v>
      </c>
      <c r="J594" s="11">
        <f t="shared" si="609"/>
        <v>12</v>
      </c>
      <c r="K594" s="71">
        <v>44718</v>
      </c>
      <c r="M594" s="23"/>
      <c r="N594" s="8"/>
      <c r="O594" s="9"/>
      <c r="P594" s="10"/>
      <c r="Q594" s="49">
        <f t="shared" si="610"/>
        <v>0</v>
      </c>
      <c r="R594" s="12"/>
      <c r="S594" s="9"/>
      <c r="T594" s="10"/>
      <c r="U594" s="49">
        <f t="shared" si="611"/>
        <v>0</v>
      </c>
      <c r="V594" s="11">
        <f t="shared" si="612"/>
        <v>0</v>
      </c>
      <c r="W594" s="142"/>
    </row>
    <row r="595" spans="1:23" x14ac:dyDescent="0.15">
      <c r="A595" s="25" t="s">
        <v>33</v>
      </c>
      <c r="B595" s="8">
        <v>1</v>
      </c>
      <c r="C595" s="9"/>
      <c r="D595" s="10"/>
      <c r="E595" s="49">
        <f t="shared" si="607"/>
        <v>1</v>
      </c>
      <c r="F595" s="12"/>
      <c r="G595" s="9"/>
      <c r="H595" s="10"/>
      <c r="I595" s="49">
        <f t="shared" si="608"/>
        <v>0</v>
      </c>
      <c r="J595" s="11">
        <f t="shared" si="609"/>
        <v>1</v>
      </c>
      <c r="K595" s="71">
        <v>44719</v>
      </c>
      <c r="M595" s="26"/>
      <c r="N595" s="8"/>
      <c r="O595" s="9"/>
      <c r="P595" s="10"/>
      <c r="Q595" s="49">
        <f t="shared" si="610"/>
        <v>0</v>
      </c>
      <c r="R595" s="12"/>
      <c r="S595" s="9"/>
      <c r="T595" s="10"/>
      <c r="U595" s="49">
        <f t="shared" si="611"/>
        <v>0</v>
      </c>
      <c r="V595" s="11">
        <f t="shared" si="612"/>
        <v>0</v>
      </c>
      <c r="W595" s="142"/>
    </row>
    <row r="596" spans="1:23" x14ac:dyDescent="0.15">
      <c r="A596" s="26" t="s">
        <v>329</v>
      </c>
      <c r="B596" s="8"/>
      <c r="C596" s="9">
        <v>1</v>
      </c>
      <c r="D596" s="10"/>
      <c r="E596" s="49">
        <f t="shared" si="607"/>
        <v>1</v>
      </c>
      <c r="F596" s="12"/>
      <c r="G596" s="9">
        <v>1</v>
      </c>
      <c r="H596" s="10"/>
      <c r="I596" s="49">
        <f t="shared" si="608"/>
        <v>1</v>
      </c>
      <c r="J596" s="11">
        <f t="shared" si="609"/>
        <v>2</v>
      </c>
      <c r="K596" s="63">
        <v>44722</v>
      </c>
      <c r="M596" s="24" t="s">
        <v>328</v>
      </c>
      <c r="N596" s="8"/>
      <c r="O596" s="9"/>
      <c r="P596" s="10"/>
      <c r="Q596" s="49">
        <f t="shared" si="610"/>
        <v>0</v>
      </c>
      <c r="R596" s="8"/>
      <c r="S596" s="9"/>
      <c r="T596" s="10"/>
      <c r="U596" s="49">
        <f t="shared" si="611"/>
        <v>0</v>
      </c>
      <c r="V596" s="11">
        <f t="shared" si="612"/>
        <v>0</v>
      </c>
      <c r="W596" s="142" t="s">
        <v>327</v>
      </c>
    </row>
    <row r="597" spans="1:23" x14ac:dyDescent="0.15">
      <c r="A597" s="25" t="s">
        <v>33</v>
      </c>
      <c r="B597" s="8">
        <v>2</v>
      </c>
      <c r="C597" s="9">
        <v>1</v>
      </c>
      <c r="D597" s="10"/>
      <c r="E597" s="49">
        <f t="shared" si="607"/>
        <v>3</v>
      </c>
      <c r="F597" s="12"/>
      <c r="G597" s="9"/>
      <c r="H597" s="10"/>
      <c r="I597" s="49">
        <f t="shared" si="608"/>
        <v>0</v>
      </c>
      <c r="J597" s="11">
        <f t="shared" si="609"/>
        <v>3</v>
      </c>
      <c r="K597" s="71">
        <v>44721</v>
      </c>
      <c r="M597" s="24" t="s">
        <v>322</v>
      </c>
      <c r="N597" s="8"/>
      <c r="O597" s="9"/>
      <c r="P597" s="10"/>
      <c r="Q597" s="49">
        <f t="shared" ref="Q597:Q598" si="613">SUM(N597:P597)</f>
        <v>0</v>
      </c>
      <c r="R597" s="12"/>
      <c r="S597" s="9"/>
      <c r="T597" s="10"/>
      <c r="U597" s="49">
        <f t="shared" ref="U597:U598" si="614">SUM(R597:T597)</f>
        <v>0</v>
      </c>
      <c r="V597" s="11">
        <f t="shared" ref="V597:V598" si="615">Q597+U597</f>
        <v>0</v>
      </c>
      <c r="W597" s="140" t="s">
        <v>324</v>
      </c>
    </row>
    <row r="598" spans="1:23" ht="14.25" thickBot="1" x14ac:dyDescent="0.2">
      <c r="A598" s="25"/>
      <c r="B598" s="13"/>
      <c r="C598" s="14"/>
      <c r="D598" s="15"/>
      <c r="E598" s="55">
        <f t="shared" si="607"/>
        <v>0</v>
      </c>
      <c r="F598" s="16"/>
      <c r="G598" s="14"/>
      <c r="H598" s="15"/>
      <c r="I598" s="55">
        <f t="shared" si="608"/>
        <v>0</v>
      </c>
      <c r="J598" s="11">
        <f t="shared" si="609"/>
        <v>0</v>
      </c>
      <c r="K598" s="71"/>
      <c r="M598" s="23" t="s">
        <v>318</v>
      </c>
      <c r="N598" s="8"/>
      <c r="O598" s="9"/>
      <c r="P598" s="10"/>
      <c r="Q598" s="49">
        <f t="shared" si="613"/>
        <v>0</v>
      </c>
      <c r="R598" s="12"/>
      <c r="S598" s="9"/>
      <c r="T598" s="10"/>
      <c r="U598" s="49">
        <f t="shared" si="614"/>
        <v>0</v>
      </c>
      <c r="V598" s="11">
        <f t="shared" si="615"/>
        <v>0</v>
      </c>
      <c r="W598" s="142" t="s">
        <v>319</v>
      </c>
    </row>
    <row r="599" spans="1:23" ht="14.25" thickBot="1" x14ac:dyDescent="0.2">
      <c r="A599" s="41" t="s">
        <v>19</v>
      </c>
      <c r="B599" s="46">
        <f>SUM(B573:B598)</f>
        <v>30</v>
      </c>
      <c r="C599" s="47">
        <f t="shared" ref="C599:D599" si="616">SUM(C573:C598)</f>
        <v>12</v>
      </c>
      <c r="D599" s="59">
        <f t="shared" si="616"/>
        <v>7</v>
      </c>
      <c r="E599" s="45">
        <f t="shared" si="607"/>
        <v>49</v>
      </c>
      <c r="F599" s="46">
        <f>SUM(F573:F598)</f>
        <v>20</v>
      </c>
      <c r="G599" s="47">
        <f t="shared" ref="G599:H599" si="617">SUM(G573:G598)</f>
        <v>13</v>
      </c>
      <c r="H599" s="59">
        <f t="shared" si="617"/>
        <v>8</v>
      </c>
      <c r="I599" s="45">
        <f t="shared" si="608"/>
        <v>41</v>
      </c>
      <c r="J599" s="45">
        <f>E599+I599</f>
        <v>90</v>
      </c>
      <c r="M599" s="41" t="s">
        <v>19</v>
      </c>
      <c r="N599" s="46">
        <f>SUM(N573:N598)</f>
        <v>72</v>
      </c>
      <c r="O599" s="47">
        <f t="shared" ref="O599:P599" si="618">SUM(O573:O598)</f>
        <v>52</v>
      </c>
      <c r="P599" s="59">
        <f t="shared" si="618"/>
        <v>27</v>
      </c>
      <c r="Q599" s="45">
        <f t="shared" si="604"/>
        <v>151</v>
      </c>
      <c r="R599" s="46">
        <f>SUM(R573:R598)</f>
        <v>47</v>
      </c>
      <c r="S599" s="47">
        <f t="shared" ref="S599:T599" si="619">SUM(S573:S598)</f>
        <v>34</v>
      </c>
      <c r="T599" s="59">
        <f t="shared" si="619"/>
        <v>30</v>
      </c>
      <c r="U599" s="45">
        <f t="shared" si="605"/>
        <v>111</v>
      </c>
      <c r="V599" s="45">
        <f>Q599+U599</f>
        <v>262</v>
      </c>
    </row>
    <row r="600" spans="1:23" ht="14.25" thickBot="1" x14ac:dyDescent="0.2">
      <c r="A600" s="22" t="s">
        <v>17</v>
      </c>
      <c r="B600" s="50">
        <f>B572-B599</f>
        <v>9</v>
      </c>
      <c r="C600" s="57">
        <f t="shared" ref="C600:D600" si="620">C572-C599</f>
        <v>13</v>
      </c>
      <c r="D600" s="58">
        <f t="shared" si="620"/>
        <v>18</v>
      </c>
      <c r="E600" s="56">
        <f>SUM(B600:D600)</f>
        <v>40</v>
      </c>
      <c r="F600" s="50">
        <f>F572-F599</f>
        <v>12</v>
      </c>
      <c r="G600" s="57">
        <f t="shared" ref="G600:H600" si="621">G572-G599</f>
        <v>7</v>
      </c>
      <c r="H600" s="58">
        <f t="shared" si="621"/>
        <v>20</v>
      </c>
      <c r="I600" s="56">
        <f>SUM(F600:H600)</f>
        <v>39</v>
      </c>
      <c r="J600" s="31">
        <f>E600+I600</f>
        <v>79</v>
      </c>
      <c r="M600" s="22" t="s">
        <v>17</v>
      </c>
      <c r="N600" s="50">
        <f>N572-N599</f>
        <v>830</v>
      </c>
      <c r="O600" s="57">
        <f t="shared" ref="O600:P600" si="622">O572-O599</f>
        <v>1040</v>
      </c>
      <c r="P600" s="58">
        <f t="shared" si="622"/>
        <v>895</v>
      </c>
      <c r="Q600" s="56">
        <f>SUM(N600:P600)</f>
        <v>2765</v>
      </c>
      <c r="R600" s="50">
        <f>R572-R599</f>
        <v>973</v>
      </c>
      <c r="S600" s="57">
        <f t="shared" ref="S600:T600" si="623">S572-S599</f>
        <v>1195</v>
      </c>
      <c r="T600" s="58">
        <f t="shared" si="623"/>
        <v>1033</v>
      </c>
      <c r="U600" s="56">
        <f>SUM(R600:T600)</f>
        <v>3201</v>
      </c>
      <c r="V600" s="31">
        <f>Q600+U600</f>
        <v>5966</v>
      </c>
    </row>
    <row r="603" spans="1:23" ht="19.5" thickBot="1" x14ac:dyDescent="0.25">
      <c r="A603" s="3" t="s">
        <v>21</v>
      </c>
      <c r="B603" s="1"/>
      <c r="C603" s="1"/>
      <c r="D603" s="1"/>
      <c r="E603" s="1"/>
      <c r="F603" s="1"/>
      <c r="G603" s="1"/>
      <c r="H603" s="1"/>
      <c r="I603" s="1"/>
      <c r="J603" s="1"/>
      <c r="M603" s="3" t="s">
        <v>22</v>
      </c>
      <c r="N603" s="1"/>
      <c r="O603" s="1"/>
      <c r="P603" s="1"/>
      <c r="Q603" s="1"/>
      <c r="R603" s="1"/>
      <c r="S603" s="1"/>
      <c r="T603" s="1"/>
      <c r="U603" s="1"/>
      <c r="V603" s="1"/>
    </row>
    <row r="604" spans="1:23" ht="14.25" thickBot="1" x14ac:dyDescent="0.2">
      <c r="A604" s="7" t="s">
        <v>0</v>
      </c>
      <c r="B604" s="165" t="s">
        <v>24</v>
      </c>
      <c r="C604" s="166"/>
      <c r="D604" s="166"/>
      <c r="E604" s="170"/>
      <c r="F604" s="165" t="s">
        <v>18</v>
      </c>
      <c r="G604" s="166"/>
      <c r="H604" s="166"/>
      <c r="I604" s="167"/>
      <c r="J604" s="168" t="s">
        <v>1</v>
      </c>
      <c r="M604" s="7" t="s">
        <v>0</v>
      </c>
      <c r="N604" s="165" t="s">
        <v>24</v>
      </c>
      <c r="O604" s="166"/>
      <c r="P604" s="166"/>
      <c r="Q604" s="170"/>
      <c r="R604" s="165" t="s">
        <v>18</v>
      </c>
      <c r="S604" s="166"/>
      <c r="T604" s="166"/>
      <c r="U604" s="167"/>
      <c r="V604" s="168" t="s">
        <v>1</v>
      </c>
    </row>
    <row r="605" spans="1:23" ht="14.25" thickBot="1" x14ac:dyDescent="0.2">
      <c r="A605" s="7" t="s">
        <v>2</v>
      </c>
      <c r="B605" s="4" t="s">
        <v>3</v>
      </c>
      <c r="C605" s="5" t="s">
        <v>4</v>
      </c>
      <c r="D605" s="6" t="s">
        <v>5</v>
      </c>
      <c r="E605" s="7" t="s">
        <v>6</v>
      </c>
      <c r="F605" s="4" t="s">
        <v>3</v>
      </c>
      <c r="G605" s="5" t="s">
        <v>4</v>
      </c>
      <c r="H605" s="6" t="s">
        <v>5</v>
      </c>
      <c r="I605" s="7" t="s">
        <v>6</v>
      </c>
      <c r="J605" s="169"/>
      <c r="M605" s="7" t="s">
        <v>2</v>
      </c>
      <c r="N605" s="4" t="s">
        <v>3</v>
      </c>
      <c r="O605" s="5" t="s">
        <v>4</v>
      </c>
      <c r="P605" s="6" t="s">
        <v>5</v>
      </c>
      <c r="Q605" s="7" t="s">
        <v>6</v>
      </c>
      <c r="R605" s="4" t="s">
        <v>3</v>
      </c>
      <c r="S605" s="5" t="s">
        <v>4</v>
      </c>
      <c r="T605" s="6" t="s">
        <v>5</v>
      </c>
      <c r="U605" s="7" t="s">
        <v>6</v>
      </c>
      <c r="V605" s="169"/>
    </row>
    <row r="606" spans="1:23" ht="14.25" thickBot="1" x14ac:dyDescent="0.2">
      <c r="A606" s="27" t="s">
        <v>20</v>
      </c>
      <c r="B606" s="38">
        <f>B600</f>
        <v>9</v>
      </c>
      <c r="C606" s="39">
        <f>C600</f>
        <v>13</v>
      </c>
      <c r="D606" s="2">
        <f>D600</f>
        <v>18</v>
      </c>
      <c r="E606" s="36">
        <f>SUM(B606:D606)</f>
        <v>40</v>
      </c>
      <c r="F606" s="38">
        <f>F600</f>
        <v>12</v>
      </c>
      <c r="G606" s="39">
        <f>G600</f>
        <v>7</v>
      </c>
      <c r="H606" s="2">
        <f>H600</f>
        <v>20</v>
      </c>
      <c r="I606" s="36">
        <f>SUM(F606:H606)</f>
        <v>39</v>
      </c>
      <c r="J606" s="36">
        <f>E606+I606</f>
        <v>79</v>
      </c>
      <c r="M606" s="27" t="s">
        <v>20</v>
      </c>
      <c r="N606" s="38">
        <f>N600</f>
        <v>830</v>
      </c>
      <c r="O606" s="39">
        <f>O600</f>
        <v>1040</v>
      </c>
      <c r="P606" s="2">
        <f>P600</f>
        <v>895</v>
      </c>
      <c r="Q606" s="36">
        <f>SUM(N606:P606)</f>
        <v>2765</v>
      </c>
      <c r="R606" s="38">
        <f>R600</f>
        <v>973</v>
      </c>
      <c r="S606" s="39">
        <f>S600</f>
        <v>1195</v>
      </c>
      <c r="T606" s="2">
        <f>T600</f>
        <v>1033</v>
      </c>
      <c r="U606" s="36">
        <f>SUM(R606:T606)</f>
        <v>3201</v>
      </c>
      <c r="V606" s="36">
        <f>Q606+U606</f>
        <v>5966</v>
      </c>
    </row>
    <row r="607" spans="1:23" x14ac:dyDescent="0.15">
      <c r="A607" s="25" t="s">
        <v>8</v>
      </c>
      <c r="B607" s="42">
        <v>5</v>
      </c>
      <c r="C607" s="43"/>
      <c r="D607" s="44"/>
      <c r="E607" s="48">
        <f>SUM(B607:D607)</f>
        <v>5</v>
      </c>
      <c r="F607" s="60"/>
      <c r="G607" s="43"/>
      <c r="H607" s="61"/>
      <c r="I607" s="48">
        <f>SUM(F607:H607)</f>
        <v>0</v>
      </c>
      <c r="J607" s="48">
        <f>E607+I607</f>
        <v>5</v>
      </c>
      <c r="K607" s="63">
        <v>44722</v>
      </c>
      <c r="M607" s="25" t="s">
        <v>8</v>
      </c>
      <c r="N607" s="42"/>
      <c r="O607" s="43"/>
      <c r="P607" s="44"/>
      <c r="Q607" s="48">
        <f>SUM(N607:P607)</f>
        <v>0</v>
      </c>
      <c r="R607" s="60"/>
      <c r="S607" s="43"/>
      <c r="T607" s="61"/>
      <c r="U607" s="48">
        <f>SUM(R607:T607)</f>
        <v>0</v>
      </c>
      <c r="V607" s="48">
        <f>Q607+U607</f>
        <v>0</v>
      </c>
    </row>
    <row r="608" spans="1:23" x14ac:dyDescent="0.15">
      <c r="A608" s="25" t="s">
        <v>9</v>
      </c>
      <c r="B608" s="8">
        <v>10</v>
      </c>
      <c r="C608" s="9">
        <v>15</v>
      </c>
      <c r="D608" s="52"/>
      <c r="E608" s="11">
        <f>SUM(B608:D608)</f>
        <v>25</v>
      </c>
      <c r="F608" s="12">
        <v>10</v>
      </c>
      <c r="G608" s="9">
        <v>20</v>
      </c>
      <c r="H608" s="10"/>
      <c r="I608" s="11">
        <f>SUM(F608:H608)</f>
        <v>30</v>
      </c>
      <c r="J608" s="11">
        <f>E608+I608</f>
        <v>55</v>
      </c>
      <c r="K608" s="63">
        <v>44729</v>
      </c>
      <c r="M608" s="25" t="s">
        <v>9</v>
      </c>
      <c r="N608" s="8"/>
      <c r="O608" s="9"/>
      <c r="P608" s="52"/>
      <c r="Q608" s="11">
        <f t="shared" ref="Q608:Q614" si="624">SUM(N608:P608)</f>
        <v>0</v>
      </c>
      <c r="R608" s="12"/>
      <c r="S608" s="9"/>
      <c r="T608" s="10"/>
      <c r="U608" s="11">
        <f t="shared" ref="U608:U614" si="625">SUM(R608:T608)</f>
        <v>0</v>
      </c>
      <c r="V608" s="11">
        <f t="shared" ref="V608:V614" si="626">Q608+U608</f>
        <v>0</v>
      </c>
    </row>
    <row r="609" spans="1:24" x14ac:dyDescent="0.15">
      <c r="A609" s="25" t="s">
        <v>348</v>
      </c>
      <c r="B609" s="17">
        <v>1</v>
      </c>
      <c r="C609" s="18"/>
      <c r="D609" s="51"/>
      <c r="E609" s="11">
        <f t="shared" ref="E609:E614" si="627">SUM(B609:D609)</f>
        <v>1</v>
      </c>
      <c r="F609" s="20"/>
      <c r="G609" s="18"/>
      <c r="H609" s="19"/>
      <c r="I609" s="11">
        <f t="shared" ref="I609:I614" si="628">SUM(F609:H609)</f>
        <v>0</v>
      </c>
      <c r="J609" s="11">
        <f t="shared" ref="J609:J614" si="629">E609+I609</f>
        <v>1</v>
      </c>
      <c r="K609" s="71">
        <v>44728</v>
      </c>
      <c r="M609" s="25" t="s">
        <v>10</v>
      </c>
      <c r="N609" s="17"/>
      <c r="O609" s="18"/>
      <c r="P609" s="51"/>
      <c r="Q609" s="49">
        <f t="shared" si="624"/>
        <v>0</v>
      </c>
      <c r="R609" s="20"/>
      <c r="S609" s="18"/>
      <c r="T609" s="19"/>
      <c r="U609" s="49">
        <f t="shared" si="625"/>
        <v>0</v>
      </c>
      <c r="V609" s="49">
        <f t="shared" si="626"/>
        <v>0</v>
      </c>
    </row>
    <row r="610" spans="1:24" x14ac:dyDescent="0.15">
      <c r="A610" s="25" t="s">
        <v>11</v>
      </c>
      <c r="B610" s="8">
        <v>5</v>
      </c>
      <c r="C610" s="9">
        <v>5</v>
      </c>
      <c r="D610" s="52">
        <v>10</v>
      </c>
      <c r="E610" s="11">
        <f t="shared" si="627"/>
        <v>20</v>
      </c>
      <c r="F610" s="12">
        <v>10</v>
      </c>
      <c r="G610" s="9">
        <v>10</v>
      </c>
      <c r="H610" s="10">
        <v>10</v>
      </c>
      <c r="I610" s="11">
        <f t="shared" si="628"/>
        <v>30</v>
      </c>
      <c r="J610" s="11">
        <f t="shared" si="629"/>
        <v>50</v>
      </c>
      <c r="K610" s="63">
        <v>44741</v>
      </c>
      <c r="M610" s="25" t="s">
        <v>11</v>
      </c>
      <c r="N610" s="8"/>
      <c r="O610" s="9"/>
      <c r="P610" s="52"/>
      <c r="Q610" s="11">
        <f t="shared" si="624"/>
        <v>0</v>
      </c>
      <c r="R610" s="12"/>
      <c r="S610" s="9"/>
      <c r="T610" s="10"/>
      <c r="U610" s="11">
        <f t="shared" si="625"/>
        <v>0</v>
      </c>
      <c r="V610" s="11">
        <f t="shared" si="626"/>
        <v>0</v>
      </c>
    </row>
    <row r="611" spans="1:24" x14ac:dyDescent="0.15">
      <c r="A611" s="25" t="s">
        <v>12</v>
      </c>
      <c r="B611" s="8">
        <v>5</v>
      </c>
      <c r="C611" s="9">
        <v>5</v>
      </c>
      <c r="D611" s="52"/>
      <c r="E611" s="11">
        <f t="shared" si="627"/>
        <v>10</v>
      </c>
      <c r="F611" s="12">
        <v>5</v>
      </c>
      <c r="G611" s="9"/>
      <c r="H611" s="10">
        <v>5</v>
      </c>
      <c r="I611" s="11">
        <f t="shared" si="628"/>
        <v>10</v>
      </c>
      <c r="J611" s="11">
        <f t="shared" si="629"/>
        <v>20</v>
      </c>
      <c r="K611" s="63">
        <v>44744</v>
      </c>
      <c r="M611" s="25" t="s">
        <v>12</v>
      </c>
      <c r="N611" s="8"/>
      <c r="O611" s="9"/>
      <c r="P611" s="52"/>
      <c r="Q611" s="11">
        <f t="shared" si="624"/>
        <v>0</v>
      </c>
      <c r="R611" s="12"/>
      <c r="S611" s="9"/>
      <c r="T611" s="10"/>
      <c r="U611" s="11">
        <f t="shared" si="625"/>
        <v>0</v>
      </c>
      <c r="V611" s="11">
        <f t="shared" si="626"/>
        <v>0</v>
      </c>
    </row>
    <row r="612" spans="1:24" x14ac:dyDescent="0.15">
      <c r="A612" s="25" t="s">
        <v>13</v>
      </c>
      <c r="B612" s="8"/>
      <c r="C612" s="9"/>
      <c r="D612" s="52"/>
      <c r="E612" s="11">
        <f t="shared" si="627"/>
        <v>0</v>
      </c>
      <c r="F612" s="12"/>
      <c r="G612" s="9"/>
      <c r="H612" s="10"/>
      <c r="I612" s="11">
        <f t="shared" si="628"/>
        <v>0</v>
      </c>
      <c r="J612" s="11">
        <f t="shared" si="629"/>
        <v>0</v>
      </c>
      <c r="K612" s="82"/>
      <c r="M612" s="25" t="s">
        <v>13</v>
      </c>
      <c r="N612" s="8"/>
      <c r="O612" s="9"/>
      <c r="P612" s="52"/>
      <c r="Q612" s="11">
        <f t="shared" si="624"/>
        <v>0</v>
      </c>
      <c r="R612" s="12"/>
      <c r="S612" s="9"/>
      <c r="T612" s="10"/>
      <c r="U612" s="11">
        <f t="shared" si="625"/>
        <v>0</v>
      </c>
      <c r="V612" s="11">
        <f t="shared" si="626"/>
        <v>0</v>
      </c>
    </row>
    <row r="613" spans="1:24" x14ac:dyDescent="0.15">
      <c r="A613" s="25" t="s">
        <v>14</v>
      </c>
      <c r="B613" s="13"/>
      <c r="C613" s="14"/>
      <c r="D613" s="53"/>
      <c r="E613" s="11">
        <f t="shared" si="627"/>
        <v>0</v>
      </c>
      <c r="F613" s="16"/>
      <c r="G613" s="14"/>
      <c r="H613" s="15"/>
      <c r="I613" s="11">
        <f t="shared" si="628"/>
        <v>0</v>
      </c>
      <c r="J613" s="11">
        <f t="shared" si="629"/>
        <v>0</v>
      </c>
      <c r="M613" s="25" t="s">
        <v>14</v>
      </c>
      <c r="N613" s="13"/>
      <c r="O613" s="14"/>
      <c r="P613" s="53"/>
      <c r="Q613" s="11">
        <f t="shared" si="624"/>
        <v>0</v>
      </c>
      <c r="R613" s="16"/>
      <c r="S613" s="14"/>
      <c r="T613" s="15"/>
      <c r="U613" s="11">
        <f t="shared" si="625"/>
        <v>0</v>
      </c>
      <c r="V613" s="11">
        <f t="shared" si="626"/>
        <v>0</v>
      </c>
    </row>
    <row r="614" spans="1:24" ht="14.25" thickBot="1" x14ac:dyDescent="0.2">
      <c r="A614" s="25" t="s">
        <v>15</v>
      </c>
      <c r="B614" s="13"/>
      <c r="C614" s="14"/>
      <c r="D614" s="53"/>
      <c r="E614" s="62">
        <f t="shared" si="627"/>
        <v>0</v>
      </c>
      <c r="F614" s="34"/>
      <c r="G614" s="34"/>
      <c r="H614" s="37"/>
      <c r="I614" s="62">
        <f t="shared" si="628"/>
        <v>0</v>
      </c>
      <c r="J614" s="21">
        <f t="shared" si="629"/>
        <v>0</v>
      </c>
      <c r="M614" s="25" t="s">
        <v>15</v>
      </c>
      <c r="N614" s="13"/>
      <c r="O614" s="14"/>
      <c r="P614" s="53"/>
      <c r="Q614" s="62">
        <f t="shared" si="624"/>
        <v>0</v>
      </c>
      <c r="R614" s="34"/>
      <c r="S614" s="34"/>
      <c r="T614" s="37"/>
      <c r="U614" s="62">
        <f t="shared" si="625"/>
        <v>0</v>
      </c>
      <c r="V614" s="21">
        <f t="shared" si="626"/>
        <v>0</v>
      </c>
    </row>
    <row r="615" spans="1:24" ht="14.25" thickBot="1" x14ac:dyDescent="0.2">
      <c r="A615" s="35" t="s">
        <v>16</v>
      </c>
      <c r="B615" s="28">
        <f>SUM(B606:B614)</f>
        <v>35</v>
      </c>
      <c r="C615" s="29">
        <f t="shared" ref="C615:D615" si="630">SUM(C606:C614)</f>
        <v>38</v>
      </c>
      <c r="D615" s="68">
        <f t="shared" si="630"/>
        <v>28</v>
      </c>
      <c r="E615" s="64">
        <f>SUM(B615:D615)</f>
        <v>101</v>
      </c>
      <c r="F615" s="28">
        <f>SUM(F606:F614)</f>
        <v>37</v>
      </c>
      <c r="G615" s="29">
        <f t="shared" ref="G615:H615" si="631">SUM(G606:G614)</f>
        <v>37</v>
      </c>
      <c r="H615" s="68">
        <f t="shared" si="631"/>
        <v>35</v>
      </c>
      <c r="I615" s="64">
        <f>SUM(F615:H615)</f>
        <v>109</v>
      </c>
      <c r="J615" s="31">
        <f>SUM(J607:J614)</f>
        <v>131</v>
      </c>
      <c r="M615" s="35" t="s">
        <v>16</v>
      </c>
      <c r="N615" s="28">
        <f>SUM(N606:N614)</f>
        <v>830</v>
      </c>
      <c r="O615" s="29">
        <f t="shared" ref="O615:P615" si="632">SUM(O606:O614)</f>
        <v>1040</v>
      </c>
      <c r="P615" s="68">
        <f t="shared" si="632"/>
        <v>895</v>
      </c>
      <c r="Q615" s="64">
        <f>SUM(N615:P615)</f>
        <v>2765</v>
      </c>
      <c r="R615" s="28">
        <f>SUM(R606:R614)</f>
        <v>973</v>
      </c>
      <c r="S615" s="29">
        <f t="shared" ref="S615:T615" si="633">SUM(S606:S614)</f>
        <v>1195</v>
      </c>
      <c r="T615" s="68">
        <f t="shared" si="633"/>
        <v>1033</v>
      </c>
      <c r="U615" s="64">
        <f>SUM(R615:T615)</f>
        <v>3201</v>
      </c>
      <c r="V615" s="31">
        <f>Q615+U615</f>
        <v>5966</v>
      </c>
    </row>
    <row r="616" spans="1:24" x14ac:dyDescent="0.15">
      <c r="A616" s="25" t="s">
        <v>33</v>
      </c>
      <c r="B616" s="65">
        <v>1</v>
      </c>
      <c r="C616" s="66"/>
      <c r="D616" s="67">
        <v>1</v>
      </c>
      <c r="E616" s="49">
        <f>SUM(B616:D616)</f>
        <v>2</v>
      </c>
      <c r="F616" s="16"/>
      <c r="G616" s="14"/>
      <c r="H616" s="15"/>
      <c r="I616" s="49">
        <f>SUM(F616:H616)</f>
        <v>0</v>
      </c>
      <c r="J616" s="11">
        <f>E616+I616</f>
        <v>2</v>
      </c>
      <c r="K616" s="71">
        <v>44722</v>
      </c>
      <c r="M616" s="26" t="s">
        <v>28</v>
      </c>
      <c r="N616" s="65">
        <v>5</v>
      </c>
      <c r="O616" s="66"/>
      <c r="P616" s="67"/>
      <c r="Q616" s="49">
        <f>SUM(N616:P616)</f>
        <v>5</v>
      </c>
      <c r="R616" s="16"/>
      <c r="S616" s="14"/>
      <c r="T616" s="15"/>
      <c r="U616" s="49">
        <f>SUM(R616:T616)</f>
        <v>0</v>
      </c>
      <c r="V616" s="11">
        <f>Q616+U616</f>
        <v>5</v>
      </c>
      <c r="W616" s="140">
        <v>44722</v>
      </c>
    </row>
    <row r="617" spans="1:24" x14ac:dyDescent="0.15">
      <c r="A617" s="25" t="s">
        <v>33</v>
      </c>
      <c r="B617" s="8">
        <f>1+2</f>
        <v>3</v>
      </c>
      <c r="C617" s="9">
        <v>2</v>
      </c>
      <c r="D617" s="10"/>
      <c r="E617" s="49">
        <f t="shared" ref="E617:E642" si="634">SUM(B617:D617)</f>
        <v>5</v>
      </c>
      <c r="F617" s="12">
        <f>2</f>
        <v>2</v>
      </c>
      <c r="G617" s="9">
        <v>2</v>
      </c>
      <c r="H617" s="10">
        <f>1+1</f>
        <v>2</v>
      </c>
      <c r="I617" s="49">
        <f t="shared" ref="I617:I642" si="635">SUM(F617:H617)</f>
        <v>6</v>
      </c>
      <c r="J617" s="11">
        <f t="shared" ref="J617:J641" si="636">E617+I617</f>
        <v>11</v>
      </c>
      <c r="K617" s="71">
        <v>44725</v>
      </c>
      <c r="M617" s="26" t="s">
        <v>28</v>
      </c>
      <c r="N617" s="8">
        <v>10</v>
      </c>
      <c r="O617" s="9">
        <v>15</v>
      </c>
      <c r="P617" s="10"/>
      <c r="Q617" s="49">
        <f>SUM(N617:P617)</f>
        <v>25</v>
      </c>
      <c r="R617" s="12">
        <v>10</v>
      </c>
      <c r="S617" s="9">
        <v>20</v>
      </c>
      <c r="T617" s="10"/>
      <c r="U617" s="49">
        <f>SUM(R617:T617)</f>
        <v>30</v>
      </c>
      <c r="V617" s="11">
        <f>Q617+U617</f>
        <v>55</v>
      </c>
      <c r="W617" s="140">
        <v>44729</v>
      </c>
      <c r="X617" s="82"/>
    </row>
    <row r="618" spans="1:24" x14ac:dyDescent="0.15">
      <c r="A618" s="25" t="s">
        <v>33</v>
      </c>
      <c r="B618" s="8">
        <v>1</v>
      </c>
      <c r="C618" s="9"/>
      <c r="D618" s="10"/>
      <c r="E618" s="49">
        <f t="shared" si="634"/>
        <v>1</v>
      </c>
      <c r="F618" s="12">
        <v>1</v>
      </c>
      <c r="G618" s="9"/>
      <c r="H618" s="10"/>
      <c r="I618" s="49">
        <f t="shared" si="635"/>
        <v>1</v>
      </c>
      <c r="J618" s="11">
        <f t="shared" si="636"/>
        <v>2</v>
      </c>
      <c r="K618" s="71">
        <v>44726</v>
      </c>
      <c r="M618" s="26" t="s">
        <v>28</v>
      </c>
      <c r="N618" s="8">
        <v>5</v>
      </c>
      <c r="O618" s="9">
        <v>5</v>
      </c>
      <c r="P618" s="10">
        <v>10</v>
      </c>
      <c r="Q618" s="49">
        <f t="shared" ref="Q618" si="637">SUM(N618:P618)</f>
        <v>20</v>
      </c>
      <c r="R618" s="12">
        <v>10</v>
      </c>
      <c r="S618" s="9">
        <v>10</v>
      </c>
      <c r="T618" s="10">
        <v>10</v>
      </c>
      <c r="U618" s="49">
        <f t="shared" ref="U618" si="638">SUM(R618:T618)</f>
        <v>30</v>
      </c>
      <c r="V618" s="11">
        <f t="shared" ref="V618" si="639">Q618+U618</f>
        <v>50</v>
      </c>
      <c r="W618" s="140">
        <v>44741</v>
      </c>
    </row>
    <row r="619" spans="1:24" x14ac:dyDescent="0.15">
      <c r="A619" s="25" t="s">
        <v>33</v>
      </c>
      <c r="B619" s="8"/>
      <c r="C619" s="9">
        <v>1</v>
      </c>
      <c r="D619" s="10"/>
      <c r="E619" s="49">
        <f t="shared" si="634"/>
        <v>1</v>
      </c>
      <c r="F619" s="12"/>
      <c r="G619" s="9">
        <v>1</v>
      </c>
      <c r="H619" s="10"/>
      <c r="I619" s="49">
        <f t="shared" si="635"/>
        <v>1</v>
      </c>
      <c r="J619" s="11">
        <f t="shared" si="636"/>
        <v>2</v>
      </c>
      <c r="K619" s="71">
        <v>44727</v>
      </c>
      <c r="M619" s="24" t="s">
        <v>359</v>
      </c>
      <c r="N619" s="8"/>
      <c r="O619" s="9">
        <v>5</v>
      </c>
      <c r="P619" s="10"/>
      <c r="Q619" s="49">
        <f t="shared" ref="Q619:Q642" si="640">SUM(N619:P619)</f>
        <v>5</v>
      </c>
      <c r="R619" s="12"/>
      <c r="S619" s="9">
        <v>5</v>
      </c>
      <c r="T619" s="10"/>
      <c r="U619" s="49">
        <f t="shared" ref="U619:U642" si="641">SUM(R619:T619)</f>
        <v>5</v>
      </c>
      <c r="V619" s="11">
        <f t="shared" ref="V619:V640" si="642">Q619+U619</f>
        <v>10</v>
      </c>
      <c r="W619" s="140">
        <v>44747</v>
      </c>
    </row>
    <row r="620" spans="1:24" x14ac:dyDescent="0.15">
      <c r="A620" s="25" t="s">
        <v>33</v>
      </c>
      <c r="B620" s="8">
        <v>1</v>
      </c>
      <c r="C620" s="9">
        <v>5</v>
      </c>
      <c r="D620" s="10">
        <v>1</v>
      </c>
      <c r="E620" s="49">
        <f t="shared" si="634"/>
        <v>7</v>
      </c>
      <c r="F620" s="12"/>
      <c r="G620" s="9">
        <v>4</v>
      </c>
      <c r="H620" s="10"/>
      <c r="I620" s="49">
        <f t="shared" si="635"/>
        <v>4</v>
      </c>
      <c r="J620" s="11">
        <f t="shared" si="636"/>
        <v>11</v>
      </c>
      <c r="K620" s="71">
        <v>44728</v>
      </c>
      <c r="M620" s="24" t="s">
        <v>361</v>
      </c>
      <c r="N620" s="8">
        <v>5</v>
      </c>
      <c r="O620" s="9"/>
      <c r="P620" s="10">
        <v>3</v>
      </c>
      <c r="Q620" s="49">
        <f t="shared" si="640"/>
        <v>8</v>
      </c>
      <c r="R620" s="12">
        <v>5</v>
      </c>
      <c r="S620" s="9"/>
      <c r="T620" s="10">
        <v>3</v>
      </c>
      <c r="U620" s="49">
        <f t="shared" si="641"/>
        <v>8</v>
      </c>
      <c r="V620" s="11">
        <f t="shared" si="642"/>
        <v>16</v>
      </c>
      <c r="W620" s="140">
        <v>44749</v>
      </c>
    </row>
    <row r="621" spans="1:24" x14ac:dyDescent="0.15">
      <c r="A621" s="25" t="s">
        <v>33</v>
      </c>
      <c r="B621" s="8"/>
      <c r="C621" s="9"/>
      <c r="D621" s="10"/>
      <c r="E621" s="49">
        <f t="shared" si="634"/>
        <v>0</v>
      </c>
      <c r="F621" s="12">
        <v>1</v>
      </c>
      <c r="G621" s="9"/>
      <c r="H621" s="10"/>
      <c r="I621" s="49">
        <f t="shared" si="635"/>
        <v>1</v>
      </c>
      <c r="J621" s="11">
        <f t="shared" si="636"/>
        <v>1</v>
      </c>
      <c r="K621" s="71">
        <v>44730</v>
      </c>
      <c r="M621" s="26" t="s">
        <v>28</v>
      </c>
      <c r="N621" s="8">
        <v>5</v>
      </c>
      <c r="O621" s="9">
        <v>5</v>
      </c>
      <c r="P621" s="10"/>
      <c r="Q621" s="49">
        <f t="shared" si="640"/>
        <v>10</v>
      </c>
      <c r="R621" s="12">
        <v>5</v>
      </c>
      <c r="S621" s="9"/>
      <c r="T621" s="10">
        <v>5</v>
      </c>
      <c r="U621" s="49">
        <f t="shared" si="641"/>
        <v>10</v>
      </c>
      <c r="V621" s="11">
        <f t="shared" si="642"/>
        <v>20</v>
      </c>
      <c r="W621" s="140">
        <v>44744</v>
      </c>
    </row>
    <row r="622" spans="1:24" x14ac:dyDescent="0.15">
      <c r="A622" s="25" t="s">
        <v>33</v>
      </c>
      <c r="B622" s="8"/>
      <c r="C622" s="9">
        <v>1</v>
      </c>
      <c r="D622" s="10">
        <v>1</v>
      </c>
      <c r="E622" s="49">
        <f t="shared" si="634"/>
        <v>2</v>
      </c>
      <c r="F622" s="12"/>
      <c r="G622" s="9">
        <v>1</v>
      </c>
      <c r="H622" s="10"/>
      <c r="I622" s="49">
        <f t="shared" si="635"/>
        <v>1</v>
      </c>
      <c r="J622" s="11">
        <f t="shared" si="636"/>
        <v>3</v>
      </c>
      <c r="K622" s="71">
        <v>44732</v>
      </c>
      <c r="M622" s="26"/>
      <c r="N622" s="8"/>
      <c r="O622" s="9"/>
      <c r="P622" s="10"/>
      <c r="Q622" s="49">
        <f t="shared" si="640"/>
        <v>0</v>
      </c>
      <c r="R622" s="12"/>
      <c r="S622" s="9"/>
      <c r="T622" s="10"/>
      <c r="U622" s="49">
        <f t="shared" si="641"/>
        <v>0</v>
      </c>
      <c r="V622" s="11">
        <f t="shared" si="642"/>
        <v>0</v>
      </c>
    </row>
    <row r="623" spans="1:24" x14ac:dyDescent="0.15">
      <c r="A623" s="25" t="s">
        <v>33</v>
      </c>
      <c r="B623" s="8"/>
      <c r="C623" s="9"/>
      <c r="D623" s="10"/>
      <c r="E623" s="49">
        <f t="shared" si="634"/>
        <v>0</v>
      </c>
      <c r="F623" s="12">
        <v>1</v>
      </c>
      <c r="G623" s="9"/>
      <c r="H623" s="10"/>
      <c r="I623" s="49">
        <f t="shared" si="635"/>
        <v>1</v>
      </c>
      <c r="J623" s="11">
        <f t="shared" si="636"/>
        <v>1</v>
      </c>
      <c r="K623" s="71">
        <v>44733</v>
      </c>
      <c r="M623" s="23"/>
      <c r="N623" s="8"/>
      <c r="O623" s="9"/>
      <c r="P623" s="10"/>
      <c r="Q623" s="49">
        <f t="shared" si="640"/>
        <v>0</v>
      </c>
      <c r="R623" s="12"/>
      <c r="S623" s="9"/>
      <c r="T623" s="10"/>
      <c r="U623" s="49">
        <f t="shared" si="641"/>
        <v>0</v>
      </c>
      <c r="V623" s="11">
        <f t="shared" si="642"/>
        <v>0</v>
      </c>
    </row>
    <row r="624" spans="1:24" x14ac:dyDescent="0.15">
      <c r="A624" s="26" t="s">
        <v>329</v>
      </c>
      <c r="B624" s="8"/>
      <c r="C624" s="9">
        <v>1</v>
      </c>
      <c r="D624" s="10"/>
      <c r="E624" s="49">
        <f t="shared" si="634"/>
        <v>1</v>
      </c>
      <c r="F624" s="12"/>
      <c r="G624" s="9">
        <v>1</v>
      </c>
      <c r="H624" s="10"/>
      <c r="I624" s="49">
        <f t="shared" si="635"/>
        <v>1</v>
      </c>
      <c r="J624" s="11">
        <f t="shared" si="636"/>
        <v>2</v>
      </c>
      <c r="K624" s="63">
        <v>44735</v>
      </c>
      <c r="M624" s="26"/>
      <c r="N624" s="8"/>
      <c r="O624" s="9"/>
      <c r="P624" s="10"/>
      <c r="Q624" s="49">
        <f t="shared" si="640"/>
        <v>0</v>
      </c>
      <c r="R624" s="12"/>
      <c r="S624" s="9"/>
      <c r="T624" s="10"/>
      <c r="U624" s="49">
        <f t="shared" si="641"/>
        <v>0</v>
      </c>
      <c r="V624" s="11">
        <f t="shared" si="642"/>
        <v>0</v>
      </c>
    </row>
    <row r="625" spans="1:23" x14ac:dyDescent="0.15">
      <c r="A625" s="25" t="s">
        <v>33</v>
      </c>
      <c r="B625" s="13">
        <v>1</v>
      </c>
      <c r="C625" s="14"/>
      <c r="D625" s="15">
        <v>1</v>
      </c>
      <c r="E625" s="49">
        <f t="shared" si="634"/>
        <v>2</v>
      </c>
      <c r="F625" s="16">
        <v>1</v>
      </c>
      <c r="G625" s="14">
        <v>1</v>
      </c>
      <c r="H625" s="15">
        <v>1</v>
      </c>
      <c r="I625" s="49">
        <f t="shared" si="635"/>
        <v>3</v>
      </c>
      <c r="J625" s="11">
        <f t="shared" si="636"/>
        <v>5</v>
      </c>
      <c r="K625" s="71">
        <v>44734</v>
      </c>
      <c r="M625" s="26"/>
      <c r="N625" s="13"/>
      <c r="O625" s="14"/>
      <c r="P625" s="15"/>
      <c r="Q625" s="49">
        <f t="shared" si="640"/>
        <v>0</v>
      </c>
      <c r="R625" s="16"/>
      <c r="S625" s="14"/>
      <c r="T625" s="15"/>
      <c r="U625" s="49">
        <f t="shared" si="641"/>
        <v>0</v>
      </c>
      <c r="V625" s="11">
        <f t="shared" si="642"/>
        <v>0</v>
      </c>
    </row>
    <row r="626" spans="1:23" x14ac:dyDescent="0.15">
      <c r="A626" s="25" t="s">
        <v>33</v>
      </c>
      <c r="B626" s="8"/>
      <c r="C626" s="9"/>
      <c r="D626" s="10">
        <v>2</v>
      </c>
      <c r="E626" s="49">
        <f t="shared" si="634"/>
        <v>2</v>
      </c>
      <c r="F626" s="12">
        <v>1</v>
      </c>
      <c r="G626" s="9"/>
      <c r="H626" s="10">
        <f>1+1</f>
        <v>2</v>
      </c>
      <c r="I626" s="49">
        <f t="shared" si="635"/>
        <v>3</v>
      </c>
      <c r="J626" s="11">
        <f t="shared" si="636"/>
        <v>5</v>
      </c>
      <c r="K626" s="71">
        <v>44735</v>
      </c>
      <c r="M626" s="26"/>
      <c r="N626" s="8"/>
      <c r="O626" s="9"/>
      <c r="P626" s="10"/>
      <c r="Q626" s="49">
        <f t="shared" si="640"/>
        <v>0</v>
      </c>
      <c r="R626" s="12"/>
      <c r="S626" s="9"/>
      <c r="T626" s="10"/>
      <c r="U626" s="49">
        <f t="shared" si="641"/>
        <v>0</v>
      </c>
      <c r="V626" s="11">
        <f t="shared" si="642"/>
        <v>0</v>
      </c>
    </row>
    <row r="627" spans="1:23" x14ac:dyDescent="0.15">
      <c r="A627" s="23" t="s">
        <v>351</v>
      </c>
      <c r="B627" s="8"/>
      <c r="C627" s="9">
        <v>2</v>
      </c>
      <c r="D627" s="10"/>
      <c r="E627" s="49">
        <f t="shared" si="634"/>
        <v>2</v>
      </c>
      <c r="F627" s="12">
        <v>1</v>
      </c>
      <c r="G627" s="9">
        <v>2</v>
      </c>
      <c r="H627" s="10">
        <v>1</v>
      </c>
      <c r="I627" s="49">
        <f t="shared" si="635"/>
        <v>4</v>
      </c>
      <c r="J627" s="11">
        <f t="shared" si="636"/>
        <v>6</v>
      </c>
      <c r="K627" s="63">
        <v>44739</v>
      </c>
      <c r="M627" s="102"/>
      <c r="N627" s="8"/>
      <c r="O627" s="9"/>
      <c r="P627" s="10"/>
      <c r="Q627" s="49">
        <f t="shared" si="640"/>
        <v>0</v>
      </c>
      <c r="R627" s="12"/>
      <c r="S627" s="9"/>
      <c r="T627" s="10"/>
      <c r="U627" s="49">
        <f t="shared" si="641"/>
        <v>0</v>
      </c>
      <c r="V627" s="11">
        <f t="shared" si="642"/>
        <v>0</v>
      </c>
    </row>
    <row r="628" spans="1:23" x14ac:dyDescent="0.15">
      <c r="A628" s="25" t="s">
        <v>33</v>
      </c>
      <c r="B628" s="8"/>
      <c r="C628" s="9">
        <v>1</v>
      </c>
      <c r="D628" s="10">
        <f>1+2</f>
        <v>3</v>
      </c>
      <c r="E628" s="49">
        <f t="shared" si="634"/>
        <v>4</v>
      </c>
      <c r="F628" s="12"/>
      <c r="G628" s="9">
        <v>1</v>
      </c>
      <c r="H628" s="10">
        <v>1</v>
      </c>
      <c r="I628" s="49">
        <f t="shared" si="635"/>
        <v>2</v>
      </c>
      <c r="J628" s="11">
        <f t="shared" si="636"/>
        <v>6</v>
      </c>
      <c r="K628" s="71">
        <v>44736</v>
      </c>
      <c r="M628" s="102"/>
      <c r="N628" s="8"/>
      <c r="O628" s="9"/>
      <c r="P628" s="10"/>
      <c r="Q628" s="49">
        <f t="shared" si="640"/>
        <v>0</v>
      </c>
      <c r="R628" s="12"/>
      <c r="S628" s="9"/>
      <c r="T628" s="10"/>
      <c r="U628" s="49">
        <f t="shared" si="641"/>
        <v>0</v>
      </c>
      <c r="V628" s="11">
        <f t="shared" si="642"/>
        <v>0</v>
      </c>
    </row>
    <row r="629" spans="1:23" x14ac:dyDescent="0.15">
      <c r="A629" s="23" t="s">
        <v>352</v>
      </c>
      <c r="B629" s="8"/>
      <c r="C629" s="9">
        <v>1</v>
      </c>
      <c r="D629" s="10"/>
      <c r="E629" s="49">
        <f t="shared" si="634"/>
        <v>1</v>
      </c>
      <c r="F629" s="12"/>
      <c r="G629" s="9"/>
      <c r="H629" s="10"/>
      <c r="I629" s="49">
        <f t="shared" si="635"/>
        <v>0</v>
      </c>
      <c r="J629" s="11">
        <f t="shared" si="636"/>
        <v>1</v>
      </c>
      <c r="K629" s="63">
        <v>44741</v>
      </c>
      <c r="L629" s="82"/>
      <c r="M629" s="102"/>
      <c r="N629" s="8"/>
      <c r="O629" s="9"/>
      <c r="P629" s="10"/>
      <c r="Q629" s="49">
        <f t="shared" si="640"/>
        <v>0</v>
      </c>
      <c r="R629" s="12"/>
      <c r="S629" s="9"/>
      <c r="T629" s="10"/>
      <c r="U629" s="49">
        <f t="shared" si="641"/>
        <v>0</v>
      </c>
      <c r="V629" s="11">
        <f t="shared" si="642"/>
        <v>0</v>
      </c>
    </row>
    <row r="630" spans="1:23" x14ac:dyDescent="0.15">
      <c r="A630" s="25" t="s">
        <v>33</v>
      </c>
      <c r="B630" s="8">
        <f>2+1+1</f>
        <v>4</v>
      </c>
      <c r="C630" s="9">
        <v>1</v>
      </c>
      <c r="D630" s="10"/>
      <c r="E630" s="11">
        <f t="shared" si="634"/>
        <v>5</v>
      </c>
      <c r="F630" s="12">
        <f>1+1+1</f>
        <v>3</v>
      </c>
      <c r="G630" s="9">
        <v>4</v>
      </c>
      <c r="H630" s="10">
        <v>4</v>
      </c>
      <c r="I630" s="11">
        <f t="shared" si="635"/>
        <v>11</v>
      </c>
      <c r="J630" s="11">
        <f t="shared" si="636"/>
        <v>16</v>
      </c>
      <c r="K630" s="71">
        <v>44739</v>
      </c>
      <c r="M630" s="26"/>
      <c r="N630" s="8"/>
      <c r="O630" s="9"/>
      <c r="P630" s="10"/>
      <c r="Q630" s="49">
        <f t="shared" si="640"/>
        <v>0</v>
      </c>
      <c r="R630" s="12"/>
      <c r="S630" s="9"/>
      <c r="T630" s="10"/>
      <c r="U630" s="49">
        <f t="shared" si="641"/>
        <v>0</v>
      </c>
      <c r="V630" s="11">
        <f t="shared" si="642"/>
        <v>0</v>
      </c>
    </row>
    <row r="631" spans="1:23" x14ac:dyDescent="0.15">
      <c r="A631" s="26" t="s">
        <v>329</v>
      </c>
      <c r="B631" s="17">
        <v>1</v>
      </c>
      <c r="C631" s="18"/>
      <c r="D631" s="19"/>
      <c r="E631" s="49">
        <f t="shared" si="634"/>
        <v>1</v>
      </c>
      <c r="F631" s="20">
        <v>1</v>
      </c>
      <c r="G631" s="18"/>
      <c r="H631" s="19"/>
      <c r="I631" s="49">
        <f t="shared" si="635"/>
        <v>1</v>
      </c>
      <c r="J631" s="11">
        <f t="shared" si="636"/>
        <v>2</v>
      </c>
      <c r="K631" s="63">
        <v>44741</v>
      </c>
      <c r="M631" s="26"/>
      <c r="N631" s="8"/>
      <c r="O631" s="9"/>
      <c r="P631" s="10"/>
      <c r="Q631" s="49">
        <f t="shared" si="640"/>
        <v>0</v>
      </c>
      <c r="R631" s="12"/>
      <c r="S631" s="9"/>
      <c r="T631" s="10"/>
      <c r="U631" s="49">
        <f t="shared" si="641"/>
        <v>0</v>
      </c>
      <c r="V631" s="11">
        <f t="shared" si="642"/>
        <v>0</v>
      </c>
    </row>
    <row r="632" spans="1:23" x14ac:dyDescent="0.15">
      <c r="A632" s="23" t="s">
        <v>357</v>
      </c>
      <c r="B632" s="8">
        <v>1</v>
      </c>
      <c r="C632" s="9">
        <v>1</v>
      </c>
      <c r="D632" s="10">
        <v>1</v>
      </c>
      <c r="E632" s="49">
        <f t="shared" si="634"/>
        <v>3</v>
      </c>
      <c r="F632" s="12">
        <v>2</v>
      </c>
      <c r="G632" s="9">
        <v>2</v>
      </c>
      <c r="H632" s="10">
        <v>1</v>
      </c>
      <c r="I632" s="49">
        <f t="shared" si="635"/>
        <v>5</v>
      </c>
      <c r="J632" s="11">
        <f t="shared" si="636"/>
        <v>8</v>
      </c>
      <c r="K632" s="63">
        <v>44741</v>
      </c>
      <c r="M632" s="26"/>
      <c r="N632" s="8"/>
      <c r="O632" s="9"/>
      <c r="P632" s="10"/>
      <c r="Q632" s="49">
        <f t="shared" si="640"/>
        <v>0</v>
      </c>
      <c r="R632" s="12"/>
      <c r="S632" s="9"/>
      <c r="T632" s="10"/>
      <c r="U632" s="49">
        <f t="shared" si="641"/>
        <v>0</v>
      </c>
      <c r="V632" s="11">
        <f t="shared" si="642"/>
        <v>0</v>
      </c>
    </row>
    <row r="633" spans="1:23" x14ac:dyDescent="0.15">
      <c r="A633" s="25" t="s">
        <v>33</v>
      </c>
      <c r="B633" s="8">
        <v>2</v>
      </c>
      <c r="C633" s="9">
        <v>2</v>
      </c>
      <c r="D633" s="10">
        <v>1</v>
      </c>
      <c r="E633" s="49">
        <f t="shared" si="634"/>
        <v>5</v>
      </c>
      <c r="F633" s="12"/>
      <c r="G633" s="9"/>
      <c r="H633" s="10">
        <v>2</v>
      </c>
      <c r="I633" s="49">
        <f t="shared" si="635"/>
        <v>2</v>
      </c>
      <c r="J633" s="11">
        <f t="shared" si="636"/>
        <v>7</v>
      </c>
      <c r="K633" s="71">
        <v>44740</v>
      </c>
      <c r="M633" s="24"/>
      <c r="N633" s="8"/>
      <c r="O633" s="9"/>
      <c r="P633" s="10"/>
      <c r="Q633" s="49">
        <f t="shared" si="640"/>
        <v>0</v>
      </c>
      <c r="R633" s="12"/>
      <c r="S633" s="9"/>
      <c r="T633" s="10"/>
      <c r="U633" s="49">
        <f t="shared" si="641"/>
        <v>0</v>
      </c>
      <c r="V633" s="11">
        <f t="shared" si="642"/>
        <v>0</v>
      </c>
    </row>
    <row r="634" spans="1:23" x14ac:dyDescent="0.15">
      <c r="A634" s="23" t="s">
        <v>358</v>
      </c>
      <c r="B634" s="8">
        <v>1</v>
      </c>
      <c r="C634" s="9"/>
      <c r="D634" s="10"/>
      <c r="E634" s="49">
        <f t="shared" si="634"/>
        <v>1</v>
      </c>
      <c r="F634" s="12">
        <v>1</v>
      </c>
      <c r="G634" s="9">
        <v>1</v>
      </c>
      <c r="H634" s="10">
        <v>1</v>
      </c>
      <c r="I634" s="49">
        <f t="shared" si="635"/>
        <v>3</v>
      </c>
      <c r="J634" s="11">
        <f t="shared" si="636"/>
        <v>4</v>
      </c>
      <c r="K634" s="63">
        <v>44742</v>
      </c>
      <c r="M634" s="26"/>
      <c r="N634" s="8"/>
      <c r="O634" s="9"/>
      <c r="P634" s="10"/>
      <c r="Q634" s="49">
        <f t="shared" si="640"/>
        <v>0</v>
      </c>
      <c r="R634" s="12"/>
      <c r="S634" s="9"/>
      <c r="T634" s="10"/>
      <c r="U634" s="49">
        <f t="shared" si="641"/>
        <v>0</v>
      </c>
      <c r="V634" s="11">
        <f t="shared" si="642"/>
        <v>0</v>
      </c>
    </row>
    <row r="635" spans="1:23" x14ac:dyDescent="0.15">
      <c r="A635" s="25" t="s">
        <v>33</v>
      </c>
      <c r="B635" s="8">
        <f>2+1</f>
        <v>3</v>
      </c>
      <c r="C635" s="9">
        <v>1</v>
      </c>
      <c r="D635" s="10"/>
      <c r="E635" s="49">
        <f t="shared" si="634"/>
        <v>4</v>
      </c>
      <c r="F635" s="12">
        <f>2+1</f>
        <v>3</v>
      </c>
      <c r="G635" s="9">
        <v>1</v>
      </c>
      <c r="H635" s="10"/>
      <c r="I635" s="49">
        <f t="shared" si="635"/>
        <v>4</v>
      </c>
      <c r="J635" s="11">
        <f t="shared" si="636"/>
        <v>8</v>
      </c>
      <c r="K635" s="71">
        <v>44741</v>
      </c>
      <c r="M635" s="24"/>
      <c r="N635" s="8"/>
      <c r="O635" s="9"/>
      <c r="P635" s="10"/>
      <c r="Q635" s="49">
        <f t="shared" si="640"/>
        <v>0</v>
      </c>
      <c r="R635" s="8"/>
      <c r="S635" s="9"/>
      <c r="T635" s="10"/>
      <c r="U635" s="49">
        <f t="shared" si="641"/>
        <v>0</v>
      </c>
      <c r="V635" s="11">
        <f t="shared" si="642"/>
        <v>0</v>
      </c>
      <c r="W635" s="142"/>
    </row>
    <row r="636" spans="1:23" x14ac:dyDescent="0.15">
      <c r="A636" s="25" t="s">
        <v>33</v>
      </c>
      <c r="B636" s="8"/>
      <c r="C636" s="9"/>
      <c r="D636" s="10"/>
      <c r="E636" s="49">
        <f t="shared" si="634"/>
        <v>0</v>
      </c>
      <c r="F636" s="12"/>
      <c r="G636" s="9">
        <v>1</v>
      </c>
      <c r="H636" s="10">
        <v>1</v>
      </c>
      <c r="I636" s="49">
        <f t="shared" si="635"/>
        <v>2</v>
      </c>
      <c r="J636" s="11">
        <f t="shared" si="636"/>
        <v>2</v>
      </c>
      <c r="K636" s="71">
        <v>44742</v>
      </c>
      <c r="M636" s="26"/>
      <c r="N636" s="8"/>
      <c r="O636" s="9"/>
      <c r="P636" s="10"/>
      <c r="Q636" s="49">
        <f t="shared" si="640"/>
        <v>0</v>
      </c>
      <c r="R636" s="12"/>
      <c r="S636" s="9"/>
      <c r="T636" s="10"/>
      <c r="U636" s="49">
        <f t="shared" si="641"/>
        <v>0</v>
      </c>
      <c r="V636" s="11">
        <f t="shared" si="642"/>
        <v>0</v>
      </c>
      <c r="W636" s="142"/>
    </row>
    <row r="637" spans="1:23" x14ac:dyDescent="0.15">
      <c r="A637" s="23" t="s">
        <v>360</v>
      </c>
      <c r="B637" s="13"/>
      <c r="C637" s="14">
        <v>2</v>
      </c>
      <c r="D637" s="15">
        <v>1</v>
      </c>
      <c r="E637" s="49">
        <f t="shared" si="634"/>
        <v>3</v>
      </c>
      <c r="F637" s="16"/>
      <c r="G637" s="14">
        <v>1</v>
      </c>
      <c r="H637" s="15">
        <v>2</v>
      </c>
      <c r="I637" s="49">
        <f t="shared" si="635"/>
        <v>3</v>
      </c>
      <c r="J637" s="11">
        <f t="shared" si="636"/>
        <v>6</v>
      </c>
      <c r="K637" s="63">
        <v>44746</v>
      </c>
      <c r="M637" s="23"/>
      <c r="N637" s="8"/>
      <c r="O637" s="9"/>
      <c r="P637" s="10"/>
      <c r="Q637" s="49">
        <f t="shared" si="640"/>
        <v>0</v>
      </c>
      <c r="R637" s="12"/>
      <c r="S637" s="9"/>
      <c r="T637" s="10"/>
      <c r="U637" s="49">
        <f t="shared" si="641"/>
        <v>0</v>
      </c>
      <c r="V637" s="11">
        <f t="shared" si="642"/>
        <v>0</v>
      </c>
      <c r="W637" s="142"/>
    </row>
    <row r="638" spans="1:23" x14ac:dyDescent="0.15">
      <c r="A638" s="25" t="s">
        <v>33</v>
      </c>
      <c r="B638" s="8">
        <v>1</v>
      </c>
      <c r="C638" s="9">
        <v>1</v>
      </c>
      <c r="D638" s="10"/>
      <c r="E638" s="49">
        <f t="shared" si="634"/>
        <v>2</v>
      </c>
      <c r="F638" s="12">
        <f>1+1</f>
        <v>2</v>
      </c>
      <c r="G638" s="9"/>
      <c r="H638" s="10">
        <v>2</v>
      </c>
      <c r="I638" s="49">
        <f t="shared" si="635"/>
        <v>4</v>
      </c>
      <c r="J638" s="11">
        <f t="shared" si="636"/>
        <v>6</v>
      </c>
      <c r="K638" s="63">
        <v>44743</v>
      </c>
      <c r="M638" s="24"/>
      <c r="N638" s="8"/>
      <c r="O638" s="9"/>
      <c r="P638" s="10"/>
      <c r="Q638" s="49">
        <f t="shared" si="640"/>
        <v>0</v>
      </c>
      <c r="R638" s="12"/>
      <c r="S638" s="9"/>
      <c r="T638" s="10"/>
      <c r="U638" s="49">
        <f t="shared" si="641"/>
        <v>0</v>
      </c>
      <c r="V638" s="11">
        <f t="shared" si="642"/>
        <v>0</v>
      </c>
      <c r="W638" s="142"/>
    </row>
    <row r="639" spans="1:23" x14ac:dyDescent="0.15">
      <c r="A639" s="25" t="s">
        <v>33</v>
      </c>
      <c r="B639" s="8"/>
      <c r="C639" s="9"/>
      <c r="D639" s="10">
        <v>2</v>
      </c>
      <c r="E639" s="49">
        <f t="shared" si="634"/>
        <v>2</v>
      </c>
      <c r="F639" s="12"/>
      <c r="G639" s="9">
        <v>1</v>
      </c>
      <c r="H639" s="10"/>
      <c r="I639" s="49">
        <f t="shared" si="635"/>
        <v>1</v>
      </c>
      <c r="J639" s="11">
        <f t="shared" si="636"/>
        <v>3</v>
      </c>
      <c r="K639" s="63">
        <v>44744</v>
      </c>
      <c r="M639" s="26"/>
      <c r="N639" s="8"/>
      <c r="O639" s="9"/>
      <c r="P639" s="10"/>
      <c r="Q639" s="49">
        <f t="shared" si="640"/>
        <v>0</v>
      </c>
      <c r="R639" s="12"/>
      <c r="S639" s="9"/>
      <c r="T639" s="10"/>
      <c r="U639" s="49">
        <f t="shared" si="641"/>
        <v>0</v>
      </c>
      <c r="V639" s="11">
        <f t="shared" si="642"/>
        <v>0</v>
      </c>
      <c r="W639" s="142"/>
    </row>
    <row r="640" spans="1:23" x14ac:dyDescent="0.15">
      <c r="A640" s="25" t="s">
        <v>33</v>
      </c>
      <c r="B640" s="8">
        <f>2+1</f>
        <v>3</v>
      </c>
      <c r="C640" s="9">
        <f>1+2</f>
        <v>3</v>
      </c>
      <c r="D640" s="10"/>
      <c r="E640" s="49">
        <f t="shared" si="634"/>
        <v>6</v>
      </c>
      <c r="F640" s="12">
        <v>2</v>
      </c>
      <c r="G640" s="9">
        <f>1+2</f>
        <v>3</v>
      </c>
      <c r="H640" s="10">
        <v>1</v>
      </c>
      <c r="I640" s="49">
        <f t="shared" si="635"/>
        <v>6</v>
      </c>
      <c r="J640" s="11">
        <f t="shared" si="636"/>
        <v>12</v>
      </c>
      <c r="K640" s="63">
        <v>44746</v>
      </c>
      <c r="M640" s="26"/>
      <c r="N640" s="8"/>
      <c r="O640" s="9"/>
      <c r="P640" s="10"/>
      <c r="Q640" s="49">
        <f t="shared" si="640"/>
        <v>0</v>
      </c>
      <c r="R640" s="12"/>
      <c r="S640" s="9"/>
      <c r="T640" s="10"/>
      <c r="U640" s="49">
        <f t="shared" si="641"/>
        <v>0</v>
      </c>
      <c r="V640" s="11">
        <f t="shared" si="642"/>
        <v>0</v>
      </c>
      <c r="W640" s="142"/>
    </row>
    <row r="641" spans="1:23" ht="14.25" thickBot="1" x14ac:dyDescent="0.2">
      <c r="A641" s="23" t="s">
        <v>362</v>
      </c>
      <c r="B641" s="13"/>
      <c r="C641" s="14"/>
      <c r="D641" s="15"/>
      <c r="E641" s="55">
        <f t="shared" si="634"/>
        <v>0</v>
      </c>
      <c r="F641" s="16"/>
      <c r="G641" s="14"/>
      <c r="H641" s="15">
        <v>1</v>
      </c>
      <c r="I641" s="55">
        <f t="shared" si="635"/>
        <v>1</v>
      </c>
      <c r="J641" s="11">
        <f t="shared" si="636"/>
        <v>1</v>
      </c>
      <c r="K641" s="63">
        <v>44748</v>
      </c>
      <c r="M641" s="24"/>
      <c r="N641" s="8"/>
      <c r="O641" s="9"/>
      <c r="P641" s="10"/>
      <c r="Q641" s="49">
        <f t="shared" ref="Q641" si="643">SUM(N641:P641)</f>
        <v>0</v>
      </c>
      <c r="R641" s="12"/>
      <c r="S641" s="9"/>
      <c r="T641" s="10"/>
      <c r="U641" s="49">
        <f t="shared" ref="U641" si="644">SUM(R641:T641)</f>
        <v>0</v>
      </c>
      <c r="V641" s="11">
        <f t="shared" ref="V641" si="645">Q641+U641</f>
        <v>0</v>
      </c>
      <c r="W641" s="142"/>
    </row>
    <row r="642" spans="1:23" ht="14.25" thickBot="1" x14ac:dyDescent="0.2">
      <c r="A642" s="41" t="s">
        <v>19</v>
      </c>
      <c r="B642" s="46">
        <f>SUM(B616:B641)</f>
        <v>23</v>
      </c>
      <c r="C642" s="47">
        <f t="shared" ref="C642:D642" si="646">SUM(C616:C641)</f>
        <v>25</v>
      </c>
      <c r="D642" s="59">
        <f t="shared" si="646"/>
        <v>14</v>
      </c>
      <c r="E642" s="45">
        <f t="shared" si="634"/>
        <v>62</v>
      </c>
      <c r="F642" s="46">
        <f>SUM(F616:F641)</f>
        <v>22</v>
      </c>
      <c r="G642" s="47">
        <f t="shared" ref="G642:H642" si="647">SUM(G616:G641)</f>
        <v>27</v>
      </c>
      <c r="H642" s="59">
        <f t="shared" si="647"/>
        <v>22</v>
      </c>
      <c r="I642" s="45">
        <f t="shared" si="635"/>
        <v>71</v>
      </c>
      <c r="J642" s="45">
        <f>E642+I642</f>
        <v>133</v>
      </c>
      <c r="M642" s="41" t="s">
        <v>19</v>
      </c>
      <c r="N642" s="46">
        <f>SUM(N616:N641)</f>
        <v>30</v>
      </c>
      <c r="O642" s="47">
        <f t="shared" ref="O642:P642" si="648">SUM(O616:O641)</f>
        <v>30</v>
      </c>
      <c r="P642" s="59">
        <f t="shared" si="648"/>
        <v>13</v>
      </c>
      <c r="Q642" s="45">
        <f t="shared" si="640"/>
        <v>73</v>
      </c>
      <c r="R642" s="46">
        <f>SUM(R616:R641)</f>
        <v>30</v>
      </c>
      <c r="S642" s="47">
        <f t="shared" ref="S642:T642" si="649">SUM(S616:S641)</f>
        <v>35</v>
      </c>
      <c r="T642" s="59">
        <f t="shared" si="649"/>
        <v>18</v>
      </c>
      <c r="U642" s="45">
        <f t="shared" si="641"/>
        <v>83</v>
      </c>
      <c r="V642" s="45">
        <f>Q642+U642</f>
        <v>156</v>
      </c>
    </row>
    <row r="643" spans="1:23" ht="14.25" thickBot="1" x14ac:dyDescent="0.2">
      <c r="A643" s="22" t="s">
        <v>17</v>
      </c>
      <c r="B643" s="50">
        <f>B615-B642</f>
        <v>12</v>
      </c>
      <c r="C643" s="57">
        <f t="shared" ref="C643:D643" si="650">C615-C642</f>
        <v>13</v>
      </c>
      <c r="D643" s="58">
        <f t="shared" si="650"/>
        <v>14</v>
      </c>
      <c r="E643" s="56">
        <f>SUM(B643:D643)</f>
        <v>39</v>
      </c>
      <c r="F643" s="50">
        <f>F615-F642</f>
        <v>15</v>
      </c>
      <c r="G643" s="57">
        <f t="shared" ref="G643:H643" si="651">G615-G642</f>
        <v>10</v>
      </c>
      <c r="H643" s="58">
        <f t="shared" si="651"/>
        <v>13</v>
      </c>
      <c r="I643" s="56">
        <f>SUM(F643:H643)</f>
        <v>38</v>
      </c>
      <c r="J643" s="31">
        <f>E643+I643</f>
        <v>77</v>
      </c>
      <c r="M643" s="22" t="s">
        <v>17</v>
      </c>
      <c r="N643" s="50">
        <f>N615-N642</f>
        <v>800</v>
      </c>
      <c r="O643" s="57">
        <f t="shared" ref="O643:P643" si="652">O615-O642</f>
        <v>1010</v>
      </c>
      <c r="P643" s="58">
        <f t="shared" si="652"/>
        <v>882</v>
      </c>
      <c r="Q643" s="56">
        <f>SUM(N643:P643)</f>
        <v>2692</v>
      </c>
      <c r="R643" s="50">
        <f>R615-R642</f>
        <v>943</v>
      </c>
      <c r="S643" s="57">
        <f t="shared" ref="S643:T643" si="653">S615-S642</f>
        <v>1160</v>
      </c>
      <c r="T643" s="58">
        <f t="shared" si="653"/>
        <v>1015</v>
      </c>
      <c r="U643" s="56">
        <f>SUM(R643:T643)</f>
        <v>3118</v>
      </c>
      <c r="V643" s="31">
        <f>Q643+U643</f>
        <v>5810</v>
      </c>
    </row>
    <row r="646" spans="1:23" ht="19.5" thickBot="1" x14ac:dyDescent="0.25">
      <c r="A646" s="3" t="s">
        <v>21</v>
      </c>
      <c r="B646" s="1"/>
      <c r="C646" s="1"/>
      <c r="D646" s="1"/>
      <c r="E646" s="1"/>
      <c r="F646" s="1"/>
      <c r="G646" s="1"/>
      <c r="H646" s="1"/>
      <c r="I646" s="1"/>
      <c r="J646" s="1"/>
      <c r="M646" s="3" t="s">
        <v>22</v>
      </c>
      <c r="N646" s="1"/>
      <c r="O646" s="1"/>
      <c r="P646" s="1"/>
      <c r="Q646" s="1"/>
      <c r="R646" s="1"/>
      <c r="S646" s="1"/>
      <c r="T646" s="1"/>
      <c r="U646" s="1"/>
      <c r="V646" s="1"/>
    </row>
    <row r="647" spans="1:23" ht="14.25" thickBot="1" x14ac:dyDescent="0.2">
      <c r="A647" s="7" t="s">
        <v>0</v>
      </c>
      <c r="B647" s="165" t="s">
        <v>24</v>
      </c>
      <c r="C647" s="166"/>
      <c r="D647" s="166"/>
      <c r="E647" s="170"/>
      <c r="F647" s="165" t="s">
        <v>18</v>
      </c>
      <c r="G647" s="166"/>
      <c r="H647" s="166"/>
      <c r="I647" s="167"/>
      <c r="J647" s="168" t="s">
        <v>1</v>
      </c>
      <c r="M647" s="7" t="s">
        <v>0</v>
      </c>
      <c r="N647" s="165" t="s">
        <v>24</v>
      </c>
      <c r="O647" s="166"/>
      <c r="P647" s="166"/>
      <c r="Q647" s="170"/>
      <c r="R647" s="165" t="s">
        <v>18</v>
      </c>
      <c r="S647" s="166"/>
      <c r="T647" s="166"/>
      <c r="U647" s="167"/>
      <c r="V647" s="168" t="s">
        <v>1</v>
      </c>
    </row>
    <row r="648" spans="1:23" ht="14.25" thickBot="1" x14ac:dyDescent="0.2">
      <c r="A648" s="7" t="s">
        <v>2</v>
      </c>
      <c r="B648" s="4" t="s">
        <v>3</v>
      </c>
      <c r="C648" s="5" t="s">
        <v>4</v>
      </c>
      <c r="D648" s="6" t="s">
        <v>5</v>
      </c>
      <c r="E648" s="7" t="s">
        <v>6</v>
      </c>
      <c r="F648" s="4" t="s">
        <v>3</v>
      </c>
      <c r="G648" s="5" t="s">
        <v>4</v>
      </c>
      <c r="H648" s="6" t="s">
        <v>5</v>
      </c>
      <c r="I648" s="7" t="s">
        <v>6</v>
      </c>
      <c r="J648" s="169"/>
      <c r="M648" s="7" t="s">
        <v>2</v>
      </c>
      <c r="N648" s="4" t="s">
        <v>3</v>
      </c>
      <c r="O648" s="5" t="s">
        <v>4</v>
      </c>
      <c r="P648" s="6" t="s">
        <v>5</v>
      </c>
      <c r="Q648" s="7" t="s">
        <v>6</v>
      </c>
      <c r="R648" s="4" t="s">
        <v>3</v>
      </c>
      <c r="S648" s="5" t="s">
        <v>4</v>
      </c>
      <c r="T648" s="6" t="s">
        <v>5</v>
      </c>
      <c r="U648" s="7" t="s">
        <v>6</v>
      </c>
      <c r="V648" s="169"/>
    </row>
    <row r="649" spans="1:23" ht="14.25" thickBot="1" x14ac:dyDescent="0.2">
      <c r="A649" s="27" t="s">
        <v>20</v>
      </c>
      <c r="B649" s="38">
        <f>B643</f>
        <v>12</v>
      </c>
      <c r="C649" s="39">
        <f>C643</f>
        <v>13</v>
      </c>
      <c r="D649" s="2">
        <f>D643</f>
        <v>14</v>
      </c>
      <c r="E649" s="36">
        <f>SUM(B649:D649)</f>
        <v>39</v>
      </c>
      <c r="F649" s="38">
        <f>F643</f>
        <v>15</v>
      </c>
      <c r="G649" s="39">
        <f>G643</f>
        <v>10</v>
      </c>
      <c r="H649" s="2">
        <f>H643</f>
        <v>13</v>
      </c>
      <c r="I649" s="36">
        <f>SUM(F649:H649)</f>
        <v>38</v>
      </c>
      <c r="J649" s="36">
        <f>E649+I649</f>
        <v>77</v>
      </c>
      <c r="M649" s="27" t="s">
        <v>20</v>
      </c>
      <c r="N649" s="38">
        <f>N643</f>
        <v>800</v>
      </c>
      <c r="O649" s="39">
        <f>O643</f>
        <v>1010</v>
      </c>
      <c r="P649" s="2">
        <f>P643</f>
        <v>882</v>
      </c>
      <c r="Q649" s="36">
        <f>SUM(N649:P649)</f>
        <v>2692</v>
      </c>
      <c r="R649" s="38">
        <f>R643</f>
        <v>943</v>
      </c>
      <c r="S649" s="39">
        <f>S643</f>
        <v>1160</v>
      </c>
      <c r="T649" s="2">
        <f>T643</f>
        <v>1015</v>
      </c>
      <c r="U649" s="36">
        <f>SUM(R649:T649)</f>
        <v>3118</v>
      </c>
      <c r="V649" s="36">
        <f>Q649+U649</f>
        <v>5810</v>
      </c>
    </row>
    <row r="650" spans="1:23" x14ac:dyDescent="0.15">
      <c r="A650" s="25" t="s">
        <v>8</v>
      </c>
      <c r="B650" s="42">
        <v>10</v>
      </c>
      <c r="C650" s="43">
        <v>5</v>
      </c>
      <c r="D650" s="44"/>
      <c r="E650" s="48">
        <f>SUM(B650:D650)</f>
        <v>15</v>
      </c>
      <c r="F650" s="60"/>
      <c r="G650" s="43">
        <v>10</v>
      </c>
      <c r="H650" s="61"/>
      <c r="I650" s="48">
        <f>SUM(F650:H650)</f>
        <v>10</v>
      </c>
      <c r="J650" s="48">
        <f>E650+I650</f>
        <v>25</v>
      </c>
      <c r="K650" s="63">
        <v>44749</v>
      </c>
      <c r="M650" s="25" t="s">
        <v>8</v>
      </c>
      <c r="N650" s="42"/>
      <c r="O650" s="43"/>
      <c r="P650" s="44"/>
      <c r="Q650" s="48">
        <f>SUM(N650:P650)</f>
        <v>0</v>
      </c>
      <c r="R650" s="60"/>
      <c r="S650" s="43"/>
      <c r="T650" s="61"/>
      <c r="U650" s="48">
        <f>SUM(R650:T650)</f>
        <v>0</v>
      </c>
      <c r="V650" s="48">
        <f>Q650+U650</f>
        <v>0</v>
      </c>
    </row>
    <row r="651" spans="1:23" x14ac:dyDescent="0.15">
      <c r="A651" s="25" t="s">
        <v>367</v>
      </c>
      <c r="B651" s="8"/>
      <c r="C651" s="9">
        <v>1</v>
      </c>
      <c r="D651" s="52"/>
      <c r="E651" s="11">
        <f>SUM(B651:D651)</f>
        <v>1</v>
      </c>
      <c r="F651" s="12"/>
      <c r="G651" s="9">
        <v>1</v>
      </c>
      <c r="H651" s="10"/>
      <c r="I651" s="11">
        <f>SUM(F651:H651)</f>
        <v>1</v>
      </c>
      <c r="J651" s="11">
        <f>E651+I651</f>
        <v>2</v>
      </c>
      <c r="K651" s="63">
        <v>44750</v>
      </c>
      <c r="M651" s="25" t="s">
        <v>9</v>
      </c>
      <c r="N651" s="8"/>
      <c r="O651" s="9"/>
      <c r="P651" s="52"/>
      <c r="Q651" s="11">
        <f t="shared" ref="Q651:Q657" si="654">SUM(N651:P651)</f>
        <v>0</v>
      </c>
      <c r="R651" s="12"/>
      <c r="S651" s="9"/>
      <c r="T651" s="10"/>
      <c r="U651" s="11">
        <f t="shared" ref="U651:U657" si="655">SUM(R651:T651)</f>
        <v>0</v>
      </c>
      <c r="V651" s="11">
        <f t="shared" ref="V651:V657" si="656">Q651+U651</f>
        <v>0</v>
      </c>
    </row>
    <row r="652" spans="1:23" x14ac:dyDescent="0.15">
      <c r="A652" s="25" t="s">
        <v>10</v>
      </c>
      <c r="B652" s="17">
        <v>10</v>
      </c>
      <c r="C652" s="18">
        <v>10</v>
      </c>
      <c r="D652" s="51">
        <v>10</v>
      </c>
      <c r="E652" s="11">
        <f t="shared" ref="E652:E657" si="657">SUM(B652:D652)</f>
        <v>30</v>
      </c>
      <c r="F652" s="20">
        <v>10</v>
      </c>
      <c r="G652" s="18">
        <v>10</v>
      </c>
      <c r="H652" s="19">
        <v>10</v>
      </c>
      <c r="I652" s="11">
        <f t="shared" ref="I652:I657" si="658">SUM(F652:H652)</f>
        <v>30</v>
      </c>
      <c r="J652" s="11">
        <f t="shared" ref="J652:J657" si="659">E652+I652</f>
        <v>60</v>
      </c>
      <c r="K652" s="63">
        <v>44755</v>
      </c>
      <c r="M652" s="25" t="s">
        <v>10</v>
      </c>
      <c r="N652" s="17"/>
      <c r="O652" s="18"/>
      <c r="P652" s="51"/>
      <c r="Q652" s="49">
        <f t="shared" si="654"/>
        <v>0</v>
      </c>
      <c r="R652" s="20"/>
      <c r="S652" s="18"/>
      <c r="T652" s="19"/>
      <c r="U652" s="49">
        <f t="shared" si="655"/>
        <v>0</v>
      </c>
      <c r="V652" s="49">
        <f t="shared" si="656"/>
        <v>0</v>
      </c>
    </row>
    <row r="653" spans="1:23" x14ac:dyDescent="0.15">
      <c r="A653" s="25" t="s">
        <v>137</v>
      </c>
      <c r="B653" s="8">
        <v>4</v>
      </c>
      <c r="C653" s="9">
        <v>6</v>
      </c>
      <c r="D653" s="52">
        <v>2</v>
      </c>
      <c r="E653" s="11">
        <f t="shared" si="657"/>
        <v>12</v>
      </c>
      <c r="F653" s="12">
        <v>4</v>
      </c>
      <c r="G653" s="9">
        <v>1</v>
      </c>
      <c r="H653" s="10">
        <v>3</v>
      </c>
      <c r="I653" s="11">
        <f t="shared" si="658"/>
        <v>8</v>
      </c>
      <c r="J653" s="11">
        <f t="shared" si="659"/>
        <v>20</v>
      </c>
      <c r="K653" s="71">
        <v>44755</v>
      </c>
      <c r="M653" s="25" t="s">
        <v>11</v>
      </c>
      <c r="N653" s="8"/>
      <c r="O653" s="9"/>
      <c r="P653" s="52"/>
      <c r="Q653" s="11">
        <f t="shared" si="654"/>
        <v>0</v>
      </c>
      <c r="R653" s="12"/>
      <c r="S653" s="9"/>
      <c r="T653" s="10"/>
      <c r="U653" s="11">
        <f t="shared" si="655"/>
        <v>0</v>
      </c>
      <c r="V653" s="11">
        <f t="shared" si="656"/>
        <v>0</v>
      </c>
    </row>
    <row r="654" spans="1:23" x14ac:dyDescent="0.15">
      <c r="A654" s="23" t="s">
        <v>370</v>
      </c>
      <c r="B654" s="8"/>
      <c r="C654" s="9"/>
      <c r="D654" s="10"/>
      <c r="E654" s="49">
        <f t="shared" si="657"/>
        <v>0</v>
      </c>
      <c r="F654" s="12">
        <v>1</v>
      </c>
      <c r="G654" s="9"/>
      <c r="H654" s="10"/>
      <c r="I654" s="49">
        <f t="shared" si="658"/>
        <v>1</v>
      </c>
      <c r="J654" s="11">
        <f t="shared" si="659"/>
        <v>1</v>
      </c>
      <c r="K654" s="71">
        <v>44758</v>
      </c>
      <c r="M654" s="25" t="s">
        <v>12</v>
      </c>
      <c r="N654" s="8"/>
      <c r="O654" s="9"/>
      <c r="P654" s="52"/>
      <c r="Q654" s="11">
        <f t="shared" si="654"/>
        <v>0</v>
      </c>
      <c r="R654" s="12"/>
      <c r="S654" s="9"/>
      <c r="T654" s="10"/>
      <c r="U654" s="11">
        <f t="shared" si="655"/>
        <v>0</v>
      </c>
      <c r="V654" s="11">
        <f t="shared" si="656"/>
        <v>0</v>
      </c>
    </row>
    <row r="655" spans="1:23" x14ac:dyDescent="0.15">
      <c r="A655" s="25" t="s">
        <v>13</v>
      </c>
      <c r="B655" s="8"/>
      <c r="C655" s="9"/>
      <c r="D655" s="52"/>
      <c r="E655" s="11">
        <f t="shared" si="657"/>
        <v>0</v>
      </c>
      <c r="F655" s="12"/>
      <c r="G655" s="9">
        <v>10</v>
      </c>
      <c r="H655" s="10"/>
      <c r="I655" s="11">
        <f t="shared" si="658"/>
        <v>10</v>
      </c>
      <c r="J655" s="11">
        <f t="shared" si="659"/>
        <v>10</v>
      </c>
      <c r="K655" s="63">
        <v>44762</v>
      </c>
      <c r="M655" s="25" t="s">
        <v>13</v>
      </c>
      <c r="N655" s="8"/>
      <c r="O655" s="9"/>
      <c r="P655" s="52"/>
      <c r="Q655" s="11">
        <f t="shared" si="654"/>
        <v>0</v>
      </c>
      <c r="R655" s="12"/>
      <c r="S655" s="9"/>
      <c r="T655" s="10"/>
      <c r="U655" s="11">
        <f t="shared" si="655"/>
        <v>0</v>
      </c>
      <c r="V655" s="11">
        <f t="shared" si="656"/>
        <v>0</v>
      </c>
    </row>
    <row r="656" spans="1:23" x14ac:dyDescent="0.15">
      <c r="A656" s="25" t="s">
        <v>14</v>
      </c>
      <c r="B656" s="13">
        <v>5</v>
      </c>
      <c r="C656" s="14">
        <v>5</v>
      </c>
      <c r="D656" s="53">
        <v>5</v>
      </c>
      <c r="E656" s="11">
        <f t="shared" si="657"/>
        <v>15</v>
      </c>
      <c r="F656" s="16">
        <v>10</v>
      </c>
      <c r="G656" s="14"/>
      <c r="H656" s="15">
        <v>5</v>
      </c>
      <c r="I656" s="11">
        <f t="shared" si="658"/>
        <v>15</v>
      </c>
      <c r="J656" s="11">
        <f t="shared" si="659"/>
        <v>30</v>
      </c>
      <c r="K656" s="63">
        <v>44768</v>
      </c>
      <c r="M656" s="25" t="s">
        <v>14</v>
      </c>
      <c r="N656" s="13"/>
      <c r="O656" s="14"/>
      <c r="P656" s="53"/>
      <c r="Q656" s="11">
        <f t="shared" si="654"/>
        <v>0</v>
      </c>
      <c r="R656" s="16"/>
      <c r="S656" s="14"/>
      <c r="T656" s="15"/>
      <c r="U656" s="11">
        <f t="shared" si="655"/>
        <v>0</v>
      </c>
      <c r="V656" s="11">
        <f t="shared" si="656"/>
        <v>0</v>
      </c>
    </row>
    <row r="657" spans="1:25" ht="14.25" thickBot="1" x14ac:dyDescent="0.2">
      <c r="A657" s="25" t="s">
        <v>373</v>
      </c>
      <c r="B657" s="13">
        <v>1</v>
      </c>
      <c r="C657" s="14"/>
      <c r="D657" s="53"/>
      <c r="E657" s="62">
        <f t="shared" si="657"/>
        <v>1</v>
      </c>
      <c r="F657" s="34">
        <v>1</v>
      </c>
      <c r="G657" s="34"/>
      <c r="H657" s="37"/>
      <c r="I657" s="62">
        <f t="shared" si="658"/>
        <v>1</v>
      </c>
      <c r="J657" s="21">
        <f t="shared" si="659"/>
        <v>2</v>
      </c>
      <c r="K657" s="71">
        <v>44767</v>
      </c>
      <c r="M657" s="25" t="s">
        <v>15</v>
      </c>
      <c r="N657" s="13"/>
      <c r="O657" s="14"/>
      <c r="P657" s="53"/>
      <c r="Q657" s="62">
        <f t="shared" si="654"/>
        <v>0</v>
      </c>
      <c r="R657" s="34"/>
      <c r="S657" s="34"/>
      <c r="T657" s="37"/>
      <c r="U657" s="62">
        <f t="shared" si="655"/>
        <v>0</v>
      </c>
      <c r="V657" s="21">
        <f t="shared" si="656"/>
        <v>0</v>
      </c>
    </row>
    <row r="658" spans="1:25" ht="14.25" thickBot="1" x14ac:dyDescent="0.2">
      <c r="A658" s="35" t="s">
        <v>16</v>
      </c>
      <c r="B658" s="28">
        <f>SUM(B649:B657)</f>
        <v>42</v>
      </c>
      <c r="C658" s="29">
        <f t="shared" ref="C658:D658" si="660">SUM(C649:C657)</f>
        <v>40</v>
      </c>
      <c r="D658" s="68">
        <f t="shared" si="660"/>
        <v>31</v>
      </c>
      <c r="E658" s="64">
        <f>SUM(B658:D658)</f>
        <v>113</v>
      </c>
      <c r="F658" s="28">
        <f>SUM(F649:F657)</f>
        <v>41</v>
      </c>
      <c r="G658" s="29">
        <f t="shared" ref="G658:H658" si="661">SUM(G649:G657)</f>
        <v>42</v>
      </c>
      <c r="H658" s="68">
        <f t="shared" si="661"/>
        <v>31</v>
      </c>
      <c r="I658" s="64">
        <f>SUM(F658:H658)</f>
        <v>114</v>
      </c>
      <c r="J658" s="31">
        <f>SUM(J650:J657)</f>
        <v>150</v>
      </c>
      <c r="M658" s="35" t="s">
        <v>16</v>
      </c>
      <c r="N658" s="28">
        <f>SUM(N649:N657)</f>
        <v>800</v>
      </c>
      <c r="O658" s="29">
        <f t="shared" ref="O658:P658" si="662">SUM(O649:O657)</f>
        <v>1010</v>
      </c>
      <c r="P658" s="68">
        <f t="shared" si="662"/>
        <v>882</v>
      </c>
      <c r="Q658" s="64">
        <f>SUM(N658:P658)</f>
        <v>2692</v>
      </c>
      <c r="R658" s="28">
        <f>SUM(R649:R657)</f>
        <v>943</v>
      </c>
      <c r="S658" s="29">
        <f t="shared" ref="S658:T658" si="663">SUM(S649:S657)</f>
        <v>1160</v>
      </c>
      <c r="T658" s="68">
        <f t="shared" si="663"/>
        <v>1015</v>
      </c>
      <c r="U658" s="64">
        <f>SUM(R658:T658)</f>
        <v>3118</v>
      </c>
      <c r="V658" s="31">
        <f>Q658+U658</f>
        <v>5810</v>
      </c>
    </row>
    <row r="659" spans="1:25" x14ac:dyDescent="0.15">
      <c r="A659" s="26" t="s">
        <v>329</v>
      </c>
      <c r="B659" s="65">
        <v>1</v>
      </c>
      <c r="C659" s="66"/>
      <c r="D659" s="67"/>
      <c r="E659" s="49">
        <f>SUM(B659:D659)</f>
        <v>1</v>
      </c>
      <c r="F659" s="16">
        <v>1</v>
      </c>
      <c r="G659" s="14"/>
      <c r="H659" s="15"/>
      <c r="I659" s="49">
        <f>SUM(F659:H659)</f>
        <v>1</v>
      </c>
      <c r="J659" s="11">
        <f>E659+I659</f>
        <v>2</v>
      </c>
      <c r="K659" s="63">
        <v>44748</v>
      </c>
      <c r="M659" s="119" t="s">
        <v>363</v>
      </c>
      <c r="N659" s="65">
        <v>10</v>
      </c>
      <c r="O659" s="66">
        <v>5</v>
      </c>
      <c r="P659" s="67"/>
      <c r="Q659" s="49">
        <f>SUM(N659:P659)</f>
        <v>15</v>
      </c>
      <c r="R659" s="16"/>
      <c r="S659" s="14">
        <v>10</v>
      </c>
      <c r="T659" s="15"/>
      <c r="U659" s="49">
        <f>SUM(R659:T659)</f>
        <v>10</v>
      </c>
      <c r="V659" s="11">
        <f>Q659+U659</f>
        <v>25</v>
      </c>
      <c r="W659" s="140">
        <v>44749</v>
      </c>
    </row>
    <row r="660" spans="1:25" x14ac:dyDescent="0.15">
      <c r="A660" s="25" t="s">
        <v>33</v>
      </c>
      <c r="B660" s="8">
        <f>2+1</f>
        <v>3</v>
      </c>
      <c r="C660" s="9">
        <v>1</v>
      </c>
      <c r="D660" s="10">
        <f>1+1</f>
        <v>2</v>
      </c>
      <c r="E660" s="49">
        <f t="shared" ref="E660:E685" si="664">SUM(B660:D660)</f>
        <v>6</v>
      </c>
      <c r="F660" s="12">
        <f>1+1</f>
        <v>2</v>
      </c>
      <c r="G660" s="9">
        <f>1+1</f>
        <v>2</v>
      </c>
      <c r="H660" s="10">
        <v>1</v>
      </c>
      <c r="I660" s="49">
        <f t="shared" ref="I660:I685" si="665">SUM(F660:H660)</f>
        <v>5</v>
      </c>
      <c r="J660" s="11">
        <f t="shared" ref="J660:J684" si="666">E660+I660</f>
        <v>11</v>
      </c>
      <c r="K660" s="71">
        <v>44747</v>
      </c>
      <c r="M660" s="24" t="s">
        <v>365</v>
      </c>
      <c r="N660" s="8">
        <v>5</v>
      </c>
      <c r="O660" s="9"/>
      <c r="P660" s="10">
        <v>5</v>
      </c>
      <c r="Q660" s="49">
        <f>SUM(N660:P660)</f>
        <v>10</v>
      </c>
      <c r="R660" s="12">
        <v>5</v>
      </c>
      <c r="S660" s="9"/>
      <c r="T660" s="10">
        <v>5</v>
      </c>
      <c r="U660" s="49">
        <f>SUM(R660:T660)</f>
        <v>10</v>
      </c>
      <c r="V660" s="11">
        <f>Q660+U660</f>
        <v>20</v>
      </c>
      <c r="W660" s="140">
        <v>44755</v>
      </c>
    </row>
    <row r="661" spans="1:25" x14ac:dyDescent="0.15">
      <c r="A661" s="25" t="s">
        <v>33</v>
      </c>
      <c r="B661" s="8"/>
      <c r="C661" s="9">
        <v>1</v>
      </c>
      <c r="D661" s="10"/>
      <c r="E661" s="49">
        <f t="shared" si="664"/>
        <v>1</v>
      </c>
      <c r="F661" s="12"/>
      <c r="G661" s="9">
        <f>2+1</f>
        <v>3</v>
      </c>
      <c r="H661" s="10"/>
      <c r="I661" s="49">
        <f t="shared" si="665"/>
        <v>3</v>
      </c>
      <c r="J661" s="11">
        <f t="shared" si="666"/>
        <v>4</v>
      </c>
      <c r="K661" s="71">
        <v>44748</v>
      </c>
      <c r="M661" s="23" t="s">
        <v>366</v>
      </c>
      <c r="N661" s="8">
        <v>30</v>
      </c>
      <c r="O661" s="9">
        <v>30</v>
      </c>
      <c r="P661" s="10">
        <v>15</v>
      </c>
      <c r="Q661" s="49">
        <f t="shared" ref="Q661:Q685" si="667">SUM(N661:P661)</f>
        <v>75</v>
      </c>
      <c r="R661" s="12">
        <v>20</v>
      </c>
      <c r="S661" s="9">
        <v>20</v>
      </c>
      <c r="T661" s="10">
        <v>10</v>
      </c>
      <c r="U661" s="49">
        <f t="shared" ref="U661:U685" si="668">SUM(R661:T661)</f>
        <v>50</v>
      </c>
      <c r="V661" s="11">
        <f t="shared" ref="V661:V678" si="669">Q661+U661</f>
        <v>125</v>
      </c>
      <c r="W661" s="140">
        <v>44756</v>
      </c>
      <c r="X661" s="82"/>
    </row>
    <row r="662" spans="1:25" x14ac:dyDescent="0.15">
      <c r="A662" s="25" t="s">
        <v>33</v>
      </c>
      <c r="B662" s="8">
        <v>1</v>
      </c>
      <c r="C662" s="9">
        <f>4+1</f>
        <v>5</v>
      </c>
      <c r="D662" s="10"/>
      <c r="E662" s="49">
        <f t="shared" ref="E662:E666" si="670">SUM(B662:D662)</f>
        <v>6</v>
      </c>
      <c r="F662" s="12">
        <v>1</v>
      </c>
      <c r="G662" s="9">
        <v>2</v>
      </c>
      <c r="H662" s="10">
        <v>1</v>
      </c>
      <c r="I662" s="49">
        <f t="shared" ref="I662:I666" si="671">SUM(F662:H662)</f>
        <v>4</v>
      </c>
      <c r="J662" s="11">
        <f t="shared" ref="J662:J666" si="672">E662+I662</f>
        <v>10</v>
      </c>
      <c r="K662" s="71">
        <v>44749</v>
      </c>
      <c r="M662" s="23" t="s">
        <v>364</v>
      </c>
      <c r="N662" s="8"/>
      <c r="O662" s="9"/>
      <c r="P662" s="10">
        <v>1</v>
      </c>
      <c r="Q662" s="49">
        <f t="shared" si="667"/>
        <v>1</v>
      </c>
      <c r="R662" s="12"/>
      <c r="S662" s="9">
        <v>1</v>
      </c>
      <c r="T662" s="10">
        <v>2</v>
      </c>
      <c r="U662" s="49">
        <f t="shared" si="668"/>
        <v>3</v>
      </c>
      <c r="V662" s="11">
        <f t="shared" si="669"/>
        <v>4</v>
      </c>
      <c r="W662" s="140">
        <v>44753</v>
      </c>
    </row>
    <row r="663" spans="1:25" x14ac:dyDescent="0.15">
      <c r="A663" s="25" t="s">
        <v>33</v>
      </c>
      <c r="B663" s="8"/>
      <c r="C663" s="9"/>
      <c r="D663" s="10"/>
      <c r="E663" s="49">
        <f t="shared" si="670"/>
        <v>0</v>
      </c>
      <c r="F663" s="12">
        <v>1</v>
      </c>
      <c r="G663" s="9"/>
      <c r="H663" s="10"/>
      <c r="I663" s="49">
        <f t="shared" si="671"/>
        <v>1</v>
      </c>
      <c r="J663" s="11">
        <f t="shared" si="672"/>
        <v>1</v>
      </c>
      <c r="K663" s="71">
        <v>44750</v>
      </c>
      <c r="M663" s="26" t="s">
        <v>368</v>
      </c>
      <c r="N663" s="8">
        <v>11</v>
      </c>
      <c r="O663" s="9">
        <v>7</v>
      </c>
      <c r="P663" s="10">
        <v>2</v>
      </c>
      <c r="Q663" s="49">
        <f t="shared" si="667"/>
        <v>20</v>
      </c>
      <c r="R663" s="12">
        <v>8</v>
      </c>
      <c r="S663" s="9">
        <v>4</v>
      </c>
      <c r="T663" s="10">
        <v>2</v>
      </c>
      <c r="U663" s="49">
        <f t="shared" si="668"/>
        <v>14</v>
      </c>
      <c r="V663" s="11">
        <f t="shared" si="669"/>
        <v>34</v>
      </c>
      <c r="W663" s="140">
        <v>44755</v>
      </c>
      <c r="X663" s="82"/>
    </row>
    <row r="664" spans="1:25" x14ac:dyDescent="0.15">
      <c r="A664" s="25" t="s">
        <v>33</v>
      </c>
      <c r="B664" s="8">
        <f>2+2+2</f>
        <v>6</v>
      </c>
      <c r="C664" s="9">
        <v>1</v>
      </c>
      <c r="D664" s="10">
        <f>1+1</f>
        <v>2</v>
      </c>
      <c r="E664" s="49">
        <f t="shared" si="670"/>
        <v>9</v>
      </c>
      <c r="F664" s="12">
        <v>2</v>
      </c>
      <c r="G664" s="9">
        <f>1+1+1</f>
        <v>3</v>
      </c>
      <c r="H664" s="10">
        <f>2+1</f>
        <v>3</v>
      </c>
      <c r="I664" s="49">
        <f t="shared" si="671"/>
        <v>8</v>
      </c>
      <c r="J664" s="11">
        <f t="shared" si="672"/>
        <v>17</v>
      </c>
      <c r="K664" s="71">
        <v>44753</v>
      </c>
      <c r="M664" s="26" t="s">
        <v>369</v>
      </c>
      <c r="N664" s="8">
        <v>9</v>
      </c>
      <c r="O664" s="9">
        <v>7</v>
      </c>
      <c r="P664" s="10">
        <v>2</v>
      </c>
      <c r="Q664" s="49">
        <f t="shared" si="667"/>
        <v>18</v>
      </c>
      <c r="R664" s="12">
        <v>4</v>
      </c>
      <c r="S664" s="9">
        <v>9</v>
      </c>
      <c r="T664" s="10">
        <v>1</v>
      </c>
      <c r="U664" s="49">
        <f t="shared" si="668"/>
        <v>14</v>
      </c>
      <c r="V664" s="11">
        <f t="shared" si="669"/>
        <v>32</v>
      </c>
      <c r="W664" s="140">
        <v>44756</v>
      </c>
    </row>
    <row r="665" spans="1:25" x14ac:dyDescent="0.15">
      <c r="A665" s="26" t="s">
        <v>329</v>
      </c>
      <c r="B665" s="8"/>
      <c r="C665" s="9"/>
      <c r="D665" s="10">
        <v>2</v>
      </c>
      <c r="E665" s="49">
        <f t="shared" si="670"/>
        <v>2</v>
      </c>
      <c r="F665" s="12"/>
      <c r="G665" s="9"/>
      <c r="H665" s="10">
        <v>2</v>
      </c>
      <c r="I665" s="49">
        <f t="shared" si="671"/>
        <v>2</v>
      </c>
      <c r="J665" s="11">
        <f t="shared" si="672"/>
        <v>4</v>
      </c>
      <c r="K665" s="63">
        <v>44755</v>
      </c>
      <c r="M665" s="119" t="s">
        <v>28</v>
      </c>
      <c r="N665" s="8">
        <v>10</v>
      </c>
      <c r="O665" s="9">
        <v>10</v>
      </c>
      <c r="P665" s="10">
        <v>10</v>
      </c>
      <c r="Q665" s="49">
        <f t="shared" si="667"/>
        <v>30</v>
      </c>
      <c r="R665" s="12">
        <v>10</v>
      </c>
      <c r="S665" s="9">
        <v>10</v>
      </c>
      <c r="T665" s="10">
        <v>10</v>
      </c>
      <c r="U665" s="49">
        <f t="shared" si="668"/>
        <v>30</v>
      </c>
      <c r="V665" s="11">
        <f t="shared" si="669"/>
        <v>60</v>
      </c>
      <c r="W665" s="140">
        <v>44755</v>
      </c>
      <c r="X665" s="82"/>
    </row>
    <row r="666" spans="1:25" x14ac:dyDescent="0.15">
      <c r="A666" s="25" t="s">
        <v>33</v>
      </c>
      <c r="B666" s="8">
        <f>1+1</f>
        <v>2</v>
      </c>
      <c r="C666" s="9">
        <v>1</v>
      </c>
      <c r="D666" s="10"/>
      <c r="E666" s="49">
        <f t="shared" si="670"/>
        <v>3</v>
      </c>
      <c r="F666" s="12">
        <v>1</v>
      </c>
      <c r="G666" s="9">
        <v>1</v>
      </c>
      <c r="H666" s="10"/>
      <c r="I666" s="49">
        <f t="shared" si="671"/>
        <v>2</v>
      </c>
      <c r="J666" s="11">
        <f t="shared" si="672"/>
        <v>5</v>
      </c>
      <c r="K666" s="71">
        <v>44754</v>
      </c>
      <c r="M666" s="119" t="s">
        <v>28</v>
      </c>
      <c r="N666" s="8"/>
      <c r="O666" s="9"/>
      <c r="P666" s="10"/>
      <c r="Q666" s="49">
        <f t="shared" si="667"/>
        <v>0</v>
      </c>
      <c r="R666" s="12"/>
      <c r="S666" s="9">
        <v>10</v>
      </c>
      <c r="T666" s="10"/>
      <c r="U666" s="49">
        <f t="shared" si="668"/>
        <v>10</v>
      </c>
      <c r="V666" s="11">
        <f t="shared" si="669"/>
        <v>10</v>
      </c>
      <c r="W666" s="140">
        <v>44762</v>
      </c>
      <c r="X666" s="82"/>
      <c r="Y666" s="82"/>
    </row>
    <row r="667" spans="1:25" x14ac:dyDescent="0.15">
      <c r="A667" s="25" t="s">
        <v>33</v>
      </c>
      <c r="B667" s="8"/>
      <c r="C667" s="9">
        <v>1</v>
      </c>
      <c r="D667" s="10"/>
      <c r="E667" s="49">
        <f t="shared" si="664"/>
        <v>1</v>
      </c>
      <c r="F667" s="12">
        <v>1</v>
      </c>
      <c r="G667" s="9"/>
      <c r="H667" s="10"/>
      <c r="I667" s="49">
        <f t="shared" si="665"/>
        <v>1</v>
      </c>
      <c r="J667" s="11">
        <f t="shared" si="666"/>
        <v>2</v>
      </c>
      <c r="K667" s="71">
        <v>44755</v>
      </c>
      <c r="M667" s="26" t="s">
        <v>329</v>
      </c>
      <c r="N667" s="8">
        <v>6</v>
      </c>
      <c r="O667" s="9"/>
      <c r="P667" s="10">
        <v>2</v>
      </c>
      <c r="Q667" s="49">
        <f t="shared" si="667"/>
        <v>8</v>
      </c>
      <c r="R667" s="12">
        <v>6</v>
      </c>
      <c r="S667" s="9"/>
      <c r="T667" s="10">
        <v>2</v>
      </c>
      <c r="U667" s="49">
        <f t="shared" si="668"/>
        <v>8</v>
      </c>
      <c r="V667" s="11">
        <f t="shared" si="669"/>
        <v>16</v>
      </c>
      <c r="W667" s="140">
        <v>44763</v>
      </c>
      <c r="X667" s="82"/>
    </row>
    <row r="668" spans="1:25" x14ac:dyDescent="0.15">
      <c r="A668" s="26" t="s">
        <v>329</v>
      </c>
      <c r="B668" s="13"/>
      <c r="C668" s="14">
        <v>1</v>
      </c>
      <c r="D668" s="15"/>
      <c r="E668" s="49">
        <f t="shared" si="664"/>
        <v>1</v>
      </c>
      <c r="F668" s="16"/>
      <c r="G668" s="14">
        <v>1</v>
      </c>
      <c r="H668" s="15"/>
      <c r="I668" s="49">
        <f t="shared" si="665"/>
        <v>1</v>
      </c>
      <c r="J668" s="11">
        <f t="shared" si="666"/>
        <v>2</v>
      </c>
      <c r="K668" s="63">
        <v>44761</v>
      </c>
      <c r="M668" s="119" t="s">
        <v>28</v>
      </c>
      <c r="N668" s="13">
        <v>5</v>
      </c>
      <c r="O668" s="14">
        <v>5</v>
      </c>
      <c r="P668" s="15">
        <v>5</v>
      </c>
      <c r="Q668" s="49">
        <f t="shared" si="667"/>
        <v>15</v>
      </c>
      <c r="R668" s="16">
        <v>10</v>
      </c>
      <c r="S668" s="14"/>
      <c r="T668" s="15">
        <v>5</v>
      </c>
      <c r="U668" s="49">
        <f t="shared" si="668"/>
        <v>15</v>
      </c>
      <c r="V668" s="11">
        <f t="shared" si="669"/>
        <v>30</v>
      </c>
      <c r="W668" s="140">
        <v>44768</v>
      </c>
      <c r="X668" s="82"/>
    </row>
    <row r="669" spans="1:25" x14ac:dyDescent="0.15">
      <c r="A669" s="25" t="s">
        <v>33</v>
      </c>
      <c r="B669" s="8">
        <v>1</v>
      </c>
      <c r="C669" s="9"/>
      <c r="D669" s="10"/>
      <c r="E669" s="49">
        <f t="shared" si="664"/>
        <v>1</v>
      </c>
      <c r="F669" s="12"/>
      <c r="G669" s="9"/>
      <c r="H669" s="10"/>
      <c r="I669" s="49">
        <f t="shared" si="665"/>
        <v>0</v>
      </c>
      <c r="J669" s="11">
        <f t="shared" si="666"/>
        <v>1</v>
      </c>
      <c r="K669" s="71">
        <v>44757</v>
      </c>
      <c r="M669" s="26" t="s">
        <v>329</v>
      </c>
      <c r="N669" s="8">
        <v>3</v>
      </c>
      <c r="O669" s="9">
        <v>4</v>
      </c>
      <c r="P669" s="10">
        <v>2</v>
      </c>
      <c r="Q669" s="49">
        <f t="shared" si="667"/>
        <v>9</v>
      </c>
      <c r="R669" s="12">
        <v>3</v>
      </c>
      <c r="S669" s="9">
        <v>4</v>
      </c>
      <c r="T669" s="10">
        <v>2</v>
      </c>
      <c r="U669" s="49">
        <f t="shared" si="668"/>
        <v>9</v>
      </c>
      <c r="V669" s="11">
        <f t="shared" si="669"/>
        <v>18</v>
      </c>
      <c r="W669" s="140">
        <v>44770</v>
      </c>
      <c r="X669" s="82"/>
    </row>
    <row r="670" spans="1:25" x14ac:dyDescent="0.15">
      <c r="A670" s="25" t="s">
        <v>33</v>
      </c>
      <c r="B670" s="8"/>
      <c r="C670" s="9"/>
      <c r="D670" s="10"/>
      <c r="E670" s="49">
        <f t="shared" si="664"/>
        <v>0</v>
      </c>
      <c r="F670" s="12"/>
      <c r="G670" s="9">
        <v>4</v>
      </c>
      <c r="H670" s="10"/>
      <c r="I670" s="49">
        <f t="shared" si="665"/>
        <v>4</v>
      </c>
      <c r="J670" s="11">
        <f t="shared" si="666"/>
        <v>4</v>
      </c>
      <c r="K670" s="63">
        <v>44758</v>
      </c>
      <c r="M670" s="102"/>
      <c r="N670" s="8"/>
      <c r="O670" s="9"/>
      <c r="P670" s="10"/>
      <c r="Q670" s="49">
        <f t="shared" si="667"/>
        <v>0</v>
      </c>
      <c r="R670" s="12"/>
      <c r="S670" s="9"/>
      <c r="T670" s="10"/>
      <c r="U670" s="49">
        <f t="shared" si="668"/>
        <v>0</v>
      </c>
      <c r="V670" s="11">
        <f t="shared" si="669"/>
        <v>0</v>
      </c>
      <c r="W670" s="142"/>
      <c r="X670" s="82"/>
    </row>
    <row r="671" spans="1:25" x14ac:dyDescent="0.15">
      <c r="A671" s="26" t="s">
        <v>329</v>
      </c>
      <c r="B671" s="8"/>
      <c r="C671" s="9">
        <v>7</v>
      </c>
      <c r="D671" s="10"/>
      <c r="E671" s="49">
        <f t="shared" si="664"/>
        <v>7</v>
      </c>
      <c r="F671" s="12"/>
      <c r="G671" s="9">
        <v>7</v>
      </c>
      <c r="H671" s="10"/>
      <c r="I671" s="49">
        <f t="shared" si="665"/>
        <v>7</v>
      </c>
      <c r="J671" s="11">
        <f t="shared" si="666"/>
        <v>14</v>
      </c>
      <c r="K671" s="63">
        <v>44762</v>
      </c>
      <c r="M671" s="102"/>
      <c r="N671" s="8"/>
      <c r="O671" s="9"/>
      <c r="P671" s="10"/>
      <c r="Q671" s="49">
        <f t="shared" si="667"/>
        <v>0</v>
      </c>
      <c r="R671" s="12"/>
      <c r="S671" s="9"/>
      <c r="T671" s="10"/>
      <c r="U671" s="49">
        <f t="shared" si="668"/>
        <v>0</v>
      </c>
      <c r="V671" s="11">
        <f t="shared" si="669"/>
        <v>0</v>
      </c>
    </row>
    <row r="672" spans="1:25" x14ac:dyDescent="0.15">
      <c r="A672" s="25" t="s">
        <v>33</v>
      </c>
      <c r="B672" s="8">
        <f>1+1</f>
        <v>2</v>
      </c>
      <c r="C672" s="9">
        <v>1</v>
      </c>
      <c r="D672" s="10"/>
      <c r="E672" s="49">
        <f t="shared" si="664"/>
        <v>3</v>
      </c>
      <c r="F672" s="12">
        <f>1+1</f>
        <v>2</v>
      </c>
      <c r="G672" s="9"/>
      <c r="H672" s="10"/>
      <c r="I672" s="49">
        <f t="shared" si="665"/>
        <v>2</v>
      </c>
      <c r="J672" s="11">
        <f t="shared" si="666"/>
        <v>5</v>
      </c>
      <c r="K672" s="71">
        <v>44761</v>
      </c>
      <c r="M672" s="102"/>
      <c r="N672" s="8"/>
      <c r="O672" s="9"/>
      <c r="P672" s="10"/>
      <c r="Q672" s="49">
        <f t="shared" si="667"/>
        <v>0</v>
      </c>
      <c r="R672" s="12"/>
      <c r="S672" s="9"/>
      <c r="T672" s="10"/>
      <c r="U672" s="49">
        <f t="shared" si="668"/>
        <v>0</v>
      </c>
      <c r="V672" s="11">
        <f t="shared" si="669"/>
        <v>0</v>
      </c>
    </row>
    <row r="673" spans="1:23" x14ac:dyDescent="0.15">
      <c r="A673" s="25" t="s">
        <v>33</v>
      </c>
      <c r="B673" s="8">
        <v>2</v>
      </c>
      <c r="C673" s="9"/>
      <c r="D673" s="10">
        <v>1</v>
      </c>
      <c r="E673" s="49">
        <f t="shared" si="664"/>
        <v>3</v>
      </c>
      <c r="F673" s="12">
        <v>1</v>
      </c>
      <c r="G673" s="9"/>
      <c r="H673" s="10"/>
      <c r="I673" s="49">
        <f t="shared" si="665"/>
        <v>1</v>
      </c>
      <c r="J673" s="11">
        <f t="shared" si="666"/>
        <v>4</v>
      </c>
      <c r="K673" s="71">
        <v>44762</v>
      </c>
      <c r="M673" s="26"/>
      <c r="N673" s="8"/>
      <c r="O673" s="9"/>
      <c r="P673" s="10"/>
      <c r="Q673" s="49">
        <f t="shared" si="667"/>
        <v>0</v>
      </c>
      <c r="R673" s="12"/>
      <c r="S673" s="9"/>
      <c r="T673" s="10"/>
      <c r="U673" s="49">
        <f t="shared" si="668"/>
        <v>0</v>
      </c>
      <c r="V673" s="11">
        <f t="shared" si="669"/>
        <v>0</v>
      </c>
    </row>
    <row r="674" spans="1:23" x14ac:dyDescent="0.15">
      <c r="A674" s="26" t="s">
        <v>329</v>
      </c>
      <c r="B674" s="8">
        <v>2</v>
      </c>
      <c r="C674" s="9">
        <v>1</v>
      </c>
      <c r="D674" s="10"/>
      <c r="E674" s="49">
        <f t="shared" si="664"/>
        <v>3</v>
      </c>
      <c r="F674" s="12">
        <v>2</v>
      </c>
      <c r="G674" s="9">
        <v>1</v>
      </c>
      <c r="H674" s="10"/>
      <c r="I674" s="49">
        <f t="shared" si="665"/>
        <v>3</v>
      </c>
      <c r="J674" s="11">
        <f t="shared" si="666"/>
        <v>6</v>
      </c>
      <c r="K674" s="63">
        <v>44764</v>
      </c>
      <c r="M674" s="26"/>
      <c r="N674" s="8"/>
      <c r="O674" s="9"/>
      <c r="P674" s="10"/>
      <c r="Q674" s="49">
        <f t="shared" si="667"/>
        <v>0</v>
      </c>
      <c r="R674" s="12"/>
      <c r="S674" s="9"/>
      <c r="T674" s="10"/>
      <c r="U674" s="49">
        <f t="shared" si="668"/>
        <v>0</v>
      </c>
      <c r="V674" s="11">
        <f t="shared" si="669"/>
        <v>0</v>
      </c>
    </row>
    <row r="675" spans="1:23" x14ac:dyDescent="0.15">
      <c r="A675" s="25" t="s">
        <v>33</v>
      </c>
      <c r="B675" s="8">
        <v>1</v>
      </c>
      <c r="C675" s="9">
        <v>1</v>
      </c>
      <c r="D675" s="10"/>
      <c r="E675" s="49">
        <f t="shared" si="664"/>
        <v>2</v>
      </c>
      <c r="F675" s="12">
        <v>1</v>
      </c>
      <c r="G675" s="9">
        <v>1</v>
      </c>
      <c r="H675" s="10"/>
      <c r="I675" s="49">
        <f t="shared" si="665"/>
        <v>2</v>
      </c>
      <c r="J675" s="11">
        <f t="shared" si="666"/>
        <v>4</v>
      </c>
      <c r="K675" s="71">
        <v>44763</v>
      </c>
      <c r="M675" s="26"/>
      <c r="N675" s="8"/>
      <c r="O675" s="9"/>
      <c r="P675" s="10"/>
      <c r="Q675" s="49">
        <f t="shared" si="667"/>
        <v>0</v>
      </c>
      <c r="R675" s="12"/>
      <c r="S675" s="9"/>
      <c r="T675" s="10"/>
      <c r="U675" s="49">
        <f t="shared" si="668"/>
        <v>0</v>
      </c>
      <c r="V675" s="11">
        <f t="shared" si="669"/>
        <v>0</v>
      </c>
    </row>
    <row r="676" spans="1:23" x14ac:dyDescent="0.15">
      <c r="A676" s="26" t="s">
        <v>329</v>
      </c>
      <c r="B676" s="8"/>
      <c r="C676" s="9"/>
      <c r="D676" s="10">
        <v>6</v>
      </c>
      <c r="E676" s="49">
        <f t="shared" si="664"/>
        <v>6</v>
      </c>
      <c r="F676" s="12"/>
      <c r="G676" s="9"/>
      <c r="H676" s="10">
        <v>6</v>
      </c>
      <c r="I676" s="49">
        <f t="shared" si="665"/>
        <v>6</v>
      </c>
      <c r="J676" s="11">
        <f t="shared" si="666"/>
        <v>12</v>
      </c>
      <c r="K676" s="63">
        <v>44767</v>
      </c>
      <c r="M676" s="24"/>
      <c r="N676" s="8"/>
      <c r="O676" s="9"/>
      <c r="P676" s="10"/>
      <c r="Q676" s="49">
        <f t="shared" si="667"/>
        <v>0</v>
      </c>
      <c r="R676" s="12"/>
      <c r="S676" s="9"/>
      <c r="T676" s="10"/>
      <c r="U676" s="49">
        <f t="shared" si="668"/>
        <v>0</v>
      </c>
      <c r="V676" s="11">
        <f t="shared" si="669"/>
        <v>0</v>
      </c>
    </row>
    <row r="677" spans="1:23" x14ac:dyDescent="0.15">
      <c r="A677" s="25" t="s">
        <v>33</v>
      </c>
      <c r="B677" s="8"/>
      <c r="C677" s="9"/>
      <c r="D677" s="10"/>
      <c r="E677" s="49">
        <f t="shared" si="664"/>
        <v>0</v>
      </c>
      <c r="F677" s="12">
        <f>1+2</f>
        <v>3</v>
      </c>
      <c r="G677" s="9">
        <v>1</v>
      </c>
      <c r="H677" s="10"/>
      <c r="I677" s="49">
        <f t="shared" si="665"/>
        <v>4</v>
      </c>
      <c r="J677" s="11">
        <f t="shared" si="666"/>
        <v>4</v>
      </c>
      <c r="K677" s="63">
        <v>44764</v>
      </c>
      <c r="M677" s="26"/>
      <c r="N677" s="8"/>
      <c r="O677" s="9"/>
      <c r="P677" s="10"/>
      <c r="Q677" s="49">
        <f t="shared" si="667"/>
        <v>0</v>
      </c>
      <c r="R677" s="12"/>
      <c r="S677" s="9"/>
      <c r="T677" s="10"/>
      <c r="U677" s="49">
        <f t="shared" si="668"/>
        <v>0</v>
      </c>
      <c r="V677" s="11">
        <f t="shared" si="669"/>
        <v>0</v>
      </c>
      <c r="W677" s="142"/>
    </row>
    <row r="678" spans="1:23" x14ac:dyDescent="0.15">
      <c r="A678" s="26" t="s">
        <v>329</v>
      </c>
      <c r="B678" s="8">
        <v>3</v>
      </c>
      <c r="C678" s="9">
        <v>1</v>
      </c>
      <c r="D678" s="10">
        <v>2</v>
      </c>
      <c r="E678" s="49">
        <f t="shared" si="664"/>
        <v>6</v>
      </c>
      <c r="F678" s="12">
        <v>3</v>
      </c>
      <c r="G678" s="9">
        <v>1</v>
      </c>
      <c r="H678" s="10">
        <v>2</v>
      </c>
      <c r="I678" s="49">
        <f t="shared" si="665"/>
        <v>6</v>
      </c>
      <c r="J678" s="11">
        <f t="shared" si="666"/>
        <v>12</v>
      </c>
      <c r="K678" s="63">
        <v>44768</v>
      </c>
      <c r="M678" s="26"/>
      <c r="N678" s="8"/>
      <c r="O678" s="9"/>
      <c r="P678" s="10"/>
      <c r="Q678" s="49">
        <f t="shared" si="667"/>
        <v>0</v>
      </c>
      <c r="R678" s="12"/>
      <c r="S678" s="9"/>
      <c r="T678" s="10"/>
      <c r="U678" s="49">
        <f t="shared" si="668"/>
        <v>0</v>
      </c>
      <c r="V678" s="11">
        <f t="shared" si="669"/>
        <v>0</v>
      </c>
      <c r="W678" s="142"/>
    </row>
    <row r="679" spans="1:23" x14ac:dyDescent="0.15">
      <c r="A679" s="25" t="s">
        <v>33</v>
      </c>
      <c r="B679" s="8"/>
      <c r="C679" s="9"/>
      <c r="D679" s="10">
        <v>1</v>
      </c>
      <c r="E679" s="49">
        <f t="shared" si="664"/>
        <v>1</v>
      </c>
      <c r="F679" s="12">
        <f>2+2</f>
        <v>4</v>
      </c>
      <c r="G679" s="9"/>
      <c r="H679" s="10"/>
      <c r="I679" s="49">
        <f t="shared" si="665"/>
        <v>4</v>
      </c>
      <c r="J679" s="11">
        <f t="shared" si="666"/>
        <v>5</v>
      </c>
      <c r="K679" s="63">
        <v>44767</v>
      </c>
      <c r="L679" s="82"/>
      <c r="M679" s="26"/>
      <c r="N679" s="8"/>
      <c r="O679" s="9"/>
      <c r="P679" s="10"/>
      <c r="Q679" s="49">
        <f t="shared" ref="Q679:Q682" si="673">SUM(N679:P679)</f>
        <v>0</v>
      </c>
      <c r="R679" s="12"/>
      <c r="S679" s="9"/>
      <c r="T679" s="10"/>
      <c r="U679" s="49">
        <f t="shared" ref="U679:U682" si="674">SUM(R679:T679)</f>
        <v>0</v>
      </c>
      <c r="V679" s="11">
        <f t="shared" ref="V679:V682" si="675">Q679+U679</f>
        <v>0</v>
      </c>
      <c r="W679" s="142"/>
    </row>
    <row r="680" spans="1:23" x14ac:dyDescent="0.15">
      <c r="A680" s="23" t="s">
        <v>374</v>
      </c>
      <c r="B680" s="13">
        <v>1</v>
      </c>
      <c r="C680" s="14"/>
      <c r="D680" s="15"/>
      <c r="E680" s="49">
        <f t="shared" si="664"/>
        <v>1</v>
      </c>
      <c r="F680" s="16"/>
      <c r="G680" s="14"/>
      <c r="H680" s="15"/>
      <c r="I680" s="49">
        <f t="shared" si="665"/>
        <v>0</v>
      </c>
      <c r="J680" s="11">
        <f t="shared" si="666"/>
        <v>1</v>
      </c>
      <c r="K680" s="63">
        <v>44769</v>
      </c>
      <c r="L680" s="82"/>
      <c r="M680" s="26"/>
      <c r="N680" s="8"/>
      <c r="O680" s="9"/>
      <c r="P680" s="10"/>
      <c r="Q680" s="49">
        <f t="shared" si="673"/>
        <v>0</v>
      </c>
      <c r="R680" s="12"/>
      <c r="S680" s="9"/>
      <c r="T680" s="10"/>
      <c r="U680" s="49">
        <f t="shared" si="674"/>
        <v>0</v>
      </c>
      <c r="V680" s="11">
        <f t="shared" si="675"/>
        <v>0</v>
      </c>
      <c r="W680" s="142"/>
    </row>
    <row r="681" spans="1:23" x14ac:dyDescent="0.15">
      <c r="A681" s="26" t="s">
        <v>329</v>
      </c>
      <c r="B681" s="8">
        <v>1</v>
      </c>
      <c r="C681" s="9">
        <v>1</v>
      </c>
      <c r="D681" s="10">
        <v>1</v>
      </c>
      <c r="E681" s="49">
        <f t="shared" si="664"/>
        <v>3</v>
      </c>
      <c r="F681" s="12">
        <v>1</v>
      </c>
      <c r="G681" s="9">
        <v>1</v>
      </c>
      <c r="H681" s="10">
        <v>1</v>
      </c>
      <c r="I681" s="49">
        <f t="shared" si="665"/>
        <v>3</v>
      </c>
      <c r="J681" s="11">
        <f t="shared" si="666"/>
        <v>6</v>
      </c>
      <c r="K681" s="63">
        <v>44769</v>
      </c>
      <c r="M681" s="24" t="s">
        <v>341</v>
      </c>
      <c r="N681" s="8"/>
      <c r="O681" s="9"/>
      <c r="P681" s="10"/>
      <c r="Q681" s="49">
        <f t="shared" si="673"/>
        <v>0</v>
      </c>
      <c r="R681" s="12"/>
      <c r="S681" s="9"/>
      <c r="T681" s="10"/>
      <c r="U681" s="49">
        <f t="shared" si="674"/>
        <v>0</v>
      </c>
      <c r="V681" s="11">
        <f t="shared" si="675"/>
        <v>0</v>
      </c>
      <c r="W681" s="142" t="s">
        <v>342</v>
      </c>
    </row>
    <row r="682" spans="1:23" x14ac:dyDescent="0.15">
      <c r="A682" s="25" t="s">
        <v>33</v>
      </c>
      <c r="B682" s="8">
        <f>1</f>
        <v>1</v>
      </c>
      <c r="C682" s="9"/>
      <c r="D682" s="10"/>
      <c r="E682" s="49">
        <f t="shared" si="664"/>
        <v>1</v>
      </c>
      <c r="F682" s="12">
        <f>1+1</f>
        <v>2</v>
      </c>
      <c r="G682" s="9">
        <v>1</v>
      </c>
      <c r="H682" s="10"/>
      <c r="I682" s="49">
        <f t="shared" si="665"/>
        <v>3</v>
      </c>
      <c r="J682" s="11">
        <f t="shared" si="666"/>
        <v>4</v>
      </c>
      <c r="K682" s="63">
        <v>44768</v>
      </c>
      <c r="M682" s="26" t="s">
        <v>349</v>
      </c>
      <c r="N682" s="8"/>
      <c r="O682" s="9"/>
      <c r="P682" s="10"/>
      <c r="Q682" s="49">
        <f t="shared" si="673"/>
        <v>0</v>
      </c>
      <c r="R682" s="12"/>
      <c r="S682" s="9"/>
      <c r="T682" s="10"/>
      <c r="U682" s="49">
        <f t="shared" si="674"/>
        <v>0</v>
      </c>
      <c r="V682" s="11">
        <f t="shared" si="675"/>
        <v>0</v>
      </c>
      <c r="W682" s="142" t="s">
        <v>350</v>
      </c>
    </row>
    <row r="683" spans="1:23" x14ac:dyDescent="0.15">
      <c r="A683" s="25" t="s">
        <v>33</v>
      </c>
      <c r="B683" s="8"/>
      <c r="C683" s="9">
        <f>1+1</f>
        <v>2</v>
      </c>
      <c r="D683" s="10"/>
      <c r="E683" s="49">
        <f t="shared" si="664"/>
        <v>2</v>
      </c>
      <c r="F683" s="12"/>
      <c r="G683" s="9"/>
      <c r="H683" s="10">
        <v>2</v>
      </c>
      <c r="I683" s="49">
        <f t="shared" si="665"/>
        <v>2</v>
      </c>
      <c r="J683" s="11">
        <f t="shared" si="666"/>
        <v>4</v>
      </c>
      <c r="K683" s="63">
        <v>44769</v>
      </c>
      <c r="M683" s="121" t="s">
        <v>354</v>
      </c>
      <c r="N683" s="106"/>
      <c r="O683" s="103"/>
      <c r="P683" s="104"/>
      <c r="Q683" s="122">
        <f t="shared" ref="Q683:Q684" si="676">SUM(N683:P683)</f>
        <v>0</v>
      </c>
      <c r="R683" s="107"/>
      <c r="S683" s="103"/>
      <c r="T683" s="104"/>
      <c r="U683" s="122">
        <f t="shared" ref="U683:U684" si="677">SUM(R683:T683)</f>
        <v>0</v>
      </c>
      <c r="V683" s="123">
        <f t="shared" ref="V683:V684" si="678">Q683+U683</f>
        <v>0</v>
      </c>
      <c r="W683" s="146"/>
    </row>
    <row r="684" spans="1:23" ht="14.25" thickBot="1" x14ac:dyDescent="0.2">
      <c r="A684" s="26" t="s">
        <v>329</v>
      </c>
      <c r="B684" s="13">
        <v>2</v>
      </c>
      <c r="C684" s="14"/>
      <c r="D684" s="15"/>
      <c r="E684" s="55">
        <f t="shared" si="664"/>
        <v>2</v>
      </c>
      <c r="F684" s="16">
        <v>2</v>
      </c>
      <c r="G684" s="14"/>
      <c r="H684" s="15"/>
      <c r="I684" s="55">
        <f t="shared" si="665"/>
        <v>2</v>
      </c>
      <c r="J684" s="11">
        <f t="shared" si="666"/>
        <v>4</v>
      </c>
      <c r="K684" s="63">
        <v>44771</v>
      </c>
      <c r="M684" s="26" t="s">
        <v>337</v>
      </c>
      <c r="N684" s="8"/>
      <c r="O684" s="9"/>
      <c r="P684" s="10"/>
      <c r="Q684" s="49">
        <f t="shared" si="676"/>
        <v>0</v>
      </c>
      <c r="R684" s="12"/>
      <c r="S684" s="9"/>
      <c r="T684" s="10"/>
      <c r="U684" s="49">
        <f t="shared" si="677"/>
        <v>0</v>
      </c>
      <c r="V684" s="11">
        <f t="shared" si="678"/>
        <v>0</v>
      </c>
      <c r="W684" s="142" t="s">
        <v>338</v>
      </c>
    </row>
    <row r="685" spans="1:23" ht="14.25" thickBot="1" x14ac:dyDescent="0.2">
      <c r="A685" s="41" t="s">
        <v>19</v>
      </c>
      <c r="B685" s="46">
        <f>SUM(B659:B684)</f>
        <v>29</v>
      </c>
      <c r="C685" s="47">
        <f t="shared" ref="C685:D685" si="679">SUM(C659:C684)</f>
        <v>25</v>
      </c>
      <c r="D685" s="59">
        <f t="shared" si="679"/>
        <v>17</v>
      </c>
      <c r="E685" s="45">
        <f t="shared" si="664"/>
        <v>71</v>
      </c>
      <c r="F685" s="46">
        <f>SUM(F659:F684)</f>
        <v>30</v>
      </c>
      <c r="G685" s="47">
        <f t="shared" ref="G685:H685" si="680">SUM(G659:G684)</f>
        <v>29</v>
      </c>
      <c r="H685" s="59">
        <f t="shared" si="680"/>
        <v>18</v>
      </c>
      <c r="I685" s="45">
        <f t="shared" si="665"/>
        <v>77</v>
      </c>
      <c r="J685" s="45">
        <f>E685+I685</f>
        <v>148</v>
      </c>
      <c r="M685" s="41" t="s">
        <v>19</v>
      </c>
      <c r="N685" s="46">
        <f>SUM(N659:N684)</f>
        <v>89</v>
      </c>
      <c r="O685" s="47">
        <f t="shared" ref="O685:P685" si="681">SUM(O659:O684)</f>
        <v>68</v>
      </c>
      <c r="P685" s="59">
        <f t="shared" si="681"/>
        <v>44</v>
      </c>
      <c r="Q685" s="45">
        <f t="shared" si="667"/>
        <v>201</v>
      </c>
      <c r="R685" s="46">
        <f>SUM(R659:R684)</f>
        <v>66</v>
      </c>
      <c r="S685" s="47">
        <f t="shared" ref="S685:T685" si="682">SUM(S659:S684)</f>
        <v>68</v>
      </c>
      <c r="T685" s="59">
        <f t="shared" si="682"/>
        <v>39</v>
      </c>
      <c r="U685" s="45">
        <f t="shared" si="668"/>
        <v>173</v>
      </c>
      <c r="V685" s="45">
        <f>Q685+U685</f>
        <v>374</v>
      </c>
    </row>
    <row r="686" spans="1:23" ht="14.25" thickBot="1" x14ac:dyDescent="0.2">
      <c r="A686" s="22" t="s">
        <v>17</v>
      </c>
      <c r="B686" s="50">
        <f>B658-B685</f>
        <v>13</v>
      </c>
      <c r="C686" s="57">
        <f t="shared" ref="C686:D686" si="683">C658-C685</f>
        <v>15</v>
      </c>
      <c r="D686" s="58">
        <f t="shared" si="683"/>
        <v>14</v>
      </c>
      <c r="E686" s="56">
        <f>SUM(B686:D686)</f>
        <v>42</v>
      </c>
      <c r="F686" s="50">
        <f>F658-F685</f>
        <v>11</v>
      </c>
      <c r="G686" s="57">
        <f t="shared" ref="G686:H686" si="684">G658-G685</f>
        <v>13</v>
      </c>
      <c r="H686" s="58">
        <f t="shared" si="684"/>
        <v>13</v>
      </c>
      <c r="I686" s="56">
        <f>SUM(F686:H686)</f>
        <v>37</v>
      </c>
      <c r="J686" s="31">
        <f>E686+I686</f>
        <v>79</v>
      </c>
      <c r="M686" s="22" t="s">
        <v>17</v>
      </c>
      <c r="N686" s="50">
        <f>N658-N685</f>
        <v>711</v>
      </c>
      <c r="O686" s="57">
        <f t="shared" ref="O686:P686" si="685">O658-O685</f>
        <v>942</v>
      </c>
      <c r="P686" s="58">
        <f t="shared" si="685"/>
        <v>838</v>
      </c>
      <c r="Q686" s="56">
        <f>SUM(N686:P686)</f>
        <v>2491</v>
      </c>
      <c r="R686" s="50">
        <f>R658-R685</f>
        <v>877</v>
      </c>
      <c r="S686" s="57">
        <f t="shared" ref="S686:T686" si="686">S658-S685</f>
        <v>1092</v>
      </c>
      <c r="T686" s="58">
        <f t="shared" si="686"/>
        <v>976</v>
      </c>
      <c r="U686" s="56">
        <f>SUM(R686:T686)</f>
        <v>2945</v>
      </c>
      <c r="V686" s="31">
        <f>Q686+U686</f>
        <v>5436</v>
      </c>
    </row>
    <row r="689" spans="1:23" ht="19.5" thickBot="1" x14ac:dyDescent="0.25">
      <c r="A689" s="3" t="s">
        <v>21</v>
      </c>
      <c r="B689" s="1"/>
      <c r="C689" s="1"/>
      <c r="D689" s="1"/>
      <c r="E689" s="1"/>
      <c r="F689" s="1"/>
      <c r="G689" s="1"/>
      <c r="H689" s="1"/>
      <c r="I689" s="1"/>
      <c r="J689" s="1"/>
      <c r="M689" s="3" t="s">
        <v>22</v>
      </c>
      <c r="N689" s="1"/>
      <c r="O689" s="1"/>
      <c r="P689" s="1"/>
      <c r="Q689" s="1"/>
      <c r="R689" s="1"/>
      <c r="S689" s="1"/>
      <c r="T689" s="1"/>
      <c r="U689" s="1"/>
      <c r="V689" s="1"/>
    </row>
    <row r="690" spans="1:23" ht="14.25" thickBot="1" x14ac:dyDescent="0.2">
      <c r="A690" s="7" t="s">
        <v>0</v>
      </c>
      <c r="B690" s="165" t="s">
        <v>24</v>
      </c>
      <c r="C690" s="166"/>
      <c r="D690" s="166"/>
      <c r="E690" s="170"/>
      <c r="F690" s="165" t="s">
        <v>18</v>
      </c>
      <c r="G690" s="166"/>
      <c r="H690" s="166"/>
      <c r="I690" s="167"/>
      <c r="J690" s="168" t="s">
        <v>1</v>
      </c>
      <c r="M690" s="7" t="s">
        <v>0</v>
      </c>
      <c r="N690" s="165" t="s">
        <v>24</v>
      </c>
      <c r="O690" s="166"/>
      <c r="P690" s="166"/>
      <c r="Q690" s="170"/>
      <c r="R690" s="165" t="s">
        <v>18</v>
      </c>
      <c r="S690" s="166"/>
      <c r="T690" s="166"/>
      <c r="U690" s="167"/>
      <c r="V690" s="168" t="s">
        <v>1</v>
      </c>
    </row>
    <row r="691" spans="1:23" ht="14.25" thickBot="1" x14ac:dyDescent="0.2">
      <c r="A691" s="7" t="s">
        <v>2</v>
      </c>
      <c r="B691" s="4" t="s">
        <v>3</v>
      </c>
      <c r="C691" s="5" t="s">
        <v>4</v>
      </c>
      <c r="D691" s="6" t="s">
        <v>5</v>
      </c>
      <c r="E691" s="7" t="s">
        <v>6</v>
      </c>
      <c r="F691" s="4" t="s">
        <v>3</v>
      </c>
      <c r="G691" s="5" t="s">
        <v>4</v>
      </c>
      <c r="H691" s="6" t="s">
        <v>5</v>
      </c>
      <c r="I691" s="7" t="s">
        <v>6</v>
      </c>
      <c r="J691" s="169"/>
      <c r="M691" s="7" t="s">
        <v>2</v>
      </c>
      <c r="N691" s="4" t="s">
        <v>3</v>
      </c>
      <c r="O691" s="5" t="s">
        <v>4</v>
      </c>
      <c r="P691" s="6" t="s">
        <v>5</v>
      </c>
      <c r="Q691" s="7" t="s">
        <v>6</v>
      </c>
      <c r="R691" s="4" t="s">
        <v>3</v>
      </c>
      <c r="S691" s="5" t="s">
        <v>4</v>
      </c>
      <c r="T691" s="6" t="s">
        <v>5</v>
      </c>
      <c r="U691" s="7" t="s">
        <v>6</v>
      </c>
      <c r="V691" s="169"/>
    </row>
    <row r="692" spans="1:23" ht="14.25" thickBot="1" x14ac:dyDescent="0.2">
      <c r="A692" s="27" t="s">
        <v>20</v>
      </c>
      <c r="B692" s="38">
        <f>B686</f>
        <v>13</v>
      </c>
      <c r="C692" s="39">
        <f>C686</f>
        <v>15</v>
      </c>
      <c r="D692" s="2">
        <f>D686</f>
        <v>14</v>
      </c>
      <c r="E692" s="36">
        <f>SUM(B692:D692)</f>
        <v>42</v>
      </c>
      <c r="F692" s="38">
        <f>F686</f>
        <v>11</v>
      </c>
      <c r="G692" s="39">
        <f>G686</f>
        <v>13</v>
      </c>
      <c r="H692" s="2">
        <f>H686</f>
        <v>13</v>
      </c>
      <c r="I692" s="36">
        <f>SUM(F692:H692)</f>
        <v>37</v>
      </c>
      <c r="J692" s="36">
        <f>E692+I692</f>
        <v>79</v>
      </c>
      <c r="M692" s="27" t="s">
        <v>20</v>
      </c>
      <c r="N692" s="38">
        <f>N686</f>
        <v>711</v>
      </c>
      <c r="O692" s="39">
        <f>O686</f>
        <v>942</v>
      </c>
      <c r="P692" s="2">
        <f>P686</f>
        <v>838</v>
      </c>
      <c r="Q692" s="36">
        <f>SUM(N692:P692)</f>
        <v>2491</v>
      </c>
      <c r="R692" s="38">
        <f>R686</f>
        <v>877</v>
      </c>
      <c r="S692" s="39">
        <f>S686</f>
        <v>1092</v>
      </c>
      <c r="T692" s="2">
        <f>T686</f>
        <v>976</v>
      </c>
      <c r="U692" s="36">
        <f>SUM(R692:T692)</f>
        <v>2945</v>
      </c>
      <c r="V692" s="36">
        <f>Q692+U692</f>
        <v>5436</v>
      </c>
    </row>
    <row r="693" spans="1:23" x14ac:dyDescent="0.15">
      <c r="A693" s="25" t="s">
        <v>8</v>
      </c>
      <c r="B693" s="42">
        <v>5</v>
      </c>
      <c r="C693" s="43">
        <v>10</v>
      </c>
      <c r="D693" s="44"/>
      <c r="E693" s="48">
        <f>SUM(B693:D693)</f>
        <v>15</v>
      </c>
      <c r="F693" s="60">
        <v>5</v>
      </c>
      <c r="G693" s="43">
        <v>5</v>
      </c>
      <c r="H693" s="61">
        <v>5</v>
      </c>
      <c r="I693" s="48">
        <f>SUM(F693:H693)</f>
        <v>15</v>
      </c>
      <c r="J693" s="48">
        <f>E693+I693</f>
        <v>30</v>
      </c>
      <c r="K693" s="63">
        <v>44776</v>
      </c>
      <c r="M693" s="25" t="s">
        <v>8</v>
      </c>
      <c r="N693" s="42"/>
      <c r="O693" s="43">
        <v>6</v>
      </c>
      <c r="P693" s="44"/>
      <c r="Q693" s="48">
        <f t="shared" ref="Q693" si="687">SUM(N693:P693)</f>
        <v>6</v>
      </c>
      <c r="R693" s="60"/>
      <c r="S693" s="43"/>
      <c r="T693" s="61"/>
      <c r="U693" s="48">
        <f t="shared" ref="U693" si="688">SUM(R693:T693)</f>
        <v>0</v>
      </c>
      <c r="V693" s="48">
        <f t="shared" ref="V693" si="689">Q693+U693</f>
        <v>6</v>
      </c>
      <c r="W693" s="144">
        <v>44793</v>
      </c>
    </row>
    <row r="694" spans="1:23" x14ac:dyDescent="0.15">
      <c r="A694" s="25" t="s">
        <v>373</v>
      </c>
      <c r="B694" s="8">
        <v>3</v>
      </c>
      <c r="C694" s="9">
        <v>1</v>
      </c>
      <c r="D694" s="52"/>
      <c r="E694" s="11">
        <f>SUM(B694:D694)</f>
        <v>4</v>
      </c>
      <c r="F694" s="12"/>
      <c r="G694" s="9"/>
      <c r="H694" s="10"/>
      <c r="I694" s="11">
        <f>SUM(F694:H694)</f>
        <v>0</v>
      </c>
      <c r="J694" s="11">
        <f>E694+I694</f>
        <v>4</v>
      </c>
      <c r="K694" s="63">
        <v>44779</v>
      </c>
      <c r="M694" s="25" t="s">
        <v>9</v>
      </c>
      <c r="N694" s="8"/>
      <c r="O694" s="9"/>
      <c r="P694" s="52"/>
      <c r="Q694" s="11">
        <f t="shared" ref="Q694:Q700" si="690">SUM(N694:P694)</f>
        <v>0</v>
      </c>
      <c r="R694" s="12"/>
      <c r="S694" s="9"/>
      <c r="T694" s="10"/>
      <c r="U694" s="11">
        <f t="shared" ref="U694:U700" si="691">SUM(R694:T694)</f>
        <v>0</v>
      </c>
      <c r="V694" s="11">
        <f t="shared" ref="V694:V700" si="692">Q694+U694</f>
        <v>0</v>
      </c>
    </row>
    <row r="695" spans="1:23" x14ac:dyDescent="0.15">
      <c r="A695" s="25" t="s">
        <v>10</v>
      </c>
      <c r="B695" s="17"/>
      <c r="C695" s="18"/>
      <c r="D695" s="51"/>
      <c r="E695" s="11">
        <f t="shared" ref="E695:E700" si="693">SUM(B695:D695)</f>
        <v>0</v>
      </c>
      <c r="F695" s="20">
        <v>10</v>
      </c>
      <c r="G695" s="18">
        <v>5</v>
      </c>
      <c r="H695" s="19"/>
      <c r="I695" s="11">
        <f t="shared" ref="I695:I700" si="694">SUM(F695:H695)</f>
        <v>15</v>
      </c>
      <c r="J695" s="11">
        <f t="shared" ref="J695:J700" si="695">E695+I695</f>
        <v>15</v>
      </c>
      <c r="K695" s="63">
        <v>44782</v>
      </c>
      <c r="M695" s="25" t="s">
        <v>10</v>
      </c>
      <c r="N695" s="17"/>
      <c r="O695" s="18"/>
      <c r="P695" s="51"/>
      <c r="Q695" s="49">
        <f t="shared" si="690"/>
        <v>0</v>
      </c>
      <c r="R695" s="20"/>
      <c r="S695" s="18"/>
      <c r="T695" s="19"/>
      <c r="U695" s="49">
        <f t="shared" si="691"/>
        <v>0</v>
      </c>
      <c r="V695" s="49">
        <f t="shared" si="692"/>
        <v>0</v>
      </c>
    </row>
    <row r="696" spans="1:23" x14ac:dyDescent="0.15">
      <c r="A696" s="25" t="s">
        <v>11</v>
      </c>
      <c r="B696" s="8">
        <v>10</v>
      </c>
      <c r="C696" s="9"/>
      <c r="D696" s="52">
        <v>5</v>
      </c>
      <c r="E696" s="11">
        <f t="shared" si="693"/>
        <v>15</v>
      </c>
      <c r="F696" s="12">
        <v>5</v>
      </c>
      <c r="G696" s="9"/>
      <c r="H696" s="10"/>
      <c r="I696" s="11">
        <f t="shared" si="694"/>
        <v>5</v>
      </c>
      <c r="J696" s="11">
        <f t="shared" si="695"/>
        <v>20</v>
      </c>
      <c r="K696" s="63">
        <v>44791</v>
      </c>
      <c r="M696" s="25" t="s">
        <v>11</v>
      </c>
      <c r="N696" s="8"/>
      <c r="O696" s="9"/>
      <c r="P696" s="52"/>
      <c r="Q696" s="11">
        <f t="shared" si="690"/>
        <v>0</v>
      </c>
      <c r="R696" s="12"/>
      <c r="S696" s="9"/>
      <c r="T696" s="10"/>
      <c r="U696" s="11">
        <f t="shared" si="691"/>
        <v>0</v>
      </c>
      <c r="V696" s="11">
        <f t="shared" si="692"/>
        <v>0</v>
      </c>
    </row>
    <row r="697" spans="1:23" x14ac:dyDescent="0.15">
      <c r="A697" s="25" t="s">
        <v>381</v>
      </c>
      <c r="B697" s="8">
        <v>1</v>
      </c>
      <c r="C697" s="9"/>
      <c r="D697" s="52"/>
      <c r="E697" s="11">
        <f t="shared" si="693"/>
        <v>1</v>
      </c>
      <c r="F697" s="12">
        <v>1</v>
      </c>
      <c r="G697" s="9"/>
      <c r="H697" s="10"/>
      <c r="I697" s="11">
        <f t="shared" si="694"/>
        <v>1</v>
      </c>
      <c r="J697" s="11">
        <f t="shared" si="695"/>
        <v>2</v>
      </c>
      <c r="K697" s="71">
        <v>44792</v>
      </c>
      <c r="M697" s="25" t="s">
        <v>12</v>
      </c>
      <c r="N697" s="8"/>
      <c r="O697" s="9"/>
      <c r="P697" s="52"/>
      <c r="Q697" s="11">
        <f t="shared" si="690"/>
        <v>0</v>
      </c>
      <c r="R697" s="12"/>
      <c r="S697" s="9"/>
      <c r="T697" s="10"/>
      <c r="U697" s="11">
        <f t="shared" si="691"/>
        <v>0</v>
      </c>
      <c r="V697" s="11">
        <f t="shared" si="692"/>
        <v>0</v>
      </c>
    </row>
    <row r="698" spans="1:23" x14ac:dyDescent="0.15">
      <c r="A698" s="25" t="s">
        <v>13</v>
      </c>
      <c r="B698" s="8"/>
      <c r="C698" s="9">
        <v>5</v>
      </c>
      <c r="D698" s="52"/>
      <c r="E698" s="11">
        <f t="shared" si="693"/>
        <v>5</v>
      </c>
      <c r="F698" s="12"/>
      <c r="G698" s="9"/>
      <c r="H698" s="10"/>
      <c r="I698" s="11">
        <f t="shared" si="694"/>
        <v>0</v>
      </c>
      <c r="J698" s="11">
        <f t="shared" si="695"/>
        <v>5</v>
      </c>
      <c r="K698" s="63">
        <v>44796</v>
      </c>
      <c r="M698" s="25" t="s">
        <v>13</v>
      </c>
      <c r="N698" s="8"/>
      <c r="O698" s="9"/>
      <c r="P698" s="52"/>
      <c r="Q698" s="11">
        <f t="shared" si="690"/>
        <v>0</v>
      </c>
      <c r="R698" s="12"/>
      <c r="S698" s="9"/>
      <c r="T698" s="10"/>
      <c r="U698" s="11">
        <f t="shared" si="691"/>
        <v>0</v>
      </c>
      <c r="V698" s="11">
        <f t="shared" si="692"/>
        <v>0</v>
      </c>
    </row>
    <row r="699" spans="1:23" x14ac:dyDescent="0.15">
      <c r="A699" s="25" t="s">
        <v>14</v>
      </c>
      <c r="B699" s="13">
        <v>5</v>
      </c>
      <c r="C699" s="14"/>
      <c r="D699" s="53"/>
      <c r="E699" s="11">
        <f t="shared" si="693"/>
        <v>5</v>
      </c>
      <c r="F699" s="16"/>
      <c r="G699" s="14"/>
      <c r="H699" s="15"/>
      <c r="I699" s="11">
        <f t="shared" si="694"/>
        <v>0</v>
      </c>
      <c r="J699" s="11">
        <f t="shared" si="695"/>
        <v>5</v>
      </c>
      <c r="K699" s="63">
        <v>44797</v>
      </c>
      <c r="M699" s="25" t="s">
        <v>14</v>
      </c>
      <c r="N699" s="13"/>
      <c r="O699" s="14"/>
      <c r="P699" s="53"/>
      <c r="Q699" s="11">
        <f t="shared" si="690"/>
        <v>0</v>
      </c>
      <c r="R699" s="16"/>
      <c r="S699" s="14"/>
      <c r="T699" s="15"/>
      <c r="U699" s="11">
        <f t="shared" si="691"/>
        <v>0</v>
      </c>
      <c r="V699" s="11">
        <f t="shared" si="692"/>
        <v>0</v>
      </c>
    </row>
    <row r="700" spans="1:23" ht="14.25" thickBot="1" x14ac:dyDescent="0.2">
      <c r="A700" s="25" t="s">
        <v>15</v>
      </c>
      <c r="B700" s="13"/>
      <c r="C700" s="14"/>
      <c r="D700" s="53"/>
      <c r="E700" s="62">
        <f t="shared" si="693"/>
        <v>0</v>
      </c>
      <c r="F700" s="34"/>
      <c r="G700" s="34"/>
      <c r="H700" s="37"/>
      <c r="I700" s="62">
        <f t="shared" si="694"/>
        <v>0</v>
      </c>
      <c r="J700" s="21">
        <f t="shared" si="695"/>
        <v>0</v>
      </c>
      <c r="M700" s="25" t="s">
        <v>15</v>
      </c>
      <c r="N700" s="13"/>
      <c r="O700" s="14"/>
      <c r="P700" s="53"/>
      <c r="Q700" s="62">
        <f t="shared" si="690"/>
        <v>0</v>
      </c>
      <c r="R700" s="34"/>
      <c r="S700" s="34"/>
      <c r="T700" s="37"/>
      <c r="U700" s="62">
        <f t="shared" si="691"/>
        <v>0</v>
      </c>
      <c r="V700" s="21">
        <f t="shared" si="692"/>
        <v>0</v>
      </c>
    </row>
    <row r="701" spans="1:23" ht="14.25" thickBot="1" x14ac:dyDescent="0.2">
      <c r="A701" s="35" t="s">
        <v>16</v>
      </c>
      <c r="B701" s="28">
        <f>SUM(B692:B700)</f>
        <v>37</v>
      </c>
      <c r="C701" s="29">
        <f t="shared" ref="C701:D701" si="696">SUM(C692:C700)</f>
        <v>31</v>
      </c>
      <c r="D701" s="68">
        <f t="shared" si="696"/>
        <v>19</v>
      </c>
      <c r="E701" s="64">
        <f>SUM(B701:D701)</f>
        <v>87</v>
      </c>
      <c r="F701" s="28">
        <f>SUM(F692:F700)</f>
        <v>32</v>
      </c>
      <c r="G701" s="29">
        <f t="shared" ref="G701:H701" si="697">SUM(G692:G700)</f>
        <v>23</v>
      </c>
      <c r="H701" s="68">
        <f t="shared" si="697"/>
        <v>18</v>
      </c>
      <c r="I701" s="64">
        <f>SUM(F701:H701)</f>
        <v>73</v>
      </c>
      <c r="J701" s="31">
        <f>SUM(J693:J700)</f>
        <v>81</v>
      </c>
      <c r="M701" s="35" t="s">
        <v>16</v>
      </c>
      <c r="N701" s="28">
        <f>SUM(N692:N700)</f>
        <v>711</v>
      </c>
      <c r="O701" s="29">
        <f t="shared" ref="O701:P701" si="698">SUM(O692:O700)</f>
        <v>948</v>
      </c>
      <c r="P701" s="68">
        <f t="shared" si="698"/>
        <v>838</v>
      </c>
      <c r="Q701" s="64">
        <f>SUM(N701:P701)</f>
        <v>2497</v>
      </c>
      <c r="R701" s="28">
        <f>SUM(R692:R700)</f>
        <v>877</v>
      </c>
      <c r="S701" s="29">
        <f t="shared" ref="S701:T701" si="699">SUM(S692:S700)</f>
        <v>1092</v>
      </c>
      <c r="T701" s="68">
        <f t="shared" si="699"/>
        <v>976</v>
      </c>
      <c r="U701" s="64">
        <f>SUM(R701:T701)</f>
        <v>2945</v>
      </c>
      <c r="V701" s="31">
        <f>Q701+U701</f>
        <v>5442</v>
      </c>
    </row>
    <row r="702" spans="1:23" x14ac:dyDescent="0.15">
      <c r="A702" s="25" t="s">
        <v>33</v>
      </c>
      <c r="B702" s="65"/>
      <c r="C702" s="66"/>
      <c r="D702" s="67"/>
      <c r="E702" s="49">
        <f>SUM(B702:D702)</f>
        <v>0</v>
      </c>
      <c r="F702" s="16">
        <v>1</v>
      </c>
      <c r="G702" s="14"/>
      <c r="H702" s="15">
        <v>1</v>
      </c>
      <c r="I702" s="49">
        <f>SUM(F702:H702)</f>
        <v>2</v>
      </c>
      <c r="J702" s="11">
        <f>E702+I702</f>
        <v>2</v>
      </c>
      <c r="K702" s="71">
        <v>44770</v>
      </c>
      <c r="M702" s="23" t="s">
        <v>375</v>
      </c>
      <c r="N702" s="65">
        <v>90</v>
      </c>
      <c r="O702" s="66">
        <v>30</v>
      </c>
      <c r="P702" s="67">
        <v>5</v>
      </c>
      <c r="Q702" s="49">
        <f>SUM(N702:P702)</f>
        <v>125</v>
      </c>
      <c r="R702" s="16">
        <v>30</v>
      </c>
      <c r="S702" s="14">
        <v>20</v>
      </c>
      <c r="T702" s="15">
        <v>20</v>
      </c>
      <c r="U702" s="49">
        <f>SUM(R702:T702)</f>
        <v>70</v>
      </c>
      <c r="V702" s="11">
        <f>Q702+U702</f>
        <v>195</v>
      </c>
      <c r="W702" s="140">
        <v>44770</v>
      </c>
    </row>
    <row r="703" spans="1:23" x14ac:dyDescent="0.15">
      <c r="A703" s="26" t="s">
        <v>329</v>
      </c>
      <c r="B703" s="8"/>
      <c r="C703" s="9">
        <v>1</v>
      </c>
      <c r="D703" s="10"/>
      <c r="E703" s="49">
        <f t="shared" ref="E703:E728" si="700">SUM(B703:D703)</f>
        <v>1</v>
      </c>
      <c r="F703" s="12"/>
      <c r="G703" s="9">
        <v>1</v>
      </c>
      <c r="H703" s="10"/>
      <c r="I703" s="49">
        <f t="shared" ref="I703:I728" si="701">SUM(F703:H703)</f>
        <v>1</v>
      </c>
      <c r="J703" s="11">
        <f t="shared" ref="J703:J727" si="702">E703+I703</f>
        <v>2</v>
      </c>
      <c r="K703" s="63">
        <v>44774</v>
      </c>
      <c r="M703" s="23" t="s">
        <v>376</v>
      </c>
      <c r="N703" s="8"/>
      <c r="O703" s="9">
        <v>10</v>
      </c>
      <c r="P703" s="10">
        <v>20</v>
      </c>
      <c r="Q703" s="49">
        <f>SUM(N703:P703)</f>
        <v>30</v>
      </c>
      <c r="R703" s="12">
        <v>5</v>
      </c>
      <c r="S703" s="9">
        <v>5</v>
      </c>
      <c r="T703" s="10">
        <v>5</v>
      </c>
      <c r="U703" s="49">
        <f>SUM(R703:T703)</f>
        <v>15</v>
      </c>
      <c r="V703" s="11">
        <f>Q703+U703</f>
        <v>45</v>
      </c>
      <c r="W703" s="140">
        <v>44771</v>
      </c>
    </row>
    <row r="704" spans="1:23" x14ac:dyDescent="0.15">
      <c r="A704" s="25" t="s">
        <v>33</v>
      </c>
      <c r="B704" s="8">
        <v>1</v>
      </c>
      <c r="C704" s="9">
        <v>2</v>
      </c>
      <c r="D704" s="10"/>
      <c r="E704" s="49">
        <f t="shared" si="700"/>
        <v>3</v>
      </c>
      <c r="F704" s="12"/>
      <c r="G704" s="9"/>
      <c r="H704" s="10"/>
      <c r="I704" s="49">
        <f t="shared" si="701"/>
        <v>0</v>
      </c>
      <c r="J704" s="11">
        <f t="shared" si="702"/>
        <v>3</v>
      </c>
      <c r="K704" s="71">
        <v>44772</v>
      </c>
      <c r="M704" s="23" t="s">
        <v>377</v>
      </c>
      <c r="N704" s="8"/>
      <c r="O704" s="9"/>
      <c r="P704" s="10"/>
      <c r="Q704" s="49">
        <f t="shared" ref="Q704:Q728" si="703">SUM(N704:P704)</f>
        <v>0</v>
      </c>
      <c r="R704" s="12">
        <v>5</v>
      </c>
      <c r="S704" s="9"/>
      <c r="T704" s="10">
        <v>10</v>
      </c>
      <c r="U704" s="49">
        <f t="shared" ref="U704:U728" si="704">SUM(R704:T704)</f>
        <v>15</v>
      </c>
      <c r="V704" s="11">
        <f t="shared" ref="V704:V727" si="705">Q704+U704</f>
        <v>15</v>
      </c>
      <c r="W704" s="140">
        <v>44772</v>
      </c>
    </row>
    <row r="705" spans="1:24" x14ac:dyDescent="0.15">
      <c r="A705" s="25" t="s">
        <v>33</v>
      </c>
      <c r="B705" s="8">
        <v>1</v>
      </c>
      <c r="C705" s="9"/>
      <c r="D705" s="10"/>
      <c r="E705" s="49">
        <f t="shared" si="700"/>
        <v>1</v>
      </c>
      <c r="F705" s="12">
        <v>1</v>
      </c>
      <c r="G705" s="9"/>
      <c r="H705" s="10">
        <f>1+1</f>
        <v>2</v>
      </c>
      <c r="I705" s="49">
        <f t="shared" si="701"/>
        <v>3</v>
      </c>
      <c r="J705" s="11">
        <f t="shared" si="702"/>
        <v>4</v>
      </c>
      <c r="K705" s="71">
        <v>44774</v>
      </c>
      <c r="M705" s="26" t="s">
        <v>329</v>
      </c>
      <c r="N705" s="8"/>
      <c r="O705" s="9">
        <v>2</v>
      </c>
      <c r="P705" s="10"/>
      <c r="Q705" s="49">
        <f t="shared" si="703"/>
        <v>2</v>
      </c>
      <c r="R705" s="12"/>
      <c r="S705" s="9">
        <v>2</v>
      </c>
      <c r="T705" s="10"/>
      <c r="U705" s="49">
        <f t="shared" si="704"/>
        <v>2</v>
      </c>
      <c r="V705" s="11">
        <f t="shared" si="705"/>
        <v>4</v>
      </c>
      <c r="W705" s="140">
        <v>44775</v>
      </c>
      <c r="X705" s="82"/>
    </row>
    <row r="706" spans="1:24" x14ac:dyDescent="0.15">
      <c r="A706" s="26" t="s">
        <v>329</v>
      </c>
      <c r="B706" s="8"/>
      <c r="C706" s="9">
        <v>2</v>
      </c>
      <c r="D706" s="10"/>
      <c r="E706" s="49">
        <f t="shared" ref="E706:E710" si="706">SUM(B706:D706)</f>
        <v>2</v>
      </c>
      <c r="F706" s="12"/>
      <c r="G706" s="9">
        <v>2</v>
      </c>
      <c r="H706" s="10"/>
      <c r="I706" s="49">
        <f t="shared" ref="I706:I710" si="707">SUM(F706:H706)</f>
        <v>2</v>
      </c>
      <c r="J706" s="11">
        <f t="shared" ref="J706:J710" si="708">E706+I706</f>
        <v>4</v>
      </c>
      <c r="K706" s="63">
        <v>44776</v>
      </c>
      <c r="M706" s="119" t="s">
        <v>28</v>
      </c>
      <c r="N706" s="8">
        <v>5</v>
      </c>
      <c r="O706" s="9">
        <v>10</v>
      </c>
      <c r="P706" s="10"/>
      <c r="Q706" s="49">
        <f>SUM(N706:P706)</f>
        <v>15</v>
      </c>
      <c r="R706" s="12">
        <v>5</v>
      </c>
      <c r="S706" s="9">
        <v>5</v>
      </c>
      <c r="T706" s="10">
        <v>5</v>
      </c>
      <c r="U706" s="49">
        <f>SUM(R706:T706)</f>
        <v>15</v>
      </c>
      <c r="V706" s="11">
        <f>Q706+U706</f>
        <v>30</v>
      </c>
      <c r="W706" s="140">
        <v>44776</v>
      </c>
      <c r="X706" s="82"/>
    </row>
    <row r="707" spans="1:24" x14ac:dyDescent="0.15">
      <c r="A707" s="25" t="s">
        <v>33</v>
      </c>
      <c r="B707" s="8">
        <v>1</v>
      </c>
      <c r="C707" s="9"/>
      <c r="D707" s="10"/>
      <c r="E707" s="49">
        <f t="shared" si="706"/>
        <v>1</v>
      </c>
      <c r="F707" s="12"/>
      <c r="G707" s="9"/>
      <c r="H707" s="10"/>
      <c r="I707" s="49">
        <f t="shared" si="707"/>
        <v>0</v>
      </c>
      <c r="J707" s="11">
        <f t="shared" si="708"/>
        <v>1</v>
      </c>
      <c r="K707" s="71">
        <v>44775</v>
      </c>
      <c r="M707" s="26" t="s">
        <v>378</v>
      </c>
      <c r="N707" s="8"/>
      <c r="O707" s="9">
        <v>2</v>
      </c>
      <c r="P707" s="10"/>
      <c r="Q707" s="49">
        <f t="shared" ref="Q707" si="709">SUM(N707:P707)</f>
        <v>2</v>
      </c>
      <c r="R707" s="12"/>
      <c r="S707" s="9">
        <v>2</v>
      </c>
      <c r="T707" s="10"/>
      <c r="U707" s="49">
        <f t="shared" ref="U707" si="710">SUM(R707:T707)</f>
        <v>2</v>
      </c>
      <c r="V707" s="11">
        <f t="shared" ref="V707" si="711">Q707+U707</f>
        <v>4</v>
      </c>
      <c r="W707" s="140">
        <v>44781</v>
      </c>
      <c r="X707" s="82"/>
    </row>
    <row r="708" spans="1:24" x14ac:dyDescent="0.15">
      <c r="A708" s="25" t="s">
        <v>33</v>
      </c>
      <c r="B708" s="8"/>
      <c r="C708" s="9">
        <v>1</v>
      </c>
      <c r="D708" s="10"/>
      <c r="E708" s="49">
        <f t="shared" si="706"/>
        <v>1</v>
      </c>
      <c r="F708" s="12">
        <v>3</v>
      </c>
      <c r="G708" s="9"/>
      <c r="H708" s="10"/>
      <c r="I708" s="49">
        <f t="shared" si="707"/>
        <v>3</v>
      </c>
      <c r="J708" s="11">
        <f t="shared" si="708"/>
        <v>4</v>
      </c>
      <c r="K708" s="71">
        <v>44776</v>
      </c>
      <c r="M708" s="26" t="s">
        <v>379</v>
      </c>
      <c r="N708" s="8"/>
      <c r="O708" s="9"/>
      <c r="P708" s="10">
        <v>10</v>
      </c>
      <c r="Q708" s="49">
        <f t="shared" ref="Q708:Q711" si="712">SUM(N708:P708)</f>
        <v>10</v>
      </c>
      <c r="R708" s="12"/>
      <c r="S708" s="9"/>
      <c r="T708" s="10">
        <v>5</v>
      </c>
      <c r="U708" s="49">
        <f t="shared" ref="U708:U711" si="713">SUM(R708:T708)</f>
        <v>5</v>
      </c>
      <c r="V708" s="11">
        <f t="shared" ref="V708:V711" si="714">Q708+U708</f>
        <v>15</v>
      </c>
      <c r="W708" s="140">
        <v>44792</v>
      </c>
      <c r="X708" s="82"/>
    </row>
    <row r="709" spans="1:24" x14ac:dyDescent="0.15">
      <c r="A709" s="25" t="s">
        <v>33</v>
      </c>
      <c r="B709" s="8"/>
      <c r="C709" s="9"/>
      <c r="D709" s="10"/>
      <c r="E709" s="49">
        <f t="shared" si="706"/>
        <v>0</v>
      </c>
      <c r="F709" s="12"/>
      <c r="G709" s="9"/>
      <c r="H709" s="10">
        <v>1</v>
      </c>
      <c r="I709" s="49">
        <f t="shared" si="707"/>
        <v>1</v>
      </c>
      <c r="J709" s="11">
        <f t="shared" si="708"/>
        <v>1</v>
      </c>
      <c r="K709" s="71">
        <v>44777</v>
      </c>
      <c r="M709" s="26" t="s">
        <v>380</v>
      </c>
      <c r="N709" s="8"/>
      <c r="O709" s="9">
        <v>5</v>
      </c>
      <c r="P709" s="10">
        <v>5</v>
      </c>
      <c r="Q709" s="49">
        <f t="shared" si="712"/>
        <v>10</v>
      </c>
      <c r="R709" s="12"/>
      <c r="S709" s="9">
        <v>5</v>
      </c>
      <c r="T709" s="10">
        <v>5</v>
      </c>
      <c r="U709" s="49">
        <f t="shared" si="713"/>
        <v>10</v>
      </c>
      <c r="V709" s="11">
        <f t="shared" si="714"/>
        <v>20</v>
      </c>
      <c r="W709" s="140">
        <v>44792</v>
      </c>
    </row>
    <row r="710" spans="1:24" x14ac:dyDescent="0.15">
      <c r="A710" s="25" t="s">
        <v>33</v>
      </c>
      <c r="B710" s="13">
        <v>1</v>
      </c>
      <c r="C710" s="14"/>
      <c r="D710" s="15"/>
      <c r="E710" s="49">
        <f t="shared" si="706"/>
        <v>1</v>
      </c>
      <c r="F710" s="16">
        <v>2</v>
      </c>
      <c r="G710" s="14"/>
      <c r="H710" s="15">
        <v>2</v>
      </c>
      <c r="I710" s="49">
        <f t="shared" si="707"/>
        <v>4</v>
      </c>
      <c r="J710" s="11">
        <f t="shared" si="708"/>
        <v>5</v>
      </c>
      <c r="K710" s="71">
        <v>44778</v>
      </c>
      <c r="M710" s="119" t="s">
        <v>28</v>
      </c>
      <c r="N710" s="8"/>
      <c r="O710" s="9"/>
      <c r="P710" s="10"/>
      <c r="Q710" s="49">
        <f t="shared" si="712"/>
        <v>0</v>
      </c>
      <c r="R710" s="12">
        <v>10</v>
      </c>
      <c r="S710" s="9">
        <v>5</v>
      </c>
      <c r="T710" s="10"/>
      <c r="U710" s="49">
        <f t="shared" si="713"/>
        <v>15</v>
      </c>
      <c r="V710" s="11">
        <f t="shared" si="714"/>
        <v>15</v>
      </c>
      <c r="W710" s="140">
        <v>44782</v>
      </c>
    </row>
    <row r="711" spans="1:24" x14ac:dyDescent="0.15">
      <c r="A711" s="25" t="s">
        <v>33</v>
      </c>
      <c r="B711" s="13">
        <v>1</v>
      </c>
      <c r="C711" s="14"/>
      <c r="D711" s="15"/>
      <c r="E711" s="49">
        <f t="shared" si="700"/>
        <v>1</v>
      </c>
      <c r="F711" s="16">
        <v>1</v>
      </c>
      <c r="G711" s="14"/>
      <c r="H711" s="15"/>
      <c r="I711" s="49">
        <f t="shared" si="701"/>
        <v>1</v>
      </c>
      <c r="J711" s="11">
        <f t="shared" si="702"/>
        <v>2</v>
      </c>
      <c r="K711" s="71">
        <v>44779</v>
      </c>
      <c r="M711" s="119" t="s">
        <v>28</v>
      </c>
      <c r="N711" s="13">
        <v>10</v>
      </c>
      <c r="O711" s="14"/>
      <c r="P711" s="15">
        <v>5</v>
      </c>
      <c r="Q711" s="49">
        <f t="shared" si="712"/>
        <v>15</v>
      </c>
      <c r="R711" s="16">
        <v>5</v>
      </c>
      <c r="S711" s="14"/>
      <c r="T711" s="15"/>
      <c r="U711" s="49">
        <f t="shared" si="713"/>
        <v>5</v>
      </c>
      <c r="V711" s="11">
        <f t="shared" si="714"/>
        <v>20</v>
      </c>
      <c r="W711" s="140">
        <v>44791</v>
      </c>
    </row>
    <row r="712" spans="1:24" x14ac:dyDescent="0.15">
      <c r="A712" s="25" t="s">
        <v>33</v>
      </c>
      <c r="B712" s="8">
        <f>1+1</f>
        <v>2</v>
      </c>
      <c r="C712" s="9">
        <v>1</v>
      </c>
      <c r="D712" s="10"/>
      <c r="E712" s="49">
        <f t="shared" si="700"/>
        <v>3</v>
      </c>
      <c r="F712" s="12">
        <v>1</v>
      </c>
      <c r="G712" s="9">
        <v>3</v>
      </c>
      <c r="H712" s="10"/>
      <c r="I712" s="49">
        <f t="shared" si="701"/>
        <v>4</v>
      </c>
      <c r="J712" s="11">
        <f t="shared" si="702"/>
        <v>7</v>
      </c>
      <c r="K712" s="71">
        <v>44781</v>
      </c>
      <c r="M712" s="119" t="s">
        <v>28</v>
      </c>
      <c r="N712" s="8"/>
      <c r="O712" s="9">
        <v>5</v>
      </c>
      <c r="P712" s="10"/>
      <c r="Q712" s="49">
        <f t="shared" si="703"/>
        <v>5</v>
      </c>
      <c r="R712" s="12"/>
      <c r="S712" s="9"/>
      <c r="T712" s="10"/>
      <c r="U712" s="49">
        <f t="shared" si="704"/>
        <v>0</v>
      </c>
      <c r="V712" s="11">
        <f t="shared" si="705"/>
        <v>5</v>
      </c>
      <c r="W712" s="140">
        <v>44796</v>
      </c>
    </row>
    <row r="713" spans="1:24" x14ac:dyDescent="0.15">
      <c r="A713" s="25" t="s">
        <v>33</v>
      </c>
      <c r="B713" s="8">
        <v>1</v>
      </c>
      <c r="C713" s="9"/>
      <c r="D713" s="10">
        <v>1</v>
      </c>
      <c r="E713" s="49">
        <f t="shared" si="700"/>
        <v>2</v>
      </c>
      <c r="F713" s="12"/>
      <c r="G713" s="9"/>
      <c r="H713" s="10">
        <v>1</v>
      </c>
      <c r="I713" s="49">
        <f t="shared" si="701"/>
        <v>1</v>
      </c>
      <c r="J713" s="11">
        <f t="shared" si="702"/>
        <v>3</v>
      </c>
      <c r="K713" s="71">
        <v>44782</v>
      </c>
      <c r="M713" s="26" t="s">
        <v>329</v>
      </c>
      <c r="N713" s="8"/>
      <c r="O713" s="9"/>
      <c r="P713" s="10">
        <v>2</v>
      </c>
      <c r="Q713" s="49">
        <f t="shared" si="703"/>
        <v>2</v>
      </c>
      <c r="R713" s="12"/>
      <c r="S713" s="9"/>
      <c r="T713" s="10">
        <v>2</v>
      </c>
      <c r="U713" s="49">
        <f t="shared" si="704"/>
        <v>2</v>
      </c>
      <c r="V713" s="11">
        <f t="shared" si="705"/>
        <v>4</v>
      </c>
      <c r="W713" s="140">
        <v>44797</v>
      </c>
    </row>
    <row r="714" spans="1:24" x14ac:dyDescent="0.15">
      <c r="A714" s="26" t="s">
        <v>329</v>
      </c>
      <c r="B714" s="8">
        <v>3</v>
      </c>
      <c r="C714" s="9"/>
      <c r="D714" s="10"/>
      <c r="E714" s="49">
        <f t="shared" si="700"/>
        <v>3</v>
      </c>
      <c r="F714" s="12">
        <v>3</v>
      </c>
      <c r="G714" s="9"/>
      <c r="H714" s="10"/>
      <c r="I714" s="49">
        <f t="shared" si="701"/>
        <v>3</v>
      </c>
      <c r="J714" s="11">
        <f t="shared" si="702"/>
        <v>6</v>
      </c>
      <c r="K714" s="63">
        <v>44785</v>
      </c>
      <c r="L714" s="82"/>
      <c r="M714" s="119" t="s">
        <v>28</v>
      </c>
      <c r="N714" s="8">
        <v>5</v>
      </c>
      <c r="O714" s="9"/>
      <c r="P714" s="10"/>
      <c r="Q714" s="49">
        <f t="shared" si="703"/>
        <v>5</v>
      </c>
      <c r="R714" s="12"/>
      <c r="S714" s="9"/>
      <c r="T714" s="10"/>
      <c r="U714" s="49">
        <f t="shared" si="704"/>
        <v>0</v>
      </c>
      <c r="V714" s="11">
        <f t="shared" si="705"/>
        <v>5</v>
      </c>
      <c r="W714" s="140">
        <v>44797</v>
      </c>
    </row>
    <row r="715" spans="1:24" x14ac:dyDescent="0.15">
      <c r="A715" s="25" t="s">
        <v>33</v>
      </c>
      <c r="B715" s="8"/>
      <c r="C715" s="9"/>
      <c r="D715" s="10">
        <v>1</v>
      </c>
      <c r="E715" s="49">
        <f t="shared" si="700"/>
        <v>1</v>
      </c>
      <c r="F715" s="12"/>
      <c r="G715" s="9"/>
      <c r="H715" s="10">
        <v>1</v>
      </c>
      <c r="I715" s="49">
        <f t="shared" si="701"/>
        <v>1</v>
      </c>
      <c r="J715" s="11">
        <f t="shared" si="702"/>
        <v>2</v>
      </c>
      <c r="K715" s="71">
        <v>44783</v>
      </c>
      <c r="M715" s="26" t="s">
        <v>384</v>
      </c>
      <c r="N715" s="8"/>
      <c r="O715" s="9"/>
      <c r="P715" s="10">
        <v>10</v>
      </c>
      <c r="Q715" s="49">
        <f t="shared" si="703"/>
        <v>10</v>
      </c>
      <c r="R715" s="12">
        <v>10</v>
      </c>
      <c r="S715" s="9"/>
      <c r="T715" s="10"/>
      <c r="U715" s="49">
        <f t="shared" si="704"/>
        <v>10</v>
      </c>
      <c r="V715" s="11">
        <f t="shared" si="705"/>
        <v>20</v>
      </c>
      <c r="W715" s="140">
        <v>44798</v>
      </c>
    </row>
    <row r="716" spans="1:24" x14ac:dyDescent="0.15">
      <c r="A716" s="26" t="s">
        <v>329</v>
      </c>
      <c r="B716" s="8">
        <v>4</v>
      </c>
      <c r="C716" s="9">
        <v>2</v>
      </c>
      <c r="D716" s="10">
        <v>1</v>
      </c>
      <c r="E716" s="49">
        <f t="shared" si="700"/>
        <v>7</v>
      </c>
      <c r="F716" s="12">
        <v>4</v>
      </c>
      <c r="G716" s="9">
        <v>2</v>
      </c>
      <c r="H716" s="10">
        <v>1</v>
      </c>
      <c r="I716" s="49">
        <f t="shared" si="701"/>
        <v>7</v>
      </c>
      <c r="J716" s="11">
        <f t="shared" si="702"/>
        <v>14</v>
      </c>
      <c r="K716" s="63">
        <v>44791</v>
      </c>
      <c r="M716" s="26" t="s">
        <v>385</v>
      </c>
      <c r="N716" s="8"/>
      <c r="O716" s="9">
        <v>10</v>
      </c>
      <c r="P716" s="10">
        <v>15</v>
      </c>
      <c r="Q716" s="49">
        <f t="shared" si="703"/>
        <v>25</v>
      </c>
      <c r="R716" s="12">
        <v>20</v>
      </c>
      <c r="S716" s="9">
        <v>10</v>
      </c>
      <c r="T716" s="10"/>
      <c r="U716" s="49">
        <f t="shared" si="704"/>
        <v>30</v>
      </c>
      <c r="V716" s="11">
        <f t="shared" si="705"/>
        <v>55</v>
      </c>
      <c r="W716" s="140">
        <v>44799</v>
      </c>
    </row>
    <row r="717" spans="1:24" x14ac:dyDescent="0.15">
      <c r="A717" s="25" t="s">
        <v>33</v>
      </c>
      <c r="B717" s="8"/>
      <c r="C717" s="9"/>
      <c r="D717" s="10">
        <f>1+2</f>
        <v>3</v>
      </c>
      <c r="E717" s="49">
        <f t="shared" si="700"/>
        <v>3</v>
      </c>
      <c r="F717" s="12"/>
      <c r="G717" s="9"/>
      <c r="H717" s="10"/>
      <c r="I717" s="49">
        <f t="shared" si="701"/>
        <v>0</v>
      </c>
      <c r="J717" s="11">
        <f t="shared" si="702"/>
        <v>3</v>
      </c>
      <c r="K717" s="71">
        <v>44784</v>
      </c>
      <c r="M717" s="26" t="s">
        <v>386</v>
      </c>
      <c r="N717" s="8">
        <v>25</v>
      </c>
      <c r="O717" s="9">
        <v>15</v>
      </c>
      <c r="P717" s="10">
        <v>35</v>
      </c>
      <c r="Q717" s="49">
        <f t="shared" si="703"/>
        <v>75</v>
      </c>
      <c r="R717" s="12">
        <v>10</v>
      </c>
      <c r="S717" s="9"/>
      <c r="T717" s="10">
        <v>5</v>
      </c>
      <c r="U717" s="49">
        <f t="shared" si="704"/>
        <v>15</v>
      </c>
      <c r="V717" s="11">
        <f t="shared" si="705"/>
        <v>90</v>
      </c>
      <c r="W717" s="140">
        <v>44799</v>
      </c>
    </row>
    <row r="718" spans="1:24" x14ac:dyDescent="0.15">
      <c r="A718" s="25" t="s">
        <v>33</v>
      </c>
      <c r="B718" s="8">
        <v>1</v>
      </c>
      <c r="C718" s="9"/>
      <c r="D718" s="10"/>
      <c r="E718" s="49">
        <f t="shared" si="700"/>
        <v>1</v>
      </c>
      <c r="F718" s="12"/>
      <c r="G718" s="9">
        <v>1</v>
      </c>
      <c r="H718" s="10"/>
      <c r="I718" s="49">
        <f t="shared" si="701"/>
        <v>1</v>
      </c>
      <c r="J718" s="11">
        <f t="shared" si="702"/>
        <v>2</v>
      </c>
      <c r="K718" s="71">
        <v>44790</v>
      </c>
      <c r="M718" s="26" t="s">
        <v>329</v>
      </c>
      <c r="N718" s="8"/>
      <c r="O718" s="9"/>
      <c r="P718" s="10">
        <v>3</v>
      </c>
      <c r="Q718" s="49">
        <f t="shared" si="703"/>
        <v>3</v>
      </c>
      <c r="R718" s="12"/>
      <c r="S718" s="9"/>
      <c r="T718" s="10">
        <v>3</v>
      </c>
      <c r="U718" s="49">
        <f t="shared" si="704"/>
        <v>3</v>
      </c>
      <c r="V718" s="11">
        <f t="shared" si="705"/>
        <v>6</v>
      </c>
      <c r="W718" s="140">
        <v>44799</v>
      </c>
    </row>
    <row r="719" spans="1:24" x14ac:dyDescent="0.15">
      <c r="A719" s="26" t="s">
        <v>329</v>
      </c>
      <c r="B719" s="8">
        <v>3</v>
      </c>
      <c r="C719" s="9">
        <v>1</v>
      </c>
      <c r="D719" s="10">
        <v>3</v>
      </c>
      <c r="E719" s="49">
        <f t="shared" si="700"/>
        <v>7</v>
      </c>
      <c r="F719" s="12">
        <v>3</v>
      </c>
      <c r="G719" s="9">
        <v>1</v>
      </c>
      <c r="H719" s="10">
        <v>3</v>
      </c>
      <c r="I719" s="49">
        <f t="shared" si="701"/>
        <v>7</v>
      </c>
      <c r="J719" s="11">
        <f t="shared" si="702"/>
        <v>14</v>
      </c>
      <c r="K719" s="63">
        <v>44792</v>
      </c>
      <c r="L719" s="82"/>
      <c r="M719" s="26" t="s">
        <v>387</v>
      </c>
      <c r="N719" s="8">
        <v>20</v>
      </c>
      <c r="O719" s="9">
        <v>20</v>
      </c>
      <c r="P719" s="10">
        <v>10</v>
      </c>
      <c r="Q719" s="49">
        <f t="shared" si="703"/>
        <v>50</v>
      </c>
      <c r="R719" s="12"/>
      <c r="S719" s="9"/>
      <c r="T719" s="10"/>
      <c r="U719" s="49">
        <f t="shared" si="704"/>
        <v>0</v>
      </c>
      <c r="V719" s="11">
        <f t="shared" si="705"/>
        <v>50</v>
      </c>
      <c r="W719" s="140">
        <v>44800</v>
      </c>
    </row>
    <row r="720" spans="1:24" x14ac:dyDescent="0.15">
      <c r="A720" s="26" t="s">
        <v>329</v>
      </c>
      <c r="B720" s="8">
        <v>2</v>
      </c>
      <c r="C720" s="9"/>
      <c r="D720" s="10"/>
      <c r="E720" s="49">
        <f t="shared" si="700"/>
        <v>2</v>
      </c>
      <c r="F720" s="12">
        <v>2</v>
      </c>
      <c r="G720" s="9"/>
      <c r="H720" s="10"/>
      <c r="I720" s="49">
        <f t="shared" si="701"/>
        <v>2</v>
      </c>
      <c r="J720" s="11">
        <f t="shared" si="702"/>
        <v>4</v>
      </c>
      <c r="K720" s="63">
        <v>44795</v>
      </c>
      <c r="M720" s="26" t="s">
        <v>389</v>
      </c>
      <c r="N720" s="8"/>
      <c r="O720" s="9">
        <v>20</v>
      </c>
      <c r="P720" s="10"/>
      <c r="Q720" s="49">
        <f t="shared" si="703"/>
        <v>20</v>
      </c>
      <c r="R720" s="12"/>
      <c r="S720" s="9">
        <v>10</v>
      </c>
      <c r="T720" s="10"/>
      <c r="U720" s="49">
        <f t="shared" si="704"/>
        <v>10</v>
      </c>
      <c r="V720" s="11">
        <f t="shared" si="705"/>
        <v>30</v>
      </c>
      <c r="W720" s="140">
        <v>44800</v>
      </c>
      <c r="X720" s="82"/>
    </row>
    <row r="721" spans="1:23" x14ac:dyDescent="0.15">
      <c r="A721" s="23" t="s">
        <v>382</v>
      </c>
      <c r="B721" s="8"/>
      <c r="C721" s="9">
        <v>6</v>
      </c>
      <c r="D721" s="10"/>
      <c r="E721" s="49">
        <f t="shared" si="700"/>
        <v>6</v>
      </c>
      <c r="F721" s="12"/>
      <c r="G721" s="9"/>
      <c r="H721" s="10"/>
      <c r="I721" s="49">
        <f t="shared" si="701"/>
        <v>0</v>
      </c>
      <c r="J721" s="11">
        <f t="shared" si="702"/>
        <v>6</v>
      </c>
      <c r="K721" s="71">
        <v>44793</v>
      </c>
      <c r="M721" s="26"/>
      <c r="N721" s="8"/>
      <c r="O721" s="9"/>
      <c r="P721" s="10"/>
      <c r="Q721" s="49">
        <f t="shared" si="703"/>
        <v>0</v>
      </c>
      <c r="R721" s="12"/>
      <c r="S721" s="9"/>
      <c r="T721" s="10"/>
      <c r="U721" s="49">
        <f t="shared" si="704"/>
        <v>0</v>
      </c>
      <c r="V721" s="11">
        <f t="shared" si="705"/>
        <v>0</v>
      </c>
      <c r="W721" s="142"/>
    </row>
    <row r="722" spans="1:23" x14ac:dyDescent="0.15">
      <c r="A722" s="25" t="s">
        <v>33</v>
      </c>
      <c r="B722" s="8"/>
      <c r="C722" s="9"/>
      <c r="D722" s="10"/>
      <c r="E722" s="49">
        <f t="shared" si="700"/>
        <v>0</v>
      </c>
      <c r="F722" s="12"/>
      <c r="G722" s="9"/>
      <c r="H722" s="10">
        <v>1</v>
      </c>
      <c r="I722" s="49">
        <f t="shared" si="701"/>
        <v>1</v>
      </c>
      <c r="J722" s="11">
        <f t="shared" si="702"/>
        <v>1</v>
      </c>
      <c r="K722" s="71">
        <v>44793</v>
      </c>
      <c r="M722" s="26"/>
      <c r="N722" s="8"/>
      <c r="O722" s="9"/>
      <c r="P722" s="10"/>
      <c r="Q722" s="49">
        <f t="shared" si="703"/>
        <v>0</v>
      </c>
      <c r="R722" s="12"/>
      <c r="S722" s="9"/>
      <c r="T722" s="10"/>
      <c r="U722" s="49">
        <f t="shared" si="704"/>
        <v>0</v>
      </c>
      <c r="V722" s="11">
        <f t="shared" si="705"/>
        <v>0</v>
      </c>
      <c r="W722" s="142"/>
    </row>
    <row r="723" spans="1:23" x14ac:dyDescent="0.15">
      <c r="A723" s="26" t="s">
        <v>329</v>
      </c>
      <c r="B723" s="13">
        <v>3</v>
      </c>
      <c r="C723" s="14">
        <v>2</v>
      </c>
      <c r="D723" s="15"/>
      <c r="E723" s="49">
        <f t="shared" si="700"/>
        <v>5</v>
      </c>
      <c r="F723" s="16">
        <v>3</v>
      </c>
      <c r="G723" s="14">
        <v>2</v>
      </c>
      <c r="H723" s="15"/>
      <c r="I723" s="49">
        <f t="shared" si="701"/>
        <v>5</v>
      </c>
      <c r="J723" s="11">
        <f t="shared" si="702"/>
        <v>10</v>
      </c>
      <c r="K723" s="63">
        <v>44796</v>
      </c>
      <c r="M723" s="26" t="s">
        <v>371</v>
      </c>
      <c r="N723" s="8"/>
      <c r="O723" s="9"/>
      <c r="P723" s="10"/>
      <c r="Q723" s="49">
        <f t="shared" si="703"/>
        <v>0</v>
      </c>
      <c r="R723" s="12"/>
      <c r="S723" s="9"/>
      <c r="T723" s="10"/>
      <c r="U723" s="49">
        <f t="shared" si="704"/>
        <v>0</v>
      </c>
      <c r="V723" s="11">
        <f t="shared" si="705"/>
        <v>0</v>
      </c>
      <c r="W723" s="140" t="s">
        <v>372</v>
      </c>
    </row>
    <row r="724" spans="1:23" x14ac:dyDescent="0.15">
      <c r="A724" s="26" t="s">
        <v>383</v>
      </c>
      <c r="B724" s="8">
        <v>1</v>
      </c>
      <c r="C724" s="9"/>
      <c r="D724" s="10"/>
      <c r="E724" s="49">
        <f t="shared" si="700"/>
        <v>1</v>
      </c>
      <c r="F724" s="12">
        <v>1</v>
      </c>
      <c r="G724" s="9"/>
      <c r="H724" s="10"/>
      <c r="I724" s="49">
        <f t="shared" si="701"/>
        <v>1</v>
      </c>
      <c r="J724" s="11">
        <f t="shared" si="702"/>
        <v>2</v>
      </c>
      <c r="K724" s="63">
        <v>44796</v>
      </c>
      <c r="M724" s="124" t="s">
        <v>353</v>
      </c>
      <c r="N724" s="106"/>
      <c r="O724" s="103"/>
      <c r="P724" s="104"/>
      <c r="Q724" s="122">
        <f t="shared" si="703"/>
        <v>0</v>
      </c>
      <c r="R724" s="107"/>
      <c r="S724" s="103"/>
      <c r="T724" s="104"/>
      <c r="U724" s="122">
        <f t="shared" si="704"/>
        <v>0</v>
      </c>
      <c r="V724" s="123">
        <f t="shared" si="705"/>
        <v>0</v>
      </c>
      <c r="W724" s="146"/>
    </row>
    <row r="725" spans="1:23" x14ac:dyDescent="0.15">
      <c r="A725" s="25" t="s">
        <v>33</v>
      </c>
      <c r="B725" s="8"/>
      <c r="C725" s="9">
        <v>3</v>
      </c>
      <c r="D725" s="10"/>
      <c r="E725" s="49">
        <f t="shared" si="700"/>
        <v>3</v>
      </c>
      <c r="F725" s="12"/>
      <c r="G725" s="9"/>
      <c r="H725" s="10"/>
      <c r="I725" s="49">
        <f t="shared" si="701"/>
        <v>0</v>
      </c>
      <c r="J725" s="11">
        <f t="shared" si="702"/>
        <v>3</v>
      </c>
      <c r="K725" s="71">
        <v>44795</v>
      </c>
      <c r="M725" s="23" t="s">
        <v>344</v>
      </c>
      <c r="N725" s="8"/>
      <c r="O725" s="9"/>
      <c r="P725" s="10"/>
      <c r="Q725" s="49">
        <f t="shared" si="703"/>
        <v>0</v>
      </c>
      <c r="R725" s="12"/>
      <c r="S725" s="9"/>
      <c r="T725" s="10"/>
      <c r="U725" s="49">
        <f t="shared" si="704"/>
        <v>0</v>
      </c>
      <c r="V725" s="11">
        <f t="shared" si="705"/>
        <v>0</v>
      </c>
      <c r="W725" s="142" t="s">
        <v>345</v>
      </c>
    </row>
    <row r="726" spans="1:23" x14ac:dyDescent="0.15">
      <c r="A726" s="25" t="s">
        <v>33</v>
      </c>
      <c r="B726" s="8">
        <v>1</v>
      </c>
      <c r="C726" s="9"/>
      <c r="D726" s="10"/>
      <c r="E726" s="49">
        <f t="shared" si="700"/>
        <v>1</v>
      </c>
      <c r="F726" s="12"/>
      <c r="G726" s="9">
        <v>2</v>
      </c>
      <c r="H726" s="10"/>
      <c r="I726" s="49">
        <f t="shared" si="701"/>
        <v>2</v>
      </c>
      <c r="J726" s="11">
        <f t="shared" si="702"/>
        <v>3</v>
      </c>
      <c r="K726" s="71">
        <v>44796</v>
      </c>
      <c r="M726" s="121" t="s">
        <v>356</v>
      </c>
      <c r="N726" s="106"/>
      <c r="O726" s="103"/>
      <c r="P726" s="104"/>
      <c r="Q726" s="122">
        <f t="shared" si="703"/>
        <v>0</v>
      </c>
      <c r="R726" s="107"/>
      <c r="S726" s="103"/>
      <c r="T726" s="104"/>
      <c r="U726" s="122">
        <f t="shared" si="704"/>
        <v>0</v>
      </c>
      <c r="V726" s="123">
        <f t="shared" si="705"/>
        <v>0</v>
      </c>
      <c r="W726" s="142"/>
    </row>
    <row r="727" spans="1:23" ht="14.25" thickBot="1" x14ac:dyDescent="0.2">
      <c r="A727" s="25" t="s">
        <v>33</v>
      </c>
      <c r="B727" s="13">
        <v>1</v>
      </c>
      <c r="C727" s="14"/>
      <c r="D727" s="15"/>
      <c r="E727" s="55">
        <f t="shared" si="700"/>
        <v>1</v>
      </c>
      <c r="F727" s="16"/>
      <c r="G727" s="14"/>
      <c r="H727" s="15"/>
      <c r="I727" s="55">
        <f t="shared" si="701"/>
        <v>0</v>
      </c>
      <c r="J727" s="11">
        <f t="shared" si="702"/>
        <v>1</v>
      </c>
      <c r="K727" s="71">
        <v>44797</v>
      </c>
      <c r="M727" s="26" t="s">
        <v>355</v>
      </c>
      <c r="N727" s="8"/>
      <c r="O727" s="9"/>
      <c r="P727" s="10"/>
      <c r="Q727" s="49">
        <f t="shared" si="703"/>
        <v>0</v>
      </c>
      <c r="R727" s="12"/>
      <c r="S727" s="9"/>
      <c r="T727" s="10"/>
      <c r="U727" s="49">
        <f t="shared" si="704"/>
        <v>0</v>
      </c>
      <c r="V727" s="11">
        <f t="shared" si="705"/>
        <v>0</v>
      </c>
      <c r="W727" s="142" t="s">
        <v>334</v>
      </c>
    </row>
    <row r="728" spans="1:23" ht="14.25" thickBot="1" x14ac:dyDescent="0.2">
      <c r="A728" s="41" t="s">
        <v>19</v>
      </c>
      <c r="B728" s="46">
        <f>SUM(B702:B727)</f>
        <v>27</v>
      </c>
      <c r="C728" s="47">
        <f t="shared" ref="C728:D728" si="715">SUM(C702:C727)</f>
        <v>21</v>
      </c>
      <c r="D728" s="59">
        <f t="shared" si="715"/>
        <v>9</v>
      </c>
      <c r="E728" s="45">
        <f t="shared" si="700"/>
        <v>57</v>
      </c>
      <c r="F728" s="46">
        <f>SUM(F702:F727)</f>
        <v>25</v>
      </c>
      <c r="G728" s="47">
        <f t="shared" ref="G728:H728" si="716">SUM(G702:G727)</f>
        <v>14</v>
      </c>
      <c r="H728" s="59">
        <f t="shared" si="716"/>
        <v>13</v>
      </c>
      <c r="I728" s="45">
        <f t="shared" si="701"/>
        <v>52</v>
      </c>
      <c r="J728" s="45">
        <f>E728+I728</f>
        <v>109</v>
      </c>
      <c r="M728" s="41" t="s">
        <v>19</v>
      </c>
      <c r="N728" s="46">
        <f>SUM(N702:N727)</f>
        <v>155</v>
      </c>
      <c r="O728" s="47">
        <f t="shared" ref="O728:P728" si="717">SUM(O702:O727)</f>
        <v>129</v>
      </c>
      <c r="P728" s="59">
        <f t="shared" si="717"/>
        <v>120</v>
      </c>
      <c r="Q728" s="45">
        <f t="shared" si="703"/>
        <v>404</v>
      </c>
      <c r="R728" s="46">
        <f>SUM(R702:R727)</f>
        <v>100</v>
      </c>
      <c r="S728" s="47">
        <f t="shared" ref="S728:T728" si="718">SUM(S702:S727)</f>
        <v>64</v>
      </c>
      <c r="T728" s="59">
        <f t="shared" si="718"/>
        <v>60</v>
      </c>
      <c r="U728" s="45">
        <f t="shared" si="704"/>
        <v>224</v>
      </c>
      <c r="V728" s="45">
        <f>Q728+U728</f>
        <v>628</v>
      </c>
    </row>
    <row r="729" spans="1:23" ht="14.25" thickBot="1" x14ac:dyDescent="0.2">
      <c r="A729" s="22" t="s">
        <v>17</v>
      </c>
      <c r="B729" s="50">
        <f>B701-B728</f>
        <v>10</v>
      </c>
      <c r="C729" s="57">
        <f t="shared" ref="C729:D729" si="719">C701-C728</f>
        <v>10</v>
      </c>
      <c r="D729" s="58">
        <f t="shared" si="719"/>
        <v>10</v>
      </c>
      <c r="E729" s="56">
        <f>SUM(B729:D729)</f>
        <v>30</v>
      </c>
      <c r="F729" s="50">
        <f>F701-F728</f>
        <v>7</v>
      </c>
      <c r="G729" s="57">
        <f t="shared" ref="G729:H729" si="720">G701-G728</f>
        <v>9</v>
      </c>
      <c r="H729" s="58">
        <f t="shared" si="720"/>
        <v>5</v>
      </c>
      <c r="I729" s="56">
        <f>SUM(F729:H729)</f>
        <v>21</v>
      </c>
      <c r="J729" s="31">
        <f>E729+I729</f>
        <v>51</v>
      </c>
      <c r="M729" s="22" t="s">
        <v>17</v>
      </c>
      <c r="N729" s="50">
        <f>N701-N728</f>
        <v>556</v>
      </c>
      <c r="O729" s="57">
        <f t="shared" ref="O729:P729" si="721">O701-O728</f>
        <v>819</v>
      </c>
      <c r="P729" s="58">
        <f t="shared" si="721"/>
        <v>718</v>
      </c>
      <c r="Q729" s="56">
        <f>SUM(N729:P729)</f>
        <v>2093</v>
      </c>
      <c r="R729" s="50">
        <f>R701-R728</f>
        <v>777</v>
      </c>
      <c r="S729" s="57">
        <f t="shared" ref="S729:T729" si="722">S701-S728</f>
        <v>1028</v>
      </c>
      <c r="T729" s="58">
        <f t="shared" si="722"/>
        <v>916</v>
      </c>
      <c r="U729" s="56">
        <f>SUM(R729:T729)</f>
        <v>2721</v>
      </c>
      <c r="V729" s="31">
        <f>Q729+U729</f>
        <v>4814</v>
      </c>
    </row>
    <row r="732" spans="1:23" ht="19.5" thickBot="1" x14ac:dyDescent="0.25">
      <c r="A732" s="3" t="s">
        <v>21</v>
      </c>
      <c r="B732" s="1"/>
      <c r="C732" s="1"/>
      <c r="D732" s="1"/>
      <c r="E732" s="1"/>
      <c r="F732" s="1"/>
      <c r="G732" s="1"/>
      <c r="H732" s="1"/>
      <c r="I732" s="1"/>
      <c r="J732" s="1"/>
      <c r="M732" s="3" t="s">
        <v>22</v>
      </c>
      <c r="N732" s="1"/>
      <c r="O732" s="1"/>
      <c r="P732" s="1"/>
      <c r="Q732" s="1"/>
      <c r="R732" s="1"/>
      <c r="S732" s="1"/>
      <c r="T732" s="1"/>
      <c r="U732" s="1"/>
      <c r="V732" s="1"/>
    </row>
    <row r="733" spans="1:23" ht="14.25" thickBot="1" x14ac:dyDescent="0.2">
      <c r="A733" s="7" t="s">
        <v>0</v>
      </c>
      <c r="B733" s="165" t="s">
        <v>24</v>
      </c>
      <c r="C733" s="166"/>
      <c r="D733" s="166"/>
      <c r="E733" s="170"/>
      <c r="F733" s="165" t="s">
        <v>18</v>
      </c>
      <c r="G733" s="166"/>
      <c r="H733" s="166"/>
      <c r="I733" s="167"/>
      <c r="J733" s="168" t="s">
        <v>1</v>
      </c>
      <c r="M733" s="7" t="s">
        <v>0</v>
      </c>
      <c r="N733" s="165" t="s">
        <v>24</v>
      </c>
      <c r="O733" s="166"/>
      <c r="P733" s="166"/>
      <c r="Q733" s="170"/>
      <c r="R733" s="165" t="s">
        <v>18</v>
      </c>
      <c r="S733" s="166"/>
      <c r="T733" s="166"/>
      <c r="U733" s="167"/>
      <c r="V733" s="168" t="s">
        <v>1</v>
      </c>
    </row>
    <row r="734" spans="1:23" ht="14.25" thickBot="1" x14ac:dyDescent="0.2">
      <c r="A734" s="7" t="s">
        <v>2</v>
      </c>
      <c r="B734" s="4" t="s">
        <v>3</v>
      </c>
      <c r="C734" s="5" t="s">
        <v>4</v>
      </c>
      <c r="D734" s="6" t="s">
        <v>5</v>
      </c>
      <c r="E734" s="7" t="s">
        <v>6</v>
      </c>
      <c r="F734" s="4" t="s">
        <v>3</v>
      </c>
      <c r="G734" s="5" t="s">
        <v>4</v>
      </c>
      <c r="H734" s="6" t="s">
        <v>5</v>
      </c>
      <c r="I734" s="7" t="s">
        <v>6</v>
      </c>
      <c r="J734" s="169"/>
      <c r="M734" s="7" t="s">
        <v>2</v>
      </c>
      <c r="N734" s="4" t="s">
        <v>3</v>
      </c>
      <c r="O734" s="5" t="s">
        <v>4</v>
      </c>
      <c r="P734" s="6" t="s">
        <v>5</v>
      </c>
      <c r="Q734" s="7" t="s">
        <v>6</v>
      </c>
      <c r="R734" s="4" t="s">
        <v>3</v>
      </c>
      <c r="S734" s="5" t="s">
        <v>4</v>
      </c>
      <c r="T734" s="6" t="s">
        <v>5</v>
      </c>
      <c r="U734" s="7" t="s">
        <v>6</v>
      </c>
      <c r="V734" s="169"/>
    </row>
    <row r="735" spans="1:23" ht="14.25" thickBot="1" x14ac:dyDescent="0.2">
      <c r="A735" s="27" t="s">
        <v>20</v>
      </c>
      <c r="B735" s="38">
        <f>B729</f>
        <v>10</v>
      </c>
      <c r="C735" s="39">
        <f>C729</f>
        <v>10</v>
      </c>
      <c r="D735" s="2">
        <f>D729</f>
        <v>10</v>
      </c>
      <c r="E735" s="36">
        <f>SUM(B735:D735)</f>
        <v>30</v>
      </c>
      <c r="F735" s="38">
        <f>F729</f>
        <v>7</v>
      </c>
      <c r="G735" s="39">
        <f>G729</f>
        <v>9</v>
      </c>
      <c r="H735" s="2">
        <f>H729</f>
        <v>5</v>
      </c>
      <c r="I735" s="36">
        <f>SUM(F735:H735)</f>
        <v>21</v>
      </c>
      <c r="J735" s="36">
        <f>E735+I735</f>
        <v>51</v>
      </c>
      <c r="M735" s="27" t="s">
        <v>20</v>
      </c>
      <c r="N735" s="38">
        <f>N729</f>
        <v>556</v>
      </c>
      <c r="O735" s="39">
        <f>O729</f>
        <v>819</v>
      </c>
      <c r="P735" s="2">
        <f>P729</f>
        <v>718</v>
      </c>
      <c r="Q735" s="36">
        <f>SUM(N735:P735)</f>
        <v>2093</v>
      </c>
      <c r="R735" s="38">
        <f>R729</f>
        <v>777</v>
      </c>
      <c r="S735" s="39">
        <f>S729</f>
        <v>1028</v>
      </c>
      <c r="T735" s="2">
        <f>T729</f>
        <v>916</v>
      </c>
      <c r="U735" s="36">
        <f>SUM(R735:T735)</f>
        <v>2721</v>
      </c>
      <c r="V735" s="36">
        <f>Q735+U735</f>
        <v>4814</v>
      </c>
    </row>
    <row r="736" spans="1:23" x14ac:dyDescent="0.15">
      <c r="A736" s="125" t="s">
        <v>390</v>
      </c>
      <c r="B736" s="126">
        <v>0</v>
      </c>
      <c r="C736" s="127">
        <v>0</v>
      </c>
      <c r="D736" s="128">
        <v>0</v>
      </c>
      <c r="E736" s="129">
        <f>SUM(B736:D736)</f>
        <v>0</v>
      </c>
      <c r="F736" s="130">
        <v>0</v>
      </c>
      <c r="G736" s="127">
        <v>0</v>
      </c>
      <c r="H736" s="131">
        <v>0</v>
      </c>
      <c r="I736" s="129">
        <f>SUM(F736:H736)</f>
        <v>0</v>
      </c>
      <c r="J736" s="129">
        <f>E736+I736</f>
        <v>0</v>
      </c>
      <c r="K736" s="132">
        <v>44798</v>
      </c>
      <c r="M736" s="25" t="s">
        <v>160</v>
      </c>
      <c r="N736" s="42"/>
      <c r="O736" s="43"/>
      <c r="P736" s="44">
        <v>1</v>
      </c>
      <c r="Q736" s="48">
        <f t="shared" ref="Q736" si="723">SUM(N736:P736)</f>
        <v>1</v>
      </c>
      <c r="R736" s="60"/>
      <c r="S736" s="43"/>
      <c r="T736" s="61">
        <v>1</v>
      </c>
      <c r="U736" s="48">
        <f t="shared" ref="U736" si="724">SUM(R736:T736)</f>
        <v>1</v>
      </c>
      <c r="V736" s="48">
        <f t="shared" ref="V736" si="725">Q736+U736</f>
        <v>2</v>
      </c>
      <c r="W736" s="144">
        <v>44799</v>
      </c>
    </row>
    <row r="737" spans="1:24" x14ac:dyDescent="0.15">
      <c r="A737" s="25" t="s">
        <v>143</v>
      </c>
      <c r="B737" s="8"/>
      <c r="C737" s="9"/>
      <c r="D737" s="52">
        <v>1</v>
      </c>
      <c r="E737" s="11">
        <f>SUM(B737:D737)</f>
        <v>1</v>
      </c>
      <c r="F737" s="12"/>
      <c r="G737" s="9"/>
      <c r="H737" s="10">
        <v>1</v>
      </c>
      <c r="I737" s="11">
        <f>SUM(F737:H737)</f>
        <v>1</v>
      </c>
      <c r="J737" s="11">
        <f>E737+I737</f>
        <v>2</v>
      </c>
      <c r="K737" s="63">
        <v>44799</v>
      </c>
      <c r="M737" s="25" t="s">
        <v>9</v>
      </c>
      <c r="N737" s="8"/>
      <c r="O737" s="9"/>
      <c r="P737" s="52"/>
      <c r="Q737" s="11">
        <f t="shared" ref="Q737:Q743" si="726">SUM(N737:P737)</f>
        <v>0</v>
      </c>
      <c r="R737" s="12"/>
      <c r="S737" s="9"/>
      <c r="T737" s="10"/>
      <c r="U737" s="11">
        <f t="shared" ref="U737:U743" si="727">SUM(R737:T737)</f>
        <v>0</v>
      </c>
      <c r="V737" s="11">
        <f t="shared" ref="V737:V743" si="728">Q737+U737</f>
        <v>0</v>
      </c>
    </row>
    <row r="738" spans="1:24" x14ac:dyDescent="0.15">
      <c r="A738" s="25" t="s">
        <v>10</v>
      </c>
      <c r="B738" s="17"/>
      <c r="C738" s="18"/>
      <c r="D738" s="51">
        <v>5</v>
      </c>
      <c r="E738" s="11">
        <f t="shared" ref="E738:E743" si="729">SUM(B738:D738)</f>
        <v>5</v>
      </c>
      <c r="F738" s="20">
        <v>3</v>
      </c>
      <c r="G738" s="18">
        <v>3</v>
      </c>
      <c r="H738" s="19">
        <v>10</v>
      </c>
      <c r="I738" s="11">
        <f t="shared" ref="I738:I743" si="730">SUM(F738:H738)</f>
        <v>16</v>
      </c>
      <c r="J738" s="11">
        <f t="shared" ref="J738:J743" si="731">E738+I738</f>
        <v>21</v>
      </c>
      <c r="K738" s="63">
        <v>44803</v>
      </c>
      <c r="M738" s="25" t="s">
        <v>137</v>
      </c>
      <c r="N738" s="17">
        <v>63</v>
      </c>
      <c r="O738" s="18"/>
      <c r="P738" s="51">
        <v>33</v>
      </c>
      <c r="Q738" s="49">
        <f t="shared" si="726"/>
        <v>96</v>
      </c>
      <c r="R738" s="20">
        <v>10</v>
      </c>
      <c r="S738" s="18"/>
      <c r="T738" s="19"/>
      <c r="U738" s="49">
        <f t="shared" si="727"/>
        <v>10</v>
      </c>
      <c r="V738" s="49">
        <f t="shared" si="728"/>
        <v>106</v>
      </c>
      <c r="W738" s="140">
        <v>44848</v>
      </c>
    </row>
    <row r="739" spans="1:24" x14ac:dyDescent="0.15">
      <c r="A739" s="25" t="s">
        <v>397</v>
      </c>
      <c r="B739" s="8"/>
      <c r="C739" s="9"/>
      <c r="D739" s="52"/>
      <c r="E739" s="11">
        <f t="shared" si="729"/>
        <v>0</v>
      </c>
      <c r="F739" s="12"/>
      <c r="G739" s="9"/>
      <c r="H739" s="10">
        <v>1</v>
      </c>
      <c r="I739" s="11">
        <f t="shared" si="730"/>
        <v>1</v>
      </c>
      <c r="J739" s="11">
        <f t="shared" si="731"/>
        <v>1</v>
      </c>
      <c r="K739" s="63">
        <v>44821</v>
      </c>
      <c r="M739" s="25" t="s">
        <v>160</v>
      </c>
      <c r="N739" s="8">
        <v>2</v>
      </c>
      <c r="O739" s="9"/>
      <c r="P739" s="52">
        <v>2</v>
      </c>
      <c r="Q739" s="11">
        <f t="shared" si="726"/>
        <v>4</v>
      </c>
      <c r="R739" s="12">
        <v>2</v>
      </c>
      <c r="S739" s="9"/>
      <c r="T739" s="10">
        <v>3</v>
      </c>
      <c r="U739" s="11">
        <f t="shared" si="727"/>
        <v>5</v>
      </c>
      <c r="V739" s="11">
        <f t="shared" si="728"/>
        <v>9</v>
      </c>
      <c r="W739" s="144">
        <v>44833</v>
      </c>
    </row>
    <row r="740" spans="1:24" x14ac:dyDescent="0.15">
      <c r="A740" s="25" t="s">
        <v>398</v>
      </c>
      <c r="B740" s="8">
        <v>1</v>
      </c>
      <c r="C740" s="9"/>
      <c r="D740" s="52">
        <v>1</v>
      </c>
      <c r="E740" s="11">
        <f t="shared" si="729"/>
        <v>2</v>
      </c>
      <c r="F740" s="12">
        <v>1</v>
      </c>
      <c r="G740" s="9">
        <v>2</v>
      </c>
      <c r="H740" s="10"/>
      <c r="I740" s="11">
        <f t="shared" si="730"/>
        <v>3</v>
      </c>
      <c r="J740" s="11">
        <f t="shared" si="731"/>
        <v>5</v>
      </c>
      <c r="K740" s="71">
        <v>44825</v>
      </c>
      <c r="M740" s="25" t="s">
        <v>12</v>
      </c>
      <c r="N740" s="8"/>
      <c r="O740" s="9"/>
      <c r="P740" s="52"/>
      <c r="Q740" s="11">
        <f t="shared" si="726"/>
        <v>0</v>
      </c>
      <c r="R740" s="12"/>
      <c r="S740" s="9"/>
      <c r="T740" s="10"/>
      <c r="U740" s="11">
        <f t="shared" si="727"/>
        <v>0</v>
      </c>
      <c r="V740" s="11">
        <f t="shared" si="728"/>
        <v>0</v>
      </c>
    </row>
    <row r="741" spans="1:24" x14ac:dyDescent="0.15">
      <c r="A741" s="25" t="s">
        <v>13</v>
      </c>
      <c r="B741" s="8"/>
      <c r="C741" s="9">
        <v>5</v>
      </c>
      <c r="D741" s="52"/>
      <c r="E741" s="11">
        <f t="shared" si="729"/>
        <v>5</v>
      </c>
      <c r="F741" s="12"/>
      <c r="G741" s="9"/>
      <c r="H741" s="10"/>
      <c r="I741" s="11">
        <f t="shared" si="730"/>
        <v>0</v>
      </c>
      <c r="J741" s="11">
        <f t="shared" si="731"/>
        <v>5</v>
      </c>
      <c r="K741" s="63">
        <v>44830</v>
      </c>
      <c r="M741" s="25" t="s">
        <v>13</v>
      </c>
      <c r="N741" s="8"/>
      <c r="O741" s="9"/>
      <c r="P741" s="52"/>
      <c r="Q741" s="11">
        <f t="shared" si="726"/>
        <v>0</v>
      </c>
      <c r="R741" s="12"/>
      <c r="S741" s="9"/>
      <c r="T741" s="10"/>
      <c r="U741" s="11">
        <f t="shared" si="727"/>
        <v>0</v>
      </c>
      <c r="V741" s="11">
        <f t="shared" si="728"/>
        <v>0</v>
      </c>
    </row>
    <row r="742" spans="1:24" x14ac:dyDescent="0.15">
      <c r="A742" s="25" t="s">
        <v>367</v>
      </c>
      <c r="B742" s="13">
        <v>5</v>
      </c>
      <c r="C742" s="14">
        <v>2</v>
      </c>
      <c r="D742" s="53">
        <v>4</v>
      </c>
      <c r="E742" s="11">
        <f t="shared" si="729"/>
        <v>11</v>
      </c>
      <c r="F742" s="16">
        <v>5</v>
      </c>
      <c r="G742" s="14">
        <v>2</v>
      </c>
      <c r="H742" s="15">
        <v>4</v>
      </c>
      <c r="I742" s="11">
        <f t="shared" si="730"/>
        <v>11</v>
      </c>
      <c r="J742" s="11">
        <f t="shared" si="731"/>
        <v>22</v>
      </c>
      <c r="K742" s="63">
        <v>44830</v>
      </c>
      <c r="M742" s="25" t="s">
        <v>14</v>
      </c>
      <c r="N742" s="13"/>
      <c r="O742" s="14"/>
      <c r="P742" s="53"/>
      <c r="Q742" s="11">
        <f t="shared" si="726"/>
        <v>0</v>
      </c>
      <c r="R742" s="16"/>
      <c r="S742" s="14"/>
      <c r="T742" s="15"/>
      <c r="U742" s="11">
        <f t="shared" si="727"/>
        <v>0</v>
      </c>
      <c r="V742" s="11">
        <f t="shared" si="728"/>
        <v>0</v>
      </c>
    </row>
    <row r="743" spans="1:24" ht="14.25" thickBot="1" x14ac:dyDescent="0.2">
      <c r="A743" s="25" t="s">
        <v>367</v>
      </c>
      <c r="B743" s="13"/>
      <c r="C743" s="14">
        <v>1</v>
      </c>
      <c r="D743" s="53"/>
      <c r="E743" s="62">
        <f t="shared" si="729"/>
        <v>1</v>
      </c>
      <c r="F743" s="34"/>
      <c r="G743" s="34">
        <v>1</v>
      </c>
      <c r="H743" s="37"/>
      <c r="I743" s="62">
        <f t="shared" si="730"/>
        <v>1</v>
      </c>
      <c r="J743" s="21">
        <f t="shared" si="731"/>
        <v>2</v>
      </c>
      <c r="K743" s="71">
        <v>44834</v>
      </c>
      <c r="M743" s="25" t="s">
        <v>15</v>
      </c>
      <c r="N743" s="13"/>
      <c r="O743" s="14"/>
      <c r="P743" s="53"/>
      <c r="Q743" s="62">
        <f t="shared" si="726"/>
        <v>0</v>
      </c>
      <c r="R743" s="34"/>
      <c r="S743" s="34"/>
      <c r="T743" s="37"/>
      <c r="U743" s="62">
        <f t="shared" si="727"/>
        <v>0</v>
      </c>
      <c r="V743" s="21">
        <f t="shared" si="728"/>
        <v>0</v>
      </c>
    </row>
    <row r="744" spans="1:24" ht="14.25" thickBot="1" x14ac:dyDescent="0.2">
      <c r="A744" s="35" t="s">
        <v>16</v>
      </c>
      <c r="B744" s="28">
        <f>SUM(B735:B743)</f>
        <v>16</v>
      </c>
      <c r="C744" s="29">
        <f t="shared" ref="C744:D744" si="732">SUM(C735:C743)</f>
        <v>18</v>
      </c>
      <c r="D744" s="68">
        <f t="shared" si="732"/>
        <v>21</v>
      </c>
      <c r="E744" s="64">
        <f>SUM(B744:D744)</f>
        <v>55</v>
      </c>
      <c r="F744" s="28">
        <f>SUM(F735:F743)</f>
        <v>16</v>
      </c>
      <c r="G744" s="29">
        <f t="shared" ref="G744:H744" si="733">SUM(G735:G743)</f>
        <v>17</v>
      </c>
      <c r="H744" s="68">
        <f t="shared" si="733"/>
        <v>21</v>
      </c>
      <c r="I744" s="64">
        <f>SUM(F744:H744)</f>
        <v>54</v>
      </c>
      <c r="J744" s="31">
        <f>SUM(J736:J743)</f>
        <v>58</v>
      </c>
      <c r="M744" s="35" t="s">
        <v>16</v>
      </c>
      <c r="N744" s="28">
        <f>SUM(N735:N743)</f>
        <v>621</v>
      </c>
      <c r="O744" s="29">
        <f t="shared" ref="O744:P744" si="734">SUM(O735:O743)</f>
        <v>819</v>
      </c>
      <c r="P744" s="68">
        <f t="shared" si="734"/>
        <v>754</v>
      </c>
      <c r="Q744" s="64">
        <f>SUM(N744:P744)</f>
        <v>2194</v>
      </c>
      <c r="R744" s="28">
        <f>SUM(R735:R743)</f>
        <v>789</v>
      </c>
      <c r="S744" s="29">
        <f t="shared" ref="S744:T744" si="735">SUM(S735:S743)</f>
        <v>1028</v>
      </c>
      <c r="T744" s="68">
        <f t="shared" si="735"/>
        <v>920</v>
      </c>
      <c r="U744" s="64">
        <f>SUM(R744:T744)</f>
        <v>2737</v>
      </c>
      <c r="V744" s="31">
        <f>Q744+U744</f>
        <v>4931</v>
      </c>
    </row>
    <row r="745" spans="1:24" x14ac:dyDescent="0.15">
      <c r="A745" s="25" t="s">
        <v>388</v>
      </c>
      <c r="B745" s="65"/>
      <c r="C745" s="66">
        <v>2</v>
      </c>
      <c r="D745" s="67"/>
      <c r="E745" s="49">
        <f>SUM(B745:D745)</f>
        <v>2</v>
      </c>
      <c r="F745" s="16"/>
      <c r="G745" s="14">
        <v>1</v>
      </c>
      <c r="H745" s="15"/>
      <c r="I745" s="49">
        <f>SUM(F745:H745)</f>
        <v>1</v>
      </c>
      <c r="J745" s="11">
        <f>E745+I745</f>
        <v>3</v>
      </c>
      <c r="K745" s="71">
        <v>44798</v>
      </c>
      <c r="M745" s="133" t="s">
        <v>160</v>
      </c>
      <c r="N745" s="65"/>
      <c r="O745" s="66"/>
      <c r="P745" s="67">
        <v>5</v>
      </c>
      <c r="Q745" s="49">
        <f t="shared" ref="Q745:Q746" si="736">SUM(N745:P745)</f>
        <v>5</v>
      </c>
      <c r="R745" s="16">
        <v>3</v>
      </c>
      <c r="S745" s="14">
        <v>3</v>
      </c>
      <c r="T745" s="15">
        <v>10</v>
      </c>
      <c r="U745" s="49">
        <f t="shared" ref="U745:U746" si="737">SUM(R745:T745)</f>
        <v>16</v>
      </c>
      <c r="V745" s="11">
        <f t="shared" ref="V745:V746" si="738">Q745+U745</f>
        <v>21</v>
      </c>
      <c r="W745" s="140">
        <v>44803</v>
      </c>
    </row>
    <row r="746" spans="1:24" x14ac:dyDescent="0.15">
      <c r="A746" s="26" t="s">
        <v>329</v>
      </c>
      <c r="B746" s="8"/>
      <c r="C746" s="9"/>
      <c r="D746" s="10">
        <v>2</v>
      </c>
      <c r="E746" s="49">
        <f t="shared" ref="E746:E771" si="739">SUM(B746:D746)</f>
        <v>2</v>
      </c>
      <c r="F746" s="12"/>
      <c r="G746" s="9"/>
      <c r="H746" s="10">
        <v>2</v>
      </c>
      <c r="I746" s="49">
        <f t="shared" ref="I746:I771" si="740">SUM(F746:H746)</f>
        <v>2</v>
      </c>
      <c r="J746" s="11">
        <f t="shared" ref="J746:J770" si="741">E746+I746</f>
        <v>4</v>
      </c>
      <c r="K746" s="63">
        <v>44802</v>
      </c>
      <c r="M746" s="23" t="s">
        <v>392</v>
      </c>
      <c r="N746" s="8">
        <v>1</v>
      </c>
      <c r="O746" s="9"/>
      <c r="P746" s="10"/>
      <c r="Q746" s="49">
        <f t="shared" si="736"/>
        <v>1</v>
      </c>
      <c r="R746" s="12"/>
      <c r="S746" s="9"/>
      <c r="T746" s="10"/>
      <c r="U746" s="49">
        <f t="shared" si="737"/>
        <v>0</v>
      </c>
      <c r="V746" s="11">
        <f t="shared" si="738"/>
        <v>1</v>
      </c>
      <c r="W746" s="140">
        <v>44805</v>
      </c>
    </row>
    <row r="747" spans="1:24" x14ac:dyDescent="0.15">
      <c r="A747" s="23" t="s">
        <v>391</v>
      </c>
      <c r="B747" s="8">
        <v>1</v>
      </c>
      <c r="C747" s="9"/>
      <c r="D747" s="10"/>
      <c r="E747" s="49">
        <f t="shared" si="739"/>
        <v>1</v>
      </c>
      <c r="F747" s="12"/>
      <c r="G747" s="9"/>
      <c r="H747" s="10"/>
      <c r="I747" s="49">
        <f t="shared" si="740"/>
        <v>0</v>
      </c>
      <c r="J747" s="11">
        <f t="shared" si="741"/>
        <v>1</v>
      </c>
      <c r="K747" s="63">
        <v>44803</v>
      </c>
      <c r="M747" s="26" t="s">
        <v>393</v>
      </c>
      <c r="N747" s="8">
        <v>60</v>
      </c>
      <c r="O747" s="9">
        <v>20</v>
      </c>
      <c r="P747" s="10"/>
      <c r="Q747" s="49">
        <f t="shared" ref="Q747:Q748" si="742">SUM(N747:P747)</f>
        <v>80</v>
      </c>
      <c r="R747" s="12">
        <v>25</v>
      </c>
      <c r="S747" s="9">
        <v>15</v>
      </c>
      <c r="T747" s="10"/>
      <c r="U747" s="49">
        <f t="shared" ref="U747:U748" si="743">SUM(R747:T747)</f>
        <v>40</v>
      </c>
      <c r="V747" s="11">
        <f t="shared" ref="V747:V748" si="744">Q747+U747</f>
        <v>120</v>
      </c>
      <c r="W747" s="140">
        <v>44806</v>
      </c>
    </row>
    <row r="748" spans="1:24" x14ac:dyDescent="0.15">
      <c r="A748" s="25" t="s">
        <v>33</v>
      </c>
      <c r="B748" s="8"/>
      <c r="C748" s="9"/>
      <c r="D748" s="10">
        <v>1</v>
      </c>
      <c r="E748" s="49">
        <f t="shared" si="739"/>
        <v>1</v>
      </c>
      <c r="F748" s="12"/>
      <c r="G748" s="9"/>
      <c r="H748" s="10">
        <v>1</v>
      </c>
      <c r="I748" s="49">
        <f t="shared" si="740"/>
        <v>1</v>
      </c>
      <c r="J748" s="11">
        <f t="shared" si="741"/>
        <v>2</v>
      </c>
      <c r="K748" s="71">
        <v>44799</v>
      </c>
      <c r="M748" s="26" t="s">
        <v>394</v>
      </c>
      <c r="N748" s="8">
        <v>20</v>
      </c>
      <c r="O748" s="9"/>
      <c r="P748" s="10"/>
      <c r="Q748" s="49">
        <f t="shared" si="742"/>
        <v>20</v>
      </c>
      <c r="R748" s="12"/>
      <c r="S748" s="9"/>
      <c r="T748" s="10"/>
      <c r="U748" s="49">
        <f t="shared" si="743"/>
        <v>0</v>
      </c>
      <c r="V748" s="11">
        <f t="shared" si="744"/>
        <v>20</v>
      </c>
      <c r="W748" s="140">
        <v>44806</v>
      </c>
    </row>
    <row r="749" spans="1:24" x14ac:dyDescent="0.15">
      <c r="A749" s="25" t="s">
        <v>33</v>
      </c>
      <c r="B749" s="8"/>
      <c r="C749" s="9"/>
      <c r="D749" s="10">
        <f>1+1+1</f>
        <v>3</v>
      </c>
      <c r="E749" s="49">
        <f t="shared" si="739"/>
        <v>3</v>
      </c>
      <c r="F749" s="12"/>
      <c r="G749" s="9">
        <v>1</v>
      </c>
      <c r="H749" s="10">
        <f>1+1</f>
        <v>2</v>
      </c>
      <c r="I749" s="49">
        <f t="shared" si="740"/>
        <v>3</v>
      </c>
      <c r="J749" s="11">
        <f t="shared" si="741"/>
        <v>6</v>
      </c>
      <c r="K749" s="63">
        <v>44802</v>
      </c>
      <c r="M749" s="26" t="s">
        <v>395</v>
      </c>
      <c r="N749" s="8"/>
      <c r="O749" s="9"/>
      <c r="P749" s="10"/>
      <c r="Q749" s="49">
        <f>SUM(N749:P749)</f>
        <v>0</v>
      </c>
      <c r="R749" s="12"/>
      <c r="S749" s="9">
        <v>10</v>
      </c>
      <c r="T749" s="10"/>
      <c r="U749" s="49">
        <f>SUM(R749:T749)</f>
        <v>10</v>
      </c>
      <c r="V749" s="11">
        <f>Q749+U749</f>
        <v>10</v>
      </c>
      <c r="W749" s="140">
        <v>44809</v>
      </c>
      <c r="X749" s="82"/>
    </row>
    <row r="750" spans="1:24" x14ac:dyDescent="0.15">
      <c r="A750" s="25" t="s">
        <v>33</v>
      </c>
      <c r="B750" s="8">
        <v>1</v>
      </c>
      <c r="C750" s="9">
        <v>3</v>
      </c>
      <c r="D750" s="10"/>
      <c r="E750" s="49">
        <f t="shared" ref="E750" si="745">SUM(B750:D750)</f>
        <v>4</v>
      </c>
      <c r="F750" s="12"/>
      <c r="G750" s="9"/>
      <c r="H750" s="10"/>
      <c r="I750" s="49">
        <f t="shared" ref="I750" si="746">SUM(F750:H750)</f>
        <v>0</v>
      </c>
      <c r="J750" s="11">
        <f t="shared" ref="J750" si="747">E750+I750</f>
        <v>4</v>
      </c>
      <c r="K750" s="71">
        <v>44809</v>
      </c>
      <c r="M750" s="23" t="s">
        <v>396</v>
      </c>
      <c r="N750" s="8"/>
      <c r="O750" s="9"/>
      <c r="P750" s="10"/>
      <c r="Q750" s="49">
        <f t="shared" ref="Q750:Q771" si="748">SUM(N750:P750)</f>
        <v>0</v>
      </c>
      <c r="R750" s="12"/>
      <c r="S750" s="9"/>
      <c r="T750" s="10">
        <v>1</v>
      </c>
      <c r="U750" s="49">
        <f t="shared" ref="U750:U771" si="749">SUM(R750:T750)</f>
        <v>1</v>
      </c>
      <c r="V750" s="11">
        <f t="shared" ref="V750:V765" si="750">Q750+U750</f>
        <v>1</v>
      </c>
      <c r="W750" s="140">
        <v>44817</v>
      </c>
      <c r="X750" s="82"/>
    </row>
    <row r="751" spans="1:24" x14ac:dyDescent="0.15">
      <c r="A751" s="25" t="s">
        <v>33</v>
      </c>
      <c r="B751" s="8"/>
      <c r="C751" s="9"/>
      <c r="D751" s="10">
        <v>1</v>
      </c>
      <c r="E751" s="49">
        <f t="shared" si="739"/>
        <v>1</v>
      </c>
      <c r="F751" s="12"/>
      <c r="G751" s="9"/>
      <c r="H751" s="10">
        <v>1</v>
      </c>
      <c r="I751" s="49">
        <f t="shared" si="740"/>
        <v>1</v>
      </c>
      <c r="J751" s="11">
        <f t="shared" si="741"/>
        <v>2</v>
      </c>
      <c r="K751" s="71">
        <v>44810</v>
      </c>
      <c r="M751" s="133" t="s">
        <v>160</v>
      </c>
      <c r="N751" s="8"/>
      <c r="O751" s="9">
        <v>5</v>
      </c>
      <c r="P751" s="52"/>
      <c r="Q751" s="11">
        <f t="shared" si="748"/>
        <v>5</v>
      </c>
      <c r="R751" s="12"/>
      <c r="S751" s="9"/>
      <c r="T751" s="10"/>
      <c r="U751" s="11">
        <f t="shared" si="749"/>
        <v>0</v>
      </c>
      <c r="V751" s="11">
        <f t="shared" si="750"/>
        <v>5</v>
      </c>
      <c r="W751" s="140">
        <v>44830</v>
      </c>
    </row>
    <row r="752" spans="1:24" x14ac:dyDescent="0.15">
      <c r="A752" s="25" t="s">
        <v>33</v>
      </c>
      <c r="B752" s="8"/>
      <c r="C752" s="9">
        <v>1</v>
      </c>
      <c r="D752" s="10"/>
      <c r="E752" s="49">
        <f t="shared" si="739"/>
        <v>1</v>
      </c>
      <c r="F752" s="12"/>
      <c r="G752" s="9">
        <v>1</v>
      </c>
      <c r="H752" s="10"/>
      <c r="I752" s="49">
        <f t="shared" si="740"/>
        <v>1</v>
      </c>
      <c r="J752" s="11">
        <f t="shared" si="741"/>
        <v>2</v>
      </c>
      <c r="K752" s="71">
        <v>44812</v>
      </c>
      <c r="M752" s="25" t="s">
        <v>329</v>
      </c>
      <c r="N752" s="8"/>
      <c r="O752" s="9">
        <v>1</v>
      </c>
      <c r="P752" s="10"/>
      <c r="Q752" s="49">
        <f t="shared" si="748"/>
        <v>1</v>
      </c>
      <c r="R752" s="12"/>
      <c r="S752" s="9">
        <v>1</v>
      </c>
      <c r="T752" s="10"/>
      <c r="U752" s="49">
        <f t="shared" si="749"/>
        <v>1</v>
      </c>
      <c r="V752" s="11">
        <f t="shared" si="750"/>
        <v>2</v>
      </c>
      <c r="W752" s="140">
        <v>44841</v>
      </c>
    </row>
    <row r="753" spans="1:23" x14ac:dyDescent="0.15">
      <c r="A753" s="25" t="s">
        <v>33</v>
      </c>
      <c r="B753" s="13"/>
      <c r="C753" s="14">
        <v>2</v>
      </c>
      <c r="D753" s="15"/>
      <c r="E753" s="49">
        <f t="shared" si="739"/>
        <v>2</v>
      </c>
      <c r="F753" s="16">
        <v>1</v>
      </c>
      <c r="G753" s="14">
        <f>2+1</f>
        <v>3</v>
      </c>
      <c r="H753" s="15"/>
      <c r="I753" s="49">
        <f t="shared" si="740"/>
        <v>4</v>
      </c>
      <c r="J753" s="11">
        <f t="shared" si="741"/>
        <v>6</v>
      </c>
      <c r="K753" s="71">
        <v>44816</v>
      </c>
      <c r="M753" s="25" t="s">
        <v>329</v>
      </c>
      <c r="N753" s="8"/>
      <c r="O753" s="9"/>
      <c r="P753" s="10">
        <v>1</v>
      </c>
      <c r="Q753" s="49">
        <f t="shared" si="748"/>
        <v>1</v>
      </c>
      <c r="R753" s="12"/>
      <c r="S753" s="9"/>
      <c r="T753" s="10">
        <v>1</v>
      </c>
      <c r="U753" s="49">
        <f t="shared" si="749"/>
        <v>1</v>
      </c>
      <c r="V753" s="11">
        <f t="shared" si="750"/>
        <v>2</v>
      </c>
      <c r="W753" s="140">
        <v>44860</v>
      </c>
    </row>
    <row r="754" spans="1:23" x14ac:dyDescent="0.15">
      <c r="A754" s="25" t="s">
        <v>33</v>
      </c>
      <c r="B754" s="13"/>
      <c r="C754" s="14"/>
      <c r="D754" s="15"/>
      <c r="E754" s="49">
        <f t="shared" si="739"/>
        <v>0</v>
      </c>
      <c r="F754" s="16">
        <v>1</v>
      </c>
      <c r="G754" s="14"/>
      <c r="H754" s="15"/>
      <c r="I754" s="49">
        <f t="shared" si="740"/>
        <v>1</v>
      </c>
      <c r="J754" s="11">
        <f t="shared" si="741"/>
        <v>1</v>
      </c>
      <c r="K754" s="71">
        <v>44819</v>
      </c>
      <c r="M754" s="119"/>
      <c r="N754" s="13"/>
      <c r="O754" s="14"/>
      <c r="P754" s="15"/>
      <c r="Q754" s="49">
        <f t="shared" si="748"/>
        <v>0</v>
      </c>
      <c r="R754" s="16"/>
      <c r="S754" s="14"/>
      <c r="T754" s="15"/>
      <c r="U754" s="49">
        <f t="shared" si="749"/>
        <v>0</v>
      </c>
      <c r="V754" s="11">
        <f t="shared" si="750"/>
        <v>0</v>
      </c>
      <c r="W754" s="140"/>
    </row>
    <row r="755" spans="1:23" x14ac:dyDescent="0.15">
      <c r="A755" s="25" t="s">
        <v>33</v>
      </c>
      <c r="B755" s="8"/>
      <c r="C755" s="9"/>
      <c r="D755" s="10"/>
      <c r="E755" s="49">
        <f t="shared" si="739"/>
        <v>0</v>
      </c>
      <c r="F755" s="12">
        <v>1</v>
      </c>
      <c r="G755" s="9"/>
      <c r="H755" s="10"/>
      <c r="I755" s="49">
        <f t="shared" si="740"/>
        <v>1</v>
      </c>
      <c r="J755" s="11">
        <f t="shared" si="741"/>
        <v>1</v>
      </c>
      <c r="K755" s="71">
        <v>44821</v>
      </c>
      <c r="M755" s="119"/>
      <c r="N755" s="8"/>
      <c r="O755" s="9"/>
      <c r="P755" s="10"/>
      <c r="Q755" s="49">
        <f t="shared" si="748"/>
        <v>0</v>
      </c>
      <c r="R755" s="12"/>
      <c r="S755" s="9"/>
      <c r="T755" s="10"/>
      <c r="U755" s="49">
        <f t="shared" si="749"/>
        <v>0</v>
      </c>
      <c r="V755" s="11">
        <f t="shared" si="750"/>
        <v>0</v>
      </c>
      <c r="W755" s="140"/>
    </row>
    <row r="756" spans="1:23" x14ac:dyDescent="0.15">
      <c r="A756" s="25" t="s">
        <v>33</v>
      </c>
      <c r="B756" s="8">
        <v>1</v>
      </c>
      <c r="C756" s="9"/>
      <c r="D756" s="10">
        <v>1</v>
      </c>
      <c r="E756" s="49">
        <f t="shared" si="739"/>
        <v>2</v>
      </c>
      <c r="F756" s="12">
        <v>1</v>
      </c>
      <c r="G756" s="9"/>
      <c r="H756" s="10">
        <v>2</v>
      </c>
      <c r="I756" s="49">
        <f t="shared" si="740"/>
        <v>3</v>
      </c>
      <c r="J756" s="11">
        <f t="shared" si="741"/>
        <v>5</v>
      </c>
      <c r="K756" s="71">
        <v>44824</v>
      </c>
      <c r="M756" s="26"/>
      <c r="N756" s="8"/>
      <c r="O756" s="9"/>
      <c r="P756" s="10"/>
      <c r="Q756" s="49">
        <f t="shared" si="748"/>
        <v>0</v>
      </c>
      <c r="R756" s="12"/>
      <c r="S756" s="9"/>
      <c r="T756" s="10"/>
      <c r="U756" s="49">
        <f t="shared" si="749"/>
        <v>0</v>
      </c>
      <c r="V756" s="11">
        <f t="shared" si="750"/>
        <v>0</v>
      </c>
      <c r="W756" s="140"/>
    </row>
    <row r="757" spans="1:23" x14ac:dyDescent="0.15">
      <c r="A757" s="25" t="s">
        <v>33</v>
      </c>
      <c r="B757" s="8">
        <v>1</v>
      </c>
      <c r="C757" s="9">
        <v>1</v>
      </c>
      <c r="D757" s="10"/>
      <c r="E757" s="49">
        <f t="shared" si="739"/>
        <v>2</v>
      </c>
      <c r="F757" s="12"/>
      <c r="G757" s="9"/>
      <c r="H757" s="10"/>
      <c r="I757" s="49">
        <f t="shared" si="740"/>
        <v>0</v>
      </c>
      <c r="J757" s="11">
        <f t="shared" si="741"/>
        <v>2</v>
      </c>
      <c r="K757" s="71">
        <v>44825</v>
      </c>
      <c r="L757" s="82"/>
      <c r="M757" s="102"/>
      <c r="N757" s="8"/>
      <c r="O757" s="9"/>
      <c r="P757" s="10"/>
      <c r="Q757" s="49">
        <f t="shared" si="748"/>
        <v>0</v>
      </c>
      <c r="R757" s="12"/>
      <c r="S757" s="9"/>
      <c r="T757" s="10"/>
      <c r="U757" s="49">
        <f t="shared" si="749"/>
        <v>0</v>
      </c>
      <c r="V757" s="11">
        <f t="shared" si="750"/>
        <v>0</v>
      </c>
      <c r="W757" s="142"/>
    </row>
    <row r="758" spans="1:23" x14ac:dyDescent="0.15">
      <c r="A758" s="25" t="s">
        <v>399</v>
      </c>
      <c r="B758" s="8"/>
      <c r="C758" s="9"/>
      <c r="D758" s="10">
        <v>1</v>
      </c>
      <c r="E758" s="49">
        <f t="shared" si="739"/>
        <v>1</v>
      </c>
      <c r="F758" s="12"/>
      <c r="G758" s="9"/>
      <c r="H758" s="10">
        <v>1</v>
      </c>
      <c r="I758" s="49">
        <f t="shared" si="740"/>
        <v>1</v>
      </c>
      <c r="J758" s="11">
        <f t="shared" si="741"/>
        <v>2</v>
      </c>
      <c r="K758" s="63">
        <v>44834</v>
      </c>
      <c r="M758" s="102"/>
      <c r="N758" s="8"/>
      <c r="O758" s="9"/>
      <c r="P758" s="10"/>
      <c r="Q758" s="49">
        <f t="shared" si="748"/>
        <v>0</v>
      </c>
      <c r="R758" s="12"/>
      <c r="S758" s="9"/>
      <c r="T758" s="10"/>
      <c r="U758" s="49">
        <f t="shared" si="749"/>
        <v>0</v>
      </c>
      <c r="V758" s="11">
        <f t="shared" si="750"/>
        <v>0</v>
      </c>
      <c r="W758" s="142"/>
    </row>
    <row r="759" spans="1:23" x14ac:dyDescent="0.15">
      <c r="A759" s="26" t="s">
        <v>400</v>
      </c>
      <c r="B759" s="8">
        <v>2</v>
      </c>
      <c r="C759" s="9"/>
      <c r="D759" s="10">
        <v>2</v>
      </c>
      <c r="E759" s="49">
        <f t="shared" si="739"/>
        <v>4</v>
      </c>
      <c r="F759" s="12">
        <v>2</v>
      </c>
      <c r="G759" s="9"/>
      <c r="H759" s="10">
        <v>3</v>
      </c>
      <c r="I759" s="49">
        <f t="shared" si="740"/>
        <v>5</v>
      </c>
      <c r="J759" s="11">
        <f t="shared" si="741"/>
        <v>9</v>
      </c>
      <c r="K759" s="63">
        <v>44833</v>
      </c>
      <c r="M759" s="26"/>
      <c r="N759" s="8"/>
      <c r="O759" s="9"/>
      <c r="P759" s="10"/>
      <c r="Q759" s="49">
        <f t="shared" si="748"/>
        <v>0</v>
      </c>
      <c r="R759" s="12"/>
      <c r="S759" s="9"/>
      <c r="T759" s="10"/>
      <c r="U759" s="49">
        <f t="shared" si="749"/>
        <v>0</v>
      </c>
      <c r="V759" s="11">
        <f t="shared" si="750"/>
        <v>0</v>
      </c>
    </row>
    <row r="760" spans="1:23" x14ac:dyDescent="0.15">
      <c r="A760" s="25" t="s">
        <v>329</v>
      </c>
      <c r="B760" s="8"/>
      <c r="C760" s="9">
        <v>1</v>
      </c>
      <c r="D760" s="10"/>
      <c r="E760" s="49">
        <f t="shared" si="739"/>
        <v>1</v>
      </c>
      <c r="F760" s="12"/>
      <c r="G760" s="9">
        <v>1</v>
      </c>
      <c r="H760" s="10"/>
      <c r="I760" s="49">
        <f t="shared" si="740"/>
        <v>1</v>
      </c>
      <c r="J760" s="11">
        <f t="shared" si="741"/>
        <v>2</v>
      </c>
      <c r="K760" s="63">
        <v>44839</v>
      </c>
      <c r="L760" s="82"/>
      <c r="M760" s="26"/>
      <c r="N760" s="8"/>
      <c r="O760" s="9"/>
      <c r="P760" s="10"/>
      <c r="Q760" s="49">
        <f t="shared" si="748"/>
        <v>0</v>
      </c>
      <c r="R760" s="12"/>
      <c r="S760" s="9"/>
      <c r="T760" s="10"/>
      <c r="U760" s="49">
        <f t="shared" si="749"/>
        <v>0</v>
      </c>
      <c r="V760" s="11">
        <f t="shared" si="750"/>
        <v>0</v>
      </c>
    </row>
    <row r="761" spans="1:23" x14ac:dyDescent="0.15">
      <c r="A761" s="25" t="s">
        <v>33</v>
      </c>
      <c r="B761" s="8"/>
      <c r="C761" s="9"/>
      <c r="D761" s="10"/>
      <c r="E761" s="49">
        <f t="shared" si="739"/>
        <v>0</v>
      </c>
      <c r="F761" s="12"/>
      <c r="G761" s="9"/>
      <c r="H761" s="10">
        <v>1</v>
      </c>
      <c r="I761" s="49">
        <f t="shared" si="740"/>
        <v>1</v>
      </c>
      <c r="J761" s="11">
        <f t="shared" si="741"/>
        <v>1</v>
      </c>
      <c r="K761" s="63">
        <v>44839</v>
      </c>
      <c r="L761" s="82"/>
      <c r="M761" s="26"/>
      <c r="N761" s="8"/>
      <c r="O761" s="9"/>
      <c r="P761" s="10"/>
      <c r="Q761" s="49">
        <f t="shared" si="748"/>
        <v>0</v>
      </c>
      <c r="R761" s="12"/>
      <c r="S761" s="9"/>
      <c r="T761" s="10"/>
      <c r="U761" s="49">
        <f t="shared" si="749"/>
        <v>0</v>
      </c>
      <c r="V761" s="11">
        <f t="shared" si="750"/>
        <v>0</v>
      </c>
    </row>
    <row r="762" spans="1:23" x14ac:dyDescent="0.15">
      <c r="A762" s="25" t="s">
        <v>33</v>
      </c>
      <c r="B762" s="8"/>
      <c r="C762" s="9"/>
      <c r="D762" s="10"/>
      <c r="E762" s="49">
        <f t="shared" si="739"/>
        <v>0</v>
      </c>
      <c r="F762" s="12"/>
      <c r="G762" s="9">
        <v>2</v>
      </c>
      <c r="H762" s="10"/>
      <c r="I762" s="49">
        <f t="shared" si="740"/>
        <v>2</v>
      </c>
      <c r="J762" s="11">
        <f t="shared" si="741"/>
        <v>2</v>
      </c>
      <c r="K762" s="63">
        <v>44840</v>
      </c>
      <c r="L762" s="82"/>
      <c r="M762" s="24"/>
      <c r="N762" s="8"/>
      <c r="O762" s="9"/>
      <c r="P762" s="10"/>
      <c r="Q762" s="49">
        <f t="shared" si="748"/>
        <v>0</v>
      </c>
      <c r="R762" s="12"/>
      <c r="S762" s="9"/>
      <c r="T762" s="10"/>
      <c r="U762" s="49">
        <f t="shared" si="749"/>
        <v>0</v>
      </c>
      <c r="V762" s="11">
        <f t="shared" si="750"/>
        <v>0</v>
      </c>
    </row>
    <row r="763" spans="1:23" x14ac:dyDescent="0.15">
      <c r="A763" s="25" t="s">
        <v>33</v>
      </c>
      <c r="B763" s="8">
        <v>2</v>
      </c>
      <c r="C763" s="9"/>
      <c r="D763" s="10"/>
      <c r="E763" s="49">
        <f t="shared" si="739"/>
        <v>2</v>
      </c>
      <c r="F763" s="12">
        <v>1</v>
      </c>
      <c r="G763" s="9"/>
      <c r="H763" s="10"/>
      <c r="I763" s="49">
        <f t="shared" si="740"/>
        <v>1</v>
      </c>
      <c r="J763" s="11">
        <f t="shared" si="741"/>
        <v>3</v>
      </c>
      <c r="K763" s="63">
        <v>44841</v>
      </c>
      <c r="M763" s="26"/>
      <c r="N763" s="8"/>
      <c r="O763" s="9"/>
      <c r="P763" s="10"/>
      <c r="Q763" s="49">
        <f t="shared" si="748"/>
        <v>0</v>
      </c>
      <c r="R763" s="12"/>
      <c r="S763" s="9"/>
      <c r="T763" s="10"/>
      <c r="U763" s="49">
        <f t="shared" si="749"/>
        <v>0</v>
      </c>
      <c r="V763" s="11">
        <f t="shared" si="750"/>
        <v>0</v>
      </c>
      <c r="W763" s="142"/>
    </row>
    <row r="764" spans="1:23" x14ac:dyDescent="0.15">
      <c r="A764" s="23" t="s">
        <v>401</v>
      </c>
      <c r="B764" s="8">
        <v>-1</v>
      </c>
      <c r="C764" s="9"/>
      <c r="D764" s="10"/>
      <c r="E764" s="49">
        <f t="shared" si="739"/>
        <v>-1</v>
      </c>
      <c r="F764" s="12"/>
      <c r="G764" s="9"/>
      <c r="H764" s="10"/>
      <c r="I764" s="49">
        <f t="shared" si="740"/>
        <v>0</v>
      </c>
      <c r="J764" s="11">
        <f t="shared" si="741"/>
        <v>-1</v>
      </c>
      <c r="K764" s="71">
        <v>44845</v>
      </c>
      <c r="M764" s="26"/>
      <c r="N764" s="8"/>
      <c r="O764" s="9"/>
      <c r="P764" s="10"/>
      <c r="Q764" s="49">
        <f t="shared" si="748"/>
        <v>0</v>
      </c>
      <c r="R764" s="12"/>
      <c r="S764" s="9"/>
      <c r="T764" s="10"/>
      <c r="U764" s="49">
        <f t="shared" si="749"/>
        <v>0</v>
      </c>
      <c r="V764" s="11">
        <f t="shared" si="750"/>
        <v>0</v>
      </c>
      <c r="W764" s="142"/>
    </row>
    <row r="765" spans="1:23" x14ac:dyDescent="0.15">
      <c r="A765" s="25" t="s">
        <v>329</v>
      </c>
      <c r="B765" s="8">
        <v>1</v>
      </c>
      <c r="C765" s="9"/>
      <c r="D765" s="10"/>
      <c r="E765" s="49">
        <f t="shared" si="739"/>
        <v>1</v>
      </c>
      <c r="F765" s="12">
        <v>1</v>
      </c>
      <c r="G765" s="9"/>
      <c r="H765" s="10"/>
      <c r="I765" s="49">
        <f t="shared" si="740"/>
        <v>1</v>
      </c>
      <c r="J765" s="11">
        <f t="shared" si="741"/>
        <v>2</v>
      </c>
      <c r="K765" s="63">
        <v>44847</v>
      </c>
      <c r="L765" s="82"/>
      <c r="M765" s="26"/>
      <c r="N765" s="8"/>
      <c r="O765" s="9"/>
      <c r="P765" s="10"/>
      <c r="Q765" s="49">
        <f t="shared" si="748"/>
        <v>0</v>
      </c>
      <c r="R765" s="12"/>
      <c r="S765" s="9"/>
      <c r="T765" s="10"/>
      <c r="U765" s="49">
        <f t="shared" si="749"/>
        <v>0</v>
      </c>
      <c r="V765" s="11">
        <f t="shared" si="750"/>
        <v>0</v>
      </c>
      <c r="W765" s="142"/>
    </row>
    <row r="766" spans="1:23" x14ac:dyDescent="0.15">
      <c r="A766" s="25" t="s">
        <v>33</v>
      </c>
      <c r="B766" s="13"/>
      <c r="C766" s="14"/>
      <c r="D766" s="15">
        <v>2</v>
      </c>
      <c r="E766" s="49">
        <f t="shared" si="739"/>
        <v>2</v>
      </c>
      <c r="F766" s="16"/>
      <c r="G766" s="14">
        <v>1</v>
      </c>
      <c r="H766" s="15"/>
      <c r="I766" s="49">
        <f t="shared" si="740"/>
        <v>1</v>
      </c>
      <c r="J766" s="11">
        <f t="shared" si="741"/>
        <v>3</v>
      </c>
      <c r="K766" s="63">
        <v>44846</v>
      </c>
      <c r="M766" s="26"/>
      <c r="N766" s="8"/>
      <c r="O766" s="9"/>
      <c r="P766" s="10"/>
      <c r="Q766" s="49">
        <f t="shared" ref="Q766:Q768" si="751">SUM(N766:P766)</f>
        <v>0</v>
      </c>
      <c r="R766" s="12"/>
      <c r="S766" s="9"/>
      <c r="T766" s="10"/>
      <c r="U766" s="49">
        <f t="shared" ref="U766:U768" si="752">SUM(R766:T766)</f>
        <v>0</v>
      </c>
      <c r="V766" s="11">
        <f t="shared" ref="V766:V768" si="753">Q766+U766</f>
        <v>0</v>
      </c>
      <c r="W766" s="142"/>
    </row>
    <row r="767" spans="1:23" x14ac:dyDescent="0.15">
      <c r="A767" s="25" t="s">
        <v>33</v>
      </c>
      <c r="B767" s="8"/>
      <c r="C767" s="9">
        <v>2</v>
      </c>
      <c r="D767" s="10"/>
      <c r="E767" s="49">
        <f t="shared" si="739"/>
        <v>2</v>
      </c>
      <c r="F767" s="12"/>
      <c r="G767" s="9"/>
      <c r="H767" s="10">
        <v>2</v>
      </c>
      <c r="I767" s="49">
        <f t="shared" si="740"/>
        <v>2</v>
      </c>
      <c r="J767" s="11">
        <f t="shared" si="741"/>
        <v>4</v>
      </c>
      <c r="K767" s="63">
        <v>44851</v>
      </c>
      <c r="M767" s="26"/>
      <c r="N767" s="8"/>
      <c r="O767" s="9"/>
      <c r="P767" s="10"/>
      <c r="Q767" s="49">
        <f t="shared" si="751"/>
        <v>0</v>
      </c>
      <c r="R767" s="12"/>
      <c r="S767" s="9"/>
      <c r="T767" s="10"/>
      <c r="U767" s="49">
        <f t="shared" si="752"/>
        <v>0</v>
      </c>
      <c r="V767" s="11">
        <f t="shared" si="753"/>
        <v>0</v>
      </c>
      <c r="W767" s="142"/>
    </row>
    <row r="768" spans="1:23" x14ac:dyDescent="0.15">
      <c r="A768" s="25" t="s">
        <v>33</v>
      </c>
      <c r="B768" s="8"/>
      <c r="C768" s="9">
        <v>1</v>
      </c>
      <c r="D768" s="10"/>
      <c r="E768" s="49">
        <f t="shared" si="739"/>
        <v>1</v>
      </c>
      <c r="F768" s="12"/>
      <c r="G768" s="9"/>
      <c r="H768" s="10"/>
      <c r="I768" s="49">
        <f t="shared" si="740"/>
        <v>0</v>
      </c>
      <c r="J768" s="11">
        <f t="shared" si="741"/>
        <v>1</v>
      </c>
      <c r="K768" s="63">
        <v>44852</v>
      </c>
      <c r="M768" s="26"/>
      <c r="N768" s="8"/>
      <c r="O768" s="9"/>
      <c r="P768" s="10"/>
      <c r="Q768" s="49">
        <f t="shared" si="751"/>
        <v>0</v>
      </c>
      <c r="R768" s="12"/>
      <c r="S768" s="9"/>
      <c r="T768" s="10"/>
      <c r="U768" s="49">
        <f t="shared" si="752"/>
        <v>0</v>
      </c>
      <c r="V768" s="11">
        <f t="shared" si="753"/>
        <v>0</v>
      </c>
      <c r="W768" s="142"/>
    </row>
    <row r="769" spans="1:23" x14ac:dyDescent="0.15">
      <c r="A769" s="25"/>
      <c r="B769" s="8"/>
      <c r="C769" s="9"/>
      <c r="D769" s="10"/>
      <c r="E769" s="49">
        <f t="shared" si="739"/>
        <v>0</v>
      </c>
      <c r="F769" s="12"/>
      <c r="G769" s="9"/>
      <c r="H769" s="10"/>
      <c r="I769" s="49">
        <f t="shared" si="740"/>
        <v>0</v>
      </c>
      <c r="J769" s="11">
        <f t="shared" si="741"/>
        <v>0</v>
      </c>
      <c r="K769" s="71"/>
      <c r="M769" s="26"/>
      <c r="N769" s="8"/>
      <c r="O769" s="9"/>
      <c r="P769" s="10"/>
      <c r="Q769" s="49">
        <f t="shared" si="748"/>
        <v>0</v>
      </c>
      <c r="R769" s="12"/>
      <c r="S769" s="9"/>
      <c r="T769" s="10"/>
      <c r="U769" s="49">
        <f t="shared" si="749"/>
        <v>0</v>
      </c>
      <c r="V769" s="11">
        <f t="shared" ref="V769:V770" si="754">Q769+U769</f>
        <v>0</v>
      </c>
      <c r="W769" s="142"/>
    </row>
    <row r="770" spans="1:23" ht="14.25" thickBot="1" x14ac:dyDescent="0.2">
      <c r="A770" s="23" t="s">
        <v>417</v>
      </c>
      <c r="B770" s="13">
        <v>1</v>
      </c>
      <c r="C770" s="14"/>
      <c r="D770" s="15">
        <v>1</v>
      </c>
      <c r="E770" s="55">
        <f t="shared" si="739"/>
        <v>2</v>
      </c>
      <c r="F770" s="16"/>
      <c r="G770" s="14">
        <v>1</v>
      </c>
      <c r="H770" s="15">
        <v>-1</v>
      </c>
      <c r="I770" s="55">
        <f t="shared" si="740"/>
        <v>0</v>
      </c>
      <c r="J770" s="11">
        <f t="shared" si="741"/>
        <v>2</v>
      </c>
      <c r="M770" s="26"/>
      <c r="N770" s="8"/>
      <c r="O770" s="9"/>
      <c r="P770" s="10"/>
      <c r="Q770" s="49">
        <f t="shared" si="748"/>
        <v>0</v>
      </c>
      <c r="R770" s="12"/>
      <c r="S770" s="9"/>
      <c r="T770" s="10"/>
      <c r="U770" s="49">
        <f t="shared" si="749"/>
        <v>0</v>
      </c>
      <c r="V770" s="11">
        <f t="shared" si="754"/>
        <v>0</v>
      </c>
      <c r="W770" s="142"/>
    </row>
    <row r="771" spans="1:23" ht="14.25" thickBot="1" x14ac:dyDescent="0.2">
      <c r="A771" s="41" t="s">
        <v>19</v>
      </c>
      <c r="B771" s="46">
        <f>SUM(B745:B770)</f>
        <v>9</v>
      </c>
      <c r="C771" s="47">
        <f t="shared" ref="C771:D771" si="755">SUM(C745:C770)</f>
        <v>13</v>
      </c>
      <c r="D771" s="59">
        <f t="shared" si="755"/>
        <v>14</v>
      </c>
      <c r="E771" s="45">
        <f t="shared" si="739"/>
        <v>36</v>
      </c>
      <c r="F771" s="46">
        <f>SUM(F745:F770)</f>
        <v>8</v>
      </c>
      <c r="G771" s="47">
        <f t="shared" ref="G771:H771" si="756">SUM(G745:G770)</f>
        <v>11</v>
      </c>
      <c r="H771" s="59">
        <f t="shared" si="756"/>
        <v>14</v>
      </c>
      <c r="I771" s="45">
        <f t="shared" si="740"/>
        <v>33</v>
      </c>
      <c r="J771" s="45">
        <f>E771+I771</f>
        <v>69</v>
      </c>
      <c r="M771" s="41" t="s">
        <v>19</v>
      </c>
      <c r="N771" s="46">
        <f>SUM(N745:N770)</f>
        <v>81</v>
      </c>
      <c r="O771" s="47">
        <f t="shared" ref="O771:P771" si="757">SUM(O745:O770)</f>
        <v>26</v>
      </c>
      <c r="P771" s="59">
        <f t="shared" si="757"/>
        <v>6</v>
      </c>
      <c r="Q771" s="45">
        <f t="shared" si="748"/>
        <v>113</v>
      </c>
      <c r="R771" s="46">
        <f>SUM(R745:R770)</f>
        <v>28</v>
      </c>
      <c r="S771" s="47">
        <f t="shared" ref="S771:T771" si="758">SUM(S745:S770)</f>
        <v>29</v>
      </c>
      <c r="T771" s="59">
        <f t="shared" si="758"/>
        <v>12</v>
      </c>
      <c r="U771" s="45">
        <f t="shared" si="749"/>
        <v>69</v>
      </c>
      <c r="V771" s="45">
        <f>Q771+U771</f>
        <v>182</v>
      </c>
    </row>
    <row r="772" spans="1:23" ht="14.25" thickBot="1" x14ac:dyDescent="0.2">
      <c r="A772" s="22" t="s">
        <v>17</v>
      </c>
      <c r="B772" s="50">
        <f>B744-B771</f>
        <v>7</v>
      </c>
      <c r="C772" s="57">
        <f t="shared" ref="C772:D772" si="759">C744-C771</f>
        <v>5</v>
      </c>
      <c r="D772" s="58">
        <f t="shared" si="759"/>
        <v>7</v>
      </c>
      <c r="E772" s="56">
        <f>SUM(B772:D772)</f>
        <v>19</v>
      </c>
      <c r="F772" s="50">
        <f>F744-F771</f>
        <v>8</v>
      </c>
      <c r="G772" s="57">
        <f t="shared" ref="G772:H772" si="760">G744-G771</f>
        <v>6</v>
      </c>
      <c r="H772" s="58">
        <f t="shared" si="760"/>
        <v>7</v>
      </c>
      <c r="I772" s="56">
        <f>SUM(F772:H772)</f>
        <v>21</v>
      </c>
      <c r="J772" s="31">
        <f>E772+I772</f>
        <v>40</v>
      </c>
      <c r="M772" s="22" t="s">
        <v>17</v>
      </c>
      <c r="N772" s="50">
        <f>N744-N771</f>
        <v>540</v>
      </c>
      <c r="O772" s="57">
        <f t="shared" ref="O772:P772" si="761">O744-O771</f>
        <v>793</v>
      </c>
      <c r="P772" s="58">
        <f t="shared" si="761"/>
        <v>748</v>
      </c>
      <c r="Q772" s="56">
        <f>SUM(N772:P772)</f>
        <v>2081</v>
      </c>
      <c r="R772" s="50">
        <f>R744-R771</f>
        <v>761</v>
      </c>
      <c r="S772" s="57">
        <f t="shared" ref="S772:T772" si="762">S744-S771</f>
        <v>999</v>
      </c>
      <c r="T772" s="58">
        <f t="shared" si="762"/>
        <v>908</v>
      </c>
      <c r="U772" s="56">
        <f>SUM(R772:T772)</f>
        <v>2668</v>
      </c>
      <c r="V772" s="31">
        <f>Q772+U772</f>
        <v>4749</v>
      </c>
    </row>
    <row r="775" spans="1:23" ht="19.5" thickBot="1" x14ac:dyDescent="0.25">
      <c r="A775" s="3" t="s">
        <v>21</v>
      </c>
      <c r="B775" s="1"/>
      <c r="C775" s="1"/>
      <c r="D775" s="1"/>
      <c r="E775" s="1"/>
      <c r="F775" s="1"/>
      <c r="G775" s="1"/>
      <c r="H775" s="1"/>
      <c r="I775" s="1"/>
      <c r="J775" s="1"/>
      <c r="M775" s="3" t="s">
        <v>22</v>
      </c>
      <c r="N775" s="1"/>
      <c r="O775" s="1"/>
      <c r="P775" s="1"/>
      <c r="Q775" s="1"/>
      <c r="R775" s="1"/>
      <c r="S775" s="1"/>
      <c r="T775" s="1"/>
      <c r="U775" s="1"/>
      <c r="V775" s="1"/>
    </row>
    <row r="776" spans="1:23" ht="14.25" thickBot="1" x14ac:dyDescent="0.2">
      <c r="A776" s="7" t="s">
        <v>0</v>
      </c>
      <c r="B776" s="165" t="s">
        <v>24</v>
      </c>
      <c r="C776" s="166"/>
      <c r="D776" s="166"/>
      <c r="E776" s="170"/>
      <c r="F776" s="165" t="s">
        <v>18</v>
      </c>
      <c r="G776" s="166"/>
      <c r="H776" s="166"/>
      <c r="I776" s="167"/>
      <c r="J776" s="168" t="s">
        <v>1</v>
      </c>
      <c r="M776" s="7" t="s">
        <v>0</v>
      </c>
      <c r="N776" s="165" t="s">
        <v>24</v>
      </c>
      <c r="O776" s="166"/>
      <c r="P776" s="166"/>
      <c r="Q776" s="170"/>
      <c r="R776" s="165" t="s">
        <v>18</v>
      </c>
      <c r="S776" s="166"/>
      <c r="T776" s="166"/>
      <c r="U776" s="167"/>
      <c r="V776" s="168" t="s">
        <v>1</v>
      </c>
    </row>
    <row r="777" spans="1:23" ht="14.25" thickBot="1" x14ac:dyDescent="0.2">
      <c r="A777" s="7" t="s">
        <v>2</v>
      </c>
      <c r="B777" s="4" t="s">
        <v>3</v>
      </c>
      <c r="C777" s="5" t="s">
        <v>4</v>
      </c>
      <c r="D777" s="6" t="s">
        <v>5</v>
      </c>
      <c r="E777" s="7" t="s">
        <v>6</v>
      </c>
      <c r="F777" s="4" t="s">
        <v>3</v>
      </c>
      <c r="G777" s="5" t="s">
        <v>4</v>
      </c>
      <c r="H777" s="6" t="s">
        <v>5</v>
      </c>
      <c r="I777" s="7" t="s">
        <v>6</v>
      </c>
      <c r="J777" s="169"/>
      <c r="M777" s="7" t="s">
        <v>2</v>
      </c>
      <c r="N777" s="4" t="s">
        <v>3</v>
      </c>
      <c r="O777" s="5" t="s">
        <v>4</v>
      </c>
      <c r="P777" s="6" t="s">
        <v>5</v>
      </c>
      <c r="Q777" s="7" t="s">
        <v>6</v>
      </c>
      <c r="R777" s="4" t="s">
        <v>3</v>
      </c>
      <c r="S777" s="5" t="s">
        <v>4</v>
      </c>
      <c r="T777" s="6" t="s">
        <v>5</v>
      </c>
      <c r="U777" s="7" t="s">
        <v>6</v>
      </c>
      <c r="V777" s="169"/>
    </row>
    <row r="778" spans="1:23" ht="14.25" thickBot="1" x14ac:dyDescent="0.2">
      <c r="A778" s="27" t="s">
        <v>20</v>
      </c>
      <c r="B778" s="28">
        <f>B772</f>
        <v>7</v>
      </c>
      <c r="C778" s="29">
        <f>C772</f>
        <v>5</v>
      </c>
      <c r="D778" s="30">
        <f>D772</f>
        <v>7</v>
      </c>
      <c r="E778" s="31">
        <f>SUM(B778:D778)</f>
        <v>19</v>
      </c>
      <c r="F778" s="28">
        <f>F772</f>
        <v>8</v>
      </c>
      <c r="G778" s="29">
        <f>G772</f>
        <v>6</v>
      </c>
      <c r="H778" s="30">
        <f>H772</f>
        <v>7</v>
      </c>
      <c r="I778" s="31">
        <f>SUM(F778:H778)</f>
        <v>21</v>
      </c>
      <c r="J778" s="31">
        <f>E778+I778</f>
        <v>40</v>
      </c>
      <c r="M778" s="27" t="s">
        <v>20</v>
      </c>
      <c r="N778" s="28">
        <f>N772</f>
        <v>540</v>
      </c>
      <c r="O778" s="29">
        <f>O772</f>
        <v>793</v>
      </c>
      <c r="P778" s="30">
        <f>P772</f>
        <v>748</v>
      </c>
      <c r="Q778" s="31">
        <f>SUM(N778:P778)</f>
        <v>2081</v>
      </c>
      <c r="R778" s="28">
        <f>R772</f>
        <v>761</v>
      </c>
      <c r="S778" s="29">
        <f>S772</f>
        <v>999</v>
      </c>
      <c r="T778" s="30">
        <f>T772</f>
        <v>908</v>
      </c>
      <c r="U778" s="31">
        <f>SUM(R778:T778)</f>
        <v>2668</v>
      </c>
      <c r="V778" s="31">
        <f>Q778+U778</f>
        <v>4749</v>
      </c>
    </row>
    <row r="779" spans="1:23" x14ac:dyDescent="0.15">
      <c r="A779" s="25" t="s">
        <v>143</v>
      </c>
      <c r="B779" s="17"/>
      <c r="C779" s="18">
        <v>1</v>
      </c>
      <c r="D779" s="51"/>
      <c r="E779" s="49">
        <f t="shared" ref="E779:E780" si="763">SUM(B779:D779)</f>
        <v>1</v>
      </c>
      <c r="F779" s="20"/>
      <c r="G779" s="18">
        <v>1</v>
      </c>
      <c r="H779" s="19"/>
      <c r="I779" s="49">
        <f t="shared" ref="I779:I780" si="764">SUM(F779:H779)</f>
        <v>1</v>
      </c>
      <c r="J779" s="49">
        <f t="shared" ref="J779:J780" si="765">E779+I779</f>
        <v>2</v>
      </c>
      <c r="K779" s="63">
        <v>44848</v>
      </c>
      <c r="M779" s="25" t="s">
        <v>160</v>
      </c>
      <c r="N779" s="17">
        <v>3</v>
      </c>
      <c r="O779" s="18">
        <v>6</v>
      </c>
      <c r="P779" s="51">
        <v>6</v>
      </c>
      <c r="Q779" s="49">
        <f t="shared" ref="Q779" si="766">SUM(N779:P779)</f>
        <v>15</v>
      </c>
      <c r="R779" s="20">
        <v>3</v>
      </c>
      <c r="S779" s="18">
        <v>4</v>
      </c>
      <c r="T779" s="19">
        <v>3</v>
      </c>
      <c r="U779" s="49">
        <f t="shared" ref="U779" si="767">SUM(R779:T779)</f>
        <v>10</v>
      </c>
      <c r="V779" s="49">
        <f t="shared" ref="V779" si="768">Q779+U779</f>
        <v>25</v>
      </c>
      <c r="W779" s="144">
        <v>44884</v>
      </c>
    </row>
    <row r="780" spans="1:23" x14ac:dyDescent="0.15">
      <c r="A780" s="25" t="s">
        <v>348</v>
      </c>
      <c r="B780" s="17">
        <v>1</v>
      </c>
      <c r="C780" s="18">
        <v>3</v>
      </c>
      <c r="D780" s="51">
        <v>2</v>
      </c>
      <c r="E780" s="11">
        <f t="shared" si="763"/>
        <v>6</v>
      </c>
      <c r="F780" s="20">
        <v>1</v>
      </c>
      <c r="G780" s="18">
        <v>4</v>
      </c>
      <c r="H780" s="19">
        <v>5</v>
      </c>
      <c r="I780" s="11">
        <f t="shared" si="764"/>
        <v>10</v>
      </c>
      <c r="J780" s="11">
        <f t="shared" si="765"/>
        <v>16</v>
      </c>
      <c r="K780" s="63">
        <v>44860</v>
      </c>
      <c r="M780" s="25" t="s">
        <v>9</v>
      </c>
      <c r="N780" s="8"/>
      <c r="O780" s="9"/>
      <c r="P780" s="52"/>
      <c r="Q780" s="11">
        <f t="shared" ref="Q780:Q782" si="769">SUM(N780:P780)</f>
        <v>0</v>
      </c>
      <c r="R780" s="12"/>
      <c r="S780" s="9"/>
      <c r="T780" s="10"/>
      <c r="U780" s="11">
        <f t="shared" ref="U780:U782" si="770">SUM(R780:T780)</f>
        <v>0</v>
      </c>
      <c r="V780" s="11">
        <f t="shared" ref="V780:V782" si="771">Q780+U780</f>
        <v>0</v>
      </c>
    </row>
    <row r="781" spans="1:23" x14ac:dyDescent="0.15">
      <c r="A781" s="25" t="s">
        <v>143</v>
      </c>
      <c r="B781" s="17"/>
      <c r="C781" s="18"/>
      <c r="D781" s="51">
        <v>1</v>
      </c>
      <c r="E781" s="11">
        <f t="shared" ref="E781:E786" si="772">SUM(B781:D781)</f>
        <v>1</v>
      </c>
      <c r="F781" s="20"/>
      <c r="G781" s="18"/>
      <c r="H781" s="19">
        <v>1</v>
      </c>
      <c r="I781" s="11">
        <f t="shared" ref="I781:I786" si="773">SUM(F781:H781)</f>
        <v>1</v>
      </c>
      <c r="J781" s="11">
        <f t="shared" ref="J781:J786" si="774">E781+I781</f>
        <v>2</v>
      </c>
      <c r="K781" s="63">
        <v>44861</v>
      </c>
      <c r="M781" s="25" t="s">
        <v>10</v>
      </c>
      <c r="N781" s="8"/>
      <c r="O781" s="9"/>
      <c r="P781" s="52"/>
      <c r="Q781" s="11">
        <f t="shared" si="769"/>
        <v>0</v>
      </c>
      <c r="R781" s="12"/>
      <c r="S781" s="9"/>
      <c r="T781" s="10"/>
      <c r="U781" s="11">
        <f t="shared" si="770"/>
        <v>0</v>
      </c>
      <c r="V781" s="11">
        <f t="shared" si="771"/>
        <v>0</v>
      </c>
    </row>
    <row r="782" spans="1:23" x14ac:dyDescent="0.15">
      <c r="A782" s="25" t="s">
        <v>348</v>
      </c>
      <c r="B782" s="17">
        <v>3</v>
      </c>
      <c r="C782" s="18">
        <v>6</v>
      </c>
      <c r="D782" s="51">
        <v>6</v>
      </c>
      <c r="E782" s="11">
        <f t="shared" si="772"/>
        <v>15</v>
      </c>
      <c r="F782" s="20">
        <v>3</v>
      </c>
      <c r="G782" s="18">
        <v>4</v>
      </c>
      <c r="H782" s="19">
        <v>3</v>
      </c>
      <c r="I782" s="11">
        <f t="shared" si="773"/>
        <v>10</v>
      </c>
      <c r="J782" s="11">
        <f t="shared" si="774"/>
        <v>25</v>
      </c>
      <c r="K782" s="63">
        <v>44881</v>
      </c>
      <c r="M782" s="25" t="s">
        <v>11</v>
      </c>
      <c r="N782" s="8"/>
      <c r="O782" s="9"/>
      <c r="P782" s="52"/>
      <c r="Q782" s="11">
        <f t="shared" si="769"/>
        <v>0</v>
      </c>
      <c r="R782" s="12"/>
      <c r="S782" s="9"/>
      <c r="T782" s="10"/>
      <c r="U782" s="11">
        <f t="shared" si="770"/>
        <v>0</v>
      </c>
      <c r="V782" s="11">
        <f t="shared" si="771"/>
        <v>0</v>
      </c>
    </row>
    <row r="783" spans="1:23" x14ac:dyDescent="0.15">
      <c r="A783" s="25" t="s">
        <v>195</v>
      </c>
      <c r="B783" s="17"/>
      <c r="C783" s="18">
        <v>2</v>
      </c>
      <c r="D783" s="51"/>
      <c r="E783" s="11">
        <f t="shared" si="772"/>
        <v>2</v>
      </c>
      <c r="F783" s="20"/>
      <c r="G783" s="18"/>
      <c r="H783" s="19"/>
      <c r="I783" s="11">
        <f t="shared" si="773"/>
        <v>0</v>
      </c>
      <c r="J783" s="11">
        <f t="shared" si="774"/>
        <v>2</v>
      </c>
      <c r="K783" s="63">
        <v>44882</v>
      </c>
      <c r="M783" s="25" t="s">
        <v>12</v>
      </c>
      <c r="N783" s="8"/>
      <c r="O783" s="9"/>
      <c r="P783" s="52"/>
      <c r="Q783" s="11">
        <f t="shared" ref="Q783:Q786" si="775">SUM(N783:P783)</f>
        <v>0</v>
      </c>
      <c r="R783" s="12"/>
      <c r="S783" s="9"/>
      <c r="T783" s="10"/>
      <c r="U783" s="11">
        <f t="shared" ref="U783:U786" si="776">SUM(R783:T783)</f>
        <v>0</v>
      </c>
      <c r="V783" s="11">
        <f t="shared" ref="V783:V786" si="777">Q783+U783</f>
        <v>0</v>
      </c>
    </row>
    <row r="784" spans="1:23" x14ac:dyDescent="0.15">
      <c r="A784" s="25" t="s">
        <v>373</v>
      </c>
      <c r="B784" s="17"/>
      <c r="C784" s="18"/>
      <c r="D784" s="51"/>
      <c r="E784" s="11">
        <f t="shared" si="772"/>
        <v>0</v>
      </c>
      <c r="F784" s="20"/>
      <c r="G784" s="18"/>
      <c r="H784" s="19">
        <v>1</v>
      </c>
      <c r="I784" s="11">
        <f t="shared" si="773"/>
        <v>1</v>
      </c>
      <c r="J784" s="11">
        <f t="shared" si="774"/>
        <v>1</v>
      </c>
      <c r="K784" s="63">
        <v>44886</v>
      </c>
      <c r="M784" s="25" t="s">
        <v>13</v>
      </c>
      <c r="N784" s="8"/>
      <c r="O784" s="9"/>
      <c r="P784" s="52"/>
      <c r="Q784" s="11">
        <f t="shared" si="775"/>
        <v>0</v>
      </c>
      <c r="R784" s="12"/>
      <c r="S784" s="9"/>
      <c r="T784" s="10"/>
      <c r="U784" s="11">
        <f t="shared" si="776"/>
        <v>0</v>
      </c>
      <c r="V784" s="11">
        <f t="shared" si="777"/>
        <v>0</v>
      </c>
    </row>
    <row r="785" spans="1:24" x14ac:dyDescent="0.15">
      <c r="A785" s="25" t="s">
        <v>143</v>
      </c>
      <c r="B785" s="17"/>
      <c r="C785" s="18"/>
      <c r="D785" s="51">
        <v>1</v>
      </c>
      <c r="E785" s="11">
        <f t="shared" si="772"/>
        <v>1</v>
      </c>
      <c r="F785" s="20"/>
      <c r="G785" s="18"/>
      <c r="H785" s="19">
        <v>1</v>
      </c>
      <c r="I785" s="11">
        <f t="shared" si="773"/>
        <v>1</v>
      </c>
      <c r="J785" s="11">
        <f t="shared" si="774"/>
        <v>2</v>
      </c>
      <c r="K785" s="63">
        <v>44894</v>
      </c>
      <c r="M785" s="25" t="s">
        <v>14</v>
      </c>
      <c r="N785" s="13"/>
      <c r="O785" s="14"/>
      <c r="P785" s="53"/>
      <c r="Q785" s="11">
        <f t="shared" si="775"/>
        <v>0</v>
      </c>
      <c r="R785" s="16"/>
      <c r="S785" s="14"/>
      <c r="T785" s="15"/>
      <c r="U785" s="11">
        <f t="shared" si="776"/>
        <v>0</v>
      </c>
      <c r="V785" s="11">
        <f t="shared" si="777"/>
        <v>0</v>
      </c>
    </row>
    <row r="786" spans="1:24" ht="14.25" thickBot="1" x14ac:dyDescent="0.2">
      <c r="A786" s="25" t="s">
        <v>15</v>
      </c>
      <c r="B786" s="17"/>
      <c r="C786" s="18">
        <v>5</v>
      </c>
      <c r="D786" s="51"/>
      <c r="E786" s="11">
        <f t="shared" si="772"/>
        <v>5</v>
      </c>
      <c r="F786" s="20">
        <v>5</v>
      </c>
      <c r="G786" s="18"/>
      <c r="H786" s="19"/>
      <c r="I786" s="11">
        <f t="shared" si="773"/>
        <v>5</v>
      </c>
      <c r="J786" s="11">
        <f t="shared" si="774"/>
        <v>10</v>
      </c>
      <c r="K786" s="63">
        <v>44967</v>
      </c>
      <c r="M786" s="25" t="s">
        <v>15</v>
      </c>
      <c r="N786" s="13"/>
      <c r="O786" s="14"/>
      <c r="P786" s="53"/>
      <c r="Q786" s="62">
        <f t="shared" si="775"/>
        <v>0</v>
      </c>
      <c r="R786" s="34"/>
      <c r="S786" s="34"/>
      <c r="T786" s="37"/>
      <c r="U786" s="62">
        <f t="shared" si="776"/>
        <v>0</v>
      </c>
      <c r="V786" s="21">
        <f t="shared" si="777"/>
        <v>0</v>
      </c>
    </row>
    <row r="787" spans="1:24" ht="14.25" thickBot="1" x14ac:dyDescent="0.2">
      <c r="A787" s="35" t="s">
        <v>16</v>
      </c>
      <c r="B787" s="28">
        <f>SUM(B778:B786)</f>
        <v>11</v>
      </c>
      <c r="C787" s="29">
        <f t="shared" ref="C787:D787" si="778">SUM(C778:C786)</f>
        <v>22</v>
      </c>
      <c r="D787" s="68">
        <f t="shared" si="778"/>
        <v>17</v>
      </c>
      <c r="E787" s="64">
        <f>SUM(B787:D787)</f>
        <v>50</v>
      </c>
      <c r="F787" s="28">
        <f>SUM(F778:F786)</f>
        <v>17</v>
      </c>
      <c r="G787" s="29">
        <f t="shared" ref="G787:H787" si="779">SUM(G778:G786)</f>
        <v>15</v>
      </c>
      <c r="H787" s="68">
        <f t="shared" si="779"/>
        <v>18</v>
      </c>
      <c r="I787" s="64">
        <f>SUM(F787:H787)</f>
        <v>50</v>
      </c>
      <c r="J787" s="31">
        <f>SUM(J779:J786)</f>
        <v>60</v>
      </c>
      <c r="M787" s="35" t="s">
        <v>16</v>
      </c>
      <c r="N787" s="28">
        <f>SUM(N778:N786)</f>
        <v>543</v>
      </c>
      <c r="O787" s="29">
        <f t="shared" ref="O787:P787" si="780">SUM(O778:O786)</f>
        <v>799</v>
      </c>
      <c r="P787" s="68">
        <f t="shared" si="780"/>
        <v>754</v>
      </c>
      <c r="Q787" s="64">
        <f>SUM(N787:P787)</f>
        <v>2096</v>
      </c>
      <c r="R787" s="28">
        <f>SUM(R778:R786)</f>
        <v>764</v>
      </c>
      <c r="S787" s="29">
        <f t="shared" ref="S787:T787" si="781">SUM(S778:S786)</f>
        <v>1003</v>
      </c>
      <c r="T787" s="68">
        <f t="shared" si="781"/>
        <v>911</v>
      </c>
      <c r="U787" s="64">
        <f>SUM(R787:T787)</f>
        <v>2678</v>
      </c>
      <c r="V787" s="31">
        <f>Q787+U787</f>
        <v>4774</v>
      </c>
    </row>
    <row r="788" spans="1:24" x14ac:dyDescent="0.15">
      <c r="A788" s="25" t="s">
        <v>33</v>
      </c>
      <c r="B788" s="65">
        <v>1</v>
      </c>
      <c r="C788" s="66"/>
      <c r="D788" s="67"/>
      <c r="E788" s="49">
        <f>SUM(B788:D788)</f>
        <v>1</v>
      </c>
      <c r="F788" s="16"/>
      <c r="G788" s="14"/>
      <c r="H788" s="15"/>
      <c r="I788" s="49">
        <f>SUM(F788:H788)</f>
        <v>0</v>
      </c>
      <c r="J788" s="11">
        <f>E788+I788</f>
        <v>1</v>
      </c>
      <c r="K788" s="71">
        <v>44866</v>
      </c>
      <c r="M788" s="133" t="s">
        <v>160</v>
      </c>
      <c r="N788" s="65"/>
      <c r="O788" s="66">
        <v>5</v>
      </c>
      <c r="P788" s="67"/>
      <c r="Q788" s="49">
        <f t="shared" ref="Q788:Q790" si="782">SUM(N788:P788)</f>
        <v>5</v>
      </c>
      <c r="R788" s="16">
        <v>5</v>
      </c>
      <c r="S788" s="14"/>
      <c r="T788" s="15"/>
      <c r="U788" s="49">
        <f t="shared" ref="U788:U790" si="783">SUM(R788:T788)</f>
        <v>5</v>
      </c>
      <c r="V788" s="11">
        <f t="shared" ref="V788:V790" si="784">Q788+U788</f>
        <v>10</v>
      </c>
      <c r="W788" s="140">
        <v>44967</v>
      </c>
    </row>
    <row r="789" spans="1:24" x14ac:dyDescent="0.15">
      <c r="A789" s="25" t="s">
        <v>33</v>
      </c>
      <c r="B789" s="8"/>
      <c r="C789" s="9">
        <v>1</v>
      </c>
      <c r="D789" s="10"/>
      <c r="E789" s="49">
        <f t="shared" ref="E789:E814" si="785">SUM(B789:D789)</f>
        <v>1</v>
      </c>
      <c r="F789" s="12"/>
      <c r="G789" s="9"/>
      <c r="H789" s="10"/>
      <c r="I789" s="49">
        <f t="shared" ref="I789:I814" si="786">SUM(F789:H789)</f>
        <v>0</v>
      </c>
      <c r="J789" s="11">
        <f t="shared" ref="J789:J813" si="787">E789+I789</f>
        <v>1</v>
      </c>
      <c r="K789" s="63">
        <v>44870</v>
      </c>
      <c r="M789" s="133" t="s">
        <v>160</v>
      </c>
      <c r="N789" s="8">
        <v>5</v>
      </c>
      <c r="O789" s="9"/>
      <c r="P789" s="10"/>
      <c r="Q789" s="49">
        <f t="shared" si="782"/>
        <v>5</v>
      </c>
      <c r="R789" s="12">
        <v>10</v>
      </c>
      <c r="S789" s="9">
        <v>5</v>
      </c>
      <c r="T789" s="10"/>
      <c r="U789" s="49">
        <f t="shared" si="783"/>
        <v>15</v>
      </c>
      <c r="V789" s="11">
        <f t="shared" si="784"/>
        <v>20</v>
      </c>
      <c r="W789" s="140">
        <v>44995</v>
      </c>
    </row>
    <row r="790" spans="1:24" x14ac:dyDescent="0.15">
      <c r="A790" s="25" t="s">
        <v>33</v>
      </c>
      <c r="B790" s="8"/>
      <c r="C790" s="9"/>
      <c r="D790" s="10"/>
      <c r="E790" s="49">
        <f t="shared" si="785"/>
        <v>0</v>
      </c>
      <c r="F790" s="12"/>
      <c r="G790" s="9">
        <v>1</v>
      </c>
      <c r="H790" s="10">
        <v>1</v>
      </c>
      <c r="I790" s="49">
        <f t="shared" si="786"/>
        <v>2</v>
      </c>
      <c r="J790" s="11">
        <f t="shared" si="787"/>
        <v>2</v>
      </c>
      <c r="K790" s="63">
        <v>44876</v>
      </c>
      <c r="M790" s="133" t="s">
        <v>160</v>
      </c>
      <c r="N790" s="8">
        <v>5</v>
      </c>
      <c r="O790" s="9">
        <v>5</v>
      </c>
      <c r="P790" s="10"/>
      <c r="Q790" s="49">
        <f t="shared" si="782"/>
        <v>10</v>
      </c>
      <c r="R790" s="12">
        <v>5</v>
      </c>
      <c r="S790" s="9">
        <v>5</v>
      </c>
      <c r="T790" s="10">
        <v>3</v>
      </c>
      <c r="U790" s="49">
        <f t="shared" si="783"/>
        <v>13</v>
      </c>
      <c r="V790" s="11">
        <f t="shared" si="784"/>
        <v>23</v>
      </c>
      <c r="W790" s="140">
        <v>45012</v>
      </c>
    </row>
    <row r="791" spans="1:24" x14ac:dyDescent="0.15">
      <c r="A791" s="26" t="s">
        <v>273</v>
      </c>
      <c r="B791" s="8">
        <v>3</v>
      </c>
      <c r="C791" s="9">
        <v>6</v>
      </c>
      <c r="D791" s="10">
        <v>6</v>
      </c>
      <c r="E791" s="49">
        <f t="shared" si="785"/>
        <v>15</v>
      </c>
      <c r="F791" s="12">
        <v>3</v>
      </c>
      <c r="G791" s="9">
        <v>4</v>
      </c>
      <c r="H791" s="10">
        <v>3</v>
      </c>
      <c r="I791" s="49">
        <f t="shared" si="786"/>
        <v>10</v>
      </c>
      <c r="J791" s="11">
        <f t="shared" si="787"/>
        <v>25</v>
      </c>
      <c r="K791" s="71">
        <v>44884</v>
      </c>
      <c r="M791" s="26"/>
      <c r="N791" s="8"/>
      <c r="O791" s="9"/>
      <c r="P791" s="10"/>
      <c r="Q791" s="49">
        <f t="shared" ref="Q791" si="788">SUM(N791:P791)</f>
        <v>0</v>
      </c>
      <c r="R791" s="12"/>
      <c r="S791" s="9"/>
      <c r="T791" s="10"/>
      <c r="U791" s="49">
        <f t="shared" ref="U791" si="789">SUM(R791:T791)</f>
        <v>0</v>
      </c>
      <c r="V791" s="11">
        <f t="shared" ref="V791" si="790">Q791+U791</f>
        <v>0</v>
      </c>
      <c r="W791" s="140"/>
    </row>
    <row r="792" spans="1:24" x14ac:dyDescent="0.15">
      <c r="A792" s="25" t="s">
        <v>33</v>
      </c>
      <c r="B792" s="8"/>
      <c r="C792" s="9">
        <v>1</v>
      </c>
      <c r="D792" s="10"/>
      <c r="E792" s="49">
        <f t="shared" si="785"/>
        <v>1</v>
      </c>
      <c r="F792" s="12"/>
      <c r="G792" s="9">
        <v>1</v>
      </c>
      <c r="H792" s="10">
        <v>2</v>
      </c>
      <c r="I792" s="49">
        <f t="shared" si="786"/>
        <v>3</v>
      </c>
      <c r="J792" s="11">
        <f t="shared" si="787"/>
        <v>4</v>
      </c>
      <c r="K792" s="63">
        <v>44893</v>
      </c>
      <c r="M792" s="26"/>
      <c r="N792" s="8"/>
      <c r="O792" s="9"/>
      <c r="P792" s="10"/>
      <c r="Q792" s="49">
        <f>SUM(N792:P792)</f>
        <v>0</v>
      </c>
      <c r="R792" s="12"/>
      <c r="S792" s="9"/>
      <c r="T792" s="10"/>
      <c r="U792" s="49">
        <f>SUM(R792:T792)</f>
        <v>0</v>
      </c>
      <c r="V792" s="11">
        <f>Q792+U792</f>
        <v>0</v>
      </c>
      <c r="W792" s="140"/>
      <c r="X792" s="82"/>
    </row>
    <row r="793" spans="1:24" x14ac:dyDescent="0.15">
      <c r="A793" s="25" t="s">
        <v>33</v>
      </c>
      <c r="B793" s="8"/>
      <c r="C793" s="9"/>
      <c r="D793" s="10"/>
      <c r="E793" s="49">
        <f t="shared" si="785"/>
        <v>0</v>
      </c>
      <c r="F793" s="12"/>
      <c r="G793" s="9">
        <v>1</v>
      </c>
      <c r="H793" s="10"/>
      <c r="I793" s="49">
        <f t="shared" si="786"/>
        <v>1</v>
      </c>
      <c r="J793" s="11">
        <f t="shared" si="787"/>
        <v>1</v>
      </c>
      <c r="K793" s="71">
        <v>44900</v>
      </c>
      <c r="M793" s="23"/>
      <c r="N793" s="8"/>
      <c r="O793" s="9"/>
      <c r="P793" s="10"/>
      <c r="Q793" s="49">
        <f t="shared" ref="Q793:Q814" si="791">SUM(N793:P793)</f>
        <v>0</v>
      </c>
      <c r="R793" s="12"/>
      <c r="S793" s="9"/>
      <c r="T793" s="10"/>
      <c r="U793" s="49">
        <f t="shared" ref="U793:U814" si="792">SUM(R793:T793)</f>
        <v>0</v>
      </c>
      <c r="V793" s="11">
        <f t="shared" ref="V793:V812" si="793">Q793+U793</f>
        <v>0</v>
      </c>
      <c r="W793" s="140"/>
      <c r="X793" s="82"/>
    </row>
    <row r="794" spans="1:24" x14ac:dyDescent="0.15">
      <c r="A794" s="25" t="s">
        <v>33</v>
      </c>
      <c r="B794" s="8"/>
      <c r="C794" s="9">
        <v>1</v>
      </c>
      <c r="D794" s="10"/>
      <c r="E794" s="49">
        <f t="shared" si="785"/>
        <v>1</v>
      </c>
      <c r="F794" s="12"/>
      <c r="G794" s="9">
        <v>1</v>
      </c>
      <c r="H794" s="10"/>
      <c r="I794" s="49">
        <f t="shared" si="786"/>
        <v>1</v>
      </c>
      <c r="J794" s="11">
        <f t="shared" si="787"/>
        <v>2</v>
      </c>
      <c r="K794" s="71">
        <v>44907</v>
      </c>
      <c r="M794" s="133"/>
      <c r="N794" s="8"/>
      <c r="O794" s="9"/>
      <c r="P794" s="52"/>
      <c r="Q794" s="11">
        <f t="shared" si="791"/>
        <v>0</v>
      </c>
      <c r="R794" s="12"/>
      <c r="S794" s="9"/>
      <c r="T794" s="10"/>
      <c r="U794" s="11">
        <f t="shared" si="792"/>
        <v>0</v>
      </c>
      <c r="V794" s="11">
        <f t="shared" si="793"/>
        <v>0</v>
      </c>
      <c r="W794" s="140"/>
    </row>
    <row r="795" spans="1:24" x14ac:dyDescent="0.15">
      <c r="A795" s="25" t="s">
        <v>33</v>
      </c>
      <c r="B795" s="8"/>
      <c r="C795" s="9"/>
      <c r="D795" s="10"/>
      <c r="E795" s="49">
        <f t="shared" si="785"/>
        <v>0</v>
      </c>
      <c r="F795" s="12"/>
      <c r="G795" s="9"/>
      <c r="H795" s="10">
        <v>1</v>
      </c>
      <c r="I795" s="49">
        <f t="shared" si="786"/>
        <v>1</v>
      </c>
      <c r="J795" s="11">
        <f t="shared" si="787"/>
        <v>1</v>
      </c>
      <c r="K795" s="71">
        <v>44910</v>
      </c>
      <c r="M795" s="25"/>
      <c r="N795" s="8"/>
      <c r="O795" s="9"/>
      <c r="P795" s="10"/>
      <c r="Q795" s="49">
        <f t="shared" si="791"/>
        <v>0</v>
      </c>
      <c r="R795" s="12"/>
      <c r="S795" s="9"/>
      <c r="T795" s="10"/>
      <c r="U795" s="49">
        <f t="shared" si="792"/>
        <v>0</v>
      </c>
      <c r="V795" s="11">
        <f t="shared" si="793"/>
        <v>0</v>
      </c>
      <c r="W795" s="140"/>
    </row>
    <row r="796" spans="1:24" x14ac:dyDescent="0.15">
      <c r="A796" s="25" t="s">
        <v>33</v>
      </c>
      <c r="B796" s="13"/>
      <c r="C796" s="14">
        <v>1</v>
      </c>
      <c r="D796" s="15"/>
      <c r="E796" s="49">
        <f t="shared" si="785"/>
        <v>1</v>
      </c>
      <c r="F796" s="16"/>
      <c r="G796" s="14">
        <v>1</v>
      </c>
      <c r="H796" s="15"/>
      <c r="I796" s="49">
        <f t="shared" si="786"/>
        <v>1</v>
      </c>
      <c r="J796" s="11">
        <f t="shared" si="787"/>
        <v>2</v>
      </c>
      <c r="K796" s="71">
        <v>44917</v>
      </c>
      <c r="M796" s="119"/>
      <c r="N796" s="8"/>
      <c r="O796" s="9"/>
      <c r="P796" s="10"/>
      <c r="Q796" s="49">
        <f t="shared" si="791"/>
        <v>0</v>
      </c>
      <c r="R796" s="12"/>
      <c r="S796" s="9"/>
      <c r="T796" s="10"/>
      <c r="U796" s="49">
        <f t="shared" si="792"/>
        <v>0</v>
      </c>
      <c r="V796" s="11">
        <f t="shared" si="793"/>
        <v>0</v>
      </c>
      <c r="W796" s="140"/>
    </row>
    <row r="797" spans="1:24" x14ac:dyDescent="0.15">
      <c r="A797" s="25" t="s">
        <v>33</v>
      </c>
      <c r="B797" s="13"/>
      <c r="C797" s="14"/>
      <c r="D797" s="15"/>
      <c r="E797" s="49">
        <f t="shared" si="785"/>
        <v>0</v>
      </c>
      <c r="F797" s="16">
        <v>1</v>
      </c>
      <c r="G797" s="14"/>
      <c r="H797" s="15"/>
      <c r="I797" s="49">
        <f t="shared" si="786"/>
        <v>1</v>
      </c>
      <c r="J797" s="11">
        <f t="shared" si="787"/>
        <v>1</v>
      </c>
      <c r="K797" s="71">
        <v>44921</v>
      </c>
      <c r="M797" s="119"/>
      <c r="N797" s="13"/>
      <c r="O797" s="14"/>
      <c r="P797" s="15"/>
      <c r="Q797" s="49">
        <f t="shared" si="791"/>
        <v>0</v>
      </c>
      <c r="R797" s="16"/>
      <c r="S797" s="14"/>
      <c r="T797" s="15"/>
      <c r="U797" s="49">
        <f t="shared" si="792"/>
        <v>0</v>
      </c>
      <c r="V797" s="11">
        <f t="shared" si="793"/>
        <v>0</v>
      </c>
      <c r="W797" s="140"/>
    </row>
    <row r="798" spans="1:24" x14ac:dyDescent="0.15">
      <c r="A798" s="25" t="s">
        <v>33</v>
      </c>
      <c r="B798" s="8"/>
      <c r="C798" s="9"/>
      <c r="D798" s="10"/>
      <c r="E798" s="49">
        <f t="shared" si="785"/>
        <v>0</v>
      </c>
      <c r="F798" s="12">
        <v>1</v>
      </c>
      <c r="G798" s="9"/>
      <c r="H798" s="10"/>
      <c r="I798" s="49">
        <f t="shared" si="786"/>
        <v>1</v>
      </c>
      <c r="J798" s="11">
        <f t="shared" si="787"/>
        <v>1</v>
      </c>
      <c r="K798" s="71">
        <v>44933</v>
      </c>
      <c r="M798" s="119"/>
      <c r="N798" s="8"/>
      <c r="O798" s="9"/>
      <c r="P798" s="10"/>
      <c r="Q798" s="49">
        <f t="shared" si="791"/>
        <v>0</v>
      </c>
      <c r="R798" s="12"/>
      <c r="S798" s="9"/>
      <c r="T798" s="10"/>
      <c r="U798" s="49">
        <f t="shared" si="792"/>
        <v>0</v>
      </c>
      <c r="V798" s="11">
        <f t="shared" si="793"/>
        <v>0</v>
      </c>
      <c r="W798" s="140"/>
    </row>
    <row r="799" spans="1:24" x14ac:dyDescent="0.15">
      <c r="A799" s="25" t="s">
        <v>33</v>
      </c>
      <c r="B799" s="8">
        <v>1</v>
      </c>
      <c r="C799" s="9"/>
      <c r="D799" s="10"/>
      <c r="E799" s="49">
        <f t="shared" si="785"/>
        <v>1</v>
      </c>
      <c r="F799" s="12">
        <v>1</v>
      </c>
      <c r="G799" s="9"/>
      <c r="H799" s="10"/>
      <c r="I799" s="49">
        <f t="shared" si="786"/>
        <v>1</v>
      </c>
      <c r="J799" s="11">
        <f t="shared" si="787"/>
        <v>2</v>
      </c>
      <c r="K799" s="71">
        <v>44939</v>
      </c>
      <c r="M799" s="26"/>
      <c r="N799" s="8"/>
      <c r="O799" s="9"/>
      <c r="P799" s="10"/>
      <c r="Q799" s="49">
        <f t="shared" si="791"/>
        <v>0</v>
      </c>
      <c r="R799" s="12"/>
      <c r="S799" s="9"/>
      <c r="T799" s="10"/>
      <c r="U799" s="49">
        <f t="shared" si="792"/>
        <v>0</v>
      </c>
      <c r="V799" s="11">
        <f t="shared" si="793"/>
        <v>0</v>
      </c>
      <c r="W799" s="140"/>
    </row>
    <row r="800" spans="1:24" x14ac:dyDescent="0.15">
      <c r="A800" s="25" t="s">
        <v>33</v>
      </c>
      <c r="B800" s="8"/>
      <c r="C800" s="9"/>
      <c r="D800" s="10"/>
      <c r="E800" s="49">
        <f t="shared" si="785"/>
        <v>0</v>
      </c>
      <c r="F800" s="12">
        <v>2</v>
      </c>
      <c r="G800" s="9"/>
      <c r="H800" s="10"/>
      <c r="I800" s="49">
        <f t="shared" si="786"/>
        <v>2</v>
      </c>
      <c r="J800" s="11">
        <f t="shared" si="787"/>
        <v>2</v>
      </c>
      <c r="K800" s="71">
        <v>44943</v>
      </c>
      <c r="L800" s="82"/>
      <c r="M800" s="102"/>
      <c r="N800" s="8"/>
      <c r="O800" s="9"/>
      <c r="P800" s="10"/>
      <c r="Q800" s="49">
        <f t="shared" si="791"/>
        <v>0</v>
      </c>
      <c r="R800" s="12"/>
      <c r="S800" s="9"/>
      <c r="T800" s="10"/>
      <c r="U800" s="49">
        <f t="shared" si="792"/>
        <v>0</v>
      </c>
      <c r="V800" s="11">
        <f t="shared" si="793"/>
        <v>0</v>
      </c>
      <c r="W800" s="142"/>
    </row>
    <row r="801" spans="1:23" x14ac:dyDescent="0.15">
      <c r="A801" s="25" t="s">
        <v>33</v>
      </c>
      <c r="B801" s="8"/>
      <c r="C801" s="9">
        <v>1</v>
      </c>
      <c r="D801" s="10"/>
      <c r="E801" s="49">
        <f t="shared" si="785"/>
        <v>1</v>
      </c>
      <c r="F801" s="12"/>
      <c r="G801" s="9"/>
      <c r="H801" s="10"/>
      <c r="I801" s="49">
        <f t="shared" si="786"/>
        <v>0</v>
      </c>
      <c r="J801" s="11">
        <f t="shared" si="787"/>
        <v>1</v>
      </c>
      <c r="K801" s="71">
        <v>44944</v>
      </c>
      <c r="M801" s="102"/>
      <c r="N801" s="8"/>
      <c r="O801" s="9"/>
      <c r="P801" s="10"/>
      <c r="Q801" s="49">
        <f t="shared" si="791"/>
        <v>0</v>
      </c>
      <c r="R801" s="12"/>
      <c r="S801" s="9"/>
      <c r="T801" s="10"/>
      <c r="U801" s="49">
        <f t="shared" si="792"/>
        <v>0</v>
      </c>
      <c r="V801" s="11">
        <f t="shared" si="793"/>
        <v>0</v>
      </c>
      <c r="W801" s="142"/>
    </row>
    <row r="802" spans="1:23" x14ac:dyDescent="0.15">
      <c r="A802" s="25" t="s">
        <v>33</v>
      </c>
      <c r="B802" s="8"/>
      <c r="C802" s="9">
        <v>1</v>
      </c>
      <c r="D802" s="10"/>
      <c r="E802" s="49">
        <f t="shared" si="785"/>
        <v>1</v>
      </c>
      <c r="F802" s="12"/>
      <c r="G802" s="9"/>
      <c r="H802" s="10"/>
      <c r="I802" s="49">
        <f t="shared" si="786"/>
        <v>0</v>
      </c>
      <c r="J802" s="11">
        <f t="shared" si="787"/>
        <v>1</v>
      </c>
      <c r="K802" s="63">
        <v>44966</v>
      </c>
      <c r="M802" s="26"/>
      <c r="N802" s="8"/>
      <c r="O802" s="9"/>
      <c r="P802" s="10"/>
      <c r="Q802" s="49">
        <f t="shared" si="791"/>
        <v>0</v>
      </c>
      <c r="R802" s="12"/>
      <c r="S802" s="9"/>
      <c r="T802" s="10"/>
      <c r="U802" s="49">
        <f t="shared" si="792"/>
        <v>0</v>
      </c>
      <c r="V802" s="11">
        <f t="shared" si="793"/>
        <v>0</v>
      </c>
    </row>
    <row r="803" spans="1:23" x14ac:dyDescent="0.15">
      <c r="A803" s="25" t="s">
        <v>33</v>
      </c>
      <c r="B803" s="8"/>
      <c r="C803" s="9">
        <v>1</v>
      </c>
      <c r="D803" s="10"/>
      <c r="E803" s="49">
        <f t="shared" si="785"/>
        <v>1</v>
      </c>
      <c r="F803" s="12"/>
      <c r="G803" s="9"/>
      <c r="H803" s="10"/>
      <c r="I803" s="49">
        <f t="shared" si="786"/>
        <v>0</v>
      </c>
      <c r="J803" s="11">
        <f t="shared" si="787"/>
        <v>1</v>
      </c>
      <c r="K803" s="63">
        <v>44975</v>
      </c>
      <c r="L803" s="82"/>
      <c r="M803" s="26"/>
      <c r="N803" s="8"/>
      <c r="O803" s="9"/>
      <c r="P803" s="10"/>
      <c r="Q803" s="49">
        <f t="shared" si="791"/>
        <v>0</v>
      </c>
      <c r="R803" s="12"/>
      <c r="S803" s="9"/>
      <c r="T803" s="10"/>
      <c r="U803" s="49">
        <f t="shared" si="792"/>
        <v>0</v>
      </c>
      <c r="V803" s="11">
        <f t="shared" si="793"/>
        <v>0</v>
      </c>
    </row>
    <row r="804" spans="1:23" x14ac:dyDescent="0.15">
      <c r="A804" s="25" t="s">
        <v>33</v>
      </c>
      <c r="B804" s="8">
        <v>2</v>
      </c>
      <c r="C804" s="9"/>
      <c r="D804" s="10"/>
      <c r="E804" s="49">
        <f t="shared" si="785"/>
        <v>2</v>
      </c>
      <c r="F804" s="12">
        <v>4</v>
      </c>
      <c r="G804" s="9">
        <v>1</v>
      </c>
      <c r="H804" s="10">
        <v>2</v>
      </c>
      <c r="I804" s="49">
        <f t="shared" si="786"/>
        <v>7</v>
      </c>
      <c r="J804" s="11">
        <f t="shared" si="787"/>
        <v>9</v>
      </c>
      <c r="K804" s="63">
        <v>44991</v>
      </c>
      <c r="L804" s="82"/>
      <c r="M804" s="26"/>
      <c r="N804" s="8"/>
      <c r="O804" s="9"/>
      <c r="P804" s="10"/>
      <c r="Q804" s="49">
        <f t="shared" si="791"/>
        <v>0</v>
      </c>
      <c r="R804" s="12"/>
      <c r="S804" s="9"/>
      <c r="T804" s="10"/>
      <c r="U804" s="49">
        <f t="shared" si="792"/>
        <v>0</v>
      </c>
      <c r="V804" s="11">
        <f t="shared" si="793"/>
        <v>0</v>
      </c>
    </row>
    <row r="805" spans="1:23" x14ac:dyDescent="0.15">
      <c r="A805" s="25" t="s">
        <v>33</v>
      </c>
      <c r="B805" s="8"/>
      <c r="C805" s="9"/>
      <c r="D805" s="10"/>
      <c r="E805" s="49">
        <f t="shared" si="785"/>
        <v>0</v>
      </c>
      <c r="F805" s="12">
        <v>3</v>
      </c>
      <c r="G805" s="9">
        <v>1</v>
      </c>
      <c r="H805" s="10"/>
      <c r="I805" s="49">
        <f t="shared" si="786"/>
        <v>4</v>
      </c>
      <c r="J805" s="11">
        <f t="shared" si="787"/>
        <v>4</v>
      </c>
      <c r="K805" s="63">
        <v>44994</v>
      </c>
      <c r="L805" s="82"/>
      <c r="M805" s="24"/>
      <c r="N805" s="8"/>
      <c r="O805" s="9"/>
      <c r="P805" s="10"/>
      <c r="Q805" s="49">
        <f t="shared" si="791"/>
        <v>0</v>
      </c>
      <c r="R805" s="12"/>
      <c r="S805" s="9"/>
      <c r="T805" s="10"/>
      <c r="U805" s="49">
        <f t="shared" si="792"/>
        <v>0</v>
      </c>
      <c r="V805" s="11">
        <f t="shared" si="793"/>
        <v>0</v>
      </c>
    </row>
    <row r="806" spans="1:23" x14ac:dyDescent="0.15">
      <c r="A806" s="25" t="s">
        <v>410</v>
      </c>
      <c r="B806" s="8">
        <v>-5</v>
      </c>
      <c r="C806" s="9"/>
      <c r="D806" s="10"/>
      <c r="E806" s="49">
        <f t="shared" si="785"/>
        <v>-5</v>
      </c>
      <c r="F806" s="12">
        <v>-10</v>
      </c>
      <c r="G806" s="9">
        <v>-5</v>
      </c>
      <c r="H806" s="10"/>
      <c r="I806" s="49">
        <f t="shared" si="786"/>
        <v>-15</v>
      </c>
      <c r="J806" s="11">
        <f t="shared" si="787"/>
        <v>-20</v>
      </c>
      <c r="K806" s="63">
        <v>44995</v>
      </c>
      <c r="M806" s="26"/>
      <c r="N806" s="8"/>
      <c r="O806" s="9"/>
      <c r="P806" s="10"/>
      <c r="Q806" s="49">
        <f t="shared" si="791"/>
        <v>0</v>
      </c>
      <c r="R806" s="12"/>
      <c r="S806" s="9"/>
      <c r="T806" s="10"/>
      <c r="U806" s="49">
        <f t="shared" si="792"/>
        <v>0</v>
      </c>
      <c r="V806" s="11">
        <f t="shared" si="793"/>
        <v>0</v>
      </c>
      <c r="W806" s="142"/>
    </row>
    <row r="807" spans="1:23" x14ac:dyDescent="0.15">
      <c r="A807" s="25" t="s">
        <v>33</v>
      </c>
      <c r="B807" s="8">
        <v>1</v>
      </c>
      <c r="C807" s="9">
        <v>1</v>
      </c>
      <c r="D807" s="10"/>
      <c r="E807" s="49">
        <f t="shared" si="785"/>
        <v>2</v>
      </c>
      <c r="F807" s="12">
        <v>1</v>
      </c>
      <c r="G807" s="9"/>
      <c r="H807" s="10"/>
      <c r="I807" s="49">
        <f t="shared" si="786"/>
        <v>1</v>
      </c>
      <c r="J807" s="11">
        <f t="shared" si="787"/>
        <v>3</v>
      </c>
      <c r="K807" s="71">
        <v>44995</v>
      </c>
      <c r="M807" s="26"/>
      <c r="N807" s="8"/>
      <c r="O807" s="9"/>
      <c r="P807" s="10"/>
      <c r="Q807" s="49">
        <f t="shared" si="791"/>
        <v>0</v>
      </c>
      <c r="R807" s="12"/>
      <c r="S807" s="9"/>
      <c r="T807" s="10"/>
      <c r="U807" s="49">
        <f t="shared" si="792"/>
        <v>0</v>
      </c>
      <c r="V807" s="11">
        <f t="shared" si="793"/>
        <v>0</v>
      </c>
      <c r="W807" s="142"/>
    </row>
    <row r="808" spans="1:23" x14ac:dyDescent="0.15">
      <c r="A808" s="25" t="s">
        <v>33</v>
      </c>
      <c r="B808" s="8"/>
      <c r="C808" s="9">
        <v>1</v>
      </c>
      <c r="D808" s="10">
        <v>1</v>
      </c>
      <c r="E808" s="49">
        <f t="shared" si="785"/>
        <v>2</v>
      </c>
      <c r="F808" s="12">
        <v>1</v>
      </c>
      <c r="G808" s="9">
        <v>1</v>
      </c>
      <c r="H808" s="10"/>
      <c r="I808" s="49">
        <f t="shared" si="786"/>
        <v>2</v>
      </c>
      <c r="J808" s="11">
        <f t="shared" si="787"/>
        <v>4</v>
      </c>
      <c r="K808" s="63">
        <v>44998</v>
      </c>
      <c r="L808" s="82"/>
      <c r="M808" s="26"/>
      <c r="N808" s="8"/>
      <c r="O808" s="9"/>
      <c r="P808" s="10"/>
      <c r="Q808" s="49">
        <f t="shared" si="791"/>
        <v>0</v>
      </c>
      <c r="R808" s="12"/>
      <c r="S808" s="9"/>
      <c r="T808" s="10"/>
      <c r="U808" s="49">
        <f t="shared" si="792"/>
        <v>0</v>
      </c>
      <c r="V808" s="11">
        <f t="shared" si="793"/>
        <v>0</v>
      </c>
      <c r="W808" s="142"/>
    </row>
    <row r="809" spans="1:23" x14ac:dyDescent="0.15">
      <c r="A809" s="25" t="s">
        <v>33</v>
      </c>
      <c r="B809" s="13"/>
      <c r="C809" s="14">
        <v>1</v>
      </c>
      <c r="D809" s="15"/>
      <c r="E809" s="49">
        <f t="shared" si="785"/>
        <v>1</v>
      </c>
      <c r="F809" s="16"/>
      <c r="G809" s="14">
        <v>2</v>
      </c>
      <c r="H809" s="15"/>
      <c r="I809" s="49">
        <f t="shared" si="786"/>
        <v>2</v>
      </c>
      <c r="J809" s="11">
        <f t="shared" si="787"/>
        <v>3</v>
      </c>
      <c r="K809" s="63">
        <v>44999</v>
      </c>
      <c r="M809" s="26"/>
      <c r="N809" s="8"/>
      <c r="O809" s="9"/>
      <c r="P809" s="10"/>
      <c r="Q809" s="49">
        <f t="shared" si="791"/>
        <v>0</v>
      </c>
      <c r="R809" s="12"/>
      <c r="S809" s="9"/>
      <c r="T809" s="10"/>
      <c r="U809" s="49">
        <f t="shared" si="792"/>
        <v>0</v>
      </c>
      <c r="V809" s="11">
        <f t="shared" si="793"/>
        <v>0</v>
      </c>
      <c r="W809" s="142"/>
    </row>
    <row r="810" spans="1:23" x14ac:dyDescent="0.15">
      <c r="A810" s="25" t="s">
        <v>33</v>
      </c>
      <c r="B810" s="8">
        <v>1</v>
      </c>
      <c r="C810" s="9"/>
      <c r="D810" s="10"/>
      <c r="E810" s="49">
        <f t="shared" si="785"/>
        <v>1</v>
      </c>
      <c r="F810" s="12"/>
      <c r="G810" s="9"/>
      <c r="H810" s="10"/>
      <c r="I810" s="49">
        <f t="shared" si="786"/>
        <v>0</v>
      </c>
      <c r="J810" s="11">
        <f t="shared" si="787"/>
        <v>1</v>
      </c>
      <c r="K810" s="63">
        <v>45002</v>
      </c>
      <c r="M810" s="26"/>
      <c r="N810" s="8"/>
      <c r="O810" s="9"/>
      <c r="P810" s="10"/>
      <c r="Q810" s="49">
        <f t="shared" si="791"/>
        <v>0</v>
      </c>
      <c r="R810" s="12"/>
      <c r="S810" s="9"/>
      <c r="T810" s="10"/>
      <c r="U810" s="49">
        <f t="shared" si="792"/>
        <v>0</v>
      </c>
      <c r="V810" s="11">
        <f t="shared" si="793"/>
        <v>0</v>
      </c>
      <c r="W810" s="142"/>
    </row>
    <row r="811" spans="1:23" x14ac:dyDescent="0.15">
      <c r="A811" s="25" t="s">
        <v>33</v>
      </c>
      <c r="B811" s="8">
        <v>1</v>
      </c>
      <c r="C811" s="9"/>
      <c r="D811" s="10"/>
      <c r="E811" s="49">
        <f t="shared" si="785"/>
        <v>1</v>
      </c>
      <c r="F811" s="12">
        <v>5</v>
      </c>
      <c r="G811" s="9"/>
      <c r="H811" s="10"/>
      <c r="I811" s="49">
        <f t="shared" si="786"/>
        <v>5</v>
      </c>
      <c r="J811" s="11">
        <f t="shared" si="787"/>
        <v>6</v>
      </c>
      <c r="K811" s="71">
        <v>45007</v>
      </c>
      <c r="M811" s="26"/>
      <c r="N811" s="8"/>
      <c r="O811" s="9"/>
      <c r="P811" s="10"/>
      <c r="Q811" s="49">
        <f t="shared" si="791"/>
        <v>0</v>
      </c>
      <c r="R811" s="12"/>
      <c r="S811" s="9"/>
      <c r="T811" s="10"/>
      <c r="U811" s="49">
        <f t="shared" si="792"/>
        <v>0</v>
      </c>
      <c r="V811" s="11">
        <f t="shared" si="793"/>
        <v>0</v>
      </c>
      <c r="W811" s="142"/>
    </row>
    <row r="812" spans="1:23" x14ac:dyDescent="0.15">
      <c r="A812" s="25" t="s">
        <v>33</v>
      </c>
      <c r="B812" s="8"/>
      <c r="C812" s="9">
        <v>1</v>
      </c>
      <c r="D812" s="10"/>
      <c r="E812" s="49">
        <f t="shared" si="785"/>
        <v>1</v>
      </c>
      <c r="F812" s="12"/>
      <c r="G812" s="9"/>
      <c r="H812" s="10"/>
      <c r="I812" s="49">
        <f t="shared" si="786"/>
        <v>0</v>
      </c>
      <c r="J812" s="11">
        <f t="shared" si="787"/>
        <v>1</v>
      </c>
      <c r="K812" s="71">
        <v>45008</v>
      </c>
      <c r="M812" s="26"/>
      <c r="N812" s="8"/>
      <c r="O812" s="9"/>
      <c r="P812" s="10"/>
      <c r="Q812" s="49">
        <f t="shared" si="791"/>
        <v>0</v>
      </c>
      <c r="R812" s="12"/>
      <c r="S812" s="9"/>
      <c r="T812" s="10"/>
      <c r="U812" s="49">
        <f t="shared" si="792"/>
        <v>0</v>
      </c>
      <c r="V812" s="11">
        <f t="shared" si="793"/>
        <v>0</v>
      </c>
      <c r="W812" s="142"/>
    </row>
    <row r="813" spans="1:23" ht="14.25" thickBot="1" x14ac:dyDescent="0.2">
      <c r="A813" s="25" t="s">
        <v>33</v>
      </c>
      <c r="B813" s="13">
        <v>1</v>
      </c>
      <c r="C813" s="14"/>
      <c r="D813" s="15"/>
      <c r="E813" s="55">
        <f t="shared" si="785"/>
        <v>1</v>
      </c>
      <c r="F813" s="16"/>
      <c r="G813" s="14"/>
      <c r="H813" s="15"/>
      <c r="I813" s="55">
        <f t="shared" si="786"/>
        <v>0</v>
      </c>
      <c r="J813" s="11">
        <f t="shared" si="787"/>
        <v>1</v>
      </c>
      <c r="K813" s="71">
        <v>45009</v>
      </c>
      <c r="M813" s="26"/>
      <c r="N813" s="8"/>
      <c r="O813" s="9"/>
      <c r="P813" s="10"/>
      <c r="Q813" s="49">
        <f t="shared" ref="Q813" si="794">SUM(N813:P813)</f>
        <v>0</v>
      </c>
      <c r="R813" s="12"/>
      <c r="S813" s="9"/>
      <c r="T813" s="10"/>
      <c r="U813" s="49">
        <f t="shared" ref="U813" si="795">SUM(R813:T813)</f>
        <v>0</v>
      </c>
      <c r="V813" s="11">
        <f t="shared" ref="V813" si="796">Q813+U813</f>
        <v>0</v>
      </c>
      <c r="W813" s="142"/>
    </row>
    <row r="814" spans="1:23" ht="14.25" thickBot="1" x14ac:dyDescent="0.2">
      <c r="A814" s="41" t="s">
        <v>19</v>
      </c>
      <c r="B814" s="46">
        <f>SUM(B788:B813)</f>
        <v>6</v>
      </c>
      <c r="C814" s="47">
        <f t="shared" ref="C814:D814" si="797">SUM(C788:C813)</f>
        <v>17</v>
      </c>
      <c r="D814" s="59">
        <f t="shared" si="797"/>
        <v>7</v>
      </c>
      <c r="E814" s="45">
        <f t="shared" si="785"/>
        <v>30</v>
      </c>
      <c r="F814" s="46">
        <f>SUM(F788:F813)</f>
        <v>12</v>
      </c>
      <c r="G814" s="47">
        <f t="shared" ref="G814:H814" si="798">SUM(G788:G813)</f>
        <v>9</v>
      </c>
      <c r="H814" s="59">
        <f t="shared" si="798"/>
        <v>9</v>
      </c>
      <c r="I814" s="45">
        <f t="shared" si="786"/>
        <v>30</v>
      </c>
      <c r="J814" s="45">
        <f>E814+I814</f>
        <v>60</v>
      </c>
      <c r="M814" s="41" t="s">
        <v>19</v>
      </c>
      <c r="N814" s="46">
        <f>SUM(N788:N813)</f>
        <v>10</v>
      </c>
      <c r="O814" s="47">
        <f t="shared" ref="O814:P814" si="799">SUM(O788:O813)</f>
        <v>10</v>
      </c>
      <c r="P814" s="59">
        <f t="shared" si="799"/>
        <v>0</v>
      </c>
      <c r="Q814" s="45">
        <f t="shared" si="791"/>
        <v>20</v>
      </c>
      <c r="R814" s="46">
        <f>SUM(R788:R813)</f>
        <v>20</v>
      </c>
      <c r="S814" s="47">
        <f t="shared" ref="S814:T814" si="800">SUM(S788:S813)</f>
        <v>10</v>
      </c>
      <c r="T814" s="59">
        <f t="shared" si="800"/>
        <v>3</v>
      </c>
      <c r="U814" s="45">
        <f t="shared" si="792"/>
        <v>33</v>
      </c>
      <c r="V814" s="45">
        <f>Q814+U814</f>
        <v>53</v>
      </c>
    </row>
    <row r="815" spans="1:23" ht="14.25" thickBot="1" x14ac:dyDescent="0.2">
      <c r="A815" s="22" t="s">
        <v>17</v>
      </c>
      <c r="B815" s="50">
        <f>B787-B814</f>
        <v>5</v>
      </c>
      <c r="C815" s="57">
        <f t="shared" ref="C815:D815" si="801">C787-C814</f>
        <v>5</v>
      </c>
      <c r="D815" s="58">
        <f t="shared" si="801"/>
        <v>10</v>
      </c>
      <c r="E815" s="56">
        <f>SUM(B815:D815)</f>
        <v>20</v>
      </c>
      <c r="F815" s="50">
        <f>F787-F814</f>
        <v>5</v>
      </c>
      <c r="G815" s="57">
        <f t="shared" ref="G815:H815" si="802">G787-G814</f>
        <v>6</v>
      </c>
      <c r="H815" s="58">
        <f t="shared" si="802"/>
        <v>9</v>
      </c>
      <c r="I815" s="56">
        <f>SUM(F815:H815)</f>
        <v>20</v>
      </c>
      <c r="J815" s="31">
        <f>E815+I815</f>
        <v>40</v>
      </c>
      <c r="M815" s="22" t="s">
        <v>17</v>
      </c>
      <c r="N815" s="50">
        <f>N787-N814</f>
        <v>533</v>
      </c>
      <c r="O815" s="57">
        <f t="shared" ref="O815:P815" si="803">O787-O814</f>
        <v>789</v>
      </c>
      <c r="P815" s="58">
        <f t="shared" si="803"/>
        <v>754</v>
      </c>
      <c r="Q815" s="56">
        <f>SUM(N815:P815)</f>
        <v>2076</v>
      </c>
      <c r="R815" s="50">
        <f>R787-R814</f>
        <v>744</v>
      </c>
      <c r="S815" s="57">
        <f t="shared" ref="S815:T815" si="804">S787-S814</f>
        <v>993</v>
      </c>
      <c r="T815" s="58">
        <f t="shared" si="804"/>
        <v>908</v>
      </c>
      <c r="U815" s="56">
        <f>SUM(R815:T815)</f>
        <v>2645</v>
      </c>
      <c r="V815" s="31">
        <f>Q815+U815</f>
        <v>4721</v>
      </c>
    </row>
    <row r="818" spans="1:23" ht="19.5" thickBot="1" x14ac:dyDescent="0.25">
      <c r="A818" s="3" t="s">
        <v>21</v>
      </c>
      <c r="B818" s="1"/>
      <c r="C818" s="1"/>
      <c r="D818" s="1"/>
      <c r="E818" s="1"/>
      <c r="F818" s="1"/>
      <c r="G818" s="1"/>
      <c r="H818" s="1"/>
      <c r="I818" s="1"/>
      <c r="J818" s="1"/>
      <c r="M818" s="3" t="s">
        <v>22</v>
      </c>
      <c r="N818" s="1"/>
      <c r="O818" s="1"/>
      <c r="P818" s="1"/>
      <c r="Q818" s="1"/>
      <c r="R818" s="1"/>
      <c r="S818" s="1"/>
      <c r="T818" s="1"/>
      <c r="U818" s="1"/>
      <c r="V818" s="1"/>
    </row>
    <row r="819" spans="1:23" ht="14.25" thickBot="1" x14ac:dyDescent="0.2">
      <c r="A819" s="7" t="s">
        <v>0</v>
      </c>
      <c r="B819" s="165" t="s">
        <v>24</v>
      </c>
      <c r="C819" s="166"/>
      <c r="D819" s="166"/>
      <c r="E819" s="170"/>
      <c r="F819" s="165" t="s">
        <v>18</v>
      </c>
      <c r="G819" s="166"/>
      <c r="H819" s="166"/>
      <c r="I819" s="167"/>
      <c r="J819" s="168" t="s">
        <v>1</v>
      </c>
      <c r="M819" s="7" t="s">
        <v>0</v>
      </c>
      <c r="N819" s="165" t="s">
        <v>24</v>
      </c>
      <c r="O819" s="166"/>
      <c r="P819" s="166"/>
      <c r="Q819" s="170"/>
      <c r="R819" s="165" t="s">
        <v>18</v>
      </c>
      <c r="S819" s="166"/>
      <c r="T819" s="166"/>
      <c r="U819" s="167"/>
      <c r="V819" s="168" t="s">
        <v>1</v>
      </c>
    </row>
    <row r="820" spans="1:23" ht="14.25" thickBot="1" x14ac:dyDescent="0.2">
      <c r="A820" s="7" t="s">
        <v>2</v>
      </c>
      <c r="B820" s="4" t="s">
        <v>3</v>
      </c>
      <c r="C820" s="5" t="s">
        <v>4</v>
      </c>
      <c r="D820" s="6" t="s">
        <v>5</v>
      </c>
      <c r="E820" s="7" t="s">
        <v>6</v>
      </c>
      <c r="F820" s="4" t="s">
        <v>3</v>
      </c>
      <c r="G820" s="5" t="s">
        <v>4</v>
      </c>
      <c r="H820" s="6" t="s">
        <v>5</v>
      </c>
      <c r="I820" s="7" t="s">
        <v>6</v>
      </c>
      <c r="J820" s="169"/>
      <c r="M820" s="7" t="s">
        <v>2</v>
      </c>
      <c r="N820" s="4" t="s">
        <v>3</v>
      </c>
      <c r="O820" s="5" t="s">
        <v>4</v>
      </c>
      <c r="P820" s="6" t="s">
        <v>5</v>
      </c>
      <c r="Q820" s="7" t="s">
        <v>6</v>
      </c>
      <c r="R820" s="4" t="s">
        <v>3</v>
      </c>
      <c r="S820" s="5" t="s">
        <v>4</v>
      </c>
      <c r="T820" s="6" t="s">
        <v>5</v>
      </c>
      <c r="U820" s="7" t="s">
        <v>6</v>
      </c>
      <c r="V820" s="169"/>
    </row>
    <row r="821" spans="1:23" ht="14.25" thickBot="1" x14ac:dyDescent="0.2">
      <c r="A821" s="27" t="s">
        <v>20</v>
      </c>
      <c r="B821" s="28">
        <f>B815</f>
        <v>5</v>
      </c>
      <c r="C821" s="29">
        <f>C815</f>
        <v>5</v>
      </c>
      <c r="D821" s="30">
        <f>D815</f>
        <v>10</v>
      </c>
      <c r="E821" s="31">
        <f>SUM(B821:D821)</f>
        <v>20</v>
      </c>
      <c r="F821" s="28">
        <f>F815</f>
        <v>5</v>
      </c>
      <c r="G821" s="29">
        <f>G815</f>
        <v>6</v>
      </c>
      <c r="H821" s="30">
        <f>H815</f>
        <v>9</v>
      </c>
      <c r="I821" s="31">
        <f>SUM(F821:H821)</f>
        <v>20</v>
      </c>
      <c r="J821" s="31">
        <f>E821+I821</f>
        <v>40</v>
      </c>
      <c r="M821" s="27" t="s">
        <v>20</v>
      </c>
      <c r="N821" s="28">
        <f>N815</f>
        <v>533</v>
      </c>
      <c r="O821" s="29">
        <f>O815</f>
        <v>789</v>
      </c>
      <c r="P821" s="30">
        <f>P815</f>
        <v>754</v>
      </c>
      <c r="Q821" s="31">
        <f>SUM(N821:P821)</f>
        <v>2076</v>
      </c>
      <c r="R821" s="28">
        <f>R815</f>
        <v>744</v>
      </c>
      <c r="S821" s="29">
        <f>S815</f>
        <v>993</v>
      </c>
      <c r="T821" s="30">
        <f>T815</f>
        <v>908</v>
      </c>
      <c r="U821" s="31">
        <f>SUM(R821:T821)</f>
        <v>2645</v>
      </c>
      <c r="V821" s="31">
        <f>Q821+U821</f>
        <v>4721</v>
      </c>
    </row>
    <row r="822" spans="1:23" x14ac:dyDescent="0.15">
      <c r="A822" s="25" t="s">
        <v>8</v>
      </c>
      <c r="B822" s="17">
        <v>5</v>
      </c>
      <c r="C822" s="18">
        <v>5</v>
      </c>
      <c r="D822" s="51"/>
      <c r="E822" s="49">
        <f t="shared" ref="E822:E829" si="805">SUM(B822:D822)</f>
        <v>10</v>
      </c>
      <c r="F822" s="20">
        <v>5</v>
      </c>
      <c r="G822" s="18">
        <v>5</v>
      </c>
      <c r="H822" s="19">
        <v>3</v>
      </c>
      <c r="I822" s="49">
        <f t="shared" ref="I822:I829" si="806">SUM(F822:H822)</f>
        <v>13</v>
      </c>
      <c r="J822" s="49">
        <f t="shared" ref="J822:J829" si="807">E822+I822</f>
        <v>23</v>
      </c>
      <c r="K822" s="63">
        <v>45012</v>
      </c>
      <c r="M822" s="25" t="s">
        <v>8</v>
      </c>
      <c r="N822" s="17"/>
      <c r="O822" s="18"/>
      <c r="P822" s="51"/>
      <c r="Q822" s="49">
        <f t="shared" ref="Q822:Q829" si="808">SUM(N822:P822)</f>
        <v>0</v>
      </c>
      <c r="R822" s="20"/>
      <c r="S822" s="18"/>
      <c r="T822" s="19"/>
      <c r="U822" s="49">
        <f t="shared" ref="U822:U829" si="809">SUM(R822:T822)</f>
        <v>0</v>
      </c>
      <c r="V822" s="49">
        <f t="shared" ref="V822:V829" si="810">Q822+U822</f>
        <v>0</v>
      </c>
    </row>
    <row r="823" spans="1:23" x14ac:dyDescent="0.15">
      <c r="A823" s="25" t="s">
        <v>9</v>
      </c>
      <c r="B823" s="17">
        <v>10</v>
      </c>
      <c r="C823" s="18">
        <v>5</v>
      </c>
      <c r="D823" s="51">
        <v>5</v>
      </c>
      <c r="E823" s="11">
        <f t="shared" si="805"/>
        <v>20</v>
      </c>
      <c r="F823" s="20">
        <v>15</v>
      </c>
      <c r="G823" s="18">
        <v>5</v>
      </c>
      <c r="H823" s="19">
        <v>5</v>
      </c>
      <c r="I823" s="11">
        <f t="shared" si="806"/>
        <v>25</v>
      </c>
      <c r="J823" s="11">
        <f t="shared" si="807"/>
        <v>45</v>
      </c>
      <c r="K823" s="63">
        <v>45022</v>
      </c>
      <c r="M823" s="25" t="s">
        <v>9</v>
      </c>
      <c r="N823" s="8"/>
      <c r="O823" s="9"/>
      <c r="P823" s="52"/>
      <c r="Q823" s="11">
        <f t="shared" si="808"/>
        <v>0</v>
      </c>
      <c r="R823" s="12"/>
      <c r="S823" s="9"/>
      <c r="T823" s="10"/>
      <c r="U823" s="11">
        <f t="shared" si="809"/>
        <v>0</v>
      </c>
      <c r="V823" s="11">
        <f t="shared" si="810"/>
        <v>0</v>
      </c>
    </row>
    <row r="824" spans="1:23" x14ac:dyDescent="0.15">
      <c r="A824" s="25" t="s">
        <v>10</v>
      </c>
      <c r="B824" s="17"/>
      <c r="C824" s="18">
        <v>10</v>
      </c>
      <c r="D824" s="51"/>
      <c r="E824" s="11">
        <f t="shared" si="805"/>
        <v>10</v>
      </c>
      <c r="F824" s="20"/>
      <c r="G824" s="18">
        <v>10</v>
      </c>
      <c r="H824" s="19"/>
      <c r="I824" s="11">
        <f t="shared" si="806"/>
        <v>10</v>
      </c>
      <c r="J824" s="11">
        <f t="shared" si="807"/>
        <v>20</v>
      </c>
      <c r="K824" s="63">
        <v>45028</v>
      </c>
      <c r="M824" s="25" t="s">
        <v>10</v>
      </c>
      <c r="N824" s="8"/>
      <c r="O824" s="9"/>
      <c r="P824" s="52"/>
      <c r="Q824" s="11">
        <f t="shared" si="808"/>
        <v>0</v>
      </c>
      <c r="R824" s="12"/>
      <c r="S824" s="9"/>
      <c r="T824" s="10"/>
      <c r="U824" s="11">
        <f t="shared" si="809"/>
        <v>0</v>
      </c>
      <c r="V824" s="11">
        <f t="shared" si="810"/>
        <v>0</v>
      </c>
    </row>
    <row r="825" spans="1:23" x14ac:dyDescent="0.15">
      <c r="A825" s="25" t="s">
        <v>143</v>
      </c>
      <c r="B825" s="17"/>
      <c r="C825" s="18"/>
      <c r="D825" s="51">
        <v>1</v>
      </c>
      <c r="E825" s="11">
        <f t="shared" si="805"/>
        <v>1</v>
      </c>
      <c r="F825" s="20"/>
      <c r="G825" s="18"/>
      <c r="H825" s="19">
        <v>1</v>
      </c>
      <c r="I825" s="11">
        <f t="shared" si="806"/>
        <v>1</v>
      </c>
      <c r="J825" s="11">
        <f t="shared" si="807"/>
        <v>2</v>
      </c>
      <c r="K825" s="63">
        <v>45030</v>
      </c>
      <c r="M825" s="25" t="s">
        <v>11</v>
      </c>
      <c r="N825" s="8"/>
      <c r="O825" s="9"/>
      <c r="P825" s="52"/>
      <c r="Q825" s="11">
        <f t="shared" si="808"/>
        <v>0</v>
      </c>
      <c r="R825" s="12"/>
      <c r="S825" s="9"/>
      <c r="T825" s="10"/>
      <c r="U825" s="11">
        <f t="shared" si="809"/>
        <v>0</v>
      </c>
      <c r="V825" s="11">
        <f t="shared" si="810"/>
        <v>0</v>
      </c>
    </row>
    <row r="826" spans="1:23" x14ac:dyDescent="0.15">
      <c r="A826" s="25" t="s">
        <v>12</v>
      </c>
      <c r="B826" s="17">
        <v>10</v>
      </c>
      <c r="C826" s="18"/>
      <c r="D826" s="51"/>
      <c r="E826" s="11">
        <f t="shared" si="805"/>
        <v>10</v>
      </c>
      <c r="F826" s="20"/>
      <c r="G826" s="18"/>
      <c r="H826" s="19"/>
      <c r="I826" s="11">
        <f t="shared" si="806"/>
        <v>0</v>
      </c>
      <c r="J826" s="11">
        <f t="shared" si="807"/>
        <v>10</v>
      </c>
      <c r="K826" s="63">
        <v>45041</v>
      </c>
      <c r="M826" s="25" t="s">
        <v>12</v>
      </c>
      <c r="N826" s="8"/>
      <c r="O826" s="9"/>
      <c r="P826" s="52"/>
      <c r="Q826" s="11">
        <f t="shared" si="808"/>
        <v>0</v>
      </c>
      <c r="R826" s="12"/>
      <c r="S826" s="9"/>
      <c r="T826" s="10"/>
      <c r="U826" s="11">
        <f t="shared" si="809"/>
        <v>0</v>
      </c>
      <c r="V826" s="11">
        <f t="shared" si="810"/>
        <v>0</v>
      </c>
    </row>
    <row r="827" spans="1:23" x14ac:dyDescent="0.15">
      <c r="A827" s="25" t="s">
        <v>13</v>
      </c>
      <c r="B827" s="17">
        <v>5</v>
      </c>
      <c r="C827" s="18"/>
      <c r="D827" s="51"/>
      <c r="E827" s="11">
        <f t="shared" si="805"/>
        <v>5</v>
      </c>
      <c r="F827" s="20">
        <v>5</v>
      </c>
      <c r="G827" s="18"/>
      <c r="H827" s="19"/>
      <c r="I827" s="11">
        <f t="shared" si="806"/>
        <v>5</v>
      </c>
      <c r="J827" s="11">
        <f t="shared" si="807"/>
        <v>10</v>
      </c>
      <c r="K827" s="63">
        <v>45044</v>
      </c>
      <c r="M827" s="25" t="s">
        <v>13</v>
      </c>
      <c r="N827" s="8"/>
      <c r="O827" s="9"/>
      <c r="P827" s="52"/>
      <c r="Q827" s="11">
        <f t="shared" si="808"/>
        <v>0</v>
      </c>
      <c r="R827" s="12"/>
      <c r="S827" s="9"/>
      <c r="T827" s="10"/>
      <c r="U827" s="11">
        <f t="shared" si="809"/>
        <v>0</v>
      </c>
      <c r="V827" s="11">
        <f t="shared" si="810"/>
        <v>0</v>
      </c>
    </row>
    <row r="828" spans="1:23" x14ac:dyDescent="0.15">
      <c r="A828" s="25" t="s">
        <v>14</v>
      </c>
      <c r="B828" s="17"/>
      <c r="C828" s="18"/>
      <c r="D828" s="51"/>
      <c r="E828" s="11">
        <f t="shared" si="805"/>
        <v>0</v>
      </c>
      <c r="F828" s="20"/>
      <c r="G828" s="18"/>
      <c r="H828" s="19"/>
      <c r="I828" s="11">
        <f t="shared" si="806"/>
        <v>0</v>
      </c>
      <c r="J828" s="11">
        <f t="shared" si="807"/>
        <v>0</v>
      </c>
      <c r="K828" s="63"/>
      <c r="M828" s="25" t="s">
        <v>14</v>
      </c>
      <c r="N828" s="13"/>
      <c r="O828" s="14"/>
      <c r="P828" s="53"/>
      <c r="Q828" s="11">
        <f t="shared" si="808"/>
        <v>0</v>
      </c>
      <c r="R828" s="16"/>
      <c r="S828" s="14"/>
      <c r="T828" s="15"/>
      <c r="U828" s="11">
        <f t="shared" si="809"/>
        <v>0</v>
      </c>
      <c r="V828" s="11">
        <f t="shared" si="810"/>
        <v>0</v>
      </c>
    </row>
    <row r="829" spans="1:23" ht="14.25" thickBot="1" x14ac:dyDescent="0.2">
      <c r="A829" s="25" t="s">
        <v>15</v>
      </c>
      <c r="B829" s="17"/>
      <c r="C829" s="18"/>
      <c r="D829" s="51"/>
      <c r="E829" s="11">
        <f t="shared" si="805"/>
        <v>0</v>
      </c>
      <c r="F829" s="20"/>
      <c r="G829" s="18"/>
      <c r="H829" s="19"/>
      <c r="I829" s="11">
        <f t="shared" si="806"/>
        <v>0</v>
      </c>
      <c r="J829" s="11">
        <f t="shared" si="807"/>
        <v>0</v>
      </c>
      <c r="K829" s="63"/>
      <c r="M829" s="25" t="s">
        <v>15</v>
      </c>
      <c r="N829" s="13"/>
      <c r="O829" s="14"/>
      <c r="P829" s="53"/>
      <c r="Q829" s="62">
        <f t="shared" si="808"/>
        <v>0</v>
      </c>
      <c r="R829" s="34"/>
      <c r="S829" s="34"/>
      <c r="T829" s="37"/>
      <c r="U829" s="62">
        <f t="shared" si="809"/>
        <v>0</v>
      </c>
      <c r="V829" s="21">
        <f t="shared" si="810"/>
        <v>0</v>
      </c>
    </row>
    <row r="830" spans="1:23" ht="14.25" thickBot="1" x14ac:dyDescent="0.2">
      <c r="A830" s="35" t="s">
        <v>16</v>
      </c>
      <c r="B830" s="28">
        <f>SUM(B821:B829)</f>
        <v>35</v>
      </c>
      <c r="C830" s="29">
        <f t="shared" ref="C830:D830" si="811">SUM(C821:C829)</f>
        <v>25</v>
      </c>
      <c r="D830" s="68">
        <f t="shared" si="811"/>
        <v>16</v>
      </c>
      <c r="E830" s="64">
        <f>SUM(B830:D830)</f>
        <v>76</v>
      </c>
      <c r="F830" s="28">
        <f>SUM(F821:F829)</f>
        <v>30</v>
      </c>
      <c r="G830" s="29">
        <f t="shared" ref="G830:H830" si="812">SUM(G821:G829)</f>
        <v>26</v>
      </c>
      <c r="H830" s="68">
        <f t="shared" si="812"/>
        <v>18</v>
      </c>
      <c r="I830" s="64">
        <f>SUM(F830:H830)</f>
        <v>74</v>
      </c>
      <c r="J830" s="31">
        <f>SUM(J822:J829)</f>
        <v>110</v>
      </c>
      <c r="M830" s="35" t="s">
        <v>16</v>
      </c>
      <c r="N830" s="28">
        <f>SUM(N821:N829)</f>
        <v>533</v>
      </c>
      <c r="O830" s="29">
        <f t="shared" ref="O830:P830" si="813">SUM(O821:O829)</f>
        <v>789</v>
      </c>
      <c r="P830" s="68">
        <f t="shared" si="813"/>
        <v>754</v>
      </c>
      <c r="Q830" s="64">
        <f>SUM(N830:P830)</f>
        <v>2076</v>
      </c>
      <c r="R830" s="28">
        <f>SUM(R821:R829)</f>
        <v>744</v>
      </c>
      <c r="S830" s="29">
        <f t="shared" ref="S830:T830" si="814">SUM(S821:S829)</f>
        <v>993</v>
      </c>
      <c r="T830" s="68">
        <f t="shared" si="814"/>
        <v>908</v>
      </c>
      <c r="U830" s="64">
        <f>SUM(R830:T830)</f>
        <v>2645</v>
      </c>
      <c r="V830" s="31">
        <f>Q830+U830</f>
        <v>4721</v>
      </c>
    </row>
    <row r="831" spans="1:23" x14ac:dyDescent="0.15">
      <c r="A831" s="25" t="s">
        <v>33</v>
      </c>
      <c r="B831" s="65">
        <v>1</v>
      </c>
      <c r="C831" s="66"/>
      <c r="D831" s="67">
        <v>2</v>
      </c>
      <c r="E831" s="49">
        <f>SUM(B831:D831)</f>
        <v>3</v>
      </c>
      <c r="F831" s="16">
        <v>1</v>
      </c>
      <c r="G831" s="14">
        <v>1</v>
      </c>
      <c r="H831" s="15"/>
      <c r="I831" s="49">
        <f>SUM(F831:H831)</f>
        <v>2</v>
      </c>
      <c r="J831" s="11">
        <f>E831+I831</f>
        <v>5</v>
      </c>
      <c r="K831" s="71">
        <v>45012</v>
      </c>
      <c r="M831" s="133" t="s">
        <v>416</v>
      </c>
      <c r="N831" s="65">
        <v>1</v>
      </c>
      <c r="O831" s="66"/>
      <c r="P831" s="67">
        <v>1</v>
      </c>
      <c r="Q831" s="49">
        <f t="shared" ref="Q831:Q835" si="815">SUM(N831:P831)</f>
        <v>2</v>
      </c>
      <c r="R831" s="16">
        <v>1</v>
      </c>
      <c r="S831" s="14"/>
      <c r="T831" s="15">
        <v>1</v>
      </c>
      <c r="U831" s="49">
        <f t="shared" ref="U831:U835" si="816">SUM(R831:T831)</f>
        <v>2</v>
      </c>
      <c r="V831" s="11">
        <f t="shared" ref="V831:V835" si="817">Q831+U831</f>
        <v>4</v>
      </c>
      <c r="W831" s="140">
        <v>45016</v>
      </c>
    </row>
    <row r="832" spans="1:23" x14ac:dyDescent="0.15">
      <c r="A832" s="25" t="s">
        <v>33</v>
      </c>
      <c r="B832" s="8"/>
      <c r="C832" s="9"/>
      <c r="D832" s="10"/>
      <c r="E832" s="49">
        <f t="shared" ref="E832:E857" si="818">SUM(B832:D832)</f>
        <v>0</v>
      </c>
      <c r="F832" s="12"/>
      <c r="G832" s="9">
        <v>1</v>
      </c>
      <c r="H832" s="10">
        <v>3</v>
      </c>
      <c r="I832" s="49">
        <f t="shared" ref="I832:I857" si="819">SUM(F832:H832)</f>
        <v>4</v>
      </c>
      <c r="J832" s="11">
        <f t="shared" ref="J832:J856" si="820">E832+I832</f>
        <v>4</v>
      </c>
      <c r="K832" s="63">
        <v>45015</v>
      </c>
      <c r="M832" s="133" t="s">
        <v>329</v>
      </c>
      <c r="N832" s="8">
        <v>4</v>
      </c>
      <c r="O832" s="9">
        <v>4</v>
      </c>
      <c r="P832" s="10">
        <v>5</v>
      </c>
      <c r="Q832" s="49">
        <f t="shared" si="815"/>
        <v>13</v>
      </c>
      <c r="R832" s="12">
        <v>4</v>
      </c>
      <c r="S832" s="9">
        <v>4</v>
      </c>
      <c r="T832" s="10">
        <v>5</v>
      </c>
      <c r="U832" s="49">
        <f t="shared" si="816"/>
        <v>13</v>
      </c>
      <c r="V832" s="11">
        <f t="shared" si="817"/>
        <v>26</v>
      </c>
      <c r="W832" s="140">
        <v>45020</v>
      </c>
    </row>
    <row r="833" spans="1:24" x14ac:dyDescent="0.15">
      <c r="A833" s="133" t="s">
        <v>329</v>
      </c>
      <c r="B833" s="8"/>
      <c r="C833" s="9">
        <v>1</v>
      </c>
      <c r="D833" s="10">
        <v>1</v>
      </c>
      <c r="E833" s="49">
        <f t="shared" si="818"/>
        <v>2</v>
      </c>
      <c r="F833" s="12"/>
      <c r="G833" s="9">
        <v>1</v>
      </c>
      <c r="H833" s="10">
        <v>1</v>
      </c>
      <c r="I833" s="49">
        <f t="shared" si="819"/>
        <v>2</v>
      </c>
      <c r="J833" s="11">
        <f t="shared" si="820"/>
        <v>4</v>
      </c>
      <c r="K833" s="63">
        <v>45019</v>
      </c>
      <c r="M833" s="133" t="s">
        <v>329</v>
      </c>
      <c r="N833" s="8"/>
      <c r="O833" s="9"/>
      <c r="P833" s="10">
        <v>1</v>
      </c>
      <c r="Q833" s="49">
        <f t="shared" si="815"/>
        <v>1</v>
      </c>
      <c r="R833" s="12"/>
      <c r="S833" s="9"/>
      <c r="T833" s="10">
        <v>1</v>
      </c>
      <c r="U833" s="49">
        <f t="shared" si="816"/>
        <v>1</v>
      </c>
      <c r="V833" s="11">
        <f t="shared" si="817"/>
        <v>2</v>
      </c>
      <c r="W833" s="140">
        <v>45021</v>
      </c>
    </row>
    <row r="834" spans="1:24" x14ac:dyDescent="0.15">
      <c r="A834" s="25" t="s">
        <v>33</v>
      </c>
      <c r="B834" s="8">
        <v>1</v>
      </c>
      <c r="C834" s="9">
        <v>1</v>
      </c>
      <c r="D834" s="10"/>
      <c r="E834" s="49">
        <f t="shared" si="818"/>
        <v>2</v>
      </c>
      <c r="F834" s="12">
        <v>1</v>
      </c>
      <c r="G834" s="9"/>
      <c r="H834" s="10"/>
      <c r="I834" s="49">
        <f t="shared" si="819"/>
        <v>1</v>
      </c>
      <c r="J834" s="11">
        <f t="shared" si="820"/>
        <v>3</v>
      </c>
      <c r="K834" s="71">
        <v>45016</v>
      </c>
      <c r="M834" s="133" t="s">
        <v>160</v>
      </c>
      <c r="N834" s="8">
        <v>10</v>
      </c>
      <c r="O834" s="9">
        <v>5</v>
      </c>
      <c r="P834" s="10">
        <v>5</v>
      </c>
      <c r="Q834" s="49">
        <f t="shared" si="815"/>
        <v>20</v>
      </c>
      <c r="R834" s="12">
        <v>15</v>
      </c>
      <c r="S834" s="9">
        <v>5</v>
      </c>
      <c r="T834" s="10">
        <v>5</v>
      </c>
      <c r="U834" s="49">
        <f t="shared" si="816"/>
        <v>25</v>
      </c>
      <c r="V834" s="11">
        <f t="shared" si="817"/>
        <v>45</v>
      </c>
      <c r="W834" s="140">
        <v>45022</v>
      </c>
    </row>
    <row r="835" spans="1:24" x14ac:dyDescent="0.15">
      <c r="A835" s="25" t="s">
        <v>33</v>
      </c>
      <c r="B835" s="8">
        <f>2+1</f>
        <v>3</v>
      </c>
      <c r="C835" s="9">
        <v>1</v>
      </c>
      <c r="D835" s="10"/>
      <c r="E835" s="49">
        <f t="shared" si="818"/>
        <v>4</v>
      </c>
      <c r="F835" s="12"/>
      <c r="G835" s="9">
        <v>1</v>
      </c>
      <c r="H835" s="10"/>
      <c r="I835" s="49">
        <f t="shared" si="819"/>
        <v>1</v>
      </c>
      <c r="J835" s="11">
        <f t="shared" si="820"/>
        <v>5</v>
      </c>
      <c r="K835" s="63">
        <v>45020</v>
      </c>
      <c r="M835" s="133" t="s">
        <v>160</v>
      </c>
      <c r="N835" s="8"/>
      <c r="O835" s="9">
        <v>10</v>
      </c>
      <c r="P835" s="10"/>
      <c r="Q835" s="49">
        <f t="shared" si="815"/>
        <v>10</v>
      </c>
      <c r="R835" s="12"/>
      <c r="S835" s="9">
        <v>10</v>
      </c>
      <c r="T835" s="10"/>
      <c r="U835" s="49">
        <f t="shared" si="816"/>
        <v>10</v>
      </c>
      <c r="V835" s="11">
        <f t="shared" si="817"/>
        <v>20</v>
      </c>
      <c r="W835" s="140">
        <v>45028</v>
      </c>
    </row>
    <row r="836" spans="1:24" x14ac:dyDescent="0.15">
      <c r="A836" s="133" t="s">
        <v>329</v>
      </c>
      <c r="B836" s="8">
        <v>3</v>
      </c>
      <c r="C836" s="9">
        <v>1</v>
      </c>
      <c r="D836" s="10"/>
      <c r="E836" s="49">
        <f t="shared" si="818"/>
        <v>4</v>
      </c>
      <c r="F836" s="12">
        <v>3</v>
      </c>
      <c r="G836" s="9">
        <v>1</v>
      </c>
      <c r="H836" s="10"/>
      <c r="I836" s="49">
        <f t="shared" si="819"/>
        <v>4</v>
      </c>
      <c r="J836" s="11">
        <f t="shared" si="820"/>
        <v>8</v>
      </c>
      <c r="K836" s="63">
        <v>45022</v>
      </c>
      <c r="M836" s="133" t="s">
        <v>329</v>
      </c>
      <c r="N836" s="8"/>
      <c r="O836" s="9">
        <v>2</v>
      </c>
      <c r="P836" s="10"/>
      <c r="Q836" s="49">
        <f t="shared" ref="Q836:Q857" si="821">SUM(N836:P836)</f>
        <v>2</v>
      </c>
      <c r="R836" s="12"/>
      <c r="S836" s="9">
        <v>2</v>
      </c>
      <c r="T836" s="10"/>
      <c r="U836" s="49">
        <f t="shared" ref="U836:U857" si="822">SUM(R836:T836)</f>
        <v>2</v>
      </c>
      <c r="V836" s="11">
        <f t="shared" ref="V836:V856" si="823">Q836+U836</f>
        <v>4</v>
      </c>
      <c r="W836" s="140">
        <v>45030</v>
      </c>
    </row>
    <row r="837" spans="1:24" x14ac:dyDescent="0.15">
      <c r="A837" s="25" t="s">
        <v>418</v>
      </c>
      <c r="B837" s="8"/>
      <c r="C837" s="9"/>
      <c r="D837" s="10"/>
      <c r="E837" s="49">
        <f t="shared" si="818"/>
        <v>0</v>
      </c>
      <c r="F837" s="12">
        <v>1</v>
      </c>
      <c r="G837" s="9"/>
      <c r="H837" s="10"/>
      <c r="I837" s="49">
        <f t="shared" si="819"/>
        <v>1</v>
      </c>
      <c r="J837" s="11">
        <f t="shared" si="820"/>
        <v>1</v>
      </c>
      <c r="K837" s="63">
        <v>45022</v>
      </c>
      <c r="M837" s="133" t="s">
        <v>329</v>
      </c>
      <c r="N837" s="8">
        <v>1</v>
      </c>
      <c r="O837" s="9"/>
      <c r="P837" s="52"/>
      <c r="Q837" s="11">
        <f t="shared" si="821"/>
        <v>1</v>
      </c>
      <c r="R837" s="12">
        <v>1</v>
      </c>
      <c r="S837" s="9"/>
      <c r="T837" s="10"/>
      <c r="U837" s="11">
        <f t="shared" si="822"/>
        <v>1</v>
      </c>
      <c r="V837" s="11">
        <f t="shared" si="823"/>
        <v>2</v>
      </c>
      <c r="W837" s="140">
        <v>45033</v>
      </c>
      <c r="X837" s="82"/>
    </row>
    <row r="838" spans="1:24" x14ac:dyDescent="0.15">
      <c r="A838" s="133" t="s">
        <v>329</v>
      </c>
      <c r="B838" s="8"/>
      <c r="C838" s="9">
        <v>1</v>
      </c>
      <c r="D838" s="10"/>
      <c r="E838" s="49">
        <f t="shared" si="818"/>
        <v>1</v>
      </c>
      <c r="F838" s="12"/>
      <c r="G838" s="9">
        <v>1</v>
      </c>
      <c r="H838" s="10"/>
      <c r="I838" s="49">
        <f t="shared" si="819"/>
        <v>1</v>
      </c>
      <c r="J838" s="11">
        <f t="shared" si="820"/>
        <v>2</v>
      </c>
      <c r="K838" s="63">
        <v>45023</v>
      </c>
      <c r="M838" s="133" t="s">
        <v>329</v>
      </c>
      <c r="N838" s="8">
        <v>1</v>
      </c>
      <c r="O838" s="9">
        <v>1</v>
      </c>
      <c r="P838" s="10"/>
      <c r="Q838" s="49">
        <f t="shared" si="821"/>
        <v>2</v>
      </c>
      <c r="R838" s="12">
        <v>1</v>
      </c>
      <c r="S838" s="9">
        <v>1</v>
      </c>
      <c r="T838" s="10"/>
      <c r="U838" s="49">
        <f t="shared" si="822"/>
        <v>2</v>
      </c>
      <c r="V838" s="11">
        <f t="shared" si="823"/>
        <v>4</v>
      </c>
      <c r="W838" s="140">
        <v>45034</v>
      </c>
    </row>
    <row r="839" spans="1:24" x14ac:dyDescent="0.15">
      <c r="A839" s="133" t="s">
        <v>329</v>
      </c>
      <c r="B839" s="13"/>
      <c r="C839" s="14">
        <v>2</v>
      </c>
      <c r="D839" s="15"/>
      <c r="E839" s="49">
        <f t="shared" si="818"/>
        <v>2</v>
      </c>
      <c r="F839" s="16"/>
      <c r="G839" s="14">
        <v>2</v>
      </c>
      <c r="H839" s="15"/>
      <c r="I839" s="49">
        <f t="shared" si="819"/>
        <v>2</v>
      </c>
      <c r="J839" s="11">
        <f t="shared" si="820"/>
        <v>4</v>
      </c>
      <c r="K839" s="63">
        <v>45027</v>
      </c>
      <c r="M839" s="133" t="s">
        <v>329</v>
      </c>
      <c r="N839" s="8"/>
      <c r="O839" s="9">
        <v>2</v>
      </c>
      <c r="P839" s="10"/>
      <c r="Q839" s="49">
        <f t="shared" si="821"/>
        <v>2</v>
      </c>
      <c r="R839" s="12"/>
      <c r="S839" s="9">
        <v>2</v>
      </c>
      <c r="T839" s="10"/>
      <c r="U839" s="49">
        <f t="shared" si="822"/>
        <v>2</v>
      </c>
      <c r="V839" s="11">
        <f t="shared" si="823"/>
        <v>4</v>
      </c>
      <c r="W839" s="140">
        <v>45040</v>
      </c>
    </row>
    <row r="840" spans="1:24" x14ac:dyDescent="0.15">
      <c r="A840" s="25" t="s">
        <v>33</v>
      </c>
      <c r="B840" s="13">
        <v>1</v>
      </c>
      <c r="C840" s="14"/>
      <c r="D840" s="15"/>
      <c r="E840" s="49">
        <f t="shared" si="818"/>
        <v>1</v>
      </c>
      <c r="F840" s="16">
        <v>2</v>
      </c>
      <c r="G840" s="14"/>
      <c r="H840" s="15"/>
      <c r="I840" s="49">
        <f t="shared" si="819"/>
        <v>2</v>
      </c>
      <c r="J840" s="11">
        <f t="shared" si="820"/>
        <v>3</v>
      </c>
      <c r="K840" s="71">
        <v>45026</v>
      </c>
      <c r="M840" s="133" t="s">
        <v>329</v>
      </c>
      <c r="N840" s="13"/>
      <c r="O840" s="14">
        <v>2</v>
      </c>
      <c r="P840" s="15"/>
      <c r="Q840" s="49">
        <f t="shared" si="821"/>
        <v>2</v>
      </c>
      <c r="R840" s="16"/>
      <c r="S840" s="14">
        <v>2</v>
      </c>
      <c r="T840" s="15"/>
      <c r="U840" s="49">
        <f t="shared" si="822"/>
        <v>2</v>
      </c>
      <c r="V840" s="11">
        <f t="shared" si="823"/>
        <v>4</v>
      </c>
      <c r="W840" s="140">
        <v>45041</v>
      </c>
      <c r="X840" s="82"/>
    </row>
    <row r="841" spans="1:24" x14ac:dyDescent="0.15">
      <c r="A841" s="133" t="s">
        <v>329</v>
      </c>
      <c r="B841" s="8">
        <v>1</v>
      </c>
      <c r="C841" s="9">
        <v>1</v>
      </c>
      <c r="D841" s="10"/>
      <c r="E841" s="49">
        <f t="shared" si="818"/>
        <v>2</v>
      </c>
      <c r="F841" s="12">
        <v>1</v>
      </c>
      <c r="G841" s="9">
        <v>1</v>
      </c>
      <c r="H841" s="10"/>
      <c r="I841" s="49">
        <f t="shared" si="819"/>
        <v>2</v>
      </c>
      <c r="J841" s="11">
        <f t="shared" si="820"/>
        <v>4</v>
      </c>
      <c r="K841" s="63">
        <v>45028</v>
      </c>
      <c r="M841" s="133" t="s">
        <v>160</v>
      </c>
      <c r="N841" s="8">
        <v>10</v>
      </c>
      <c r="O841" s="9"/>
      <c r="P841" s="10"/>
      <c r="Q841" s="49">
        <f t="shared" si="821"/>
        <v>10</v>
      </c>
      <c r="R841" s="12"/>
      <c r="S841" s="9"/>
      <c r="T841" s="10"/>
      <c r="U841" s="49">
        <f t="shared" si="822"/>
        <v>0</v>
      </c>
      <c r="V841" s="11">
        <f t="shared" si="823"/>
        <v>10</v>
      </c>
      <c r="W841" s="140">
        <v>45041</v>
      </c>
      <c r="X841" s="82"/>
    </row>
    <row r="842" spans="1:24" x14ac:dyDescent="0.15">
      <c r="A842" s="133" t="s">
        <v>419</v>
      </c>
      <c r="B842" s="8"/>
      <c r="C842" s="9">
        <v>1</v>
      </c>
      <c r="D842" s="10"/>
      <c r="E842" s="49">
        <f t="shared" si="818"/>
        <v>1</v>
      </c>
      <c r="F842" s="12"/>
      <c r="G842" s="9">
        <v>1</v>
      </c>
      <c r="H842" s="10"/>
      <c r="I842" s="49">
        <f t="shared" si="819"/>
        <v>1</v>
      </c>
      <c r="J842" s="11">
        <f t="shared" si="820"/>
        <v>2</v>
      </c>
      <c r="K842" s="63">
        <v>45028</v>
      </c>
      <c r="M842" s="26" t="s">
        <v>422</v>
      </c>
      <c r="N842" s="8">
        <v>16</v>
      </c>
      <c r="O842" s="9">
        <v>16</v>
      </c>
      <c r="P842" s="10">
        <v>3</v>
      </c>
      <c r="Q842" s="49">
        <f t="shared" si="821"/>
        <v>35</v>
      </c>
      <c r="R842" s="12">
        <v>16</v>
      </c>
      <c r="S842" s="9">
        <v>24</v>
      </c>
      <c r="T842" s="10">
        <v>24</v>
      </c>
      <c r="U842" s="49">
        <f t="shared" si="822"/>
        <v>64</v>
      </c>
      <c r="V842" s="11">
        <f t="shared" si="823"/>
        <v>99</v>
      </c>
      <c r="W842" s="140">
        <v>45043</v>
      </c>
      <c r="X842" s="82"/>
    </row>
    <row r="843" spans="1:24" x14ac:dyDescent="0.15">
      <c r="A843" s="25" t="s">
        <v>33</v>
      </c>
      <c r="B843" s="8"/>
      <c r="C843" s="9">
        <v>2</v>
      </c>
      <c r="D843" s="10"/>
      <c r="E843" s="49">
        <f t="shared" si="818"/>
        <v>2</v>
      </c>
      <c r="F843" s="12"/>
      <c r="G843" s="9">
        <v>2</v>
      </c>
      <c r="H843" s="10"/>
      <c r="I843" s="49">
        <f t="shared" si="819"/>
        <v>2</v>
      </c>
      <c r="J843" s="11">
        <f t="shared" si="820"/>
        <v>4</v>
      </c>
      <c r="K843" s="71">
        <v>45027</v>
      </c>
      <c r="L843" s="82"/>
      <c r="M843" s="133" t="s">
        <v>329</v>
      </c>
      <c r="N843" s="8">
        <v>2</v>
      </c>
      <c r="O843" s="9">
        <v>2</v>
      </c>
      <c r="P843" s="10">
        <v>1</v>
      </c>
      <c r="Q843" s="49">
        <f t="shared" si="821"/>
        <v>5</v>
      </c>
      <c r="R843" s="12">
        <v>2</v>
      </c>
      <c r="S843" s="9">
        <v>2</v>
      </c>
      <c r="T843" s="10">
        <v>1</v>
      </c>
      <c r="U843" s="49">
        <f t="shared" si="822"/>
        <v>5</v>
      </c>
      <c r="V843" s="11">
        <f t="shared" si="823"/>
        <v>10</v>
      </c>
      <c r="W843" s="140">
        <v>45043</v>
      </c>
    </row>
    <row r="844" spans="1:24" x14ac:dyDescent="0.15">
      <c r="A844" s="25" t="s">
        <v>33</v>
      </c>
      <c r="B844" s="8">
        <v>1</v>
      </c>
      <c r="C844" s="9"/>
      <c r="D844" s="10">
        <v>3</v>
      </c>
      <c r="E844" s="49">
        <f t="shared" si="818"/>
        <v>4</v>
      </c>
      <c r="F844" s="12">
        <v>2</v>
      </c>
      <c r="G844" s="9">
        <v>1</v>
      </c>
      <c r="H844" s="10"/>
      <c r="I844" s="49">
        <f t="shared" si="819"/>
        <v>3</v>
      </c>
      <c r="J844" s="11">
        <f t="shared" si="820"/>
        <v>7</v>
      </c>
      <c r="K844" s="63">
        <v>45028</v>
      </c>
      <c r="M844" s="133" t="s">
        <v>160</v>
      </c>
      <c r="N844" s="8">
        <v>5</v>
      </c>
      <c r="O844" s="9"/>
      <c r="P844" s="10"/>
      <c r="Q844" s="49">
        <f t="shared" si="821"/>
        <v>5</v>
      </c>
      <c r="R844" s="12">
        <v>5</v>
      </c>
      <c r="S844" s="9"/>
      <c r="T844" s="10"/>
      <c r="U844" s="49">
        <f t="shared" si="822"/>
        <v>5</v>
      </c>
      <c r="V844" s="11">
        <f t="shared" si="823"/>
        <v>10</v>
      </c>
      <c r="W844" s="140">
        <v>45044</v>
      </c>
    </row>
    <row r="845" spans="1:24" x14ac:dyDescent="0.15">
      <c r="A845" s="25" t="s">
        <v>33</v>
      </c>
      <c r="B845" s="8"/>
      <c r="C845" s="9"/>
      <c r="D845" s="10"/>
      <c r="E845" s="49">
        <f t="shared" si="818"/>
        <v>0</v>
      </c>
      <c r="F845" s="12">
        <v>1</v>
      </c>
      <c r="G845" s="9"/>
      <c r="H845" s="10"/>
      <c r="I845" s="49">
        <f t="shared" si="819"/>
        <v>1</v>
      </c>
      <c r="J845" s="11">
        <f t="shared" si="820"/>
        <v>1</v>
      </c>
      <c r="K845" s="63">
        <v>45030</v>
      </c>
      <c r="M845" s="133" t="s">
        <v>329</v>
      </c>
      <c r="N845" s="8"/>
      <c r="O845" s="9">
        <v>5</v>
      </c>
      <c r="P845" s="10"/>
      <c r="Q845" s="49">
        <f t="shared" si="821"/>
        <v>5</v>
      </c>
      <c r="R845" s="12"/>
      <c r="S845" s="9">
        <v>5</v>
      </c>
      <c r="T845" s="10"/>
      <c r="U845" s="49">
        <f t="shared" si="822"/>
        <v>5</v>
      </c>
      <c r="V845" s="11">
        <f t="shared" si="823"/>
        <v>10</v>
      </c>
      <c r="W845" s="140">
        <v>45047</v>
      </c>
    </row>
    <row r="846" spans="1:24" x14ac:dyDescent="0.15">
      <c r="A846" s="133" t="s">
        <v>329</v>
      </c>
      <c r="B846" s="8">
        <v>1</v>
      </c>
      <c r="C846" s="9"/>
      <c r="D846" s="10"/>
      <c r="E846" s="49">
        <f t="shared" si="818"/>
        <v>1</v>
      </c>
      <c r="F846" s="12">
        <v>1</v>
      </c>
      <c r="G846" s="9"/>
      <c r="H846" s="10"/>
      <c r="I846" s="49">
        <f t="shared" si="819"/>
        <v>1</v>
      </c>
      <c r="J846" s="11">
        <f t="shared" si="820"/>
        <v>2</v>
      </c>
      <c r="K846" s="63">
        <v>45035</v>
      </c>
      <c r="L846" s="82"/>
      <c r="M846" s="133" t="s">
        <v>329</v>
      </c>
      <c r="N846" s="8">
        <v>3</v>
      </c>
      <c r="O846" s="9"/>
      <c r="P846" s="10">
        <v>1</v>
      </c>
      <c r="Q846" s="49">
        <f t="shared" si="821"/>
        <v>4</v>
      </c>
      <c r="R846" s="12">
        <v>3</v>
      </c>
      <c r="S846" s="9"/>
      <c r="T846" s="10">
        <v>1</v>
      </c>
      <c r="U846" s="49">
        <f t="shared" si="822"/>
        <v>4</v>
      </c>
      <c r="V846" s="11">
        <f t="shared" si="823"/>
        <v>8</v>
      </c>
      <c r="W846" s="140">
        <v>45048</v>
      </c>
    </row>
    <row r="847" spans="1:24" x14ac:dyDescent="0.15">
      <c r="A847" s="25" t="s">
        <v>33</v>
      </c>
      <c r="B847" s="8">
        <v>1</v>
      </c>
      <c r="C847" s="9"/>
      <c r="D847" s="10"/>
      <c r="E847" s="49">
        <f t="shared" si="818"/>
        <v>1</v>
      </c>
      <c r="F847" s="12">
        <v>1</v>
      </c>
      <c r="G847" s="9"/>
      <c r="H847" s="10"/>
      <c r="I847" s="49">
        <f t="shared" si="819"/>
        <v>1</v>
      </c>
      <c r="J847" s="11">
        <f t="shared" si="820"/>
        <v>2</v>
      </c>
      <c r="K847" s="63">
        <v>45035</v>
      </c>
      <c r="L847" s="82"/>
      <c r="M847" s="26" t="s">
        <v>423</v>
      </c>
      <c r="N847" s="8"/>
      <c r="O847" s="9">
        <v>1</v>
      </c>
      <c r="P847" s="10">
        <v>2</v>
      </c>
      <c r="Q847" s="49">
        <f t="shared" si="821"/>
        <v>3</v>
      </c>
      <c r="R847" s="12">
        <v>3</v>
      </c>
      <c r="S847" s="9">
        <v>11</v>
      </c>
      <c r="T847" s="10"/>
      <c r="U847" s="49">
        <f t="shared" si="822"/>
        <v>14</v>
      </c>
      <c r="V847" s="11">
        <f t="shared" si="823"/>
        <v>17</v>
      </c>
      <c r="W847" s="140">
        <v>45048</v>
      </c>
      <c r="X847" s="82"/>
    </row>
    <row r="848" spans="1:24" x14ac:dyDescent="0.15">
      <c r="A848" s="25" t="s">
        <v>33</v>
      </c>
      <c r="B848" s="8">
        <v>1</v>
      </c>
      <c r="C848" s="9"/>
      <c r="D848" s="10"/>
      <c r="E848" s="49">
        <f t="shared" si="818"/>
        <v>1</v>
      </c>
      <c r="F848" s="12"/>
      <c r="G848" s="9"/>
      <c r="H848" s="10"/>
      <c r="I848" s="49">
        <f t="shared" si="819"/>
        <v>0</v>
      </c>
      <c r="J848" s="11">
        <f t="shared" si="820"/>
        <v>1</v>
      </c>
      <c r="K848" s="63">
        <v>45036</v>
      </c>
      <c r="L848" s="82"/>
      <c r="M848" s="133" t="s">
        <v>329</v>
      </c>
      <c r="N848" s="8">
        <v>7</v>
      </c>
      <c r="O848" s="9">
        <v>9</v>
      </c>
      <c r="P848" s="10">
        <v>2</v>
      </c>
      <c r="Q848" s="49">
        <f t="shared" si="821"/>
        <v>18</v>
      </c>
      <c r="R848" s="12">
        <v>7</v>
      </c>
      <c r="S848" s="9">
        <v>9</v>
      </c>
      <c r="T848" s="10">
        <v>2</v>
      </c>
      <c r="U848" s="49">
        <f t="shared" si="822"/>
        <v>18</v>
      </c>
      <c r="V848" s="11">
        <f t="shared" si="823"/>
        <v>36</v>
      </c>
      <c r="W848" s="140">
        <v>45056</v>
      </c>
    </row>
    <row r="849" spans="1:25" x14ac:dyDescent="0.15">
      <c r="A849" s="25" t="s">
        <v>33</v>
      </c>
      <c r="B849" s="8">
        <f>2+2</f>
        <v>4</v>
      </c>
      <c r="C849" s="9"/>
      <c r="D849" s="10"/>
      <c r="E849" s="49">
        <f t="shared" si="818"/>
        <v>4</v>
      </c>
      <c r="F849" s="12">
        <v>1</v>
      </c>
      <c r="G849" s="9">
        <v>2</v>
      </c>
      <c r="H849" s="10"/>
      <c r="I849" s="49">
        <f t="shared" si="819"/>
        <v>3</v>
      </c>
      <c r="J849" s="11">
        <f t="shared" si="820"/>
        <v>7</v>
      </c>
      <c r="K849" s="63">
        <v>45040</v>
      </c>
      <c r="M849" s="133" t="s">
        <v>160</v>
      </c>
      <c r="N849" s="8"/>
      <c r="O849" s="9">
        <v>5</v>
      </c>
      <c r="P849" s="10">
        <v>5</v>
      </c>
      <c r="Q849" s="49">
        <f t="shared" si="821"/>
        <v>10</v>
      </c>
      <c r="R849" s="12">
        <v>5</v>
      </c>
      <c r="S849" s="9">
        <v>5</v>
      </c>
      <c r="T849" s="10"/>
      <c r="U849" s="49">
        <f t="shared" si="822"/>
        <v>10</v>
      </c>
      <c r="V849" s="11">
        <f t="shared" si="823"/>
        <v>20</v>
      </c>
      <c r="W849" s="140">
        <v>45056</v>
      </c>
    </row>
    <row r="850" spans="1:25" x14ac:dyDescent="0.15">
      <c r="A850" s="25" t="s">
        <v>33</v>
      </c>
      <c r="B850" s="8"/>
      <c r="C850" s="9">
        <v>1</v>
      </c>
      <c r="D850" s="10"/>
      <c r="E850" s="49">
        <f t="shared" si="818"/>
        <v>1</v>
      </c>
      <c r="F850" s="12">
        <v>2</v>
      </c>
      <c r="G850" s="9"/>
      <c r="H850" s="10"/>
      <c r="I850" s="49">
        <f t="shared" si="819"/>
        <v>2</v>
      </c>
      <c r="J850" s="11">
        <f t="shared" si="820"/>
        <v>3</v>
      </c>
      <c r="K850" s="71">
        <v>45041</v>
      </c>
      <c r="M850" s="133" t="s">
        <v>329</v>
      </c>
      <c r="N850" s="8">
        <v>1</v>
      </c>
      <c r="O850" s="9">
        <v>3</v>
      </c>
      <c r="P850" s="10">
        <v>1</v>
      </c>
      <c r="Q850" s="49">
        <f t="shared" si="821"/>
        <v>5</v>
      </c>
      <c r="R850" s="12">
        <v>1</v>
      </c>
      <c r="S850" s="9">
        <v>3</v>
      </c>
      <c r="T850" s="10">
        <v>1</v>
      </c>
      <c r="U850" s="49">
        <f t="shared" si="822"/>
        <v>5</v>
      </c>
      <c r="V850" s="11">
        <f t="shared" si="823"/>
        <v>10</v>
      </c>
      <c r="W850" s="140">
        <v>45057</v>
      </c>
    </row>
    <row r="851" spans="1:25" x14ac:dyDescent="0.15">
      <c r="A851" s="25" t="s">
        <v>33</v>
      </c>
      <c r="B851" s="8">
        <v>2</v>
      </c>
      <c r="C851" s="9">
        <v>1</v>
      </c>
      <c r="D851" s="10"/>
      <c r="E851" s="49">
        <f t="shared" si="818"/>
        <v>3</v>
      </c>
      <c r="F851" s="12">
        <v>1</v>
      </c>
      <c r="G851" s="9">
        <v>1</v>
      </c>
      <c r="H851" s="10"/>
      <c r="I851" s="49">
        <f t="shared" si="819"/>
        <v>2</v>
      </c>
      <c r="J851" s="11">
        <f t="shared" si="820"/>
        <v>5</v>
      </c>
      <c r="K851" s="63">
        <v>45042</v>
      </c>
      <c r="L851" s="82"/>
      <c r="M851" s="133" t="s">
        <v>160</v>
      </c>
      <c r="N851" s="8">
        <v>3</v>
      </c>
      <c r="O851" s="9">
        <v>5</v>
      </c>
      <c r="P851" s="10">
        <v>3</v>
      </c>
      <c r="Q851" s="49">
        <f t="shared" si="821"/>
        <v>11</v>
      </c>
      <c r="R851" s="12">
        <v>3</v>
      </c>
      <c r="S851" s="9">
        <v>10</v>
      </c>
      <c r="T851" s="10">
        <v>5</v>
      </c>
      <c r="U851" s="49">
        <f t="shared" si="822"/>
        <v>18</v>
      </c>
      <c r="V851" s="11">
        <f t="shared" si="823"/>
        <v>29</v>
      </c>
      <c r="W851" s="140">
        <v>45059</v>
      </c>
      <c r="X851" s="82"/>
      <c r="Y851" s="82"/>
    </row>
    <row r="852" spans="1:25" x14ac:dyDescent="0.15">
      <c r="A852" s="133" t="s">
        <v>329</v>
      </c>
      <c r="B852" s="13">
        <v>1</v>
      </c>
      <c r="C852" s="14"/>
      <c r="D852" s="15"/>
      <c r="E852" s="49">
        <f t="shared" si="818"/>
        <v>1</v>
      </c>
      <c r="F852" s="16">
        <v>1</v>
      </c>
      <c r="G852" s="14"/>
      <c r="H852" s="15"/>
      <c r="I852" s="49">
        <f t="shared" si="819"/>
        <v>1</v>
      </c>
      <c r="J852" s="11">
        <f t="shared" si="820"/>
        <v>2</v>
      </c>
      <c r="K852" s="63">
        <v>45044</v>
      </c>
      <c r="L852" s="82"/>
      <c r="M852" s="26"/>
      <c r="N852" s="8"/>
      <c r="O852" s="9"/>
      <c r="P852" s="10"/>
      <c r="Q852" s="49">
        <f t="shared" si="821"/>
        <v>0</v>
      </c>
      <c r="R852" s="12"/>
      <c r="S852" s="9"/>
      <c r="T852" s="10"/>
      <c r="U852" s="49">
        <f t="shared" si="822"/>
        <v>0</v>
      </c>
      <c r="V852" s="11">
        <f t="shared" si="823"/>
        <v>0</v>
      </c>
    </row>
    <row r="853" spans="1:25" x14ac:dyDescent="0.15">
      <c r="A853" s="25" t="s">
        <v>33</v>
      </c>
      <c r="B853" s="8"/>
      <c r="C853" s="9">
        <v>2</v>
      </c>
      <c r="D853" s="10"/>
      <c r="E853" s="49">
        <f t="shared" si="818"/>
        <v>2</v>
      </c>
      <c r="F853" s="12"/>
      <c r="G853" s="9"/>
      <c r="H853" s="10"/>
      <c r="I853" s="49">
        <f t="shared" si="819"/>
        <v>0</v>
      </c>
      <c r="J853" s="11">
        <f t="shared" si="820"/>
        <v>2</v>
      </c>
      <c r="K853" s="63">
        <v>45044</v>
      </c>
      <c r="M853" s="26" t="s">
        <v>411</v>
      </c>
      <c r="N853" s="8"/>
      <c r="O853" s="9"/>
      <c r="P853" s="10"/>
      <c r="Q853" s="49">
        <f t="shared" si="821"/>
        <v>0</v>
      </c>
      <c r="R853" s="12"/>
      <c r="S853" s="9"/>
      <c r="T853" s="10"/>
      <c r="U853" s="49">
        <f t="shared" si="822"/>
        <v>0</v>
      </c>
      <c r="V853" s="11">
        <f t="shared" si="823"/>
        <v>0</v>
      </c>
      <c r="W853" s="142" t="s">
        <v>412</v>
      </c>
    </row>
    <row r="854" spans="1:25" x14ac:dyDescent="0.15">
      <c r="A854" s="133" t="s">
        <v>329</v>
      </c>
      <c r="B854" s="8"/>
      <c r="C854" s="9">
        <v>2</v>
      </c>
      <c r="D854" s="10"/>
      <c r="E854" s="49">
        <f t="shared" si="818"/>
        <v>2</v>
      </c>
      <c r="F854" s="12"/>
      <c r="G854" s="9">
        <v>2</v>
      </c>
      <c r="H854" s="10"/>
      <c r="I854" s="49">
        <f t="shared" si="819"/>
        <v>2</v>
      </c>
      <c r="J854" s="11">
        <f t="shared" si="820"/>
        <v>4</v>
      </c>
      <c r="K854" s="63">
        <v>45054</v>
      </c>
      <c r="M854" s="26" t="s">
        <v>408</v>
      </c>
      <c r="N854" s="8"/>
      <c r="O854" s="9"/>
      <c r="P854" s="10"/>
      <c r="Q854" s="49">
        <f t="shared" si="821"/>
        <v>0</v>
      </c>
      <c r="R854" s="12"/>
      <c r="S854" s="9"/>
      <c r="T854" s="10"/>
      <c r="U854" s="49">
        <f t="shared" si="822"/>
        <v>0</v>
      </c>
      <c r="V854" s="11">
        <f t="shared" si="823"/>
        <v>0</v>
      </c>
      <c r="W854" s="142" t="s">
        <v>409</v>
      </c>
    </row>
    <row r="855" spans="1:25" x14ac:dyDescent="0.15">
      <c r="A855" s="133" t="s">
        <v>329</v>
      </c>
      <c r="B855" s="8">
        <v>1</v>
      </c>
      <c r="C855" s="9">
        <v>1</v>
      </c>
      <c r="D855" s="10">
        <v>1</v>
      </c>
      <c r="E855" s="49">
        <f t="shared" si="818"/>
        <v>3</v>
      </c>
      <c r="F855" s="12">
        <v>1</v>
      </c>
      <c r="G855" s="9">
        <v>1</v>
      </c>
      <c r="H855" s="10">
        <v>1</v>
      </c>
      <c r="I855" s="49">
        <f t="shared" si="819"/>
        <v>3</v>
      </c>
      <c r="J855" s="11">
        <f t="shared" si="820"/>
        <v>6</v>
      </c>
      <c r="K855" s="63">
        <v>45055</v>
      </c>
      <c r="M855" s="26" t="s">
        <v>406</v>
      </c>
      <c r="N855" s="8"/>
      <c r="O855" s="9"/>
      <c r="P855" s="10"/>
      <c r="Q855" s="49">
        <f t="shared" ref="Q855" si="824">SUM(N855:P855)</f>
        <v>0</v>
      </c>
      <c r="R855" s="12"/>
      <c r="S855" s="9"/>
      <c r="T855" s="10"/>
      <c r="U855" s="49">
        <f t="shared" ref="U855" si="825">SUM(R855:T855)</f>
        <v>0</v>
      </c>
      <c r="V855" s="11">
        <f t="shared" ref="V855" si="826">Q855+U855</f>
        <v>0</v>
      </c>
      <c r="W855" s="142" t="s">
        <v>407</v>
      </c>
    </row>
    <row r="856" spans="1:25" ht="14.25" thickBot="1" x14ac:dyDescent="0.2">
      <c r="A856" s="25" t="s">
        <v>33</v>
      </c>
      <c r="B856" s="13"/>
      <c r="C856" s="14"/>
      <c r="D856" s="15"/>
      <c r="E856" s="55">
        <f t="shared" si="818"/>
        <v>0</v>
      </c>
      <c r="F856" s="16">
        <v>2</v>
      </c>
      <c r="G856" s="14"/>
      <c r="H856" s="15"/>
      <c r="I856" s="55">
        <f t="shared" si="819"/>
        <v>2</v>
      </c>
      <c r="J856" s="11">
        <f t="shared" si="820"/>
        <v>2</v>
      </c>
      <c r="K856" s="63">
        <v>45054</v>
      </c>
      <c r="M856" s="26" t="s">
        <v>404</v>
      </c>
      <c r="N856" s="8"/>
      <c r="O856" s="9"/>
      <c r="P856" s="10"/>
      <c r="Q856" s="49">
        <f t="shared" si="821"/>
        <v>0</v>
      </c>
      <c r="R856" s="12"/>
      <c r="S856" s="9"/>
      <c r="T856" s="10"/>
      <c r="U856" s="49">
        <f t="shared" si="822"/>
        <v>0</v>
      </c>
      <c r="V856" s="11">
        <f t="shared" si="823"/>
        <v>0</v>
      </c>
      <c r="W856" s="142" t="s">
        <v>405</v>
      </c>
    </row>
    <row r="857" spans="1:25" ht="14.25" thickBot="1" x14ac:dyDescent="0.2">
      <c r="A857" s="41" t="s">
        <v>19</v>
      </c>
      <c r="B857" s="46">
        <f>SUM(B831:B856)</f>
        <v>22</v>
      </c>
      <c r="C857" s="47">
        <f t="shared" ref="C857:D857" si="827">SUM(C831:C856)</f>
        <v>18</v>
      </c>
      <c r="D857" s="59">
        <f t="shared" si="827"/>
        <v>7</v>
      </c>
      <c r="E857" s="45">
        <f t="shared" si="818"/>
        <v>47</v>
      </c>
      <c r="F857" s="46">
        <f>SUM(F831:F856)</f>
        <v>22</v>
      </c>
      <c r="G857" s="47">
        <f t="shared" ref="G857:H857" si="828">SUM(G831:G856)</f>
        <v>19</v>
      </c>
      <c r="H857" s="59">
        <f t="shared" si="828"/>
        <v>5</v>
      </c>
      <c r="I857" s="45">
        <f t="shared" si="819"/>
        <v>46</v>
      </c>
      <c r="J857" s="45">
        <f>E857+I857</f>
        <v>93</v>
      </c>
      <c r="M857" s="41" t="s">
        <v>19</v>
      </c>
      <c r="N857" s="46">
        <f>SUM(N831:N856)</f>
        <v>64</v>
      </c>
      <c r="O857" s="47">
        <f t="shared" ref="O857:P857" si="829">SUM(O831:O856)</f>
        <v>72</v>
      </c>
      <c r="P857" s="59">
        <f t="shared" si="829"/>
        <v>30</v>
      </c>
      <c r="Q857" s="45">
        <f t="shared" si="821"/>
        <v>166</v>
      </c>
      <c r="R857" s="46">
        <f>SUM(R831:R856)</f>
        <v>67</v>
      </c>
      <c r="S857" s="47">
        <f t="shared" ref="S857:T857" si="830">SUM(S831:S856)</f>
        <v>95</v>
      </c>
      <c r="T857" s="59">
        <f t="shared" si="830"/>
        <v>46</v>
      </c>
      <c r="U857" s="45">
        <f t="shared" si="822"/>
        <v>208</v>
      </c>
      <c r="V857" s="45">
        <f>Q857+U857</f>
        <v>374</v>
      </c>
    </row>
    <row r="858" spans="1:25" ht="14.25" thickBot="1" x14ac:dyDescent="0.2">
      <c r="A858" s="22" t="s">
        <v>17</v>
      </c>
      <c r="B858" s="50">
        <f>B830-B857</f>
        <v>13</v>
      </c>
      <c r="C858" s="57">
        <f t="shared" ref="C858:D858" si="831">C830-C857</f>
        <v>7</v>
      </c>
      <c r="D858" s="58">
        <f t="shared" si="831"/>
        <v>9</v>
      </c>
      <c r="E858" s="56">
        <f>SUM(B858:D858)</f>
        <v>29</v>
      </c>
      <c r="F858" s="50">
        <f>F830-F857</f>
        <v>8</v>
      </c>
      <c r="G858" s="57">
        <f t="shared" ref="G858:H858" si="832">G830-G857</f>
        <v>7</v>
      </c>
      <c r="H858" s="58">
        <f t="shared" si="832"/>
        <v>13</v>
      </c>
      <c r="I858" s="56">
        <f>SUM(F858:H858)</f>
        <v>28</v>
      </c>
      <c r="J858" s="31">
        <f>E858+I858</f>
        <v>57</v>
      </c>
      <c r="M858" s="22" t="s">
        <v>17</v>
      </c>
      <c r="N858" s="50">
        <f>N830-N857</f>
        <v>469</v>
      </c>
      <c r="O858" s="57">
        <f t="shared" ref="O858:P858" si="833">O830-O857</f>
        <v>717</v>
      </c>
      <c r="P858" s="58">
        <f t="shared" si="833"/>
        <v>724</v>
      </c>
      <c r="Q858" s="56">
        <f>SUM(N858:P858)</f>
        <v>1910</v>
      </c>
      <c r="R858" s="50">
        <f>R830-R857</f>
        <v>677</v>
      </c>
      <c r="S858" s="57">
        <f t="shared" ref="S858:T858" si="834">S830-S857</f>
        <v>898</v>
      </c>
      <c r="T858" s="58">
        <f t="shared" si="834"/>
        <v>862</v>
      </c>
      <c r="U858" s="56">
        <f>SUM(R858:T858)</f>
        <v>2437</v>
      </c>
      <c r="V858" s="31">
        <f>Q858+U858</f>
        <v>4347</v>
      </c>
    </row>
    <row r="861" spans="1:25" ht="19.5" thickBot="1" x14ac:dyDescent="0.25">
      <c r="A861" s="3" t="s">
        <v>21</v>
      </c>
      <c r="B861" s="1"/>
      <c r="C861" s="1"/>
      <c r="D861" s="1"/>
      <c r="E861" s="1"/>
      <c r="F861" s="1"/>
      <c r="G861" s="1"/>
      <c r="H861" s="1"/>
      <c r="I861" s="1"/>
      <c r="J861" s="1"/>
      <c r="M861" s="3" t="s">
        <v>22</v>
      </c>
      <c r="N861" s="1"/>
      <c r="O861" s="1"/>
      <c r="P861" s="1"/>
      <c r="Q861" s="1"/>
      <c r="R861" s="1"/>
      <c r="S861" s="1"/>
      <c r="T861" s="1"/>
      <c r="U861" s="1"/>
      <c r="V861" s="1"/>
    </row>
    <row r="862" spans="1:25" ht="14.25" thickBot="1" x14ac:dyDescent="0.2">
      <c r="A862" s="7" t="s">
        <v>0</v>
      </c>
      <c r="B862" s="165" t="s">
        <v>24</v>
      </c>
      <c r="C862" s="166"/>
      <c r="D862" s="166"/>
      <c r="E862" s="170"/>
      <c r="F862" s="165" t="s">
        <v>18</v>
      </c>
      <c r="G862" s="166"/>
      <c r="H862" s="166"/>
      <c r="I862" s="167"/>
      <c r="J862" s="168" t="s">
        <v>1</v>
      </c>
      <c r="M862" s="7" t="s">
        <v>0</v>
      </c>
      <c r="N862" s="165" t="s">
        <v>24</v>
      </c>
      <c r="O862" s="166"/>
      <c r="P862" s="166"/>
      <c r="Q862" s="170"/>
      <c r="R862" s="165" t="s">
        <v>18</v>
      </c>
      <c r="S862" s="166"/>
      <c r="T862" s="166"/>
      <c r="U862" s="167"/>
      <c r="V862" s="168" t="s">
        <v>1</v>
      </c>
    </row>
    <row r="863" spans="1:25" ht="14.25" thickBot="1" x14ac:dyDescent="0.2">
      <c r="A863" s="7" t="s">
        <v>2</v>
      </c>
      <c r="B863" s="4" t="s">
        <v>3</v>
      </c>
      <c r="C863" s="5" t="s">
        <v>4</v>
      </c>
      <c r="D863" s="6" t="s">
        <v>5</v>
      </c>
      <c r="E863" s="7" t="s">
        <v>6</v>
      </c>
      <c r="F863" s="4" t="s">
        <v>3</v>
      </c>
      <c r="G863" s="5" t="s">
        <v>4</v>
      </c>
      <c r="H863" s="6" t="s">
        <v>5</v>
      </c>
      <c r="I863" s="7" t="s">
        <v>6</v>
      </c>
      <c r="J863" s="169"/>
      <c r="M863" s="7" t="s">
        <v>2</v>
      </c>
      <c r="N863" s="4" t="s">
        <v>3</v>
      </c>
      <c r="O863" s="5" t="s">
        <v>4</v>
      </c>
      <c r="P863" s="6" t="s">
        <v>5</v>
      </c>
      <c r="Q863" s="7" t="s">
        <v>6</v>
      </c>
      <c r="R863" s="4" t="s">
        <v>3</v>
      </c>
      <c r="S863" s="5" t="s">
        <v>4</v>
      </c>
      <c r="T863" s="6" t="s">
        <v>5</v>
      </c>
      <c r="U863" s="7" t="s">
        <v>6</v>
      </c>
      <c r="V863" s="169"/>
    </row>
    <row r="864" spans="1:25" ht="14.25" thickBot="1" x14ac:dyDescent="0.2">
      <c r="A864" s="27" t="s">
        <v>20</v>
      </c>
      <c r="B864" s="28">
        <f>B858</f>
        <v>13</v>
      </c>
      <c r="C864" s="29">
        <f>C858</f>
        <v>7</v>
      </c>
      <c r="D864" s="30">
        <f>D858</f>
        <v>9</v>
      </c>
      <c r="E864" s="31">
        <f>SUM(B864:D864)</f>
        <v>29</v>
      </c>
      <c r="F864" s="28">
        <f>F858</f>
        <v>8</v>
      </c>
      <c r="G864" s="29">
        <f>G858</f>
        <v>7</v>
      </c>
      <c r="H864" s="30">
        <f>H858</f>
        <v>13</v>
      </c>
      <c r="I864" s="31">
        <f>SUM(F864:H864)</f>
        <v>28</v>
      </c>
      <c r="J864" s="31">
        <f>E864+I864</f>
        <v>57</v>
      </c>
      <c r="M864" s="27" t="s">
        <v>20</v>
      </c>
      <c r="N864" s="28">
        <f>N858</f>
        <v>469</v>
      </c>
      <c r="O864" s="29">
        <f>O858</f>
        <v>717</v>
      </c>
      <c r="P864" s="30">
        <f>P858</f>
        <v>724</v>
      </c>
      <c r="Q864" s="31">
        <f>SUM(N864:P864)</f>
        <v>1910</v>
      </c>
      <c r="R864" s="28">
        <f>R858</f>
        <v>677</v>
      </c>
      <c r="S864" s="29">
        <f>S858</f>
        <v>898</v>
      </c>
      <c r="T864" s="30">
        <f>T858</f>
        <v>862</v>
      </c>
      <c r="U864" s="31">
        <f>SUM(R864:T864)</f>
        <v>2437</v>
      </c>
      <c r="V864" s="31">
        <f>Q864+U864</f>
        <v>4347</v>
      </c>
    </row>
    <row r="865" spans="1:24" x14ac:dyDescent="0.15">
      <c r="A865" s="25" t="s">
        <v>8</v>
      </c>
      <c r="B865" s="17"/>
      <c r="C865" s="18">
        <v>5</v>
      </c>
      <c r="D865" s="51">
        <v>5</v>
      </c>
      <c r="E865" s="49">
        <f t="shared" ref="E865:E872" si="835">SUM(B865:D865)</f>
        <v>10</v>
      </c>
      <c r="F865" s="20">
        <v>5</v>
      </c>
      <c r="G865" s="18">
        <v>5</v>
      </c>
      <c r="H865" s="19"/>
      <c r="I865" s="49">
        <f t="shared" ref="I865:I872" si="836">SUM(F865:H865)</f>
        <v>10</v>
      </c>
      <c r="J865" s="49">
        <f t="shared" ref="J865:J872" si="837">E865+I865</f>
        <v>20</v>
      </c>
      <c r="K865" s="63">
        <v>45056</v>
      </c>
      <c r="M865" s="25" t="s">
        <v>8</v>
      </c>
      <c r="N865" s="17"/>
      <c r="O865" s="18"/>
      <c r="P865" s="51"/>
      <c r="Q865" s="49">
        <f t="shared" ref="Q865:Q872" si="838">SUM(N865:P865)</f>
        <v>0</v>
      </c>
      <c r="R865" s="20"/>
      <c r="S865" s="18"/>
      <c r="T865" s="19"/>
      <c r="U865" s="49">
        <f t="shared" ref="U865:U872" si="839">SUM(R865:T865)</f>
        <v>0</v>
      </c>
      <c r="V865" s="49">
        <f t="shared" ref="V865:V872" si="840">Q865+U865</f>
        <v>0</v>
      </c>
    </row>
    <row r="866" spans="1:24" x14ac:dyDescent="0.15">
      <c r="A866" s="25" t="s">
        <v>9</v>
      </c>
      <c r="B866" s="17">
        <v>3</v>
      </c>
      <c r="C866" s="18">
        <v>5</v>
      </c>
      <c r="D866" s="51">
        <v>3</v>
      </c>
      <c r="E866" s="11">
        <f t="shared" si="835"/>
        <v>11</v>
      </c>
      <c r="F866" s="20">
        <v>3</v>
      </c>
      <c r="G866" s="18">
        <v>10</v>
      </c>
      <c r="H866" s="19">
        <v>5</v>
      </c>
      <c r="I866" s="11">
        <f t="shared" si="836"/>
        <v>18</v>
      </c>
      <c r="J866" s="11">
        <f t="shared" si="837"/>
        <v>29</v>
      </c>
      <c r="K866" s="63">
        <v>45059</v>
      </c>
      <c r="M866" s="25" t="s">
        <v>9</v>
      </c>
      <c r="N866" s="8"/>
      <c r="O866" s="9"/>
      <c r="P866" s="52"/>
      <c r="Q866" s="11">
        <f t="shared" si="838"/>
        <v>0</v>
      </c>
      <c r="R866" s="12"/>
      <c r="S866" s="9"/>
      <c r="T866" s="10"/>
      <c r="U866" s="11">
        <f t="shared" si="839"/>
        <v>0</v>
      </c>
      <c r="V866" s="11">
        <f t="shared" si="840"/>
        <v>0</v>
      </c>
    </row>
    <row r="867" spans="1:24" x14ac:dyDescent="0.15">
      <c r="A867" s="25" t="s">
        <v>10</v>
      </c>
      <c r="B867" s="17">
        <v>10</v>
      </c>
      <c r="C867" s="18">
        <v>5</v>
      </c>
      <c r="D867" s="51">
        <v>5</v>
      </c>
      <c r="E867" s="11">
        <f t="shared" si="835"/>
        <v>20</v>
      </c>
      <c r="F867" s="20">
        <v>15</v>
      </c>
      <c r="G867" s="18"/>
      <c r="H867" s="19">
        <v>5</v>
      </c>
      <c r="I867" s="11">
        <f t="shared" si="836"/>
        <v>20</v>
      </c>
      <c r="J867" s="11">
        <f t="shared" si="837"/>
        <v>40</v>
      </c>
      <c r="K867" s="63">
        <v>45065</v>
      </c>
      <c r="M867" s="25" t="s">
        <v>10</v>
      </c>
      <c r="N867" s="8"/>
      <c r="O867" s="9"/>
      <c r="P867" s="52"/>
      <c r="Q867" s="11">
        <f t="shared" si="838"/>
        <v>0</v>
      </c>
      <c r="R867" s="12"/>
      <c r="S867" s="9"/>
      <c r="T867" s="10"/>
      <c r="U867" s="11">
        <f t="shared" si="839"/>
        <v>0</v>
      </c>
      <c r="V867" s="11">
        <f t="shared" si="840"/>
        <v>0</v>
      </c>
    </row>
    <row r="868" spans="1:24" x14ac:dyDescent="0.15">
      <c r="A868" s="25" t="s">
        <v>182</v>
      </c>
      <c r="B868" s="17">
        <v>3</v>
      </c>
      <c r="C868" s="18"/>
      <c r="D868" s="51"/>
      <c r="E868" s="11">
        <f t="shared" si="835"/>
        <v>3</v>
      </c>
      <c r="F868" s="20"/>
      <c r="G868" s="18"/>
      <c r="H868" s="19">
        <v>3</v>
      </c>
      <c r="I868" s="11">
        <f t="shared" si="836"/>
        <v>3</v>
      </c>
      <c r="J868" s="11">
        <f t="shared" si="837"/>
        <v>6</v>
      </c>
      <c r="K868" s="63">
        <v>45072</v>
      </c>
      <c r="M868" s="25" t="s">
        <v>11</v>
      </c>
      <c r="N868" s="8"/>
      <c r="O868" s="9"/>
      <c r="P868" s="52"/>
      <c r="Q868" s="11">
        <f t="shared" si="838"/>
        <v>0</v>
      </c>
      <c r="R868" s="12"/>
      <c r="S868" s="9"/>
      <c r="T868" s="10"/>
      <c r="U868" s="11">
        <f t="shared" si="839"/>
        <v>0</v>
      </c>
      <c r="V868" s="11">
        <f t="shared" si="840"/>
        <v>0</v>
      </c>
    </row>
    <row r="869" spans="1:24" x14ac:dyDescent="0.15">
      <c r="A869" s="25" t="s">
        <v>12</v>
      </c>
      <c r="B869" s="17"/>
      <c r="C869" s="18">
        <v>10</v>
      </c>
      <c r="D869" s="51"/>
      <c r="E869" s="11">
        <f t="shared" si="835"/>
        <v>10</v>
      </c>
      <c r="F869" s="20"/>
      <c r="G869" s="18">
        <v>10</v>
      </c>
      <c r="H869" s="19"/>
      <c r="I869" s="11">
        <f t="shared" si="836"/>
        <v>10</v>
      </c>
      <c r="J869" s="11">
        <f t="shared" si="837"/>
        <v>20</v>
      </c>
      <c r="K869" s="63">
        <v>45076</v>
      </c>
      <c r="M869" s="25" t="s">
        <v>12</v>
      </c>
      <c r="N869" s="8"/>
      <c r="O869" s="9"/>
      <c r="P869" s="52"/>
      <c r="Q869" s="11">
        <f t="shared" si="838"/>
        <v>0</v>
      </c>
      <c r="R869" s="12"/>
      <c r="S869" s="9"/>
      <c r="T869" s="10"/>
      <c r="U869" s="11">
        <f t="shared" si="839"/>
        <v>0</v>
      </c>
      <c r="V869" s="11">
        <f t="shared" si="840"/>
        <v>0</v>
      </c>
    </row>
    <row r="870" spans="1:24" x14ac:dyDescent="0.15">
      <c r="A870" s="25" t="s">
        <v>143</v>
      </c>
      <c r="B870" s="17"/>
      <c r="C870" s="18"/>
      <c r="D870" s="51">
        <v>1</v>
      </c>
      <c r="E870" s="11">
        <f t="shared" si="835"/>
        <v>1</v>
      </c>
      <c r="F870" s="20"/>
      <c r="G870" s="18"/>
      <c r="H870" s="19">
        <v>1</v>
      </c>
      <c r="I870" s="11">
        <f t="shared" si="836"/>
        <v>1</v>
      </c>
      <c r="J870" s="11">
        <f t="shared" si="837"/>
        <v>2</v>
      </c>
      <c r="K870" s="63">
        <v>45075</v>
      </c>
      <c r="M870" s="25" t="s">
        <v>13</v>
      </c>
      <c r="N870" s="8"/>
      <c r="O870" s="9"/>
      <c r="P870" s="52"/>
      <c r="Q870" s="11">
        <f t="shared" si="838"/>
        <v>0</v>
      </c>
      <c r="R870" s="12"/>
      <c r="S870" s="9"/>
      <c r="T870" s="10"/>
      <c r="U870" s="11">
        <f t="shared" si="839"/>
        <v>0</v>
      </c>
      <c r="V870" s="11">
        <f t="shared" si="840"/>
        <v>0</v>
      </c>
    </row>
    <row r="871" spans="1:24" x14ac:dyDescent="0.15">
      <c r="A871" s="25" t="s">
        <v>14</v>
      </c>
      <c r="B871" s="17"/>
      <c r="C871" s="18"/>
      <c r="D871" s="51"/>
      <c r="E871" s="11">
        <f t="shared" si="835"/>
        <v>0</v>
      </c>
      <c r="F871" s="20"/>
      <c r="G871" s="18"/>
      <c r="H871" s="19"/>
      <c r="I871" s="11">
        <f t="shared" si="836"/>
        <v>0</v>
      </c>
      <c r="J871" s="11">
        <f t="shared" si="837"/>
        <v>0</v>
      </c>
      <c r="K871" s="63"/>
      <c r="M871" s="25" t="s">
        <v>14</v>
      </c>
      <c r="N871" s="13"/>
      <c r="O871" s="14"/>
      <c r="P871" s="53"/>
      <c r="Q871" s="11">
        <f t="shared" si="838"/>
        <v>0</v>
      </c>
      <c r="R871" s="16"/>
      <c r="S871" s="14"/>
      <c r="T871" s="15"/>
      <c r="U871" s="11">
        <f t="shared" si="839"/>
        <v>0</v>
      </c>
      <c r="V871" s="11">
        <f t="shared" si="840"/>
        <v>0</v>
      </c>
    </row>
    <row r="872" spans="1:24" ht="14.25" thickBot="1" x14ac:dyDescent="0.2">
      <c r="A872" s="25" t="s">
        <v>430</v>
      </c>
      <c r="B872" s="17">
        <v>-1</v>
      </c>
      <c r="C872" s="18">
        <v>3</v>
      </c>
      <c r="D872" s="51">
        <v>-2</v>
      </c>
      <c r="E872" s="11">
        <f t="shared" si="835"/>
        <v>0</v>
      </c>
      <c r="F872" s="20">
        <v>3</v>
      </c>
      <c r="G872" s="18">
        <v>3</v>
      </c>
      <c r="H872" s="19">
        <v>1</v>
      </c>
      <c r="I872" s="11">
        <f t="shared" si="836"/>
        <v>7</v>
      </c>
      <c r="J872" s="11">
        <f t="shared" si="837"/>
        <v>7</v>
      </c>
      <c r="K872" s="63"/>
      <c r="M872" s="25" t="s">
        <v>15</v>
      </c>
      <c r="N872" s="13"/>
      <c r="O872" s="14"/>
      <c r="P872" s="53"/>
      <c r="Q872" s="62">
        <f t="shared" si="838"/>
        <v>0</v>
      </c>
      <c r="R872" s="34"/>
      <c r="S872" s="34"/>
      <c r="T872" s="37"/>
      <c r="U872" s="62">
        <f t="shared" si="839"/>
        <v>0</v>
      </c>
      <c r="V872" s="21">
        <f t="shared" si="840"/>
        <v>0</v>
      </c>
    </row>
    <row r="873" spans="1:24" ht="14.25" thickBot="1" x14ac:dyDescent="0.2">
      <c r="A873" s="35" t="s">
        <v>16</v>
      </c>
      <c r="B873" s="28">
        <f>SUM(B864:B872)</f>
        <v>28</v>
      </c>
      <c r="C873" s="29">
        <f t="shared" ref="C873:D873" si="841">SUM(C864:C872)</f>
        <v>35</v>
      </c>
      <c r="D873" s="68">
        <f t="shared" si="841"/>
        <v>21</v>
      </c>
      <c r="E873" s="64">
        <f>SUM(B873:D873)</f>
        <v>84</v>
      </c>
      <c r="F873" s="28">
        <f>SUM(F864:F872)</f>
        <v>34</v>
      </c>
      <c r="G873" s="29">
        <f t="shared" ref="G873:H873" si="842">SUM(G864:G872)</f>
        <v>35</v>
      </c>
      <c r="H873" s="68">
        <f t="shared" si="842"/>
        <v>28</v>
      </c>
      <c r="I873" s="64">
        <f>SUM(F873:H873)</f>
        <v>97</v>
      </c>
      <c r="J873" s="31">
        <f>SUM(J865:J872)</f>
        <v>124</v>
      </c>
      <c r="M873" s="35" t="s">
        <v>16</v>
      </c>
      <c r="N873" s="28">
        <f>SUM(N864:N872)</f>
        <v>469</v>
      </c>
      <c r="O873" s="29">
        <f t="shared" ref="O873:P873" si="843">SUM(O864:O872)</f>
        <v>717</v>
      </c>
      <c r="P873" s="68">
        <f t="shared" si="843"/>
        <v>724</v>
      </c>
      <c r="Q873" s="64">
        <f>SUM(N873:P873)</f>
        <v>1910</v>
      </c>
      <c r="R873" s="28">
        <f>SUM(R864:R872)</f>
        <v>677</v>
      </c>
      <c r="S873" s="29">
        <f t="shared" ref="S873:T873" si="844">SUM(S864:S872)</f>
        <v>898</v>
      </c>
      <c r="T873" s="68">
        <f t="shared" si="844"/>
        <v>862</v>
      </c>
      <c r="U873" s="64">
        <f>SUM(R873:T873)</f>
        <v>2437</v>
      </c>
      <c r="V873" s="31">
        <f>Q873+U873</f>
        <v>4347</v>
      </c>
    </row>
    <row r="874" spans="1:24" x14ac:dyDescent="0.15">
      <c r="A874" s="25" t="s">
        <v>33</v>
      </c>
      <c r="B874" s="65"/>
      <c r="C874" s="66"/>
      <c r="D874" s="67">
        <v>1</v>
      </c>
      <c r="E874" s="49">
        <f>SUM(B874:D874)</f>
        <v>1</v>
      </c>
      <c r="F874" s="16"/>
      <c r="G874" s="14">
        <v>1</v>
      </c>
      <c r="H874" s="15"/>
      <c r="I874" s="49">
        <f>SUM(F874:H874)</f>
        <v>1</v>
      </c>
      <c r="J874" s="11">
        <f>E874+I874</f>
        <v>2</v>
      </c>
      <c r="K874" s="71">
        <v>45055</v>
      </c>
      <c r="M874" s="133" t="s">
        <v>160</v>
      </c>
      <c r="N874" s="65">
        <v>10</v>
      </c>
      <c r="O874" s="66">
        <v>5</v>
      </c>
      <c r="P874" s="67">
        <v>5</v>
      </c>
      <c r="Q874" s="49">
        <f t="shared" ref="Q874:Q875" si="845">SUM(N874:P874)</f>
        <v>20</v>
      </c>
      <c r="R874" s="16">
        <v>15</v>
      </c>
      <c r="S874" s="14"/>
      <c r="T874" s="15">
        <v>5</v>
      </c>
      <c r="U874" s="49">
        <f t="shared" ref="U874:U875" si="846">SUM(R874:T874)</f>
        <v>20</v>
      </c>
      <c r="V874" s="11">
        <f t="shared" ref="V874:V875" si="847">Q874+U874</f>
        <v>40</v>
      </c>
      <c r="W874" s="140">
        <v>45065</v>
      </c>
      <c r="X874" s="40"/>
    </row>
    <row r="875" spans="1:24" x14ac:dyDescent="0.15">
      <c r="A875" s="25" t="s">
        <v>33</v>
      </c>
      <c r="B875" s="8"/>
      <c r="C875" s="9"/>
      <c r="D875" s="10"/>
      <c r="E875" s="49">
        <f t="shared" ref="E875:E900" si="848">SUM(B875:D875)</f>
        <v>0</v>
      </c>
      <c r="F875" s="12"/>
      <c r="G875" s="9">
        <v>2</v>
      </c>
      <c r="H875" s="10"/>
      <c r="I875" s="49">
        <f t="shared" ref="I875:I900" si="849">SUM(F875:H875)</f>
        <v>2</v>
      </c>
      <c r="J875" s="11">
        <f t="shared" ref="J875:J899" si="850">E875+I875</f>
        <v>2</v>
      </c>
      <c r="K875" s="63">
        <v>45056</v>
      </c>
      <c r="M875" s="133" t="s">
        <v>160</v>
      </c>
      <c r="N875" s="8"/>
      <c r="O875" s="9">
        <v>10</v>
      </c>
      <c r="P875" s="10"/>
      <c r="Q875" s="49">
        <f t="shared" si="845"/>
        <v>10</v>
      </c>
      <c r="R875" s="12"/>
      <c r="S875" s="9">
        <v>10</v>
      </c>
      <c r="T875" s="10"/>
      <c r="U875" s="49">
        <f t="shared" si="846"/>
        <v>10</v>
      </c>
      <c r="V875" s="11">
        <f t="shared" si="847"/>
        <v>20</v>
      </c>
      <c r="W875" s="140">
        <v>45076</v>
      </c>
    </row>
    <row r="876" spans="1:24" x14ac:dyDescent="0.15">
      <c r="A876" s="133" t="s">
        <v>329</v>
      </c>
      <c r="B876" s="8"/>
      <c r="C876" s="9">
        <v>1</v>
      </c>
      <c r="D876" s="10">
        <v>1</v>
      </c>
      <c r="E876" s="49">
        <f t="shared" si="848"/>
        <v>2</v>
      </c>
      <c r="F876" s="12"/>
      <c r="G876" s="9">
        <v>1</v>
      </c>
      <c r="H876" s="10">
        <v>1</v>
      </c>
      <c r="I876" s="49">
        <f t="shared" si="849"/>
        <v>2</v>
      </c>
      <c r="J876" s="11">
        <f t="shared" si="850"/>
        <v>4</v>
      </c>
      <c r="K876" s="63">
        <v>45058</v>
      </c>
      <c r="M876" s="26"/>
      <c r="N876" s="8"/>
      <c r="O876" s="9"/>
      <c r="P876" s="10"/>
      <c r="Q876" s="49">
        <f t="shared" ref="Q876:Q877" si="851">SUM(N876:P876)</f>
        <v>0</v>
      </c>
      <c r="R876" s="12"/>
      <c r="S876" s="9"/>
      <c r="T876" s="10"/>
      <c r="U876" s="49">
        <f t="shared" ref="U876:U877" si="852">SUM(R876:T876)</f>
        <v>0</v>
      </c>
      <c r="V876" s="11">
        <f t="shared" ref="V876:V877" si="853">Q876+U876</f>
        <v>0</v>
      </c>
    </row>
    <row r="877" spans="1:24" x14ac:dyDescent="0.15">
      <c r="A877" s="25" t="s">
        <v>33</v>
      </c>
      <c r="B877" s="8"/>
      <c r="C877" s="9"/>
      <c r="D877" s="10"/>
      <c r="E877" s="49">
        <f t="shared" si="848"/>
        <v>0</v>
      </c>
      <c r="F877" s="12"/>
      <c r="G877" s="9"/>
      <c r="H877" s="10">
        <v>1</v>
      </c>
      <c r="I877" s="49">
        <f t="shared" si="849"/>
        <v>1</v>
      </c>
      <c r="J877" s="11">
        <f t="shared" si="850"/>
        <v>1</v>
      </c>
      <c r="K877" s="71">
        <v>45057</v>
      </c>
      <c r="M877" s="26"/>
      <c r="N877" s="8"/>
      <c r="O877" s="9"/>
      <c r="P877" s="10"/>
      <c r="Q877" s="49">
        <f t="shared" si="851"/>
        <v>0</v>
      </c>
      <c r="R877" s="12"/>
      <c r="S877" s="9"/>
      <c r="T877" s="10"/>
      <c r="U877" s="49">
        <f t="shared" si="852"/>
        <v>0</v>
      </c>
      <c r="V877" s="11">
        <f t="shared" si="853"/>
        <v>0</v>
      </c>
    </row>
    <row r="878" spans="1:24" x14ac:dyDescent="0.15">
      <c r="A878" s="133" t="s">
        <v>329</v>
      </c>
      <c r="B878" s="8"/>
      <c r="C878" s="9">
        <v>1</v>
      </c>
      <c r="D878" s="10"/>
      <c r="E878" s="49">
        <f t="shared" si="848"/>
        <v>1</v>
      </c>
      <c r="F878" s="12"/>
      <c r="G878" s="9">
        <v>1</v>
      </c>
      <c r="H878" s="10"/>
      <c r="I878" s="49">
        <f t="shared" si="849"/>
        <v>1</v>
      </c>
      <c r="J878" s="11">
        <f t="shared" si="850"/>
        <v>2</v>
      </c>
      <c r="K878" s="63">
        <v>45061</v>
      </c>
      <c r="M878" s="26"/>
      <c r="N878" s="8"/>
      <c r="O878" s="9"/>
      <c r="P878" s="10"/>
      <c r="Q878" s="49">
        <f>SUM(N878:P878)</f>
        <v>0</v>
      </c>
      <c r="R878" s="12"/>
      <c r="S878" s="9"/>
      <c r="T878" s="10"/>
      <c r="U878" s="49">
        <f>SUM(R878:T878)</f>
        <v>0</v>
      </c>
      <c r="V878" s="11">
        <f>Q878+U878</f>
        <v>0</v>
      </c>
    </row>
    <row r="879" spans="1:24" x14ac:dyDescent="0.15">
      <c r="A879" s="25" t="s">
        <v>33</v>
      </c>
      <c r="B879" s="8">
        <v>1</v>
      </c>
      <c r="C879" s="9"/>
      <c r="D879" s="10"/>
      <c r="E879" s="49">
        <f t="shared" si="848"/>
        <v>1</v>
      </c>
      <c r="F879" s="12">
        <v>1</v>
      </c>
      <c r="G879" s="9"/>
      <c r="H879" s="10">
        <v>1</v>
      </c>
      <c r="I879" s="49">
        <f t="shared" si="849"/>
        <v>2</v>
      </c>
      <c r="J879" s="11">
        <f t="shared" si="850"/>
        <v>3</v>
      </c>
      <c r="K879" s="71">
        <v>45058</v>
      </c>
      <c r="M879" s="23"/>
      <c r="N879" s="8"/>
      <c r="O879" s="9"/>
      <c r="P879" s="10"/>
      <c r="Q879" s="49">
        <f t="shared" ref="Q879:Q900" si="854">SUM(N879:P879)</f>
        <v>0</v>
      </c>
      <c r="R879" s="12"/>
      <c r="S879" s="9"/>
      <c r="T879" s="10"/>
      <c r="U879" s="49">
        <f t="shared" ref="U879:U900" si="855">SUM(R879:T879)</f>
        <v>0</v>
      </c>
      <c r="V879" s="11">
        <f t="shared" ref="V879:V896" si="856">Q879+U879</f>
        <v>0</v>
      </c>
    </row>
    <row r="880" spans="1:24" x14ac:dyDescent="0.15">
      <c r="A880" s="133" t="s">
        <v>329</v>
      </c>
      <c r="B880" s="8">
        <v>2</v>
      </c>
      <c r="C880" s="9"/>
      <c r="D880" s="10"/>
      <c r="E880" s="49">
        <f t="shared" si="848"/>
        <v>2</v>
      </c>
      <c r="F880" s="12">
        <v>2</v>
      </c>
      <c r="G880" s="9"/>
      <c r="H880" s="10"/>
      <c r="I880" s="49">
        <f t="shared" si="849"/>
        <v>2</v>
      </c>
      <c r="J880" s="11">
        <f t="shared" si="850"/>
        <v>4</v>
      </c>
      <c r="K880" s="63">
        <v>45062</v>
      </c>
      <c r="M880" s="133"/>
      <c r="N880" s="8"/>
      <c r="O880" s="9"/>
      <c r="P880" s="52"/>
      <c r="Q880" s="11">
        <f t="shared" si="854"/>
        <v>0</v>
      </c>
      <c r="R880" s="12"/>
      <c r="S880" s="9"/>
      <c r="T880" s="10"/>
      <c r="U880" s="11">
        <f t="shared" si="855"/>
        <v>0</v>
      </c>
      <c r="V880" s="11">
        <f t="shared" si="856"/>
        <v>0</v>
      </c>
    </row>
    <row r="881" spans="1:22" x14ac:dyDescent="0.15">
      <c r="A881" s="25" t="s">
        <v>33</v>
      </c>
      <c r="B881" s="8">
        <v>2</v>
      </c>
      <c r="C881" s="9"/>
      <c r="D881" s="10"/>
      <c r="E881" s="49">
        <f t="shared" si="848"/>
        <v>2</v>
      </c>
      <c r="F881" s="12">
        <v>5</v>
      </c>
      <c r="G881" s="9"/>
      <c r="H881" s="10"/>
      <c r="I881" s="49">
        <f t="shared" si="849"/>
        <v>5</v>
      </c>
      <c r="J881" s="11">
        <f t="shared" si="850"/>
        <v>7</v>
      </c>
      <c r="K881" s="63">
        <v>45061</v>
      </c>
      <c r="M881" s="25"/>
      <c r="N881" s="8"/>
      <c r="O881" s="9"/>
      <c r="P881" s="10"/>
      <c r="Q881" s="49">
        <f t="shared" si="854"/>
        <v>0</v>
      </c>
      <c r="R881" s="12"/>
      <c r="S881" s="9"/>
      <c r="T881" s="10"/>
      <c r="U881" s="49">
        <f t="shared" si="855"/>
        <v>0</v>
      </c>
      <c r="V881" s="11">
        <f t="shared" si="856"/>
        <v>0</v>
      </c>
    </row>
    <row r="882" spans="1:22" x14ac:dyDescent="0.15">
      <c r="A882" s="133" t="s">
        <v>329</v>
      </c>
      <c r="B882" s="13">
        <v>1</v>
      </c>
      <c r="C882" s="14"/>
      <c r="D882" s="15"/>
      <c r="E882" s="49">
        <f t="shared" si="848"/>
        <v>1</v>
      </c>
      <c r="F882" s="16">
        <v>1</v>
      </c>
      <c r="G882" s="14"/>
      <c r="H882" s="15"/>
      <c r="I882" s="49">
        <f t="shared" si="849"/>
        <v>1</v>
      </c>
      <c r="J882" s="11">
        <f t="shared" si="850"/>
        <v>2</v>
      </c>
      <c r="K882" s="63">
        <v>45063</v>
      </c>
      <c r="L882" s="82"/>
      <c r="M882" s="119"/>
      <c r="N882" s="8"/>
      <c r="O882" s="9"/>
      <c r="P882" s="10"/>
      <c r="Q882" s="49">
        <f t="shared" si="854"/>
        <v>0</v>
      </c>
      <c r="R882" s="12"/>
      <c r="S882" s="9"/>
      <c r="T882" s="10"/>
      <c r="U882" s="49">
        <f t="shared" si="855"/>
        <v>0</v>
      </c>
      <c r="V882" s="11">
        <f t="shared" si="856"/>
        <v>0</v>
      </c>
    </row>
    <row r="883" spans="1:22" x14ac:dyDescent="0.15">
      <c r="A883" s="25" t="s">
        <v>33</v>
      </c>
      <c r="B883" s="13"/>
      <c r="C883" s="14">
        <v>2</v>
      </c>
      <c r="D883" s="15"/>
      <c r="E883" s="49">
        <f t="shared" si="848"/>
        <v>2</v>
      </c>
      <c r="F883" s="16">
        <v>1</v>
      </c>
      <c r="G883" s="14">
        <v>1</v>
      </c>
      <c r="H883" s="15"/>
      <c r="I883" s="49">
        <f t="shared" si="849"/>
        <v>2</v>
      </c>
      <c r="J883" s="11">
        <f t="shared" si="850"/>
        <v>4</v>
      </c>
      <c r="K883" s="71">
        <v>45062</v>
      </c>
      <c r="M883" s="119"/>
      <c r="N883" s="13"/>
      <c r="O883" s="14"/>
      <c r="P883" s="15"/>
      <c r="Q883" s="49">
        <f t="shared" si="854"/>
        <v>0</v>
      </c>
      <c r="R883" s="16"/>
      <c r="S883" s="14"/>
      <c r="T883" s="15"/>
      <c r="U883" s="49">
        <f t="shared" si="855"/>
        <v>0</v>
      </c>
      <c r="V883" s="11">
        <f t="shared" si="856"/>
        <v>0</v>
      </c>
    </row>
    <row r="884" spans="1:22" x14ac:dyDescent="0.15">
      <c r="A884" s="133" t="s">
        <v>329</v>
      </c>
      <c r="B884" s="8"/>
      <c r="C884" s="9"/>
      <c r="D884" s="10">
        <v>1</v>
      </c>
      <c r="E884" s="49">
        <f t="shared" si="848"/>
        <v>1</v>
      </c>
      <c r="F884" s="12"/>
      <c r="G884" s="9"/>
      <c r="H884" s="10">
        <v>1</v>
      </c>
      <c r="I884" s="49">
        <f t="shared" si="849"/>
        <v>1</v>
      </c>
      <c r="J884" s="11">
        <f t="shared" si="850"/>
        <v>2</v>
      </c>
      <c r="K884" s="63">
        <v>45064</v>
      </c>
      <c r="M884" s="119"/>
      <c r="N884" s="8"/>
      <c r="O884" s="9"/>
      <c r="P884" s="10"/>
      <c r="Q884" s="49">
        <f t="shared" si="854"/>
        <v>0</v>
      </c>
      <c r="R884" s="12"/>
      <c r="S884" s="9"/>
      <c r="T884" s="10"/>
      <c r="U884" s="49">
        <f t="shared" si="855"/>
        <v>0</v>
      </c>
      <c r="V884" s="11">
        <f t="shared" si="856"/>
        <v>0</v>
      </c>
    </row>
    <row r="885" spans="1:22" x14ac:dyDescent="0.15">
      <c r="A885" s="25" t="s">
        <v>33</v>
      </c>
      <c r="B885" s="8">
        <v>1</v>
      </c>
      <c r="C885" s="9"/>
      <c r="D885" s="10"/>
      <c r="E885" s="49">
        <f t="shared" si="848"/>
        <v>1</v>
      </c>
      <c r="F885" s="12">
        <v>1</v>
      </c>
      <c r="G885" s="9"/>
      <c r="H885" s="10"/>
      <c r="I885" s="49">
        <f t="shared" si="849"/>
        <v>1</v>
      </c>
      <c r="J885" s="11">
        <f t="shared" si="850"/>
        <v>2</v>
      </c>
      <c r="K885" s="63">
        <v>45063</v>
      </c>
      <c r="M885" s="26"/>
      <c r="N885" s="8"/>
      <c r="O885" s="9"/>
      <c r="P885" s="10"/>
      <c r="Q885" s="49">
        <f t="shared" si="854"/>
        <v>0</v>
      </c>
      <c r="R885" s="12"/>
      <c r="S885" s="9"/>
      <c r="T885" s="10"/>
      <c r="U885" s="49">
        <f t="shared" si="855"/>
        <v>0</v>
      </c>
      <c r="V885" s="11">
        <f t="shared" si="856"/>
        <v>0</v>
      </c>
    </row>
    <row r="886" spans="1:22" x14ac:dyDescent="0.15">
      <c r="A886" s="25" t="s">
        <v>424</v>
      </c>
      <c r="B886" s="8">
        <v>3</v>
      </c>
      <c r="C886" s="9">
        <v>3</v>
      </c>
      <c r="D886" s="10">
        <v>3</v>
      </c>
      <c r="E886" s="49">
        <f t="shared" si="848"/>
        <v>9</v>
      </c>
      <c r="F886" s="12">
        <v>3</v>
      </c>
      <c r="G886" s="9">
        <v>3</v>
      </c>
      <c r="H886" s="10">
        <v>3</v>
      </c>
      <c r="I886" s="49">
        <f t="shared" si="849"/>
        <v>9</v>
      </c>
      <c r="J886" s="11">
        <f t="shared" si="850"/>
        <v>18</v>
      </c>
      <c r="K886" s="63">
        <v>45064</v>
      </c>
      <c r="L886" s="82"/>
      <c r="M886" s="102"/>
      <c r="N886" s="8"/>
      <c r="O886" s="9"/>
      <c r="P886" s="10"/>
      <c r="Q886" s="49">
        <f t="shared" si="854"/>
        <v>0</v>
      </c>
      <c r="R886" s="12"/>
      <c r="S886" s="9"/>
      <c r="T886" s="10"/>
      <c r="U886" s="49">
        <f t="shared" si="855"/>
        <v>0</v>
      </c>
      <c r="V886" s="11">
        <f t="shared" si="856"/>
        <v>0</v>
      </c>
    </row>
    <row r="887" spans="1:22" x14ac:dyDescent="0.15">
      <c r="A887" s="133" t="s">
        <v>329</v>
      </c>
      <c r="B887" s="8"/>
      <c r="C887" s="9"/>
      <c r="D887" s="10">
        <v>1</v>
      </c>
      <c r="E887" s="49">
        <f t="shared" si="848"/>
        <v>1</v>
      </c>
      <c r="F887" s="12"/>
      <c r="G887" s="9"/>
      <c r="H887" s="10">
        <v>1</v>
      </c>
      <c r="I887" s="49">
        <f t="shared" si="849"/>
        <v>1</v>
      </c>
      <c r="J887" s="11">
        <f t="shared" si="850"/>
        <v>2</v>
      </c>
      <c r="K887" s="63">
        <v>45065</v>
      </c>
      <c r="M887" s="102"/>
      <c r="N887" s="8"/>
      <c r="O887" s="9"/>
      <c r="P887" s="10"/>
      <c r="Q887" s="49">
        <f t="shared" si="854"/>
        <v>0</v>
      </c>
      <c r="R887" s="12"/>
      <c r="S887" s="9"/>
      <c r="T887" s="10"/>
      <c r="U887" s="49">
        <f t="shared" si="855"/>
        <v>0</v>
      </c>
      <c r="V887" s="11">
        <f t="shared" si="856"/>
        <v>0</v>
      </c>
    </row>
    <row r="888" spans="1:22" x14ac:dyDescent="0.15">
      <c r="A888" s="25" t="s">
        <v>33</v>
      </c>
      <c r="B888" s="8"/>
      <c r="C888" s="9"/>
      <c r="D888" s="10"/>
      <c r="E888" s="49">
        <f t="shared" si="848"/>
        <v>0</v>
      </c>
      <c r="F888" s="12">
        <v>2</v>
      </c>
      <c r="G888" s="9"/>
      <c r="H888" s="10"/>
      <c r="I888" s="49">
        <f t="shared" si="849"/>
        <v>2</v>
      </c>
      <c r="J888" s="11">
        <f t="shared" si="850"/>
        <v>2</v>
      </c>
      <c r="K888" s="63">
        <v>45064</v>
      </c>
      <c r="M888" s="26"/>
      <c r="N888" s="8"/>
      <c r="O888" s="9"/>
      <c r="P888" s="10"/>
      <c r="Q888" s="49">
        <f t="shared" si="854"/>
        <v>0</v>
      </c>
      <c r="R888" s="12"/>
      <c r="S888" s="9"/>
      <c r="T888" s="10"/>
      <c r="U888" s="49">
        <f t="shared" si="855"/>
        <v>0</v>
      </c>
      <c r="V888" s="11">
        <f t="shared" si="856"/>
        <v>0</v>
      </c>
    </row>
    <row r="889" spans="1:22" x14ac:dyDescent="0.15">
      <c r="A889" s="133" t="s">
        <v>329</v>
      </c>
      <c r="B889" s="8"/>
      <c r="C889" s="9"/>
      <c r="D889" s="10">
        <v>1</v>
      </c>
      <c r="E889" s="49">
        <f t="shared" si="848"/>
        <v>1</v>
      </c>
      <c r="F889" s="12"/>
      <c r="G889" s="9"/>
      <c r="H889" s="10">
        <v>1</v>
      </c>
      <c r="I889" s="49">
        <f t="shared" si="849"/>
        <v>1</v>
      </c>
      <c r="J889" s="11">
        <f t="shared" si="850"/>
        <v>2</v>
      </c>
      <c r="K889" s="63">
        <v>45068</v>
      </c>
      <c r="L889" s="82"/>
      <c r="M889" s="26"/>
      <c r="N889" s="8"/>
      <c r="O889" s="9"/>
      <c r="P889" s="10"/>
      <c r="Q889" s="49">
        <f t="shared" si="854"/>
        <v>0</v>
      </c>
      <c r="R889" s="12"/>
      <c r="S889" s="9"/>
      <c r="T889" s="10"/>
      <c r="U889" s="49">
        <f t="shared" si="855"/>
        <v>0</v>
      </c>
      <c r="V889" s="11">
        <f t="shared" si="856"/>
        <v>0</v>
      </c>
    </row>
    <row r="890" spans="1:22" x14ac:dyDescent="0.15">
      <c r="A890" s="25" t="s">
        <v>33</v>
      </c>
      <c r="B890" s="8">
        <v>2</v>
      </c>
      <c r="C890" s="9">
        <v>2</v>
      </c>
      <c r="D890" s="10"/>
      <c r="E890" s="49">
        <f t="shared" si="848"/>
        <v>4</v>
      </c>
      <c r="F890" s="12">
        <v>2</v>
      </c>
      <c r="G890" s="9"/>
      <c r="H890" s="10"/>
      <c r="I890" s="49">
        <f t="shared" si="849"/>
        <v>2</v>
      </c>
      <c r="J890" s="11">
        <f t="shared" si="850"/>
        <v>6</v>
      </c>
      <c r="K890" s="63">
        <v>45068</v>
      </c>
      <c r="L890" s="82"/>
      <c r="M890" s="26"/>
      <c r="N890" s="8"/>
      <c r="O890" s="9"/>
      <c r="P890" s="10"/>
      <c r="Q890" s="49">
        <f t="shared" si="854"/>
        <v>0</v>
      </c>
      <c r="R890" s="12"/>
      <c r="S890" s="9"/>
      <c r="T890" s="10"/>
      <c r="U890" s="49">
        <f t="shared" si="855"/>
        <v>0</v>
      </c>
      <c r="V890" s="11">
        <f t="shared" si="856"/>
        <v>0</v>
      </c>
    </row>
    <row r="891" spans="1:22" x14ac:dyDescent="0.15">
      <c r="A891" s="25" t="s">
        <v>33</v>
      </c>
      <c r="B891" s="8"/>
      <c r="C891" s="9"/>
      <c r="D891" s="10"/>
      <c r="E891" s="49">
        <f t="shared" si="848"/>
        <v>0</v>
      </c>
      <c r="F891" s="12"/>
      <c r="G891" s="9">
        <v>1</v>
      </c>
      <c r="H891" s="10"/>
      <c r="I891" s="49">
        <f t="shared" si="849"/>
        <v>1</v>
      </c>
      <c r="J891" s="11">
        <f t="shared" si="850"/>
        <v>1</v>
      </c>
      <c r="K891" s="63">
        <v>45069</v>
      </c>
      <c r="L891" s="82"/>
      <c r="M891" s="24"/>
      <c r="N891" s="8"/>
      <c r="O891" s="9"/>
      <c r="P891" s="10"/>
      <c r="Q891" s="49">
        <f t="shared" si="854"/>
        <v>0</v>
      </c>
      <c r="R891" s="12"/>
      <c r="S891" s="9"/>
      <c r="T891" s="10"/>
      <c r="U891" s="49">
        <f t="shared" si="855"/>
        <v>0</v>
      </c>
      <c r="V891" s="11">
        <f t="shared" si="856"/>
        <v>0</v>
      </c>
    </row>
    <row r="892" spans="1:22" x14ac:dyDescent="0.15">
      <c r="A892" s="133" t="s">
        <v>329</v>
      </c>
      <c r="B892" s="8"/>
      <c r="C892" s="9">
        <v>1</v>
      </c>
      <c r="D892" s="10"/>
      <c r="E892" s="49">
        <f t="shared" si="848"/>
        <v>1</v>
      </c>
      <c r="F892" s="12"/>
      <c r="G892" s="9">
        <v>1</v>
      </c>
      <c r="H892" s="10"/>
      <c r="I892" s="49">
        <f t="shared" si="849"/>
        <v>1</v>
      </c>
      <c r="J892" s="11">
        <f t="shared" si="850"/>
        <v>2</v>
      </c>
      <c r="K892" s="63">
        <v>45070</v>
      </c>
      <c r="L892" s="82"/>
      <c r="M892" s="26"/>
      <c r="N892" s="8"/>
      <c r="O892" s="9"/>
      <c r="P892" s="10"/>
      <c r="Q892" s="49">
        <f t="shared" si="854"/>
        <v>0</v>
      </c>
      <c r="R892" s="12"/>
      <c r="S892" s="9"/>
      <c r="T892" s="10"/>
      <c r="U892" s="49">
        <f t="shared" si="855"/>
        <v>0</v>
      </c>
      <c r="V892" s="11">
        <f t="shared" si="856"/>
        <v>0</v>
      </c>
    </row>
    <row r="893" spans="1:22" x14ac:dyDescent="0.15">
      <c r="A893" s="23" t="s">
        <v>425</v>
      </c>
      <c r="B893" s="8"/>
      <c r="C893" s="9">
        <v>2</v>
      </c>
      <c r="D893" s="10">
        <v>1</v>
      </c>
      <c r="E893" s="49">
        <f t="shared" si="848"/>
        <v>3</v>
      </c>
      <c r="F893" s="12"/>
      <c r="G893" s="9"/>
      <c r="H893" s="10"/>
      <c r="I893" s="49">
        <f t="shared" si="849"/>
        <v>0</v>
      </c>
      <c r="J893" s="11">
        <f t="shared" si="850"/>
        <v>3</v>
      </c>
      <c r="K893" s="63">
        <v>45070</v>
      </c>
      <c r="L893" s="82"/>
      <c r="M893" s="26"/>
      <c r="N893" s="8"/>
      <c r="O893" s="9"/>
      <c r="P893" s="10"/>
      <c r="Q893" s="49">
        <f t="shared" si="854"/>
        <v>0</v>
      </c>
      <c r="R893" s="12"/>
      <c r="S893" s="9"/>
      <c r="T893" s="10"/>
      <c r="U893" s="49">
        <f t="shared" si="855"/>
        <v>0</v>
      </c>
      <c r="V893" s="11">
        <f t="shared" si="856"/>
        <v>0</v>
      </c>
    </row>
    <row r="894" spans="1:22" x14ac:dyDescent="0.15">
      <c r="A894" s="133" t="s">
        <v>329</v>
      </c>
      <c r="B894" s="8"/>
      <c r="C894" s="9">
        <v>1</v>
      </c>
      <c r="D894" s="10"/>
      <c r="E894" s="49">
        <f t="shared" si="848"/>
        <v>1</v>
      </c>
      <c r="F894" s="12"/>
      <c r="G894" s="9">
        <v>1</v>
      </c>
      <c r="H894" s="10"/>
      <c r="I894" s="49">
        <f t="shared" si="849"/>
        <v>1</v>
      </c>
      <c r="J894" s="11">
        <f t="shared" si="850"/>
        <v>2</v>
      </c>
      <c r="K894" s="63">
        <v>45072</v>
      </c>
      <c r="L894" s="82"/>
      <c r="M894" s="26"/>
      <c r="N894" s="8"/>
      <c r="O894" s="9"/>
      <c r="P894" s="10"/>
      <c r="Q894" s="49">
        <f t="shared" si="854"/>
        <v>0</v>
      </c>
      <c r="R894" s="12"/>
      <c r="S894" s="9"/>
      <c r="T894" s="10"/>
      <c r="U894" s="49">
        <f t="shared" si="855"/>
        <v>0</v>
      </c>
      <c r="V894" s="11">
        <f t="shared" si="856"/>
        <v>0</v>
      </c>
    </row>
    <row r="895" spans="1:22" x14ac:dyDescent="0.15">
      <c r="A895" s="133" t="s">
        <v>329</v>
      </c>
      <c r="B895" s="13"/>
      <c r="C895" s="14">
        <v>1</v>
      </c>
      <c r="D895" s="15"/>
      <c r="E895" s="49">
        <f t="shared" si="848"/>
        <v>1</v>
      </c>
      <c r="F895" s="16"/>
      <c r="G895" s="14">
        <v>1</v>
      </c>
      <c r="H895" s="15"/>
      <c r="I895" s="49">
        <f t="shared" si="849"/>
        <v>1</v>
      </c>
      <c r="J895" s="11">
        <f t="shared" si="850"/>
        <v>2</v>
      </c>
      <c r="K895" s="63">
        <v>45075</v>
      </c>
      <c r="M895" s="26"/>
      <c r="N895" s="8"/>
      <c r="O895" s="9"/>
      <c r="P895" s="10"/>
      <c r="Q895" s="49">
        <f t="shared" ref="Q895" si="857">SUM(N895:P895)</f>
        <v>0</v>
      </c>
      <c r="R895" s="12"/>
      <c r="S895" s="9"/>
      <c r="T895" s="10"/>
      <c r="U895" s="49">
        <f t="shared" ref="U895" si="858">SUM(R895:T895)</f>
        <v>0</v>
      </c>
      <c r="V895" s="11">
        <f t="shared" ref="V895" si="859">Q895+U895</f>
        <v>0</v>
      </c>
    </row>
    <row r="896" spans="1:22" x14ac:dyDescent="0.15">
      <c r="A896" s="25" t="s">
        <v>33</v>
      </c>
      <c r="B896" s="8"/>
      <c r="C896" s="9">
        <v>1</v>
      </c>
      <c r="D896" s="10"/>
      <c r="E896" s="49">
        <f t="shared" si="848"/>
        <v>1</v>
      </c>
      <c r="F896" s="12"/>
      <c r="G896" s="9"/>
      <c r="H896" s="10"/>
      <c r="I896" s="49">
        <f t="shared" si="849"/>
        <v>0</v>
      </c>
      <c r="J896" s="11">
        <f t="shared" si="850"/>
        <v>1</v>
      </c>
      <c r="K896" s="63">
        <v>45072</v>
      </c>
      <c r="M896" s="26"/>
      <c r="N896" s="8"/>
      <c r="O896" s="9"/>
      <c r="P896" s="10"/>
      <c r="Q896" s="49">
        <f t="shared" si="854"/>
        <v>0</v>
      </c>
      <c r="R896" s="12"/>
      <c r="S896" s="9"/>
      <c r="T896" s="10"/>
      <c r="U896" s="49">
        <f t="shared" si="855"/>
        <v>0</v>
      </c>
      <c r="V896" s="11">
        <f t="shared" si="856"/>
        <v>0</v>
      </c>
    </row>
    <row r="897" spans="1:23" x14ac:dyDescent="0.15">
      <c r="A897" s="25" t="s">
        <v>426</v>
      </c>
      <c r="B897" s="8"/>
      <c r="C897" s="9">
        <v>3</v>
      </c>
      <c r="D897" s="10"/>
      <c r="E897" s="49">
        <f t="shared" si="848"/>
        <v>3</v>
      </c>
      <c r="F897" s="12"/>
      <c r="G897" s="9">
        <v>3</v>
      </c>
      <c r="H897" s="10"/>
      <c r="I897" s="49">
        <f t="shared" si="849"/>
        <v>3</v>
      </c>
      <c r="J897" s="11">
        <f t="shared" si="850"/>
        <v>6</v>
      </c>
      <c r="K897" s="63">
        <v>45075</v>
      </c>
      <c r="L897" s="82"/>
      <c r="M897" s="26"/>
      <c r="N897" s="8"/>
      <c r="O897" s="9"/>
      <c r="P897" s="10"/>
      <c r="Q897" s="49">
        <f t="shared" ref="Q897:Q898" si="860">SUM(N897:P897)</f>
        <v>0</v>
      </c>
      <c r="R897" s="12"/>
      <c r="S897" s="9"/>
      <c r="T897" s="10"/>
      <c r="U897" s="49">
        <f t="shared" ref="U897:U898" si="861">SUM(R897:T897)</f>
        <v>0</v>
      </c>
      <c r="V897" s="11">
        <f t="shared" ref="V897:V898" si="862">Q897+U897</f>
        <v>0</v>
      </c>
    </row>
    <row r="898" spans="1:23" x14ac:dyDescent="0.15">
      <c r="A898" s="25" t="s">
        <v>33</v>
      </c>
      <c r="B898" s="8">
        <f>2+2</f>
        <v>4</v>
      </c>
      <c r="C898" s="9">
        <v>2</v>
      </c>
      <c r="D898" s="10">
        <f>1+1</f>
        <v>2</v>
      </c>
      <c r="E898" s="49">
        <f t="shared" si="848"/>
        <v>8</v>
      </c>
      <c r="F898" s="12"/>
      <c r="G898" s="9">
        <v>2</v>
      </c>
      <c r="H898" s="10">
        <f>1+1</f>
        <v>2</v>
      </c>
      <c r="I898" s="49">
        <f t="shared" si="849"/>
        <v>4</v>
      </c>
      <c r="J898" s="11">
        <f t="shared" si="850"/>
        <v>12</v>
      </c>
      <c r="K898" s="71">
        <v>45075</v>
      </c>
      <c r="M898" s="26"/>
      <c r="N898" s="8"/>
      <c r="O898" s="9"/>
      <c r="P898" s="10"/>
      <c r="Q898" s="49">
        <f t="shared" si="860"/>
        <v>0</v>
      </c>
      <c r="R898" s="12"/>
      <c r="S898" s="9"/>
      <c r="T898" s="10"/>
      <c r="U898" s="49">
        <f t="shared" si="861"/>
        <v>0</v>
      </c>
      <c r="V898" s="11">
        <f t="shared" si="862"/>
        <v>0</v>
      </c>
    </row>
    <row r="899" spans="1:23" ht="14.25" thickBot="1" x14ac:dyDescent="0.2">
      <c r="A899" s="25" t="s">
        <v>33</v>
      </c>
      <c r="B899" s="13"/>
      <c r="C899" s="14"/>
      <c r="D899" s="15">
        <v>1</v>
      </c>
      <c r="E899" s="55">
        <f t="shared" si="848"/>
        <v>1</v>
      </c>
      <c r="F899" s="16"/>
      <c r="G899" s="14"/>
      <c r="H899" s="15">
        <v>1</v>
      </c>
      <c r="I899" s="55">
        <f t="shared" si="849"/>
        <v>1</v>
      </c>
      <c r="J899" s="11">
        <f t="shared" si="850"/>
        <v>2</v>
      </c>
      <c r="K899" s="71">
        <v>45076</v>
      </c>
      <c r="M899" s="26" t="s">
        <v>420</v>
      </c>
      <c r="N899" s="8"/>
      <c r="O899" s="9"/>
      <c r="P899" s="10"/>
      <c r="Q899" s="49">
        <f t="shared" ref="Q899" si="863">SUM(N899:P899)</f>
        <v>0</v>
      </c>
      <c r="R899" s="12"/>
      <c r="S899" s="9"/>
      <c r="T899" s="10"/>
      <c r="U899" s="49">
        <f t="shared" ref="U899" si="864">SUM(R899:T899)</f>
        <v>0</v>
      </c>
      <c r="V899" s="11">
        <f t="shared" ref="V899" si="865">Q899+U899</f>
        <v>0</v>
      </c>
      <c r="W899" s="142" t="s">
        <v>421</v>
      </c>
    </row>
    <row r="900" spans="1:23" ht="14.25" thickBot="1" x14ac:dyDescent="0.2">
      <c r="A900" s="41" t="s">
        <v>19</v>
      </c>
      <c r="B900" s="46">
        <f>SUM(B874:B899)</f>
        <v>16</v>
      </c>
      <c r="C900" s="47">
        <f t="shared" ref="C900:D900" si="866">SUM(C874:C899)</f>
        <v>20</v>
      </c>
      <c r="D900" s="59">
        <f t="shared" si="866"/>
        <v>12</v>
      </c>
      <c r="E900" s="45">
        <f t="shared" si="848"/>
        <v>48</v>
      </c>
      <c r="F900" s="46">
        <f>SUM(F874:F899)</f>
        <v>18</v>
      </c>
      <c r="G900" s="47">
        <f t="shared" ref="G900:H900" si="867">SUM(G874:G899)</f>
        <v>18</v>
      </c>
      <c r="H900" s="59">
        <f t="shared" si="867"/>
        <v>12</v>
      </c>
      <c r="I900" s="45">
        <f t="shared" si="849"/>
        <v>48</v>
      </c>
      <c r="J900" s="45">
        <f>E900+I900</f>
        <v>96</v>
      </c>
      <c r="M900" s="41" t="s">
        <v>19</v>
      </c>
      <c r="N900" s="46">
        <f>SUM(N874:N899)</f>
        <v>10</v>
      </c>
      <c r="O900" s="47">
        <f t="shared" ref="O900:P900" si="868">SUM(O874:O899)</f>
        <v>15</v>
      </c>
      <c r="P900" s="59">
        <f t="shared" si="868"/>
        <v>5</v>
      </c>
      <c r="Q900" s="45">
        <f t="shared" si="854"/>
        <v>30</v>
      </c>
      <c r="R900" s="46">
        <f>SUM(R874:R899)</f>
        <v>15</v>
      </c>
      <c r="S900" s="47">
        <f t="shared" ref="S900:T900" si="869">SUM(S874:S899)</f>
        <v>10</v>
      </c>
      <c r="T900" s="59">
        <f t="shared" si="869"/>
        <v>5</v>
      </c>
      <c r="U900" s="45">
        <f t="shared" si="855"/>
        <v>30</v>
      </c>
      <c r="V900" s="45">
        <f>Q900+U900</f>
        <v>60</v>
      </c>
    </row>
    <row r="901" spans="1:23" ht="14.25" thickBot="1" x14ac:dyDescent="0.2">
      <c r="A901" s="22" t="s">
        <v>17</v>
      </c>
      <c r="B901" s="50">
        <f>B873-B900</f>
        <v>12</v>
      </c>
      <c r="C901" s="57">
        <f t="shared" ref="C901:D901" si="870">C873-C900</f>
        <v>15</v>
      </c>
      <c r="D901" s="58">
        <f t="shared" si="870"/>
        <v>9</v>
      </c>
      <c r="E901" s="56">
        <f>SUM(B901:D901)</f>
        <v>36</v>
      </c>
      <c r="F901" s="50">
        <f>F873-F900</f>
        <v>16</v>
      </c>
      <c r="G901" s="57">
        <f t="shared" ref="G901:H901" si="871">G873-G900</f>
        <v>17</v>
      </c>
      <c r="H901" s="58">
        <f t="shared" si="871"/>
        <v>16</v>
      </c>
      <c r="I901" s="56">
        <f>SUM(F901:H901)</f>
        <v>49</v>
      </c>
      <c r="J901" s="31">
        <f>E901+I901</f>
        <v>85</v>
      </c>
      <c r="M901" s="22" t="s">
        <v>17</v>
      </c>
      <c r="N901" s="50">
        <f>N873-N900</f>
        <v>459</v>
      </c>
      <c r="O901" s="57">
        <f t="shared" ref="O901:P901" si="872">O873-O900</f>
        <v>702</v>
      </c>
      <c r="P901" s="58">
        <f t="shared" si="872"/>
        <v>719</v>
      </c>
      <c r="Q901" s="56">
        <f>SUM(N901:P901)</f>
        <v>1880</v>
      </c>
      <c r="R901" s="50">
        <f>R873-R900</f>
        <v>662</v>
      </c>
      <c r="S901" s="57">
        <f t="shared" ref="S901:T901" si="873">S873-S900</f>
        <v>888</v>
      </c>
      <c r="T901" s="58">
        <f t="shared" si="873"/>
        <v>857</v>
      </c>
      <c r="U901" s="56">
        <f>SUM(R901:T901)</f>
        <v>2407</v>
      </c>
      <c r="V901" s="31">
        <f>Q901+U901</f>
        <v>4287</v>
      </c>
    </row>
    <row r="902" spans="1:23" x14ac:dyDescent="0.15">
      <c r="M902" t="s">
        <v>402</v>
      </c>
      <c r="N902">
        <v>125</v>
      </c>
      <c r="O902">
        <v>125</v>
      </c>
      <c r="P902">
        <v>85</v>
      </c>
      <c r="Q902">
        <v>335</v>
      </c>
      <c r="R902">
        <v>110</v>
      </c>
      <c r="S902">
        <v>110</v>
      </c>
      <c r="T902">
        <v>90</v>
      </c>
      <c r="U902">
        <v>310</v>
      </c>
      <c r="V902">
        <v>645</v>
      </c>
    </row>
    <row r="904" spans="1:23" ht="19.5" thickBot="1" x14ac:dyDescent="0.25">
      <c r="A904" s="3" t="s">
        <v>21</v>
      </c>
      <c r="B904" s="1"/>
      <c r="C904" s="1"/>
      <c r="D904" s="1"/>
      <c r="E904" s="1"/>
      <c r="F904" s="1"/>
      <c r="G904" s="1"/>
      <c r="H904" s="1"/>
      <c r="I904" s="1"/>
      <c r="J904" s="1"/>
      <c r="M904" s="3" t="s">
        <v>22</v>
      </c>
      <c r="N904" s="1"/>
      <c r="O904" s="1"/>
      <c r="P904" s="1"/>
      <c r="Q904" s="1"/>
      <c r="R904" s="1"/>
      <c r="S904" s="1"/>
      <c r="T904" s="1"/>
      <c r="U904" s="1"/>
      <c r="V904" s="1"/>
    </row>
    <row r="905" spans="1:23" ht="14.25" thickBot="1" x14ac:dyDescent="0.2">
      <c r="A905" s="7" t="s">
        <v>0</v>
      </c>
      <c r="B905" s="165" t="s">
        <v>24</v>
      </c>
      <c r="C905" s="166"/>
      <c r="D905" s="166"/>
      <c r="E905" s="170"/>
      <c r="F905" s="165" t="s">
        <v>18</v>
      </c>
      <c r="G905" s="166"/>
      <c r="H905" s="166"/>
      <c r="I905" s="167"/>
      <c r="J905" s="168" t="s">
        <v>1</v>
      </c>
      <c r="M905" s="7" t="s">
        <v>0</v>
      </c>
      <c r="N905" s="165" t="s">
        <v>24</v>
      </c>
      <c r="O905" s="166"/>
      <c r="P905" s="166"/>
      <c r="Q905" s="170"/>
      <c r="R905" s="165" t="s">
        <v>18</v>
      </c>
      <c r="S905" s="166"/>
      <c r="T905" s="166"/>
      <c r="U905" s="167"/>
      <c r="V905" s="168" t="s">
        <v>1</v>
      </c>
    </row>
    <row r="906" spans="1:23" ht="14.25" thickBot="1" x14ac:dyDescent="0.2">
      <c r="A906" s="7" t="s">
        <v>2</v>
      </c>
      <c r="B906" s="4" t="s">
        <v>3</v>
      </c>
      <c r="C906" s="5" t="s">
        <v>4</v>
      </c>
      <c r="D906" s="6" t="s">
        <v>5</v>
      </c>
      <c r="E906" s="7" t="s">
        <v>6</v>
      </c>
      <c r="F906" s="4" t="s">
        <v>3</v>
      </c>
      <c r="G906" s="5" t="s">
        <v>4</v>
      </c>
      <c r="H906" s="6" t="s">
        <v>5</v>
      </c>
      <c r="I906" s="7" t="s">
        <v>6</v>
      </c>
      <c r="J906" s="169"/>
      <c r="M906" s="7" t="s">
        <v>2</v>
      </c>
      <c r="N906" s="4" t="s">
        <v>3</v>
      </c>
      <c r="O906" s="5" t="s">
        <v>4</v>
      </c>
      <c r="P906" s="6" t="s">
        <v>5</v>
      </c>
      <c r="Q906" s="7" t="s">
        <v>6</v>
      </c>
      <c r="R906" s="4" t="s">
        <v>3</v>
      </c>
      <c r="S906" s="5" t="s">
        <v>4</v>
      </c>
      <c r="T906" s="6" t="s">
        <v>5</v>
      </c>
      <c r="U906" s="7" t="s">
        <v>6</v>
      </c>
      <c r="V906" s="169"/>
    </row>
    <row r="907" spans="1:23" ht="14.25" thickBot="1" x14ac:dyDescent="0.2">
      <c r="A907" s="27" t="s">
        <v>20</v>
      </c>
      <c r="B907" s="28">
        <f>B901</f>
        <v>12</v>
      </c>
      <c r="C907" s="29">
        <f>C901</f>
        <v>15</v>
      </c>
      <c r="D907" s="30">
        <f>D901</f>
        <v>9</v>
      </c>
      <c r="E907" s="31">
        <f>SUM(B907:D907)</f>
        <v>36</v>
      </c>
      <c r="F907" s="28">
        <f>F901</f>
        <v>16</v>
      </c>
      <c r="G907" s="29">
        <f>G901</f>
        <v>17</v>
      </c>
      <c r="H907" s="30">
        <f>H901</f>
        <v>16</v>
      </c>
      <c r="I907" s="31">
        <f>SUM(F907:H907)</f>
        <v>49</v>
      </c>
      <c r="J907" s="31">
        <f>E907+I907</f>
        <v>85</v>
      </c>
      <c r="M907" s="27" t="s">
        <v>20</v>
      </c>
      <c r="N907" s="28">
        <f>N901</f>
        <v>459</v>
      </c>
      <c r="O907" s="29">
        <f>O901</f>
        <v>702</v>
      </c>
      <c r="P907" s="30">
        <f>P901</f>
        <v>719</v>
      </c>
      <c r="Q907" s="31">
        <f>SUM(N907:P907)</f>
        <v>1880</v>
      </c>
      <c r="R907" s="28">
        <f>R901</f>
        <v>662</v>
      </c>
      <c r="S907" s="29">
        <f>S901</f>
        <v>888</v>
      </c>
      <c r="T907" s="30">
        <f>T901</f>
        <v>857</v>
      </c>
      <c r="U907" s="31">
        <f>SUM(R907:T907)</f>
        <v>2407</v>
      </c>
      <c r="V907" s="31">
        <f>Q907+U907</f>
        <v>4287</v>
      </c>
    </row>
    <row r="908" spans="1:23" x14ac:dyDescent="0.15">
      <c r="A908" s="25" t="s">
        <v>8</v>
      </c>
      <c r="B908" s="17"/>
      <c r="C908" s="18">
        <v>5</v>
      </c>
      <c r="D908" s="51"/>
      <c r="E908" s="49">
        <f t="shared" ref="E908:E915" si="874">SUM(B908:D908)</f>
        <v>5</v>
      </c>
      <c r="F908" s="20">
        <v>5</v>
      </c>
      <c r="G908" s="18">
        <v>5</v>
      </c>
      <c r="H908" s="19"/>
      <c r="I908" s="49">
        <f t="shared" ref="I908:I915" si="875">SUM(F908:H908)</f>
        <v>10</v>
      </c>
      <c r="J908" s="49">
        <f t="shared" ref="J908:J915" si="876">E908+I908</f>
        <v>15</v>
      </c>
      <c r="K908" s="63">
        <v>45083</v>
      </c>
      <c r="L908" s="82"/>
      <c r="M908" s="25" t="s">
        <v>8</v>
      </c>
      <c r="N908" s="17"/>
      <c r="O908" s="18"/>
      <c r="P908" s="51"/>
      <c r="Q908" s="49">
        <f t="shared" ref="Q908:Q915" si="877">SUM(N908:P908)</f>
        <v>0</v>
      </c>
      <c r="R908" s="20"/>
      <c r="S908" s="18"/>
      <c r="T908" s="19"/>
      <c r="U908" s="49">
        <f t="shared" ref="U908:U915" si="878">SUM(R908:T908)</f>
        <v>0</v>
      </c>
      <c r="V908" s="49">
        <f t="shared" ref="V908:V915" si="879">Q908+U908</f>
        <v>0</v>
      </c>
    </row>
    <row r="909" spans="1:23" x14ac:dyDescent="0.15">
      <c r="A909" s="25" t="s">
        <v>9</v>
      </c>
      <c r="B909" s="17">
        <v>5</v>
      </c>
      <c r="C909" s="18">
        <v>5</v>
      </c>
      <c r="D909" s="51">
        <v>5</v>
      </c>
      <c r="E909" s="11">
        <f t="shared" si="874"/>
        <v>15</v>
      </c>
      <c r="F909" s="20">
        <v>5</v>
      </c>
      <c r="G909" s="18">
        <v>5</v>
      </c>
      <c r="H909" s="19">
        <v>5</v>
      </c>
      <c r="I909" s="11">
        <f t="shared" si="875"/>
        <v>15</v>
      </c>
      <c r="J909" s="11">
        <f t="shared" si="876"/>
        <v>30</v>
      </c>
      <c r="K909" s="63">
        <v>45085</v>
      </c>
      <c r="M909" s="25" t="s">
        <v>9</v>
      </c>
      <c r="N909" s="8"/>
      <c r="O909" s="9"/>
      <c r="P909" s="52"/>
      <c r="Q909" s="11">
        <f t="shared" si="877"/>
        <v>0</v>
      </c>
      <c r="R909" s="12"/>
      <c r="S909" s="9"/>
      <c r="T909" s="10"/>
      <c r="U909" s="11">
        <f t="shared" si="878"/>
        <v>0</v>
      </c>
      <c r="V909" s="11">
        <f t="shared" si="879"/>
        <v>0</v>
      </c>
    </row>
    <row r="910" spans="1:23" x14ac:dyDescent="0.15">
      <c r="A910" s="25" t="s">
        <v>10</v>
      </c>
      <c r="B910" s="17">
        <v>20</v>
      </c>
      <c r="C910" s="18">
        <v>10</v>
      </c>
      <c r="D910" s="51">
        <v>10</v>
      </c>
      <c r="E910" s="11">
        <f t="shared" si="874"/>
        <v>40</v>
      </c>
      <c r="F910" s="20">
        <v>20</v>
      </c>
      <c r="G910" s="18">
        <v>10</v>
      </c>
      <c r="H910" s="19">
        <v>10</v>
      </c>
      <c r="I910" s="11">
        <f t="shared" si="875"/>
        <v>40</v>
      </c>
      <c r="J910" s="11">
        <f t="shared" si="876"/>
        <v>80</v>
      </c>
      <c r="K910" s="63">
        <v>45089</v>
      </c>
      <c r="M910" s="25" t="s">
        <v>10</v>
      </c>
      <c r="N910" s="8"/>
      <c r="O910" s="9"/>
      <c r="P910" s="52"/>
      <c r="Q910" s="11">
        <f t="shared" si="877"/>
        <v>0</v>
      </c>
      <c r="R910" s="12"/>
      <c r="S910" s="9"/>
      <c r="T910" s="10"/>
      <c r="U910" s="11">
        <f t="shared" si="878"/>
        <v>0</v>
      </c>
      <c r="V910" s="11">
        <f t="shared" si="879"/>
        <v>0</v>
      </c>
    </row>
    <row r="911" spans="1:23" x14ac:dyDescent="0.15">
      <c r="A911" s="25" t="s">
        <v>11</v>
      </c>
      <c r="B911" s="17">
        <v>15</v>
      </c>
      <c r="C911" s="18">
        <v>10</v>
      </c>
      <c r="D911" s="51">
        <v>10</v>
      </c>
      <c r="E911" s="11">
        <f t="shared" si="874"/>
        <v>35</v>
      </c>
      <c r="F911" s="20">
        <v>15</v>
      </c>
      <c r="G911" s="18">
        <v>10</v>
      </c>
      <c r="H911" s="19">
        <v>10</v>
      </c>
      <c r="I911" s="11">
        <f t="shared" si="875"/>
        <v>35</v>
      </c>
      <c r="J911" s="11">
        <f t="shared" si="876"/>
        <v>70</v>
      </c>
      <c r="K911" s="63">
        <v>45092</v>
      </c>
      <c r="M911" s="25" t="s">
        <v>11</v>
      </c>
      <c r="N911" s="8"/>
      <c r="O911" s="9"/>
      <c r="P911" s="52"/>
      <c r="Q911" s="11">
        <f t="shared" si="877"/>
        <v>0</v>
      </c>
      <c r="R911" s="12"/>
      <c r="S911" s="9"/>
      <c r="T911" s="10"/>
      <c r="U911" s="11">
        <f t="shared" si="878"/>
        <v>0</v>
      </c>
      <c r="V911" s="11">
        <f t="shared" si="879"/>
        <v>0</v>
      </c>
    </row>
    <row r="912" spans="1:23" x14ac:dyDescent="0.15">
      <c r="A912" s="25" t="s">
        <v>12</v>
      </c>
      <c r="B912" s="17">
        <v>10</v>
      </c>
      <c r="C912" s="18">
        <v>20</v>
      </c>
      <c r="D912" s="51">
        <v>20</v>
      </c>
      <c r="E912" s="11">
        <f t="shared" si="874"/>
        <v>50</v>
      </c>
      <c r="F912" s="20">
        <v>10</v>
      </c>
      <c r="G912" s="18">
        <v>10</v>
      </c>
      <c r="H912" s="19">
        <v>10</v>
      </c>
      <c r="I912" s="11">
        <f t="shared" si="875"/>
        <v>30</v>
      </c>
      <c r="J912" s="11">
        <f t="shared" si="876"/>
        <v>80</v>
      </c>
      <c r="K912" s="63">
        <v>45094</v>
      </c>
      <c r="M912" s="25" t="s">
        <v>12</v>
      </c>
      <c r="N912" s="8"/>
      <c r="O912" s="9"/>
      <c r="P912" s="52"/>
      <c r="Q912" s="11">
        <f t="shared" si="877"/>
        <v>0</v>
      </c>
      <c r="R912" s="12"/>
      <c r="S912" s="9"/>
      <c r="T912" s="10"/>
      <c r="U912" s="11">
        <f t="shared" si="878"/>
        <v>0</v>
      </c>
      <c r="V912" s="11">
        <f t="shared" si="879"/>
        <v>0</v>
      </c>
    </row>
    <row r="913" spans="1:25" x14ac:dyDescent="0.15">
      <c r="A913" s="25" t="s">
        <v>143</v>
      </c>
      <c r="B913" s="17">
        <v>1</v>
      </c>
      <c r="C913" s="18"/>
      <c r="D913" s="51"/>
      <c r="E913" s="11">
        <f t="shared" si="874"/>
        <v>1</v>
      </c>
      <c r="F913" s="20">
        <v>1</v>
      </c>
      <c r="G913" s="18"/>
      <c r="H913" s="19"/>
      <c r="I913" s="11">
        <f t="shared" si="875"/>
        <v>1</v>
      </c>
      <c r="J913" s="11">
        <f t="shared" si="876"/>
        <v>2</v>
      </c>
      <c r="K913" s="71">
        <v>45100</v>
      </c>
      <c r="M913" s="25" t="s">
        <v>13</v>
      </c>
      <c r="N913" s="8"/>
      <c r="O913" s="9"/>
      <c r="P913" s="52"/>
      <c r="Q913" s="11">
        <f t="shared" si="877"/>
        <v>0</v>
      </c>
      <c r="R913" s="12"/>
      <c r="S913" s="9"/>
      <c r="T913" s="10"/>
      <c r="U913" s="11">
        <f t="shared" si="878"/>
        <v>0</v>
      </c>
      <c r="V913" s="11">
        <f t="shared" si="879"/>
        <v>0</v>
      </c>
    </row>
    <row r="914" spans="1:25" x14ac:dyDescent="0.15">
      <c r="A914" s="25" t="s">
        <v>14</v>
      </c>
      <c r="B914" s="17"/>
      <c r="C914" s="18"/>
      <c r="D914" s="51"/>
      <c r="E914" s="11">
        <f t="shared" si="874"/>
        <v>0</v>
      </c>
      <c r="F914" s="20"/>
      <c r="G914" s="18"/>
      <c r="H914" s="19"/>
      <c r="I914" s="11">
        <f t="shared" si="875"/>
        <v>0</v>
      </c>
      <c r="J914" s="11">
        <f t="shared" si="876"/>
        <v>0</v>
      </c>
      <c r="M914" s="25" t="s">
        <v>14</v>
      </c>
      <c r="N914" s="13"/>
      <c r="O914" s="14"/>
      <c r="P914" s="53"/>
      <c r="Q914" s="11">
        <f t="shared" si="877"/>
        <v>0</v>
      </c>
      <c r="R914" s="16"/>
      <c r="S914" s="14"/>
      <c r="T914" s="15"/>
      <c r="U914" s="11">
        <f t="shared" si="878"/>
        <v>0</v>
      </c>
      <c r="V914" s="11">
        <f t="shared" si="879"/>
        <v>0</v>
      </c>
    </row>
    <row r="915" spans="1:25" ht="14.25" thickBot="1" x14ac:dyDescent="0.2">
      <c r="A915" s="25" t="s">
        <v>15</v>
      </c>
      <c r="B915" s="17"/>
      <c r="C915" s="18"/>
      <c r="D915" s="51"/>
      <c r="E915" s="11">
        <f t="shared" si="874"/>
        <v>0</v>
      </c>
      <c r="F915" s="20"/>
      <c r="G915" s="18"/>
      <c r="H915" s="19"/>
      <c r="I915" s="11">
        <f t="shared" si="875"/>
        <v>0</v>
      </c>
      <c r="J915" s="11">
        <f t="shared" si="876"/>
        <v>0</v>
      </c>
      <c r="M915" s="25" t="s">
        <v>15</v>
      </c>
      <c r="N915" s="13"/>
      <c r="O915" s="14"/>
      <c r="P915" s="53"/>
      <c r="Q915" s="62">
        <f t="shared" si="877"/>
        <v>0</v>
      </c>
      <c r="R915" s="34"/>
      <c r="S915" s="34"/>
      <c r="T915" s="37"/>
      <c r="U915" s="62">
        <f t="shared" si="878"/>
        <v>0</v>
      </c>
      <c r="V915" s="21">
        <f t="shared" si="879"/>
        <v>0</v>
      </c>
    </row>
    <row r="916" spans="1:25" ht="14.25" thickBot="1" x14ac:dyDescent="0.2">
      <c r="A916" s="35" t="s">
        <v>16</v>
      </c>
      <c r="B916" s="28">
        <f>SUM(B907:B915)</f>
        <v>63</v>
      </c>
      <c r="C916" s="29">
        <f t="shared" ref="C916:D916" si="880">SUM(C907:C915)</f>
        <v>65</v>
      </c>
      <c r="D916" s="68">
        <f t="shared" si="880"/>
        <v>54</v>
      </c>
      <c r="E916" s="64">
        <f>SUM(B916:D916)</f>
        <v>182</v>
      </c>
      <c r="F916" s="28">
        <f>SUM(F907:F915)</f>
        <v>72</v>
      </c>
      <c r="G916" s="29">
        <f t="shared" ref="G916:H916" si="881">SUM(G907:G915)</f>
        <v>57</v>
      </c>
      <c r="H916" s="68">
        <f t="shared" si="881"/>
        <v>51</v>
      </c>
      <c r="I916" s="64">
        <f>SUM(F916:H916)</f>
        <v>180</v>
      </c>
      <c r="J916" s="31">
        <f>SUM(J908:J915)</f>
        <v>277</v>
      </c>
      <c r="M916" s="35" t="s">
        <v>16</v>
      </c>
      <c r="N916" s="28">
        <f>SUM(N907:N915)</f>
        <v>459</v>
      </c>
      <c r="O916" s="29">
        <f t="shared" ref="O916:P916" si="882">SUM(O907:O915)</f>
        <v>702</v>
      </c>
      <c r="P916" s="68">
        <f t="shared" si="882"/>
        <v>719</v>
      </c>
      <c r="Q916" s="64">
        <f>SUM(N916:P916)</f>
        <v>1880</v>
      </c>
      <c r="R916" s="28">
        <f>SUM(R907:R915)</f>
        <v>662</v>
      </c>
      <c r="S916" s="29">
        <f t="shared" ref="S916:T916" si="883">SUM(S907:S915)</f>
        <v>888</v>
      </c>
      <c r="T916" s="68">
        <f t="shared" si="883"/>
        <v>857</v>
      </c>
      <c r="U916" s="64">
        <f>SUM(R916:T916)</f>
        <v>2407</v>
      </c>
      <c r="V916" s="31">
        <f>Q916+U916</f>
        <v>4287</v>
      </c>
    </row>
    <row r="917" spans="1:25" x14ac:dyDescent="0.15">
      <c r="A917" s="25" t="s">
        <v>33</v>
      </c>
      <c r="B917" s="65"/>
      <c r="C917" s="66"/>
      <c r="D917" s="67">
        <v>1</v>
      </c>
      <c r="E917" s="49">
        <f>SUM(B917:D917)</f>
        <v>1</v>
      </c>
      <c r="F917" s="16"/>
      <c r="G917" s="14"/>
      <c r="H917" s="15"/>
      <c r="I917" s="49">
        <f>SUM(F917:H917)</f>
        <v>0</v>
      </c>
      <c r="J917" s="11">
        <f>E917+I917</f>
        <v>1</v>
      </c>
      <c r="K917" s="71">
        <v>45077</v>
      </c>
      <c r="M917" s="133" t="s">
        <v>329</v>
      </c>
      <c r="N917" s="65">
        <v>2</v>
      </c>
      <c r="O917" s="66">
        <v>3</v>
      </c>
      <c r="P917" s="67"/>
      <c r="Q917" s="49">
        <f t="shared" ref="Q917:Q920" si="884">SUM(N917:P917)</f>
        <v>5</v>
      </c>
      <c r="R917" s="16">
        <v>2</v>
      </c>
      <c r="S917" s="14">
        <v>3</v>
      </c>
      <c r="T917" s="15"/>
      <c r="U917" s="49">
        <f t="shared" ref="U917:U920" si="885">SUM(R917:T917)</f>
        <v>5</v>
      </c>
      <c r="V917" s="11">
        <f t="shared" ref="V917:V920" si="886">Q917+U917</f>
        <v>10</v>
      </c>
      <c r="W917" s="140">
        <v>45078</v>
      </c>
    </row>
    <row r="918" spans="1:25" x14ac:dyDescent="0.15">
      <c r="A918" s="133" t="s">
        <v>329</v>
      </c>
      <c r="B918" s="8"/>
      <c r="C918" s="9">
        <v>4</v>
      </c>
      <c r="D918" s="10"/>
      <c r="E918" s="49">
        <f t="shared" ref="E918:E943" si="887">SUM(B918:D918)</f>
        <v>4</v>
      </c>
      <c r="F918" s="12"/>
      <c r="G918" s="9">
        <v>4</v>
      </c>
      <c r="H918" s="10"/>
      <c r="I918" s="49">
        <f t="shared" ref="I918:I943" si="888">SUM(F918:H918)</f>
        <v>4</v>
      </c>
      <c r="J918" s="11">
        <f t="shared" ref="J918:J942" si="889">E918+I918</f>
        <v>8</v>
      </c>
      <c r="K918" s="63">
        <v>45079</v>
      </c>
      <c r="M918" s="133" t="s">
        <v>329</v>
      </c>
      <c r="N918" s="8"/>
      <c r="O918" s="9"/>
      <c r="P918" s="10">
        <v>4</v>
      </c>
      <c r="Q918" s="49">
        <f t="shared" si="884"/>
        <v>4</v>
      </c>
      <c r="R918" s="12"/>
      <c r="S918" s="9"/>
      <c r="T918" s="10">
        <v>4</v>
      </c>
      <c r="U918" s="49">
        <f t="shared" si="885"/>
        <v>4</v>
      </c>
      <c r="V918" s="11">
        <f t="shared" si="886"/>
        <v>8</v>
      </c>
      <c r="W918" s="140">
        <v>45082</v>
      </c>
      <c r="X918" s="82"/>
      <c r="Y918" s="82"/>
    </row>
    <row r="919" spans="1:25" x14ac:dyDescent="0.15">
      <c r="A919" s="25" t="s">
        <v>33</v>
      </c>
      <c r="B919" s="8">
        <v>1</v>
      </c>
      <c r="C919" s="9"/>
      <c r="D919" s="10"/>
      <c r="E919" s="49">
        <f t="shared" si="887"/>
        <v>1</v>
      </c>
      <c r="F919" s="12">
        <v>1</v>
      </c>
      <c r="G919" s="9"/>
      <c r="H919" s="10"/>
      <c r="I919" s="49">
        <f t="shared" si="888"/>
        <v>1</v>
      </c>
      <c r="J919" s="11">
        <f t="shared" si="889"/>
        <v>2</v>
      </c>
      <c r="K919" s="63">
        <v>45078</v>
      </c>
      <c r="M919" s="133" t="s">
        <v>329</v>
      </c>
      <c r="N919" s="8">
        <v>3</v>
      </c>
      <c r="O919" s="9">
        <v>3</v>
      </c>
      <c r="P919" s="10">
        <v>3</v>
      </c>
      <c r="Q919" s="49">
        <f t="shared" si="884"/>
        <v>9</v>
      </c>
      <c r="R919" s="12">
        <v>3</v>
      </c>
      <c r="S919" s="9">
        <v>3</v>
      </c>
      <c r="T919" s="10">
        <v>3</v>
      </c>
      <c r="U919" s="49">
        <f t="shared" si="885"/>
        <v>9</v>
      </c>
      <c r="V919" s="11">
        <f t="shared" si="886"/>
        <v>18</v>
      </c>
      <c r="W919" s="140">
        <v>45083</v>
      </c>
      <c r="X919" s="82"/>
    </row>
    <row r="920" spans="1:25" x14ac:dyDescent="0.15">
      <c r="A920" s="25" t="s">
        <v>33</v>
      </c>
      <c r="B920" s="8"/>
      <c r="C920" s="9"/>
      <c r="D920" s="10"/>
      <c r="E920" s="49">
        <f t="shared" si="887"/>
        <v>0</v>
      </c>
      <c r="F920" s="12">
        <v>1</v>
      </c>
      <c r="G920" s="9"/>
      <c r="H920" s="10"/>
      <c r="I920" s="49">
        <f t="shared" si="888"/>
        <v>1</v>
      </c>
      <c r="J920" s="11">
        <f t="shared" si="889"/>
        <v>1</v>
      </c>
      <c r="K920" s="71">
        <v>45079</v>
      </c>
      <c r="M920" s="133" t="s">
        <v>160</v>
      </c>
      <c r="N920" s="8"/>
      <c r="O920" s="9">
        <v>5</v>
      </c>
      <c r="P920" s="10"/>
      <c r="Q920" s="49">
        <f t="shared" si="884"/>
        <v>5</v>
      </c>
      <c r="R920" s="12">
        <v>5</v>
      </c>
      <c r="S920" s="9">
        <v>5</v>
      </c>
      <c r="T920" s="10"/>
      <c r="U920" s="49">
        <f t="shared" si="885"/>
        <v>10</v>
      </c>
      <c r="V920" s="11">
        <f t="shared" si="886"/>
        <v>15</v>
      </c>
      <c r="W920" s="140">
        <v>45083</v>
      </c>
      <c r="X920" s="82"/>
    </row>
    <row r="921" spans="1:25" x14ac:dyDescent="0.15">
      <c r="A921" s="25" t="s">
        <v>428</v>
      </c>
      <c r="B921" s="8"/>
      <c r="C921" s="9">
        <v>2</v>
      </c>
      <c r="D921" s="10">
        <v>1</v>
      </c>
      <c r="E921" s="49">
        <f t="shared" si="887"/>
        <v>3</v>
      </c>
      <c r="F921" s="12">
        <v>3</v>
      </c>
      <c r="G921" s="9">
        <v>2</v>
      </c>
      <c r="H921" s="10">
        <v>1</v>
      </c>
      <c r="I921" s="49">
        <f t="shared" si="888"/>
        <v>6</v>
      </c>
      <c r="J921" s="11">
        <f t="shared" si="889"/>
        <v>9</v>
      </c>
      <c r="K921" s="63">
        <v>45080</v>
      </c>
      <c r="M921" s="133" t="s">
        <v>329</v>
      </c>
      <c r="N921" s="8">
        <v>5</v>
      </c>
      <c r="O921" s="9">
        <v>4</v>
      </c>
      <c r="P921" s="10">
        <v>1</v>
      </c>
      <c r="Q921" s="49">
        <f>SUM(N921:P921)</f>
        <v>10</v>
      </c>
      <c r="R921" s="12">
        <v>5</v>
      </c>
      <c r="S921" s="9">
        <v>4</v>
      </c>
      <c r="T921" s="10">
        <v>1</v>
      </c>
      <c r="U921" s="49">
        <f>SUM(R921:T921)</f>
        <v>10</v>
      </c>
      <c r="V921" s="11">
        <f>Q921+U921</f>
        <v>20</v>
      </c>
      <c r="W921" s="140">
        <v>45084</v>
      </c>
    </row>
    <row r="922" spans="1:25" x14ac:dyDescent="0.15">
      <c r="A922" s="133" t="s">
        <v>383</v>
      </c>
      <c r="B922" s="8"/>
      <c r="C922" s="9">
        <v>1</v>
      </c>
      <c r="D922" s="10"/>
      <c r="E922" s="49">
        <f t="shared" si="887"/>
        <v>1</v>
      </c>
      <c r="F922" s="12"/>
      <c r="G922" s="9">
        <v>1</v>
      </c>
      <c r="H922" s="10"/>
      <c r="I922" s="49">
        <f t="shared" si="888"/>
        <v>1</v>
      </c>
      <c r="J922" s="11">
        <f t="shared" si="889"/>
        <v>2</v>
      </c>
      <c r="K922" s="63">
        <v>45083</v>
      </c>
      <c r="M922" s="133" t="s">
        <v>160</v>
      </c>
      <c r="N922" s="8">
        <v>5</v>
      </c>
      <c r="O922" s="9">
        <v>5</v>
      </c>
      <c r="P922" s="10">
        <v>5</v>
      </c>
      <c r="Q922" s="49">
        <f t="shared" ref="Q922:Q923" si="890">SUM(N922:P922)</f>
        <v>15</v>
      </c>
      <c r="R922" s="12">
        <v>5</v>
      </c>
      <c r="S922" s="9">
        <v>5</v>
      </c>
      <c r="T922" s="10">
        <v>5</v>
      </c>
      <c r="U922" s="49">
        <f t="shared" ref="U922:U923" si="891">SUM(R922:T922)</f>
        <v>15</v>
      </c>
      <c r="V922" s="11">
        <f t="shared" ref="V922:V923" si="892">Q922+U922</f>
        <v>30</v>
      </c>
      <c r="W922" s="140">
        <v>45085</v>
      </c>
    </row>
    <row r="923" spans="1:25" x14ac:dyDescent="0.15">
      <c r="A923" s="25" t="s">
        <v>33</v>
      </c>
      <c r="B923" s="8">
        <v>1</v>
      </c>
      <c r="C923" s="9">
        <f>2+1</f>
        <v>3</v>
      </c>
      <c r="D923" s="10"/>
      <c r="E923" s="49">
        <f t="shared" si="887"/>
        <v>4</v>
      </c>
      <c r="F923" s="12">
        <f>1+2</f>
        <v>3</v>
      </c>
      <c r="G923" s="9">
        <v>1</v>
      </c>
      <c r="H923" s="10">
        <v>1</v>
      </c>
      <c r="I923" s="49">
        <f t="shared" si="888"/>
        <v>5</v>
      </c>
      <c r="J923" s="11">
        <f t="shared" si="889"/>
        <v>9</v>
      </c>
      <c r="K923" s="71">
        <v>45082</v>
      </c>
      <c r="M923" s="133" t="s">
        <v>160</v>
      </c>
      <c r="N923" s="8">
        <v>20</v>
      </c>
      <c r="O923" s="9">
        <v>10</v>
      </c>
      <c r="P923" s="52">
        <v>10</v>
      </c>
      <c r="Q923" s="11">
        <f t="shared" si="890"/>
        <v>40</v>
      </c>
      <c r="R923" s="12">
        <v>20</v>
      </c>
      <c r="S923" s="9">
        <v>10</v>
      </c>
      <c r="T923" s="10">
        <v>10</v>
      </c>
      <c r="U923" s="11">
        <f t="shared" si="891"/>
        <v>40</v>
      </c>
      <c r="V923" s="11">
        <f t="shared" si="892"/>
        <v>80</v>
      </c>
      <c r="W923" s="140">
        <v>45089</v>
      </c>
      <c r="X923" s="82"/>
      <c r="Y923" s="82"/>
    </row>
    <row r="924" spans="1:25" x14ac:dyDescent="0.15">
      <c r="A924" s="25" t="s">
        <v>33</v>
      </c>
      <c r="B924" s="8"/>
      <c r="C924" s="9">
        <v>2</v>
      </c>
      <c r="D924" s="10"/>
      <c r="E924" s="49">
        <f t="shared" si="887"/>
        <v>2</v>
      </c>
      <c r="F924" s="12"/>
      <c r="G924" s="9">
        <v>2</v>
      </c>
      <c r="H924" s="10"/>
      <c r="I924" s="49">
        <f t="shared" si="888"/>
        <v>2</v>
      </c>
      <c r="J924" s="11">
        <f t="shared" si="889"/>
        <v>4</v>
      </c>
      <c r="K924" s="71">
        <v>45083</v>
      </c>
      <c r="M924" s="133" t="s">
        <v>329</v>
      </c>
      <c r="N924" s="8">
        <v>1</v>
      </c>
      <c r="O924" s="9">
        <v>5</v>
      </c>
      <c r="P924" s="10">
        <v>2</v>
      </c>
      <c r="Q924" s="49">
        <f t="shared" ref="Q924:Q943" si="893">SUM(N924:P924)</f>
        <v>8</v>
      </c>
      <c r="R924" s="12">
        <v>1</v>
      </c>
      <c r="S924" s="9">
        <v>5</v>
      </c>
      <c r="T924" s="10">
        <v>2</v>
      </c>
      <c r="U924" s="49">
        <f t="shared" ref="U924:U943" si="894">SUM(R924:T924)</f>
        <v>8</v>
      </c>
      <c r="V924" s="11">
        <f t="shared" ref="V924:V937" si="895">Q924+U924</f>
        <v>16</v>
      </c>
      <c r="W924" s="140">
        <v>45090</v>
      </c>
    </row>
    <row r="925" spans="1:25" x14ac:dyDescent="0.15">
      <c r="A925" s="133" t="s">
        <v>329</v>
      </c>
      <c r="B925" s="13">
        <v>1</v>
      </c>
      <c r="C925" s="14"/>
      <c r="D925" s="15">
        <v>4</v>
      </c>
      <c r="E925" s="49">
        <f t="shared" si="887"/>
        <v>5</v>
      </c>
      <c r="F925" s="16">
        <v>1</v>
      </c>
      <c r="G925" s="14"/>
      <c r="H925" s="15">
        <v>4</v>
      </c>
      <c r="I925" s="49">
        <f t="shared" si="888"/>
        <v>5</v>
      </c>
      <c r="J925" s="11">
        <f t="shared" si="889"/>
        <v>10</v>
      </c>
      <c r="K925" s="63">
        <v>45085</v>
      </c>
      <c r="M925" s="133" t="s">
        <v>160</v>
      </c>
      <c r="N925" s="8">
        <v>15</v>
      </c>
      <c r="O925" s="9">
        <v>10</v>
      </c>
      <c r="P925" s="10">
        <v>10</v>
      </c>
      <c r="Q925" s="49">
        <f t="shared" si="893"/>
        <v>35</v>
      </c>
      <c r="R925" s="12">
        <v>15</v>
      </c>
      <c r="S925" s="9">
        <v>10</v>
      </c>
      <c r="T925" s="10">
        <v>10</v>
      </c>
      <c r="U925" s="49">
        <f t="shared" si="894"/>
        <v>35</v>
      </c>
      <c r="V925" s="11">
        <f t="shared" si="895"/>
        <v>70</v>
      </c>
      <c r="W925" s="140">
        <v>45092</v>
      </c>
    </row>
    <row r="926" spans="1:25" x14ac:dyDescent="0.15">
      <c r="A926" s="25" t="s">
        <v>33</v>
      </c>
      <c r="B926" s="13">
        <v>3</v>
      </c>
      <c r="C926" s="14">
        <v>1</v>
      </c>
      <c r="D926" s="15"/>
      <c r="E926" s="49">
        <f t="shared" si="887"/>
        <v>4</v>
      </c>
      <c r="F926" s="16">
        <v>2</v>
      </c>
      <c r="G926" s="14">
        <v>1</v>
      </c>
      <c r="H926" s="15"/>
      <c r="I926" s="49">
        <f t="shared" si="888"/>
        <v>3</v>
      </c>
      <c r="J926" s="11">
        <f t="shared" si="889"/>
        <v>7</v>
      </c>
      <c r="K926" s="71">
        <v>45084</v>
      </c>
      <c r="M926" s="133" t="s">
        <v>160</v>
      </c>
      <c r="N926" s="13">
        <v>10</v>
      </c>
      <c r="O926" s="14">
        <v>20</v>
      </c>
      <c r="P926" s="15">
        <v>20</v>
      </c>
      <c r="Q926" s="49">
        <f t="shared" si="893"/>
        <v>50</v>
      </c>
      <c r="R926" s="16">
        <v>10</v>
      </c>
      <c r="S926" s="14">
        <v>10</v>
      </c>
      <c r="T926" s="15">
        <v>10</v>
      </c>
      <c r="U926" s="49">
        <f t="shared" si="894"/>
        <v>30</v>
      </c>
      <c r="V926" s="11">
        <f t="shared" si="895"/>
        <v>80</v>
      </c>
      <c r="W926" s="140">
        <v>45094</v>
      </c>
      <c r="X926" s="82"/>
    </row>
    <row r="927" spans="1:25" x14ac:dyDescent="0.15">
      <c r="A927" s="133" t="s">
        <v>329</v>
      </c>
      <c r="B927" s="8">
        <v>2</v>
      </c>
      <c r="C927" s="9"/>
      <c r="D927" s="10">
        <v>1</v>
      </c>
      <c r="E927" s="49">
        <f t="shared" si="887"/>
        <v>3</v>
      </c>
      <c r="F927" s="12">
        <v>2</v>
      </c>
      <c r="G927" s="9"/>
      <c r="H927" s="10">
        <v>1</v>
      </c>
      <c r="I927" s="49">
        <f t="shared" si="888"/>
        <v>3</v>
      </c>
      <c r="J927" s="11">
        <f t="shared" si="889"/>
        <v>6</v>
      </c>
      <c r="K927" s="63">
        <v>45086</v>
      </c>
      <c r="M927" s="119" t="s">
        <v>432</v>
      </c>
      <c r="N927" s="8">
        <v>10</v>
      </c>
      <c r="O927" s="9">
        <v>10</v>
      </c>
      <c r="P927" s="10">
        <v>10</v>
      </c>
      <c r="Q927" s="49">
        <f t="shared" si="893"/>
        <v>30</v>
      </c>
      <c r="R927" s="12">
        <v>10</v>
      </c>
      <c r="S927" s="9">
        <v>10</v>
      </c>
      <c r="T927" s="10">
        <v>10</v>
      </c>
      <c r="U927" s="49">
        <f t="shared" si="894"/>
        <v>30</v>
      </c>
      <c r="V927" s="11">
        <f t="shared" si="895"/>
        <v>60</v>
      </c>
      <c r="W927" s="140">
        <v>45103</v>
      </c>
    </row>
    <row r="928" spans="1:25" x14ac:dyDescent="0.15">
      <c r="A928" s="133" t="s">
        <v>329</v>
      </c>
      <c r="B928" s="8">
        <v>1</v>
      </c>
      <c r="C928" s="9"/>
      <c r="D928" s="10">
        <v>2</v>
      </c>
      <c r="E928" s="49">
        <f t="shared" si="887"/>
        <v>3</v>
      </c>
      <c r="F928" s="12">
        <v>1</v>
      </c>
      <c r="G928" s="9"/>
      <c r="H928" s="10">
        <v>2</v>
      </c>
      <c r="I928" s="49">
        <f t="shared" si="888"/>
        <v>3</v>
      </c>
      <c r="J928" s="11">
        <f t="shared" si="889"/>
        <v>6</v>
      </c>
      <c r="K928" s="63">
        <v>45089</v>
      </c>
      <c r="M928" s="133" t="s">
        <v>329</v>
      </c>
      <c r="N928" s="8">
        <v>5</v>
      </c>
      <c r="O928" s="9">
        <v>4</v>
      </c>
      <c r="P928" s="10">
        <v>1</v>
      </c>
      <c r="Q928" s="49">
        <f t="shared" si="893"/>
        <v>10</v>
      </c>
      <c r="R928" s="12">
        <v>5</v>
      </c>
      <c r="S928" s="9">
        <v>4</v>
      </c>
      <c r="T928" s="10">
        <v>1</v>
      </c>
      <c r="U928" s="49">
        <f t="shared" si="894"/>
        <v>10</v>
      </c>
      <c r="V928" s="11">
        <f t="shared" si="895"/>
        <v>20</v>
      </c>
      <c r="W928" s="140">
        <v>45098</v>
      </c>
    </row>
    <row r="929" spans="1:24" x14ac:dyDescent="0.15">
      <c r="A929" s="25" t="s">
        <v>429</v>
      </c>
      <c r="B929" s="8">
        <v>5</v>
      </c>
      <c r="C929" s="9">
        <v>5</v>
      </c>
      <c r="D929" s="10">
        <v>5</v>
      </c>
      <c r="E929" s="49">
        <f t="shared" si="887"/>
        <v>15</v>
      </c>
      <c r="F929" s="12">
        <v>9</v>
      </c>
      <c r="G929" s="9">
        <v>10</v>
      </c>
      <c r="H929" s="10">
        <v>10</v>
      </c>
      <c r="I929" s="49">
        <f t="shared" si="888"/>
        <v>29</v>
      </c>
      <c r="J929" s="11">
        <f t="shared" si="889"/>
        <v>44</v>
      </c>
      <c r="K929" s="63">
        <v>45086</v>
      </c>
      <c r="L929" s="82"/>
      <c r="M929" s="26" t="s">
        <v>434</v>
      </c>
      <c r="N929" s="8">
        <v>10</v>
      </c>
      <c r="O929" s="9">
        <v>10</v>
      </c>
      <c r="P929" s="10">
        <v>10</v>
      </c>
      <c r="Q929" s="49">
        <f t="shared" si="893"/>
        <v>30</v>
      </c>
      <c r="R929" s="12">
        <v>10</v>
      </c>
      <c r="S929" s="9">
        <v>10</v>
      </c>
      <c r="T929" s="10">
        <v>10</v>
      </c>
      <c r="U929" s="49">
        <f t="shared" si="894"/>
        <v>30</v>
      </c>
      <c r="V929" s="11">
        <f t="shared" si="895"/>
        <v>60</v>
      </c>
      <c r="W929" s="140">
        <v>45107</v>
      </c>
    </row>
    <row r="930" spans="1:24" x14ac:dyDescent="0.15">
      <c r="A930" s="25" t="s">
        <v>33</v>
      </c>
      <c r="B930" s="8">
        <f>2+2</f>
        <v>4</v>
      </c>
      <c r="C930" s="9">
        <v>1</v>
      </c>
      <c r="D930" s="10">
        <v>1</v>
      </c>
      <c r="E930" s="49">
        <f t="shared" si="887"/>
        <v>6</v>
      </c>
      <c r="F930" s="12">
        <v>4</v>
      </c>
      <c r="G930" s="9"/>
      <c r="H930" s="10">
        <v>1</v>
      </c>
      <c r="I930" s="49">
        <f t="shared" si="888"/>
        <v>5</v>
      </c>
      <c r="J930" s="11">
        <f t="shared" si="889"/>
        <v>11</v>
      </c>
      <c r="K930" s="71">
        <v>45089</v>
      </c>
      <c r="M930" s="26" t="s">
        <v>437</v>
      </c>
      <c r="N930" s="8">
        <v>30</v>
      </c>
      <c r="O930" s="9">
        <v>40</v>
      </c>
      <c r="P930" s="10">
        <v>30</v>
      </c>
      <c r="Q930" s="49">
        <f t="shared" si="893"/>
        <v>100</v>
      </c>
      <c r="R930" s="12">
        <v>30</v>
      </c>
      <c r="S930" s="9">
        <v>40</v>
      </c>
      <c r="T930" s="10">
        <v>30</v>
      </c>
      <c r="U930" s="49">
        <f t="shared" si="894"/>
        <v>100</v>
      </c>
      <c r="V930" s="11">
        <f t="shared" si="895"/>
        <v>200</v>
      </c>
      <c r="W930" s="140">
        <v>45114</v>
      </c>
    </row>
    <row r="931" spans="1:24" x14ac:dyDescent="0.15">
      <c r="A931" s="25" t="s">
        <v>33</v>
      </c>
      <c r="B931" s="8">
        <v>1</v>
      </c>
      <c r="C931" s="9"/>
      <c r="D931" s="10"/>
      <c r="E931" s="49">
        <f t="shared" si="887"/>
        <v>1</v>
      </c>
      <c r="F931" s="12">
        <v>1</v>
      </c>
      <c r="G931" s="9"/>
      <c r="H931" s="10"/>
      <c r="I931" s="49">
        <f t="shared" si="888"/>
        <v>1</v>
      </c>
      <c r="J931" s="11">
        <f t="shared" si="889"/>
        <v>2</v>
      </c>
      <c r="K931" s="71">
        <v>45090</v>
      </c>
      <c r="M931" s="26" t="s">
        <v>438</v>
      </c>
      <c r="N931" s="8">
        <v>15</v>
      </c>
      <c r="O931" s="9">
        <v>30</v>
      </c>
      <c r="P931" s="10">
        <v>15</v>
      </c>
      <c r="Q931" s="49">
        <f t="shared" si="893"/>
        <v>60</v>
      </c>
      <c r="R931" s="12">
        <v>20</v>
      </c>
      <c r="S931" s="9">
        <v>25</v>
      </c>
      <c r="T931" s="10">
        <v>20</v>
      </c>
      <c r="U931" s="49">
        <f t="shared" si="894"/>
        <v>65</v>
      </c>
      <c r="V931" s="11">
        <f t="shared" si="895"/>
        <v>125</v>
      </c>
      <c r="W931" s="140">
        <v>45114</v>
      </c>
      <c r="X931" s="82"/>
    </row>
    <row r="932" spans="1:24" x14ac:dyDescent="0.15">
      <c r="A932" s="25" t="s">
        <v>431</v>
      </c>
      <c r="B932" s="8"/>
      <c r="C932" s="9">
        <v>10</v>
      </c>
      <c r="D932" s="10">
        <v>5</v>
      </c>
      <c r="E932" s="49">
        <f t="shared" si="887"/>
        <v>15</v>
      </c>
      <c r="F932" s="12"/>
      <c r="G932" s="9"/>
      <c r="H932" s="10"/>
      <c r="I932" s="49">
        <f t="shared" si="888"/>
        <v>0</v>
      </c>
      <c r="J932" s="11">
        <f t="shared" si="889"/>
        <v>15</v>
      </c>
      <c r="K932" s="63">
        <v>45091</v>
      </c>
      <c r="M932" s="26" t="s">
        <v>441</v>
      </c>
      <c r="N932" s="8">
        <v>10</v>
      </c>
      <c r="O932" s="9">
        <v>15</v>
      </c>
      <c r="P932" s="10"/>
      <c r="Q932" s="49">
        <f t="shared" si="893"/>
        <v>25</v>
      </c>
      <c r="R932" s="12">
        <v>10</v>
      </c>
      <c r="S932" s="9"/>
      <c r="T932" s="10"/>
      <c r="U932" s="49">
        <f t="shared" si="894"/>
        <v>10</v>
      </c>
      <c r="V932" s="11">
        <f t="shared" si="895"/>
        <v>35</v>
      </c>
      <c r="W932" s="140">
        <v>45121</v>
      </c>
    </row>
    <row r="933" spans="1:24" x14ac:dyDescent="0.15">
      <c r="A933" s="25" t="s">
        <v>33</v>
      </c>
      <c r="B933" s="8"/>
      <c r="C933" s="9">
        <v>1</v>
      </c>
      <c r="D933" s="10">
        <v>1</v>
      </c>
      <c r="E933" s="49">
        <f t="shared" si="887"/>
        <v>2</v>
      </c>
      <c r="F933" s="12"/>
      <c r="G933" s="9">
        <v>2</v>
      </c>
      <c r="H933" s="10">
        <v>1</v>
      </c>
      <c r="I933" s="49">
        <f t="shared" si="888"/>
        <v>3</v>
      </c>
      <c r="J933" s="11">
        <f t="shared" si="889"/>
        <v>5</v>
      </c>
      <c r="K933" s="71">
        <v>45091</v>
      </c>
      <c r="M933" s="26" t="s">
        <v>442</v>
      </c>
      <c r="N933" s="8">
        <v>40</v>
      </c>
      <c r="O933" s="9">
        <v>35</v>
      </c>
      <c r="P933" s="10">
        <v>5</v>
      </c>
      <c r="Q933" s="49">
        <f t="shared" si="893"/>
        <v>80</v>
      </c>
      <c r="R933" s="12">
        <v>40</v>
      </c>
      <c r="S933" s="9">
        <v>40</v>
      </c>
      <c r="T933" s="10"/>
      <c r="U933" s="49">
        <f t="shared" si="894"/>
        <v>80</v>
      </c>
      <c r="V933" s="11">
        <f t="shared" si="895"/>
        <v>160</v>
      </c>
      <c r="W933" s="140">
        <v>45121</v>
      </c>
    </row>
    <row r="934" spans="1:24" x14ac:dyDescent="0.15">
      <c r="A934" s="25" t="s">
        <v>33</v>
      </c>
      <c r="B934" s="8"/>
      <c r="C934" s="9"/>
      <c r="D934" s="10"/>
      <c r="E934" s="49">
        <f t="shared" si="887"/>
        <v>0</v>
      </c>
      <c r="F934" s="12"/>
      <c r="G934" s="9"/>
      <c r="H934" s="10">
        <v>1</v>
      </c>
      <c r="I934" s="49">
        <f t="shared" si="888"/>
        <v>1</v>
      </c>
      <c r="J934" s="11">
        <f t="shared" si="889"/>
        <v>1</v>
      </c>
      <c r="K934" s="71">
        <v>45092</v>
      </c>
      <c r="M934" s="26" t="s">
        <v>443</v>
      </c>
      <c r="N934" s="8">
        <v>45</v>
      </c>
      <c r="O934" s="9">
        <v>20</v>
      </c>
      <c r="P934" s="10"/>
      <c r="Q934" s="49">
        <f t="shared" si="893"/>
        <v>65</v>
      </c>
      <c r="R934" s="12">
        <v>25</v>
      </c>
      <c r="S934" s="9">
        <v>10</v>
      </c>
      <c r="T934" s="10"/>
      <c r="U934" s="49">
        <f t="shared" si="894"/>
        <v>35</v>
      </c>
      <c r="V934" s="11">
        <f t="shared" si="895"/>
        <v>100</v>
      </c>
      <c r="W934" s="140">
        <v>45122</v>
      </c>
    </row>
    <row r="935" spans="1:24" x14ac:dyDescent="0.15">
      <c r="A935" s="25" t="s">
        <v>33</v>
      </c>
      <c r="B935" s="8"/>
      <c r="C935" s="9"/>
      <c r="D935" s="10"/>
      <c r="E935" s="49">
        <f t="shared" si="887"/>
        <v>0</v>
      </c>
      <c r="F935" s="12">
        <v>2</v>
      </c>
      <c r="G935" s="9"/>
      <c r="H935" s="10"/>
      <c r="I935" s="49">
        <f t="shared" si="888"/>
        <v>2</v>
      </c>
      <c r="J935" s="11">
        <f t="shared" si="889"/>
        <v>2</v>
      </c>
      <c r="K935" s="71">
        <v>45093</v>
      </c>
      <c r="M935" s="26" t="s">
        <v>444</v>
      </c>
      <c r="N935" s="8">
        <v>30</v>
      </c>
      <c r="O935" s="9">
        <v>60</v>
      </c>
      <c r="P935" s="10">
        <v>20</v>
      </c>
      <c r="Q935" s="49">
        <f t="shared" si="893"/>
        <v>110</v>
      </c>
      <c r="R935" s="12">
        <v>30</v>
      </c>
      <c r="S935" s="9">
        <v>25</v>
      </c>
      <c r="T935" s="10">
        <v>15</v>
      </c>
      <c r="U935" s="49">
        <f t="shared" si="894"/>
        <v>70</v>
      </c>
      <c r="V935" s="11">
        <f t="shared" si="895"/>
        <v>180</v>
      </c>
      <c r="W935" s="140">
        <v>45122</v>
      </c>
      <c r="X935" s="82"/>
    </row>
    <row r="936" spans="1:24" x14ac:dyDescent="0.15">
      <c r="A936" s="25" t="s">
        <v>33</v>
      </c>
      <c r="B936" s="8">
        <v>1</v>
      </c>
      <c r="C936" s="9"/>
      <c r="D936" s="10"/>
      <c r="E936" s="49">
        <f t="shared" si="887"/>
        <v>1</v>
      </c>
      <c r="F936" s="12">
        <v>2</v>
      </c>
      <c r="G936" s="9"/>
      <c r="H936" s="10"/>
      <c r="I936" s="49">
        <f t="shared" si="888"/>
        <v>2</v>
      </c>
      <c r="J936" s="11">
        <f t="shared" si="889"/>
        <v>3</v>
      </c>
      <c r="K936" s="63">
        <v>45094</v>
      </c>
      <c r="M936" s="26" t="s">
        <v>445</v>
      </c>
      <c r="N936" s="8">
        <v>50</v>
      </c>
      <c r="O936" s="9">
        <v>10</v>
      </c>
      <c r="P936" s="10">
        <v>40</v>
      </c>
      <c r="Q936" s="49">
        <f t="shared" si="893"/>
        <v>100</v>
      </c>
      <c r="R936" s="12"/>
      <c r="S936" s="9">
        <v>50</v>
      </c>
      <c r="T936" s="10">
        <v>30</v>
      </c>
      <c r="U936" s="49">
        <f t="shared" si="894"/>
        <v>80</v>
      </c>
      <c r="V936" s="11">
        <f t="shared" si="895"/>
        <v>180</v>
      </c>
      <c r="W936" s="140">
        <v>45128</v>
      </c>
    </row>
    <row r="937" spans="1:24" x14ac:dyDescent="0.15">
      <c r="A937" s="25" t="s">
        <v>424</v>
      </c>
      <c r="B937" s="13">
        <v>5</v>
      </c>
      <c r="C937" s="14"/>
      <c r="D937" s="15"/>
      <c r="E937" s="49">
        <f t="shared" ref="E937:E938" si="896">SUM(B937:D937)</f>
        <v>5</v>
      </c>
      <c r="F937" s="16"/>
      <c r="G937" s="14">
        <v>3</v>
      </c>
      <c r="H937" s="15">
        <v>5</v>
      </c>
      <c r="I937" s="49">
        <f t="shared" ref="I937:I938" si="897">SUM(F937:H937)</f>
        <v>8</v>
      </c>
      <c r="J937" s="11">
        <f t="shared" ref="J937:J938" si="898">E937+I937</f>
        <v>13</v>
      </c>
      <c r="K937" s="63">
        <v>45097</v>
      </c>
      <c r="M937" s="26" t="s">
        <v>446</v>
      </c>
      <c r="N937" s="8"/>
      <c r="O937" s="9">
        <v>15</v>
      </c>
      <c r="P937" s="10"/>
      <c r="Q937" s="49">
        <f t="shared" si="893"/>
        <v>15</v>
      </c>
      <c r="R937" s="12">
        <v>5</v>
      </c>
      <c r="S937" s="9"/>
      <c r="T937" s="10">
        <v>10</v>
      </c>
      <c r="U937" s="49">
        <f t="shared" si="894"/>
        <v>15</v>
      </c>
      <c r="V937" s="11">
        <f t="shared" si="895"/>
        <v>30</v>
      </c>
      <c r="W937" s="140">
        <v>45129</v>
      </c>
    </row>
    <row r="938" spans="1:24" x14ac:dyDescent="0.15">
      <c r="A938" s="25" t="s">
        <v>33</v>
      </c>
      <c r="B938" s="8">
        <v>1</v>
      </c>
      <c r="C938" s="9"/>
      <c r="D938" s="10">
        <v>2</v>
      </c>
      <c r="E938" s="49">
        <f t="shared" si="896"/>
        <v>3</v>
      </c>
      <c r="F938" s="12"/>
      <c r="G938" s="9">
        <v>1</v>
      </c>
      <c r="H938" s="10"/>
      <c r="I938" s="49">
        <f t="shared" si="897"/>
        <v>1</v>
      </c>
      <c r="J938" s="11">
        <f t="shared" si="898"/>
        <v>4</v>
      </c>
      <c r="K938" s="71">
        <v>45096</v>
      </c>
      <c r="M938" s="26" t="s">
        <v>448</v>
      </c>
      <c r="N938" s="8"/>
      <c r="O938" s="9">
        <v>10</v>
      </c>
      <c r="P938" s="10"/>
      <c r="Q938" s="49">
        <f t="shared" ref="Q938:Q942" si="899">SUM(N938:P938)</f>
        <v>10</v>
      </c>
      <c r="R938" s="12"/>
      <c r="S938" s="9"/>
      <c r="T938" s="10"/>
      <c r="U938" s="49">
        <f t="shared" ref="U938:U942" si="900">SUM(R938:T938)</f>
        <v>0</v>
      </c>
      <c r="V938" s="11">
        <f t="shared" ref="V938:V942" si="901">Q938+U938</f>
        <v>10</v>
      </c>
      <c r="W938" s="140">
        <v>45129</v>
      </c>
    </row>
    <row r="939" spans="1:24" x14ac:dyDescent="0.15">
      <c r="A939" s="26" t="s">
        <v>433</v>
      </c>
      <c r="B939" s="8">
        <v>5</v>
      </c>
      <c r="C939" s="9"/>
      <c r="D939" s="10">
        <v>3</v>
      </c>
      <c r="E939" s="49">
        <f t="shared" si="887"/>
        <v>8</v>
      </c>
      <c r="F939" s="12">
        <v>3</v>
      </c>
      <c r="G939" s="9"/>
      <c r="H939" s="10">
        <v>3</v>
      </c>
      <c r="I939" s="49">
        <f t="shared" si="888"/>
        <v>6</v>
      </c>
      <c r="J939" s="11">
        <f t="shared" si="889"/>
        <v>14</v>
      </c>
      <c r="K939" s="63">
        <v>45099</v>
      </c>
      <c r="M939" s="26" t="s">
        <v>449</v>
      </c>
      <c r="N939" s="8">
        <v>15</v>
      </c>
      <c r="O939" s="9">
        <v>5</v>
      </c>
      <c r="P939" s="10"/>
      <c r="Q939" s="49">
        <f t="shared" si="899"/>
        <v>20</v>
      </c>
      <c r="R939" s="12">
        <v>5</v>
      </c>
      <c r="S939" s="9"/>
      <c r="T939" s="10"/>
      <c r="U939" s="49">
        <f t="shared" si="900"/>
        <v>5</v>
      </c>
      <c r="V939" s="11">
        <f t="shared" si="901"/>
        <v>25</v>
      </c>
      <c r="W939" s="140">
        <v>45133</v>
      </c>
    </row>
    <row r="940" spans="1:24" x14ac:dyDescent="0.15">
      <c r="A940" s="25" t="s">
        <v>33</v>
      </c>
      <c r="B940" s="8">
        <v>1</v>
      </c>
      <c r="C940" s="9"/>
      <c r="D940" s="10"/>
      <c r="E940" s="49">
        <f t="shared" si="887"/>
        <v>1</v>
      </c>
      <c r="F940" s="12">
        <v>1</v>
      </c>
      <c r="G940" s="9"/>
      <c r="H940" s="10"/>
      <c r="I940" s="49">
        <f t="shared" si="888"/>
        <v>1</v>
      </c>
      <c r="J940" s="11">
        <f t="shared" si="889"/>
        <v>2</v>
      </c>
      <c r="K940" s="71">
        <v>45099</v>
      </c>
      <c r="M940" s="26"/>
      <c r="N940" s="8"/>
      <c r="O940" s="9"/>
      <c r="P940" s="10"/>
      <c r="Q940" s="49">
        <f t="shared" si="899"/>
        <v>0</v>
      </c>
      <c r="R940" s="12"/>
      <c r="S940" s="9"/>
      <c r="T940" s="10"/>
      <c r="U940" s="49">
        <f t="shared" si="900"/>
        <v>0</v>
      </c>
      <c r="V940" s="11">
        <f t="shared" si="901"/>
        <v>0</v>
      </c>
    </row>
    <row r="941" spans="1:24" x14ac:dyDescent="0.15">
      <c r="A941" s="25" t="s">
        <v>33</v>
      </c>
      <c r="B941" s="8"/>
      <c r="C941" s="9"/>
      <c r="D941" s="10">
        <v>1</v>
      </c>
      <c r="E941" s="49">
        <f t="shared" si="887"/>
        <v>1</v>
      </c>
      <c r="F941" s="12"/>
      <c r="G941" s="9"/>
      <c r="H941" s="10"/>
      <c r="I941" s="49">
        <f t="shared" si="888"/>
        <v>0</v>
      </c>
      <c r="J941" s="11">
        <f t="shared" si="889"/>
        <v>1</v>
      </c>
      <c r="K941" s="71">
        <v>45100</v>
      </c>
      <c r="M941" s="121" t="s">
        <v>415</v>
      </c>
      <c r="N941" s="106"/>
      <c r="O941" s="103"/>
      <c r="P941" s="104"/>
      <c r="Q941" s="122">
        <f t="shared" si="899"/>
        <v>0</v>
      </c>
      <c r="R941" s="107"/>
      <c r="S941" s="103"/>
      <c r="T941" s="104"/>
      <c r="U941" s="122">
        <f t="shared" si="900"/>
        <v>0</v>
      </c>
      <c r="V941" s="123">
        <f t="shared" si="901"/>
        <v>0</v>
      </c>
      <c r="W941" s="142"/>
    </row>
    <row r="942" spans="1:24" ht="14.25" thickBot="1" x14ac:dyDescent="0.2">
      <c r="A942" s="25" t="s">
        <v>33</v>
      </c>
      <c r="B942" s="13">
        <v>1</v>
      </c>
      <c r="C942" s="14">
        <v>2</v>
      </c>
      <c r="D942" s="15"/>
      <c r="E942" s="55">
        <f t="shared" si="887"/>
        <v>3</v>
      </c>
      <c r="F942" s="16">
        <v>2</v>
      </c>
      <c r="G942" s="14">
        <v>2</v>
      </c>
      <c r="H942" s="15">
        <v>1</v>
      </c>
      <c r="I942" s="55">
        <f t="shared" si="888"/>
        <v>5</v>
      </c>
      <c r="J942" s="11">
        <f t="shared" si="889"/>
        <v>8</v>
      </c>
      <c r="K942" s="71">
        <v>45103</v>
      </c>
      <c r="M942" s="26" t="s">
        <v>413</v>
      </c>
      <c r="N942" s="8"/>
      <c r="O942" s="9"/>
      <c r="P942" s="10"/>
      <c r="Q942" s="49">
        <f t="shared" si="899"/>
        <v>0</v>
      </c>
      <c r="R942" s="12"/>
      <c r="S942" s="9"/>
      <c r="T942" s="10"/>
      <c r="U942" s="49">
        <f t="shared" si="900"/>
        <v>0</v>
      </c>
      <c r="V942" s="11">
        <f t="shared" si="901"/>
        <v>0</v>
      </c>
      <c r="W942" s="142" t="s">
        <v>414</v>
      </c>
    </row>
    <row r="943" spans="1:24" ht="14.25" thickBot="1" x14ac:dyDescent="0.2">
      <c r="A943" s="41" t="s">
        <v>19</v>
      </c>
      <c r="B943" s="46">
        <f>SUM(B917:B942)</f>
        <v>33</v>
      </c>
      <c r="C943" s="47">
        <f t="shared" ref="C943:D943" si="902">SUM(C917:C942)</f>
        <v>32</v>
      </c>
      <c r="D943" s="59">
        <f t="shared" si="902"/>
        <v>27</v>
      </c>
      <c r="E943" s="45">
        <f t="shared" si="887"/>
        <v>92</v>
      </c>
      <c r="F943" s="46">
        <f>SUM(F917:F942)</f>
        <v>38</v>
      </c>
      <c r="G943" s="47">
        <f t="shared" ref="G943:H943" si="903">SUM(G917:G942)</f>
        <v>29</v>
      </c>
      <c r="H943" s="59">
        <f t="shared" si="903"/>
        <v>31</v>
      </c>
      <c r="I943" s="45">
        <f t="shared" si="888"/>
        <v>98</v>
      </c>
      <c r="J943" s="45">
        <f>E943+I943</f>
        <v>190</v>
      </c>
      <c r="M943" s="41" t="s">
        <v>19</v>
      </c>
      <c r="N943" s="46">
        <f>SUM(N917:N942)</f>
        <v>321</v>
      </c>
      <c r="O943" s="47">
        <f t="shared" ref="O943:P943" si="904">SUM(O917:O942)</f>
        <v>329</v>
      </c>
      <c r="P943" s="59">
        <f t="shared" si="904"/>
        <v>186</v>
      </c>
      <c r="Q943" s="45">
        <f t="shared" si="893"/>
        <v>836</v>
      </c>
      <c r="R943" s="46">
        <f>SUM(R917:R942)</f>
        <v>256</v>
      </c>
      <c r="S943" s="47">
        <f t="shared" ref="S943:T943" si="905">SUM(S917:S942)</f>
        <v>269</v>
      </c>
      <c r="T943" s="59">
        <f t="shared" si="905"/>
        <v>171</v>
      </c>
      <c r="U943" s="45">
        <f t="shared" si="894"/>
        <v>696</v>
      </c>
      <c r="V943" s="45">
        <f>Q943+U943</f>
        <v>1532</v>
      </c>
    </row>
    <row r="944" spans="1:24" ht="14.25" thickBot="1" x14ac:dyDescent="0.2">
      <c r="A944" s="22" t="s">
        <v>17</v>
      </c>
      <c r="B944" s="50">
        <f>B916-B943</f>
        <v>30</v>
      </c>
      <c r="C944" s="57">
        <f t="shared" ref="C944:D944" si="906">C916-C943</f>
        <v>33</v>
      </c>
      <c r="D944" s="58">
        <f t="shared" si="906"/>
        <v>27</v>
      </c>
      <c r="E944" s="56">
        <f>SUM(B944:D944)</f>
        <v>90</v>
      </c>
      <c r="F944" s="50">
        <f>F916-F943</f>
        <v>34</v>
      </c>
      <c r="G944" s="57">
        <f t="shared" ref="G944:H944" si="907">G916-G943</f>
        <v>28</v>
      </c>
      <c r="H944" s="58">
        <f t="shared" si="907"/>
        <v>20</v>
      </c>
      <c r="I944" s="56">
        <f>SUM(F944:H944)</f>
        <v>82</v>
      </c>
      <c r="J944" s="31">
        <f>E944+I944</f>
        <v>172</v>
      </c>
      <c r="M944" s="22" t="s">
        <v>17</v>
      </c>
      <c r="N944" s="50">
        <f>N916-N943</f>
        <v>138</v>
      </c>
      <c r="O944" s="57">
        <f t="shared" ref="O944:P944" si="908">O916-O943</f>
        <v>373</v>
      </c>
      <c r="P944" s="58">
        <f t="shared" si="908"/>
        <v>533</v>
      </c>
      <c r="Q944" s="56">
        <f>SUM(N944:P944)</f>
        <v>1044</v>
      </c>
      <c r="R944" s="50">
        <f>R916-R943</f>
        <v>406</v>
      </c>
      <c r="S944" s="57">
        <f t="shared" ref="S944:T944" si="909">S916-S943</f>
        <v>619</v>
      </c>
      <c r="T944" s="58">
        <f t="shared" si="909"/>
        <v>686</v>
      </c>
      <c r="U944" s="56">
        <f>SUM(R944:T944)</f>
        <v>1711</v>
      </c>
      <c r="V944" s="31">
        <f>Q944+U944</f>
        <v>2755</v>
      </c>
    </row>
    <row r="945" spans="1:24" x14ac:dyDescent="0.15">
      <c r="M945" t="s">
        <v>403</v>
      </c>
      <c r="N945">
        <v>125</v>
      </c>
      <c r="O945">
        <v>90</v>
      </c>
      <c r="P945">
        <v>85</v>
      </c>
      <c r="Q945">
        <v>300</v>
      </c>
      <c r="R945">
        <v>65</v>
      </c>
      <c r="S945">
        <v>50</v>
      </c>
      <c r="T945">
        <v>15</v>
      </c>
      <c r="U945">
        <v>130</v>
      </c>
      <c r="V945">
        <v>430</v>
      </c>
    </row>
    <row r="947" spans="1:24" ht="19.5" thickBot="1" x14ac:dyDescent="0.25">
      <c r="A947" s="3" t="s">
        <v>21</v>
      </c>
      <c r="B947" s="1"/>
      <c r="C947" s="1"/>
      <c r="D947" s="1"/>
      <c r="E947" s="1"/>
      <c r="F947" s="1"/>
      <c r="G947" s="1"/>
      <c r="H947" s="1"/>
      <c r="I947" s="1"/>
      <c r="J947" s="1"/>
      <c r="M947" s="3" t="s">
        <v>22</v>
      </c>
      <c r="N947" s="1"/>
      <c r="O947" s="1"/>
      <c r="P947" s="1"/>
      <c r="Q947" s="1"/>
      <c r="R947" s="1"/>
      <c r="S947" s="1"/>
      <c r="T947" s="1"/>
      <c r="U947" s="1"/>
      <c r="V947" s="1"/>
    </row>
    <row r="948" spans="1:24" ht="14.25" thickBot="1" x14ac:dyDescent="0.2">
      <c r="A948" s="7" t="s">
        <v>0</v>
      </c>
      <c r="B948" s="165" t="s">
        <v>24</v>
      </c>
      <c r="C948" s="166"/>
      <c r="D948" s="166"/>
      <c r="E948" s="170"/>
      <c r="F948" s="165" t="s">
        <v>18</v>
      </c>
      <c r="G948" s="166"/>
      <c r="H948" s="166"/>
      <c r="I948" s="167"/>
      <c r="J948" s="168" t="s">
        <v>1</v>
      </c>
      <c r="M948" s="7" t="s">
        <v>0</v>
      </c>
      <c r="N948" s="165" t="s">
        <v>24</v>
      </c>
      <c r="O948" s="166"/>
      <c r="P948" s="166"/>
      <c r="Q948" s="170"/>
      <c r="R948" s="165" t="s">
        <v>18</v>
      </c>
      <c r="S948" s="166"/>
      <c r="T948" s="166"/>
      <c r="U948" s="167"/>
      <c r="V948" s="168" t="s">
        <v>1</v>
      </c>
    </row>
    <row r="949" spans="1:24" ht="14.25" thickBot="1" x14ac:dyDescent="0.2">
      <c r="A949" s="7" t="s">
        <v>2</v>
      </c>
      <c r="B949" s="4" t="s">
        <v>3</v>
      </c>
      <c r="C949" s="5" t="s">
        <v>4</v>
      </c>
      <c r="D949" s="6" t="s">
        <v>5</v>
      </c>
      <c r="E949" s="7" t="s">
        <v>6</v>
      </c>
      <c r="F949" s="4" t="s">
        <v>3</v>
      </c>
      <c r="G949" s="5" t="s">
        <v>4</v>
      </c>
      <c r="H949" s="6" t="s">
        <v>5</v>
      </c>
      <c r="I949" s="7" t="s">
        <v>6</v>
      </c>
      <c r="J949" s="169"/>
      <c r="M949" s="7" t="s">
        <v>2</v>
      </c>
      <c r="N949" s="4" t="s">
        <v>3</v>
      </c>
      <c r="O949" s="5" t="s">
        <v>4</v>
      </c>
      <c r="P949" s="6" t="s">
        <v>5</v>
      </c>
      <c r="Q949" s="7" t="s">
        <v>6</v>
      </c>
      <c r="R949" s="4" t="s">
        <v>3</v>
      </c>
      <c r="S949" s="5" t="s">
        <v>4</v>
      </c>
      <c r="T949" s="6" t="s">
        <v>5</v>
      </c>
      <c r="U949" s="7" t="s">
        <v>6</v>
      </c>
      <c r="V949" s="169"/>
    </row>
    <row r="950" spans="1:24" ht="14.25" thickBot="1" x14ac:dyDescent="0.2">
      <c r="A950" s="27" t="s">
        <v>20</v>
      </c>
      <c r="B950" s="28">
        <f>B944</f>
        <v>30</v>
      </c>
      <c r="C950" s="29">
        <f>C944</f>
        <v>33</v>
      </c>
      <c r="D950" s="30">
        <f>D944</f>
        <v>27</v>
      </c>
      <c r="E950" s="31">
        <f>SUM(B950:D950)</f>
        <v>90</v>
      </c>
      <c r="F950" s="28">
        <f>F944</f>
        <v>34</v>
      </c>
      <c r="G950" s="29">
        <f>G944</f>
        <v>28</v>
      </c>
      <c r="H950" s="30">
        <f>H944</f>
        <v>20</v>
      </c>
      <c r="I950" s="31">
        <f>SUM(F950:H950)</f>
        <v>82</v>
      </c>
      <c r="J950" s="31">
        <f>E950+I950</f>
        <v>172</v>
      </c>
      <c r="M950" s="27" t="s">
        <v>20</v>
      </c>
      <c r="N950" s="28">
        <f>N944</f>
        <v>138</v>
      </c>
      <c r="O950" s="29">
        <f>O944</f>
        <v>373</v>
      </c>
      <c r="P950" s="30">
        <f>P944</f>
        <v>533</v>
      </c>
      <c r="Q950" s="31">
        <f>SUM(N950:P950)</f>
        <v>1044</v>
      </c>
      <c r="R950" s="28">
        <f>R944</f>
        <v>406</v>
      </c>
      <c r="S950" s="29">
        <f>S944</f>
        <v>619</v>
      </c>
      <c r="T950" s="30">
        <f>T944</f>
        <v>686</v>
      </c>
      <c r="U950" s="31">
        <f>SUM(R950:T950)</f>
        <v>1711</v>
      </c>
      <c r="V950" s="31">
        <f>Q950+U950</f>
        <v>2755</v>
      </c>
    </row>
    <row r="951" spans="1:24" x14ac:dyDescent="0.15">
      <c r="A951" s="25" t="s">
        <v>182</v>
      </c>
      <c r="B951" s="17">
        <v>1</v>
      </c>
      <c r="C951" s="18">
        <v>2</v>
      </c>
      <c r="D951" s="51"/>
      <c r="E951" s="49">
        <f t="shared" ref="E951:E958" si="910">SUM(B951:D951)</f>
        <v>3</v>
      </c>
      <c r="F951" s="20">
        <v>3</v>
      </c>
      <c r="G951" s="18">
        <v>2</v>
      </c>
      <c r="H951" s="19"/>
      <c r="I951" s="49">
        <f t="shared" ref="I951:I958" si="911">SUM(F951:H951)</f>
        <v>5</v>
      </c>
      <c r="J951" s="49">
        <f t="shared" ref="J951:J958" si="912">E951+I951</f>
        <v>8</v>
      </c>
      <c r="K951" s="71">
        <v>45105</v>
      </c>
      <c r="M951" s="25" t="s">
        <v>204</v>
      </c>
      <c r="N951" s="17"/>
      <c r="O951" s="18">
        <v>-2</v>
      </c>
      <c r="P951" s="51"/>
      <c r="Q951" s="49">
        <f t="shared" ref="Q951:Q958" si="913">SUM(N951:P951)</f>
        <v>-2</v>
      </c>
      <c r="R951" s="20"/>
      <c r="S951" s="18"/>
      <c r="T951" s="19">
        <v>-7</v>
      </c>
      <c r="U951" s="49">
        <f t="shared" ref="U951:U958" si="914">SUM(R951:T951)</f>
        <v>-7</v>
      </c>
      <c r="V951" s="49">
        <f t="shared" ref="V951:V958" si="915">Q951+U951</f>
        <v>-9</v>
      </c>
      <c r="W951" s="144">
        <v>45122</v>
      </c>
    </row>
    <row r="952" spans="1:24" x14ac:dyDescent="0.15">
      <c r="A952" s="25" t="s">
        <v>9</v>
      </c>
      <c r="B952" s="17"/>
      <c r="C952" s="18">
        <v>10</v>
      </c>
      <c r="D952" s="51"/>
      <c r="E952" s="11">
        <f t="shared" ref="E952:E954" si="916">SUM(B952:D952)</f>
        <v>10</v>
      </c>
      <c r="F952" s="20"/>
      <c r="G952" s="18"/>
      <c r="H952" s="19">
        <v>10</v>
      </c>
      <c r="I952" s="11">
        <f t="shared" ref="I952:I954" si="917">SUM(F952:H952)</f>
        <v>10</v>
      </c>
      <c r="J952" s="11">
        <f t="shared" ref="J952:J954" si="918">E952+I952</f>
        <v>20</v>
      </c>
      <c r="K952" s="63">
        <v>45113</v>
      </c>
      <c r="M952" s="25" t="s">
        <v>9</v>
      </c>
      <c r="N952" s="8"/>
      <c r="O952" s="9"/>
      <c r="P952" s="52"/>
      <c r="Q952" s="11">
        <f t="shared" si="913"/>
        <v>0</v>
      </c>
      <c r="R952" s="12"/>
      <c r="S952" s="9"/>
      <c r="T952" s="10"/>
      <c r="U952" s="11">
        <f t="shared" si="914"/>
        <v>0</v>
      </c>
      <c r="V952" s="11">
        <f t="shared" si="915"/>
        <v>0</v>
      </c>
    </row>
    <row r="953" spans="1:24" x14ac:dyDescent="0.15">
      <c r="A953" s="25" t="s">
        <v>10</v>
      </c>
      <c r="B953" s="17">
        <v>10</v>
      </c>
      <c r="C953" s="18"/>
      <c r="D953" s="51">
        <v>5</v>
      </c>
      <c r="E953" s="11">
        <f t="shared" si="916"/>
        <v>15</v>
      </c>
      <c r="F953" s="20">
        <v>10</v>
      </c>
      <c r="G953" s="18"/>
      <c r="H953" s="19"/>
      <c r="I953" s="11">
        <f t="shared" si="917"/>
        <v>10</v>
      </c>
      <c r="J953" s="11">
        <f t="shared" si="918"/>
        <v>25</v>
      </c>
      <c r="K953" s="63">
        <v>45119</v>
      </c>
      <c r="M953" s="25" t="s">
        <v>10</v>
      </c>
      <c r="N953" s="8"/>
      <c r="O953" s="9"/>
      <c r="P953" s="52"/>
      <c r="Q953" s="11">
        <f t="shared" si="913"/>
        <v>0</v>
      </c>
      <c r="R953" s="12"/>
      <c r="S953" s="9"/>
      <c r="T953" s="10"/>
      <c r="U953" s="11">
        <f t="shared" si="914"/>
        <v>0</v>
      </c>
      <c r="V953" s="11">
        <f t="shared" si="915"/>
        <v>0</v>
      </c>
    </row>
    <row r="954" spans="1:24" x14ac:dyDescent="0.15">
      <c r="A954" s="25" t="s">
        <v>11</v>
      </c>
      <c r="B954" s="17"/>
      <c r="C954" s="18">
        <v>5</v>
      </c>
      <c r="D954" s="51"/>
      <c r="E954" s="11">
        <f t="shared" si="916"/>
        <v>5</v>
      </c>
      <c r="F954" s="20">
        <v>5</v>
      </c>
      <c r="G954" s="18">
        <v>10</v>
      </c>
      <c r="H954" s="19">
        <v>5</v>
      </c>
      <c r="I954" s="11">
        <f t="shared" si="917"/>
        <v>20</v>
      </c>
      <c r="J954" s="11">
        <f t="shared" si="918"/>
        <v>25</v>
      </c>
      <c r="K954" s="63">
        <v>45122</v>
      </c>
      <c r="M954" s="25" t="s">
        <v>11</v>
      </c>
      <c r="N954" s="8"/>
      <c r="O954" s="9"/>
      <c r="P954" s="52"/>
      <c r="Q954" s="11">
        <f t="shared" si="913"/>
        <v>0</v>
      </c>
      <c r="R954" s="12"/>
      <c r="S954" s="9"/>
      <c r="T954" s="10"/>
      <c r="U954" s="11">
        <f t="shared" si="914"/>
        <v>0</v>
      </c>
      <c r="V954" s="11">
        <f t="shared" si="915"/>
        <v>0</v>
      </c>
    </row>
    <row r="955" spans="1:24" x14ac:dyDescent="0.15">
      <c r="A955" s="25" t="s">
        <v>12</v>
      </c>
      <c r="B955" s="17"/>
      <c r="C955" s="18">
        <v>10</v>
      </c>
      <c r="D955" s="51">
        <v>10</v>
      </c>
      <c r="E955" s="11">
        <f t="shared" si="910"/>
        <v>20</v>
      </c>
      <c r="F955" s="20">
        <v>10</v>
      </c>
      <c r="G955" s="18">
        <v>10</v>
      </c>
      <c r="H955" s="19">
        <v>15</v>
      </c>
      <c r="I955" s="11">
        <f t="shared" si="911"/>
        <v>35</v>
      </c>
      <c r="J955" s="11">
        <f t="shared" si="912"/>
        <v>55</v>
      </c>
      <c r="K955" s="63">
        <v>45131</v>
      </c>
      <c r="M955" s="25" t="s">
        <v>12</v>
      </c>
      <c r="N955" s="8"/>
      <c r="O955" s="9"/>
      <c r="P955" s="52"/>
      <c r="Q955" s="11">
        <f t="shared" si="913"/>
        <v>0</v>
      </c>
      <c r="R955" s="12"/>
      <c r="S955" s="9"/>
      <c r="T955" s="10"/>
      <c r="U955" s="11">
        <f t="shared" si="914"/>
        <v>0</v>
      </c>
      <c r="V955" s="11">
        <f t="shared" si="915"/>
        <v>0</v>
      </c>
    </row>
    <row r="956" spans="1:24" x14ac:dyDescent="0.15">
      <c r="A956" s="25" t="s">
        <v>13</v>
      </c>
      <c r="B956" s="17"/>
      <c r="C956" s="18"/>
      <c r="D956" s="51"/>
      <c r="E956" s="11">
        <f t="shared" si="910"/>
        <v>0</v>
      </c>
      <c r="F956" s="20">
        <v>10</v>
      </c>
      <c r="G956" s="18"/>
      <c r="H956" s="19"/>
      <c r="I956" s="11">
        <f t="shared" si="911"/>
        <v>10</v>
      </c>
      <c r="J956" s="11">
        <f t="shared" si="912"/>
        <v>10</v>
      </c>
      <c r="K956" s="63">
        <v>45134</v>
      </c>
      <c r="M956" s="25" t="s">
        <v>13</v>
      </c>
      <c r="N956" s="8"/>
      <c r="O956" s="9"/>
      <c r="P956" s="52"/>
      <c r="Q956" s="11">
        <f t="shared" si="913"/>
        <v>0</v>
      </c>
      <c r="R956" s="12"/>
      <c r="S956" s="9"/>
      <c r="T956" s="10"/>
      <c r="U956" s="11">
        <f t="shared" si="914"/>
        <v>0</v>
      </c>
      <c r="V956" s="11">
        <f t="shared" si="915"/>
        <v>0</v>
      </c>
    </row>
    <row r="957" spans="1:24" x14ac:dyDescent="0.15">
      <c r="A957" s="25" t="s">
        <v>14</v>
      </c>
      <c r="B957" s="17"/>
      <c r="C957" s="18"/>
      <c r="D957" s="51"/>
      <c r="E957" s="11">
        <f t="shared" si="910"/>
        <v>0</v>
      </c>
      <c r="F957" s="20"/>
      <c r="G957" s="18"/>
      <c r="H957" s="19"/>
      <c r="I957" s="11">
        <f t="shared" si="911"/>
        <v>0</v>
      </c>
      <c r="J957" s="11">
        <f t="shared" si="912"/>
        <v>0</v>
      </c>
      <c r="M957" s="25" t="s">
        <v>14</v>
      </c>
      <c r="N957" s="13"/>
      <c r="O957" s="14"/>
      <c r="P957" s="53"/>
      <c r="Q957" s="11">
        <f t="shared" si="913"/>
        <v>0</v>
      </c>
      <c r="R957" s="16"/>
      <c r="S957" s="14"/>
      <c r="T957" s="15"/>
      <c r="U957" s="11">
        <f t="shared" si="914"/>
        <v>0</v>
      </c>
      <c r="V957" s="11">
        <f t="shared" si="915"/>
        <v>0</v>
      </c>
    </row>
    <row r="958" spans="1:24" ht="14.25" thickBot="1" x14ac:dyDescent="0.2">
      <c r="A958" s="25" t="s">
        <v>15</v>
      </c>
      <c r="B958" s="17"/>
      <c r="C958" s="18"/>
      <c r="D958" s="51"/>
      <c r="E958" s="11">
        <f t="shared" si="910"/>
        <v>0</v>
      </c>
      <c r="F958" s="20"/>
      <c r="G958" s="18"/>
      <c r="H958" s="19"/>
      <c r="I958" s="11">
        <f t="shared" si="911"/>
        <v>0</v>
      </c>
      <c r="J958" s="11">
        <f t="shared" si="912"/>
        <v>0</v>
      </c>
      <c r="M958" s="25" t="s">
        <v>15</v>
      </c>
      <c r="N958" s="13"/>
      <c r="O958" s="14"/>
      <c r="P958" s="53"/>
      <c r="Q958" s="62">
        <f t="shared" si="913"/>
        <v>0</v>
      </c>
      <c r="R958" s="34"/>
      <c r="S958" s="34"/>
      <c r="T958" s="37"/>
      <c r="U958" s="62">
        <f t="shared" si="914"/>
        <v>0</v>
      </c>
      <c r="V958" s="21">
        <f t="shared" si="915"/>
        <v>0</v>
      </c>
    </row>
    <row r="959" spans="1:24" ht="14.25" thickBot="1" x14ac:dyDescent="0.2">
      <c r="A959" s="35" t="s">
        <v>16</v>
      </c>
      <c r="B959" s="28">
        <f>SUM(B950:B958)</f>
        <v>41</v>
      </c>
      <c r="C959" s="29">
        <f t="shared" ref="C959:D959" si="919">SUM(C950:C958)</f>
        <v>60</v>
      </c>
      <c r="D959" s="68">
        <f t="shared" si="919"/>
        <v>42</v>
      </c>
      <c r="E959" s="64">
        <f>SUM(B959:D959)</f>
        <v>143</v>
      </c>
      <c r="F959" s="28">
        <f>SUM(F950:F958)</f>
        <v>72</v>
      </c>
      <c r="G959" s="29">
        <f t="shared" ref="G959:H959" si="920">SUM(G950:G958)</f>
        <v>50</v>
      </c>
      <c r="H959" s="68">
        <f t="shared" si="920"/>
        <v>50</v>
      </c>
      <c r="I959" s="64">
        <f>SUM(F959:H959)</f>
        <v>172</v>
      </c>
      <c r="J959" s="31">
        <f>SUM(J951:J958)</f>
        <v>143</v>
      </c>
      <c r="M959" s="35" t="s">
        <v>16</v>
      </c>
      <c r="N959" s="28">
        <f>SUM(N950:N958)</f>
        <v>138</v>
      </c>
      <c r="O959" s="29">
        <f t="shared" ref="O959:P959" si="921">SUM(O950:O958)</f>
        <v>371</v>
      </c>
      <c r="P959" s="68">
        <f t="shared" si="921"/>
        <v>533</v>
      </c>
      <c r="Q959" s="64">
        <f>SUM(N959:P959)</f>
        <v>1042</v>
      </c>
      <c r="R959" s="28">
        <f>SUM(R950:R958)</f>
        <v>406</v>
      </c>
      <c r="S959" s="29">
        <f t="shared" ref="S959:T959" si="922">SUM(S950:S958)</f>
        <v>619</v>
      </c>
      <c r="T959" s="68">
        <f t="shared" si="922"/>
        <v>679</v>
      </c>
      <c r="U959" s="64">
        <f>SUM(R959:T959)</f>
        <v>1704</v>
      </c>
      <c r="V959" s="31">
        <f>Q959+U959</f>
        <v>2746</v>
      </c>
    </row>
    <row r="960" spans="1:24" x14ac:dyDescent="0.15">
      <c r="A960" s="25" t="s">
        <v>33</v>
      </c>
      <c r="B960" s="65">
        <v>1</v>
      </c>
      <c r="C960" s="66"/>
      <c r="D960" s="67"/>
      <c r="E960" s="49">
        <f>SUM(B960:D960)</f>
        <v>1</v>
      </c>
      <c r="F960" s="16">
        <v>1</v>
      </c>
      <c r="G960" s="14">
        <v>3</v>
      </c>
      <c r="H960" s="15"/>
      <c r="I960" s="49">
        <f>SUM(F960:H960)</f>
        <v>4</v>
      </c>
      <c r="J960" s="11">
        <f>E960+I960</f>
        <v>5</v>
      </c>
      <c r="K960" s="71">
        <v>45103</v>
      </c>
      <c r="M960" s="25" t="s">
        <v>329</v>
      </c>
      <c r="N960" s="65">
        <v>2</v>
      </c>
      <c r="O960" s="66"/>
      <c r="P960" s="67">
        <v>2</v>
      </c>
      <c r="Q960" s="49">
        <f t="shared" ref="Q960:Q963" si="923">SUM(N960:P960)</f>
        <v>4</v>
      </c>
      <c r="R960" s="16">
        <v>2</v>
      </c>
      <c r="S960" s="14"/>
      <c r="T960" s="15">
        <v>2</v>
      </c>
      <c r="U960" s="49">
        <f t="shared" ref="U960:U963" si="924">SUM(R960:T960)</f>
        <v>4</v>
      </c>
      <c r="V960" s="11">
        <f t="shared" ref="V960:V963" si="925">Q960+U960</f>
        <v>8</v>
      </c>
      <c r="W960" s="140">
        <v>45112</v>
      </c>
      <c r="X960" s="82"/>
    </row>
    <row r="961" spans="1:25" x14ac:dyDescent="0.15">
      <c r="A961" s="25" t="s">
        <v>435</v>
      </c>
      <c r="B961" s="8">
        <v>5</v>
      </c>
      <c r="C961" s="9">
        <v>10</v>
      </c>
      <c r="D961" s="10">
        <v>3</v>
      </c>
      <c r="E961" s="49">
        <f t="shared" ref="E961:E986" si="926">SUM(B961:D961)</f>
        <v>18</v>
      </c>
      <c r="F961" s="12"/>
      <c r="G961" s="9"/>
      <c r="H961" s="10">
        <v>5</v>
      </c>
      <c r="I961" s="49">
        <f t="shared" ref="I961:I986" si="927">SUM(F961:H961)</f>
        <v>5</v>
      </c>
      <c r="J961" s="11">
        <f t="shared" ref="J961:J984" si="928">E961+I961</f>
        <v>23</v>
      </c>
      <c r="K961" s="63">
        <v>45105</v>
      </c>
      <c r="M961" s="23" t="s">
        <v>440</v>
      </c>
      <c r="N961" s="8"/>
      <c r="O961" s="9">
        <v>10</v>
      </c>
      <c r="P961" s="10"/>
      <c r="Q961" s="49">
        <f t="shared" si="923"/>
        <v>10</v>
      </c>
      <c r="R961" s="12"/>
      <c r="S961" s="9"/>
      <c r="T961" s="10">
        <v>10</v>
      </c>
      <c r="U961" s="49">
        <f t="shared" si="924"/>
        <v>10</v>
      </c>
      <c r="V961" s="11">
        <f t="shared" si="925"/>
        <v>20</v>
      </c>
      <c r="W961" s="140">
        <v>45113</v>
      </c>
      <c r="X961" s="82"/>
    </row>
    <row r="962" spans="1:25" x14ac:dyDescent="0.15">
      <c r="A962" s="25" t="s">
        <v>33</v>
      </c>
      <c r="B962" s="8">
        <v>1</v>
      </c>
      <c r="C962" s="9">
        <v>1</v>
      </c>
      <c r="D962" s="10"/>
      <c r="E962" s="49">
        <f t="shared" si="926"/>
        <v>2</v>
      </c>
      <c r="F962" s="12">
        <v>4</v>
      </c>
      <c r="G962" s="9"/>
      <c r="H962" s="10"/>
      <c r="I962" s="49">
        <f t="shared" si="927"/>
        <v>4</v>
      </c>
      <c r="J962" s="11">
        <f t="shared" si="928"/>
        <v>6</v>
      </c>
      <c r="K962" s="71">
        <v>45104</v>
      </c>
      <c r="M962" s="119" t="s">
        <v>432</v>
      </c>
      <c r="N962" s="8">
        <v>0</v>
      </c>
      <c r="O962" s="9">
        <v>30</v>
      </c>
      <c r="P962" s="10">
        <v>30</v>
      </c>
      <c r="Q962" s="49">
        <f t="shared" si="923"/>
        <v>60</v>
      </c>
      <c r="R962" s="12">
        <v>30</v>
      </c>
      <c r="S962" s="9">
        <v>30</v>
      </c>
      <c r="T962" s="10">
        <v>30</v>
      </c>
      <c r="U962" s="49">
        <f t="shared" si="924"/>
        <v>90</v>
      </c>
      <c r="V962" s="11">
        <f t="shared" si="925"/>
        <v>150</v>
      </c>
      <c r="W962" s="140">
        <v>45117</v>
      </c>
      <c r="X962" s="82"/>
      <c r="Y962" s="82"/>
    </row>
    <row r="963" spans="1:25" x14ac:dyDescent="0.15">
      <c r="A963" s="25" t="s">
        <v>33</v>
      </c>
      <c r="B963" s="8"/>
      <c r="C963" s="9"/>
      <c r="D963" s="10"/>
      <c r="E963" s="49">
        <f t="shared" si="926"/>
        <v>0</v>
      </c>
      <c r="F963" s="12">
        <v>1</v>
      </c>
      <c r="G963" s="9"/>
      <c r="H963" s="10">
        <v>2</v>
      </c>
      <c r="I963" s="49">
        <f t="shared" si="927"/>
        <v>3</v>
      </c>
      <c r="J963" s="11">
        <f t="shared" si="928"/>
        <v>3</v>
      </c>
      <c r="K963" s="71">
        <v>45105</v>
      </c>
      <c r="M963" s="26" t="s">
        <v>366</v>
      </c>
      <c r="N963" s="8">
        <v>20</v>
      </c>
      <c r="O963" s="9">
        <v>20</v>
      </c>
      <c r="P963" s="10">
        <v>10</v>
      </c>
      <c r="Q963" s="49">
        <f t="shared" si="923"/>
        <v>50</v>
      </c>
      <c r="R963" s="12">
        <v>20</v>
      </c>
      <c r="S963" s="9">
        <v>10</v>
      </c>
      <c r="T963" s="10">
        <v>10</v>
      </c>
      <c r="U963" s="49">
        <f t="shared" si="924"/>
        <v>40</v>
      </c>
      <c r="V963" s="11">
        <f t="shared" si="925"/>
        <v>90</v>
      </c>
      <c r="W963" s="140">
        <v>45120</v>
      </c>
    </row>
    <row r="964" spans="1:25" x14ac:dyDescent="0.15">
      <c r="A964" s="25" t="s">
        <v>33</v>
      </c>
      <c r="B964" s="8"/>
      <c r="C964" s="9"/>
      <c r="D964" s="10"/>
      <c r="E964" s="49">
        <f t="shared" si="926"/>
        <v>0</v>
      </c>
      <c r="F964" s="12">
        <v>1</v>
      </c>
      <c r="G964" s="9"/>
      <c r="H964" s="10"/>
      <c r="I964" s="49">
        <f t="shared" si="927"/>
        <v>1</v>
      </c>
      <c r="J964" s="11">
        <f t="shared" si="928"/>
        <v>1</v>
      </c>
      <c r="K964" s="71">
        <v>45106</v>
      </c>
      <c r="M964" s="25" t="s">
        <v>329</v>
      </c>
      <c r="N964" s="8">
        <v>3</v>
      </c>
      <c r="O964" s="9">
        <v>1</v>
      </c>
      <c r="P964" s="10"/>
      <c r="Q964" s="49">
        <f>SUM(N964:P964)</f>
        <v>4</v>
      </c>
      <c r="R964" s="12">
        <v>3</v>
      </c>
      <c r="S964" s="9">
        <v>1</v>
      </c>
      <c r="T964" s="10"/>
      <c r="U964" s="49">
        <f>SUM(R964:T964)</f>
        <v>4</v>
      </c>
      <c r="V964" s="11">
        <f>Q964+U964</f>
        <v>8</v>
      </c>
      <c r="W964" s="140">
        <v>45119</v>
      </c>
    </row>
    <row r="965" spans="1:25" x14ac:dyDescent="0.15">
      <c r="A965" s="25" t="s">
        <v>436</v>
      </c>
      <c r="B965" s="8">
        <v>1</v>
      </c>
      <c r="C965" s="9"/>
      <c r="D965" s="10">
        <v>4</v>
      </c>
      <c r="E965" s="49">
        <f t="shared" si="926"/>
        <v>5</v>
      </c>
      <c r="F965" s="12">
        <v>1</v>
      </c>
      <c r="G965" s="9"/>
      <c r="H965" s="10">
        <v>4</v>
      </c>
      <c r="I965" s="49">
        <f t="shared" si="927"/>
        <v>5</v>
      </c>
      <c r="J965" s="11">
        <f t="shared" si="928"/>
        <v>10</v>
      </c>
      <c r="K965" s="63">
        <v>45110</v>
      </c>
      <c r="M965" s="23" t="s">
        <v>28</v>
      </c>
      <c r="N965" s="8">
        <v>10</v>
      </c>
      <c r="O965" s="9"/>
      <c r="P965" s="10">
        <v>5</v>
      </c>
      <c r="Q965" s="49">
        <f t="shared" ref="Q965:Q986" si="929">SUM(N965:P965)</f>
        <v>15</v>
      </c>
      <c r="R965" s="12">
        <v>10</v>
      </c>
      <c r="S965" s="9"/>
      <c r="T965" s="10"/>
      <c r="U965" s="49">
        <f t="shared" ref="U965:U986" si="930">SUM(R965:T965)</f>
        <v>10</v>
      </c>
      <c r="V965" s="11">
        <f t="shared" ref="V965:V983" si="931">Q965+U965</f>
        <v>25</v>
      </c>
      <c r="W965" s="140">
        <v>45119</v>
      </c>
    </row>
    <row r="966" spans="1:25" x14ac:dyDescent="0.15">
      <c r="A966" s="25" t="s">
        <v>33</v>
      </c>
      <c r="B966" s="8"/>
      <c r="C966" s="9">
        <v>1</v>
      </c>
      <c r="D966" s="10"/>
      <c r="E966" s="49">
        <f t="shared" si="926"/>
        <v>1</v>
      </c>
      <c r="F966" s="12"/>
      <c r="G966" s="9"/>
      <c r="H966" s="10"/>
      <c r="I966" s="49">
        <f t="shared" si="927"/>
        <v>0</v>
      </c>
      <c r="J966" s="11">
        <f t="shared" si="928"/>
        <v>1</v>
      </c>
      <c r="K966" s="71">
        <v>45108</v>
      </c>
      <c r="M966" s="23" t="s">
        <v>28</v>
      </c>
      <c r="N966" s="8"/>
      <c r="O966" s="9">
        <v>5</v>
      </c>
      <c r="P966" s="52"/>
      <c r="Q966" s="11">
        <f t="shared" si="929"/>
        <v>5</v>
      </c>
      <c r="R966" s="12">
        <v>5</v>
      </c>
      <c r="S966" s="9">
        <v>10</v>
      </c>
      <c r="T966" s="10">
        <v>5</v>
      </c>
      <c r="U966" s="11">
        <f t="shared" si="930"/>
        <v>20</v>
      </c>
      <c r="V966" s="11">
        <f t="shared" si="931"/>
        <v>25</v>
      </c>
      <c r="W966" s="140">
        <v>45122</v>
      </c>
      <c r="X966" s="82"/>
    </row>
    <row r="967" spans="1:25" x14ac:dyDescent="0.15">
      <c r="A967" s="25" t="s">
        <v>329</v>
      </c>
      <c r="B967" s="8"/>
      <c r="C967" s="9">
        <v>2</v>
      </c>
      <c r="D967" s="10">
        <v>1</v>
      </c>
      <c r="E967" s="49">
        <f t="shared" si="926"/>
        <v>3</v>
      </c>
      <c r="F967" s="12"/>
      <c r="G967" s="9">
        <v>2</v>
      </c>
      <c r="H967" s="10">
        <v>1</v>
      </c>
      <c r="I967" s="49">
        <f t="shared" si="927"/>
        <v>3</v>
      </c>
      <c r="J967" s="11">
        <f t="shared" si="928"/>
        <v>6</v>
      </c>
      <c r="K967" s="63">
        <v>45111</v>
      </c>
      <c r="M967" s="25" t="s">
        <v>329</v>
      </c>
      <c r="N967" s="8"/>
      <c r="O967" s="9">
        <v>1</v>
      </c>
      <c r="P967" s="10">
        <v>1</v>
      </c>
      <c r="Q967" s="49">
        <f t="shared" si="929"/>
        <v>2</v>
      </c>
      <c r="R967" s="12"/>
      <c r="S967" s="9">
        <v>1</v>
      </c>
      <c r="T967" s="10">
        <v>1</v>
      </c>
      <c r="U967" s="49">
        <f t="shared" si="930"/>
        <v>2</v>
      </c>
      <c r="V967" s="11">
        <f t="shared" si="931"/>
        <v>4</v>
      </c>
      <c r="W967" s="140">
        <v>45127</v>
      </c>
    </row>
    <row r="968" spans="1:25" x14ac:dyDescent="0.15">
      <c r="A968" s="25" t="s">
        <v>33</v>
      </c>
      <c r="B968" s="13">
        <v>2</v>
      </c>
      <c r="C968" s="14"/>
      <c r="D968" s="15"/>
      <c r="E968" s="49">
        <f t="shared" si="926"/>
        <v>2</v>
      </c>
      <c r="F968" s="16">
        <v>1</v>
      </c>
      <c r="G968" s="14"/>
      <c r="H968" s="15"/>
      <c r="I968" s="49">
        <f t="shared" si="927"/>
        <v>1</v>
      </c>
      <c r="J968" s="11">
        <f t="shared" si="928"/>
        <v>3</v>
      </c>
      <c r="K968" s="63">
        <v>45110</v>
      </c>
      <c r="M968" s="25" t="s">
        <v>329</v>
      </c>
      <c r="N968" s="8">
        <v>2</v>
      </c>
      <c r="O968" s="9"/>
      <c r="P968" s="10"/>
      <c r="Q968" s="49">
        <f t="shared" si="929"/>
        <v>2</v>
      </c>
      <c r="R968" s="12">
        <v>2</v>
      </c>
      <c r="S968" s="9"/>
      <c r="T968" s="10"/>
      <c r="U968" s="49">
        <f t="shared" si="930"/>
        <v>2</v>
      </c>
      <c r="V968" s="11">
        <f t="shared" si="931"/>
        <v>4</v>
      </c>
      <c r="W968" s="140">
        <v>45131</v>
      </c>
    </row>
    <row r="969" spans="1:25" x14ac:dyDescent="0.15">
      <c r="A969" s="25" t="s">
        <v>439</v>
      </c>
      <c r="B969" s="13">
        <v>5</v>
      </c>
      <c r="C969" s="14">
        <v>10</v>
      </c>
      <c r="D969" s="15">
        <v>5</v>
      </c>
      <c r="E969" s="49">
        <f t="shared" si="926"/>
        <v>20</v>
      </c>
      <c r="F969" s="16">
        <v>10</v>
      </c>
      <c r="G969" s="14">
        <v>5</v>
      </c>
      <c r="H969" s="15">
        <v>5</v>
      </c>
      <c r="I969" s="49">
        <f t="shared" si="927"/>
        <v>20</v>
      </c>
      <c r="J969" s="11">
        <f t="shared" si="928"/>
        <v>40</v>
      </c>
      <c r="K969" s="63">
        <v>45113</v>
      </c>
      <c r="M969" s="23" t="s">
        <v>28</v>
      </c>
      <c r="N969" s="13"/>
      <c r="O969" s="14">
        <v>10</v>
      </c>
      <c r="P969" s="15">
        <v>10</v>
      </c>
      <c r="Q969" s="49">
        <f t="shared" si="929"/>
        <v>20</v>
      </c>
      <c r="R969" s="16">
        <v>10</v>
      </c>
      <c r="S969" s="14">
        <v>10</v>
      </c>
      <c r="T969" s="15">
        <v>15</v>
      </c>
      <c r="U969" s="49">
        <f t="shared" si="930"/>
        <v>35</v>
      </c>
      <c r="V969" s="11">
        <f t="shared" si="931"/>
        <v>55</v>
      </c>
      <c r="W969" s="140">
        <v>45131</v>
      </c>
    </row>
    <row r="970" spans="1:25" x14ac:dyDescent="0.15">
      <c r="A970" s="25" t="s">
        <v>33</v>
      </c>
      <c r="B970" s="8"/>
      <c r="C970" s="9"/>
      <c r="D970" s="10">
        <v>1</v>
      </c>
      <c r="E970" s="49">
        <f t="shared" si="926"/>
        <v>1</v>
      </c>
      <c r="F970" s="12">
        <v>1</v>
      </c>
      <c r="G970" s="9"/>
      <c r="H970" s="10"/>
      <c r="I970" s="49">
        <f t="shared" si="927"/>
        <v>1</v>
      </c>
      <c r="J970" s="11">
        <f t="shared" si="928"/>
        <v>2</v>
      </c>
      <c r="K970" s="71">
        <v>45112</v>
      </c>
      <c r="M970" s="26" t="s">
        <v>375</v>
      </c>
      <c r="N970" s="8">
        <v>20</v>
      </c>
      <c r="O970" s="9"/>
      <c r="P970" s="10">
        <v>10</v>
      </c>
      <c r="Q970" s="49">
        <f t="shared" si="929"/>
        <v>30</v>
      </c>
      <c r="R970" s="12">
        <v>20</v>
      </c>
      <c r="S970" s="9">
        <v>60</v>
      </c>
      <c r="T970" s="10">
        <v>30</v>
      </c>
      <c r="U970" s="49">
        <f t="shared" si="930"/>
        <v>110</v>
      </c>
      <c r="V970" s="11">
        <f t="shared" si="931"/>
        <v>140</v>
      </c>
      <c r="W970" s="140">
        <v>45134</v>
      </c>
    </row>
    <row r="971" spans="1:25" x14ac:dyDescent="0.15">
      <c r="A971" s="25" t="s">
        <v>329</v>
      </c>
      <c r="B971" s="8">
        <v>1</v>
      </c>
      <c r="C971" s="9"/>
      <c r="D971" s="10"/>
      <c r="E971" s="49">
        <f t="shared" si="926"/>
        <v>1</v>
      </c>
      <c r="F971" s="12">
        <v>1</v>
      </c>
      <c r="G971" s="9"/>
      <c r="H971" s="10"/>
      <c r="I971" s="49">
        <f t="shared" si="927"/>
        <v>1</v>
      </c>
      <c r="J971" s="11">
        <f t="shared" si="928"/>
        <v>2</v>
      </c>
      <c r="K971" s="63">
        <v>45114</v>
      </c>
      <c r="M971" s="23" t="s">
        <v>28</v>
      </c>
      <c r="N971" s="8"/>
      <c r="O971" s="9"/>
      <c r="P971" s="10"/>
      <c r="Q971" s="49">
        <f t="shared" si="929"/>
        <v>0</v>
      </c>
      <c r="R971" s="12">
        <v>10</v>
      </c>
      <c r="S971" s="9"/>
      <c r="T971" s="10"/>
      <c r="U971" s="49">
        <f t="shared" si="930"/>
        <v>10</v>
      </c>
      <c r="V971" s="11">
        <f t="shared" si="931"/>
        <v>10</v>
      </c>
      <c r="W971" s="140">
        <v>45134</v>
      </c>
    </row>
    <row r="972" spans="1:25" x14ac:dyDescent="0.15">
      <c r="A972" s="25" t="s">
        <v>33</v>
      </c>
      <c r="B972" s="8"/>
      <c r="C972" s="9">
        <v>1</v>
      </c>
      <c r="D972" s="10"/>
      <c r="E972" s="49">
        <f t="shared" si="926"/>
        <v>1</v>
      </c>
      <c r="F972" s="12"/>
      <c r="G972" s="9">
        <v>2</v>
      </c>
      <c r="H972" s="10"/>
      <c r="I972" s="49">
        <f t="shared" si="927"/>
        <v>2</v>
      </c>
      <c r="J972" s="11">
        <f t="shared" si="928"/>
        <v>3</v>
      </c>
      <c r="K972" s="71">
        <v>45113</v>
      </c>
      <c r="M972" s="26"/>
      <c r="N972" s="8"/>
      <c r="O972" s="9"/>
      <c r="P972" s="10"/>
      <c r="Q972" s="49">
        <f t="shared" si="929"/>
        <v>0</v>
      </c>
      <c r="R972" s="12"/>
      <c r="S972" s="9"/>
      <c r="T972" s="10"/>
      <c r="U972" s="49">
        <f t="shared" si="930"/>
        <v>0</v>
      </c>
      <c r="V972" s="11">
        <f t="shared" si="931"/>
        <v>0</v>
      </c>
    </row>
    <row r="973" spans="1:25" x14ac:dyDescent="0.15">
      <c r="A973" s="25" t="s">
        <v>33</v>
      </c>
      <c r="B973" s="8">
        <v>1</v>
      </c>
      <c r="C973" s="9"/>
      <c r="D973" s="10"/>
      <c r="E973" s="49">
        <f t="shared" si="926"/>
        <v>1</v>
      </c>
      <c r="F973" s="12">
        <v>1</v>
      </c>
      <c r="G973" s="9"/>
      <c r="H973" s="10"/>
      <c r="I973" s="49">
        <f t="shared" si="927"/>
        <v>1</v>
      </c>
      <c r="J973" s="11">
        <f t="shared" si="928"/>
        <v>2</v>
      </c>
      <c r="K973" s="71">
        <v>45114</v>
      </c>
      <c r="M973" s="102"/>
      <c r="N973" s="8"/>
      <c r="O973" s="9"/>
      <c r="P973" s="10"/>
      <c r="Q973" s="49">
        <f t="shared" si="929"/>
        <v>0</v>
      </c>
      <c r="R973" s="12"/>
      <c r="S973" s="9"/>
      <c r="T973" s="10"/>
      <c r="U973" s="49">
        <f t="shared" si="930"/>
        <v>0</v>
      </c>
      <c r="V973" s="11">
        <f t="shared" si="931"/>
        <v>0</v>
      </c>
    </row>
    <row r="974" spans="1:25" x14ac:dyDescent="0.15">
      <c r="A974" s="25" t="s">
        <v>33</v>
      </c>
      <c r="B974" s="8">
        <v>4</v>
      </c>
      <c r="C974" s="9">
        <v>1</v>
      </c>
      <c r="D974" s="10">
        <v>2</v>
      </c>
      <c r="E974" s="49">
        <f t="shared" si="926"/>
        <v>7</v>
      </c>
      <c r="F974" s="12">
        <v>4</v>
      </c>
      <c r="G974" s="9"/>
      <c r="H974" s="10"/>
      <c r="I974" s="49">
        <f t="shared" si="927"/>
        <v>4</v>
      </c>
      <c r="J974" s="11">
        <f t="shared" si="928"/>
        <v>11</v>
      </c>
      <c r="K974" s="63">
        <v>45117</v>
      </c>
      <c r="M974" s="26"/>
      <c r="N974" s="8"/>
      <c r="O974" s="9"/>
      <c r="P974" s="10"/>
      <c r="Q974" s="49">
        <f t="shared" si="929"/>
        <v>0</v>
      </c>
      <c r="R974" s="12"/>
      <c r="S974" s="9"/>
      <c r="T974" s="10"/>
      <c r="U974" s="49">
        <f t="shared" si="930"/>
        <v>0</v>
      </c>
      <c r="V974" s="11">
        <f t="shared" si="931"/>
        <v>0</v>
      </c>
    </row>
    <row r="975" spans="1:25" x14ac:dyDescent="0.15">
      <c r="A975" s="25" t="s">
        <v>33</v>
      </c>
      <c r="B975" s="8"/>
      <c r="C975" s="9">
        <v>1</v>
      </c>
      <c r="D975" s="10"/>
      <c r="E975" s="49">
        <f t="shared" si="926"/>
        <v>1</v>
      </c>
      <c r="F975" s="12">
        <v>2</v>
      </c>
      <c r="G975" s="9"/>
      <c r="H975" s="10"/>
      <c r="I975" s="49">
        <f t="shared" si="927"/>
        <v>2</v>
      </c>
      <c r="J975" s="11">
        <f t="shared" si="928"/>
        <v>3</v>
      </c>
      <c r="K975" s="63">
        <v>45118</v>
      </c>
      <c r="M975" s="26"/>
      <c r="N975" s="8"/>
      <c r="O975" s="9"/>
      <c r="P975" s="10"/>
      <c r="Q975" s="49">
        <f t="shared" si="929"/>
        <v>0</v>
      </c>
      <c r="R975" s="12"/>
      <c r="S975" s="9"/>
      <c r="T975" s="10"/>
      <c r="U975" s="49">
        <f t="shared" si="930"/>
        <v>0</v>
      </c>
      <c r="V975" s="11">
        <f t="shared" si="931"/>
        <v>0</v>
      </c>
    </row>
    <row r="976" spans="1:25" x14ac:dyDescent="0.15">
      <c r="A976" s="25" t="s">
        <v>424</v>
      </c>
      <c r="B976" s="8">
        <v>5</v>
      </c>
      <c r="C976" s="9"/>
      <c r="D976" s="10"/>
      <c r="E976" s="49">
        <f t="shared" si="926"/>
        <v>5</v>
      </c>
      <c r="F976" s="12">
        <v>5</v>
      </c>
      <c r="G976" s="9">
        <v>5</v>
      </c>
      <c r="H976" s="10"/>
      <c r="I976" s="49">
        <f t="shared" si="927"/>
        <v>10</v>
      </c>
      <c r="J976" s="11">
        <f t="shared" si="928"/>
        <v>15</v>
      </c>
      <c r="K976" s="63">
        <v>45120</v>
      </c>
      <c r="M976" s="26"/>
      <c r="N976" s="8"/>
      <c r="O976" s="9"/>
      <c r="P976" s="10"/>
      <c r="Q976" s="49">
        <f t="shared" si="929"/>
        <v>0</v>
      </c>
      <c r="R976" s="12"/>
      <c r="S976" s="9"/>
      <c r="T976" s="10"/>
      <c r="U976" s="49">
        <f t="shared" si="930"/>
        <v>0</v>
      </c>
      <c r="V976" s="11">
        <f t="shared" si="931"/>
        <v>0</v>
      </c>
    </row>
    <row r="977" spans="1:22" x14ac:dyDescent="0.15">
      <c r="A977" s="25" t="s">
        <v>33</v>
      </c>
      <c r="B977" s="8">
        <v>2</v>
      </c>
      <c r="C977" s="9">
        <v>1</v>
      </c>
      <c r="D977" s="10"/>
      <c r="E977" s="49">
        <f t="shared" si="926"/>
        <v>3</v>
      </c>
      <c r="F977" s="12"/>
      <c r="G977" s="9"/>
      <c r="H977" s="10"/>
      <c r="I977" s="49">
        <f t="shared" si="927"/>
        <v>0</v>
      </c>
      <c r="J977" s="11">
        <f t="shared" si="928"/>
        <v>3</v>
      </c>
      <c r="K977" s="63">
        <v>45120</v>
      </c>
      <c r="M977" s="24"/>
      <c r="N977" s="8"/>
      <c r="O977" s="9"/>
      <c r="P977" s="10"/>
      <c r="Q977" s="49">
        <f t="shared" si="929"/>
        <v>0</v>
      </c>
      <c r="R977" s="12"/>
      <c r="S977" s="9"/>
      <c r="T977" s="10"/>
      <c r="U977" s="49">
        <f t="shared" si="930"/>
        <v>0</v>
      </c>
      <c r="V977" s="11">
        <f t="shared" si="931"/>
        <v>0</v>
      </c>
    </row>
    <row r="978" spans="1:22" x14ac:dyDescent="0.15">
      <c r="A978" s="25" t="s">
        <v>329</v>
      </c>
      <c r="B978" s="8">
        <v>1</v>
      </c>
      <c r="C978" s="9"/>
      <c r="D978" s="10"/>
      <c r="E978" s="49">
        <f t="shared" si="926"/>
        <v>1</v>
      </c>
      <c r="F978" s="12">
        <v>1</v>
      </c>
      <c r="G978" s="9"/>
      <c r="H978" s="10"/>
      <c r="I978" s="49">
        <f t="shared" si="927"/>
        <v>1</v>
      </c>
      <c r="J978" s="11">
        <f t="shared" si="928"/>
        <v>2</v>
      </c>
      <c r="K978" s="63">
        <v>45126</v>
      </c>
      <c r="M978" s="26"/>
      <c r="N978" s="8"/>
      <c r="O978" s="9"/>
      <c r="P978" s="10"/>
      <c r="Q978" s="49">
        <f t="shared" si="929"/>
        <v>0</v>
      </c>
      <c r="R978" s="12"/>
      <c r="S978" s="9"/>
      <c r="T978" s="10"/>
      <c r="U978" s="49">
        <f t="shared" si="930"/>
        <v>0</v>
      </c>
      <c r="V978" s="11">
        <f t="shared" si="931"/>
        <v>0</v>
      </c>
    </row>
    <row r="979" spans="1:22" x14ac:dyDescent="0.15">
      <c r="A979" s="25" t="s">
        <v>33</v>
      </c>
      <c r="B979" s="8">
        <v>1</v>
      </c>
      <c r="C979" s="9"/>
      <c r="D979" s="10">
        <v>1</v>
      </c>
      <c r="E979" s="49">
        <f t="shared" si="926"/>
        <v>2</v>
      </c>
      <c r="F979" s="12"/>
      <c r="G979" s="9"/>
      <c r="H979" s="10">
        <v>1</v>
      </c>
      <c r="I979" s="49">
        <f t="shared" si="927"/>
        <v>1</v>
      </c>
      <c r="J979" s="11">
        <f t="shared" si="928"/>
        <v>3</v>
      </c>
      <c r="K979" s="71">
        <v>45125</v>
      </c>
      <c r="M979" s="26"/>
      <c r="N979" s="8"/>
      <c r="O979" s="9"/>
      <c r="P979" s="10"/>
      <c r="Q979" s="49">
        <f t="shared" si="929"/>
        <v>0</v>
      </c>
      <c r="R979" s="12"/>
      <c r="S979" s="9"/>
      <c r="T979" s="10"/>
      <c r="U979" s="49">
        <f t="shared" si="930"/>
        <v>0</v>
      </c>
      <c r="V979" s="11">
        <f t="shared" si="931"/>
        <v>0</v>
      </c>
    </row>
    <row r="980" spans="1:22" x14ac:dyDescent="0.15">
      <c r="A980" s="25" t="s">
        <v>447</v>
      </c>
      <c r="B980" s="8"/>
      <c r="C980" s="9">
        <v>5</v>
      </c>
      <c r="D980" s="10">
        <v>3</v>
      </c>
      <c r="E980" s="49">
        <f t="shared" si="926"/>
        <v>8</v>
      </c>
      <c r="F980" s="12">
        <v>5</v>
      </c>
      <c r="G980" s="9">
        <v>10</v>
      </c>
      <c r="H980" s="10">
        <v>10</v>
      </c>
      <c r="I980" s="49">
        <f t="shared" si="927"/>
        <v>25</v>
      </c>
      <c r="J980" s="11">
        <f t="shared" si="928"/>
        <v>33</v>
      </c>
      <c r="K980" s="63">
        <v>45128</v>
      </c>
      <c r="M980" s="26"/>
      <c r="N980" s="8"/>
      <c r="O980" s="9"/>
      <c r="P980" s="10"/>
      <c r="Q980" s="49">
        <f t="shared" si="929"/>
        <v>0</v>
      </c>
      <c r="R980" s="12"/>
      <c r="S980" s="9"/>
      <c r="T980" s="10"/>
      <c r="U980" s="49">
        <f t="shared" si="930"/>
        <v>0</v>
      </c>
      <c r="V980" s="11">
        <f t="shared" si="931"/>
        <v>0</v>
      </c>
    </row>
    <row r="981" spans="1:22" x14ac:dyDescent="0.15">
      <c r="A981" s="25" t="s">
        <v>33</v>
      </c>
      <c r="B981" s="13"/>
      <c r="C981" s="14"/>
      <c r="D981" s="15"/>
      <c r="E981" s="49">
        <f t="shared" si="926"/>
        <v>0</v>
      </c>
      <c r="F981" s="16">
        <v>1</v>
      </c>
      <c r="G981" s="14"/>
      <c r="H981" s="15"/>
      <c r="I981" s="49">
        <f t="shared" si="927"/>
        <v>1</v>
      </c>
      <c r="J981" s="11">
        <f t="shared" si="928"/>
        <v>1</v>
      </c>
      <c r="K981" s="71">
        <v>45127</v>
      </c>
      <c r="M981" s="26"/>
      <c r="N981" s="8"/>
      <c r="O981" s="9"/>
      <c r="P981" s="10"/>
      <c r="Q981" s="49">
        <f t="shared" si="929"/>
        <v>0</v>
      </c>
      <c r="R981" s="12"/>
      <c r="S981" s="9"/>
      <c r="T981" s="10"/>
      <c r="U981" s="49">
        <f t="shared" si="930"/>
        <v>0</v>
      </c>
      <c r="V981" s="11">
        <f t="shared" si="931"/>
        <v>0</v>
      </c>
    </row>
    <row r="982" spans="1:22" x14ac:dyDescent="0.15">
      <c r="A982" s="25" t="s">
        <v>33</v>
      </c>
      <c r="B982" s="8"/>
      <c r="C982" s="9">
        <v>2</v>
      </c>
      <c r="D982" s="10"/>
      <c r="E982" s="49">
        <f t="shared" si="926"/>
        <v>2</v>
      </c>
      <c r="F982" s="12"/>
      <c r="G982" s="9">
        <v>1</v>
      </c>
      <c r="H982" s="10"/>
      <c r="I982" s="49">
        <f t="shared" si="927"/>
        <v>1</v>
      </c>
      <c r="J982" s="11">
        <f t="shared" si="928"/>
        <v>3</v>
      </c>
      <c r="K982" s="71">
        <v>45128</v>
      </c>
      <c r="M982" s="26"/>
      <c r="N982" s="8"/>
      <c r="O982" s="9"/>
      <c r="P982" s="10"/>
      <c r="Q982" s="49">
        <f t="shared" si="929"/>
        <v>0</v>
      </c>
      <c r="R982" s="12"/>
      <c r="S982" s="9"/>
      <c r="T982" s="10"/>
      <c r="U982" s="49">
        <f t="shared" si="930"/>
        <v>0</v>
      </c>
      <c r="V982" s="11">
        <f t="shared" si="931"/>
        <v>0</v>
      </c>
    </row>
    <row r="983" spans="1:22" x14ac:dyDescent="0.15">
      <c r="A983" s="25" t="s">
        <v>33</v>
      </c>
      <c r="B983" s="8"/>
      <c r="C983" s="9">
        <v>1</v>
      </c>
      <c r="D983" s="10"/>
      <c r="E983" s="49">
        <f t="shared" si="926"/>
        <v>1</v>
      </c>
      <c r="F983" s="12">
        <v>1</v>
      </c>
      <c r="G983" s="9"/>
      <c r="H983" s="10"/>
      <c r="I983" s="49">
        <f t="shared" si="927"/>
        <v>1</v>
      </c>
      <c r="J983" s="11">
        <f t="shared" si="928"/>
        <v>2</v>
      </c>
      <c r="K983" s="71">
        <v>45131</v>
      </c>
      <c r="M983" s="26"/>
      <c r="N983" s="8"/>
      <c r="O983" s="9"/>
      <c r="P983" s="10"/>
      <c r="Q983" s="49">
        <f t="shared" si="929"/>
        <v>0</v>
      </c>
      <c r="R983" s="12"/>
      <c r="S983" s="9"/>
      <c r="T983" s="10"/>
      <c r="U983" s="49">
        <f t="shared" si="930"/>
        <v>0</v>
      </c>
      <c r="V983" s="11">
        <f t="shared" si="931"/>
        <v>0</v>
      </c>
    </row>
    <row r="984" spans="1:22" x14ac:dyDescent="0.15">
      <c r="A984" s="25" t="s">
        <v>329</v>
      </c>
      <c r="B984" s="8"/>
      <c r="C984" s="9">
        <v>1</v>
      </c>
      <c r="D984" s="10"/>
      <c r="E984" s="49">
        <f t="shared" si="926"/>
        <v>1</v>
      </c>
      <c r="F984" s="12"/>
      <c r="G984" s="9">
        <v>1</v>
      </c>
      <c r="H984" s="10"/>
      <c r="I984" s="49">
        <f t="shared" si="927"/>
        <v>1</v>
      </c>
      <c r="J984" s="11">
        <f t="shared" si="928"/>
        <v>2</v>
      </c>
      <c r="K984" s="63">
        <v>45134</v>
      </c>
      <c r="M984" s="26"/>
      <c r="N984" s="8"/>
      <c r="O984" s="9"/>
      <c r="P984" s="10"/>
      <c r="Q984" s="49">
        <f t="shared" ref="Q984:Q985" si="932">SUM(N984:P984)</f>
        <v>0</v>
      </c>
      <c r="R984" s="12"/>
      <c r="S984" s="9"/>
      <c r="T984" s="10"/>
      <c r="U984" s="49">
        <f t="shared" ref="U984:U985" si="933">SUM(R984:T984)</f>
        <v>0</v>
      </c>
      <c r="V984" s="11">
        <f t="shared" ref="V984:V985" si="934">Q984+U984</f>
        <v>0</v>
      </c>
    </row>
    <row r="985" spans="1:22" ht="14.25" thickBot="1" x14ac:dyDescent="0.2">
      <c r="A985" s="25" t="s">
        <v>450</v>
      </c>
      <c r="B985" s="8">
        <v>7</v>
      </c>
      <c r="C985" s="9"/>
      <c r="D985" s="10"/>
      <c r="E985" s="49">
        <f t="shared" ref="E985" si="935">SUM(B985:D985)</f>
        <v>7</v>
      </c>
      <c r="F985" s="12">
        <v>19</v>
      </c>
      <c r="G985" s="9">
        <v>5</v>
      </c>
      <c r="H985" s="10">
        <v>5</v>
      </c>
      <c r="I985" s="49">
        <f t="shared" ref="I985" si="936">SUM(F985:H985)</f>
        <v>29</v>
      </c>
      <c r="J985" s="11">
        <f t="shared" ref="J985" si="937">E985+I985</f>
        <v>36</v>
      </c>
      <c r="K985" s="63">
        <v>45134</v>
      </c>
      <c r="M985" s="26"/>
      <c r="N985" s="8"/>
      <c r="O985" s="9"/>
      <c r="P985" s="10"/>
      <c r="Q985" s="49">
        <f t="shared" si="932"/>
        <v>0</v>
      </c>
      <c r="R985" s="12"/>
      <c r="S985" s="9"/>
      <c r="T985" s="10"/>
      <c r="U985" s="49">
        <f t="shared" si="933"/>
        <v>0</v>
      </c>
      <c r="V985" s="11">
        <f t="shared" si="934"/>
        <v>0</v>
      </c>
    </row>
    <row r="986" spans="1:22" ht="14.25" thickBot="1" x14ac:dyDescent="0.2">
      <c r="A986" s="41" t="s">
        <v>19</v>
      </c>
      <c r="B986" s="46">
        <f>SUM(B960:B985)</f>
        <v>37</v>
      </c>
      <c r="C986" s="47">
        <f t="shared" ref="C986:D986" si="938">SUM(C960:C985)</f>
        <v>37</v>
      </c>
      <c r="D986" s="59">
        <f t="shared" si="938"/>
        <v>20</v>
      </c>
      <c r="E986" s="45">
        <f t="shared" si="926"/>
        <v>94</v>
      </c>
      <c r="F986" s="46">
        <f>SUM(F960:F985)</f>
        <v>60</v>
      </c>
      <c r="G986" s="47">
        <f t="shared" ref="G986:H986" si="939">SUM(G960:G985)</f>
        <v>34</v>
      </c>
      <c r="H986" s="59">
        <f t="shared" si="939"/>
        <v>33</v>
      </c>
      <c r="I986" s="45">
        <f t="shared" si="927"/>
        <v>127</v>
      </c>
      <c r="J986" s="45">
        <f>E986+I986</f>
        <v>221</v>
      </c>
      <c r="M986" s="41" t="s">
        <v>19</v>
      </c>
      <c r="N986" s="46">
        <f>SUM(N960:N985)</f>
        <v>57</v>
      </c>
      <c r="O986" s="47">
        <f t="shared" ref="O986:P986" si="940">SUM(O960:O985)</f>
        <v>77</v>
      </c>
      <c r="P986" s="59">
        <f t="shared" si="940"/>
        <v>68</v>
      </c>
      <c r="Q986" s="45">
        <f t="shared" si="929"/>
        <v>202</v>
      </c>
      <c r="R986" s="46">
        <f>SUM(R960:R985)</f>
        <v>112</v>
      </c>
      <c r="S986" s="47">
        <f t="shared" ref="S986:T986" si="941">SUM(S960:S985)</f>
        <v>122</v>
      </c>
      <c r="T986" s="59">
        <f t="shared" si="941"/>
        <v>103</v>
      </c>
      <c r="U986" s="45">
        <f t="shared" si="930"/>
        <v>337</v>
      </c>
      <c r="V986" s="45">
        <f>Q986+U986</f>
        <v>539</v>
      </c>
    </row>
    <row r="987" spans="1:22" ht="14.25" thickBot="1" x14ac:dyDescent="0.2">
      <c r="A987" s="22" t="s">
        <v>17</v>
      </c>
      <c r="B987" s="50">
        <f>B959-B986</f>
        <v>4</v>
      </c>
      <c r="C987" s="57">
        <f t="shared" ref="C987:D987" si="942">C959-C986</f>
        <v>23</v>
      </c>
      <c r="D987" s="58">
        <f t="shared" si="942"/>
        <v>22</v>
      </c>
      <c r="E987" s="56">
        <f>SUM(B987:D987)</f>
        <v>49</v>
      </c>
      <c r="F987" s="50">
        <f>F959-F986</f>
        <v>12</v>
      </c>
      <c r="G987" s="57">
        <f t="shared" ref="G987:H987" si="943">G959-G986</f>
        <v>16</v>
      </c>
      <c r="H987" s="58">
        <f t="shared" si="943"/>
        <v>17</v>
      </c>
      <c r="I987" s="56">
        <f>SUM(F987:H987)</f>
        <v>45</v>
      </c>
      <c r="J987" s="31">
        <f>E987+I987</f>
        <v>94</v>
      </c>
      <c r="M987" s="22" t="s">
        <v>17</v>
      </c>
      <c r="N987" s="50">
        <f>N959-N986</f>
        <v>81</v>
      </c>
      <c r="O987" s="57">
        <f t="shared" ref="O987:P987" si="944">O959-O986</f>
        <v>294</v>
      </c>
      <c r="P987" s="58">
        <f t="shared" si="944"/>
        <v>465</v>
      </c>
      <c r="Q987" s="56">
        <f>SUM(N987:P987)</f>
        <v>840</v>
      </c>
      <c r="R987" s="50">
        <f>R959-R986</f>
        <v>294</v>
      </c>
      <c r="S987" s="57">
        <f t="shared" ref="S987:T987" si="945">S959-S986</f>
        <v>497</v>
      </c>
      <c r="T987" s="58">
        <f t="shared" si="945"/>
        <v>576</v>
      </c>
      <c r="U987" s="56">
        <f>SUM(R987:T987)</f>
        <v>1367</v>
      </c>
      <c r="V987" s="31">
        <f>Q987+U987</f>
        <v>2207</v>
      </c>
    </row>
    <row r="988" spans="1:22" x14ac:dyDescent="0.15">
      <c r="N988">
        <f>N963+N970+N1005</f>
        <v>75</v>
      </c>
      <c r="O988">
        <f>O963+O1003+O1005</f>
        <v>65</v>
      </c>
      <c r="P988">
        <f>P963+P970+P1003+P1005</f>
        <v>30</v>
      </c>
      <c r="Q988" s="55">
        <f>SUM(N988:P988)</f>
        <v>170</v>
      </c>
      <c r="R988">
        <f>R963+R970+R1005</f>
        <v>45</v>
      </c>
      <c r="S988">
        <f>S963+S970+S1005</f>
        <v>75</v>
      </c>
      <c r="T988">
        <f>T963+T970</f>
        <v>40</v>
      </c>
      <c r="U988" s="55">
        <f>SUM(R988:T988)</f>
        <v>160</v>
      </c>
      <c r="V988" s="55">
        <f>Q988+U988</f>
        <v>330</v>
      </c>
    </row>
    <row r="989" spans="1:22" x14ac:dyDescent="0.15">
      <c r="N989" s="108">
        <f>N988/$Q$988*100</f>
        <v>44.117647058823529</v>
      </c>
      <c r="O989" s="108">
        <f t="shared" ref="O989:Q989" si="946">O988/$Q$988*100</f>
        <v>38.235294117647058</v>
      </c>
      <c r="P989" s="108">
        <f t="shared" si="946"/>
        <v>17.647058823529413</v>
      </c>
      <c r="Q989" s="108">
        <f t="shared" si="946"/>
        <v>100</v>
      </c>
      <c r="R989" s="108">
        <f>R988/$U$988*100</f>
        <v>28.125</v>
      </c>
      <c r="S989" s="108">
        <f t="shared" ref="S989:U989" si="947">S988/$U$988*100</f>
        <v>46.875</v>
      </c>
      <c r="T989" s="108">
        <f t="shared" si="947"/>
        <v>25</v>
      </c>
      <c r="U989" s="108">
        <f t="shared" si="947"/>
        <v>100</v>
      </c>
    </row>
    <row r="990" spans="1:22" ht="19.5" thickBot="1" x14ac:dyDescent="0.25">
      <c r="A990" s="3" t="s">
        <v>21</v>
      </c>
      <c r="B990" s="1"/>
      <c r="C990" s="1"/>
      <c r="D990" s="1"/>
      <c r="E990" s="1"/>
      <c r="F990" s="1"/>
      <c r="G990" s="1"/>
      <c r="H990" s="1"/>
      <c r="I990" s="1"/>
      <c r="J990" s="1"/>
      <c r="M990" s="3" t="s">
        <v>22</v>
      </c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4.25" thickBot="1" x14ac:dyDescent="0.2">
      <c r="A991" s="7" t="s">
        <v>0</v>
      </c>
      <c r="B991" s="165" t="s">
        <v>24</v>
      </c>
      <c r="C991" s="166"/>
      <c r="D991" s="166"/>
      <c r="E991" s="170"/>
      <c r="F991" s="165" t="s">
        <v>18</v>
      </c>
      <c r="G991" s="166"/>
      <c r="H991" s="166"/>
      <c r="I991" s="167"/>
      <c r="J991" s="168" t="s">
        <v>1</v>
      </c>
      <c r="M991" s="7" t="s">
        <v>0</v>
      </c>
      <c r="N991" s="165" t="s">
        <v>24</v>
      </c>
      <c r="O991" s="166"/>
      <c r="P991" s="166"/>
      <c r="Q991" s="170"/>
      <c r="R991" s="165" t="s">
        <v>18</v>
      </c>
      <c r="S991" s="166"/>
      <c r="T991" s="166"/>
      <c r="U991" s="167"/>
      <c r="V991" s="168" t="s">
        <v>1</v>
      </c>
    </row>
    <row r="992" spans="1:22" ht="14.25" thickBot="1" x14ac:dyDescent="0.2">
      <c r="A992" s="7" t="s">
        <v>2</v>
      </c>
      <c r="B992" s="4" t="s">
        <v>3</v>
      </c>
      <c r="C992" s="5" t="s">
        <v>4</v>
      </c>
      <c r="D992" s="6" t="s">
        <v>5</v>
      </c>
      <c r="E992" s="7" t="s">
        <v>6</v>
      </c>
      <c r="F992" s="4" t="s">
        <v>3</v>
      </c>
      <c r="G992" s="5" t="s">
        <v>4</v>
      </c>
      <c r="H992" s="6" t="s">
        <v>5</v>
      </c>
      <c r="I992" s="7" t="s">
        <v>6</v>
      </c>
      <c r="J992" s="169"/>
      <c r="M992" s="7" t="s">
        <v>2</v>
      </c>
      <c r="N992" s="4" t="s">
        <v>3</v>
      </c>
      <c r="O992" s="5" t="s">
        <v>4</v>
      </c>
      <c r="P992" s="6" t="s">
        <v>5</v>
      </c>
      <c r="Q992" s="7" t="s">
        <v>6</v>
      </c>
      <c r="R992" s="4" t="s">
        <v>3</v>
      </c>
      <c r="S992" s="5" t="s">
        <v>4</v>
      </c>
      <c r="T992" s="6" t="s">
        <v>5</v>
      </c>
      <c r="U992" s="7" t="s">
        <v>6</v>
      </c>
      <c r="V992" s="169"/>
    </row>
    <row r="993" spans="1:23" ht="14.25" thickBot="1" x14ac:dyDescent="0.2">
      <c r="A993" s="27" t="s">
        <v>20</v>
      </c>
      <c r="B993" s="28">
        <f>B987</f>
        <v>4</v>
      </c>
      <c r="C993" s="29">
        <f>C987</f>
        <v>23</v>
      </c>
      <c r="D993" s="30">
        <f>D987</f>
        <v>22</v>
      </c>
      <c r="E993" s="31">
        <f>SUM(B993:D993)</f>
        <v>49</v>
      </c>
      <c r="F993" s="28">
        <f>F987</f>
        <v>12</v>
      </c>
      <c r="G993" s="29">
        <f>G987</f>
        <v>16</v>
      </c>
      <c r="H993" s="30">
        <f>H987</f>
        <v>17</v>
      </c>
      <c r="I993" s="31">
        <f>SUM(F993:H993)</f>
        <v>45</v>
      </c>
      <c r="J993" s="31">
        <f>E993+I993</f>
        <v>94</v>
      </c>
      <c r="M993" s="27" t="s">
        <v>20</v>
      </c>
      <c r="N993" s="28">
        <f>N987</f>
        <v>81</v>
      </c>
      <c r="O993" s="29">
        <f>O987</f>
        <v>294</v>
      </c>
      <c r="P993" s="30">
        <f>P987</f>
        <v>465</v>
      </c>
      <c r="Q993" s="31">
        <f>SUM(N993:P993)</f>
        <v>840</v>
      </c>
      <c r="R993" s="28">
        <f>R987</f>
        <v>294</v>
      </c>
      <c r="S993" s="29">
        <f>S987</f>
        <v>497</v>
      </c>
      <c r="T993" s="30">
        <f>T987</f>
        <v>576</v>
      </c>
      <c r="U993" s="31">
        <f>SUM(R993:T993)</f>
        <v>1367</v>
      </c>
      <c r="V993" s="31">
        <f>Q993+U993</f>
        <v>2207</v>
      </c>
    </row>
    <row r="994" spans="1:23" x14ac:dyDescent="0.15">
      <c r="A994" s="25" t="s">
        <v>8</v>
      </c>
      <c r="B994" s="17">
        <v>10</v>
      </c>
      <c r="C994" s="18"/>
      <c r="D994" s="51"/>
      <c r="E994" s="11">
        <f t="shared" ref="E994" si="948">SUM(B994:D994)</f>
        <v>10</v>
      </c>
      <c r="F994" s="20">
        <v>7</v>
      </c>
      <c r="G994" s="18">
        <v>8</v>
      </c>
      <c r="H994" s="19"/>
      <c r="I994" s="11">
        <f t="shared" ref="I994" si="949">SUM(F994:H994)</f>
        <v>15</v>
      </c>
      <c r="J994" s="11">
        <f t="shared" ref="J994" si="950">E994+I994</f>
        <v>25</v>
      </c>
      <c r="K994" s="63">
        <v>45135</v>
      </c>
      <c r="M994" s="25" t="s">
        <v>8</v>
      </c>
      <c r="N994" s="17"/>
      <c r="O994" s="18"/>
      <c r="P994" s="51"/>
      <c r="Q994" s="49">
        <f t="shared" ref="Q994:Q1000" si="951">SUM(N994:P994)</f>
        <v>0</v>
      </c>
      <c r="R994" s="20"/>
      <c r="S994" s="18"/>
      <c r="T994" s="19"/>
      <c r="U994" s="49">
        <f t="shared" ref="U994:U1000" si="952">SUM(R994:T994)</f>
        <v>0</v>
      </c>
      <c r="V994" s="49">
        <f t="shared" ref="V994:V1000" si="953">Q994+U994</f>
        <v>0</v>
      </c>
    </row>
    <row r="995" spans="1:23" x14ac:dyDescent="0.15">
      <c r="A995" s="25" t="s">
        <v>9</v>
      </c>
      <c r="B995" s="17">
        <v>10</v>
      </c>
      <c r="C995" s="18">
        <v>5</v>
      </c>
      <c r="D995" s="51"/>
      <c r="E995" s="11">
        <f t="shared" ref="E995:E1001" si="954">SUM(B995:D995)</f>
        <v>15</v>
      </c>
      <c r="F995" s="20">
        <v>5</v>
      </c>
      <c r="G995" s="18"/>
      <c r="H995" s="19">
        <v>5</v>
      </c>
      <c r="I995" s="11">
        <f t="shared" ref="I995:I1001" si="955">SUM(F995:H995)</f>
        <v>10</v>
      </c>
      <c r="J995" s="11">
        <f t="shared" ref="J995:J1001" si="956">E995+I995</f>
        <v>25</v>
      </c>
      <c r="K995" s="63">
        <v>45139</v>
      </c>
      <c r="M995" s="25" t="s">
        <v>9</v>
      </c>
      <c r="N995" s="8"/>
      <c r="O995" s="9"/>
      <c r="P995" s="52"/>
      <c r="Q995" s="11">
        <f t="shared" si="951"/>
        <v>0</v>
      </c>
      <c r="R995" s="12"/>
      <c r="S995" s="9"/>
      <c r="T995" s="10"/>
      <c r="U995" s="11">
        <f t="shared" si="952"/>
        <v>0</v>
      </c>
      <c r="V995" s="11">
        <f t="shared" si="953"/>
        <v>0</v>
      </c>
    </row>
    <row r="996" spans="1:23" x14ac:dyDescent="0.15">
      <c r="A996" s="25" t="s">
        <v>10</v>
      </c>
      <c r="B996" s="17"/>
      <c r="C996" s="18"/>
      <c r="D996" s="51"/>
      <c r="E996" s="11">
        <f t="shared" si="954"/>
        <v>0</v>
      </c>
      <c r="F996" s="20"/>
      <c r="G996" s="18">
        <v>5</v>
      </c>
      <c r="H996" s="19"/>
      <c r="I996" s="11">
        <f t="shared" si="955"/>
        <v>5</v>
      </c>
      <c r="J996" s="11">
        <f t="shared" si="956"/>
        <v>5</v>
      </c>
      <c r="K996" s="63">
        <v>45141</v>
      </c>
      <c r="M996" s="25" t="s">
        <v>10</v>
      </c>
      <c r="N996" s="8"/>
      <c r="O996" s="9"/>
      <c r="P996" s="52"/>
      <c r="Q996" s="11">
        <f t="shared" si="951"/>
        <v>0</v>
      </c>
      <c r="R996" s="12"/>
      <c r="S996" s="9"/>
      <c r="T996" s="10"/>
      <c r="U996" s="11">
        <f t="shared" si="952"/>
        <v>0</v>
      </c>
      <c r="V996" s="11">
        <f t="shared" si="953"/>
        <v>0</v>
      </c>
    </row>
    <row r="997" spans="1:23" x14ac:dyDescent="0.15">
      <c r="A997" s="25" t="s">
        <v>204</v>
      </c>
      <c r="B997" s="17">
        <v>0</v>
      </c>
      <c r="C997" s="18">
        <v>0</v>
      </c>
      <c r="D997" s="51">
        <v>0</v>
      </c>
      <c r="E997" s="11">
        <f t="shared" si="954"/>
        <v>0</v>
      </c>
      <c r="F997" s="20">
        <v>0</v>
      </c>
      <c r="G997" s="18">
        <v>0</v>
      </c>
      <c r="H997" s="19">
        <v>0</v>
      </c>
      <c r="I997" s="11">
        <f t="shared" si="955"/>
        <v>0</v>
      </c>
      <c r="J997" s="11">
        <f t="shared" si="956"/>
        <v>0</v>
      </c>
      <c r="K997" s="71">
        <v>45147</v>
      </c>
      <c r="M997" s="25" t="s">
        <v>11</v>
      </c>
      <c r="N997" s="8"/>
      <c r="O997" s="9"/>
      <c r="P997" s="52"/>
      <c r="Q997" s="11">
        <f t="shared" si="951"/>
        <v>0</v>
      </c>
      <c r="R997" s="12"/>
      <c r="S997" s="9"/>
      <c r="T997" s="10"/>
      <c r="U997" s="11">
        <f t="shared" si="952"/>
        <v>0</v>
      </c>
      <c r="V997" s="11">
        <f t="shared" si="953"/>
        <v>0</v>
      </c>
    </row>
    <row r="998" spans="1:23" x14ac:dyDescent="0.15">
      <c r="A998" s="25" t="s">
        <v>12</v>
      </c>
      <c r="B998" s="17"/>
      <c r="C998" s="18"/>
      <c r="D998" s="51"/>
      <c r="E998" s="11">
        <f t="shared" si="954"/>
        <v>0</v>
      </c>
      <c r="F998" s="20"/>
      <c r="G998" s="18"/>
      <c r="H998" s="19"/>
      <c r="I998" s="11">
        <f t="shared" si="955"/>
        <v>0</v>
      </c>
      <c r="J998" s="11">
        <f t="shared" si="956"/>
        <v>0</v>
      </c>
      <c r="M998" s="25" t="s">
        <v>12</v>
      </c>
      <c r="N998" s="8"/>
      <c r="O998" s="9"/>
      <c r="P998" s="52"/>
      <c r="Q998" s="11">
        <f t="shared" si="951"/>
        <v>0</v>
      </c>
      <c r="R998" s="12"/>
      <c r="S998" s="9"/>
      <c r="T998" s="10"/>
      <c r="U998" s="11">
        <f t="shared" si="952"/>
        <v>0</v>
      </c>
      <c r="V998" s="11">
        <f t="shared" si="953"/>
        <v>0</v>
      </c>
    </row>
    <row r="999" spans="1:23" x14ac:dyDescent="0.15">
      <c r="A999" s="25" t="s">
        <v>13</v>
      </c>
      <c r="B999" s="17"/>
      <c r="C999" s="18"/>
      <c r="D999" s="51"/>
      <c r="E999" s="11">
        <f t="shared" si="954"/>
        <v>0</v>
      </c>
      <c r="F999" s="20"/>
      <c r="G999" s="18"/>
      <c r="H999" s="19"/>
      <c r="I999" s="11">
        <f t="shared" si="955"/>
        <v>0</v>
      </c>
      <c r="J999" s="11">
        <f t="shared" si="956"/>
        <v>0</v>
      </c>
      <c r="M999" s="25" t="s">
        <v>13</v>
      </c>
      <c r="N999" s="8"/>
      <c r="O999" s="9"/>
      <c r="P999" s="52"/>
      <c r="Q999" s="11">
        <f t="shared" si="951"/>
        <v>0</v>
      </c>
      <c r="R999" s="12"/>
      <c r="S999" s="9"/>
      <c r="T999" s="10"/>
      <c r="U999" s="11">
        <f t="shared" si="952"/>
        <v>0</v>
      </c>
      <c r="V999" s="11">
        <f t="shared" si="953"/>
        <v>0</v>
      </c>
    </row>
    <row r="1000" spans="1:23" x14ac:dyDescent="0.15">
      <c r="A1000" s="25" t="s">
        <v>14</v>
      </c>
      <c r="B1000" s="17"/>
      <c r="C1000" s="18"/>
      <c r="D1000" s="51"/>
      <c r="E1000" s="11">
        <f t="shared" si="954"/>
        <v>0</v>
      </c>
      <c r="F1000" s="20"/>
      <c r="G1000" s="18"/>
      <c r="H1000" s="19"/>
      <c r="I1000" s="11">
        <f t="shared" si="955"/>
        <v>0</v>
      </c>
      <c r="J1000" s="11">
        <f t="shared" si="956"/>
        <v>0</v>
      </c>
      <c r="M1000" s="25" t="s">
        <v>14</v>
      </c>
      <c r="N1000" s="13"/>
      <c r="O1000" s="14"/>
      <c r="P1000" s="53"/>
      <c r="Q1000" s="11">
        <f t="shared" si="951"/>
        <v>0</v>
      </c>
      <c r="R1000" s="16"/>
      <c r="S1000" s="14"/>
      <c r="T1000" s="15"/>
      <c r="U1000" s="11">
        <f t="shared" si="952"/>
        <v>0</v>
      </c>
      <c r="V1000" s="11">
        <f t="shared" si="953"/>
        <v>0</v>
      </c>
    </row>
    <row r="1001" spans="1:23" ht="14.25" thickBot="1" x14ac:dyDescent="0.2">
      <c r="A1001" s="25" t="s">
        <v>15</v>
      </c>
      <c r="B1001" s="17"/>
      <c r="C1001" s="18"/>
      <c r="D1001" s="51"/>
      <c r="E1001" s="11">
        <f t="shared" si="954"/>
        <v>0</v>
      </c>
      <c r="F1001" s="20"/>
      <c r="G1001" s="18"/>
      <c r="H1001" s="19"/>
      <c r="I1001" s="11">
        <f t="shared" si="955"/>
        <v>0</v>
      </c>
      <c r="J1001" s="11">
        <f t="shared" si="956"/>
        <v>0</v>
      </c>
      <c r="M1001" s="25" t="s">
        <v>15</v>
      </c>
      <c r="N1001" s="13"/>
      <c r="O1001" s="14"/>
      <c r="P1001" s="53"/>
      <c r="Q1001" s="11">
        <f t="shared" ref="Q1001" si="957">SUM(N1001:P1001)</f>
        <v>0</v>
      </c>
      <c r="R1001" s="16"/>
      <c r="S1001" s="14"/>
      <c r="T1001" s="15"/>
      <c r="U1001" s="11">
        <f t="shared" ref="U1001" si="958">SUM(R1001:T1001)</f>
        <v>0</v>
      </c>
      <c r="V1001" s="11">
        <f t="shared" ref="V1001" si="959">Q1001+U1001</f>
        <v>0</v>
      </c>
    </row>
    <row r="1002" spans="1:23" ht="14.25" thickBot="1" x14ac:dyDescent="0.2">
      <c r="A1002" s="35" t="s">
        <v>16</v>
      </c>
      <c r="B1002" s="28">
        <f>SUM(B993:B1001)</f>
        <v>24</v>
      </c>
      <c r="C1002" s="29">
        <f t="shared" ref="C1002:D1002" si="960">SUM(C993:C1001)</f>
        <v>28</v>
      </c>
      <c r="D1002" s="68">
        <f t="shared" si="960"/>
        <v>22</v>
      </c>
      <c r="E1002" s="64">
        <f>SUM(B1002:D1002)</f>
        <v>74</v>
      </c>
      <c r="F1002" s="28">
        <f>SUM(F993:F1001)</f>
        <v>24</v>
      </c>
      <c r="G1002" s="29">
        <f t="shared" ref="G1002:H1002" si="961">SUM(G993:G1001)</f>
        <v>29</v>
      </c>
      <c r="H1002" s="68">
        <f t="shared" si="961"/>
        <v>22</v>
      </c>
      <c r="I1002" s="64">
        <f>SUM(F1002:H1002)</f>
        <v>75</v>
      </c>
      <c r="J1002" s="31">
        <f>SUM(J994:J1001)</f>
        <v>55</v>
      </c>
      <c r="M1002" s="35" t="s">
        <v>16</v>
      </c>
      <c r="N1002" s="28">
        <f>SUM(N993:N1001)</f>
        <v>81</v>
      </c>
      <c r="O1002" s="29">
        <f t="shared" ref="O1002:P1002" si="962">SUM(O993:O1001)</f>
        <v>294</v>
      </c>
      <c r="P1002" s="68">
        <f t="shared" si="962"/>
        <v>465</v>
      </c>
      <c r="Q1002" s="64">
        <f>SUM(N1002:P1002)</f>
        <v>840</v>
      </c>
      <c r="R1002" s="28">
        <f>SUM(R993:R1001)</f>
        <v>294</v>
      </c>
      <c r="S1002" s="29">
        <f t="shared" ref="S1002:T1002" si="963">SUM(S993:S1001)</f>
        <v>497</v>
      </c>
      <c r="T1002" s="68">
        <f t="shared" si="963"/>
        <v>576</v>
      </c>
      <c r="U1002" s="64">
        <f>SUM(R1002:T1002)</f>
        <v>1367</v>
      </c>
      <c r="V1002" s="31">
        <f>Q1002+U1002</f>
        <v>2207</v>
      </c>
    </row>
    <row r="1003" spans="1:23" x14ac:dyDescent="0.15">
      <c r="A1003" s="25" t="s">
        <v>33</v>
      </c>
      <c r="B1003" s="8"/>
      <c r="C1003" s="9"/>
      <c r="D1003" s="10">
        <v>1</v>
      </c>
      <c r="E1003" s="49">
        <f t="shared" ref="E1003:E1012" si="964">SUM(B1003:D1003)</f>
        <v>1</v>
      </c>
      <c r="F1003" s="12"/>
      <c r="G1003" s="9">
        <v>2</v>
      </c>
      <c r="H1003" s="10"/>
      <c r="I1003" s="49">
        <f t="shared" ref="I1003:I1012" si="965">SUM(F1003:H1003)</f>
        <v>2</v>
      </c>
      <c r="J1003" s="11">
        <f t="shared" ref="J1003:J1012" si="966">E1003+I1003</f>
        <v>3</v>
      </c>
      <c r="K1003" s="71">
        <v>45133</v>
      </c>
      <c r="M1003" s="26" t="s">
        <v>376</v>
      </c>
      <c r="N1003" s="65"/>
      <c r="O1003" s="66">
        <v>10</v>
      </c>
      <c r="P1003" s="67">
        <v>5</v>
      </c>
      <c r="Q1003" s="49">
        <f t="shared" ref="Q1003:Q1006" si="967">SUM(N1003:P1003)</f>
        <v>15</v>
      </c>
      <c r="R1003" s="16"/>
      <c r="S1003" s="14"/>
      <c r="T1003" s="15"/>
      <c r="U1003" s="49">
        <f t="shared" ref="U1003:U1006" si="968">SUM(R1003:T1003)</f>
        <v>0</v>
      </c>
      <c r="V1003" s="11">
        <f t="shared" ref="V1003:V1006" si="969">Q1003+U1003</f>
        <v>15</v>
      </c>
      <c r="W1003" s="140">
        <v>45135</v>
      </c>
    </row>
    <row r="1004" spans="1:23" x14ac:dyDescent="0.15">
      <c r="A1004" s="25" t="s">
        <v>33</v>
      </c>
      <c r="B1004" s="8">
        <v>2</v>
      </c>
      <c r="C1004" s="9"/>
      <c r="D1004" s="10"/>
      <c r="E1004" s="49">
        <f t="shared" si="964"/>
        <v>2</v>
      </c>
      <c r="F1004" s="12">
        <v>2</v>
      </c>
      <c r="G1004" s="9"/>
      <c r="H1004" s="10"/>
      <c r="I1004" s="49">
        <f t="shared" si="965"/>
        <v>2</v>
      </c>
      <c r="J1004" s="11">
        <f t="shared" si="966"/>
        <v>4</v>
      </c>
      <c r="K1004" s="71">
        <v>45134</v>
      </c>
      <c r="M1004" s="23" t="s">
        <v>451</v>
      </c>
      <c r="N1004" s="8">
        <v>10</v>
      </c>
      <c r="O1004" s="9"/>
      <c r="P1004" s="10"/>
      <c r="Q1004" s="49">
        <f t="shared" si="967"/>
        <v>10</v>
      </c>
      <c r="R1004" s="12">
        <v>7</v>
      </c>
      <c r="S1004" s="9">
        <v>8</v>
      </c>
      <c r="T1004" s="10"/>
      <c r="U1004" s="49">
        <f t="shared" si="968"/>
        <v>15</v>
      </c>
      <c r="V1004" s="11">
        <f t="shared" si="969"/>
        <v>25</v>
      </c>
      <c r="W1004" s="140">
        <v>45135</v>
      </c>
    </row>
    <row r="1005" spans="1:23" x14ac:dyDescent="0.15">
      <c r="A1005" s="25" t="s">
        <v>33</v>
      </c>
      <c r="B1005" s="8"/>
      <c r="C1005" s="9">
        <v>3</v>
      </c>
      <c r="D1005" s="10"/>
      <c r="E1005" s="49">
        <f t="shared" si="964"/>
        <v>3</v>
      </c>
      <c r="F1005" s="12">
        <v>1</v>
      </c>
      <c r="G1005" s="9"/>
      <c r="H1005" s="10"/>
      <c r="I1005" s="49">
        <f t="shared" si="965"/>
        <v>1</v>
      </c>
      <c r="J1005" s="11">
        <f t="shared" si="966"/>
        <v>4</v>
      </c>
      <c r="K1005" s="71">
        <v>45136</v>
      </c>
      <c r="M1005" s="26" t="s">
        <v>377</v>
      </c>
      <c r="N1005" s="8">
        <v>35</v>
      </c>
      <c r="O1005" s="9">
        <v>35</v>
      </c>
      <c r="P1005" s="10">
        <v>5</v>
      </c>
      <c r="Q1005" s="49">
        <f t="shared" si="967"/>
        <v>75</v>
      </c>
      <c r="R1005" s="12">
        <v>5</v>
      </c>
      <c r="S1005" s="9">
        <v>5</v>
      </c>
      <c r="T1005" s="10"/>
      <c r="U1005" s="49">
        <f t="shared" si="968"/>
        <v>10</v>
      </c>
      <c r="V1005" s="11">
        <f t="shared" si="969"/>
        <v>85</v>
      </c>
      <c r="W1005" s="140">
        <v>45136</v>
      </c>
    </row>
    <row r="1006" spans="1:23" x14ac:dyDescent="0.15">
      <c r="A1006" s="25" t="s">
        <v>33</v>
      </c>
      <c r="B1006" s="8"/>
      <c r="C1006" s="9">
        <v>3</v>
      </c>
      <c r="D1006" s="10"/>
      <c r="E1006" s="49">
        <f t="shared" si="964"/>
        <v>3</v>
      </c>
      <c r="F1006" s="12"/>
      <c r="G1006" s="9"/>
      <c r="H1006" s="10"/>
      <c r="I1006" s="49">
        <f t="shared" si="965"/>
        <v>0</v>
      </c>
      <c r="J1006" s="11">
        <f t="shared" si="966"/>
        <v>3</v>
      </c>
      <c r="K1006" s="71">
        <v>45138</v>
      </c>
      <c r="M1006" s="23" t="s">
        <v>28</v>
      </c>
      <c r="N1006" s="8">
        <v>10</v>
      </c>
      <c r="O1006" s="9">
        <v>5</v>
      </c>
      <c r="P1006" s="10"/>
      <c r="Q1006" s="49">
        <f t="shared" si="967"/>
        <v>15</v>
      </c>
      <c r="R1006" s="12">
        <v>5</v>
      </c>
      <c r="S1006" s="9"/>
      <c r="T1006" s="10">
        <v>5</v>
      </c>
      <c r="U1006" s="49">
        <f t="shared" si="968"/>
        <v>10</v>
      </c>
      <c r="V1006" s="11">
        <f t="shared" si="969"/>
        <v>25</v>
      </c>
      <c r="W1006" s="140">
        <v>45139</v>
      </c>
    </row>
    <row r="1007" spans="1:23" x14ac:dyDescent="0.15">
      <c r="A1007" s="25" t="s">
        <v>33</v>
      </c>
      <c r="B1007" s="8"/>
      <c r="C1007" s="9"/>
      <c r="D1007" s="10"/>
      <c r="E1007" s="49">
        <f t="shared" si="964"/>
        <v>0</v>
      </c>
      <c r="F1007" s="12"/>
      <c r="G1007" s="9"/>
      <c r="H1007" s="10">
        <v>1</v>
      </c>
      <c r="I1007" s="49">
        <f t="shared" si="965"/>
        <v>1</v>
      </c>
      <c r="J1007" s="11">
        <f t="shared" si="966"/>
        <v>1</v>
      </c>
      <c r="K1007" s="63">
        <v>45139</v>
      </c>
      <c r="M1007" s="23" t="s">
        <v>28</v>
      </c>
      <c r="N1007" s="8"/>
      <c r="O1007" s="9"/>
      <c r="P1007" s="10"/>
      <c r="Q1007" s="49">
        <f>SUM(N1007:P1007)</f>
        <v>0</v>
      </c>
      <c r="R1007" s="12"/>
      <c r="S1007" s="9">
        <v>5</v>
      </c>
      <c r="T1007" s="10"/>
      <c r="U1007" s="49">
        <f>SUM(R1007:T1007)</f>
        <v>5</v>
      </c>
      <c r="V1007" s="11">
        <f>Q1007+U1007</f>
        <v>5</v>
      </c>
      <c r="W1007" s="140">
        <v>45141</v>
      </c>
    </row>
    <row r="1008" spans="1:23" x14ac:dyDescent="0.15">
      <c r="A1008" s="25" t="s">
        <v>452</v>
      </c>
      <c r="B1008" s="8"/>
      <c r="C1008" s="9">
        <v>5</v>
      </c>
      <c r="D1008" s="10"/>
      <c r="E1008" s="49">
        <f t="shared" si="964"/>
        <v>5</v>
      </c>
      <c r="F1008" s="12">
        <v>5</v>
      </c>
      <c r="G1008" s="9"/>
      <c r="H1008" s="10"/>
      <c r="I1008" s="49">
        <f t="shared" si="965"/>
        <v>5</v>
      </c>
      <c r="J1008" s="11">
        <f t="shared" si="966"/>
        <v>10</v>
      </c>
      <c r="K1008" s="63">
        <v>45141</v>
      </c>
      <c r="M1008" s="119" t="s">
        <v>432</v>
      </c>
      <c r="N1008" s="8">
        <v>10</v>
      </c>
      <c r="O1008" s="9">
        <v>10</v>
      </c>
      <c r="P1008" s="10"/>
      <c r="Q1008" s="49">
        <f t="shared" ref="Q1008:Q1029" si="970">SUM(N1008:P1008)</f>
        <v>20</v>
      </c>
      <c r="R1008" s="12">
        <v>20</v>
      </c>
      <c r="S1008" s="9">
        <v>20</v>
      </c>
      <c r="T1008" s="10"/>
      <c r="U1008" s="49">
        <f t="shared" ref="U1008:U1029" si="971">SUM(R1008:T1008)</f>
        <v>40</v>
      </c>
      <c r="V1008" s="11">
        <f t="shared" ref="V1008:V1025" si="972">Q1008+U1008</f>
        <v>60</v>
      </c>
      <c r="W1008" s="140">
        <v>45156</v>
      </c>
    </row>
    <row r="1009" spans="1:23" x14ac:dyDescent="0.15">
      <c r="A1009" s="25" t="s">
        <v>329</v>
      </c>
      <c r="B1009" s="8"/>
      <c r="C1009" s="9">
        <v>1</v>
      </c>
      <c r="D1009" s="10"/>
      <c r="E1009" s="49">
        <f t="shared" si="964"/>
        <v>1</v>
      </c>
      <c r="F1009" s="12"/>
      <c r="G1009" s="9">
        <v>1</v>
      </c>
      <c r="H1009" s="10"/>
      <c r="I1009" s="49">
        <f t="shared" si="965"/>
        <v>1</v>
      </c>
      <c r="J1009" s="11">
        <f t="shared" si="966"/>
        <v>2</v>
      </c>
      <c r="K1009" s="63">
        <v>45142</v>
      </c>
      <c r="M1009" s="133"/>
      <c r="N1009" s="8"/>
      <c r="O1009" s="9"/>
      <c r="P1009" s="52"/>
      <c r="Q1009" s="11">
        <f t="shared" si="970"/>
        <v>0</v>
      </c>
      <c r="R1009" s="12"/>
      <c r="S1009" s="9"/>
      <c r="T1009" s="10"/>
      <c r="U1009" s="11">
        <f t="shared" si="971"/>
        <v>0</v>
      </c>
      <c r="V1009" s="11">
        <f t="shared" si="972"/>
        <v>0</v>
      </c>
      <c r="W1009" s="142"/>
    </row>
    <row r="1010" spans="1:23" x14ac:dyDescent="0.15">
      <c r="A1010" s="25" t="s">
        <v>329</v>
      </c>
      <c r="B1010" s="8"/>
      <c r="C1010" s="9">
        <v>1</v>
      </c>
      <c r="D1010" s="10"/>
      <c r="E1010" s="49">
        <f t="shared" si="964"/>
        <v>1</v>
      </c>
      <c r="F1010" s="12"/>
      <c r="G1010" s="9">
        <v>1</v>
      </c>
      <c r="H1010" s="10"/>
      <c r="I1010" s="49">
        <f t="shared" si="965"/>
        <v>1</v>
      </c>
      <c r="J1010" s="11">
        <f t="shared" si="966"/>
        <v>2</v>
      </c>
      <c r="K1010" s="63">
        <v>45146</v>
      </c>
      <c r="M1010" s="25"/>
      <c r="N1010" s="8"/>
      <c r="O1010" s="9"/>
      <c r="P1010" s="10"/>
      <c r="Q1010" s="49">
        <f t="shared" si="970"/>
        <v>0</v>
      </c>
      <c r="R1010" s="12"/>
      <c r="S1010" s="9"/>
      <c r="T1010" s="10"/>
      <c r="U1010" s="49">
        <f t="shared" si="971"/>
        <v>0</v>
      </c>
      <c r="V1010" s="11">
        <f t="shared" si="972"/>
        <v>0</v>
      </c>
    </row>
    <row r="1011" spans="1:23" x14ac:dyDescent="0.15">
      <c r="A1011" s="25" t="s">
        <v>33</v>
      </c>
      <c r="B1011" s="8">
        <f>1+1</f>
        <v>2</v>
      </c>
      <c r="C1011" s="9"/>
      <c r="D1011" s="10"/>
      <c r="E1011" s="49">
        <f t="shared" si="964"/>
        <v>2</v>
      </c>
      <c r="F1011" s="12">
        <v>1</v>
      </c>
      <c r="G1011" s="9">
        <v>1</v>
      </c>
      <c r="H1011" s="10"/>
      <c r="I1011" s="49">
        <f t="shared" si="965"/>
        <v>2</v>
      </c>
      <c r="J1011" s="11">
        <f t="shared" si="966"/>
        <v>4</v>
      </c>
      <c r="K1011" s="71">
        <v>45145</v>
      </c>
      <c r="M1011" s="119"/>
      <c r="N1011" s="8"/>
      <c r="O1011" s="9"/>
      <c r="P1011" s="10"/>
      <c r="Q1011" s="49">
        <f t="shared" si="970"/>
        <v>0</v>
      </c>
      <c r="R1011" s="12"/>
      <c r="S1011" s="9"/>
      <c r="T1011" s="10"/>
      <c r="U1011" s="49">
        <f t="shared" si="971"/>
        <v>0</v>
      </c>
      <c r="V1011" s="11">
        <f t="shared" si="972"/>
        <v>0</v>
      </c>
    </row>
    <row r="1012" spans="1:23" x14ac:dyDescent="0.15">
      <c r="A1012" s="25" t="s">
        <v>329</v>
      </c>
      <c r="B1012" s="8"/>
      <c r="C1012" s="9"/>
      <c r="D1012" s="10">
        <v>1</v>
      </c>
      <c r="E1012" s="49">
        <f t="shared" si="964"/>
        <v>1</v>
      </c>
      <c r="F1012" s="12"/>
      <c r="G1012" s="9"/>
      <c r="H1012" s="10">
        <v>1</v>
      </c>
      <c r="I1012" s="49">
        <f t="shared" si="965"/>
        <v>1</v>
      </c>
      <c r="J1012" s="11">
        <f t="shared" si="966"/>
        <v>2</v>
      </c>
      <c r="K1012" s="63">
        <v>45147</v>
      </c>
      <c r="M1012" s="119"/>
      <c r="N1012" s="13"/>
      <c r="O1012" s="14"/>
      <c r="P1012" s="15"/>
      <c r="Q1012" s="49">
        <f t="shared" si="970"/>
        <v>0</v>
      </c>
      <c r="R1012" s="16"/>
      <c r="S1012" s="14"/>
      <c r="T1012" s="15"/>
      <c r="U1012" s="49">
        <f t="shared" si="971"/>
        <v>0</v>
      </c>
      <c r="V1012" s="11">
        <f t="shared" si="972"/>
        <v>0</v>
      </c>
    </row>
    <row r="1013" spans="1:23" x14ac:dyDescent="0.15">
      <c r="A1013" s="25" t="s">
        <v>33</v>
      </c>
      <c r="B1013" s="8">
        <v>1</v>
      </c>
      <c r="C1013" s="9"/>
      <c r="D1013" s="10"/>
      <c r="E1013" s="49">
        <f t="shared" ref="E1013:E1029" si="973">SUM(B1013:D1013)</f>
        <v>1</v>
      </c>
      <c r="F1013" s="12"/>
      <c r="G1013" s="9"/>
      <c r="H1013" s="10"/>
      <c r="I1013" s="49">
        <f t="shared" ref="I1013:I1029" si="974">SUM(F1013:H1013)</f>
        <v>0</v>
      </c>
      <c r="J1013" s="11">
        <f t="shared" ref="J1013:J1028" si="975">E1013+I1013</f>
        <v>1</v>
      </c>
      <c r="K1013" s="71">
        <v>45146</v>
      </c>
      <c r="M1013" s="119"/>
      <c r="N1013" s="8"/>
      <c r="O1013" s="9"/>
      <c r="P1013" s="10"/>
      <c r="Q1013" s="49">
        <f t="shared" si="970"/>
        <v>0</v>
      </c>
      <c r="R1013" s="12"/>
      <c r="S1013" s="9"/>
      <c r="T1013" s="10"/>
      <c r="U1013" s="49">
        <f t="shared" si="971"/>
        <v>0</v>
      </c>
      <c r="V1013" s="11">
        <f t="shared" si="972"/>
        <v>0</v>
      </c>
    </row>
    <row r="1014" spans="1:23" x14ac:dyDescent="0.15">
      <c r="A1014" s="25" t="s">
        <v>33</v>
      </c>
      <c r="B1014" s="8"/>
      <c r="C1014" s="9"/>
      <c r="D1014" s="10"/>
      <c r="E1014" s="49">
        <f t="shared" si="973"/>
        <v>0</v>
      </c>
      <c r="F1014" s="12"/>
      <c r="G1014" s="9">
        <v>1</v>
      </c>
      <c r="H1014" s="10"/>
      <c r="I1014" s="49">
        <f t="shared" si="974"/>
        <v>1</v>
      </c>
      <c r="J1014" s="11">
        <f t="shared" si="975"/>
        <v>1</v>
      </c>
      <c r="K1014" s="71">
        <v>45147</v>
      </c>
      <c r="M1014" s="26"/>
      <c r="N1014" s="8"/>
      <c r="O1014" s="9"/>
      <c r="P1014" s="10"/>
      <c r="Q1014" s="49">
        <f t="shared" si="970"/>
        <v>0</v>
      </c>
      <c r="R1014" s="12"/>
      <c r="S1014" s="9"/>
      <c r="T1014" s="10"/>
      <c r="U1014" s="49">
        <f t="shared" si="971"/>
        <v>0</v>
      </c>
      <c r="V1014" s="11">
        <f t="shared" si="972"/>
        <v>0</v>
      </c>
    </row>
    <row r="1015" spans="1:23" x14ac:dyDescent="0.15">
      <c r="A1015" s="25" t="s">
        <v>33</v>
      </c>
      <c r="B1015" s="8"/>
      <c r="C1015" s="9"/>
      <c r="D1015" s="10"/>
      <c r="E1015" s="49">
        <f t="shared" si="973"/>
        <v>0</v>
      </c>
      <c r="F1015" s="12"/>
      <c r="G1015" s="9">
        <v>2</v>
      </c>
      <c r="H1015" s="10"/>
      <c r="I1015" s="49">
        <f t="shared" si="974"/>
        <v>2</v>
      </c>
      <c r="J1015" s="11">
        <f t="shared" si="975"/>
        <v>2</v>
      </c>
      <c r="K1015" s="71">
        <v>45148</v>
      </c>
      <c r="M1015" s="102"/>
      <c r="N1015" s="8"/>
      <c r="O1015" s="9"/>
      <c r="P1015" s="10"/>
      <c r="Q1015" s="49">
        <f t="shared" si="970"/>
        <v>0</v>
      </c>
      <c r="R1015" s="12"/>
      <c r="S1015" s="9"/>
      <c r="T1015" s="10"/>
      <c r="U1015" s="49">
        <f t="shared" si="971"/>
        <v>0</v>
      </c>
      <c r="V1015" s="11">
        <f t="shared" si="972"/>
        <v>0</v>
      </c>
    </row>
    <row r="1016" spans="1:23" x14ac:dyDescent="0.15">
      <c r="A1016" s="25" t="s">
        <v>33</v>
      </c>
      <c r="B1016" s="8"/>
      <c r="C1016" s="9"/>
      <c r="D1016" s="10"/>
      <c r="E1016" s="49">
        <f t="shared" si="973"/>
        <v>0</v>
      </c>
      <c r="F1016" s="12">
        <v>1</v>
      </c>
      <c r="G1016" s="9"/>
      <c r="H1016" s="10"/>
      <c r="I1016" s="49">
        <f t="shared" si="974"/>
        <v>1</v>
      </c>
      <c r="J1016" s="11">
        <f t="shared" si="975"/>
        <v>1</v>
      </c>
      <c r="K1016" s="71">
        <v>45149</v>
      </c>
      <c r="M1016" s="102"/>
      <c r="N1016" s="8"/>
      <c r="O1016" s="9"/>
      <c r="P1016" s="10"/>
      <c r="Q1016" s="49">
        <f t="shared" si="970"/>
        <v>0</v>
      </c>
      <c r="R1016" s="12"/>
      <c r="S1016" s="9"/>
      <c r="T1016" s="10"/>
      <c r="U1016" s="49">
        <f t="shared" si="971"/>
        <v>0</v>
      </c>
      <c r="V1016" s="11">
        <f t="shared" si="972"/>
        <v>0</v>
      </c>
    </row>
    <row r="1017" spans="1:23" x14ac:dyDescent="0.15">
      <c r="A1017" s="25" t="s">
        <v>33</v>
      </c>
      <c r="B1017" s="8">
        <v>3</v>
      </c>
      <c r="C1017" s="9">
        <v>1</v>
      </c>
      <c r="D1017" s="10">
        <v>1</v>
      </c>
      <c r="E1017" s="49">
        <f t="shared" si="973"/>
        <v>5</v>
      </c>
      <c r="F1017" s="12"/>
      <c r="G1017" s="9">
        <v>1</v>
      </c>
      <c r="H1017" s="10">
        <v>1</v>
      </c>
      <c r="I1017" s="49">
        <f t="shared" si="974"/>
        <v>2</v>
      </c>
      <c r="J1017" s="11">
        <f t="shared" si="975"/>
        <v>7</v>
      </c>
      <c r="K1017" s="71">
        <v>45154</v>
      </c>
      <c r="M1017" s="26"/>
      <c r="N1017" s="8"/>
      <c r="O1017" s="9"/>
      <c r="P1017" s="10"/>
      <c r="Q1017" s="49">
        <f t="shared" si="970"/>
        <v>0</v>
      </c>
      <c r="R1017" s="12"/>
      <c r="S1017" s="9"/>
      <c r="T1017" s="10"/>
      <c r="U1017" s="49">
        <f t="shared" si="971"/>
        <v>0</v>
      </c>
      <c r="V1017" s="11">
        <f t="shared" si="972"/>
        <v>0</v>
      </c>
    </row>
    <row r="1018" spans="1:23" x14ac:dyDescent="0.15">
      <c r="A1018" s="25" t="s">
        <v>33</v>
      </c>
      <c r="B1018" s="8"/>
      <c r="C1018" s="9">
        <v>2</v>
      </c>
      <c r="D1018" s="10">
        <v>1</v>
      </c>
      <c r="E1018" s="49">
        <f t="shared" si="973"/>
        <v>3</v>
      </c>
      <c r="F1018" s="12"/>
      <c r="G1018" s="9"/>
      <c r="H1018" s="10">
        <v>1</v>
      </c>
      <c r="I1018" s="49">
        <f t="shared" si="974"/>
        <v>1</v>
      </c>
      <c r="J1018" s="11">
        <f t="shared" si="975"/>
        <v>4</v>
      </c>
      <c r="K1018" s="71">
        <v>45155</v>
      </c>
      <c r="M1018" s="26"/>
      <c r="N1018" s="8"/>
      <c r="O1018" s="9"/>
      <c r="P1018" s="10"/>
      <c r="Q1018" s="49">
        <f t="shared" si="970"/>
        <v>0</v>
      </c>
      <c r="R1018" s="12"/>
      <c r="S1018" s="9"/>
      <c r="T1018" s="10"/>
      <c r="U1018" s="49">
        <f t="shared" si="971"/>
        <v>0</v>
      </c>
      <c r="V1018" s="11">
        <f t="shared" si="972"/>
        <v>0</v>
      </c>
    </row>
    <row r="1019" spans="1:23" x14ac:dyDescent="0.15">
      <c r="A1019" s="25" t="s">
        <v>329</v>
      </c>
      <c r="B1019" s="8"/>
      <c r="C1019" s="9">
        <v>1</v>
      </c>
      <c r="D1019" s="10"/>
      <c r="E1019" s="49">
        <f t="shared" si="973"/>
        <v>1</v>
      </c>
      <c r="F1019" s="12"/>
      <c r="G1019" s="9">
        <v>1</v>
      </c>
      <c r="H1019" s="10"/>
      <c r="I1019" s="49">
        <f t="shared" si="974"/>
        <v>1</v>
      </c>
      <c r="J1019" s="11">
        <f t="shared" si="975"/>
        <v>2</v>
      </c>
      <c r="K1019" s="63">
        <v>45159</v>
      </c>
      <c r="M1019" s="26"/>
      <c r="N1019" s="8"/>
      <c r="O1019" s="9"/>
      <c r="P1019" s="10"/>
      <c r="Q1019" s="49">
        <f t="shared" si="970"/>
        <v>0</v>
      </c>
      <c r="R1019" s="12"/>
      <c r="S1019" s="9"/>
      <c r="T1019" s="10"/>
      <c r="U1019" s="49">
        <f t="shared" si="971"/>
        <v>0</v>
      </c>
      <c r="V1019" s="11">
        <f t="shared" si="972"/>
        <v>0</v>
      </c>
    </row>
    <row r="1020" spans="1:23" x14ac:dyDescent="0.15">
      <c r="A1020" s="25" t="s">
        <v>33</v>
      </c>
      <c r="B1020" s="8"/>
      <c r="C1020" s="9"/>
      <c r="D1020" s="10"/>
      <c r="E1020" s="49">
        <f t="shared" si="973"/>
        <v>0</v>
      </c>
      <c r="F1020" s="12"/>
      <c r="G1020" s="9">
        <v>1</v>
      </c>
      <c r="H1020" s="10"/>
      <c r="I1020" s="49">
        <f t="shared" si="974"/>
        <v>1</v>
      </c>
      <c r="J1020" s="11">
        <f t="shared" si="975"/>
        <v>1</v>
      </c>
      <c r="K1020" s="71">
        <v>45156</v>
      </c>
      <c r="M1020" s="24"/>
      <c r="N1020" s="8"/>
      <c r="O1020" s="9"/>
      <c r="P1020" s="10"/>
      <c r="Q1020" s="49">
        <f t="shared" si="970"/>
        <v>0</v>
      </c>
      <c r="R1020" s="12"/>
      <c r="S1020" s="9"/>
      <c r="T1020" s="10"/>
      <c r="U1020" s="49">
        <f t="shared" si="971"/>
        <v>0</v>
      </c>
      <c r="V1020" s="11">
        <f t="shared" si="972"/>
        <v>0</v>
      </c>
    </row>
    <row r="1021" spans="1:23" x14ac:dyDescent="0.15">
      <c r="A1021" s="25" t="s">
        <v>33</v>
      </c>
      <c r="B1021" s="8"/>
      <c r="C1021" s="9"/>
      <c r="D1021" s="10"/>
      <c r="E1021" s="49">
        <f t="shared" si="973"/>
        <v>0</v>
      </c>
      <c r="F1021" s="12">
        <v>1</v>
      </c>
      <c r="G1021" s="9"/>
      <c r="H1021" s="10"/>
      <c r="I1021" s="49">
        <f t="shared" si="974"/>
        <v>1</v>
      </c>
      <c r="J1021" s="11">
        <f t="shared" si="975"/>
        <v>1</v>
      </c>
      <c r="K1021" s="71">
        <v>45159</v>
      </c>
      <c r="M1021" s="26"/>
      <c r="N1021" s="8"/>
      <c r="O1021" s="9"/>
      <c r="P1021" s="10"/>
      <c r="Q1021" s="49">
        <f t="shared" si="970"/>
        <v>0</v>
      </c>
      <c r="R1021" s="12"/>
      <c r="S1021" s="9"/>
      <c r="T1021" s="10"/>
      <c r="U1021" s="49">
        <f t="shared" si="971"/>
        <v>0</v>
      </c>
      <c r="V1021" s="11">
        <f t="shared" si="972"/>
        <v>0</v>
      </c>
    </row>
    <row r="1022" spans="1:23" x14ac:dyDescent="0.15">
      <c r="A1022" s="25" t="s">
        <v>329</v>
      </c>
      <c r="B1022" s="8">
        <v>1</v>
      </c>
      <c r="C1022" s="9"/>
      <c r="D1022" s="10"/>
      <c r="E1022" s="49">
        <f t="shared" si="973"/>
        <v>1</v>
      </c>
      <c r="F1022" s="12">
        <v>1</v>
      </c>
      <c r="G1022" s="9"/>
      <c r="H1022" s="10"/>
      <c r="I1022" s="49">
        <f t="shared" si="974"/>
        <v>1</v>
      </c>
      <c r="J1022" s="11">
        <f t="shared" si="975"/>
        <v>2</v>
      </c>
      <c r="K1022" s="63">
        <v>45161</v>
      </c>
      <c r="M1022" s="26"/>
      <c r="N1022" s="8"/>
      <c r="O1022" s="9"/>
      <c r="P1022" s="10"/>
      <c r="Q1022" s="49">
        <f t="shared" si="970"/>
        <v>0</v>
      </c>
      <c r="R1022" s="12"/>
      <c r="S1022" s="9"/>
      <c r="T1022" s="10"/>
      <c r="U1022" s="49">
        <f t="shared" si="971"/>
        <v>0</v>
      </c>
      <c r="V1022" s="11">
        <f t="shared" si="972"/>
        <v>0</v>
      </c>
    </row>
    <row r="1023" spans="1:23" x14ac:dyDescent="0.15">
      <c r="A1023" s="25" t="s">
        <v>454</v>
      </c>
      <c r="B1023" s="8"/>
      <c r="C1023" s="9">
        <v>3</v>
      </c>
      <c r="D1023" s="10"/>
      <c r="E1023" s="49">
        <f t="shared" si="973"/>
        <v>3</v>
      </c>
      <c r="F1023" s="12"/>
      <c r="G1023" s="9"/>
      <c r="H1023" s="10">
        <v>3</v>
      </c>
      <c r="I1023" s="49">
        <f t="shared" si="974"/>
        <v>3</v>
      </c>
      <c r="J1023" s="11">
        <f t="shared" si="975"/>
        <v>6</v>
      </c>
      <c r="K1023" s="63">
        <v>45161</v>
      </c>
      <c r="M1023" s="26"/>
      <c r="N1023" s="8"/>
      <c r="O1023" s="9"/>
      <c r="P1023" s="10"/>
      <c r="Q1023" s="49">
        <f t="shared" si="970"/>
        <v>0</v>
      </c>
      <c r="R1023" s="12"/>
      <c r="S1023" s="9"/>
      <c r="T1023" s="10"/>
      <c r="U1023" s="49">
        <f t="shared" si="971"/>
        <v>0</v>
      </c>
      <c r="V1023" s="11">
        <f t="shared" si="972"/>
        <v>0</v>
      </c>
    </row>
    <row r="1024" spans="1:23" x14ac:dyDescent="0.15">
      <c r="A1024" s="25" t="s">
        <v>33</v>
      </c>
      <c r="B1024" s="13"/>
      <c r="C1024" s="14"/>
      <c r="D1024" s="15">
        <v>1</v>
      </c>
      <c r="E1024" s="49">
        <f t="shared" si="973"/>
        <v>1</v>
      </c>
      <c r="F1024" s="16"/>
      <c r="G1024" s="14"/>
      <c r="H1024" s="15">
        <v>1</v>
      </c>
      <c r="I1024" s="49">
        <f t="shared" si="974"/>
        <v>1</v>
      </c>
      <c r="J1024" s="11">
        <f t="shared" si="975"/>
        <v>2</v>
      </c>
      <c r="K1024" s="71">
        <v>45163</v>
      </c>
      <c r="M1024" s="26"/>
      <c r="N1024" s="8"/>
      <c r="O1024" s="9"/>
      <c r="P1024" s="10"/>
      <c r="Q1024" s="49">
        <f t="shared" si="970"/>
        <v>0</v>
      </c>
      <c r="R1024" s="12"/>
      <c r="S1024" s="9"/>
      <c r="T1024" s="10"/>
      <c r="U1024" s="49">
        <f t="shared" si="971"/>
        <v>0</v>
      </c>
      <c r="V1024" s="11">
        <f t="shared" si="972"/>
        <v>0</v>
      </c>
    </row>
    <row r="1025" spans="1:23" x14ac:dyDescent="0.15">
      <c r="A1025" s="25" t="s">
        <v>33</v>
      </c>
      <c r="B1025" s="8">
        <v>1</v>
      </c>
      <c r="C1025" s="9"/>
      <c r="D1025" s="10"/>
      <c r="E1025" s="49">
        <f t="shared" si="973"/>
        <v>1</v>
      </c>
      <c r="F1025" s="12">
        <v>2</v>
      </c>
      <c r="G1025" s="9">
        <v>1</v>
      </c>
      <c r="H1025" s="10"/>
      <c r="I1025" s="49">
        <f t="shared" si="974"/>
        <v>3</v>
      </c>
      <c r="J1025" s="11">
        <f t="shared" si="975"/>
        <v>4</v>
      </c>
      <c r="K1025" s="71">
        <v>45166</v>
      </c>
      <c r="M1025" s="26"/>
      <c r="N1025" s="8"/>
      <c r="O1025" s="9"/>
      <c r="P1025" s="10"/>
      <c r="Q1025" s="49">
        <f t="shared" si="970"/>
        <v>0</v>
      </c>
      <c r="R1025" s="12"/>
      <c r="S1025" s="9"/>
      <c r="T1025" s="10"/>
      <c r="U1025" s="49">
        <f t="shared" si="971"/>
        <v>0</v>
      </c>
      <c r="V1025" s="11">
        <f t="shared" si="972"/>
        <v>0</v>
      </c>
    </row>
    <row r="1026" spans="1:23" x14ac:dyDescent="0.15">
      <c r="A1026" s="25" t="s">
        <v>33</v>
      </c>
      <c r="B1026" s="8">
        <v>3</v>
      </c>
      <c r="C1026" s="9"/>
      <c r="D1026" s="10"/>
      <c r="E1026" s="49">
        <f t="shared" si="973"/>
        <v>3</v>
      </c>
      <c r="F1026" s="12"/>
      <c r="G1026" s="9"/>
      <c r="H1026" s="10"/>
      <c r="I1026" s="49">
        <f t="shared" si="974"/>
        <v>0</v>
      </c>
      <c r="J1026" s="11">
        <f t="shared" si="975"/>
        <v>3</v>
      </c>
      <c r="K1026" s="71">
        <v>45168</v>
      </c>
      <c r="M1026" s="26"/>
      <c r="N1026" s="8"/>
      <c r="O1026" s="9"/>
      <c r="P1026" s="10"/>
      <c r="Q1026" s="49">
        <f t="shared" ref="Q1026:Q1028" si="976">SUM(N1026:P1026)</f>
        <v>0</v>
      </c>
      <c r="R1026" s="12"/>
      <c r="S1026" s="9"/>
      <c r="T1026" s="10"/>
      <c r="U1026" s="49">
        <f t="shared" ref="U1026:U1028" si="977">SUM(R1026:T1026)</f>
        <v>0</v>
      </c>
      <c r="V1026" s="11">
        <f t="shared" ref="V1026:V1028" si="978">Q1026+U1026</f>
        <v>0</v>
      </c>
    </row>
    <row r="1027" spans="1:23" x14ac:dyDescent="0.15">
      <c r="A1027" s="25" t="s">
        <v>329</v>
      </c>
      <c r="B1027" s="8">
        <v>1</v>
      </c>
      <c r="C1027" s="9"/>
      <c r="D1027" s="10"/>
      <c r="E1027" s="49">
        <f t="shared" si="973"/>
        <v>1</v>
      </c>
      <c r="F1027" s="12">
        <v>1</v>
      </c>
      <c r="G1027" s="9"/>
      <c r="H1027" s="10"/>
      <c r="I1027" s="49">
        <f t="shared" si="974"/>
        <v>1</v>
      </c>
      <c r="J1027" s="11">
        <f t="shared" si="975"/>
        <v>2</v>
      </c>
      <c r="K1027" s="63">
        <v>45170</v>
      </c>
      <c r="M1027" s="121" t="s">
        <v>353</v>
      </c>
      <c r="N1027" s="106"/>
      <c r="O1027" s="103"/>
      <c r="P1027" s="104"/>
      <c r="Q1027" s="122">
        <f t="shared" si="976"/>
        <v>0</v>
      </c>
      <c r="R1027" s="107"/>
      <c r="S1027" s="103"/>
      <c r="T1027" s="104"/>
      <c r="U1027" s="122">
        <f t="shared" si="977"/>
        <v>0</v>
      </c>
      <c r="V1027" s="123">
        <f t="shared" si="978"/>
        <v>0</v>
      </c>
      <c r="W1027" s="146"/>
    </row>
    <row r="1028" spans="1:23" ht="14.25" thickBot="1" x14ac:dyDescent="0.2">
      <c r="A1028" s="25" t="s">
        <v>33</v>
      </c>
      <c r="B1028" s="13">
        <v>1</v>
      </c>
      <c r="C1028" s="14"/>
      <c r="D1028" s="15"/>
      <c r="E1028" s="55">
        <f t="shared" si="973"/>
        <v>1</v>
      </c>
      <c r="F1028" s="16">
        <v>1</v>
      </c>
      <c r="G1028" s="14"/>
      <c r="H1028" s="15"/>
      <c r="I1028" s="55">
        <f t="shared" si="974"/>
        <v>1</v>
      </c>
      <c r="J1028" s="11">
        <f t="shared" si="975"/>
        <v>2</v>
      </c>
      <c r="K1028" s="71">
        <v>45169</v>
      </c>
      <c r="M1028" s="26" t="s">
        <v>344</v>
      </c>
      <c r="N1028" s="8"/>
      <c r="O1028" s="9"/>
      <c r="P1028" s="10"/>
      <c r="Q1028" s="49">
        <f t="shared" si="976"/>
        <v>0</v>
      </c>
      <c r="R1028" s="12"/>
      <c r="S1028" s="9"/>
      <c r="T1028" s="10"/>
      <c r="U1028" s="49">
        <f t="shared" si="977"/>
        <v>0</v>
      </c>
      <c r="V1028" s="11">
        <f t="shared" si="978"/>
        <v>0</v>
      </c>
      <c r="W1028" s="142" t="s">
        <v>427</v>
      </c>
    </row>
    <row r="1029" spans="1:23" ht="14.25" thickBot="1" x14ac:dyDescent="0.2">
      <c r="A1029" s="41" t="s">
        <v>19</v>
      </c>
      <c r="B1029" s="46">
        <f>SUM(B1003:B1028)</f>
        <v>15</v>
      </c>
      <c r="C1029" s="47">
        <f t="shared" ref="C1029:D1029" si="979">SUM(C1003:C1028)</f>
        <v>20</v>
      </c>
      <c r="D1029" s="59">
        <f t="shared" si="979"/>
        <v>5</v>
      </c>
      <c r="E1029" s="45">
        <f t="shared" si="973"/>
        <v>40</v>
      </c>
      <c r="F1029" s="46">
        <f>SUM(F1003:F1028)</f>
        <v>16</v>
      </c>
      <c r="G1029" s="47">
        <f t="shared" ref="G1029:H1029" si="980">SUM(G1003:G1028)</f>
        <v>12</v>
      </c>
      <c r="H1029" s="59">
        <f t="shared" si="980"/>
        <v>8</v>
      </c>
      <c r="I1029" s="45">
        <f t="shared" si="974"/>
        <v>36</v>
      </c>
      <c r="J1029" s="45">
        <f>E1029+I1029</f>
        <v>76</v>
      </c>
      <c r="M1029" s="41" t="s">
        <v>19</v>
      </c>
      <c r="N1029" s="46">
        <f>SUM(N1003:N1028)</f>
        <v>65</v>
      </c>
      <c r="O1029" s="47">
        <f t="shared" ref="O1029:P1029" si="981">SUM(O1003:O1028)</f>
        <v>60</v>
      </c>
      <c r="P1029" s="59">
        <f t="shared" si="981"/>
        <v>10</v>
      </c>
      <c r="Q1029" s="45">
        <f t="shared" si="970"/>
        <v>135</v>
      </c>
      <c r="R1029" s="46">
        <f>SUM(R1003:R1028)</f>
        <v>37</v>
      </c>
      <c r="S1029" s="47">
        <f t="shared" ref="S1029:T1029" si="982">SUM(S1003:S1028)</f>
        <v>38</v>
      </c>
      <c r="T1029" s="59">
        <f t="shared" si="982"/>
        <v>5</v>
      </c>
      <c r="U1029" s="45">
        <f t="shared" si="971"/>
        <v>80</v>
      </c>
      <c r="V1029" s="45">
        <f>Q1029+U1029</f>
        <v>215</v>
      </c>
    </row>
    <row r="1030" spans="1:23" ht="14.25" thickBot="1" x14ac:dyDescent="0.2">
      <c r="A1030" s="22" t="s">
        <v>17</v>
      </c>
      <c r="B1030" s="50">
        <f>B1002-B1029</f>
        <v>9</v>
      </c>
      <c r="C1030" s="57">
        <f t="shared" ref="C1030:D1030" si="983">C1002-C1029</f>
        <v>8</v>
      </c>
      <c r="D1030" s="58">
        <f t="shared" si="983"/>
        <v>17</v>
      </c>
      <c r="E1030" s="56">
        <f>SUM(B1030:D1030)</f>
        <v>34</v>
      </c>
      <c r="F1030" s="50">
        <f>F1002-F1029</f>
        <v>8</v>
      </c>
      <c r="G1030" s="57">
        <f t="shared" ref="G1030:H1030" si="984">G1002-G1029</f>
        <v>17</v>
      </c>
      <c r="H1030" s="58">
        <f t="shared" si="984"/>
        <v>14</v>
      </c>
      <c r="I1030" s="56">
        <f>SUM(F1030:H1030)</f>
        <v>39</v>
      </c>
      <c r="J1030" s="31">
        <f>E1030+I1030</f>
        <v>73</v>
      </c>
      <c r="M1030" s="22" t="s">
        <v>17</v>
      </c>
      <c r="N1030" s="50">
        <f>N1002-N1029</f>
        <v>16</v>
      </c>
      <c r="O1030" s="57">
        <f t="shared" ref="O1030:P1030" si="985">O1002-O1029</f>
        <v>234</v>
      </c>
      <c r="P1030" s="58">
        <f t="shared" si="985"/>
        <v>455</v>
      </c>
      <c r="Q1030" s="56">
        <f>SUM(N1030:P1030)</f>
        <v>705</v>
      </c>
      <c r="R1030" s="50">
        <f>R1002-R1029</f>
        <v>257</v>
      </c>
      <c r="S1030" s="57">
        <f t="shared" ref="S1030:T1030" si="986">S1002-S1029</f>
        <v>459</v>
      </c>
      <c r="T1030" s="58">
        <f t="shared" si="986"/>
        <v>571</v>
      </c>
      <c r="U1030" s="56">
        <f>SUM(R1030:T1030)</f>
        <v>1287</v>
      </c>
      <c r="V1030" s="31">
        <f>Q1030+U1030</f>
        <v>1992</v>
      </c>
    </row>
    <row r="1031" spans="1:23" x14ac:dyDescent="0.15">
      <c r="N1031">
        <f>N1029+N986+N943+N900+N857</f>
        <v>517</v>
      </c>
      <c r="O1031">
        <f t="shared" ref="O1031:Q1031" si="987">O1029+O986+O943+O900+O857</f>
        <v>553</v>
      </c>
      <c r="P1031">
        <f t="shared" si="987"/>
        <v>299</v>
      </c>
      <c r="Q1031">
        <f t="shared" si="987"/>
        <v>1369</v>
      </c>
      <c r="R1031">
        <f>R1029+R986+R943+R900+R857</f>
        <v>487</v>
      </c>
      <c r="S1031">
        <f t="shared" ref="S1031:U1031" si="988">S1029+S986+S943+S900+S857</f>
        <v>534</v>
      </c>
      <c r="T1031">
        <f t="shared" si="988"/>
        <v>330</v>
      </c>
      <c r="U1031">
        <f t="shared" si="988"/>
        <v>1351</v>
      </c>
    </row>
    <row r="1032" spans="1:23" x14ac:dyDescent="0.15">
      <c r="N1032" s="108">
        <f>N1031/$Q$1031*100</f>
        <v>37.764791818845872</v>
      </c>
      <c r="O1032" s="108">
        <f t="shared" ref="O1032:Q1032" si="989">O1031/$Q$1031*100</f>
        <v>40.394448502556614</v>
      </c>
      <c r="P1032" s="108">
        <f t="shared" si="989"/>
        <v>21.840759678597514</v>
      </c>
      <c r="Q1032" s="108">
        <f t="shared" si="989"/>
        <v>100</v>
      </c>
      <c r="R1032" s="108">
        <f>R1031/$U$1031*100</f>
        <v>36.047372316802367</v>
      </c>
      <c r="S1032" s="108">
        <f t="shared" ref="S1032:U1032" si="990">S1031/$U$1031*100</f>
        <v>39.526276831976318</v>
      </c>
      <c r="T1032" s="108">
        <f t="shared" si="990"/>
        <v>24.426350851221319</v>
      </c>
      <c r="U1032" s="108">
        <f t="shared" si="990"/>
        <v>100</v>
      </c>
    </row>
    <row r="1033" spans="1:23" ht="19.5" thickBot="1" x14ac:dyDescent="0.25">
      <c r="A1033" s="3" t="s">
        <v>21</v>
      </c>
      <c r="B1033" s="1"/>
      <c r="C1033" s="1"/>
      <c r="D1033" s="1"/>
      <c r="E1033" s="1"/>
      <c r="F1033" s="1"/>
      <c r="G1033" s="1"/>
      <c r="H1033" s="1"/>
      <c r="I1033" s="1"/>
      <c r="J1033" s="1"/>
      <c r="M1033" s="3" t="s">
        <v>22</v>
      </c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3" ht="14.25" thickBot="1" x14ac:dyDescent="0.2">
      <c r="A1034" s="7" t="s">
        <v>0</v>
      </c>
      <c r="B1034" s="165" t="s">
        <v>24</v>
      </c>
      <c r="C1034" s="166"/>
      <c r="D1034" s="166"/>
      <c r="E1034" s="170"/>
      <c r="F1034" s="165" t="s">
        <v>18</v>
      </c>
      <c r="G1034" s="166"/>
      <c r="H1034" s="166"/>
      <c r="I1034" s="167"/>
      <c r="J1034" s="168" t="s">
        <v>1</v>
      </c>
      <c r="M1034" s="7" t="s">
        <v>0</v>
      </c>
      <c r="N1034" s="165" t="s">
        <v>24</v>
      </c>
      <c r="O1034" s="166"/>
      <c r="P1034" s="166"/>
      <c r="Q1034" s="170"/>
      <c r="R1034" s="165" t="s">
        <v>18</v>
      </c>
      <c r="S1034" s="166"/>
      <c r="T1034" s="166"/>
      <c r="U1034" s="167"/>
      <c r="V1034" s="168" t="s">
        <v>1</v>
      </c>
    </row>
    <row r="1035" spans="1:23" ht="14.25" thickBot="1" x14ac:dyDescent="0.2">
      <c r="A1035" s="7" t="s">
        <v>2</v>
      </c>
      <c r="B1035" s="4" t="s">
        <v>3</v>
      </c>
      <c r="C1035" s="5" t="s">
        <v>4</v>
      </c>
      <c r="D1035" s="6" t="s">
        <v>5</v>
      </c>
      <c r="E1035" s="7" t="s">
        <v>6</v>
      </c>
      <c r="F1035" s="4" t="s">
        <v>3</v>
      </c>
      <c r="G1035" s="5" t="s">
        <v>4</v>
      </c>
      <c r="H1035" s="6" t="s">
        <v>5</v>
      </c>
      <c r="I1035" s="7" t="s">
        <v>6</v>
      </c>
      <c r="J1035" s="169"/>
      <c r="M1035" s="7" t="s">
        <v>2</v>
      </c>
      <c r="N1035" s="4" t="s">
        <v>3</v>
      </c>
      <c r="O1035" s="5" t="s">
        <v>4</v>
      </c>
      <c r="P1035" s="6" t="s">
        <v>5</v>
      </c>
      <c r="Q1035" s="7" t="s">
        <v>6</v>
      </c>
      <c r="R1035" s="4" t="s">
        <v>3</v>
      </c>
      <c r="S1035" s="5" t="s">
        <v>4</v>
      </c>
      <c r="T1035" s="6" t="s">
        <v>5</v>
      </c>
      <c r="U1035" s="7" t="s">
        <v>6</v>
      </c>
      <c r="V1035" s="169"/>
    </row>
    <row r="1036" spans="1:23" ht="14.25" thickBot="1" x14ac:dyDescent="0.2">
      <c r="A1036" s="27" t="s">
        <v>20</v>
      </c>
      <c r="B1036" s="28">
        <f>B1030</f>
        <v>9</v>
      </c>
      <c r="C1036" s="29">
        <f>C1030</f>
        <v>8</v>
      </c>
      <c r="D1036" s="30">
        <f>D1030</f>
        <v>17</v>
      </c>
      <c r="E1036" s="31">
        <f>SUM(B1036:D1036)</f>
        <v>34</v>
      </c>
      <c r="F1036" s="28">
        <f>F1030</f>
        <v>8</v>
      </c>
      <c r="G1036" s="29">
        <f>G1030</f>
        <v>17</v>
      </c>
      <c r="H1036" s="30">
        <f>H1030</f>
        <v>14</v>
      </c>
      <c r="I1036" s="31">
        <f>SUM(F1036:H1036)</f>
        <v>39</v>
      </c>
      <c r="J1036" s="31">
        <f>E1036+I1036</f>
        <v>73</v>
      </c>
      <c r="M1036" s="27" t="s">
        <v>20</v>
      </c>
      <c r="N1036" s="28">
        <f>N1030</f>
        <v>16</v>
      </c>
      <c r="O1036" s="29">
        <f>O1030</f>
        <v>234</v>
      </c>
      <c r="P1036" s="30">
        <f>P1030</f>
        <v>455</v>
      </c>
      <c r="Q1036" s="31">
        <f>SUM(N1036:P1036)</f>
        <v>705</v>
      </c>
      <c r="R1036" s="28">
        <f>R1030</f>
        <v>257</v>
      </c>
      <c r="S1036" s="29">
        <f>S1030</f>
        <v>459</v>
      </c>
      <c r="T1036" s="30">
        <f>T1030</f>
        <v>571</v>
      </c>
      <c r="U1036" s="31">
        <f>SUM(R1036:T1036)</f>
        <v>1287</v>
      </c>
      <c r="V1036" s="31">
        <f>Q1036+U1036</f>
        <v>1992</v>
      </c>
    </row>
    <row r="1037" spans="1:23" x14ac:dyDescent="0.15">
      <c r="A1037" s="25" t="s">
        <v>143</v>
      </c>
      <c r="B1037" s="17">
        <v>1</v>
      </c>
      <c r="C1037" s="18"/>
      <c r="D1037" s="51"/>
      <c r="E1037" s="11">
        <f t="shared" ref="E1037:E1044" si="991">SUM(B1037:D1037)</f>
        <v>1</v>
      </c>
      <c r="F1037" s="20">
        <v>1</v>
      </c>
      <c r="G1037" s="18"/>
      <c r="H1037" s="19"/>
      <c r="I1037" s="11">
        <f t="shared" ref="I1037:I1044" si="992">SUM(F1037:H1037)</f>
        <v>1</v>
      </c>
      <c r="J1037" s="11">
        <f t="shared" ref="J1037:J1044" si="993">E1037+I1037</f>
        <v>2</v>
      </c>
      <c r="K1037" s="71">
        <v>45175</v>
      </c>
      <c r="M1037" s="25" t="s">
        <v>8</v>
      </c>
      <c r="N1037" s="17"/>
      <c r="O1037" s="18"/>
      <c r="P1037" s="51"/>
      <c r="Q1037" s="49">
        <f t="shared" ref="Q1037:Q1044" si="994">SUM(N1037:P1037)</f>
        <v>0</v>
      </c>
      <c r="R1037" s="20"/>
      <c r="S1037" s="18"/>
      <c r="T1037" s="19"/>
      <c r="U1037" s="49">
        <f t="shared" ref="U1037:U1044" si="995">SUM(R1037:T1037)</f>
        <v>0</v>
      </c>
      <c r="V1037" s="49">
        <f t="shared" ref="V1037:V1044" si="996">Q1037+U1037</f>
        <v>0</v>
      </c>
    </row>
    <row r="1038" spans="1:23" x14ac:dyDescent="0.15">
      <c r="A1038" s="25" t="s">
        <v>9</v>
      </c>
      <c r="B1038" s="17"/>
      <c r="C1038" s="18"/>
      <c r="D1038" s="51"/>
      <c r="E1038" s="11">
        <f t="shared" si="991"/>
        <v>0</v>
      </c>
      <c r="F1038" s="20"/>
      <c r="G1038" s="18"/>
      <c r="H1038" s="19"/>
      <c r="I1038" s="11">
        <f t="shared" si="992"/>
        <v>0</v>
      </c>
      <c r="J1038" s="11">
        <f t="shared" si="993"/>
        <v>0</v>
      </c>
      <c r="M1038" s="25" t="s">
        <v>455</v>
      </c>
      <c r="N1038" s="8">
        <v>2</v>
      </c>
      <c r="O1038" s="9"/>
      <c r="P1038" s="52">
        <v>21</v>
      </c>
      <c r="Q1038" s="11">
        <f t="shared" si="994"/>
        <v>23</v>
      </c>
      <c r="R1038" s="12">
        <v>3</v>
      </c>
      <c r="S1038" s="9">
        <v>32</v>
      </c>
      <c r="T1038" s="10"/>
      <c r="U1038" s="11">
        <f t="shared" si="995"/>
        <v>35</v>
      </c>
      <c r="V1038" s="11">
        <f t="shared" si="996"/>
        <v>58</v>
      </c>
      <c r="W1038" s="140">
        <v>45183</v>
      </c>
    </row>
    <row r="1039" spans="1:23" x14ac:dyDescent="0.15">
      <c r="A1039" s="25" t="s">
        <v>137</v>
      </c>
      <c r="B1039" s="17">
        <v>10</v>
      </c>
      <c r="C1039" s="18">
        <v>9</v>
      </c>
      <c r="D1039" s="51">
        <v>3</v>
      </c>
      <c r="E1039" s="11">
        <f t="shared" si="991"/>
        <v>22</v>
      </c>
      <c r="F1039" s="20">
        <v>9</v>
      </c>
      <c r="G1039" s="18">
        <v>2</v>
      </c>
      <c r="H1039" s="19">
        <v>1</v>
      </c>
      <c r="I1039" s="11">
        <f t="shared" si="992"/>
        <v>12</v>
      </c>
      <c r="J1039" s="11">
        <f t="shared" si="993"/>
        <v>34</v>
      </c>
      <c r="K1039" s="63">
        <v>45183</v>
      </c>
      <c r="M1039" s="25" t="s">
        <v>455</v>
      </c>
      <c r="N1039" s="8">
        <v>2</v>
      </c>
      <c r="O1039" s="9"/>
      <c r="P1039" s="52">
        <v>2</v>
      </c>
      <c r="Q1039" s="11">
        <f t="shared" ref="Q1039:Q1040" si="997">SUM(N1039:P1039)</f>
        <v>4</v>
      </c>
      <c r="R1039" s="12">
        <v>6</v>
      </c>
      <c r="S1039" s="9">
        <v>5</v>
      </c>
      <c r="T1039" s="10">
        <v>2</v>
      </c>
      <c r="U1039" s="11">
        <f t="shared" ref="U1039:U1040" si="998">SUM(R1039:T1039)</f>
        <v>13</v>
      </c>
      <c r="V1039" s="11">
        <f t="shared" ref="V1039:V1040" si="999">Q1039+U1039</f>
        <v>17</v>
      </c>
      <c r="W1039" s="140">
        <v>45183</v>
      </c>
    </row>
    <row r="1040" spans="1:23" x14ac:dyDescent="0.15">
      <c r="A1040" s="25" t="s">
        <v>137</v>
      </c>
      <c r="B1040" s="17">
        <f>2-1</f>
        <v>1</v>
      </c>
      <c r="C1040" s="18">
        <v>5</v>
      </c>
      <c r="D1040" s="51">
        <v>1</v>
      </c>
      <c r="E1040" s="11">
        <f t="shared" si="991"/>
        <v>7</v>
      </c>
      <c r="F1040" s="20">
        <v>1</v>
      </c>
      <c r="G1040" s="18">
        <v>2</v>
      </c>
      <c r="H1040" s="19">
        <v>1</v>
      </c>
      <c r="I1040" s="11">
        <f t="shared" si="992"/>
        <v>4</v>
      </c>
      <c r="J1040" s="11">
        <f t="shared" si="993"/>
        <v>11</v>
      </c>
      <c r="K1040" s="63">
        <v>45183</v>
      </c>
      <c r="M1040" s="25" t="s">
        <v>160</v>
      </c>
      <c r="N1040" s="8">
        <v>12</v>
      </c>
      <c r="O1040" s="9">
        <v>17</v>
      </c>
      <c r="P1040" s="52">
        <v>10</v>
      </c>
      <c r="Q1040" s="11">
        <f t="shared" si="997"/>
        <v>39</v>
      </c>
      <c r="R1040" s="12">
        <v>10</v>
      </c>
      <c r="S1040" s="9">
        <v>11</v>
      </c>
      <c r="T1040" s="10">
        <v>11</v>
      </c>
      <c r="U1040" s="11">
        <f t="shared" si="998"/>
        <v>32</v>
      </c>
      <c r="V1040" s="11">
        <f t="shared" si="999"/>
        <v>71</v>
      </c>
      <c r="W1040" s="144">
        <v>45199</v>
      </c>
    </row>
    <row r="1041" spans="1:23" x14ac:dyDescent="0.15">
      <c r="A1041" s="25" t="s">
        <v>12</v>
      </c>
      <c r="B1041" s="17"/>
      <c r="C1041" s="18"/>
      <c r="D1041" s="51"/>
      <c r="E1041" s="11">
        <f t="shared" si="991"/>
        <v>0</v>
      </c>
      <c r="F1041" s="20"/>
      <c r="G1041" s="18">
        <v>5</v>
      </c>
      <c r="H1041" s="19"/>
      <c r="I1041" s="11">
        <f t="shared" si="992"/>
        <v>5</v>
      </c>
      <c r="J1041" s="11">
        <f t="shared" si="993"/>
        <v>5</v>
      </c>
      <c r="K1041" s="63">
        <v>45204</v>
      </c>
      <c r="M1041" s="25" t="s">
        <v>455</v>
      </c>
      <c r="N1041" s="8">
        <v>2</v>
      </c>
      <c r="O1041" s="9"/>
      <c r="P1041" s="52">
        <v>6</v>
      </c>
      <c r="Q1041" s="11">
        <f t="shared" si="994"/>
        <v>8</v>
      </c>
      <c r="R1041" s="12">
        <v>6</v>
      </c>
      <c r="S1041" s="9">
        <v>22</v>
      </c>
      <c r="T1041" s="10">
        <v>6</v>
      </c>
      <c r="U1041" s="11">
        <f t="shared" si="995"/>
        <v>34</v>
      </c>
      <c r="V1041" s="11">
        <f t="shared" si="996"/>
        <v>42</v>
      </c>
      <c r="W1041" s="140">
        <v>45204</v>
      </c>
    </row>
    <row r="1042" spans="1:23" x14ac:dyDescent="0.15">
      <c r="A1042" s="25" t="s">
        <v>137</v>
      </c>
      <c r="B1042" s="17">
        <v>1</v>
      </c>
      <c r="C1042" s="18">
        <v>3</v>
      </c>
      <c r="D1042" s="51">
        <v>1</v>
      </c>
      <c r="E1042" s="11">
        <f t="shared" si="991"/>
        <v>5</v>
      </c>
      <c r="F1042" s="20"/>
      <c r="G1042" s="18">
        <v>3</v>
      </c>
      <c r="H1042" s="19"/>
      <c r="I1042" s="11">
        <f t="shared" si="992"/>
        <v>3</v>
      </c>
      <c r="J1042" s="11">
        <f t="shared" si="993"/>
        <v>8</v>
      </c>
      <c r="K1042" s="63">
        <v>45218</v>
      </c>
      <c r="M1042" s="25" t="s">
        <v>13</v>
      </c>
      <c r="N1042" s="8"/>
      <c r="O1042" s="9"/>
      <c r="P1042" s="52"/>
      <c r="Q1042" s="11">
        <f t="shared" si="994"/>
        <v>0</v>
      </c>
      <c r="R1042" s="12"/>
      <c r="S1042" s="9"/>
      <c r="T1042" s="10"/>
      <c r="U1042" s="11">
        <f t="shared" si="995"/>
        <v>0</v>
      </c>
      <c r="V1042" s="11">
        <f t="shared" si="996"/>
        <v>0</v>
      </c>
    </row>
    <row r="1043" spans="1:23" x14ac:dyDescent="0.15">
      <c r="A1043" s="25" t="s">
        <v>14</v>
      </c>
      <c r="B1043" s="17"/>
      <c r="C1043" s="18">
        <v>3</v>
      </c>
      <c r="D1043" s="51"/>
      <c r="E1043" s="11">
        <f t="shared" si="991"/>
        <v>3</v>
      </c>
      <c r="F1043" s="20"/>
      <c r="G1043" s="18"/>
      <c r="H1043" s="19">
        <v>3</v>
      </c>
      <c r="I1043" s="11">
        <f t="shared" si="992"/>
        <v>3</v>
      </c>
      <c r="J1043" s="11">
        <f t="shared" si="993"/>
        <v>6</v>
      </c>
      <c r="K1043" s="63">
        <v>45217</v>
      </c>
      <c r="M1043" s="25" t="s">
        <v>14</v>
      </c>
      <c r="N1043" s="13"/>
      <c r="O1043" s="14"/>
      <c r="P1043" s="53"/>
      <c r="Q1043" s="11">
        <f t="shared" si="994"/>
        <v>0</v>
      </c>
      <c r="R1043" s="16"/>
      <c r="S1043" s="14"/>
      <c r="T1043" s="15"/>
      <c r="U1043" s="11">
        <f t="shared" si="995"/>
        <v>0</v>
      </c>
      <c r="V1043" s="11">
        <f t="shared" si="996"/>
        <v>0</v>
      </c>
    </row>
    <row r="1044" spans="1:23" ht="14.25" thickBot="1" x14ac:dyDescent="0.2">
      <c r="A1044" s="25" t="s">
        <v>430</v>
      </c>
      <c r="B1044" s="17">
        <v>-1</v>
      </c>
      <c r="C1044" s="18">
        <v>2</v>
      </c>
      <c r="D1044" s="51">
        <v>-5</v>
      </c>
      <c r="E1044" s="11">
        <f t="shared" si="991"/>
        <v>-4</v>
      </c>
      <c r="F1044" s="20"/>
      <c r="G1044" s="18"/>
      <c r="H1044" s="19">
        <v>1</v>
      </c>
      <c r="I1044" s="11">
        <f t="shared" si="992"/>
        <v>1</v>
      </c>
      <c r="J1044" s="11">
        <f t="shared" si="993"/>
        <v>-3</v>
      </c>
      <c r="K1044" s="71">
        <v>45198</v>
      </c>
      <c r="M1044" s="25" t="s">
        <v>453</v>
      </c>
      <c r="N1044" s="13"/>
      <c r="O1044" s="14"/>
      <c r="P1044" s="53"/>
      <c r="Q1044" s="62">
        <f t="shared" si="994"/>
        <v>0</v>
      </c>
      <c r="R1044" s="34"/>
      <c r="S1044" s="34"/>
      <c r="T1044" s="37"/>
      <c r="U1044" s="62">
        <f t="shared" si="995"/>
        <v>0</v>
      </c>
      <c r="V1044" s="21">
        <f t="shared" si="996"/>
        <v>0</v>
      </c>
      <c r="W1044" s="140"/>
    </row>
    <row r="1045" spans="1:23" ht="14.25" thickBot="1" x14ac:dyDescent="0.2">
      <c r="A1045" s="35" t="s">
        <v>16</v>
      </c>
      <c r="B1045" s="28">
        <f>SUM(B1036:B1044)</f>
        <v>21</v>
      </c>
      <c r="C1045" s="29">
        <f t="shared" ref="C1045:D1045" si="1000">SUM(C1036:C1044)</f>
        <v>30</v>
      </c>
      <c r="D1045" s="68">
        <f t="shared" si="1000"/>
        <v>17</v>
      </c>
      <c r="E1045" s="64">
        <f>SUM(B1045:D1045)</f>
        <v>68</v>
      </c>
      <c r="F1045" s="28">
        <f>SUM(F1036:F1044)</f>
        <v>19</v>
      </c>
      <c r="G1045" s="29">
        <f t="shared" ref="G1045:H1045" si="1001">SUM(G1036:G1044)</f>
        <v>29</v>
      </c>
      <c r="H1045" s="68">
        <f t="shared" si="1001"/>
        <v>20</v>
      </c>
      <c r="I1045" s="64">
        <f>SUM(F1045:H1045)</f>
        <v>68</v>
      </c>
      <c r="J1045" s="31">
        <f>SUM(J1037:J1044)</f>
        <v>63</v>
      </c>
      <c r="M1045" s="35" t="s">
        <v>16</v>
      </c>
      <c r="N1045" s="28">
        <f>SUM(N1036:N1044)</f>
        <v>34</v>
      </c>
      <c r="O1045" s="29">
        <f t="shared" ref="O1045:P1045" si="1002">SUM(O1036:O1044)</f>
        <v>251</v>
      </c>
      <c r="P1045" s="68">
        <f t="shared" si="1002"/>
        <v>494</v>
      </c>
      <c r="Q1045" s="64">
        <f>SUM(N1045:P1045)</f>
        <v>779</v>
      </c>
      <c r="R1045" s="28">
        <f>SUM(R1036:R1044)</f>
        <v>282</v>
      </c>
      <c r="S1045" s="29">
        <f t="shared" ref="S1045:T1045" si="1003">SUM(S1036:S1044)</f>
        <v>529</v>
      </c>
      <c r="T1045" s="68">
        <f t="shared" si="1003"/>
        <v>590</v>
      </c>
      <c r="U1045" s="64">
        <f>SUM(R1045:T1045)</f>
        <v>1401</v>
      </c>
      <c r="V1045" s="31">
        <f>Q1045+U1045</f>
        <v>2180</v>
      </c>
    </row>
    <row r="1046" spans="1:23" x14ac:dyDescent="0.15">
      <c r="A1046" s="25" t="s">
        <v>329</v>
      </c>
      <c r="B1046" s="8"/>
      <c r="C1046" s="9"/>
      <c r="D1046" s="10">
        <v>1</v>
      </c>
      <c r="E1046" s="49">
        <f t="shared" ref="E1046:E1072" si="1004">SUM(B1046:D1046)</f>
        <v>1</v>
      </c>
      <c r="F1046" s="12"/>
      <c r="G1046" s="9"/>
      <c r="H1046" s="10">
        <v>1</v>
      </c>
      <c r="I1046" s="49">
        <f t="shared" ref="I1046:I1072" si="1005">SUM(F1046:H1046)</f>
        <v>1</v>
      </c>
      <c r="J1046" s="11">
        <f t="shared" ref="J1046:J1071" si="1006">E1046+I1046</f>
        <v>2</v>
      </c>
      <c r="K1046" s="63">
        <v>45174</v>
      </c>
      <c r="M1046" s="23" t="s">
        <v>28</v>
      </c>
      <c r="N1046" s="65"/>
      <c r="O1046" s="66"/>
      <c r="P1046" s="67"/>
      <c r="Q1046" s="49">
        <f t="shared" ref="Q1046:Q1049" si="1007">SUM(N1046:P1046)</f>
        <v>0</v>
      </c>
      <c r="R1046" s="16"/>
      <c r="S1046" s="14">
        <v>5</v>
      </c>
      <c r="T1046" s="15"/>
      <c r="U1046" s="49">
        <f t="shared" ref="U1046:U1049" si="1008">SUM(R1046:T1046)</f>
        <v>5</v>
      </c>
      <c r="V1046" s="11">
        <f t="shared" ref="V1046:V1049" si="1009">Q1046+U1046</f>
        <v>5</v>
      </c>
      <c r="W1046" s="140">
        <v>45204</v>
      </c>
    </row>
    <row r="1047" spans="1:23" x14ac:dyDescent="0.15">
      <c r="A1047" s="25" t="s">
        <v>456</v>
      </c>
      <c r="B1047" s="8">
        <v>2</v>
      </c>
      <c r="C1047" s="9"/>
      <c r="D1047" s="10"/>
      <c r="E1047" s="49">
        <f t="shared" si="1004"/>
        <v>2</v>
      </c>
      <c r="F1047" s="12"/>
      <c r="G1047" s="9"/>
      <c r="H1047" s="10"/>
      <c r="I1047" s="49">
        <f t="shared" si="1005"/>
        <v>0</v>
      </c>
      <c r="J1047" s="11">
        <f t="shared" si="1006"/>
        <v>2</v>
      </c>
      <c r="K1047" s="63">
        <v>45175</v>
      </c>
      <c r="M1047" s="23" t="s">
        <v>28</v>
      </c>
      <c r="N1047" s="8"/>
      <c r="O1047" s="9">
        <v>3</v>
      </c>
      <c r="P1047" s="10"/>
      <c r="Q1047" s="49">
        <f t="shared" si="1007"/>
        <v>3</v>
      </c>
      <c r="R1047" s="12"/>
      <c r="S1047" s="9"/>
      <c r="T1047" s="10">
        <v>3</v>
      </c>
      <c r="U1047" s="49">
        <f t="shared" si="1008"/>
        <v>3</v>
      </c>
      <c r="V1047" s="11">
        <f t="shared" si="1009"/>
        <v>6</v>
      </c>
      <c r="W1047" s="140">
        <v>45217</v>
      </c>
    </row>
    <row r="1048" spans="1:23" x14ac:dyDescent="0.15">
      <c r="A1048" s="25" t="s">
        <v>33</v>
      </c>
      <c r="B1048" s="8"/>
      <c r="C1048" s="9"/>
      <c r="D1048" s="10"/>
      <c r="E1048" s="49">
        <f t="shared" si="1004"/>
        <v>0</v>
      </c>
      <c r="F1048" s="12">
        <v>1</v>
      </c>
      <c r="G1048" s="9"/>
      <c r="H1048" s="10"/>
      <c r="I1048" s="49">
        <f t="shared" si="1005"/>
        <v>1</v>
      </c>
      <c r="J1048" s="11">
        <f t="shared" si="1006"/>
        <v>1</v>
      </c>
      <c r="K1048" s="71">
        <v>45180</v>
      </c>
      <c r="M1048" s="23" t="s">
        <v>28</v>
      </c>
      <c r="N1048" s="8"/>
      <c r="O1048" s="9"/>
      <c r="P1048" s="10"/>
      <c r="Q1048" s="49">
        <f t="shared" si="1007"/>
        <v>0</v>
      </c>
      <c r="R1048" s="12">
        <v>5</v>
      </c>
      <c r="S1048" s="9"/>
      <c r="T1048" s="10"/>
      <c r="U1048" s="49">
        <f t="shared" si="1008"/>
        <v>5</v>
      </c>
      <c r="V1048" s="11">
        <f t="shared" si="1009"/>
        <v>5</v>
      </c>
      <c r="W1048" s="140">
        <v>45237</v>
      </c>
    </row>
    <row r="1049" spans="1:23" x14ac:dyDescent="0.15">
      <c r="A1049" s="25" t="s">
        <v>33</v>
      </c>
      <c r="B1049" s="8"/>
      <c r="C1049" s="9"/>
      <c r="D1049" s="10"/>
      <c r="E1049" s="49">
        <f t="shared" si="1004"/>
        <v>0</v>
      </c>
      <c r="F1049" s="12">
        <v>1</v>
      </c>
      <c r="G1049" s="9"/>
      <c r="H1049" s="10"/>
      <c r="I1049" s="49">
        <f t="shared" si="1005"/>
        <v>1</v>
      </c>
      <c r="J1049" s="11">
        <f t="shared" si="1006"/>
        <v>1</v>
      </c>
      <c r="K1049" s="71">
        <v>45184</v>
      </c>
      <c r="M1049" s="23" t="s">
        <v>28</v>
      </c>
      <c r="N1049" s="8"/>
      <c r="O1049" s="9">
        <v>3</v>
      </c>
      <c r="P1049" s="10"/>
      <c r="Q1049" s="49">
        <f t="shared" si="1007"/>
        <v>3</v>
      </c>
      <c r="R1049" s="12"/>
      <c r="S1049" s="9">
        <v>5</v>
      </c>
      <c r="T1049" s="10">
        <v>3</v>
      </c>
      <c r="U1049" s="49">
        <f t="shared" si="1008"/>
        <v>8</v>
      </c>
      <c r="V1049" s="11">
        <f t="shared" si="1009"/>
        <v>11</v>
      </c>
      <c r="W1049" s="144">
        <v>45246</v>
      </c>
    </row>
    <row r="1050" spans="1:23" x14ac:dyDescent="0.15">
      <c r="A1050" s="25" t="s">
        <v>33</v>
      </c>
      <c r="B1050" s="8">
        <v>1</v>
      </c>
      <c r="C1050" s="9"/>
      <c r="D1050" s="10"/>
      <c r="E1050" s="49">
        <f t="shared" si="1004"/>
        <v>1</v>
      </c>
      <c r="F1050" s="12"/>
      <c r="G1050" s="9"/>
      <c r="H1050" s="10"/>
      <c r="I1050" s="49">
        <f t="shared" si="1005"/>
        <v>0</v>
      </c>
      <c r="J1050" s="11">
        <f t="shared" si="1006"/>
        <v>1</v>
      </c>
      <c r="K1050" s="71">
        <v>45191</v>
      </c>
      <c r="M1050" s="26"/>
      <c r="N1050" s="8"/>
      <c r="O1050" s="9"/>
      <c r="P1050" s="10"/>
      <c r="Q1050" s="49">
        <f>SUM(N1050:P1050)</f>
        <v>0</v>
      </c>
      <c r="R1050" s="12"/>
      <c r="S1050" s="9"/>
      <c r="T1050" s="10"/>
      <c r="U1050" s="49">
        <f>SUM(R1050:T1050)</f>
        <v>0</v>
      </c>
      <c r="V1050" s="11">
        <f>Q1050+U1050</f>
        <v>0</v>
      </c>
    </row>
    <row r="1051" spans="1:23" x14ac:dyDescent="0.15">
      <c r="A1051" s="25" t="s">
        <v>457</v>
      </c>
      <c r="B1051" s="8"/>
      <c r="C1051" s="9"/>
      <c r="D1051" s="10"/>
      <c r="E1051" s="49">
        <f t="shared" si="1004"/>
        <v>0</v>
      </c>
      <c r="F1051" s="12"/>
      <c r="G1051" s="9">
        <v>2</v>
      </c>
      <c r="H1051" s="10"/>
      <c r="I1051" s="49">
        <f t="shared" si="1005"/>
        <v>2</v>
      </c>
      <c r="J1051" s="11">
        <f t="shared" si="1006"/>
        <v>2</v>
      </c>
      <c r="K1051" s="63">
        <v>45192</v>
      </c>
      <c r="M1051" s="23"/>
      <c r="N1051" s="8"/>
      <c r="O1051" s="9"/>
      <c r="P1051" s="10"/>
      <c r="Q1051" s="49">
        <f t="shared" ref="Q1051:Q1072" si="1010">SUM(N1051:P1051)</f>
        <v>0</v>
      </c>
      <c r="R1051" s="12"/>
      <c r="S1051" s="9"/>
      <c r="T1051" s="10"/>
      <c r="U1051" s="49">
        <f t="shared" ref="U1051:U1072" si="1011">SUM(R1051:T1051)</f>
        <v>0</v>
      </c>
      <c r="V1051" s="11">
        <f t="shared" ref="V1051:V1069" si="1012">Q1051+U1051</f>
        <v>0</v>
      </c>
    </row>
    <row r="1052" spans="1:23" x14ac:dyDescent="0.15">
      <c r="A1052" s="25" t="s">
        <v>33</v>
      </c>
      <c r="B1052" s="8">
        <v>1</v>
      </c>
      <c r="C1052" s="9"/>
      <c r="D1052" s="10"/>
      <c r="E1052" s="49">
        <f t="shared" si="1004"/>
        <v>1</v>
      </c>
      <c r="F1052" s="12">
        <v>1</v>
      </c>
      <c r="G1052" s="9">
        <v>3</v>
      </c>
      <c r="H1052" s="10"/>
      <c r="I1052" s="49">
        <f t="shared" si="1005"/>
        <v>4</v>
      </c>
      <c r="J1052" s="11">
        <f t="shared" si="1006"/>
        <v>5</v>
      </c>
      <c r="K1052" s="71">
        <v>45194</v>
      </c>
      <c r="M1052" s="133"/>
      <c r="N1052" s="8"/>
      <c r="O1052" s="9"/>
      <c r="P1052" s="52"/>
      <c r="Q1052" s="11">
        <f t="shared" si="1010"/>
        <v>0</v>
      </c>
      <c r="R1052" s="12"/>
      <c r="S1052" s="9"/>
      <c r="T1052" s="10"/>
      <c r="U1052" s="11">
        <f t="shared" si="1011"/>
        <v>0</v>
      </c>
      <c r="V1052" s="11">
        <f t="shared" si="1012"/>
        <v>0</v>
      </c>
    </row>
    <row r="1053" spans="1:23" x14ac:dyDescent="0.15">
      <c r="A1053" s="25" t="s">
        <v>33</v>
      </c>
      <c r="B1053" s="8"/>
      <c r="C1053" s="9"/>
      <c r="D1053" s="10"/>
      <c r="E1053" s="49">
        <f t="shared" si="1004"/>
        <v>0</v>
      </c>
      <c r="F1053" s="12">
        <v>1</v>
      </c>
      <c r="G1053" s="9"/>
      <c r="H1053" s="10"/>
      <c r="I1053" s="49">
        <f t="shared" si="1005"/>
        <v>1</v>
      </c>
      <c r="J1053" s="11">
        <f t="shared" si="1006"/>
        <v>1</v>
      </c>
      <c r="K1053" s="71">
        <v>45196</v>
      </c>
      <c r="M1053" s="25"/>
      <c r="N1053" s="8"/>
      <c r="O1053" s="9"/>
      <c r="P1053" s="10"/>
      <c r="Q1053" s="49">
        <f t="shared" si="1010"/>
        <v>0</v>
      </c>
      <c r="R1053" s="12"/>
      <c r="S1053" s="9"/>
      <c r="T1053" s="10"/>
      <c r="U1053" s="49">
        <f t="shared" si="1011"/>
        <v>0</v>
      </c>
      <c r="V1053" s="11">
        <f t="shared" si="1012"/>
        <v>0</v>
      </c>
    </row>
    <row r="1054" spans="1:23" x14ac:dyDescent="0.15">
      <c r="A1054" s="25" t="s">
        <v>33</v>
      </c>
      <c r="B1054" s="8">
        <v>1</v>
      </c>
      <c r="C1054" s="9"/>
      <c r="D1054" s="10"/>
      <c r="E1054" s="49">
        <f t="shared" si="1004"/>
        <v>1</v>
      </c>
      <c r="F1054" s="12"/>
      <c r="G1054" s="9"/>
      <c r="H1054" s="10"/>
      <c r="I1054" s="49">
        <f t="shared" si="1005"/>
        <v>0</v>
      </c>
      <c r="J1054" s="11">
        <f t="shared" si="1006"/>
        <v>1</v>
      </c>
      <c r="K1054" s="71">
        <v>45198</v>
      </c>
      <c r="M1054" s="119"/>
      <c r="N1054" s="8"/>
      <c r="O1054" s="9"/>
      <c r="P1054" s="10"/>
      <c r="Q1054" s="49">
        <f t="shared" si="1010"/>
        <v>0</v>
      </c>
      <c r="R1054" s="12"/>
      <c r="S1054" s="9"/>
      <c r="T1054" s="10"/>
      <c r="U1054" s="49">
        <f t="shared" si="1011"/>
        <v>0</v>
      </c>
      <c r="V1054" s="11">
        <f t="shared" si="1012"/>
        <v>0</v>
      </c>
    </row>
    <row r="1055" spans="1:23" x14ac:dyDescent="0.15">
      <c r="A1055" s="25" t="s">
        <v>458</v>
      </c>
      <c r="B1055" s="8">
        <v>12</v>
      </c>
      <c r="C1055" s="9">
        <v>17</v>
      </c>
      <c r="D1055" s="10">
        <v>10</v>
      </c>
      <c r="E1055" s="49">
        <f t="shared" si="1004"/>
        <v>39</v>
      </c>
      <c r="F1055" s="12">
        <v>10</v>
      </c>
      <c r="G1055" s="9">
        <v>11</v>
      </c>
      <c r="H1055" s="10">
        <v>11</v>
      </c>
      <c r="I1055" s="49">
        <f t="shared" si="1005"/>
        <v>32</v>
      </c>
      <c r="J1055" s="11">
        <f t="shared" si="1006"/>
        <v>71</v>
      </c>
      <c r="K1055" s="71">
        <v>45199</v>
      </c>
      <c r="M1055" s="119"/>
      <c r="N1055" s="13"/>
      <c r="O1055" s="14"/>
      <c r="P1055" s="15"/>
      <c r="Q1055" s="49">
        <f t="shared" si="1010"/>
        <v>0</v>
      </c>
      <c r="R1055" s="16"/>
      <c r="S1055" s="14"/>
      <c r="T1055" s="15"/>
      <c r="U1055" s="49">
        <f t="shared" si="1011"/>
        <v>0</v>
      </c>
      <c r="V1055" s="11">
        <f t="shared" si="1012"/>
        <v>0</v>
      </c>
    </row>
    <row r="1056" spans="1:23" x14ac:dyDescent="0.15">
      <c r="A1056" s="25" t="s">
        <v>33</v>
      </c>
      <c r="B1056" s="8"/>
      <c r="C1056" s="9"/>
      <c r="D1056" s="10"/>
      <c r="E1056" s="49">
        <f t="shared" si="1004"/>
        <v>0</v>
      </c>
      <c r="F1056" s="12"/>
      <c r="G1056" s="9">
        <v>1</v>
      </c>
      <c r="H1056" s="10"/>
      <c r="I1056" s="49">
        <f t="shared" si="1005"/>
        <v>1</v>
      </c>
      <c r="J1056" s="11">
        <f t="shared" si="1006"/>
        <v>1</v>
      </c>
      <c r="K1056" s="63">
        <v>45201</v>
      </c>
      <c r="M1056" s="119"/>
      <c r="N1056" s="8"/>
      <c r="O1056" s="9"/>
      <c r="P1056" s="10"/>
      <c r="Q1056" s="49">
        <f t="shared" si="1010"/>
        <v>0</v>
      </c>
      <c r="R1056" s="12"/>
      <c r="S1056" s="9"/>
      <c r="T1056" s="10"/>
      <c r="U1056" s="49">
        <f t="shared" si="1011"/>
        <v>0</v>
      </c>
      <c r="V1056" s="11">
        <f t="shared" si="1012"/>
        <v>0</v>
      </c>
    </row>
    <row r="1057" spans="1:22" x14ac:dyDescent="0.15">
      <c r="A1057" s="25" t="s">
        <v>424</v>
      </c>
      <c r="B1057" s="8"/>
      <c r="C1057" s="9"/>
      <c r="D1057" s="10"/>
      <c r="E1057" s="49">
        <f t="shared" si="1004"/>
        <v>0</v>
      </c>
      <c r="F1057" s="12"/>
      <c r="G1057" s="9">
        <v>3</v>
      </c>
      <c r="H1057" s="10"/>
      <c r="I1057" s="49">
        <f t="shared" si="1005"/>
        <v>3</v>
      </c>
      <c r="J1057" s="11">
        <f t="shared" si="1006"/>
        <v>3</v>
      </c>
      <c r="K1057" s="63">
        <v>45203</v>
      </c>
      <c r="M1057" s="26"/>
      <c r="N1057" s="8"/>
      <c r="O1057" s="9"/>
      <c r="P1057" s="10"/>
      <c r="Q1057" s="49">
        <f t="shared" si="1010"/>
        <v>0</v>
      </c>
      <c r="R1057" s="12"/>
      <c r="S1057" s="9"/>
      <c r="T1057" s="10"/>
      <c r="U1057" s="49">
        <f t="shared" si="1011"/>
        <v>0</v>
      </c>
      <c r="V1057" s="11">
        <f t="shared" si="1012"/>
        <v>0</v>
      </c>
    </row>
    <row r="1058" spans="1:22" x14ac:dyDescent="0.15">
      <c r="A1058" s="25" t="s">
        <v>33</v>
      </c>
      <c r="B1058" s="8"/>
      <c r="C1058" s="9"/>
      <c r="D1058" s="10"/>
      <c r="E1058" s="49">
        <f t="shared" si="1004"/>
        <v>0</v>
      </c>
      <c r="F1058" s="12"/>
      <c r="G1058" s="9">
        <v>2</v>
      </c>
      <c r="H1058" s="10"/>
      <c r="I1058" s="49">
        <f t="shared" si="1005"/>
        <v>2</v>
      </c>
      <c r="J1058" s="11">
        <f t="shared" si="1006"/>
        <v>2</v>
      </c>
      <c r="K1058" s="71">
        <v>45205</v>
      </c>
      <c r="M1058" s="102"/>
      <c r="N1058" s="8"/>
      <c r="O1058" s="9"/>
      <c r="P1058" s="10"/>
      <c r="Q1058" s="49">
        <f t="shared" si="1010"/>
        <v>0</v>
      </c>
      <c r="R1058" s="12"/>
      <c r="S1058" s="9"/>
      <c r="T1058" s="10"/>
      <c r="U1058" s="49">
        <f t="shared" si="1011"/>
        <v>0</v>
      </c>
      <c r="V1058" s="11">
        <f t="shared" si="1012"/>
        <v>0</v>
      </c>
    </row>
    <row r="1059" spans="1:22" x14ac:dyDescent="0.15">
      <c r="A1059" s="25" t="s">
        <v>33</v>
      </c>
      <c r="B1059" s="8"/>
      <c r="C1059" s="9"/>
      <c r="D1059" s="10"/>
      <c r="E1059" s="49">
        <f t="shared" si="1004"/>
        <v>0</v>
      </c>
      <c r="F1059" s="12"/>
      <c r="G1059" s="9"/>
      <c r="H1059" s="10">
        <v>1</v>
      </c>
      <c r="I1059" s="49">
        <f t="shared" si="1005"/>
        <v>1</v>
      </c>
      <c r="J1059" s="11">
        <f t="shared" si="1006"/>
        <v>1</v>
      </c>
      <c r="K1059" s="71">
        <v>45209</v>
      </c>
      <c r="M1059" s="102"/>
      <c r="N1059" s="8"/>
      <c r="O1059" s="9"/>
      <c r="P1059" s="10"/>
      <c r="Q1059" s="49">
        <f t="shared" si="1010"/>
        <v>0</v>
      </c>
      <c r="R1059" s="12"/>
      <c r="S1059" s="9"/>
      <c r="T1059" s="10"/>
      <c r="U1059" s="49">
        <f t="shared" si="1011"/>
        <v>0</v>
      </c>
      <c r="V1059" s="11">
        <f t="shared" si="1012"/>
        <v>0</v>
      </c>
    </row>
    <row r="1060" spans="1:22" x14ac:dyDescent="0.15">
      <c r="A1060" s="26" t="s">
        <v>459</v>
      </c>
      <c r="B1060" s="8">
        <v>2</v>
      </c>
      <c r="C1060" s="9"/>
      <c r="D1060" s="10"/>
      <c r="E1060" s="49">
        <f t="shared" si="1004"/>
        <v>2</v>
      </c>
      <c r="F1060" s="12"/>
      <c r="G1060" s="9"/>
      <c r="H1060" s="10"/>
      <c r="I1060" s="49">
        <f t="shared" si="1005"/>
        <v>0</v>
      </c>
      <c r="J1060" s="11">
        <f t="shared" si="1006"/>
        <v>2</v>
      </c>
      <c r="K1060" s="63">
        <v>45212</v>
      </c>
      <c r="M1060" s="26"/>
      <c r="N1060" s="8"/>
      <c r="O1060" s="9"/>
      <c r="P1060" s="10"/>
      <c r="Q1060" s="49">
        <f t="shared" si="1010"/>
        <v>0</v>
      </c>
      <c r="R1060" s="12"/>
      <c r="S1060" s="9"/>
      <c r="T1060" s="10"/>
      <c r="U1060" s="49">
        <f t="shared" si="1011"/>
        <v>0</v>
      </c>
      <c r="V1060" s="11">
        <f t="shared" si="1012"/>
        <v>0</v>
      </c>
    </row>
    <row r="1061" spans="1:22" x14ac:dyDescent="0.15">
      <c r="A1061" s="26" t="s">
        <v>424</v>
      </c>
      <c r="B1061" s="8"/>
      <c r="C1061" s="9">
        <v>3</v>
      </c>
      <c r="D1061" s="10"/>
      <c r="E1061" s="49">
        <f t="shared" si="1004"/>
        <v>3</v>
      </c>
      <c r="F1061" s="12"/>
      <c r="G1061" s="9">
        <v>1</v>
      </c>
      <c r="H1061" s="10"/>
      <c r="I1061" s="49">
        <f t="shared" si="1005"/>
        <v>1</v>
      </c>
      <c r="J1061" s="11">
        <f t="shared" si="1006"/>
        <v>4</v>
      </c>
      <c r="K1061" s="63">
        <v>45216</v>
      </c>
      <c r="M1061" s="26"/>
      <c r="N1061" s="8"/>
      <c r="O1061" s="9"/>
      <c r="P1061" s="10"/>
      <c r="Q1061" s="49">
        <f t="shared" si="1010"/>
        <v>0</v>
      </c>
      <c r="R1061" s="12"/>
      <c r="S1061" s="9"/>
      <c r="T1061" s="10"/>
      <c r="U1061" s="49">
        <f t="shared" si="1011"/>
        <v>0</v>
      </c>
      <c r="V1061" s="11">
        <f t="shared" si="1012"/>
        <v>0</v>
      </c>
    </row>
    <row r="1062" spans="1:22" x14ac:dyDescent="0.15">
      <c r="A1062" s="25" t="s">
        <v>33</v>
      </c>
      <c r="B1062" s="8">
        <v>1</v>
      </c>
      <c r="C1062" s="9">
        <v>2</v>
      </c>
      <c r="D1062" s="10"/>
      <c r="E1062" s="49">
        <f t="shared" si="1004"/>
        <v>3</v>
      </c>
      <c r="F1062" s="12"/>
      <c r="G1062" s="9"/>
      <c r="H1062" s="10">
        <v>2</v>
      </c>
      <c r="I1062" s="49">
        <f t="shared" si="1005"/>
        <v>2</v>
      </c>
      <c r="J1062" s="11">
        <f t="shared" si="1006"/>
        <v>5</v>
      </c>
      <c r="K1062" s="63">
        <v>45215</v>
      </c>
      <c r="M1062" s="26"/>
      <c r="N1062" s="8"/>
      <c r="O1062" s="9"/>
      <c r="P1062" s="10"/>
      <c r="Q1062" s="49">
        <f t="shared" si="1010"/>
        <v>0</v>
      </c>
      <c r="R1062" s="12"/>
      <c r="S1062" s="9"/>
      <c r="T1062" s="10"/>
      <c r="U1062" s="49">
        <f t="shared" si="1011"/>
        <v>0</v>
      </c>
      <c r="V1062" s="11">
        <f t="shared" si="1012"/>
        <v>0</v>
      </c>
    </row>
    <row r="1063" spans="1:22" x14ac:dyDescent="0.15">
      <c r="A1063" s="25" t="s">
        <v>33</v>
      </c>
      <c r="B1063" s="8"/>
      <c r="C1063" s="9">
        <v>2</v>
      </c>
      <c r="D1063" s="10"/>
      <c r="E1063" s="49">
        <f t="shared" si="1004"/>
        <v>2</v>
      </c>
      <c r="F1063" s="12"/>
      <c r="G1063" s="9"/>
      <c r="H1063" s="10"/>
      <c r="I1063" s="49">
        <f t="shared" si="1005"/>
        <v>0</v>
      </c>
      <c r="J1063" s="11">
        <f t="shared" si="1006"/>
        <v>2</v>
      </c>
      <c r="K1063" s="63">
        <v>45216</v>
      </c>
      <c r="M1063" s="24"/>
      <c r="N1063" s="8"/>
      <c r="O1063" s="9"/>
      <c r="P1063" s="10"/>
      <c r="Q1063" s="49">
        <f t="shared" si="1010"/>
        <v>0</v>
      </c>
      <c r="R1063" s="12"/>
      <c r="S1063" s="9"/>
      <c r="T1063" s="10"/>
      <c r="U1063" s="49">
        <f t="shared" si="1011"/>
        <v>0</v>
      </c>
      <c r="V1063" s="11">
        <f t="shared" si="1012"/>
        <v>0</v>
      </c>
    </row>
    <row r="1064" spans="1:22" x14ac:dyDescent="0.15">
      <c r="A1064" s="25" t="s">
        <v>424</v>
      </c>
      <c r="B1064" s="8"/>
      <c r="C1064" s="9"/>
      <c r="D1064" s="10"/>
      <c r="E1064" s="49">
        <f t="shared" si="1004"/>
        <v>0</v>
      </c>
      <c r="F1064" s="12"/>
      <c r="G1064" s="9">
        <v>1</v>
      </c>
      <c r="H1064" s="10"/>
      <c r="I1064" s="49">
        <f t="shared" si="1005"/>
        <v>1</v>
      </c>
      <c r="J1064" s="11">
        <f t="shared" si="1006"/>
        <v>1</v>
      </c>
      <c r="K1064" s="63">
        <v>45230</v>
      </c>
      <c r="M1064" s="26"/>
      <c r="N1064" s="8"/>
      <c r="O1064" s="9"/>
      <c r="P1064" s="10"/>
      <c r="Q1064" s="49">
        <f t="shared" si="1010"/>
        <v>0</v>
      </c>
      <c r="R1064" s="12"/>
      <c r="S1064" s="9"/>
      <c r="T1064" s="10"/>
      <c r="U1064" s="49">
        <f t="shared" si="1011"/>
        <v>0</v>
      </c>
      <c r="V1064" s="11">
        <f t="shared" si="1012"/>
        <v>0</v>
      </c>
    </row>
    <row r="1065" spans="1:22" x14ac:dyDescent="0.15">
      <c r="A1065" s="25" t="s">
        <v>33</v>
      </c>
      <c r="B1065" s="8"/>
      <c r="C1065" s="9"/>
      <c r="D1065" s="10"/>
      <c r="E1065" s="49">
        <f t="shared" si="1004"/>
        <v>0</v>
      </c>
      <c r="F1065" s="12">
        <v>2</v>
      </c>
      <c r="G1065" s="9"/>
      <c r="H1065" s="10"/>
      <c r="I1065" s="49">
        <f t="shared" si="1005"/>
        <v>2</v>
      </c>
      <c r="J1065" s="11">
        <f t="shared" si="1006"/>
        <v>2</v>
      </c>
      <c r="K1065" s="71">
        <v>45229</v>
      </c>
      <c r="M1065" s="26"/>
      <c r="N1065" s="8"/>
      <c r="O1065" s="9"/>
      <c r="P1065" s="10"/>
      <c r="Q1065" s="49">
        <f t="shared" si="1010"/>
        <v>0</v>
      </c>
      <c r="R1065" s="12"/>
      <c r="S1065" s="9"/>
      <c r="T1065" s="10"/>
      <c r="U1065" s="49">
        <f t="shared" si="1011"/>
        <v>0</v>
      </c>
      <c r="V1065" s="11">
        <f t="shared" si="1012"/>
        <v>0</v>
      </c>
    </row>
    <row r="1066" spans="1:22" x14ac:dyDescent="0.15">
      <c r="A1066" s="25" t="s">
        <v>33</v>
      </c>
      <c r="B1066" s="8"/>
      <c r="C1066" s="9"/>
      <c r="D1066" s="10"/>
      <c r="E1066" s="49">
        <f t="shared" si="1004"/>
        <v>0</v>
      </c>
      <c r="F1066" s="12">
        <v>1</v>
      </c>
      <c r="G1066" s="9"/>
      <c r="H1066" s="10"/>
      <c r="I1066" s="49">
        <f t="shared" si="1005"/>
        <v>1</v>
      </c>
      <c r="J1066" s="11">
        <f t="shared" si="1006"/>
        <v>1</v>
      </c>
      <c r="K1066" s="71">
        <v>45236</v>
      </c>
      <c r="M1066" s="26"/>
      <c r="N1066" s="8"/>
      <c r="O1066" s="9"/>
      <c r="P1066" s="10"/>
      <c r="Q1066" s="49">
        <f t="shared" si="1010"/>
        <v>0</v>
      </c>
      <c r="R1066" s="12"/>
      <c r="S1066" s="9"/>
      <c r="T1066" s="10"/>
      <c r="U1066" s="49">
        <f t="shared" si="1011"/>
        <v>0</v>
      </c>
      <c r="V1066" s="11">
        <f t="shared" si="1012"/>
        <v>0</v>
      </c>
    </row>
    <row r="1067" spans="1:22" x14ac:dyDescent="0.15">
      <c r="A1067" s="25" t="s">
        <v>460</v>
      </c>
      <c r="B1067" s="13"/>
      <c r="C1067" s="14"/>
      <c r="D1067" s="15"/>
      <c r="E1067" s="49">
        <f t="shared" si="1004"/>
        <v>0</v>
      </c>
      <c r="F1067" s="16">
        <v>-5</v>
      </c>
      <c r="G1067" s="14"/>
      <c r="H1067" s="15"/>
      <c r="I1067" s="49">
        <f t="shared" si="1005"/>
        <v>-5</v>
      </c>
      <c r="J1067" s="11">
        <f t="shared" si="1006"/>
        <v>-5</v>
      </c>
      <c r="K1067" s="63">
        <v>45237</v>
      </c>
      <c r="M1067" s="26"/>
      <c r="N1067" s="8"/>
      <c r="O1067" s="9"/>
      <c r="P1067" s="10"/>
      <c r="Q1067" s="49">
        <f t="shared" si="1010"/>
        <v>0</v>
      </c>
      <c r="R1067" s="12"/>
      <c r="S1067" s="9"/>
      <c r="T1067" s="10"/>
      <c r="U1067" s="49">
        <f t="shared" si="1011"/>
        <v>0</v>
      </c>
      <c r="V1067" s="11">
        <f t="shared" si="1012"/>
        <v>0</v>
      </c>
    </row>
    <row r="1068" spans="1:22" x14ac:dyDescent="0.15">
      <c r="A1068" s="26" t="s">
        <v>461</v>
      </c>
      <c r="B1068" s="8"/>
      <c r="C1068" s="9"/>
      <c r="D1068" s="10"/>
      <c r="E1068" s="49">
        <f t="shared" si="1004"/>
        <v>0</v>
      </c>
      <c r="F1068" s="12"/>
      <c r="G1068" s="9">
        <v>2</v>
      </c>
      <c r="H1068" s="10"/>
      <c r="I1068" s="49">
        <f t="shared" si="1005"/>
        <v>2</v>
      </c>
      <c r="J1068" s="11">
        <f t="shared" si="1006"/>
        <v>2</v>
      </c>
      <c r="K1068" s="63">
        <v>45239</v>
      </c>
      <c r="M1068" s="26"/>
      <c r="N1068" s="8"/>
      <c r="O1068" s="9"/>
      <c r="P1068" s="10"/>
      <c r="Q1068" s="49">
        <f t="shared" si="1010"/>
        <v>0</v>
      </c>
      <c r="R1068" s="12"/>
      <c r="S1068" s="9"/>
      <c r="T1068" s="10"/>
      <c r="U1068" s="49">
        <f t="shared" si="1011"/>
        <v>0</v>
      </c>
      <c r="V1068" s="11">
        <f t="shared" si="1012"/>
        <v>0</v>
      </c>
    </row>
    <row r="1069" spans="1:22" x14ac:dyDescent="0.15">
      <c r="A1069" s="26" t="s">
        <v>424</v>
      </c>
      <c r="B1069" s="8"/>
      <c r="C1069" s="9"/>
      <c r="D1069" s="10"/>
      <c r="E1069" s="49">
        <f t="shared" si="1004"/>
        <v>0</v>
      </c>
      <c r="F1069" s="12"/>
      <c r="G1069" s="9">
        <v>2</v>
      </c>
      <c r="H1069" s="10">
        <v>2</v>
      </c>
      <c r="I1069" s="49">
        <f t="shared" si="1005"/>
        <v>4</v>
      </c>
      <c r="J1069" s="11">
        <f t="shared" si="1006"/>
        <v>4</v>
      </c>
      <c r="K1069" s="63">
        <v>45246</v>
      </c>
      <c r="M1069" s="134"/>
      <c r="N1069" s="8"/>
      <c r="O1069" s="9"/>
      <c r="P1069" s="10"/>
      <c r="Q1069" s="49">
        <f t="shared" si="1010"/>
        <v>0</v>
      </c>
      <c r="R1069" s="12"/>
      <c r="S1069" s="9"/>
      <c r="T1069" s="10"/>
      <c r="U1069" s="49">
        <f t="shared" si="1011"/>
        <v>0</v>
      </c>
      <c r="V1069" s="11">
        <f t="shared" si="1012"/>
        <v>0</v>
      </c>
    </row>
    <row r="1070" spans="1:22" x14ac:dyDescent="0.15">
      <c r="A1070" s="25" t="s">
        <v>462</v>
      </c>
      <c r="B1070" s="8"/>
      <c r="C1070" s="9">
        <v>-3</v>
      </c>
      <c r="D1070" s="10"/>
      <c r="E1070" s="49">
        <f t="shared" si="1004"/>
        <v>-3</v>
      </c>
      <c r="F1070" s="12"/>
      <c r="G1070" s="9">
        <v>-5</v>
      </c>
      <c r="H1070" s="10">
        <v>-3</v>
      </c>
      <c r="I1070" s="49">
        <f t="shared" si="1005"/>
        <v>-8</v>
      </c>
      <c r="J1070" s="11">
        <f t="shared" si="1006"/>
        <v>-11</v>
      </c>
      <c r="K1070" s="63">
        <v>45246</v>
      </c>
      <c r="M1070" s="134"/>
      <c r="N1070" s="8"/>
      <c r="O1070" s="9"/>
      <c r="P1070" s="10"/>
      <c r="Q1070" s="49">
        <f t="shared" ref="Q1070:Q1071" si="1013">SUM(N1070:P1070)</f>
        <v>0</v>
      </c>
      <c r="R1070" s="12"/>
      <c r="S1070" s="9"/>
      <c r="T1070" s="10"/>
      <c r="U1070" s="49">
        <f t="shared" ref="U1070:U1071" si="1014">SUM(R1070:T1070)</f>
        <v>0</v>
      </c>
      <c r="V1070" s="11">
        <f t="shared" ref="V1070:V1071" si="1015">Q1070+U1070</f>
        <v>0</v>
      </c>
    </row>
    <row r="1071" spans="1:22" ht="14.25" thickBot="1" x14ac:dyDescent="0.2">
      <c r="A1071" s="25" t="s">
        <v>33</v>
      </c>
      <c r="B1071" s="13"/>
      <c r="C1071" s="14">
        <v>1</v>
      </c>
      <c r="D1071" s="15"/>
      <c r="E1071" s="55">
        <f t="shared" si="1004"/>
        <v>1</v>
      </c>
      <c r="F1071" s="16"/>
      <c r="G1071" s="14"/>
      <c r="H1071" s="15">
        <v>2</v>
      </c>
      <c r="I1071" s="55">
        <f t="shared" si="1005"/>
        <v>2</v>
      </c>
      <c r="J1071" s="11">
        <f t="shared" si="1006"/>
        <v>3</v>
      </c>
      <c r="K1071" s="63">
        <v>45257</v>
      </c>
      <c r="M1071" s="134"/>
      <c r="N1071" s="8"/>
      <c r="O1071" s="9"/>
      <c r="P1071" s="10"/>
      <c r="Q1071" s="49">
        <f t="shared" si="1013"/>
        <v>0</v>
      </c>
      <c r="R1071" s="12"/>
      <c r="S1071" s="9"/>
      <c r="T1071" s="10"/>
      <c r="U1071" s="49">
        <f t="shared" si="1014"/>
        <v>0</v>
      </c>
      <c r="V1071" s="11">
        <f t="shared" si="1015"/>
        <v>0</v>
      </c>
    </row>
    <row r="1072" spans="1:22" ht="14.25" thickBot="1" x14ac:dyDescent="0.2">
      <c r="A1072" s="41" t="s">
        <v>19</v>
      </c>
      <c r="B1072" s="46">
        <f>SUM(B1046:B1071)</f>
        <v>20</v>
      </c>
      <c r="C1072" s="47">
        <f t="shared" ref="C1072:D1072" si="1016">SUM(C1046:C1071)</f>
        <v>22</v>
      </c>
      <c r="D1072" s="59">
        <f t="shared" si="1016"/>
        <v>11</v>
      </c>
      <c r="E1072" s="45">
        <f t="shared" si="1004"/>
        <v>53</v>
      </c>
      <c r="F1072" s="46">
        <f>SUM(F1046:F1071)</f>
        <v>12</v>
      </c>
      <c r="G1072" s="47">
        <f t="shared" ref="G1072:H1072" si="1017">SUM(G1046:G1071)</f>
        <v>23</v>
      </c>
      <c r="H1072" s="59">
        <f t="shared" si="1017"/>
        <v>16</v>
      </c>
      <c r="I1072" s="45">
        <f t="shared" si="1005"/>
        <v>51</v>
      </c>
      <c r="J1072" s="45">
        <f>E1072+I1072</f>
        <v>104</v>
      </c>
      <c r="M1072" s="41" t="s">
        <v>19</v>
      </c>
      <c r="N1072" s="46">
        <f>SUM(N1046:N1071)</f>
        <v>0</v>
      </c>
      <c r="O1072" s="47">
        <f t="shared" ref="O1072:P1072" si="1018">SUM(O1046:O1071)</f>
        <v>6</v>
      </c>
      <c r="P1072" s="59">
        <f t="shared" si="1018"/>
        <v>0</v>
      </c>
      <c r="Q1072" s="45">
        <f t="shared" si="1010"/>
        <v>6</v>
      </c>
      <c r="R1072" s="46">
        <f>SUM(R1046:R1071)</f>
        <v>5</v>
      </c>
      <c r="S1072" s="47">
        <f t="shared" ref="S1072:T1072" si="1019">SUM(S1046:S1071)</f>
        <v>10</v>
      </c>
      <c r="T1072" s="59">
        <f t="shared" si="1019"/>
        <v>6</v>
      </c>
      <c r="U1072" s="45">
        <f t="shared" si="1011"/>
        <v>21</v>
      </c>
      <c r="V1072" s="45">
        <f>Q1072+U1072</f>
        <v>27</v>
      </c>
    </row>
    <row r="1073" spans="1:22" ht="14.25" thickBot="1" x14ac:dyDescent="0.2">
      <c r="A1073" s="22" t="s">
        <v>17</v>
      </c>
      <c r="B1073" s="50">
        <f>B1045-B1072</f>
        <v>1</v>
      </c>
      <c r="C1073" s="57">
        <f t="shared" ref="C1073:D1073" si="1020">C1045-C1072</f>
        <v>8</v>
      </c>
      <c r="D1073" s="58">
        <f t="shared" si="1020"/>
        <v>6</v>
      </c>
      <c r="E1073" s="56">
        <f>SUM(B1073:D1073)</f>
        <v>15</v>
      </c>
      <c r="F1073" s="50">
        <f>F1045-F1072</f>
        <v>7</v>
      </c>
      <c r="G1073" s="57">
        <f t="shared" ref="G1073:H1073" si="1021">G1045-G1072</f>
        <v>6</v>
      </c>
      <c r="H1073" s="58">
        <f t="shared" si="1021"/>
        <v>4</v>
      </c>
      <c r="I1073" s="56">
        <f>SUM(F1073:H1073)</f>
        <v>17</v>
      </c>
      <c r="J1073" s="31">
        <f>E1073+I1073</f>
        <v>32</v>
      </c>
      <c r="M1073" s="22" t="s">
        <v>17</v>
      </c>
      <c r="N1073" s="50">
        <f>N1045-N1072</f>
        <v>34</v>
      </c>
      <c r="O1073" s="57">
        <f t="shared" ref="O1073:P1073" si="1022">O1045-O1072</f>
        <v>245</v>
      </c>
      <c r="P1073" s="58">
        <f t="shared" si="1022"/>
        <v>494</v>
      </c>
      <c r="Q1073" s="56">
        <f>SUM(N1073:P1073)</f>
        <v>773</v>
      </c>
      <c r="R1073" s="50">
        <f>R1045-R1072</f>
        <v>277</v>
      </c>
      <c r="S1073" s="57">
        <f t="shared" ref="S1073:T1073" si="1023">S1045-S1072</f>
        <v>519</v>
      </c>
      <c r="T1073" s="58">
        <f t="shared" si="1023"/>
        <v>584</v>
      </c>
      <c r="U1073" s="56">
        <f>SUM(R1073:T1073)</f>
        <v>1380</v>
      </c>
      <c r="V1073" s="31">
        <f>Q1073+U1073</f>
        <v>2153</v>
      </c>
    </row>
    <row r="1074" spans="1:22" x14ac:dyDescent="0.15">
      <c r="B1074">
        <f>B1072+B1029+B986+B943+B900+B857</f>
        <v>143</v>
      </c>
      <c r="C1074">
        <f t="shared" ref="C1074:J1074" si="1024">C1072+C1029+C986+C943+C900+C857</f>
        <v>149</v>
      </c>
      <c r="D1074">
        <f t="shared" si="1024"/>
        <v>82</v>
      </c>
      <c r="E1074">
        <f t="shared" si="1024"/>
        <v>374</v>
      </c>
      <c r="F1074">
        <f t="shared" si="1024"/>
        <v>166</v>
      </c>
      <c r="G1074">
        <f t="shared" si="1024"/>
        <v>135</v>
      </c>
      <c r="H1074">
        <f t="shared" si="1024"/>
        <v>105</v>
      </c>
      <c r="I1074">
        <f t="shared" si="1024"/>
        <v>406</v>
      </c>
      <c r="J1074">
        <f t="shared" si="1024"/>
        <v>780</v>
      </c>
    </row>
    <row r="1075" spans="1:22" x14ac:dyDescent="0.15">
      <c r="B1075" s="108">
        <f>B1074/$E$1074*100</f>
        <v>38.235294117647058</v>
      </c>
      <c r="C1075" s="108">
        <f t="shared" ref="C1075:E1075" si="1025">C1074/$E$1074*100</f>
        <v>39.839572192513366</v>
      </c>
      <c r="D1075" s="108">
        <f t="shared" si="1025"/>
        <v>21.925133689839569</v>
      </c>
      <c r="E1075" s="108">
        <f t="shared" si="1025"/>
        <v>100</v>
      </c>
      <c r="F1075" s="108">
        <f>F1074/$I$1074*100</f>
        <v>40.88669950738916</v>
      </c>
      <c r="G1075" s="108">
        <f t="shared" ref="G1075:I1075" si="1026">G1074/$I$1074*100</f>
        <v>33.251231527093594</v>
      </c>
      <c r="H1075" s="108">
        <f t="shared" si="1026"/>
        <v>25.862068965517242</v>
      </c>
      <c r="I1075" s="108">
        <f t="shared" si="1026"/>
        <v>100</v>
      </c>
    </row>
    <row r="1076" spans="1:22" ht="19.5" thickBot="1" x14ac:dyDescent="0.25">
      <c r="A1076" s="3" t="s">
        <v>21</v>
      </c>
      <c r="B1076" s="1"/>
      <c r="C1076" s="1"/>
      <c r="D1076" s="1"/>
      <c r="E1076" s="1"/>
      <c r="F1076" s="1"/>
      <c r="G1076" s="1"/>
      <c r="H1076" s="1"/>
      <c r="I1076" s="1"/>
      <c r="J1076" s="1"/>
      <c r="M1076" s="3" t="s">
        <v>22</v>
      </c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 ht="14.25" thickBot="1" x14ac:dyDescent="0.2">
      <c r="A1077" s="7" t="s">
        <v>0</v>
      </c>
      <c r="B1077" s="165" t="s">
        <v>24</v>
      </c>
      <c r="C1077" s="166"/>
      <c r="D1077" s="166"/>
      <c r="E1077" s="170"/>
      <c r="F1077" s="165" t="s">
        <v>18</v>
      </c>
      <c r="G1077" s="166"/>
      <c r="H1077" s="166"/>
      <c r="I1077" s="167"/>
      <c r="J1077" s="168" t="s">
        <v>1</v>
      </c>
      <c r="M1077" s="7" t="s">
        <v>0</v>
      </c>
      <c r="N1077" s="165" t="s">
        <v>24</v>
      </c>
      <c r="O1077" s="166"/>
      <c r="P1077" s="166"/>
      <c r="Q1077" s="170"/>
      <c r="R1077" s="165" t="s">
        <v>18</v>
      </c>
      <c r="S1077" s="166"/>
      <c r="T1077" s="166"/>
      <c r="U1077" s="167"/>
      <c r="V1077" s="168" t="s">
        <v>1</v>
      </c>
    </row>
    <row r="1078" spans="1:22" ht="14.25" thickBot="1" x14ac:dyDescent="0.2">
      <c r="A1078" s="7" t="s">
        <v>2</v>
      </c>
      <c r="B1078" s="4" t="s">
        <v>3</v>
      </c>
      <c r="C1078" s="5" t="s">
        <v>4</v>
      </c>
      <c r="D1078" s="6" t="s">
        <v>5</v>
      </c>
      <c r="E1078" s="7" t="s">
        <v>6</v>
      </c>
      <c r="F1078" s="4" t="s">
        <v>3</v>
      </c>
      <c r="G1078" s="5" t="s">
        <v>4</v>
      </c>
      <c r="H1078" s="6" t="s">
        <v>5</v>
      </c>
      <c r="I1078" s="7" t="s">
        <v>6</v>
      </c>
      <c r="J1078" s="169"/>
      <c r="M1078" s="7" t="s">
        <v>2</v>
      </c>
      <c r="N1078" s="4" t="s">
        <v>3</v>
      </c>
      <c r="O1078" s="5" t="s">
        <v>4</v>
      </c>
      <c r="P1078" s="6" t="s">
        <v>5</v>
      </c>
      <c r="Q1078" s="7" t="s">
        <v>6</v>
      </c>
      <c r="R1078" s="4" t="s">
        <v>3</v>
      </c>
      <c r="S1078" s="5" t="s">
        <v>4</v>
      </c>
      <c r="T1078" s="6" t="s">
        <v>5</v>
      </c>
      <c r="U1078" s="7" t="s">
        <v>6</v>
      </c>
      <c r="V1078" s="169"/>
    </row>
    <row r="1079" spans="1:22" ht="14.25" thickBot="1" x14ac:dyDescent="0.2">
      <c r="A1079" s="27" t="s">
        <v>20</v>
      </c>
      <c r="B1079" s="28">
        <f>B1073</f>
        <v>1</v>
      </c>
      <c r="C1079" s="29">
        <f>C1073</f>
        <v>8</v>
      </c>
      <c r="D1079" s="30">
        <f>D1073</f>
        <v>6</v>
      </c>
      <c r="E1079" s="31">
        <f>SUM(B1079:D1079)</f>
        <v>15</v>
      </c>
      <c r="F1079" s="28">
        <f>F1073</f>
        <v>7</v>
      </c>
      <c r="G1079" s="29">
        <f>G1073</f>
        <v>6</v>
      </c>
      <c r="H1079" s="30">
        <f>H1073</f>
        <v>4</v>
      </c>
      <c r="I1079" s="31">
        <f>SUM(F1079:H1079)</f>
        <v>17</v>
      </c>
      <c r="J1079" s="31">
        <f>E1079+I1079</f>
        <v>32</v>
      </c>
      <c r="M1079" s="27" t="s">
        <v>20</v>
      </c>
      <c r="N1079" s="28">
        <f>N1073</f>
        <v>34</v>
      </c>
      <c r="O1079" s="29">
        <f>O1073</f>
        <v>245</v>
      </c>
      <c r="P1079" s="30">
        <f>P1073</f>
        <v>494</v>
      </c>
      <c r="Q1079" s="31">
        <f>SUM(N1079:P1079)</f>
        <v>773</v>
      </c>
      <c r="R1079" s="28">
        <f>R1073</f>
        <v>277</v>
      </c>
      <c r="S1079" s="29">
        <f>S1073</f>
        <v>519</v>
      </c>
      <c r="T1079" s="30">
        <f>T1073</f>
        <v>584</v>
      </c>
      <c r="U1079" s="31">
        <f>SUM(R1079:T1079)</f>
        <v>1380</v>
      </c>
      <c r="V1079" s="31">
        <f>Q1079+U1079</f>
        <v>2153</v>
      </c>
    </row>
    <row r="1080" spans="1:22" x14ac:dyDescent="0.15">
      <c r="A1080" s="25" t="s">
        <v>8</v>
      </c>
      <c r="B1080" s="17"/>
      <c r="C1080" s="18"/>
      <c r="D1080" s="51"/>
      <c r="E1080" s="11">
        <f t="shared" ref="E1080" si="1027">SUM(B1080:D1080)</f>
        <v>0</v>
      </c>
      <c r="F1080" s="20"/>
      <c r="G1080" s="18"/>
      <c r="H1080" s="19">
        <v>3</v>
      </c>
      <c r="I1080" s="11">
        <f t="shared" ref="I1080" si="1028">SUM(F1080:H1080)</f>
        <v>3</v>
      </c>
      <c r="J1080" s="11">
        <f t="shared" ref="J1080" si="1029">E1080+I1080</f>
        <v>3</v>
      </c>
      <c r="K1080" s="63">
        <v>45265</v>
      </c>
      <c r="M1080" s="25" t="s">
        <v>8</v>
      </c>
      <c r="N1080" s="17"/>
      <c r="O1080" s="18"/>
      <c r="P1080" s="51"/>
      <c r="Q1080" s="49">
        <f t="shared" ref="Q1080:Q1086" si="1030">SUM(N1080:P1080)</f>
        <v>0</v>
      </c>
      <c r="R1080" s="20"/>
      <c r="S1080" s="18"/>
      <c r="T1080" s="19"/>
      <c r="U1080" s="49">
        <f t="shared" ref="U1080:U1086" si="1031">SUM(R1080:T1080)</f>
        <v>0</v>
      </c>
      <c r="V1080" s="49">
        <f t="shared" ref="V1080:V1086" si="1032">Q1080+U1080</f>
        <v>0</v>
      </c>
    </row>
    <row r="1081" spans="1:22" x14ac:dyDescent="0.15">
      <c r="A1081" s="25" t="s">
        <v>9</v>
      </c>
      <c r="B1081" s="17"/>
      <c r="C1081" s="18"/>
      <c r="D1081" s="51"/>
      <c r="E1081" s="11">
        <f t="shared" ref="E1081" si="1033">SUM(B1081:D1081)</f>
        <v>0</v>
      </c>
      <c r="F1081" s="20"/>
      <c r="G1081" s="18">
        <v>3</v>
      </c>
      <c r="H1081" s="19"/>
      <c r="I1081" s="11">
        <f t="shared" ref="I1081:I1083" si="1034">SUM(F1081:H1081)</f>
        <v>3</v>
      </c>
      <c r="J1081" s="11">
        <f t="shared" ref="J1081" si="1035">E1081+I1081</f>
        <v>3</v>
      </c>
      <c r="K1081" s="63">
        <v>45267</v>
      </c>
      <c r="M1081" s="25" t="s">
        <v>9</v>
      </c>
      <c r="N1081" s="8"/>
      <c r="O1081" s="9"/>
      <c r="P1081" s="52"/>
      <c r="Q1081" s="11">
        <f t="shared" ref="Q1081:Q1084" si="1036">SUM(N1081:P1081)</f>
        <v>0</v>
      </c>
      <c r="R1081" s="12"/>
      <c r="S1081" s="9"/>
      <c r="T1081" s="10"/>
      <c r="U1081" s="11">
        <f t="shared" ref="U1081:U1084" si="1037">SUM(R1081:T1081)</f>
        <v>0</v>
      </c>
      <c r="V1081" s="11">
        <f t="shared" ref="V1081:V1084" si="1038">Q1081+U1081</f>
        <v>0</v>
      </c>
    </row>
    <row r="1082" spans="1:22" x14ac:dyDescent="0.15">
      <c r="A1082" s="25" t="s">
        <v>10</v>
      </c>
      <c r="B1082" s="17"/>
      <c r="C1082" s="18"/>
      <c r="D1082" s="51"/>
      <c r="E1082" s="11">
        <f t="shared" ref="E1082:E1087" si="1039">SUM(B1082:D1082)</f>
        <v>0</v>
      </c>
      <c r="F1082" s="20"/>
      <c r="G1082" s="18"/>
      <c r="H1082" s="19">
        <v>3</v>
      </c>
      <c r="I1082" s="11">
        <f t="shared" si="1034"/>
        <v>3</v>
      </c>
      <c r="J1082" s="11">
        <f t="shared" ref="J1082:J1087" si="1040">E1082+I1082</f>
        <v>3</v>
      </c>
      <c r="K1082" s="63">
        <v>45296</v>
      </c>
      <c r="M1082" s="25" t="s">
        <v>10</v>
      </c>
      <c r="N1082" s="8"/>
      <c r="O1082" s="9"/>
      <c r="P1082" s="52"/>
      <c r="Q1082" s="11">
        <f t="shared" si="1036"/>
        <v>0</v>
      </c>
      <c r="R1082" s="12"/>
      <c r="S1082" s="9"/>
      <c r="T1082" s="10"/>
      <c r="U1082" s="11">
        <f t="shared" si="1037"/>
        <v>0</v>
      </c>
      <c r="V1082" s="11">
        <f t="shared" si="1038"/>
        <v>0</v>
      </c>
    </row>
    <row r="1083" spans="1:22" x14ac:dyDescent="0.15">
      <c r="A1083" s="25" t="s">
        <v>11</v>
      </c>
      <c r="B1083" s="17"/>
      <c r="C1083" s="18"/>
      <c r="D1083" s="51">
        <v>3</v>
      </c>
      <c r="E1083" s="11">
        <f t="shared" si="1039"/>
        <v>3</v>
      </c>
      <c r="F1083" s="20"/>
      <c r="G1083" s="18">
        <v>3</v>
      </c>
      <c r="H1083" s="19">
        <v>3</v>
      </c>
      <c r="I1083" s="11">
        <f t="shared" si="1034"/>
        <v>6</v>
      </c>
      <c r="J1083" s="11">
        <f t="shared" si="1040"/>
        <v>9</v>
      </c>
      <c r="K1083" s="63">
        <v>45307</v>
      </c>
      <c r="M1083" s="25" t="s">
        <v>11</v>
      </c>
      <c r="N1083" s="8"/>
      <c r="O1083" s="9"/>
      <c r="P1083" s="52"/>
      <c r="Q1083" s="11">
        <f t="shared" si="1036"/>
        <v>0</v>
      </c>
      <c r="R1083" s="12"/>
      <c r="S1083" s="9"/>
      <c r="T1083" s="10"/>
      <c r="U1083" s="11">
        <f t="shared" si="1037"/>
        <v>0</v>
      </c>
      <c r="V1083" s="11">
        <f t="shared" si="1038"/>
        <v>0</v>
      </c>
    </row>
    <row r="1084" spans="1:22" x14ac:dyDescent="0.15">
      <c r="A1084" s="25" t="s">
        <v>12</v>
      </c>
      <c r="B1084" s="17"/>
      <c r="C1084" s="18"/>
      <c r="D1084" s="51"/>
      <c r="E1084" s="11">
        <f t="shared" si="1039"/>
        <v>0</v>
      </c>
      <c r="F1084" s="20">
        <v>3</v>
      </c>
      <c r="G1084" s="18"/>
      <c r="H1084" s="19">
        <v>3</v>
      </c>
      <c r="I1084" s="11">
        <f t="shared" ref="I1084:I1087" si="1041">SUM(F1084:H1084)</f>
        <v>6</v>
      </c>
      <c r="J1084" s="11">
        <f t="shared" si="1040"/>
        <v>6</v>
      </c>
      <c r="K1084" s="63">
        <v>45338</v>
      </c>
      <c r="M1084" s="25" t="s">
        <v>12</v>
      </c>
      <c r="N1084" s="8"/>
      <c r="O1084" s="9"/>
      <c r="P1084" s="52"/>
      <c r="Q1084" s="11">
        <f t="shared" si="1036"/>
        <v>0</v>
      </c>
      <c r="R1084" s="12"/>
      <c r="S1084" s="9"/>
      <c r="T1084" s="10"/>
      <c r="U1084" s="11">
        <f t="shared" si="1037"/>
        <v>0</v>
      </c>
      <c r="V1084" s="11">
        <f t="shared" si="1038"/>
        <v>0</v>
      </c>
    </row>
    <row r="1085" spans="1:22" x14ac:dyDescent="0.15">
      <c r="A1085" s="25" t="s">
        <v>13</v>
      </c>
      <c r="B1085" s="17"/>
      <c r="C1085" s="18">
        <v>5</v>
      </c>
      <c r="D1085" s="51">
        <v>5</v>
      </c>
      <c r="E1085" s="11">
        <f t="shared" si="1039"/>
        <v>10</v>
      </c>
      <c r="F1085" s="20">
        <v>5</v>
      </c>
      <c r="G1085" s="18">
        <v>5</v>
      </c>
      <c r="H1085" s="19">
        <v>5</v>
      </c>
      <c r="I1085" s="11">
        <f t="shared" si="1041"/>
        <v>15</v>
      </c>
      <c r="J1085" s="11">
        <f t="shared" si="1040"/>
        <v>25</v>
      </c>
      <c r="K1085" s="63">
        <v>45356</v>
      </c>
      <c r="M1085" s="25" t="s">
        <v>13</v>
      </c>
      <c r="N1085" s="8"/>
      <c r="O1085" s="9"/>
      <c r="P1085" s="52"/>
      <c r="Q1085" s="11">
        <f t="shared" si="1030"/>
        <v>0</v>
      </c>
      <c r="R1085" s="12"/>
      <c r="S1085" s="9"/>
      <c r="T1085" s="10"/>
      <c r="U1085" s="11">
        <f t="shared" si="1031"/>
        <v>0</v>
      </c>
      <c r="V1085" s="11">
        <f t="shared" si="1032"/>
        <v>0</v>
      </c>
    </row>
    <row r="1086" spans="1:22" x14ac:dyDescent="0.15">
      <c r="A1086" s="25" t="s">
        <v>14</v>
      </c>
      <c r="B1086" s="17"/>
      <c r="C1086" s="18">
        <v>10</v>
      </c>
      <c r="D1086" s="51">
        <v>5</v>
      </c>
      <c r="E1086" s="11">
        <f t="shared" si="1039"/>
        <v>15</v>
      </c>
      <c r="F1086" s="20"/>
      <c r="G1086" s="18"/>
      <c r="H1086" s="19">
        <v>5</v>
      </c>
      <c r="I1086" s="11">
        <f t="shared" si="1041"/>
        <v>5</v>
      </c>
      <c r="J1086" s="11">
        <f t="shared" si="1040"/>
        <v>20</v>
      </c>
      <c r="K1086" s="63">
        <v>45357</v>
      </c>
      <c r="L1086" s="82"/>
      <c r="M1086" s="25" t="s">
        <v>14</v>
      </c>
      <c r="N1086" s="13"/>
      <c r="O1086" s="14"/>
      <c r="P1086" s="53"/>
      <c r="Q1086" s="11">
        <f t="shared" si="1030"/>
        <v>0</v>
      </c>
      <c r="R1086" s="16"/>
      <c r="S1086" s="14"/>
      <c r="T1086" s="15"/>
      <c r="U1086" s="11">
        <f t="shared" si="1031"/>
        <v>0</v>
      </c>
      <c r="V1086" s="11">
        <f t="shared" si="1032"/>
        <v>0</v>
      </c>
    </row>
    <row r="1087" spans="1:22" ht="14.25" thickBot="1" x14ac:dyDescent="0.2">
      <c r="A1087" s="25" t="s">
        <v>15</v>
      </c>
      <c r="B1087" s="17"/>
      <c r="C1087" s="18"/>
      <c r="D1087" s="51"/>
      <c r="E1087" s="11">
        <f t="shared" si="1039"/>
        <v>0</v>
      </c>
      <c r="F1087" s="20">
        <v>5</v>
      </c>
      <c r="G1087" s="18"/>
      <c r="H1087" s="19"/>
      <c r="I1087" s="11">
        <f t="shared" si="1041"/>
        <v>5</v>
      </c>
      <c r="J1087" s="11">
        <f t="shared" si="1040"/>
        <v>5</v>
      </c>
      <c r="K1087" s="63">
        <v>45362</v>
      </c>
      <c r="M1087" s="25" t="s">
        <v>15</v>
      </c>
      <c r="N1087" s="13"/>
      <c r="O1087" s="14"/>
      <c r="P1087" s="53"/>
      <c r="Q1087" s="11">
        <f t="shared" ref="Q1087" si="1042">SUM(N1087:P1087)</f>
        <v>0</v>
      </c>
      <c r="R1087" s="16"/>
      <c r="S1087" s="14"/>
      <c r="T1087" s="15"/>
      <c r="U1087" s="11">
        <f t="shared" ref="U1087" si="1043">SUM(R1087:T1087)</f>
        <v>0</v>
      </c>
      <c r="V1087" s="11">
        <f t="shared" ref="V1087" si="1044">Q1087+U1087</f>
        <v>0</v>
      </c>
    </row>
    <row r="1088" spans="1:22" ht="14.25" thickBot="1" x14ac:dyDescent="0.2">
      <c r="A1088" s="35" t="s">
        <v>16</v>
      </c>
      <c r="B1088" s="28">
        <f>SUM(B1079:B1087)</f>
        <v>1</v>
      </c>
      <c r="C1088" s="29">
        <f t="shared" ref="C1088:D1088" si="1045">SUM(C1079:C1087)</f>
        <v>23</v>
      </c>
      <c r="D1088" s="68">
        <f t="shared" si="1045"/>
        <v>19</v>
      </c>
      <c r="E1088" s="64">
        <f>SUM(B1088:D1088)</f>
        <v>43</v>
      </c>
      <c r="F1088" s="28">
        <f>SUM(F1079:F1087)</f>
        <v>20</v>
      </c>
      <c r="G1088" s="29">
        <f t="shared" ref="G1088:H1088" si="1046">SUM(G1079:G1087)</f>
        <v>17</v>
      </c>
      <c r="H1088" s="68">
        <f t="shared" si="1046"/>
        <v>26</v>
      </c>
      <c r="I1088" s="64">
        <f>SUM(F1088:H1088)</f>
        <v>63</v>
      </c>
      <c r="J1088" s="31">
        <f>SUM(J1080:J1087)</f>
        <v>74</v>
      </c>
      <c r="M1088" s="35" t="s">
        <v>16</v>
      </c>
      <c r="N1088" s="28">
        <f>SUM(N1079:N1087)</f>
        <v>34</v>
      </c>
      <c r="O1088" s="29">
        <f t="shared" ref="O1088:P1088" si="1047">SUM(O1079:O1087)</f>
        <v>245</v>
      </c>
      <c r="P1088" s="68">
        <f t="shared" si="1047"/>
        <v>494</v>
      </c>
      <c r="Q1088" s="64">
        <f>SUM(N1088:P1088)</f>
        <v>773</v>
      </c>
      <c r="R1088" s="28">
        <f>SUM(R1079:R1087)</f>
        <v>277</v>
      </c>
      <c r="S1088" s="29">
        <f t="shared" ref="S1088:T1088" si="1048">SUM(S1079:S1087)</f>
        <v>519</v>
      </c>
      <c r="T1088" s="68">
        <f t="shared" si="1048"/>
        <v>584</v>
      </c>
      <c r="U1088" s="64">
        <f>SUM(R1088:T1088)</f>
        <v>1380</v>
      </c>
      <c r="V1088" s="31">
        <f>Q1088+U1088</f>
        <v>2153</v>
      </c>
    </row>
    <row r="1089" spans="1:25" x14ac:dyDescent="0.15">
      <c r="A1089" s="25" t="s">
        <v>33</v>
      </c>
      <c r="B1089" s="8"/>
      <c r="C1089" s="9"/>
      <c r="D1089" s="10"/>
      <c r="E1089" s="49">
        <f t="shared" ref="E1089" si="1049">SUM(B1089:D1089)</f>
        <v>0</v>
      </c>
      <c r="F1089" s="12"/>
      <c r="G1089" s="9">
        <v>1</v>
      </c>
      <c r="H1089" s="10"/>
      <c r="I1089" s="49">
        <f t="shared" ref="I1089" si="1050">SUM(F1089:H1089)</f>
        <v>1</v>
      </c>
      <c r="J1089" s="11">
        <f t="shared" ref="J1089" si="1051">E1089+I1089</f>
        <v>1</v>
      </c>
      <c r="K1089" s="71">
        <v>45258</v>
      </c>
      <c r="M1089" s="23" t="s">
        <v>28</v>
      </c>
      <c r="N1089" s="8"/>
      <c r="O1089" s="9"/>
      <c r="P1089" s="10"/>
      <c r="Q1089" s="49">
        <f t="shared" ref="Q1089:Q1097" si="1052">SUM(N1089:P1089)</f>
        <v>0</v>
      </c>
      <c r="R1089" s="12"/>
      <c r="S1089" s="9"/>
      <c r="T1089" s="10">
        <v>3</v>
      </c>
      <c r="U1089" s="49">
        <f t="shared" ref="U1089:U1097" si="1053">SUM(R1089:T1089)</f>
        <v>3</v>
      </c>
      <c r="V1089" s="11">
        <f t="shared" ref="V1089:V1097" si="1054">Q1089+U1089</f>
        <v>3</v>
      </c>
      <c r="W1089" s="140">
        <v>45265</v>
      </c>
      <c r="X1089" s="82"/>
      <c r="Y1089" s="82"/>
    </row>
    <row r="1090" spans="1:25" x14ac:dyDescent="0.15">
      <c r="A1090" s="25" t="s">
        <v>424</v>
      </c>
      <c r="B1090" s="8"/>
      <c r="C1090" s="9"/>
      <c r="D1090" s="10"/>
      <c r="E1090" s="49">
        <f t="shared" ref="E1090:E1108" si="1055">SUM(B1090:D1090)</f>
        <v>0</v>
      </c>
      <c r="F1090" s="12"/>
      <c r="G1090" s="9"/>
      <c r="H1090" s="10">
        <v>2</v>
      </c>
      <c r="I1090" s="49">
        <f t="shared" ref="I1090:I1108" si="1056">SUM(F1090:H1090)</f>
        <v>2</v>
      </c>
      <c r="J1090" s="11">
        <f t="shared" ref="J1090:J1108" si="1057">E1090+I1090</f>
        <v>2</v>
      </c>
      <c r="K1090" s="63">
        <v>45265</v>
      </c>
      <c r="M1090" s="23" t="s">
        <v>28</v>
      </c>
      <c r="N1090" s="8"/>
      <c r="O1090" s="9"/>
      <c r="P1090" s="10"/>
      <c r="Q1090" s="49">
        <f t="shared" si="1052"/>
        <v>0</v>
      </c>
      <c r="R1090" s="12"/>
      <c r="S1090" s="9">
        <v>3</v>
      </c>
      <c r="T1090" s="10"/>
      <c r="U1090" s="49">
        <f t="shared" si="1053"/>
        <v>3</v>
      </c>
      <c r="V1090" s="11">
        <f t="shared" si="1054"/>
        <v>3</v>
      </c>
      <c r="W1090" s="140">
        <v>45267</v>
      </c>
      <c r="X1090" s="82"/>
      <c r="Y1090" s="82"/>
    </row>
    <row r="1091" spans="1:25" x14ac:dyDescent="0.15">
      <c r="A1091" s="25" t="s">
        <v>33</v>
      </c>
      <c r="B1091" s="8"/>
      <c r="C1091" s="9"/>
      <c r="D1091" s="10">
        <v>1</v>
      </c>
      <c r="E1091" s="49">
        <f t="shared" si="1055"/>
        <v>1</v>
      </c>
      <c r="F1091" s="12">
        <v>1</v>
      </c>
      <c r="G1091" s="9">
        <v>2</v>
      </c>
      <c r="H1091" s="10"/>
      <c r="I1091" s="49">
        <f t="shared" si="1056"/>
        <v>3</v>
      </c>
      <c r="J1091" s="11">
        <f t="shared" si="1057"/>
        <v>4</v>
      </c>
      <c r="K1091" s="63">
        <v>45266</v>
      </c>
      <c r="M1091" s="23" t="s">
        <v>28</v>
      </c>
      <c r="N1091" s="8"/>
      <c r="O1091" s="9"/>
      <c r="P1091" s="10"/>
      <c r="Q1091" s="49">
        <f t="shared" si="1052"/>
        <v>0</v>
      </c>
      <c r="R1091" s="12"/>
      <c r="S1091" s="9"/>
      <c r="T1091" s="10">
        <v>3</v>
      </c>
      <c r="U1091" s="49">
        <f t="shared" si="1053"/>
        <v>3</v>
      </c>
      <c r="V1091" s="11">
        <f t="shared" si="1054"/>
        <v>3</v>
      </c>
      <c r="W1091" s="140">
        <v>45296</v>
      </c>
      <c r="X1091" s="82"/>
      <c r="Y1091" s="82"/>
    </row>
    <row r="1092" spans="1:25" x14ac:dyDescent="0.15">
      <c r="A1092" s="25" t="s">
        <v>33</v>
      </c>
      <c r="B1092" s="8"/>
      <c r="C1092" s="9"/>
      <c r="D1092" s="10"/>
      <c r="E1092" s="49">
        <f t="shared" si="1055"/>
        <v>0</v>
      </c>
      <c r="F1092" s="12"/>
      <c r="G1092" s="9">
        <v>1</v>
      </c>
      <c r="H1092" s="10"/>
      <c r="I1092" s="49">
        <f t="shared" si="1056"/>
        <v>1</v>
      </c>
      <c r="J1092" s="11">
        <f t="shared" si="1057"/>
        <v>1</v>
      </c>
      <c r="K1092" s="71">
        <v>45267</v>
      </c>
      <c r="M1092" s="23" t="s">
        <v>28</v>
      </c>
      <c r="N1092" s="8"/>
      <c r="O1092" s="9"/>
      <c r="P1092" s="10">
        <v>3</v>
      </c>
      <c r="Q1092" s="49">
        <f t="shared" si="1052"/>
        <v>3</v>
      </c>
      <c r="R1092" s="12"/>
      <c r="S1092" s="9">
        <v>3</v>
      </c>
      <c r="T1092" s="10">
        <v>3</v>
      </c>
      <c r="U1092" s="49">
        <f t="shared" si="1053"/>
        <v>6</v>
      </c>
      <c r="V1092" s="11">
        <f t="shared" si="1054"/>
        <v>9</v>
      </c>
      <c r="W1092" s="140">
        <v>45307</v>
      </c>
      <c r="X1092" s="82"/>
    </row>
    <row r="1093" spans="1:25" x14ac:dyDescent="0.15">
      <c r="A1093" s="25" t="s">
        <v>33</v>
      </c>
      <c r="B1093" s="8"/>
      <c r="C1093" s="9"/>
      <c r="D1093" s="10">
        <v>1</v>
      </c>
      <c r="E1093" s="49">
        <f t="shared" si="1055"/>
        <v>1</v>
      </c>
      <c r="F1093" s="12"/>
      <c r="G1093" s="9"/>
      <c r="H1093" s="10"/>
      <c r="I1093" s="49">
        <f t="shared" si="1056"/>
        <v>0</v>
      </c>
      <c r="J1093" s="11">
        <f t="shared" si="1057"/>
        <v>1</v>
      </c>
      <c r="K1093" s="71">
        <v>45272</v>
      </c>
      <c r="M1093" s="23" t="s">
        <v>28</v>
      </c>
      <c r="N1093" s="8"/>
      <c r="O1093" s="9"/>
      <c r="P1093" s="10"/>
      <c r="Q1093" s="49">
        <f t="shared" si="1052"/>
        <v>0</v>
      </c>
      <c r="R1093" s="12">
        <v>3</v>
      </c>
      <c r="S1093" s="9"/>
      <c r="T1093" s="10">
        <v>3</v>
      </c>
      <c r="U1093" s="49">
        <f t="shared" si="1053"/>
        <v>6</v>
      </c>
      <c r="V1093" s="11">
        <f t="shared" si="1054"/>
        <v>6</v>
      </c>
      <c r="W1093" s="140">
        <v>45338</v>
      </c>
      <c r="X1093" s="82"/>
    </row>
    <row r="1094" spans="1:25" x14ac:dyDescent="0.15">
      <c r="A1094" s="25" t="s">
        <v>33</v>
      </c>
      <c r="B1094" s="8"/>
      <c r="C1094" s="9"/>
      <c r="D1094" s="10"/>
      <c r="E1094" s="49">
        <f t="shared" si="1055"/>
        <v>0</v>
      </c>
      <c r="F1094" s="12"/>
      <c r="G1094" s="9"/>
      <c r="H1094" s="10">
        <v>1</v>
      </c>
      <c r="I1094" s="49">
        <f t="shared" si="1056"/>
        <v>1</v>
      </c>
      <c r="J1094" s="11">
        <f t="shared" si="1057"/>
        <v>1</v>
      </c>
      <c r="K1094" s="71">
        <v>45279</v>
      </c>
      <c r="M1094" s="23" t="s">
        <v>28</v>
      </c>
      <c r="N1094" s="8"/>
      <c r="O1094" s="9">
        <v>5</v>
      </c>
      <c r="P1094" s="10">
        <v>5</v>
      </c>
      <c r="Q1094" s="49">
        <f t="shared" si="1052"/>
        <v>10</v>
      </c>
      <c r="R1094" s="12">
        <v>5</v>
      </c>
      <c r="S1094" s="9">
        <v>5</v>
      </c>
      <c r="T1094" s="10">
        <v>5</v>
      </c>
      <c r="U1094" s="49">
        <f t="shared" si="1053"/>
        <v>15</v>
      </c>
      <c r="V1094" s="11">
        <f t="shared" si="1054"/>
        <v>25</v>
      </c>
      <c r="W1094" s="140">
        <v>45356</v>
      </c>
    </row>
    <row r="1095" spans="1:25" x14ac:dyDescent="0.15">
      <c r="A1095" s="25" t="s">
        <v>33</v>
      </c>
      <c r="B1095" s="8"/>
      <c r="C1095" s="9"/>
      <c r="D1095" s="10"/>
      <c r="E1095" s="49">
        <f t="shared" si="1055"/>
        <v>0</v>
      </c>
      <c r="F1095" s="12"/>
      <c r="G1095" s="9"/>
      <c r="H1095" s="10">
        <v>1</v>
      </c>
      <c r="I1095" s="49">
        <f t="shared" si="1056"/>
        <v>1</v>
      </c>
      <c r="J1095" s="11">
        <f t="shared" si="1057"/>
        <v>1</v>
      </c>
      <c r="K1095" s="71">
        <v>45281</v>
      </c>
      <c r="M1095" s="23" t="s">
        <v>28</v>
      </c>
      <c r="N1095" s="8"/>
      <c r="O1095" s="9">
        <v>10</v>
      </c>
      <c r="P1095" s="52">
        <v>5</v>
      </c>
      <c r="Q1095" s="11">
        <f t="shared" si="1052"/>
        <v>15</v>
      </c>
      <c r="R1095" s="12"/>
      <c r="S1095" s="9"/>
      <c r="T1095" s="10">
        <v>5</v>
      </c>
      <c r="U1095" s="11">
        <f t="shared" si="1053"/>
        <v>5</v>
      </c>
      <c r="V1095" s="11">
        <f t="shared" si="1054"/>
        <v>20</v>
      </c>
      <c r="W1095" s="140">
        <v>45357</v>
      </c>
    </row>
    <row r="1096" spans="1:25" x14ac:dyDescent="0.15">
      <c r="A1096" s="25" t="s">
        <v>33</v>
      </c>
      <c r="B1096" s="8"/>
      <c r="C1096" s="9">
        <v>2</v>
      </c>
      <c r="D1096" s="10"/>
      <c r="E1096" s="49">
        <f t="shared" si="1055"/>
        <v>2</v>
      </c>
      <c r="F1096" s="12"/>
      <c r="G1096" s="9">
        <v>1</v>
      </c>
      <c r="H1096" s="10">
        <v>1</v>
      </c>
      <c r="I1096" s="49">
        <f t="shared" si="1056"/>
        <v>2</v>
      </c>
      <c r="J1096" s="11">
        <f t="shared" si="1057"/>
        <v>4</v>
      </c>
      <c r="K1096" s="71">
        <v>45296</v>
      </c>
      <c r="M1096" s="23" t="s">
        <v>28</v>
      </c>
      <c r="N1096" s="8"/>
      <c r="O1096" s="9"/>
      <c r="P1096" s="10"/>
      <c r="Q1096" s="49">
        <f t="shared" si="1052"/>
        <v>0</v>
      </c>
      <c r="R1096" s="12">
        <v>5</v>
      </c>
      <c r="S1096" s="9"/>
      <c r="T1096" s="10"/>
      <c r="U1096" s="49">
        <f t="shared" si="1053"/>
        <v>5</v>
      </c>
      <c r="V1096" s="11">
        <f t="shared" si="1054"/>
        <v>5</v>
      </c>
      <c r="W1096" s="140">
        <v>45362</v>
      </c>
    </row>
    <row r="1097" spans="1:25" x14ac:dyDescent="0.15">
      <c r="A1097" s="25" t="s">
        <v>33</v>
      </c>
      <c r="B1097" s="8"/>
      <c r="C1097" s="9"/>
      <c r="D1097" s="10"/>
      <c r="E1097" s="49">
        <f t="shared" si="1055"/>
        <v>0</v>
      </c>
      <c r="F1097" s="12"/>
      <c r="G1097" s="9">
        <v>1</v>
      </c>
      <c r="H1097" s="10"/>
      <c r="I1097" s="49">
        <f t="shared" si="1056"/>
        <v>1</v>
      </c>
      <c r="J1097" s="11">
        <f t="shared" si="1057"/>
        <v>1</v>
      </c>
      <c r="K1097" s="71">
        <v>45300</v>
      </c>
      <c r="M1097" s="119"/>
      <c r="N1097" s="13"/>
      <c r="O1097" s="14"/>
      <c r="P1097" s="15"/>
      <c r="Q1097" s="49">
        <f t="shared" si="1052"/>
        <v>0</v>
      </c>
      <c r="R1097" s="16"/>
      <c r="S1097" s="14"/>
      <c r="T1097" s="15"/>
      <c r="U1097" s="49">
        <f t="shared" si="1053"/>
        <v>0</v>
      </c>
      <c r="V1097" s="11">
        <f t="shared" si="1054"/>
        <v>0</v>
      </c>
    </row>
    <row r="1098" spans="1:25" x14ac:dyDescent="0.15">
      <c r="A1098" s="25" t="s">
        <v>33</v>
      </c>
      <c r="B1098" s="8">
        <v>1</v>
      </c>
      <c r="C1098" s="9"/>
      <c r="D1098" s="10"/>
      <c r="E1098" s="49">
        <f t="shared" si="1055"/>
        <v>1</v>
      </c>
      <c r="F1098" s="12"/>
      <c r="G1098" s="9"/>
      <c r="H1098" s="10"/>
      <c r="I1098" s="49">
        <f t="shared" si="1056"/>
        <v>0</v>
      </c>
      <c r="J1098" s="11">
        <f t="shared" si="1057"/>
        <v>1</v>
      </c>
      <c r="K1098" s="71">
        <v>45302</v>
      </c>
      <c r="M1098" s="119"/>
      <c r="N1098" s="13"/>
      <c r="O1098" s="14"/>
      <c r="P1098" s="15"/>
      <c r="Q1098" s="49">
        <f t="shared" ref="Q1098:Q1115" si="1058">SUM(N1098:P1098)</f>
        <v>0</v>
      </c>
      <c r="R1098" s="16"/>
      <c r="S1098" s="14"/>
      <c r="T1098" s="15"/>
      <c r="U1098" s="49">
        <f t="shared" ref="U1098:U1115" si="1059">SUM(R1098:T1098)</f>
        <v>0</v>
      </c>
      <c r="V1098" s="11">
        <f t="shared" ref="V1098:V1110" si="1060">Q1098+U1098</f>
        <v>0</v>
      </c>
    </row>
    <row r="1099" spans="1:25" x14ac:dyDescent="0.15">
      <c r="A1099" s="25" t="s">
        <v>33</v>
      </c>
      <c r="B1099" s="8"/>
      <c r="C1099" s="9"/>
      <c r="D1099" s="10"/>
      <c r="E1099" s="49">
        <f t="shared" si="1055"/>
        <v>0</v>
      </c>
      <c r="F1099" s="12"/>
      <c r="G1099" s="9"/>
      <c r="H1099" s="10">
        <v>1</v>
      </c>
      <c r="I1099" s="49">
        <f t="shared" si="1056"/>
        <v>1</v>
      </c>
      <c r="J1099" s="11">
        <f t="shared" si="1057"/>
        <v>1</v>
      </c>
      <c r="K1099" s="71">
        <v>45306</v>
      </c>
      <c r="M1099" s="119"/>
      <c r="N1099" s="8"/>
      <c r="O1099" s="9"/>
      <c r="P1099" s="10"/>
      <c r="Q1099" s="49">
        <f t="shared" si="1058"/>
        <v>0</v>
      </c>
      <c r="R1099" s="12"/>
      <c r="S1099" s="9"/>
      <c r="T1099" s="10"/>
      <c r="U1099" s="49">
        <f t="shared" si="1059"/>
        <v>0</v>
      </c>
      <c r="V1099" s="11">
        <f t="shared" si="1060"/>
        <v>0</v>
      </c>
    </row>
    <row r="1100" spans="1:25" x14ac:dyDescent="0.15">
      <c r="A1100" s="25" t="s">
        <v>33</v>
      </c>
      <c r="B1100" s="8"/>
      <c r="C1100" s="9"/>
      <c r="D1100" s="10"/>
      <c r="E1100" s="49">
        <f t="shared" si="1055"/>
        <v>0</v>
      </c>
      <c r="F1100" s="12">
        <v>2</v>
      </c>
      <c r="G1100" s="9"/>
      <c r="H1100" s="10"/>
      <c r="I1100" s="49">
        <f t="shared" si="1056"/>
        <v>2</v>
      </c>
      <c r="J1100" s="11">
        <f t="shared" si="1057"/>
        <v>2</v>
      </c>
      <c r="K1100" s="71">
        <v>45313</v>
      </c>
      <c r="M1100" s="26"/>
      <c r="N1100" s="8"/>
      <c r="O1100" s="9"/>
      <c r="P1100" s="10"/>
      <c r="Q1100" s="49">
        <f t="shared" si="1058"/>
        <v>0</v>
      </c>
      <c r="R1100" s="12"/>
      <c r="S1100" s="9"/>
      <c r="T1100" s="10"/>
      <c r="U1100" s="49">
        <f t="shared" si="1059"/>
        <v>0</v>
      </c>
      <c r="V1100" s="11">
        <f t="shared" si="1060"/>
        <v>0</v>
      </c>
    </row>
    <row r="1101" spans="1:25" x14ac:dyDescent="0.15">
      <c r="A1101" s="25" t="s">
        <v>33</v>
      </c>
      <c r="B1101" s="8"/>
      <c r="C1101" s="9"/>
      <c r="D1101" s="10"/>
      <c r="E1101" s="49">
        <f t="shared" si="1055"/>
        <v>0</v>
      </c>
      <c r="F1101" s="12"/>
      <c r="G1101" s="9"/>
      <c r="H1101" s="10">
        <v>1</v>
      </c>
      <c r="I1101" s="49">
        <f t="shared" si="1056"/>
        <v>1</v>
      </c>
      <c r="J1101" s="11">
        <f t="shared" si="1057"/>
        <v>1</v>
      </c>
      <c r="K1101" s="71">
        <v>45322</v>
      </c>
      <c r="M1101" s="102"/>
      <c r="N1101" s="8"/>
      <c r="O1101" s="9"/>
      <c r="P1101" s="10"/>
      <c r="Q1101" s="49">
        <f t="shared" si="1058"/>
        <v>0</v>
      </c>
      <c r="R1101" s="12"/>
      <c r="S1101" s="9"/>
      <c r="T1101" s="10"/>
      <c r="U1101" s="49">
        <f t="shared" si="1059"/>
        <v>0</v>
      </c>
      <c r="V1101" s="11">
        <f t="shared" si="1060"/>
        <v>0</v>
      </c>
    </row>
    <row r="1102" spans="1:25" x14ac:dyDescent="0.15">
      <c r="A1102" s="25" t="s">
        <v>33</v>
      </c>
      <c r="B1102" s="8"/>
      <c r="C1102" s="9">
        <v>1</v>
      </c>
      <c r="D1102" s="10"/>
      <c r="E1102" s="49">
        <f t="shared" si="1055"/>
        <v>1</v>
      </c>
      <c r="F1102" s="12"/>
      <c r="G1102" s="9"/>
      <c r="H1102" s="10"/>
      <c r="I1102" s="49">
        <f t="shared" si="1056"/>
        <v>0</v>
      </c>
      <c r="J1102" s="11">
        <f t="shared" si="1057"/>
        <v>1</v>
      </c>
      <c r="K1102" s="71">
        <v>45327</v>
      </c>
      <c r="M1102" s="102"/>
      <c r="N1102" s="8"/>
      <c r="O1102" s="9"/>
      <c r="P1102" s="10"/>
      <c r="Q1102" s="49">
        <f t="shared" si="1058"/>
        <v>0</v>
      </c>
      <c r="R1102" s="12"/>
      <c r="S1102" s="9"/>
      <c r="T1102" s="10"/>
      <c r="U1102" s="49">
        <f t="shared" si="1059"/>
        <v>0</v>
      </c>
      <c r="V1102" s="11">
        <f t="shared" si="1060"/>
        <v>0</v>
      </c>
    </row>
    <row r="1103" spans="1:25" x14ac:dyDescent="0.15">
      <c r="A1103" s="25" t="s">
        <v>424</v>
      </c>
      <c r="B1103" s="8"/>
      <c r="C1103" s="9"/>
      <c r="D1103" s="10">
        <v>3</v>
      </c>
      <c r="E1103" s="49">
        <f t="shared" si="1055"/>
        <v>3</v>
      </c>
      <c r="F1103" s="12"/>
      <c r="G1103" s="9"/>
      <c r="H1103" s="10">
        <v>3</v>
      </c>
      <c r="I1103" s="49">
        <f t="shared" si="1056"/>
        <v>3</v>
      </c>
      <c r="J1103" s="11">
        <f t="shared" si="1057"/>
        <v>6</v>
      </c>
      <c r="K1103" s="63">
        <v>45329</v>
      </c>
      <c r="M1103" s="26"/>
      <c r="N1103" s="8"/>
      <c r="O1103" s="9"/>
      <c r="P1103" s="10"/>
      <c r="Q1103" s="49">
        <f t="shared" si="1058"/>
        <v>0</v>
      </c>
      <c r="R1103" s="12"/>
      <c r="S1103" s="9"/>
      <c r="T1103" s="10"/>
      <c r="U1103" s="49">
        <f t="shared" si="1059"/>
        <v>0</v>
      </c>
      <c r="V1103" s="11">
        <f t="shared" si="1060"/>
        <v>0</v>
      </c>
    </row>
    <row r="1104" spans="1:25" x14ac:dyDescent="0.15">
      <c r="A1104" s="25" t="s">
        <v>33</v>
      </c>
      <c r="B1104" s="8"/>
      <c r="C1104" s="9"/>
      <c r="D1104" s="10"/>
      <c r="E1104" s="49">
        <f t="shared" si="1055"/>
        <v>0</v>
      </c>
      <c r="F1104" s="12">
        <v>1</v>
      </c>
      <c r="G1104" s="9"/>
      <c r="H1104" s="10">
        <v>1</v>
      </c>
      <c r="I1104" s="49">
        <f t="shared" si="1056"/>
        <v>2</v>
      </c>
      <c r="J1104" s="11">
        <f t="shared" si="1057"/>
        <v>2</v>
      </c>
      <c r="K1104" s="71">
        <v>45335</v>
      </c>
      <c r="M1104" s="26"/>
      <c r="N1104" s="8"/>
      <c r="O1104" s="9"/>
      <c r="P1104" s="10"/>
      <c r="Q1104" s="49">
        <f t="shared" si="1058"/>
        <v>0</v>
      </c>
      <c r="R1104" s="12"/>
      <c r="S1104" s="9"/>
      <c r="T1104" s="10"/>
      <c r="U1104" s="49">
        <f t="shared" si="1059"/>
        <v>0</v>
      </c>
      <c r="V1104" s="11">
        <f t="shared" si="1060"/>
        <v>0</v>
      </c>
    </row>
    <row r="1105" spans="1:22" x14ac:dyDescent="0.15">
      <c r="A1105" s="25" t="s">
        <v>33</v>
      </c>
      <c r="B1105" s="8"/>
      <c r="C1105" s="9"/>
      <c r="D1105" s="10">
        <v>1</v>
      </c>
      <c r="E1105" s="49">
        <f t="shared" si="1055"/>
        <v>1</v>
      </c>
      <c r="F1105" s="12"/>
      <c r="G1105" s="9"/>
      <c r="H1105" s="10">
        <v>1</v>
      </c>
      <c r="I1105" s="49">
        <f t="shared" si="1056"/>
        <v>1</v>
      </c>
      <c r="J1105" s="11">
        <f t="shared" si="1057"/>
        <v>2</v>
      </c>
      <c r="K1105" s="71">
        <v>45344</v>
      </c>
      <c r="M1105" s="26"/>
      <c r="N1105" s="8"/>
      <c r="O1105" s="9"/>
      <c r="P1105" s="10"/>
      <c r="Q1105" s="49">
        <f t="shared" si="1058"/>
        <v>0</v>
      </c>
      <c r="R1105" s="12"/>
      <c r="S1105" s="9"/>
      <c r="T1105" s="10"/>
      <c r="U1105" s="49">
        <f t="shared" si="1059"/>
        <v>0</v>
      </c>
      <c r="V1105" s="11">
        <f t="shared" si="1060"/>
        <v>0</v>
      </c>
    </row>
    <row r="1106" spans="1:22" x14ac:dyDescent="0.15">
      <c r="A1106" s="25" t="s">
        <v>33</v>
      </c>
      <c r="B1106" s="8"/>
      <c r="C1106" s="9">
        <v>1</v>
      </c>
      <c r="D1106" s="10"/>
      <c r="E1106" s="49">
        <f t="shared" si="1055"/>
        <v>1</v>
      </c>
      <c r="F1106" s="12"/>
      <c r="G1106" s="9">
        <v>1</v>
      </c>
      <c r="H1106" s="10"/>
      <c r="I1106" s="49">
        <f t="shared" si="1056"/>
        <v>1</v>
      </c>
      <c r="J1106" s="11">
        <f t="shared" si="1057"/>
        <v>2</v>
      </c>
      <c r="K1106" s="71">
        <v>45348</v>
      </c>
      <c r="M1106" s="24"/>
      <c r="N1106" s="8"/>
      <c r="O1106" s="9"/>
      <c r="P1106" s="10"/>
      <c r="Q1106" s="49">
        <f t="shared" si="1058"/>
        <v>0</v>
      </c>
      <c r="R1106" s="12"/>
      <c r="S1106" s="9"/>
      <c r="T1106" s="10"/>
      <c r="U1106" s="49">
        <f t="shared" si="1059"/>
        <v>0</v>
      </c>
      <c r="V1106" s="11">
        <f t="shared" si="1060"/>
        <v>0</v>
      </c>
    </row>
    <row r="1107" spans="1:22" x14ac:dyDescent="0.15">
      <c r="A1107" s="25" t="s">
        <v>33</v>
      </c>
      <c r="B1107" s="8"/>
      <c r="C1107" s="9"/>
      <c r="D1107" s="10"/>
      <c r="E1107" s="49">
        <f t="shared" si="1055"/>
        <v>0</v>
      </c>
      <c r="F1107" s="12"/>
      <c r="G1107" s="9"/>
      <c r="H1107" s="10">
        <v>1</v>
      </c>
      <c r="I1107" s="49">
        <f t="shared" si="1056"/>
        <v>1</v>
      </c>
      <c r="J1107" s="11">
        <f t="shared" si="1057"/>
        <v>1</v>
      </c>
      <c r="K1107" s="71">
        <v>45352</v>
      </c>
      <c r="M1107" s="26"/>
      <c r="N1107" s="8"/>
      <c r="O1107" s="9"/>
      <c r="P1107" s="10"/>
      <c r="Q1107" s="49">
        <f t="shared" si="1058"/>
        <v>0</v>
      </c>
      <c r="R1107" s="12"/>
      <c r="S1107" s="9"/>
      <c r="T1107" s="10"/>
      <c r="U1107" s="49">
        <f t="shared" si="1059"/>
        <v>0</v>
      </c>
      <c r="V1107" s="11">
        <f t="shared" si="1060"/>
        <v>0</v>
      </c>
    </row>
    <row r="1108" spans="1:22" x14ac:dyDescent="0.15">
      <c r="A1108" s="25" t="s">
        <v>424</v>
      </c>
      <c r="B1108" s="8"/>
      <c r="C1108" s="9">
        <v>3</v>
      </c>
      <c r="D1108" s="10"/>
      <c r="E1108" s="49">
        <f t="shared" si="1055"/>
        <v>3</v>
      </c>
      <c r="F1108" s="12"/>
      <c r="G1108" s="9"/>
      <c r="H1108" s="10"/>
      <c r="I1108" s="49">
        <f t="shared" si="1056"/>
        <v>0</v>
      </c>
      <c r="J1108" s="11">
        <f t="shared" si="1057"/>
        <v>3</v>
      </c>
      <c r="K1108" s="63">
        <v>45356</v>
      </c>
      <c r="M1108" s="26"/>
      <c r="N1108" s="8"/>
      <c r="O1108" s="9"/>
      <c r="P1108" s="10"/>
      <c r="Q1108" s="49">
        <f t="shared" si="1058"/>
        <v>0</v>
      </c>
      <c r="R1108" s="12"/>
      <c r="S1108" s="9"/>
      <c r="T1108" s="10"/>
      <c r="U1108" s="49">
        <f t="shared" si="1059"/>
        <v>0</v>
      </c>
      <c r="V1108" s="11">
        <f t="shared" si="1060"/>
        <v>0</v>
      </c>
    </row>
    <row r="1109" spans="1:22" x14ac:dyDescent="0.15">
      <c r="A1109" s="25" t="s">
        <v>33</v>
      </c>
      <c r="B1109" s="8"/>
      <c r="C1109" s="9">
        <v>1</v>
      </c>
      <c r="D1109" s="10"/>
      <c r="E1109" s="49">
        <f t="shared" ref="E1109:E1115" si="1061">SUM(B1109:D1109)</f>
        <v>1</v>
      </c>
      <c r="F1109" s="12">
        <v>1</v>
      </c>
      <c r="G1109" s="9"/>
      <c r="H1109" s="10">
        <v>1</v>
      </c>
      <c r="I1109" s="49">
        <f t="shared" ref="I1109:I1115" si="1062">SUM(F1109:H1109)</f>
        <v>2</v>
      </c>
      <c r="J1109" s="11">
        <f t="shared" ref="J1109:J1114" si="1063">E1109+I1109</f>
        <v>3</v>
      </c>
      <c r="K1109" s="63">
        <v>45356</v>
      </c>
      <c r="M1109" s="26"/>
      <c r="N1109" s="8"/>
      <c r="O1109" s="9"/>
      <c r="P1109" s="10"/>
      <c r="Q1109" s="49">
        <f t="shared" si="1058"/>
        <v>0</v>
      </c>
      <c r="R1109" s="12"/>
      <c r="S1109" s="9"/>
      <c r="T1109" s="10"/>
      <c r="U1109" s="49">
        <f t="shared" si="1059"/>
        <v>0</v>
      </c>
      <c r="V1109" s="11">
        <f t="shared" si="1060"/>
        <v>0</v>
      </c>
    </row>
    <row r="1110" spans="1:22" x14ac:dyDescent="0.15">
      <c r="A1110" s="25" t="s">
        <v>33</v>
      </c>
      <c r="B1110" s="13"/>
      <c r="C1110" s="14">
        <v>5</v>
      </c>
      <c r="D1110" s="15"/>
      <c r="E1110" s="49">
        <f t="shared" si="1061"/>
        <v>5</v>
      </c>
      <c r="F1110" s="16"/>
      <c r="G1110" s="14"/>
      <c r="H1110" s="15"/>
      <c r="I1110" s="49">
        <f t="shared" si="1062"/>
        <v>0</v>
      </c>
      <c r="J1110" s="11">
        <f t="shared" si="1063"/>
        <v>5</v>
      </c>
      <c r="K1110" s="71">
        <v>45357</v>
      </c>
      <c r="M1110" s="26"/>
      <c r="N1110" s="8"/>
      <c r="O1110" s="9"/>
      <c r="P1110" s="10"/>
      <c r="Q1110" s="49">
        <f t="shared" si="1058"/>
        <v>0</v>
      </c>
      <c r="R1110" s="12"/>
      <c r="S1110" s="9"/>
      <c r="T1110" s="10"/>
      <c r="U1110" s="49">
        <f t="shared" si="1059"/>
        <v>0</v>
      </c>
      <c r="V1110" s="11">
        <f t="shared" si="1060"/>
        <v>0</v>
      </c>
    </row>
    <row r="1111" spans="1:22" x14ac:dyDescent="0.15">
      <c r="A1111" s="25" t="s">
        <v>33</v>
      </c>
      <c r="B1111" s="8"/>
      <c r="C1111" s="9"/>
      <c r="D1111" s="10"/>
      <c r="E1111" s="49">
        <f t="shared" si="1061"/>
        <v>0</v>
      </c>
      <c r="F1111" s="12">
        <v>2</v>
      </c>
      <c r="G1111" s="9"/>
      <c r="H1111" s="10"/>
      <c r="I1111" s="49">
        <f t="shared" si="1062"/>
        <v>2</v>
      </c>
      <c r="J1111" s="11">
        <f t="shared" si="1063"/>
        <v>2</v>
      </c>
      <c r="K1111" s="71">
        <v>45358</v>
      </c>
      <c r="M1111" s="26"/>
      <c r="N1111" s="8"/>
      <c r="O1111" s="9"/>
      <c r="P1111" s="10"/>
      <c r="Q1111" s="49">
        <f t="shared" ref="Q1111:Q1114" si="1064">SUM(N1111:P1111)</f>
        <v>0</v>
      </c>
      <c r="R1111" s="12"/>
      <c r="S1111" s="9"/>
      <c r="T1111" s="10"/>
      <c r="U1111" s="49">
        <f t="shared" ref="U1111:U1114" si="1065">SUM(R1111:T1111)</f>
        <v>0</v>
      </c>
      <c r="V1111" s="11">
        <f t="shared" ref="V1111:V1114" si="1066">Q1111+U1111</f>
        <v>0</v>
      </c>
    </row>
    <row r="1112" spans="1:22" x14ac:dyDescent="0.15">
      <c r="A1112" s="25" t="s">
        <v>33</v>
      </c>
      <c r="B1112" s="8"/>
      <c r="C1112" s="9"/>
      <c r="D1112" s="10"/>
      <c r="E1112" s="49">
        <f t="shared" si="1061"/>
        <v>0</v>
      </c>
      <c r="F1112" s="12">
        <v>3</v>
      </c>
      <c r="G1112" s="9">
        <v>1</v>
      </c>
      <c r="H1112" s="10"/>
      <c r="I1112" s="49">
        <f t="shared" si="1062"/>
        <v>4</v>
      </c>
      <c r="J1112" s="11">
        <f t="shared" si="1063"/>
        <v>4</v>
      </c>
      <c r="K1112" s="71">
        <v>45359</v>
      </c>
      <c r="M1112" s="26"/>
      <c r="N1112" s="8"/>
      <c r="O1112" s="9"/>
      <c r="P1112" s="10"/>
      <c r="Q1112" s="49">
        <f t="shared" si="1064"/>
        <v>0</v>
      </c>
      <c r="R1112" s="12"/>
      <c r="S1112" s="9"/>
      <c r="T1112" s="10"/>
      <c r="U1112" s="49">
        <f t="shared" si="1065"/>
        <v>0</v>
      </c>
      <c r="V1112" s="11">
        <f t="shared" si="1066"/>
        <v>0</v>
      </c>
    </row>
    <row r="1113" spans="1:22" x14ac:dyDescent="0.15">
      <c r="A1113" s="25" t="s">
        <v>33</v>
      </c>
      <c r="B1113" s="8"/>
      <c r="C1113" s="9">
        <v>1</v>
      </c>
      <c r="D1113" s="10">
        <v>1</v>
      </c>
      <c r="E1113" s="49">
        <f t="shared" si="1061"/>
        <v>2</v>
      </c>
      <c r="F1113" s="12">
        <v>4</v>
      </c>
      <c r="G1113" s="9">
        <v>1</v>
      </c>
      <c r="H1113" s="10">
        <v>2</v>
      </c>
      <c r="I1113" s="49">
        <f t="shared" si="1062"/>
        <v>7</v>
      </c>
      <c r="J1113" s="11">
        <f t="shared" si="1063"/>
        <v>9</v>
      </c>
      <c r="K1113" s="71">
        <v>45362</v>
      </c>
      <c r="M1113" s="26"/>
      <c r="N1113" s="8"/>
      <c r="O1113" s="9"/>
      <c r="P1113" s="10"/>
      <c r="Q1113" s="49">
        <f t="shared" si="1064"/>
        <v>0</v>
      </c>
      <c r="R1113" s="12"/>
      <c r="S1113" s="9"/>
      <c r="T1113" s="10"/>
      <c r="U1113" s="49">
        <f t="shared" si="1065"/>
        <v>0</v>
      </c>
      <c r="V1113" s="11">
        <f t="shared" si="1066"/>
        <v>0</v>
      </c>
    </row>
    <row r="1114" spans="1:22" ht="14.25" thickBot="1" x14ac:dyDescent="0.2">
      <c r="A1114" s="25" t="s">
        <v>33</v>
      </c>
      <c r="B1114" s="13"/>
      <c r="C1114" s="14">
        <v>1</v>
      </c>
      <c r="D1114" s="15"/>
      <c r="E1114" s="55">
        <f t="shared" si="1061"/>
        <v>1</v>
      </c>
      <c r="F1114" s="16">
        <v>1</v>
      </c>
      <c r="G1114" s="14"/>
      <c r="H1114" s="15"/>
      <c r="I1114" s="55">
        <f t="shared" si="1062"/>
        <v>1</v>
      </c>
      <c r="J1114" s="11">
        <f t="shared" si="1063"/>
        <v>2</v>
      </c>
      <c r="K1114" s="71">
        <v>45367</v>
      </c>
      <c r="M1114" s="26"/>
      <c r="N1114" s="8"/>
      <c r="O1114" s="9"/>
      <c r="P1114" s="10"/>
      <c r="Q1114" s="49">
        <f t="shared" si="1064"/>
        <v>0</v>
      </c>
      <c r="R1114" s="12"/>
      <c r="S1114" s="9"/>
      <c r="T1114" s="10"/>
      <c r="U1114" s="49">
        <f t="shared" si="1065"/>
        <v>0</v>
      </c>
      <c r="V1114" s="11">
        <f t="shared" si="1066"/>
        <v>0</v>
      </c>
    </row>
    <row r="1115" spans="1:22" ht="14.25" thickBot="1" x14ac:dyDescent="0.2">
      <c r="A1115" s="41" t="s">
        <v>19</v>
      </c>
      <c r="B1115" s="46">
        <f>SUM(B1089:B1114)</f>
        <v>1</v>
      </c>
      <c r="C1115" s="47">
        <f t="shared" ref="C1115:D1115" si="1067">SUM(C1089:C1114)</f>
        <v>15</v>
      </c>
      <c r="D1115" s="59">
        <f t="shared" si="1067"/>
        <v>7</v>
      </c>
      <c r="E1115" s="45">
        <f t="shared" si="1061"/>
        <v>23</v>
      </c>
      <c r="F1115" s="46">
        <f>SUM(F1089:F1114)</f>
        <v>15</v>
      </c>
      <c r="G1115" s="47">
        <f t="shared" ref="G1115:H1115" si="1068">SUM(G1089:G1114)</f>
        <v>9</v>
      </c>
      <c r="H1115" s="59">
        <f t="shared" si="1068"/>
        <v>16</v>
      </c>
      <c r="I1115" s="45">
        <f t="shared" si="1062"/>
        <v>40</v>
      </c>
      <c r="J1115" s="45">
        <f>E1115+I1115</f>
        <v>63</v>
      </c>
      <c r="M1115" s="41" t="s">
        <v>19</v>
      </c>
      <c r="N1115" s="46">
        <f>SUM(N1089:N1114)</f>
        <v>0</v>
      </c>
      <c r="O1115" s="47">
        <f t="shared" ref="O1115:P1115" si="1069">SUM(O1089:O1114)</f>
        <v>15</v>
      </c>
      <c r="P1115" s="59">
        <f t="shared" si="1069"/>
        <v>13</v>
      </c>
      <c r="Q1115" s="45">
        <f t="shared" si="1058"/>
        <v>28</v>
      </c>
      <c r="R1115" s="46">
        <f>SUM(R1089:R1114)</f>
        <v>13</v>
      </c>
      <c r="S1115" s="47">
        <f t="shared" ref="S1115:T1115" si="1070">SUM(S1089:S1114)</f>
        <v>11</v>
      </c>
      <c r="T1115" s="59">
        <f t="shared" si="1070"/>
        <v>22</v>
      </c>
      <c r="U1115" s="45">
        <f t="shared" si="1059"/>
        <v>46</v>
      </c>
      <c r="V1115" s="45">
        <f>Q1115+U1115</f>
        <v>74</v>
      </c>
    </row>
    <row r="1116" spans="1:22" ht="14.25" thickBot="1" x14ac:dyDescent="0.2">
      <c r="A1116" s="22" t="s">
        <v>17</v>
      </c>
      <c r="B1116" s="50">
        <f>B1088-B1115</f>
        <v>0</v>
      </c>
      <c r="C1116" s="57">
        <f t="shared" ref="C1116:D1116" si="1071">C1088-C1115</f>
        <v>8</v>
      </c>
      <c r="D1116" s="58">
        <f t="shared" si="1071"/>
        <v>12</v>
      </c>
      <c r="E1116" s="56">
        <f>SUM(B1116:D1116)</f>
        <v>20</v>
      </c>
      <c r="F1116" s="50">
        <f>F1088-F1115</f>
        <v>5</v>
      </c>
      <c r="G1116" s="57">
        <f t="shared" ref="G1116:H1116" si="1072">G1088-G1115</f>
        <v>8</v>
      </c>
      <c r="H1116" s="58">
        <f t="shared" si="1072"/>
        <v>10</v>
      </c>
      <c r="I1116" s="56">
        <f>SUM(F1116:H1116)</f>
        <v>23</v>
      </c>
      <c r="J1116" s="31">
        <f>E1116+I1116</f>
        <v>43</v>
      </c>
      <c r="M1116" s="22" t="s">
        <v>17</v>
      </c>
      <c r="N1116" s="50">
        <f>N1088-N1115</f>
        <v>34</v>
      </c>
      <c r="O1116" s="57">
        <f t="shared" ref="O1116:P1116" si="1073">O1088-O1115</f>
        <v>230</v>
      </c>
      <c r="P1116" s="58">
        <f t="shared" si="1073"/>
        <v>481</v>
      </c>
      <c r="Q1116" s="56">
        <f>SUM(N1116:P1116)</f>
        <v>745</v>
      </c>
      <c r="R1116" s="50">
        <f>R1088-R1115</f>
        <v>264</v>
      </c>
      <c r="S1116" s="57">
        <f t="shared" ref="S1116:T1116" si="1074">S1088-S1115</f>
        <v>508</v>
      </c>
      <c r="T1116" s="58">
        <f t="shared" si="1074"/>
        <v>562</v>
      </c>
      <c r="U1116" s="56">
        <f>SUM(R1116:T1116)</f>
        <v>1334</v>
      </c>
      <c r="V1116" s="31">
        <f>Q1116+U1116</f>
        <v>2079</v>
      </c>
    </row>
    <row r="1119" spans="1:22" ht="19.5" thickBot="1" x14ac:dyDescent="0.25">
      <c r="A1119" s="3" t="s">
        <v>21</v>
      </c>
      <c r="B1119" s="1"/>
      <c r="C1119" s="1"/>
      <c r="D1119" s="1"/>
      <c r="E1119" s="1"/>
      <c r="F1119" s="1"/>
      <c r="G1119" s="1"/>
      <c r="H1119" s="1"/>
      <c r="I1119" s="1"/>
      <c r="J1119" s="1"/>
      <c r="M1119" s="3" t="s">
        <v>22</v>
      </c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 ht="14.25" thickBot="1" x14ac:dyDescent="0.2">
      <c r="A1120" s="7" t="s">
        <v>0</v>
      </c>
      <c r="B1120" s="165" t="s">
        <v>24</v>
      </c>
      <c r="C1120" s="166"/>
      <c r="D1120" s="166"/>
      <c r="E1120" s="170"/>
      <c r="F1120" s="165" t="s">
        <v>18</v>
      </c>
      <c r="G1120" s="166"/>
      <c r="H1120" s="166"/>
      <c r="I1120" s="167"/>
      <c r="J1120" s="168" t="s">
        <v>1</v>
      </c>
      <c r="M1120" s="7" t="s">
        <v>0</v>
      </c>
      <c r="N1120" s="165" t="s">
        <v>24</v>
      </c>
      <c r="O1120" s="166"/>
      <c r="P1120" s="166"/>
      <c r="Q1120" s="170"/>
      <c r="R1120" s="165" t="s">
        <v>18</v>
      </c>
      <c r="S1120" s="166"/>
      <c r="T1120" s="166"/>
      <c r="U1120" s="167"/>
      <c r="V1120" s="168" t="s">
        <v>1</v>
      </c>
    </row>
    <row r="1121" spans="1:25" ht="14.25" thickBot="1" x14ac:dyDescent="0.2">
      <c r="A1121" s="7" t="s">
        <v>2</v>
      </c>
      <c r="B1121" s="4" t="s">
        <v>3</v>
      </c>
      <c r="C1121" s="5" t="s">
        <v>4</v>
      </c>
      <c r="D1121" s="6" t="s">
        <v>5</v>
      </c>
      <c r="E1121" s="7" t="s">
        <v>6</v>
      </c>
      <c r="F1121" s="4" t="s">
        <v>3</v>
      </c>
      <c r="G1121" s="5" t="s">
        <v>4</v>
      </c>
      <c r="H1121" s="6" t="s">
        <v>5</v>
      </c>
      <c r="I1121" s="7" t="s">
        <v>6</v>
      </c>
      <c r="J1121" s="169"/>
      <c r="M1121" s="7" t="s">
        <v>2</v>
      </c>
      <c r="N1121" s="4" t="s">
        <v>3</v>
      </c>
      <c r="O1121" s="5" t="s">
        <v>4</v>
      </c>
      <c r="P1121" s="6" t="s">
        <v>5</v>
      </c>
      <c r="Q1121" s="7" t="s">
        <v>6</v>
      </c>
      <c r="R1121" s="4" t="s">
        <v>3</v>
      </c>
      <c r="S1121" s="5" t="s">
        <v>4</v>
      </c>
      <c r="T1121" s="6" t="s">
        <v>5</v>
      </c>
      <c r="U1121" s="7" t="s">
        <v>6</v>
      </c>
      <c r="V1121" s="169"/>
    </row>
    <row r="1122" spans="1:25" ht="14.25" thickBot="1" x14ac:dyDescent="0.2">
      <c r="A1122" s="27" t="s">
        <v>20</v>
      </c>
      <c r="B1122" s="28">
        <f>B1116</f>
        <v>0</v>
      </c>
      <c r="C1122" s="29">
        <f>C1116</f>
        <v>8</v>
      </c>
      <c r="D1122" s="30">
        <f>D1116</f>
        <v>12</v>
      </c>
      <c r="E1122" s="31">
        <f>SUM(B1122:D1122)</f>
        <v>20</v>
      </c>
      <c r="F1122" s="28">
        <f>F1116</f>
        <v>5</v>
      </c>
      <c r="G1122" s="29">
        <f>G1116</f>
        <v>8</v>
      </c>
      <c r="H1122" s="30">
        <f>H1116</f>
        <v>10</v>
      </c>
      <c r="I1122" s="31">
        <f>SUM(F1122:H1122)</f>
        <v>23</v>
      </c>
      <c r="J1122" s="31">
        <f>E1122+I1122</f>
        <v>43</v>
      </c>
      <c r="M1122" s="27" t="s">
        <v>20</v>
      </c>
      <c r="N1122" s="28">
        <f>N1116</f>
        <v>34</v>
      </c>
      <c r="O1122" s="29">
        <f>O1116</f>
        <v>230</v>
      </c>
      <c r="P1122" s="30">
        <f>P1116</f>
        <v>481</v>
      </c>
      <c r="Q1122" s="31">
        <f>SUM(N1122:P1122)</f>
        <v>745</v>
      </c>
      <c r="R1122" s="28">
        <f>R1116</f>
        <v>264</v>
      </c>
      <c r="S1122" s="29">
        <f>S1116</f>
        <v>508</v>
      </c>
      <c r="T1122" s="30">
        <f>T1116</f>
        <v>562</v>
      </c>
      <c r="U1122" s="31">
        <f>SUM(R1122:T1122)</f>
        <v>1334</v>
      </c>
      <c r="V1122" s="31">
        <f>Q1122+U1122</f>
        <v>2079</v>
      </c>
    </row>
    <row r="1123" spans="1:25" x14ac:dyDescent="0.15">
      <c r="A1123" s="25" t="s">
        <v>8</v>
      </c>
      <c r="B1123" s="17"/>
      <c r="C1123" s="18">
        <v>5</v>
      </c>
      <c r="D1123" s="51"/>
      <c r="E1123" s="11">
        <f t="shared" ref="E1123:E1128" si="1075">SUM(B1123:D1123)</f>
        <v>5</v>
      </c>
      <c r="F1123" s="20">
        <v>5</v>
      </c>
      <c r="G1123" s="18">
        <v>5</v>
      </c>
      <c r="H1123" s="19"/>
      <c r="I1123" s="11">
        <f t="shared" ref="I1123:I1128" si="1076">SUM(F1123:H1123)</f>
        <v>10</v>
      </c>
      <c r="J1123" s="11">
        <f t="shared" ref="J1123:J1128" si="1077">E1123+I1123</f>
        <v>15</v>
      </c>
      <c r="K1123" s="63">
        <v>45367</v>
      </c>
      <c r="M1123" s="25" t="s">
        <v>8</v>
      </c>
      <c r="N1123" s="17"/>
      <c r="O1123" s="18"/>
      <c r="P1123" s="51"/>
      <c r="Q1123" s="49">
        <f t="shared" ref="Q1123:Q1130" si="1078">SUM(N1123:P1123)</f>
        <v>0</v>
      </c>
      <c r="R1123" s="20"/>
      <c r="S1123" s="18"/>
      <c r="T1123" s="19"/>
      <c r="U1123" s="49">
        <f t="shared" ref="U1123:U1130" si="1079">SUM(R1123:T1123)</f>
        <v>0</v>
      </c>
      <c r="V1123" s="49">
        <f t="shared" ref="V1123:V1130" si="1080">Q1123+U1123</f>
        <v>0</v>
      </c>
    </row>
    <row r="1124" spans="1:25" x14ac:dyDescent="0.15">
      <c r="A1124" s="25" t="s">
        <v>9</v>
      </c>
      <c r="B1124" s="17"/>
      <c r="C1124" s="18">
        <v>10</v>
      </c>
      <c r="D1124" s="51"/>
      <c r="E1124" s="11">
        <f t="shared" si="1075"/>
        <v>10</v>
      </c>
      <c r="F1124" s="20"/>
      <c r="G1124" s="18"/>
      <c r="H1124" s="19"/>
      <c r="I1124" s="11">
        <f t="shared" si="1076"/>
        <v>0</v>
      </c>
      <c r="J1124" s="11">
        <f t="shared" si="1077"/>
        <v>10</v>
      </c>
      <c r="K1124" s="63">
        <v>45379</v>
      </c>
      <c r="M1124" s="25" t="s">
        <v>9</v>
      </c>
      <c r="N1124" s="8"/>
      <c r="O1124" s="9"/>
      <c r="P1124" s="52"/>
      <c r="Q1124" s="11">
        <f t="shared" si="1078"/>
        <v>0</v>
      </c>
      <c r="R1124" s="12"/>
      <c r="S1124" s="9"/>
      <c r="T1124" s="10"/>
      <c r="U1124" s="11">
        <f t="shared" si="1079"/>
        <v>0</v>
      </c>
      <c r="V1124" s="11">
        <f t="shared" si="1080"/>
        <v>0</v>
      </c>
    </row>
    <row r="1125" spans="1:25" x14ac:dyDescent="0.15">
      <c r="A1125" s="25" t="s">
        <v>10</v>
      </c>
      <c r="B1125" s="17"/>
      <c r="C1125" s="18"/>
      <c r="D1125" s="51"/>
      <c r="E1125" s="11">
        <f t="shared" si="1075"/>
        <v>0</v>
      </c>
      <c r="F1125" s="20">
        <v>5</v>
      </c>
      <c r="G1125" s="18">
        <v>5</v>
      </c>
      <c r="H1125" s="19">
        <v>5</v>
      </c>
      <c r="I1125" s="11">
        <f t="shared" si="1076"/>
        <v>15</v>
      </c>
      <c r="J1125" s="11">
        <f t="shared" si="1077"/>
        <v>15</v>
      </c>
      <c r="K1125" s="63">
        <v>45384</v>
      </c>
      <c r="M1125" s="25" t="s">
        <v>10</v>
      </c>
      <c r="N1125" s="8"/>
      <c r="O1125" s="9"/>
      <c r="P1125" s="52"/>
      <c r="Q1125" s="11">
        <f t="shared" si="1078"/>
        <v>0</v>
      </c>
      <c r="R1125" s="12"/>
      <c r="S1125" s="9"/>
      <c r="T1125" s="10"/>
      <c r="U1125" s="11">
        <f t="shared" si="1079"/>
        <v>0</v>
      </c>
      <c r="V1125" s="11">
        <f t="shared" si="1080"/>
        <v>0</v>
      </c>
    </row>
    <row r="1126" spans="1:25" x14ac:dyDescent="0.15">
      <c r="A1126" s="25" t="s">
        <v>11</v>
      </c>
      <c r="B1126" s="17"/>
      <c r="C1126" s="18"/>
      <c r="D1126" s="51"/>
      <c r="E1126" s="11">
        <f t="shared" si="1075"/>
        <v>0</v>
      </c>
      <c r="F1126" s="20">
        <v>5</v>
      </c>
      <c r="G1126" s="18"/>
      <c r="H1126" s="19"/>
      <c r="I1126" s="11">
        <f t="shared" si="1076"/>
        <v>5</v>
      </c>
      <c r="J1126" s="11">
        <f t="shared" si="1077"/>
        <v>5</v>
      </c>
      <c r="K1126" s="63">
        <v>45388</v>
      </c>
      <c r="M1126" s="25" t="s">
        <v>11</v>
      </c>
      <c r="N1126" s="8"/>
      <c r="O1126" s="9"/>
      <c r="P1126" s="52"/>
      <c r="Q1126" s="11">
        <f t="shared" si="1078"/>
        <v>0</v>
      </c>
      <c r="R1126" s="12"/>
      <c r="S1126" s="9"/>
      <c r="T1126" s="10"/>
      <c r="U1126" s="11">
        <f t="shared" si="1079"/>
        <v>0</v>
      </c>
      <c r="V1126" s="11">
        <f t="shared" si="1080"/>
        <v>0</v>
      </c>
    </row>
    <row r="1127" spans="1:25" x14ac:dyDescent="0.15">
      <c r="A1127" s="25" t="s">
        <v>12</v>
      </c>
      <c r="B1127" s="17"/>
      <c r="C1127" s="18">
        <v>10</v>
      </c>
      <c r="D1127" s="51">
        <v>5</v>
      </c>
      <c r="E1127" s="11">
        <f t="shared" si="1075"/>
        <v>15</v>
      </c>
      <c r="F1127" s="20">
        <v>10</v>
      </c>
      <c r="G1127" s="18">
        <v>10</v>
      </c>
      <c r="H1127" s="19">
        <v>5</v>
      </c>
      <c r="I1127" s="11">
        <f t="shared" si="1076"/>
        <v>25</v>
      </c>
      <c r="J1127" s="11">
        <f t="shared" si="1077"/>
        <v>40</v>
      </c>
      <c r="K1127" s="63">
        <v>45391</v>
      </c>
      <c r="M1127" s="25" t="s">
        <v>12</v>
      </c>
      <c r="N1127" s="8"/>
      <c r="O1127" s="9"/>
      <c r="P1127" s="52"/>
      <c r="Q1127" s="11">
        <f t="shared" si="1078"/>
        <v>0</v>
      </c>
      <c r="R1127" s="12"/>
      <c r="S1127" s="9"/>
      <c r="T1127" s="10"/>
      <c r="U1127" s="11">
        <f t="shared" si="1079"/>
        <v>0</v>
      </c>
      <c r="V1127" s="11">
        <f t="shared" si="1080"/>
        <v>0</v>
      </c>
    </row>
    <row r="1128" spans="1:25" x14ac:dyDescent="0.15">
      <c r="A1128" s="25" t="s">
        <v>13</v>
      </c>
      <c r="B1128" s="17"/>
      <c r="C1128" s="18"/>
      <c r="D1128" s="51"/>
      <c r="E1128" s="11">
        <f t="shared" si="1075"/>
        <v>0</v>
      </c>
      <c r="F1128" s="20"/>
      <c r="G1128" s="18">
        <v>20</v>
      </c>
      <c r="H1128" s="19"/>
      <c r="I1128" s="11">
        <f t="shared" si="1076"/>
        <v>20</v>
      </c>
      <c r="J1128" s="11">
        <f t="shared" si="1077"/>
        <v>20</v>
      </c>
      <c r="K1128" s="63">
        <v>45393</v>
      </c>
      <c r="M1128" s="25" t="s">
        <v>13</v>
      </c>
      <c r="N1128" s="8"/>
      <c r="O1128" s="9"/>
      <c r="P1128" s="52"/>
      <c r="Q1128" s="11">
        <f t="shared" si="1078"/>
        <v>0</v>
      </c>
      <c r="R1128" s="12"/>
      <c r="S1128" s="9"/>
      <c r="T1128" s="10"/>
      <c r="U1128" s="11">
        <f t="shared" si="1079"/>
        <v>0</v>
      </c>
      <c r="V1128" s="11">
        <f t="shared" si="1080"/>
        <v>0</v>
      </c>
    </row>
    <row r="1129" spans="1:25" x14ac:dyDescent="0.15">
      <c r="A1129" s="25" t="s">
        <v>14</v>
      </c>
      <c r="B1129" s="17"/>
      <c r="C1129" s="18">
        <v>5</v>
      </c>
      <c r="D1129" s="51"/>
      <c r="E1129" s="11">
        <f t="shared" ref="E1129:E1130" si="1081">SUM(B1129:D1129)</f>
        <v>5</v>
      </c>
      <c r="F1129" s="20">
        <v>5</v>
      </c>
      <c r="G1129" s="18"/>
      <c r="H1129" s="19"/>
      <c r="I1129" s="11">
        <f t="shared" ref="I1129:I1130" si="1082">SUM(F1129:H1129)</f>
        <v>5</v>
      </c>
      <c r="J1129" s="11">
        <f t="shared" ref="J1129:J1130" si="1083">E1129+I1129</f>
        <v>10</v>
      </c>
      <c r="K1129" s="63">
        <v>45398</v>
      </c>
      <c r="L1129" s="82"/>
      <c r="M1129" s="25" t="s">
        <v>14</v>
      </c>
      <c r="N1129" s="13"/>
      <c r="O1129" s="14"/>
      <c r="P1129" s="53"/>
      <c r="Q1129" s="11">
        <f t="shared" si="1078"/>
        <v>0</v>
      </c>
      <c r="R1129" s="16"/>
      <c r="S1129" s="14"/>
      <c r="T1129" s="15"/>
      <c r="U1129" s="11">
        <f t="shared" si="1079"/>
        <v>0</v>
      </c>
      <c r="V1129" s="11">
        <f t="shared" si="1080"/>
        <v>0</v>
      </c>
    </row>
    <row r="1130" spans="1:25" ht="14.25" thickBot="1" x14ac:dyDescent="0.2">
      <c r="A1130" s="25" t="s">
        <v>15</v>
      </c>
      <c r="B1130" s="17"/>
      <c r="C1130" s="18">
        <v>10</v>
      </c>
      <c r="D1130" s="51"/>
      <c r="E1130" s="11">
        <f t="shared" si="1081"/>
        <v>10</v>
      </c>
      <c r="F1130" s="20">
        <v>10</v>
      </c>
      <c r="G1130" s="18"/>
      <c r="H1130" s="19"/>
      <c r="I1130" s="11">
        <f t="shared" si="1082"/>
        <v>10</v>
      </c>
      <c r="J1130" s="11">
        <f t="shared" si="1083"/>
        <v>20</v>
      </c>
      <c r="K1130" s="63">
        <v>45399</v>
      </c>
      <c r="M1130" s="25" t="s">
        <v>15</v>
      </c>
      <c r="N1130" s="13"/>
      <c r="O1130" s="14"/>
      <c r="P1130" s="53"/>
      <c r="Q1130" s="11">
        <f t="shared" si="1078"/>
        <v>0</v>
      </c>
      <c r="R1130" s="16"/>
      <c r="S1130" s="14"/>
      <c r="T1130" s="15"/>
      <c r="U1130" s="11">
        <f t="shared" si="1079"/>
        <v>0</v>
      </c>
      <c r="V1130" s="11">
        <f t="shared" si="1080"/>
        <v>0</v>
      </c>
    </row>
    <row r="1131" spans="1:25" ht="14.25" thickBot="1" x14ac:dyDescent="0.2">
      <c r="A1131" s="35" t="s">
        <v>16</v>
      </c>
      <c r="B1131" s="28">
        <f>SUM(B1122:B1130)</f>
        <v>0</v>
      </c>
      <c r="C1131" s="29">
        <f t="shared" ref="C1131:D1131" si="1084">SUM(C1122:C1130)</f>
        <v>48</v>
      </c>
      <c r="D1131" s="68">
        <f t="shared" si="1084"/>
        <v>17</v>
      </c>
      <c r="E1131" s="64">
        <f>SUM(B1131:D1131)</f>
        <v>65</v>
      </c>
      <c r="F1131" s="28">
        <f>SUM(F1122:F1130)</f>
        <v>45</v>
      </c>
      <c r="G1131" s="29">
        <f t="shared" ref="G1131:H1131" si="1085">SUM(G1122:G1130)</f>
        <v>48</v>
      </c>
      <c r="H1131" s="68">
        <f t="shared" si="1085"/>
        <v>20</v>
      </c>
      <c r="I1131" s="64">
        <f>SUM(F1131:H1131)</f>
        <v>113</v>
      </c>
      <c r="J1131" s="31">
        <f>SUM(J1123:J1130)</f>
        <v>135</v>
      </c>
      <c r="M1131" s="35" t="s">
        <v>16</v>
      </c>
      <c r="N1131" s="28">
        <f>SUM(N1122:N1130)</f>
        <v>34</v>
      </c>
      <c r="O1131" s="29">
        <f t="shared" ref="O1131:P1131" si="1086">SUM(O1122:O1130)</f>
        <v>230</v>
      </c>
      <c r="P1131" s="68">
        <f t="shared" si="1086"/>
        <v>481</v>
      </c>
      <c r="Q1131" s="64">
        <f>SUM(N1131:P1131)</f>
        <v>745</v>
      </c>
      <c r="R1131" s="28">
        <f>SUM(R1122:R1130)</f>
        <v>264</v>
      </c>
      <c r="S1131" s="29">
        <f t="shared" ref="S1131:T1131" si="1087">SUM(S1122:S1130)</f>
        <v>508</v>
      </c>
      <c r="T1131" s="68">
        <f t="shared" si="1087"/>
        <v>562</v>
      </c>
      <c r="U1131" s="64">
        <f>SUM(R1131:T1131)</f>
        <v>1334</v>
      </c>
      <c r="V1131" s="31">
        <f>Q1131+U1131</f>
        <v>2079</v>
      </c>
    </row>
    <row r="1132" spans="1:25" x14ac:dyDescent="0.15">
      <c r="A1132" s="25" t="s">
        <v>33</v>
      </c>
      <c r="B1132" s="8"/>
      <c r="C1132" s="9"/>
      <c r="D1132" s="10"/>
      <c r="E1132" s="49">
        <f t="shared" ref="E1132" si="1088">SUM(B1132:D1132)</f>
        <v>0</v>
      </c>
      <c r="F1132" s="12">
        <v>1</v>
      </c>
      <c r="G1132" s="9"/>
      <c r="H1132" s="10"/>
      <c r="I1132" s="49">
        <f t="shared" ref="I1132" si="1089">SUM(F1132:H1132)</f>
        <v>1</v>
      </c>
      <c r="J1132" s="11">
        <f t="shared" ref="J1132" si="1090">E1132+I1132</f>
        <v>1</v>
      </c>
      <c r="K1132" s="71">
        <v>45369</v>
      </c>
      <c r="M1132" s="23" t="s">
        <v>28</v>
      </c>
      <c r="N1132" s="8"/>
      <c r="O1132" s="9">
        <v>5</v>
      </c>
      <c r="P1132" s="10"/>
      <c r="Q1132" s="49">
        <f t="shared" ref="Q1132:Q1137" si="1091">SUM(N1132:P1132)</f>
        <v>5</v>
      </c>
      <c r="R1132" s="12">
        <v>5</v>
      </c>
      <c r="S1132" s="9">
        <v>5</v>
      </c>
      <c r="T1132" s="10"/>
      <c r="U1132" s="49">
        <f t="shared" ref="U1132:U1137" si="1092">SUM(R1132:T1132)</f>
        <v>10</v>
      </c>
      <c r="V1132" s="11">
        <f t="shared" ref="V1132:V1137" si="1093">Q1132+U1132</f>
        <v>15</v>
      </c>
      <c r="W1132" s="140">
        <v>45367</v>
      </c>
      <c r="X1132" s="82"/>
      <c r="Y1132" s="82"/>
    </row>
    <row r="1133" spans="1:25" x14ac:dyDescent="0.15">
      <c r="A1133" s="25" t="s">
        <v>33</v>
      </c>
      <c r="B1133" s="8"/>
      <c r="C1133" s="9">
        <v>2</v>
      </c>
      <c r="D1133" s="10"/>
      <c r="E1133" s="49">
        <f t="shared" ref="E1133:E1155" si="1094">SUM(B1133:D1133)</f>
        <v>2</v>
      </c>
      <c r="F1133" s="12"/>
      <c r="G1133" s="9"/>
      <c r="H1133" s="10"/>
      <c r="I1133" s="49">
        <f t="shared" ref="I1133:I1155" si="1095">SUM(F1133:H1133)</f>
        <v>0</v>
      </c>
      <c r="J1133" s="11">
        <f t="shared" ref="J1133:J1155" si="1096">E1133+I1133</f>
        <v>2</v>
      </c>
      <c r="K1133" s="71">
        <v>45372</v>
      </c>
      <c r="M1133" s="23" t="s">
        <v>28</v>
      </c>
      <c r="N1133" s="8"/>
      <c r="O1133" s="9">
        <v>10</v>
      </c>
      <c r="P1133" s="10"/>
      <c r="Q1133" s="49">
        <f t="shared" si="1091"/>
        <v>10</v>
      </c>
      <c r="R1133" s="12"/>
      <c r="S1133" s="9"/>
      <c r="T1133" s="10"/>
      <c r="U1133" s="49">
        <f t="shared" si="1092"/>
        <v>0</v>
      </c>
      <c r="V1133" s="11">
        <f t="shared" si="1093"/>
        <v>10</v>
      </c>
      <c r="W1133" s="140">
        <v>45379</v>
      </c>
      <c r="X1133" s="82"/>
      <c r="Y1133" s="82"/>
    </row>
    <row r="1134" spans="1:25" x14ac:dyDescent="0.15">
      <c r="A1134" s="25" t="s">
        <v>33</v>
      </c>
      <c r="B1134" s="8"/>
      <c r="C1134" s="9">
        <v>2</v>
      </c>
      <c r="D1134" s="10"/>
      <c r="E1134" s="49">
        <f t="shared" si="1094"/>
        <v>2</v>
      </c>
      <c r="F1134" s="12"/>
      <c r="G1134" s="9">
        <v>2</v>
      </c>
      <c r="H1134" s="10"/>
      <c r="I1134" s="49">
        <f t="shared" si="1095"/>
        <v>2</v>
      </c>
      <c r="J1134" s="11">
        <f t="shared" si="1096"/>
        <v>4</v>
      </c>
      <c r="K1134" s="71">
        <v>45376</v>
      </c>
      <c r="M1134" s="23" t="s">
        <v>28</v>
      </c>
      <c r="N1134" s="8"/>
      <c r="O1134" s="9"/>
      <c r="P1134" s="10"/>
      <c r="Q1134" s="49">
        <f t="shared" si="1091"/>
        <v>0</v>
      </c>
      <c r="R1134" s="12">
        <v>5</v>
      </c>
      <c r="S1134" s="9">
        <v>5</v>
      </c>
      <c r="T1134" s="10">
        <v>5</v>
      </c>
      <c r="U1134" s="49">
        <f t="shared" si="1092"/>
        <v>15</v>
      </c>
      <c r="V1134" s="11">
        <f t="shared" si="1093"/>
        <v>15</v>
      </c>
      <c r="W1134" s="140">
        <v>45384</v>
      </c>
      <c r="X1134" s="82"/>
      <c r="Y1134" s="82"/>
    </row>
    <row r="1135" spans="1:25" x14ac:dyDescent="0.15">
      <c r="A1135" s="25" t="s">
        <v>33</v>
      </c>
      <c r="B1135" s="8"/>
      <c r="C1135" s="9">
        <v>1</v>
      </c>
      <c r="D1135" s="10"/>
      <c r="E1135" s="49">
        <f t="shared" si="1094"/>
        <v>1</v>
      </c>
      <c r="F1135" s="12"/>
      <c r="G1135" s="9"/>
      <c r="H1135" s="10"/>
      <c r="I1135" s="49">
        <f t="shared" si="1095"/>
        <v>0</v>
      </c>
      <c r="J1135" s="11">
        <f t="shared" si="1096"/>
        <v>1</v>
      </c>
      <c r="K1135" s="71">
        <v>45377</v>
      </c>
      <c r="M1135" s="23" t="s">
        <v>28</v>
      </c>
      <c r="N1135" s="8"/>
      <c r="O1135" s="9"/>
      <c r="P1135" s="10"/>
      <c r="Q1135" s="49">
        <f t="shared" si="1091"/>
        <v>0</v>
      </c>
      <c r="R1135" s="12">
        <v>5</v>
      </c>
      <c r="S1135" s="9"/>
      <c r="T1135" s="10"/>
      <c r="U1135" s="49">
        <f t="shared" si="1092"/>
        <v>5</v>
      </c>
      <c r="V1135" s="11">
        <f t="shared" si="1093"/>
        <v>5</v>
      </c>
      <c r="W1135" s="140">
        <v>45388</v>
      </c>
      <c r="X1135" s="82"/>
      <c r="Y1135" s="82"/>
    </row>
    <row r="1136" spans="1:25" x14ac:dyDescent="0.15">
      <c r="A1136" s="25" t="s">
        <v>33</v>
      </c>
      <c r="B1136" s="8"/>
      <c r="C1136" s="9">
        <v>5</v>
      </c>
      <c r="D1136" s="10"/>
      <c r="E1136" s="49">
        <f t="shared" si="1094"/>
        <v>5</v>
      </c>
      <c r="F1136" s="12"/>
      <c r="G1136" s="9">
        <v>1</v>
      </c>
      <c r="H1136" s="10"/>
      <c r="I1136" s="49">
        <f t="shared" si="1095"/>
        <v>1</v>
      </c>
      <c r="J1136" s="11">
        <f t="shared" si="1096"/>
        <v>6</v>
      </c>
      <c r="K1136" s="71">
        <v>45378</v>
      </c>
      <c r="M1136" s="23" t="s">
        <v>28</v>
      </c>
      <c r="N1136" s="8"/>
      <c r="O1136" s="9">
        <v>10</v>
      </c>
      <c r="P1136" s="10">
        <v>5</v>
      </c>
      <c r="Q1136" s="49">
        <f t="shared" si="1091"/>
        <v>15</v>
      </c>
      <c r="R1136" s="12">
        <v>10</v>
      </c>
      <c r="S1136" s="9">
        <v>10</v>
      </c>
      <c r="T1136" s="10">
        <v>5</v>
      </c>
      <c r="U1136" s="49">
        <f t="shared" si="1092"/>
        <v>25</v>
      </c>
      <c r="V1136" s="11">
        <f t="shared" si="1093"/>
        <v>40</v>
      </c>
      <c r="W1136" s="140">
        <v>45391</v>
      </c>
      <c r="X1136" s="82"/>
      <c r="Y1136" s="82"/>
    </row>
    <row r="1137" spans="1:25" x14ac:dyDescent="0.15">
      <c r="A1137" s="25" t="s">
        <v>33</v>
      </c>
      <c r="B1137" s="8"/>
      <c r="C1137" s="9"/>
      <c r="D1137" s="10"/>
      <c r="E1137" s="49">
        <f t="shared" si="1094"/>
        <v>0</v>
      </c>
      <c r="F1137" s="12">
        <v>1</v>
      </c>
      <c r="G1137" s="9"/>
      <c r="H1137" s="10"/>
      <c r="I1137" s="49">
        <f t="shared" si="1095"/>
        <v>1</v>
      </c>
      <c r="J1137" s="11">
        <f t="shared" si="1096"/>
        <v>1</v>
      </c>
      <c r="K1137" s="71">
        <v>45383</v>
      </c>
      <c r="M1137" s="23" t="s">
        <v>28</v>
      </c>
      <c r="N1137" s="8"/>
      <c r="O1137" s="9"/>
      <c r="P1137" s="10"/>
      <c r="Q1137" s="49">
        <f t="shared" si="1091"/>
        <v>0</v>
      </c>
      <c r="R1137" s="12"/>
      <c r="S1137" s="9">
        <v>20</v>
      </c>
      <c r="T1137" s="10"/>
      <c r="U1137" s="49">
        <f t="shared" si="1092"/>
        <v>20</v>
      </c>
      <c r="V1137" s="11">
        <f t="shared" si="1093"/>
        <v>20</v>
      </c>
      <c r="W1137" s="140">
        <v>45393</v>
      </c>
      <c r="X1137" s="82"/>
      <c r="Y1137" s="82"/>
    </row>
    <row r="1138" spans="1:25" x14ac:dyDescent="0.15">
      <c r="A1138" s="25" t="s">
        <v>33</v>
      </c>
      <c r="B1138" s="8"/>
      <c r="C1138" s="9">
        <v>1</v>
      </c>
      <c r="D1138" s="10"/>
      <c r="E1138" s="49">
        <f t="shared" si="1094"/>
        <v>1</v>
      </c>
      <c r="F1138" s="12"/>
      <c r="G1138" s="9">
        <v>1</v>
      </c>
      <c r="H1138" s="10"/>
      <c r="I1138" s="49">
        <f t="shared" si="1095"/>
        <v>1</v>
      </c>
      <c r="J1138" s="11">
        <f t="shared" si="1096"/>
        <v>2</v>
      </c>
      <c r="K1138" s="71">
        <v>45384</v>
      </c>
      <c r="M1138" s="23" t="s">
        <v>28</v>
      </c>
      <c r="N1138" s="8"/>
      <c r="O1138" s="9">
        <v>5</v>
      </c>
      <c r="P1138" s="10"/>
      <c r="Q1138" s="49">
        <f t="shared" ref="Q1138:Q1141" si="1097">SUM(N1138:P1138)</f>
        <v>5</v>
      </c>
      <c r="R1138" s="12">
        <v>5</v>
      </c>
      <c r="S1138" s="9"/>
      <c r="T1138" s="10"/>
      <c r="U1138" s="49">
        <f t="shared" ref="U1138:U1141" si="1098">SUM(R1138:T1138)</f>
        <v>5</v>
      </c>
      <c r="V1138" s="11">
        <f t="shared" ref="V1138:V1141" si="1099">Q1138+U1138</f>
        <v>10</v>
      </c>
      <c r="W1138" s="140">
        <v>45398</v>
      </c>
      <c r="X1138" s="82"/>
      <c r="Y1138" s="82"/>
    </row>
    <row r="1139" spans="1:25" x14ac:dyDescent="0.15">
      <c r="A1139" s="25" t="s">
        <v>33</v>
      </c>
      <c r="B1139" s="8"/>
      <c r="C1139" s="9"/>
      <c r="D1139" s="10"/>
      <c r="E1139" s="49">
        <f t="shared" si="1094"/>
        <v>0</v>
      </c>
      <c r="F1139" s="12"/>
      <c r="G1139" s="9">
        <v>1</v>
      </c>
      <c r="H1139" s="10">
        <v>1</v>
      </c>
      <c r="I1139" s="49">
        <f t="shared" si="1095"/>
        <v>2</v>
      </c>
      <c r="J1139" s="11">
        <f t="shared" si="1096"/>
        <v>2</v>
      </c>
      <c r="K1139" s="71">
        <v>45386</v>
      </c>
      <c r="M1139" s="23" t="s">
        <v>28</v>
      </c>
      <c r="N1139" s="8"/>
      <c r="O1139" s="9">
        <v>10</v>
      </c>
      <c r="P1139" s="10"/>
      <c r="Q1139" s="49">
        <f t="shared" si="1097"/>
        <v>10</v>
      </c>
      <c r="R1139" s="12">
        <v>10</v>
      </c>
      <c r="S1139" s="9"/>
      <c r="T1139" s="10"/>
      <c r="U1139" s="49">
        <f t="shared" si="1098"/>
        <v>10</v>
      </c>
      <c r="V1139" s="11">
        <f t="shared" si="1099"/>
        <v>20</v>
      </c>
      <c r="W1139" s="140">
        <v>45399</v>
      </c>
      <c r="X1139" s="40"/>
      <c r="Y1139" s="82"/>
    </row>
    <row r="1140" spans="1:25" x14ac:dyDescent="0.15">
      <c r="A1140" s="25" t="s">
        <v>33</v>
      </c>
      <c r="B1140" s="8"/>
      <c r="C1140" s="9"/>
      <c r="D1140" s="10"/>
      <c r="E1140" s="49">
        <f t="shared" si="1094"/>
        <v>0</v>
      </c>
      <c r="F1140" s="12">
        <f>3+3</f>
        <v>6</v>
      </c>
      <c r="G1140" s="9"/>
      <c r="H1140" s="10"/>
      <c r="I1140" s="49">
        <f t="shared" si="1095"/>
        <v>6</v>
      </c>
      <c r="J1140" s="11">
        <f t="shared" si="1096"/>
        <v>6</v>
      </c>
      <c r="K1140" s="71">
        <v>45387</v>
      </c>
      <c r="M1140" s="23" t="s">
        <v>28</v>
      </c>
      <c r="N1140" s="8"/>
      <c r="O1140" s="9"/>
      <c r="P1140" s="10">
        <v>5</v>
      </c>
      <c r="Q1140" s="49">
        <f t="shared" si="1097"/>
        <v>5</v>
      </c>
      <c r="R1140" s="12"/>
      <c r="S1140" s="9"/>
      <c r="T1140" s="10">
        <v>5</v>
      </c>
      <c r="U1140" s="49">
        <f t="shared" si="1098"/>
        <v>5</v>
      </c>
      <c r="V1140" s="11">
        <f t="shared" si="1099"/>
        <v>10</v>
      </c>
      <c r="W1140" s="140">
        <v>45402</v>
      </c>
    </row>
    <row r="1141" spans="1:25" x14ac:dyDescent="0.15">
      <c r="A1141" s="25" t="s">
        <v>33</v>
      </c>
      <c r="B1141" s="8"/>
      <c r="C1141" s="9">
        <v>1</v>
      </c>
      <c r="D1141" s="10">
        <v>2</v>
      </c>
      <c r="E1141" s="49">
        <f t="shared" si="1094"/>
        <v>3</v>
      </c>
      <c r="F1141" s="12">
        <v>3</v>
      </c>
      <c r="G1141" s="9">
        <v>4</v>
      </c>
      <c r="H1141" s="10"/>
      <c r="I1141" s="49">
        <f t="shared" si="1095"/>
        <v>7</v>
      </c>
      <c r="J1141" s="11">
        <f t="shared" si="1096"/>
        <v>10</v>
      </c>
      <c r="K1141" s="71">
        <v>45388</v>
      </c>
      <c r="M1141" s="23" t="s">
        <v>28</v>
      </c>
      <c r="N1141" s="8"/>
      <c r="O1141" s="9"/>
      <c r="P1141" s="10"/>
      <c r="Q1141" s="49">
        <f t="shared" si="1097"/>
        <v>0</v>
      </c>
      <c r="R1141" s="12">
        <v>10</v>
      </c>
      <c r="S1141" s="9"/>
      <c r="T1141" s="10"/>
      <c r="U1141" s="49">
        <f t="shared" si="1098"/>
        <v>10</v>
      </c>
      <c r="V1141" s="11">
        <f t="shared" si="1099"/>
        <v>10</v>
      </c>
      <c r="W1141" s="140">
        <v>45405</v>
      </c>
    </row>
    <row r="1142" spans="1:25" x14ac:dyDescent="0.15">
      <c r="A1142" s="25" t="s">
        <v>33</v>
      </c>
      <c r="B1142" s="8"/>
      <c r="C1142" s="9">
        <f>5+2</f>
        <v>7</v>
      </c>
      <c r="D1142" s="10">
        <f>1+1</f>
        <v>2</v>
      </c>
      <c r="E1142" s="49">
        <f t="shared" si="1094"/>
        <v>9</v>
      </c>
      <c r="F1142" s="12">
        <f>1+1</f>
        <v>2</v>
      </c>
      <c r="G1142" s="9">
        <f>2+1</f>
        <v>3</v>
      </c>
      <c r="H1142" s="10">
        <f>1+2</f>
        <v>3</v>
      </c>
      <c r="I1142" s="49">
        <f t="shared" si="1095"/>
        <v>8</v>
      </c>
      <c r="J1142" s="11">
        <f t="shared" si="1096"/>
        <v>17</v>
      </c>
      <c r="K1142" s="71">
        <v>45390</v>
      </c>
      <c r="M1142" s="119"/>
      <c r="N1142" s="8"/>
      <c r="O1142" s="9"/>
      <c r="P1142" s="10"/>
      <c r="Q1142" s="49">
        <f t="shared" ref="Q1142:Q1158" si="1100">SUM(N1142:P1142)</f>
        <v>0</v>
      </c>
      <c r="R1142" s="12"/>
      <c r="S1142" s="9"/>
      <c r="T1142" s="10"/>
      <c r="U1142" s="49">
        <f t="shared" ref="U1142:U1158" si="1101">SUM(R1142:T1142)</f>
        <v>0</v>
      </c>
      <c r="V1142" s="11">
        <f t="shared" ref="V1142:V1151" si="1102">Q1142+U1142</f>
        <v>0</v>
      </c>
    </row>
    <row r="1143" spans="1:25" x14ac:dyDescent="0.15">
      <c r="A1143" s="25" t="s">
        <v>33</v>
      </c>
      <c r="B1143" s="8"/>
      <c r="C1143" s="9"/>
      <c r="D1143" s="10">
        <v>1</v>
      </c>
      <c r="E1143" s="49">
        <f t="shared" si="1094"/>
        <v>1</v>
      </c>
      <c r="F1143" s="12">
        <v>4</v>
      </c>
      <c r="G1143" s="9">
        <f>6+2</f>
        <v>8</v>
      </c>
      <c r="H1143" s="10"/>
      <c r="I1143" s="49">
        <f t="shared" si="1095"/>
        <v>12</v>
      </c>
      <c r="J1143" s="11">
        <f t="shared" si="1096"/>
        <v>13</v>
      </c>
      <c r="K1143" s="71">
        <v>45391</v>
      </c>
      <c r="M1143" s="26"/>
      <c r="N1143" s="8"/>
      <c r="O1143" s="9"/>
      <c r="P1143" s="10"/>
      <c r="Q1143" s="49">
        <f t="shared" si="1100"/>
        <v>0</v>
      </c>
      <c r="R1143" s="12"/>
      <c r="S1143" s="9"/>
      <c r="T1143" s="10"/>
      <c r="U1143" s="49">
        <f t="shared" si="1101"/>
        <v>0</v>
      </c>
      <c r="V1143" s="11">
        <f t="shared" si="1102"/>
        <v>0</v>
      </c>
    </row>
    <row r="1144" spans="1:25" x14ac:dyDescent="0.15">
      <c r="A1144" s="25" t="s">
        <v>33</v>
      </c>
      <c r="B1144" s="8"/>
      <c r="C1144" s="9"/>
      <c r="D1144" s="10"/>
      <c r="E1144" s="49">
        <f t="shared" si="1094"/>
        <v>0</v>
      </c>
      <c r="F1144" s="12">
        <v>2</v>
      </c>
      <c r="G1144" s="9">
        <v>6</v>
      </c>
      <c r="H1144" s="10"/>
      <c r="I1144" s="49">
        <f t="shared" si="1095"/>
        <v>8</v>
      </c>
      <c r="J1144" s="11">
        <f t="shared" si="1096"/>
        <v>8</v>
      </c>
      <c r="K1144" s="71">
        <v>45392</v>
      </c>
      <c r="M1144" s="102"/>
      <c r="N1144" s="8"/>
      <c r="O1144" s="9"/>
      <c r="P1144" s="10"/>
      <c r="Q1144" s="49">
        <f t="shared" si="1100"/>
        <v>0</v>
      </c>
      <c r="R1144" s="12"/>
      <c r="S1144" s="9"/>
      <c r="T1144" s="10"/>
      <c r="U1144" s="49">
        <f t="shared" si="1101"/>
        <v>0</v>
      </c>
      <c r="V1144" s="11">
        <f t="shared" si="1102"/>
        <v>0</v>
      </c>
    </row>
    <row r="1145" spans="1:25" x14ac:dyDescent="0.15">
      <c r="A1145" s="25" t="s">
        <v>464</v>
      </c>
      <c r="B1145" s="8"/>
      <c r="C1145" s="9"/>
      <c r="D1145" s="10"/>
      <c r="E1145" s="49">
        <f t="shared" si="1094"/>
        <v>0</v>
      </c>
      <c r="F1145" s="12">
        <v>-1</v>
      </c>
      <c r="G1145" s="9">
        <v>1</v>
      </c>
      <c r="H1145" s="10"/>
      <c r="I1145" s="49">
        <f t="shared" si="1095"/>
        <v>0</v>
      </c>
      <c r="J1145" s="11">
        <f t="shared" si="1096"/>
        <v>0</v>
      </c>
      <c r="K1145" s="71">
        <v>45392</v>
      </c>
      <c r="M1145" s="102"/>
      <c r="N1145" s="8"/>
      <c r="O1145" s="9"/>
      <c r="P1145" s="10"/>
      <c r="Q1145" s="49">
        <f t="shared" si="1100"/>
        <v>0</v>
      </c>
      <c r="R1145" s="12"/>
      <c r="S1145" s="9"/>
      <c r="T1145" s="10"/>
      <c r="U1145" s="49">
        <f t="shared" si="1101"/>
        <v>0</v>
      </c>
      <c r="V1145" s="11">
        <f t="shared" si="1102"/>
        <v>0</v>
      </c>
    </row>
    <row r="1146" spans="1:25" x14ac:dyDescent="0.15">
      <c r="A1146" s="25" t="s">
        <v>33</v>
      </c>
      <c r="B1146" s="8"/>
      <c r="C1146" s="9">
        <v>2</v>
      </c>
      <c r="D1146" s="10"/>
      <c r="E1146" s="49">
        <f t="shared" si="1094"/>
        <v>2</v>
      </c>
      <c r="F1146" s="12"/>
      <c r="G1146" s="9">
        <v>2</v>
      </c>
      <c r="H1146" s="10"/>
      <c r="I1146" s="49">
        <f t="shared" si="1095"/>
        <v>2</v>
      </c>
      <c r="J1146" s="11">
        <f t="shared" si="1096"/>
        <v>4</v>
      </c>
      <c r="K1146" s="71">
        <v>45394</v>
      </c>
      <c r="M1146" s="26"/>
      <c r="N1146" s="8"/>
      <c r="O1146" s="9"/>
      <c r="P1146" s="10"/>
      <c r="Q1146" s="49">
        <f t="shared" si="1100"/>
        <v>0</v>
      </c>
      <c r="R1146" s="12"/>
      <c r="S1146" s="9"/>
      <c r="T1146" s="10"/>
      <c r="U1146" s="49">
        <f t="shared" si="1101"/>
        <v>0</v>
      </c>
      <c r="V1146" s="11">
        <f t="shared" si="1102"/>
        <v>0</v>
      </c>
    </row>
    <row r="1147" spans="1:25" x14ac:dyDescent="0.15">
      <c r="A1147" s="25" t="s">
        <v>33</v>
      </c>
      <c r="B1147" s="8"/>
      <c r="C1147" s="9">
        <v>3</v>
      </c>
      <c r="D1147" s="10"/>
      <c r="E1147" s="49">
        <f t="shared" si="1094"/>
        <v>3</v>
      </c>
      <c r="F1147" s="12">
        <f>2+3</f>
        <v>5</v>
      </c>
      <c r="G1147" s="9"/>
      <c r="H1147" s="10">
        <f>2+1</f>
        <v>3</v>
      </c>
      <c r="I1147" s="49">
        <f t="shared" si="1095"/>
        <v>8</v>
      </c>
      <c r="J1147" s="11">
        <f t="shared" si="1096"/>
        <v>11</v>
      </c>
      <c r="K1147" s="71">
        <v>45397</v>
      </c>
      <c r="M1147" s="26"/>
      <c r="N1147" s="8"/>
      <c r="O1147" s="9"/>
      <c r="P1147" s="10"/>
      <c r="Q1147" s="49">
        <f t="shared" si="1100"/>
        <v>0</v>
      </c>
      <c r="R1147" s="12"/>
      <c r="S1147" s="9"/>
      <c r="T1147" s="10"/>
      <c r="U1147" s="49">
        <f t="shared" si="1101"/>
        <v>0</v>
      </c>
      <c r="V1147" s="11">
        <f t="shared" si="1102"/>
        <v>0</v>
      </c>
    </row>
    <row r="1148" spans="1:25" x14ac:dyDescent="0.15">
      <c r="A1148" s="25" t="s">
        <v>33</v>
      </c>
      <c r="B1148" s="8"/>
      <c r="C1148" s="9">
        <v>6</v>
      </c>
      <c r="D1148" s="10"/>
      <c r="E1148" s="49">
        <f t="shared" si="1094"/>
        <v>6</v>
      </c>
      <c r="F1148" s="12">
        <v>6</v>
      </c>
      <c r="G1148" s="9">
        <v>1</v>
      </c>
      <c r="H1148" s="10"/>
      <c r="I1148" s="49">
        <f t="shared" si="1095"/>
        <v>7</v>
      </c>
      <c r="J1148" s="11">
        <f t="shared" si="1096"/>
        <v>13</v>
      </c>
      <c r="K1148" s="71">
        <v>45398</v>
      </c>
      <c r="M1148" s="26"/>
      <c r="N1148" s="8"/>
      <c r="O1148" s="9"/>
      <c r="P1148" s="10"/>
      <c r="Q1148" s="49">
        <f t="shared" si="1100"/>
        <v>0</v>
      </c>
      <c r="R1148" s="12"/>
      <c r="S1148" s="9"/>
      <c r="T1148" s="10"/>
      <c r="U1148" s="49">
        <f t="shared" si="1101"/>
        <v>0</v>
      </c>
      <c r="V1148" s="11">
        <f t="shared" si="1102"/>
        <v>0</v>
      </c>
    </row>
    <row r="1149" spans="1:25" x14ac:dyDescent="0.15">
      <c r="A1149" s="25" t="s">
        <v>33</v>
      </c>
      <c r="B1149" s="8"/>
      <c r="C1149" s="9"/>
      <c r="D1149" s="10"/>
      <c r="E1149" s="49">
        <f t="shared" si="1094"/>
        <v>0</v>
      </c>
      <c r="F1149" s="12">
        <v>1</v>
      </c>
      <c r="G1149" s="9"/>
      <c r="H1149" s="10"/>
      <c r="I1149" s="49">
        <f t="shared" si="1095"/>
        <v>1</v>
      </c>
      <c r="J1149" s="11">
        <f t="shared" si="1096"/>
        <v>1</v>
      </c>
      <c r="K1149" s="71">
        <v>45399</v>
      </c>
      <c r="M1149" s="24"/>
      <c r="N1149" s="8"/>
      <c r="O1149" s="9"/>
      <c r="P1149" s="10"/>
      <c r="Q1149" s="49">
        <f t="shared" si="1100"/>
        <v>0</v>
      </c>
      <c r="R1149" s="12"/>
      <c r="S1149" s="9"/>
      <c r="T1149" s="10"/>
      <c r="U1149" s="49">
        <f t="shared" si="1101"/>
        <v>0</v>
      </c>
      <c r="V1149" s="11">
        <f t="shared" si="1102"/>
        <v>0</v>
      </c>
    </row>
    <row r="1150" spans="1:25" x14ac:dyDescent="0.15">
      <c r="A1150" s="25" t="s">
        <v>33</v>
      </c>
      <c r="B1150" s="8"/>
      <c r="C1150" s="9">
        <v>1</v>
      </c>
      <c r="D1150" s="10">
        <v>1</v>
      </c>
      <c r="E1150" s="49">
        <f t="shared" si="1094"/>
        <v>2</v>
      </c>
      <c r="F1150" s="12"/>
      <c r="G1150" s="9">
        <v>1</v>
      </c>
      <c r="H1150" s="10">
        <v>1</v>
      </c>
      <c r="I1150" s="49">
        <f t="shared" si="1095"/>
        <v>2</v>
      </c>
      <c r="J1150" s="11">
        <f t="shared" si="1096"/>
        <v>4</v>
      </c>
      <c r="K1150" s="71">
        <v>45400</v>
      </c>
      <c r="M1150" s="26"/>
      <c r="N1150" s="8"/>
      <c r="O1150" s="9"/>
      <c r="P1150" s="10"/>
      <c r="Q1150" s="49">
        <f t="shared" si="1100"/>
        <v>0</v>
      </c>
      <c r="R1150" s="12"/>
      <c r="S1150" s="9"/>
      <c r="T1150" s="10"/>
      <c r="U1150" s="49">
        <f t="shared" si="1101"/>
        <v>0</v>
      </c>
      <c r="V1150" s="11">
        <f t="shared" si="1102"/>
        <v>0</v>
      </c>
    </row>
    <row r="1151" spans="1:25" x14ac:dyDescent="0.15">
      <c r="A1151" s="25" t="s">
        <v>33</v>
      </c>
      <c r="B1151" s="8"/>
      <c r="C1151" s="9"/>
      <c r="D1151" s="10">
        <v>1</v>
      </c>
      <c r="E1151" s="49">
        <f t="shared" si="1094"/>
        <v>1</v>
      </c>
      <c r="F1151" s="12"/>
      <c r="G1151" s="9"/>
      <c r="H1151" s="10"/>
      <c r="I1151" s="49">
        <f t="shared" si="1095"/>
        <v>0</v>
      </c>
      <c r="J1151" s="11">
        <f t="shared" si="1096"/>
        <v>1</v>
      </c>
      <c r="K1151" s="71">
        <v>45401</v>
      </c>
      <c r="M1151" s="26"/>
      <c r="N1151" s="8"/>
      <c r="O1151" s="9"/>
      <c r="P1151" s="10"/>
      <c r="Q1151" s="49">
        <f t="shared" si="1100"/>
        <v>0</v>
      </c>
      <c r="R1151" s="12"/>
      <c r="S1151" s="9"/>
      <c r="T1151" s="10"/>
      <c r="U1151" s="49">
        <f t="shared" si="1101"/>
        <v>0</v>
      </c>
      <c r="V1151" s="11">
        <f t="shared" si="1102"/>
        <v>0</v>
      </c>
    </row>
    <row r="1152" spans="1:25" x14ac:dyDescent="0.15">
      <c r="A1152" s="25" t="s">
        <v>424</v>
      </c>
      <c r="B1152" s="8"/>
      <c r="C1152" s="9">
        <v>3</v>
      </c>
      <c r="D1152" s="10">
        <v>3</v>
      </c>
      <c r="E1152" s="49">
        <f t="shared" si="1094"/>
        <v>6</v>
      </c>
      <c r="F1152" s="12">
        <v>3</v>
      </c>
      <c r="G1152" s="9">
        <v>3</v>
      </c>
      <c r="H1152" s="10">
        <v>3</v>
      </c>
      <c r="I1152" s="49">
        <f t="shared" si="1095"/>
        <v>9</v>
      </c>
      <c r="J1152" s="11">
        <f t="shared" si="1096"/>
        <v>15</v>
      </c>
      <c r="K1152" s="63">
        <v>45402</v>
      </c>
      <c r="M1152" s="26"/>
      <c r="N1152" s="8"/>
      <c r="O1152" s="9"/>
      <c r="P1152" s="10"/>
      <c r="Q1152" s="49">
        <f t="shared" ref="Q1152:Q1154" si="1103">SUM(N1152:P1152)</f>
        <v>0</v>
      </c>
      <c r="R1152" s="12"/>
      <c r="S1152" s="9"/>
      <c r="T1152" s="10"/>
      <c r="U1152" s="49">
        <f t="shared" ref="U1152:U1154" si="1104">SUM(R1152:T1152)</f>
        <v>0</v>
      </c>
      <c r="V1152" s="11">
        <f t="shared" ref="V1152:V1154" si="1105">Q1152+U1152</f>
        <v>0</v>
      </c>
    </row>
    <row r="1153" spans="1:22" x14ac:dyDescent="0.15">
      <c r="A1153" s="25" t="s">
        <v>465</v>
      </c>
      <c r="B1153" s="8"/>
      <c r="C1153" s="9"/>
      <c r="D1153" s="10">
        <v>-5</v>
      </c>
      <c r="E1153" s="49">
        <f t="shared" si="1094"/>
        <v>-5</v>
      </c>
      <c r="F1153" s="12"/>
      <c r="G1153" s="9"/>
      <c r="H1153" s="10">
        <v>-5</v>
      </c>
      <c r="I1153" s="49">
        <f t="shared" si="1095"/>
        <v>-5</v>
      </c>
      <c r="J1153" s="11">
        <f t="shared" si="1096"/>
        <v>-10</v>
      </c>
      <c r="K1153" s="63">
        <v>45402</v>
      </c>
      <c r="M1153" s="26"/>
      <c r="N1153" s="8"/>
      <c r="O1153" s="9"/>
      <c r="P1153" s="10"/>
      <c r="Q1153" s="49">
        <f t="shared" si="1103"/>
        <v>0</v>
      </c>
      <c r="R1153" s="12"/>
      <c r="S1153" s="9"/>
      <c r="T1153" s="10"/>
      <c r="U1153" s="49">
        <f t="shared" si="1104"/>
        <v>0</v>
      </c>
      <c r="V1153" s="11">
        <f t="shared" si="1105"/>
        <v>0</v>
      </c>
    </row>
    <row r="1154" spans="1:22" x14ac:dyDescent="0.15">
      <c r="A1154" s="25" t="s">
        <v>33</v>
      </c>
      <c r="B1154" s="8"/>
      <c r="C1154" s="9"/>
      <c r="D1154" s="10"/>
      <c r="E1154" s="49">
        <f t="shared" si="1094"/>
        <v>0</v>
      </c>
      <c r="F1154" s="12">
        <v>2</v>
      </c>
      <c r="G1154" s="9"/>
      <c r="H1154" s="10"/>
      <c r="I1154" s="49">
        <f t="shared" si="1095"/>
        <v>2</v>
      </c>
      <c r="J1154" s="11">
        <f t="shared" si="1096"/>
        <v>2</v>
      </c>
      <c r="K1154" s="63">
        <v>45402</v>
      </c>
      <c r="M1154" s="26"/>
      <c r="N1154" s="8"/>
      <c r="O1154" s="9"/>
      <c r="P1154" s="10"/>
      <c r="Q1154" s="49">
        <f t="shared" si="1103"/>
        <v>0</v>
      </c>
      <c r="R1154" s="12"/>
      <c r="S1154" s="9"/>
      <c r="T1154" s="10"/>
      <c r="U1154" s="49">
        <f t="shared" si="1104"/>
        <v>0</v>
      </c>
      <c r="V1154" s="11">
        <f t="shared" si="1105"/>
        <v>0</v>
      </c>
    </row>
    <row r="1155" spans="1:22" x14ac:dyDescent="0.15">
      <c r="A1155" s="25" t="s">
        <v>33</v>
      </c>
      <c r="B1155" s="8"/>
      <c r="C1155" s="9">
        <v>1</v>
      </c>
      <c r="D1155" s="10">
        <v>2</v>
      </c>
      <c r="E1155" s="49">
        <f t="shared" si="1094"/>
        <v>3</v>
      </c>
      <c r="F1155" s="12">
        <v>5</v>
      </c>
      <c r="G1155" s="9"/>
      <c r="H1155" s="10">
        <v>2</v>
      </c>
      <c r="I1155" s="49">
        <f t="shared" si="1095"/>
        <v>7</v>
      </c>
      <c r="J1155" s="11">
        <f t="shared" si="1096"/>
        <v>10</v>
      </c>
      <c r="K1155" s="71">
        <v>45404</v>
      </c>
      <c r="M1155" s="26"/>
      <c r="N1155" s="8"/>
      <c r="O1155" s="9"/>
      <c r="P1155" s="10"/>
      <c r="Q1155" s="49">
        <f t="shared" ref="Q1155:Q1157" si="1106">SUM(N1155:P1155)</f>
        <v>0</v>
      </c>
      <c r="R1155" s="12"/>
      <c r="S1155" s="9"/>
      <c r="T1155" s="10"/>
      <c r="U1155" s="49">
        <f t="shared" ref="U1155:U1157" si="1107">SUM(R1155:T1155)</f>
        <v>0</v>
      </c>
      <c r="V1155" s="11">
        <f t="shared" ref="V1155:V1157" si="1108">Q1155+U1155</f>
        <v>0</v>
      </c>
    </row>
    <row r="1156" spans="1:22" x14ac:dyDescent="0.15">
      <c r="A1156" s="25" t="s">
        <v>189</v>
      </c>
      <c r="B1156" s="8"/>
      <c r="C1156" s="9"/>
      <c r="D1156" s="10"/>
      <c r="E1156" s="49">
        <f t="shared" ref="E1156:E1158" si="1109">SUM(B1156:D1156)</f>
        <v>0</v>
      </c>
      <c r="F1156" s="12">
        <v>-10</v>
      </c>
      <c r="G1156" s="9"/>
      <c r="H1156" s="10"/>
      <c r="I1156" s="49">
        <f t="shared" ref="I1156:I1158" si="1110">SUM(F1156:H1156)</f>
        <v>-10</v>
      </c>
      <c r="J1156" s="11">
        <f t="shared" ref="J1156:J1157" si="1111">E1156+I1156</f>
        <v>-10</v>
      </c>
      <c r="K1156" s="63">
        <v>45405</v>
      </c>
      <c r="M1156" s="26"/>
      <c r="N1156" s="8"/>
      <c r="O1156" s="9"/>
      <c r="P1156" s="10"/>
      <c r="Q1156" s="49">
        <f t="shared" si="1106"/>
        <v>0</v>
      </c>
      <c r="R1156" s="12"/>
      <c r="S1156" s="9"/>
      <c r="T1156" s="10"/>
      <c r="U1156" s="49">
        <f t="shared" si="1107"/>
        <v>0</v>
      </c>
      <c r="V1156" s="11">
        <f t="shared" si="1108"/>
        <v>0</v>
      </c>
    </row>
    <row r="1157" spans="1:22" ht="14.25" thickBot="1" x14ac:dyDescent="0.2">
      <c r="A1157" s="25" t="s">
        <v>468</v>
      </c>
      <c r="B1157" s="13"/>
      <c r="C1157" s="14"/>
      <c r="D1157" s="15">
        <v>1</v>
      </c>
      <c r="E1157" s="55">
        <f t="shared" si="1109"/>
        <v>1</v>
      </c>
      <c r="F1157" s="16">
        <v>4</v>
      </c>
      <c r="G1157" s="14">
        <v>-1</v>
      </c>
      <c r="H1157" s="15">
        <v>1</v>
      </c>
      <c r="I1157" s="55">
        <f t="shared" si="1110"/>
        <v>4</v>
      </c>
      <c r="J1157" s="11">
        <f t="shared" si="1111"/>
        <v>5</v>
      </c>
      <c r="K1157" s="71"/>
      <c r="M1157" s="26"/>
      <c r="N1157" s="8"/>
      <c r="O1157" s="9"/>
      <c r="P1157" s="10"/>
      <c r="Q1157" s="49">
        <f t="shared" si="1106"/>
        <v>0</v>
      </c>
      <c r="R1157" s="12"/>
      <c r="S1157" s="9"/>
      <c r="T1157" s="10"/>
      <c r="U1157" s="49">
        <f t="shared" si="1107"/>
        <v>0</v>
      </c>
      <c r="V1157" s="11">
        <f t="shared" si="1108"/>
        <v>0</v>
      </c>
    </row>
    <row r="1158" spans="1:22" ht="14.25" thickBot="1" x14ac:dyDescent="0.2">
      <c r="A1158" s="41" t="s">
        <v>19</v>
      </c>
      <c r="B1158" s="46">
        <f>SUM(B1132:B1157)</f>
        <v>0</v>
      </c>
      <c r="C1158" s="47">
        <f t="shared" ref="C1158:D1158" si="1112">SUM(C1132:C1157)</f>
        <v>35</v>
      </c>
      <c r="D1158" s="59">
        <f t="shared" si="1112"/>
        <v>8</v>
      </c>
      <c r="E1158" s="45">
        <f t="shared" si="1109"/>
        <v>43</v>
      </c>
      <c r="F1158" s="46">
        <f>SUM(F1132:F1157)</f>
        <v>34</v>
      </c>
      <c r="G1158" s="47">
        <f t="shared" ref="G1158:H1158" si="1113">SUM(G1132:G1157)</f>
        <v>33</v>
      </c>
      <c r="H1158" s="59">
        <f t="shared" si="1113"/>
        <v>9</v>
      </c>
      <c r="I1158" s="45">
        <f t="shared" si="1110"/>
        <v>76</v>
      </c>
      <c r="J1158" s="45">
        <f>E1158+I1158</f>
        <v>119</v>
      </c>
      <c r="M1158" s="41" t="s">
        <v>19</v>
      </c>
      <c r="N1158" s="46">
        <f>SUM(N1132:N1157)</f>
        <v>0</v>
      </c>
      <c r="O1158" s="47">
        <f t="shared" ref="O1158:P1158" si="1114">SUM(O1132:O1157)</f>
        <v>40</v>
      </c>
      <c r="P1158" s="59">
        <f t="shared" si="1114"/>
        <v>10</v>
      </c>
      <c r="Q1158" s="45">
        <f t="shared" si="1100"/>
        <v>50</v>
      </c>
      <c r="R1158" s="46">
        <f>SUM(R1132:R1157)</f>
        <v>50</v>
      </c>
      <c r="S1158" s="47">
        <f t="shared" ref="S1158:T1158" si="1115">SUM(S1132:S1157)</f>
        <v>40</v>
      </c>
      <c r="T1158" s="59">
        <f t="shared" si="1115"/>
        <v>15</v>
      </c>
      <c r="U1158" s="45">
        <f t="shared" si="1101"/>
        <v>105</v>
      </c>
      <c r="V1158" s="45">
        <f>Q1158+U1158</f>
        <v>155</v>
      </c>
    </row>
    <row r="1159" spans="1:22" ht="14.25" thickBot="1" x14ac:dyDescent="0.2">
      <c r="A1159" s="22" t="s">
        <v>17</v>
      </c>
      <c r="B1159" s="50">
        <f>B1131-B1158</f>
        <v>0</v>
      </c>
      <c r="C1159" s="57">
        <f t="shared" ref="C1159:D1159" si="1116">C1131-C1158</f>
        <v>13</v>
      </c>
      <c r="D1159" s="58">
        <f t="shared" si="1116"/>
        <v>9</v>
      </c>
      <c r="E1159" s="56">
        <f>SUM(B1159:D1159)</f>
        <v>22</v>
      </c>
      <c r="F1159" s="50">
        <f>F1131-F1158</f>
        <v>11</v>
      </c>
      <c r="G1159" s="57">
        <f t="shared" ref="G1159:H1159" si="1117">G1131-G1158</f>
        <v>15</v>
      </c>
      <c r="H1159" s="58">
        <f t="shared" si="1117"/>
        <v>11</v>
      </c>
      <c r="I1159" s="56">
        <f>SUM(F1159:H1159)</f>
        <v>37</v>
      </c>
      <c r="J1159" s="31">
        <f>E1159+I1159</f>
        <v>59</v>
      </c>
      <c r="M1159" s="22" t="s">
        <v>17</v>
      </c>
      <c r="N1159" s="50">
        <f>N1131-N1158</f>
        <v>34</v>
      </c>
      <c r="O1159" s="57">
        <f t="shared" ref="O1159:P1159" si="1118">O1131-O1158</f>
        <v>190</v>
      </c>
      <c r="P1159" s="58">
        <f t="shared" si="1118"/>
        <v>471</v>
      </c>
      <c r="Q1159" s="56">
        <f>SUM(N1159:P1159)</f>
        <v>695</v>
      </c>
      <c r="R1159" s="50">
        <f>R1131-R1158</f>
        <v>214</v>
      </c>
      <c r="S1159" s="57">
        <f t="shared" ref="S1159:T1159" si="1119">S1131-S1158</f>
        <v>468</v>
      </c>
      <c r="T1159" s="58">
        <f t="shared" si="1119"/>
        <v>547</v>
      </c>
      <c r="U1159" s="56">
        <f>SUM(R1159:T1159)</f>
        <v>1229</v>
      </c>
      <c r="V1159" s="31">
        <f>Q1159+U1159</f>
        <v>1924</v>
      </c>
    </row>
    <row r="1162" spans="1:22" ht="19.5" thickBot="1" x14ac:dyDescent="0.25">
      <c r="A1162" s="3" t="s">
        <v>21</v>
      </c>
      <c r="B1162" s="1"/>
      <c r="C1162" s="1"/>
      <c r="D1162" s="1"/>
      <c r="E1162" s="1"/>
      <c r="F1162" s="1"/>
      <c r="G1162" s="1"/>
      <c r="H1162" s="1"/>
      <c r="I1162" s="1"/>
      <c r="J1162" s="1"/>
      <c r="M1162" s="3" t="s">
        <v>22</v>
      </c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 ht="14.25" thickBot="1" x14ac:dyDescent="0.2">
      <c r="A1163" s="7" t="s">
        <v>0</v>
      </c>
      <c r="B1163" s="165" t="s">
        <v>24</v>
      </c>
      <c r="C1163" s="166"/>
      <c r="D1163" s="166"/>
      <c r="E1163" s="170"/>
      <c r="F1163" s="165" t="s">
        <v>18</v>
      </c>
      <c r="G1163" s="166"/>
      <c r="H1163" s="166"/>
      <c r="I1163" s="167"/>
      <c r="J1163" s="168" t="s">
        <v>1</v>
      </c>
      <c r="M1163" s="7" t="s">
        <v>0</v>
      </c>
      <c r="N1163" s="165" t="s">
        <v>24</v>
      </c>
      <c r="O1163" s="166"/>
      <c r="P1163" s="166"/>
      <c r="Q1163" s="170"/>
      <c r="R1163" s="165" t="s">
        <v>18</v>
      </c>
      <c r="S1163" s="166"/>
      <c r="T1163" s="166"/>
      <c r="U1163" s="167"/>
      <c r="V1163" s="168" t="s">
        <v>1</v>
      </c>
    </row>
    <row r="1164" spans="1:22" ht="14.25" thickBot="1" x14ac:dyDescent="0.2">
      <c r="A1164" s="7" t="s">
        <v>2</v>
      </c>
      <c r="B1164" s="4" t="s">
        <v>3</v>
      </c>
      <c r="C1164" s="5" t="s">
        <v>4</v>
      </c>
      <c r="D1164" s="6" t="s">
        <v>5</v>
      </c>
      <c r="E1164" s="7" t="s">
        <v>6</v>
      </c>
      <c r="F1164" s="4" t="s">
        <v>3</v>
      </c>
      <c r="G1164" s="5" t="s">
        <v>4</v>
      </c>
      <c r="H1164" s="6" t="s">
        <v>5</v>
      </c>
      <c r="I1164" s="7" t="s">
        <v>6</v>
      </c>
      <c r="J1164" s="169"/>
      <c r="M1164" s="7" t="s">
        <v>2</v>
      </c>
      <c r="N1164" s="4" t="s">
        <v>3</v>
      </c>
      <c r="O1164" s="5" t="s">
        <v>4</v>
      </c>
      <c r="P1164" s="6" t="s">
        <v>5</v>
      </c>
      <c r="Q1164" s="7" t="s">
        <v>6</v>
      </c>
      <c r="R1164" s="4" t="s">
        <v>3</v>
      </c>
      <c r="S1164" s="5" t="s">
        <v>4</v>
      </c>
      <c r="T1164" s="6" t="s">
        <v>5</v>
      </c>
      <c r="U1164" s="7" t="s">
        <v>6</v>
      </c>
      <c r="V1164" s="169"/>
    </row>
    <row r="1165" spans="1:22" ht="14.25" thickBot="1" x14ac:dyDescent="0.2">
      <c r="A1165" s="27" t="s">
        <v>20</v>
      </c>
      <c r="B1165" s="28">
        <f>B1159</f>
        <v>0</v>
      </c>
      <c r="C1165" s="29">
        <f>C1159</f>
        <v>13</v>
      </c>
      <c r="D1165" s="30">
        <f>D1159</f>
        <v>9</v>
      </c>
      <c r="E1165" s="31">
        <f>SUM(B1165:D1165)</f>
        <v>22</v>
      </c>
      <c r="F1165" s="28">
        <f>F1159</f>
        <v>11</v>
      </c>
      <c r="G1165" s="29">
        <f>G1159</f>
        <v>15</v>
      </c>
      <c r="H1165" s="30">
        <f>H1159</f>
        <v>11</v>
      </c>
      <c r="I1165" s="31">
        <f>SUM(F1165:H1165)</f>
        <v>37</v>
      </c>
      <c r="J1165" s="31">
        <f>E1165+I1165</f>
        <v>59</v>
      </c>
      <c r="M1165" s="27" t="s">
        <v>20</v>
      </c>
      <c r="N1165" s="28">
        <f>N1159</f>
        <v>34</v>
      </c>
      <c r="O1165" s="29">
        <f>O1159</f>
        <v>190</v>
      </c>
      <c r="P1165" s="30">
        <f>P1159</f>
        <v>471</v>
      </c>
      <c r="Q1165" s="31">
        <f>SUM(N1165:P1165)</f>
        <v>695</v>
      </c>
      <c r="R1165" s="28">
        <f>R1159</f>
        <v>214</v>
      </c>
      <c r="S1165" s="29">
        <f>S1159</f>
        <v>468</v>
      </c>
      <c r="T1165" s="30">
        <f>T1159</f>
        <v>547</v>
      </c>
      <c r="U1165" s="31">
        <f>SUM(R1165:T1165)</f>
        <v>1229</v>
      </c>
      <c r="V1165" s="31">
        <f>Q1165+U1165</f>
        <v>1924</v>
      </c>
    </row>
    <row r="1166" spans="1:22" x14ac:dyDescent="0.15">
      <c r="A1166" s="25" t="s">
        <v>8</v>
      </c>
      <c r="B1166" s="17"/>
      <c r="C1166" s="18">
        <v>5</v>
      </c>
      <c r="D1166" s="51">
        <v>5</v>
      </c>
      <c r="E1166" s="11">
        <f t="shared" ref="E1166:E1171" si="1120">SUM(B1166:D1166)</f>
        <v>10</v>
      </c>
      <c r="F1166" s="20"/>
      <c r="G1166" s="18">
        <v>5</v>
      </c>
      <c r="H1166" s="19">
        <v>5</v>
      </c>
      <c r="I1166" s="11">
        <f t="shared" ref="I1166:I1171" si="1121">SUM(F1166:H1166)</f>
        <v>10</v>
      </c>
      <c r="J1166" s="11">
        <f t="shared" ref="J1166:J1171" si="1122">E1166+I1166</f>
        <v>20</v>
      </c>
      <c r="K1166" s="63">
        <v>45412</v>
      </c>
      <c r="M1166" s="25" t="s">
        <v>8</v>
      </c>
      <c r="N1166" s="17"/>
      <c r="O1166" s="18"/>
      <c r="P1166" s="51"/>
      <c r="Q1166" s="49">
        <f t="shared" ref="Q1166:Q1173" si="1123">SUM(N1166:P1166)</f>
        <v>0</v>
      </c>
      <c r="R1166" s="20"/>
      <c r="S1166" s="18"/>
      <c r="T1166" s="19"/>
      <c r="U1166" s="49">
        <f t="shared" ref="U1166:U1173" si="1124">SUM(R1166:T1166)</f>
        <v>0</v>
      </c>
      <c r="V1166" s="49">
        <f t="shared" ref="V1166:V1173" si="1125">Q1166+U1166</f>
        <v>0</v>
      </c>
    </row>
    <row r="1167" spans="1:22" x14ac:dyDescent="0.15">
      <c r="A1167" s="25" t="s">
        <v>9</v>
      </c>
      <c r="B1167" s="17"/>
      <c r="C1167" s="18"/>
      <c r="D1167" s="51"/>
      <c r="E1167" s="11">
        <f t="shared" si="1120"/>
        <v>0</v>
      </c>
      <c r="F1167" s="20">
        <v>10</v>
      </c>
      <c r="G1167" s="18"/>
      <c r="H1167" s="19"/>
      <c r="I1167" s="11">
        <f t="shared" si="1121"/>
        <v>10</v>
      </c>
      <c r="J1167" s="11">
        <f t="shared" si="1122"/>
        <v>10</v>
      </c>
      <c r="K1167" s="63">
        <v>45419</v>
      </c>
      <c r="M1167" s="25" t="s">
        <v>9</v>
      </c>
      <c r="N1167" s="8"/>
      <c r="O1167" s="9"/>
      <c r="P1167" s="52"/>
      <c r="Q1167" s="11">
        <f t="shared" si="1123"/>
        <v>0</v>
      </c>
      <c r="R1167" s="12"/>
      <c r="S1167" s="9"/>
      <c r="T1167" s="10"/>
      <c r="U1167" s="11">
        <f t="shared" si="1124"/>
        <v>0</v>
      </c>
      <c r="V1167" s="11">
        <f t="shared" si="1125"/>
        <v>0</v>
      </c>
    </row>
    <row r="1168" spans="1:22" x14ac:dyDescent="0.15">
      <c r="A1168" s="25" t="s">
        <v>10</v>
      </c>
      <c r="B1168" s="17"/>
      <c r="C1168" s="18">
        <v>5</v>
      </c>
      <c r="D1168" s="51">
        <v>5</v>
      </c>
      <c r="E1168" s="11">
        <f t="shared" si="1120"/>
        <v>10</v>
      </c>
      <c r="F1168" s="20">
        <v>10</v>
      </c>
      <c r="G1168" s="18">
        <v>5</v>
      </c>
      <c r="H1168" s="19">
        <v>5</v>
      </c>
      <c r="I1168" s="11">
        <f t="shared" si="1121"/>
        <v>20</v>
      </c>
      <c r="J1168" s="11">
        <f t="shared" si="1122"/>
        <v>30</v>
      </c>
      <c r="K1168" s="63">
        <v>45420</v>
      </c>
      <c r="M1168" s="25" t="s">
        <v>10</v>
      </c>
      <c r="N1168" s="8"/>
      <c r="O1168" s="9"/>
      <c r="P1168" s="52"/>
      <c r="Q1168" s="11">
        <f t="shared" si="1123"/>
        <v>0</v>
      </c>
      <c r="R1168" s="12"/>
      <c r="S1168" s="9"/>
      <c r="T1168" s="10"/>
      <c r="U1168" s="11">
        <f t="shared" si="1124"/>
        <v>0</v>
      </c>
      <c r="V1168" s="11">
        <f t="shared" si="1125"/>
        <v>0</v>
      </c>
    </row>
    <row r="1169" spans="1:28" x14ac:dyDescent="0.15">
      <c r="A1169" s="25" t="s">
        <v>11</v>
      </c>
      <c r="B1169" s="17"/>
      <c r="C1169" s="18"/>
      <c r="D1169" s="51"/>
      <c r="E1169" s="11">
        <f t="shared" si="1120"/>
        <v>0</v>
      </c>
      <c r="F1169" s="20"/>
      <c r="G1169" s="18"/>
      <c r="H1169" s="19">
        <v>10</v>
      </c>
      <c r="I1169" s="11">
        <f t="shared" si="1121"/>
        <v>10</v>
      </c>
      <c r="J1169" s="11">
        <f t="shared" si="1122"/>
        <v>10</v>
      </c>
      <c r="K1169" s="63">
        <v>45422</v>
      </c>
      <c r="M1169" s="25" t="s">
        <v>11</v>
      </c>
      <c r="N1169" s="8"/>
      <c r="O1169" s="9"/>
      <c r="P1169" s="52"/>
      <c r="Q1169" s="11">
        <f t="shared" si="1123"/>
        <v>0</v>
      </c>
      <c r="R1169" s="12"/>
      <c r="S1169" s="9"/>
      <c r="T1169" s="10"/>
      <c r="U1169" s="11">
        <f t="shared" si="1124"/>
        <v>0</v>
      </c>
      <c r="V1169" s="11">
        <f t="shared" si="1125"/>
        <v>0</v>
      </c>
    </row>
    <row r="1170" spans="1:28" x14ac:dyDescent="0.15">
      <c r="A1170" s="25" t="s">
        <v>12</v>
      </c>
      <c r="B1170" s="17"/>
      <c r="C1170" s="18"/>
      <c r="D1170" s="51"/>
      <c r="E1170" s="11">
        <f t="shared" si="1120"/>
        <v>0</v>
      </c>
      <c r="F1170" s="20">
        <v>5</v>
      </c>
      <c r="G1170" s="18"/>
      <c r="H1170" s="19"/>
      <c r="I1170" s="11">
        <f t="shared" si="1121"/>
        <v>5</v>
      </c>
      <c r="J1170" s="11">
        <f t="shared" si="1122"/>
        <v>5</v>
      </c>
      <c r="K1170" s="63">
        <v>45423</v>
      </c>
      <c r="M1170" s="25" t="s">
        <v>12</v>
      </c>
      <c r="N1170" s="8"/>
      <c r="O1170" s="9"/>
      <c r="P1170" s="52"/>
      <c r="Q1170" s="11">
        <f t="shared" si="1123"/>
        <v>0</v>
      </c>
      <c r="R1170" s="12"/>
      <c r="S1170" s="9"/>
      <c r="T1170" s="10"/>
      <c r="U1170" s="11">
        <f t="shared" si="1124"/>
        <v>0</v>
      </c>
      <c r="V1170" s="11">
        <f t="shared" si="1125"/>
        <v>0</v>
      </c>
    </row>
    <row r="1171" spans="1:28" x14ac:dyDescent="0.15">
      <c r="A1171" s="25" t="s">
        <v>13</v>
      </c>
      <c r="B1171" s="17"/>
      <c r="C1171" s="18">
        <v>5</v>
      </c>
      <c r="D1171" s="51">
        <v>5</v>
      </c>
      <c r="E1171" s="11">
        <f t="shared" si="1120"/>
        <v>10</v>
      </c>
      <c r="F1171" s="20">
        <v>5</v>
      </c>
      <c r="G1171" s="18">
        <v>5</v>
      </c>
      <c r="H1171" s="19"/>
      <c r="I1171" s="11">
        <f t="shared" si="1121"/>
        <v>10</v>
      </c>
      <c r="J1171" s="11">
        <f t="shared" si="1122"/>
        <v>20</v>
      </c>
      <c r="K1171" s="63">
        <v>45426</v>
      </c>
      <c r="M1171" s="25" t="s">
        <v>13</v>
      </c>
      <c r="N1171" s="8"/>
      <c r="O1171" s="9"/>
      <c r="P1171" s="52"/>
      <c r="Q1171" s="11">
        <f t="shared" si="1123"/>
        <v>0</v>
      </c>
      <c r="R1171" s="12"/>
      <c r="S1171" s="9"/>
      <c r="T1171" s="10"/>
      <c r="U1171" s="11">
        <f t="shared" si="1124"/>
        <v>0</v>
      </c>
      <c r="V1171" s="11">
        <f t="shared" si="1125"/>
        <v>0</v>
      </c>
    </row>
    <row r="1172" spans="1:28" x14ac:dyDescent="0.15">
      <c r="A1172" s="25" t="s">
        <v>14</v>
      </c>
      <c r="B1172" s="17"/>
      <c r="C1172" s="18">
        <v>10</v>
      </c>
      <c r="D1172" s="51">
        <v>5</v>
      </c>
      <c r="E1172" s="11">
        <f t="shared" ref="E1172:E1173" si="1126">SUM(B1172:D1172)</f>
        <v>15</v>
      </c>
      <c r="F1172" s="20"/>
      <c r="G1172" s="18">
        <v>10</v>
      </c>
      <c r="H1172" s="19">
        <v>5</v>
      </c>
      <c r="I1172" s="11">
        <f t="shared" ref="I1172:I1173" si="1127">SUM(F1172:H1172)</f>
        <v>15</v>
      </c>
      <c r="J1172" s="11">
        <f t="shared" ref="J1172:J1173" si="1128">E1172+I1172</f>
        <v>30</v>
      </c>
      <c r="K1172" s="63">
        <v>45430</v>
      </c>
      <c r="L1172" s="82"/>
      <c r="M1172" s="25" t="s">
        <v>14</v>
      </c>
      <c r="N1172" s="13"/>
      <c r="O1172" s="14"/>
      <c r="P1172" s="53"/>
      <c r="Q1172" s="11">
        <f t="shared" si="1123"/>
        <v>0</v>
      </c>
      <c r="R1172" s="16"/>
      <c r="S1172" s="14"/>
      <c r="T1172" s="15"/>
      <c r="U1172" s="11">
        <f t="shared" si="1124"/>
        <v>0</v>
      </c>
      <c r="V1172" s="11">
        <f t="shared" si="1125"/>
        <v>0</v>
      </c>
    </row>
    <row r="1173" spans="1:28" ht="14.25" thickBot="1" x14ac:dyDescent="0.2">
      <c r="A1173" s="25" t="s">
        <v>15</v>
      </c>
      <c r="B1173" s="17"/>
      <c r="C1173" s="18">
        <v>5</v>
      </c>
      <c r="D1173" s="51"/>
      <c r="E1173" s="11">
        <f t="shared" si="1126"/>
        <v>5</v>
      </c>
      <c r="F1173" s="20">
        <v>10</v>
      </c>
      <c r="G1173" s="18">
        <v>5</v>
      </c>
      <c r="H1173" s="19"/>
      <c r="I1173" s="11">
        <f t="shared" si="1127"/>
        <v>15</v>
      </c>
      <c r="J1173" s="11">
        <f t="shared" si="1128"/>
        <v>20</v>
      </c>
      <c r="K1173" s="63">
        <v>45437</v>
      </c>
      <c r="M1173" s="25" t="s">
        <v>15</v>
      </c>
      <c r="N1173" s="13"/>
      <c r="O1173" s="14"/>
      <c r="P1173" s="53"/>
      <c r="Q1173" s="11">
        <f t="shared" si="1123"/>
        <v>0</v>
      </c>
      <c r="R1173" s="16"/>
      <c r="S1173" s="14"/>
      <c r="T1173" s="15"/>
      <c r="U1173" s="11">
        <f t="shared" si="1124"/>
        <v>0</v>
      </c>
      <c r="V1173" s="11">
        <f t="shared" si="1125"/>
        <v>0</v>
      </c>
    </row>
    <row r="1174" spans="1:28" ht="14.25" thickBot="1" x14ac:dyDescent="0.2">
      <c r="A1174" s="35" t="s">
        <v>16</v>
      </c>
      <c r="B1174" s="28">
        <f>SUM(B1165:B1173)</f>
        <v>0</v>
      </c>
      <c r="C1174" s="29">
        <f t="shared" ref="C1174:D1174" si="1129">SUM(C1165:C1173)</f>
        <v>43</v>
      </c>
      <c r="D1174" s="68">
        <f t="shared" si="1129"/>
        <v>29</v>
      </c>
      <c r="E1174" s="64">
        <f>SUM(B1174:D1174)</f>
        <v>72</v>
      </c>
      <c r="F1174" s="28">
        <f>SUM(F1165:F1173)</f>
        <v>51</v>
      </c>
      <c r="G1174" s="29">
        <f t="shared" ref="G1174:H1174" si="1130">SUM(G1165:G1173)</f>
        <v>45</v>
      </c>
      <c r="H1174" s="68">
        <f t="shared" si="1130"/>
        <v>36</v>
      </c>
      <c r="I1174" s="64">
        <f>SUM(F1174:H1174)</f>
        <v>132</v>
      </c>
      <c r="J1174" s="31">
        <f>SUM(J1166:J1173)</f>
        <v>145</v>
      </c>
      <c r="M1174" s="35" t="s">
        <v>16</v>
      </c>
      <c r="N1174" s="28">
        <f>SUM(N1165:N1173)</f>
        <v>34</v>
      </c>
      <c r="O1174" s="29">
        <f t="shared" ref="O1174:P1174" si="1131">SUM(O1165:O1173)</f>
        <v>190</v>
      </c>
      <c r="P1174" s="68">
        <f t="shared" si="1131"/>
        <v>471</v>
      </c>
      <c r="Q1174" s="64">
        <f>SUM(N1174:P1174)</f>
        <v>695</v>
      </c>
      <c r="R1174" s="28">
        <f>SUM(R1165:R1173)</f>
        <v>214</v>
      </c>
      <c r="S1174" s="29">
        <f t="shared" ref="S1174:T1174" si="1132">SUM(S1165:S1173)</f>
        <v>468</v>
      </c>
      <c r="T1174" s="68">
        <f t="shared" si="1132"/>
        <v>547</v>
      </c>
      <c r="U1174" s="64">
        <f>SUM(R1174:T1174)</f>
        <v>1229</v>
      </c>
      <c r="V1174" s="31">
        <f>Q1174+U1174</f>
        <v>1924</v>
      </c>
    </row>
    <row r="1175" spans="1:28" x14ac:dyDescent="0.15">
      <c r="A1175" s="25" t="s">
        <v>424</v>
      </c>
      <c r="B1175" s="8"/>
      <c r="C1175" s="9"/>
      <c r="D1175" s="10"/>
      <c r="E1175" s="49">
        <f t="shared" ref="E1175:E1197" si="1133">SUM(B1175:D1175)</f>
        <v>0</v>
      </c>
      <c r="F1175" s="12"/>
      <c r="G1175" s="9"/>
      <c r="H1175" s="10">
        <v>3</v>
      </c>
      <c r="I1175" s="49">
        <f t="shared" ref="I1175:I1197" si="1134">SUM(F1175:H1175)</f>
        <v>3</v>
      </c>
      <c r="J1175" s="11">
        <f t="shared" ref="J1175:J1197" si="1135">E1175+I1175</f>
        <v>3</v>
      </c>
      <c r="K1175" s="63">
        <v>45408</v>
      </c>
      <c r="M1175" s="23" t="s">
        <v>28</v>
      </c>
      <c r="N1175" s="8"/>
      <c r="O1175" s="9">
        <v>5</v>
      </c>
      <c r="P1175" s="10">
        <v>5</v>
      </c>
      <c r="Q1175" s="49">
        <f t="shared" ref="Q1175" si="1136">SUM(N1175:P1175)</f>
        <v>10</v>
      </c>
      <c r="R1175" s="12"/>
      <c r="S1175" s="9">
        <v>5</v>
      </c>
      <c r="T1175" s="10">
        <v>5</v>
      </c>
      <c r="U1175" s="49">
        <f t="shared" ref="U1175" si="1137">SUM(R1175:T1175)</f>
        <v>10</v>
      </c>
      <c r="V1175" s="11">
        <f t="shared" ref="V1175" si="1138">Q1175+U1175</f>
        <v>20</v>
      </c>
      <c r="W1175" s="140">
        <v>45412</v>
      </c>
      <c r="X1175" s="82"/>
    </row>
    <row r="1176" spans="1:28" x14ac:dyDescent="0.15">
      <c r="A1176" s="25" t="s">
        <v>33</v>
      </c>
      <c r="B1176" s="8"/>
      <c r="C1176" s="9"/>
      <c r="D1176" s="10"/>
      <c r="E1176" s="49">
        <f t="shared" si="1133"/>
        <v>0</v>
      </c>
      <c r="F1176" s="12"/>
      <c r="G1176" s="9">
        <v>2</v>
      </c>
      <c r="H1176" s="10"/>
      <c r="I1176" s="49">
        <f t="shared" si="1134"/>
        <v>2</v>
      </c>
      <c r="J1176" s="11">
        <f t="shared" si="1135"/>
        <v>2</v>
      </c>
      <c r="K1176" s="71">
        <v>45407</v>
      </c>
      <c r="M1176" s="26" t="s">
        <v>466</v>
      </c>
      <c r="N1176" s="8">
        <v>3</v>
      </c>
      <c r="O1176" s="9">
        <v>3</v>
      </c>
      <c r="P1176" s="10">
        <v>3</v>
      </c>
      <c r="Q1176" s="49">
        <f t="shared" ref="Q1176:Q1193" si="1139">SUM(N1176:P1176)</f>
        <v>9</v>
      </c>
      <c r="R1176" s="12">
        <v>3</v>
      </c>
      <c r="S1176" s="9">
        <v>3</v>
      </c>
      <c r="T1176" s="10">
        <v>3</v>
      </c>
      <c r="U1176" s="49">
        <f t="shared" ref="U1176:U1193" si="1140">SUM(R1176:T1176)</f>
        <v>9</v>
      </c>
      <c r="V1176" s="11">
        <f t="shared" ref="V1176:V1193" si="1141">Q1176+U1176</f>
        <v>18</v>
      </c>
      <c r="W1176" s="140">
        <v>45419</v>
      </c>
      <c r="X1176" s="82"/>
    </row>
    <row r="1177" spans="1:28" x14ac:dyDescent="0.15">
      <c r="A1177" s="25" t="s">
        <v>33</v>
      </c>
      <c r="B1177" s="8"/>
      <c r="C1177" s="9">
        <v>2</v>
      </c>
      <c r="D1177" s="10"/>
      <c r="E1177" s="49">
        <f t="shared" si="1133"/>
        <v>2</v>
      </c>
      <c r="F1177" s="12">
        <v>1</v>
      </c>
      <c r="G1177" s="9">
        <v>3</v>
      </c>
      <c r="H1177" s="10"/>
      <c r="I1177" s="49">
        <f t="shared" si="1134"/>
        <v>4</v>
      </c>
      <c r="J1177" s="11">
        <f t="shared" si="1135"/>
        <v>6</v>
      </c>
      <c r="K1177" s="71">
        <v>45408</v>
      </c>
      <c r="M1177" s="23" t="s">
        <v>28</v>
      </c>
      <c r="N1177" s="8"/>
      <c r="O1177" s="9"/>
      <c r="P1177" s="10"/>
      <c r="Q1177" s="49">
        <f t="shared" si="1139"/>
        <v>0</v>
      </c>
      <c r="R1177" s="12">
        <v>10</v>
      </c>
      <c r="S1177" s="9"/>
      <c r="T1177" s="10"/>
      <c r="U1177" s="49">
        <f t="shared" si="1140"/>
        <v>10</v>
      </c>
      <c r="V1177" s="11">
        <f t="shared" si="1141"/>
        <v>10</v>
      </c>
      <c r="W1177" s="140">
        <v>45419</v>
      </c>
      <c r="X1177" s="82"/>
    </row>
    <row r="1178" spans="1:28" x14ac:dyDescent="0.15">
      <c r="A1178" s="25" t="s">
        <v>424</v>
      </c>
      <c r="B1178" s="8"/>
      <c r="C1178" s="9"/>
      <c r="D1178" s="10"/>
      <c r="E1178" s="49">
        <f t="shared" si="1133"/>
        <v>0</v>
      </c>
      <c r="F1178" s="12">
        <v>3</v>
      </c>
      <c r="G1178" s="9"/>
      <c r="H1178" s="10">
        <v>1</v>
      </c>
      <c r="I1178" s="49">
        <f t="shared" si="1134"/>
        <v>4</v>
      </c>
      <c r="J1178" s="11">
        <f t="shared" si="1135"/>
        <v>4</v>
      </c>
      <c r="K1178" s="63">
        <v>45413</v>
      </c>
      <c r="L1178" s="82"/>
      <c r="M1178" s="26" t="s">
        <v>329</v>
      </c>
      <c r="N1178" s="8">
        <v>3</v>
      </c>
      <c r="O1178" s="9"/>
      <c r="P1178" s="10"/>
      <c r="Q1178" s="49">
        <f t="shared" si="1139"/>
        <v>3</v>
      </c>
      <c r="R1178" s="12">
        <v>3</v>
      </c>
      <c r="S1178" s="9"/>
      <c r="T1178" s="10"/>
      <c r="U1178" s="49">
        <f t="shared" si="1140"/>
        <v>3</v>
      </c>
      <c r="V1178" s="11">
        <f t="shared" si="1141"/>
        <v>6</v>
      </c>
      <c r="W1178" s="140">
        <v>45421</v>
      </c>
      <c r="X1178" s="82"/>
    </row>
    <row r="1179" spans="1:28" x14ac:dyDescent="0.15">
      <c r="A1179" s="25" t="s">
        <v>33</v>
      </c>
      <c r="B1179" s="8"/>
      <c r="C1179" s="9">
        <f>2+2+1</f>
        <v>5</v>
      </c>
      <c r="D1179" s="10"/>
      <c r="E1179" s="49">
        <f t="shared" si="1133"/>
        <v>5</v>
      </c>
      <c r="F1179" s="12">
        <f>1+3+1</f>
        <v>5</v>
      </c>
      <c r="G1179" s="9">
        <f>1+2</f>
        <v>3</v>
      </c>
      <c r="H1179" s="10">
        <v>1</v>
      </c>
      <c r="I1179" s="49">
        <f t="shared" si="1134"/>
        <v>9</v>
      </c>
      <c r="J1179" s="11">
        <f t="shared" si="1135"/>
        <v>14</v>
      </c>
      <c r="K1179" s="63">
        <v>45412</v>
      </c>
      <c r="M1179" s="23" t="s">
        <v>28</v>
      </c>
      <c r="N1179" s="8"/>
      <c r="O1179" s="9">
        <v>5</v>
      </c>
      <c r="P1179" s="10">
        <v>5</v>
      </c>
      <c r="Q1179" s="49">
        <f t="shared" si="1139"/>
        <v>10</v>
      </c>
      <c r="R1179" s="12">
        <v>10</v>
      </c>
      <c r="S1179" s="9">
        <v>5</v>
      </c>
      <c r="T1179" s="10">
        <v>5</v>
      </c>
      <c r="U1179" s="49">
        <f t="shared" si="1140"/>
        <v>20</v>
      </c>
      <c r="V1179" s="11">
        <f t="shared" si="1141"/>
        <v>30</v>
      </c>
      <c r="W1179" s="140">
        <v>45420</v>
      </c>
      <c r="X1179" s="82"/>
    </row>
    <row r="1180" spans="1:28" x14ac:dyDescent="0.15">
      <c r="A1180" s="25" t="s">
        <v>33</v>
      </c>
      <c r="B1180" s="8"/>
      <c r="C1180" s="9">
        <v>1</v>
      </c>
      <c r="D1180" s="10">
        <v>1</v>
      </c>
      <c r="E1180" s="49">
        <f t="shared" si="1133"/>
        <v>2</v>
      </c>
      <c r="F1180" s="12"/>
      <c r="G1180" s="9"/>
      <c r="H1180" s="10">
        <f>1+1</f>
        <v>2</v>
      </c>
      <c r="I1180" s="49">
        <f t="shared" si="1134"/>
        <v>2</v>
      </c>
      <c r="J1180" s="11">
        <f t="shared" si="1135"/>
        <v>4</v>
      </c>
      <c r="K1180" s="71">
        <v>45413</v>
      </c>
      <c r="M1180" s="26" t="s">
        <v>329</v>
      </c>
      <c r="N1180" s="8">
        <v>3</v>
      </c>
      <c r="O1180" s="9"/>
      <c r="P1180" s="10">
        <v>3</v>
      </c>
      <c r="Q1180" s="49">
        <f t="shared" si="1139"/>
        <v>6</v>
      </c>
      <c r="R1180" s="12">
        <v>3</v>
      </c>
      <c r="S1180" s="9"/>
      <c r="T1180" s="10">
        <v>3</v>
      </c>
      <c r="U1180" s="49">
        <f t="shared" si="1140"/>
        <v>6</v>
      </c>
      <c r="V1180" s="11">
        <f t="shared" si="1141"/>
        <v>12</v>
      </c>
      <c r="W1180" s="140">
        <v>45422</v>
      </c>
      <c r="X1180" s="82"/>
    </row>
    <row r="1181" spans="1:28" x14ac:dyDescent="0.15">
      <c r="A1181" s="25" t="s">
        <v>33</v>
      </c>
      <c r="B1181" s="8"/>
      <c r="C1181" s="9"/>
      <c r="D1181" s="10">
        <v>5</v>
      </c>
      <c r="E1181" s="49">
        <f t="shared" si="1133"/>
        <v>5</v>
      </c>
      <c r="F1181" s="12">
        <f>1+4+3+2</f>
        <v>10</v>
      </c>
      <c r="G1181" s="9">
        <f>1+1</f>
        <v>2</v>
      </c>
      <c r="H1181" s="10">
        <v>4</v>
      </c>
      <c r="I1181" s="49">
        <f t="shared" si="1134"/>
        <v>16</v>
      </c>
      <c r="J1181" s="11">
        <f t="shared" si="1135"/>
        <v>21</v>
      </c>
      <c r="K1181" s="63">
        <v>45419</v>
      </c>
      <c r="M1181" s="23" t="s">
        <v>28</v>
      </c>
      <c r="N1181" s="8"/>
      <c r="O1181" s="9"/>
      <c r="P1181" s="10"/>
      <c r="Q1181" s="49">
        <f t="shared" si="1139"/>
        <v>0</v>
      </c>
      <c r="R1181" s="12"/>
      <c r="S1181" s="9"/>
      <c r="T1181" s="10">
        <v>10</v>
      </c>
      <c r="U1181" s="49">
        <f t="shared" si="1140"/>
        <v>10</v>
      </c>
      <c r="V1181" s="11">
        <f t="shared" si="1141"/>
        <v>10</v>
      </c>
      <c r="W1181" s="140">
        <v>45422</v>
      </c>
      <c r="X1181" s="82"/>
    </row>
    <row r="1182" spans="1:28" x14ac:dyDescent="0.15">
      <c r="A1182" s="25" t="s">
        <v>33</v>
      </c>
      <c r="B1182" s="8"/>
      <c r="C1182" s="9">
        <v>1</v>
      </c>
      <c r="D1182" s="10"/>
      <c r="E1182" s="49">
        <f t="shared" si="1133"/>
        <v>1</v>
      </c>
      <c r="F1182" s="12"/>
      <c r="G1182" s="9">
        <v>1</v>
      </c>
      <c r="H1182" s="10"/>
      <c r="I1182" s="49">
        <f t="shared" si="1134"/>
        <v>1</v>
      </c>
      <c r="J1182" s="11">
        <f t="shared" si="1135"/>
        <v>2</v>
      </c>
      <c r="K1182" s="63">
        <v>45420</v>
      </c>
      <c r="M1182" s="26" t="s">
        <v>329</v>
      </c>
      <c r="N1182" s="8"/>
      <c r="O1182" s="9"/>
      <c r="P1182" s="10">
        <v>1</v>
      </c>
      <c r="Q1182" s="49">
        <f t="shared" si="1139"/>
        <v>1</v>
      </c>
      <c r="R1182" s="12"/>
      <c r="S1182" s="9"/>
      <c r="T1182" s="10">
        <v>1</v>
      </c>
      <c r="U1182" s="49">
        <f t="shared" si="1140"/>
        <v>1</v>
      </c>
      <c r="V1182" s="11">
        <f t="shared" si="1141"/>
        <v>2</v>
      </c>
      <c r="W1182" s="140">
        <v>45425</v>
      </c>
      <c r="X1182" s="82"/>
    </row>
    <row r="1183" spans="1:28" x14ac:dyDescent="0.15">
      <c r="A1183" s="25" t="s">
        <v>424</v>
      </c>
      <c r="B1183" s="8"/>
      <c r="C1183" s="9">
        <v>5</v>
      </c>
      <c r="D1183" s="10"/>
      <c r="E1183" s="49">
        <f t="shared" si="1133"/>
        <v>5</v>
      </c>
      <c r="F1183" s="12">
        <v>3</v>
      </c>
      <c r="G1183" s="9">
        <v>3</v>
      </c>
      <c r="H1183" s="10">
        <v>3</v>
      </c>
      <c r="I1183" s="49">
        <f t="shared" si="1134"/>
        <v>9</v>
      </c>
      <c r="J1183" s="11">
        <f t="shared" si="1135"/>
        <v>14</v>
      </c>
      <c r="K1183" s="63">
        <v>45421</v>
      </c>
      <c r="M1183" s="23" t="s">
        <v>28</v>
      </c>
      <c r="N1183" s="8"/>
      <c r="O1183" s="9"/>
      <c r="P1183" s="10"/>
      <c r="Q1183" s="49">
        <f t="shared" si="1139"/>
        <v>0</v>
      </c>
      <c r="R1183" s="12">
        <v>5</v>
      </c>
      <c r="S1183" s="9"/>
      <c r="T1183" s="10"/>
      <c r="U1183" s="49">
        <f t="shared" si="1140"/>
        <v>5</v>
      </c>
      <c r="V1183" s="11">
        <f t="shared" si="1141"/>
        <v>5</v>
      </c>
      <c r="W1183" s="140">
        <v>45423</v>
      </c>
      <c r="X1183" s="82"/>
    </row>
    <row r="1184" spans="1:28" x14ac:dyDescent="0.15">
      <c r="A1184" s="25" t="s">
        <v>467</v>
      </c>
      <c r="B1184" s="8"/>
      <c r="C1184" s="9">
        <v>-2</v>
      </c>
      <c r="D1184" s="10">
        <v>-1</v>
      </c>
      <c r="E1184" s="49">
        <f t="shared" si="1133"/>
        <v>-3</v>
      </c>
      <c r="F1184" s="12">
        <v>-2</v>
      </c>
      <c r="G1184" s="9">
        <v>-1</v>
      </c>
      <c r="H1184" s="10">
        <v>-1</v>
      </c>
      <c r="I1184" s="49">
        <f t="shared" si="1134"/>
        <v>-4</v>
      </c>
      <c r="J1184" s="11">
        <f t="shared" si="1135"/>
        <v>-7</v>
      </c>
      <c r="K1184" s="71">
        <v>45420</v>
      </c>
      <c r="M1184" s="23" t="s">
        <v>28</v>
      </c>
      <c r="N1184" s="8"/>
      <c r="O1184" s="9">
        <v>5</v>
      </c>
      <c r="P1184" s="10">
        <v>5</v>
      </c>
      <c r="Q1184" s="49">
        <f t="shared" si="1139"/>
        <v>10</v>
      </c>
      <c r="R1184" s="12">
        <v>5</v>
      </c>
      <c r="S1184" s="9">
        <v>5</v>
      </c>
      <c r="T1184" s="10"/>
      <c r="U1184" s="49">
        <f t="shared" si="1140"/>
        <v>10</v>
      </c>
      <c r="V1184" s="11">
        <f t="shared" si="1141"/>
        <v>20</v>
      </c>
      <c r="W1184" s="140">
        <v>45426</v>
      </c>
      <c r="X1184" s="82"/>
      <c r="Y1184" s="82"/>
      <c r="Z1184" s="82"/>
      <c r="AA1184" s="82"/>
      <c r="AB1184" s="82"/>
    </row>
    <row r="1185" spans="1:24" x14ac:dyDescent="0.15">
      <c r="A1185" s="25" t="s">
        <v>33</v>
      </c>
      <c r="B1185" s="8"/>
      <c r="C1185" s="9"/>
      <c r="D1185" s="10">
        <v>2</v>
      </c>
      <c r="E1185" s="49">
        <f t="shared" si="1133"/>
        <v>2</v>
      </c>
      <c r="F1185" s="12">
        <v>1</v>
      </c>
      <c r="G1185" s="9"/>
      <c r="H1185" s="10">
        <v>2</v>
      </c>
      <c r="I1185" s="49">
        <f t="shared" si="1134"/>
        <v>3</v>
      </c>
      <c r="J1185" s="11">
        <f t="shared" si="1135"/>
        <v>5</v>
      </c>
      <c r="K1185" s="71">
        <v>45421</v>
      </c>
      <c r="M1185" s="26" t="s">
        <v>329</v>
      </c>
      <c r="N1185" s="8"/>
      <c r="O1185" s="9">
        <v>1</v>
      </c>
      <c r="P1185" s="10">
        <v>2</v>
      </c>
      <c r="Q1185" s="49">
        <f t="shared" si="1139"/>
        <v>3</v>
      </c>
      <c r="R1185" s="12"/>
      <c r="S1185" s="9">
        <v>1</v>
      </c>
      <c r="T1185" s="10">
        <v>2</v>
      </c>
      <c r="U1185" s="49">
        <f t="shared" si="1140"/>
        <v>3</v>
      </c>
      <c r="V1185" s="11">
        <f t="shared" si="1141"/>
        <v>6</v>
      </c>
      <c r="W1185" s="140">
        <v>45428</v>
      </c>
      <c r="X1185" s="82"/>
    </row>
    <row r="1186" spans="1:24" x14ac:dyDescent="0.15">
      <c r="A1186" s="25" t="s">
        <v>33</v>
      </c>
      <c r="B1186" s="8"/>
      <c r="C1186" s="9"/>
      <c r="D1186" s="10">
        <v>1</v>
      </c>
      <c r="E1186" s="49">
        <f t="shared" si="1133"/>
        <v>1</v>
      </c>
      <c r="F1186" s="12">
        <v>2</v>
      </c>
      <c r="G1186" s="9"/>
      <c r="H1186" s="10">
        <v>1</v>
      </c>
      <c r="I1186" s="49">
        <f t="shared" si="1134"/>
        <v>3</v>
      </c>
      <c r="J1186" s="11">
        <f t="shared" si="1135"/>
        <v>4</v>
      </c>
      <c r="K1186" s="71">
        <v>45422</v>
      </c>
      <c r="M1186" s="26" t="s">
        <v>329</v>
      </c>
      <c r="N1186" s="8">
        <v>1</v>
      </c>
      <c r="O1186" s="9">
        <v>2</v>
      </c>
      <c r="P1186" s="10"/>
      <c r="Q1186" s="49">
        <f t="shared" si="1139"/>
        <v>3</v>
      </c>
      <c r="R1186" s="12">
        <v>1</v>
      </c>
      <c r="S1186" s="9">
        <v>2</v>
      </c>
      <c r="T1186" s="10"/>
      <c r="U1186" s="49">
        <f t="shared" si="1140"/>
        <v>3</v>
      </c>
      <c r="V1186" s="11">
        <f t="shared" si="1141"/>
        <v>6</v>
      </c>
      <c r="W1186" s="140">
        <v>45432</v>
      </c>
      <c r="X1186" s="82"/>
    </row>
    <row r="1187" spans="1:24" x14ac:dyDescent="0.15">
      <c r="A1187" s="25" t="s">
        <v>33</v>
      </c>
      <c r="B1187" s="8"/>
      <c r="C1187" s="9">
        <v>1</v>
      </c>
      <c r="D1187" s="10"/>
      <c r="E1187" s="49">
        <f t="shared" si="1133"/>
        <v>1</v>
      </c>
      <c r="F1187" s="12">
        <v>2</v>
      </c>
      <c r="G1187" s="9">
        <v>1</v>
      </c>
      <c r="H1187" s="10"/>
      <c r="I1187" s="49">
        <f t="shared" si="1134"/>
        <v>3</v>
      </c>
      <c r="J1187" s="11">
        <f t="shared" si="1135"/>
        <v>4</v>
      </c>
      <c r="K1187" s="63">
        <v>45423</v>
      </c>
      <c r="L1187" s="82"/>
      <c r="M1187" s="23" t="s">
        <v>28</v>
      </c>
      <c r="N1187" s="8"/>
      <c r="O1187" s="9">
        <v>10</v>
      </c>
      <c r="P1187" s="10">
        <v>5</v>
      </c>
      <c r="Q1187" s="49">
        <f t="shared" si="1139"/>
        <v>15</v>
      </c>
      <c r="R1187" s="12"/>
      <c r="S1187" s="9">
        <v>10</v>
      </c>
      <c r="T1187" s="10">
        <v>5</v>
      </c>
      <c r="U1187" s="49">
        <f t="shared" si="1140"/>
        <v>15</v>
      </c>
      <c r="V1187" s="11">
        <f t="shared" si="1141"/>
        <v>30</v>
      </c>
      <c r="W1187" s="140">
        <v>45430</v>
      </c>
    </row>
    <row r="1188" spans="1:24" x14ac:dyDescent="0.15">
      <c r="A1188" s="25" t="s">
        <v>424</v>
      </c>
      <c r="B1188" s="8"/>
      <c r="C1188" s="9"/>
      <c r="D1188" s="10">
        <v>3</v>
      </c>
      <c r="E1188" s="49">
        <f t="shared" si="1133"/>
        <v>3</v>
      </c>
      <c r="F1188" s="12"/>
      <c r="G1188" s="9"/>
      <c r="H1188" s="10">
        <v>3</v>
      </c>
      <c r="I1188" s="49">
        <f t="shared" si="1134"/>
        <v>3</v>
      </c>
      <c r="J1188" s="11">
        <f t="shared" si="1135"/>
        <v>6</v>
      </c>
      <c r="K1188" s="63">
        <v>45426</v>
      </c>
      <c r="M1188" s="23" t="s">
        <v>28</v>
      </c>
      <c r="N1188" s="8"/>
      <c r="O1188" s="9">
        <v>5</v>
      </c>
      <c r="P1188" s="10"/>
      <c r="Q1188" s="49">
        <f t="shared" si="1139"/>
        <v>5</v>
      </c>
      <c r="R1188" s="12">
        <v>10</v>
      </c>
      <c r="S1188" s="9">
        <v>5</v>
      </c>
      <c r="T1188" s="10"/>
      <c r="U1188" s="49">
        <f t="shared" si="1140"/>
        <v>15</v>
      </c>
      <c r="V1188" s="11">
        <f t="shared" si="1141"/>
        <v>20</v>
      </c>
      <c r="W1188" s="140">
        <v>45437</v>
      </c>
    </row>
    <row r="1189" spans="1:24" x14ac:dyDescent="0.15">
      <c r="A1189" s="25" t="s">
        <v>33</v>
      </c>
      <c r="B1189" s="8"/>
      <c r="C1189" s="9">
        <f>2+2</f>
        <v>4</v>
      </c>
      <c r="D1189" s="10"/>
      <c r="E1189" s="49">
        <f t="shared" si="1133"/>
        <v>4</v>
      </c>
      <c r="F1189" s="12">
        <v>2</v>
      </c>
      <c r="G1189" s="9">
        <v>1</v>
      </c>
      <c r="H1189" s="10"/>
      <c r="I1189" s="49">
        <f t="shared" si="1134"/>
        <v>3</v>
      </c>
      <c r="J1189" s="11">
        <f t="shared" si="1135"/>
        <v>7</v>
      </c>
      <c r="K1189" s="63">
        <v>45425</v>
      </c>
      <c r="M1189" s="23" t="s">
        <v>28</v>
      </c>
      <c r="N1189" s="8"/>
      <c r="O1189" s="9">
        <v>10</v>
      </c>
      <c r="P1189" s="10">
        <v>10</v>
      </c>
      <c r="Q1189" s="49">
        <f t="shared" si="1139"/>
        <v>20</v>
      </c>
      <c r="R1189" s="12">
        <v>10</v>
      </c>
      <c r="S1189" s="9">
        <v>10</v>
      </c>
      <c r="T1189" s="10">
        <v>10</v>
      </c>
      <c r="U1189" s="49">
        <f t="shared" si="1140"/>
        <v>30</v>
      </c>
      <c r="V1189" s="11">
        <f t="shared" si="1141"/>
        <v>50</v>
      </c>
      <c r="W1189" s="140">
        <v>45440</v>
      </c>
    </row>
    <row r="1190" spans="1:24" x14ac:dyDescent="0.15">
      <c r="A1190" s="25" t="s">
        <v>33</v>
      </c>
      <c r="B1190" s="8"/>
      <c r="C1190" s="9">
        <v>3</v>
      </c>
      <c r="D1190" s="10"/>
      <c r="E1190" s="49">
        <f t="shared" si="1133"/>
        <v>3</v>
      </c>
      <c r="F1190" s="12">
        <v>1</v>
      </c>
      <c r="G1190" s="9">
        <f>3+2</f>
        <v>5</v>
      </c>
      <c r="H1190" s="10"/>
      <c r="I1190" s="49">
        <f t="shared" si="1134"/>
        <v>6</v>
      </c>
      <c r="J1190" s="11">
        <f t="shared" si="1135"/>
        <v>9</v>
      </c>
      <c r="K1190" s="71">
        <v>45427</v>
      </c>
      <c r="M1190" s="23" t="s">
        <v>28</v>
      </c>
      <c r="N1190" s="8"/>
      <c r="O1190" s="9"/>
      <c r="P1190" s="10"/>
      <c r="Q1190" s="49">
        <f t="shared" si="1139"/>
        <v>0</v>
      </c>
      <c r="R1190" s="12">
        <v>10</v>
      </c>
      <c r="S1190" s="9">
        <v>10</v>
      </c>
      <c r="T1190" s="10"/>
      <c r="U1190" s="49">
        <f t="shared" si="1140"/>
        <v>20</v>
      </c>
      <c r="V1190" s="11">
        <f t="shared" si="1141"/>
        <v>20</v>
      </c>
      <c r="W1190" s="140">
        <v>45447</v>
      </c>
      <c r="X1190" s="82"/>
    </row>
    <row r="1191" spans="1:24" x14ac:dyDescent="0.15">
      <c r="A1191" s="25" t="s">
        <v>33</v>
      </c>
      <c r="B1191" s="8"/>
      <c r="C1191" s="9">
        <v>2</v>
      </c>
      <c r="D1191" s="10">
        <v>2</v>
      </c>
      <c r="E1191" s="49">
        <f t="shared" si="1133"/>
        <v>4</v>
      </c>
      <c r="F1191" s="12"/>
      <c r="G1191" s="9">
        <f>1+2</f>
        <v>3</v>
      </c>
      <c r="H1191" s="10">
        <v>2</v>
      </c>
      <c r="I1191" s="49">
        <f t="shared" si="1134"/>
        <v>5</v>
      </c>
      <c r="J1191" s="11">
        <f t="shared" si="1135"/>
        <v>9</v>
      </c>
      <c r="K1191" s="71">
        <v>45428</v>
      </c>
      <c r="M1191" s="23" t="s">
        <v>28</v>
      </c>
      <c r="N1191" s="8"/>
      <c r="O1191" s="9">
        <v>10</v>
      </c>
      <c r="P1191" s="10"/>
      <c r="Q1191" s="49">
        <f t="shared" si="1139"/>
        <v>10</v>
      </c>
      <c r="R1191" s="12"/>
      <c r="S1191" s="9"/>
      <c r="T1191" s="10">
        <v>10</v>
      </c>
      <c r="U1191" s="49">
        <f t="shared" si="1140"/>
        <v>10</v>
      </c>
      <c r="V1191" s="11">
        <f t="shared" si="1141"/>
        <v>20</v>
      </c>
      <c r="W1191" s="140">
        <v>45450</v>
      </c>
    </row>
    <row r="1192" spans="1:24" x14ac:dyDescent="0.15">
      <c r="A1192" s="25" t="s">
        <v>424</v>
      </c>
      <c r="B1192" s="8"/>
      <c r="C1192" s="9"/>
      <c r="D1192" s="10"/>
      <c r="E1192" s="49">
        <f t="shared" si="1133"/>
        <v>0</v>
      </c>
      <c r="F1192" s="12">
        <v>5</v>
      </c>
      <c r="G1192" s="9"/>
      <c r="H1192" s="10">
        <v>1</v>
      </c>
      <c r="I1192" s="49">
        <f t="shared" si="1134"/>
        <v>6</v>
      </c>
      <c r="J1192" s="11">
        <f t="shared" si="1135"/>
        <v>6</v>
      </c>
      <c r="K1192" s="63">
        <v>45430</v>
      </c>
      <c r="L1192" s="82"/>
      <c r="M1192" s="23" t="s">
        <v>28</v>
      </c>
      <c r="N1192" s="8"/>
      <c r="O1192" s="9"/>
      <c r="P1192" s="10">
        <v>10</v>
      </c>
      <c r="Q1192" s="49">
        <f t="shared" si="1139"/>
        <v>10</v>
      </c>
      <c r="R1192" s="12"/>
      <c r="S1192" s="9">
        <v>10</v>
      </c>
      <c r="T1192" s="10"/>
      <c r="U1192" s="49">
        <f t="shared" si="1140"/>
        <v>10</v>
      </c>
      <c r="V1192" s="11">
        <f t="shared" si="1141"/>
        <v>20</v>
      </c>
      <c r="W1192" s="140">
        <v>45453</v>
      </c>
    </row>
    <row r="1193" spans="1:24" x14ac:dyDescent="0.15">
      <c r="A1193" s="25" t="s">
        <v>33</v>
      </c>
      <c r="B1193" s="8"/>
      <c r="C1193" s="9">
        <v>1</v>
      </c>
      <c r="D1193" s="10">
        <v>1</v>
      </c>
      <c r="E1193" s="49">
        <f t="shared" si="1133"/>
        <v>2</v>
      </c>
      <c r="F1193" s="12">
        <v>1</v>
      </c>
      <c r="G1193" s="9">
        <f>1+3</f>
        <v>4</v>
      </c>
      <c r="H1193" s="10"/>
      <c r="I1193" s="49">
        <f t="shared" si="1134"/>
        <v>5</v>
      </c>
      <c r="J1193" s="11">
        <f t="shared" si="1135"/>
        <v>7</v>
      </c>
      <c r="K1193" s="71">
        <v>45432</v>
      </c>
      <c r="M1193" s="23" t="s">
        <v>28</v>
      </c>
      <c r="N1193" s="8"/>
      <c r="O1193" s="9"/>
      <c r="P1193" s="10"/>
      <c r="Q1193" s="49">
        <f t="shared" si="1139"/>
        <v>0</v>
      </c>
      <c r="R1193" s="12">
        <v>10</v>
      </c>
      <c r="S1193" s="9"/>
      <c r="T1193" s="10"/>
      <c r="U1193" s="49">
        <f t="shared" si="1140"/>
        <v>10</v>
      </c>
      <c r="V1193" s="11">
        <f t="shared" si="1141"/>
        <v>10</v>
      </c>
      <c r="W1193" s="140">
        <v>45455</v>
      </c>
    </row>
    <row r="1194" spans="1:24" x14ac:dyDescent="0.15">
      <c r="A1194" s="25" t="s">
        <v>329</v>
      </c>
      <c r="B1194" s="8"/>
      <c r="C1194" s="9">
        <v>1</v>
      </c>
      <c r="D1194" s="10"/>
      <c r="E1194" s="49">
        <f t="shared" si="1133"/>
        <v>1</v>
      </c>
      <c r="F1194" s="12"/>
      <c r="G1194" s="9">
        <v>1</v>
      </c>
      <c r="H1194" s="10"/>
      <c r="I1194" s="49">
        <f t="shared" si="1134"/>
        <v>1</v>
      </c>
      <c r="J1194" s="11">
        <f t="shared" si="1135"/>
        <v>2</v>
      </c>
      <c r="K1194" s="63">
        <v>45435</v>
      </c>
      <c r="M1194" s="26"/>
      <c r="N1194" s="8"/>
      <c r="O1194" s="9"/>
      <c r="P1194" s="10"/>
      <c r="Q1194" s="49">
        <f t="shared" ref="Q1194:Q1201" si="1142">SUM(N1194:P1194)</f>
        <v>0</v>
      </c>
      <c r="R1194" s="12"/>
      <c r="S1194" s="9"/>
      <c r="T1194" s="10"/>
      <c r="U1194" s="49">
        <f t="shared" ref="U1194:U1201" si="1143">SUM(R1194:T1194)</f>
        <v>0</v>
      </c>
      <c r="V1194" s="11">
        <f t="shared" ref="V1194:V1199" si="1144">Q1194+U1194</f>
        <v>0</v>
      </c>
      <c r="W1194" s="142"/>
    </row>
    <row r="1195" spans="1:24" x14ac:dyDescent="0.15">
      <c r="A1195" s="25" t="s">
        <v>33</v>
      </c>
      <c r="B1195" s="8"/>
      <c r="C1195" s="9"/>
      <c r="D1195" s="10">
        <v>1</v>
      </c>
      <c r="E1195" s="49">
        <f t="shared" si="1133"/>
        <v>1</v>
      </c>
      <c r="F1195" s="12"/>
      <c r="G1195" s="9">
        <v>2</v>
      </c>
      <c r="H1195" s="10"/>
      <c r="I1195" s="49">
        <f t="shared" si="1134"/>
        <v>2</v>
      </c>
      <c r="J1195" s="11">
        <f t="shared" si="1135"/>
        <v>3</v>
      </c>
      <c r="K1195" s="71">
        <v>45433</v>
      </c>
      <c r="M1195" s="26"/>
      <c r="N1195" s="8"/>
      <c r="O1195" s="9"/>
      <c r="P1195" s="10"/>
      <c r="Q1195" s="49">
        <f t="shared" si="1142"/>
        <v>0</v>
      </c>
      <c r="R1195" s="12"/>
      <c r="S1195" s="9"/>
      <c r="T1195" s="10"/>
      <c r="U1195" s="49">
        <f t="shared" si="1143"/>
        <v>0</v>
      </c>
      <c r="V1195" s="11">
        <f t="shared" si="1144"/>
        <v>0</v>
      </c>
    </row>
    <row r="1196" spans="1:24" x14ac:dyDescent="0.15">
      <c r="A1196" s="25" t="s">
        <v>33</v>
      </c>
      <c r="B1196" s="8"/>
      <c r="C1196" s="9">
        <v>1</v>
      </c>
      <c r="D1196" s="10"/>
      <c r="E1196" s="49">
        <f t="shared" si="1133"/>
        <v>1</v>
      </c>
      <c r="F1196" s="12">
        <v>1</v>
      </c>
      <c r="G1196" s="9"/>
      <c r="H1196" s="10"/>
      <c r="I1196" s="49">
        <f t="shared" si="1134"/>
        <v>1</v>
      </c>
      <c r="J1196" s="11">
        <f t="shared" si="1135"/>
        <v>2</v>
      </c>
      <c r="K1196" s="71">
        <v>45434</v>
      </c>
      <c r="M1196" s="26"/>
      <c r="N1196" s="8"/>
      <c r="O1196" s="9"/>
      <c r="P1196" s="10"/>
      <c r="Q1196" s="49">
        <f t="shared" si="1142"/>
        <v>0</v>
      </c>
      <c r="R1196" s="12"/>
      <c r="S1196" s="9"/>
      <c r="T1196" s="10"/>
      <c r="U1196" s="49">
        <f t="shared" si="1143"/>
        <v>0</v>
      </c>
      <c r="V1196" s="11">
        <f t="shared" si="1144"/>
        <v>0</v>
      </c>
    </row>
    <row r="1197" spans="1:24" x14ac:dyDescent="0.15">
      <c r="A1197" s="25" t="s">
        <v>33</v>
      </c>
      <c r="B1197" s="8"/>
      <c r="C1197" s="9"/>
      <c r="D1197" s="10"/>
      <c r="E1197" s="49">
        <f t="shared" si="1133"/>
        <v>0</v>
      </c>
      <c r="F1197" s="12">
        <v>4</v>
      </c>
      <c r="G1197" s="9"/>
      <c r="H1197" s="10">
        <v>2</v>
      </c>
      <c r="I1197" s="49">
        <f t="shared" si="1134"/>
        <v>6</v>
      </c>
      <c r="J1197" s="11">
        <f t="shared" si="1135"/>
        <v>6</v>
      </c>
      <c r="K1197" s="71">
        <v>45435</v>
      </c>
      <c r="M1197" s="26"/>
      <c r="N1197" s="8"/>
      <c r="O1197" s="9"/>
      <c r="P1197" s="10"/>
      <c r="Q1197" s="49">
        <f t="shared" si="1142"/>
        <v>0</v>
      </c>
      <c r="R1197" s="12"/>
      <c r="S1197" s="9"/>
      <c r="T1197" s="10"/>
      <c r="U1197" s="49">
        <f t="shared" si="1143"/>
        <v>0</v>
      </c>
      <c r="V1197" s="11">
        <f t="shared" si="1144"/>
        <v>0</v>
      </c>
    </row>
    <row r="1198" spans="1:24" x14ac:dyDescent="0.15">
      <c r="A1198" s="25" t="s">
        <v>469</v>
      </c>
      <c r="B1198" s="8"/>
      <c r="C1198" s="9">
        <v>2</v>
      </c>
      <c r="D1198" s="10"/>
      <c r="E1198" s="49">
        <f t="shared" ref="E1198:E1201" si="1145">SUM(B1198:D1198)</f>
        <v>2</v>
      </c>
      <c r="F1198" s="12"/>
      <c r="G1198" s="9">
        <v>2</v>
      </c>
      <c r="H1198" s="10"/>
      <c r="I1198" s="49">
        <f t="shared" ref="I1198:I1201" si="1146">SUM(F1198:H1198)</f>
        <v>2</v>
      </c>
      <c r="J1198" s="11">
        <f t="shared" ref="J1198:J1200" si="1147">E1198+I1198</f>
        <v>4</v>
      </c>
      <c r="K1198" s="63">
        <v>45439</v>
      </c>
      <c r="M1198" s="26"/>
      <c r="N1198" s="8"/>
      <c r="O1198" s="9"/>
      <c r="P1198" s="10"/>
      <c r="Q1198" s="49">
        <f t="shared" si="1142"/>
        <v>0</v>
      </c>
      <c r="R1198" s="12"/>
      <c r="S1198" s="9"/>
      <c r="T1198" s="10"/>
      <c r="U1198" s="49">
        <f t="shared" si="1143"/>
        <v>0</v>
      </c>
      <c r="V1198" s="11">
        <f t="shared" si="1144"/>
        <v>0</v>
      </c>
    </row>
    <row r="1199" spans="1:24" x14ac:dyDescent="0.15">
      <c r="A1199" s="25" t="s">
        <v>33</v>
      </c>
      <c r="B1199" s="8"/>
      <c r="C1199" s="9"/>
      <c r="D1199" s="10">
        <v>1</v>
      </c>
      <c r="E1199" s="49">
        <f t="shared" si="1145"/>
        <v>1</v>
      </c>
      <c r="F1199" s="12"/>
      <c r="G1199" s="9"/>
      <c r="H1199" s="10">
        <v>1</v>
      </c>
      <c r="I1199" s="49">
        <f t="shared" si="1146"/>
        <v>1</v>
      </c>
      <c r="J1199" s="11">
        <f t="shared" si="1147"/>
        <v>2</v>
      </c>
      <c r="K1199" s="63">
        <v>45436</v>
      </c>
      <c r="M1199" s="26"/>
      <c r="N1199" s="8"/>
      <c r="O1199" s="9"/>
      <c r="P1199" s="10"/>
      <c r="Q1199" s="49">
        <f t="shared" si="1142"/>
        <v>0</v>
      </c>
      <c r="R1199" s="12"/>
      <c r="S1199" s="9"/>
      <c r="T1199" s="10"/>
      <c r="U1199" s="49">
        <f t="shared" si="1143"/>
        <v>0</v>
      </c>
      <c r="V1199" s="11">
        <f t="shared" si="1144"/>
        <v>0</v>
      </c>
    </row>
    <row r="1200" spans="1:24" ht="14.25" thickBot="1" x14ac:dyDescent="0.2">
      <c r="A1200" s="25" t="s">
        <v>469</v>
      </c>
      <c r="B1200" s="13"/>
      <c r="C1200" s="14">
        <v>1</v>
      </c>
      <c r="D1200" s="15"/>
      <c r="E1200" s="55">
        <f t="shared" si="1145"/>
        <v>1</v>
      </c>
      <c r="F1200" s="16"/>
      <c r="G1200" s="14">
        <v>1</v>
      </c>
      <c r="H1200" s="15"/>
      <c r="I1200" s="55">
        <f t="shared" si="1146"/>
        <v>1</v>
      </c>
      <c r="J1200" s="11">
        <f t="shared" si="1147"/>
        <v>2</v>
      </c>
      <c r="K1200" s="63">
        <v>45441</v>
      </c>
      <c r="M1200" s="26"/>
      <c r="N1200" s="8"/>
      <c r="O1200" s="9"/>
      <c r="P1200" s="10"/>
      <c r="Q1200" s="49">
        <f t="shared" ref="Q1200" si="1148">SUM(N1200:P1200)</f>
        <v>0</v>
      </c>
      <c r="R1200" s="12"/>
      <c r="S1200" s="9"/>
      <c r="T1200" s="10"/>
      <c r="U1200" s="49">
        <f t="shared" ref="U1200" si="1149">SUM(R1200:T1200)</f>
        <v>0</v>
      </c>
      <c r="V1200" s="11">
        <f t="shared" ref="V1200" si="1150">Q1200+U1200</f>
        <v>0</v>
      </c>
    </row>
    <row r="1201" spans="1:22" ht="14.25" thickBot="1" x14ac:dyDescent="0.2">
      <c r="A1201" s="41" t="s">
        <v>19</v>
      </c>
      <c r="B1201" s="46">
        <f>SUM(B1175:B1200)</f>
        <v>0</v>
      </c>
      <c r="C1201" s="47">
        <f t="shared" ref="C1201:D1201" si="1151">SUM(C1175:C1200)</f>
        <v>28</v>
      </c>
      <c r="D1201" s="59">
        <f t="shared" si="1151"/>
        <v>16</v>
      </c>
      <c r="E1201" s="45">
        <f t="shared" si="1145"/>
        <v>44</v>
      </c>
      <c r="F1201" s="46">
        <f>SUM(F1175:F1200)</f>
        <v>39</v>
      </c>
      <c r="G1201" s="47">
        <f t="shared" ref="G1201:H1201" si="1152">SUM(G1175:G1200)</f>
        <v>33</v>
      </c>
      <c r="H1201" s="59">
        <f t="shared" si="1152"/>
        <v>25</v>
      </c>
      <c r="I1201" s="45">
        <f t="shared" si="1146"/>
        <v>97</v>
      </c>
      <c r="J1201" s="45">
        <f>E1201+I1201</f>
        <v>141</v>
      </c>
      <c r="M1201" s="41" t="s">
        <v>19</v>
      </c>
      <c r="N1201" s="46">
        <f>SUM(N1175:N1200)</f>
        <v>10</v>
      </c>
      <c r="O1201" s="47">
        <f t="shared" ref="O1201:P1201" si="1153">SUM(O1175:O1200)</f>
        <v>56</v>
      </c>
      <c r="P1201" s="59">
        <f t="shared" si="1153"/>
        <v>49</v>
      </c>
      <c r="Q1201" s="45">
        <f t="shared" si="1142"/>
        <v>115</v>
      </c>
      <c r="R1201" s="46">
        <f>SUM(R1175:R1200)</f>
        <v>80</v>
      </c>
      <c r="S1201" s="47">
        <f t="shared" ref="S1201:T1201" si="1154">SUM(S1175:S1200)</f>
        <v>66</v>
      </c>
      <c r="T1201" s="59">
        <f t="shared" si="1154"/>
        <v>54</v>
      </c>
      <c r="U1201" s="45">
        <f t="shared" si="1143"/>
        <v>200</v>
      </c>
      <c r="V1201" s="45">
        <f>Q1201+U1201</f>
        <v>315</v>
      </c>
    </row>
    <row r="1202" spans="1:22" ht="14.25" thickBot="1" x14ac:dyDescent="0.2">
      <c r="A1202" s="22" t="s">
        <v>17</v>
      </c>
      <c r="B1202" s="50">
        <f>B1174-B1201</f>
        <v>0</v>
      </c>
      <c r="C1202" s="57">
        <f t="shared" ref="C1202:D1202" si="1155">C1174-C1201</f>
        <v>15</v>
      </c>
      <c r="D1202" s="58">
        <f t="shared" si="1155"/>
        <v>13</v>
      </c>
      <c r="E1202" s="56">
        <f>SUM(B1202:D1202)</f>
        <v>28</v>
      </c>
      <c r="F1202" s="50">
        <f>F1174-F1201</f>
        <v>12</v>
      </c>
      <c r="G1202" s="57">
        <f t="shared" ref="G1202:H1202" si="1156">G1174-G1201</f>
        <v>12</v>
      </c>
      <c r="H1202" s="58">
        <f t="shared" si="1156"/>
        <v>11</v>
      </c>
      <c r="I1202" s="56">
        <f>SUM(F1202:H1202)</f>
        <v>35</v>
      </c>
      <c r="J1202" s="31">
        <f>E1202+I1202</f>
        <v>63</v>
      </c>
      <c r="M1202" s="22" t="s">
        <v>17</v>
      </c>
      <c r="N1202" s="50">
        <f>N1174-N1201</f>
        <v>24</v>
      </c>
      <c r="O1202" s="57">
        <f t="shared" ref="O1202:P1202" si="1157">O1174-O1201</f>
        <v>134</v>
      </c>
      <c r="P1202" s="58">
        <f t="shared" si="1157"/>
        <v>422</v>
      </c>
      <c r="Q1202" s="56">
        <f>SUM(N1202:P1202)</f>
        <v>580</v>
      </c>
      <c r="R1202" s="50">
        <f>R1174-R1201</f>
        <v>134</v>
      </c>
      <c r="S1202" s="57">
        <f t="shared" ref="S1202:T1202" si="1158">S1174-S1201</f>
        <v>402</v>
      </c>
      <c r="T1202" s="58">
        <f t="shared" si="1158"/>
        <v>493</v>
      </c>
      <c r="U1202" s="56">
        <f>SUM(R1202:T1202)</f>
        <v>1029</v>
      </c>
      <c r="V1202" s="31">
        <f>Q1202+U1202</f>
        <v>1609</v>
      </c>
    </row>
    <row r="1205" spans="1:22" ht="19.5" thickBot="1" x14ac:dyDescent="0.25">
      <c r="A1205" s="3" t="s">
        <v>21</v>
      </c>
      <c r="B1205" s="1"/>
      <c r="C1205" s="1"/>
      <c r="D1205" s="1"/>
      <c r="E1205" s="1"/>
      <c r="F1205" s="1"/>
      <c r="G1205" s="1"/>
      <c r="H1205" s="1"/>
      <c r="I1205" s="1"/>
      <c r="J1205" s="1"/>
      <c r="M1205" s="3" t="s">
        <v>22</v>
      </c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 ht="14.25" thickBot="1" x14ac:dyDescent="0.2">
      <c r="A1206" s="7" t="s">
        <v>0</v>
      </c>
      <c r="B1206" s="165" t="s">
        <v>24</v>
      </c>
      <c r="C1206" s="166"/>
      <c r="D1206" s="166"/>
      <c r="E1206" s="170"/>
      <c r="F1206" s="165" t="s">
        <v>18</v>
      </c>
      <c r="G1206" s="166"/>
      <c r="H1206" s="166"/>
      <c r="I1206" s="167"/>
      <c r="J1206" s="168" t="s">
        <v>1</v>
      </c>
      <c r="M1206" s="7" t="s">
        <v>0</v>
      </c>
      <c r="N1206" s="165" t="s">
        <v>24</v>
      </c>
      <c r="O1206" s="166"/>
      <c r="P1206" s="166"/>
      <c r="Q1206" s="170"/>
      <c r="R1206" s="165" t="s">
        <v>18</v>
      </c>
      <c r="S1206" s="166"/>
      <c r="T1206" s="166"/>
      <c r="U1206" s="167"/>
      <c r="V1206" s="168" t="s">
        <v>1</v>
      </c>
    </row>
    <row r="1207" spans="1:22" ht="14.25" thickBot="1" x14ac:dyDescent="0.2">
      <c r="A1207" s="7" t="s">
        <v>2</v>
      </c>
      <c r="B1207" s="4" t="s">
        <v>3</v>
      </c>
      <c r="C1207" s="5" t="s">
        <v>4</v>
      </c>
      <c r="D1207" s="6" t="s">
        <v>5</v>
      </c>
      <c r="E1207" s="7" t="s">
        <v>6</v>
      </c>
      <c r="F1207" s="4" t="s">
        <v>3</v>
      </c>
      <c r="G1207" s="5" t="s">
        <v>4</v>
      </c>
      <c r="H1207" s="6" t="s">
        <v>5</v>
      </c>
      <c r="I1207" s="7" t="s">
        <v>6</v>
      </c>
      <c r="J1207" s="169"/>
      <c r="M1207" s="7" t="s">
        <v>2</v>
      </c>
      <c r="N1207" s="4" t="s">
        <v>3</v>
      </c>
      <c r="O1207" s="5" t="s">
        <v>4</v>
      </c>
      <c r="P1207" s="6" t="s">
        <v>5</v>
      </c>
      <c r="Q1207" s="7" t="s">
        <v>6</v>
      </c>
      <c r="R1207" s="4" t="s">
        <v>3</v>
      </c>
      <c r="S1207" s="5" t="s">
        <v>4</v>
      </c>
      <c r="T1207" s="6" t="s">
        <v>5</v>
      </c>
      <c r="U1207" s="7" t="s">
        <v>6</v>
      </c>
      <c r="V1207" s="169"/>
    </row>
    <row r="1208" spans="1:22" ht="14.25" thickBot="1" x14ac:dyDescent="0.2">
      <c r="A1208" s="27" t="s">
        <v>20</v>
      </c>
      <c r="B1208" s="28">
        <f>B1202</f>
        <v>0</v>
      </c>
      <c r="C1208" s="29">
        <f>C1202</f>
        <v>15</v>
      </c>
      <c r="D1208" s="30">
        <f>D1202</f>
        <v>13</v>
      </c>
      <c r="E1208" s="31">
        <f>SUM(B1208:D1208)</f>
        <v>28</v>
      </c>
      <c r="F1208" s="28">
        <f>F1202</f>
        <v>12</v>
      </c>
      <c r="G1208" s="29">
        <f>G1202</f>
        <v>12</v>
      </c>
      <c r="H1208" s="30">
        <f>H1202</f>
        <v>11</v>
      </c>
      <c r="I1208" s="31">
        <f>SUM(F1208:H1208)</f>
        <v>35</v>
      </c>
      <c r="J1208" s="31">
        <f>E1208+I1208</f>
        <v>63</v>
      </c>
      <c r="M1208" s="27" t="s">
        <v>20</v>
      </c>
      <c r="N1208" s="28">
        <f>N1202</f>
        <v>24</v>
      </c>
      <c r="O1208" s="29">
        <f>O1202</f>
        <v>134</v>
      </c>
      <c r="P1208" s="30">
        <f>P1202</f>
        <v>422</v>
      </c>
      <c r="Q1208" s="31">
        <f>SUM(N1208:P1208)</f>
        <v>580</v>
      </c>
      <c r="R1208" s="28">
        <f>R1202</f>
        <v>134</v>
      </c>
      <c r="S1208" s="29">
        <f>S1202</f>
        <v>402</v>
      </c>
      <c r="T1208" s="30">
        <f>T1202</f>
        <v>493</v>
      </c>
      <c r="U1208" s="31">
        <f>SUM(R1208:T1208)</f>
        <v>1029</v>
      </c>
      <c r="V1208" s="31">
        <f>Q1208+U1208</f>
        <v>1609</v>
      </c>
    </row>
    <row r="1209" spans="1:22" x14ac:dyDescent="0.15">
      <c r="A1209" s="25" t="s">
        <v>8</v>
      </c>
      <c r="B1209" s="17"/>
      <c r="C1209" s="18">
        <v>10</v>
      </c>
      <c r="D1209" s="51">
        <v>10</v>
      </c>
      <c r="E1209" s="11">
        <f t="shared" ref="E1209:E1216" si="1159">SUM(B1209:D1209)</f>
        <v>20</v>
      </c>
      <c r="F1209" s="20">
        <v>10</v>
      </c>
      <c r="G1209" s="18">
        <v>10</v>
      </c>
      <c r="H1209" s="19">
        <v>10</v>
      </c>
      <c r="I1209" s="11">
        <f t="shared" ref="I1209:I1216" si="1160">SUM(F1209:H1209)</f>
        <v>30</v>
      </c>
      <c r="J1209" s="11">
        <f t="shared" ref="J1209:J1216" si="1161">E1209+I1209</f>
        <v>50</v>
      </c>
      <c r="K1209" s="63">
        <v>45440</v>
      </c>
      <c r="M1209" s="25" t="s">
        <v>8</v>
      </c>
      <c r="N1209" s="17"/>
      <c r="O1209" s="18"/>
      <c r="P1209" s="51"/>
      <c r="Q1209" s="49">
        <f t="shared" ref="Q1209:Q1216" si="1162">SUM(N1209:P1209)</f>
        <v>0</v>
      </c>
      <c r="R1209" s="20"/>
      <c r="S1209" s="18"/>
      <c r="T1209" s="19"/>
      <c r="U1209" s="49">
        <f t="shared" ref="U1209:U1216" si="1163">SUM(R1209:T1209)</f>
        <v>0</v>
      </c>
      <c r="V1209" s="49">
        <f t="shared" ref="V1209:V1216" si="1164">Q1209+U1209</f>
        <v>0</v>
      </c>
    </row>
    <row r="1210" spans="1:22" x14ac:dyDescent="0.15">
      <c r="A1210" s="25" t="s">
        <v>9</v>
      </c>
      <c r="B1210" s="17"/>
      <c r="C1210" s="18"/>
      <c r="D1210" s="51"/>
      <c r="E1210" s="11">
        <f t="shared" si="1159"/>
        <v>0</v>
      </c>
      <c r="F1210" s="20">
        <v>10</v>
      </c>
      <c r="G1210" s="18">
        <v>10</v>
      </c>
      <c r="H1210" s="19"/>
      <c r="I1210" s="11">
        <f t="shared" si="1160"/>
        <v>20</v>
      </c>
      <c r="J1210" s="11">
        <f t="shared" si="1161"/>
        <v>20</v>
      </c>
      <c r="K1210" s="63">
        <v>45447</v>
      </c>
      <c r="M1210" s="25" t="s">
        <v>9</v>
      </c>
      <c r="N1210" s="8"/>
      <c r="O1210" s="9"/>
      <c r="P1210" s="52"/>
      <c r="Q1210" s="11">
        <f t="shared" si="1162"/>
        <v>0</v>
      </c>
      <c r="R1210" s="12"/>
      <c r="S1210" s="9"/>
      <c r="T1210" s="10"/>
      <c r="U1210" s="11">
        <f t="shared" si="1163"/>
        <v>0</v>
      </c>
      <c r="V1210" s="11">
        <f t="shared" si="1164"/>
        <v>0</v>
      </c>
    </row>
    <row r="1211" spans="1:22" x14ac:dyDescent="0.15">
      <c r="A1211" s="25" t="s">
        <v>10</v>
      </c>
      <c r="B1211" s="17"/>
      <c r="C1211" s="18">
        <v>10</v>
      </c>
      <c r="D1211" s="51"/>
      <c r="E1211" s="11">
        <f t="shared" si="1159"/>
        <v>10</v>
      </c>
      <c r="F1211" s="20"/>
      <c r="G1211" s="18"/>
      <c r="H1211" s="19">
        <v>10</v>
      </c>
      <c r="I1211" s="11">
        <f t="shared" si="1160"/>
        <v>10</v>
      </c>
      <c r="J1211" s="11">
        <f t="shared" si="1161"/>
        <v>20</v>
      </c>
      <c r="K1211" s="63">
        <v>45450</v>
      </c>
      <c r="M1211" s="25" t="s">
        <v>10</v>
      </c>
      <c r="N1211" s="8"/>
      <c r="O1211" s="9"/>
      <c r="P1211" s="52"/>
      <c r="Q1211" s="11">
        <f t="shared" si="1162"/>
        <v>0</v>
      </c>
      <c r="R1211" s="12"/>
      <c r="S1211" s="9"/>
      <c r="T1211" s="10"/>
      <c r="U1211" s="11">
        <f t="shared" si="1163"/>
        <v>0</v>
      </c>
      <c r="V1211" s="11">
        <f t="shared" si="1164"/>
        <v>0</v>
      </c>
    </row>
    <row r="1212" spans="1:22" x14ac:dyDescent="0.15">
      <c r="A1212" s="25" t="s">
        <v>11</v>
      </c>
      <c r="B1212" s="17"/>
      <c r="C1212" s="18"/>
      <c r="D1212" s="51">
        <v>10</v>
      </c>
      <c r="E1212" s="11">
        <f t="shared" si="1159"/>
        <v>10</v>
      </c>
      <c r="F1212" s="20"/>
      <c r="G1212" s="18">
        <v>10</v>
      </c>
      <c r="H1212" s="19"/>
      <c r="I1212" s="11">
        <f t="shared" si="1160"/>
        <v>10</v>
      </c>
      <c r="J1212" s="11">
        <f t="shared" si="1161"/>
        <v>20</v>
      </c>
      <c r="K1212" s="63">
        <v>45453</v>
      </c>
      <c r="M1212" s="25" t="s">
        <v>11</v>
      </c>
      <c r="N1212" s="8"/>
      <c r="O1212" s="9"/>
      <c r="P1212" s="52"/>
      <c r="Q1212" s="11">
        <f t="shared" si="1162"/>
        <v>0</v>
      </c>
      <c r="R1212" s="12"/>
      <c r="S1212" s="9"/>
      <c r="T1212" s="10"/>
      <c r="U1212" s="11">
        <f t="shared" si="1163"/>
        <v>0</v>
      </c>
      <c r="V1212" s="11">
        <f t="shared" si="1164"/>
        <v>0</v>
      </c>
    </row>
    <row r="1213" spans="1:22" x14ac:dyDescent="0.15">
      <c r="A1213" s="25" t="s">
        <v>12</v>
      </c>
      <c r="B1213" s="17"/>
      <c r="C1213" s="18"/>
      <c r="D1213" s="51"/>
      <c r="E1213" s="11">
        <f t="shared" si="1159"/>
        <v>0</v>
      </c>
      <c r="F1213" s="20">
        <v>10</v>
      </c>
      <c r="G1213" s="18"/>
      <c r="H1213" s="19"/>
      <c r="I1213" s="11">
        <f t="shared" si="1160"/>
        <v>10</v>
      </c>
      <c r="J1213" s="11">
        <f t="shared" si="1161"/>
        <v>10</v>
      </c>
      <c r="K1213" s="63">
        <v>45455</v>
      </c>
      <c r="M1213" s="25" t="s">
        <v>12</v>
      </c>
      <c r="N1213" s="8"/>
      <c r="O1213" s="9"/>
      <c r="P1213" s="52"/>
      <c r="Q1213" s="11">
        <f t="shared" si="1162"/>
        <v>0</v>
      </c>
      <c r="R1213" s="12"/>
      <c r="S1213" s="9"/>
      <c r="T1213" s="10"/>
      <c r="U1213" s="11">
        <f t="shared" si="1163"/>
        <v>0</v>
      </c>
      <c r="V1213" s="11">
        <f t="shared" si="1164"/>
        <v>0</v>
      </c>
    </row>
    <row r="1214" spans="1:22" x14ac:dyDescent="0.15">
      <c r="A1214" s="25" t="s">
        <v>13</v>
      </c>
      <c r="B1214" s="17"/>
      <c r="C1214" s="18">
        <v>15</v>
      </c>
      <c r="D1214" s="51"/>
      <c r="E1214" s="11">
        <f t="shared" si="1159"/>
        <v>15</v>
      </c>
      <c r="F1214" s="20">
        <v>10</v>
      </c>
      <c r="G1214" s="18">
        <v>20</v>
      </c>
      <c r="H1214" s="19"/>
      <c r="I1214" s="11">
        <f t="shared" si="1160"/>
        <v>30</v>
      </c>
      <c r="J1214" s="11">
        <f t="shared" si="1161"/>
        <v>45</v>
      </c>
      <c r="K1214" s="63">
        <v>45458</v>
      </c>
      <c r="M1214" s="25" t="s">
        <v>13</v>
      </c>
      <c r="N1214" s="8"/>
      <c r="O1214" s="9"/>
      <c r="P1214" s="52"/>
      <c r="Q1214" s="11">
        <f t="shared" si="1162"/>
        <v>0</v>
      </c>
      <c r="R1214" s="12"/>
      <c r="S1214" s="9"/>
      <c r="T1214" s="10"/>
      <c r="U1214" s="11">
        <f t="shared" si="1163"/>
        <v>0</v>
      </c>
      <c r="V1214" s="11">
        <f t="shared" si="1164"/>
        <v>0</v>
      </c>
    </row>
    <row r="1215" spans="1:22" x14ac:dyDescent="0.15">
      <c r="A1215" s="25" t="s">
        <v>14</v>
      </c>
      <c r="B1215" s="17"/>
      <c r="C1215" s="18"/>
      <c r="D1215" s="51"/>
      <c r="E1215" s="11">
        <f t="shared" si="1159"/>
        <v>0</v>
      </c>
      <c r="F1215" s="20"/>
      <c r="G1215" s="18"/>
      <c r="H1215" s="19"/>
      <c r="I1215" s="11">
        <f t="shared" si="1160"/>
        <v>0</v>
      </c>
      <c r="J1215" s="11">
        <f t="shared" si="1161"/>
        <v>0</v>
      </c>
      <c r="K1215" s="63"/>
      <c r="L1215" s="82"/>
      <c r="M1215" s="25" t="s">
        <v>14</v>
      </c>
      <c r="N1215" s="13"/>
      <c r="O1215" s="14"/>
      <c r="P1215" s="53"/>
      <c r="Q1215" s="11">
        <f t="shared" si="1162"/>
        <v>0</v>
      </c>
      <c r="R1215" s="16"/>
      <c r="S1215" s="14"/>
      <c r="T1215" s="15"/>
      <c r="U1215" s="11">
        <f t="shared" si="1163"/>
        <v>0</v>
      </c>
      <c r="V1215" s="11">
        <f t="shared" si="1164"/>
        <v>0</v>
      </c>
    </row>
    <row r="1216" spans="1:22" ht="14.25" thickBot="1" x14ac:dyDescent="0.2">
      <c r="A1216" s="25" t="s">
        <v>15</v>
      </c>
      <c r="B1216" s="17"/>
      <c r="C1216" s="18"/>
      <c r="D1216" s="51"/>
      <c r="E1216" s="11">
        <f t="shared" si="1159"/>
        <v>0</v>
      </c>
      <c r="F1216" s="20"/>
      <c r="G1216" s="18"/>
      <c r="H1216" s="19"/>
      <c r="I1216" s="11">
        <f t="shared" si="1160"/>
        <v>0</v>
      </c>
      <c r="J1216" s="11">
        <f t="shared" si="1161"/>
        <v>0</v>
      </c>
      <c r="K1216" s="63"/>
      <c r="M1216" s="25" t="s">
        <v>15</v>
      </c>
      <c r="N1216" s="13"/>
      <c r="O1216" s="14"/>
      <c r="P1216" s="53"/>
      <c r="Q1216" s="11">
        <f t="shared" si="1162"/>
        <v>0</v>
      </c>
      <c r="R1216" s="16"/>
      <c r="S1216" s="14"/>
      <c r="T1216" s="15"/>
      <c r="U1216" s="11">
        <f t="shared" si="1163"/>
        <v>0</v>
      </c>
      <c r="V1216" s="11">
        <f t="shared" si="1164"/>
        <v>0</v>
      </c>
    </row>
    <row r="1217" spans="1:23" ht="14.25" thickBot="1" x14ac:dyDescent="0.2">
      <c r="A1217" s="35" t="s">
        <v>16</v>
      </c>
      <c r="B1217" s="28">
        <f>SUM(B1208:B1216)</f>
        <v>0</v>
      </c>
      <c r="C1217" s="29">
        <f t="shared" ref="C1217:D1217" si="1165">SUM(C1208:C1216)</f>
        <v>50</v>
      </c>
      <c r="D1217" s="68">
        <f t="shared" si="1165"/>
        <v>33</v>
      </c>
      <c r="E1217" s="64">
        <f>SUM(B1217:D1217)</f>
        <v>83</v>
      </c>
      <c r="F1217" s="28">
        <f>SUM(F1208:F1216)</f>
        <v>52</v>
      </c>
      <c r="G1217" s="29">
        <f t="shared" ref="G1217:H1217" si="1166">SUM(G1208:G1216)</f>
        <v>62</v>
      </c>
      <c r="H1217" s="68">
        <f t="shared" si="1166"/>
        <v>31</v>
      </c>
      <c r="I1217" s="64">
        <f>SUM(F1217:H1217)</f>
        <v>145</v>
      </c>
      <c r="J1217" s="31">
        <f>SUM(J1209:J1216)</f>
        <v>165</v>
      </c>
      <c r="M1217" s="35" t="s">
        <v>16</v>
      </c>
      <c r="N1217" s="28">
        <f>SUM(N1208:N1216)</f>
        <v>24</v>
      </c>
      <c r="O1217" s="29">
        <f t="shared" ref="O1217:P1217" si="1167">SUM(O1208:O1216)</f>
        <v>134</v>
      </c>
      <c r="P1217" s="68">
        <f t="shared" si="1167"/>
        <v>422</v>
      </c>
      <c r="Q1217" s="64">
        <f>SUM(N1217:P1217)</f>
        <v>580</v>
      </c>
      <c r="R1217" s="28">
        <f>SUM(R1208:R1216)</f>
        <v>134</v>
      </c>
      <c r="S1217" s="29">
        <f t="shared" ref="S1217:T1217" si="1168">SUM(S1208:S1216)</f>
        <v>402</v>
      </c>
      <c r="T1217" s="68">
        <f t="shared" si="1168"/>
        <v>493</v>
      </c>
      <c r="U1217" s="64">
        <f>SUM(R1217:T1217)</f>
        <v>1029</v>
      </c>
      <c r="V1217" s="31">
        <f>Q1217+U1217</f>
        <v>1609</v>
      </c>
    </row>
    <row r="1218" spans="1:23" x14ac:dyDescent="0.15">
      <c r="A1218" s="25" t="s">
        <v>424</v>
      </c>
      <c r="B1218" s="8"/>
      <c r="C1218" s="9">
        <v>3</v>
      </c>
      <c r="D1218" s="10">
        <v>3</v>
      </c>
      <c r="E1218" s="49">
        <f t="shared" ref="E1218:E1244" si="1169">SUM(B1218:D1218)</f>
        <v>6</v>
      </c>
      <c r="F1218" s="12">
        <v>3</v>
      </c>
      <c r="G1218" s="9">
        <v>5</v>
      </c>
      <c r="H1218" s="10">
        <v>3</v>
      </c>
      <c r="I1218" s="49">
        <f t="shared" ref="I1218:I1244" si="1170">SUM(F1218:H1218)</f>
        <v>11</v>
      </c>
      <c r="J1218" s="11">
        <f t="shared" ref="J1218:J1243" si="1171">E1218+I1218</f>
        <v>17</v>
      </c>
      <c r="K1218" s="63">
        <v>45440</v>
      </c>
      <c r="M1218" s="26" t="s">
        <v>471</v>
      </c>
      <c r="N1218" s="8">
        <v>1</v>
      </c>
      <c r="O1218" s="9"/>
      <c r="P1218" s="10"/>
      <c r="Q1218" s="49">
        <f t="shared" ref="Q1218:Q1231" si="1172">SUM(N1218:P1218)</f>
        <v>1</v>
      </c>
      <c r="R1218" s="12">
        <v>1</v>
      </c>
      <c r="S1218" s="9"/>
      <c r="T1218" s="10"/>
      <c r="U1218" s="49">
        <f t="shared" ref="U1218:U1231" si="1173">SUM(R1218:T1218)</f>
        <v>1</v>
      </c>
      <c r="V1218" s="11">
        <f t="shared" ref="V1218:V1231" si="1174">Q1218+U1218</f>
        <v>2</v>
      </c>
      <c r="W1218" s="140">
        <v>45457</v>
      </c>
    </row>
    <row r="1219" spans="1:23" x14ac:dyDescent="0.15">
      <c r="A1219" s="25" t="s">
        <v>33</v>
      </c>
      <c r="B1219" s="8"/>
      <c r="C1219" s="9">
        <f>1+3</f>
        <v>4</v>
      </c>
      <c r="D1219" s="10">
        <v>2</v>
      </c>
      <c r="E1219" s="49">
        <f t="shared" si="1169"/>
        <v>6</v>
      </c>
      <c r="F1219" s="12">
        <f>2+4</f>
        <v>6</v>
      </c>
      <c r="G1219" s="9">
        <f>1+1+1+2+1</f>
        <v>6</v>
      </c>
      <c r="H1219" s="10">
        <v>1</v>
      </c>
      <c r="I1219" s="49">
        <f t="shared" si="1170"/>
        <v>13</v>
      </c>
      <c r="J1219" s="11">
        <f t="shared" si="1171"/>
        <v>19</v>
      </c>
      <c r="K1219" s="63">
        <v>45439</v>
      </c>
      <c r="M1219" s="23" t="s">
        <v>28</v>
      </c>
      <c r="N1219" s="8"/>
      <c r="O1219" s="9">
        <v>15</v>
      </c>
      <c r="P1219" s="10"/>
      <c r="Q1219" s="49">
        <f t="shared" si="1172"/>
        <v>15</v>
      </c>
      <c r="R1219" s="12">
        <v>10</v>
      </c>
      <c r="S1219" s="9">
        <v>20</v>
      </c>
      <c r="T1219" s="10"/>
      <c r="U1219" s="49">
        <f t="shared" si="1173"/>
        <v>30</v>
      </c>
      <c r="V1219" s="11">
        <f t="shared" si="1174"/>
        <v>45</v>
      </c>
      <c r="W1219" s="140">
        <v>45458</v>
      </c>
    </row>
    <row r="1220" spans="1:23" x14ac:dyDescent="0.15">
      <c r="A1220" s="25" t="s">
        <v>33</v>
      </c>
      <c r="B1220" s="8"/>
      <c r="C1220" s="9"/>
      <c r="D1220" s="10">
        <v>2</v>
      </c>
      <c r="E1220" s="49">
        <f t="shared" si="1169"/>
        <v>2</v>
      </c>
      <c r="F1220" s="12"/>
      <c r="G1220" s="9">
        <f>1+1</f>
        <v>2</v>
      </c>
      <c r="H1220" s="10"/>
      <c r="I1220" s="49">
        <f t="shared" si="1170"/>
        <v>2</v>
      </c>
      <c r="J1220" s="11">
        <f t="shared" si="1171"/>
        <v>4</v>
      </c>
      <c r="K1220" s="63">
        <v>45440</v>
      </c>
      <c r="M1220" s="26"/>
      <c r="N1220" s="8"/>
      <c r="O1220" s="9"/>
      <c r="P1220" s="10"/>
      <c r="Q1220" s="49">
        <f t="shared" ref="Q1220" si="1175">SUM(N1220:P1220)</f>
        <v>0</v>
      </c>
      <c r="R1220" s="12"/>
      <c r="S1220" s="9"/>
      <c r="T1220" s="10"/>
      <c r="U1220" s="49">
        <f t="shared" ref="U1220" si="1176">SUM(R1220:T1220)</f>
        <v>0</v>
      </c>
      <c r="V1220" s="11">
        <f t="shared" ref="V1220" si="1177">Q1220+U1220</f>
        <v>0</v>
      </c>
      <c r="W1220" s="142"/>
    </row>
    <row r="1221" spans="1:23" x14ac:dyDescent="0.15">
      <c r="A1221" s="25" t="s">
        <v>33</v>
      </c>
      <c r="B1221" s="8"/>
      <c r="C1221" s="9"/>
      <c r="D1221" s="10">
        <v>2</v>
      </c>
      <c r="E1221" s="49">
        <f t="shared" si="1169"/>
        <v>2</v>
      </c>
      <c r="F1221" s="12"/>
      <c r="G1221" s="9"/>
      <c r="H1221" s="10">
        <v>1</v>
      </c>
      <c r="I1221" s="49">
        <f t="shared" si="1170"/>
        <v>1</v>
      </c>
      <c r="J1221" s="11">
        <f t="shared" si="1171"/>
        <v>3</v>
      </c>
      <c r="K1221" s="63">
        <v>45441</v>
      </c>
      <c r="L1221" s="82"/>
      <c r="M1221" s="26"/>
      <c r="N1221" s="8"/>
      <c r="O1221" s="9"/>
      <c r="P1221" s="10"/>
      <c r="Q1221" s="49">
        <f t="shared" si="1172"/>
        <v>0</v>
      </c>
      <c r="R1221" s="12"/>
      <c r="S1221" s="9"/>
      <c r="T1221" s="10"/>
      <c r="U1221" s="49">
        <f t="shared" si="1173"/>
        <v>0</v>
      </c>
      <c r="V1221" s="11">
        <f t="shared" si="1174"/>
        <v>0</v>
      </c>
      <c r="W1221" s="142"/>
    </row>
    <row r="1222" spans="1:23" x14ac:dyDescent="0.15">
      <c r="A1222" s="25" t="s">
        <v>469</v>
      </c>
      <c r="B1222" s="8"/>
      <c r="C1222" s="9">
        <v>1</v>
      </c>
      <c r="D1222" s="10"/>
      <c r="E1222" s="49">
        <f t="shared" si="1169"/>
        <v>1</v>
      </c>
      <c r="F1222" s="12"/>
      <c r="G1222" s="9">
        <v>1</v>
      </c>
      <c r="H1222" s="10"/>
      <c r="I1222" s="49">
        <f t="shared" si="1170"/>
        <v>1</v>
      </c>
      <c r="J1222" s="11">
        <f t="shared" si="1171"/>
        <v>2</v>
      </c>
      <c r="K1222" s="63">
        <v>45443</v>
      </c>
      <c r="M1222" s="26"/>
      <c r="N1222" s="8"/>
      <c r="O1222" s="9"/>
      <c r="P1222" s="10"/>
      <c r="Q1222" s="49">
        <f t="shared" si="1172"/>
        <v>0</v>
      </c>
      <c r="R1222" s="12"/>
      <c r="S1222" s="9"/>
      <c r="T1222" s="10"/>
      <c r="U1222" s="49">
        <f t="shared" si="1173"/>
        <v>0</v>
      </c>
      <c r="V1222" s="11">
        <f t="shared" si="1174"/>
        <v>0</v>
      </c>
      <c r="W1222" s="142"/>
    </row>
    <row r="1223" spans="1:23" x14ac:dyDescent="0.15">
      <c r="A1223" s="25" t="s">
        <v>33</v>
      </c>
      <c r="B1223" s="8"/>
      <c r="C1223" s="9">
        <v>1</v>
      </c>
      <c r="D1223" s="10"/>
      <c r="E1223" s="49">
        <f t="shared" si="1169"/>
        <v>1</v>
      </c>
      <c r="F1223" s="12">
        <v>1</v>
      </c>
      <c r="G1223" s="9"/>
      <c r="H1223" s="10">
        <v>1</v>
      </c>
      <c r="I1223" s="49">
        <f t="shared" si="1170"/>
        <v>2</v>
      </c>
      <c r="J1223" s="11">
        <f t="shared" si="1171"/>
        <v>3</v>
      </c>
      <c r="K1223" s="71">
        <v>45442</v>
      </c>
      <c r="M1223" s="26"/>
      <c r="N1223" s="8"/>
      <c r="O1223" s="9"/>
      <c r="P1223" s="10"/>
      <c r="Q1223" s="49">
        <f t="shared" si="1172"/>
        <v>0</v>
      </c>
      <c r="R1223" s="12"/>
      <c r="S1223" s="9"/>
      <c r="T1223" s="10"/>
      <c r="U1223" s="49">
        <f t="shared" si="1173"/>
        <v>0</v>
      </c>
      <c r="V1223" s="11">
        <f t="shared" si="1174"/>
        <v>0</v>
      </c>
    </row>
    <row r="1224" spans="1:23" x14ac:dyDescent="0.15">
      <c r="A1224" s="25" t="s">
        <v>33</v>
      </c>
      <c r="B1224" s="8"/>
      <c r="C1224" s="9"/>
      <c r="D1224" s="10"/>
      <c r="E1224" s="49">
        <f t="shared" si="1169"/>
        <v>0</v>
      </c>
      <c r="F1224" s="12"/>
      <c r="G1224" s="9"/>
      <c r="H1224" s="10">
        <v>1</v>
      </c>
      <c r="I1224" s="49">
        <f t="shared" si="1170"/>
        <v>1</v>
      </c>
      <c r="J1224" s="11">
        <f t="shared" si="1171"/>
        <v>1</v>
      </c>
      <c r="K1224" s="63">
        <v>45443</v>
      </c>
      <c r="M1224" s="26"/>
      <c r="N1224" s="8"/>
      <c r="O1224" s="9"/>
      <c r="P1224" s="10"/>
      <c r="Q1224" s="49">
        <f t="shared" si="1172"/>
        <v>0</v>
      </c>
      <c r="R1224" s="12"/>
      <c r="S1224" s="9"/>
      <c r="T1224" s="10"/>
      <c r="U1224" s="49">
        <f t="shared" si="1173"/>
        <v>0</v>
      </c>
      <c r="V1224" s="11">
        <f t="shared" si="1174"/>
        <v>0</v>
      </c>
    </row>
    <row r="1225" spans="1:23" x14ac:dyDescent="0.15">
      <c r="A1225" s="25" t="s">
        <v>33</v>
      </c>
      <c r="B1225" s="8"/>
      <c r="C1225" s="9"/>
      <c r="D1225" s="10"/>
      <c r="E1225" s="49">
        <f t="shared" si="1169"/>
        <v>0</v>
      </c>
      <c r="F1225" s="12">
        <v>3</v>
      </c>
      <c r="G1225" s="9"/>
      <c r="H1225" s="10"/>
      <c r="I1225" s="49">
        <f t="shared" si="1170"/>
        <v>3</v>
      </c>
      <c r="J1225" s="11">
        <f t="shared" si="1171"/>
        <v>3</v>
      </c>
      <c r="K1225" s="63">
        <v>45444</v>
      </c>
      <c r="M1225" s="26"/>
      <c r="N1225" s="8"/>
      <c r="O1225" s="9"/>
      <c r="P1225" s="10"/>
      <c r="Q1225" s="49">
        <f t="shared" si="1172"/>
        <v>0</v>
      </c>
      <c r="R1225" s="12"/>
      <c r="S1225" s="9"/>
      <c r="T1225" s="10"/>
      <c r="U1225" s="49">
        <f t="shared" si="1173"/>
        <v>0</v>
      </c>
      <c r="V1225" s="11">
        <f t="shared" si="1174"/>
        <v>0</v>
      </c>
    </row>
    <row r="1226" spans="1:23" x14ac:dyDescent="0.15">
      <c r="A1226" s="25" t="s">
        <v>33</v>
      </c>
      <c r="B1226" s="8"/>
      <c r="C1226" s="9">
        <v>4</v>
      </c>
      <c r="D1226" s="10">
        <v>1</v>
      </c>
      <c r="E1226" s="49">
        <f t="shared" si="1169"/>
        <v>5</v>
      </c>
      <c r="F1226" s="12">
        <v>3</v>
      </c>
      <c r="G1226" s="9">
        <v>3</v>
      </c>
      <c r="H1226" s="10">
        <v>1</v>
      </c>
      <c r="I1226" s="49">
        <f t="shared" si="1170"/>
        <v>7</v>
      </c>
      <c r="J1226" s="11">
        <f t="shared" si="1171"/>
        <v>12</v>
      </c>
      <c r="K1226" s="63">
        <v>45446</v>
      </c>
      <c r="M1226" s="26"/>
      <c r="N1226" s="8"/>
      <c r="O1226" s="9"/>
      <c r="P1226" s="10"/>
      <c r="Q1226" s="49">
        <f t="shared" si="1172"/>
        <v>0</v>
      </c>
      <c r="R1226" s="12"/>
      <c r="S1226" s="9"/>
      <c r="T1226" s="10"/>
      <c r="U1226" s="49">
        <f t="shared" si="1173"/>
        <v>0</v>
      </c>
      <c r="V1226" s="11">
        <f t="shared" si="1174"/>
        <v>0</v>
      </c>
    </row>
    <row r="1227" spans="1:23" x14ac:dyDescent="0.15">
      <c r="A1227" s="25" t="s">
        <v>33</v>
      </c>
      <c r="B1227" s="8"/>
      <c r="C1227" s="9">
        <v>1</v>
      </c>
      <c r="D1227" s="10"/>
      <c r="E1227" s="49">
        <f t="shared" si="1169"/>
        <v>1</v>
      </c>
      <c r="F1227" s="12"/>
      <c r="G1227" s="9"/>
      <c r="H1227" s="10"/>
      <c r="I1227" s="49">
        <f t="shared" si="1170"/>
        <v>0</v>
      </c>
      <c r="J1227" s="11">
        <f t="shared" si="1171"/>
        <v>1</v>
      </c>
      <c r="K1227" s="71">
        <v>45447</v>
      </c>
      <c r="M1227" s="26"/>
      <c r="N1227" s="8"/>
      <c r="O1227" s="9"/>
      <c r="P1227" s="10"/>
      <c r="Q1227" s="49">
        <f t="shared" si="1172"/>
        <v>0</v>
      </c>
      <c r="R1227" s="12"/>
      <c r="S1227" s="9"/>
      <c r="T1227" s="10"/>
      <c r="U1227" s="49">
        <f t="shared" si="1173"/>
        <v>0</v>
      </c>
      <c r="V1227" s="11">
        <f t="shared" si="1174"/>
        <v>0</v>
      </c>
    </row>
    <row r="1228" spans="1:23" x14ac:dyDescent="0.15">
      <c r="A1228" s="25" t="s">
        <v>33</v>
      </c>
      <c r="B1228" s="8"/>
      <c r="C1228" s="9">
        <v>2</v>
      </c>
      <c r="D1228" s="10"/>
      <c r="E1228" s="49">
        <f t="shared" si="1169"/>
        <v>2</v>
      </c>
      <c r="F1228" s="12">
        <f>1+2</f>
        <v>3</v>
      </c>
      <c r="G1228" s="9">
        <v>2</v>
      </c>
      <c r="H1228" s="10">
        <v>1</v>
      </c>
      <c r="I1228" s="49">
        <f t="shared" si="1170"/>
        <v>6</v>
      </c>
      <c r="J1228" s="11">
        <f t="shared" si="1171"/>
        <v>8</v>
      </c>
      <c r="K1228" s="71">
        <v>45448</v>
      </c>
      <c r="M1228" s="26"/>
      <c r="N1228" s="8"/>
      <c r="O1228" s="9"/>
      <c r="P1228" s="10"/>
      <c r="Q1228" s="49">
        <f t="shared" si="1172"/>
        <v>0</v>
      </c>
      <c r="R1228" s="12"/>
      <c r="S1228" s="9"/>
      <c r="T1228" s="10"/>
      <c r="U1228" s="49">
        <f t="shared" si="1173"/>
        <v>0</v>
      </c>
      <c r="V1228" s="11">
        <f t="shared" si="1174"/>
        <v>0</v>
      </c>
    </row>
    <row r="1229" spans="1:23" x14ac:dyDescent="0.15">
      <c r="A1229" s="25" t="s">
        <v>33</v>
      </c>
      <c r="B1229" s="8"/>
      <c r="C1229" s="9">
        <v>1</v>
      </c>
      <c r="D1229" s="10"/>
      <c r="E1229" s="49">
        <f t="shared" si="1169"/>
        <v>1</v>
      </c>
      <c r="F1229" s="12"/>
      <c r="G1229" s="9"/>
      <c r="H1229" s="10">
        <v>4</v>
      </c>
      <c r="I1229" s="49">
        <f t="shared" si="1170"/>
        <v>4</v>
      </c>
      <c r="J1229" s="11">
        <f t="shared" si="1171"/>
        <v>5</v>
      </c>
      <c r="K1229" s="71">
        <v>45449</v>
      </c>
      <c r="M1229" s="26"/>
      <c r="N1229" s="8"/>
      <c r="O1229" s="9"/>
      <c r="P1229" s="10"/>
      <c r="Q1229" s="49">
        <f t="shared" si="1172"/>
        <v>0</v>
      </c>
      <c r="R1229" s="12"/>
      <c r="S1229" s="9"/>
      <c r="T1229" s="10"/>
      <c r="U1229" s="49">
        <f t="shared" si="1173"/>
        <v>0</v>
      </c>
      <c r="V1229" s="11">
        <f t="shared" si="1174"/>
        <v>0</v>
      </c>
    </row>
    <row r="1230" spans="1:23" x14ac:dyDescent="0.15">
      <c r="A1230" s="25" t="s">
        <v>470</v>
      </c>
      <c r="B1230" s="8"/>
      <c r="C1230" s="9"/>
      <c r="D1230" s="10">
        <v>5</v>
      </c>
      <c r="E1230" s="49">
        <f t="shared" si="1169"/>
        <v>5</v>
      </c>
      <c r="F1230" s="12"/>
      <c r="G1230" s="9">
        <v>5</v>
      </c>
      <c r="H1230" s="10"/>
      <c r="I1230" s="49">
        <f t="shared" si="1170"/>
        <v>5</v>
      </c>
      <c r="J1230" s="11">
        <f t="shared" si="1171"/>
        <v>10</v>
      </c>
      <c r="K1230" s="63">
        <v>45450</v>
      </c>
      <c r="L1230" s="82"/>
      <c r="M1230" s="26"/>
      <c r="N1230" s="8"/>
      <c r="O1230" s="9"/>
      <c r="P1230" s="10"/>
      <c r="Q1230" s="49">
        <f t="shared" si="1172"/>
        <v>0</v>
      </c>
      <c r="R1230" s="12"/>
      <c r="S1230" s="9"/>
      <c r="T1230" s="10"/>
      <c r="U1230" s="49">
        <f t="shared" si="1173"/>
        <v>0</v>
      </c>
      <c r="V1230" s="11">
        <f t="shared" si="1174"/>
        <v>0</v>
      </c>
    </row>
    <row r="1231" spans="1:23" x14ac:dyDescent="0.15">
      <c r="A1231" s="25" t="s">
        <v>33</v>
      </c>
      <c r="B1231" s="8"/>
      <c r="C1231" s="9"/>
      <c r="D1231" s="10"/>
      <c r="E1231" s="49">
        <f t="shared" si="1169"/>
        <v>0</v>
      </c>
      <c r="F1231" s="12">
        <v>1</v>
      </c>
      <c r="G1231" s="9"/>
      <c r="H1231" s="10"/>
      <c r="I1231" s="49">
        <f t="shared" si="1170"/>
        <v>1</v>
      </c>
      <c r="J1231" s="11">
        <f t="shared" si="1171"/>
        <v>1</v>
      </c>
      <c r="K1231" s="63">
        <v>45450</v>
      </c>
      <c r="M1231" s="26"/>
      <c r="N1231" s="8"/>
      <c r="O1231" s="9"/>
      <c r="P1231" s="10"/>
      <c r="Q1231" s="49">
        <f t="shared" si="1172"/>
        <v>0</v>
      </c>
      <c r="R1231" s="12"/>
      <c r="S1231" s="9"/>
      <c r="T1231" s="10"/>
      <c r="U1231" s="49">
        <f t="shared" si="1173"/>
        <v>0</v>
      </c>
      <c r="V1231" s="11">
        <f t="shared" si="1174"/>
        <v>0</v>
      </c>
    </row>
    <row r="1232" spans="1:23" x14ac:dyDescent="0.15">
      <c r="A1232" s="25" t="s">
        <v>33</v>
      </c>
      <c r="B1232" s="8"/>
      <c r="C1232" s="9">
        <f>1+2+1</f>
        <v>4</v>
      </c>
      <c r="D1232" s="10">
        <v>1</v>
      </c>
      <c r="E1232" s="49">
        <f t="shared" si="1169"/>
        <v>5</v>
      </c>
      <c r="F1232" s="12">
        <f>2+2+1</f>
        <v>5</v>
      </c>
      <c r="G1232" s="9">
        <f>2+2+1+1</f>
        <v>6</v>
      </c>
      <c r="H1232" s="10"/>
      <c r="I1232" s="49">
        <f t="shared" si="1170"/>
        <v>11</v>
      </c>
      <c r="J1232" s="11">
        <f t="shared" si="1171"/>
        <v>16</v>
      </c>
      <c r="K1232" s="63">
        <v>45453</v>
      </c>
      <c r="M1232" s="26"/>
      <c r="N1232" s="8"/>
      <c r="O1232" s="9"/>
      <c r="P1232" s="10"/>
      <c r="Q1232" s="49">
        <f t="shared" ref="Q1232:Q1244" si="1178">SUM(N1232:P1232)</f>
        <v>0</v>
      </c>
      <c r="R1232" s="12"/>
      <c r="S1232" s="9"/>
      <c r="T1232" s="10"/>
      <c r="U1232" s="49">
        <f t="shared" ref="U1232:U1244" si="1179">SUM(R1232:T1232)</f>
        <v>0</v>
      </c>
      <c r="V1232" s="11">
        <f t="shared" ref="V1232:V1241" si="1180">Q1232+U1232</f>
        <v>0</v>
      </c>
    </row>
    <row r="1233" spans="1:22" x14ac:dyDescent="0.15">
      <c r="A1233" s="25" t="s">
        <v>469</v>
      </c>
      <c r="B1233" s="8"/>
      <c r="C1233" s="9">
        <v>1</v>
      </c>
      <c r="D1233" s="10"/>
      <c r="E1233" s="49">
        <f t="shared" si="1169"/>
        <v>1</v>
      </c>
      <c r="F1233" s="12"/>
      <c r="G1233" s="9">
        <v>1</v>
      </c>
      <c r="H1233" s="10"/>
      <c r="I1233" s="49">
        <f t="shared" si="1170"/>
        <v>1</v>
      </c>
      <c r="J1233" s="11">
        <f t="shared" si="1171"/>
        <v>2</v>
      </c>
      <c r="K1233" s="63">
        <v>45456</v>
      </c>
      <c r="M1233" s="26"/>
      <c r="N1233" s="8"/>
      <c r="O1233" s="9"/>
      <c r="P1233" s="10"/>
      <c r="Q1233" s="49">
        <f t="shared" si="1178"/>
        <v>0</v>
      </c>
      <c r="R1233" s="12"/>
      <c r="S1233" s="9"/>
      <c r="T1233" s="10"/>
      <c r="U1233" s="49">
        <f t="shared" si="1179"/>
        <v>0</v>
      </c>
      <c r="V1233" s="11">
        <f t="shared" si="1180"/>
        <v>0</v>
      </c>
    </row>
    <row r="1234" spans="1:22" x14ac:dyDescent="0.15">
      <c r="A1234" s="25" t="s">
        <v>301</v>
      </c>
      <c r="B1234" s="8"/>
      <c r="C1234" s="9"/>
      <c r="D1234" s="10">
        <v>-1</v>
      </c>
      <c r="E1234" s="49">
        <f t="shared" si="1169"/>
        <v>-1</v>
      </c>
      <c r="F1234" s="12"/>
      <c r="G1234" s="9"/>
      <c r="H1234" s="10">
        <v>-1</v>
      </c>
      <c r="I1234" s="49">
        <f t="shared" si="1170"/>
        <v>-1</v>
      </c>
      <c r="J1234" s="11">
        <f t="shared" si="1171"/>
        <v>-2</v>
      </c>
      <c r="K1234" s="71">
        <v>45454</v>
      </c>
      <c r="M1234" s="26"/>
      <c r="N1234" s="8"/>
      <c r="O1234" s="9"/>
      <c r="P1234" s="10"/>
      <c r="Q1234" s="49">
        <f t="shared" si="1178"/>
        <v>0</v>
      </c>
      <c r="R1234" s="12"/>
      <c r="S1234" s="9"/>
      <c r="T1234" s="10"/>
      <c r="U1234" s="49">
        <f t="shared" si="1179"/>
        <v>0</v>
      </c>
      <c r="V1234" s="11">
        <f t="shared" si="1180"/>
        <v>0</v>
      </c>
    </row>
    <row r="1235" spans="1:22" x14ac:dyDescent="0.15">
      <c r="A1235" s="25" t="s">
        <v>33</v>
      </c>
      <c r="B1235" s="8"/>
      <c r="C1235" s="9">
        <f>1+1</f>
        <v>2</v>
      </c>
      <c r="D1235" s="10"/>
      <c r="E1235" s="49">
        <f t="shared" ref="E1235" si="1181">SUM(B1235:D1235)</f>
        <v>2</v>
      </c>
      <c r="F1235" s="12"/>
      <c r="G1235" s="9">
        <v>2</v>
      </c>
      <c r="H1235" s="10">
        <v>1</v>
      </c>
      <c r="I1235" s="49">
        <f t="shared" ref="I1235" si="1182">SUM(F1235:H1235)</f>
        <v>3</v>
      </c>
      <c r="J1235" s="11">
        <f t="shared" ref="J1235" si="1183">E1235+I1235</f>
        <v>5</v>
      </c>
      <c r="K1235" s="71">
        <v>45454</v>
      </c>
      <c r="L1235" s="82"/>
      <c r="M1235" s="26"/>
      <c r="N1235" s="8"/>
      <c r="O1235" s="9"/>
      <c r="P1235" s="10"/>
      <c r="Q1235" s="49">
        <f t="shared" si="1178"/>
        <v>0</v>
      </c>
      <c r="R1235" s="12"/>
      <c r="S1235" s="9"/>
      <c r="T1235" s="10"/>
      <c r="U1235" s="49">
        <f t="shared" si="1179"/>
        <v>0</v>
      </c>
      <c r="V1235" s="11">
        <f t="shared" si="1180"/>
        <v>0</v>
      </c>
    </row>
    <row r="1236" spans="1:22" x14ac:dyDescent="0.15">
      <c r="A1236" s="25" t="s">
        <v>33</v>
      </c>
      <c r="B1236" s="8"/>
      <c r="C1236" s="9">
        <v>1</v>
      </c>
      <c r="D1236" s="10"/>
      <c r="E1236" s="49">
        <f t="shared" si="1169"/>
        <v>1</v>
      </c>
      <c r="F1236" s="12"/>
      <c r="G1236" s="9">
        <v>1</v>
      </c>
      <c r="H1236" s="10"/>
      <c r="I1236" s="49">
        <f t="shared" si="1170"/>
        <v>1</v>
      </c>
      <c r="J1236" s="11">
        <f t="shared" si="1171"/>
        <v>2</v>
      </c>
      <c r="K1236" s="71">
        <v>45455</v>
      </c>
      <c r="M1236" s="26"/>
      <c r="N1236" s="8"/>
      <c r="O1236" s="9"/>
      <c r="P1236" s="10"/>
      <c r="Q1236" s="49">
        <f t="shared" si="1178"/>
        <v>0</v>
      </c>
      <c r="R1236" s="12"/>
      <c r="S1236" s="9"/>
      <c r="T1236" s="10"/>
      <c r="U1236" s="49">
        <f t="shared" si="1179"/>
        <v>0</v>
      </c>
      <c r="V1236" s="11">
        <f t="shared" si="1180"/>
        <v>0</v>
      </c>
    </row>
    <row r="1237" spans="1:22" x14ac:dyDescent="0.15">
      <c r="A1237" s="25" t="s">
        <v>33</v>
      </c>
      <c r="B1237" s="8"/>
      <c r="C1237" s="9">
        <v>2</v>
      </c>
      <c r="D1237" s="10">
        <v>1</v>
      </c>
      <c r="E1237" s="49">
        <f t="shared" si="1169"/>
        <v>3</v>
      </c>
      <c r="F1237" s="12">
        <f>2+3</f>
        <v>5</v>
      </c>
      <c r="G1237" s="9">
        <v>1</v>
      </c>
      <c r="H1237" s="10"/>
      <c r="I1237" s="49">
        <f t="shared" si="1170"/>
        <v>6</v>
      </c>
      <c r="J1237" s="11">
        <f t="shared" si="1171"/>
        <v>9</v>
      </c>
      <c r="K1237" s="63">
        <v>45456</v>
      </c>
      <c r="M1237" s="26"/>
      <c r="N1237" s="8"/>
      <c r="O1237" s="9"/>
      <c r="P1237" s="10"/>
      <c r="Q1237" s="49">
        <f t="shared" si="1178"/>
        <v>0</v>
      </c>
      <c r="R1237" s="12"/>
      <c r="S1237" s="9"/>
      <c r="T1237" s="10"/>
      <c r="U1237" s="49">
        <f t="shared" si="1179"/>
        <v>0</v>
      </c>
      <c r="V1237" s="11">
        <f t="shared" si="1180"/>
        <v>0</v>
      </c>
    </row>
    <row r="1238" spans="1:22" x14ac:dyDescent="0.15">
      <c r="A1238" s="25" t="s">
        <v>33</v>
      </c>
      <c r="B1238" s="8"/>
      <c r="C1238" s="9"/>
      <c r="D1238" s="10"/>
      <c r="E1238" s="49">
        <f t="shared" si="1169"/>
        <v>0</v>
      </c>
      <c r="F1238" s="12">
        <f>5+1</f>
        <v>6</v>
      </c>
      <c r="G1238" s="9"/>
      <c r="H1238" s="10"/>
      <c r="I1238" s="49">
        <f t="shared" si="1170"/>
        <v>6</v>
      </c>
      <c r="J1238" s="11">
        <f t="shared" si="1171"/>
        <v>6</v>
      </c>
      <c r="K1238" s="63">
        <v>45457</v>
      </c>
      <c r="M1238" s="26"/>
      <c r="N1238" s="8"/>
      <c r="O1238" s="9"/>
      <c r="P1238" s="10"/>
      <c r="Q1238" s="49">
        <f t="shared" si="1178"/>
        <v>0</v>
      </c>
      <c r="R1238" s="12"/>
      <c r="S1238" s="9"/>
      <c r="T1238" s="10"/>
      <c r="U1238" s="49">
        <f t="shared" si="1179"/>
        <v>0</v>
      </c>
      <c r="V1238" s="11">
        <f t="shared" si="1180"/>
        <v>0</v>
      </c>
    </row>
    <row r="1239" spans="1:22" x14ac:dyDescent="0.15">
      <c r="A1239" s="25" t="s">
        <v>472</v>
      </c>
      <c r="B1239" s="8"/>
      <c r="C1239" s="9">
        <v>8</v>
      </c>
      <c r="D1239" s="10">
        <v>5</v>
      </c>
      <c r="E1239" s="49">
        <f t="shared" si="1169"/>
        <v>13</v>
      </c>
      <c r="F1239" s="12">
        <v>5</v>
      </c>
      <c r="G1239" s="9">
        <v>7</v>
      </c>
      <c r="H1239" s="10">
        <v>5</v>
      </c>
      <c r="I1239" s="49">
        <f t="shared" si="1170"/>
        <v>17</v>
      </c>
      <c r="J1239" s="11">
        <f t="shared" si="1171"/>
        <v>30</v>
      </c>
      <c r="K1239" s="63">
        <v>45458</v>
      </c>
      <c r="M1239" s="26"/>
      <c r="N1239" s="8"/>
      <c r="O1239" s="9"/>
      <c r="P1239" s="10"/>
      <c r="Q1239" s="49">
        <f t="shared" si="1178"/>
        <v>0</v>
      </c>
      <c r="R1239" s="12"/>
      <c r="S1239" s="9"/>
      <c r="T1239" s="10"/>
      <c r="U1239" s="49">
        <f t="shared" si="1179"/>
        <v>0</v>
      </c>
      <c r="V1239" s="11">
        <f t="shared" si="1180"/>
        <v>0</v>
      </c>
    </row>
    <row r="1240" spans="1:22" x14ac:dyDescent="0.15">
      <c r="A1240" s="25" t="s">
        <v>33</v>
      </c>
      <c r="B1240" s="8"/>
      <c r="C1240" s="9"/>
      <c r="D1240" s="10"/>
      <c r="E1240" s="49">
        <f t="shared" si="1169"/>
        <v>0</v>
      </c>
      <c r="F1240" s="12"/>
      <c r="G1240" s="9"/>
      <c r="H1240" s="10">
        <v>4</v>
      </c>
      <c r="I1240" s="49">
        <f t="shared" si="1170"/>
        <v>4</v>
      </c>
      <c r="J1240" s="11">
        <f t="shared" si="1171"/>
        <v>4</v>
      </c>
      <c r="K1240" s="63">
        <v>45458</v>
      </c>
      <c r="M1240" s="26"/>
      <c r="N1240" s="8"/>
      <c r="O1240" s="9"/>
      <c r="P1240" s="10"/>
      <c r="Q1240" s="49">
        <f t="shared" si="1178"/>
        <v>0</v>
      </c>
      <c r="R1240" s="12"/>
      <c r="S1240" s="9"/>
      <c r="T1240" s="10"/>
      <c r="U1240" s="49">
        <f t="shared" si="1179"/>
        <v>0</v>
      </c>
      <c r="V1240" s="11">
        <f t="shared" si="1180"/>
        <v>0</v>
      </c>
    </row>
    <row r="1241" spans="1:22" x14ac:dyDescent="0.15">
      <c r="A1241" s="25" t="s">
        <v>33</v>
      </c>
      <c r="B1241" s="8"/>
      <c r="C1241" s="9">
        <v>3</v>
      </c>
      <c r="D1241" s="10"/>
      <c r="E1241" s="49">
        <f t="shared" si="1169"/>
        <v>3</v>
      </c>
      <c r="F1241" s="12">
        <v>1</v>
      </c>
      <c r="G1241" s="9">
        <v>5</v>
      </c>
      <c r="H1241" s="10"/>
      <c r="I1241" s="49">
        <f t="shared" si="1170"/>
        <v>6</v>
      </c>
      <c r="J1241" s="11">
        <f t="shared" si="1171"/>
        <v>9</v>
      </c>
      <c r="K1241" s="63">
        <v>45460</v>
      </c>
      <c r="M1241" s="26"/>
      <c r="N1241" s="8"/>
      <c r="O1241" s="9"/>
      <c r="P1241" s="10"/>
      <c r="Q1241" s="49">
        <f t="shared" si="1178"/>
        <v>0</v>
      </c>
      <c r="R1241" s="12"/>
      <c r="S1241" s="9"/>
      <c r="T1241" s="10"/>
      <c r="U1241" s="49">
        <f t="shared" si="1179"/>
        <v>0</v>
      </c>
      <c r="V1241" s="11">
        <f t="shared" si="1180"/>
        <v>0</v>
      </c>
    </row>
    <row r="1242" spans="1:22" x14ac:dyDescent="0.15">
      <c r="A1242" s="25" t="s">
        <v>469</v>
      </c>
      <c r="B1242" s="8"/>
      <c r="C1242" s="9">
        <v>1</v>
      </c>
      <c r="D1242" s="10"/>
      <c r="E1242" s="49">
        <f t="shared" si="1169"/>
        <v>1</v>
      </c>
      <c r="F1242" s="12"/>
      <c r="G1242" s="9">
        <v>1</v>
      </c>
      <c r="H1242" s="10"/>
      <c r="I1242" s="49">
        <f t="shared" si="1170"/>
        <v>1</v>
      </c>
      <c r="J1242" s="11">
        <f t="shared" si="1171"/>
        <v>2</v>
      </c>
      <c r="K1242" s="63">
        <v>45463</v>
      </c>
      <c r="M1242" s="26"/>
      <c r="N1242" s="8"/>
      <c r="O1242" s="9"/>
      <c r="P1242" s="10"/>
      <c r="Q1242" s="49">
        <f t="shared" ref="Q1242:Q1243" si="1184">SUM(N1242:P1242)</f>
        <v>0</v>
      </c>
      <c r="R1242" s="12"/>
      <c r="S1242" s="9"/>
      <c r="T1242" s="10"/>
      <c r="U1242" s="49">
        <f t="shared" ref="U1242:U1243" si="1185">SUM(R1242:T1242)</f>
        <v>0</v>
      </c>
      <c r="V1242" s="11">
        <f t="shared" ref="V1242:V1243" si="1186">Q1242+U1242</f>
        <v>0</v>
      </c>
    </row>
    <row r="1243" spans="1:22" ht="14.25" thickBot="1" x14ac:dyDescent="0.2">
      <c r="A1243" s="25" t="s">
        <v>33</v>
      </c>
      <c r="B1243" s="13"/>
      <c r="C1243" s="14">
        <v>2</v>
      </c>
      <c r="D1243" s="15">
        <v>2</v>
      </c>
      <c r="E1243" s="55">
        <f t="shared" si="1169"/>
        <v>4</v>
      </c>
      <c r="F1243" s="16"/>
      <c r="G1243" s="14">
        <v>2</v>
      </c>
      <c r="H1243" s="15">
        <v>3</v>
      </c>
      <c r="I1243" s="55">
        <f t="shared" si="1170"/>
        <v>5</v>
      </c>
      <c r="J1243" s="11">
        <f t="shared" si="1171"/>
        <v>9</v>
      </c>
      <c r="K1243" s="71">
        <v>45461</v>
      </c>
      <c r="M1243" s="26"/>
      <c r="N1243" s="8"/>
      <c r="O1243" s="9"/>
      <c r="P1243" s="10"/>
      <c r="Q1243" s="49">
        <f t="shared" si="1184"/>
        <v>0</v>
      </c>
      <c r="R1243" s="12"/>
      <c r="S1243" s="9"/>
      <c r="T1243" s="10"/>
      <c r="U1243" s="49">
        <f t="shared" si="1185"/>
        <v>0</v>
      </c>
      <c r="V1243" s="11">
        <f t="shared" si="1186"/>
        <v>0</v>
      </c>
    </row>
    <row r="1244" spans="1:22" ht="14.25" thickBot="1" x14ac:dyDescent="0.2">
      <c r="A1244" s="41" t="s">
        <v>19</v>
      </c>
      <c r="B1244" s="46">
        <f>SUM(B1218:B1243)</f>
        <v>0</v>
      </c>
      <c r="C1244" s="47">
        <f t="shared" ref="C1244:D1244" si="1187">SUM(C1218:C1243)</f>
        <v>41</v>
      </c>
      <c r="D1244" s="59">
        <f t="shared" si="1187"/>
        <v>23</v>
      </c>
      <c r="E1244" s="45">
        <f t="shared" si="1169"/>
        <v>64</v>
      </c>
      <c r="F1244" s="46">
        <f>SUM(F1218:F1243)</f>
        <v>42</v>
      </c>
      <c r="G1244" s="47">
        <f t="shared" ref="G1244:H1244" si="1188">SUM(G1218:G1243)</f>
        <v>50</v>
      </c>
      <c r="H1244" s="59">
        <f t="shared" si="1188"/>
        <v>25</v>
      </c>
      <c r="I1244" s="45">
        <f t="shared" si="1170"/>
        <v>117</v>
      </c>
      <c r="J1244" s="45">
        <f>E1244+I1244</f>
        <v>181</v>
      </c>
      <c r="M1244" s="41" t="s">
        <v>19</v>
      </c>
      <c r="N1244" s="46">
        <f>SUM(N1218:N1243)</f>
        <v>1</v>
      </c>
      <c r="O1244" s="47">
        <f t="shared" ref="O1244:P1244" si="1189">SUM(O1218:O1243)</f>
        <v>15</v>
      </c>
      <c r="P1244" s="59">
        <f t="shared" si="1189"/>
        <v>0</v>
      </c>
      <c r="Q1244" s="45">
        <f t="shared" si="1178"/>
        <v>16</v>
      </c>
      <c r="R1244" s="46">
        <f>SUM(R1218:R1243)</f>
        <v>11</v>
      </c>
      <c r="S1244" s="47">
        <f t="shared" ref="S1244:T1244" si="1190">SUM(S1218:S1243)</f>
        <v>20</v>
      </c>
      <c r="T1244" s="59">
        <f t="shared" si="1190"/>
        <v>0</v>
      </c>
      <c r="U1244" s="45">
        <f t="shared" si="1179"/>
        <v>31</v>
      </c>
      <c r="V1244" s="45">
        <f>Q1244+U1244</f>
        <v>47</v>
      </c>
    </row>
    <row r="1245" spans="1:22" ht="14.25" thickBot="1" x14ac:dyDescent="0.2">
      <c r="A1245" s="22" t="s">
        <v>17</v>
      </c>
      <c r="B1245" s="50">
        <f>B1217-B1244</f>
        <v>0</v>
      </c>
      <c r="C1245" s="57">
        <f t="shared" ref="C1245:D1245" si="1191">C1217-C1244</f>
        <v>9</v>
      </c>
      <c r="D1245" s="58">
        <f t="shared" si="1191"/>
        <v>10</v>
      </c>
      <c r="E1245" s="56">
        <f>SUM(B1245:D1245)</f>
        <v>19</v>
      </c>
      <c r="F1245" s="50">
        <f>F1217-F1244</f>
        <v>10</v>
      </c>
      <c r="G1245" s="57">
        <f t="shared" ref="G1245:H1245" si="1192">G1217-G1244</f>
        <v>12</v>
      </c>
      <c r="H1245" s="58">
        <f t="shared" si="1192"/>
        <v>6</v>
      </c>
      <c r="I1245" s="56">
        <f>SUM(F1245:H1245)</f>
        <v>28</v>
      </c>
      <c r="J1245" s="31">
        <f>E1245+I1245</f>
        <v>47</v>
      </c>
      <c r="M1245" s="22" t="s">
        <v>17</v>
      </c>
      <c r="N1245" s="50">
        <f>N1217-N1244</f>
        <v>23</v>
      </c>
      <c r="O1245" s="57">
        <f t="shared" ref="O1245:P1245" si="1193">O1217-O1244</f>
        <v>119</v>
      </c>
      <c r="P1245" s="58">
        <f t="shared" si="1193"/>
        <v>422</v>
      </c>
      <c r="Q1245" s="56">
        <f>SUM(N1245:P1245)</f>
        <v>564</v>
      </c>
      <c r="R1245" s="50">
        <f>R1217-R1244</f>
        <v>123</v>
      </c>
      <c r="S1245" s="57">
        <f t="shared" ref="S1245:T1245" si="1194">S1217-S1244</f>
        <v>382</v>
      </c>
      <c r="T1245" s="58">
        <f t="shared" si="1194"/>
        <v>493</v>
      </c>
      <c r="U1245" s="56">
        <f>SUM(R1245:T1245)</f>
        <v>998</v>
      </c>
      <c r="V1245" s="31">
        <f>Q1245+U1245</f>
        <v>1562</v>
      </c>
    </row>
    <row r="1248" spans="1:22" ht="19.5" thickBot="1" x14ac:dyDescent="0.25">
      <c r="A1248" s="3" t="s">
        <v>21</v>
      </c>
      <c r="B1248" s="1"/>
      <c r="C1248" s="1"/>
      <c r="D1248" s="1"/>
      <c r="E1248" s="1"/>
      <c r="F1248" s="1"/>
      <c r="G1248" s="1"/>
      <c r="H1248" s="1"/>
      <c r="I1248" s="1"/>
      <c r="J1248" s="1"/>
      <c r="M1248" s="3" t="s">
        <v>22</v>
      </c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4" ht="14.25" thickBot="1" x14ac:dyDescent="0.2">
      <c r="A1249" s="7" t="s">
        <v>0</v>
      </c>
      <c r="B1249" s="165" t="s">
        <v>24</v>
      </c>
      <c r="C1249" s="166"/>
      <c r="D1249" s="166"/>
      <c r="E1249" s="170"/>
      <c r="F1249" s="165" t="s">
        <v>18</v>
      </c>
      <c r="G1249" s="166"/>
      <c r="H1249" s="166"/>
      <c r="I1249" s="167"/>
      <c r="J1249" s="168" t="s">
        <v>1</v>
      </c>
      <c r="M1249" s="7" t="s">
        <v>0</v>
      </c>
      <c r="N1249" s="165" t="s">
        <v>24</v>
      </c>
      <c r="O1249" s="166"/>
      <c r="P1249" s="166"/>
      <c r="Q1249" s="170"/>
      <c r="R1249" s="165" t="s">
        <v>18</v>
      </c>
      <c r="S1249" s="166"/>
      <c r="T1249" s="166"/>
      <c r="U1249" s="167"/>
      <c r="V1249" s="168" t="s">
        <v>1</v>
      </c>
    </row>
    <row r="1250" spans="1:24" ht="14.25" thickBot="1" x14ac:dyDescent="0.2">
      <c r="A1250" s="7" t="s">
        <v>2</v>
      </c>
      <c r="B1250" s="4" t="s">
        <v>3</v>
      </c>
      <c r="C1250" s="5" t="s">
        <v>4</v>
      </c>
      <c r="D1250" s="6" t="s">
        <v>5</v>
      </c>
      <c r="E1250" s="7" t="s">
        <v>6</v>
      </c>
      <c r="F1250" s="4" t="s">
        <v>3</v>
      </c>
      <c r="G1250" s="5" t="s">
        <v>4</v>
      </c>
      <c r="H1250" s="6" t="s">
        <v>5</v>
      </c>
      <c r="I1250" s="7" t="s">
        <v>6</v>
      </c>
      <c r="J1250" s="169"/>
      <c r="M1250" s="7" t="s">
        <v>2</v>
      </c>
      <c r="N1250" s="4" t="s">
        <v>3</v>
      </c>
      <c r="O1250" s="5" t="s">
        <v>4</v>
      </c>
      <c r="P1250" s="6" t="s">
        <v>5</v>
      </c>
      <c r="Q1250" s="7" t="s">
        <v>6</v>
      </c>
      <c r="R1250" s="4" t="s">
        <v>3</v>
      </c>
      <c r="S1250" s="5" t="s">
        <v>4</v>
      </c>
      <c r="T1250" s="6" t="s">
        <v>5</v>
      </c>
      <c r="U1250" s="7" t="s">
        <v>6</v>
      </c>
      <c r="V1250" s="169"/>
    </row>
    <row r="1251" spans="1:24" ht="14.25" thickBot="1" x14ac:dyDescent="0.2">
      <c r="A1251" s="27" t="s">
        <v>20</v>
      </c>
      <c r="B1251" s="28">
        <f>B1245</f>
        <v>0</v>
      </c>
      <c r="C1251" s="29">
        <f>C1245</f>
        <v>9</v>
      </c>
      <c r="D1251" s="30">
        <f>D1245</f>
        <v>10</v>
      </c>
      <c r="E1251" s="31">
        <f>SUM(B1251:D1251)</f>
        <v>19</v>
      </c>
      <c r="F1251" s="28">
        <f>F1245</f>
        <v>10</v>
      </c>
      <c r="G1251" s="29">
        <f>G1245</f>
        <v>12</v>
      </c>
      <c r="H1251" s="30">
        <f>H1245</f>
        <v>6</v>
      </c>
      <c r="I1251" s="31">
        <f>SUM(F1251:H1251)</f>
        <v>28</v>
      </c>
      <c r="J1251" s="31">
        <f>E1251+I1251</f>
        <v>47</v>
      </c>
      <c r="M1251" s="27" t="s">
        <v>20</v>
      </c>
      <c r="N1251" s="28">
        <f>N1245</f>
        <v>23</v>
      </c>
      <c r="O1251" s="29">
        <f>O1245</f>
        <v>119</v>
      </c>
      <c r="P1251" s="30">
        <f>P1245</f>
        <v>422</v>
      </c>
      <c r="Q1251" s="31">
        <f>SUM(N1251:P1251)</f>
        <v>564</v>
      </c>
      <c r="R1251" s="28">
        <f>R1245</f>
        <v>123</v>
      </c>
      <c r="S1251" s="29">
        <f>S1245</f>
        <v>382</v>
      </c>
      <c r="T1251" s="30">
        <f>T1245</f>
        <v>493</v>
      </c>
      <c r="U1251" s="31">
        <f>SUM(R1251:T1251)</f>
        <v>998</v>
      </c>
      <c r="V1251" s="31">
        <f>Q1251+U1251</f>
        <v>1562</v>
      </c>
    </row>
    <row r="1252" spans="1:24" x14ac:dyDescent="0.15">
      <c r="A1252" s="25" t="s">
        <v>8</v>
      </c>
      <c r="B1252" s="17"/>
      <c r="C1252" s="18">
        <v>5</v>
      </c>
      <c r="D1252" s="51">
        <v>5</v>
      </c>
      <c r="E1252" s="11">
        <f t="shared" ref="E1252:E1257" si="1195">SUM(B1252:D1252)</f>
        <v>10</v>
      </c>
      <c r="F1252" s="20"/>
      <c r="G1252" s="18"/>
      <c r="H1252" s="19">
        <v>5</v>
      </c>
      <c r="I1252" s="11">
        <f t="shared" ref="I1252:I1257" si="1196">SUM(F1252:H1252)</f>
        <v>5</v>
      </c>
      <c r="J1252" s="11">
        <f t="shared" ref="J1252:J1257" si="1197">E1252+I1252</f>
        <v>15</v>
      </c>
      <c r="K1252" s="63">
        <v>45463</v>
      </c>
      <c r="M1252" s="25" t="s">
        <v>8</v>
      </c>
      <c r="N1252" s="17"/>
      <c r="O1252" s="18"/>
      <c r="P1252" s="51"/>
      <c r="Q1252" s="49">
        <f t="shared" ref="Q1252:Q1259" si="1198">SUM(N1252:P1252)</f>
        <v>0</v>
      </c>
      <c r="R1252" s="20"/>
      <c r="S1252" s="18"/>
      <c r="T1252" s="19"/>
      <c r="U1252" s="49">
        <f t="shared" ref="U1252:U1259" si="1199">SUM(R1252:T1252)</f>
        <v>0</v>
      </c>
      <c r="V1252" s="49">
        <f t="shared" ref="V1252:V1259" si="1200">Q1252+U1252</f>
        <v>0</v>
      </c>
    </row>
    <row r="1253" spans="1:24" x14ac:dyDescent="0.15">
      <c r="A1253" s="25" t="s">
        <v>9</v>
      </c>
      <c r="B1253" s="17"/>
      <c r="C1253" s="18">
        <v>5</v>
      </c>
      <c r="D1253" s="51"/>
      <c r="E1253" s="11">
        <f t="shared" si="1195"/>
        <v>5</v>
      </c>
      <c r="F1253" s="20">
        <v>20</v>
      </c>
      <c r="G1253" s="18">
        <v>10</v>
      </c>
      <c r="H1253" s="19">
        <v>10</v>
      </c>
      <c r="I1253" s="11">
        <f t="shared" si="1196"/>
        <v>40</v>
      </c>
      <c r="J1253" s="11">
        <f t="shared" si="1197"/>
        <v>45</v>
      </c>
      <c r="K1253" s="63">
        <v>45469</v>
      </c>
      <c r="L1253" s="82"/>
      <c r="M1253" s="25" t="s">
        <v>9</v>
      </c>
      <c r="N1253" s="8"/>
      <c r="O1253" s="9"/>
      <c r="P1253" s="52"/>
      <c r="Q1253" s="11">
        <f t="shared" si="1198"/>
        <v>0</v>
      </c>
      <c r="R1253" s="12"/>
      <c r="S1253" s="9"/>
      <c r="T1253" s="10"/>
      <c r="U1253" s="11">
        <f t="shared" si="1199"/>
        <v>0</v>
      </c>
      <c r="V1253" s="11">
        <f t="shared" si="1200"/>
        <v>0</v>
      </c>
    </row>
    <row r="1254" spans="1:24" x14ac:dyDescent="0.15">
      <c r="A1254" s="25" t="s">
        <v>10</v>
      </c>
      <c r="B1254" s="17"/>
      <c r="C1254" s="18">
        <v>5</v>
      </c>
      <c r="D1254" s="51"/>
      <c r="E1254" s="11">
        <f t="shared" si="1195"/>
        <v>5</v>
      </c>
      <c r="F1254" s="20">
        <v>5</v>
      </c>
      <c r="G1254" s="18">
        <v>5</v>
      </c>
      <c r="H1254" s="19">
        <v>5</v>
      </c>
      <c r="I1254" s="11">
        <f t="shared" si="1196"/>
        <v>15</v>
      </c>
      <c r="J1254" s="11">
        <f t="shared" si="1197"/>
        <v>20</v>
      </c>
      <c r="K1254" s="63">
        <v>45470</v>
      </c>
      <c r="L1254" s="82"/>
      <c r="M1254" s="25" t="s">
        <v>10</v>
      </c>
      <c r="N1254" s="8"/>
      <c r="O1254" s="9"/>
      <c r="P1254" s="52"/>
      <c r="Q1254" s="11">
        <f t="shared" si="1198"/>
        <v>0</v>
      </c>
      <c r="R1254" s="12"/>
      <c r="S1254" s="9"/>
      <c r="T1254" s="10"/>
      <c r="U1254" s="11">
        <f t="shared" si="1199"/>
        <v>0</v>
      </c>
      <c r="V1254" s="11">
        <f t="shared" si="1200"/>
        <v>0</v>
      </c>
    </row>
    <row r="1255" spans="1:24" x14ac:dyDescent="0.15">
      <c r="A1255" s="25" t="s">
        <v>11</v>
      </c>
      <c r="B1255" s="17"/>
      <c r="C1255" s="18">
        <v>5</v>
      </c>
      <c r="D1255" s="51">
        <v>5</v>
      </c>
      <c r="E1255" s="11">
        <f t="shared" si="1195"/>
        <v>10</v>
      </c>
      <c r="F1255" s="20"/>
      <c r="G1255" s="18">
        <v>10</v>
      </c>
      <c r="H1255" s="19">
        <v>10</v>
      </c>
      <c r="I1255" s="11">
        <f t="shared" si="1196"/>
        <v>20</v>
      </c>
      <c r="J1255" s="11">
        <f t="shared" si="1197"/>
        <v>30</v>
      </c>
      <c r="K1255" s="63">
        <v>45471</v>
      </c>
      <c r="M1255" s="25" t="s">
        <v>11</v>
      </c>
      <c r="N1255" s="8"/>
      <c r="O1255" s="9"/>
      <c r="P1255" s="52"/>
      <c r="Q1255" s="11">
        <f t="shared" si="1198"/>
        <v>0</v>
      </c>
      <c r="R1255" s="12"/>
      <c r="S1255" s="9"/>
      <c r="T1255" s="10"/>
      <c r="U1255" s="11">
        <f t="shared" si="1199"/>
        <v>0</v>
      </c>
      <c r="V1255" s="11">
        <f t="shared" si="1200"/>
        <v>0</v>
      </c>
    </row>
    <row r="1256" spans="1:24" x14ac:dyDescent="0.15">
      <c r="A1256" s="25" t="s">
        <v>12</v>
      </c>
      <c r="B1256" s="17"/>
      <c r="C1256" s="18">
        <v>10</v>
      </c>
      <c r="D1256" s="51"/>
      <c r="E1256" s="11">
        <f t="shared" si="1195"/>
        <v>10</v>
      </c>
      <c r="F1256" s="20">
        <v>10</v>
      </c>
      <c r="G1256" s="18">
        <v>10</v>
      </c>
      <c r="H1256" s="19">
        <v>10</v>
      </c>
      <c r="I1256" s="11">
        <f t="shared" si="1196"/>
        <v>30</v>
      </c>
      <c r="J1256" s="11">
        <f t="shared" si="1197"/>
        <v>40</v>
      </c>
      <c r="K1256" s="63">
        <v>45476</v>
      </c>
      <c r="M1256" s="25" t="s">
        <v>12</v>
      </c>
      <c r="N1256" s="8"/>
      <c r="O1256" s="9"/>
      <c r="P1256" s="52"/>
      <c r="Q1256" s="11">
        <f t="shared" si="1198"/>
        <v>0</v>
      </c>
      <c r="R1256" s="12"/>
      <c r="S1256" s="9"/>
      <c r="T1256" s="10"/>
      <c r="U1256" s="11">
        <f t="shared" si="1199"/>
        <v>0</v>
      </c>
      <c r="V1256" s="11">
        <f t="shared" si="1200"/>
        <v>0</v>
      </c>
    </row>
    <row r="1257" spans="1:24" x14ac:dyDescent="0.15">
      <c r="A1257" s="25" t="s">
        <v>13</v>
      </c>
      <c r="B1257" s="17"/>
      <c r="C1257" s="18">
        <v>5</v>
      </c>
      <c r="D1257" s="51">
        <v>5</v>
      </c>
      <c r="E1257" s="11">
        <f t="shared" si="1195"/>
        <v>10</v>
      </c>
      <c r="F1257" s="20">
        <v>10</v>
      </c>
      <c r="G1257" s="18">
        <v>10</v>
      </c>
      <c r="H1257" s="19">
        <v>5</v>
      </c>
      <c r="I1257" s="11">
        <f t="shared" si="1196"/>
        <v>25</v>
      </c>
      <c r="J1257" s="11">
        <f t="shared" si="1197"/>
        <v>35</v>
      </c>
      <c r="K1257" s="63">
        <v>45479</v>
      </c>
      <c r="M1257" s="25" t="s">
        <v>13</v>
      </c>
      <c r="N1257" s="8"/>
      <c r="O1257" s="9"/>
      <c r="P1257" s="52"/>
      <c r="Q1257" s="11">
        <f t="shared" si="1198"/>
        <v>0</v>
      </c>
      <c r="R1257" s="12"/>
      <c r="S1257" s="9"/>
      <c r="T1257" s="10"/>
      <c r="U1257" s="11">
        <f t="shared" si="1199"/>
        <v>0</v>
      </c>
      <c r="V1257" s="11">
        <f t="shared" si="1200"/>
        <v>0</v>
      </c>
    </row>
    <row r="1258" spans="1:24" x14ac:dyDescent="0.15">
      <c r="A1258" s="25" t="s">
        <v>143</v>
      </c>
      <c r="B1258" s="17"/>
      <c r="C1258" s="18"/>
      <c r="D1258" s="51">
        <v>1</v>
      </c>
      <c r="E1258" s="11">
        <f t="shared" ref="E1258:E1259" si="1201">SUM(B1258:D1258)</f>
        <v>1</v>
      </c>
      <c r="F1258" s="20"/>
      <c r="G1258" s="18"/>
      <c r="H1258" s="19">
        <v>1</v>
      </c>
      <c r="I1258" s="11">
        <f t="shared" ref="I1258:I1259" si="1202">SUM(F1258:H1258)</f>
        <v>1</v>
      </c>
      <c r="J1258" s="11">
        <f t="shared" ref="J1258:J1259" si="1203">E1258+I1258</f>
        <v>2</v>
      </c>
      <c r="K1258" s="63">
        <v>45482</v>
      </c>
      <c r="L1258" s="82"/>
      <c r="M1258" s="25" t="s">
        <v>14</v>
      </c>
      <c r="N1258" s="13"/>
      <c r="O1258" s="14"/>
      <c r="P1258" s="53"/>
      <c r="Q1258" s="11">
        <f t="shared" si="1198"/>
        <v>0</v>
      </c>
      <c r="R1258" s="16"/>
      <c r="S1258" s="14"/>
      <c r="T1258" s="15"/>
      <c r="U1258" s="11">
        <f t="shared" si="1199"/>
        <v>0</v>
      </c>
      <c r="V1258" s="11">
        <f t="shared" si="1200"/>
        <v>0</v>
      </c>
    </row>
    <row r="1259" spans="1:24" ht="14.25" thickBot="1" x14ac:dyDescent="0.2">
      <c r="A1259" s="25" t="s">
        <v>15</v>
      </c>
      <c r="B1259" s="17"/>
      <c r="C1259" s="18">
        <v>10</v>
      </c>
      <c r="D1259" s="51"/>
      <c r="E1259" s="11">
        <f t="shared" si="1201"/>
        <v>10</v>
      </c>
      <c r="F1259" s="20">
        <v>10</v>
      </c>
      <c r="G1259" s="18">
        <v>5</v>
      </c>
      <c r="H1259" s="19"/>
      <c r="I1259" s="11">
        <f t="shared" si="1202"/>
        <v>15</v>
      </c>
      <c r="J1259" s="11">
        <f t="shared" si="1203"/>
        <v>25</v>
      </c>
      <c r="K1259" s="63">
        <v>45483</v>
      </c>
      <c r="M1259" s="25" t="s">
        <v>15</v>
      </c>
      <c r="N1259" s="13"/>
      <c r="O1259" s="14"/>
      <c r="P1259" s="53"/>
      <c r="Q1259" s="11">
        <f t="shared" si="1198"/>
        <v>0</v>
      </c>
      <c r="R1259" s="16"/>
      <c r="S1259" s="14"/>
      <c r="T1259" s="15"/>
      <c r="U1259" s="11">
        <f t="shared" si="1199"/>
        <v>0</v>
      </c>
      <c r="V1259" s="11">
        <f t="shared" si="1200"/>
        <v>0</v>
      </c>
    </row>
    <row r="1260" spans="1:24" ht="14.25" thickBot="1" x14ac:dyDescent="0.2">
      <c r="A1260" s="35" t="s">
        <v>16</v>
      </c>
      <c r="B1260" s="28">
        <f>SUM(B1251:B1259)</f>
        <v>0</v>
      </c>
      <c r="C1260" s="29">
        <f t="shared" ref="C1260:D1260" si="1204">SUM(C1251:C1259)</f>
        <v>54</v>
      </c>
      <c r="D1260" s="68">
        <f t="shared" si="1204"/>
        <v>26</v>
      </c>
      <c r="E1260" s="64">
        <f>SUM(B1260:D1260)</f>
        <v>80</v>
      </c>
      <c r="F1260" s="28">
        <f>SUM(F1251:F1259)</f>
        <v>65</v>
      </c>
      <c r="G1260" s="29">
        <f t="shared" ref="G1260:H1260" si="1205">SUM(G1251:G1259)</f>
        <v>62</v>
      </c>
      <c r="H1260" s="68">
        <f t="shared" si="1205"/>
        <v>52</v>
      </c>
      <c r="I1260" s="64">
        <f>SUM(F1260:H1260)</f>
        <v>179</v>
      </c>
      <c r="J1260" s="31">
        <f>SUM(J1252:J1259)</f>
        <v>212</v>
      </c>
      <c r="M1260" s="35" t="s">
        <v>16</v>
      </c>
      <c r="N1260" s="28">
        <f>SUM(N1251:N1259)</f>
        <v>23</v>
      </c>
      <c r="O1260" s="29">
        <f t="shared" ref="O1260:P1260" si="1206">SUM(O1251:O1259)</f>
        <v>119</v>
      </c>
      <c r="P1260" s="68">
        <f t="shared" si="1206"/>
        <v>422</v>
      </c>
      <c r="Q1260" s="64">
        <f>SUM(N1260:P1260)</f>
        <v>564</v>
      </c>
      <c r="R1260" s="28">
        <f>SUM(R1251:R1259)</f>
        <v>123</v>
      </c>
      <c r="S1260" s="29">
        <f t="shared" ref="S1260:T1260" si="1207">SUM(S1251:S1259)</f>
        <v>382</v>
      </c>
      <c r="T1260" s="68">
        <f t="shared" si="1207"/>
        <v>493</v>
      </c>
      <c r="U1260" s="64">
        <f>SUM(R1260:T1260)</f>
        <v>998</v>
      </c>
      <c r="V1260" s="31">
        <f>Q1260+U1260</f>
        <v>1562</v>
      </c>
    </row>
    <row r="1261" spans="1:24" x14ac:dyDescent="0.15">
      <c r="A1261" s="25" t="s">
        <v>33</v>
      </c>
      <c r="B1261" s="8"/>
      <c r="C1261" s="9"/>
      <c r="D1261" s="10">
        <v>1</v>
      </c>
      <c r="E1261" s="49">
        <f t="shared" ref="E1261:E1284" si="1208">SUM(B1261:D1261)</f>
        <v>1</v>
      </c>
      <c r="F1261" s="12">
        <v>1</v>
      </c>
      <c r="G1261" s="9">
        <v>1</v>
      </c>
      <c r="H1261" s="10"/>
      <c r="I1261" s="49">
        <f t="shared" ref="I1261:I1284" si="1209">SUM(F1261:H1261)</f>
        <v>2</v>
      </c>
      <c r="J1261" s="11">
        <f t="shared" ref="J1261:J1284" si="1210">E1261+I1261</f>
        <v>3</v>
      </c>
      <c r="K1261" s="63">
        <v>45462</v>
      </c>
      <c r="M1261" s="26" t="s">
        <v>329</v>
      </c>
      <c r="N1261" s="8">
        <v>2</v>
      </c>
      <c r="O1261" s="9"/>
      <c r="P1261" s="10"/>
      <c r="Q1261" s="49">
        <f t="shared" ref="Q1261:Q1265" si="1211">SUM(N1261:P1261)</f>
        <v>2</v>
      </c>
      <c r="R1261" s="12">
        <v>2</v>
      </c>
      <c r="S1261" s="9"/>
      <c r="T1261" s="10"/>
      <c r="U1261" s="49">
        <f t="shared" ref="U1261:U1265" si="1212">SUM(R1261:T1261)</f>
        <v>2</v>
      </c>
      <c r="V1261" s="11">
        <f t="shared" ref="V1261:V1265" si="1213">Q1261+U1261</f>
        <v>4</v>
      </c>
      <c r="W1261" s="140">
        <v>45464</v>
      </c>
      <c r="X1261" s="82"/>
    </row>
    <row r="1262" spans="1:24" x14ac:dyDescent="0.15">
      <c r="A1262" s="25" t="s">
        <v>33</v>
      </c>
      <c r="B1262" s="8"/>
      <c r="C1262" s="9"/>
      <c r="D1262" s="10"/>
      <c r="E1262" s="49">
        <f t="shared" si="1208"/>
        <v>0</v>
      </c>
      <c r="F1262" s="12">
        <v>1</v>
      </c>
      <c r="G1262" s="9">
        <v>2</v>
      </c>
      <c r="H1262" s="10"/>
      <c r="I1262" s="49">
        <f t="shared" si="1209"/>
        <v>3</v>
      </c>
      <c r="J1262" s="11">
        <f t="shared" si="1210"/>
        <v>3</v>
      </c>
      <c r="K1262" s="63">
        <v>45463</v>
      </c>
      <c r="M1262" s="23" t="s">
        <v>28</v>
      </c>
      <c r="N1262" s="8"/>
      <c r="O1262" s="9">
        <v>5</v>
      </c>
      <c r="P1262" s="10">
        <v>5</v>
      </c>
      <c r="Q1262" s="49">
        <f t="shared" si="1211"/>
        <v>10</v>
      </c>
      <c r="R1262" s="12"/>
      <c r="S1262" s="9"/>
      <c r="T1262" s="10">
        <v>5</v>
      </c>
      <c r="U1262" s="49">
        <f t="shared" si="1212"/>
        <v>5</v>
      </c>
      <c r="V1262" s="11">
        <f t="shared" si="1213"/>
        <v>15</v>
      </c>
      <c r="W1262" s="140">
        <v>45463</v>
      </c>
      <c r="X1262" s="82"/>
    </row>
    <row r="1263" spans="1:24" x14ac:dyDescent="0.15">
      <c r="A1263" s="25" t="s">
        <v>33</v>
      </c>
      <c r="B1263" s="8"/>
      <c r="C1263" s="9"/>
      <c r="D1263" s="10"/>
      <c r="E1263" s="49">
        <f t="shared" si="1208"/>
        <v>0</v>
      </c>
      <c r="F1263" s="12"/>
      <c r="G1263" s="9">
        <v>1</v>
      </c>
      <c r="H1263" s="10"/>
      <c r="I1263" s="49">
        <f t="shared" si="1209"/>
        <v>1</v>
      </c>
      <c r="J1263" s="11">
        <f t="shared" si="1210"/>
        <v>1</v>
      </c>
      <c r="K1263" s="63">
        <v>45464</v>
      </c>
      <c r="M1263" s="23" t="s">
        <v>28</v>
      </c>
      <c r="N1263" s="8"/>
      <c r="O1263" s="9">
        <v>5</v>
      </c>
      <c r="P1263" s="10"/>
      <c r="Q1263" s="49">
        <f t="shared" si="1211"/>
        <v>5</v>
      </c>
      <c r="R1263" s="12">
        <v>20</v>
      </c>
      <c r="S1263" s="9">
        <v>10</v>
      </c>
      <c r="T1263" s="10">
        <v>10</v>
      </c>
      <c r="U1263" s="49">
        <f t="shared" si="1212"/>
        <v>40</v>
      </c>
      <c r="V1263" s="11">
        <f t="shared" si="1213"/>
        <v>45</v>
      </c>
      <c r="W1263" s="140">
        <v>45469</v>
      </c>
      <c r="X1263" s="82"/>
    </row>
    <row r="1264" spans="1:24" x14ac:dyDescent="0.15">
      <c r="A1264" s="25" t="s">
        <v>33</v>
      </c>
      <c r="B1264" s="8"/>
      <c r="C1264" s="9">
        <f>2+1</f>
        <v>3</v>
      </c>
      <c r="D1264" s="10">
        <v>1</v>
      </c>
      <c r="E1264" s="49">
        <f t="shared" si="1208"/>
        <v>4</v>
      </c>
      <c r="F1264" s="12">
        <f>2+1</f>
        <v>3</v>
      </c>
      <c r="G1264" s="9">
        <v>1</v>
      </c>
      <c r="H1264" s="10">
        <f>1+2</f>
        <v>3</v>
      </c>
      <c r="I1264" s="49">
        <f t="shared" si="1209"/>
        <v>7</v>
      </c>
      <c r="J1264" s="11">
        <f t="shared" si="1210"/>
        <v>11</v>
      </c>
      <c r="K1264" s="63">
        <v>45467</v>
      </c>
      <c r="L1264" s="82"/>
      <c r="M1264" s="23" t="s">
        <v>28</v>
      </c>
      <c r="N1264" s="8"/>
      <c r="O1264" s="9">
        <v>5</v>
      </c>
      <c r="P1264" s="10"/>
      <c r="Q1264" s="49">
        <f t="shared" si="1211"/>
        <v>5</v>
      </c>
      <c r="R1264" s="12">
        <v>5</v>
      </c>
      <c r="S1264" s="9">
        <v>5</v>
      </c>
      <c r="T1264" s="10">
        <v>5</v>
      </c>
      <c r="U1264" s="49">
        <f t="shared" si="1212"/>
        <v>15</v>
      </c>
      <c r="V1264" s="11">
        <f t="shared" si="1213"/>
        <v>20</v>
      </c>
      <c r="W1264" s="140">
        <v>45470</v>
      </c>
      <c r="X1264" s="82"/>
    </row>
    <row r="1265" spans="1:25" x14ac:dyDescent="0.15">
      <c r="A1265" s="25" t="s">
        <v>473</v>
      </c>
      <c r="B1265" s="8"/>
      <c r="C1265" s="9">
        <v>1</v>
      </c>
      <c r="D1265" s="10"/>
      <c r="E1265" s="49">
        <f t="shared" si="1208"/>
        <v>1</v>
      </c>
      <c r="F1265" s="12"/>
      <c r="G1265" s="9">
        <v>1</v>
      </c>
      <c r="H1265" s="10"/>
      <c r="I1265" s="49">
        <f t="shared" si="1209"/>
        <v>1</v>
      </c>
      <c r="J1265" s="11">
        <f t="shared" si="1210"/>
        <v>2</v>
      </c>
      <c r="K1265" s="63">
        <v>45470</v>
      </c>
      <c r="M1265" s="23" t="s">
        <v>28</v>
      </c>
      <c r="N1265" s="8"/>
      <c r="O1265" s="9">
        <v>5</v>
      </c>
      <c r="P1265" s="10">
        <v>5</v>
      </c>
      <c r="Q1265" s="49">
        <f t="shared" si="1211"/>
        <v>10</v>
      </c>
      <c r="R1265" s="12"/>
      <c r="S1265" s="9">
        <v>10</v>
      </c>
      <c r="T1265" s="10">
        <v>10</v>
      </c>
      <c r="U1265" s="49">
        <f t="shared" si="1212"/>
        <v>20</v>
      </c>
      <c r="V1265" s="11">
        <f t="shared" si="1213"/>
        <v>30</v>
      </c>
      <c r="W1265" s="140">
        <v>45471</v>
      </c>
      <c r="X1265" s="82"/>
    </row>
    <row r="1266" spans="1:25" x14ac:dyDescent="0.15">
      <c r="A1266" s="25" t="s">
        <v>33</v>
      </c>
      <c r="B1266" s="8"/>
      <c r="C1266" s="9">
        <v>2</v>
      </c>
      <c r="D1266" s="10"/>
      <c r="E1266" s="49">
        <f t="shared" si="1208"/>
        <v>2</v>
      </c>
      <c r="F1266" s="12">
        <v>3</v>
      </c>
      <c r="G1266" s="9">
        <v>1</v>
      </c>
      <c r="H1266" s="10"/>
      <c r="I1266" s="49">
        <f t="shared" si="1209"/>
        <v>4</v>
      </c>
      <c r="J1266" s="11">
        <f t="shared" si="1210"/>
        <v>6</v>
      </c>
      <c r="K1266" s="63">
        <v>45468</v>
      </c>
      <c r="M1266" s="26" t="s">
        <v>475</v>
      </c>
      <c r="N1266" s="8">
        <v>1</v>
      </c>
      <c r="O1266" s="9"/>
      <c r="P1266" s="10"/>
      <c r="Q1266" s="49">
        <f t="shared" ref="Q1266:Q1274" si="1214">SUM(N1266:P1266)</f>
        <v>1</v>
      </c>
      <c r="R1266" s="12">
        <v>1</v>
      </c>
      <c r="S1266" s="9"/>
      <c r="T1266" s="10"/>
      <c r="U1266" s="49">
        <f t="shared" ref="U1266:U1287" si="1215">SUM(R1266:T1266)</f>
        <v>1</v>
      </c>
      <c r="V1266" s="11">
        <f t="shared" ref="V1266:V1285" si="1216">Q1266+U1266</f>
        <v>2</v>
      </c>
      <c r="W1266" s="140">
        <v>45476</v>
      </c>
      <c r="X1266" s="82"/>
    </row>
    <row r="1267" spans="1:25" x14ac:dyDescent="0.15">
      <c r="A1267" s="25" t="s">
        <v>474</v>
      </c>
      <c r="B1267" s="8"/>
      <c r="C1267" s="9">
        <v>3</v>
      </c>
      <c r="D1267" s="10"/>
      <c r="E1267" s="49">
        <f t="shared" si="1208"/>
        <v>3</v>
      </c>
      <c r="F1267" s="12">
        <v>10</v>
      </c>
      <c r="G1267" s="9">
        <v>5</v>
      </c>
      <c r="H1267" s="10">
        <v>10</v>
      </c>
      <c r="I1267" s="49">
        <f t="shared" si="1209"/>
        <v>25</v>
      </c>
      <c r="J1267" s="11">
        <f t="shared" si="1210"/>
        <v>28</v>
      </c>
      <c r="K1267" s="63">
        <v>45469</v>
      </c>
      <c r="M1267" s="26" t="s">
        <v>329</v>
      </c>
      <c r="N1267" s="8">
        <v>1</v>
      </c>
      <c r="O1267" s="9"/>
      <c r="P1267" s="10"/>
      <c r="Q1267" s="49">
        <f t="shared" si="1214"/>
        <v>1</v>
      </c>
      <c r="R1267" s="12">
        <v>1</v>
      </c>
      <c r="S1267" s="9"/>
      <c r="T1267" s="10"/>
      <c r="U1267" s="49">
        <f t="shared" si="1215"/>
        <v>1</v>
      </c>
      <c r="V1267" s="11">
        <f t="shared" si="1216"/>
        <v>2</v>
      </c>
      <c r="W1267" s="140">
        <v>45477</v>
      </c>
      <c r="X1267" s="82"/>
    </row>
    <row r="1268" spans="1:25" x14ac:dyDescent="0.15">
      <c r="A1268" s="25" t="s">
        <v>329</v>
      </c>
      <c r="B1268" s="8"/>
      <c r="C1268" s="9">
        <v>1</v>
      </c>
      <c r="D1268" s="10"/>
      <c r="E1268" s="49">
        <f t="shared" si="1208"/>
        <v>1</v>
      </c>
      <c r="F1268" s="12"/>
      <c r="G1268" s="9">
        <v>1</v>
      </c>
      <c r="H1268" s="10"/>
      <c r="I1268" s="49">
        <f t="shared" si="1209"/>
        <v>1</v>
      </c>
      <c r="J1268" s="11">
        <f t="shared" si="1210"/>
        <v>2</v>
      </c>
      <c r="K1268" s="63">
        <v>45471</v>
      </c>
      <c r="M1268" s="23" t="s">
        <v>28</v>
      </c>
      <c r="N1268" s="8"/>
      <c r="O1268" s="9">
        <v>10</v>
      </c>
      <c r="P1268" s="10"/>
      <c r="Q1268" s="49">
        <f t="shared" si="1214"/>
        <v>10</v>
      </c>
      <c r="R1268" s="12">
        <v>10</v>
      </c>
      <c r="S1268" s="9">
        <v>10</v>
      </c>
      <c r="T1268" s="10">
        <v>10</v>
      </c>
      <c r="U1268" s="49">
        <f t="shared" si="1215"/>
        <v>30</v>
      </c>
      <c r="V1268" s="11">
        <f t="shared" si="1216"/>
        <v>40</v>
      </c>
      <c r="W1268" s="140">
        <v>45476</v>
      </c>
      <c r="X1268" s="82"/>
      <c r="Y1268" s="82"/>
    </row>
    <row r="1269" spans="1:25" x14ac:dyDescent="0.15">
      <c r="A1269" s="25" t="s">
        <v>464</v>
      </c>
      <c r="B1269" s="8"/>
      <c r="C1269" s="9"/>
      <c r="D1269" s="10"/>
      <c r="E1269" s="49">
        <f t="shared" si="1208"/>
        <v>0</v>
      </c>
      <c r="F1269" s="12">
        <v>-1</v>
      </c>
      <c r="G1269" s="9">
        <v>1</v>
      </c>
      <c r="H1269" s="10"/>
      <c r="I1269" s="49">
        <f t="shared" si="1209"/>
        <v>0</v>
      </c>
      <c r="J1269" s="11">
        <f t="shared" si="1210"/>
        <v>0</v>
      </c>
      <c r="K1269" s="63">
        <v>45468</v>
      </c>
      <c r="M1269" s="23" t="s">
        <v>28</v>
      </c>
      <c r="N1269" s="8"/>
      <c r="O1269" s="9">
        <v>5</v>
      </c>
      <c r="P1269" s="10">
        <v>5</v>
      </c>
      <c r="Q1269" s="49">
        <f t="shared" si="1214"/>
        <v>10</v>
      </c>
      <c r="R1269" s="12">
        <v>10</v>
      </c>
      <c r="S1269" s="9">
        <v>10</v>
      </c>
      <c r="T1269" s="10">
        <v>5</v>
      </c>
      <c r="U1269" s="49">
        <f t="shared" si="1215"/>
        <v>25</v>
      </c>
      <c r="V1269" s="11">
        <f t="shared" si="1216"/>
        <v>35</v>
      </c>
      <c r="W1269" s="140">
        <v>45479</v>
      </c>
      <c r="X1269" s="82"/>
      <c r="Y1269" s="82"/>
    </row>
    <row r="1270" spans="1:25" x14ac:dyDescent="0.15">
      <c r="A1270" s="25" t="s">
        <v>33</v>
      </c>
      <c r="B1270" s="8"/>
      <c r="C1270" s="9">
        <f>1+2</f>
        <v>3</v>
      </c>
      <c r="D1270" s="10">
        <v>2</v>
      </c>
      <c r="E1270" s="49">
        <f t="shared" si="1208"/>
        <v>5</v>
      </c>
      <c r="F1270" s="12">
        <f>2+1+1+2</f>
        <v>6</v>
      </c>
      <c r="G1270" s="9">
        <f>1+2</f>
        <v>3</v>
      </c>
      <c r="H1270" s="10">
        <v>2</v>
      </c>
      <c r="I1270" s="49">
        <f t="shared" si="1209"/>
        <v>11</v>
      </c>
      <c r="J1270" s="11">
        <f t="shared" si="1210"/>
        <v>16</v>
      </c>
      <c r="K1270" s="63">
        <v>45469</v>
      </c>
      <c r="M1270" s="23" t="s">
        <v>28</v>
      </c>
      <c r="N1270" s="8"/>
      <c r="O1270" s="9">
        <v>10</v>
      </c>
      <c r="P1270" s="10"/>
      <c r="Q1270" s="49">
        <f t="shared" si="1214"/>
        <v>10</v>
      </c>
      <c r="R1270" s="12">
        <v>10</v>
      </c>
      <c r="S1270" s="9">
        <v>5</v>
      </c>
      <c r="T1270" s="10"/>
      <c r="U1270" s="49">
        <f t="shared" si="1215"/>
        <v>15</v>
      </c>
      <c r="V1270" s="11">
        <f t="shared" si="1216"/>
        <v>25</v>
      </c>
      <c r="W1270" s="140">
        <v>45483</v>
      </c>
      <c r="X1270" s="82"/>
      <c r="Y1270" s="82"/>
    </row>
    <row r="1271" spans="1:25" x14ac:dyDescent="0.15">
      <c r="A1271" s="25" t="s">
        <v>33</v>
      </c>
      <c r="B1271" s="8"/>
      <c r="C1271" s="9">
        <v>1</v>
      </c>
      <c r="D1271" s="10"/>
      <c r="E1271" s="49">
        <f t="shared" si="1208"/>
        <v>1</v>
      </c>
      <c r="F1271" s="12"/>
      <c r="G1271" s="9">
        <v>2</v>
      </c>
      <c r="H1271" s="10">
        <v>2</v>
      </c>
      <c r="I1271" s="49">
        <f t="shared" si="1209"/>
        <v>4</v>
      </c>
      <c r="J1271" s="11">
        <f t="shared" si="1210"/>
        <v>5</v>
      </c>
      <c r="K1271" s="63">
        <v>45471</v>
      </c>
      <c r="M1271" s="26" t="s">
        <v>329</v>
      </c>
      <c r="N1271" s="8">
        <v>1</v>
      </c>
      <c r="O1271" s="9"/>
      <c r="P1271" s="10"/>
      <c r="Q1271" s="49">
        <f t="shared" si="1214"/>
        <v>1</v>
      </c>
      <c r="R1271" s="12">
        <v>1</v>
      </c>
      <c r="S1271" s="9"/>
      <c r="T1271" s="10"/>
      <c r="U1271" s="49">
        <f t="shared" si="1215"/>
        <v>1</v>
      </c>
      <c r="V1271" s="11">
        <f t="shared" si="1216"/>
        <v>2</v>
      </c>
      <c r="W1271" s="140">
        <v>45485</v>
      </c>
      <c r="X1271" s="82"/>
      <c r="Y1271" s="82"/>
    </row>
    <row r="1272" spans="1:25" x14ac:dyDescent="0.15">
      <c r="A1272" s="25" t="s">
        <v>33</v>
      </c>
      <c r="B1272" s="8"/>
      <c r="C1272" s="9">
        <v>1</v>
      </c>
      <c r="D1272" s="10"/>
      <c r="E1272" s="49">
        <f t="shared" si="1208"/>
        <v>1</v>
      </c>
      <c r="F1272" s="12">
        <v>1</v>
      </c>
      <c r="G1272" s="9"/>
      <c r="H1272" s="10">
        <v>2</v>
      </c>
      <c r="I1272" s="49">
        <f t="shared" si="1209"/>
        <v>3</v>
      </c>
      <c r="J1272" s="11">
        <f t="shared" si="1210"/>
        <v>4</v>
      </c>
      <c r="K1272" s="63">
        <v>45472</v>
      </c>
      <c r="M1272" s="26"/>
      <c r="N1272" s="8"/>
      <c r="O1272" s="9"/>
      <c r="P1272" s="10"/>
      <c r="Q1272" s="49">
        <f t="shared" si="1214"/>
        <v>0</v>
      </c>
      <c r="R1272" s="12"/>
      <c r="S1272" s="9"/>
      <c r="T1272" s="10"/>
      <c r="U1272" s="49">
        <f t="shared" si="1215"/>
        <v>0</v>
      </c>
      <c r="V1272" s="11">
        <f t="shared" si="1216"/>
        <v>0</v>
      </c>
      <c r="W1272" s="142"/>
      <c r="X1272" s="82"/>
      <c r="Y1272" s="82"/>
    </row>
    <row r="1273" spans="1:25" x14ac:dyDescent="0.15">
      <c r="A1273" s="25" t="s">
        <v>33</v>
      </c>
      <c r="B1273" s="8"/>
      <c r="C1273" s="9"/>
      <c r="D1273" s="10"/>
      <c r="E1273" s="49">
        <f t="shared" si="1208"/>
        <v>0</v>
      </c>
      <c r="F1273" s="12"/>
      <c r="G1273" s="9">
        <v>6</v>
      </c>
      <c r="H1273" s="10">
        <v>1</v>
      </c>
      <c r="I1273" s="49">
        <f t="shared" si="1209"/>
        <v>7</v>
      </c>
      <c r="J1273" s="11">
        <f t="shared" si="1210"/>
        <v>7</v>
      </c>
      <c r="K1273" s="63">
        <v>45474</v>
      </c>
      <c r="L1273" s="82"/>
      <c r="M1273" s="26"/>
      <c r="N1273" s="8"/>
      <c r="O1273" s="9"/>
      <c r="P1273" s="10"/>
      <c r="Q1273" s="49">
        <f t="shared" si="1214"/>
        <v>0</v>
      </c>
      <c r="R1273" s="12"/>
      <c r="S1273" s="9"/>
      <c r="T1273" s="10"/>
      <c r="U1273" s="49">
        <f t="shared" si="1215"/>
        <v>0</v>
      </c>
      <c r="V1273" s="11">
        <f t="shared" si="1216"/>
        <v>0</v>
      </c>
      <c r="W1273" s="142"/>
      <c r="X1273" s="82"/>
      <c r="Y1273" s="82"/>
    </row>
    <row r="1274" spans="1:25" x14ac:dyDescent="0.15">
      <c r="A1274" s="25" t="s">
        <v>424</v>
      </c>
      <c r="B1274" s="8"/>
      <c r="C1274" s="9">
        <v>5</v>
      </c>
      <c r="D1274" s="10">
        <v>3</v>
      </c>
      <c r="E1274" s="49">
        <f t="shared" si="1208"/>
        <v>8</v>
      </c>
      <c r="F1274" s="12">
        <v>10</v>
      </c>
      <c r="G1274" s="9">
        <v>10</v>
      </c>
      <c r="H1274" s="10">
        <v>10</v>
      </c>
      <c r="I1274" s="49">
        <f t="shared" si="1209"/>
        <v>30</v>
      </c>
      <c r="J1274" s="11">
        <f t="shared" si="1210"/>
        <v>38</v>
      </c>
      <c r="K1274" s="63">
        <v>45476</v>
      </c>
      <c r="M1274" s="26"/>
      <c r="N1274" s="8"/>
      <c r="O1274" s="9"/>
      <c r="P1274" s="10"/>
      <c r="Q1274" s="49">
        <f t="shared" si="1214"/>
        <v>0</v>
      </c>
      <c r="R1274" s="12"/>
      <c r="S1274" s="9"/>
      <c r="T1274" s="10"/>
      <c r="U1274" s="49">
        <f t="shared" si="1215"/>
        <v>0</v>
      </c>
      <c r="V1274" s="11">
        <f t="shared" si="1216"/>
        <v>0</v>
      </c>
      <c r="W1274" s="142"/>
      <c r="X1274" s="82"/>
      <c r="Y1274" s="82"/>
    </row>
    <row r="1275" spans="1:25" x14ac:dyDescent="0.15">
      <c r="A1275" s="25" t="s">
        <v>33</v>
      </c>
      <c r="B1275" s="8"/>
      <c r="C1275" s="9"/>
      <c r="D1275" s="10"/>
      <c r="E1275" s="49">
        <f t="shared" si="1208"/>
        <v>0</v>
      </c>
      <c r="F1275" s="12">
        <v>2</v>
      </c>
      <c r="G1275" s="9"/>
      <c r="H1275" s="10"/>
      <c r="I1275" s="49">
        <f t="shared" si="1209"/>
        <v>2</v>
      </c>
      <c r="J1275" s="11">
        <f t="shared" si="1210"/>
        <v>2</v>
      </c>
      <c r="K1275" s="63">
        <v>45475</v>
      </c>
      <c r="L1275" s="82"/>
      <c r="M1275" s="26"/>
      <c r="N1275" s="8"/>
      <c r="O1275" s="9"/>
      <c r="P1275" s="10"/>
      <c r="Q1275" s="49">
        <f t="shared" ref="Q1275:Q1285" si="1217">SUM(N1275:P1275)</f>
        <v>0</v>
      </c>
      <c r="R1275" s="12"/>
      <c r="S1275" s="9"/>
      <c r="T1275" s="10"/>
      <c r="U1275" s="49">
        <f t="shared" si="1215"/>
        <v>0</v>
      </c>
      <c r="V1275" s="11">
        <f t="shared" si="1216"/>
        <v>0</v>
      </c>
      <c r="W1275" s="142"/>
      <c r="X1275" s="82"/>
      <c r="Y1275" s="82"/>
    </row>
    <row r="1276" spans="1:25" x14ac:dyDescent="0.15">
      <c r="A1276" s="25" t="s">
        <v>33</v>
      </c>
      <c r="B1276" s="8"/>
      <c r="C1276" s="9"/>
      <c r="D1276" s="10"/>
      <c r="E1276" s="49">
        <f t="shared" si="1208"/>
        <v>0</v>
      </c>
      <c r="F1276" s="12">
        <v>1</v>
      </c>
      <c r="G1276" s="9"/>
      <c r="H1276" s="10">
        <v>1</v>
      </c>
      <c r="I1276" s="49">
        <f t="shared" si="1209"/>
        <v>2</v>
      </c>
      <c r="J1276" s="11">
        <f t="shared" si="1210"/>
        <v>2</v>
      </c>
      <c r="K1276" s="63">
        <v>45476</v>
      </c>
      <c r="L1276" s="82"/>
      <c r="M1276" s="26"/>
      <c r="N1276" s="8"/>
      <c r="O1276" s="9"/>
      <c r="P1276" s="10"/>
      <c r="Q1276" s="49">
        <f t="shared" si="1217"/>
        <v>0</v>
      </c>
      <c r="R1276" s="12"/>
      <c r="S1276" s="9"/>
      <c r="T1276" s="10"/>
      <c r="U1276" s="49">
        <f t="shared" si="1215"/>
        <v>0</v>
      </c>
      <c r="V1276" s="11">
        <f t="shared" si="1216"/>
        <v>0</v>
      </c>
      <c r="W1276" s="142"/>
      <c r="X1276" s="82"/>
      <c r="Y1276" s="82"/>
    </row>
    <row r="1277" spans="1:25" x14ac:dyDescent="0.15">
      <c r="A1277" s="25" t="s">
        <v>476</v>
      </c>
      <c r="B1277" s="8"/>
      <c r="C1277" s="9"/>
      <c r="D1277" s="10">
        <v>1</v>
      </c>
      <c r="E1277" s="49">
        <f t="shared" si="1208"/>
        <v>1</v>
      </c>
      <c r="F1277" s="12"/>
      <c r="G1277" s="9"/>
      <c r="H1277" s="10"/>
      <c r="I1277" s="49">
        <f t="shared" si="1209"/>
        <v>0</v>
      </c>
      <c r="J1277" s="11">
        <f t="shared" si="1210"/>
        <v>1</v>
      </c>
      <c r="K1277" s="63">
        <v>45476</v>
      </c>
      <c r="L1277" s="82"/>
      <c r="M1277" s="26"/>
      <c r="N1277" s="8"/>
      <c r="O1277" s="9"/>
      <c r="P1277" s="10"/>
      <c r="Q1277" s="49">
        <f t="shared" si="1217"/>
        <v>0</v>
      </c>
      <c r="R1277" s="12"/>
      <c r="S1277" s="9"/>
      <c r="T1277" s="10"/>
      <c r="U1277" s="49">
        <f t="shared" si="1215"/>
        <v>0</v>
      </c>
      <c r="V1277" s="11">
        <f t="shared" si="1216"/>
        <v>0</v>
      </c>
    </row>
    <row r="1278" spans="1:25" x14ac:dyDescent="0.15">
      <c r="A1278" s="25" t="s">
        <v>33</v>
      </c>
      <c r="B1278" s="8"/>
      <c r="C1278" s="9">
        <v>3</v>
      </c>
      <c r="D1278" s="10"/>
      <c r="E1278" s="49">
        <f t="shared" si="1208"/>
        <v>3</v>
      </c>
      <c r="F1278" s="12">
        <v>1</v>
      </c>
      <c r="G1278" s="9">
        <v>2</v>
      </c>
      <c r="H1278" s="10">
        <v>2</v>
      </c>
      <c r="I1278" s="49">
        <f t="shared" si="1209"/>
        <v>5</v>
      </c>
      <c r="J1278" s="11">
        <f t="shared" si="1210"/>
        <v>8</v>
      </c>
      <c r="K1278" s="63">
        <v>45477</v>
      </c>
      <c r="L1278" s="82"/>
      <c r="M1278" s="26"/>
      <c r="N1278" s="8"/>
      <c r="O1278" s="9"/>
      <c r="P1278" s="10"/>
      <c r="Q1278" s="49">
        <f t="shared" si="1217"/>
        <v>0</v>
      </c>
      <c r="R1278" s="12"/>
      <c r="S1278" s="9"/>
      <c r="T1278" s="10"/>
      <c r="U1278" s="49">
        <f t="shared" si="1215"/>
        <v>0</v>
      </c>
      <c r="V1278" s="11">
        <f t="shared" si="1216"/>
        <v>0</v>
      </c>
    </row>
    <row r="1279" spans="1:25" x14ac:dyDescent="0.15">
      <c r="A1279" s="26" t="s">
        <v>329</v>
      </c>
      <c r="B1279" s="8"/>
      <c r="C1279" s="9">
        <v>2</v>
      </c>
      <c r="D1279" s="10"/>
      <c r="E1279" s="49">
        <f t="shared" si="1208"/>
        <v>2</v>
      </c>
      <c r="F1279" s="12"/>
      <c r="G1279" s="9">
        <v>2</v>
      </c>
      <c r="H1279" s="10"/>
      <c r="I1279" s="49">
        <f t="shared" si="1209"/>
        <v>2</v>
      </c>
      <c r="J1279" s="11">
        <f t="shared" si="1210"/>
        <v>4</v>
      </c>
      <c r="K1279" s="63">
        <v>45481</v>
      </c>
      <c r="L1279" s="82"/>
      <c r="M1279" s="26"/>
      <c r="N1279" s="8"/>
      <c r="O1279" s="9"/>
      <c r="P1279" s="10"/>
      <c r="Q1279" s="49">
        <f t="shared" si="1217"/>
        <v>0</v>
      </c>
      <c r="R1279" s="12"/>
      <c r="S1279" s="9"/>
      <c r="T1279" s="10"/>
      <c r="U1279" s="49">
        <f t="shared" si="1215"/>
        <v>0</v>
      </c>
      <c r="V1279" s="11">
        <f t="shared" si="1216"/>
        <v>0</v>
      </c>
    </row>
    <row r="1280" spans="1:25" x14ac:dyDescent="0.15">
      <c r="A1280" s="25" t="s">
        <v>33</v>
      </c>
      <c r="B1280" s="8"/>
      <c r="C1280" s="9">
        <f>1+3</f>
        <v>4</v>
      </c>
      <c r="D1280" s="10">
        <v>1</v>
      </c>
      <c r="E1280" s="49">
        <f t="shared" si="1208"/>
        <v>5</v>
      </c>
      <c r="F1280" s="12">
        <f>1+2</f>
        <v>3</v>
      </c>
      <c r="G1280" s="9">
        <f>3+1</f>
        <v>4</v>
      </c>
      <c r="H1280" s="10">
        <f>3+1</f>
        <v>4</v>
      </c>
      <c r="I1280" s="49">
        <f t="shared" si="1209"/>
        <v>11</v>
      </c>
      <c r="J1280" s="11">
        <f t="shared" si="1210"/>
        <v>16</v>
      </c>
      <c r="K1280" s="63">
        <v>45478</v>
      </c>
      <c r="L1280" s="82"/>
      <c r="M1280" s="26"/>
      <c r="N1280" s="8"/>
      <c r="O1280" s="9"/>
      <c r="P1280" s="10"/>
      <c r="Q1280" s="49">
        <f t="shared" si="1217"/>
        <v>0</v>
      </c>
      <c r="R1280" s="12"/>
      <c r="S1280" s="9"/>
      <c r="T1280" s="10"/>
      <c r="U1280" s="49">
        <f t="shared" si="1215"/>
        <v>0</v>
      </c>
      <c r="V1280" s="11">
        <f t="shared" si="1216"/>
        <v>0</v>
      </c>
    </row>
    <row r="1281" spans="1:22" x14ac:dyDescent="0.15">
      <c r="A1281" s="25" t="s">
        <v>33</v>
      </c>
      <c r="B1281" s="8"/>
      <c r="C1281" s="9"/>
      <c r="D1281" s="10">
        <v>1</v>
      </c>
      <c r="E1281" s="49">
        <f t="shared" si="1208"/>
        <v>1</v>
      </c>
      <c r="F1281" s="12">
        <v>1</v>
      </c>
      <c r="G1281" s="9">
        <v>3</v>
      </c>
      <c r="H1281" s="10"/>
      <c r="I1281" s="49">
        <f t="shared" si="1209"/>
        <v>4</v>
      </c>
      <c r="J1281" s="11">
        <f t="shared" si="1210"/>
        <v>5</v>
      </c>
      <c r="K1281" s="63">
        <v>45479</v>
      </c>
      <c r="L1281" s="82"/>
      <c r="M1281" s="26"/>
      <c r="N1281" s="8"/>
      <c r="O1281" s="9"/>
      <c r="P1281" s="10"/>
      <c r="Q1281" s="49">
        <f t="shared" si="1217"/>
        <v>0</v>
      </c>
      <c r="R1281" s="12"/>
      <c r="S1281" s="9"/>
      <c r="T1281" s="10"/>
      <c r="U1281" s="49">
        <f t="shared" si="1215"/>
        <v>0</v>
      </c>
      <c r="V1281" s="11">
        <f t="shared" si="1216"/>
        <v>0</v>
      </c>
    </row>
    <row r="1282" spans="1:22" x14ac:dyDescent="0.15">
      <c r="A1282" s="25" t="s">
        <v>424</v>
      </c>
      <c r="B1282" s="8"/>
      <c r="C1282" s="9">
        <v>5</v>
      </c>
      <c r="D1282" s="10"/>
      <c r="E1282" s="49">
        <f t="shared" si="1208"/>
        <v>5</v>
      </c>
      <c r="F1282" s="12"/>
      <c r="G1282" s="9"/>
      <c r="H1282" s="10"/>
      <c r="I1282" s="49">
        <f t="shared" si="1209"/>
        <v>0</v>
      </c>
      <c r="J1282" s="11">
        <f t="shared" si="1210"/>
        <v>5</v>
      </c>
      <c r="K1282" s="63">
        <v>45482</v>
      </c>
      <c r="M1282" s="26"/>
      <c r="N1282" s="8"/>
      <c r="O1282" s="9"/>
      <c r="P1282" s="10"/>
      <c r="Q1282" s="49">
        <f t="shared" si="1217"/>
        <v>0</v>
      </c>
      <c r="R1282" s="12"/>
      <c r="S1282" s="9"/>
      <c r="T1282" s="10"/>
      <c r="U1282" s="49">
        <f t="shared" si="1215"/>
        <v>0</v>
      </c>
      <c r="V1282" s="11">
        <f t="shared" si="1216"/>
        <v>0</v>
      </c>
    </row>
    <row r="1283" spans="1:22" x14ac:dyDescent="0.15">
      <c r="A1283" s="25" t="s">
        <v>33</v>
      </c>
      <c r="B1283" s="8"/>
      <c r="C1283" s="9">
        <f>1+2</f>
        <v>3</v>
      </c>
      <c r="D1283" s="10"/>
      <c r="E1283" s="49">
        <f t="shared" si="1208"/>
        <v>3</v>
      </c>
      <c r="F1283" s="12">
        <v>4</v>
      </c>
      <c r="G1283" s="9"/>
      <c r="H1283" s="10"/>
      <c r="I1283" s="49">
        <f t="shared" si="1209"/>
        <v>4</v>
      </c>
      <c r="J1283" s="11">
        <f t="shared" si="1210"/>
        <v>7</v>
      </c>
      <c r="K1283" s="63">
        <v>45481</v>
      </c>
      <c r="M1283" s="26"/>
      <c r="N1283" s="8"/>
      <c r="O1283" s="9"/>
      <c r="P1283" s="10"/>
      <c r="Q1283" s="49">
        <f t="shared" si="1217"/>
        <v>0</v>
      </c>
      <c r="R1283" s="12"/>
      <c r="S1283" s="9"/>
      <c r="T1283" s="10"/>
      <c r="U1283" s="49">
        <f t="shared" si="1215"/>
        <v>0</v>
      </c>
      <c r="V1283" s="11">
        <f t="shared" si="1216"/>
        <v>0</v>
      </c>
    </row>
    <row r="1284" spans="1:22" x14ac:dyDescent="0.15">
      <c r="A1284" s="25" t="s">
        <v>33</v>
      </c>
      <c r="B1284" s="8"/>
      <c r="C1284" s="9">
        <v>1</v>
      </c>
      <c r="D1284" s="10">
        <v>1</v>
      </c>
      <c r="E1284" s="49">
        <f t="shared" si="1208"/>
        <v>2</v>
      </c>
      <c r="F1284" s="12">
        <v>7</v>
      </c>
      <c r="G1284" s="9"/>
      <c r="H1284" s="10"/>
      <c r="I1284" s="49">
        <f t="shared" si="1209"/>
        <v>7</v>
      </c>
      <c r="J1284" s="11">
        <f t="shared" si="1210"/>
        <v>9</v>
      </c>
      <c r="K1284" s="63">
        <v>45483</v>
      </c>
      <c r="M1284" s="26"/>
      <c r="N1284" s="8"/>
      <c r="O1284" s="9"/>
      <c r="P1284" s="10"/>
      <c r="Q1284" s="49">
        <f t="shared" si="1217"/>
        <v>0</v>
      </c>
      <c r="R1284" s="12"/>
      <c r="S1284" s="9"/>
      <c r="T1284" s="10"/>
      <c r="U1284" s="49">
        <f t="shared" si="1215"/>
        <v>0</v>
      </c>
      <c r="V1284" s="11">
        <f t="shared" si="1216"/>
        <v>0</v>
      </c>
    </row>
    <row r="1285" spans="1:22" x14ac:dyDescent="0.15">
      <c r="A1285" s="25" t="s">
        <v>33</v>
      </c>
      <c r="B1285" s="8"/>
      <c r="C1285" s="9">
        <v>1</v>
      </c>
      <c r="D1285" s="10">
        <f>1+1</f>
        <v>2</v>
      </c>
      <c r="E1285" s="49">
        <f t="shared" ref="E1285:E1287" si="1218">SUM(B1285:D1285)</f>
        <v>3</v>
      </c>
      <c r="F1285" s="12"/>
      <c r="G1285" s="9">
        <f>3+1</f>
        <v>4</v>
      </c>
      <c r="H1285" s="10">
        <f>1+1</f>
        <v>2</v>
      </c>
      <c r="I1285" s="49">
        <f t="shared" ref="I1285:I1287" si="1219">SUM(F1285:H1285)</f>
        <v>6</v>
      </c>
      <c r="J1285" s="11">
        <f t="shared" ref="J1285:J1286" si="1220">E1285+I1285</f>
        <v>9</v>
      </c>
      <c r="K1285" s="63">
        <v>45484</v>
      </c>
      <c r="M1285" s="26"/>
      <c r="N1285" s="8"/>
      <c r="O1285" s="9"/>
      <c r="P1285" s="10"/>
      <c r="Q1285" s="49">
        <f t="shared" si="1217"/>
        <v>0</v>
      </c>
      <c r="R1285" s="12"/>
      <c r="S1285" s="9"/>
      <c r="T1285" s="10"/>
      <c r="U1285" s="49">
        <f t="shared" si="1215"/>
        <v>0</v>
      </c>
      <c r="V1285" s="11">
        <f t="shared" si="1216"/>
        <v>0</v>
      </c>
    </row>
    <row r="1286" spans="1:22" ht="14.25" thickBot="1" x14ac:dyDescent="0.2">
      <c r="A1286" s="25" t="s">
        <v>33</v>
      </c>
      <c r="B1286" s="13"/>
      <c r="C1286" s="14">
        <f>1+1</f>
        <v>2</v>
      </c>
      <c r="D1286" s="15">
        <f>1+1</f>
        <v>2</v>
      </c>
      <c r="E1286" s="55">
        <f t="shared" si="1218"/>
        <v>4</v>
      </c>
      <c r="F1286" s="16">
        <v>2</v>
      </c>
      <c r="G1286" s="14">
        <f>1+1</f>
        <v>2</v>
      </c>
      <c r="H1286" s="15"/>
      <c r="I1286" s="55">
        <f t="shared" si="1219"/>
        <v>4</v>
      </c>
      <c r="J1286" s="11">
        <f t="shared" si="1220"/>
        <v>8</v>
      </c>
      <c r="K1286" s="71">
        <v>45489</v>
      </c>
      <c r="M1286" s="26"/>
      <c r="N1286" s="8"/>
      <c r="O1286" s="9"/>
      <c r="P1286" s="10"/>
      <c r="Q1286" s="49">
        <f t="shared" ref="Q1286" si="1221">SUM(N1286:P1286)</f>
        <v>0</v>
      </c>
      <c r="R1286" s="12"/>
      <c r="S1286" s="9"/>
      <c r="T1286" s="10"/>
      <c r="U1286" s="49">
        <f t="shared" ref="U1286" si="1222">SUM(R1286:T1286)</f>
        <v>0</v>
      </c>
      <c r="V1286" s="11">
        <f t="shared" ref="V1286" si="1223">Q1286+U1286</f>
        <v>0</v>
      </c>
    </row>
    <row r="1287" spans="1:22" ht="14.25" thickBot="1" x14ac:dyDescent="0.2">
      <c r="A1287" s="41" t="s">
        <v>19</v>
      </c>
      <c r="B1287" s="46">
        <f>SUM(B1261:B1286)</f>
        <v>0</v>
      </c>
      <c r="C1287" s="47">
        <f t="shared" ref="C1287:D1287" si="1224">SUM(C1261:C1286)</f>
        <v>41</v>
      </c>
      <c r="D1287" s="59">
        <f t="shared" si="1224"/>
        <v>15</v>
      </c>
      <c r="E1287" s="45">
        <f t="shared" si="1218"/>
        <v>56</v>
      </c>
      <c r="F1287" s="46">
        <f>SUM(F1261:F1286)</f>
        <v>55</v>
      </c>
      <c r="G1287" s="47">
        <f t="shared" ref="G1287:H1287" si="1225">SUM(G1261:G1286)</f>
        <v>52</v>
      </c>
      <c r="H1287" s="59">
        <f t="shared" si="1225"/>
        <v>39</v>
      </c>
      <c r="I1287" s="45">
        <f t="shared" si="1219"/>
        <v>146</v>
      </c>
      <c r="J1287" s="45">
        <f>E1287+I1287</f>
        <v>202</v>
      </c>
      <c r="M1287" s="41" t="s">
        <v>19</v>
      </c>
      <c r="N1287" s="46">
        <f>SUM(N1261:N1286)</f>
        <v>5</v>
      </c>
      <c r="O1287" s="47">
        <f t="shared" ref="O1287:P1287" si="1226">SUM(O1261:O1286)</f>
        <v>45</v>
      </c>
      <c r="P1287" s="59">
        <f t="shared" si="1226"/>
        <v>15</v>
      </c>
      <c r="Q1287" s="45">
        <f t="shared" ref="Q1287" si="1227">SUM(N1287:P1287)</f>
        <v>65</v>
      </c>
      <c r="R1287" s="46">
        <f>SUM(R1261:R1286)</f>
        <v>60</v>
      </c>
      <c r="S1287" s="47">
        <f t="shared" ref="S1287:T1287" si="1228">SUM(S1261:S1286)</f>
        <v>50</v>
      </c>
      <c r="T1287" s="59">
        <f t="shared" si="1228"/>
        <v>45</v>
      </c>
      <c r="U1287" s="45">
        <f t="shared" si="1215"/>
        <v>155</v>
      </c>
      <c r="V1287" s="45">
        <f>Q1287+U1287</f>
        <v>220</v>
      </c>
    </row>
    <row r="1288" spans="1:22" ht="14.25" thickBot="1" x14ac:dyDescent="0.2">
      <c r="A1288" s="22" t="s">
        <v>17</v>
      </c>
      <c r="B1288" s="50">
        <f>B1260-B1287</f>
        <v>0</v>
      </c>
      <c r="C1288" s="57">
        <f t="shared" ref="C1288:D1288" si="1229">C1260-C1287</f>
        <v>13</v>
      </c>
      <c r="D1288" s="58">
        <f t="shared" si="1229"/>
        <v>11</v>
      </c>
      <c r="E1288" s="56">
        <f>SUM(B1288:D1288)</f>
        <v>24</v>
      </c>
      <c r="F1288" s="50">
        <f>F1260-F1287</f>
        <v>10</v>
      </c>
      <c r="G1288" s="57">
        <f t="shared" ref="G1288:H1288" si="1230">G1260-G1287</f>
        <v>10</v>
      </c>
      <c r="H1288" s="58">
        <f t="shared" si="1230"/>
        <v>13</v>
      </c>
      <c r="I1288" s="56">
        <f>SUM(F1288:H1288)</f>
        <v>33</v>
      </c>
      <c r="J1288" s="31">
        <f>E1288+I1288</f>
        <v>57</v>
      </c>
      <c r="M1288" s="22" t="s">
        <v>17</v>
      </c>
      <c r="N1288" s="50">
        <f>N1260-N1287</f>
        <v>18</v>
      </c>
      <c r="O1288" s="57">
        <f t="shared" ref="O1288:P1288" si="1231">O1260-O1287</f>
        <v>74</v>
      </c>
      <c r="P1288" s="58">
        <f t="shared" si="1231"/>
        <v>407</v>
      </c>
      <c r="Q1288" s="56">
        <f>SUM(N1288:P1288)</f>
        <v>499</v>
      </c>
      <c r="R1288" s="50">
        <f>R1260-R1287</f>
        <v>63</v>
      </c>
      <c r="S1288" s="57">
        <f t="shared" ref="S1288:T1288" si="1232">S1260-S1287</f>
        <v>332</v>
      </c>
      <c r="T1288" s="58">
        <f t="shared" si="1232"/>
        <v>448</v>
      </c>
      <c r="U1288" s="56">
        <f>SUM(R1288:T1288)</f>
        <v>843</v>
      </c>
      <c r="V1288" s="31">
        <f>Q1288+U1288</f>
        <v>1342</v>
      </c>
    </row>
    <row r="1291" spans="1:22" ht="19.5" thickBot="1" x14ac:dyDescent="0.25">
      <c r="A1291" s="3" t="s">
        <v>21</v>
      </c>
      <c r="B1291" s="1"/>
      <c r="C1291" s="1"/>
      <c r="D1291" s="1"/>
      <c r="E1291" s="1"/>
      <c r="F1291" s="1"/>
      <c r="G1291" s="1"/>
      <c r="H1291" s="1"/>
      <c r="I1291" s="1"/>
      <c r="J1291" s="1"/>
      <c r="M1291" s="3" t="s">
        <v>22</v>
      </c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 ht="14.25" thickBot="1" x14ac:dyDescent="0.2">
      <c r="A1292" s="7" t="s">
        <v>0</v>
      </c>
      <c r="B1292" s="165" t="s">
        <v>24</v>
      </c>
      <c r="C1292" s="166"/>
      <c r="D1292" s="166"/>
      <c r="E1292" s="170"/>
      <c r="F1292" s="165" t="s">
        <v>18</v>
      </c>
      <c r="G1292" s="166"/>
      <c r="H1292" s="166"/>
      <c r="I1292" s="167"/>
      <c r="J1292" s="168" t="s">
        <v>1</v>
      </c>
      <c r="M1292" s="7" t="s">
        <v>0</v>
      </c>
      <c r="N1292" s="165" t="s">
        <v>24</v>
      </c>
      <c r="O1292" s="166"/>
      <c r="P1292" s="166"/>
      <c r="Q1292" s="170"/>
      <c r="R1292" s="165" t="s">
        <v>18</v>
      </c>
      <c r="S1292" s="166"/>
      <c r="T1292" s="166"/>
      <c r="U1292" s="167"/>
      <c r="V1292" s="168" t="s">
        <v>1</v>
      </c>
    </row>
    <row r="1293" spans="1:22" ht="14.25" thickBot="1" x14ac:dyDescent="0.2">
      <c r="A1293" s="7" t="s">
        <v>2</v>
      </c>
      <c r="B1293" s="4" t="s">
        <v>3</v>
      </c>
      <c r="C1293" s="5" t="s">
        <v>4</v>
      </c>
      <c r="D1293" s="6" t="s">
        <v>5</v>
      </c>
      <c r="E1293" s="7" t="s">
        <v>6</v>
      </c>
      <c r="F1293" s="4" t="s">
        <v>3</v>
      </c>
      <c r="G1293" s="5" t="s">
        <v>4</v>
      </c>
      <c r="H1293" s="6" t="s">
        <v>5</v>
      </c>
      <c r="I1293" s="7" t="s">
        <v>6</v>
      </c>
      <c r="J1293" s="169"/>
      <c r="M1293" s="7" t="s">
        <v>2</v>
      </c>
      <c r="N1293" s="4" t="s">
        <v>3</v>
      </c>
      <c r="O1293" s="5" t="s">
        <v>4</v>
      </c>
      <c r="P1293" s="6" t="s">
        <v>5</v>
      </c>
      <c r="Q1293" s="7" t="s">
        <v>6</v>
      </c>
      <c r="R1293" s="4" t="s">
        <v>3</v>
      </c>
      <c r="S1293" s="5" t="s">
        <v>4</v>
      </c>
      <c r="T1293" s="6" t="s">
        <v>5</v>
      </c>
      <c r="U1293" s="7" t="s">
        <v>6</v>
      </c>
      <c r="V1293" s="169"/>
    </row>
    <row r="1294" spans="1:22" ht="14.25" thickBot="1" x14ac:dyDescent="0.2">
      <c r="A1294" s="27" t="s">
        <v>20</v>
      </c>
      <c r="B1294" s="28">
        <f>B1288</f>
        <v>0</v>
      </c>
      <c r="C1294" s="29">
        <f>C1288</f>
        <v>13</v>
      </c>
      <c r="D1294" s="30">
        <f>D1288</f>
        <v>11</v>
      </c>
      <c r="E1294" s="31">
        <f>SUM(B1294:D1294)</f>
        <v>24</v>
      </c>
      <c r="F1294" s="28">
        <f>F1288</f>
        <v>10</v>
      </c>
      <c r="G1294" s="29">
        <f>G1288</f>
        <v>10</v>
      </c>
      <c r="H1294" s="30">
        <f>H1288</f>
        <v>13</v>
      </c>
      <c r="I1294" s="31">
        <f>SUM(F1294:H1294)</f>
        <v>33</v>
      </c>
      <c r="J1294" s="31">
        <f>E1294+I1294</f>
        <v>57</v>
      </c>
      <c r="M1294" s="27" t="s">
        <v>20</v>
      </c>
      <c r="N1294" s="28">
        <f>N1288</f>
        <v>18</v>
      </c>
      <c r="O1294" s="29">
        <f>O1288</f>
        <v>74</v>
      </c>
      <c r="P1294" s="30">
        <f>P1288</f>
        <v>407</v>
      </c>
      <c r="Q1294" s="31">
        <f>SUM(N1294:P1294)</f>
        <v>499</v>
      </c>
      <c r="R1294" s="28">
        <f>R1288</f>
        <v>63</v>
      </c>
      <c r="S1294" s="29">
        <f>S1288</f>
        <v>332</v>
      </c>
      <c r="T1294" s="30">
        <f>T1288</f>
        <v>448</v>
      </c>
      <c r="U1294" s="31">
        <f>SUM(R1294:T1294)</f>
        <v>843</v>
      </c>
      <c r="V1294" s="31">
        <f>Q1294+U1294</f>
        <v>1342</v>
      </c>
    </row>
    <row r="1295" spans="1:22" x14ac:dyDescent="0.15">
      <c r="A1295" s="25" t="s">
        <v>8</v>
      </c>
      <c r="B1295" s="17">
        <v>10</v>
      </c>
      <c r="C1295" s="18">
        <v>5</v>
      </c>
      <c r="D1295" s="51"/>
      <c r="E1295" s="49">
        <f t="shared" ref="E1295:E1302" si="1233">SUM(B1295:D1295)</f>
        <v>15</v>
      </c>
      <c r="F1295" s="20">
        <v>5</v>
      </c>
      <c r="G1295" s="18">
        <v>5</v>
      </c>
      <c r="H1295" s="19"/>
      <c r="I1295" s="49">
        <f t="shared" ref="I1295:I1302" si="1234">SUM(F1295:H1295)</f>
        <v>10</v>
      </c>
      <c r="J1295" s="49">
        <f t="shared" ref="J1295:J1302" si="1235">E1295+I1295</f>
        <v>25</v>
      </c>
      <c r="K1295" s="63">
        <v>45493</v>
      </c>
      <c r="M1295" s="25" t="s">
        <v>8</v>
      </c>
      <c r="N1295" s="17"/>
      <c r="O1295" s="18"/>
      <c r="P1295" s="51"/>
      <c r="Q1295" s="49">
        <f t="shared" ref="Q1295:Q1301" si="1236">SUM(N1295:P1295)</f>
        <v>0</v>
      </c>
      <c r="R1295" s="20"/>
      <c r="S1295" s="18"/>
      <c r="T1295" s="19"/>
      <c r="U1295" s="49">
        <f t="shared" ref="U1295:U1301" si="1237">SUM(R1295:T1295)</f>
        <v>0</v>
      </c>
      <c r="V1295" s="49">
        <f t="shared" ref="V1295:V1301" si="1238">Q1295+U1295</f>
        <v>0</v>
      </c>
    </row>
    <row r="1296" spans="1:22" x14ac:dyDescent="0.15">
      <c r="A1296" s="25" t="s">
        <v>9</v>
      </c>
      <c r="B1296" s="8"/>
      <c r="C1296" s="9">
        <v>10</v>
      </c>
      <c r="D1296" s="52">
        <v>10</v>
      </c>
      <c r="E1296" s="11">
        <f t="shared" si="1233"/>
        <v>20</v>
      </c>
      <c r="F1296" s="12">
        <v>15</v>
      </c>
      <c r="G1296" s="9">
        <v>5</v>
      </c>
      <c r="H1296" s="10">
        <v>10</v>
      </c>
      <c r="I1296" s="11">
        <f t="shared" si="1234"/>
        <v>30</v>
      </c>
      <c r="J1296" s="11">
        <f t="shared" si="1235"/>
        <v>50</v>
      </c>
      <c r="K1296" s="63">
        <v>45496</v>
      </c>
      <c r="L1296" s="82"/>
      <c r="M1296" s="25" t="s">
        <v>9</v>
      </c>
      <c r="N1296" s="8"/>
      <c r="O1296" s="9"/>
      <c r="P1296" s="52"/>
      <c r="Q1296" s="11">
        <f t="shared" si="1236"/>
        <v>0</v>
      </c>
      <c r="R1296" s="12"/>
      <c r="S1296" s="9"/>
      <c r="T1296" s="10"/>
      <c r="U1296" s="11">
        <f t="shared" si="1237"/>
        <v>0</v>
      </c>
      <c r="V1296" s="11">
        <f t="shared" si="1238"/>
        <v>0</v>
      </c>
    </row>
    <row r="1297" spans="1:24" x14ac:dyDescent="0.15">
      <c r="A1297" s="25" t="s">
        <v>10</v>
      </c>
      <c r="B1297" s="8"/>
      <c r="C1297" s="9">
        <v>10</v>
      </c>
      <c r="D1297" s="52"/>
      <c r="E1297" s="11">
        <f t="shared" si="1233"/>
        <v>10</v>
      </c>
      <c r="F1297" s="12"/>
      <c r="G1297" s="9">
        <v>10</v>
      </c>
      <c r="H1297" s="10"/>
      <c r="I1297" s="11">
        <f t="shared" si="1234"/>
        <v>10</v>
      </c>
      <c r="J1297" s="11">
        <f t="shared" si="1235"/>
        <v>20</v>
      </c>
      <c r="K1297" s="63">
        <v>45497</v>
      </c>
      <c r="L1297" s="82"/>
      <c r="M1297" s="25" t="s">
        <v>10</v>
      </c>
      <c r="N1297" s="8"/>
      <c r="O1297" s="9"/>
      <c r="P1297" s="52"/>
      <c r="Q1297" s="11">
        <f t="shared" si="1236"/>
        <v>0</v>
      </c>
      <c r="R1297" s="12"/>
      <c r="S1297" s="9"/>
      <c r="T1297" s="10"/>
      <c r="U1297" s="11">
        <f t="shared" si="1237"/>
        <v>0</v>
      </c>
      <c r="V1297" s="11">
        <f t="shared" si="1238"/>
        <v>0</v>
      </c>
    </row>
    <row r="1298" spans="1:24" x14ac:dyDescent="0.15">
      <c r="A1298" s="25" t="s">
        <v>11</v>
      </c>
      <c r="B1298" s="8">
        <v>8</v>
      </c>
      <c r="C1298" s="9"/>
      <c r="D1298" s="52"/>
      <c r="E1298" s="11">
        <f t="shared" si="1233"/>
        <v>8</v>
      </c>
      <c r="F1298" s="12">
        <v>5</v>
      </c>
      <c r="G1298" s="9"/>
      <c r="H1298" s="10">
        <v>10</v>
      </c>
      <c r="I1298" s="11">
        <f t="shared" si="1234"/>
        <v>15</v>
      </c>
      <c r="J1298" s="11">
        <f t="shared" si="1235"/>
        <v>23</v>
      </c>
      <c r="K1298" s="63">
        <v>45498</v>
      </c>
      <c r="L1298" s="82"/>
      <c r="M1298" s="25" t="s">
        <v>11</v>
      </c>
      <c r="N1298" s="8"/>
      <c r="O1298" s="9"/>
      <c r="P1298" s="52"/>
      <c r="Q1298" s="11">
        <f t="shared" si="1236"/>
        <v>0</v>
      </c>
      <c r="R1298" s="12"/>
      <c r="S1298" s="9"/>
      <c r="T1298" s="10"/>
      <c r="U1298" s="11">
        <f t="shared" si="1237"/>
        <v>0</v>
      </c>
      <c r="V1298" s="11">
        <f t="shared" si="1238"/>
        <v>0</v>
      </c>
    </row>
    <row r="1299" spans="1:24" x14ac:dyDescent="0.15">
      <c r="A1299" s="25" t="s">
        <v>12</v>
      </c>
      <c r="B1299" s="8"/>
      <c r="C1299" s="9"/>
      <c r="D1299" s="52"/>
      <c r="E1299" s="11">
        <f t="shared" si="1233"/>
        <v>0</v>
      </c>
      <c r="F1299" s="12">
        <v>5</v>
      </c>
      <c r="G1299" s="9">
        <v>5</v>
      </c>
      <c r="H1299" s="10"/>
      <c r="I1299" s="11">
        <f t="shared" si="1234"/>
        <v>10</v>
      </c>
      <c r="J1299" s="11">
        <f t="shared" si="1235"/>
        <v>10</v>
      </c>
      <c r="K1299" s="63">
        <v>45498</v>
      </c>
      <c r="L1299" s="82"/>
      <c r="M1299" s="25" t="s">
        <v>12</v>
      </c>
      <c r="N1299" s="8"/>
      <c r="O1299" s="9"/>
      <c r="P1299" s="52"/>
      <c r="Q1299" s="11">
        <f t="shared" si="1236"/>
        <v>0</v>
      </c>
      <c r="R1299" s="12"/>
      <c r="S1299" s="9"/>
      <c r="T1299" s="10"/>
      <c r="U1299" s="11">
        <f t="shared" si="1237"/>
        <v>0</v>
      </c>
      <c r="V1299" s="11">
        <f t="shared" si="1238"/>
        <v>0</v>
      </c>
    </row>
    <row r="1300" spans="1:24" x14ac:dyDescent="0.15">
      <c r="A1300" s="25" t="s">
        <v>13</v>
      </c>
      <c r="B1300" s="8"/>
      <c r="C1300" s="9">
        <v>5</v>
      </c>
      <c r="D1300" s="52"/>
      <c r="E1300" s="11">
        <f t="shared" si="1233"/>
        <v>5</v>
      </c>
      <c r="F1300" s="12">
        <v>10</v>
      </c>
      <c r="G1300" s="9">
        <v>5</v>
      </c>
      <c r="H1300" s="10">
        <v>5</v>
      </c>
      <c r="I1300" s="11">
        <f t="shared" si="1234"/>
        <v>20</v>
      </c>
      <c r="J1300" s="11">
        <f t="shared" si="1235"/>
        <v>25</v>
      </c>
      <c r="K1300" s="63">
        <v>45499</v>
      </c>
      <c r="L1300" s="82"/>
      <c r="M1300" s="25" t="s">
        <v>13</v>
      </c>
      <c r="N1300" s="8"/>
      <c r="O1300" s="9"/>
      <c r="P1300" s="52"/>
      <c r="Q1300" s="11">
        <f t="shared" si="1236"/>
        <v>0</v>
      </c>
      <c r="R1300" s="12"/>
      <c r="S1300" s="9"/>
      <c r="T1300" s="10"/>
      <c r="U1300" s="11">
        <f t="shared" si="1237"/>
        <v>0</v>
      </c>
      <c r="V1300" s="11">
        <f t="shared" si="1238"/>
        <v>0</v>
      </c>
    </row>
    <row r="1301" spans="1:24" x14ac:dyDescent="0.15">
      <c r="A1301" s="25" t="s">
        <v>14</v>
      </c>
      <c r="B1301" s="13"/>
      <c r="C1301" s="14"/>
      <c r="D1301" s="53"/>
      <c r="E1301" s="11">
        <f t="shared" si="1233"/>
        <v>0</v>
      </c>
      <c r="F1301" s="16"/>
      <c r="G1301" s="14">
        <v>5</v>
      </c>
      <c r="H1301" s="15">
        <v>10</v>
      </c>
      <c r="I1301" s="11">
        <f t="shared" si="1234"/>
        <v>15</v>
      </c>
      <c r="J1301" s="11">
        <f t="shared" si="1235"/>
        <v>15</v>
      </c>
      <c r="K1301" s="63">
        <v>45507</v>
      </c>
      <c r="L1301" s="82"/>
      <c r="M1301" s="25" t="s">
        <v>14</v>
      </c>
      <c r="N1301" s="13"/>
      <c r="O1301" s="14"/>
      <c r="P1301" s="53"/>
      <c r="Q1301" s="11">
        <f t="shared" si="1236"/>
        <v>0</v>
      </c>
      <c r="R1301" s="16"/>
      <c r="S1301" s="14"/>
      <c r="T1301" s="15"/>
      <c r="U1301" s="11">
        <f t="shared" si="1237"/>
        <v>0</v>
      </c>
      <c r="V1301" s="11">
        <f t="shared" si="1238"/>
        <v>0</v>
      </c>
    </row>
    <row r="1302" spans="1:24" ht="14.25" thickBot="1" x14ac:dyDescent="0.2">
      <c r="A1302" s="25" t="s">
        <v>204</v>
      </c>
      <c r="B1302" s="13"/>
      <c r="C1302" s="14">
        <v>2</v>
      </c>
      <c r="D1302" s="53">
        <v>1</v>
      </c>
      <c r="E1302" s="11">
        <f t="shared" si="1233"/>
        <v>3</v>
      </c>
      <c r="F1302" s="16"/>
      <c r="G1302" s="14">
        <v>-1</v>
      </c>
      <c r="H1302" s="15">
        <v>-2</v>
      </c>
      <c r="I1302" s="11">
        <f t="shared" si="1234"/>
        <v>-3</v>
      </c>
      <c r="J1302" s="11">
        <f t="shared" si="1235"/>
        <v>0</v>
      </c>
      <c r="M1302" s="25" t="s">
        <v>15</v>
      </c>
      <c r="N1302" s="13"/>
      <c r="O1302" s="14"/>
      <c r="P1302" s="53"/>
      <c r="Q1302" s="11">
        <f t="shared" ref="Q1302" si="1239">SUM(N1302:P1302)</f>
        <v>0</v>
      </c>
      <c r="R1302" s="16">
        <v>-2</v>
      </c>
      <c r="S1302" s="14"/>
      <c r="T1302" s="15"/>
      <c r="U1302" s="11">
        <f t="shared" ref="U1302" si="1240">SUM(R1302:T1302)</f>
        <v>-2</v>
      </c>
      <c r="V1302" s="11">
        <f t="shared" ref="V1302" si="1241">Q1302+U1302</f>
        <v>-2</v>
      </c>
      <c r="W1302" s="144">
        <v>45507</v>
      </c>
    </row>
    <row r="1303" spans="1:24" ht="14.25" thickBot="1" x14ac:dyDescent="0.2">
      <c r="A1303" s="35" t="s">
        <v>16</v>
      </c>
      <c r="B1303" s="28">
        <f>SUM(B1294:B1302)</f>
        <v>18</v>
      </c>
      <c r="C1303" s="29">
        <f t="shared" ref="C1303:D1303" si="1242">SUM(C1294:C1302)</f>
        <v>45</v>
      </c>
      <c r="D1303" s="68">
        <f t="shared" si="1242"/>
        <v>22</v>
      </c>
      <c r="E1303" s="64">
        <f>SUM(B1303:D1303)</f>
        <v>85</v>
      </c>
      <c r="F1303" s="28">
        <f>SUM(F1294:F1302)</f>
        <v>50</v>
      </c>
      <c r="G1303" s="29">
        <f t="shared" ref="G1303:H1303" si="1243">SUM(G1294:G1302)</f>
        <v>44</v>
      </c>
      <c r="H1303" s="68">
        <f t="shared" si="1243"/>
        <v>46</v>
      </c>
      <c r="I1303" s="64">
        <f>SUM(F1303:H1303)</f>
        <v>140</v>
      </c>
      <c r="J1303" s="31">
        <f>SUM(J1295:J1302)</f>
        <v>168</v>
      </c>
      <c r="M1303" s="35" t="s">
        <v>16</v>
      </c>
      <c r="N1303" s="28">
        <f>SUM(N1294:N1302)</f>
        <v>18</v>
      </c>
      <c r="O1303" s="29">
        <f t="shared" ref="O1303:P1303" si="1244">SUM(O1294:O1302)</f>
        <v>74</v>
      </c>
      <c r="P1303" s="68">
        <f t="shared" si="1244"/>
        <v>407</v>
      </c>
      <c r="Q1303" s="64">
        <f>SUM(N1303:P1303)</f>
        <v>499</v>
      </c>
      <c r="R1303" s="28">
        <f>SUM(R1294:R1302)</f>
        <v>61</v>
      </c>
      <c r="S1303" s="29">
        <f t="shared" ref="S1303:T1303" si="1245">SUM(S1294:S1302)</f>
        <v>332</v>
      </c>
      <c r="T1303" s="68">
        <f t="shared" si="1245"/>
        <v>448</v>
      </c>
      <c r="U1303" s="64">
        <f>SUM(R1303:T1303)</f>
        <v>841</v>
      </c>
      <c r="V1303" s="31">
        <f>Q1303+U1303</f>
        <v>1340</v>
      </c>
    </row>
    <row r="1304" spans="1:24" x14ac:dyDescent="0.15">
      <c r="A1304" s="25" t="s">
        <v>33</v>
      </c>
      <c r="B1304" s="8"/>
      <c r="C1304" s="9"/>
      <c r="D1304" s="10">
        <v>1</v>
      </c>
      <c r="E1304" s="49">
        <f t="shared" ref="E1304:E1327" si="1246">SUM(B1304:D1304)</f>
        <v>1</v>
      </c>
      <c r="F1304" s="12">
        <v>-1</v>
      </c>
      <c r="G1304" s="9">
        <v>1</v>
      </c>
      <c r="H1304" s="10"/>
      <c r="I1304" s="49">
        <f t="shared" ref="I1304:I1327" si="1247">SUM(F1304:H1304)</f>
        <v>0</v>
      </c>
      <c r="J1304" s="11">
        <f t="shared" ref="J1304:J1327" si="1248">E1304+I1304</f>
        <v>1</v>
      </c>
      <c r="K1304" s="71">
        <v>45490</v>
      </c>
      <c r="M1304" s="23" t="s">
        <v>28</v>
      </c>
      <c r="N1304" s="8">
        <v>10</v>
      </c>
      <c r="O1304" s="9">
        <v>5</v>
      </c>
      <c r="P1304" s="10"/>
      <c r="Q1304" s="49">
        <f t="shared" ref="Q1304:Q1307" si="1249">SUM(N1304:P1304)</f>
        <v>15</v>
      </c>
      <c r="R1304" s="12">
        <v>5</v>
      </c>
      <c r="S1304" s="9">
        <v>5</v>
      </c>
      <c r="T1304" s="10"/>
      <c r="U1304" s="49">
        <f t="shared" ref="U1304:U1307" si="1250">SUM(R1304:T1304)</f>
        <v>10</v>
      </c>
      <c r="V1304" s="11">
        <f t="shared" ref="V1304:V1307" si="1251">Q1304+U1304</f>
        <v>25</v>
      </c>
      <c r="W1304" s="140">
        <v>45493</v>
      </c>
      <c r="X1304" s="82"/>
    </row>
    <row r="1305" spans="1:24" x14ac:dyDescent="0.15">
      <c r="A1305" s="25" t="s">
        <v>33</v>
      </c>
      <c r="B1305" s="8"/>
      <c r="C1305" s="9"/>
      <c r="D1305" s="10"/>
      <c r="E1305" s="49">
        <f t="shared" si="1246"/>
        <v>0</v>
      </c>
      <c r="F1305" s="12">
        <v>2</v>
      </c>
      <c r="G1305" s="9">
        <v>1</v>
      </c>
      <c r="H1305" s="10"/>
      <c r="I1305" s="49">
        <f t="shared" si="1247"/>
        <v>3</v>
      </c>
      <c r="J1305" s="11">
        <f t="shared" si="1248"/>
        <v>3</v>
      </c>
      <c r="K1305" s="71">
        <v>45491</v>
      </c>
      <c r="M1305" s="23" t="s">
        <v>28</v>
      </c>
      <c r="N1305" s="8"/>
      <c r="O1305" s="9">
        <v>10</v>
      </c>
      <c r="P1305" s="10">
        <v>10</v>
      </c>
      <c r="Q1305" s="49">
        <f t="shared" si="1249"/>
        <v>20</v>
      </c>
      <c r="R1305" s="12">
        <v>10</v>
      </c>
      <c r="S1305" s="9">
        <v>5</v>
      </c>
      <c r="T1305" s="10">
        <v>10</v>
      </c>
      <c r="U1305" s="49">
        <f t="shared" si="1250"/>
        <v>25</v>
      </c>
      <c r="V1305" s="11">
        <f t="shared" si="1251"/>
        <v>45</v>
      </c>
      <c r="W1305" s="140">
        <v>45496</v>
      </c>
      <c r="X1305" s="82"/>
    </row>
    <row r="1306" spans="1:24" x14ac:dyDescent="0.15">
      <c r="A1306" s="26" t="s">
        <v>424</v>
      </c>
      <c r="B1306" s="8"/>
      <c r="C1306" s="9">
        <v>5</v>
      </c>
      <c r="D1306" s="10"/>
      <c r="E1306" s="49">
        <f t="shared" si="1246"/>
        <v>5</v>
      </c>
      <c r="F1306" s="12"/>
      <c r="G1306" s="9"/>
      <c r="H1306" s="10"/>
      <c r="I1306" s="49">
        <f t="shared" si="1247"/>
        <v>0</v>
      </c>
      <c r="J1306" s="11">
        <f t="shared" si="1248"/>
        <v>5</v>
      </c>
      <c r="K1306" s="63">
        <v>45492</v>
      </c>
      <c r="M1306" s="23" t="s">
        <v>28</v>
      </c>
      <c r="N1306" s="8"/>
      <c r="O1306" s="9">
        <v>10</v>
      </c>
      <c r="P1306" s="10"/>
      <c r="Q1306" s="49">
        <f t="shared" si="1249"/>
        <v>10</v>
      </c>
      <c r="R1306" s="12"/>
      <c r="S1306" s="9">
        <v>10</v>
      </c>
      <c r="T1306" s="10"/>
      <c r="U1306" s="49">
        <f t="shared" si="1250"/>
        <v>10</v>
      </c>
      <c r="V1306" s="11">
        <f t="shared" si="1251"/>
        <v>20</v>
      </c>
      <c r="W1306" s="140">
        <v>45497</v>
      </c>
      <c r="X1306" s="82"/>
    </row>
    <row r="1307" spans="1:24" x14ac:dyDescent="0.15">
      <c r="A1307" s="25" t="s">
        <v>33</v>
      </c>
      <c r="B1307" s="8"/>
      <c r="C1307" s="9">
        <v>1</v>
      </c>
      <c r="D1307" s="10">
        <v>1</v>
      </c>
      <c r="E1307" s="49">
        <f t="shared" si="1246"/>
        <v>2</v>
      </c>
      <c r="F1307" s="12">
        <v>1</v>
      </c>
      <c r="G1307" s="9">
        <v>1</v>
      </c>
      <c r="H1307" s="10">
        <v>1</v>
      </c>
      <c r="I1307" s="49">
        <f t="shared" si="1247"/>
        <v>3</v>
      </c>
      <c r="J1307" s="11">
        <f t="shared" si="1248"/>
        <v>5</v>
      </c>
      <c r="K1307" s="63">
        <v>45491</v>
      </c>
      <c r="L1307" s="82"/>
      <c r="M1307" s="23" t="s">
        <v>28</v>
      </c>
      <c r="N1307" s="8">
        <v>8</v>
      </c>
      <c r="O1307" s="9"/>
      <c r="P1307" s="10"/>
      <c r="Q1307" s="49">
        <f t="shared" si="1249"/>
        <v>8</v>
      </c>
      <c r="R1307" s="12">
        <v>5</v>
      </c>
      <c r="S1307" s="9"/>
      <c r="T1307" s="10">
        <v>10</v>
      </c>
      <c r="U1307" s="49">
        <f t="shared" si="1250"/>
        <v>15</v>
      </c>
      <c r="V1307" s="11">
        <f t="shared" si="1251"/>
        <v>23</v>
      </c>
      <c r="W1307" s="140">
        <v>45498</v>
      </c>
      <c r="X1307" s="82"/>
    </row>
    <row r="1308" spans="1:24" x14ac:dyDescent="0.15">
      <c r="A1308" s="25" t="s">
        <v>33</v>
      </c>
      <c r="B1308" s="8">
        <v>2</v>
      </c>
      <c r="C1308" s="9">
        <v>3</v>
      </c>
      <c r="D1308" s="10"/>
      <c r="E1308" s="49">
        <f t="shared" si="1246"/>
        <v>5</v>
      </c>
      <c r="F1308" s="12">
        <v>1</v>
      </c>
      <c r="G1308" s="9">
        <v>1</v>
      </c>
      <c r="H1308" s="10">
        <v>1</v>
      </c>
      <c r="I1308" s="49">
        <f t="shared" si="1247"/>
        <v>3</v>
      </c>
      <c r="J1308" s="11">
        <f t="shared" si="1248"/>
        <v>8</v>
      </c>
      <c r="K1308" s="63">
        <v>45493</v>
      </c>
      <c r="M1308" s="23" t="s">
        <v>28</v>
      </c>
      <c r="N1308" s="8"/>
      <c r="O1308" s="9"/>
      <c r="P1308" s="10"/>
      <c r="Q1308" s="49">
        <f t="shared" ref="Q1308:Q1317" si="1252">SUM(N1308:P1308)</f>
        <v>0</v>
      </c>
      <c r="R1308" s="12">
        <v>5</v>
      </c>
      <c r="S1308" s="9">
        <v>5</v>
      </c>
      <c r="T1308" s="10"/>
      <c r="U1308" s="49">
        <f t="shared" ref="U1308:U1317" si="1253">SUM(R1308:T1308)</f>
        <v>10</v>
      </c>
      <c r="V1308" s="11">
        <f t="shared" ref="V1308:V1317" si="1254">Q1308+U1308</f>
        <v>10</v>
      </c>
      <c r="W1308" s="140">
        <v>45498</v>
      </c>
      <c r="X1308" s="82"/>
    </row>
    <row r="1309" spans="1:24" x14ac:dyDescent="0.15">
      <c r="A1309" s="26" t="s">
        <v>478</v>
      </c>
      <c r="B1309" s="8">
        <v>1</v>
      </c>
      <c r="C1309" s="9"/>
      <c r="D1309" s="10"/>
      <c r="E1309" s="49">
        <f t="shared" si="1246"/>
        <v>1</v>
      </c>
      <c r="F1309" s="12">
        <v>1</v>
      </c>
      <c r="G1309" s="9"/>
      <c r="H1309" s="10"/>
      <c r="I1309" s="49">
        <f t="shared" si="1247"/>
        <v>1</v>
      </c>
      <c r="J1309" s="11">
        <f t="shared" si="1248"/>
        <v>2</v>
      </c>
      <c r="K1309" s="63">
        <v>45497</v>
      </c>
      <c r="M1309" s="23" t="s">
        <v>28</v>
      </c>
      <c r="N1309" s="8"/>
      <c r="O1309" s="9">
        <v>5</v>
      </c>
      <c r="P1309" s="10"/>
      <c r="Q1309" s="49">
        <f t="shared" si="1252"/>
        <v>5</v>
      </c>
      <c r="R1309" s="12">
        <v>10</v>
      </c>
      <c r="S1309" s="9">
        <v>5</v>
      </c>
      <c r="T1309" s="10">
        <v>5</v>
      </c>
      <c r="U1309" s="49">
        <f t="shared" si="1253"/>
        <v>20</v>
      </c>
      <c r="V1309" s="11">
        <f t="shared" si="1254"/>
        <v>25</v>
      </c>
      <c r="W1309" s="140">
        <v>45499</v>
      </c>
      <c r="X1309" s="82"/>
    </row>
    <row r="1310" spans="1:24" x14ac:dyDescent="0.15">
      <c r="A1310" s="25" t="s">
        <v>33</v>
      </c>
      <c r="B1310" s="8">
        <f>1+2+1+2</f>
        <v>6</v>
      </c>
      <c r="C1310" s="9">
        <f>2+2</f>
        <v>4</v>
      </c>
      <c r="D1310" s="10">
        <v>2</v>
      </c>
      <c r="E1310" s="49">
        <f t="shared" si="1246"/>
        <v>12</v>
      </c>
      <c r="F1310" s="12">
        <f>1+2+2+2+4</f>
        <v>11</v>
      </c>
      <c r="G1310" s="9">
        <v>1</v>
      </c>
      <c r="H1310" s="10">
        <f>1+5+2</f>
        <v>8</v>
      </c>
      <c r="I1310" s="49">
        <f t="shared" si="1247"/>
        <v>20</v>
      </c>
      <c r="J1310" s="11">
        <f t="shared" si="1248"/>
        <v>32</v>
      </c>
      <c r="K1310" s="63">
        <v>45495</v>
      </c>
      <c r="M1310" s="23" t="s">
        <v>28</v>
      </c>
      <c r="N1310" s="8"/>
      <c r="O1310" s="9"/>
      <c r="P1310" s="10"/>
      <c r="Q1310" s="49">
        <f t="shared" si="1252"/>
        <v>0</v>
      </c>
      <c r="R1310" s="12"/>
      <c r="S1310" s="9">
        <v>5</v>
      </c>
      <c r="T1310" s="10">
        <v>10</v>
      </c>
      <c r="U1310" s="49">
        <f t="shared" si="1253"/>
        <v>15</v>
      </c>
      <c r="V1310" s="11">
        <f t="shared" si="1254"/>
        <v>15</v>
      </c>
      <c r="W1310" s="140">
        <v>45507</v>
      </c>
      <c r="X1310" s="82"/>
    </row>
    <row r="1311" spans="1:24" x14ac:dyDescent="0.15">
      <c r="A1311" s="25" t="s">
        <v>33</v>
      </c>
      <c r="B1311" s="8"/>
      <c r="C1311" s="9">
        <v>6</v>
      </c>
      <c r="D1311" s="10"/>
      <c r="E1311" s="49">
        <f t="shared" si="1246"/>
        <v>6</v>
      </c>
      <c r="F1311" s="12">
        <v>4</v>
      </c>
      <c r="G1311" s="9">
        <v>5</v>
      </c>
      <c r="H1311" s="10"/>
      <c r="I1311" s="49">
        <f t="shared" si="1247"/>
        <v>9</v>
      </c>
      <c r="J1311" s="11">
        <f t="shared" si="1248"/>
        <v>15</v>
      </c>
      <c r="K1311" s="63">
        <v>45496</v>
      </c>
      <c r="M1311" s="26"/>
      <c r="N1311" s="8"/>
      <c r="O1311" s="9"/>
      <c r="P1311" s="10"/>
      <c r="Q1311" s="49">
        <f t="shared" si="1252"/>
        <v>0</v>
      </c>
      <c r="R1311" s="12"/>
      <c r="S1311" s="9"/>
      <c r="T1311" s="10"/>
      <c r="U1311" s="49">
        <f t="shared" si="1253"/>
        <v>0</v>
      </c>
      <c r="V1311" s="11">
        <f t="shared" si="1254"/>
        <v>0</v>
      </c>
      <c r="W1311" s="142"/>
      <c r="X1311" s="82"/>
    </row>
    <row r="1312" spans="1:24" x14ac:dyDescent="0.15">
      <c r="A1312" s="25" t="s">
        <v>33</v>
      </c>
      <c r="B1312" s="8"/>
      <c r="C1312" s="9">
        <v>2</v>
      </c>
      <c r="D1312" s="10">
        <v>1</v>
      </c>
      <c r="E1312" s="49">
        <f t="shared" si="1246"/>
        <v>3</v>
      </c>
      <c r="F1312" s="12">
        <f>2+1</f>
        <v>3</v>
      </c>
      <c r="G1312" s="9">
        <v>5</v>
      </c>
      <c r="H1312" s="10">
        <v>5</v>
      </c>
      <c r="I1312" s="49">
        <f t="shared" si="1247"/>
        <v>13</v>
      </c>
      <c r="J1312" s="11">
        <f t="shared" si="1248"/>
        <v>16</v>
      </c>
      <c r="K1312" s="63">
        <v>45497</v>
      </c>
      <c r="M1312" s="26"/>
      <c r="N1312" s="8"/>
      <c r="O1312" s="9"/>
      <c r="P1312" s="10"/>
      <c r="Q1312" s="49">
        <f t="shared" si="1252"/>
        <v>0</v>
      </c>
      <c r="R1312" s="12"/>
      <c r="S1312" s="9"/>
      <c r="T1312" s="10"/>
      <c r="U1312" s="49">
        <f t="shared" si="1253"/>
        <v>0</v>
      </c>
      <c r="V1312" s="11">
        <f t="shared" si="1254"/>
        <v>0</v>
      </c>
      <c r="W1312" s="142"/>
      <c r="X1312" s="82"/>
    </row>
    <row r="1313" spans="1:24" x14ac:dyDescent="0.15">
      <c r="A1313" s="26" t="s">
        <v>424</v>
      </c>
      <c r="B1313" s="8"/>
      <c r="C1313" s="9">
        <v>5</v>
      </c>
      <c r="D1313" s="10"/>
      <c r="E1313" s="49">
        <f t="shared" si="1246"/>
        <v>5</v>
      </c>
      <c r="F1313" s="12">
        <v>5</v>
      </c>
      <c r="G1313" s="9">
        <v>5</v>
      </c>
      <c r="H1313" s="10">
        <v>5</v>
      </c>
      <c r="I1313" s="49">
        <f t="shared" si="1247"/>
        <v>15</v>
      </c>
      <c r="J1313" s="11">
        <f t="shared" si="1248"/>
        <v>20</v>
      </c>
      <c r="K1313" s="63">
        <v>45498</v>
      </c>
      <c r="M1313" s="26"/>
      <c r="N1313" s="8"/>
      <c r="O1313" s="9"/>
      <c r="P1313" s="10"/>
      <c r="Q1313" s="49">
        <f t="shared" si="1252"/>
        <v>0</v>
      </c>
      <c r="R1313" s="12"/>
      <c r="S1313" s="9"/>
      <c r="T1313" s="10"/>
      <c r="U1313" s="49">
        <f t="shared" si="1253"/>
        <v>0</v>
      </c>
      <c r="V1313" s="11">
        <f t="shared" si="1254"/>
        <v>0</v>
      </c>
      <c r="W1313" s="142"/>
      <c r="X1313" s="82"/>
    </row>
    <row r="1314" spans="1:24" x14ac:dyDescent="0.15">
      <c r="A1314" s="25" t="s">
        <v>33</v>
      </c>
      <c r="B1314" s="8">
        <f>1+2</f>
        <v>3</v>
      </c>
      <c r="C1314" s="9">
        <v>2</v>
      </c>
      <c r="D1314" s="10">
        <f>1+2</f>
        <v>3</v>
      </c>
      <c r="E1314" s="49">
        <f t="shared" si="1246"/>
        <v>8</v>
      </c>
      <c r="F1314" s="12">
        <f>2+2+1</f>
        <v>5</v>
      </c>
      <c r="G1314" s="9">
        <f>3+1</f>
        <v>4</v>
      </c>
      <c r="H1314" s="10">
        <f>1+2</f>
        <v>3</v>
      </c>
      <c r="I1314" s="49">
        <f t="shared" si="1247"/>
        <v>12</v>
      </c>
      <c r="J1314" s="11">
        <f t="shared" si="1248"/>
        <v>20</v>
      </c>
      <c r="K1314" s="71">
        <v>45498</v>
      </c>
      <c r="M1314" s="26"/>
      <c r="N1314" s="8"/>
      <c r="O1314" s="9"/>
      <c r="P1314" s="10"/>
      <c r="Q1314" s="49">
        <f t="shared" si="1252"/>
        <v>0</v>
      </c>
      <c r="R1314" s="12"/>
      <c r="S1314" s="9"/>
      <c r="T1314" s="10"/>
      <c r="U1314" s="49">
        <f t="shared" si="1253"/>
        <v>0</v>
      </c>
      <c r="V1314" s="11">
        <f t="shared" si="1254"/>
        <v>0</v>
      </c>
      <c r="W1314" s="142"/>
      <c r="X1314" s="82"/>
    </row>
    <row r="1315" spans="1:24" x14ac:dyDescent="0.15">
      <c r="A1315" s="25" t="s">
        <v>33</v>
      </c>
      <c r="B1315" s="8"/>
      <c r="C1315" s="9"/>
      <c r="D1315" s="10"/>
      <c r="E1315" s="49">
        <f t="shared" si="1246"/>
        <v>0</v>
      </c>
      <c r="F1315" s="12">
        <f>2+1</f>
        <v>3</v>
      </c>
      <c r="G1315" s="9">
        <v>1</v>
      </c>
      <c r="H1315" s="10"/>
      <c r="I1315" s="49">
        <f t="shared" si="1247"/>
        <v>4</v>
      </c>
      <c r="J1315" s="11">
        <f t="shared" si="1248"/>
        <v>4</v>
      </c>
      <c r="K1315" s="63">
        <v>45499</v>
      </c>
      <c r="M1315" s="26"/>
      <c r="N1315" s="8"/>
      <c r="O1315" s="9"/>
      <c r="P1315" s="10"/>
      <c r="Q1315" s="49">
        <f t="shared" si="1252"/>
        <v>0</v>
      </c>
      <c r="R1315" s="12"/>
      <c r="S1315" s="9"/>
      <c r="T1315" s="10"/>
      <c r="U1315" s="49">
        <f t="shared" si="1253"/>
        <v>0</v>
      </c>
      <c r="V1315" s="11">
        <f t="shared" si="1254"/>
        <v>0</v>
      </c>
      <c r="W1315" s="142"/>
      <c r="X1315" s="82"/>
    </row>
    <row r="1316" spans="1:24" x14ac:dyDescent="0.15">
      <c r="A1316" s="25" t="s">
        <v>33</v>
      </c>
      <c r="B1316" s="8"/>
      <c r="C1316" s="9">
        <v>2</v>
      </c>
      <c r="D1316" s="10">
        <v>1</v>
      </c>
      <c r="E1316" s="49">
        <f t="shared" si="1246"/>
        <v>3</v>
      </c>
      <c r="F1316" s="12"/>
      <c r="G1316" s="9">
        <v>2</v>
      </c>
      <c r="H1316" s="10">
        <v>2</v>
      </c>
      <c r="I1316" s="49">
        <f t="shared" si="1247"/>
        <v>4</v>
      </c>
      <c r="J1316" s="11">
        <f t="shared" si="1248"/>
        <v>7</v>
      </c>
      <c r="K1316" s="63">
        <v>45502</v>
      </c>
      <c r="L1316" s="82"/>
      <c r="M1316" s="26"/>
      <c r="N1316" s="8"/>
      <c r="O1316" s="9"/>
      <c r="P1316" s="10"/>
      <c r="Q1316" s="49">
        <f t="shared" si="1252"/>
        <v>0</v>
      </c>
      <c r="R1316" s="12"/>
      <c r="S1316" s="9"/>
      <c r="T1316" s="10"/>
      <c r="U1316" s="49">
        <f t="shared" si="1253"/>
        <v>0</v>
      </c>
      <c r="V1316" s="11">
        <f t="shared" si="1254"/>
        <v>0</v>
      </c>
      <c r="W1316" s="142"/>
      <c r="X1316" s="82"/>
    </row>
    <row r="1317" spans="1:24" x14ac:dyDescent="0.15">
      <c r="A1317" s="26" t="s">
        <v>479</v>
      </c>
      <c r="B1317" s="8">
        <v>1</v>
      </c>
      <c r="C1317" s="9"/>
      <c r="D1317" s="10"/>
      <c r="E1317" s="49">
        <f t="shared" si="1246"/>
        <v>1</v>
      </c>
      <c r="F1317" s="12">
        <v>1</v>
      </c>
      <c r="G1317" s="9"/>
      <c r="H1317" s="10"/>
      <c r="I1317" s="49">
        <f t="shared" si="1247"/>
        <v>1</v>
      </c>
      <c r="J1317" s="11">
        <f t="shared" si="1248"/>
        <v>2</v>
      </c>
      <c r="K1317" s="63">
        <v>45505</v>
      </c>
      <c r="M1317" s="26"/>
      <c r="N1317" s="8"/>
      <c r="O1317" s="9"/>
      <c r="P1317" s="10"/>
      <c r="Q1317" s="49">
        <f t="shared" si="1252"/>
        <v>0</v>
      </c>
      <c r="R1317" s="12"/>
      <c r="S1317" s="9"/>
      <c r="T1317" s="10"/>
      <c r="U1317" s="49">
        <f t="shared" si="1253"/>
        <v>0</v>
      </c>
      <c r="V1317" s="11">
        <f t="shared" si="1254"/>
        <v>0</v>
      </c>
      <c r="W1317" s="142"/>
      <c r="X1317" s="82"/>
    </row>
    <row r="1318" spans="1:24" x14ac:dyDescent="0.15">
      <c r="A1318" s="25" t="s">
        <v>33</v>
      </c>
      <c r="B1318" s="8"/>
      <c r="C1318" s="9"/>
      <c r="D1318" s="10"/>
      <c r="E1318" s="49">
        <f t="shared" si="1246"/>
        <v>0</v>
      </c>
      <c r="F1318" s="12"/>
      <c r="G1318" s="9">
        <v>1</v>
      </c>
      <c r="H1318" s="10">
        <v>1</v>
      </c>
      <c r="I1318" s="49">
        <f t="shared" si="1247"/>
        <v>2</v>
      </c>
      <c r="J1318" s="11">
        <f t="shared" si="1248"/>
        <v>2</v>
      </c>
      <c r="K1318" s="63">
        <v>45503</v>
      </c>
      <c r="L1318" s="82"/>
      <c r="M1318" s="26"/>
      <c r="N1318" s="8"/>
      <c r="O1318" s="9"/>
      <c r="P1318" s="10"/>
      <c r="Q1318" s="49">
        <f t="shared" ref="Q1318:Q1330" si="1255">SUM(N1318:P1318)</f>
        <v>0</v>
      </c>
      <c r="R1318" s="12"/>
      <c r="S1318" s="9"/>
      <c r="T1318" s="10"/>
      <c r="U1318" s="49">
        <f t="shared" ref="U1318:U1330" si="1256">SUM(R1318:T1318)</f>
        <v>0</v>
      </c>
      <c r="V1318" s="11">
        <f t="shared" ref="V1318:V1329" si="1257">Q1318+U1318</f>
        <v>0</v>
      </c>
      <c r="W1318" s="142"/>
      <c r="X1318" s="82"/>
    </row>
    <row r="1319" spans="1:24" x14ac:dyDescent="0.15">
      <c r="A1319" s="25" t="s">
        <v>301</v>
      </c>
      <c r="B1319" s="8">
        <v>-1</v>
      </c>
      <c r="C1319" s="9">
        <v>-3</v>
      </c>
      <c r="D1319" s="10"/>
      <c r="E1319" s="49">
        <f t="shared" si="1246"/>
        <v>-4</v>
      </c>
      <c r="F1319" s="12">
        <v>-1</v>
      </c>
      <c r="G1319" s="9"/>
      <c r="H1319" s="10"/>
      <c r="I1319" s="49">
        <f t="shared" si="1247"/>
        <v>-1</v>
      </c>
      <c r="J1319" s="11">
        <f t="shared" si="1248"/>
        <v>-5</v>
      </c>
      <c r="K1319" s="63">
        <v>45503</v>
      </c>
      <c r="L1319" s="82"/>
      <c r="M1319" s="26"/>
      <c r="N1319" s="8"/>
      <c r="O1319" s="9"/>
      <c r="P1319" s="10"/>
      <c r="Q1319" s="49">
        <f t="shared" si="1255"/>
        <v>0</v>
      </c>
      <c r="R1319" s="12"/>
      <c r="S1319" s="9"/>
      <c r="T1319" s="10"/>
      <c r="U1319" s="49">
        <f t="shared" si="1256"/>
        <v>0</v>
      </c>
      <c r="V1319" s="11">
        <f t="shared" si="1257"/>
        <v>0</v>
      </c>
      <c r="W1319" s="142"/>
      <c r="X1319" s="82"/>
    </row>
    <row r="1320" spans="1:24" x14ac:dyDescent="0.15">
      <c r="A1320" s="25" t="s">
        <v>33</v>
      </c>
      <c r="B1320" s="8"/>
      <c r="C1320" s="9">
        <v>1</v>
      </c>
      <c r="D1320" s="10"/>
      <c r="E1320" s="49">
        <f t="shared" si="1246"/>
        <v>1</v>
      </c>
      <c r="F1320" s="12"/>
      <c r="G1320" s="9">
        <v>1</v>
      </c>
      <c r="H1320" s="10">
        <v>2</v>
      </c>
      <c r="I1320" s="49">
        <f t="shared" si="1247"/>
        <v>3</v>
      </c>
      <c r="J1320" s="11">
        <f t="shared" si="1248"/>
        <v>4</v>
      </c>
      <c r="K1320" s="63">
        <v>45504</v>
      </c>
      <c r="L1320" s="82"/>
      <c r="M1320" s="26"/>
      <c r="N1320" s="8"/>
      <c r="O1320" s="9"/>
      <c r="P1320" s="10"/>
      <c r="Q1320" s="49">
        <f t="shared" si="1255"/>
        <v>0</v>
      </c>
      <c r="R1320" s="12"/>
      <c r="S1320" s="9"/>
      <c r="T1320" s="10"/>
      <c r="U1320" s="49">
        <f t="shared" si="1256"/>
        <v>0</v>
      </c>
      <c r="V1320" s="11">
        <f t="shared" si="1257"/>
        <v>0</v>
      </c>
      <c r="W1320" s="142"/>
    </row>
    <row r="1321" spans="1:24" x14ac:dyDescent="0.15">
      <c r="A1321" s="25" t="s">
        <v>33</v>
      </c>
      <c r="B1321" s="8">
        <v>1</v>
      </c>
      <c r="C1321" s="9"/>
      <c r="D1321" s="10">
        <v>2</v>
      </c>
      <c r="E1321" s="49">
        <f t="shared" si="1246"/>
        <v>3</v>
      </c>
      <c r="F1321" s="12">
        <f>2+1</f>
        <v>3</v>
      </c>
      <c r="G1321" s="9">
        <v>1</v>
      </c>
      <c r="H1321" s="10">
        <v>2</v>
      </c>
      <c r="I1321" s="49">
        <f t="shared" si="1247"/>
        <v>6</v>
      </c>
      <c r="J1321" s="11">
        <f t="shared" si="1248"/>
        <v>9</v>
      </c>
      <c r="K1321" s="63">
        <v>45505</v>
      </c>
      <c r="L1321" s="82"/>
      <c r="M1321" s="26"/>
      <c r="N1321" s="8"/>
      <c r="O1321" s="9"/>
      <c r="P1321" s="10"/>
      <c r="Q1321" s="49">
        <f t="shared" si="1255"/>
        <v>0</v>
      </c>
      <c r="R1321" s="12"/>
      <c r="S1321" s="9"/>
      <c r="T1321" s="10"/>
      <c r="U1321" s="49">
        <f t="shared" si="1256"/>
        <v>0</v>
      </c>
      <c r="V1321" s="11">
        <f t="shared" si="1257"/>
        <v>0</v>
      </c>
      <c r="W1321" s="142"/>
    </row>
    <row r="1322" spans="1:24" x14ac:dyDescent="0.15">
      <c r="A1322" s="25" t="s">
        <v>33</v>
      </c>
      <c r="B1322" s="8"/>
      <c r="C1322" s="9">
        <v>1</v>
      </c>
      <c r="D1322" s="10"/>
      <c r="E1322" s="49">
        <f t="shared" si="1246"/>
        <v>1</v>
      </c>
      <c r="F1322" s="12">
        <v>1</v>
      </c>
      <c r="G1322" s="9">
        <f>1+1</f>
        <v>2</v>
      </c>
      <c r="H1322" s="10"/>
      <c r="I1322" s="49">
        <f t="shared" si="1247"/>
        <v>3</v>
      </c>
      <c r="J1322" s="11">
        <f t="shared" si="1248"/>
        <v>4</v>
      </c>
      <c r="K1322" s="63">
        <v>45506</v>
      </c>
      <c r="L1322" s="82"/>
      <c r="M1322" s="26"/>
      <c r="N1322" s="8"/>
      <c r="O1322" s="9"/>
      <c r="P1322" s="10"/>
      <c r="Q1322" s="49">
        <f t="shared" si="1255"/>
        <v>0</v>
      </c>
      <c r="R1322" s="12"/>
      <c r="S1322" s="9"/>
      <c r="T1322" s="10"/>
      <c r="U1322" s="49">
        <f t="shared" si="1256"/>
        <v>0</v>
      </c>
      <c r="V1322" s="11">
        <f t="shared" si="1257"/>
        <v>0</v>
      </c>
      <c r="W1322" s="142"/>
    </row>
    <row r="1323" spans="1:24" x14ac:dyDescent="0.15">
      <c r="A1323" s="25" t="s">
        <v>33</v>
      </c>
      <c r="B1323" s="8"/>
      <c r="C1323" s="9"/>
      <c r="D1323" s="10"/>
      <c r="E1323" s="49">
        <f t="shared" si="1246"/>
        <v>0</v>
      </c>
      <c r="F1323" s="12"/>
      <c r="G1323" s="9"/>
      <c r="H1323" s="10">
        <v>1</v>
      </c>
      <c r="I1323" s="49">
        <f t="shared" si="1247"/>
        <v>1</v>
      </c>
      <c r="J1323" s="11">
        <f t="shared" si="1248"/>
        <v>1</v>
      </c>
      <c r="K1323" s="63">
        <v>45507</v>
      </c>
      <c r="L1323" s="82"/>
      <c r="M1323" s="26"/>
      <c r="N1323" s="8"/>
      <c r="O1323" s="9"/>
      <c r="P1323" s="10"/>
      <c r="Q1323" s="49">
        <f t="shared" si="1255"/>
        <v>0</v>
      </c>
      <c r="R1323" s="12"/>
      <c r="S1323" s="9"/>
      <c r="T1323" s="10"/>
      <c r="U1323" s="49">
        <f t="shared" si="1256"/>
        <v>0</v>
      </c>
      <c r="V1323" s="11">
        <f t="shared" si="1257"/>
        <v>0</v>
      </c>
      <c r="W1323" s="142"/>
    </row>
    <row r="1324" spans="1:24" x14ac:dyDescent="0.15">
      <c r="A1324" s="26" t="s">
        <v>424</v>
      </c>
      <c r="B1324" s="8"/>
      <c r="C1324" s="9">
        <v>10</v>
      </c>
      <c r="D1324" s="10">
        <v>5</v>
      </c>
      <c r="E1324" s="49">
        <f t="shared" si="1246"/>
        <v>15</v>
      </c>
      <c r="F1324" s="12">
        <v>10</v>
      </c>
      <c r="G1324" s="9">
        <v>5</v>
      </c>
      <c r="H1324" s="10"/>
      <c r="I1324" s="49">
        <f t="shared" si="1247"/>
        <v>15</v>
      </c>
      <c r="J1324" s="11">
        <f t="shared" si="1248"/>
        <v>30</v>
      </c>
      <c r="K1324" s="63">
        <v>45510</v>
      </c>
      <c r="L1324" s="82"/>
      <c r="M1324" s="26"/>
      <c r="N1324" s="8"/>
      <c r="O1324" s="9"/>
      <c r="P1324" s="10"/>
      <c r="Q1324" s="49">
        <f t="shared" si="1255"/>
        <v>0</v>
      </c>
      <c r="R1324" s="12"/>
      <c r="S1324" s="9"/>
      <c r="T1324" s="10"/>
      <c r="U1324" s="49">
        <f t="shared" si="1256"/>
        <v>0</v>
      </c>
      <c r="V1324" s="11">
        <f t="shared" si="1257"/>
        <v>0</v>
      </c>
      <c r="W1324" s="142"/>
    </row>
    <row r="1325" spans="1:24" x14ac:dyDescent="0.15">
      <c r="A1325" s="25" t="s">
        <v>33</v>
      </c>
      <c r="B1325" s="8">
        <f>1+2</f>
        <v>3</v>
      </c>
      <c r="C1325" s="9">
        <v>1</v>
      </c>
      <c r="D1325" s="10">
        <v>4</v>
      </c>
      <c r="E1325" s="49">
        <f t="shared" si="1246"/>
        <v>8</v>
      </c>
      <c r="F1325" s="12">
        <v>1</v>
      </c>
      <c r="G1325" s="9"/>
      <c r="H1325" s="10">
        <f>3+2+1+1</f>
        <v>7</v>
      </c>
      <c r="I1325" s="49">
        <f t="shared" si="1247"/>
        <v>8</v>
      </c>
      <c r="J1325" s="11">
        <f t="shared" si="1248"/>
        <v>16</v>
      </c>
      <c r="K1325" s="63">
        <v>45509</v>
      </c>
      <c r="M1325" s="26"/>
      <c r="N1325" s="8"/>
      <c r="O1325" s="9"/>
      <c r="P1325" s="10"/>
      <c r="Q1325" s="49">
        <f t="shared" si="1255"/>
        <v>0</v>
      </c>
      <c r="R1325" s="12"/>
      <c r="S1325" s="9"/>
      <c r="T1325" s="10"/>
      <c r="U1325" s="49">
        <f t="shared" si="1256"/>
        <v>0</v>
      </c>
      <c r="V1325" s="11">
        <f t="shared" si="1257"/>
        <v>0</v>
      </c>
      <c r="W1325" s="142"/>
    </row>
    <row r="1326" spans="1:24" x14ac:dyDescent="0.15">
      <c r="A1326" s="25" t="s">
        <v>33</v>
      </c>
      <c r="B1326" s="8"/>
      <c r="C1326" s="9"/>
      <c r="D1326" s="10"/>
      <c r="E1326" s="49">
        <f t="shared" si="1246"/>
        <v>0</v>
      </c>
      <c r="F1326" s="12">
        <v>1</v>
      </c>
      <c r="G1326" s="9"/>
      <c r="H1326" s="10"/>
      <c r="I1326" s="49">
        <f t="shared" si="1247"/>
        <v>1</v>
      </c>
      <c r="J1326" s="11">
        <f t="shared" si="1248"/>
        <v>1</v>
      </c>
      <c r="K1326" s="63">
        <v>45510</v>
      </c>
      <c r="M1326" s="26"/>
      <c r="N1326" s="8"/>
      <c r="O1326" s="9"/>
      <c r="P1326" s="10"/>
      <c r="Q1326" s="49">
        <f t="shared" si="1255"/>
        <v>0</v>
      </c>
      <c r="R1326" s="12"/>
      <c r="S1326" s="9"/>
      <c r="T1326" s="10"/>
      <c r="U1326" s="49">
        <f t="shared" si="1256"/>
        <v>0</v>
      </c>
      <c r="V1326" s="11">
        <f t="shared" si="1257"/>
        <v>0</v>
      </c>
      <c r="W1326" s="142"/>
    </row>
    <row r="1327" spans="1:24" x14ac:dyDescent="0.15">
      <c r="A1327" s="25" t="s">
        <v>33</v>
      </c>
      <c r="B1327" s="8">
        <v>1</v>
      </c>
      <c r="C1327" s="9">
        <v>1</v>
      </c>
      <c r="D1327" s="10">
        <v>1</v>
      </c>
      <c r="E1327" s="49">
        <f t="shared" si="1246"/>
        <v>3</v>
      </c>
      <c r="F1327" s="12">
        <f>1+1</f>
        <v>2</v>
      </c>
      <c r="G1327" s="9"/>
      <c r="H1327" s="10"/>
      <c r="I1327" s="49">
        <f t="shared" si="1247"/>
        <v>2</v>
      </c>
      <c r="J1327" s="11">
        <f t="shared" si="1248"/>
        <v>5</v>
      </c>
      <c r="K1327" s="71">
        <v>45511</v>
      </c>
      <c r="M1327" s="26"/>
      <c r="N1327" s="8"/>
      <c r="O1327" s="9"/>
      <c r="P1327" s="10"/>
      <c r="Q1327" s="49">
        <f t="shared" si="1255"/>
        <v>0</v>
      </c>
      <c r="R1327" s="12"/>
      <c r="S1327" s="9"/>
      <c r="T1327" s="10"/>
      <c r="U1327" s="49">
        <f t="shared" si="1256"/>
        <v>0</v>
      </c>
      <c r="V1327" s="11">
        <f t="shared" si="1257"/>
        <v>0</v>
      </c>
      <c r="W1327" s="142"/>
    </row>
    <row r="1328" spans="1:24" x14ac:dyDescent="0.15">
      <c r="A1328" s="25" t="s">
        <v>33</v>
      </c>
      <c r="B1328" s="8"/>
      <c r="C1328" s="9">
        <v>1</v>
      </c>
      <c r="D1328" s="10"/>
      <c r="E1328" s="49">
        <f t="shared" ref="E1328:E1329" si="1258">SUM(B1328:D1328)</f>
        <v>1</v>
      </c>
      <c r="F1328" s="12"/>
      <c r="G1328" s="9">
        <v>1</v>
      </c>
      <c r="H1328" s="10"/>
      <c r="I1328" s="49">
        <f t="shared" ref="I1328:I1329" si="1259">SUM(F1328:H1328)</f>
        <v>1</v>
      </c>
      <c r="J1328" s="11">
        <f t="shared" ref="J1328:J1329" si="1260">E1328+I1328</f>
        <v>2</v>
      </c>
      <c r="K1328" s="71">
        <v>45512</v>
      </c>
      <c r="M1328" s="26"/>
      <c r="N1328" s="8"/>
      <c r="O1328" s="9"/>
      <c r="P1328" s="10"/>
      <c r="Q1328" s="49">
        <f t="shared" si="1255"/>
        <v>0</v>
      </c>
      <c r="R1328" s="12"/>
      <c r="S1328" s="9"/>
      <c r="T1328" s="10"/>
      <c r="U1328" s="49">
        <f t="shared" si="1256"/>
        <v>0</v>
      </c>
      <c r="V1328" s="11">
        <f t="shared" si="1257"/>
        <v>0</v>
      </c>
      <c r="W1328" s="142"/>
    </row>
    <row r="1329" spans="1:25" ht="14.25" thickBot="1" x14ac:dyDescent="0.2">
      <c r="A1329" s="25" t="s">
        <v>33</v>
      </c>
      <c r="B1329" s="8"/>
      <c r="C1329" s="9">
        <v>3</v>
      </c>
      <c r="D1329" s="10"/>
      <c r="E1329" s="49">
        <f t="shared" si="1258"/>
        <v>3</v>
      </c>
      <c r="F1329" s="12">
        <v>1</v>
      </c>
      <c r="G1329" s="9">
        <v>3</v>
      </c>
      <c r="H1329" s="10">
        <v>1</v>
      </c>
      <c r="I1329" s="49">
        <f t="shared" si="1259"/>
        <v>5</v>
      </c>
      <c r="J1329" s="11">
        <f t="shared" si="1260"/>
        <v>8</v>
      </c>
      <c r="K1329" s="71">
        <v>45513</v>
      </c>
      <c r="M1329" s="26" t="s">
        <v>463</v>
      </c>
      <c r="N1329" s="8"/>
      <c r="O1329" s="9"/>
      <c r="P1329" s="10"/>
      <c r="Q1329" s="49">
        <f t="shared" si="1255"/>
        <v>0</v>
      </c>
      <c r="R1329" s="12"/>
      <c r="S1329" s="9"/>
      <c r="T1329" s="10"/>
      <c r="U1329" s="49">
        <f t="shared" si="1256"/>
        <v>0</v>
      </c>
      <c r="V1329" s="11">
        <f t="shared" si="1257"/>
        <v>0</v>
      </c>
      <c r="W1329" s="142" t="s">
        <v>405</v>
      </c>
      <c r="Y1329" t="s">
        <v>477</v>
      </c>
    </row>
    <row r="1330" spans="1:25" ht="14.25" thickBot="1" x14ac:dyDescent="0.2">
      <c r="A1330" s="41" t="s">
        <v>19</v>
      </c>
      <c r="B1330" s="46">
        <f>SUM(B1304:B1329)</f>
        <v>17</v>
      </c>
      <c r="C1330" s="47">
        <f t="shared" ref="C1330:D1330" si="1261">SUM(C1304:C1329)</f>
        <v>45</v>
      </c>
      <c r="D1330" s="59">
        <f t="shared" si="1261"/>
        <v>21</v>
      </c>
      <c r="E1330" s="45">
        <f t="shared" ref="E1330" si="1262">SUM(B1330:D1330)</f>
        <v>83</v>
      </c>
      <c r="F1330" s="46">
        <f>SUM(F1304:F1329)</f>
        <v>54</v>
      </c>
      <c r="G1330" s="47">
        <f t="shared" ref="G1330:H1330" si="1263">SUM(G1304:G1329)</f>
        <v>41</v>
      </c>
      <c r="H1330" s="59">
        <f t="shared" si="1263"/>
        <v>39</v>
      </c>
      <c r="I1330" s="45">
        <f t="shared" ref="I1330" si="1264">SUM(F1330:H1330)</f>
        <v>134</v>
      </c>
      <c r="J1330" s="45">
        <f>E1330+I1330</f>
        <v>217</v>
      </c>
      <c r="M1330" s="41" t="s">
        <v>19</v>
      </c>
      <c r="N1330" s="135">
        <f>SUM(N1304:N1329)</f>
        <v>18</v>
      </c>
      <c r="O1330" s="47">
        <f t="shared" ref="O1330:P1330" si="1265">SUM(O1304:O1329)</f>
        <v>30</v>
      </c>
      <c r="P1330" s="59">
        <f t="shared" si="1265"/>
        <v>10</v>
      </c>
      <c r="Q1330" s="45">
        <f t="shared" si="1255"/>
        <v>58</v>
      </c>
      <c r="R1330" s="46">
        <f>SUM(R1304:R1329)</f>
        <v>35</v>
      </c>
      <c r="S1330" s="47">
        <f t="shared" ref="S1330:T1330" si="1266">SUM(S1304:S1329)</f>
        <v>35</v>
      </c>
      <c r="T1330" s="59">
        <f t="shared" si="1266"/>
        <v>35</v>
      </c>
      <c r="U1330" s="45">
        <f t="shared" si="1256"/>
        <v>105</v>
      </c>
      <c r="V1330" s="45">
        <f>Q1330+U1330</f>
        <v>163</v>
      </c>
    </row>
    <row r="1331" spans="1:25" ht="14.25" thickBot="1" x14ac:dyDescent="0.2">
      <c r="A1331" s="22" t="s">
        <v>17</v>
      </c>
      <c r="B1331" s="50">
        <f>B1303-B1330</f>
        <v>1</v>
      </c>
      <c r="C1331" s="57">
        <f t="shared" ref="C1331:D1331" si="1267">C1303-C1330</f>
        <v>0</v>
      </c>
      <c r="D1331" s="58">
        <f t="shared" si="1267"/>
        <v>1</v>
      </c>
      <c r="E1331" s="56">
        <f>SUM(B1331:D1331)</f>
        <v>2</v>
      </c>
      <c r="F1331" s="50">
        <f>F1303-F1330</f>
        <v>-4</v>
      </c>
      <c r="G1331" s="57">
        <f t="shared" ref="G1331:H1331" si="1268">G1303-G1330</f>
        <v>3</v>
      </c>
      <c r="H1331" s="58">
        <f t="shared" si="1268"/>
        <v>7</v>
      </c>
      <c r="I1331" s="56">
        <f>SUM(F1331:H1331)</f>
        <v>6</v>
      </c>
      <c r="J1331" s="31">
        <f>E1331+I1331</f>
        <v>8</v>
      </c>
      <c r="M1331" s="22" t="s">
        <v>17</v>
      </c>
      <c r="N1331" s="136">
        <f>N1303-N1330</f>
        <v>0</v>
      </c>
      <c r="O1331" s="57">
        <f t="shared" ref="O1331:P1331" si="1269">O1303-O1330</f>
        <v>44</v>
      </c>
      <c r="P1331" s="58">
        <f t="shared" si="1269"/>
        <v>397</v>
      </c>
      <c r="Q1331" s="56">
        <f>SUM(N1331:P1331)</f>
        <v>441</v>
      </c>
      <c r="R1331" s="50">
        <f>R1303-R1330</f>
        <v>26</v>
      </c>
      <c r="S1331" s="57">
        <f t="shared" ref="S1331:T1331" si="1270">S1303-S1330</f>
        <v>297</v>
      </c>
      <c r="T1331" s="58">
        <f t="shared" si="1270"/>
        <v>413</v>
      </c>
      <c r="U1331" s="56">
        <f>SUM(R1331:T1331)</f>
        <v>736</v>
      </c>
      <c r="V1331" s="31">
        <f>Q1331+U1331</f>
        <v>1177</v>
      </c>
    </row>
    <row r="1334" spans="1:25" ht="19.5" thickBot="1" x14ac:dyDescent="0.25">
      <c r="A1334" s="3" t="s">
        <v>21</v>
      </c>
      <c r="B1334" s="1"/>
      <c r="C1334" s="1"/>
      <c r="D1334" s="1"/>
      <c r="E1334" s="1"/>
      <c r="F1334" s="1"/>
      <c r="G1334" s="1"/>
      <c r="H1334" s="1"/>
      <c r="I1334" s="1"/>
      <c r="J1334" s="1"/>
      <c r="M1334" s="3" t="s">
        <v>22</v>
      </c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5" ht="14.25" thickBot="1" x14ac:dyDescent="0.2">
      <c r="A1335" s="7" t="s">
        <v>0</v>
      </c>
      <c r="B1335" s="165" t="s">
        <v>24</v>
      </c>
      <c r="C1335" s="166"/>
      <c r="D1335" s="166"/>
      <c r="E1335" s="170"/>
      <c r="F1335" s="165" t="s">
        <v>18</v>
      </c>
      <c r="G1335" s="166"/>
      <c r="H1335" s="166"/>
      <c r="I1335" s="167"/>
      <c r="J1335" s="168" t="s">
        <v>1</v>
      </c>
      <c r="M1335" s="7" t="s">
        <v>0</v>
      </c>
      <c r="N1335" s="165" t="s">
        <v>24</v>
      </c>
      <c r="O1335" s="166"/>
      <c r="P1335" s="166"/>
      <c r="Q1335" s="170"/>
      <c r="R1335" s="165" t="s">
        <v>18</v>
      </c>
      <c r="S1335" s="166"/>
      <c r="T1335" s="166"/>
      <c r="U1335" s="167"/>
      <c r="V1335" s="168" t="s">
        <v>1</v>
      </c>
    </row>
    <row r="1336" spans="1:25" ht="14.25" thickBot="1" x14ac:dyDescent="0.2">
      <c r="A1336" s="7" t="s">
        <v>2</v>
      </c>
      <c r="B1336" s="4" t="s">
        <v>3</v>
      </c>
      <c r="C1336" s="5" t="s">
        <v>4</v>
      </c>
      <c r="D1336" s="6" t="s">
        <v>5</v>
      </c>
      <c r="E1336" s="7" t="s">
        <v>6</v>
      </c>
      <c r="F1336" s="4" t="s">
        <v>3</v>
      </c>
      <c r="G1336" s="5" t="s">
        <v>4</v>
      </c>
      <c r="H1336" s="6" t="s">
        <v>5</v>
      </c>
      <c r="I1336" s="7" t="s">
        <v>6</v>
      </c>
      <c r="J1336" s="169"/>
      <c r="M1336" s="7" t="s">
        <v>2</v>
      </c>
      <c r="N1336" s="4" t="s">
        <v>3</v>
      </c>
      <c r="O1336" s="5" t="s">
        <v>4</v>
      </c>
      <c r="P1336" s="6" t="s">
        <v>5</v>
      </c>
      <c r="Q1336" s="7" t="s">
        <v>6</v>
      </c>
      <c r="R1336" s="4" t="s">
        <v>3</v>
      </c>
      <c r="S1336" s="5" t="s">
        <v>4</v>
      </c>
      <c r="T1336" s="6" t="s">
        <v>5</v>
      </c>
      <c r="U1336" s="7" t="s">
        <v>6</v>
      </c>
      <c r="V1336" s="169"/>
    </row>
    <row r="1337" spans="1:25" ht="14.25" thickBot="1" x14ac:dyDescent="0.2">
      <c r="A1337" s="27" t="s">
        <v>20</v>
      </c>
      <c r="B1337" s="28">
        <f>B1331</f>
        <v>1</v>
      </c>
      <c r="C1337" s="29">
        <f>C1331</f>
        <v>0</v>
      </c>
      <c r="D1337" s="30">
        <f>D1331</f>
        <v>1</v>
      </c>
      <c r="E1337" s="31">
        <f>SUM(B1337:D1337)</f>
        <v>2</v>
      </c>
      <c r="F1337" s="28">
        <f>F1331</f>
        <v>-4</v>
      </c>
      <c r="G1337" s="29">
        <f>G1331</f>
        <v>3</v>
      </c>
      <c r="H1337" s="30">
        <f>H1331</f>
        <v>7</v>
      </c>
      <c r="I1337" s="31">
        <f>SUM(F1337:H1337)</f>
        <v>6</v>
      </c>
      <c r="J1337" s="31">
        <f>E1337+I1337</f>
        <v>8</v>
      </c>
      <c r="M1337" s="27" t="s">
        <v>20</v>
      </c>
      <c r="N1337" s="28">
        <f>N1331</f>
        <v>0</v>
      </c>
      <c r="O1337" s="29">
        <f>O1331</f>
        <v>44</v>
      </c>
      <c r="P1337" s="30">
        <f>P1331</f>
        <v>397</v>
      </c>
      <c r="Q1337" s="31">
        <f>SUM(N1337:P1337)</f>
        <v>441</v>
      </c>
      <c r="R1337" s="28">
        <f>R1331</f>
        <v>26</v>
      </c>
      <c r="S1337" s="29">
        <f>S1331</f>
        <v>297</v>
      </c>
      <c r="T1337" s="30">
        <f>T1331</f>
        <v>413</v>
      </c>
      <c r="U1337" s="31">
        <f>SUM(R1337:T1337)</f>
        <v>736</v>
      </c>
      <c r="V1337" s="31">
        <f>Q1337+U1337</f>
        <v>1177</v>
      </c>
    </row>
    <row r="1338" spans="1:25" x14ac:dyDescent="0.15">
      <c r="A1338" s="25" t="s">
        <v>8</v>
      </c>
      <c r="B1338" s="17"/>
      <c r="C1338" s="18">
        <v>10</v>
      </c>
      <c r="D1338" s="51">
        <v>10</v>
      </c>
      <c r="E1338" s="49">
        <f t="shared" ref="E1338:E1345" si="1271">SUM(B1338:D1338)</f>
        <v>20</v>
      </c>
      <c r="F1338" s="20">
        <v>26</v>
      </c>
      <c r="G1338" s="18">
        <v>10</v>
      </c>
      <c r="H1338" s="19">
        <v>5</v>
      </c>
      <c r="I1338" s="49">
        <f t="shared" ref="I1338:I1345" si="1272">SUM(F1338:H1338)</f>
        <v>41</v>
      </c>
      <c r="J1338" s="49">
        <f t="shared" ref="J1338:J1345" si="1273">E1338+I1338</f>
        <v>61</v>
      </c>
      <c r="K1338" s="63">
        <v>45510</v>
      </c>
      <c r="M1338" s="25" t="s">
        <v>8</v>
      </c>
      <c r="N1338" s="17"/>
      <c r="O1338" s="18"/>
      <c r="P1338" s="51"/>
      <c r="Q1338" s="49">
        <f t="shared" ref="Q1338:Q1345" si="1274">SUM(N1338:P1338)</f>
        <v>0</v>
      </c>
      <c r="R1338" s="20"/>
      <c r="S1338" s="18"/>
      <c r="T1338" s="19"/>
      <c r="U1338" s="49">
        <f t="shared" ref="U1338:U1345" si="1275">SUM(R1338:T1338)</f>
        <v>0</v>
      </c>
      <c r="V1338" s="49">
        <f t="shared" ref="V1338:V1345" si="1276">Q1338+U1338</f>
        <v>0</v>
      </c>
    </row>
    <row r="1339" spans="1:25" x14ac:dyDescent="0.15">
      <c r="A1339" s="25" t="s">
        <v>9</v>
      </c>
      <c r="B1339" s="8"/>
      <c r="C1339" s="9">
        <v>5</v>
      </c>
      <c r="D1339" s="52">
        <v>5</v>
      </c>
      <c r="E1339" s="11">
        <f t="shared" si="1271"/>
        <v>10</v>
      </c>
      <c r="F1339" s="12"/>
      <c r="G1339" s="9"/>
      <c r="H1339" s="10"/>
      <c r="I1339" s="11">
        <f t="shared" si="1272"/>
        <v>0</v>
      </c>
      <c r="J1339" s="11">
        <f t="shared" si="1273"/>
        <v>10</v>
      </c>
      <c r="K1339" s="63">
        <v>45514</v>
      </c>
      <c r="L1339" s="82"/>
      <c r="M1339" s="25" t="s">
        <v>9</v>
      </c>
      <c r="N1339" s="8"/>
      <c r="O1339" s="9"/>
      <c r="P1339" s="52"/>
      <c r="Q1339" s="11">
        <f t="shared" si="1274"/>
        <v>0</v>
      </c>
      <c r="R1339" s="12"/>
      <c r="S1339" s="9"/>
      <c r="T1339" s="10"/>
      <c r="U1339" s="11">
        <f t="shared" si="1275"/>
        <v>0</v>
      </c>
      <c r="V1339" s="11">
        <f t="shared" si="1276"/>
        <v>0</v>
      </c>
    </row>
    <row r="1340" spans="1:25" x14ac:dyDescent="0.15">
      <c r="A1340" s="25" t="s">
        <v>10</v>
      </c>
      <c r="B1340" s="8"/>
      <c r="C1340" s="9">
        <v>5</v>
      </c>
      <c r="D1340" s="52">
        <v>5</v>
      </c>
      <c r="E1340" s="11">
        <f t="shared" si="1271"/>
        <v>10</v>
      </c>
      <c r="F1340" s="12"/>
      <c r="G1340" s="9">
        <v>5</v>
      </c>
      <c r="H1340" s="10">
        <v>5</v>
      </c>
      <c r="I1340" s="11">
        <f t="shared" si="1272"/>
        <v>10</v>
      </c>
      <c r="J1340" s="11">
        <f t="shared" si="1273"/>
        <v>20</v>
      </c>
      <c r="K1340" s="63">
        <v>45521</v>
      </c>
      <c r="L1340" s="82"/>
      <c r="M1340" s="25" t="s">
        <v>10</v>
      </c>
      <c r="N1340" s="8"/>
      <c r="O1340" s="9"/>
      <c r="P1340" s="52"/>
      <c r="Q1340" s="11">
        <f t="shared" si="1274"/>
        <v>0</v>
      </c>
      <c r="R1340" s="12"/>
      <c r="S1340" s="9"/>
      <c r="T1340" s="10"/>
      <c r="U1340" s="11">
        <f t="shared" si="1275"/>
        <v>0</v>
      </c>
      <c r="V1340" s="11">
        <f t="shared" si="1276"/>
        <v>0</v>
      </c>
    </row>
    <row r="1341" spans="1:25" x14ac:dyDescent="0.15">
      <c r="A1341" s="25" t="s">
        <v>11</v>
      </c>
      <c r="B1341" s="8"/>
      <c r="C1341" s="9"/>
      <c r="D1341" s="52"/>
      <c r="E1341" s="11">
        <f t="shared" si="1271"/>
        <v>0</v>
      </c>
      <c r="F1341" s="12"/>
      <c r="G1341" s="9">
        <v>10</v>
      </c>
      <c r="H1341" s="10"/>
      <c r="I1341" s="11">
        <f t="shared" si="1272"/>
        <v>10</v>
      </c>
      <c r="J1341" s="11">
        <f t="shared" si="1273"/>
        <v>10</v>
      </c>
      <c r="K1341" s="63">
        <v>45525</v>
      </c>
      <c r="L1341" s="82"/>
      <c r="M1341" s="25" t="s">
        <v>11</v>
      </c>
      <c r="N1341" s="8"/>
      <c r="O1341" s="9"/>
      <c r="P1341" s="52"/>
      <c r="Q1341" s="11">
        <f t="shared" si="1274"/>
        <v>0</v>
      </c>
      <c r="R1341" s="12"/>
      <c r="S1341" s="9"/>
      <c r="T1341" s="10"/>
      <c r="U1341" s="11">
        <f t="shared" si="1275"/>
        <v>0</v>
      </c>
      <c r="V1341" s="11">
        <f t="shared" si="1276"/>
        <v>0</v>
      </c>
    </row>
    <row r="1342" spans="1:25" x14ac:dyDescent="0.15">
      <c r="A1342" s="25" t="s">
        <v>204</v>
      </c>
      <c r="B1342" s="8">
        <v>0</v>
      </c>
      <c r="C1342" s="9">
        <v>-1</v>
      </c>
      <c r="D1342" s="52">
        <v>-1</v>
      </c>
      <c r="E1342" s="11">
        <f t="shared" si="1271"/>
        <v>-2</v>
      </c>
      <c r="F1342" s="12">
        <v>-3</v>
      </c>
      <c r="G1342" s="9">
        <v>6</v>
      </c>
      <c r="H1342" s="10">
        <v>1</v>
      </c>
      <c r="I1342" s="11">
        <f t="shared" si="1272"/>
        <v>4</v>
      </c>
      <c r="J1342" s="11">
        <f t="shared" si="1273"/>
        <v>2</v>
      </c>
      <c r="K1342" s="63">
        <v>45530</v>
      </c>
      <c r="L1342" s="82"/>
      <c r="M1342" s="25" t="s">
        <v>12</v>
      </c>
      <c r="N1342" s="8"/>
      <c r="O1342" s="9"/>
      <c r="P1342" s="52"/>
      <c r="Q1342" s="11">
        <f t="shared" si="1274"/>
        <v>0</v>
      </c>
      <c r="R1342" s="12"/>
      <c r="S1342" s="9"/>
      <c r="T1342" s="10"/>
      <c r="U1342" s="11">
        <f t="shared" si="1275"/>
        <v>0</v>
      </c>
      <c r="V1342" s="11">
        <f t="shared" si="1276"/>
        <v>0</v>
      </c>
    </row>
    <row r="1343" spans="1:25" x14ac:dyDescent="0.15">
      <c r="A1343" s="25" t="s">
        <v>13</v>
      </c>
      <c r="B1343" s="8"/>
      <c r="C1343" s="9">
        <v>5</v>
      </c>
      <c r="D1343" s="52"/>
      <c r="E1343" s="11">
        <f t="shared" si="1271"/>
        <v>5</v>
      </c>
      <c r="F1343" s="12"/>
      <c r="G1343" s="9">
        <v>5</v>
      </c>
      <c r="H1343" s="10">
        <v>5</v>
      </c>
      <c r="I1343" s="11">
        <f t="shared" si="1272"/>
        <v>10</v>
      </c>
      <c r="J1343" s="11">
        <f t="shared" si="1273"/>
        <v>15</v>
      </c>
      <c r="K1343" s="63">
        <v>45534</v>
      </c>
      <c r="L1343" s="82"/>
      <c r="M1343" s="25" t="s">
        <v>13</v>
      </c>
      <c r="N1343" s="8"/>
      <c r="O1343" s="9"/>
      <c r="P1343" s="52"/>
      <c r="Q1343" s="11">
        <f t="shared" si="1274"/>
        <v>0</v>
      </c>
      <c r="R1343" s="12"/>
      <c r="S1343" s="9"/>
      <c r="T1343" s="10"/>
      <c r="U1343" s="11">
        <f t="shared" si="1275"/>
        <v>0</v>
      </c>
      <c r="V1343" s="11">
        <f t="shared" si="1276"/>
        <v>0</v>
      </c>
    </row>
    <row r="1344" spans="1:25" x14ac:dyDescent="0.15">
      <c r="A1344" s="25" t="s">
        <v>14</v>
      </c>
      <c r="B1344" s="13"/>
      <c r="C1344" s="14"/>
      <c r="D1344" s="53"/>
      <c r="E1344" s="11">
        <f t="shared" si="1271"/>
        <v>0</v>
      </c>
      <c r="F1344" s="16"/>
      <c r="G1344" s="14"/>
      <c r="H1344" s="15"/>
      <c r="I1344" s="11">
        <f t="shared" si="1272"/>
        <v>0</v>
      </c>
      <c r="J1344" s="11">
        <f t="shared" si="1273"/>
        <v>0</v>
      </c>
      <c r="K1344" s="82"/>
      <c r="L1344" s="82"/>
      <c r="M1344" s="25" t="s">
        <v>14</v>
      </c>
      <c r="N1344" s="13"/>
      <c r="O1344" s="14"/>
      <c r="P1344" s="53"/>
      <c r="Q1344" s="11">
        <f t="shared" si="1274"/>
        <v>0</v>
      </c>
      <c r="R1344" s="16"/>
      <c r="S1344" s="14"/>
      <c r="T1344" s="15"/>
      <c r="U1344" s="11">
        <f t="shared" si="1275"/>
        <v>0</v>
      </c>
      <c r="V1344" s="11">
        <f t="shared" si="1276"/>
        <v>0</v>
      </c>
    </row>
    <row r="1345" spans="1:24" ht="14.25" thickBot="1" x14ac:dyDescent="0.2">
      <c r="A1345" s="25" t="s">
        <v>15</v>
      </c>
      <c r="B1345" s="13"/>
      <c r="C1345" s="14"/>
      <c r="D1345" s="53"/>
      <c r="E1345" s="11">
        <f t="shared" si="1271"/>
        <v>0</v>
      </c>
      <c r="F1345" s="16"/>
      <c r="G1345" s="14"/>
      <c r="H1345" s="15"/>
      <c r="I1345" s="11">
        <f t="shared" si="1272"/>
        <v>0</v>
      </c>
      <c r="J1345" s="11">
        <f t="shared" si="1273"/>
        <v>0</v>
      </c>
      <c r="M1345" s="25" t="s">
        <v>15</v>
      </c>
      <c r="N1345" s="13"/>
      <c r="O1345" s="14"/>
      <c r="P1345" s="53"/>
      <c r="Q1345" s="11">
        <f t="shared" si="1274"/>
        <v>0</v>
      </c>
      <c r="R1345" s="16"/>
      <c r="S1345" s="14"/>
      <c r="T1345" s="15"/>
      <c r="U1345" s="11">
        <f t="shared" si="1275"/>
        <v>0</v>
      </c>
      <c r="V1345" s="11">
        <f t="shared" si="1276"/>
        <v>0</v>
      </c>
    </row>
    <row r="1346" spans="1:24" ht="14.25" thickBot="1" x14ac:dyDescent="0.2">
      <c r="A1346" s="35" t="s">
        <v>16</v>
      </c>
      <c r="B1346" s="28">
        <f>SUM(B1337:B1345)</f>
        <v>1</v>
      </c>
      <c r="C1346" s="29">
        <f t="shared" ref="C1346:D1346" si="1277">SUM(C1337:C1345)</f>
        <v>24</v>
      </c>
      <c r="D1346" s="68">
        <f t="shared" si="1277"/>
        <v>20</v>
      </c>
      <c r="E1346" s="64">
        <f>SUM(B1346:D1346)</f>
        <v>45</v>
      </c>
      <c r="F1346" s="28">
        <f>SUM(F1337:F1345)</f>
        <v>19</v>
      </c>
      <c r="G1346" s="29">
        <f>SUM(G1337:G1345)</f>
        <v>39</v>
      </c>
      <c r="H1346" s="68">
        <f t="shared" ref="H1346" si="1278">SUM(H1337:H1345)</f>
        <v>23</v>
      </c>
      <c r="I1346" s="64">
        <f>SUM(F1346:H1346)</f>
        <v>81</v>
      </c>
      <c r="J1346" s="31">
        <f>SUM(J1338:J1345)</f>
        <v>118</v>
      </c>
      <c r="M1346" s="35" t="s">
        <v>16</v>
      </c>
      <c r="N1346" s="28">
        <f>SUM(N1337:N1345)</f>
        <v>0</v>
      </c>
      <c r="O1346" s="29">
        <f t="shared" ref="O1346:P1346" si="1279">SUM(O1337:O1345)</f>
        <v>44</v>
      </c>
      <c r="P1346" s="68">
        <f t="shared" si="1279"/>
        <v>397</v>
      </c>
      <c r="Q1346" s="64">
        <f>SUM(N1346:P1346)</f>
        <v>441</v>
      </c>
      <c r="R1346" s="28">
        <f>SUM(R1337:R1345)</f>
        <v>26</v>
      </c>
      <c r="S1346" s="29">
        <f t="shared" ref="S1346:T1346" si="1280">SUM(S1337:S1345)</f>
        <v>297</v>
      </c>
      <c r="T1346" s="68">
        <f t="shared" si="1280"/>
        <v>413</v>
      </c>
      <c r="U1346" s="64">
        <f>SUM(R1346:T1346)</f>
        <v>736</v>
      </c>
      <c r="V1346" s="31">
        <f>Q1346+U1346</f>
        <v>1177</v>
      </c>
    </row>
    <row r="1347" spans="1:24" x14ac:dyDescent="0.15">
      <c r="A1347" s="25" t="s">
        <v>33</v>
      </c>
      <c r="B1347" s="8"/>
      <c r="C1347" s="9">
        <v>4</v>
      </c>
      <c r="D1347" s="10"/>
      <c r="E1347" s="49">
        <f t="shared" ref="E1347:E1372" si="1281">SUM(B1347:D1347)</f>
        <v>4</v>
      </c>
      <c r="F1347" s="12"/>
      <c r="G1347" s="9">
        <v>2</v>
      </c>
      <c r="H1347" s="10"/>
      <c r="I1347" s="49">
        <f t="shared" ref="I1347:I1372" si="1282">SUM(F1347:H1347)</f>
        <v>2</v>
      </c>
      <c r="J1347" s="11">
        <f t="shared" ref="J1347:J1372" si="1283">E1347+I1347</f>
        <v>6</v>
      </c>
      <c r="K1347" s="63">
        <v>45515</v>
      </c>
      <c r="M1347" s="23" t="s">
        <v>28</v>
      </c>
      <c r="N1347" s="8"/>
      <c r="O1347" s="9">
        <v>10</v>
      </c>
      <c r="P1347" s="10">
        <v>10</v>
      </c>
      <c r="Q1347" s="49">
        <f t="shared" ref="Q1347:Q1351" si="1284">SUM(N1347:P1347)</f>
        <v>20</v>
      </c>
      <c r="R1347" s="12">
        <v>26</v>
      </c>
      <c r="S1347" s="9">
        <v>10</v>
      </c>
      <c r="T1347" s="10">
        <v>5</v>
      </c>
      <c r="U1347" s="49">
        <f t="shared" ref="U1347:U1351" si="1285">SUM(R1347:T1347)</f>
        <v>41</v>
      </c>
      <c r="V1347" s="11">
        <f t="shared" ref="V1347:V1351" si="1286">Q1347+U1347</f>
        <v>61</v>
      </c>
      <c r="W1347" s="140">
        <v>45510</v>
      </c>
      <c r="X1347" s="82"/>
    </row>
    <row r="1348" spans="1:24" x14ac:dyDescent="0.15">
      <c r="A1348" s="25" t="s">
        <v>33</v>
      </c>
      <c r="B1348" s="8"/>
      <c r="C1348" s="9">
        <v>2</v>
      </c>
      <c r="D1348" s="10">
        <f>1+5</f>
        <v>6</v>
      </c>
      <c r="E1348" s="49">
        <f t="shared" si="1281"/>
        <v>8</v>
      </c>
      <c r="F1348" s="12">
        <f>3+2</f>
        <v>5</v>
      </c>
      <c r="G1348" s="9">
        <v>4</v>
      </c>
      <c r="H1348" s="10">
        <f>2+3</f>
        <v>5</v>
      </c>
      <c r="I1348" s="49">
        <f t="shared" si="1282"/>
        <v>14</v>
      </c>
      <c r="J1348" s="11">
        <f t="shared" si="1283"/>
        <v>22</v>
      </c>
      <c r="K1348" s="63">
        <v>45520</v>
      </c>
      <c r="M1348" s="23" t="s">
        <v>28</v>
      </c>
      <c r="N1348" s="8"/>
      <c r="O1348" s="9">
        <v>5</v>
      </c>
      <c r="P1348" s="10">
        <v>5</v>
      </c>
      <c r="Q1348" s="49">
        <f t="shared" si="1284"/>
        <v>10</v>
      </c>
      <c r="R1348" s="12"/>
      <c r="S1348" s="9"/>
      <c r="T1348" s="10"/>
      <c r="U1348" s="49">
        <f t="shared" si="1285"/>
        <v>0</v>
      </c>
      <c r="V1348" s="11">
        <f t="shared" si="1286"/>
        <v>10</v>
      </c>
      <c r="W1348" s="140">
        <v>45514</v>
      </c>
      <c r="X1348" s="82"/>
    </row>
    <row r="1349" spans="1:24" x14ac:dyDescent="0.15">
      <c r="A1349" s="25" t="s">
        <v>33</v>
      </c>
      <c r="B1349" s="8"/>
      <c r="C1349" s="9"/>
      <c r="D1349" s="10"/>
      <c r="E1349" s="49">
        <f t="shared" si="1281"/>
        <v>0</v>
      </c>
      <c r="F1349" s="12">
        <v>1</v>
      </c>
      <c r="G1349" s="9"/>
      <c r="H1349" s="10"/>
      <c r="I1349" s="49">
        <f t="shared" si="1282"/>
        <v>1</v>
      </c>
      <c r="J1349" s="11">
        <f t="shared" si="1283"/>
        <v>1</v>
      </c>
      <c r="K1349" s="63">
        <v>45521</v>
      </c>
      <c r="M1349" s="23" t="s">
        <v>28</v>
      </c>
      <c r="N1349" s="8"/>
      <c r="O1349" s="9">
        <v>5</v>
      </c>
      <c r="P1349" s="10">
        <v>5</v>
      </c>
      <c r="Q1349" s="49">
        <f t="shared" si="1284"/>
        <v>10</v>
      </c>
      <c r="R1349" s="12"/>
      <c r="S1349" s="9">
        <v>5</v>
      </c>
      <c r="T1349" s="10">
        <v>5</v>
      </c>
      <c r="U1349" s="49">
        <f t="shared" si="1285"/>
        <v>10</v>
      </c>
      <c r="V1349" s="11">
        <f t="shared" si="1286"/>
        <v>20</v>
      </c>
      <c r="W1349" s="140">
        <v>45521</v>
      </c>
      <c r="X1349" s="82"/>
    </row>
    <row r="1350" spans="1:24" x14ac:dyDescent="0.15">
      <c r="A1350" s="25" t="s">
        <v>33</v>
      </c>
      <c r="B1350" s="8"/>
      <c r="C1350" s="9">
        <v>1</v>
      </c>
      <c r="D1350" s="10"/>
      <c r="E1350" s="49">
        <f t="shared" si="1281"/>
        <v>1</v>
      </c>
      <c r="F1350" s="12">
        <v>4</v>
      </c>
      <c r="G1350" s="9">
        <v>5</v>
      </c>
      <c r="H1350" s="10"/>
      <c r="I1350" s="49">
        <f t="shared" si="1282"/>
        <v>9</v>
      </c>
      <c r="J1350" s="11">
        <f t="shared" si="1283"/>
        <v>10</v>
      </c>
      <c r="K1350" s="63">
        <v>45523</v>
      </c>
      <c r="L1350" s="82"/>
      <c r="M1350" s="23" t="s">
        <v>28</v>
      </c>
      <c r="N1350" s="8"/>
      <c r="O1350" s="9"/>
      <c r="P1350" s="10"/>
      <c r="Q1350" s="49">
        <f t="shared" si="1284"/>
        <v>0</v>
      </c>
      <c r="R1350" s="12"/>
      <c r="S1350" s="9">
        <v>10</v>
      </c>
      <c r="T1350" s="10"/>
      <c r="U1350" s="49">
        <f t="shared" si="1285"/>
        <v>10</v>
      </c>
      <c r="V1350" s="11">
        <f t="shared" si="1286"/>
        <v>10</v>
      </c>
      <c r="W1350" s="140">
        <v>45525</v>
      </c>
      <c r="X1350" s="82"/>
    </row>
    <row r="1351" spans="1:24" x14ac:dyDescent="0.15">
      <c r="A1351" s="25" t="s">
        <v>33</v>
      </c>
      <c r="B1351" s="8"/>
      <c r="C1351" s="9">
        <v>1</v>
      </c>
      <c r="D1351" s="10"/>
      <c r="E1351" s="49">
        <f t="shared" si="1281"/>
        <v>1</v>
      </c>
      <c r="F1351" s="12"/>
      <c r="G1351" s="9"/>
      <c r="H1351" s="10"/>
      <c r="I1351" s="49">
        <f t="shared" si="1282"/>
        <v>0</v>
      </c>
      <c r="J1351" s="11">
        <f t="shared" si="1283"/>
        <v>1</v>
      </c>
      <c r="K1351" s="63">
        <v>45524</v>
      </c>
      <c r="M1351" s="23" t="s">
        <v>28</v>
      </c>
      <c r="N1351" s="8"/>
      <c r="O1351" s="9">
        <v>5</v>
      </c>
      <c r="P1351" s="10"/>
      <c r="Q1351" s="49">
        <f t="shared" si="1284"/>
        <v>5</v>
      </c>
      <c r="R1351" s="12"/>
      <c r="S1351" s="9">
        <v>5</v>
      </c>
      <c r="T1351" s="10">
        <v>5</v>
      </c>
      <c r="U1351" s="49">
        <f t="shared" si="1285"/>
        <v>10</v>
      </c>
      <c r="V1351" s="11">
        <f t="shared" si="1286"/>
        <v>15</v>
      </c>
      <c r="W1351" s="140">
        <v>45534</v>
      </c>
      <c r="X1351" s="82"/>
    </row>
    <row r="1352" spans="1:24" x14ac:dyDescent="0.15">
      <c r="A1352" s="25" t="s">
        <v>33</v>
      </c>
      <c r="B1352" s="8"/>
      <c r="C1352" s="9"/>
      <c r="D1352" s="10"/>
      <c r="E1352" s="49">
        <f t="shared" si="1281"/>
        <v>0</v>
      </c>
      <c r="F1352" s="12"/>
      <c r="G1352" s="9">
        <v>1</v>
      </c>
      <c r="H1352" s="10"/>
      <c r="I1352" s="49">
        <f t="shared" si="1282"/>
        <v>1</v>
      </c>
      <c r="J1352" s="11">
        <f t="shared" si="1283"/>
        <v>1</v>
      </c>
      <c r="K1352" s="63">
        <v>45525</v>
      </c>
      <c r="M1352" s="26"/>
      <c r="N1352" s="8"/>
      <c r="O1352" s="9"/>
      <c r="P1352" s="10"/>
      <c r="Q1352" s="49">
        <f t="shared" ref="Q1352:Q1353" si="1287">SUM(N1352:P1352)</f>
        <v>0</v>
      </c>
      <c r="R1352" s="12"/>
      <c r="S1352" s="9"/>
      <c r="T1352" s="10"/>
      <c r="U1352" s="49">
        <f t="shared" ref="U1352:U1353" si="1288">SUM(R1352:T1352)</f>
        <v>0</v>
      </c>
      <c r="V1352" s="11">
        <f t="shared" ref="V1352:V1353" si="1289">Q1352+U1352</f>
        <v>0</v>
      </c>
      <c r="W1352" s="142"/>
      <c r="X1352" s="82"/>
    </row>
    <row r="1353" spans="1:24" x14ac:dyDescent="0.15">
      <c r="A1353" s="25" t="s">
        <v>33</v>
      </c>
      <c r="B1353" s="8"/>
      <c r="C1353" s="9"/>
      <c r="D1353" s="10"/>
      <c r="E1353" s="49">
        <f t="shared" si="1281"/>
        <v>0</v>
      </c>
      <c r="F1353" s="12"/>
      <c r="G1353" s="9"/>
      <c r="H1353" s="10">
        <v>1</v>
      </c>
      <c r="I1353" s="49">
        <f t="shared" si="1282"/>
        <v>1</v>
      </c>
      <c r="J1353" s="11">
        <f t="shared" si="1283"/>
        <v>1</v>
      </c>
      <c r="K1353" s="63">
        <v>45526</v>
      </c>
      <c r="M1353" s="26"/>
      <c r="N1353" s="8"/>
      <c r="O1353" s="9"/>
      <c r="P1353" s="10"/>
      <c r="Q1353" s="49">
        <f t="shared" si="1287"/>
        <v>0</v>
      </c>
      <c r="R1353" s="12"/>
      <c r="S1353" s="9"/>
      <c r="T1353" s="10"/>
      <c r="U1353" s="49">
        <f t="shared" si="1288"/>
        <v>0</v>
      </c>
      <c r="V1353" s="11">
        <f t="shared" si="1289"/>
        <v>0</v>
      </c>
      <c r="W1353" s="142"/>
      <c r="X1353" s="82"/>
    </row>
    <row r="1354" spans="1:24" x14ac:dyDescent="0.15">
      <c r="A1354" s="26" t="s">
        <v>424</v>
      </c>
      <c r="B1354" s="8"/>
      <c r="C1354" s="9"/>
      <c r="D1354" s="10"/>
      <c r="E1354" s="49">
        <f t="shared" si="1281"/>
        <v>0</v>
      </c>
      <c r="F1354" s="12"/>
      <c r="G1354" s="9">
        <v>5</v>
      </c>
      <c r="H1354" s="10"/>
      <c r="I1354" s="49">
        <f t="shared" si="1282"/>
        <v>5</v>
      </c>
      <c r="J1354" s="11">
        <f t="shared" si="1283"/>
        <v>5</v>
      </c>
      <c r="K1354" s="63">
        <v>45531</v>
      </c>
      <c r="M1354" s="26"/>
      <c r="N1354" s="8"/>
      <c r="O1354" s="9"/>
      <c r="P1354" s="10"/>
      <c r="Q1354" s="49">
        <f t="shared" ref="Q1354:Q1359" si="1290">SUM(N1354:P1354)</f>
        <v>0</v>
      </c>
      <c r="R1354" s="12"/>
      <c r="S1354" s="9"/>
      <c r="T1354" s="10"/>
      <c r="U1354" s="49">
        <f t="shared" ref="U1354:U1373" si="1291">SUM(R1354:T1354)</f>
        <v>0</v>
      </c>
      <c r="V1354" s="11">
        <f t="shared" ref="V1354:V1359" si="1292">Q1354+U1354</f>
        <v>0</v>
      </c>
      <c r="W1354" s="142"/>
      <c r="X1354" s="82"/>
    </row>
    <row r="1355" spans="1:24" x14ac:dyDescent="0.15">
      <c r="A1355" s="25" t="s">
        <v>33</v>
      </c>
      <c r="B1355" s="8"/>
      <c r="C1355" s="9"/>
      <c r="D1355" s="10">
        <v>2</v>
      </c>
      <c r="E1355" s="49">
        <f t="shared" si="1281"/>
        <v>2</v>
      </c>
      <c r="F1355" s="12"/>
      <c r="G1355" s="9">
        <f>3+2</f>
        <v>5</v>
      </c>
      <c r="H1355" s="10">
        <v>3</v>
      </c>
      <c r="I1355" s="49">
        <f t="shared" si="1282"/>
        <v>8</v>
      </c>
      <c r="J1355" s="11">
        <f t="shared" si="1283"/>
        <v>10</v>
      </c>
      <c r="K1355" s="63">
        <v>45530</v>
      </c>
      <c r="M1355" s="26"/>
      <c r="N1355" s="8"/>
      <c r="O1355" s="9"/>
      <c r="P1355" s="10"/>
      <c r="Q1355" s="49">
        <f t="shared" si="1290"/>
        <v>0</v>
      </c>
      <c r="R1355" s="12"/>
      <c r="S1355" s="9"/>
      <c r="T1355" s="10"/>
      <c r="U1355" s="49">
        <f t="shared" si="1291"/>
        <v>0</v>
      </c>
      <c r="V1355" s="11">
        <f t="shared" si="1292"/>
        <v>0</v>
      </c>
      <c r="W1355" s="142"/>
      <c r="X1355" s="82"/>
    </row>
    <row r="1356" spans="1:24" x14ac:dyDescent="0.15">
      <c r="A1356" s="25" t="s">
        <v>33</v>
      </c>
      <c r="B1356" s="8"/>
      <c r="C1356" s="9"/>
      <c r="D1356" s="10"/>
      <c r="E1356" s="49">
        <f t="shared" si="1281"/>
        <v>0</v>
      </c>
      <c r="F1356" s="12"/>
      <c r="G1356" s="9"/>
      <c r="H1356" s="10">
        <v>1</v>
      </c>
      <c r="I1356" s="49">
        <f t="shared" si="1282"/>
        <v>1</v>
      </c>
      <c r="J1356" s="11">
        <f t="shared" si="1283"/>
        <v>1</v>
      </c>
      <c r="K1356" s="63">
        <v>45531</v>
      </c>
      <c r="M1356" s="26"/>
      <c r="N1356" s="8"/>
      <c r="O1356" s="9"/>
      <c r="P1356" s="10"/>
      <c r="Q1356" s="49">
        <f t="shared" si="1290"/>
        <v>0</v>
      </c>
      <c r="R1356" s="12"/>
      <c r="S1356" s="9"/>
      <c r="T1356" s="10"/>
      <c r="U1356" s="49">
        <f t="shared" si="1291"/>
        <v>0</v>
      </c>
      <c r="V1356" s="11">
        <f t="shared" si="1292"/>
        <v>0</v>
      </c>
      <c r="W1356" s="142"/>
      <c r="X1356" s="82"/>
    </row>
    <row r="1357" spans="1:24" x14ac:dyDescent="0.15">
      <c r="A1357" s="25" t="s">
        <v>33</v>
      </c>
      <c r="B1357" s="8"/>
      <c r="C1357" s="9">
        <v>2</v>
      </c>
      <c r="D1357" s="10">
        <v>1</v>
      </c>
      <c r="E1357" s="49">
        <f t="shared" si="1281"/>
        <v>3</v>
      </c>
      <c r="F1357" s="12">
        <v>2</v>
      </c>
      <c r="G1357" s="9">
        <v>1</v>
      </c>
      <c r="H1357" s="10"/>
      <c r="I1357" s="49">
        <f t="shared" si="1282"/>
        <v>3</v>
      </c>
      <c r="J1357" s="11">
        <f t="shared" si="1283"/>
        <v>6</v>
      </c>
      <c r="K1357" s="63">
        <v>45533</v>
      </c>
      <c r="M1357" s="26"/>
      <c r="N1357" s="8"/>
      <c r="O1357" s="9"/>
      <c r="P1357" s="10"/>
      <c r="Q1357" s="49">
        <f t="shared" si="1290"/>
        <v>0</v>
      </c>
      <c r="R1357" s="12"/>
      <c r="S1357" s="9"/>
      <c r="T1357" s="10"/>
      <c r="U1357" s="49">
        <f t="shared" si="1291"/>
        <v>0</v>
      </c>
      <c r="V1357" s="11">
        <f t="shared" si="1292"/>
        <v>0</v>
      </c>
      <c r="W1357" s="142"/>
      <c r="X1357" s="82"/>
    </row>
    <row r="1358" spans="1:24" x14ac:dyDescent="0.15">
      <c r="A1358" s="25" t="s">
        <v>33</v>
      </c>
      <c r="B1358" s="8"/>
      <c r="C1358" s="9">
        <v>2</v>
      </c>
      <c r="D1358" s="10"/>
      <c r="E1358" s="49">
        <f t="shared" si="1281"/>
        <v>2</v>
      </c>
      <c r="F1358" s="12"/>
      <c r="G1358" s="9">
        <v>1</v>
      </c>
      <c r="H1358" s="10"/>
      <c r="I1358" s="49">
        <f t="shared" si="1282"/>
        <v>1</v>
      </c>
      <c r="J1358" s="11">
        <f t="shared" si="1283"/>
        <v>3</v>
      </c>
      <c r="K1358" s="63">
        <v>45534</v>
      </c>
      <c r="M1358" s="26"/>
      <c r="N1358" s="8"/>
      <c r="O1358" s="9"/>
      <c r="P1358" s="10"/>
      <c r="Q1358" s="49">
        <f t="shared" si="1290"/>
        <v>0</v>
      </c>
      <c r="R1358" s="12"/>
      <c r="S1358" s="9"/>
      <c r="T1358" s="10"/>
      <c r="U1358" s="49">
        <f t="shared" si="1291"/>
        <v>0</v>
      </c>
      <c r="V1358" s="11">
        <f t="shared" si="1292"/>
        <v>0</v>
      </c>
      <c r="W1358" s="142"/>
      <c r="X1358" s="82"/>
    </row>
    <row r="1359" spans="1:24" x14ac:dyDescent="0.15">
      <c r="A1359" s="25" t="s">
        <v>33</v>
      </c>
      <c r="B1359" s="8"/>
      <c r="C1359" s="9"/>
      <c r="D1359" s="10"/>
      <c r="E1359" s="49">
        <f t="shared" si="1281"/>
        <v>0</v>
      </c>
      <c r="F1359" s="12">
        <v>2</v>
      </c>
      <c r="G1359" s="9">
        <v>2</v>
      </c>
      <c r="H1359" s="10">
        <v>2</v>
      </c>
      <c r="I1359" s="49">
        <f t="shared" si="1282"/>
        <v>6</v>
      </c>
      <c r="J1359" s="11">
        <f t="shared" si="1283"/>
        <v>6</v>
      </c>
      <c r="K1359" s="63">
        <v>45535</v>
      </c>
      <c r="L1359" s="82"/>
      <c r="M1359" s="26"/>
      <c r="N1359" s="8"/>
      <c r="O1359" s="9"/>
      <c r="P1359" s="10"/>
      <c r="Q1359" s="49">
        <f t="shared" si="1290"/>
        <v>0</v>
      </c>
      <c r="R1359" s="12"/>
      <c r="S1359" s="9"/>
      <c r="T1359" s="10"/>
      <c r="U1359" s="49">
        <f t="shared" si="1291"/>
        <v>0</v>
      </c>
      <c r="V1359" s="11">
        <f t="shared" si="1292"/>
        <v>0</v>
      </c>
      <c r="W1359" s="142"/>
      <c r="X1359" s="82"/>
    </row>
    <row r="1360" spans="1:24" x14ac:dyDescent="0.15">
      <c r="A1360" s="26"/>
      <c r="B1360" s="8"/>
      <c r="C1360" s="9"/>
      <c r="D1360" s="10"/>
      <c r="E1360" s="49">
        <f t="shared" ref="E1360" si="1293">SUM(B1360:D1360)</f>
        <v>0</v>
      </c>
      <c r="F1360" s="12"/>
      <c r="G1360" s="9"/>
      <c r="H1360" s="10"/>
      <c r="I1360" s="49">
        <f t="shared" ref="I1360" si="1294">SUM(F1360:H1360)</f>
        <v>0</v>
      </c>
      <c r="J1360" s="11">
        <f t="shared" ref="J1360" si="1295">E1360+I1360</f>
        <v>0</v>
      </c>
      <c r="K1360" s="82"/>
      <c r="M1360" s="26"/>
      <c r="N1360" s="8"/>
      <c r="O1360" s="9"/>
      <c r="P1360" s="10"/>
      <c r="Q1360" s="49">
        <f t="shared" ref="Q1360:Q1372" si="1296">SUM(N1360:P1360)</f>
        <v>0</v>
      </c>
      <c r="R1360" s="12"/>
      <c r="S1360" s="9"/>
      <c r="T1360" s="10"/>
      <c r="U1360" s="49">
        <f t="shared" ref="U1360:U1372" si="1297">SUM(R1360:T1360)</f>
        <v>0</v>
      </c>
      <c r="V1360" s="11">
        <f t="shared" ref="V1360:V1372" si="1298">Q1360+U1360</f>
        <v>0</v>
      </c>
      <c r="W1360" s="142"/>
      <c r="X1360" s="82"/>
    </row>
    <row r="1361" spans="1:24" x14ac:dyDescent="0.15">
      <c r="A1361" s="26"/>
      <c r="B1361" s="8"/>
      <c r="C1361" s="9"/>
      <c r="D1361" s="10"/>
      <c r="E1361" s="49">
        <f t="shared" si="1281"/>
        <v>0</v>
      </c>
      <c r="F1361" s="12"/>
      <c r="G1361" s="9"/>
      <c r="H1361" s="10"/>
      <c r="I1361" s="49">
        <f t="shared" si="1282"/>
        <v>0</v>
      </c>
      <c r="J1361" s="11">
        <f t="shared" si="1283"/>
        <v>0</v>
      </c>
      <c r="K1361" s="82"/>
      <c r="L1361" s="82"/>
      <c r="M1361" s="26"/>
      <c r="N1361" s="8"/>
      <c r="O1361" s="9"/>
      <c r="P1361" s="10"/>
      <c r="Q1361" s="49">
        <f t="shared" si="1296"/>
        <v>0</v>
      </c>
      <c r="R1361" s="12"/>
      <c r="S1361" s="9"/>
      <c r="T1361" s="10"/>
      <c r="U1361" s="49">
        <f t="shared" si="1297"/>
        <v>0</v>
      </c>
      <c r="V1361" s="11">
        <f t="shared" si="1298"/>
        <v>0</v>
      </c>
      <c r="W1361" s="142"/>
      <c r="X1361" s="82"/>
    </row>
    <row r="1362" spans="1:24" x14ac:dyDescent="0.15">
      <c r="A1362" s="26"/>
      <c r="B1362" s="8"/>
      <c r="C1362" s="9"/>
      <c r="D1362" s="10"/>
      <c r="E1362" s="49">
        <f t="shared" si="1281"/>
        <v>0</v>
      </c>
      <c r="F1362" s="12"/>
      <c r="G1362" s="9"/>
      <c r="H1362" s="10"/>
      <c r="I1362" s="49">
        <f t="shared" si="1282"/>
        <v>0</v>
      </c>
      <c r="J1362" s="11">
        <f t="shared" si="1283"/>
        <v>0</v>
      </c>
      <c r="K1362" s="82"/>
      <c r="L1362" s="82"/>
      <c r="M1362" s="26"/>
      <c r="N1362" s="8"/>
      <c r="O1362" s="9"/>
      <c r="P1362" s="10"/>
      <c r="Q1362" s="49">
        <f t="shared" si="1296"/>
        <v>0</v>
      </c>
      <c r="R1362" s="12"/>
      <c r="S1362" s="9"/>
      <c r="T1362" s="10"/>
      <c r="U1362" s="49">
        <f t="shared" si="1297"/>
        <v>0</v>
      </c>
      <c r="V1362" s="11">
        <f t="shared" si="1298"/>
        <v>0</v>
      </c>
      <c r="W1362" s="142"/>
      <c r="X1362" s="82"/>
    </row>
    <row r="1363" spans="1:24" x14ac:dyDescent="0.15">
      <c r="A1363" s="26"/>
      <c r="B1363" s="8"/>
      <c r="C1363" s="9"/>
      <c r="D1363" s="10"/>
      <c r="E1363" s="49">
        <f t="shared" si="1281"/>
        <v>0</v>
      </c>
      <c r="F1363" s="12"/>
      <c r="G1363" s="9"/>
      <c r="H1363" s="10"/>
      <c r="I1363" s="49">
        <f t="shared" si="1282"/>
        <v>0</v>
      </c>
      <c r="J1363" s="11">
        <f t="shared" si="1283"/>
        <v>0</v>
      </c>
      <c r="K1363" s="82"/>
      <c r="L1363" s="82"/>
      <c r="M1363" s="26"/>
      <c r="N1363" s="8"/>
      <c r="O1363" s="9"/>
      <c r="P1363" s="10"/>
      <c r="Q1363" s="49">
        <f t="shared" si="1296"/>
        <v>0</v>
      </c>
      <c r="R1363" s="12"/>
      <c r="S1363" s="9"/>
      <c r="T1363" s="10"/>
      <c r="U1363" s="49">
        <f t="shared" si="1297"/>
        <v>0</v>
      </c>
      <c r="V1363" s="11">
        <f t="shared" si="1298"/>
        <v>0</v>
      </c>
      <c r="W1363" s="142"/>
    </row>
    <row r="1364" spans="1:24" x14ac:dyDescent="0.15">
      <c r="A1364" s="26"/>
      <c r="B1364" s="8"/>
      <c r="C1364" s="9"/>
      <c r="D1364" s="10"/>
      <c r="E1364" s="49">
        <f t="shared" si="1281"/>
        <v>0</v>
      </c>
      <c r="F1364" s="12"/>
      <c r="G1364" s="9"/>
      <c r="H1364" s="10"/>
      <c r="I1364" s="49">
        <f t="shared" si="1282"/>
        <v>0</v>
      </c>
      <c r="J1364" s="11">
        <f t="shared" si="1283"/>
        <v>0</v>
      </c>
      <c r="K1364" s="82"/>
      <c r="L1364" s="82"/>
      <c r="M1364" s="26"/>
      <c r="N1364" s="8"/>
      <c r="O1364" s="9"/>
      <c r="P1364" s="10"/>
      <c r="Q1364" s="49">
        <f t="shared" si="1296"/>
        <v>0</v>
      </c>
      <c r="R1364" s="12"/>
      <c r="S1364" s="9"/>
      <c r="T1364" s="10"/>
      <c r="U1364" s="49">
        <f t="shared" si="1297"/>
        <v>0</v>
      </c>
      <c r="V1364" s="11">
        <f t="shared" si="1298"/>
        <v>0</v>
      </c>
      <c r="W1364" s="142"/>
    </row>
    <row r="1365" spans="1:24" x14ac:dyDescent="0.15">
      <c r="A1365" s="26"/>
      <c r="B1365" s="8"/>
      <c r="C1365" s="9"/>
      <c r="D1365" s="10"/>
      <c r="E1365" s="49">
        <f t="shared" si="1281"/>
        <v>0</v>
      </c>
      <c r="F1365" s="12"/>
      <c r="G1365" s="9"/>
      <c r="H1365" s="10"/>
      <c r="I1365" s="49">
        <f t="shared" si="1282"/>
        <v>0</v>
      </c>
      <c r="J1365" s="11">
        <f t="shared" si="1283"/>
        <v>0</v>
      </c>
      <c r="K1365" s="82"/>
      <c r="L1365" s="82"/>
      <c r="M1365" s="26"/>
      <c r="N1365" s="8"/>
      <c r="O1365" s="9"/>
      <c r="P1365" s="10"/>
      <c r="Q1365" s="49">
        <f t="shared" si="1296"/>
        <v>0</v>
      </c>
      <c r="R1365" s="12"/>
      <c r="S1365" s="9"/>
      <c r="T1365" s="10"/>
      <c r="U1365" s="49">
        <f t="shared" si="1297"/>
        <v>0</v>
      </c>
      <c r="V1365" s="11">
        <f t="shared" si="1298"/>
        <v>0</v>
      </c>
      <c r="W1365" s="142"/>
    </row>
    <row r="1366" spans="1:24" x14ac:dyDescent="0.15">
      <c r="A1366" s="26"/>
      <c r="B1366" s="8"/>
      <c r="C1366" s="9"/>
      <c r="D1366" s="10"/>
      <c r="E1366" s="49">
        <f t="shared" si="1281"/>
        <v>0</v>
      </c>
      <c r="F1366" s="12"/>
      <c r="G1366" s="9"/>
      <c r="H1366" s="10"/>
      <c r="I1366" s="49">
        <f t="shared" si="1282"/>
        <v>0</v>
      </c>
      <c r="J1366" s="11">
        <f t="shared" si="1283"/>
        <v>0</v>
      </c>
      <c r="K1366" s="82"/>
      <c r="L1366" s="82"/>
      <c r="M1366" s="26"/>
      <c r="N1366" s="8"/>
      <c r="O1366" s="9"/>
      <c r="P1366" s="10"/>
      <c r="Q1366" s="49">
        <f t="shared" si="1296"/>
        <v>0</v>
      </c>
      <c r="R1366" s="12"/>
      <c r="S1366" s="9"/>
      <c r="T1366" s="10"/>
      <c r="U1366" s="49">
        <f t="shared" si="1297"/>
        <v>0</v>
      </c>
      <c r="V1366" s="11">
        <f t="shared" si="1298"/>
        <v>0</v>
      </c>
      <c r="W1366" s="142"/>
    </row>
    <row r="1367" spans="1:24" x14ac:dyDescent="0.15">
      <c r="A1367" s="26"/>
      <c r="B1367" s="8"/>
      <c r="C1367" s="9"/>
      <c r="D1367" s="10"/>
      <c r="E1367" s="49">
        <f t="shared" si="1281"/>
        <v>0</v>
      </c>
      <c r="F1367" s="12"/>
      <c r="G1367" s="9"/>
      <c r="H1367" s="10"/>
      <c r="I1367" s="49">
        <f t="shared" si="1282"/>
        <v>0</v>
      </c>
      <c r="J1367" s="11">
        <f t="shared" si="1283"/>
        <v>0</v>
      </c>
      <c r="K1367" s="82"/>
      <c r="L1367" s="82"/>
      <c r="M1367" s="26"/>
      <c r="N1367" s="8"/>
      <c r="O1367" s="9"/>
      <c r="P1367" s="10"/>
      <c r="Q1367" s="49">
        <f t="shared" si="1296"/>
        <v>0</v>
      </c>
      <c r="R1367" s="12"/>
      <c r="S1367" s="9"/>
      <c r="T1367" s="10"/>
      <c r="U1367" s="49">
        <f t="shared" si="1297"/>
        <v>0</v>
      </c>
      <c r="V1367" s="11">
        <f t="shared" si="1298"/>
        <v>0</v>
      </c>
      <c r="W1367" s="142"/>
    </row>
    <row r="1368" spans="1:24" x14ac:dyDescent="0.15">
      <c r="A1368" s="26"/>
      <c r="B1368" s="8"/>
      <c r="C1368" s="9"/>
      <c r="D1368" s="10"/>
      <c r="E1368" s="49">
        <f t="shared" si="1281"/>
        <v>0</v>
      </c>
      <c r="F1368" s="12"/>
      <c r="G1368" s="9"/>
      <c r="H1368" s="10"/>
      <c r="I1368" s="49">
        <f t="shared" si="1282"/>
        <v>0</v>
      </c>
      <c r="J1368" s="11">
        <f t="shared" si="1283"/>
        <v>0</v>
      </c>
      <c r="K1368" s="82"/>
      <c r="M1368" s="26"/>
      <c r="N1368" s="8"/>
      <c r="O1368" s="9"/>
      <c r="P1368" s="10"/>
      <c r="Q1368" s="49">
        <f t="shared" si="1296"/>
        <v>0</v>
      </c>
      <c r="R1368" s="12"/>
      <c r="S1368" s="9"/>
      <c r="T1368" s="10"/>
      <c r="U1368" s="49">
        <f t="shared" si="1297"/>
        <v>0</v>
      </c>
      <c r="V1368" s="11">
        <f t="shared" si="1298"/>
        <v>0</v>
      </c>
      <c r="W1368" s="142"/>
    </row>
    <row r="1369" spans="1:24" x14ac:dyDescent="0.15">
      <c r="A1369" s="26"/>
      <c r="B1369" s="8"/>
      <c r="C1369" s="9"/>
      <c r="D1369" s="10"/>
      <c r="E1369" s="49">
        <f t="shared" si="1281"/>
        <v>0</v>
      </c>
      <c r="F1369" s="12"/>
      <c r="G1369" s="9"/>
      <c r="H1369" s="10"/>
      <c r="I1369" s="49">
        <f t="shared" si="1282"/>
        <v>0</v>
      </c>
      <c r="J1369" s="11">
        <f t="shared" si="1283"/>
        <v>0</v>
      </c>
      <c r="K1369" s="82"/>
      <c r="M1369" s="26"/>
      <c r="N1369" s="8"/>
      <c r="O1369" s="9"/>
      <c r="P1369" s="10"/>
      <c r="Q1369" s="49">
        <f t="shared" si="1296"/>
        <v>0</v>
      </c>
      <c r="R1369" s="12"/>
      <c r="S1369" s="9"/>
      <c r="T1369" s="10"/>
      <c r="U1369" s="49">
        <f t="shared" si="1297"/>
        <v>0</v>
      </c>
      <c r="V1369" s="11">
        <f t="shared" si="1298"/>
        <v>0</v>
      </c>
      <c r="W1369" s="142"/>
    </row>
    <row r="1370" spans="1:24" x14ac:dyDescent="0.15">
      <c r="A1370" s="26"/>
      <c r="B1370" s="8"/>
      <c r="C1370" s="9"/>
      <c r="D1370" s="10"/>
      <c r="E1370" s="49">
        <f t="shared" si="1281"/>
        <v>0</v>
      </c>
      <c r="F1370" s="12"/>
      <c r="G1370" s="9"/>
      <c r="H1370" s="10"/>
      <c r="I1370" s="49">
        <f t="shared" si="1282"/>
        <v>0</v>
      </c>
      <c r="J1370" s="11">
        <f t="shared" si="1283"/>
        <v>0</v>
      </c>
      <c r="K1370" s="82"/>
      <c r="M1370" s="26"/>
      <c r="N1370" s="8"/>
      <c r="O1370" s="9"/>
      <c r="P1370" s="10"/>
      <c r="Q1370" s="49">
        <f t="shared" si="1296"/>
        <v>0</v>
      </c>
      <c r="R1370" s="12"/>
      <c r="S1370" s="9"/>
      <c r="T1370" s="10"/>
      <c r="U1370" s="49">
        <f t="shared" si="1297"/>
        <v>0</v>
      </c>
      <c r="V1370" s="11">
        <f t="shared" si="1298"/>
        <v>0</v>
      </c>
      <c r="W1370" s="142"/>
    </row>
    <row r="1371" spans="1:24" x14ac:dyDescent="0.15">
      <c r="A1371" s="26"/>
      <c r="B1371" s="8"/>
      <c r="C1371" s="9"/>
      <c r="D1371" s="10"/>
      <c r="E1371" s="49">
        <f t="shared" si="1281"/>
        <v>0</v>
      </c>
      <c r="F1371" s="12"/>
      <c r="G1371" s="9"/>
      <c r="H1371" s="10"/>
      <c r="I1371" s="49">
        <f t="shared" si="1282"/>
        <v>0</v>
      </c>
      <c r="J1371" s="11">
        <f t="shared" si="1283"/>
        <v>0</v>
      </c>
      <c r="K1371" s="82"/>
      <c r="M1371" s="26"/>
      <c r="N1371" s="8"/>
      <c r="O1371" s="9"/>
      <c r="P1371" s="10"/>
      <c r="Q1371" s="49">
        <f t="shared" si="1296"/>
        <v>0</v>
      </c>
      <c r="R1371" s="12"/>
      <c r="S1371" s="9"/>
      <c r="T1371" s="10"/>
      <c r="U1371" s="49">
        <f t="shared" si="1297"/>
        <v>0</v>
      </c>
      <c r="V1371" s="11">
        <f t="shared" si="1298"/>
        <v>0</v>
      </c>
      <c r="W1371" s="142"/>
    </row>
    <row r="1372" spans="1:24" ht="14.25" thickBot="1" x14ac:dyDescent="0.2">
      <c r="A1372" s="26"/>
      <c r="B1372" s="8"/>
      <c r="C1372" s="9"/>
      <c r="D1372" s="10"/>
      <c r="E1372" s="49">
        <f t="shared" si="1281"/>
        <v>0</v>
      </c>
      <c r="F1372" s="12"/>
      <c r="G1372" s="9"/>
      <c r="H1372" s="10"/>
      <c r="I1372" s="49">
        <f t="shared" si="1282"/>
        <v>0</v>
      </c>
      <c r="J1372" s="11">
        <f t="shared" si="1283"/>
        <v>0</v>
      </c>
      <c r="K1372" s="82"/>
      <c r="M1372" s="26"/>
      <c r="N1372" s="8"/>
      <c r="O1372" s="9"/>
      <c r="P1372" s="10"/>
      <c r="Q1372" s="49">
        <f t="shared" si="1296"/>
        <v>0</v>
      </c>
      <c r="R1372" s="12"/>
      <c r="S1372" s="9"/>
      <c r="T1372" s="10"/>
      <c r="U1372" s="49">
        <f t="shared" si="1297"/>
        <v>0</v>
      </c>
      <c r="V1372" s="11">
        <f t="shared" si="1298"/>
        <v>0</v>
      </c>
      <c r="W1372" s="142"/>
    </row>
    <row r="1373" spans="1:24" ht="14.25" thickBot="1" x14ac:dyDescent="0.2">
      <c r="A1373" s="41" t="s">
        <v>19</v>
      </c>
      <c r="B1373" s="46">
        <f>SUM(B1347:B1372)</f>
        <v>0</v>
      </c>
      <c r="C1373" s="47">
        <f t="shared" ref="C1373:D1373" si="1299">SUM(C1347:C1372)</f>
        <v>12</v>
      </c>
      <c r="D1373" s="59">
        <f t="shared" si="1299"/>
        <v>9</v>
      </c>
      <c r="E1373" s="45">
        <f t="shared" ref="E1373" si="1300">SUM(B1373:D1373)</f>
        <v>21</v>
      </c>
      <c r="F1373" s="46">
        <f>SUM(F1347:F1372)</f>
        <v>14</v>
      </c>
      <c r="G1373" s="47">
        <f>SUM(G1347:G1372)</f>
        <v>26</v>
      </c>
      <c r="H1373" s="59">
        <f t="shared" ref="H1373" si="1301">SUM(H1347:H1372)</f>
        <v>12</v>
      </c>
      <c r="I1373" s="45">
        <f t="shared" ref="I1373" si="1302">SUM(F1373:H1373)</f>
        <v>52</v>
      </c>
      <c r="J1373" s="45">
        <f>E1373+I1373</f>
        <v>73</v>
      </c>
      <c r="M1373" s="41" t="s">
        <v>19</v>
      </c>
      <c r="N1373" s="135">
        <f>SUM(N1347:N1372)</f>
        <v>0</v>
      </c>
      <c r="O1373" s="47">
        <f t="shared" ref="O1373:P1373" si="1303">SUM(O1347:O1372)</f>
        <v>25</v>
      </c>
      <c r="P1373" s="59">
        <f t="shared" si="1303"/>
        <v>20</v>
      </c>
      <c r="Q1373" s="45">
        <f t="shared" ref="Q1373" si="1304">SUM(N1373:P1373)</f>
        <v>45</v>
      </c>
      <c r="R1373" s="135">
        <f>SUM(R1347:R1372)</f>
        <v>26</v>
      </c>
      <c r="S1373" s="47">
        <f t="shared" ref="S1373:T1373" si="1305">SUM(S1347:S1372)</f>
        <v>30</v>
      </c>
      <c r="T1373" s="59">
        <f t="shared" si="1305"/>
        <v>15</v>
      </c>
      <c r="U1373" s="45">
        <f t="shared" si="1291"/>
        <v>71</v>
      </c>
      <c r="V1373" s="45">
        <f>Q1373+U1373</f>
        <v>116</v>
      </c>
    </row>
    <row r="1374" spans="1:24" ht="14.25" thickBot="1" x14ac:dyDescent="0.2">
      <c r="A1374" s="22" t="s">
        <v>17</v>
      </c>
      <c r="B1374" s="50">
        <f>B1346-B1373</f>
        <v>1</v>
      </c>
      <c r="C1374" s="57">
        <f t="shared" ref="C1374:D1374" si="1306">C1346-C1373</f>
        <v>12</v>
      </c>
      <c r="D1374" s="58">
        <f t="shared" si="1306"/>
        <v>11</v>
      </c>
      <c r="E1374" s="56">
        <f>SUM(B1374:D1374)</f>
        <v>24</v>
      </c>
      <c r="F1374" s="50">
        <f>F1346-F1373</f>
        <v>5</v>
      </c>
      <c r="G1374" s="57">
        <f t="shared" ref="G1374:H1374" si="1307">G1346-G1373</f>
        <v>13</v>
      </c>
      <c r="H1374" s="58">
        <f t="shared" si="1307"/>
        <v>11</v>
      </c>
      <c r="I1374" s="56">
        <f>SUM(F1374:H1374)</f>
        <v>29</v>
      </c>
      <c r="J1374" s="31">
        <f>E1374+I1374</f>
        <v>53</v>
      </c>
      <c r="M1374" s="22" t="s">
        <v>17</v>
      </c>
      <c r="N1374" s="136">
        <f>N1346-N1373</f>
        <v>0</v>
      </c>
      <c r="O1374" s="57">
        <f t="shared" ref="O1374:P1374" si="1308">O1346-O1373</f>
        <v>19</v>
      </c>
      <c r="P1374" s="58">
        <f t="shared" si="1308"/>
        <v>377</v>
      </c>
      <c r="Q1374" s="56">
        <f>SUM(N1374:P1374)</f>
        <v>396</v>
      </c>
      <c r="R1374" s="136">
        <f>R1346-R1373</f>
        <v>0</v>
      </c>
      <c r="S1374" s="57">
        <f t="shared" ref="S1374:T1374" si="1309">S1346-S1373</f>
        <v>267</v>
      </c>
      <c r="T1374" s="58">
        <f t="shared" si="1309"/>
        <v>398</v>
      </c>
      <c r="U1374" s="56">
        <f>SUM(R1374:T1374)</f>
        <v>665</v>
      </c>
      <c r="V1374" s="31">
        <f>Q1374+U1374</f>
        <v>1061</v>
      </c>
    </row>
    <row r="1377" spans="1:25" ht="19.5" thickBot="1" x14ac:dyDescent="0.25">
      <c r="A1377" s="3" t="s">
        <v>21</v>
      </c>
      <c r="B1377" s="1"/>
      <c r="C1377" s="1"/>
      <c r="D1377" s="1"/>
      <c r="E1377" s="1"/>
      <c r="F1377" s="1"/>
      <c r="G1377" s="1"/>
      <c r="H1377" s="1"/>
      <c r="I1377" s="1"/>
      <c r="J1377" s="1"/>
      <c r="M1377" s="3" t="s">
        <v>22</v>
      </c>
      <c r="N1377" s="1"/>
      <c r="O1377" s="1"/>
      <c r="P1377" s="1"/>
      <c r="Q1377" s="1"/>
      <c r="R1377" s="1"/>
      <c r="S1377" s="1"/>
      <c r="T1377" s="1"/>
      <c r="U1377" s="1"/>
      <c r="V1377" s="1"/>
    </row>
    <row r="1378" spans="1:25" ht="14.25" thickBot="1" x14ac:dyDescent="0.2">
      <c r="A1378" s="7" t="s">
        <v>0</v>
      </c>
      <c r="B1378" s="165" t="s">
        <v>24</v>
      </c>
      <c r="C1378" s="166"/>
      <c r="D1378" s="166"/>
      <c r="E1378" s="170"/>
      <c r="F1378" s="165" t="s">
        <v>18</v>
      </c>
      <c r="G1378" s="166"/>
      <c r="H1378" s="166"/>
      <c r="I1378" s="167"/>
      <c r="J1378" s="168" t="s">
        <v>1</v>
      </c>
      <c r="M1378" s="7" t="s">
        <v>0</v>
      </c>
      <c r="N1378" s="165" t="s">
        <v>24</v>
      </c>
      <c r="O1378" s="166"/>
      <c r="P1378" s="166"/>
      <c r="Q1378" s="170"/>
      <c r="R1378" s="165" t="s">
        <v>18</v>
      </c>
      <c r="S1378" s="166"/>
      <c r="T1378" s="166"/>
      <c r="U1378" s="167"/>
      <c r="V1378" s="168" t="s">
        <v>1</v>
      </c>
    </row>
    <row r="1379" spans="1:25" ht="14.25" thickBot="1" x14ac:dyDescent="0.2">
      <c r="A1379" s="7" t="s">
        <v>2</v>
      </c>
      <c r="B1379" s="4" t="s">
        <v>3</v>
      </c>
      <c r="C1379" s="5" t="s">
        <v>4</v>
      </c>
      <c r="D1379" s="6" t="s">
        <v>5</v>
      </c>
      <c r="E1379" s="7" t="s">
        <v>6</v>
      </c>
      <c r="F1379" s="4" t="s">
        <v>3</v>
      </c>
      <c r="G1379" s="5" t="s">
        <v>4</v>
      </c>
      <c r="H1379" s="6" t="s">
        <v>5</v>
      </c>
      <c r="I1379" s="7" t="s">
        <v>6</v>
      </c>
      <c r="J1379" s="169"/>
      <c r="M1379" s="7" t="s">
        <v>2</v>
      </c>
      <c r="N1379" s="4" t="s">
        <v>3</v>
      </c>
      <c r="O1379" s="5" t="s">
        <v>4</v>
      </c>
      <c r="P1379" s="6" t="s">
        <v>5</v>
      </c>
      <c r="Q1379" s="7" t="s">
        <v>6</v>
      </c>
      <c r="R1379" s="4" t="s">
        <v>3</v>
      </c>
      <c r="S1379" s="5" t="s">
        <v>4</v>
      </c>
      <c r="T1379" s="6" t="s">
        <v>5</v>
      </c>
      <c r="U1379" s="7" t="s">
        <v>6</v>
      </c>
      <c r="V1379" s="169"/>
    </row>
    <row r="1380" spans="1:25" ht="14.25" thickBot="1" x14ac:dyDescent="0.2">
      <c r="A1380" s="27" t="s">
        <v>20</v>
      </c>
      <c r="B1380" s="28">
        <f>B1374</f>
        <v>1</v>
      </c>
      <c r="C1380" s="29">
        <f>C1374</f>
        <v>12</v>
      </c>
      <c r="D1380" s="30">
        <f>D1374</f>
        <v>11</v>
      </c>
      <c r="E1380" s="31">
        <f>SUM(B1380:D1380)</f>
        <v>24</v>
      </c>
      <c r="F1380" s="28">
        <f>F1374</f>
        <v>5</v>
      </c>
      <c r="G1380" s="29">
        <f>G1374</f>
        <v>13</v>
      </c>
      <c r="H1380" s="30">
        <f>H1374</f>
        <v>11</v>
      </c>
      <c r="I1380" s="31">
        <f>SUM(F1380:H1380)</f>
        <v>29</v>
      </c>
      <c r="J1380" s="31">
        <f>E1380+I1380</f>
        <v>53</v>
      </c>
      <c r="M1380" s="27" t="s">
        <v>20</v>
      </c>
      <c r="N1380" s="28">
        <f>N1374</f>
        <v>0</v>
      </c>
      <c r="O1380" s="29">
        <f>O1374</f>
        <v>19</v>
      </c>
      <c r="P1380" s="30">
        <f>P1374</f>
        <v>377</v>
      </c>
      <c r="Q1380" s="31">
        <f>SUM(N1380:P1380)</f>
        <v>396</v>
      </c>
      <c r="R1380" s="28">
        <f>R1374</f>
        <v>0</v>
      </c>
      <c r="S1380" s="29">
        <f>S1374</f>
        <v>267</v>
      </c>
      <c r="T1380" s="30">
        <f>T1374</f>
        <v>398</v>
      </c>
      <c r="U1380" s="31">
        <f>SUM(R1380:T1380)</f>
        <v>665</v>
      </c>
      <c r="V1380" s="31">
        <f>Q1380+U1380</f>
        <v>1061</v>
      </c>
    </row>
    <row r="1381" spans="1:25" x14ac:dyDescent="0.15">
      <c r="A1381" s="25" t="s">
        <v>8</v>
      </c>
      <c r="B1381" s="17"/>
      <c r="C1381" s="18">
        <v>18</v>
      </c>
      <c r="D1381" s="51">
        <v>19</v>
      </c>
      <c r="E1381" s="49">
        <f t="shared" ref="E1381:E1388" si="1310">SUM(B1381:D1381)</f>
        <v>37</v>
      </c>
      <c r="F1381" s="20"/>
      <c r="G1381" s="18">
        <v>30</v>
      </c>
      <c r="H1381" s="19">
        <v>20</v>
      </c>
      <c r="I1381" s="49">
        <f t="shared" ref="I1381:I1388" si="1311">SUM(F1381:H1381)</f>
        <v>50</v>
      </c>
      <c r="J1381" s="49">
        <f t="shared" ref="J1381:J1388" si="1312">E1381+I1381</f>
        <v>87</v>
      </c>
      <c r="K1381" s="63">
        <v>45538</v>
      </c>
      <c r="M1381" s="25" t="s">
        <v>28</v>
      </c>
      <c r="N1381" s="17"/>
      <c r="O1381" s="18"/>
      <c r="P1381" s="51">
        <v>30</v>
      </c>
      <c r="Q1381" s="49">
        <f t="shared" ref="Q1381" si="1313">SUM(N1381:P1381)</f>
        <v>30</v>
      </c>
      <c r="R1381" s="20"/>
      <c r="S1381" s="18"/>
      <c r="T1381" s="19">
        <v>27</v>
      </c>
      <c r="U1381" s="49">
        <f t="shared" ref="U1381" si="1314">SUM(R1381:T1381)</f>
        <v>27</v>
      </c>
      <c r="V1381" s="49">
        <f t="shared" ref="V1381" si="1315">Q1381+U1381</f>
        <v>57</v>
      </c>
      <c r="W1381" s="144">
        <v>45570</v>
      </c>
    </row>
    <row r="1382" spans="1:25" x14ac:dyDescent="0.15">
      <c r="A1382" s="25" t="s">
        <v>9</v>
      </c>
      <c r="B1382" s="8"/>
      <c r="C1382" s="9"/>
      <c r="D1382" s="52">
        <v>20</v>
      </c>
      <c r="E1382" s="11">
        <f t="shared" si="1310"/>
        <v>20</v>
      </c>
      <c r="F1382" s="12"/>
      <c r="G1382" s="9">
        <v>20</v>
      </c>
      <c r="H1382" s="10">
        <v>20</v>
      </c>
      <c r="I1382" s="11">
        <f t="shared" si="1311"/>
        <v>40</v>
      </c>
      <c r="J1382" s="11">
        <f t="shared" si="1312"/>
        <v>60</v>
      </c>
      <c r="K1382" s="63">
        <v>45539</v>
      </c>
      <c r="L1382" s="82"/>
      <c r="M1382" s="25" t="s">
        <v>9</v>
      </c>
      <c r="N1382" s="8"/>
      <c r="O1382" s="9"/>
      <c r="P1382" s="52"/>
      <c r="Q1382" s="11">
        <f t="shared" ref="Q1382:Q1388" si="1316">SUM(N1382:P1382)</f>
        <v>0</v>
      </c>
      <c r="R1382" s="12"/>
      <c r="S1382" s="9"/>
      <c r="T1382" s="10"/>
      <c r="U1382" s="11">
        <f t="shared" ref="U1382:U1388" si="1317">SUM(R1382:T1382)</f>
        <v>0</v>
      </c>
      <c r="V1382" s="11">
        <f t="shared" ref="V1382:V1388" si="1318">Q1382+U1382</f>
        <v>0</v>
      </c>
    </row>
    <row r="1383" spans="1:25" x14ac:dyDescent="0.15">
      <c r="A1383" s="25" t="s">
        <v>481</v>
      </c>
      <c r="B1383" s="8"/>
      <c r="C1383" s="9">
        <v>-1</v>
      </c>
      <c r="D1383" s="52"/>
      <c r="E1383" s="11">
        <f t="shared" si="1310"/>
        <v>-1</v>
      </c>
      <c r="F1383" s="12"/>
      <c r="G1383" s="9"/>
      <c r="H1383" s="10"/>
      <c r="I1383" s="11">
        <f t="shared" si="1311"/>
        <v>0</v>
      </c>
      <c r="J1383" s="11">
        <f t="shared" si="1312"/>
        <v>-1</v>
      </c>
      <c r="K1383" s="63">
        <v>45539</v>
      </c>
      <c r="L1383" s="82"/>
      <c r="M1383" s="25" t="s">
        <v>10</v>
      </c>
      <c r="N1383" s="8"/>
      <c r="O1383" s="9"/>
      <c r="P1383" s="52"/>
      <c r="Q1383" s="11">
        <f t="shared" si="1316"/>
        <v>0</v>
      </c>
      <c r="R1383" s="12"/>
      <c r="S1383" s="9"/>
      <c r="T1383" s="10"/>
      <c r="U1383" s="11">
        <f t="shared" si="1317"/>
        <v>0</v>
      </c>
      <c r="V1383" s="11">
        <f t="shared" si="1318"/>
        <v>0</v>
      </c>
    </row>
    <row r="1384" spans="1:25" x14ac:dyDescent="0.15">
      <c r="A1384" s="25" t="s">
        <v>482</v>
      </c>
      <c r="B1384" s="8"/>
      <c r="C1384" s="9">
        <f>1+1</f>
        <v>2</v>
      </c>
      <c r="D1384" s="52"/>
      <c r="E1384" s="11">
        <f t="shared" si="1310"/>
        <v>2</v>
      </c>
      <c r="F1384" s="12">
        <f>5+2</f>
        <v>7</v>
      </c>
      <c r="G1384" s="9"/>
      <c r="H1384" s="10"/>
      <c r="I1384" s="11">
        <f t="shared" si="1311"/>
        <v>7</v>
      </c>
      <c r="J1384" s="11">
        <f t="shared" si="1312"/>
        <v>9</v>
      </c>
      <c r="K1384" s="71">
        <v>45539</v>
      </c>
      <c r="L1384" s="82"/>
      <c r="M1384" s="25" t="s">
        <v>11</v>
      </c>
      <c r="N1384" s="8"/>
      <c r="O1384" s="9"/>
      <c r="P1384" s="52"/>
      <c r="Q1384" s="11">
        <f t="shared" si="1316"/>
        <v>0</v>
      </c>
      <c r="R1384" s="12"/>
      <c r="S1384" s="9"/>
      <c r="T1384" s="10"/>
      <c r="U1384" s="11">
        <f t="shared" si="1317"/>
        <v>0</v>
      </c>
      <c r="V1384" s="11">
        <f t="shared" si="1318"/>
        <v>0</v>
      </c>
    </row>
    <row r="1385" spans="1:25" x14ac:dyDescent="0.15">
      <c r="A1385" s="25" t="s">
        <v>12</v>
      </c>
      <c r="B1385" s="8"/>
      <c r="C1385" s="9"/>
      <c r="D1385" s="52"/>
      <c r="E1385" s="11">
        <f t="shared" si="1310"/>
        <v>0</v>
      </c>
      <c r="F1385" s="12"/>
      <c r="G1385" s="9">
        <v>15</v>
      </c>
      <c r="H1385" s="10">
        <v>15</v>
      </c>
      <c r="I1385" s="11">
        <f t="shared" si="1311"/>
        <v>30</v>
      </c>
      <c r="J1385" s="11">
        <f t="shared" si="1312"/>
        <v>30</v>
      </c>
      <c r="K1385" s="63">
        <v>45540</v>
      </c>
      <c r="L1385" s="82"/>
      <c r="M1385" s="25" t="s">
        <v>12</v>
      </c>
      <c r="N1385" s="8"/>
      <c r="O1385" s="9"/>
      <c r="P1385" s="52"/>
      <c r="Q1385" s="11">
        <f t="shared" si="1316"/>
        <v>0</v>
      </c>
      <c r="R1385" s="12"/>
      <c r="S1385" s="9"/>
      <c r="T1385" s="10"/>
      <c r="U1385" s="11">
        <f t="shared" si="1317"/>
        <v>0</v>
      </c>
      <c r="V1385" s="11">
        <f t="shared" si="1318"/>
        <v>0</v>
      </c>
    </row>
    <row r="1386" spans="1:25" x14ac:dyDescent="0.15">
      <c r="A1386" s="25" t="s">
        <v>13</v>
      </c>
      <c r="B1386" s="8"/>
      <c r="C1386" s="9"/>
      <c r="D1386" s="52">
        <v>10</v>
      </c>
      <c r="E1386" s="11">
        <f t="shared" si="1310"/>
        <v>10</v>
      </c>
      <c r="F1386" s="12"/>
      <c r="G1386" s="9">
        <v>10</v>
      </c>
      <c r="H1386" s="10">
        <v>10</v>
      </c>
      <c r="I1386" s="11">
        <f t="shared" si="1311"/>
        <v>20</v>
      </c>
      <c r="J1386" s="11">
        <f t="shared" si="1312"/>
        <v>30</v>
      </c>
      <c r="K1386" s="63">
        <v>45541</v>
      </c>
      <c r="L1386" s="82"/>
      <c r="M1386" s="25" t="s">
        <v>13</v>
      </c>
      <c r="N1386" s="8"/>
      <c r="O1386" s="9"/>
      <c r="P1386" s="52"/>
      <c r="Q1386" s="11">
        <f t="shared" si="1316"/>
        <v>0</v>
      </c>
      <c r="R1386" s="12"/>
      <c r="S1386" s="9"/>
      <c r="T1386" s="10"/>
      <c r="U1386" s="11">
        <f t="shared" si="1317"/>
        <v>0</v>
      </c>
      <c r="V1386" s="11">
        <f t="shared" si="1318"/>
        <v>0</v>
      </c>
    </row>
    <row r="1387" spans="1:25" x14ac:dyDescent="0.15">
      <c r="A1387" s="25" t="s">
        <v>14</v>
      </c>
      <c r="B1387" s="13"/>
      <c r="C1387" s="14">
        <v>1</v>
      </c>
      <c r="D1387" s="53">
        <v>50</v>
      </c>
      <c r="E1387" s="11">
        <f t="shared" si="1310"/>
        <v>51</v>
      </c>
      <c r="F1387" s="16"/>
      <c r="G1387" s="14">
        <v>50</v>
      </c>
      <c r="H1387" s="15">
        <v>50</v>
      </c>
      <c r="I1387" s="11">
        <f t="shared" si="1311"/>
        <v>100</v>
      </c>
      <c r="J1387" s="11">
        <f t="shared" si="1312"/>
        <v>151</v>
      </c>
      <c r="K1387" s="63">
        <v>45542</v>
      </c>
      <c r="L1387" s="82"/>
      <c r="M1387" s="25" t="s">
        <v>14</v>
      </c>
      <c r="N1387" s="13"/>
      <c r="O1387" s="14"/>
      <c r="P1387" s="53"/>
      <c r="Q1387" s="11">
        <f t="shared" si="1316"/>
        <v>0</v>
      </c>
      <c r="R1387" s="16"/>
      <c r="S1387" s="14"/>
      <c r="T1387" s="15"/>
      <c r="U1387" s="11">
        <f t="shared" si="1317"/>
        <v>0</v>
      </c>
      <c r="V1387" s="11">
        <f t="shared" si="1318"/>
        <v>0</v>
      </c>
    </row>
    <row r="1388" spans="1:25" ht="14.25" thickBot="1" x14ac:dyDescent="0.2">
      <c r="A1388" s="25" t="s">
        <v>15</v>
      </c>
      <c r="B1388" s="13"/>
      <c r="C1388" s="14"/>
      <c r="D1388" s="53"/>
      <c r="E1388" s="11">
        <f t="shared" si="1310"/>
        <v>0</v>
      </c>
      <c r="F1388" s="16"/>
      <c r="G1388" s="14">
        <v>20</v>
      </c>
      <c r="H1388" s="15"/>
      <c r="I1388" s="11">
        <f t="shared" si="1311"/>
        <v>20</v>
      </c>
      <c r="J1388" s="11">
        <f t="shared" si="1312"/>
        <v>20</v>
      </c>
      <c r="K1388" s="63">
        <v>45553</v>
      </c>
      <c r="M1388" s="25" t="s">
        <v>15</v>
      </c>
      <c r="N1388" s="13"/>
      <c r="O1388" s="14"/>
      <c r="P1388" s="53"/>
      <c r="Q1388" s="11">
        <f t="shared" si="1316"/>
        <v>0</v>
      </c>
      <c r="R1388" s="16"/>
      <c r="S1388" s="14"/>
      <c r="T1388" s="15"/>
      <c r="U1388" s="11">
        <f t="shared" si="1317"/>
        <v>0</v>
      </c>
      <c r="V1388" s="11">
        <f t="shared" si="1318"/>
        <v>0</v>
      </c>
    </row>
    <row r="1389" spans="1:25" ht="14.25" thickBot="1" x14ac:dyDescent="0.2">
      <c r="A1389" s="35" t="s">
        <v>16</v>
      </c>
      <c r="B1389" s="28">
        <f>SUM(B1380:B1388)</f>
        <v>1</v>
      </c>
      <c r="C1389" s="29">
        <f t="shared" ref="C1389:D1389" si="1319">SUM(C1380:C1388)</f>
        <v>32</v>
      </c>
      <c r="D1389" s="68">
        <f t="shared" si="1319"/>
        <v>110</v>
      </c>
      <c r="E1389" s="64">
        <f>SUM(B1389:D1389)</f>
        <v>143</v>
      </c>
      <c r="F1389" s="28">
        <f>SUM(F1380:F1388)</f>
        <v>12</v>
      </c>
      <c r="G1389" s="29">
        <f t="shared" ref="G1389:H1389" si="1320">SUM(G1380:G1388)</f>
        <v>158</v>
      </c>
      <c r="H1389" s="68">
        <f t="shared" si="1320"/>
        <v>126</v>
      </c>
      <c r="I1389" s="64">
        <f>SUM(F1389:H1389)</f>
        <v>296</v>
      </c>
      <c r="J1389" s="31">
        <f>SUM(J1381:J1388)</f>
        <v>386</v>
      </c>
      <c r="M1389" s="35" t="s">
        <v>16</v>
      </c>
      <c r="N1389" s="28">
        <f>SUM(N1380:N1388)</f>
        <v>0</v>
      </c>
      <c r="O1389" s="29">
        <f t="shared" ref="O1389:P1389" si="1321">SUM(O1380:O1388)</f>
        <v>19</v>
      </c>
      <c r="P1389" s="68">
        <f t="shared" si="1321"/>
        <v>407</v>
      </c>
      <c r="Q1389" s="64">
        <f>SUM(N1389:P1389)</f>
        <v>426</v>
      </c>
      <c r="R1389" s="28">
        <f>SUM(R1380:R1388)</f>
        <v>0</v>
      </c>
      <c r="S1389" s="29">
        <f t="shared" ref="S1389:T1389" si="1322">SUM(S1380:S1388)</f>
        <v>267</v>
      </c>
      <c r="T1389" s="68">
        <f t="shared" si="1322"/>
        <v>425</v>
      </c>
      <c r="U1389" s="64">
        <f>SUM(R1389:T1389)</f>
        <v>692</v>
      </c>
      <c r="V1389" s="31">
        <f>Q1389+U1389</f>
        <v>1118</v>
      </c>
    </row>
    <row r="1390" spans="1:25" x14ac:dyDescent="0.15">
      <c r="A1390" s="26" t="s">
        <v>480</v>
      </c>
      <c r="B1390" s="8"/>
      <c r="C1390" s="9">
        <v>12</v>
      </c>
      <c r="D1390" s="10">
        <v>11</v>
      </c>
      <c r="E1390" s="49">
        <f t="shared" ref="E1390" si="1323">SUM(B1390:D1390)</f>
        <v>23</v>
      </c>
      <c r="F1390" s="12">
        <v>5</v>
      </c>
      <c r="G1390" s="9">
        <v>12</v>
      </c>
      <c r="H1390" s="10">
        <v>10</v>
      </c>
      <c r="I1390" s="49">
        <f t="shared" ref="I1390" si="1324">SUM(F1390:H1390)</f>
        <v>27</v>
      </c>
      <c r="J1390" s="11">
        <f t="shared" ref="J1390" si="1325">E1390+I1390</f>
        <v>50</v>
      </c>
      <c r="K1390" s="63">
        <v>45537</v>
      </c>
      <c r="M1390" s="25" t="s">
        <v>28</v>
      </c>
      <c r="N1390" s="17"/>
      <c r="O1390" s="18">
        <v>19</v>
      </c>
      <c r="P1390" s="51">
        <v>19</v>
      </c>
      <c r="Q1390" s="49">
        <f t="shared" ref="Q1390:Q1393" si="1326">SUM(N1390:P1390)</f>
        <v>38</v>
      </c>
      <c r="R1390" s="20"/>
      <c r="S1390" s="18">
        <v>30</v>
      </c>
      <c r="T1390" s="19">
        <v>20</v>
      </c>
      <c r="U1390" s="49">
        <f t="shared" ref="U1390:U1393" si="1327">SUM(R1390:T1390)</f>
        <v>50</v>
      </c>
      <c r="V1390" s="49">
        <f t="shared" ref="V1390:V1393" si="1328">Q1390+U1390</f>
        <v>88</v>
      </c>
      <c r="W1390" s="140">
        <v>45538</v>
      </c>
    </row>
    <row r="1391" spans="1:25" x14ac:dyDescent="0.15">
      <c r="A1391" s="26" t="s">
        <v>33</v>
      </c>
      <c r="B1391" s="8"/>
      <c r="C1391" s="9">
        <f>1+5+2+6+1</f>
        <v>15</v>
      </c>
      <c r="D1391" s="10">
        <f>1+7+3+1</f>
        <v>12</v>
      </c>
      <c r="E1391" s="49">
        <f t="shared" ref="E1391:E1415" si="1329">SUM(B1391:D1391)</f>
        <v>27</v>
      </c>
      <c r="F1391" s="12"/>
      <c r="G1391" s="9">
        <f>4+3+8+8+1</f>
        <v>24</v>
      </c>
      <c r="H1391" s="10">
        <f>3+6+5+3+1+1</f>
        <v>19</v>
      </c>
      <c r="I1391" s="49">
        <f t="shared" ref="I1391:I1415" si="1330">SUM(F1391:H1391)</f>
        <v>43</v>
      </c>
      <c r="J1391" s="11">
        <f t="shared" ref="J1391:J1415" si="1331">E1391+I1391</f>
        <v>70</v>
      </c>
      <c r="K1391" s="63">
        <v>45538</v>
      </c>
      <c r="M1391" s="25" t="s">
        <v>28</v>
      </c>
      <c r="N1391" s="8"/>
      <c r="O1391" s="9"/>
      <c r="P1391" s="10">
        <v>20</v>
      </c>
      <c r="Q1391" s="49">
        <f t="shared" si="1326"/>
        <v>20</v>
      </c>
      <c r="R1391" s="12"/>
      <c r="S1391" s="9">
        <v>20</v>
      </c>
      <c r="T1391" s="10">
        <v>20</v>
      </c>
      <c r="U1391" s="49">
        <f t="shared" si="1327"/>
        <v>40</v>
      </c>
      <c r="V1391" s="11">
        <f t="shared" si="1328"/>
        <v>60</v>
      </c>
      <c r="W1391" s="140">
        <v>45539</v>
      </c>
      <c r="X1391" s="82"/>
    </row>
    <row r="1392" spans="1:25" x14ac:dyDescent="0.15">
      <c r="A1392" s="26" t="s">
        <v>33</v>
      </c>
      <c r="B1392" s="8"/>
      <c r="C1392" s="9">
        <f>1+1</f>
        <v>2</v>
      </c>
      <c r="D1392" s="10">
        <f>2+2</f>
        <v>4</v>
      </c>
      <c r="E1392" s="49">
        <f t="shared" si="1329"/>
        <v>6</v>
      </c>
      <c r="F1392" s="12">
        <f>5+2</f>
        <v>7</v>
      </c>
      <c r="G1392" s="9">
        <f>1+13+1</f>
        <v>15</v>
      </c>
      <c r="H1392" s="10">
        <f>2+4</f>
        <v>6</v>
      </c>
      <c r="I1392" s="49">
        <f t="shared" si="1330"/>
        <v>28</v>
      </c>
      <c r="J1392" s="11">
        <f t="shared" si="1331"/>
        <v>34</v>
      </c>
      <c r="K1392" s="63">
        <v>45539</v>
      </c>
      <c r="M1392" s="25" t="s">
        <v>28</v>
      </c>
      <c r="N1392" s="8"/>
      <c r="O1392" s="9"/>
      <c r="P1392" s="10"/>
      <c r="Q1392" s="49">
        <f t="shared" si="1326"/>
        <v>0</v>
      </c>
      <c r="R1392" s="12"/>
      <c r="S1392" s="9">
        <v>15</v>
      </c>
      <c r="T1392" s="10">
        <v>15</v>
      </c>
      <c r="U1392" s="49">
        <f t="shared" si="1327"/>
        <v>30</v>
      </c>
      <c r="V1392" s="11">
        <f t="shared" si="1328"/>
        <v>30</v>
      </c>
      <c r="W1392" s="140">
        <v>45540</v>
      </c>
      <c r="X1392" s="82"/>
      <c r="Y1392" s="82"/>
    </row>
    <row r="1393" spans="1:25" x14ac:dyDescent="0.15">
      <c r="A1393" s="26" t="s">
        <v>424</v>
      </c>
      <c r="B1393" s="8"/>
      <c r="C1393" s="9"/>
      <c r="D1393" s="10"/>
      <c r="E1393" s="49">
        <f t="shared" si="1329"/>
        <v>0</v>
      </c>
      <c r="F1393" s="12"/>
      <c r="G1393" s="9">
        <v>4</v>
      </c>
      <c r="H1393" s="10">
        <v>3</v>
      </c>
      <c r="I1393" s="49">
        <f t="shared" si="1330"/>
        <v>7</v>
      </c>
      <c r="J1393" s="11">
        <f t="shared" si="1331"/>
        <v>7</v>
      </c>
      <c r="K1393" s="63">
        <v>45540</v>
      </c>
      <c r="L1393" s="82"/>
      <c r="M1393" s="25" t="s">
        <v>28</v>
      </c>
      <c r="N1393" s="8"/>
      <c r="O1393" s="9"/>
      <c r="P1393" s="10">
        <v>10</v>
      </c>
      <c r="Q1393" s="49">
        <f t="shared" si="1326"/>
        <v>10</v>
      </c>
      <c r="R1393" s="12"/>
      <c r="S1393" s="9">
        <v>10</v>
      </c>
      <c r="T1393" s="10">
        <v>10</v>
      </c>
      <c r="U1393" s="49">
        <f t="shared" si="1327"/>
        <v>20</v>
      </c>
      <c r="V1393" s="11">
        <f t="shared" si="1328"/>
        <v>30</v>
      </c>
      <c r="W1393" s="140">
        <v>45541</v>
      </c>
      <c r="X1393" s="82"/>
      <c r="Y1393" s="82"/>
    </row>
    <row r="1394" spans="1:25" x14ac:dyDescent="0.15">
      <c r="A1394" s="26" t="s">
        <v>33</v>
      </c>
      <c r="B1394" s="8"/>
      <c r="C1394" s="9"/>
      <c r="D1394" s="10"/>
      <c r="E1394" s="49">
        <f t="shared" si="1329"/>
        <v>0</v>
      </c>
      <c r="F1394" s="12"/>
      <c r="G1394" s="9">
        <v>1</v>
      </c>
      <c r="H1394" s="10">
        <v>5</v>
      </c>
      <c r="I1394" s="49">
        <f t="shared" si="1330"/>
        <v>6</v>
      </c>
      <c r="J1394" s="11">
        <f t="shared" si="1331"/>
        <v>6</v>
      </c>
      <c r="K1394" s="63">
        <v>45540</v>
      </c>
      <c r="M1394" s="25" t="s">
        <v>28</v>
      </c>
      <c r="N1394" s="8"/>
      <c r="O1394" s="9"/>
      <c r="P1394" s="10">
        <v>50</v>
      </c>
      <c r="Q1394" s="49">
        <f t="shared" ref="Q1394:Q1396" si="1332">SUM(N1394:P1394)</f>
        <v>50</v>
      </c>
      <c r="R1394" s="12"/>
      <c r="S1394" s="9">
        <v>50</v>
      </c>
      <c r="T1394" s="10">
        <v>50</v>
      </c>
      <c r="U1394" s="49">
        <f t="shared" ref="U1394:U1396" si="1333">SUM(R1394:T1394)</f>
        <v>100</v>
      </c>
      <c r="V1394" s="11">
        <f t="shared" ref="V1394:V1396" si="1334">Q1394+U1394</f>
        <v>150</v>
      </c>
      <c r="W1394" s="140">
        <v>45542</v>
      </c>
    </row>
    <row r="1395" spans="1:25" x14ac:dyDescent="0.15">
      <c r="A1395" s="26" t="s">
        <v>33</v>
      </c>
      <c r="B1395" s="8"/>
      <c r="C1395" s="9">
        <v>1</v>
      </c>
      <c r="D1395" s="10">
        <v>1</v>
      </c>
      <c r="E1395" s="49">
        <f t="shared" si="1329"/>
        <v>2</v>
      </c>
      <c r="F1395" s="12"/>
      <c r="G1395" s="9">
        <f>1+5</f>
        <v>6</v>
      </c>
      <c r="H1395" s="10">
        <f>1+2</f>
        <v>3</v>
      </c>
      <c r="I1395" s="49">
        <f t="shared" si="1330"/>
        <v>9</v>
      </c>
      <c r="J1395" s="11">
        <f t="shared" si="1331"/>
        <v>11</v>
      </c>
      <c r="K1395" s="63">
        <v>45541</v>
      </c>
      <c r="M1395" s="25" t="s">
        <v>28</v>
      </c>
      <c r="N1395" s="8"/>
      <c r="O1395" s="9"/>
      <c r="P1395" s="10"/>
      <c r="Q1395" s="49">
        <f t="shared" si="1332"/>
        <v>0</v>
      </c>
      <c r="R1395" s="12"/>
      <c r="S1395" s="9">
        <v>20</v>
      </c>
      <c r="T1395" s="10"/>
      <c r="U1395" s="49">
        <f t="shared" si="1333"/>
        <v>20</v>
      </c>
      <c r="V1395" s="11">
        <f t="shared" si="1334"/>
        <v>20</v>
      </c>
      <c r="W1395" s="140">
        <v>45553</v>
      </c>
    </row>
    <row r="1396" spans="1:25" x14ac:dyDescent="0.15">
      <c r="A1396" s="26" t="s">
        <v>33</v>
      </c>
      <c r="B1396" s="8"/>
      <c r="C1396" s="9"/>
      <c r="D1396" s="10">
        <f>2+8</f>
        <v>10</v>
      </c>
      <c r="E1396" s="49">
        <f t="shared" si="1329"/>
        <v>10</v>
      </c>
      <c r="F1396" s="12"/>
      <c r="G1396" s="9">
        <f>2+15</f>
        <v>17</v>
      </c>
      <c r="H1396" s="10">
        <f>3+9</f>
        <v>12</v>
      </c>
      <c r="I1396" s="49">
        <f t="shared" si="1330"/>
        <v>29</v>
      </c>
      <c r="J1396" s="11">
        <f t="shared" si="1331"/>
        <v>39</v>
      </c>
      <c r="K1396" s="63">
        <v>45544</v>
      </c>
      <c r="M1396" s="26"/>
      <c r="N1396" s="8"/>
      <c r="O1396" s="9"/>
      <c r="P1396" s="10"/>
      <c r="Q1396" s="49">
        <f t="shared" si="1332"/>
        <v>0</v>
      </c>
      <c r="R1396" s="12"/>
      <c r="S1396" s="9"/>
      <c r="T1396" s="10"/>
      <c r="U1396" s="49">
        <f t="shared" si="1333"/>
        <v>0</v>
      </c>
      <c r="V1396" s="11">
        <f t="shared" si="1334"/>
        <v>0</v>
      </c>
      <c r="W1396" s="142"/>
    </row>
    <row r="1397" spans="1:25" x14ac:dyDescent="0.15">
      <c r="A1397" s="26" t="s">
        <v>33</v>
      </c>
      <c r="B1397" s="8"/>
      <c r="C1397" s="9"/>
      <c r="D1397" s="10">
        <v>1</v>
      </c>
      <c r="E1397" s="49">
        <f t="shared" si="1329"/>
        <v>1</v>
      </c>
      <c r="F1397" s="12"/>
      <c r="G1397" s="9">
        <v>4</v>
      </c>
      <c r="H1397" s="10">
        <v>3</v>
      </c>
      <c r="I1397" s="49">
        <f t="shared" si="1330"/>
        <v>7</v>
      </c>
      <c r="J1397" s="11">
        <f t="shared" si="1331"/>
        <v>8</v>
      </c>
      <c r="K1397" s="63">
        <v>45545</v>
      </c>
      <c r="M1397" s="26"/>
      <c r="N1397" s="8"/>
      <c r="O1397" s="9"/>
      <c r="P1397" s="10"/>
      <c r="Q1397" s="49">
        <f t="shared" ref="Q1397:Q1416" si="1335">SUM(N1397:P1397)</f>
        <v>0</v>
      </c>
      <c r="R1397" s="12"/>
      <c r="S1397" s="9"/>
      <c r="T1397" s="10"/>
      <c r="U1397" s="49">
        <f t="shared" ref="U1397:U1416" si="1336">SUM(R1397:T1397)</f>
        <v>0</v>
      </c>
      <c r="V1397" s="11">
        <f t="shared" ref="V1397:V1415" si="1337">Q1397+U1397</f>
        <v>0</v>
      </c>
      <c r="W1397" s="142"/>
    </row>
    <row r="1398" spans="1:25" x14ac:dyDescent="0.15">
      <c r="A1398" s="26" t="s">
        <v>33</v>
      </c>
      <c r="B1398" s="8"/>
      <c r="C1398" s="9"/>
      <c r="D1398" s="10"/>
      <c r="E1398" s="49">
        <f t="shared" si="1329"/>
        <v>0</v>
      </c>
      <c r="F1398" s="12"/>
      <c r="G1398" s="9">
        <f>3+6</f>
        <v>9</v>
      </c>
      <c r="H1398" s="10">
        <f>1+2</f>
        <v>3</v>
      </c>
      <c r="I1398" s="49">
        <f t="shared" si="1330"/>
        <v>12</v>
      </c>
      <c r="J1398" s="11">
        <f t="shared" si="1331"/>
        <v>12</v>
      </c>
      <c r="K1398" s="63">
        <v>45546</v>
      </c>
      <c r="M1398" s="26"/>
      <c r="N1398" s="8"/>
      <c r="O1398" s="9"/>
      <c r="P1398" s="10"/>
      <c r="Q1398" s="49">
        <f t="shared" si="1335"/>
        <v>0</v>
      </c>
      <c r="R1398" s="12"/>
      <c r="S1398" s="9"/>
      <c r="T1398" s="10"/>
      <c r="U1398" s="49">
        <f t="shared" si="1336"/>
        <v>0</v>
      </c>
      <c r="V1398" s="11">
        <f t="shared" si="1337"/>
        <v>0</v>
      </c>
      <c r="W1398" s="142"/>
    </row>
    <row r="1399" spans="1:25" x14ac:dyDescent="0.15">
      <c r="A1399" s="26" t="s">
        <v>33</v>
      </c>
      <c r="B1399" s="8"/>
      <c r="C1399" s="9"/>
      <c r="D1399" s="10">
        <v>1</v>
      </c>
      <c r="E1399" s="49">
        <f t="shared" si="1329"/>
        <v>1</v>
      </c>
      <c r="F1399" s="12"/>
      <c r="G1399" s="9">
        <v>1</v>
      </c>
      <c r="H1399" s="10"/>
      <c r="I1399" s="49">
        <f t="shared" si="1330"/>
        <v>1</v>
      </c>
      <c r="J1399" s="11">
        <f t="shared" si="1331"/>
        <v>2</v>
      </c>
      <c r="K1399" s="63">
        <v>45547</v>
      </c>
      <c r="M1399" s="26"/>
      <c r="N1399" s="8"/>
      <c r="O1399" s="9"/>
      <c r="P1399" s="10"/>
      <c r="Q1399" s="49">
        <f t="shared" si="1335"/>
        <v>0</v>
      </c>
      <c r="R1399" s="12"/>
      <c r="S1399" s="9"/>
      <c r="T1399" s="10"/>
      <c r="U1399" s="49">
        <f t="shared" si="1336"/>
        <v>0</v>
      </c>
      <c r="V1399" s="11">
        <f t="shared" si="1337"/>
        <v>0</v>
      </c>
      <c r="W1399" s="142"/>
    </row>
    <row r="1400" spans="1:25" x14ac:dyDescent="0.15">
      <c r="A1400" s="26" t="s">
        <v>33</v>
      </c>
      <c r="B1400" s="8"/>
      <c r="C1400" s="9"/>
      <c r="D1400" s="10"/>
      <c r="E1400" s="49">
        <f t="shared" si="1329"/>
        <v>0</v>
      </c>
      <c r="F1400" s="12"/>
      <c r="G1400" s="9">
        <v>3</v>
      </c>
      <c r="H1400" s="10">
        <v>2</v>
      </c>
      <c r="I1400" s="49">
        <f t="shared" si="1330"/>
        <v>5</v>
      </c>
      <c r="J1400" s="11">
        <f t="shared" si="1331"/>
        <v>5</v>
      </c>
      <c r="K1400" s="63">
        <v>45548</v>
      </c>
      <c r="M1400" s="26"/>
      <c r="N1400" s="8"/>
      <c r="O1400" s="9"/>
      <c r="P1400" s="10"/>
      <c r="Q1400" s="49">
        <f t="shared" si="1335"/>
        <v>0</v>
      </c>
      <c r="R1400" s="12"/>
      <c r="S1400" s="9"/>
      <c r="T1400" s="10"/>
      <c r="U1400" s="49">
        <f t="shared" si="1336"/>
        <v>0</v>
      </c>
      <c r="V1400" s="11">
        <f t="shared" si="1337"/>
        <v>0</v>
      </c>
      <c r="W1400" s="142"/>
    </row>
    <row r="1401" spans="1:25" x14ac:dyDescent="0.15">
      <c r="A1401" s="26" t="s">
        <v>33</v>
      </c>
      <c r="B1401" s="8"/>
      <c r="C1401" s="9"/>
      <c r="D1401" s="10">
        <f>10+1</f>
        <v>11</v>
      </c>
      <c r="E1401" s="49">
        <f t="shared" si="1329"/>
        <v>11</v>
      </c>
      <c r="F1401" s="12"/>
      <c r="G1401" s="9">
        <f>1+29</f>
        <v>30</v>
      </c>
      <c r="H1401" s="10">
        <v>13</v>
      </c>
      <c r="I1401" s="49">
        <f t="shared" si="1330"/>
        <v>43</v>
      </c>
      <c r="J1401" s="11">
        <f t="shared" si="1331"/>
        <v>54</v>
      </c>
      <c r="K1401" s="63">
        <v>45552</v>
      </c>
      <c r="M1401" s="26"/>
      <c r="N1401" s="8"/>
      <c r="O1401" s="9"/>
      <c r="P1401" s="10"/>
      <c r="Q1401" s="49">
        <f t="shared" si="1335"/>
        <v>0</v>
      </c>
      <c r="R1401" s="12"/>
      <c r="S1401" s="9"/>
      <c r="T1401" s="10"/>
      <c r="U1401" s="49">
        <f t="shared" si="1336"/>
        <v>0</v>
      </c>
      <c r="V1401" s="11">
        <f t="shared" si="1337"/>
        <v>0</v>
      </c>
      <c r="W1401" s="142"/>
    </row>
    <row r="1402" spans="1:25" x14ac:dyDescent="0.15">
      <c r="A1402" s="26" t="s">
        <v>483</v>
      </c>
      <c r="B1402" s="8"/>
      <c r="C1402" s="9"/>
      <c r="D1402" s="10">
        <v>3</v>
      </c>
      <c r="E1402" s="49">
        <f t="shared" si="1329"/>
        <v>3</v>
      </c>
      <c r="F1402" s="12"/>
      <c r="G1402" s="9"/>
      <c r="H1402" s="10"/>
      <c r="I1402" s="49">
        <f t="shared" si="1330"/>
        <v>0</v>
      </c>
      <c r="J1402" s="11">
        <f t="shared" si="1331"/>
        <v>3</v>
      </c>
      <c r="K1402" s="63">
        <v>45552</v>
      </c>
      <c r="L1402" s="82"/>
      <c r="M1402" s="26"/>
      <c r="N1402" s="8"/>
      <c r="O1402" s="9"/>
      <c r="P1402" s="10"/>
      <c r="Q1402" s="49">
        <f t="shared" si="1335"/>
        <v>0</v>
      </c>
      <c r="R1402" s="12"/>
      <c r="S1402" s="9"/>
      <c r="T1402" s="10"/>
      <c r="U1402" s="49">
        <f t="shared" si="1336"/>
        <v>0</v>
      </c>
      <c r="V1402" s="11">
        <f t="shared" si="1337"/>
        <v>0</v>
      </c>
      <c r="W1402" s="142"/>
    </row>
    <row r="1403" spans="1:25" x14ac:dyDescent="0.15">
      <c r="A1403" s="26" t="s">
        <v>33</v>
      </c>
      <c r="B1403" s="8">
        <v>1</v>
      </c>
      <c r="C1403" s="9">
        <v>2</v>
      </c>
      <c r="D1403" s="10">
        <v>4</v>
      </c>
      <c r="E1403" s="49">
        <f t="shared" si="1329"/>
        <v>7</v>
      </c>
      <c r="F1403" s="12"/>
      <c r="G1403" s="9">
        <v>6</v>
      </c>
      <c r="H1403" s="10">
        <v>3</v>
      </c>
      <c r="I1403" s="49">
        <f t="shared" si="1330"/>
        <v>9</v>
      </c>
      <c r="J1403" s="11">
        <f t="shared" si="1331"/>
        <v>16</v>
      </c>
      <c r="K1403" s="63">
        <v>45553</v>
      </c>
      <c r="M1403" s="26"/>
      <c r="N1403" s="8"/>
      <c r="O1403" s="9"/>
      <c r="P1403" s="10"/>
      <c r="Q1403" s="49">
        <f t="shared" si="1335"/>
        <v>0</v>
      </c>
      <c r="R1403" s="12"/>
      <c r="S1403" s="9"/>
      <c r="T1403" s="10"/>
      <c r="U1403" s="49">
        <f t="shared" si="1336"/>
        <v>0</v>
      </c>
      <c r="V1403" s="11">
        <f t="shared" si="1337"/>
        <v>0</v>
      </c>
      <c r="W1403" s="142"/>
    </row>
    <row r="1404" spans="1:25" x14ac:dyDescent="0.15">
      <c r="A1404" s="26" t="s">
        <v>33</v>
      </c>
      <c r="B1404" s="8"/>
      <c r="C1404" s="9"/>
      <c r="D1404" s="10"/>
      <c r="E1404" s="49">
        <f t="shared" si="1329"/>
        <v>0</v>
      </c>
      <c r="F1404" s="12"/>
      <c r="G1404" s="9">
        <v>1</v>
      </c>
      <c r="H1404" s="10"/>
      <c r="I1404" s="49">
        <f t="shared" si="1330"/>
        <v>1</v>
      </c>
      <c r="J1404" s="11">
        <f t="shared" si="1331"/>
        <v>1</v>
      </c>
      <c r="K1404" s="63">
        <v>45554</v>
      </c>
      <c r="L1404" s="82"/>
      <c r="M1404" s="26"/>
      <c r="N1404" s="8"/>
      <c r="O1404" s="9"/>
      <c r="P1404" s="10"/>
      <c r="Q1404" s="49">
        <f t="shared" si="1335"/>
        <v>0</v>
      </c>
      <c r="R1404" s="12"/>
      <c r="S1404" s="9"/>
      <c r="T1404" s="10"/>
      <c r="U1404" s="49">
        <f t="shared" si="1336"/>
        <v>0</v>
      </c>
      <c r="V1404" s="11">
        <f t="shared" si="1337"/>
        <v>0</v>
      </c>
      <c r="W1404" s="142"/>
    </row>
    <row r="1405" spans="1:25" x14ac:dyDescent="0.15">
      <c r="A1405" s="26" t="s">
        <v>33</v>
      </c>
      <c r="B1405" s="8"/>
      <c r="C1405" s="9"/>
      <c r="D1405" s="10"/>
      <c r="E1405" s="49">
        <f t="shared" si="1329"/>
        <v>0</v>
      </c>
      <c r="F1405" s="12"/>
      <c r="G1405" s="9">
        <v>1</v>
      </c>
      <c r="H1405" s="10"/>
      <c r="I1405" s="49">
        <f t="shared" si="1330"/>
        <v>1</v>
      </c>
      <c r="J1405" s="11">
        <f t="shared" si="1331"/>
        <v>1</v>
      </c>
      <c r="K1405" s="63">
        <v>45556</v>
      </c>
      <c r="L1405" s="82"/>
      <c r="M1405" s="26"/>
      <c r="N1405" s="8"/>
      <c r="O1405" s="9"/>
      <c r="P1405" s="10"/>
      <c r="Q1405" s="49">
        <f t="shared" si="1335"/>
        <v>0</v>
      </c>
      <c r="R1405" s="12"/>
      <c r="S1405" s="9"/>
      <c r="T1405" s="10"/>
      <c r="U1405" s="49">
        <f t="shared" si="1336"/>
        <v>0</v>
      </c>
      <c r="V1405" s="11">
        <f t="shared" si="1337"/>
        <v>0</v>
      </c>
      <c r="W1405" s="142"/>
    </row>
    <row r="1406" spans="1:25" x14ac:dyDescent="0.15">
      <c r="A1406" s="26" t="s">
        <v>33</v>
      </c>
      <c r="B1406" s="8"/>
      <c r="C1406" s="9"/>
      <c r="D1406" s="10">
        <v>3</v>
      </c>
      <c r="E1406" s="49">
        <f t="shared" si="1329"/>
        <v>3</v>
      </c>
      <c r="F1406" s="12"/>
      <c r="G1406" s="9">
        <v>4</v>
      </c>
      <c r="H1406" s="10">
        <v>1</v>
      </c>
      <c r="I1406" s="49">
        <f t="shared" si="1330"/>
        <v>5</v>
      </c>
      <c r="J1406" s="11">
        <f t="shared" si="1331"/>
        <v>8</v>
      </c>
      <c r="K1406" s="63">
        <v>45559</v>
      </c>
      <c r="L1406" s="82"/>
      <c r="M1406" s="26"/>
      <c r="N1406" s="8"/>
      <c r="O1406" s="9"/>
      <c r="P1406" s="10"/>
      <c r="Q1406" s="49">
        <f t="shared" si="1335"/>
        <v>0</v>
      </c>
      <c r="R1406" s="12"/>
      <c r="S1406" s="9"/>
      <c r="T1406" s="10"/>
      <c r="U1406" s="49">
        <f t="shared" si="1336"/>
        <v>0</v>
      </c>
      <c r="V1406" s="11">
        <f t="shared" si="1337"/>
        <v>0</v>
      </c>
      <c r="W1406" s="142"/>
    </row>
    <row r="1407" spans="1:25" x14ac:dyDescent="0.15">
      <c r="A1407" s="26" t="s">
        <v>33</v>
      </c>
      <c r="B1407" s="8"/>
      <c r="C1407" s="9"/>
      <c r="D1407" s="10"/>
      <c r="E1407" s="49">
        <f t="shared" si="1329"/>
        <v>0</v>
      </c>
      <c r="F1407" s="12"/>
      <c r="G1407" s="9"/>
      <c r="H1407" s="10">
        <v>2</v>
      </c>
      <c r="I1407" s="49">
        <f t="shared" si="1330"/>
        <v>2</v>
      </c>
      <c r="J1407" s="11">
        <f t="shared" si="1331"/>
        <v>2</v>
      </c>
      <c r="K1407" s="63">
        <v>45562</v>
      </c>
      <c r="L1407" s="82"/>
      <c r="M1407" s="26"/>
      <c r="N1407" s="8"/>
      <c r="O1407" s="9"/>
      <c r="P1407" s="10"/>
      <c r="Q1407" s="49">
        <f t="shared" si="1335"/>
        <v>0</v>
      </c>
      <c r="R1407" s="12"/>
      <c r="S1407" s="9"/>
      <c r="T1407" s="10"/>
      <c r="U1407" s="49">
        <f t="shared" si="1336"/>
        <v>0</v>
      </c>
      <c r="V1407" s="11">
        <f t="shared" si="1337"/>
        <v>0</v>
      </c>
      <c r="W1407" s="142"/>
    </row>
    <row r="1408" spans="1:25" x14ac:dyDescent="0.15">
      <c r="A1408" s="26" t="s">
        <v>33</v>
      </c>
      <c r="B1408" s="8"/>
      <c r="C1408" s="9"/>
      <c r="D1408" s="10"/>
      <c r="E1408" s="49">
        <f t="shared" si="1329"/>
        <v>0</v>
      </c>
      <c r="F1408" s="12"/>
      <c r="G1408" s="9">
        <v>1</v>
      </c>
      <c r="H1408" s="10"/>
      <c r="I1408" s="49">
        <f t="shared" si="1330"/>
        <v>1</v>
      </c>
      <c r="J1408" s="11">
        <f t="shared" si="1331"/>
        <v>1</v>
      </c>
      <c r="K1408" s="63">
        <v>45567</v>
      </c>
      <c r="L1408" s="82"/>
      <c r="M1408" s="26"/>
      <c r="N1408" s="8"/>
      <c r="O1408" s="9"/>
      <c r="P1408" s="10"/>
      <c r="Q1408" s="49">
        <f t="shared" si="1335"/>
        <v>0</v>
      </c>
      <c r="R1408" s="12"/>
      <c r="S1408" s="9"/>
      <c r="T1408" s="10"/>
      <c r="U1408" s="49">
        <f t="shared" si="1336"/>
        <v>0</v>
      </c>
      <c r="V1408" s="11">
        <f t="shared" si="1337"/>
        <v>0</v>
      </c>
      <c r="W1408" s="142"/>
    </row>
    <row r="1409" spans="1:23" x14ac:dyDescent="0.15">
      <c r="A1409" s="26" t="s">
        <v>485</v>
      </c>
      <c r="B1409" s="8"/>
      <c r="C1409" s="9"/>
      <c r="D1409" s="10"/>
      <c r="E1409" s="49">
        <f t="shared" si="1329"/>
        <v>0</v>
      </c>
      <c r="F1409" s="12"/>
      <c r="G1409" s="9">
        <v>1</v>
      </c>
      <c r="H1409" s="10"/>
      <c r="I1409" s="49">
        <f t="shared" si="1330"/>
        <v>1</v>
      </c>
      <c r="J1409" s="11">
        <f t="shared" si="1331"/>
        <v>1</v>
      </c>
      <c r="K1409" s="63">
        <v>45568</v>
      </c>
      <c r="L1409" s="82"/>
      <c r="M1409" s="26"/>
      <c r="N1409" s="8"/>
      <c r="O1409" s="9"/>
      <c r="P1409" s="10"/>
      <c r="Q1409" s="49">
        <f t="shared" si="1335"/>
        <v>0</v>
      </c>
      <c r="R1409" s="12"/>
      <c r="S1409" s="9"/>
      <c r="T1409" s="10"/>
      <c r="U1409" s="49">
        <f t="shared" si="1336"/>
        <v>0</v>
      </c>
      <c r="V1409" s="11">
        <f t="shared" si="1337"/>
        <v>0</v>
      </c>
      <c r="W1409" s="142"/>
    </row>
    <row r="1410" spans="1:23" x14ac:dyDescent="0.15">
      <c r="A1410" s="26" t="s">
        <v>486</v>
      </c>
      <c r="B1410" s="8"/>
      <c r="C1410" s="9"/>
      <c r="D1410" s="10">
        <v>30</v>
      </c>
      <c r="E1410" s="49">
        <f t="shared" si="1329"/>
        <v>30</v>
      </c>
      <c r="F1410" s="12"/>
      <c r="G1410" s="9"/>
      <c r="H1410" s="10">
        <v>27</v>
      </c>
      <c r="I1410" s="49">
        <f t="shared" si="1330"/>
        <v>27</v>
      </c>
      <c r="J1410" s="11">
        <f t="shared" si="1331"/>
        <v>57</v>
      </c>
      <c r="K1410" s="63">
        <v>45570</v>
      </c>
      <c r="L1410" s="82"/>
      <c r="M1410" s="26"/>
      <c r="N1410" s="8"/>
      <c r="O1410" s="9"/>
      <c r="P1410" s="10"/>
      <c r="Q1410" s="49">
        <f t="shared" si="1335"/>
        <v>0</v>
      </c>
      <c r="R1410" s="12"/>
      <c r="S1410" s="9"/>
      <c r="T1410" s="10"/>
      <c r="U1410" s="49">
        <f t="shared" si="1336"/>
        <v>0</v>
      </c>
      <c r="V1410" s="11">
        <f t="shared" si="1337"/>
        <v>0</v>
      </c>
      <c r="W1410" s="142"/>
    </row>
    <row r="1411" spans="1:23" x14ac:dyDescent="0.15">
      <c r="A1411" s="26" t="s">
        <v>33</v>
      </c>
      <c r="B1411" s="8"/>
      <c r="C1411" s="9"/>
      <c r="D1411" s="10"/>
      <c r="E1411" s="49">
        <f t="shared" si="1329"/>
        <v>0</v>
      </c>
      <c r="F1411" s="12"/>
      <c r="G1411" s="9"/>
      <c r="H1411" s="10">
        <v>2</v>
      </c>
      <c r="I1411" s="49">
        <f t="shared" si="1330"/>
        <v>2</v>
      </c>
      <c r="J1411" s="11">
        <f t="shared" si="1331"/>
        <v>2</v>
      </c>
      <c r="K1411" s="63">
        <v>45573</v>
      </c>
      <c r="M1411" s="26"/>
      <c r="N1411" s="8"/>
      <c r="O1411" s="9"/>
      <c r="P1411" s="10"/>
      <c r="Q1411" s="49">
        <f t="shared" si="1335"/>
        <v>0</v>
      </c>
      <c r="R1411" s="12"/>
      <c r="S1411" s="9"/>
      <c r="T1411" s="10"/>
      <c r="U1411" s="49">
        <f t="shared" si="1336"/>
        <v>0</v>
      </c>
      <c r="V1411" s="11">
        <f t="shared" si="1337"/>
        <v>0</v>
      </c>
      <c r="W1411" s="142"/>
    </row>
    <row r="1412" spans="1:23" x14ac:dyDescent="0.15">
      <c r="A1412" s="26" t="s">
        <v>33</v>
      </c>
      <c r="B1412" s="8"/>
      <c r="C1412" s="9"/>
      <c r="D1412" s="10"/>
      <c r="E1412" s="49">
        <f t="shared" si="1329"/>
        <v>0</v>
      </c>
      <c r="F1412" s="12"/>
      <c r="G1412" s="9">
        <v>1</v>
      </c>
      <c r="H1412" s="10"/>
      <c r="I1412" s="49">
        <f t="shared" si="1330"/>
        <v>1</v>
      </c>
      <c r="J1412" s="11">
        <f t="shared" si="1331"/>
        <v>1</v>
      </c>
      <c r="K1412" s="63">
        <v>45574</v>
      </c>
      <c r="M1412" s="26"/>
      <c r="N1412" s="8"/>
      <c r="O1412" s="9"/>
      <c r="P1412" s="10"/>
      <c r="Q1412" s="49">
        <f t="shared" si="1335"/>
        <v>0</v>
      </c>
      <c r="R1412" s="12"/>
      <c r="S1412" s="9"/>
      <c r="T1412" s="10"/>
      <c r="U1412" s="49">
        <f t="shared" si="1336"/>
        <v>0</v>
      </c>
      <c r="V1412" s="11">
        <f t="shared" si="1337"/>
        <v>0</v>
      </c>
      <c r="W1412" s="142"/>
    </row>
    <row r="1413" spans="1:23" x14ac:dyDescent="0.15">
      <c r="A1413" s="26" t="s">
        <v>33</v>
      </c>
      <c r="B1413" s="8"/>
      <c r="C1413" s="9"/>
      <c r="D1413" s="10"/>
      <c r="E1413" s="49">
        <f t="shared" si="1329"/>
        <v>0</v>
      </c>
      <c r="F1413" s="12"/>
      <c r="G1413" s="9"/>
      <c r="H1413" s="10"/>
      <c r="I1413" s="49">
        <f t="shared" si="1330"/>
        <v>0</v>
      </c>
      <c r="J1413" s="11">
        <f t="shared" si="1331"/>
        <v>0</v>
      </c>
      <c r="K1413" s="63">
        <v>45576</v>
      </c>
      <c r="M1413" s="26"/>
      <c r="N1413" s="8"/>
      <c r="O1413" s="9"/>
      <c r="P1413" s="10"/>
      <c r="Q1413" s="49">
        <f t="shared" si="1335"/>
        <v>0</v>
      </c>
      <c r="R1413" s="12"/>
      <c r="S1413" s="9"/>
      <c r="T1413" s="10"/>
      <c r="U1413" s="49">
        <f t="shared" si="1336"/>
        <v>0</v>
      </c>
      <c r="V1413" s="11">
        <f t="shared" si="1337"/>
        <v>0</v>
      </c>
      <c r="W1413" s="142"/>
    </row>
    <row r="1414" spans="1:23" x14ac:dyDescent="0.15">
      <c r="A1414" s="26" t="s">
        <v>33</v>
      </c>
      <c r="B1414" s="8"/>
      <c r="C1414" s="9"/>
      <c r="D1414" s="10"/>
      <c r="E1414" s="49">
        <f t="shared" si="1329"/>
        <v>0</v>
      </c>
      <c r="F1414" s="12"/>
      <c r="G1414" s="9">
        <v>1</v>
      </c>
      <c r="H1414" s="10">
        <v>1</v>
      </c>
      <c r="I1414" s="49">
        <f t="shared" si="1330"/>
        <v>2</v>
      </c>
      <c r="J1414" s="11">
        <f t="shared" si="1331"/>
        <v>2</v>
      </c>
      <c r="K1414" s="63">
        <v>45580</v>
      </c>
      <c r="M1414" s="26"/>
      <c r="N1414" s="8"/>
      <c r="O1414" s="9"/>
      <c r="P1414" s="10"/>
      <c r="Q1414" s="49">
        <f t="shared" si="1335"/>
        <v>0</v>
      </c>
      <c r="R1414" s="12"/>
      <c r="S1414" s="9"/>
      <c r="T1414" s="10"/>
      <c r="U1414" s="49">
        <f t="shared" si="1336"/>
        <v>0</v>
      </c>
      <c r="V1414" s="11">
        <f t="shared" si="1337"/>
        <v>0</v>
      </c>
      <c r="W1414" s="142"/>
    </row>
    <row r="1415" spans="1:23" ht="14.25" thickBot="1" x14ac:dyDescent="0.2">
      <c r="A1415" s="26" t="s">
        <v>424</v>
      </c>
      <c r="B1415" s="8"/>
      <c r="C1415" s="9"/>
      <c r="D1415" s="10"/>
      <c r="E1415" s="49">
        <f t="shared" si="1329"/>
        <v>0</v>
      </c>
      <c r="F1415" s="12"/>
      <c r="G1415" s="9"/>
      <c r="H1415" s="10">
        <v>3</v>
      </c>
      <c r="I1415" s="49">
        <f t="shared" si="1330"/>
        <v>3</v>
      </c>
      <c r="J1415" s="11">
        <f t="shared" si="1331"/>
        <v>3</v>
      </c>
      <c r="K1415" s="63">
        <v>45581</v>
      </c>
      <c r="M1415" s="26"/>
      <c r="N1415" s="8"/>
      <c r="O1415" s="9"/>
      <c r="P1415" s="10"/>
      <c r="Q1415" s="49">
        <f t="shared" si="1335"/>
        <v>0</v>
      </c>
      <c r="R1415" s="12"/>
      <c r="S1415" s="9"/>
      <c r="T1415" s="10"/>
      <c r="U1415" s="49">
        <f t="shared" si="1336"/>
        <v>0</v>
      </c>
      <c r="V1415" s="11">
        <f t="shared" si="1337"/>
        <v>0</v>
      </c>
      <c r="W1415" s="142"/>
    </row>
    <row r="1416" spans="1:23" ht="14.25" thickBot="1" x14ac:dyDescent="0.2">
      <c r="A1416" s="41" t="s">
        <v>19</v>
      </c>
      <c r="B1416" s="135">
        <f>SUM(B1390:B1415)</f>
        <v>1</v>
      </c>
      <c r="C1416" s="137">
        <f t="shared" ref="C1416" si="1338">SUM(C1390:C1415)</f>
        <v>32</v>
      </c>
      <c r="D1416" s="59">
        <f t="shared" ref="D1416" si="1339">SUM(D1390:D1415)</f>
        <v>91</v>
      </c>
      <c r="E1416" s="45">
        <f t="shared" ref="E1416" si="1340">SUM(B1416:D1416)</f>
        <v>124</v>
      </c>
      <c r="F1416" s="135">
        <f>SUM(F1390:F1415)</f>
        <v>12</v>
      </c>
      <c r="G1416" s="47">
        <f t="shared" ref="G1416:H1416" si="1341">SUM(G1390:G1415)</f>
        <v>142</v>
      </c>
      <c r="H1416" s="59">
        <f t="shared" si="1341"/>
        <v>118</v>
      </c>
      <c r="I1416" s="45">
        <f t="shared" ref="I1416" si="1342">SUM(F1416:H1416)</f>
        <v>272</v>
      </c>
      <c r="J1416" s="45">
        <f>E1416+I1416</f>
        <v>396</v>
      </c>
      <c r="M1416" s="41" t="s">
        <v>19</v>
      </c>
      <c r="N1416" s="135">
        <f>SUM(N1390:N1415)</f>
        <v>0</v>
      </c>
      <c r="O1416" s="137">
        <f t="shared" ref="O1416:P1416" si="1343">SUM(O1390:O1415)</f>
        <v>19</v>
      </c>
      <c r="P1416" s="59">
        <f t="shared" si="1343"/>
        <v>99</v>
      </c>
      <c r="Q1416" s="45">
        <f t="shared" si="1335"/>
        <v>118</v>
      </c>
      <c r="R1416" s="135">
        <f>SUM(R1390:R1415)</f>
        <v>0</v>
      </c>
      <c r="S1416" s="47">
        <f t="shared" ref="S1416:T1416" si="1344">SUM(S1390:S1415)</f>
        <v>145</v>
      </c>
      <c r="T1416" s="59">
        <f t="shared" si="1344"/>
        <v>115</v>
      </c>
      <c r="U1416" s="45">
        <f t="shared" si="1336"/>
        <v>260</v>
      </c>
      <c r="V1416" s="45">
        <f>Q1416+U1416</f>
        <v>378</v>
      </c>
    </row>
    <row r="1417" spans="1:23" ht="14.25" thickBot="1" x14ac:dyDescent="0.2">
      <c r="A1417" s="22" t="s">
        <v>17</v>
      </c>
      <c r="B1417" s="136">
        <f>B1389-B1416</f>
        <v>0</v>
      </c>
      <c r="C1417" s="138">
        <f t="shared" ref="C1417" si="1345">C1389-C1416</f>
        <v>0</v>
      </c>
      <c r="D1417" s="58">
        <f t="shared" ref="D1417" si="1346">D1389-D1416</f>
        <v>19</v>
      </c>
      <c r="E1417" s="56">
        <f>SUM(B1417:D1417)</f>
        <v>19</v>
      </c>
      <c r="F1417" s="136">
        <f>F1389-F1416</f>
        <v>0</v>
      </c>
      <c r="G1417" s="57">
        <f t="shared" ref="G1417:H1417" si="1347">G1389-G1416</f>
        <v>16</v>
      </c>
      <c r="H1417" s="58">
        <f t="shared" si="1347"/>
        <v>8</v>
      </c>
      <c r="I1417" s="56">
        <f>SUM(F1417:H1417)</f>
        <v>24</v>
      </c>
      <c r="J1417" s="31">
        <f>E1417+I1417</f>
        <v>43</v>
      </c>
      <c r="M1417" s="22" t="s">
        <v>17</v>
      </c>
      <c r="N1417" s="136">
        <f>N1389-N1416</f>
        <v>0</v>
      </c>
      <c r="O1417" s="138">
        <f t="shared" ref="O1417:P1417" si="1348">O1389-O1416</f>
        <v>0</v>
      </c>
      <c r="P1417" s="58">
        <f t="shared" si="1348"/>
        <v>308</v>
      </c>
      <c r="Q1417" s="56">
        <f>SUM(N1417:P1417)</f>
        <v>308</v>
      </c>
      <c r="R1417" s="136">
        <f>R1389-R1416</f>
        <v>0</v>
      </c>
      <c r="S1417" s="57">
        <f t="shared" ref="S1417:T1417" si="1349">S1389-S1416</f>
        <v>122</v>
      </c>
      <c r="T1417" s="58">
        <f t="shared" si="1349"/>
        <v>310</v>
      </c>
      <c r="U1417" s="56">
        <f>SUM(R1417:T1417)</f>
        <v>432</v>
      </c>
      <c r="V1417" s="31">
        <f>Q1417+U1417</f>
        <v>740</v>
      </c>
    </row>
    <row r="1420" spans="1:23" ht="19.5" thickBot="1" x14ac:dyDescent="0.25">
      <c r="A1420" s="3" t="s">
        <v>21</v>
      </c>
      <c r="B1420" s="1"/>
      <c r="C1420" s="1"/>
      <c r="D1420" s="1"/>
      <c r="E1420" s="1"/>
      <c r="F1420" s="1"/>
      <c r="G1420" s="1"/>
      <c r="H1420" s="1"/>
      <c r="I1420" s="1"/>
      <c r="J1420" s="1"/>
      <c r="M1420" s="3" t="s">
        <v>22</v>
      </c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1:23" ht="14.25" thickBot="1" x14ac:dyDescent="0.2">
      <c r="A1421" s="7" t="s">
        <v>0</v>
      </c>
      <c r="B1421" s="165" t="s">
        <v>24</v>
      </c>
      <c r="C1421" s="166"/>
      <c r="D1421" s="166"/>
      <c r="E1421" s="170"/>
      <c r="F1421" s="165" t="s">
        <v>18</v>
      </c>
      <c r="G1421" s="166"/>
      <c r="H1421" s="166"/>
      <c r="I1421" s="167"/>
      <c r="J1421" s="168" t="s">
        <v>1</v>
      </c>
      <c r="M1421" s="7" t="s">
        <v>0</v>
      </c>
      <c r="N1421" s="165" t="s">
        <v>24</v>
      </c>
      <c r="O1421" s="166"/>
      <c r="P1421" s="166"/>
      <c r="Q1421" s="170"/>
      <c r="R1421" s="165" t="s">
        <v>18</v>
      </c>
      <c r="S1421" s="166"/>
      <c r="T1421" s="166"/>
      <c r="U1421" s="167"/>
      <c r="V1421" s="168" t="s">
        <v>1</v>
      </c>
    </row>
    <row r="1422" spans="1:23" ht="14.25" thickBot="1" x14ac:dyDescent="0.2">
      <c r="A1422" s="7" t="s">
        <v>2</v>
      </c>
      <c r="B1422" s="4" t="s">
        <v>3</v>
      </c>
      <c r="C1422" s="5" t="s">
        <v>4</v>
      </c>
      <c r="D1422" s="6" t="s">
        <v>5</v>
      </c>
      <c r="E1422" s="7" t="s">
        <v>6</v>
      </c>
      <c r="F1422" s="4" t="s">
        <v>3</v>
      </c>
      <c r="G1422" s="5" t="s">
        <v>4</v>
      </c>
      <c r="H1422" s="6" t="s">
        <v>5</v>
      </c>
      <c r="I1422" s="7" t="s">
        <v>6</v>
      </c>
      <c r="J1422" s="169"/>
      <c r="M1422" s="7" t="s">
        <v>2</v>
      </c>
      <c r="N1422" s="4" t="s">
        <v>3</v>
      </c>
      <c r="O1422" s="5" t="s">
        <v>4</v>
      </c>
      <c r="P1422" s="6" t="s">
        <v>5</v>
      </c>
      <c r="Q1422" s="7" t="s">
        <v>6</v>
      </c>
      <c r="R1422" s="4" t="s">
        <v>3</v>
      </c>
      <c r="S1422" s="5" t="s">
        <v>4</v>
      </c>
      <c r="T1422" s="6" t="s">
        <v>5</v>
      </c>
      <c r="U1422" s="7" t="s">
        <v>6</v>
      </c>
      <c r="V1422" s="169"/>
    </row>
    <row r="1423" spans="1:23" ht="14.25" thickBot="1" x14ac:dyDescent="0.2">
      <c r="A1423" s="27" t="s">
        <v>20</v>
      </c>
      <c r="B1423" s="28">
        <f>B1417</f>
        <v>0</v>
      </c>
      <c r="C1423" s="29">
        <f>C1417</f>
        <v>0</v>
      </c>
      <c r="D1423" s="30">
        <f>D1417</f>
        <v>19</v>
      </c>
      <c r="E1423" s="31">
        <f>SUM(B1423:D1423)</f>
        <v>19</v>
      </c>
      <c r="F1423" s="28">
        <f>F1417</f>
        <v>0</v>
      </c>
      <c r="G1423" s="29">
        <f>G1417</f>
        <v>16</v>
      </c>
      <c r="H1423" s="30">
        <f>H1417</f>
        <v>8</v>
      </c>
      <c r="I1423" s="31">
        <f>SUM(F1423:H1423)</f>
        <v>24</v>
      </c>
      <c r="J1423" s="31">
        <f>E1423+I1423</f>
        <v>43</v>
      </c>
      <c r="M1423" s="27" t="s">
        <v>20</v>
      </c>
      <c r="N1423" s="28">
        <f>N1417</f>
        <v>0</v>
      </c>
      <c r="O1423" s="29">
        <f>O1417</f>
        <v>0</v>
      </c>
      <c r="P1423" s="30">
        <f>P1417</f>
        <v>308</v>
      </c>
      <c r="Q1423" s="31">
        <f>SUM(N1423:P1423)</f>
        <v>308</v>
      </c>
      <c r="R1423" s="28">
        <f>R1417</f>
        <v>0</v>
      </c>
      <c r="S1423" s="29">
        <f>S1417</f>
        <v>122</v>
      </c>
      <c r="T1423" s="30">
        <f>T1417</f>
        <v>310</v>
      </c>
      <c r="U1423" s="31">
        <f>SUM(R1423:T1423)</f>
        <v>432</v>
      </c>
      <c r="V1423" s="31">
        <f>Q1423+U1423</f>
        <v>740</v>
      </c>
    </row>
    <row r="1424" spans="1:23" x14ac:dyDescent="0.15">
      <c r="A1424" s="25" t="s">
        <v>8</v>
      </c>
      <c r="B1424" s="17"/>
      <c r="C1424" s="18"/>
      <c r="D1424" s="51"/>
      <c r="E1424" s="49">
        <f t="shared" ref="E1424:E1431" si="1350">SUM(B1424:D1424)</f>
        <v>0</v>
      </c>
      <c r="F1424" s="20"/>
      <c r="G1424" s="18"/>
      <c r="H1424" s="19">
        <v>10</v>
      </c>
      <c r="I1424" s="49">
        <f t="shared" ref="I1424:I1431" si="1351">SUM(F1424:H1424)</f>
        <v>10</v>
      </c>
      <c r="J1424" s="49">
        <f t="shared" ref="J1424:J1431" si="1352">E1424+I1424</f>
        <v>10</v>
      </c>
      <c r="K1424" s="63">
        <v>45590</v>
      </c>
      <c r="M1424" s="25" t="s">
        <v>8</v>
      </c>
      <c r="N1424" s="17"/>
      <c r="O1424" s="18"/>
      <c r="P1424" s="51"/>
      <c r="Q1424" s="49">
        <f t="shared" ref="Q1424:Q1431" si="1353">SUM(N1424:P1424)</f>
        <v>0</v>
      </c>
      <c r="R1424" s="20"/>
      <c r="S1424" s="18"/>
      <c r="T1424" s="19"/>
      <c r="U1424" s="49">
        <f t="shared" ref="U1424:U1431" si="1354">SUM(R1424:T1424)</f>
        <v>0</v>
      </c>
      <c r="V1424" s="49">
        <f t="shared" ref="V1424:V1431" si="1355">Q1424+U1424</f>
        <v>0</v>
      </c>
    </row>
    <row r="1425" spans="1:25" x14ac:dyDescent="0.15">
      <c r="A1425" s="25" t="s">
        <v>9</v>
      </c>
      <c r="B1425" s="8"/>
      <c r="C1425" s="9"/>
      <c r="D1425" s="52"/>
      <c r="E1425" s="11">
        <f t="shared" si="1350"/>
        <v>0</v>
      </c>
      <c r="F1425" s="12"/>
      <c r="G1425" s="9"/>
      <c r="H1425" s="10"/>
      <c r="I1425" s="11">
        <f t="shared" si="1351"/>
        <v>0</v>
      </c>
      <c r="J1425" s="11">
        <f t="shared" si="1352"/>
        <v>0</v>
      </c>
      <c r="K1425" s="63"/>
      <c r="L1425" s="82"/>
      <c r="M1425" s="25" t="s">
        <v>9</v>
      </c>
      <c r="N1425" s="8"/>
      <c r="O1425" s="9"/>
      <c r="P1425" s="52"/>
      <c r="Q1425" s="11">
        <f t="shared" ref="Q1425" si="1356">SUM(N1425:P1425)</f>
        <v>0</v>
      </c>
      <c r="R1425" s="12"/>
      <c r="S1425" s="9"/>
      <c r="T1425" s="10"/>
      <c r="U1425" s="11">
        <f t="shared" ref="U1425" si="1357">SUM(R1425:T1425)</f>
        <v>0</v>
      </c>
      <c r="V1425" s="11">
        <f t="shared" ref="V1425" si="1358">Q1425+U1425</f>
        <v>0</v>
      </c>
    </row>
    <row r="1426" spans="1:25" x14ac:dyDescent="0.15">
      <c r="A1426" s="25" t="s">
        <v>10</v>
      </c>
      <c r="B1426" s="8"/>
      <c r="C1426" s="9"/>
      <c r="D1426" s="52"/>
      <c r="E1426" s="11">
        <f t="shared" si="1350"/>
        <v>0</v>
      </c>
      <c r="F1426" s="12"/>
      <c r="G1426" s="9"/>
      <c r="H1426" s="10"/>
      <c r="I1426" s="11">
        <f t="shared" si="1351"/>
        <v>0</v>
      </c>
      <c r="J1426" s="11">
        <f t="shared" si="1352"/>
        <v>0</v>
      </c>
      <c r="K1426" s="63"/>
      <c r="L1426" s="82"/>
      <c r="M1426" s="25" t="s">
        <v>10</v>
      </c>
      <c r="N1426" s="8"/>
      <c r="O1426" s="9"/>
      <c r="P1426" s="52"/>
      <c r="Q1426" s="11">
        <f t="shared" si="1353"/>
        <v>0</v>
      </c>
      <c r="R1426" s="12"/>
      <c r="S1426" s="9"/>
      <c r="T1426" s="10"/>
      <c r="U1426" s="11">
        <f t="shared" si="1354"/>
        <v>0</v>
      </c>
      <c r="V1426" s="11">
        <f t="shared" si="1355"/>
        <v>0</v>
      </c>
    </row>
    <row r="1427" spans="1:25" x14ac:dyDescent="0.15">
      <c r="A1427" s="25" t="s">
        <v>11</v>
      </c>
      <c r="B1427" s="8"/>
      <c r="C1427" s="9"/>
      <c r="D1427" s="52"/>
      <c r="E1427" s="11">
        <f t="shared" si="1350"/>
        <v>0</v>
      </c>
      <c r="F1427" s="12"/>
      <c r="G1427" s="9"/>
      <c r="H1427" s="10"/>
      <c r="I1427" s="11">
        <f t="shared" si="1351"/>
        <v>0</v>
      </c>
      <c r="J1427" s="11">
        <f t="shared" si="1352"/>
        <v>0</v>
      </c>
      <c r="K1427" s="71"/>
      <c r="L1427" s="82"/>
      <c r="M1427" s="25" t="s">
        <v>11</v>
      </c>
      <c r="N1427" s="8"/>
      <c r="O1427" s="9"/>
      <c r="P1427" s="52"/>
      <c r="Q1427" s="11">
        <f t="shared" si="1353"/>
        <v>0</v>
      </c>
      <c r="R1427" s="12"/>
      <c r="S1427" s="9"/>
      <c r="T1427" s="10"/>
      <c r="U1427" s="11">
        <f t="shared" si="1354"/>
        <v>0</v>
      </c>
      <c r="V1427" s="11">
        <f t="shared" si="1355"/>
        <v>0</v>
      </c>
    </row>
    <row r="1428" spans="1:25" x14ac:dyDescent="0.15">
      <c r="A1428" s="25" t="s">
        <v>12</v>
      </c>
      <c r="B1428" s="8"/>
      <c r="C1428" s="9"/>
      <c r="D1428" s="52"/>
      <c r="E1428" s="11">
        <f t="shared" si="1350"/>
        <v>0</v>
      </c>
      <c r="F1428" s="12"/>
      <c r="G1428" s="9"/>
      <c r="H1428" s="10"/>
      <c r="I1428" s="11">
        <f t="shared" si="1351"/>
        <v>0</v>
      </c>
      <c r="J1428" s="11">
        <f t="shared" si="1352"/>
        <v>0</v>
      </c>
      <c r="K1428" s="63"/>
      <c r="L1428" s="82"/>
      <c r="M1428" s="25" t="s">
        <v>12</v>
      </c>
      <c r="N1428" s="8"/>
      <c r="O1428" s="9"/>
      <c r="P1428" s="52"/>
      <c r="Q1428" s="11">
        <f t="shared" si="1353"/>
        <v>0</v>
      </c>
      <c r="R1428" s="12"/>
      <c r="S1428" s="9"/>
      <c r="T1428" s="10"/>
      <c r="U1428" s="11">
        <f t="shared" si="1354"/>
        <v>0</v>
      </c>
      <c r="V1428" s="11">
        <f t="shared" si="1355"/>
        <v>0</v>
      </c>
    </row>
    <row r="1429" spans="1:25" x14ac:dyDescent="0.15">
      <c r="A1429" s="25" t="s">
        <v>13</v>
      </c>
      <c r="B1429" s="8"/>
      <c r="C1429" s="9"/>
      <c r="D1429" s="52"/>
      <c r="E1429" s="11">
        <f t="shared" si="1350"/>
        <v>0</v>
      </c>
      <c r="F1429" s="12"/>
      <c r="G1429" s="9"/>
      <c r="H1429" s="10"/>
      <c r="I1429" s="11">
        <f t="shared" si="1351"/>
        <v>0</v>
      </c>
      <c r="J1429" s="11">
        <f t="shared" si="1352"/>
        <v>0</v>
      </c>
      <c r="K1429" s="63"/>
      <c r="L1429" s="82"/>
      <c r="M1429" s="25" t="s">
        <v>13</v>
      </c>
      <c r="N1429" s="8"/>
      <c r="O1429" s="9"/>
      <c r="P1429" s="52"/>
      <c r="Q1429" s="11">
        <f t="shared" si="1353"/>
        <v>0</v>
      </c>
      <c r="R1429" s="12"/>
      <c r="S1429" s="9"/>
      <c r="T1429" s="10"/>
      <c r="U1429" s="11">
        <f t="shared" si="1354"/>
        <v>0</v>
      </c>
      <c r="V1429" s="11">
        <f t="shared" si="1355"/>
        <v>0</v>
      </c>
    </row>
    <row r="1430" spans="1:25" x14ac:dyDescent="0.15">
      <c r="A1430" s="25" t="s">
        <v>14</v>
      </c>
      <c r="B1430" s="13"/>
      <c r="C1430" s="14"/>
      <c r="D1430" s="53"/>
      <c r="E1430" s="11">
        <f t="shared" si="1350"/>
        <v>0</v>
      </c>
      <c r="F1430" s="16"/>
      <c r="G1430" s="14"/>
      <c r="H1430" s="15"/>
      <c r="I1430" s="11">
        <f t="shared" si="1351"/>
        <v>0</v>
      </c>
      <c r="J1430" s="11">
        <f t="shared" si="1352"/>
        <v>0</v>
      </c>
      <c r="K1430" s="63"/>
      <c r="L1430" s="82"/>
      <c r="M1430" s="25" t="s">
        <v>14</v>
      </c>
      <c r="N1430" s="13"/>
      <c r="O1430" s="14"/>
      <c r="P1430" s="53"/>
      <c r="Q1430" s="11">
        <f t="shared" si="1353"/>
        <v>0</v>
      </c>
      <c r="R1430" s="16"/>
      <c r="S1430" s="14"/>
      <c r="T1430" s="15"/>
      <c r="U1430" s="11">
        <f t="shared" si="1354"/>
        <v>0</v>
      </c>
      <c r="V1430" s="11">
        <f t="shared" si="1355"/>
        <v>0</v>
      </c>
    </row>
    <row r="1431" spans="1:25" ht="14.25" thickBot="1" x14ac:dyDescent="0.2">
      <c r="A1431" s="25" t="s">
        <v>15</v>
      </c>
      <c r="B1431" s="13"/>
      <c r="C1431" s="14"/>
      <c r="D1431" s="53"/>
      <c r="E1431" s="11">
        <f t="shared" si="1350"/>
        <v>0</v>
      </c>
      <c r="F1431" s="16"/>
      <c r="G1431" s="14"/>
      <c r="H1431" s="15"/>
      <c r="I1431" s="11">
        <f t="shared" si="1351"/>
        <v>0</v>
      </c>
      <c r="J1431" s="11">
        <f t="shared" si="1352"/>
        <v>0</v>
      </c>
      <c r="M1431" s="25" t="s">
        <v>15</v>
      </c>
      <c r="N1431" s="13"/>
      <c r="O1431" s="14"/>
      <c r="P1431" s="53"/>
      <c r="Q1431" s="11">
        <f t="shared" si="1353"/>
        <v>0</v>
      </c>
      <c r="R1431" s="16"/>
      <c r="S1431" s="14"/>
      <c r="T1431" s="15"/>
      <c r="U1431" s="11">
        <f t="shared" si="1354"/>
        <v>0</v>
      </c>
      <c r="V1431" s="11">
        <f t="shared" si="1355"/>
        <v>0</v>
      </c>
    </row>
    <row r="1432" spans="1:25" ht="14.25" thickBot="1" x14ac:dyDescent="0.2">
      <c r="A1432" s="35" t="s">
        <v>16</v>
      </c>
      <c r="B1432" s="28">
        <f>SUM(B1423:B1431)</f>
        <v>0</v>
      </c>
      <c r="C1432" s="29">
        <f t="shared" ref="C1432:D1432" si="1359">SUM(C1423:C1431)</f>
        <v>0</v>
      </c>
      <c r="D1432" s="68">
        <f t="shared" si="1359"/>
        <v>19</v>
      </c>
      <c r="E1432" s="64">
        <f>SUM(B1432:D1432)</f>
        <v>19</v>
      </c>
      <c r="F1432" s="28">
        <f>SUM(F1423:F1431)</f>
        <v>0</v>
      </c>
      <c r="G1432" s="29">
        <f t="shared" ref="G1432:H1432" si="1360">SUM(G1423:G1431)</f>
        <v>16</v>
      </c>
      <c r="H1432" s="68">
        <f t="shared" si="1360"/>
        <v>18</v>
      </c>
      <c r="I1432" s="64">
        <f>SUM(F1432:H1432)</f>
        <v>34</v>
      </c>
      <c r="J1432" s="31">
        <f>SUM(J1424:J1431)</f>
        <v>10</v>
      </c>
      <c r="M1432" s="35" t="s">
        <v>16</v>
      </c>
      <c r="N1432" s="28">
        <f>SUM(N1423:N1431)</f>
        <v>0</v>
      </c>
      <c r="O1432" s="29">
        <f t="shared" ref="O1432:P1432" si="1361">SUM(O1423:O1431)</f>
        <v>0</v>
      </c>
      <c r="P1432" s="68">
        <f t="shared" si="1361"/>
        <v>308</v>
      </c>
      <c r="Q1432" s="64">
        <f>SUM(N1432:P1432)</f>
        <v>308</v>
      </c>
      <c r="R1432" s="28">
        <f>SUM(R1423:R1431)</f>
        <v>0</v>
      </c>
      <c r="S1432" s="29">
        <f t="shared" ref="S1432:T1432" si="1362">SUM(S1423:S1431)</f>
        <v>122</v>
      </c>
      <c r="T1432" s="68">
        <f t="shared" si="1362"/>
        <v>310</v>
      </c>
      <c r="U1432" s="64">
        <f>SUM(R1432:T1432)</f>
        <v>432</v>
      </c>
      <c r="V1432" s="31">
        <f>Q1432+U1432</f>
        <v>740</v>
      </c>
    </row>
    <row r="1433" spans="1:25" x14ac:dyDescent="0.15">
      <c r="A1433" s="26" t="s">
        <v>33</v>
      </c>
      <c r="B1433" s="8"/>
      <c r="C1433" s="9"/>
      <c r="D1433" s="10"/>
      <c r="E1433" s="49">
        <f t="shared" ref="E1433:E1459" si="1363">SUM(B1433:D1433)</f>
        <v>0</v>
      </c>
      <c r="F1433" s="12"/>
      <c r="G1433" s="9"/>
      <c r="H1433" s="10">
        <v>1</v>
      </c>
      <c r="I1433" s="49">
        <f t="shared" ref="I1433:I1459" si="1364">SUM(F1433:H1433)</f>
        <v>1</v>
      </c>
      <c r="J1433" s="11">
        <f t="shared" ref="J1433:J1458" si="1365">E1433+I1433</f>
        <v>1</v>
      </c>
      <c r="K1433" s="63">
        <v>45583</v>
      </c>
      <c r="M1433" s="25" t="s">
        <v>28</v>
      </c>
      <c r="N1433" s="8"/>
      <c r="O1433" s="9"/>
      <c r="P1433" s="10"/>
      <c r="Q1433" s="49">
        <f t="shared" ref="Q1433:Q1441" si="1366">SUM(N1433:P1433)</f>
        <v>0</v>
      </c>
      <c r="R1433" s="12"/>
      <c r="S1433" s="9"/>
      <c r="T1433" s="10">
        <v>10</v>
      </c>
      <c r="U1433" s="49">
        <f t="shared" ref="U1433:U1441" si="1367">SUM(R1433:T1433)</f>
        <v>10</v>
      </c>
      <c r="V1433" s="11">
        <f t="shared" ref="V1433:V1441" si="1368">Q1433+U1433</f>
        <v>10</v>
      </c>
      <c r="W1433" s="140">
        <v>45590</v>
      </c>
    </row>
    <row r="1434" spans="1:25" x14ac:dyDescent="0.15">
      <c r="A1434" s="26" t="s">
        <v>33</v>
      </c>
      <c r="B1434" s="8"/>
      <c r="C1434" s="9"/>
      <c r="D1434" s="10"/>
      <c r="E1434" s="49">
        <f t="shared" si="1363"/>
        <v>0</v>
      </c>
      <c r="F1434" s="12"/>
      <c r="G1434" s="9"/>
      <c r="H1434" s="10">
        <v>1</v>
      </c>
      <c r="I1434" s="49">
        <f t="shared" si="1364"/>
        <v>1</v>
      </c>
      <c r="J1434" s="11">
        <f t="shared" si="1365"/>
        <v>1</v>
      </c>
      <c r="K1434" s="63">
        <v>45589</v>
      </c>
      <c r="M1434" s="25" t="s">
        <v>28</v>
      </c>
      <c r="N1434" s="8"/>
      <c r="O1434" s="9"/>
      <c r="P1434" s="10">
        <v>5</v>
      </c>
      <c r="Q1434" s="49">
        <f t="shared" si="1366"/>
        <v>5</v>
      </c>
      <c r="R1434" s="12"/>
      <c r="S1434" s="9">
        <v>15</v>
      </c>
      <c r="T1434" s="10">
        <v>10</v>
      </c>
      <c r="U1434" s="49">
        <f t="shared" si="1367"/>
        <v>25</v>
      </c>
      <c r="V1434" s="11">
        <f t="shared" si="1368"/>
        <v>30</v>
      </c>
      <c r="W1434" s="140">
        <v>45726</v>
      </c>
      <c r="X1434" s="82"/>
      <c r="Y1434" s="82"/>
    </row>
    <row r="1435" spans="1:25" x14ac:dyDescent="0.15">
      <c r="A1435" s="26" t="s">
        <v>33</v>
      </c>
      <c r="B1435" s="8"/>
      <c r="C1435" s="9"/>
      <c r="D1435" s="10"/>
      <c r="E1435" s="49">
        <f t="shared" si="1363"/>
        <v>0</v>
      </c>
      <c r="F1435" s="12"/>
      <c r="G1435" s="9"/>
      <c r="H1435" s="10">
        <v>1</v>
      </c>
      <c r="I1435" s="49">
        <f t="shared" si="1364"/>
        <v>1</v>
      </c>
      <c r="J1435" s="11">
        <f t="shared" si="1365"/>
        <v>1</v>
      </c>
      <c r="K1435" s="63">
        <v>45596</v>
      </c>
      <c r="M1435" s="25" t="s">
        <v>28</v>
      </c>
      <c r="N1435" s="8"/>
      <c r="O1435" s="9"/>
      <c r="P1435" s="10">
        <v>10</v>
      </c>
      <c r="Q1435" s="49">
        <f t="shared" si="1366"/>
        <v>10</v>
      </c>
      <c r="R1435" s="12"/>
      <c r="S1435" s="9"/>
      <c r="T1435" s="10">
        <v>15</v>
      </c>
      <c r="U1435" s="49">
        <f t="shared" si="1367"/>
        <v>15</v>
      </c>
      <c r="V1435" s="11">
        <f t="shared" si="1368"/>
        <v>25</v>
      </c>
      <c r="W1435" s="140">
        <v>45762</v>
      </c>
      <c r="X1435" s="82"/>
      <c r="Y1435" s="82"/>
    </row>
    <row r="1436" spans="1:25" x14ac:dyDescent="0.15">
      <c r="A1436" s="26" t="s">
        <v>487</v>
      </c>
      <c r="B1436" s="8"/>
      <c r="C1436" s="9"/>
      <c r="D1436" s="10"/>
      <c r="E1436" s="49">
        <f t="shared" si="1363"/>
        <v>0</v>
      </c>
      <c r="F1436" s="12"/>
      <c r="G1436" s="9">
        <v>3</v>
      </c>
      <c r="H1436" s="10"/>
      <c r="I1436" s="49">
        <f t="shared" si="1364"/>
        <v>3</v>
      </c>
      <c r="J1436" s="11">
        <f t="shared" si="1365"/>
        <v>3</v>
      </c>
      <c r="K1436" s="63">
        <v>45598</v>
      </c>
      <c r="L1436" s="82"/>
      <c r="M1436" s="25" t="s">
        <v>28</v>
      </c>
      <c r="N1436" s="8"/>
      <c r="O1436" s="9"/>
      <c r="P1436" s="10"/>
      <c r="Q1436" s="49">
        <f t="shared" si="1366"/>
        <v>0</v>
      </c>
      <c r="R1436" s="12"/>
      <c r="S1436" s="9"/>
      <c r="T1436" s="10">
        <v>5</v>
      </c>
      <c r="U1436" s="49">
        <f t="shared" si="1367"/>
        <v>5</v>
      </c>
      <c r="V1436" s="11">
        <f t="shared" si="1368"/>
        <v>5</v>
      </c>
      <c r="W1436" s="140">
        <v>45769</v>
      </c>
      <c r="X1436" s="82"/>
      <c r="Y1436" s="82"/>
    </row>
    <row r="1437" spans="1:25" x14ac:dyDescent="0.15">
      <c r="A1437" s="26" t="s">
        <v>488</v>
      </c>
      <c r="B1437" s="8"/>
      <c r="C1437" s="9"/>
      <c r="D1437" s="10"/>
      <c r="E1437" s="49">
        <f t="shared" si="1363"/>
        <v>0</v>
      </c>
      <c r="F1437" s="12"/>
      <c r="G1437" s="9"/>
      <c r="H1437" s="10">
        <v>1</v>
      </c>
      <c r="I1437" s="49">
        <f t="shared" si="1364"/>
        <v>1</v>
      </c>
      <c r="J1437" s="11">
        <f t="shared" si="1365"/>
        <v>1</v>
      </c>
      <c r="K1437" s="63">
        <v>45603</v>
      </c>
      <c r="M1437" s="119" t="s">
        <v>505</v>
      </c>
      <c r="N1437" s="8"/>
      <c r="O1437" s="9"/>
      <c r="P1437" s="10"/>
      <c r="Q1437" s="49">
        <f t="shared" si="1366"/>
        <v>0</v>
      </c>
      <c r="R1437" s="12"/>
      <c r="S1437" s="9"/>
      <c r="T1437" s="10">
        <v>5</v>
      </c>
      <c r="U1437" s="49">
        <f t="shared" si="1367"/>
        <v>5</v>
      </c>
      <c r="V1437" s="11">
        <f t="shared" si="1368"/>
        <v>5</v>
      </c>
      <c r="W1437" s="140">
        <v>45777</v>
      </c>
      <c r="X1437" s="82"/>
      <c r="Y1437" s="82"/>
    </row>
    <row r="1438" spans="1:25" x14ac:dyDescent="0.15">
      <c r="A1438" s="26" t="s">
        <v>33</v>
      </c>
      <c r="B1438" s="8"/>
      <c r="C1438" s="9"/>
      <c r="D1438" s="10">
        <v>1</v>
      </c>
      <c r="E1438" s="49">
        <f t="shared" si="1363"/>
        <v>1</v>
      </c>
      <c r="F1438" s="12"/>
      <c r="G1438" s="9"/>
      <c r="H1438" s="10"/>
      <c r="I1438" s="49">
        <f t="shared" si="1364"/>
        <v>0</v>
      </c>
      <c r="J1438" s="11">
        <f t="shared" si="1365"/>
        <v>1</v>
      </c>
      <c r="K1438" s="63">
        <v>45610</v>
      </c>
      <c r="M1438" s="25" t="s">
        <v>28</v>
      </c>
      <c r="N1438" s="8"/>
      <c r="O1438" s="9"/>
      <c r="P1438" s="10"/>
      <c r="Q1438" s="49">
        <f t="shared" si="1366"/>
        <v>0</v>
      </c>
      <c r="R1438" s="12"/>
      <c r="S1438" s="9">
        <v>5</v>
      </c>
      <c r="T1438" s="10"/>
      <c r="U1438" s="49">
        <f t="shared" si="1367"/>
        <v>5</v>
      </c>
      <c r="V1438" s="11">
        <f t="shared" si="1368"/>
        <v>5</v>
      </c>
      <c r="W1438" s="140">
        <v>45785</v>
      </c>
      <c r="X1438" s="82"/>
      <c r="Y1438" s="82"/>
    </row>
    <row r="1439" spans="1:25" x14ac:dyDescent="0.15">
      <c r="A1439" s="26" t="s">
        <v>33</v>
      </c>
      <c r="B1439" s="8"/>
      <c r="C1439" s="9"/>
      <c r="D1439" s="10">
        <v>1</v>
      </c>
      <c r="E1439" s="49">
        <f t="shared" si="1363"/>
        <v>1</v>
      </c>
      <c r="F1439" s="12"/>
      <c r="G1439" s="9"/>
      <c r="H1439" s="10"/>
      <c r="I1439" s="49">
        <f t="shared" si="1364"/>
        <v>0</v>
      </c>
      <c r="J1439" s="11">
        <f t="shared" si="1365"/>
        <v>1</v>
      </c>
      <c r="K1439" s="63">
        <v>45612</v>
      </c>
      <c r="M1439" s="25" t="s">
        <v>28</v>
      </c>
      <c r="N1439" s="8"/>
      <c r="O1439" s="9"/>
      <c r="P1439" s="10"/>
      <c r="Q1439" s="49">
        <f t="shared" si="1366"/>
        <v>0</v>
      </c>
      <c r="R1439" s="12"/>
      <c r="S1439" s="9"/>
      <c r="T1439" s="10">
        <v>20</v>
      </c>
      <c r="U1439" s="49">
        <f t="shared" si="1367"/>
        <v>20</v>
      </c>
      <c r="V1439" s="11">
        <f t="shared" si="1368"/>
        <v>20</v>
      </c>
      <c r="W1439" s="140">
        <v>45793</v>
      </c>
      <c r="X1439" s="82"/>
      <c r="Y1439" s="82"/>
    </row>
    <row r="1440" spans="1:25" x14ac:dyDescent="0.15">
      <c r="A1440" s="26" t="s">
        <v>33</v>
      </c>
      <c r="B1440" s="8"/>
      <c r="C1440" s="9"/>
      <c r="D1440" s="10"/>
      <c r="E1440" s="49">
        <f t="shared" si="1363"/>
        <v>0</v>
      </c>
      <c r="F1440" s="12"/>
      <c r="G1440" s="9">
        <v>1</v>
      </c>
      <c r="H1440" s="10"/>
      <c r="I1440" s="49">
        <f t="shared" si="1364"/>
        <v>1</v>
      </c>
      <c r="J1440" s="11">
        <f t="shared" si="1365"/>
        <v>1</v>
      </c>
      <c r="K1440" s="63">
        <v>45621</v>
      </c>
      <c r="M1440" s="25" t="s">
        <v>28</v>
      </c>
      <c r="N1440" s="8"/>
      <c r="O1440" s="9"/>
      <c r="P1440" s="10"/>
      <c r="Q1440" s="49">
        <f t="shared" si="1366"/>
        <v>0</v>
      </c>
      <c r="R1440" s="12"/>
      <c r="S1440" s="9">
        <v>10</v>
      </c>
      <c r="T1440" s="10"/>
      <c r="U1440" s="49">
        <f t="shared" si="1367"/>
        <v>10</v>
      </c>
      <c r="V1440" s="11">
        <f t="shared" si="1368"/>
        <v>10</v>
      </c>
      <c r="W1440" s="140">
        <v>45796</v>
      </c>
      <c r="X1440" s="82"/>
      <c r="Y1440" s="82"/>
    </row>
    <row r="1441" spans="1:25" x14ac:dyDescent="0.15">
      <c r="A1441" s="26" t="s">
        <v>33</v>
      </c>
      <c r="B1441" s="8"/>
      <c r="C1441" s="9"/>
      <c r="D1441" s="10"/>
      <c r="E1441" s="49">
        <f t="shared" si="1363"/>
        <v>0</v>
      </c>
      <c r="F1441" s="12"/>
      <c r="G1441" s="9">
        <v>3</v>
      </c>
      <c r="H1441" s="10"/>
      <c r="I1441" s="49">
        <f t="shared" si="1364"/>
        <v>3</v>
      </c>
      <c r="J1441" s="11">
        <f t="shared" si="1365"/>
        <v>3</v>
      </c>
      <c r="K1441" s="63">
        <v>45622</v>
      </c>
      <c r="M1441" s="25" t="s">
        <v>28</v>
      </c>
      <c r="N1441" s="8"/>
      <c r="O1441" s="9"/>
      <c r="P1441" s="10"/>
      <c r="Q1441" s="49">
        <f t="shared" si="1366"/>
        <v>0</v>
      </c>
      <c r="R1441" s="12"/>
      <c r="S1441" s="9">
        <v>5</v>
      </c>
      <c r="T1441" s="10"/>
      <c r="U1441" s="49">
        <f t="shared" si="1367"/>
        <v>5</v>
      </c>
      <c r="V1441" s="11">
        <f t="shared" si="1368"/>
        <v>5</v>
      </c>
      <c r="W1441" s="140">
        <v>45803</v>
      </c>
      <c r="X1441" s="82"/>
      <c r="Y1441" s="82"/>
    </row>
    <row r="1442" spans="1:25" x14ac:dyDescent="0.15">
      <c r="A1442" s="26" t="s">
        <v>33</v>
      </c>
      <c r="B1442" s="8"/>
      <c r="C1442" s="9"/>
      <c r="D1442" s="10"/>
      <c r="E1442" s="49">
        <f t="shared" si="1363"/>
        <v>0</v>
      </c>
      <c r="F1442" s="12"/>
      <c r="G1442" s="9">
        <v>1</v>
      </c>
      <c r="H1442" s="10"/>
      <c r="I1442" s="49">
        <f t="shared" si="1364"/>
        <v>1</v>
      </c>
      <c r="J1442" s="11">
        <f t="shared" si="1365"/>
        <v>1</v>
      </c>
      <c r="K1442" s="63">
        <v>45632</v>
      </c>
      <c r="M1442" s="26"/>
      <c r="N1442" s="8"/>
      <c r="O1442" s="9"/>
      <c r="P1442" s="10"/>
      <c r="Q1442" s="49">
        <f t="shared" ref="Q1442:Q1459" si="1369">SUM(N1442:P1442)</f>
        <v>0</v>
      </c>
      <c r="R1442" s="12"/>
      <c r="S1442" s="9"/>
      <c r="T1442" s="10"/>
      <c r="U1442" s="49">
        <f t="shared" ref="U1442:U1459" si="1370">SUM(R1442:T1442)</f>
        <v>0</v>
      </c>
      <c r="V1442" s="11">
        <f t="shared" ref="V1442:V1458" si="1371">Q1442+U1442</f>
        <v>0</v>
      </c>
      <c r="W1442" s="142"/>
      <c r="X1442" s="82"/>
      <c r="Y1442" s="82"/>
    </row>
    <row r="1443" spans="1:25" x14ac:dyDescent="0.15">
      <c r="A1443" s="26" t="s">
        <v>33</v>
      </c>
      <c r="B1443" s="8"/>
      <c r="C1443" s="9"/>
      <c r="D1443" s="10">
        <v>1</v>
      </c>
      <c r="E1443" s="49">
        <f t="shared" si="1363"/>
        <v>1</v>
      </c>
      <c r="F1443" s="12"/>
      <c r="G1443" s="9"/>
      <c r="H1443" s="10">
        <v>2</v>
      </c>
      <c r="I1443" s="49">
        <f t="shared" si="1364"/>
        <v>2</v>
      </c>
      <c r="J1443" s="11">
        <f t="shared" si="1365"/>
        <v>3</v>
      </c>
      <c r="K1443" s="63">
        <v>45649</v>
      </c>
      <c r="M1443" s="26"/>
      <c r="N1443" s="8"/>
      <c r="O1443" s="9"/>
      <c r="P1443" s="10"/>
      <c r="Q1443" s="49">
        <f t="shared" si="1369"/>
        <v>0</v>
      </c>
      <c r="R1443" s="12"/>
      <c r="S1443" s="9"/>
      <c r="T1443" s="10"/>
      <c r="U1443" s="49">
        <f t="shared" si="1370"/>
        <v>0</v>
      </c>
      <c r="V1443" s="11">
        <f t="shared" si="1371"/>
        <v>0</v>
      </c>
      <c r="W1443" s="142"/>
    </row>
    <row r="1444" spans="1:25" x14ac:dyDescent="0.15">
      <c r="A1444" s="26" t="s">
        <v>33</v>
      </c>
      <c r="B1444" s="8"/>
      <c r="C1444" s="9"/>
      <c r="D1444" s="10"/>
      <c r="E1444" s="49">
        <f t="shared" si="1363"/>
        <v>0</v>
      </c>
      <c r="F1444" s="12"/>
      <c r="G1444" s="9"/>
      <c r="H1444" s="10">
        <v>1</v>
      </c>
      <c r="I1444" s="49">
        <f t="shared" si="1364"/>
        <v>1</v>
      </c>
      <c r="J1444" s="11">
        <f t="shared" si="1365"/>
        <v>1</v>
      </c>
      <c r="K1444" s="63">
        <v>45665</v>
      </c>
      <c r="M1444" s="26"/>
      <c r="N1444" s="8"/>
      <c r="O1444" s="9"/>
      <c r="P1444" s="10"/>
      <c r="Q1444" s="49">
        <f t="shared" si="1369"/>
        <v>0</v>
      </c>
      <c r="R1444" s="12"/>
      <c r="S1444" s="9"/>
      <c r="T1444" s="10"/>
      <c r="U1444" s="49">
        <f t="shared" si="1370"/>
        <v>0</v>
      </c>
      <c r="V1444" s="11">
        <f t="shared" si="1371"/>
        <v>0</v>
      </c>
    </row>
    <row r="1445" spans="1:25" x14ac:dyDescent="0.15">
      <c r="A1445" s="26" t="s">
        <v>424</v>
      </c>
      <c r="B1445" s="8"/>
      <c r="C1445" s="9"/>
      <c r="D1445" s="10"/>
      <c r="E1445" s="49">
        <f t="shared" si="1363"/>
        <v>0</v>
      </c>
      <c r="F1445" s="12"/>
      <c r="G1445" s="9"/>
      <c r="H1445" s="10">
        <v>2</v>
      </c>
      <c r="I1445" s="49">
        <f t="shared" si="1364"/>
        <v>2</v>
      </c>
      <c r="J1445" s="11">
        <f t="shared" si="1365"/>
        <v>2</v>
      </c>
      <c r="K1445" s="63">
        <v>45668</v>
      </c>
      <c r="L1445" s="82"/>
      <c r="M1445" s="26"/>
      <c r="N1445" s="8"/>
      <c r="O1445" s="9"/>
      <c r="P1445" s="10"/>
      <c r="Q1445" s="49">
        <f t="shared" si="1369"/>
        <v>0</v>
      </c>
      <c r="R1445" s="12"/>
      <c r="S1445" s="9"/>
      <c r="T1445" s="10"/>
      <c r="U1445" s="49">
        <f t="shared" si="1370"/>
        <v>0</v>
      </c>
      <c r="V1445" s="11">
        <f t="shared" si="1371"/>
        <v>0</v>
      </c>
    </row>
    <row r="1446" spans="1:25" x14ac:dyDescent="0.15">
      <c r="A1446" s="26" t="s">
        <v>33</v>
      </c>
      <c r="B1446" s="8"/>
      <c r="C1446" s="9"/>
      <c r="D1446" s="10">
        <v>2</v>
      </c>
      <c r="E1446" s="49">
        <f t="shared" si="1363"/>
        <v>2</v>
      </c>
      <c r="F1446" s="12"/>
      <c r="G1446" s="9"/>
      <c r="H1446" s="10"/>
      <c r="I1446" s="49">
        <f t="shared" si="1364"/>
        <v>0</v>
      </c>
      <c r="J1446" s="11">
        <f t="shared" si="1365"/>
        <v>2</v>
      </c>
      <c r="K1446" s="63">
        <v>45668</v>
      </c>
      <c r="M1446" s="26"/>
      <c r="N1446" s="8"/>
      <c r="O1446" s="9"/>
      <c r="P1446" s="10"/>
      <c r="Q1446" s="49">
        <f t="shared" si="1369"/>
        <v>0</v>
      </c>
      <c r="R1446" s="12"/>
      <c r="S1446" s="9"/>
      <c r="T1446" s="10"/>
      <c r="U1446" s="49">
        <f t="shared" si="1370"/>
        <v>0</v>
      </c>
      <c r="V1446" s="11">
        <f t="shared" si="1371"/>
        <v>0</v>
      </c>
    </row>
    <row r="1447" spans="1:25" x14ac:dyDescent="0.15">
      <c r="A1447" s="26" t="s">
        <v>33</v>
      </c>
      <c r="B1447" s="8"/>
      <c r="C1447" s="9"/>
      <c r="D1447" s="10"/>
      <c r="E1447" s="49">
        <f t="shared" si="1363"/>
        <v>0</v>
      </c>
      <c r="F1447" s="12"/>
      <c r="G1447" s="9">
        <v>1</v>
      </c>
      <c r="H1447" s="10"/>
      <c r="I1447" s="49">
        <f t="shared" si="1364"/>
        <v>1</v>
      </c>
      <c r="J1447" s="11">
        <f t="shared" si="1365"/>
        <v>1</v>
      </c>
      <c r="K1447" s="63">
        <v>45684</v>
      </c>
      <c r="L1447" s="82"/>
      <c r="M1447" s="26"/>
      <c r="N1447" s="8"/>
      <c r="O1447" s="9"/>
      <c r="P1447" s="10"/>
      <c r="Q1447" s="49">
        <f t="shared" si="1369"/>
        <v>0</v>
      </c>
      <c r="R1447" s="12"/>
      <c r="S1447" s="9"/>
      <c r="T1447" s="10"/>
      <c r="U1447" s="49">
        <f t="shared" si="1370"/>
        <v>0</v>
      </c>
      <c r="V1447" s="11">
        <f t="shared" si="1371"/>
        <v>0</v>
      </c>
    </row>
    <row r="1448" spans="1:25" x14ac:dyDescent="0.15">
      <c r="A1448" s="26" t="s">
        <v>33</v>
      </c>
      <c r="B1448" s="8"/>
      <c r="C1448" s="9"/>
      <c r="D1448" s="10"/>
      <c r="E1448" s="49">
        <f t="shared" si="1363"/>
        <v>0</v>
      </c>
      <c r="F1448" s="12"/>
      <c r="G1448" s="9">
        <v>2</v>
      </c>
      <c r="H1448" s="10"/>
      <c r="I1448" s="49">
        <f t="shared" si="1364"/>
        <v>2</v>
      </c>
      <c r="J1448" s="11">
        <f t="shared" si="1365"/>
        <v>2</v>
      </c>
      <c r="K1448" s="63">
        <v>45693</v>
      </c>
      <c r="L1448" s="82"/>
      <c r="M1448" s="26"/>
      <c r="N1448" s="8"/>
      <c r="O1448" s="9"/>
      <c r="P1448" s="10"/>
      <c r="Q1448" s="49">
        <f t="shared" si="1369"/>
        <v>0</v>
      </c>
      <c r="R1448" s="12"/>
      <c r="S1448" s="9"/>
      <c r="T1448" s="10"/>
      <c r="U1448" s="49">
        <f t="shared" si="1370"/>
        <v>0</v>
      </c>
      <c r="V1448" s="11">
        <f t="shared" si="1371"/>
        <v>0</v>
      </c>
    </row>
    <row r="1449" spans="1:25" x14ac:dyDescent="0.15">
      <c r="A1449" s="26" t="s">
        <v>33</v>
      </c>
      <c r="B1449" s="8"/>
      <c r="C1449" s="9"/>
      <c r="D1449" s="10"/>
      <c r="E1449" s="49">
        <f t="shared" si="1363"/>
        <v>0</v>
      </c>
      <c r="F1449" s="12"/>
      <c r="G1449" s="9"/>
      <c r="H1449" s="10">
        <v>1</v>
      </c>
      <c r="I1449" s="49">
        <f t="shared" si="1364"/>
        <v>1</v>
      </c>
      <c r="J1449" s="11">
        <f t="shared" si="1365"/>
        <v>1</v>
      </c>
      <c r="K1449" s="63">
        <v>45694</v>
      </c>
      <c r="L1449" s="82"/>
      <c r="M1449" s="26"/>
      <c r="N1449" s="8"/>
      <c r="O1449" s="9"/>
      <c r="P1449" s="10"/>
      <c r="Q1449" s="49">
        <f t="shared" si="1369"/>
        <v>0</v>
      </c>
      <c r="R1449" s="12"/>
      <c r="S1449" s="9"/>
      <c r="T1449" s="10"/>
      <c r="U1449" s="49">
        <f t="shared" si="1370"/>
        <v>0</v>
      </c>
      <c r="V1449" s="11">
        <f t="shared" si="1371"/>
        <v>0</v>
      </c>
    </row>
    <row r="1450" spans="1:25" x14ac:dyDescent="0.15">
      <c r="A1450" s="26" t="s">
        <v>33</v>
      </c>
      <c r="B1450" s="8"/>
      <c r="C1450" s="9"/>
      <c r="D1450" s="10"/>
      <c r="E1450" s="49">
        <f t="shared" si="1363"/>
        <v>0</v>
      </c>
      <c r="F1450" s="12"/>
      <c r="G1450" s="9"/>
      <c r="H1450" s="10">
        <v>1</v>
      </c>
      <c r="I1450" s="49">
        <f t="shared" si="1364"/>
        <v>1</v>
      </c>
      <c r="J1450" s="11">
        <f t="shared" si="1365"/>
        <v>1</v>
      </c>
      <c r="K1450" s="63">
        <v>45709</v>
      </c>
      <c r="L1450" s="82"/>
      <c r="M1450" s="26"/>
      <c r="N1450" s="8"/>
      <c r="O1450" s="9"/>
      <c r="P1450" s="10"/>
      <c r="Q1450" s="49">
        <f t="shared" si="1369"/>
        <v>0</v>
      </c>
      <c r="R1450" s="12"/>
      <c r="S1450" s="9"/>
      <c r="T1450" s="10"/>
      <c r="U1450" s="49">
        <f t="shared" si="1370"/>
        <v>0</v>
      </c>
      <c r="V1450" s="11">
        <f t="shared" si="1371"/>
        <v>0</v>
      </c>
    </row>
    <row r="1451" spans="1:25" x14ac:dyDescent="0.15">
      <c r="A1451" s="26"/>
      <c r="B1451" s="8"/>
      <c r="C1451" s="9"/>
      <c r="D1451" s="10"/>
      <c r="E1451" s="49">
        <f t="shared" si="1363"/>
        <v>0</v>
      </c>
      <c r="F1451" s="12"/>
      <c r="G1451" s="9"/>
      <c r="H1451" s="10"/>
      <c r="I1451" s="49">
        <f t="shared" si="1364"/>
        <v>0</v>
      </c>
      <c r="J1451" s="11">
        <f t="shared" si="1365"/>
        <v>0</v>
      </c>
      <c r="K1451" s="82"/>
      <c r="L1451" s="82"/>
      <c r="M1451" s="26"/>
      <c r="N1451" s="8"/>
      <c r="O1451" s="9"/>
      <c r="P1451" s="10"/>
      <c r="Q1451" s="49">
        <f t="shared" si="1369"/>
        <v>0</v>
      </c>
      <c r="R1451" s="12"/>
      <c r="S1451" s="9"/>
      <c r="T1451" s="10"/>
      <c r="U1451" s="49">
        <f t="shared" si="1370"/>
        <v>0</v>
      </c>
      <c r="V1451" s="11">
        <f t="shared" si="1371"/>
        <v>0</v>
      </c>
    </row>
    <row r="1452" spans="1:25" x14ac:dyDescent="0.15">
      <c r="A1452" s="26"/>
      <c r="B1452" s="8"/>
      <c r="C1452" s="9"/>
      <c r="D1452" s="10"/>
      <c r="E1452" s="49">
        <f t="shared" si="1363"/>
        <v>0</v>
      </c>
      <c r="F1452" s="12"/>
      <c r="G1452" s="9"/>
      <c r="H1452" s="10"/>
      <c r="I1452" s="49">
        <f t="shared" si="1364"/>
        <v>0</v>
      </c>
      <c r="J1452" s="11">
        <f t="shared" si="1365"/>
        <v>0</v>
      </c>
      <c r="K1452" s="82"/>
      <c r="L1452" s="82"/>
      <c r="M1452" s="26"/>
      <c r="N1452" s="8"/>
      <c r="O1452" s="9"/>
      <c r="P1452" s="10"/>
      <c r="Q1452" s="49">
        <f t="shared" si="1369"/>
        <v>0</v>
      </c>
      <c r="R1452" s="12"/>
      <c r="S1452" s="9"/>
      <c r="T1452" s="10"/>
      <c r="U1452" s="49">
        <f t="shared" si="1370"/>
        <v>0</v>
      </c>
      <c r="V1452" s="11">
        <f t="shared" si="1371"/>
        <v>0</v>
      </c>
    </row>
    <row r="1453" spans="1:25" x14ac:dyDescent="0.15">
      <c r="A1453" s="26"/>
      <c r="B1453" s="8"/>
      <c r="C1453" s="9"/>
      <c r="D1453" s="10"/>
      <c r="E1453" s="49">
        <f t="shared" si="1363"/>
        <v>0</v>
      </c>
      <c r="F1453" s="12"/>
      <c r="G1453" s="9"/>
      <c r="H1453" s="10"/>
      <c r="I1453" s="49">
        <f t="shared" si="1364"/>
        <v>0</v>
      </c>
      <c r="J1453" s="11">
        <f t="shared" si="1365"/>
        <v>0</v>
      </c>
      <c r="K1453" s="82"/>
      <c r="L1453" s="82"/>
      <c r="M1453" s="26"/>
      <c r="N1453" s="8"/>
      <c r="O1453" s="9"/>
      <c r="P1453" s="10"/>
      <c r="Q1453" s="49">
        <f t="shared" si="1369"/>
        <v>0</v>
      </c>
      <c r="R1453" s="12"/>
      <c r="S1453" s="9"/>
      <c r="T1453" s="10"/>
      <c r="U1453" s="49">
        <f t="shared" si="1370"/>
        <v>0</v>
      </c>
      <c r="V1453" s="11">
        <f t="shared" si="1371"/>
        <v>0</v>
      </c>
    </row>
    <row r="1454" spans="1:25" x14ac:dyDescent="0.15">
      <c r="A1454" s="26"/>
      <c r="B1454" s="8"/>
      <c r="C1454" s="9"/>
      <c r="D1454" s="10"/>
      <c r="E1454" s="49">
        <f t="shared" si="1363"/>
        <v>0</v>
      </c>
      <c r="F1454" s="12"/>
      <c r="G1454" s="9"/>
      <c r="H1454" s="10"/>
      <c r="I1454" s="49">
        <f t="shared" si="1364"/>
        <v>0</v>
      </c>
      <c r="J1454" s="11">
        <f t="shared" si="1365"/>
        <v>0</v>
      </c>
      <c r="K1454" s="82"/>
      <c r="M1454" s="26"/>
      <c r="N1454" s="8"/>
      <c r="O1454" s="9"/>
      <c r="P1454" s="10"/>
      <c r="Q1454" s="49">
        <f t="shared" si="1369"/>
        <v>0</v>
      </c>
      <c r="R1454" s="12"/>
      <c r="S1454" s="9"/>
      <c r="T1454" s="10"/>
      <c r="U1454" s="49">
        <f t="shared" si="1370"/>
        <v>0</v>
      </c>
      <c r="V1454" s="11">
        <f t="shared" si="1371"/>
        <v>0</v>
      </c>
    </row>
    <row r="1455" spans="1:25" x14ac:dyDescent="0.15">
      <c r="A1455" s="26"/>
      <c r="B1455" s="8"/>
      <c r="C1455" s="9"/>
      <c r="D1455" s="10"/>
      <c r="E1455" s="49">
        <f t="shared" si="1363"/>
        <v>0</v>
      </c>
      <c r="F1455" s="12"/>
      <c r="G1455" s="9"/>
      <c r="H1455" s="10"/>
      <c r="I1455" s="49">
        <f t="shared" si="1364"/>
        <v>0</v>
      </c>
      <c r="J1455" s="11">
        <f t="shared" si="1365"/>
        <v>0</v>
      </c>
      <c r="K1455" s="82"/>
      <c r="M1455" s="26"/>
      <c r="N1455" s="8"/>
      <c r="O1455" s="9"/>
      <c r="P1455" s="10"/>
      <c r="Q1455" s="49">
        <f t="shared" si="1369"/>
        <v>0</v>
      </c>
      <c r="R1455" s="12"/>
      <c r="S1455" s="9"/>
      <c r="T1455" s="10"/>
      <c r="U1455" s="49">
        <f t="shared" si="1370"/>
        <v>0</v>
      </c>
      <c r="V1455" s="11">
        <f t="shared" si="1371"/>
        <v>0</v>
      </c>
    </row>
    <row r="1456" spans="1:25" x14ac:dyDescent="0.15">
      <c r="A1456" s="26"/>
      <c r="B1456" s="8"/>
      <c r="C1456" s="9"/>
      <c r="D1456" s="10"/>
      <c r="E1456" s="49">
        <f t="shared" si="1363"/>
        <v>0</v>
      </c>
      <c r="F1456" s="12"/>
      <c r="G1456" s="9"/>
      <c r="H1456" s="10"/>
      <c r="I1456" s="49">
        <f t="shared" si="1364"/>
        <v>0</v>
      </c>
      <c r="J1456" s="11">
        <f t="shared" si="1365"/>
        <v>0</v>
      </c>
      <c r="K1456" s="82"/>
      <c r="M1456" s="26"/>
      <c r="N1456" s="8"/>
      <c r="O1456" s="9"/>
      <c r="P1456" s="10"/>
      <c r="Q1456" s="49">
        <f t="shared" si="1369"/>
        <v>0</v>
      </c>
      <c r="R1456" s="12"/>
      <c r="S1456" s="9"/>
      <c r="T1456" s="10"/>
      <c r="U1456" s="49">
        <f t="shared" si="1370"/>
        <v>0</v>
      </c>
      <c r="V1456" s="11">
        <f t="shared" si="1371"/>
        <v>0</v>
      </c>
    </row>
    <row r="1457" spans="1:24" x14ac:dyDescent="0.15">
      <c r="A1457" s="26"/>
      <c r="B1457" s="8"/>
      <c r="C1457" s="9"/>
      <c r="D1457" s="10"/>
      <c r="E1457" s="49">
        <f t="shared" si="1363"/>
        <v>0</v>
      </c>
      <c r="F1457" s="12"/>
      <c r="G1457" s="9"/>
      <c r="H1457" s="10"/>
      <c r="I1457" s="49">
        <f t="shared" si="1364"/>
        <v>0</v>
      </c>
      <c r="J1457" s="11">
        <f t="shared" si="1365"/>
        <v>0</v>
      </c>
      <c r="K1457" s="82"/>
      <c r="M1457" s="26"/>
      <c r="N1457" s="8"/>
      <c r="O1457" s="9"/>
      <c r="P1457" s="10"/>
      <c r="Q1457" s="49">
        <f t="shared" si="1369"/>
        <v>0</v>
      </c>
      <c r="R1457" s="12"/>
      <c r="S1457" s="9"/>
      <c r="T1457" s="10"/>
      <c r="U1457" s="49">
        <f t="shared" si="1370"/>
        <v>0</v>
      </c>
      <c r="V1457" s="11">
        <f t="shared" si="1371"/>
        <v>0</v>
      </c>
    </row>
    <row r="1458" spans="1:24" ht="14.25" thickBot="1" x14ac:dyDescent="0.2">
      <c r="A1458" s="26"/>
      <c r="B1458" s="8"/>
      <c r="C1458" s="9"/>
      <c r="D1458" s="10"/>
      <c r="E1458" s="49">
        <f t="shared" si="1363"/>
        <v>0</v>
      </c>
      <c r="F1458" s="12"/>
      <c r="G1458" s="9"/>
      <c r="H1458" s="10"/>
      <c r="I1458" s="49">
        <f t="shared" si="1364"/>
        <v>0</v>
      </c>
      <c r="J1458" s="11">
        <f t="shared" si="1365"/>
        <v>0</v>
      </c>
      <c r="K1458" s="82"/>
      <c r="M1458" s="26"/>
      <c r="N1458" s="8"/>
      <c r="O1458" s="9"/>
      <c r="P1458" s="10"/>
      <c r="Q1458" s="49">
        <f t="shared" si="1369"/>
        <v>0</v>
      </c>
      <c r="R1458" s="12"/>
      <c r="S1458" s="9"/>
      <c r="T1458" s="10"/>
      <c r="U1458" s="49">
        <f t="shared" si="1370"/>
        <v>0</v>
      </c>
      <c r="V1458" s="11">
        <f t="shared" si="1371"/>
        <v>0</v>
      </c>
    </row>
    <row r="1459" spans="1:24" ht="14.25" thickBot="1" x14ac:dyDescent="0.2">
      <c r="A1459" s="41" t="s">
        <v>19</v>
      </c>
      <c r="B1459" s="46">
        <f>SUM(B1433:B1458)</f>
        <v>0</v>
      </c>
      <c r="C1459" s="47">
        <f t="shared" ref="C1459:D1459" si="1372">SUM(C1433:C1458)</f>
        <v>0</v>
      </c>
      <c r="D1459" s="59">
        <f t="shared" si="1372"/>
        <v>5</v>
      </c>
      <c r="E1459" s="45">
        <f t="shared" si="1363"/>
        <v>5</v>
      </c>
      <c r="F1459" s="46">
        <f>SUM(F1433:F1458)</f>
        <v>0</v>
      </c>
      <c r="G1459" s="47">
        <f t="shared" ref="G1459:H1459" si="1373">SUM(G1433:G1458)</f>
        <v>11</v>
      </c>
      <c r="H1459" s="59">
        <f t="shared" si="1373"/>
        <v>11</v>
      </c>
      <c r="I1459" s="45">
        <f t="shared" si="1364"/>
        <v>22</v>
      </c>
      <c r="J1459" s="45">
        <f>E1459+I1459</f>
        <v>27</v>
      </c>
      <c r="M1459" s="41" t="s">
        <v>19</v>
      </c>
      <c r="N1459" s="46">
        <f>SUM(N1433:N1458)</f>
        <v>0</v>
      </c>
      <c r="O1459" s="47">
        <f t="shared" ref="O1459:P1459" si="1374">SUM(O1433:O1458)</f>
        <v>0</v>
      </c>
      <c r="P1459" s="59">
        <f t="shared" si="1374"/>
        <v>15</v>
      </c>
      <c r="Q1459" s="45">
        <f t="shared" si="1369"/>
        <v>15</v>
      </c>
      <c r="R1459" s="46">
        <f>SUM(R1433:R1458)</f>
        <v>0</v>
      </c>
      <c r="S1459" s="47">
        <f t="shared" ref="S1459:T1459" si="1375">SUM(S1433:S1458)</f>
        <v>35</v>
      </c>
      <c r="T1459" s="59">
        <f t="shared" si="1375"/>
        <v>65</v>
      </c>
      <c r="U1459" s="45">
        <f t="shared" si="1370"/>
        <v>100</v>
      </c>
      <c r="V1459" s="45">
        <f>Q1459+U1459</f>
        <v>115</v>
      </c>
    </row>
    <row r="1460" spans="1:24" ht="14.25" thickBot="1" x14ac:dyDescent="0.2">
      <c r="A1460" s="22" t="s">
        <v>17</v>
      </c>
      <c r="B1460" s="50">
        <f>B1432-B1459</f>
        <v>0</v>
      </c>
      <c r="C1460" s="57">
        <f t="shared" ref="C1460:D1460" si="1376">C1432-C1459</f>
        <v>0</v>
      </c>
      <c r="D1460" s="58">
        <f t="shared" si="1376"/>
        <v>14</v>
      </c>
      <c r="E1460" s="56">
        <f>SUM(B1460:D1460)</f>
        <v>14</v>
      </c>
      <c r="F1460" s="50">
        <f>F1432-F1459</f>
        <v>0</v>
      </c>
      <c r="G1460" s="57">
        <f t="shared" ref="G1460:H1460" si="1377">G1432-G1459</f>
        <v>5</v>
      </c>
      <c r="H1460" s="58">
        <f t="shared" si="1377"/>
        <v>7</v>
      </c>
      <c r="I1460" s="56">
        <f>SUM(F1460:H1460)</f>
        <v>12</v>
      </c>
      <c r="J1460" s="31">
        <f>E1460+I1460</f>
        <v>26</v>
      </c>
      <c r="M1460" s="22" t="s">
        <v>17</v>
      </c>
      <c r="N1460" s="50">
        <f>N1432-N1459</f>
        <v>0</v>
      </c>
      <c r="O1460" s="57">
        <f t="shared" ref="O1460:P1460" si="1378">O1432-O1459</f>
        <v>0</v>
      </c>
      <c r="P1460" s="58">
        <f t="shared" si="1378"/>
        <v>293</v>
      </c>
      <c r="Q1460" s="56">
        <f>SUM(N1460:P1460)</f>
        <v>293</v>
      </c>
      <c r="R1460" s="50">
        <f>R1432-R1459</f>
        <v>0</v>
      </c>
      <c r="S1460" s="57">
        <f t="shared" ref="S1460:T1460" si="1379">S1432-S1459</f>
        <v>87</v>
      </c>
      <c r="T1460" s="58">
        <f t="shared" si="1379"/>
        <v>245</v>
      </c>
      <c r="U1460" s="56">
        <f>SUM(R1460:T1460)</f>
        <v>332</v>
      </c>
      <c r="V1460" s="31">
        <f>Q1460+U1460</f>
        <v>625</v>
      </c>
    </row>
    <row r="1461" spans="1:24" ht="36" customHeight="1" x14ac:dyDescent="0.15">
      <c r="A1461" s="173" t="s">
        <v>484</v>
      </c>
      <c r="B1461" s="173"/>
      <c r="C1461" s="173"/>
      <c r="D1461" s="173"/>
      <c r="E1461" s="173"/>
      <c r="F1461" s="173"/>
      <c r="G1461" s="173"/>
      <c r="H1461" s="173"/>
      <c r="I1461" s="173"/>
      <c r="J1461" s="173"/>
      <c r="K1461" s="173"/>
      <c r="L1461" s="173"/>
      <c r="M1461" s="173"/>
      <c r="N1461" s="173"/>
      <c r="O1461" s="173"/>
      <c r="P1461" s="173"/>
      <c r="Q1461" s="173"/>
      <c r="R1461" s="173"/>
      <c r="S1461" s="173"/>
      <c r="T1461" s="173"/>
      <c r="U1461" s="173"/>
      <c r="V1461" s="173"/>
    </row>
    <row r="1462" spans="1:24" ht="36" customHeight="1" x14ac:dyDescent="0.15">
      <c r="A1462" s="173"/>
      <c r="B1462" s="173"/>
      <c r="C1462" s="173"/>
      <c r="D1462" s="173"/>
      <c r="E1462" s="173"/>
      <c r="F1462" s="173"/>
      <c r="G1462" s="173"/>
      <c r="H1462" s="173"/>
      <c r="I1462" s="173"/>
      <c r="J1462" s="173"/>
      <c r="K1462" s="173"/>
      <c r="L1462" s="173"/>
      <c r="M1462" s="173"/>
      <c r="N1462" s="173"/>
      <c r="O1462" s="173"/>
      <c r="P1462" s="173"/>
      <c r="Q1462" s="173"/>
      <c r="R1462" s="173"/>
      <c r="S1462" s="173"/>
      <c r="T1462" s="173"/>
      <c r="U1462" s="173"/>
      <c r="V1462" s="173"/>
    </row>
    <row r="1463" spans="1:24" ht="19.5" thickBot="1" x14ac:dyDescent="0.25">
      <c r="A1463" s="3" t="s">
        <v>21</v>
      </c>
      <c r="B1463" s="1"/>
      <c r="C1463" s="1"/>
      <c r="D1463" s="1"/>
      <c r="E1463" s="1"/>
      <c r="F1463" s="1"/>
      <c r="G1463" s="1"/>
      <c r="H1463" s="1" t="s">
        <v>498</v>
      </c>
      <c r="I1463" s="1"/>
      <c r="J1463" s="1"/>
      <c r="M1463" s="3" t="s">
        <v>22</v>
      </c>
      <c r="N1463" s="1"/>
      <c r="O1463" s="1"/>
      <c r="P1463" s="1"/>
      <c r="Q1463" s="1"/>
      <c r="R1463" s="1"/>
      <c r="S1463" s="1" t="s">
        <v>498</v>
      </c>
      <c r="T1463" s="1"/>
      <c r="U1463" s="1"/>
      <c r="V1463" s="1">
        <v>580</v>
      </c>
    </row>
    <row r="1464" spans="1:24" ht="14.25" thickBot="1" x14ac:dyDescent="0.2">
      <c r="A1464" s="7" t="s">
        <v>0</v>
      </c>
      <c r="B1464" s="165" t="s">
        <v>24</v>
      </c>
      <c r="C1464" s="166"/>
      <c r="D1464" s="166"/>
      <c r="E1464" s="170"/>
      <c r="F1464" s="165" t="s">
        <v>18</v>
      </c>
      <c r="G1464" s="166"/>
      <c r="H1464" s="166"/>
      <c r="I1464" s="167"/>
      <c r="J1464" s="168" t="s">
        <v>1</v>
      </c>
      <c r="M1464" s="7" t="s">
        <v>0</v>
      </c>
      <c r="N1464" s="165" t="s">
        <v>24</v>
      </c>
      <c r="O1464" s="166"/>
      <c r="P1464" s="166"/>
      <c r="Q1464" s="170"/>
      <c r="R1464" s="165" t="s">
        <v>18</v>
      </c>
      <c r="S1464" s="166"/>
      <c r="T1464" s="166"/>
      <c r="U1464" s="167"/>
      <c r="V1464" s="168" t="s">
        <v>1</v>
      </c>
    </row>
    <row r="1465" spans="1:24" ht="14.25" thickBot="1" x14ac:dyDescent="0.2">
      <c r="A1465" s="7" t="s">
        <v>2</v>
      </c>
      <c r="B1465" s="4" t="s">
        <v>3</v>
      </c>
      <c r="C1465" s="5" t="s">
        <v>4</v>
      </c>
      <c r="D1465" s="6" t="s">
        <v>5</v>
      </c>
      <c r="E1465" s="7" t="s">
        <v>6</v>
      </c>
      <c r="F1465" s="4" t="s">
        <v>3</v>
      </c>
      <c r="G1465" s="5" t="s">
        <v>4</v>
      </c>
      <c r="H1465" s="6" t="s">
        <v>5</v>
      </c>
      <c r="I1465" s="7" t="s">
        <v>6</v>
      </c>
      <c r="J1465" s="169"/>
      <c r="M1465" s="7" t="s">
        <v>2</v>
      </c>
      <c r="N1465" s="4" t="s">
        <v>3</v>
      </c>
      <c r="O1465" s="5" t="s">
        <v>4</v>
      </c>
      <c r="P1465" s="6" t="s">
        <v>5</v>
      </c>
      <c r="Q1465" s="7" t="s">
        <v>6</v>
      </c>
      <c r="R1465" s="4" t="s">
        <v>3</v>
      </c>
      <c r="S1465" s="5" t="s">
        <v>4</v>
      </c>
      <c r="T1465" s="6" t="s">
        <v>5</v>
      </c>
      <c r="U1465" s="7" t="s">
        <v>6</v>
      </c>
      <c r="V1465" s="169"/>
    </row>
    <row r="1466" spans="1:24" ht="14.25" thickBot="1" x14ac:dyDescent="0.2">
      <c r="A1466" s="27" t="s">
        <v>20</v>
      </c>
      <c r="B1466" s="28">
        <f>B1460</f>
        <v>0</v>
      </c>
      <c r="C1466" s="29">
        <f>C1460</f>
        <v>0</v>
      </c>
      <c r="D1466" s="30">
        <f>D1460</f>
        <v>14</v>
      </c>
      <c r="E1466" s="31">
        <f>SUM(B1466:D1466)</f>
        <v>14</v>
      </c>
      <c r="F1466" s="28">
        <f>F1460</f>
        <v>0</v>
      </c>
      <c r="G1466" s="29">
        <f>G1460</f>
        <v>5</v>
      </c>
      <c r="H1466" s="30">
        <f>H1460</f>
        <v>7</v>
      </c>
      <c r="I1466" s="31">
        <f>SUM(F1466:H1466)</f>
        <v>12</v>
      </c>
      <c r="J1466" s="31">
        <f>E1466+I1466</f>
        <v>26</v>
      </c>
      <c r="M1466" s="27" t="s">
        <v>20</v>
      </c>
      <c r="N1466" s="28">
        <f>N1460</f>
        <v>0</v>
      </c>
      <c r="O1466" s="29">
        <f>O1460</f>
        <v>0</v>
      </c>
      <c r="P1466" s="30">
        <f>P1460</f>
        <v>293</v>
      </c>
      <c r="Q1466" s="31">
        <f>SUM(N1466:P1466)</f>
        <v>293</v>
      </c>
      <c r="R1466" s="28">
        <f>R1460</f>
        <v>0</v>
      </c>
      <c r="S1466" s="29">
        <f>S1460</f>
        <v>87</v>
      </c>
      <c r="T1466" s="30">
        <f>T1460</f>
        <v>245</v>
      </c>
      <c r="U1466" s="31">
        <f>SUM(R1466:T1466)</f>
        <v>332</v>
      </c>
      <c r="V1466" s="31">
        <f>Q1466+U1466</f>
        <v>625</v>
      </c>
    </row>
    <row r="1467" spans="1:24" x14ac:dyDescent="0.15">
      <c r="A1467" s="25" t="s">
        <v>8</v>
      </c>
      <c r="B1467" s="17"/>
      <c r="C1467" s="18"/>
      <c r="D1467" s="51">
        <v>5</v>
      </c>
      <c r="E1467" s="49">
        <f t="shared" ref="E1467:E1474" si="1380">SUM(B1467:D1467)</f>
        <v>5</v>
      </c>
      <c r="F1467" s="20"/>
      <c r="G1467" s="18">
        <v>15</v>
      </c>
      <c r="H1467" s="19">
        <v>10</v>
      </c>
      <c r="I1467" s="49">
        <f t="shared" ref="I1467:I1474" si="1381">SUM(F1467:H1467)</f>
        <v>25</v>
      </c>
      <c r="J1467" s="49">
        <f t="shared" ref="J1467:J1474" si="1382">E1467+I1467</f>
        <v>30</v>
      </c>
      <c r="K1467" s="63">
        <v>45726</v>
      </c>
      <c r="M1467" s="25" t="s">
        <v>8</v>
      </c>
      <c r="N1467" s="17"/>
      <c r="O1467" s="18"/>
      <c r="P1467" s="51"/>
      <c r="Q1467" s="49">
        <f t="shared" ref="Q1467:Q1474" si="1383">SUM(N1467:P1467)</f>
        <v>0</v>
      </c>
      <c r="R1467" s="20"/>
      <c r="S1467" s="18"/>
      <c r="T1467" s="19"/>
      <c r="U1467" s="49">
        <f t="shared" ref="U1467:U1474" si="1384">SUM(R1467:T1467)</f>
        <v>0</v>
      </c>
      <c r="V1467" s="49">
        <f t="shared" ref="V1467:V1474" si="1385">Q1467+U1467</f>
        <v>0</v>
      </c>
    </row>
    <row r="1468" spans="1:24" x14ac:dyDescent="0.15">
      <c r="A1468" s="25" t="s">
        <v>9</v>
      </c>
      <c r="B1468" s="8">
        <v>20</v>
      </c>
      <c r="C1468" s="9">
        <v>20</v>
      </c>
      <c r="D1468" s="52"/>
      <c r="E1468" s="11">
        <f t="shared" si="1380"/>
        <v>40</v>
      </c>
      <c r="F1468" s="12">
        <v>20</v>
      </c>
      <c r="G1468" s="9"/>
      <c r="H1468" s="10"/>
      <c r="I1468" s="11">
        <f t="shared" si="1381"/>
        <v>20</v>
      </c>
      <c r="J1468" s="11">
        <f t="shared" si="1382"/>
        <v>60</v>
      </c>
      <c r="K1468" s="63">
        <v>45727</v>
      </c>
      <c r="L1468" s="82"/>
      <c r="M1468" s="25" t="s">
        <v>9</v>
      </c>
      <c r="N1468" s="8">
        <v>520</v>
      </c>
      <c r="O1468" s="9">
        <v>580</v>
      </c>
      <c r="P1468" s="52">
        <v>0</v>
      </c>
      <c r="Q1468" s="11">
        <f t="shared" si="1383"/>
        <v>1100</v>
      </c>
      <c r="R1468" s="12">
        <v>500</v>
      </c>
      <c r="S1468" s="9">
        <v>400</v>
      </c>
      <c r="T1468" s="10">
        <v>0</v>
      </c>
      <c r="U1468" s="11">
        <f t="shared" si="1384"/>
        <v>900</v>
      </c>
      <c r="V1468" s="11">
        <f t="shared" si="1385"/>
        <v>2000</v>
      </c>
      <c r="W1468" s="140" t="s">
        <v>497</v>
      </c>
      <c r="X1468" s="82"/>
    </row>
    <row r="1469" spans="1:24" x14ac:dyDescent="0.15">
      <c r="A1469" s="25" t="s">
        <v>10</v>
      </c>
      <c r="B1469" s="8">
        <v>5</v>
      </c>
      <c r="C1469" s="9">
        <v>5</v>
      </c>
      <c r="D1469" s="52"/>
      <c r="E1469" s="11">
        <f t="shared" si="1380"/>
        <v>10</v>
      </c>
      <c r="F1469" s="12">
        <v>5</v>
      </c>
      <c r="G1469" s="9"/>
      <c r="H1469" s="10"/>
      <c r="I1469" s="11">
        <f t="shared" si="1381"/>
        <v>5</v>
      </c>
      <c r="J1469" s="11">
        <f t="shared" si="1382"/>
        <v>15</v>
      </c>
      <c r="K1469" s="63">
        <v>45742</v>
      </c>
      <c r="L1469" s="82"/>
      <c r="M1469" s="25" t="s">
        <v>313</v>
      </c>
      <c r="N1469" s="8">
        <v>-20</v>
      </c>
      <c r="O1469" s="9">
        <v>-30</v>
      </c>
      <c r="P1469" s="52"/>
      <c r="Q1469" s="11">
        <f t="shared" si="1383"/>
        <v>-50</v>
      </c>
      <c r="R1469" s="12">
        <v>-3</v>
      </c>
      <c r="S1469" s="9">
        <v>3</v>
      </c>
      <c r="T1469" s="10"/>
      <c r="U1469" s="11">
        <f t="shared" si="1384"/>
        <v>0</v>
      </c>
      <c r="V1469" s="11">
        <f t="shared" si="1385"/>
        <v>-50</v>
      </c>
      <c r="W1469" s="142" t="s">
        <v>490</v>
      </c>
      <c r="X1469" s="82"/>
    </row>
    <row r="1470" spans="1:24" x14ac:dyDescent="0.15">
      <c r="A1470" s="25" t="s">
        <v>11</v>
      </c>
      <c r="B1470" s="8">
        <v>5</v>
      </c>
      <c r="C1470" s="9"/>
      <c r="D1470" s="52"/>
      <c r="E1470" s="11">
        <f t="shared" si="1380"/>
        <v>5</v>
      </c>
      <c r="F1470" s="12">
        <v>5</v>
      </c>
      <c r="G1470" s="9"/>
      <c r="H1470" s="10"/>
      <c r="I1470" s="11">
        <f t="shared" si="1381"/>
        <v>5</v>
      </c>
      <c r="J1470" s="11">
        <f t="shared" si="1382"/>
        <v>10</v>
      </c>
      <c r="K1470" s="63">
        <v>45745</v>
      </c>
      <c r="L1470" s="82"/>
      <c r="M1470" s="25" t="s">
        <v>11</v>
      </c>
      <c r="N1470" s="8"/>
      <c r="O1470" s="9"/>
      <c r="P1470" s="52"/>
      <c r="Q1470" s="11">
        <f t="shared" si="1383"/>
        <v>0</v>
      </c>
      <c r="R1470" s="12"/>
      <c r="S1470" s="9"/>
      <c r="T1470" s="10"/>
      <c r="U1470" s="11">
        <f t="shared" si="1384"/>
        <v>0</v>
      </c>
      <c r="V1470" s="11">
        <f t="shared" si="1385"/>
        <v>0</v>
      </c>
      <c r="W1470" s="142"/>
      <c r="X1470" s="82"/>
    </row>
    <row r="1471" spans="1:24" x14ac:dyDescent="0.15">
      <c r="A1471" s="25" t="s">
        <v>12</v>
      </c>
      <c r="B1471" s="8">
        <v>5</v>
      </c>
      <c r="C1471" s="9">
        <v>5</v>
      </c>
      <c r="D1471" s="52"/>
      <c r="E1471" s="11">
        <f t="shared" si="1380"/>
        <v>10</v>
      </c>
      <c r="F1471" s="12">
        <v>10</v>
      </c>
      <c r="G1471" s="9"/>
      <c r="H1471" s="10">
        <v>1</v>
      </c>
      <c r="I1471" s="11">
        <f t="shared" si="1381"/>
        <v>11</v>
      </c>
      <c r="J1471" s="11">
        <f t="shared" si="1382"/>
        <v>21</v>
      </c>
      <c r="K1471" s="63">
        <v>45752</v>
      </c>
      <c r="L1471" s="82"/>
      <c r="M1471" s="25" t="s">
        <v>12</v>
      </c>
      <c r="N1471" s="8">
        <v>12</v>
      </c>
      <c r="O1471" s="9">
        <v>16</v>
      </c>
      <c r="P1471" s="52"/>
      <c r="Q1471" s="11">
        <f t="shared" ref="Q1471" si="1386">SUM(N1471:P1471)</f>
        <v>28</v>
      </c>
      <c r="R1471" s="12">
        <v>3</v>
      </c>
      <c r="S1471" s="9">
        <v>3</v>
      </c>
      <c r="T1471" s="10"/>
      <c r="U1471" s="11">
        <f t="shared" ref="U1471" si="1387">SUM(R1471:T1471)</f>
        <v>6</v>
      </c>
      <c r="V1471" s="11">
        <f t="shared" ref="V1471" si="1388">Q1471+U1471</f>
        <v>34</v>
      </c>
      <c r="W1471" s="140" t="s">
        <v>502</v>
      </c>
    </row>
    <row r="1472" spans="1:24" x14ac:dyDescent="0.15">
      <c r="A1472" s="25" t="s">
        <v>13</v>
      </c>
      <c r="B1472" s="8"/>
      <c r="C1472" s="9"/>
      <c r="D1472" s="52">
        <v>10</v>
      </c>
      <c r="E1472" s="11">
        <f t="shared" si="1380"/>
        <v>10</v>
      </c>
      <c r="F1472" s="12"/>
      <c r="G1472" s="9"/>
      <c r="H1472" s="10">
        <v>20</v>
      </c>
      <c r="I1472" s="11">
        <f t="shared" si="1381"/>
        <v>20</v>
      </c>
      <c r="J1472" s="11">
        <f t="shared" si="1382"/>
        <v>30</v>
      </c>
      <c r="K1472" s="63">
        <v>45762</v>
      </c>
      <c r="L1472" s="82"/>
      <c r="M1472" s="25" t="s">
        <v>13</v>
      </c>
      <c r="N1472" s="8"/>
      <c r="O1472" s="9"/>
      <c r="P1472" s="52"/>
      <c r="Q1472" s="11">
        <f t="shared" si="1383"/>
        <v>0</v>
      </c>
      <c r="R1472" s="12"/>
      <c r="S1472" s="9"/>
      <c r="T1472" s="10"/>
      <c r="U1472" s="11">
        <f t="shared" si="1384"/>
        <v>0</v>
      </c>
      <c r="V1472" s="11">
        <f t="shared" si="1385"/>
        <v>0</v>
      </c>
    </row>
    <row r="1473" spans="1:24" x14ac:dyDescent="0.15">
      <c r="A1473" s="25" t="s">
        <v>204</v>
      </c>
      <c r="B1473" s="13">
        <v>-1</v>
      </c>
      <c r="C1473" s="14">
        <v>2</v>
      </c>
      <c r="D1473" s="53">
        <v>10</v>
      </c>
      <c r="E1473" s="11">
        <f t="shared" si="1380"/>
        <v>11</v>
      </c>
      <c r="F1473" s="16"/>
      <c r="G1473" s="14">
        <v>1</v>
      </c>
      <c r="H1473" s="15">
        <v>-9</v>
      </c>
      <c r="I1473" s="11">
        <f t="shared" si="1381"/>
        <v>-8</v>
      </c>
      <c r="J1473" s="11">
        <f t="shared" si="1382"/>
        <v>3</v>
      </c>
      <c r="K1473" s="63">
        <v>45792</v>
      </c>
      <c r="L1473" s="82"/>
      <c r="M1473" s="25" t="s">
        <v>14</v>
      </c>
      <c r="N1473" s="13"/>
      <c r="O1473" s="14"/>
      <c r="P1473" s="53"/>
      <c r="Q1473" s="11">
        <f t="shared" si="1383"/>
        <v>0</v>
      </c>
      <c r="R1473" s="16"/>
      <c r="S1473" s="14"/>
      <c r="T1473" s="15"/>
      <c r="U1473" s="11">
        <f t="shared" si="1384"/>
        <v>0</v>
      </c>
      <c r="V1473" s="11">
        <f t="shared" si="1385"/>
        <v>0</v>
      </c>
    </row>
    <row r="1474" spans="1:24" ht="14.25" thickBot="1" x14ac:dyDescent="0.2">
      <c r="A1474" s="25" t="s">
        <v>204</v>
      </c>
      <c r="B1474" s="13">
        <v>4</v>
      </c>
      <c r="C1474" s="14">
        <v>3</v>
      </c>
      <c r="D1474" s="53">
        <v>-8</v>
      </c>
      <c r="E1474" s="11">
        <f t="shared" si="1380"/>
        <v>-1</v>
      </c>
      <c r="F1474" s="16"/>
      <c r="G1474" s="14">
        <v>2</v>
      </c>
      <c r="H1474" s="15">
        <v>-8</v>
      </c>
      <c r="I1474" s="11">
        <f t="shared" si="1381"/>
        <v>-6</v>
      </c>
      <c r="J1474" s="11">
        <f t="shared" si="1382"/>
        <v>-7</v>
      </c>
      <c r="K1474" s="71">
        <v>45761</v>
      </c>
      <c r="M1474" s="25" t="s">
        <v>15</v>
      </c>
      <c r="N1474" s="13"/>
      <c r="O1474" s="14"/>
      <c r="P1474" s="53"/>
      <c r="Q1474" s="11">
        <f t="shared" si="1383"/>
        <v>0</v>
      </c>
      <c r="R1474" s="16"/>
      <c r="S1474" s="14"/>
      <c r="T1474" s="15"/>
      <c r="U1474" s="11">
        <f t="shared" si="1384"/>
        <v>0</v>
      </c>
      <c r="V1474" s="11">
        <f t="shared" si="1385"/>
        <v>0</v>
      </c>
    </row>
    <row r="1475" spans="1:24" ht="14.25" thickBot="1" x14ac:dyDescent="0.2">
      <c r="A1475" s="35" t="s">
        <v>16</v>
      </c>
      <c r="B1475" s="28">
        <f>SUM(B1466:B1474)</f>
        <v>38</v>
      </c>
      <c r="C1475" s="29">
        <f t="shared" ref="C1475:D1475" si="1389">SUM(C1466:C1474)</f>
        <v>35</v>
      </c>
      <c r="D1475" s="68">
        <f t="shared" si="1389"/>
        <v>31</v>
      </c>
      <c r="E1475" s="64">
        <f>SUM(B1475:D1475)</f>
        <v>104</v>
      </c>
      <c r="F1475" s="28">
        <f>SUM(F1466:F1474)</f>
        <v>40</v>
      </c>
      <c r="G1475" s="29">
        <f t="shared" ref="G1475:H1475" si="1390">SUM(G1466:G1474)</f>
        <v>23</v>
      </c>
      <c r="H1475" s="68">
        <f t="shared" si="1390"/>
        <v>21</v>
      </c>
      <c r="I1475" s="64">
        <f>SUM(F1475:H1475)</f>
        <v>84</v>
      </c>
      <c r="J1475" s="31">
        <f>E1475+I1475</f>
        <v>188</v>
      </c>
      <c r="M1475" s="35" t="s">
        <v>16</v>
      </c>
      <c r="N1475" s="28">
        <f>SUM(N1466:N1474)</f>
        <v>512</v>
      </c>
      <c r="O1475" s="29">
        <f t="shared" ref="O1475:P1475" si="1391">SUM(O1466:O1474)</f>
        <v>566</v>
      </c>
      <c r="P1475" s="68">
        <f t="shared" si="1391"/>
        <v>293</v>
      </c>
      <c r="Q1475" s="64">
        <f>SUM(N1475:P1475)</f>
        <v>1371</v>
      </c>
      <c r="R1475" s="28">
        <f>SUM(R1466:R1474)</f>
        <v>500</v>
      </c>
      <c r="S1475" s="29">
        <f t="shared" ref="S1475:T1475" si="1392">SUM(S1466:S1474)</f>
        <v>493</v>
      </c>
      <c r="T1475" s="68">
        <f t="shared" si="1392"/>
        <v>245</v>
      </c>
      <c r="U1475" s="64">
        <f>SUM(R1475:T1475)</f>
        <v>1238</v>
      </c>
      <c r="V1475" s="31">
        <f>Q1475+U1475</f>
        <v>2609</v>
      </c>
    </row>
    <row r="1476" spans="1:24" x14ac:dyDescent="0.15">
      <c r="A1476" s="26" t="s">
        <v>33</v>
      </c>
      <c r="B1476" s="8">
        <f>3+3+2</f>
        <v>8</v>
      </c>
      <c r="C1476" s="9">
        <f>3+5+3</f>
        <v>11</v>
      </c>
      <c r="D1476" s="10">
        <v>1</v>
      </c>
      <c r="E1476" s="49">
        <f t="shared" ref="E1476:E1502" si="1393">SUM(B1476:D1476)</f>
        <v>20</v>
      </c>
      <c r="F1476" s="12">
        <f>2+2+1</f>
        <v>5</v>
      </c>
      <c r="G1476" s="9">
        <v>1</v>
      </c>
      <c r="H1476" s="10">
        <v>1</v>
      </c>
      <c r="I1476" s="49">
        <f t="shared" ref="I1476:I1502" si="1394">SUM(F1476:H1476)</f>
        <v>7</v>
      </c>
      <c r="J1476" s="11">
        <f t="shared" ref="J1476:J1501" si="1395">E1476+I1476</f>
        <v>27</v>
      </c>
      <c r="K1476" s="63">
        <v>45727</v>
      </c>
      <c r="M1476" s="25" t="s">
        <v>28</v>
      </c>
      <c r="N1476" s="8">
        <v>20</v>
      </c>
      <c r="O1476" s="9">
        <v>20</v>
      </c>
      <c r="P1476" s="10"/>
      <c r="Q1476" s="49">
        <f t="shared" ref="Q1476" si="1396">SUM(N1476:P1476)</f>
        <v>40</v>
      </c>
      <c r="R1476" s="12">
        <v>20</v>
      </c>
      <c r="S1476" s="9"/>
      <c r="T1476" s="10"/>
      <c r="U1476" s="49">
        <f t="shared" ref="U1476" si="1397">SUM(R1476:T1476)</f>
        <v>20</v>
      </c>
      <c r="V1476" s="11">
        <f t="shared" ref="V1476" si="1398">Q1476+U1476</f>
        <v>60</v>
      </c>
      <c r="W1476" s="140">
        <v>45727</v>
      </c>
    </row>
    <row r="1477" spans="1:24" x14ac:dyDescent="0.15">
      <c r="A1477" s="26" t="s">
        <v>33</v>
      </c>
      <c r="B1477" s="8"/>
      <c r="C1477" s="9"/>
      <c r="D1477" s="10"/>
      <c r="E1477" s="49">
        <f t="shared" si="1393"/>
        <v>0</v>
      </c>
      <c r="F1477" s="12">
        <v>1</v>
      </c>
      <c r="G1477" s="9"/>
      <c r="H1477" s="10"/>
      <c r="I1477" s="49">
        <f t="shared" si="1394"/>
        <v>1</v>
      </c>
      <c r="J1477" s="11">
        <f t="shared" si="1395"/>
        <v>1</v>
      </c>
      <c r="K1477" s="63">
        <v>45731</v>
      </c>
      <c r="M1477" s="25" t="s">
        <v>28</v>
      </c>
      <c r="N1477" s="8">
        <v>5</v>
      </c>
      <c r="O1477" s="9">
        <v>5</v>
      </c>
      <c r="P1477" s="10"/>
      <c r="Q1477" s="49">
        <f>SUM(N1477:P1477)</f>
        <v>10</v>
      </c>
      <c r="R1477" s="12">
        <v>5</v>
      </c>
      <c r="S1477" s="9"/>
      <c r="T1477" s="10"/>
      <c r="U1477" s="49">
        <f>SUM(R1477:T1477)</f>
        <v>5</v>
      </c>
      <c r="V1477" s="11">
        <f>Q1477+U1477</f>
        <v>15</v>
      </c>
      <c r="W1477" s="140">
        <v>45742</v>
      </c>
    </row>
    <row r="1478" spans="1:24" x14ac:dyDescent="0.15">
      <c r="A1478" s="26" t="s">
        <v>33</v>
      </c>
      <c r="B1478" s="8">
        <v>2</v>
      </c>
      <c r="C1478" s="9"/>
      <c r="D1478" s="10"/>
      <c r="E1478" s="49">
        <f t="shared" si="1393"/>
        <v>2</v>
      </c>
      <c r="F1478" s="12">
        <v>1</v>
      </c>
      <c r="G1478" s="9"/>
      <c r="H1478" s="10"/>
      <c r="I1478" s="49">
        <f t="shared" si="1394"/>
        <v>1</v>
      </c>
      <c r="J1478" s="11">
        <f t="shared" si="1395"/>
        <v>3</v>
      </c>
      <c r="K1478" s="63">
        <v>45733</v>
      </c>
      <c r="M1478" s="25" t="s">
        <v>28</v>
      </c>
      <c r="N1478" s="8">
        <v>5</v>
      </c>
      <c r="O1478" s="9"/>
      <c r="P1478" s="10"/>
      <c r="Q1478" s="49">
        <f t="shared" ref="Q1478" si="1399">SUM(N1478:P1478)</f>
        <v>5</v>
      </c>
      <c r="R1478" s="12">
        <v>5</v>
      </c>
      <c r="S1478" s="9"/>
      <c r="T1478" s="10"/>
      <c r="U1478" s="49">
        <f t="shared" ref="U1478" si="1400">SUM(R1478:T1478)</f>
        <v>5</v>
      </c>
      <c r="V1478" s="11">
        <f t="shared" ref="V1478" si="1401">Q1478+U1478</f>
        <v>10</v>
      </c>
      <c r="W1478" s="140">
        <v>45745</v>
      </c>
    </row>
    <row r="1479" spans="1:24" x14ac:dyDescent="0.15">
      <c r="A1479" s="26" t="s">
        <v>33</v>
      </c>
      <c r="B1479" s="8"/>
      <c r="C1479" s="9"/>
      <c r="D1479" s="10"/>
      <c r="E1479" s="49">
        <f t="shared" si="1393"/>
        <v>0</v>
      </c>
      <c r="F1479" s="12">
        <v>2</v>
      </c>
      <c r="G1479" s="9"/>
      <c r="H1479" s="10"/>
      <c r="I1479" s="49">
        <f t="shared" si="1394"/>
        <v>2</v>
      </c>
      <c r="J1479" s="11">
        <f t="shared" si="1395"/>
        <v>2</v>
      </c>
      <c r="K1479" s="63">
        <v>45734</v>
      </c>
      <c r="L1479" s="82"/>
      <c r="M1479" s="26" t="s">
        <v>499</v>
      </c>
      <c r="N1479" s="8">
        <v>30</v>
      </c>
      <c r="O1479" s="9">
        <v>30</v>
      </c>
      <c r="P1479" s="10">
        <v>15</v>
      </c>
      <c r="Q1479" s="49">
        <f t="shared" ref="Q1479:Q1502" si="1402">SUM(N1479:P1479)</f>
        <v>75</v>
      </c>
      <c r="R1479" s="12">
        <v>20</v>
      </c>
      <c r="S1479" s="9">
        <v>20</v>
      </c>
      <c r="T1479" s="10">
        <v>15</v>
      </c>
      <c r="U1479" s="49">
        <f t="shared" ref="U1479:U1502" si="1403">SUM(R1479:T1479)</f>
        <v>55</v>
      </c>
      <c r="V1479" s="11">
        <f t="shared" ref="V1479:V1500" si="1404">Q1479+U1479</f>
        <v>130</v>
      </c>
      <c r="W1479" s="140">
        <v>45757</v>
      </c>
      <c r="X1479" s="82"/>
    </row>
    <row r="1480" spans="1:24" x14ac:dyDescent="0.15">
      <c r="A1480" s="26" t="s">
        <v>33</v>
      </c>
      <c r="B1480" s="8"/>
      <c r="C1480" s="9">
        <v>1</v>
      </c>
      <c r="D1480" s="10"/>
      <c r="E1480" s="49">
        <f t="shared" si="1393"/>
        <v>1</v>
      </c>
      <c r="F1480" s="12"/>
      <c r="G1480" s="9"/>
      <c r="H1480" s="10"/>
      <c r="I1480" s="49">
        <f t="shared" si="1394"/>
        <v>0</v>
      </c>
      <c r="J1480" s="11">
        <f t="shared" si="1395"/>
        <v>1</v>
      </c>
      <c r="K1480" s="63">
        <v>45737</v>
      </c>
      <c r="M1480" s="25" t="s">
        <v>28</v>
      </c>
      <c r="N1480" s="8">
        <v>5</v>
      </c>
      <c r="O1480" s="9">
        <v>5</v>
      </c>
      <c r="P1480" s="10"/>
      <c r="Q1480" s="49">
        <f t="shared" si="1402"/>
        <v>10</v>
      </c>
      <c r="R1480" s="12">
        <v>10</v>
      </c>
      <c r="S1480" s="9"/>
      <c r="T1480" s="10"/>
      <c r="U1480" s="49">
        <f t="shared" si="1403"/>
        <v>10</v>
      </c>
      <c r="V1480" s="11">
        <f t="shared" si="1404"/>
        <v>20</v>
      </c>
      <c r="W1480" s="140">
        <v>45752</v>
      </c>
      <c r="X1480" s="82"/>
    </row>
    <row r="1481" spans="1:24" x14ac:dyDescent="0.15">
      <c r="A1481" s="26" t="s">
        <v>33</v>
      </c>
      <c r="B1481" s="8">
        <f>2+2</f>
        <v>4</v>
      </c>
      <c r="C1481" s="9"/>
      <c r="D1481" s="10"/>
      <c r="E1481" s="49">
        <f t="shared" si="1393"/>
        <v>4</v>
      </c>
      <c r="F1481" s="12">
        <v>5</v>
      </c>
      <c r="G1481" s="9"/>
      <c r="H1481" s="10"/>
      <c r="I1481" s="49">
        <f t="shared" si="1394"/>
        <v>5</v>
      </c>
      <c r="J1481" s="11">
        <f t="shared" si="1395"/>
        <v>9</v>
      </c>
      <c r="K1481" s="63">
        <v>45740</v>
      </c>
      <c r="M1481" s="26" t="s">
        <v>503</v>
      </c>
      <c r="N1481" s="8">
        <v>20</v>
      </c>
      <c r="O1481" s="9"/>
      <c r="P1481" s="10">
        <v>35</v>
      </c>
      <c r="Q1481" s="49">
        <f t="shared" ref="Q1481" si="1405">SUM(N1481:P1481)</f>
        <v>55</v>
      </c>
      <c r="R1481" s="12">
        <v>20</v>
      </c>
      <c r="S1481" s="9">
        <v>20</v>
      </c>
      <c r="T1481" s="10">
        <v>10</v>
      </c>
      <c r="U1481" s="49">
        <f t="shared" ref="U1481" si="1406">SUM(R1481:T1481)</f>
        <v>50</v>
      </c>
      <c r="V1481" s="11">
        <f t="shared" ref="V1481" si="1407">Q1481+U1481</f>
        <v>105</v>
      </c>
      <c r="W1481" s="140">
        <v>45771</v>
      </c>
      <c r="X1481" s="82"/>
    </row>
    <row r="1482" spans="1:24" x14ac:dyDescent="0.15">
      <c r="A1482" s="26" t="s">
        <v>33</v>
      </c>
      <c r="B1482" s="8">
        <v>2</v>
      </c>
      <c r="C1482" s="9">
        <v>1</v>
      </c>
      <c r="D1482" s="10"/>
      <c r="E1482" s="49">
        <f t="shared" si="1393"/>
        <v>3</v>
      </c>
      <c r="F1482" s="12">
        <f>2+2</f>
        <v>4</v>
      </c>
      <c r="G1482" s="9">
        <v>1</v>
      </c>
      <c r="H1482" s="10"/>
      <c r="I1482" s="49">
        <f t="shared" si="1394"/>
        <v>5</v>
      </c>
      <c r="J1482" s="11">
        <f t="shared" si="1395"/>
        <v>8</v>
      </c>
      <c r="K1482" s="63">
        <v>45742</v>
      </c>
      <c r="M1482" s="26" t="s">
        <v>504</v>
      </c>
      <c r="N1482" s="8">
        <v>40</v>
      </c>
      <c r="O1482" s="9">
        <v>35</v>
      </c>
      <c r="P1482" s="10"/>
      <c r="Q1482" s="49">
        <f t="shared" si="1402"/>
        <v>75</v>
      </c>
      <c r="R1482" s="12">
        <v>30</v>
      </c>
      <c r="S1482" s="9">
        <v>30</v>
      </c>
      <c r="T1482" s="10">
        <v>25</v>
      </c>
      <c r="U1482" s="49">
        <f t="shared" si="1403"/>
        <v>85</v>
      </c>
      <c r="V1482" s="11">
        <f t="shared" si="1404"/>
        <v>160</v>
      </c>
      <c r="W1482" s="140">
        <v>45772</v>
      </c>
      <c r="X1482" s="82"/>
    </row>
    <row r="1483" spans="1:24" x14ac:dyDescent="0.15">
      <c r="A1483" s="26" t="s">
        <v>33</v>
      </c>
      <c r="B1483" s="8"/>
      <c r="C1483" s="9"/>
      <c r="D1483" s="10">
        <v>1</v>
      </c>
      <c r="E1483" s="49">
        <f t="shared" si="1393"/>
        <v>1</v>
      </c>
      <c r="F1483" s="12"/>
      <c r="G1483" s="9"/>
      <c r="H1483" s="10"/>
      <c r="I1483" s="49">
        <f t="shared" si="1394"/>
        <v>0</v>
      </c>
      <c r="J1483" s="11">
        <f t="shared" si="1395"/>
        <v>1</v>
      </c>
      <c r="K1483" s="63">
        <v>45743</v>
      </c>
      <c r="M1483" s="25" t="s">
        <v>28</v>
      </c>
      <c r="N1483" s="17">
        <v>10</v>
      </c>
      <c r="O1483" s="18">
        <v>5</v>
      </c>
      <c r="P1483" s="51"/>
      <c r="Q1483" s="49">
        <f t="shared" si="1402"/>
        <v>15</v>
      </c>
      <c r="R1483" s="20">
        <v>5</v>
      </c>
      <c r="S1483" s="18"/>
      <c r="T1483" s="19"/>
      <c r="U1483" s="49">
        <f t="shared" si="1403"/>
        <v>5</v>
      </c>
      <c r="V1483" s="49">
        <f t="shared" si="1404"/>
        <v>20</v>
      </c>
      <c r="W1483" s="140">
        <v>45777</v>
      </c>
    </row>
    <row r="1484" spans="1:24" x14ac:dyDescent="0.15">
      <c r="A1484" s="26" t="s">
        <v>33</v>
      </c>
      <c r="B1484" s="8">
        <v>1</v>
      </c>
      <c r="C1484" s="9">
        <v>1</v>
      </c>
      <c r="D1484" s="10"/>
      <c r="E1484" s="49">
        <f t="shared" si="1393"/>
        <v>2</v>
      </c>
      <c r="F1484" s="12">
        <v>1</v>
      </c>
      <c r="G1484" s="9">
        <v>1</v>
      </c>
      <c r="H1484" s="10"/>
      <c r="I1484" s="49">
        <f t="shared" si="1394"/>
        <v>2</v>
      </c>
      <c r="J1484" s="11">
        <f t="shared" si="1395"/>
        <v>4</v>
      </c>
      <c r="K1484" s="63">
        <v>45747</v>
      </c>
      <c r="M1484" s="25" t="s">
        <v>28</v>
      </c>
      <c r="N1484" s="8">
        <v>5</v>
      </c>
      <c r="O1484" s="9">
        <v>10</v>
      </c>
      <c r="P1484" s="10"/>
      <c r="Q1484" s="49">
        <f t="shared" si="1402"/>
        <v>15</v>
      </c>
      <c r="R1484" s="12">
        <v>5</v>
      </c>
      <c r="S1484" s="9"/>
      <c r="T1484" s="10"/>
      <c r="U1484" s="49">
        <f t="shared" si="1403"/>
        <v>5</v>
      </c>
      <c r="V1484" s="11">
        <f t="shared" si="1404"/>
        <v>20</v>
      </c>
      <c r="W1484" s="140">
        <v>45785</v>
      </c>
    </row>
    <row r="1485" spans="1:24" x14ac:dyDescent="0.15">
      <c r="A1485" s="26" t="s">
        <v>33</v>
      </c>
      <c r="B1485" s="8"/>
      <c r="C1485" s="9"/>
      <c r="D1485" s="10"/>
      <c r="E1485" s="49">
        <f t="shared" si="1393"/>
        <v>0</v>
      </c>
      <c r="F1485" s="12">
        <v>1</v>
      </c>
      <c r="G1485" s="9"/>
      <c r="H1485" s="10"/>
      <c r="I1485" s="49">
        <f t="shared" si="1394"/>
        <v>1</v>
      </c>
      <c r="J1485" s="11">
        <f t="shared" si="1395"/>
        <v>1</v>
      </c>
      <c r="K1485" s="63">
        <v>45748</v>
      </c>
      <c r="M1485" s="25" t="s">
        <v>28</v>
      </c>
      <c r="N1485" s="8">
        <v>10</v>
      </c>
      <c r="O1485" s="9"/>
      <c r="P1485" s="10"/>
      <c r="Q1485" s="49">
        <f t="shared" si="1402"/>
        <v>10</v>
      </c>
      <c r="R1485" s="12"/>
      <c r="S1485" s="9"/>
      <c r="T1485" s="10"/>
      <c r="U1485" s="49">
        <f t="shared" si="1403"/>
        <v>0</v>
      </c>
      <c r="V1485" s="11">
        <f t="shared" si="1404"/>
        <v>10</v>
      </c>
      <c r="W1485" s="140">
        <v>45792</v>
      </c>
    </row>
    <row r="1486" spans="1:24" x14ac:dyDescent="0.15">
      <c r="A1486" s="26" t="s">
        <v>33</v>
      </c>
      <c r="B1486" s="8"/>
      <c r="C1486" s="9"/>
      <c r="D1486" s="10"/>
      <c r="E1486" s="49">
        <f t="shared" si="1393"/>
        <v>0</v>
      </c>
      <c r="F1486" s="12">
        <v>1</v>
      </c>
      <c r="G1486" s="9"/>
      <c r="H1486" s="10"/>
      <c r="I1486" s="49">
        <f t="shared" si="1394"/>
        <v>1</v>
      </c>
      <c r="J1486" s="11">
        <f t="shared" si="1395"/>
        <v>1</v>
      </c>
      <c r="K1486" s="63">
        <v>45749</v>
      </c>
      <c r="M1486" s="25" t="s">
        <v>28</v>
      </c>
      <c r="N1486" s="8"/>
      <c r="O1486" s="9">
        <v>5</v>
      </c>
      <c r="P1486" s="10"/>
      <c r="Q1486" s="49">
        <f t="shared" si="1402"/>
        <v>5</v>
      </c>
      <c r="R1486" s="12">
        <v>10</v>
      </c>
      <c r="S1486" s="9"/>
      <c r="T1486" s="10"/>
      <c r="U1486" s="49">
        <f t="shared" si="1403"/>
        <v>10</v>
      </c>
      <c r="V1486" s="11">
        <f t="shared" si="1404"/>
        <v>15</v>
      </c>
      <c r="W1486" s="140">
        <v>45796</v>
      </c>
    </row>
    <row r="1487" spans="1:24" x14ac:dyDescent="0.15">
      <c r="A1487" s="26" t="s">
        <v>33</v>
      </c>
      <c r="B1487" s="8">
        <v>1</v>
      </c>
      <c r="C1487" s="9">
        <v>1</v>
      </c>
      <c r="D1487" s="10"/>
      <c r="E1487" s="49">
        <f t="shared" si="1393"/>
        <v>2</v>
      </c>
      <c r="F1487" s="12">
        <v>1</v>
      </c>
      <c r="G1487" s="9"/>
      <c r="H1487" s="10"/>
      <c r="I1487" s="49">
        <f t="shared" si="1394"/>
        <v>1</v>
      </c>
      <c r="J1487" s="11">
        <f t="shared" si="1395"/>
        <v>3</v>
      </c>
      <c r="K1487" s="63">
        <v>45749</v>
      </c>
      <c r="M1487" s="25" t="s">
        <v>28</v>
      </c>
      <c r="N1487" s="8">
        <v>5</v>
      </c>
      <c r="O1487" s="9">
        <v>5</v>
      </c>
      <c r="P1487" s="10"/>
      <c r="Q1487" s="49">
        <f t="shared" si="1402"/>
        <v>10</v>
      </c>
      <c r="R1487" s="12">
        <v>5</v>
      </c>
      <c r="S1487" s="9">
        <v>5</v>
      </c>
      <c r="T1487" s="10"/>
      <c r="U1487" s="49">
        <f t="shared" si="1403"/>
        <v>10</v>
      </c>
      <c r="V1487" s="11">
        <f t="shared" si="1404"/>
        <v>20</v>
      </c>
      <c r="W1487" s="140">
        <v>45803</v>
      </c>
    </row>
    <row r="1488" spans="1:24" x14ac:dyDescent="0.15">
      <c r="A1488" s="26" t="s">
        <v>33</v>
      </c>
      <c r="B1488" s="8">
        <v>1</v>
      </c>
      <c r="C1488" s="9"/>
      <c r="D1488" s="10"/>
      <c r="E1488" s="49">
        <f t="shared" si="1393"/>
        <v>1</v>
      </c>
      <c r="F1488" s="12">
        <v>1</v>
      </c>
      <c r="G1488" s="9"/>
      <c r="H1488" s="10"/>
      <c r="I1488" s="49">
        <f t="shared" si="1394"/>
        <v>1</v>
      </c>
      <c r="J1488" s="11">
        <f t="shared" si="1395"/>
        <v>2</v>
      </c>
      <c r="K1488" s="63">
        <v>45750</v>
      </c>
      <c r="L1488" s="82"/>
      <c r="M1488" s="25" t="s">
        <v>28</v>
      </c>
      <c r="N1488" s="8">
        <v>10</v>
      </c>
      <c r="O1488" s="9"/>
      <c r="P1488" s="10">
        <v>10</v>
      </c>
      <c r="Q1488" s="49">
        <f t="shared" si="1402"/>
        <v>20</v>
      </c>
      <c r="R1488" s="12">
        <v>10</v>
      </c>
      <c r="S1488" s="9"/>
      <c r="T1488" s="10">
        <v>5</v>
      </c>
      <c r="U1488" s="49">
        <f t="shared" si="1403"/>
        <v>15</v>
      </c>
      <c r="V1488" s="11">
        <f t="shared" si="1404"/>
        <v>35</v>
      </c>
      <c r="W1488" s="140">
        <v>45815</v>
      </c>
    </row>
    <row r="1489" spans="1:24" x14ac:dyDescent="0.15">
      <c r="A1489" s="26" t="s">
        <v>33</v>
      </c>
      <c r="B1489" s="8">
        <v>1</v>
      </c>
      <c r="C1489" s="9"/>
      <c r="D1489" s="10"/>
      <c r="E1489" s="49">
        <f t="shared" si="1393"/>
        <v>1</v>
      </c>
      <c r="F1489" s="12"/>
      <c r="G1489" s="9">
        <f>1+1</f>
        <v>2</v>
      </c>
      <c r="H1489" s="10">
        <v>1</v>
      </c>
      <c r="I1489" s="49">
        <f t="shared" si="1394"/>
        <v>3</v>
      </c>
      <c r="J1489" s="11">
        <f t="shared" si="1395"/>
        <v>4</v>
      </c>
      <c r="K1489" s="63">
        <v>45751</v>
      </c>
      <c r="M1489" s="25" t="s">
        <v>28</v>
      </c>
      <c r="N1489" s="8"/>
      <c r="O1489" s="9">
        <v>5</v>
      </c>
      <c r="P1489" s="10"/>
      <c r="Q1489" s="49">
        <f t="shared" si="1402"/>
        <v>5</v>
      </c>
      <c r="R1489" s="12"/>
      <c r="S1489" s="9"/>
      <c r="T1489" s="10"/>
      <c r="U1489" s="49">
        <f t="shared" si="1403"/>
        <v>0</v>
      </c>
      <c r="V1489" s="11">
        <f t="shared" si="1404"/>
        <v>5</v>
      </c>
      <c r="W1489" s="140">
        <v>45818</v>
      </c>
    </row>
    <row r="1490" spans="1:24" x14ac:dyDescent="0.15">
      <c r="A1490" s="26" t="s">
        <v>33</v>
      </c>
      <c r="B1490" s="8"/>
      <c r="C1490" s="9"/>
      <c r="D1490" s="10"/>
      <c r="E1490" s="49">
        <f t="shared" si="1393"/>
        <v>0</v>
      </c>
      <c r="F1490" s="12"/>
      <c r="G1490" s="9"/>
      <c r="H1490" s="10">
        <v>1</v>
      </c>
      <c r="I1490" s="49">
        <f t="shared" si="1394"/>
        <v>1</v>
      </c>
      <c r="J1490" s="11">
        <f t="shared" si="1395"/>
        <v>1</v>
      </c>
      <c r="K1490" s="63">
        <v>45752</v>
      </c>
      <c r="L1490" s="82"/>
      <c r="M1490" s="25" t="s">
        <v>28</v>
      </c>
      <c r="N1490" s="8">
        <v>5</v>
      </c>
      <c r="O1490" s="9"/>
      <c r="P1490" s="10"/>
      <c r="Q1490" s="49">
        <f t="shared" si="1402"/>
        <v>5</v>
      </c>
      <c r="R1490" s="12"/>
      <c r="S1490" s="9">
        <v>5</v>
      </c>
      <c r="T1490" s="10">
        <v>5</v>
      </c>
      <c r="U1490" s="49">
        <f t="shared" si="1403"/>
        <v>10</v>
      </c>
      <c r="V1490" s="11">
        <f t="shared" si="1404"/>
        <v>15</v>
      </c>
      <c r="W1490" s="140">
        <v>45821</v>
      </c>
      <c r="X1490" s="40"/>
    </row>
    <row r="1491" spans="1:24" x14ac:dyDescent="0.15">
      <c r="A1491" s="26" t="s">
        <v>33</v>
      </c>
      <c r="B1491" s="8"/>
      <c r="C1491" s="9"/>
      <c r="D1491" s="10"/>
      <c r="E1491" s="49">
        <f t="shared" si="1393"/>
        <v>0</v>
      </c>
      <c r="F1491" s="12"/>
      <c r="G1491" s="9">
        <v>1</v>
      </c>
      <c r="H1491" s="10">
        <v>4</v>
      </c>
      <c r="I1491" s="49">
        <f t="shared" si="1394"/>
        <v>5</v>
      </c>
      <c r="J1491" s="11">
        <f t="shared" si="1395"/>
        <v>5</v>
      </c>
      <c r="K1491" s="63">
        <v>45754</v>
      </c>
      <c r="L1491" s="82"/>
      <c r="M1491" s="25" t="s">
        <v>28</v>
      </c>
      <c r="N1491" s="8">
        <v>10</v>
      </c>
      <c r="O1491" s="9">
        <v>10</v>
      </c>
      <c r="P1491" s="10"/>
      <c r="Q1491" s="49">
        <f t="shared" si="1402"/>
        <v>20</v>
      </c>
      <c r="R1491" s="12">
        <v>10</v>
      </c>
      <c r="S1491" s="9">
        <v>10</v>
      </c>
      <c r="T1491" s="10"/>
      <c r="U1491" s="49">
        <f t="shared" si="1403"/>
        <v>20</v>
      </c>
      <c r="V1491" s="11">
        <f t="shared" si="1404"/>
        <v>40</v>
      </c>
      <c r="W1491" s="140">
        <v>45827</v>
      </c>
    </row>
    <row r="1492" spans="1:24" x14ac:dyDescent="0.15">
      <c r="A1492" s="26" t="s">
        <v>33</v>
      </c>
      <c r="B1492" s="8">
        <v>1</v>
      </c>
      <c r="C1492" s="9">
        <v>1</v>
      </c>
      <c r="D1492" s="10"/>
      <c r="E1492" s="49">
        <f t="shared" si="1393"/>
        <v>2</v>
      </c>
      <c r="F1492" s="12">
        <v>1</v>
      </c>
      <c r="G1492" s="9"/>
      <c r="H1492" s="10"/>
      <c r="I1492" s="49">
        <f t="shared" si="1394"/>
        <v>1</v>
      </c>
      <c r="J1492" s="11">
        <f t="shared" si="1395"/>
        <v>3</v>
      </c>
      <c r="K1492" s="63">
        <v>45755</v>
      </c>
      <c r="L1492" s="82"/>
      <c r="M1492" s="26"/>
      <c r="N1492" s="8"/>
      <c r="O1492" s="9"/>
      <c r="P1492" s="10"/>
      <c r="Q1492" s="49">
        <f t="shared" si="1402"/>
        <v>0</v>
      </c>
      <c r="R1492" s="12"/>
      <c r="S1492" s="9"/>
      <c r="T1492" s="10"/>
      <c r="U1492" s="49">
        <f t="shared" si="1403"/>
        <v>0</v>
      </c>
      <c r="V1492" s="11">
        <f t="shared" si="1404"/>
        <v>0</v>
      </c>
      <c r="W1492" s="142"/>
    </row>
    <row r="1493" spans="1:24" x14ac:dyDescent="0.15">
      <c r="A1493" s="26" t="s">
        <v>33</v>
      </c>
      <c r="B1493" s="8">
        <v>1</v>
      </c>
      <c r="C1493" s="9">
        <v>1</v>
      </c>
      <c r="D1493" s="10"/>
      <c r="E1493" s="49">
        <f t="shared" si="1393"/>
        <v>2</v>
      </c>
      <c r="F1493" s="12"/>
      <c r="G1493" s="9">
        <v>1</v>
      </c>
      <c r="H1493" s="10"/>
      <c r="I1493" s="49">
        <f t="shared" si="1394"/>
        <v>1</v>
      </c>
      <c r="J1493" s="11">
        <f t="shared" si="1395"/>
        <v>3</v>
      </c>
      <c r="K1493" s="63">
        <v>45756</v>
      </c>
      <c r="L1493" s="82"/>
      <c r="M1493" s="26"/>
      <c r="N1493" s="8"/>
      <c r="O1493" s="9"/>
      <c r="P1493" s="10"/>
      <c r="Q1493" s="49">
        <f t="shared" si="1402"/>
        <v>0</v>
      </c>
      <c r="R1493" s="12"/>
      <c r="S1493" s="9"/>
      <c r="T1493" s="10"/>
      <c r="U1493" s="49">
        <f t="shared" si="1403"/>
        <v>0</v>
      </c>
      <c r="V1493" s="11">
        <f t="shared" si="1404"/>
        <v>0</v>
      </c>
      <c r="W1493" s="142"/>
    </row>
    <row r="1494" spans="1:24" x14ac:dyDescent="0.15">
      <c r="A1494" s="26" t="s">
        <v>33</v>
      </c>
      <c r="B1494" s="8">
        <v>1</v>
      </c>
      <c r="C1494" s="9">
        <v>1</v>
      </c>
      <c r="D1494" s="10"/>
      <c r="E1494" s="49">
        <f t="shared" si="1393"/>
        <v>2</v>
      </c>
      <c r="F1494" s="12"/>
      <c r="G1494" s="9"/>
      <c r="H1494" s="10">
        <v>1</v>
      </c>
      <c r="I1494" s="49">
        <f t="shared" si="1394"/>
        <v>1</v>
      </c>
      <c r="J1494" s="11">
        <f t="shared" si="1395"/>
        <v>3</v>
      </c>
      <c r="K1494" s="63">
        <v>45757</v>
      </c>
      <c r="L1494" s="82"/>
      <c r="M1494" s="26"/>
      <c r="N1494" s="8"/>
      <c r="O1494" s="9"/>
      <c r="P1494" s="10"/>
      <c r="Q1494" s="49">
        <f t="shared" si="1402"/>
        <v>0</v>
      </c>
      <c r="R1494" s="12"/>
      <c r="S1494" s="9"/>
      <c r="T1494" s="10"/>
      <c r="U1494" s="49">
        <f t="shared" si="1403"/>
        <v>0</v>
      </c>
      <c r="V1494" s="11">
        <f t="shared" si="1404"/>
        <v>0</v>
      </c>
    </row>
    <row r="1495" spans="1:24" x14ac:dyDescent="0.15">
      <c r="A1495" s="26" t="s">
        <v>33</v>
      </c>
      <c r="B1495" s="8"/>
      <c r="C1495" s="9"/>
      <c r="D1495" s="10"/>
      <c r="E1495" s="49">
        <f t="shared" si="1393"/>
        <v>0</v>
      </c>
      <c r="F1495" s="12"/>
      <c r="G1495" s="9"/>
      <c r="H1495" s="10">
        <v>1</v>
      </c>
      <c r="I1495" s="49">
        <f t="shared" si="1394"/>
        <v>1</v>
      </c>
      <c r="J1495" s="11">
        <f t="shared" si="1395"/>
        <v>1</v>
      </c>
      <c r="K1495" s="63">
        <v>45758</v>
      </c>
      <c r="L1495" s="82"/>
      <c r="M1495" s="26"/>
      <c r="N1495" s="8"/>
      <c r="O1495" s="9"/>
      <c r="P1495" s="10"/>
      <c r="Q1495" s="49">
        <f t="shared" si="1402"/>
        <v>0</v>
      </c>
      <c r="R1495" s="12"/>
      <c r="S1495" s="9"/>
      <c r="T1495" s="10"/>
      <c r="U1495" s="49">
        <f t="shared" si="1403"/>
        <v>0</v>
      </c>
      <c r="V1495" s="11">
        <f t="shared" si="1404"/>
        <v>0</v>
      </c>
    </row>
    <row r="1496" spans="1:24" x14ac:dyDescent="0.15">
      <c r="A1496" s="26" t="s">
        <v>33</v>
      </c>
      <c r="B1496" s="8"/>
      <c r="C1496" s="9"/>
      <c r="D1496" s="10">
        <v>1</v>
      </c>
      <c r="E1496" s="49">
        <f t="shared" si="1393"/>
        <v>1</v>
      </c>
      <c r="F1496" s="12"/>
      <c r="G1496" s="9"/>
      <c r="H1496" s="10">
        <v>1</v>
      </c>
      <c r="I1496" s="49">
        <f t="shared" si="1394"/>
        <v>1</v>
      </c>
      <c r="J1496" s="11">
        <f t="shared" si="1395"/>
        <v>2</v>
      </c>
      <c r="K1496" s="63">
        <v>45761</v>
      </c>
      <c r="L1496" s="82"/>
      <c r="M1496" s="26"/>
      <c r="N1496" s="8"/>
      <c r="O1496" s="9"/>
      <c r="P1496" s="10"/>
      <c r="Q1496" s="49">
        <f t="shared" si="1402"/>
        <v>0</v>
      </c>
      <c r="R1496" s="12"/>
      <c r="S1496" s="9"/>
      <c r="T1496" s="10"/>
      <c r="U1496" s="49">
        <f t="shared" si="1403"/>
        <v>0</v>
      </c>
      <c r="V1496" s="11">
        <f t="shared" si="1404"/>
        <v>0</v>
      </c>
    </row>
    <row r="1497" spans="1:24" x14ac:dyDescent="0.15">
      <c r="A1497" s="26" t="s">
        <v>33</v>
      </c>
      <c r="B1497" s="8">
        <v>1</v>
      </c>
      <c r="C1497" s="9">
        <v>1</v>
      </c>
      <c r="D1497" s="10"/>
      <c r="E1497" s="49">
        <f t="shared" si="1393"/>
        <v>2</v>
      </c>
      <c r="F1497" s="12"/>
      <c r="G1497" s="9"/>
      <c r="H1497" s="10"/>
      <c r="I1497" s="49">
        <f t="shared" si="1394"/>
        <v>0</v>
      </c>
      <c r="J1497" s="11">
        <f t="shared" si="1395"/>
        <v>2</v>
      </c>
      <c r="K1497" s="63">
        <v>45762</v>
      </c>
      <c r="M1497" s="26"/>
      <c r="N1497" s="8"/>
      <c r="O1497" s="9"/>
      <c r="P1497" s="10"/>
      <c r="Q1497" s="49">
        <f t="shared" si="1402"/>
        <v>0</v>
      </c>
      <c r="R1497" s="12"/>
      <c r="S1497" s="9"/>
      <c r="T1497" s="10"/>
      <c r="U1497" s="49">
        <f t="shared" si="1403"/>
        <v>0</v>
      </c>
      <c r="V1497" s="11">
        <f t="shared" si="1404"/>
        <v>0</v>
      </c>
    </row>
    <row r="1498" spans="1:24" x14ac:dyDescent="0.15">
      <c r="A1498" s="26" t="s">
        <v>33</v>
      </c>
      <c r="B1498" s="8"/>
      <c r="C1498" s="9"/>
      <c r="D1498" s="10">
        <v>1</v>
      </c>
      <c r="E1498" s="49">
        <f t="shared" si="1393"/>
        <v>1</v>
      </c>
      <c r="F1498" s="12">
        <v>1</v>
      </c>
      <c r="G1498" s="9"/>
      <c r="H1498" s="10">
        <f>1+2</f>
        <v>3</v>
      </c>
      <c r="I1498" s="49">
        <f t="shared" si="1394"/>
        <v>4</v>
      </c>
      <c r="J1498" s="11">
        <f t="shared" si="1395"/>
        <v>5</v>
      </c>
      <c r="K1498" s="63">
        <v>45763</v>
      </c>
      <c r="M1498" s="26"/>
      <c r="N1498" s="8"/>
      <c r="O1498" s="9"/>
      <c r="P1498" s="10"/>
      <c r="Q1498" s="49">
        <f t="shared" ref="Q1498" si="1408">SUM(N1498:P1498)</f>
        <v>0</v>
      </c>
      <c r="R1498" s="12"/>
      <c r="S1498" s="9"/>
      <c r="T1498" s="10"/>
      <c r="U1498" s="49">
        <f t="shared" ref="U1498" si="1409">SUM(R1498:T1498)</f>
        <v>0</v>
      </c>
      <c r="V1498" s="11">
        <f t="shared" ref="V1498" si="1410">Q1498+U1498</f>
        <v>0</v>
      </c>
    </row>
    <row r="1499" spans="1:24" x14ac:dyDescent="0.15">
      <c r="A1499" s="26" t="s">
        <v>33</v>
      </c>
      <c r="B1499" s="8"/>
      <c r="C1499" s="9"/>
      <c r="D1499" s="10">
        <v>1</v>
      </c>
      <c r="E1499" s="49">
        <f>SUM(B1499:D1499)</f>
        <v>1</v>
      </c>
      <c r="F1499" s="12"/>
      <c r="G1499" s="9"/>
      <c r="H1499" s="10">
        <v>2</v>
      </c>
      <c r="I1499" s="49">
        <f t="shared" si="1394"/>
        <v>2</v>
      </c>
      <c r="J1499" s="11">
        <f t="shared" si="1395"/>
        <v>3</v>
      </c>
      <c r="K1499" s="63">
        <v>45765</v>
      </c>
      <c r="M1499" s="26"/>
      <c r="N1499" s="8"/>
      <c r="O1499" s="9"/>
      <c r="P1499" s="10"/>
      <c r="Q1499" s="49">
        <f t="shared" ref="Q1499" si="1411">SUM(N1499:P1499)</f>
        <v>0</v>
      </c>
      <c r="R1499" s="12"/>
      <c r="S1499" s="9"/>
      <c r="T1499" s="10"/>
      <c r="U1499" s="49">
        <f t="shared" ref="U1499" si="1412">SUM(R1499:T1499)</f>
        <v>0</v>
      </c>
      <c r="V1499" s="11">
        <f t="shared" ref="V1499" si="1413">Q1499+U1499</f>
        <v>0</v>
      </c>
    </row>
    <row r="1500" spans="1:24" x14ac:dyDescent="0.15">
      <c r="A1500" s="26" t="s">
        <v>33</v>
      </c>
      <c r="B1500" s="8">
        <f>3+1+2</f>
        <v>6</v>
      </c>
      <c r="C1500" s="9">
        <v>3</v>
      </c>
      <c r="D1500" s="10">
        <v>2</v>
      </c>
      <c r="E1500" s="49">
        <f t="shared" si="1393"/>
        <v>11</v>
      </c>
      <c r="F1500" s="12">
        <f>2+1+1</f>
        <v>4</v>
      </c>
      <c r="G1500" s="9">
        <v>2</v>
      </c>
      <c r="H1500" s="10">
        <f>2+3+1</f>
        <v>6</v>
      </c>
      <c r="I1500" s="49">
        <f t="shared" si="1394"/>
        <v>12</v>
      </c>
      <c r="J1500" s="11">
        <f t="shared" si="1395"/>
        <v>23</v>
      </c>
      <c r="K1500" s="63">
        <v>45768</v>
      </c>
      <c r="M1500" s="121" t="s">
        <v>496</v>
      </c>
      <c r="N1500" s="106"/>
      <c r="O1500" s="103"/>
      <c r="P1500" s="104"/>
      <c r="Q1500" s="122">
        <f t="shared" si="1402"/>
        <v>0</v>
      </c>
      <c r="R1500" s="107"/>
      <c r="S1500" s="103"/>
      <c r="T1500" s="104"/>
      <c r="U1500" s="122">
        <f t="shared" si="1403"/>
        <v>0</v>
      </c>
      <c r="V1500" s="123">
        <f t="shared" si="1404"/>
        <v>0</v>
      </c>
      <c r="W1500" s="142"/>
    </row>
    <row r="1501" spans="1:24" ht="14.25" thickBot="1" x14ac:dyDescent="0.2">
      <c r="A1501" s="26" t="s">
        <v>33</v>
      </c>
      <c r="B1501" s="8"/>
      <c r="C1501" s="9">
        <v>1</v>
      </c>
      <c r="D1501" s="10"/>
      <c r="E1501" s="49">
        <f t="shared" si="1393"/>
        <v>1</v>
      </c>
      <c r="F1501" s="12"/>
      <c r="G1501" s="9"/>
      <c r="H1501" s="10"/>
      <c r="I1501" s="49">
        <f t="shared" si="1394"/>
        <v>0</v>
      </c>
      <c r="J1501" s="11">
        <f t="shared" si="1395"/>
        <v>1</v>
      </c>
      <c r="K1501" s="63">
        <v>45770</v>
      </c>
      <c r="M1501" s="26" t="s">
        <v>489</v>
      </c>
      <c r="N1501" s="8"/>
      <c r="O1501" s="9"/>
      <c r="P1501" s="10"/>
      <c r="Q1501" s="49">
        <f t="shared" ref="Q1501" si="1414">SUM(N1501:P1501)</f>
        <v>0</v>
      </c>
      <c r="R1501" s="12"/>
      <c r="S1501" s="9"/>
      <c r="T1501" s="10"/>
      <c r="U1501" s="49">
        <f t="shared" ref="U1501" si="1415">SUM(R1501:T1501)</f>
        <v>0</v>
      </c>
      <c r="V1501" s="11">
        <f t="shared" ref="V1501" si="1416">Q1501+U1501</f>
        <v>0</v>
      </c>
      <c r="W1501" s="142" t="s">
        <v>491</v>
      </c>
    </row>
    <row r="1502" spans="1:24" ht="14.25" thickBot="1" x14ac:dyDescent="0.2">
      <c r="A1502" s="41" t="s">
        <v>19</v>
      </c>
      <c r="B1502" s="46">
        <f>SUM(B1476:B1501)</f>
        <v>30</v>
      </c>
      <c r="C1502" s="47">
        <f t="shared" ref="C1502:D1502" si="1417">SUM(C1476:C1501)</f>
        <v>23</v>
      </c>
      <c r="D1502" s="59">
        <f t="shared" si="1417"/>
        <v>7</v>
      </c>
      <c r="E1502" s="45">
        <f t="shared" si="1393"/>
        <v>60</v>
      </c>
      <c r="F1502" s="46">
        <f>SUM(F1476:F1501)</f>
        <v>29</v>
      </c>
      <c r="G1502" s="47">
        <f t="shared" ref="G1502:H1502" si="1418">SUM(G1476:G1501)</f>
        <v>9</v>
      </c>
      <c r="H1502" s="59">
        <f t="shared" si="1418"/>
        <v>21</v>
      </c>
      <c r="I1502" s="45">
        <f t="shared" si="1394"/>
        <v>59</v>
      </c>
      <c r="J1502" s="45">
        <f>E1502+I1502</f>
        <v>119</v>
      </c>
      <c r="M1502" s="41" t="s">
        <v>19</v>
      </c>
      <c r="N1502" s="46">
        <f>SUM(N1476:N1501)</f>
        <v>180</v>
      </c>
      <c r="O1502" s="47">
        <f t="shared" ref="O1502:P1502" si="1419">SUM(O1476:O1501)</f>
        <v>135</v>
      </c>
      <c r="P1502" s="59">
        <f t="shared" si="1419"/>
        <v>60</v>
      </c>
      <c r="Q1502" s="45">
        <f t="shared" si="1402"/>
        <v>375</v>
      </c>
      <c r="R1502" s="46">
        <f>SUM(R1476:R1501)</f>
        <v>155</v>
      </c>
      <c r="S1502" s="47">
        <f t="shared" ref="S1502:T1502" si="1420">SUM(S1476:S1501)</f>
        <v>90</v>
      </c>
      <c r="T1502" s="59">
        <f t="shared" si="1420"/>
        <v>60</v>
      </c>
      <c r="U1502" s="45">
        <f t="shared" si="1403"/>
        <v>305</v>
      </c>
      <c r="V1502" s="45">
        <f>Q1502+U1502</f>
        <v>680</v>
      </c>
    </row>
    <row r="1503" spans="1:24" ht="14.25" thickBot="1" x14ac:dyDescent="0.2">
      <c r="A1503" s="22" t="s">
        <v>17</v>
      </c>
      <c r="B1503" s="50">
        <f>B1475-B1502</f>
        <v>8</v>
      </c>
      <c r="C1503" s="57">
        <f t="shared" ref="C1503:D1503" si="1421">C1475-C1502</f>
        <v>12</v>
      </c>
      <c r="D1503" s="58">
        <f t="shared" si="1421"/>
        <v>24</v>
      </c>
      <c r="E1503" s="56">
        <f>SUM(B1503:D1503)</f>
        <v>44</v>
      </c>
      <c r="F1503" s="50">
        <f>F1475-F1502</f>
        <v>11</v>
      </c>
      <c r="G1503" s="57">
        <f t="shared" ref="G1503:H1503" si="1422">G1475-G1502</f>
        <v>14</v>
      </c>
      <c r="H1503" s="58">
        <f t="shared" si="1422"/>
        <v>0</v>
      </c>
      <c r="I1503" s="56">
        <f>SUM(F1503:H1503)</f>
        <v>25</v>
      </c>
      <c r="J1503" s="31">
        <f>E1503+I1503</f>
        <v>69</v>
      </c>
      <c r="M1503" s="22" t="s">
        <v>17</v>
      </c>
      <c r="N1503" s="50">
        <f>N1475-N1502</f>
        <v>332</v>
      </c>
      <c r="O1503" s="57">
        <f t="shared" ref="O1503:P1503" si="1423">O1475-O1502</f>
        <v>431</v>
      </c>
      <c r="P1503" s="58">
        <f t="shared" si="1423"/>
        <v>233</v>
      </c>
      <c r="Q1503" s="56">
        <f>SUM(N1503:P1503)</f>
        <v>996</v>
      </c>
      <c r="R1503" s="50">
        <f>R1475-R1502</f>
        <v>345</v>
      </c>
      <c r="S1503" s="57">
        <f t="shared" ref="S1503:T1503" si="1424">S1475-S1502</f>
        <v>403</v>
      </c>
      <c r="T1503" s="58">
        <f t="shared" si="1424"/>
        <v>185</v>
      </c>
      <c r="U1503" s="56">
        <f>SUM(R1503:T1503)</f>
        <v>933</v>
      </c>
      <c r="V1503" s="31">
        <f>Q1503+U1503</f>
        <v>1929</v>
      </c>
    </row>
    <row r="1506" spans="1:23" ht="19.5" thickBot="1" x14ac:dyDescent="0.25">
      <c r="A1506" s="3" t="s">
        <v>21</v>
      </c>
      <c r="B1506" s="1"/>
      <c r="C1506" s="1"/>
      <c r="D1506" s="1"/>
      <c r="E1506" s="1"/>
      <c r="F1506" s="1"/>
      <c r="G1506" s="1"/>
      <c r="H1506" s="1" t="s">
        <v>498</v>
      </c>
      <c r="I1506" s="1"/>
      <c r="J1506" s="1"/>
      <c r="M1506" s="3" t="s">
        <v>22</v>
      </c>
      <c r="N1506" s="1"/>
      <c r="O1506" s="1"/>
      <c r="P1506" s="1"/>
      <c r="Q1506" s="1"/>
      <c r="R1506" s="1"/>
      <c r="S1506" s="1" t="s">
        <v>498</v>
      </c>
      <c r="T1506" s="1"/>
      <c r="U1506" s="1"/>
      <c r="V1506" s="1">
        <v>580</v>
      </c>
    </row>
    <row r="1507" spans="1:23" ht="14.25" thickBot="1" x14ac:dyDescent="0.2">
      <c r="A1507" s="7" t="s">
        <v>0</v>
      </c>
      <c r="B1507" s="165" t="s">
        <v>24</v>
      </c>
      <c r="C1507" s="166"/>
      <c r="D1507" s="166"/>
      <c r="E1507" s="170"/>
      <c r="F1507" s="165" t="s">
        <v>18</v>
      </c>
      <c r="G1507" s="166"/>
      <c r="H1507" s="166"/>
      <c r="I1507" s="167"/>
      <c r="J1507" s="168" t="s">
        <v>1</v>
      </c>
      <c r="M1507" s="7" t="s">
        <v>0</v>
      </c>
      <c r="N1507" s="165" t="s">
        <v>24</v>
      </c>
      <c r="O1507" s="166"/>
      <c r="P1507" s="166"/>
      <c r="Q1507" s="170"/>
      <c r="R1507" s="165" t="s">
        <v>18</v>
      </c>
      <c r="S1507" s="166"/>
      <c r="T1507" s="166"/>
      <c r="U1507" s="167"/>
      <c r="V1507" s="168" t="s">
        <v>1</v>
      </c>
    </row>
    <row r="1508" spans="1:23" ht="14.25" thickBot="1" x14ac:dyDescent="0.2">
      <c r="A1508" s="7" t="s">
        <v>2</v>
      </c>
      <c r="B1508" s="4" t="s">
        <v>3</v>
      </c>
      <c r="C1508" s="5" t="s">
        <v>4</v>
      </c>
      <c r="D1508" s="6" t="s">
        <v>5</v>
      </c>
      <c r="E1508" s="7" t="s">
        <v>6</v>
      </c>
      <c r="F1508" s="4" t="s">
        <v>3</v>
      </c>
      <c r="G1508" s="5" t="s">
        <v>4</v>
      </c>
      <c r="H1508" s="6" t="s">
        <v>5</v>
      </c>
      <c r="I1508" s="7" t="s">
        <v>6</v>
      </c>
      <c r="J1508" s="169"/>
      <c r="M1508" s="7" t="s">
        <v>2</v>
      </c>
      <c r="N1508" s="4" t="s">
        <v>3</v>
      </c>
      <c r="O1508" s="5" t="s">
        <v>4</v>
      </c>
      <c r="P1508" s="6" t="s">
        <v>5</v>
      </c>
      <c r="Q1508" s="7" t="s">
        <v>6</v>
      </c>
      <c r="R1508" s="4" t="s">
        <v>3</v>
      </c>
      <c r="S1508" s="5" t="s">
        <v>4</v>
      </c>
      <c r="T1508" s="6" t="s">
        <v>5</v>
      </c>
      <c r="U1508" s="7" t="s">
        <v>6</v>
      </c>
      <c r="V1508" s="169"/>
    </row>
    <row r="1509" spans="1:23" ht="14.25" thickBot="1" x14ac:dyDescent="0.2">
      <c r="A1509" s="27" t="s">
        <v>20</v>
      </c>
      <c r="B1509" s="28">
        <f>B1503</f>
        <v>8</v>
      </c>
      <c r="C1509" s="29">
        <f>C1503</f>
        <v>12</v>
      </c>
      <c r="D1509" s="30">
        <f>D1503</f>
        <v>24</v>
      </c>
      <c r="E1509" s="31">
        <f>SUM(B1509:D1509)</f>
        <v>44</v>
      </c>
      <c r="F1509" s="28">
        <f>F1503</f>
        <v>11</v>
      </c>
      <c r="G1509" s="29">
        <f>G1503</f>
        <v>14</v>
      </c>
      <c r="H1509" s="30">
        <f>H1503</f>
        <v>0</v>
      </c>
      <c r="I1509" s="31">
        <f>SUM(F1509:H1509)</f>
        <v>25</v>
      </c>
      <c r="J1509" s="31">
        <f>E1509+I1509</f>
        <v>69</v>
      </c>
      <c r="M1509" s="27" t="s">
        <v>20</v>
      </c>
      <c r="N1509" s="28">
        <f>N1503</f>
        <v>332</v>
      </c>
      <c r="O1509" s="29">
        <f>O1503</f>
        <v>431</v>
      </c>
      <c r="P1509" s="30">
        <f>P1503</f>
        <v>233</v>
      </c>
      <c r="Q1509" s="31">
        <f>SUM(N1509:P1509)</f>
        <v>996</v>
      </c>
      <c r="R1509" s="28">
        <f>R1503</f>
        <v>345</v>
      </c>
      <c r="S1509" s="29">
        <f>S1503</f>
        <v>403</v>
      </c>
      <c r="T1509" s="30">
        <f>T1503</f>
        <v>185</v>
      </c>
      <c r="U1509" s="31">
        <f>SUM(R1509:T1509)</f>
        <v>933</v>
      </c>
      <c r="V1509" s="31">
        <f>Q1509+U1509</f>
        <v>1929</v>
      </c>
    </row>
    <row r="1510" spans="1:23" x14ac:dyDescent="0.15">
      <c r="A1510" s="25" t="s">
        <v>8</v>
      </c>
      <c r="B1510" s="17">
        <v>10</v>
      </c>
      <c r="C1510" s="18">
        <v>5</v>
      </c>
      <c r="D1510" s="51"/>
      <c r="E1510" s="49">
        <f t="shared" ref="E1510:E1517" si="1425">SUM(B1510:D1510)</f>
        <v>15</v>
      </c>
      <c r="F1510" s="20">
        <v>5</v>
      </c>
      <c r="G1510" s="18"/>
      <c r="H1510" s="19">
        <v>5</v>
      </c>
      <c r="I1510" s="49">
        <f t="shared" ref="I1510:I1517" si="1426">SUM(F1510:H1510)</f>
        <v>10</v>
      </c>
      <c r="J1510" s="49">
        <f t="shared" ref="J1510:J1517" si="1427">E1510+I1510</f>
        <v>25</v>
      </c>
      <c r="K1510" s="63">
        <v>45777</v>
      </c>
      <c r="M1510" s="25" t="s">
        <v>8</v>
      </c>
      <c r="N1510" s="17"/>
      <c r="O1510" s="18"/>
      <c r="P1510" s="51"/>
      <c r="Q1510" s="49">
        <f t="shared" ref="Q1510:Q1517" si="1428">SUM(N1510:P1510)</f>
        <v>0</v>
      </c>
      <c r="R1510" s="20"/>
      <c r="S1510" s="18"/>
      <c r="T1510" s="19"/>
      <c r="U1510" s="49">
        <f t="shared" ref="U1510:U1517" si="1429">SUM(R1510:T1510)</f>
        <v>0</v>
      </c>
      <c r="V1510" s="49">
        <f t="shared" ref="V1510:V1517" si="1430">Q1510+U1510</f>
        <v>0</v>
      </c>
      <c r="W1510" s="140"/>
    </row>
    <row r="1511" spans="1:23" x14ac:dyDescent="0.15">
      <c r="A1511" s="25" t="s">
        <v>9</v>
      </c>
      <c r="B1511" s="8">
        <v>5</v>
      </c>
      <c r="C1511" s="9">
        <v>10</v>
      </c>
      <c r="D1511" s="52"/>
      <c r="E1511" s="11">
        <f t="shared" si="1425"/>
        <v>15</v>
      </c>
      <c r="F1511" s="12">
        <v>5</v>
      </c>
      <c r="G1511" s="9">
        <v>5</v>
      </c>
      <c r="H1511" s="10"/>
      <c r="I1511" s="11">
        <f t="shared" si="1426"/>
        <v>10</v>
      </c>
      <c r="J1511" s="11">
        <f t="shared" si="1427"/>
        <v>25</v>
      </c>
      <c r="K1511" s="63">
        <v>45785</v>
      </c>
      <c r="L1511" s="82"/>
      <c r="M1511" s="25" t="s">
        <v>9</v>
      </c>
      <c r="N1511" s="8"/>
      <c r="O1511" s="9"/>
      <c r="P1511" s="52"/>
      <c r="Q1511" s="11">
        <f t="shared" si="1428"/>
        <v>0</v>
      </c>
      <c r="R1511" s="12"/>
      <c r="S1511" s="9"/>
      <c r="T1511" s="10"/>
      <c r="U1511" s="11">
        <f t="shared" si="1429"/>
        <v>0</v>
      </c>
      <c r="V1511" s="11">
        <f t="shared" si="1430"/>
        <v>0</v>
      </c>
      <c r="W1511" s="140"/>
    </row>
    <row r="1512" spans="1:23" x14ac:dyDescent="0.15">
      <c r="A1512" s="25" t="s">
        <v>10</v>
      </c>
      <c r="B1512" s="8">
        <v>10</v>
      </c>
      <c r="C1512" s="9"/>
      <c r="D1512" s="52"/>
      <c r="E1512" s="11">
        <f t="shared" si="1425"/>
        <v>10</v>
      </c>
      <c r="F1512" s="12"/>
      <c r="G1512" s="9"/>
      <c r="H1512" s="10"/>
      <c r="I1512" s="11">
        <f t="shared" si="1426"/>
        <v>0</v>
      </c>
      <c r="J1512" s="11">
        <f t="shared" si="1427"/>
        <v>10</v>
      </c>
      <c r="K1512" s="63">
        <v>45792</v>
      </c>
      <c r="L1512" s="82"/>
      <c r="M1512" s="25" t="s">
        <v>10</v>
      </c>
      <c r="N1512" s="8"/>
      <c r="O1512" s="9"/>
      <c r="P1512" s="52"/>
      <c r="Q1512" s="11">
        <f t="shared" si="1428"/>
        <v>0</v>
      </c>
      <c r="R1512" s="12"/>
      <c r="S1512" s="9"/>
      <c r="T1512" s="10"/>
      <c r="U1512" s="11">
        <f t="shared" si="1429"/>
        <v>0</v>
      </c>
      <c r="V1512" s="11">
        <f t="shared" si="1430"/>
        <v>0</v>
      </c>
      <c r="W1512" s="140"/>
    </row>
    <row r="1513" spans="1:23" x14ac:dyDescent="0.15">
      <c r="A1513" s="25" t="s">
        <v>11</v>
      </c>
      <c r="B1513" s="8"/>
      <c r="C1513" s="9"/>
      <c r="D1513" s="52"/>
      <c r="E1513" s="11">
        <f t="shared" si="1425"/>
        <v>0</v>
      </c>
      <c r="F1513" s="12"/>
      <c r="G1513" s="9"/>
      <c r="H1513" s="10">
        <v>20</v>
      </c>
      <c r="I1513" s="11">
        <f t="shared" si="1426"/>
        <v>20</v>
      </c>
      <c r="J1513" s="11">
        <f t="shared" si="1427"/>
        <v>20</v>
      </c>
      <c r="K1513" s="63">
        <v>45793</v>
      </c>
      <c r="L1513" s="82"/>
      <c r="M1513" s="25" t="s">
        <v>11</v>
      </c>
      <c r="N1513" s="8"/>
      <c r="O1513" s="9"/>
      <c r="P1513" s="52"/>
      <c r="Q1513" s="11">
        <f t="shared" ref="Q1513:Q1515" si="1431">SUM(N1513:P1513)</f>
        <v>0</v>
      </c>
      <c r="R1513" s="12"/>
      <c r="S1513" s="9"/>
      <c r="T1513" s="10"/>
      <c r="U1513" s="11">
        <f t="shared" ref="U1513:U1515" si="1432">SUM(R1513:T1513)</f>
        <v>0</v>
      </c>
      <c r="V1513" s="11">
        <f t="shared" ref="V1513:V1515" si="1433">Q1513+U1513</f>
        <v>0</v>
      </c>
      <c r="W1513" s="140"/>
    </row>
    <row r="1514" spans="1:23" x14ac:dyDescent="0.15">
      <c r="A1514" s="25" t="s">
        <v>12</v>
      </c>
      <c r="B1514" s="8"/>
      <c r="C1514" s="9">
        <v>5</v>
      </c>
      <c r="D1514" s="52"/>
      <c r="E1514" s="11">
        <f t="shared" si="1425"/>
        <v>5</v>
      </c>
      <c r="F1514" s="12">
        <v>10</v>
      </c>
      <c r="G1514" s="9">
        <v>10</v>
      </c>
      <c r="H1514" s="10"/>
      <c r="I1514" s="11">
        <f t="shared" si="1426"/>
        <v>20</v>
      </c>
      <c r="J1514" s="11">
        <f t="shared" si="1427"/>
        <v>25</v>
      </c>
      <c r="K1514" s="63">
        <v>45796</v>
      </c>
      <c r="L1514" s="82"/>
      <c r="M1514" s="25" t="s">
        <v>12</v>
      </c>
      <c r="N1514" s="8"/>
      <c r="O1514" s="9"/>
      <c r="P1514" s="52"/>
      <c r="Q1514" s="11">
        <f t="shared" si="1431"/>
        <v>0</v>
      </c>
      <c r="R1514" s="12"/>
      <c r="S1514" s="9"/>
      <c r="T1514" s="10"/>
      <c r="U1514" s="11">
        <f t="shared" si="1432"/>
        <v>0</v>
      </c>
      <c r="V1514" s="11">
        <f t="shared" si="1433"/>
        <v>0</v>
      </c>
      <c r="W1514" s="140"/>
    </row>
    <row r="1515" spans="1:23" x14ac:dyDescent="0.15">
      <c r="A1515" s="25" t="s">
        <v>13</v>
      </c>
      <c r="B1515" s="8">
        <v>5</v>
      </c>
      <c r="C1515" s="9">
        <v>5</v>
      </c>
      <c r="D1515" s="52"/>
      <c r="E1515" s="11">
        <f t="shared" si="1425"/>
        <v>10</v>
      </c>
      <c r="F1515" s="12">
        <v>5</v>
      </c>
      <c r="G1515" s="9">
        <v>5</v>
      </c>
      <c r="H1515" s="10"/>
      <c r="I1515" s="11">
        <f t="shared" si="1426"/>
        <v>10</v>
      </c>
      <c r="J1515" s="11">
        <f t="shared" si="1427"/>
        <v>20</v>
      </c>
      <c r="K1515" s="63">
        <v>45803</v>
      </c>
      <c r="L1515" s="82"/>
      <c r="M1515" s="25" t="s">
        <v>13</v>
      </c>
      <c r="N1515" s="8"/>
      <c r="O1515" s="9"/>
      <c r="P1515" s="52"/>
      <c r="Q1515" s="11">
        <f t="shared" si="1431"/>
        <v>0</v>
      </c>
      <c r="R1515" s="12"/>
      <c r="S1515" s="9"/>
      <c r="T1515" s="10"/>
      <c r="U1515" s="11">
        <f t="shared" si="1432"/>
        <v>0</v>
      </c>
      <c r="V1515" s="11">
        <f t="shared" si="1433"/>
        <v>0</v>
      </c>
      <c r="W1515" s="140"/>
    </row>
    <row r="1516" spans="1:23" x14ac:dyDescent="0.15">
      <c r="A1516" s="25" t="s">
        <v>481</v>
      </c>
      <c r="B1516" s="13"/>
      <c r="C1516" s="14"/>
      <c r="D1516" s="53">
        <v>-1</v>
      </c>
      <c r="E1516" s="11">
        <f t="shared" si="1425"/>
        <v>-1</v>
      </c>
      <c r="F1516" s="16"/>
      <c r="G1516" s="14"/>
      <c r="H1516" s="15"/>
      <c r="I1516" s="11">
        <f t="shared" si="1426"/>
        <v>0</v>
      </c>
      <c r="J1516" s="11">
        <f t="shared" si="1427"/>
        <v>-1</v>
      </c>
      <c r="K1516" s="63">
        <v>45804</v>
      </c>
      <c r="L1516" s="82"/>
      <c r="M1516" s="25" t="s">
        <v>14</v>
      </c>
      <c r="N1516" s="13"/>
      <c r="O1516" s="14"/>
      <c r="P1516" s="53"/>
      <c r="Q1516" s="11">
        <f t="shared" si="1428"/>
        <v>0</v>
      </c>
      <c r="R1516" s="16"/>
      <c r="S1516" s="14"/>
      <c r="T1516" s="15"/>
      <c r="U1516" s="11">
        <f t="shared" si="1429"/>
        <v>0</v>
      </c>
      <c r="V1516" s="11">
        <f t="shared" si="1430"/>
        <v>0</v>
      </c>
      <c r="W1516" s="140"/>
    </row>
    <row r="1517" spans="1:23" ht="14.25" thickBot="1" x14ac:dyDescent="0.2">
      <c r="A1517" s="25" t="s">
        <v>15</v>
      </c>
      <c r="B1517" s="13">
        <v>10</v>
      </c>
      <c r="C1517" s="14"/>
      <c r="D1517" s="53">
        <v>10</v>
      </c>
      <c r="E1517" s="11">
        <f t="shared" si="1425"/>
        <v>20</v>
      </c>
      <c r="F1517" s="16">
        <v>10</v>
      </c>
      <c r="G1517" s="14"/>
      <c r="H1517" s="15">
        <v>5</v>
      </c>
      <c r="I1517" s="11">
        <f t="shared" si="1426"/>
        <v>15</v>
      </c>
      <c r="J1517" s="11">
        <f t="shared" si="1427"/>
        <v>35</v>
      </c>
      <c r="K1517" s="63">
        <v>45815</v>
      </c>
      <c r="M1517" s="25" t="s">
        <v>15</v>
      </c>
      <c r="N1517" s="13"/>
      <c r="O1517" s="14"/>
      <c r="P1517" s="53"/>
      <c r="Q1517" s="11">
        <f t="shared" si="1428"/>
        <v>0</v>
      </c>
      <c r="R1517" s="16"/>
      <c r="S1517" s="14"/>
      <c r="T1517" s="15"/>
      <c r="U1517" s="11">
        <f t="shared" si="1429"/>
        <v>0</v>
      </c>
      <c r="V1517" s="11">
        <f t="shared" si="1430"/>
        <v>0</v>
      </c>
    </row>
    <row r="1518" spans="1:23" ht="14.25" thickBot="1" x14ac:dyDescent="0.2">
      <c r="A1518" s="35" t="s">
        <v>16</v>
      </c>
      <c r="B1518" s="28">
        <f>SUM(B1509:B1517)</f>
        <v>48</v>
      </c>
      <c r="C1518" s="29">
        <f t="shared" ref="C1518:D1518" si="1434">SUM(C1509:C1517)</f>
        <v>37</v>
      </c>
      <c r="D1518" s="68">
        <f t="shared" si="1434"/>
        <v>33</v>
      </c>
      <c r="E1518" s="64">
        <f>SUM(B1518:D1518)</f>
        <v>118</v>
      </c>
      <c r="F1518" s="28">
        <f>SUM(F1509:F1517)</f>
        <v>46</v>
      </c>
      <c r="G1518" s="29">
        <f t="shared" ref="G1518:H1518" si="1435">SUM(G1509:G1517)</f>
        <v>34</v>
      </c>
      <c r="H1518" s="68">
        <f t="shared" si="1435"/>
        <v>30</v>
      </c>
      <c r="I1518" s="64">
        <f>SUM(F1518:H1518)</f>
        <v>110</v>
      </c>
      <c r="J1518" s="31">
        <f>E1518+I1518</f>
        <v>228</v>
      </c>
      <c r="M1518" s="35" t="s">
        <v>16</v>
      </c>
      <c r="N1518" s="28">
        <f>SUM(N1509:N1517)</f>
        <v>332</v>
      </c>
      <c r="O1518" s="29">
        <f t="shared" ref="O1518:P1518" si="1436">SUM(O1509:O1517)</f>
        <v>431</v>
      </c>
      <c r="P1518" s="68">
        <f t="shared" si="1436"/>
        <v>233</v>
      </c>
      <c r="Q1518" s="64">
        <f>SUM(N1518:P1518)</f>
        <v>996</v>
      </c>
      <c r="R1518" s="28">
        <f>SUM(R1509:R1517)</f>
        <v>345</v>
      </c>
      <c r="S1518" s="29">
        <f t="shared" ref="S1518:T1518" si="1437">SUM(S1509:S1517)</f>
        <v>403</v>
      </c>
      <c r="T1518" s="68">
        <f t="shared" si="1437"/>
        <v>185</v>
      </c>
      <c r="U1518" s="64">
        <f>SUM(R1518:T1518)</f>
        <v>933</v>
      </c>
      <c r="V1518" s="31">
        <f>Q1518+U1518</f>
        <v>1929</v>
      </c>
    </row>
    <row r="1519" spans="1:23" x14ac:dyDescent="0.15">
      <c r="A1519" s="26" t="s">
        <v>33</v>
      </c>
      <c r="B1519" s="8">
        <f>1+1</f>
        <v>2</v>
      </c>
      <c r="C1519" s="9">
        <f>1+1</f>
        <v>2</v>
      </c>
      <c r="D1519" s="10"/>
      <c r="E1519" s="49">
        <f t="shared" ref="E1519:E1545" si="1438">SUM(B1519:D1519)</f>
        <v>4</v>
      </c>
      <c r="F1519" s="12">
        <v>1</v>
      </c>
      <c r="G1519" s="9">
        <v>1</v>
      </c>
      <c r="H1519" s="10"/>
      <c r="I1519" s="49">
        <f t="shared" ref="I1519:I1545" si="1439">SUM(F1519:H1519)</f>
        <v>2</v>
      </c>
      <c r="J1519" s="11">
        <f t="shared" ref="J1519:J1544" si="1440">E1519+I1519</f>
        <v>6</v>
      </c>
      <c r="K1519" s="63">
        <v>45772</v>
      </c>
      <c r="M1519" s="26"/>
      <c r="N1519" s="8"/>
      <c r="O1519" s="9"/>
      <c r="P1519" s="10"/>
      <c r="Q1519" s="49">
        <f t="shared" ref="Q1519:Q1540" si="1441">SUM(N1519:P1519)</f>
        <v>0</v>
      </c>
      <c r="R1519" s="12"/>
      <c r="S1519" s="9"/>
      <c r="T1519" s="10"/>
      <c r="U1519" s="49">
        <f t="shared" ref="U1519:U1540" si="1442">SUM(R1519:T1519)</f>
        <v>0</v>
      </c>
      <c r="V1519" s="11">
        <f t="shared" ref="V1519:V1540" si="1443">Q1519+U1519</f>
        <v>0</v>
      </c>
      <c r="W1519" s="142"/>
    </row>
    <row r="1520" spans="1:23" x14ac:dyDescent="0.15">
      <c r="A1520" s="26" t="s">
        <v>33</v>
      </c>
      <c r="B1520" s="8">
        <f>2+3</f>
        <v>5</v>
      </c>
      <c r="C1520" s="9">
        <v>2</v>
      </c>
      <c r="D1520" s="10">
        <v>2</v>
      </c>
      <c r="E1520" s="49">
        <f t="shared" si="1438"/>
        <v>9</v>
      </c>
      <c r="F1520" s="12">
        <f>1+1</f>
        <v>2</v>
      </c>
      <c r="G1520" s="9"/>
      <c r="H1520" s="10">
        <v>2</v>
      </c>
      <c r="I1520" s="49">
        <f t="shared" si="1439"/>
        <v>4</v>
      </c>
      <c r="J1520" s="11">
        <f t="shared" si="1440"/>
        <v>13</v>
      </c>
      <c r="K1520" s="63">
        <v>45775</v>
      </c>
      <c r="M1520" s="26"/>
      <c r="N1520" s="8"/>
      <c r="O1520" s="9"/>
      <c r="P1520" s="10"/>
      <c r="Q1520" s="49">
        <f t="shared" si="1441"/>
        <v>0</v>
      </c>
      <c r="R1520" s="12"/>
      <c r="S1520" s="9"/>
      <c r="T1520" s="10"/>
      <c r="U1520" s="49">
        <f t="shared" si="1442"/>
        <v>0</v>
      </c>
      <c r="V1520" s="11">
        <f t="shared" si="1443"/>
        <v>0</v>
      </c>
      <c r="W1520" s="142"/>
    </row>
    <row r="1521" spans="1:23" x14ac:dyDescent="0.15">
      <c r="A1521" s="26" t="s">
        <v>33</v>
      </c>
      <c r="B1521" s="8"/>
      <c r="C1521" s="9">
        <v>2</v>
      </c>
      <c r="D1521" s="10"/>
      <c r="E1521" s="49">
        <f t="shared" si="1438"/>
        <v>2</v>
      </c>
      <c r="F1521" s="12"/>
      <c r="G1521" s="9">
        <v>3</v>
      </c>
      <c r="H1521" s="10"/>
      <c r="I1521" s="49">
        <f t="shared" si="1439"/>
        <v>3</v>
      </c>
      <c r="J1521" s="11">
        <f t="shared" si="1440"/>
        <v>5</v>
      </c>
      <c r="K1521" s="63">
        <v>45777</v>
      </c>
      <c r="M1521" s="26"/>
      <c r="N1521" s="8"/>
      <c r="O1521" s="9"/>
      <c r="P1521" s="10"/>
      <c r="Q1521" s="49">
        <f t="shared" si="1441"/>
        <v>0</v>
      </c>
      <c r="R1521" s="12"/>
      <c r="S1521" s="9"/>
      <c r="T1521" s="10"/>
      <c r="U1521" s="49">
        <f t="shared" si="1442"/>
        <v>0</v>
      </c>
      <c r="V1521" s="11">
        <f t="shared" si="1443"/>
        <v>0</v>
      </c>
      <c r="W1521" s="142"/>
    </row>
    <row r="1522" spans="1:23" x14ac:dyDescent="0.15">
      <c r="A1522" s="26" t="s">
        <v>33</v>
      </c>
      <c r="B1522" s="8">
        <v>1</v>
      </c>
      <c r="C1522" s="9"/>
      <c r="D1522" s="10"/>
      <c r="E1522" s="49">
        <f t="shared" si="1438"/>
        <v>1</v>
      </c>
      <c r="F1522" s="12">
        <f>1+3</f>
        <v>4</v>
      </c>
      <c r="G1522" s="9"/>
      <c r="H1522" s="10"/>
      <c r="I1522" s="49">
        <f t="shared" si="1439"/>
        <v>4</v>
      </c>
      <c r="J1522" s="11">
        <f t="shared" si="1440"/>
        <v>5</v>
      </c>
      <c r="K1522" s="63">
        <v>45778</v>
      </c>
      <c r="L1522" s="82"/>
      <c r="M1522" s="26"/>
      <c r="N1522" s="8"/>
      <c r="O1522" s="9"/>
      <c r="P1522" s="10"/>
      <c r="Q1522" s="49">
        <f t="shared" si="1441"/>
        <v>0</v>
      </c>
      <c r="R1522" s="12"/>
      <c r="S1522" s="9"/>
      <c r="T1522" s="10"/>
      <c r="U1522" s="49">
        <f t="shared" si="1442"/>
        <v>0</v>
      </c>
      <c r="V1522" s="11">
        <f t="shared" si="1443"/>
        <v>0</v>
      </c>
      <c r="W1522" s="142"/>
    </row>
    <row r="1523" spans="1:23" x14ac:dyDescent="0.15">
      <c r="A1523" s="26" t="s">
        <v>33</v>
      </c>
      <c r="B1523" s="8">
        <f>1+3</f>
        <v>4</v>
      </c>
      <c r="C1523" s="9">
        <f>4+3</f>
        <v>7</v>
      </c>
      <c r="D1523" s="10">
        <v>1</v>
      </c>
      <c r="E1523" s="49">
        <f t="shared" si="1438"/>
        <v>12</v>
      </c>
      <c r="F1523" s="12">
        <v>4</v>
      </c>
      <c r="G1523" s="9">
        <f>2+2</f>
        <v>4</v>
      </c>
      <c r="H1523" s="10">
        <f>1+1</f>
        <v>2</v>
      </c>
      <c r="I1523" s="49">
        <f t="shared" si="1439"/>
        <v>10</v>
      </c>
      <c r="J1523" s="11">
        <f t="shared" si="1440"/>
        <v>22</v>
      </c>
      <c r="K1523" s="63">
        <v>45784</v>
      </c>
      <c r="M1523" s="26"/>
      <c r="N1523" s="8"/>
      <c r="O1523" s="9"/>
      <c r="P1523" s="10"/>
      <c r="Q1523" s="49">
        <f t="shared" si="1441"/>
        <v>0</v>
      </c>
      <c r="R1523" s="12"/>
      <c r="S1523" s="9"/>
      <c r="T1523" s="10"/>
      <c r="U1523" s="49">
        <f t="shared" si="1442"/>
        <v>0</v>
      </c>
      <c r="V1523" s="11">
        <f t="shared" si="1443"/>
        <v>0</v>
      </c>
      <c r="W1523" s="142"/>
    </row>
    <row r="1524" spans="1:23" x14ac:dyDescent="0.15">
      <c r="A1524" s="26" t="s">
        <v>33</v>
      </c>
      <c r="B1524" s="8"/>
      <c r="C1524" s="9">
        <v>1</v>
      </c>
      <c r="D1524" s="10"/>
      <c r="E1524" s="49">
        <f t="shared" si="1438"/>
        <v>1</v>
      </c>
      <c r="F1524" s="12"/>
      <c r="G1524" s="9"/>
      <c r="H1524" s="10"/>
      <c r="I1524" s="49">
        <f t="shared" si="1439"/>
        <v>0</v>
      </c>
      <c r="J1524" s="11">
        <f t="shared" si="1440"/>
        <v>1</v>
      </c>
      <c r="K1524" s="63">
        <v>45785</v>
      </c>
      <c r="M1524" s="26"/>
      <c r="N1524" s="8"/>
      <c r="O1524" s="9"/>
      <c r="P1524" s="10"/>
      <c r="Q1524" s="49">
        <f t="shared" si="1441"/>
        <v>0</v>
      </c>
      <c r="R1524" s="12"/>
      <c r="S1524" s="9"/>
      <c r="T1524" s="10"/>
      <c r="U1524" s="49">
        <f t="shared" si="1442"/>
        <v>0</v>
      </c>
      <c r="V1524" s="11">
        <f t="shared" si="1443"/>
        <v>0</v>
      </c>
      <c r="W1524" s="142"/>
    </row>
    <row r="1525" spans="1:23" x14ac:dyDescent="0.15">
      <c r="A1525" s="26" t="s">
        <v>33</v>
      </c>
      <c r="B1525" s="8">
        <v>1</v>
      </c>
      <c r="C1525" s="9"/>
      <c r="D1525" s="10">
        <v>1</v>
      </c>
      <c r="E1525" s="49">
        <f t="shared" si="1438"/>
        <v>2</v>
      </c>
      <c r="F1525" s="12"/>
      <c r="G1525" s="9"/>
      <c r="H1525" s="10"/>
      <c r="I1525" s="49">
        <f t="shared" si="1439"/>
        <v>0</v>
      </c>
      <c r="J1525" s="11">
        <f t="shared" si="1440"/>
        <v>2</v>
      </c>
      <c r="K1525" s="63">
        <v>45786</v>
      </c>
      <c r="M1525" s="26"/>
      <c r="N1525" s="8"/>
      <c r="O1525" s="9"/>
      <c r="P1525" s="10"/>
      <c r="Q1525" s="49">
        <f t="shared" si="1441"/>
        <v>0</v>
      </c>
      <c r="R1525" s="12"/>
      <c r="S1525" s="9"/>
      <c r="T1525" s="10"/>
      <c r="U1525" s="49">
        <f t="shared" si="1442"/>
        <v>0</v>
      </c>
      <c r="V1525" s="11">
        <f t="shared" si="1443"/>
        <v>0</v>
      </c>
      <c r="W1525" s="142"/>
    </row>
    <row r="1526" spans="1:23" x14ac:dyDescent="0.15">
      <c r="A1526" s="26" t="s">
        <v>33</v>
      </c>
      <c r="B1526" s="8">
        <f>1+1</f>
        <v>2</v>
      </c>
      <c r="C1526" s="9"/>
      <c r="D1526" s="10"/>
      <c r="E1526" s="49">
        <f t="shared" si="1438"/>
        <v>2</v>
      </c>
      <c r="F1526" s="12">
        <v>1</v>
      </c>
      <c r="G1526" s="9">
        <v>1</v>
      </c>
      <c r="H1526" s="10">
        <v>1</v>
      </c>
      <c r="I1526" s="49">
        <f t="shared" si="1439"/>
        <v>3</v>
      </c>
      <c r="J1526" s="11">
        <f t="shared" si="1440"/>
        <v>5</v>
      </c>
      <c r="K1526" s="63">
        <v>45789</v>
      </c>
      <c r="M1526" s="26"/>
      <c r="N1526" s="8"/>
      <c r="O1526" s="9"/>
      <c r="P1526" s="10"/>
      <c r="Q1526" s="49">
        <f t="shared" si="1441"/>
        <v>0</v>
      </c>
      <c r="R1526" s="12"/>
      <c r="S1526" s="9"/>
      <c r="T1526" s="10"/>
      <c r="U1526" s="49">
        <f t="shared" si="1442"/>
        <v>0</v>
      </c>
      <c r="V1526" s="11">
        <f t="shared" si="1443"/>
        <v>0</v>
      </c>
      <c r="W1526" s="142"/>
    </row>
    <row r="1527" spans="1:23" x14ac:dyDescent="0.15">
      <c r="A1527" s="26" t="s">
        <v>33</v>
      </c>
      <c r="B1527" s="8">
        <v>1</v>
      </c>
      <c r="C1527" s="9">
        <v>1</v>
      </c>
      <c r="D1527" s="10"/>
      <c r="E1527" s="49">
        <f t="shared" si="1438"/>
        <v>2</v>
      </c>
      <c r="F1527" s="12"/>
      <c r="G1527" s="9">
        <v>1</v>
      </c>
      <c r="H1527" s="10"/>
      <c r="I1527" s="49">
        <f t="shared" si="1439"/>
        <v>1</v>
      </c>
      <c r="J1527" s="11">
        <f t="shared" si="1440"/>
        <v>3</v>
      </c>
      <c r="K1527" s="63">
        <v>45790</v>
      </c>
      <c r="M1527" s="26"/>
      <c r="N1527" s="8"/>
      <c r="O1527" s="9"/>
      <c r="P1527" s="10"/>
      <c r="Q1527" s="49">
        <f t="shared" si="1441"/>
        <v>0</v>
      </c>
      <c r="R1527" s="12"/>
      <c r="S1527" s="9"/>
      <c r="T1527" s="10"/>
      <c r="U1527" s="49">
        <f t="shared" si="1442"/>
        <v>0</v>
      </c>
      <c r="V1527" s="11">
        <f t="shared" si="1443"/>
        <v>0</v>
      </c>
      <c r="W1527" s="142"/>
    </row>
    <row r="1528" spans="1:23" x14ac:dyDescent="0.15">
      <c r="A1528" s="26" t="s">
        <v>33</v>
      </c>
      <c r="B1528" s="8">
        <v>1</v>
      </c>
      <c r="C1528" s="9"/>
      <c r="D1528" s="10">
        <v>3</v>
      </c>
      <c r="E1528" s="49">
        <f t="shared" si="1438"/>
        <v>4</v>
      </c>
      <c r="F1528" s="12">
        <v>1</v>
      </c>
      <c r="G1528" s="9"/>
      <c r="H1528" s="10">
        <v>1</v>
      </c>
      <c r="I1528" s="49">
        <f t="shared" si="1439"/>
        <v>2</v>
      </c>
      <c r="J1528" s="11">
        <f t="shared" si="1440"/>
        <v>6</v>
      </c>
      <c r="K1528" s="63">
        <v>45792</v>
      </c>
      <c r="M1528" s="26"/>
      <c r="N1528" s="8"/>
      <c r="O1528" s="9"/>
      <c r="P1528" s="10"/>
      <c r="Q1528" s="49">
        <f t="shared" si="1441"/>
        <v>0</v>
      </c>
      <c r="R1528" s="12"/>
      <c r="S1528" s="9"/>
      <c r="T1528" s="10"/>
      <c r="U1528" s="49">
        <f t="shared" si="1442"/>
        <v>0</v>
      </c>
      <c r="V1528" s="11">
        <f t="shared" si="1443"/>
        <v>0</v>
      </c>
      <c r="W1528" s="142"/>
    </row>
    <row r="1529" spans="1:23" x14ac:dyDescent="0.15">
      <c r="A1529" s="26" t="s">
        <v>33</v>
      </c>
      <c r="B1529" s="8"/>
      <c r="C1529" s="9">
        <v>1</v>
      </c>
      <c r="D1529" s="10"/>
      <c r="E1529" s="49">
        <f t="shared" si="1438"/>
        <v>1</v>
      </c>
      <c r="F1529" s="12"/>
      <c r="G1529" s="9">
        <v>1</v>
      </c>
      <c r="H1529" s="10">
        <f>4+2+1</f>
        <v>7</v>
      </c>
      <c r="I1529" s="49">
        <f t="shared" si="1439"/>
        <v>8</v>
      </c>
      <c r="J1529" s="11">
        <f t="shared" si="1440"/>
        <v>9</v>
      </c>
      <c r="K1529" s="63">
        <v>45793</v>
      </c>
      <c r="M1529" s="26"/>
      <c r="N1529" s="8"/>
      <c r="O1529" s="9"/>
      <c r="P1529" s="10"/>
      <c r="Q1529" s="49">
        <f t="shared" si="1441"/>
        <v>0</v>
      </c>
      <c r="R1529" s="12"/>
      <c r="S1529" s="9"/>
      <c r="T1529" s="10"/>
      <c r="U1529" s="49">
        <f t="shared" si="1442"/>
        <v>0</v>
      </c>
      <c r="V1529" s="11">
        <f t="shared" si="1443"/>
        <v>0</v>
      </c>
      <c r="W1529" s="142"/>
    </row>
    <row r="1530" spans="1:23" x14ac:dyDescent="0.15">
      <c r="A1530" s="26" t="s">
        <v>33</v>
      </c>
      <c r="B1530" s="8">
        <v>1</v>
      </c>
      <c r="C1530" s="9">
        <v>2</v>
      </c>
      <c r="D1530" s="10"/>
      <c r="E1530" s="49">
        <f t="shared" si="1438"/>
        <v>3</v>
      </c>
      <c r="F1530" s="12">
        <v>2</v>
      </c>
      <c r="G1530" s="9">
        <f>1+1+1</f>
        <v>3</v>
      </c>
      <c r="H1530" s="10"/>
      <c r="I1530" s="49">
        <f t="shared" si="1439"/>
        <v>5</v>
      </c>
      <c r="J1530" s="11">
        <f t="shared" si="1440"/>
        <v>8</v>
      </c>
      <c r="K1530" s="63">
        <v>45796</v>
      </c>
      <c r="M1530" s="26"/>
      <c r="N1530" s="8"/>
      <c r="O1530" s="9"/>
      <c r="P1530" s="10"/>
      <c r="Q1530" s="49">
        <f t="shared" si="1441"/>
        <v>0</v>
      </c>
      <c r="R1530" s="12"/>
      <c r="S1530" s="9"/>
      <c r="T1530" s="10"/>
      <c r="U1530" s="49">
        <f t="shared" si="1442"/>
        <v>0</v>
      </c>
      <c r="V1530" s="11">
        <f t="shared" si="1443"/>
        <v>0</v>
      </c>
      <c r="W1530" s="142"/>
    </row>
    <row r="1531" spans="1:23" x14ac:dyDescent="0.15">
      <c r="A1531" s="26" t="s">
        <v>33</v>
      </c>
      <c r="B1531" s="8">
        <f>1+1</f>
        <v>2</v>
      </c>
      <c r="C1531" s="9">
        <v>1</v>
      </c>
      <c r="D1531" s="10">
        <v>1</v>
      </c>
      <c r="E1531" s="49">
        <f t="shared" si="1438"/>
        <v>4</v>
      </c>
      <c r="F1531" s="12"/>
      <c r="G1531" s="9"/>
      <c r="H1531" s="10"/>
      <c r="I1531" s="49">
        <f t="shared" si="1439"/>
        <v>0</v>
      </c>
      <c r="J1531" s="11">
        <f t="shared" si="1440"/>
        <v>4</v>
      </c>
      <c r="K1531" s="63">
        <v>45797</v>
      </c>
      <c r="L1531" s="82"/>
      <c r="M1531" s="26"/>
      <c r="N1531" s="8"/>
      <c r="O1531" s="9"/>
      <c r="P1531" s="10"/>
      <c r="Q1531" s="49">
        <f t="shared" si="1441"/>
        <v>0</v>
      </c>
      <c r="R1531" s="12"/>
      <c r="S1531" s="9"/>
      <c r="T1531" s="10"/>
      <c r="U1531" s="49">
        <f t="shared" si="1442"/>
        <v>0</v>
      </c>
      <c r="V1531" s="11">
        <f t="shared" si="1443"/>
        <v>0</v>
      </c>
      <c r="W1531" s="142"/>
    </row>
    <row r="1532" spans="1:23" x14ac:dyDescent="0.15">
      <c r="A1532" s="26" t="s">
        <v>33</v>
      </c>
      <c r="B1532" s="8">
        <f>1+1+1</f>
        <v>3</v>
      </c>
      <c r="C1532" s="9"/>
      <c r="D1532" s="10">
        <v>1</v>
      </c>
      <c r="E1532" s="49">
        <f t="shared" si="1438"/>
        <v>4</v>
      </c>
      <c r="F1532" s="12">
        <v>4</v>
      </c>
      <c r="G1532" s="9">
        <v>2</v>
      </c>
      <c r="H1532" s="10"/>
      <c r="I1532" s="49">
        <f t="shared" si="1439"/>
        <v>6</v>
      </c>
      <c r="J1532" s="11">
        <f t="shared" si="1440"/>
        <v>10</v>
      </c>
      <c r="K1532" s="63">
        <v>45798</v>
      </c>
      <c r="M1532" s="26"/>
      <c r="N1532" s="8"/>
      <c r="O1532" s="9"/>
      <c r="P1532" s="10"/>
      <c r="Q1532" s="49">
        <f t="shared" si="1441"/>
        <v>0</v>
      </c>
      <c r="R1532" s="12"/>
      <c r="S1532" s="9"/>
      <c r="T1532" s="10"/>
      <c r="U1532" s="49">
        <f t="shared" si="1442"/>
        <v>0</v>
      </c>
      <c r="V1532" s="11">
        <f t="shared" si="1443"/>
        <v>0</v>
      </c>
      <c r="W1532" s="142"/>
    </row>
    <row r="1533" spans="1:23" x14ac:dyDescent="0.15">
      <c r="A1533" s="26" t="s">
        <v>33</v>
      </c>
      <c r="B1533" s="8"/>
      <c r="C1533" s="9">
        <f>1+1</f>
        <v>2</v>
      </c>
      <c r="D1533" s="10">
        <v>1</v>
      </c>
      <c r="E1533" s="49">
        <f t="shared" si="1438"/>
        <v>3</v>
      </c>
      <c r="F1533" s="12">
        <v>2</v>
      </c>
      <c r="G1533" s="9">
        <v>3</v>
      </c>
      <c r="H1533" s="10">
        <v>1</v>
      </c>
      <c r="I1533" s="49">
        <f t="shared" si="1439"/>
        <v>6</v>
      </c>
      <c r="J1533" s="11">
        <f t="shared" si="1440"/>
        <v>9</v>
      </c>
      <c r="K1533" s="63">
        <v>45799</v>
      </c>
      <c r="L1533" s="82"/>
      <c r="M1533" s="26"/>
      <c r="N1533" s="8"/>
      <c r="O1533" s="9"/>
      <c r="P1533" s="10"/>
      <c r="Q1533" s="49">
        <f t="shared" si="1441"/>
        <v>0</v>
      </c>
      <c r="R1533" s="12"/>
      <c r="S1533" s="9"/>
      <c r="T1533" s="10"/>
      <c r="U1533" s="49">
        <f t="shared" si="1442"/>
        <v>0</v>
      </c>
      <c r="V1533" s="11">
        <f t="shared" si="1443"/>
        <v>0</v>
      </c>
      <c r="W1533" s="142"/>
    </row>
    <row r="1534" spans="1:23" x14ac:dyDescent="0.15">
      <c r="A1534" s="26" t="s">
        <v>506</v>
      </c>
      <c r="B1534" s="8"/>
      <c r="C1534" s="9"/>
      <c r="D1534" s="10"/>
      <c r="E1534" s="49">
        <f t="shared" si="1438"/>
        <v>0</v>
      </c>
      <c r="F1534" s="12"/>
      <c r="G1534" s="9"/>
      <c r="H1534" s="10">
        <v>-1</v>
      </c>
      <c r="I1534" s="49">
        <f t="shared" si="1439"/>
        <v>-1</v>
      </c>
      <c r="J1534" s="11">
        <f t="shared" si="1440"/>
        <v>-1</v>
      </c>
      <c r="K1534" s="63">
        <v>45799</v>
      </c>
      <c r="L1534" s="82"/>
      <c r="M1534" s="26"/>
      <c r="N1534" s="8"/>
      <c r="O1534" s="9"/>
      <c r="P1534" s="10"/>
      <c r="Q1534" s="49">
        <f t="shared" si="1441"/>
        <v>0</v>
      </c>
      <c r="R1534" s="12"/>
      <c r="S1534" s="9"/>
      <c r="T1534" s="10"/>
      <c r="U1534" s="49">
        <f t="shared" si="1442"/>
        <v>0</v>
      </c>
      <c r="V1534" s="11">
        <f t="shared" si="1443"/>
        <v>0</v>
      </c>
      <c r="W1534" s="142"/>
    </row>
    <row r="1535" spans="1:23" x14ac:dyDescent="0.15">
      <c r="A1535" s="26" t="s">
        <v>33</v>
      </c>
      <c r="B1535" s="8">
        <v>1</v>
      </c>
      <c r="C1535" s="9"/>
      <c r="D1535" s="10"/>
      <c r="E1535" s="49">
        <f t="shared" si="1438"/>
        <v>1</v>
      </c>
      <c r="F1535" s="12">
        <v>2</v>
      </c>
      <c r="G1535" s="9"/>
      <c r="H1535" s="10"/>
      <c r="I1535" s="49">
        <f t="shared" si="1439"/>
        <v>2</v>
      </c>
      <c r="J1535" s="11">
        <f t="shared" si="1440"/>
        <v>3</v>
      </c>
      <c r="K1535" s="63">
        <v>45800</v>
      </c>
      <c r="L1535" s="82"/>
      <c r="M1535" s="26"/>
      <c r="N1535" s="8"/>
      <c r="O1535" s="9"/>
      <c r="P1535" s="10"/>
      <c r="Q1535" s="49">
        <f t="shared" si="1441"/>
        <v>0</v>
      </c>
      <c r="R1535" s="12"/>
      <c r="S1535" s="9"/>
      <c r="T1535" s="10"/>
      <c r="U1535" s="49">
        <f t="shared" si="1442"/>
        <v>0</v>
      </c>
      <c r="V1535" s="11">
        <f t="shared" si="1443"/>
        <v>0</v>
      </c>
      <c r="W1535" s="142"/>
    </row>
    <row r="1536" spans="1:23" x14ac:dyDescent="0.15">
      <c r="A1536" s="26" t="s">
        <v>33</v>
      </c>
      <c r="B1536" s="8">
        <f>1+1</f>
        <v>2</v>
      </c>
      <c r="C1536" s="9">
        <v>1</v>
      </c>
      <c r="D1536" s="10">
        <f>1+1</f>
        <v>2</v>
      </c>
      <c r="E1536" s="49">
        <f t="shared" si="1438"/>
        <v>5</v>
      </c>
      <c r="F1536" s="12">
        <v>1</v>
      </c>
      <c r="G1536" s="9"/>
      <c r="H1536" s="10">
        <v>1</v>
      </c>
      <c r="I1536" s="49">
        <f t="shared" si="1439"/>
        <v>2</v>
      </c>
      <c r="J1536" s="11">
        <f t="shared" si="1440"/>
        <v>7</v>
      </c>
      <c r="K1536" s="63">
        <v>45803</v>
      </c>
      <c r="L1536" s="82"/>
      <c r="M1536" s="26"/>
      <c r="N1536" s="8"/>
      <c r="O1536" s="9"/>
      <c r="P1536" s="10"/>
      <c r="Q1536" s="49">
        <f t="shared" si="1441"/>
        <v>0</v>
      </c>
      <c r="R1536" s="12"/>
      <c r="S1536" s="9"/>
      <c r="T1536" s="10"/>
      <c r="U1536" s="49">
        <f t="shared" si="1442"/>
        <v>0</v>
      </c>
      <c r="V1536" s="11">
        <f t="shared" si="1443"/>
        <v>0</v>
      </c>
      <c r="W1536" s="142"/>
    </row>
    <row r="1537" spans="1:23" x14ac:dyDescent="0.15">
      <c r="A1537" s="26" t="s">
        <v>33</v>
      </c>
      <c r="B1537" s="8"/>
      <c r="C1537" s="9"/>
      <c r="D1537" s="10">
        <v>1</v>
      </c>
      <c r="E1537" s="49">
        <f t="shared" si="1438"/>
        <v>1</v>
      </c>
      <c r="F1537" s="12"/>
      <c r="G1537" s="9"/>
      <c r="H1537" s="10"/>
      <c r="I1537" s="49">
        <f t="shared" si="1439"/>
        <v>0</v>
      </c>
      <c r="J1537" s="11">
        <f t="shared" si="1440"/>
        <v>1</v>
      </c>
      <c r="K1537" s="63">
        <v>45804</v>
      </c>
      <c r="L1537" s="82"/>
      <c r="M1537" s="26"/>
      <c r="N1537" s="8"/>
      <c r="O1537" s="9"/>
      <c r="P1537" s="10"/>
      <c r="Q1537" s="49">
        <f t="shared" si="1441"/>
        <v>0</v>
      </c>
      <c r="R1537" s="12"/>
      <c r="S1537" s="9"/>
      <c r="T1537" s="10"/>
      <c r="U1537" s="49">
        <f t="shared" si="1442"/>
        <v>0</v>
      </c>
      <c r="V1537" s="11">
        <f t="shared" si="1443"/>
        <v>0</v>
      </c>
      <c r="W1537" s="142"/>
    </row>
    <row r="1538" spans="1:23" x14ac:dyDescent="0.15">
      <c r="A1538" s="26" t="s">
        <v>33</v>
      </c>
      <c r="B1538" s="8"/>
      <c r="C1538" s="9">
        <v>1</v>
      </c>
      <c r="D1538" s="10"/>
      <c r="E1538" s="49">
        <f t="shared" si="1438"/>
        <v>1</v>
      </c>
      <c r="F1538" s="12"/>
      <c r="G1538" s="9"/>
      <c r="H1538" s="10"/>
      <c r="I1538" s="49">
        <f t="shared" si="1439"/>
        <v>0</v>
      </c>
      <c r="J1538" s="11">
        <f t="shared" si="1440"/>
        <v>1</v>
      </c>
      <c r="K1538" s="63">
        <v>45805</v>
      </c>
      <c r="L1538" s="82"/>
      <c r="M1538" s="26"/>
      <c r="N1538" s="8"/>
      <c r="O1538" s="9"/>
      <c r="P1538" s="10"/>
      <c r="Q1538" s="49">
        <f t="shared" si="1441"/>
        <v>0</v>
      </c>
      <c r="R1538" s="12"/>
      <c r="S1538" s="9"/>
      <c r="T1538" s="10"/>
      <c r="U1538" s="49">
        <f t="shared" si="1442"/>
        <v>0</v>
      </c>
      <c r="V1538" s="11">
        <f t="shared" si="1443"/>
        <v>0</v>
      </c>
      <c r="W1538" s="142"/>
    </row>
    <row r="1539" spans="1:23" x14ac:dyDescent="0.15">
      <c r="A1539" s="26" t="s">
        <v>33</v>
      </c>
      <c r="B1539" s="8">
        <v>1</v>
      </c>
      <c r="C1539" s="9"/>
      <c r="D1539" s="10"/>
      <c r="E1539" s="49">
        <f t="shared" si="1438"/>
        <v>1</v>
      </c>
      <c r="F1539" s="12">
        <v>1</v>
      </c>
      <c r="G1539" s="9"/>
      <c r="H1539" s="10"/>
      <c r="I1539" s="49">
        <f t="shared" si="1439"/>
        <v>1</v>
      </c>
      <c r="J1539" s="11">
        <f t="shared" si="1440"/>
        <v>2</v>
      </c>
      <c r="K1539" s="63">
        <v>45806</v>
      </c>
      <c r="L1539" s="82"/>
      <c r="M1539" s="26"/>
      <c r="N1539" s="8"/>
      <c r="O1539" s="9"/>
      <c r="P1539" s="10"/>
      <c r="Q1539" s="49">
        <f t="shared" si="1441"/>
        <v>0</v>
      </c>
      <c r="R1539" s="12"/>
      <c r="S1539" s="9"/>
      <c r="T1539" s="10"/>
      <c r="U1539" s="49">
        <f t="shared" si="1442"/>
        <v>0</v>
      </c>
      <c r="V1539" s="11">
        <f t="shared" si="1443"/>
        <v>0</v>
      </c>
      <c r="W1539" s="142"/>
    </row>
    <row r="1540" spans="1:23" x14ac:dyDescent="0.15">
      <c r="A1540" s="26" t="s">
        <v>33</v>
      </c>
      <c r="B1540" s="8">
        <v>1</v>
      </c>
      <c r="C1540" s="9"/>
      <c r="D1540" s="10"/>
      <c r="E1540" s="49">
        <f t="shared" si="1438"/>
        <v>1</v>
      </c>
      <c r="F1540" s="12"/>
      <c r="G1540" s="9"/>
      <c r="H1540" s="10"/>
      <c r="I1540" s="49">
        <f t="shared" si="1439"/>
        <v>0</v>
      </c>
      <c r="J1540" s="11">
        <f t="shared" si="1440"/>
        <v>1</v>
      </c>
      <c r="K1540" s="63">
        <v>45807</v>
      </c>
      <c r="M1540" s="26"/>
      <c r="N1540" s="8"/>
      <c r="O1540" s="9"/>
      <c r="P1540" s="10"/>
      <c r="Q1540" s="49">
        <f t="shared" si="1441"/>
        <v>0</v>
      </c>
      <c r="R1540" s="12"/>
      <c r="S1540" s="9"/>
      <c r="T1540" s="10"/>
      <c r="U1540" s="49">
        <f t="shared" si="1442"/>
        <v>0</v>
      </c>
      <c r="V1540" s="11">
        <f t="shared" si="1443"/>
        <v>0</v>
      </c>
      <c r="W1540" s="142"/>
    </row>
    <row r="1541" spans="1:23" x14ac:dyDescent="0.15">
      <c r="A1541" s="26" t="s">
        <v>33</v>
      </c>
      <c r="B1541" s="8">
        <v>1</v>
      </c>
      <c r="C1541" s="9"/>
      <c r="D1541" s="10"/>
      <c r="E1541" s="49">
        <f t="shared" si="1438"/>
        <v>1</v>
      </c>
      <c r="F1541" s="12">
        <v>1</v>
      </c>
      <c r="G1541" s="9"/>
      <c r="H1541" s="10"/>
      <c r="I1541" s="49">
        <f t="shared" si="1439"/>
        <v>1</v>
      </c>
      <c r="J1541" s="11">
        <f t="shared" si="1440"/>
        <v>2</v>
      </c>
      <c r="K1541" s="63">
        <v>45808</v>
      </c>
      <c r="M1541" s="26"/>
      <c r="N1541" s="8"/>
      <c r="O1541" s="9"/>
      <c r="P1541" s="10"/>
      <c r="Q1541" s="49">
        <f t="shared" ref="Q1541" si="1444">SUM(N1541:P1541)</f>
        <v>0</v>
      </c>
      <c r="R1541" s="12"/>
      <c r="S1541" s="9"/>
      <c r="T1541" s="10"/>
      <c r="U1541" s="49">
        <f t="shared" ref="U1541" si="1445">SUM(R1541:T1541)</f>
        <v>0</v>
      </c>
      <c r="V1541" s="11">
        <f t="shared" ref="V1541" si="1446">Q1541+U1541</f>
        <v>0</v>
      </c>
      <c r="W1541" s="142"/>
    </row>
    <row r="1542" spans="1:23" x14ac:dyDescent="0.15">
      <c r="A1542" s="26" t="s">
        <v>33</v>
      </c>
      <c r="B1542" s="8"/>
      <c r="C1542" s="9">
        <v>1</v>
      </c>
      <c r="D1542" s="10">
        <v>2</v>
      </c>
      <c r="E1542" s="49">
        <f t="shared" si="1438"/>
        <v>3</v>
      </c>
      <c r="F1542" s="12"/>
      <c r="G1542" s="9">
        <v>1</v>
      </c>
      <c r="H1542" s="10"/>
      <c r="I1542" s="49">
        <f t="shared" si="1439"/>
        <v>1</v>
      </c>
      <c r="J1542" s="11">
        <f t="shared" si="1440"/>
        <v>4</v>
      </c>
      <c r="K1542" s="63">
        <v>45810</v>
      </c>
      <c r="M1542" s="26"/>
      <c r="N1542" s="8"/>
      <c r="O1542" s="9"/>
      <c r="P1542" s="10"/>
      <c r="Q1542" s="49">
        <f t="shared" ref="Q1542:Q1544" si="1447">SUM(N1542:P1542)</f>
        <v>0</v>
      </c>
      <c r="R1542" s="12"/>
      <c r="S1542" s="9"/>
      <c r="T1542" s="10"/>
      <c r="U1542" s="49">
        <f t="shared" ref="U1542:U1544" si="1448">SUM(R1542:T1542)</f>
        <v>0</v>
      </c>
      <c r="V1542" s="11">
        <f t="shared" ref="V1542:V1544" si="1449">Q1542+U1542</f>
        <v>0</v>
      </c>
      <c r="W1542" s="142"/>
    </row>
    <row r="1543" spans="1:23" x14ac:dyDescent="0.15">
      <c r="A1543" s="26" t="s">
        <v>33</v>
      </c>
      <c r="B1543" s="8"/>
      <c r="C1543" s="9"/>
      <c r="D1543" s="10"/>
      <c r="E1543" s="49">
        <f t="shared" si="1438"/>
        <v>0</v>
      </c>
      <c r="F1543" s="12"/>
      <c r="G1543" s="9">
        <v>1</v>
      </c>
      <c r="H1543" s="10"/>
      <c r="I1543" s="49">
        <f t="shared" si="1439"/>
        <v>1</v>
      </c>
      <c r="J1543" s="11">
        <f t="shared" si="1440"/>
        <v>1</v>
      </c>
      <c r="K1543" s="63">
        <v>45812</v>
      </c>
      <c r="M1543" s="26"/>
      <c r="N1543" s="8"/>
      <c r="O1543" s="9"/>
      <c r="P1543" s="10"/>
      <c r="Q1543" s="49">
        <f t="shared" si="1447"/>
        <v>0</v>
      </c>
      <c r="R1543" s="12"/>
      <c r="S1543" s="9"/>
      <c r="T1543" s="10"/>
      <c r="U1543" s="49">
        <f t="shared" si="1448"/>
        <v>0</v>
      </c>
      <c r="V1543" s="11">
        <f t="shared" si="1449"/>
        <v>0</v>
      </c>
      <c r="W1543" s="142"/>
    </row>
    <row r="1544" spans="1:23" ht="14.25" thickBot="1" x14ac:dyDescent="0.2">
      <c r="A1544" s="26" t="s">
        <v>33</v>
      </c>
      <c r="B1544" s="8"/>
      <c r="C1544" s="9"/>
      <c r="D1544" s="10"/>
      <c r="E1544" s="49">
        <f t="shared" si="1438"/>
        <v>0</v>
      </c>
      <c r="F1544" s="12">
        <f>2+1</f>
        <v>3</v>
      </c>
      <c r="G1544" s="9"/>
      <c r="H1544" s="10"/>
      <c r="I1544" s="49">
        <f t="shared" si="1439"/>
        <v>3</v>
      </c>
      <c r="J1544" s="11">
        <f t="shared" si="1440"/>
        <v>3</v>
      </c>
      <c r="K1544" s="63">
        <v>45813</v>
      </c>
      <c r="M1544" s="26"/>
      <c r="N1544" s="8"/>
      <c r="O1544" s="9"/>
      <c r="P1544" s="10"/>
      <c r="Q1544" s="49">
        <f t="shared" si="1447"/>
        <v>0</v>
      </c>
      <c r="R1544" s="12"/>
      <c r="S1544" s="9"/>
      <c r="T1544" s="10"/>
      <c r="U1544" s="49">
        <f t="shared" si="1448"/>
        <v>0</v>
      </c>
      <c r="V1544" s="11">
        <f t="shared" si="1449"/>
        <v>0</v>
      </c>
      <c r="W1544" s="142"/>
    </row>
    <row r="1545" spans="1:23" ht="14.25" thickBot="1" x14ac:dyDescent="0.2">
      <c r="A1545" s="41" t="s">
        <v>19</v>
      </c>
      <c r="B1545" s="46">
        <f>SUM(B1519:B1544)</f>
        <v>29</v>
      </c>
      <c r="C1545" s="47">
        <f t="shared" ref="C1545:D1545" si="1450">SUM(C1519:C1544)</f>
        <v>24</v>
      </c>
      <c r="D1545" s="59">
        <f t="shared" si="1450"/>
        <v>15</v>
      </c>
      <c r="E1545" s="45">
        <f t="shared" si="1438"/>
        <v>68</v>
      </c>
      <c r="F1545" s="46">
        <f>SUM(F1519:F1544)</f>
        <v>29</v>
      </c>
      <c r="G1545" s="47">
        <f t="shared" ref="G1545:H1545" si="1451">SUM(G1519:G1544)</f>
        <v>21</v>
      </c>
      <c r="H1545" s="59">
        <f t="shared" si="1451"/>
        <v>14</v>
      </c>
      <c r="I1545" s="45">
        <f t="shared" si="1439"/>
        <v>64</v>
      </c>
      <c r="J1545" s="45">
        <f>E1545+I1545</f>
        <v>132</v>
      </c>
      <c r="M1545" s="41" t="s">
        <v>19</v>
      </c>
      <c r="N1545" s="46">
        <f>SUM(N1519:N1544)</f>
        <v>0</v>
      </c>
      <c r="O1545" s="47">
        <f t="shared" ref="O1545:P1545" si="1452">SUM(O1519:O1544)</f>
        <v>0</v>
      </c>
      <c r="P1545" s="59">
        <f t="shared" si="1452"/>
        <v>0</v>
      </c>
      <c r="Q1545" s="45">
        <f t="shared" ref="Q1545" si="1453">SUM(N1545:P1545)</f>
        <v>0</v>
      </c>
      <c r="R1545" s="46">
        <f>SUM(R1519:R1544)</f>
        <v>0</v>
      </c>
      <c r="S1545" s="47">
        <f t="shared" ref="S1545:T1545" si="1454">SUM(S1519:S1544)</f>
        <v>0</v>
      </c>
      <c r="T1545" s="59">
        <f t="shared" si="1454"/>
        <v>0</v>
      </c>
      <c r="U1545" s="45">
        <f t="shared" ref="U1545" si="1455">SUM(R1545:T1545)</f>
        <v>0</v>
      </c>
      <c r="V1545" s="45">
        <f>Q1545+U1545</f>
        <v>0</v>
      </c>
    </row>
    <row r="1546" spans="1:23" ht="14.25" thickBot="1" x14ac:dyDescent="0.2">
      <c r="A1546" s="22" t="s">
        <v>17</v>
      </c>
      <c r="B1546" s="50">
        <f>B1518-B1545</f>
        <v>19</v>
      </c>
      <c r="C1546" s="57">
        <f t="shared" ref="C1546:D1546" si="1456">C1518-C1545</f>
        <v>13</v>
      </c>
      <c r="D1546" s="58">
        <f t="shared" si="1456"/>
        <v>18</v>
      </c>
      <c r="E1546" s="56">
        <f>SUM(B1546:D1546)</f>
        <v>50</v>
      </c>
      <c r="F1546" s="50">
        <f>F1518-F1545</f>
        <v>17</v>
      </c>
      <c r="G1546" s="57">
        <f t="shared" ref="G1546:H1546" si="1457">G1518-G1545</f>
        <v>13</v>
      </c>
      <c r="H1546" s="58">
        <f t="shared" si="1457"/>
        <v>16</v>
      </c>
      <c r="I1546" s="56">
        <f>SUM(F1546:H1546)</f>
        <v>46</v>
      </c>
      <c r="J1546" s="31">
        <f>E1546+I1546</f>
        <v>96</v>
      </c>
      <c r="M1546" s="22" t="s">
        <v>17</v>
      </c>
      <c r="N1546" s="50">
        <f>N1518-N1545</f>
        <v>332</v>
      </c>
      <c r="O1546" s="57">
        <f t="shared" ref="O1546:P1546" si="1458">O1518-O1545</f>
        <v>431</v>
      </c>
      <c r="P1546" s="58">
        <f t="shared" si="1458"/>
        <v>233</v>
      </c>
      <c r="Q1546" s="56">
        <f>SUM(N1546:P1546)</f>
        <v>996</v>
      </c>
      <c r="R1546" s="50">
        <f>R1518-R1545</f>
        <v>345</v>
      </c>
      <c r="S1546" s="57">
        <f t="shared" ref="S1546:T1546" si="1459">S1518-S1545</f>
        <v>403</v>
      </c>
      <c r="T1546" s="58">
        <f t="shared" si="1459"/>
        <v>185</v>
      </c>
      <c r="U1546" s="56">
        <f>SUM(R1546:T1546)</f>
        <v>933</v>
      </c>
      <c r="V1546" s="31">
        <f>Q1546+U1546</f>
        <v>1929</v>
      </c>
    </row>
    <row r="1549" spans="1:23" ht="19.5" thickBot="1" x14ac:dyDescent="0.25">
      <c r="A1549" s="3" t="s">
        <v>21</v>
      </c>
      <c r="B1549" s="1"/>
      <c r="C1549" s="1"/>
      <c r="D1549" s="1"/>
      <c r="E1549" s="1"/>
      <c r="F1549" s="1"/>
      <c r="G1549" s="1"/>
      <c r="H1549" s="1" t="s">
        <v>498</v>
      </c>
      <c r="I1549" s="1"/>
      <c r="J1549" s="1"/>
      <c r="M1549" s="3" t="s">
        <v>22</v>
      </c>
      <c r="N1549" s="1"/>
      <c r="O1549" s="1"/>
      <c r="P1549" s="1"/>
      <c r="Q1549" s="1"/>
      <c r="R1549" s="1"/>
      <c r="S1549" s="1" t="s">
        <v>498</v>
      </c>
      <c r="T1549" s="1"/>
      <c r="U1549" s="1"/>
      <c r="V1549" s="1">
        <v>580</v>
      </c>
    </row>
    <row r="1550" spans="1:23" ht="14.25" thickBot="1" x14ac:dyDescent="0.2">
      <c r="A1550" s="7" t="s">
        <v>0</v>
      </c>
      <c r="B1550" s="165" t="s">
        <v>24</v>
      </c>
      <c r="C1550" s="166"/>
      <c r="D1550" s="166"/>
      <c r="E1550" s="170"/>
      <c r="F1550" s="165" t="s">
        <v>18</v>
      </c>
      <c r="G1550" s="166"/>
      <c r="H1550" s="166"/>
      <c r="I1550" s="167"/>
      <c r="J1550" s="168" t="s">
        <v>1</v>
      </c>
      <c r="M1550" s="7" t="s">
        <v>0</v>
      </c>
      <c r="N1550" s="165" t="s">
        <v>24</v>
      </c>
      <c r="O1550" s="166"/>
      <c r="P1550" s="166"/>
      <c r="Q1550" s="170"/>
      <c r="R1550" s="165" t="s">
        <v>18</v>
      </c>
      <c r="S1550" s="166"/>
      <c r="T1550" s="166"/>
      <c r="U1550" s="167"/>
      <c r="V1550" s="168" t="s">
        <v>1</v>
      </c>
    </row>
    <row r="1551" spans="1:23" ht="14.25" thickBot="1" x14ac:dyDescent="0.2">
      <c r="A1551" s="7" t="s">
        <v>2</v>
      </c>
      <c r="B1551" s="4" t="s">
        <v>3</v>
      </c>
      <c r="C1551" s="5" t="s">
        <v>4</v>
      </c>
      <c r="D1551" s="6" t="s">
        <v>5</v>
      </c>
      <c r="E1551" s="7" t="s">
        <v>6</v>
      </c>
      <c r="F1551" s="4" t="s">
        <v>3</v>
      </c>
      <c r="G1551" s="5" t="s">
        <v>4</v>
      </c>
      <c r="H1551" s="6" t="s">
        <v>5</v>
      </c>
      <c r="I1551" s="7" t="s">
        <v>6</v>
      </c>
      <c r="J1551" s="169"/>
      <c r="M1551" s="7" t="s">
        <v>2</v>
      </c>
      <c r="N1551" s="4" t="s">
        <v>3</v>
      </c>
      <c r="O1551" s="5" t="s">
        <v>4</v>
      </c>
      <c r="P1551" s="6" t="s">
        <v>5</v>
      </c>
      <c r="Q1551" s="7" t="s">
        <v>6</v>
      </c>
      <c r="R1551" s="4" t="s">
        <v>3</v>
      </c>
      <c r="S1551" s="5" t="s">
        <v>4</v>
      </c>
      <c r="T1551" s="6" t="s">
        <v>5</v>
      </c>
      <c r="U1551" s="7" t="s">
        <v>6</v>
      </c>
      <c r="V1551" s="169"/>
    </row>
    <row r="1552" spans="1:23" ht="14.25" thickBot="1" x14ac:dyDescent="0.2">
      <c r="A1552" s="27" t="s">
        <v>20</v>
      </c>
      <c r="B1552" s="28">
        <f>B1546</f>
        <v>19</v>
      </c>
      <c r="C1552" s="29">
        <f>C1546</f>
        <v>13</v>
      </c>
      <c r="D1552" s="30">
        <f>D1546</f>
        <v>18</v>
      </c>
      <c r="E1552" s="31">
        <f>SUM(B1552:D1552)</f>
        <v>50</v>
      </c>
      <c r="F1552" s="28">
        <f>F1546</f>
        <v>17</v>
      </c>
      <c r="G1552" s="29">
        <f>G1546</f>
        <v>13</v>
      </c>
      <c r="H1552" s="30">
        <f>H1546</f>
        <v>16</v>
      </c>
      <c r="I1552" s="31">
        <f>SUM(F1552:H1552)</f>
        <v>46</v>
      </c>
      <c r="J1552" s="31">
        <f>E1552+I1552</f>
        <v>96</v>
      </c>
      <c r="M1552" s="27" t="s">
        <v>20</v>
      </c>
      <c r="N1552" s="28">
        <f>N1546</f>
        <v>332</v>
      </c>
      <c r="O1552" s="29">
        <f>O1546</f>
        <v>431</v>
      </c>
      <c r="P1552" s="30">
        <f>P1546</f>
        <v>233</v>
      </c>
      <c r="Q1552" s="31">
        <f>SUM(N1552:P1552)</f>
        <v>996</v>
      </c>
      <c r="R1552" s="28">
        <f>R1546</f>
        <v>345</v>
      </c>
      <c r="S1552" s="29">
        <f>S1546</f>
        <v>403</v>
      </c>
      <c r="T1552" s="30">
        <f>T1546</f>
        <v>185</v>
      </c>
      <c r="U1552" s="31">
        <f>SUM(R1552:T1552)</f>
        <v>933</v>
      </c>
      <c r="V1552" s="31">
        <f>Q1552+U1552</f>
        <v>1929</v>
      </c>
    </row>
    <row r="1553" spans="1:25" x14ac:dyDescent="0.15">
      <c r="A1553" s="25" t="s">
        <v>8</v>
      </c>
      <c r="B1553" s="8"/>
      <c r="C1553" s="9">
        <v>5</v>
      </c>
      <c r="D1553" s="52"/>
      <c r="E1553" s="11">
        <f t="shared" ref="E1553:E1554" si="1460">SUM(B1553:D1553)</f>
        <v>5</v>
      </c>
      <c r="F1553" s="12"/>
      <c r="G1553" s="9"/>
      <c r="H1553" s="10"/>
      <c r="I1553" s="11">
        <f t="shared" ref="I1553:I1554" si="1461">SUM(F1553:H1553)</f>
        <v>0</v>
      </c>
      <c r="J1553" s="11">
        <f t="shared" ref="J1553:J1554" si="1462">E1553+I1553</f>
        <v>5</v>
      </c>
      <c r="K1553" s="63">
        <v>45818</v>
      </c>
      <c r="M1553" s="25" t="s">
        <v>8</v>
      </c>
      <c r="N1553" s="17"/>
      <c r="O1553" s="18"/>
      <c r="P1553" s="51"/>
      <c r="Q1553" s="49">
        <f t="shared" ref="Q1553:Q1560" si="1463">SUM(N1553:P1553)</f>
        <v>0</v>
      </c>
      <c r="R1553" s="20"/>
      <c r="S1553" s="18"/>
      <c r="T1553" s="19"/>
      <c r="U1553" s="49">
        <f t="shared" ref="U1553:U1560" si="1464">SUM(R1553:T1553)</f>
        <v>0</v>
      </c>
      <c r="V1553" s="49">
        <f t="shared" ref="V1553:V1560" si="1465">Q1553+U1553</f>
        <v>0</v>
      </c>
      <c r="W1553" s="140"/>
    </row>
    <row r="1554" spans="1:25" x14ac:dyDescent="0.15">
      <c r="A1554" s="25" t="s">
        <v>9</v>
      </c>
      <c r="B1554" s="8">
        <v>5</v>
      </c>
      <c r="C1554" s="9"/>
      <c r="D1554" s="52"/>
      <c r="E1554" s="11">
        <f t="shared" si="1460"/>
        <v>5</v>
      </c>
      <c r="F1554" s="12"/>
      <c r="G1554" s="9">
        <v>5</v>
      </c>
      <c r="H1554" s="10">
        <v>5</v>
      </c>
      <c r="I1554" s="11">
        <f t="shared" si="1461"/>
        <v>10</v>
      </c>
      <c r="J1554" s="11">
        <f t="shared" si="1462"/>
        <v>15</v>
      </c>
      <c r="K1554" s="63">
        <v>45821</v>
      </c>
      <c r="L1554" s="82"/>
      <c r="M1554" s="25" t="s">
        <v>9</v>
      </c>
      <c r="N1554" s="8"/>
      <c r="O1554" s="9"/>
      <c r="P1554" s="52"/>
      <c r="Q1554" s="11">
        <f t="shared" si="1463"/>
        <v>0</v>
      </c>
      <c r="R1554" s="12"/>
      <c r="S1554" s="9"/>
      <c r="T1554" s="10"/>
      <c r="U1554" s="11">
        <f t="shared" si="1464"/>
        <v>0</v>
      </c>
      <c r="V1554" s="11">
        <f t="shared" si="1465"/>
        <v>0</v>
      </c>
      <c r="W1554" s="140"/>
    </row>
    <row r="1555" spans="1:25" x14ac:dyDescent="0.15">
      <c r="A1555" s="25" t="s">
        <v>10</v>
      </c>
      <c r="B1555" s="8">
        <v>10</v>
      </c>
      <c r="C1555" s="9">
        <v>10</v>
      </c>
      <c r="D1555" s="52"/>
      <c r="E1555" s="11">
        <f t="shared" ref="E1555:E1560" si="1466">SUM(B1555:D1555)</f>
        <v>20</v>
      </c>
      <c r="F1555" s="12">
        <v>10</v>
      </c>
      <c r="G1555" s="9">
        <v>10</v>
      </c>
      <c r="H1555" s="10"/>
      <c r="I1555" s="11">
        <f t="shared" ref="I1555:I1560" si="1467">SUM(F1555:H1555)</f>
        <v>20</v>
      </c>
      <c r="J1555" s="11">
        <f t="shared" ref="J1555:J1560" si="1468">E1555+I1555</f>
        <v>40</v>
      </c>
      <c r="K1555" s="63">
        <v>45827</v>
      </c>
      <c r="L1555" s="82"/>
      <c r="M1555" s="25" t="s">
        <v>10</v>
      </c>
      <c r="N1555" s="8"/>
      <c r="O1555" s="9"/>
      <c r="P1555" s="52"/>
      <c r="Q1555" s="11">
        <f t="shared" ref="Q1555:Q1557" si="1469">SUM(N1555:P1555)</f>
        <v>0</v>
      </c>
      <c r="R1555" s="12"/>
      <c r="S1555" s="9"/>
      <c r="T1555" s="10"/>
      <c r="U1555" s="11">
        <f t="shared" ref="U1555:U1557" si="1470">SUM(R1555:T1555)</f>
        <v>0</v>
      </c>
      <c r="V1555" s="11">
        <f t="shared" ref="V1555:V1556" si="1471">Q1555+U1555</f>
        <v>0</v>
      </c>
      <c r="W1555" s="140"/>
    </row>
    <row r="1556" spans="1:25" x14ac:dyDescent="0.15">
      <c r="A1556" s="25" t="s">
        <v>348</v>
      </c>
      <c r="B1556" s="17">
        <v>1</v>
      </c>
      <c r="C1556" s="18">
        <v>2</v>
      </c>
      <c r="D1556" s="51">
        <v>1</v>
      </c>
      <c r="E1556" s="49">
        <f t="shared" si="1466"/>
        <v>4</v>
      </c>
      <c r="F1556" s="20"/>
      <c r="G1556" s="18">
        <v>2</v>
      </c>
      <c r="H1556" s="19">
        <v>1</v>
      </c>
      <c r="I1556" s="49">
        <f t="shared" si="1467"/>
        <v>3</v>
      </c>
      <c r="J1556" s="49">
        <f t="shared" si="1468"/>
        <v>7</v>
      </c>
      <c r="K1556" s="63">
        <v>45826</v>
      </c>
      <c r="L1556" s="82"/>
      <c r="M1556" s="25" t="s">
        <v>11</v>
      </c>
      <c r="N1556" s="8">
        <v>250</v>
      </c>
      <c r="O1556" s="9">
        <v>250</v>
      </c>
      <c r="P1556" s="52">
        <v>100</v>
      </c>
      <c r="Q1556" s="11">
        <f t="shared" si="1469"/>
        <v>600</v>
      </c>
      <c r="R1556" s="12">
        <v>200</v>
      </c>
      <c r="S1556" s="9">
        <v>200</v>
      </c>
      <c r="T1556" s="10">
        <v>100</v>
      </c>
      <c r="U1556" s="11">
        <f t="shared" si="1470"/>
        <v>500</v>
      </c>
      <c r="V1556" s="11">
        <f t="shared" si="1471"/>
        <v>1100</v>
      </c>
      <c r="W1556" s="140" t="s">
        <v>512</v>
      </c>
    </row>
    <row r="1557" spans="1:25" x14ac:dyDescent="0.15">
      <c r="A1557" s="25" t="s">
        <v>12</v>
      </c>
      <c r="B1557" s="8"/>
      <c r="C1557" s="9"/>
      <c r="D1557" s="52">
        <v>5</v>
      </c>
      <c r="E1557" s="11">
        <f t="shared" si="1466"/>
        <v>5</v>
      </c>
      <c r="F1557" s="12">
        <v>5</v>
      </c>
      <c r="G1557" s="9">
        <v>10</v>
      </c>
      <c r="H1557" s="10">
        <v>10</v>
      </c>
      <c r="I1557" s="11">
        <f t="shared" si="1467"/>
        <v>25</v>
      </c>
      <c r="J1557" s="11">
        <f t="shared" si="1468"/>
        <v>30</v>
      </c>
      <c r="K1557" s="63">
        <v>45833</v>
      </c>
      <c r="L1557" s="82"/>
      <c r="M1557" s="25" t="s">
        <v>509</v>
      </c>
      <c r="N1557" s="8"/>
      <c r="O1557" s="9">
        <v>1</v>
      </c>
      <c r="P1557" s="52">
        <v>-8</v>
      </c>
      <c r="Q1557" s="11">
        <f t="shared" si="1469"/>
        <v>-7</v>
      </c>
      <c r="R1557" s="12">
        <v>-4</v>
      </c>
      <c r="S1557" s="9">
        <v>5</v>
      </c>
      <c r="T1557" s="10"/>
      <c r="U1557" s="11">
        <f t="shared" si="1470"/>
        <v>1</v>
      </c>
      <c r="V1557" s="11"/>
      <c r="W1557" s="140"/>
    </row>
    <row r="1558" spans="1:25" x14ac:dyDescent="0.15">
      <c r="A1558" s="25" t="s">
        <v>13</v>
      </c>
      <c r="B1558" s="8">
        <v>10</v>
      </c>
      <c r="C1558" s="9">
        <v>5</v>
      </c>
      <c r="D1558" s="52"/>
      <c r="E1558" s="11">
        <f t="shared" si="1466"/>
        <v>15</v>
      </c>
      <c r="F1558" s="12">
        <v>10</v>
      </c>
      <c r="G1558" s="9">
        <v>5</v>
      </c>
      <c r="H1558" s="10"/>
      <c r="I1558" s="11">
        <f t="shared" si="1467"/>
        <v>15</v>
      </c>
      <c r="J1558" s="11">
        <f t="shared" si="1468"/>
        <v>30</v>
      </c>
      <c r="K1558" s="63">
        <v>45838</v>
      </c>
      <c r="L1558" s="82"/>
      <c r="M1558" s="25" t="s">
        <v>13</v>
      </c>
      <c r="N1558" s="8"/>
      <c r="O1558" s="9"/>
      <c r="P1558" s="52"/>
      <c r="Q1558" s="11">
        <f t="shared" si="1463"/>
        <v>0</v>
      </c>
      <c r="R1558" s="12"/>
      <c r="S1558" s="9"/>
      <c r="T1558" s="10"/>
      <c r="U1558" s="11">
        <f t="shared" si="1464"/>
        <v>0</v>
      </c>
      <c r="V1558" s="11">
        <f t="shared" si="1465"/>
        <v>0</v>
      </c>
      <c r="W1558" s="140"/>
    </row>
    <row r="1559" spans="1:25" x14ac:dyDescent="0.15">
      <c r="A1559" s="25" t="s">
        <v>14</v>
      </c>
      <c r="B1559" s="13"/>
      <c r="C1559" s="14"/>
      <c r="D1559" s="53"/>
      <c r="E1559" s="11">
        <f t="shared" si="1466"/>
        <v>0</v>
      </c>
      <c r="F1559" s="16"/>
      <c r="G1559" s="14"/>
      <c r="H1559" s="15"/>
      <c r="I1559" s="11">
        <f t="shared" si="1467"/>
        <v>0</v>
      </c>
      <c r="J1559" s="11">
        <f t="shared" si="1468"/>
        <v>0</v>
      </c>
      <c r="K1559" s="63"/>
      <c r="L1559" s="82"/>
      <c r="M1559" s="25" t="s">
        <v>14</v>
      </c>
      <c r="N1559" s="13"/>
      <c r="O1559" s="14"/>
      <c r="P1559" s="53"/>
      <c r="Q1559" s="11">
        <f t="shared" si="1463"/>
        <v>0</v>
      </c>
      <c r="R1559" s="16"/>
      <c r="S1559" s="14"/>
      <c r="T1559" s="15"/>
      <c r="U1559" s="11">
        <f t="shared" si="1464"/>
        <v>0</v>
      </c>
      <c r="V1559" s="11">
        <f t="shared" si="1465"/>
        <v>0</v>
      </c>
      <c r="W1559" s="140"/>
    </row>
    <row r="1560" spans="1:25" ht="14.25" thickBot="1" x14ac:dyDescent="0.2">
      <c r="A1560" s="25" t="s">
        <v>204</v>
      </c>
      <c r="B1560" s="13">
        <v>6</v>
      </c>
      <c r="C1560" s="14">
        <v>4</v>
      </c>
      <c r="D1560" s="53">
        <v>4</v>
      </c>
      <c r="E1560" s="11">
        <f t="shared" si="1466"/>
        <v>14</v>
      </c>
      <c r="F1560" s="16">
        <v>1</v>
      </c>
      <c r="G1560" s="14">
        <v>-4</v>
      </c>
      <c r="H1560" s="15">
        <v>5</v>
      </c>
      <c r="I1560" s="11">
        <f t="shared" si="1467"/>
        <v>2</v>
      </c>
      <c r="J1560" s="11">
        <f t="shared" si="1468"/>
        <v>16</v>
      </c>
      <c r="K1560" s="71">
        <v>45849</v>
      </c>
      <c r="M1560" s="25" t="s">
        <v>15</v>
      </c>
      <c r="N1560" s="13"/>
      <c r="O1560" s="14"/>
      <c r="P1560" s="53"/>
      <c r="Q1560" s="11">
        <f t="shared" si="1463"/>
        <v>0</v>
      </c>
      <c r="R1560" s="16"/>
      <c r="S1560" s="14"/>
      <c r="T1560" s="15"/>
      <c r="U1560" s="11">
        <f t="shared" si="1464"/>
        <v>0</v>
      </c>
      <c r="V1560" s="11">
        <f t="shared" si="1465"/>
        <v>0</v>
      </c>
    </row>
    <row r="1561" spans="1:25" ht="14.25" thickBot="1" x14ac:dyDescent="0.2">
      <c r="A1561" s="35" t="s">
        <v>16</v>
      </c>
      <c r="B1561" s="28">
        <f>SUM(B1552:B1560)</f>
        <v>51</v>
      </c>
      <c r="C1561" s="29">
        <f t="shared" ref="C1561:D1561" si="1472">SUM(C1552:C1560)</f>
        <v>39</v>
      </c>
      <c r="D1561" s="68">
        <f t="shared" si="1472"/>
        <v>28</v>
      </c>
      <c r="E1561" s="64">
        <f>SUM(B1561:D1561)</f>
        <v>118</v>
      </c>
      <c r="F1561" s="28">
        <f>SUM(F1552:F1560)</f>
        <v>43</v>
      </c>
      <c r="G1561" s="29">
        <f t="shared" ref="G1561:H1561" si="1473">SUM(G1552:G1560)</f>
        <v>41</v>
      </c>
      <c r="H1561" s="68">
        <f t="shared" si="1473"/>
        <v>37</v>
      </c>
      <c r="I1561" s="64">
        <f>SUM(F1561:H1561)</f>
        <v>121</v>
      </c>
      <c r="J1561" s="31">
        <f>E1561+I1561</f>
        <v>239</v>
      </c>
      <c r="M1561" s="35" t="s">
        <v>16</v>
      </c>
      <c r="N1561" s="28">
        <f>SUM(N1552:N1560)</f>
        <v>582</v>
      </c>
      <c r="O1561" s="29">
        <f t="shared" ref="O1561:P1561" si="1474">SUM(O1552:O1560)</f>
        <v>682</v>
      </c>
      <c r="P1561" s="68">
        <f t="shared" si="1474"/>
        <v>325</v>
      </c>
      <c r="Q1561" s="64">
        <f>SUM(N1561:P1561)</f>
        <v>1589</v>
      </c>
      <c r="R1561" s="28">
        <f>SUM(R1552:R1560)</f>
        <v>541</v>
      </c>
      <c r="S1561" s="29">
        <f t="shared" ref="S1561:T1561" si="1475">SUM(S1552:S1560)</f>
        <v>608</v>
      </c>
      <c r="T1561" s="68">
        <f t="shared" si="1475"/>
        <v>285</v>
      </c>
      <c r="U1561" s="64">
        <f>SUM(R1561:T1561)</f>
        <v>1434</v>
      </c>
      <c r="V1561" s="31">
        <f>Q1561+U1561</f>
        <v>3023</v>
      </c>
    </row>
    <row r="1562" spans="1:25" x14ac:dyDescent="0.15">
      <c r="A1562" s="26" t="s">
        <v>33</v>
      </c>
      <c r="B1562" s="8">
        <v>1</v>
      </c>
      <c r="C1562" s="9">
        <v>1</v>
      </c>
      <c r="D1562" s="10"/>
      <c r="E1562" s="49">
        <f t="shared" ref="E1562:E1588" si="1476">SUM(B1562:D1562)</f>
        <v>2</v>
      </c>
      <c r="F1562" s="12"/>
      <c r="G1562" s="9">
        <f>2+2</f>
        <v>4</v>
      </c>
      <c r="H1562" s="10"/>
      <c r="I1562" s="49">
        <f t="shared" ref="I1562:I1588" si="1477">SUM(F1562:H1562)</f>
        <v>4</v>
      </c>
      <c r="J1562" s="11">
        <f t="shared" ref="J1562:J1587" si="1478">E1562+I1562</f>
        <v>6</v>
      </c>
      <c r="K1562" s="63">
        <v>45814</v>
      </c>
      <c r="M1562" s="26" t="s">
        <v>329</v>
      </c>
      <c r="N1562" s="8"/>
      <c r="O1562" s="9">
        <v>6</v>
      </c>
      <c r="P1562" s="10"/>
      <c r="Q1562" s="49">
        <f t="shared" ref="Q1562:Q1588" si="1479">SUM(N1562:P1562)</f>
        <v>6</v>
      </c>
      <c r="R1562" s="12"/>
      <c r="S1562" s="9">
        <v>6</v>
      </c>
      <c r="T1562" s="10"/>
      <c r="U1562" s="49">
        <f t="shared" ref="U1562:U1588" si="1480">SUM(R1562:T1562)</f>
        <v>6</v>
      </c>
      <c r="V1562" s="11">
        <f t="shared" ref="V1562:V1577" si="1481">Q1562+U1562</f>
        <v>12</v>
      </c>
      <c r="W1562" s="140">
        <v>45833</v>
      </c>
    </row>
    <row r="1563" spans="1:25" x14ac:dyDescent="0.15">
      <c r="A1563" s="26" t="s">
        <v>33</v>
      </c>
      <c r="B1563" s="8">
        <v>1</v>
      </c>
      <c r="C1563" s="9"/>
      <c r="D1563" s="10"/>
      <c r="E1563" s="49">
        <f t="shared" si="1476"/>
        <v>1</v>
      </c>
      <c r="F1563" s="12"/>
      <c r="G1563" s="9"/>
      <c r="H1563" s="10">
        <v>1</v>
      </c>
      <c r="I1563" s="49">
        <f t="shared" si="1477"/>
        <v>1</v>
      </c>
      <c r="J1563" s="11">
        <f t="shared" si="1478"/>
        <v>2</v>
      </c>
      <c r="K1563" s="63">
        <v>45815</v>
      </c>
      <c r="M1563" s="26" t="s">
        <v>329</v>
      </c>
      <c r="N1563" s="8">
        <v>5</v>
      </c>
      <c r="O1563" s="9">
        <v>1</v>
      </c>
      <c r="P1563" s="10"/>
      <c r="Q1563" s="49">
        <f t="shared" si="1479"/>
        <v>6</v>
      </c>
      <c r="R1563" s="12">
        <v>5</v>
      </c>
      <c r="S1563" s="9">
        <v>1</v>
      </c>
      <c r="T1563" s="10"/>
      <c r="U1563" s="49">
        <f t="shared" si="1480"/>
        <v>6</v>
      </c>
      <c r="V1563" s="11">
        <f t="shared" si="1481"/>
        <v>12</v>
      </c>
      <c r="W1563" s="140">
        <v>45834</v>
      </c>
      <c r="X1563" s="82"/>
      <c r="Y1563" s="82"/>
    </row>
    <row r="1564" spans="1:25" x14ac:dyDescent="0.15">
      <c r="A1564" s="26" t="s">
        <v>33</v>
      </c>
      <c r="B1564" s="8">
        <f>1+2</f>
        <v>3</v>
      </c>
      <c r="C1564" s="9">
        <f>2+2+1</f>
        <v>5</v>
      </c>
      <c r="D1564" s="10"/>
      <c r="E1564" s="49">
        <f t="shared" si="1476"/>
        <v>8</v>
      </c>
      <c r="F1564" s="12"/>
      <c r="G1564" s="9">
        <v>2</v>
      </c>
      <c r="H1564" s="10">
        <v>2</v>
      </c>
      <c r="I1564" s="49">
        <f t="shared" si="1477"/>
        <v>4</v>
      </c>
      <c r="J1564" s="11">
        <f t="shared" si="1478"/>
        <v>12</v>
      </c>
      <c r="K1564" s="63">
        <v>45817</v>
      </c>
      <c r="M1564" s="25" t="s">
        <v>28</v>
      </c>
      <c r="N1564" s="8"/>
      <c r="O1564" s="9"/>
      <c r="P1564" s="10">
        <v>5</v>
      </c>
      <c r="Q1564" s="49">
        <f t="shared" si="1479"/>
        <v>5</v>
      </c>
      <c r="R1564" s="12">
        <v>5</v>
      </c>
      <c r="S1564" s="9">
        <v>10</v>
      </c>
      <c r="T1564" s="10">
        <v>10</v>
      </c>
      <c r="U1564" s="49">
        <f t="shared" si="1480"/>
        <v>25</v>
      </c>
      <c r="V1564" s="11">
        <f t="shared" si="1481"/>
        <v>30</v>
      </c>
      <c r="W1564" s="140">
        <v>45833</v>
      </c>
      <c r="X1564" s="82"/>
      <c r="Y1564" s="82"/>
    </row>
    <row r="1565" spans="1:25" x14ac:dyDescent="0.15">
      <c r="A1565" s="26" t="s">
        <v>33</v>
      </c>
      <c r="B1565" s="8">
        <v>2</v>
      </c>
      <c r="C1565" s="9">
        <v>1</v>
      </c>
      <c r="D1565" s="10">
        <v>1</v>
      </c>
      <c r="E1565" s="49">
        <f t="shared" si="1476"/>
        <v>4</v>
      </c>
      <c r="F1565" s="12">
        <f>1+1</f>
        <v>2</v>
      </c>
      <c r="G1565" s="9"/>
      <c r="H1565" s="10">
        <v>1</v>
      </c>
      <c r="I1565" s="49">
        <f t="shared" si="1477"/>
        <v>3</v>
      </c>
      <c r="J1565" s="11">
        <f t="shared" si="1478"/>
        <v>7</v>
      </c>
      <c r="K1565" s="63">
        <v>45818</v>
      </c>
      <c r="L1565" s="82"/>
      <c r="M1565" s="26" t="s">
        <v>329</v>
      </c>
      <c r="N1565" s="8"/>
      <c r="O1565" s="9">
        <v>1</v>
      </c>
      <c r="P1565" s="10">
        <v>4</v>
      </c>
      <c r="Q1565" s="49">
        <f t="shared" si="1479"/>
        <v>5</v>
      </c>
      <c r="R1565" s="12"/>
      <c r="S1565" s="9">
        <v>1</v>
      </c>
      <c r="T1565" s="10">
        <v>4</v>
      </c>
      <c r="U1565" s="49">
        <f t="shared" si="1480"/>
        <v>5</v>
      </c>
      <c r="V1565" s="11">
        <f t="shared" si="1481"/>
        <v>10</v>
      </c>
      <c r="W1565" s="140">
        <v>45835</v>
      </c>
      <c r="X1565" s="82"/>
      <c r="Y1565" s="82"/>
    </row>
    <row r="1566" spans="1:25" x14ac:dyDescent="0.15">
      <c r="A1566" s="26" t="s">
        <v>33</v>
      </c>
      <c r="B1566" s="8">
        <f>3+1</f>
        <v>4</v>
      </c>
      <c r="C1566" s="9">
        <v>-1</v>
      </c>
      <c r="D1566" s="10">
        <v>2</v>
      </c>
      <c r="E1566" s="49">
        <f t="shared" si="1476"/>
        <v>5</v>
      </c>
      <c r="F1566" s="12">
        <f>2+1</f>
        <v>3</v>
      </c>
      <c r="G1566" s="9"/>
      <c r="H1566" s="10">
        <v>1</v>
      </c>
      <c r="I1566" s="49">
        <f t="shared" si="1477"/>
        <v>4</v>
      </c>
      <c r="J1566" s="11">
        <f t="shared" si="1478"/>
        <v>9</v>
      </c>
      <c r="K1566" s="63">
        <v>45819</v>
      </c>
      <c r="M1566" s="25" t="s">
        <v>28</v>
      </c>
      <c r="N1566" s="8">
        <v>10</v>
      </c>
      <c r="O1566" s="9">
        <v>5</v>
      </c>
      <c r="P1566" s="10"/>
      <c r="Q1566" s="49">
        <f t="shared" si="1479"/>
        <v>15</v>
      </c>
      <c r="R1566" s="12">
        <v>10</v>
      </c>
      <c r="S1566" s="9">
        <v>5</v>
      </c>
      <c r="T1566" s="10"/>
      <c r="U1566" s="49">
        <f t="shared" si="1480"/>
        <v>15</v>
      </c>
      <c r="V1566" s="11">
        <f t="shared" si="1481"/>
        <v>30</v>
      </c>
      <c r="W1566" s="140">
        <v>45838</v>
      </c>
      <c r="X1566" s="82"/>
      <c r="Y1566" s="82"/>
    </row>
    <row r="1567" spans="1:25" x14ac:dyDescent="0.15">
      <c r="A1567" s="26" t="s">
        <v>33</v>
      </c>
      <c r="B1567" s="8"/>
      <c r="C1567" s="9"/>
      <c r="D1567" s="10"/>
      <c r="E1567" s="49">
        <f t="shared" si="1476"/>
        <v>0</v>
      </c>
      <c r="F1567" s="12"/>
      <c r="G1567" s="9"/>
      <c r="H1567" s="10">
        <v>1</v>
      </c>
      <c r="I1567" s="49">
        <f t="shared" si="1477"/>
        <v>1</v>
      </c>
      <c r="J1567" s="11">
        <f t="shared" si="1478"/>
        <v>1</v>
      </c>
      <c r="K1567" s="63">
        <v>45820</v>
      </c>
      <c r="M1567" s="26" t="s">
        <v>329</v>
      </c>
      <c r="N1567" s="8">
        <v>2</v>
      </c>
      <c r="O1567" s="9">
        <v>2</v>
      </c>
      <c r="P1567" s="10"/>
      <c r="Q1567" s="49">
        <f t="shared" si="1479"/>
        <v>4</v>
      </c>
      <c r="R1567" s="12">
        <v>2</v>
      </c>
      <c r="S1567" s="9">
        <v>2</v>
      </c>
      <c r="T1567" s="10"/>
      <c r="U1567" s="49">
        <f t="shared" si="1480"/>
        <v>4</v>
      </c>
      <c r="V1567" s="11">
        <f t="shared" si="1481"/>
        <v>8</v>
      </c>
      <c r="W1567" s="140">
        <v>45840</v>
      </c>
      <c r="X1567" s="82"/>
      <c r="Y1567" s="82"/>
    </row>
    <row r="1568" spans="1:25" x14ac:dyDescent="0.15">
      <c r="A1568" s="26" t="s">
        <v>33</v>
      </c>
      <c r="B1568" s="8"/>
      <c r="C1568" s="9"/>
      <c r="D1568" s="10"/>
      <c r="E1568" s="49">
        <f t="shared" si="1476"/>
        <v>0</v>
      </c>
      <c r="F1568" s="12"/>
      <c r="G1568" s="9">
        <f>2+1</f>
        <v>3</v>
      </c>
      <c r="H1568" s="10">
        <v>1</v>
      </c>
      <c r="I1568" s="49">
        <f t="shared" si="1477"/>
        <v>4</v>
      </c>
      <c r="J1568" s="11">
        <f t="shared" si="1478"/>
        <v>4</v>
      </c>
      <c r="K1568" s="63">
        <v>45821</v>
      </c>
      <c r="M1568" s="26" t="s">
        <v>511</v>
      </c>
      <c r="N1568" s="8">
        <v>90</v>
      </c>
      <c r="O1568" s="9">
        <v>130</v>
      </c>
      <c r="P1568" s="10">
        <v>60</v>
      </c>
      <c r="Q1568" s="49">
        <f t="shared" si="1479"/>
        <v>280</v>
      </c>
      <c r="R1568" s="12">
        <v>70</v>
      </c>
      <c r="S1568" s="9">
        <v>90</v>
      </c>
      <c r="T1568" s="10">
        <v>40</v>
      </c>
      <c r="U1568" s="49">
        <f t="shared" si="1480"/>
        <v>200</v>
      </c>
      <c r="V1568" s="11">
        <f t="shared" si="1481"/>
        <v>480</v>
      </c>
      <c r="W1568" s="140">
        <v>45842</v>
      </c>
    </row>
    <row r="1569" spans="1:24" x14ac:dyDescent="0.15">
      <c r="A1569" s="147" t="s">
        <v>33</v>
      </c>
      <c r="B1569" s="148"/>
      <c r="C1569" s="149"/>
      <c r="D1569" s="150"/>
      <c r="E1569" s="151">
        <f t="shared" si="1476"/>
        <v>0</v>
      </c>
      <c r="F1569" s="152">
        <v>1</v>
      </c>
      <c r="G1569" s="149"/>
      <c r="H1569" s="150"/>
      <c r="I1569" s="151">
        <f t="shared" si="1477"/>
        <v>1</v>
      </c>
      <c r="J1569" s="153">
        <f t="shared" si="1478"/>
        <v>1</v>
      </c>
      <c r="K1569" s="154">
        <v>45824</v>
      </c>
      <c r="M1569" s="25" t="s">
        <v>28</v>
      </c>
      <c r="N1569" s="8">
        <v>10</v>
      </c>
      <c r="O1569" s="9">
        <v>10</v>
      </c>
      <c r="P1569" s="10">
        <v>10</v>
      </c>
      <c r="Q1569" s="49">
        <f t="shared" si="1479"/>
        <v>30</v>
      </c>
      <c r="R1569" s="12">
        <v>10</v>
      </c>
      <c r="S1569" s="9">
        <v>10</v>
      </c>
      <c r="T1569" s="10">
        <v>10</v>
      </c>
      <c r="U1569" s="49">
        <f t="shared" si="1480"/>
        <v>30</v>
      </c>
      <c r="V1569" s="11">
        <f t="shared" si="1481"/>
        <v>60</v>
      </c>
      <c r="W1569" s="140">
        <v>45848</v>
      </c>
    </row>
    <row r="1570" spans="1:24" x14ac:dyDescent="0.15">
      <c r="A1570" s="147" t="s">
        <v>508</v>
      </c>
      <c r="B1570" s="148">
        <v>3</v>
      </c>
      <c r="C1570" s="149">
        <v>3</v>
      </c>
      <c r="D1570" s="150">
        <v>3</v>
      </c>
      <c r="E1570" s="151">
        <f t="shared" si="1476"/>
        <v>9</v>
      </c>
      <c r="F1570" s="152">
        <v>3</v>
      </c>
      <c r="G1570" s="149">
        <v>3</v>
      </c>
      <c r="H1570" s="150">
        <v>3</v>
      </c>
      <c r="I1570" s="151">
        <f t="shared" si="1477"/>
        <v>9</v>
      </c>
      <c r="J1570" s="153">
        <f t="shared" si="1478"/>
        <v>18</v>
      </c>
      <c r="K1570" s="154">
        <v>45827</v>
      </c>
      <c r="M1570" s="26" t="s">
        <v>513</v>
      </c>
      <c r="N1570" s="8">
        <v>15</v>
      </c>
      <c r="O1570" s="9"/>
      <c r="P1570" s="10"/>
      <c r="Q1570" s="49">
        <f t="shared" si="1479"/>
        <v>15</v>
      </c>
      <c r="R1570" s="12"/>
      <c r="S1570" s="9"/>
      <c r="T1570" s="10">
        <v>20</v>
      </c>
      <c r="U1570" s="49">
        <f t="shared" si="1480"/>
        <v>20</v>
      </c>
      <c r="V1570" s="11">
        <f t="shared" si="1481"/>
        <v>35</v>
      </c>
      <c r="W1570" s="140">
        <v>45850</v>
      </c>
      <c r="X1570" s="82"/>
    </row>
    <row r="1571" spans="1:24" x14ac:dyDescent="0.15">
      <c r="A1571" s="147" t="s">
        <v>33</v>
      </c>
      <c r="B1571" s="148">
        <v>1</v>
      </c>
      <c r="C1571" s="149">
        <v>1</v>
      </c>
      <c r="D1571" s="150"/>
      <c r="E1571" s="151">
        <f t="shared" si="1476"/>
        <v>2</v>
      </c>
      <c r="F1571" s="152"/>
      <c r="G1571" s="149"/>
      <c r="H1571" s="150"/>
      <c r="I1571" s="151">
        <f t="shared" si="1477"/>
        <v>0</v>
      </c>
      <c r="J1571" s="153">
        <f t="shared" si="1478"/>
        <v>2</v>
      </c>
      <c r="K1571" s="154">
        <v>45825</v>
      </c>
      <c r="M1571" s="26"/>
      <c r="N1571" s="8"/>
      <c r="O1571" s="9"/>
      <c r="P1571" s="10"/>
      <c r="Q1571" s="49">
        <f t="shared" si="1479"/>
        <v>0</v>
      </c>
      <c r="R1571" s="12"/>
      <c r="S1571" s="9"/>
      <c r="T1571" s="10"/>
      <c r="U1571" s="49">
        <f t="shared" si="1480"/>
        <v>0</v>
      </c>
      <c r="V1571" s="11">
        <f t="shared" si="1481"/>
        <v>0</v>
      </c>
      <c r="W1571" s="142"/>
      <c r="X1571" s="82"/>
    </row>
    <row r="1572" spans="1:24" x14ac:dyDescent="0.15">
      <c r="A1572" s="147" t="s">
        <v>33</v>
      </c>
      <c r="B1572" s="8"/>
      <c r="C1572" s="9"/>
      <c r="D1572" s="10"/>
      <c r="E1572" s="49">
        <f t="shared" si="1476"/>
        <v>0</v>
      </c>
      <c r="F1572" s="12">
        <f>1+1</f>
        <v>2</v>
      </c>
      <c r="G1572" s="9">
        <v>1</v>
      </c>
      <c r="H1572" s="10">
        <v>2</v>
      </c>
      <c r="I1572" s="49">
        <f t="shared" si="1477"/>
        <v>5</v>
      </c>
      <c r="J1572" s="11">
        <f t="shared" si="1478"/>
        <v>5</v>
      </c>
      <c r="K1572" s="63">
        <v>45826</v>
      </c>
      <c r="M1572" s="26"/>
      <c r="N1572" s="8"/>
      <c r="O1572" s="9"/>
      <c r="P1572" s="10"/>
      <c r="Q1572" s="49">
        <f t="shared" si="1479"/>
        <v>0</v>
      </c>
      <c r="R1572" s="12"/>
      <c r="S1572" s="9"/>
      <c r="T1572" s="10"/>
      <c r="U1572" s="49">
        <f t="shared" si="1480"/>
        <v>0</v>
      </c>
      <c r="V1572" s="11">
        <f t="shared" si="1481"/>
        <v>0</v>
      </c>
      <c r="W1572" s="142"/>
    </row>
    <row r="1573" spans="1:24" x14ac:dyDescent="0.15">
      <c r="A1573" s="147" t="s">
        <v>33</v>
      </c>
      <c r="B1573" s="8"/>
      <c r="C1573" s="9">
        <v>1</v>
      </c>
      <c r="D1573" s="10"/>
      <c r="E1573" s="49">
        <f t="shared" si="1476"/>
        <v>1</v>
      </c>
      <c r="F1573" s="12"/>
      <c r="G1573" s="9">
        <v>1</v>
      </c>
      <c r="H1573" s="10"/>
      <c r="I1573" s="49">
        <f t="shared" si="1477"/>
        <v>1</v>
      </c>
      <c r="J1573" s="11">
        <f t="shared" si="1478"/>
        <v>2</v>
      </c>
      <c r="K1573" s="63">
        <v>45827</v>
      </c>
      <c r="M1573" s="26"/>
      <c r="N1573" s="8"/>
      <c r="O1573" s="9"/>
      <c r="P1573" s="10"/>
      <c r="Q1573" s="49">
        <f t="shared" si="1479"/>
        <v>0</v>
      </c>
      <c r="R1573" s="12"/>
      <c r="S1573" s="9"/>
      <c r="T1573" s="10"/>
      <c r="U1573" s="49">
        <f t="shared" si="1480"/>
        <v>0</v>
      </c>
      <c r="V1573" s="11">
        <f t="shared" si="1481"/>
        <v>0</v>
      </c>
      <c r="W1573" s="142"/>
    </row>
    <row r="1574" spans="1:24" x14ac:dyDescent="0.15">
      <c r="A1574" s="147" t="s">
        <v>33</v>
      </c>
      <c r="B1574" s="8"/>
      <c r="C1574" s="9"/>
      <c r="D1574" s="10"/>
      <c r="E1574" s="49">
        <f t="shared" si="1476"/>
        <v>0</v>
      </c>
      <c r="F1574" s="12"/>
      <c r="G1574" s="9">
        <v>1</v>
      </c>
      <c r="H1574" s="10">
        <v>1</v>
      </c>
      <c r="I1574" s="49">
        <f t="shared" si="1477"/>
        <v>2</v>
      </c>
      <c r="J1574" s="11">
        <f t="shared" si="1478"/>
        <v>2</v>
      </c>
      <c r="K1574" s="63">
        <v>45828</v>
      </c>
      <c r="L1574" s="82"/>
      <c r="M1574" s="26"/>
      <c r="N1574" s="8"/>
      <c r="O1574" s="9"/>
      <c r="P1574" s="10"/>
      <c r="Q1574" s="49">
        <f t="shared" si="1479"/>
        <v>0</v>
      </c>
      <c r="R1574" s="12"/>
      <c r="S1574" s="9"/>
      <c r="T1574" s="10"/>
      <c r="U1574" s="49">
        <f t="shared" si="1480"/>
        <v>0</v>
      </c>
      <c r="V1574" s="11">
        <f t="shared" si="1481"/>
        <v>0</v>
      </c>
      <c r="W1574" s="142"/>
    </row>
    <row r="1575" spans="1:24" x14ac:dyDescent="0.15">
      <c r="A1575" s="147" t="s">
        <v>33</v>
      </c>
      <c r="B1575" s="8">
        <f>2+1</f>
        <v>3</v>
      </c>
      <c r="C1575" s="9"/>
      <c r="D1575" s="10"/>
      <c r="E1575" s="49">
        <f t="shared" si="1476"/>
        <v>3</v>
      </c>
      <c r="F1575" s="12">
        <v>2</v>
      </c>
      <c r="G1575" s="9"/>
      <c r="H1575" s="10"/>
      <c r="I1575" s="49">
        <f t="shared" si="1477"/>
        <v>2</v>
      </c>
      <c r="J1575" s="11">
        <f t="shared" si="1478"/>
        <v>5</v>
      </c>
      <c r="K1575" s="63">
        <v>45829</v>
      </c>
      <c r="M1575" s="26"/>
      <c r="N1575" s="8"/>
      <c r="O1575" s="9"/>
      <c r="P1575" s="10"/>
      <c r="Q1575" s="49">
        <f t="shared" si="1479"/>
        <v>0</v>
      </c>
      <c r="R1575" s="12"/>
      <c r="S1575" s="9"/>
      <c r="T1575" s="10"/>
      <c r="U1575" s="49">
        <f t="shared" si="1480"/>
        <v>0</v>
      </c>
      <c r="V1575" s="11">
        <f t="shared" si="1481"/>
        <v>0</v>
      </c>
      <c r="W1575" s="142"/>
    </row>
    <row r="1576" spans="1:24" x14ac:dyDescent="0.15">
      <c r="A1576" s="26" t="s">
        <v>33</v>
      </c>
      <c r="B1576" s="8">
        <v>1</v>
      </c>
      <c r="C1576" s="9">
        <v>1</v>
      </c>
      <c r="D1576" s="10">
        <v>2</v>
      </c>
      <c r="E1576" s="49">
        <f t="shared" si="1476"/>
        <v>4</v>
      </c>
      <c r="F1576" s="12">
        <f>1+2</f>
        <v>3</v>
      </c>
      <c r="G1576" s="9">
        <v>2</v>
      </c>
      <c r="H1576" s="10"/>
      <c r="I1576" s="49">
        <f t="shared" si="1477"/>
        <v>5</v>
      </c>
      <c r="J1576" s="11">
        <f t="shared" si="1478"/>
        <v>9</v>
      </c>
      <c r="K1576" s="63">
        <v>45831</v>
      </c>
      <c r="L1576" s="82"/>
      <c r="M1576" s="26"/>
      <c r="N1576" s="8"/>
      <c r="O1576" s="9"/>
      <c r="P1576" s="10"/>
      <c r="Q1576" s="49">
        <f t="shared" si="1479"/>
        <v>0</v>
      </c>
      <c r="R1576" s="12"/>
      <c r="S1576" s="9"/>
      <c r="T1576" s="10"/>
      <c r="U1576" s="49">
        <f t="shared" si="1480"/>
        <v>0</v>
      </c>
      <c r="V1576" s="11">
        <f t="shared" si="1481"/>
        <v>0</v>
      </c>
      <c r="W1576" s="142"/>
    </row>
    <row r="1577" spans="1:24" x14ac:dyDescent="0.15">
      <c r="A1577" s="26" t="s">
        <v>33</v>
      </c>
      <c r="B1577" s="8"/>
      <c r="C1577" s="9">
        <v>2</v>
      </c>
      <c r="D1577" s="10"/>
      <c r="E1577" s="49">
        <f t="shared" si="1476"/>
        <v>2</v>
      </c>
      <c r="F1577" s="12"/>
      <c r="G1577" s="9">
        <f>4+1</f>
        <v>5</v>
      </c>
      <c r="H1577" s="10">
        <v>2</v>
      </c>
      <c r="I1577" s="49">
        <f t="shared" si="1477"/>
        <v>7</v>
      </c>
      <c r="J1577" s="11">
        <f t="shared" si="1478"/>
        <v>9</v>
      </c>
      <c r="K1577" s="63">
        <v>45832</v>
      </c>
      <c r="L1577" s="82"/>
      <c r="M1577" s="26"/>
      <c r="N1577" s="8"/>
      <c r="O1577" s="9"/>
      <c r="P1577" s="10"/>
      <c r="Q1577" s="49">
        <f t="shared" si="1479"/>
        <v>0</v>
      </c>
      <c r="R1577" s="12"/>
      <c r="S1577" s="9"/>
      <c r="T1577" s="10"/>
      <c r="U1577" s="49">
        <f t="shared" si="1480"/>
        <v>0</v>
      </c>
      <c r="V1577" s="11">
        <f t="shared" si="1481"/>
        <v>0</v>
      </c>
      <c r="W1577" s="142"/>
    </row>
    <row r="1578" spans="1:24" x14ac:dyDescent="0.15">
      <c r="A1578" s="26" t="s">
        <v>33</v>
      </c>
      <c r="B1578" s="8">
        <v>2</v>
      </c>
      <c r="C1578" s="9">
        <v>3</v>
      </c>
      <c r="D1578" s="10">
        <v>1</v>
      </c>
      <c r="E1578" s="49">
        <f t="shared" si="1476"/>
        <v>6</v>
      </c>
      <c r="F1578" s="12">
        <f>1+1</f>
        <v>2</v>
      </c>
      <c r="G1578" s="9">
        <v>1</v>
      </c>
      <c r="H1578" s="10">
        <v>1</v>
      </c>
      <c r="I1578" s="49">
        <f t="shared" si="1477"/>
        <v>4</v>
      </c>
      <c r="J1578" s="11">
        <f t="shared" si="1478"/>
        <v>10</v>
      </c>
      <c r="K1578" s="63">
        <v>45833</v>
      </c>
      <c r="L1578" s="82"/>
      <c r="M1578" s="26"/>
      <c r="N1578" s="8"/>
      <c r="O1578" s="9"/>
      <c r="P1578" s="10"/>
      <c r="Q1578" s="49">
        <f t="shared" ref="Q1578:Q1583" si="1482">SUM(N1578:P1578)</f>
        <v>0</v>
      </c>
      <c r="R1578" s="12"/>
      <c r="S1578" s="9"/>
      <c r="T1578" s="10"/>
      <c r="U1578" s="49">
        <f t="shared" ref="U1578:U1583" si="1483">SUM(R1578:T1578)</f>
        <v>0</v>
      </c>
      <c r="V1578" s="11">
        <f t="shared" ref="V1578:V1583" si="1484">Q1578+U1578</f>
        <v>0</v>
      </c>
      <c r="W1578" s="142"/>
    </row>
    <row r="1579" spans="1:24" x14ac:dyDescent="0.15">
      <c r="A1579" s="26" t="s">
        <v>510</v>
      </c>
      <c r="B1579" s="8">
        <v>4</v>
      </c>
      <c r="C1579" s="9"/>
      <c r="D1579" s="10"/>
      <c r="E1579" s="49">
        <f t="shared" si="1476"/>
        <v>4</v>
      </c>
      <c r="F1579" s="12">
        <v>4</v>
      </c>
      <c r="G1579" s="9"/>
      <c r="H1579" s="10"/>
      <c r="I1579" s="49">
        <f t="shared" si="1477"/>
        <v>4</v>
      </c>
      <c r="J1579" s="11">
        <f t="shared" si="1478"/>
        <v>8</v>
      </c>
      <c r="K1579" s="63">
        <v>45835</v>
      </c>
      <c r="L1579" s="82"/>
      <c r="M1579" s="26"/>
      <c r="N1579" s="8"/>
      <c r="O1579" s="9"/>
      <c r="P1579" s="10"/>
      <c r="Q1579" s="49">
        <f t="shared" si="1482"/>
        <v>0</v>
      </c>
      <c r="R1579" s="12"/>
      <c r="S1579" s="9"/>
      <c r="T1579" s="10"/>
      <c r="U1579" s="49">
        <f t="shared" si="1483"/>
        <v>0</v>
      </c>
      <c r="V1579" s="11">
        <f t="shared" si="1484"/>
        <v>0</v>
      </c>
      <c r="W1579" s="142"/>
    </row>
    <row r="1580" spans="1:24" x14ac:dyDescent="0.15">
      <c r="A1580" s="26" t="s">
        <v>33</v>
      </c>
      <c r="B1580" s="8">
        <v>1</v>
      </c>
      <c r="C1580" s="9">
        <f>1+1</f>
        <v>2</v>
      </c>
      <c r="D1580" s="10"/>
      <c r="E1580" s="49">
        <f t="shared" si="1476"/>
        <v>3</v>
      </c>
      <c r="F1580" s="12">
        <v>1</v>
      </c>
      <c r="G1580" s="9">
        <v>2</v>
      </c>
      <c r="H1580" s="10"/>
      <c r="I1580" s="49">
        <f t="shared" si="1477"/>
        <v>3</v>
      </c>
      <c r="J1580" s="11">
        <f t="shared" si="1478"/>
        <v>6</v>
      </c>
      <c r="K1580" s="63">
        <v>45834</v>
      </c>
      <c r="L1580" s="82"/>
      <c r="M1580" s="26"/>
      <c r="N1580" s="8"/>
      <c r="O1580" s="9"/>
      <c r="P1580" s="10"/>
      <c r="Q1580" s="49">
        <f t="shared" si="1482"/>
        <v>0</v>
      </c>
      <c r="R1580" s="12"/>
      <c r="S1580" s="9"/>
      <c r="T1580" s="10"/>
      <c r="U1580" s="49">
        <f t="shared" si="1483"/>
        <v>0</v>
      </c>
      <c r="V1580" s="11">
        <f t="shared" si="1484"/>
        <v>0</v>
      </c>
      <c r="W1580" s="142"/>
    </row>
    <row r="1581" spans="1:24" x14ac:dyDescent="0.15">
      <c r="A1581" s="26" t="s">
        <v>33</v>
      </c>
      <c r="B1581" s="8">
        <v>3</v>
      </c>
      <c r="C1581" s="9"/>
      <c r="D1581" s="10">
        <v>2</v>
      </c>
      <c r="E1581" s="49">
        <f t="shared" si="1476"/>
        <v>5</v>
      </c>
      <c r="F1581" s="12">
        <v>3</v>
      </c>
      <c r="G1581" s="9"/>
      <c r="H1581" s="10"/>
      <c r="I1581" s="49">
        <f t="shared" si="1477"/>
        <v>3</v>
      </c>
      <c r="J1581" s="11">
        <f t="shared" si="1478"/>
        <v>8</v>
      </c>
      <c r="K1581" s="63">
        <v>45835</v>
      </c>
      <c r="L1581" s="82"/>
      <c r="M1581" s="26"/>
      <c r="N1581" s="8"/>
      <c r="O1581" s="9"/>
      <c r="P1581" s="10"/>
      <c r="Q1581" s="49">
        <f t="shared" si="1482"/>
        <v>0</v>
      </c>
      <c r="R1581" s="12"/>
      <c r="S1581" s="9"/>
      <c r="T1581" s="10"/>
      <c r="U1581" s="49">
        <f t="shared" si="1483"/>
        <v>0</v>
      </c>
      <c r="V1581" s="11">
        <f t="shared" si="1484"/>
        <v>0</v>
      </c>
      <c r="W1581" s="142"/>
    </row>
    <row r="1582" spans="1:24" x14ac:dyDescent="0.15">
      <c r="A1582" s="26" t="s">
        <v>33</v>
      </c>
      <c r="B1582" s="8">
        <v>3</v>
      </c>
      <c r="C1582" s="9">
        <f>1+1</f>
        <v>2</v>
      </c>
      <c r="D1582" s="10">
        <v>1</v>
      </c>
      <c r="E1582" s="49">
        <f t="shared" si="1476"/>
        <v>6</v>
      </c>
      <c r="F1582" s="12">
        <v>1</v>
      </c>
      <c r="G1582" s="9">
        <v>4</v>
      </c>
      <c r="H1582" s="10">
        <v>2</v>
      </c>
      <c r="I1582" s="49">
        <f t="shared" si="1477"/>
        <v>7</v>
      </c>
      <c r="J1582" s="11">
        <f t="shared" si="1478"/>
        <v>13</v>
      </c>
      <c r="K1582" s="63">
        <v>45838</v>
      </c>
      <c r="L1582" s="82"/>
      <c r="M1582" s="26"/>
      <c r="N1582" s="8"/>
      <c r="O1582" s="9"/>
      <c r="P1582" s="10"/>
      <c r="Q1582" s="49">
        <f t="shared" si="1482"/>
        <v>0</v>
      </c>
      <c r="R1582" s="12"/>
      <c r="S1582" s="9"/>
      <c r="T1582" s="10"/>
      <c r="U1582" s="49">
        <f t="shared" si="1483"/>
        <v>0</v>
      </c>
      <c r="V1582" s="11">
        <f t="shared" si="1484"/>
        <v>0</v>
      </c>
      <c r="W1582" s="142"/>
    </row>
    <row r="1583" spans="1:24" x14ac:dyDescent="0.15">
      <c r="A1583" s="26" t="s">
        <v>33</v>
      </c>
      <c r="B1583" s="8">
        <v>1</v>
      </c>
      <c r="C1583" s="9"/>
      <c r="D1583" s="10"/>
      <c r="E1583" s="49">
        <f t="shared" si="1476"/>
        <v>1</v>
      </c>
      <c r="F1583" s="12"/>
      <c r="G1583" s="9"/>
      <c r="H1583" s="10"/>
      <c r="I1583" s="49">
        <f t="shared" si="1477"/>
        <v>0</v>
      </c>
      <c r="J1583" s="11">
        <f t="shared" si="1478"/>
        <v>1</v>
      </c>
      <c r="K1583" s="63">
        <v>45839</v>
      </c>
      <c r="M1583" s="26"/>
      <c r="N1583" s="8"/>
      <c r="O1583" s="9"/>
      <c r="P1583" s="10"/>
      <c r="Q1583" s="49">
        <f t="shared" si="1482"/>
        <v>0</v>
      </c>
      <c r="R1583" s="12"/>
      <c r="S1583" s="9"/>
      <c r="T1583" s="10"/>
      <c r="U1583" s="49">
        <f t="shared" si="1483"/>
        <v>0</v>
      </c>
      <c r="V1583" s="11">
        <f t="shared" si="1484"/>
        <v>0</v>
      </c>
      <c r="W1583" s="142"/>
    </row>
    <row r="1584" spans="1:24" x14ac:dyDescent="0.15">
      <c r="A1584" s="26" t="s">
        <v>33</v>
      </c>
      <c r="B1584" s="8">
        <v>1</v>
      </c>
      <c r="C1584" s="9"/>
      <c r="D1584" s="10"/>
      <c r="E1584" s="49">
        <f t="shared" si="1476"/>
        <v>1</v>
      </c>
      <c r="F1584" s="12"/>
      <c r="G1584" s="9">
        <v>1</v>
      </c>
      <c r="H1584" s="10"/>
      <c r="I1584" s="49">
        <f t="shared" si="1477"/>
        <v>1</v>
      </c>
      <c r="J1584" s="11">
        <f t="shared" si="1478"/>
        <v>2</v>
      </c>
      <c r="K1584" s="63">
        <v>45840</v>
      </c>
      <c r="M1584" s="26"/>
      <c r="N1584" s="8"/>
      <c r="O1584" s="9"/>
      <c r="P1584" s="10"/>
      <c r="Q1584" s="49">
        <f t="shared" ref="Q1584:Q1587" si="1485">SUM(N1584:P1584)</f>
        <v>0</v>
      </c>
      <c r="R1584" s="12"/>
      <c r="S1584" s="9"/>
      <c r="T1584" s="10"/>
      <c r="U1584" s="49">
        <f t="shared" ref="U1584:U1587" si="1486">SUM(R1584:T1584)</f>
        <v>0</v>
      </c>
      <c r="V1584" s="11">
        <f t="shared" ref="V1584:V1587" si="1487">Q1584+U1584</f>
        <v>0</v>
      </c>
      <c r="W1584" s="142"/>
    </row>
    <row r="1585" spans="1:23" x14ac:dyDescent="0.15">
      <c r="A1585" s="26" t="s">
        <v>33</v>
      </c>
      <c r="B1585" s="8"/>
      <c r="C1585" s="9"/>
      <c r="D1585" s="10">
        <v>1</v>
      </c>
      <c r="E1585" s="49">
        <f t="shared" si="1476"/>
        <v>1</v>
      </c>
      <c r="F1585" s="12"/>
      <c r="G1585" s="9"/>
      <c r="H1585" s="10"/>
      <c r="I1585" s="49">
        <f t="shared" si="1477"/>
        <v>0</v>
      </c>
      <c r="J1585" s="11">
        <f t="shared" si="1478"/>
        <v>1</v>
      </c>
      <c r="K1585" s="63">
        <v>45841</v>
      </c>
      <c r="M1585" s="26" t="s">
        <v>500</v>
      </c>
      <c r="N1585" s="8"/>
      <c r="O1585" s="9"/>
      <c r="P1585" s="10"/>
      <c r="Q1585" s="49">
        <f t="shared" si="1485"/>
        <v>0</v>
      </c>
      <c r="R1585" s="12"/>
      <c r="S1585" s="9"/>
      <c r="T1585" s="10"/>
      <c r="U1585" s="49">
        <f t="shared" si="1486"/>
        <v>0</v>
      </c>
      <c r="V1585" s="11">
        <f t="shared" si="1487"/>
        <v>0</v>
      </c>
      <c r="W1585" s="142" t="s">
        <v>501</v>
      </c>
    </row>
    <row r="1586" spans="1:23" x14ac:dyDescent="0.15">
      <c r="A1586" s="26" t="s">
        <v>33</v>
      </c>
      <c r="B1586" s="8">
        <v>2</v>
      </c>
      <c r="C1586" s="9">
        <v>2</v>
      </c>
      <c r="D1586" s="10"/>
      <c r="E1586" s="49">
        <f t="shared" si="1476"/>
        <v>4</v>
      </c>
      <c r="F1586" s="12">
        <v>1</v>
      </c>
      <c r="G1586" s="9">
        <v>1</v>
      </c>
      <c r="H1586" s="10"/>
      <c r="I1586" s="49">
        <f t="shared" si="1477"/>
        <v>2</v>
      </c>
      <c r="J1586" s="11">
        <f t="shared" si="1478"/>
        <v>6</v>
      </c>
      <c r="K1586" s="63">
        <v>45842</v>
      </c>
      <c r="M1586" s="121" t="s">
        <v>494</v>
      </c>
      <c r="N1586" s="106"/>
      <c r="O1586" s="103"/>
      <c r="P1586" s="104"/>
      <c r="Q1586" s="122">
        <f t="shared" si="1485"/>
        <v>0</v>
      </c>
      <c r="R1586" s="107"/>
      <c r="S1586" s="103"/>
      <c r="T1586" s="104"/>
      <c r="U1586" s="122">
        <f t="shared" si="1486"/>
        <v>0</v>
      </c>
      <c r="V1586" s="123">
        <f t="shared" si="1487"/>
        <v>0</v>
      </c>
      <c r="W1586" s="142"/>
    </row>
    <row r="1587" spans="1:23" ht="14.25" thickBot="1" x14ac:dyDescent="0.2">
      <c r="A1587" s="26" t="s">
        <v>33</v>
      </c>
      <c r="B1587" s="8"/>
      <c r="C1587" s="9"/>
      <c r="D1587" s="10"/>
      <c r="E1587" s="49">
        <f t="shared" si="1476"/>
        <v>0</v>
      </c>
      <c r="F1587" s="12">
        <f>2+2</f>
        <v>4</v>
      </c>
      <c r="G1587" s="9">
        <v>1</v>
      </c>
      <c r="H1587" s="10">
        <v>1</v>
      </c>
      <c r="I1587" s="49">
        <f t="shared" si="1477"/>
        <v>6</v>
      </c>
      <c r="J1587" s="11">
        <f t="shared" si="1478"/>
        <v>6</v>
      </c>
      <c r="K1587" s="63">
        <v>45843</v>
      </c>
      <c r="M1587" s="26" t="s">
        <v>492</v>
      </c>
      <c r="N1587" s="8"/>
      <c r="O1587" s="9"/>
      <c r="P1587" s="10"/>
      <c r="Q1587" s="49">
        <f t="shared" si="1485"/>
        <v>0</v>
      </c>
      <c r="R1587" s="12"/>
      <c r="S1587" s="9"/>
      <c r="T1587" s="10"/>
      <c r="U1587" s="49">
        <f t="shared" si="1486"/>
        <v>0</v>
      </c>
      <c r="V1587" s="11">
        <f t="shared" si="1487"/>
        <v>0</v>
      </c>
      <c r="W1587" s="142" t="s">
        <v>493</v>
      </c>
    </row>
    <row r="1588" spans="1:23" ht="14.25" thickBot="1" x14ac:dyDescent="0.2">
      <c r="A1588" s="41" t="s">
        <v>19</v>
      </c>
      <c r="B1588" s="46">
        <f>SUM(B1562:B1587)</f>
        <v>36</v>
      </c>
      <c r="C1588" s="47">
        <f t="shared" ref="C1588:D1588" si="1488">SUM(C1562:C1587)</f>
        <v>23</v>
      </c>
      <c r="D1588" s="59">
        <f t="shared" si="1488"/>
        <v>13</v>
      </c>
      <c r="E1588" s="45">
        <f t="shared" si="1476"/>
        <v>72</v>
      </c>
      <c r="F1588" s="46">
        <f>SUM(F1562:F1587)</f>
        <v>32</v>
      </c>
      <c r="G1588" s="47">
        <f t="shared" ref="G1588:H1588" si="1489">SUM(G1562:G1587)</f>
        <v>32</v>
      </c>
      <c r="H1588" s="59">
        <f t="shared" si="1489"/>
        <v>19</v>
      </c>
      <c r="I1588" s="45">
        <f t="shared" si="1477"/>
        <v>83</v>
      </c>
      <c r="J1588" s="45">
        <f>E1588+I1588</f>
        <v>155</v>
      </c>
      <c r="M1588" s="41" t="s">
        <v>19</v>
      </c>
      <c r="N1588" s="46">
        <f>SUM(N1562:N1587)</f>
        <v>132</v>
      </c>
      <c r="O1588" s="47">
        <f t="shared" ref="O1588:P1588" si="1490">SUM(O1562:O1587)</f>
        <v>155</v>
      </c>
      <c r="P1588" s="59">
        <f t="shared" si="1490"/>
        <v>79</v>
      </c>
      <c r="Q1588" s="45">
        <f t="shared" si="1479"/>
        <v>366</v>
      </c>
      <c r="R1588" s="46">
        <f>SUM(R1562:R1587)</f>
        <v>102</v>
      </c>
      <c r="S1588" s="47">
        <f t="shared" ref="S1588:T1588" si="1491">SUM(S1562:S1587)</f>
        <v>125</v>
      </c>
      <c r="T1588" s="59">
        <f t="shared" si="1491"/>
        <v>84</v>
      </c>
      <c r="U1588" s="45">
        <f t="shared" si="1480"/>
        <v>311</v>
      </c>
      <c r="V1588" s="45">
        <f>Q1588+U1588</f>
        <v>677</v>
      </c>
    </row>
    <row r="1589" spans="1:23" ht="14.25" thickBot="1" x14ac:dyDescent="0.2">
      <c r="A1589" s="22" t="s">
        <v>17</v>
      </c>
      <c r="B1589" s="50">
        <f>B1561-B1588</f>
        <v>15</v>
      </c>
      <c r="C1589" s="57">
        <f t="shared" ref="C1589:D1589" si="1492">C1561-C1588</f>
        <v>16</v>
      </c>
      <c r="D1589" s="58">
        <f t="shared" si="1492"/>
        <v>15</v>
      </c>
      <c r="E1589" s="56">
        <f>SUM(B1589:D1589)</f>
        <v>46</v>
      </c>
      <c r="F1589" s="50">
        <f>F1561-F1588</f>
        <v>11</v>
      </c>
      <c r="G1589" s="57">
        <f t="shared" ref="G1589:H1589" si="1493">G1561-G1588</f>
        <v>9</v>
      </c>
      <c r="H1589" s="58">
        <f t="shared" si="1493"/>
        <v>18</v>
      </c>
      <c r="I1589" s="56">
        <f>SUM(F1589:H1589)</f>
        <v>38</v>
      </c>
      <c r="J1589" s="31">
        <f>E1589+I1589</f>
        <v>84</v>
      </c>
      <c r="M1589" s="22" t="s">
        <v>17</v>
      </c>
      <c r="N1589" s="50">
        <f>N1561-N1588</f>
        <v>450</v>
      </c>
      <c r="O1589" s="57">
        <f t="shared" ref="O1589:P1589" si="1494">O1561-O1588</f>
        <v>527</v>
      </c>
      <c r="P1589" s="58">
        <f t="shared" si="1494"/>
        <v>246</v>
      </c>
      <c r="Q1589" s="56">
        <f>SUM(N1589:P1589)</f>
        <v>1223</v>
      </c>
      <c r="R1589" s="50">
        <f>R1561-R1588</f>
        <v>439</v>
      </c>
      <c r="S1589" s="57">
        <f t="shared" ref="S1589:T1589" si="1495">S1561-S1588</f>
        <v>483</v>
      </c>
      <c r="T1589" s="58">
        <f t="shared" si="1495"/>
        <v>201</v>
      </c>
      <c r="U1589" s="56">
        <f>SUM(R1589:T1589)</f>
        <v>1123</v>
      </c>
      <c r="V1589" s="31">
        <f>Q1589+U1589</f>
        <v>2346</v>
      </c>
    </row>
    <row r="1592" spans="1:23" ht="19.5" thickBot="1" x14ac:dyDescent="0.25">
      <c r="A1592" s="3" t="s">
        <v>21</v>
      </c>
      <c r="B1592" s="1"/>
      <c r="C1592" s="1"/>
      <c r="D1592" s="1"/>
      <c r="E1592" s="1"/>
      <c r="F1592" s="1"/>
      <c r="G1592" s="1"/>
      <c r="H1592" s="1" t="s">
        <v>498</v>
      </c>
      <c r="I1592" s="1"/>
      <c r="J1592" s="1"/>
      <c r="M1592" s="3" t="s">
        <v>22</v>
      </c>
      <c r="N1592" s="1"/>
      <c r="O1592" s="1"/>
      <c r="P1592" s="1"/>
      <c r="Q1592" s="1"/>
      <c r="R1592" s="1"/>
      <c r="S1592" s="1" t="s">
        <v>498</v>
      </c>
      <c r="T1592" s="1"/>
      <c r="U1592" s="1"/>
      <c r="V1592" s="1">
        <v>580</v>
      </c>
    </row>
    <row r="1593" spans="1:23" ht="14.25" thickBot="1" x14ac:dyDescent="0.2">
      <c r="A1593" s="7" t="s">
        <v>0</v>
      </c>
      <c r="B1593" s="165" t="s">
        <v>24</v>
      </c>
      <c r="C1593" s="166"/>
      <c r="D1593" s="166"/>
      <c r="E1593" s="170"/>
      <c r="F1593" s="165" t="s">
        <v>18</v>
      </c>
      <c r="G1593" s="166"/>
      <c r="H1593" s="166"/>
      <c r="I1593" s="167"/>
      <c r="J1593" s="168" t="s">
        <v>1</v>
      </c>
      <c r="M1593" s="7" t="s">
        <v>0</v>
      </c>
      <c r="N1593" s="165" t="s">
        <v>24</v>
      </c>
      <c r="O1593" s="166"/>
      <c r="P1593" s="166"/>
      <c r="Q1593" s="170"/>
      <c r="R1593" s="165" t="s">
        <v>18</v>
      </c>
      <c r="S1593" s="166"/>
      <c r="T1593" s="166"/>
      <c r="U1593" s="167"/>
      <c r="V1593" s="168" t="s">
        <v>1</v>
      </c>
    </row>
    <row r="1594" spans="1:23" ht="14.25" thickBot="1" x14ac:dyDescent="0.2">
      <c r="A1594" s="7" t="s">
        <v>2</v>
      </c>
      <c r="B1594" s="4" t="s">
        <v>3</v>
      </c>
      <c r="C1594" s="5" t="s">
        <v>4</v>
      </c>
      <c r="D1594" s="6" t="s">
        <v>5</v>
      </c>
      <c r="E1594" s="7" t="s">
        <v>6</v>
      </c>
      <c r="F1594" s="4" t="s">
        <v>3</v>
      </c>
      <c r="G1594" s="5" t="s">
        <v>4</v>
      </c>
      <c r="H1594" s="6" t="s">
        <v>5</v>
      </c>
      <c r="I1594" s="7" t="s">
        <v>6</v>
      </c>
      <c r="J1594" s="169"/>
      <c r="M1594" s="7" t="s">
        <v>2</v>
      </c>
      <c r="N1594" s="4" t="s">
        <v>3</v>
      </c>
      <c r="O1594" s="5" t="s">
        <v>4</v>
      </c>
      <c r="P1594" s="6" t="s">
        <v>5</v>
      </c>
      <c r="Q1594" s="7" t="s">
        <v>6</v>
      </c>
      <c r="R1594" s="4" t="s">
        <v>3</v>
      </c>
      <c r="S1594" s="5" t="s">
        <v>4</v>
      </c>
      <c r="T1594" s="6" t="s">
        <v>5</v>
      </c>
      <c r="U1594" s="7" t="s">
        <v>6</v>
      </c>
      <c r="V1594" s="169"/>
    </row>
    <row r="1595" spans="1:23" ht="14.25" thickBot="1" x14ac:dyDescent="0.2">
      <c r="A1595" s="27" t="s">
        <v>20</v>
      </c>
      <c r="B1595" s="28">
        <f>B1589</f>
        <v>15</v>
      </c>
      <c r="C1595" s="29">
        <f>C1589</f>
        <v>16</v>
      </c>
      <c r="D1595" s="30">
        <f>D1589</f>
        <v>15</v>
      </c>
      <c r="E1595" s="31">
        <f>SUM(B1595:D1595)</f>
        <v>46</v>
      </c>
      <c r="F1595" s="28">
        <f>F1589</f>
        <v>11</v>
      </c>
      <c r="G1595" s="29">
        <f>G1589</f>
        <v>9</v>
      </c>
      <c r="H1595" s="30">
        <f>H1589</f>
        <v>18</v>
      </c>
      <c r="I1595" s="31">
        <f>SUM(F1595:H1595)</f>
        <v>38</v>
      </c>
      <c r="J1595" s="31">
        <f>E1595+I1595</f>
        <v>84</v>
      </c>
      <c r="M1595" s="27" t="s">
        <v>20</v>
      </c>
      <c r="N1595" s="28">
        <f>N1589</f>
        <v>450</v>
      </c>
      <c r="O1595" s="29">
        <f>O1589</f>
        <v>527</v>
      </c>
      <c r="P1595" s="30">
        <f>P1589</f>
        <v>246</v>
      </c>
      <c r="Q1595" s="31">
        <f>SUM(N1595:P1595)</f>
        <v>1223</v>
      </c>
      <c r="R1595" s="28">
        <f>R1589</f>
        <v>439</v>
      </c>
      <c r="S1595" s="29">
        <f>S1589</f>
        <v>483</v>
      </c>
      <c r="T1595" s="30">
        <f>T1589</f>
        <v>201</v>
      </c>
      <c r="U1595" s="31">
        <f>SUM(R1595:T1595)</f>
        <v>1123</v>
      </c>
      <c r="V1595" s="31">
        <f>Q1595+U1595</f>
        <v>2346</v>
      </c>
    </row>
    <row r="1596" spans="1:23" x14ac:dyDescent="0.15">
      <c r="A1596" s="25" t="s">
        <v>8</v>
      </c>
      <c r="B1596" s="8">
        <v>10</v>
      </c>
      <c r="C1596" s="9">
        <v>10</v>
      </c>
      <c r="D1596" s="52">
        <v>10</v>
      </c>
      <c r="E1596" s="11">
        <f t="shared" ref="E1596:E1597" si="1496">SUM(B1596:D1596)</f>
        <v>30</v>
      </c>
      <c r="F1596" s="12">
        <v>10</v>
      </c>
      <c r="G1596" s="9">
        <v>10</v>
      </c>
      <c r="H1596" s="10">
        <v>10</v>
      </c>
      <c r="I1596" s="11">
        <f t="shared" ref="I1596:I1597" si="1497">SUM(F1596:H1596)</f>
        <v>30</v>
      </c>
      <c r="J1596" s="11">
        <f t="shared" ref="J1596:J1597" si="1498">E1596+I1596</f>
        <v>60</v>
      </c>
      <c r="K1596" s="63">
        <v>45848</v>
      </c>
      <c r="M1596" s="25" t="s">
        <v>8</v>
      </c>
      <c r="N1596" s="17"/>
      <c r="O1596" s="18"/>
      <c r="P1596" s="51"/>
      <c r="Q1596" s="49">
        <f t="shared" ref="Q1596:Q1603" si="1499">SUM(N1596:P1596)</f>
        <v>0</v>
      </c>
      <c r="R1596" s="20"/>
      <c r="S1596" s="18"/>
      <c r="T1596" s="19"/>
      <c r="U1596" s="49">
        <f t="shared" ref="U1596:U1603" si="1500">SUM(R1596:T1596)</f>
        <v>0</v>
      </c>
      <c r="V1596" s="49">
        <f t="shared" ref="V1596:V1603" si="1501">Q1596+U1596</f>
        <v>0</v>
      </c>
      <c r="W1596" s="140"/>
    </row>
    <row r="1597" spans="1:23" x14ac:dyDescent="0.15">
      <c r="A1597" s="25" t="s">
        <v>9</v>
      </c>
      <c r="B1597" s="8">
        <v>5</v>
      </c>
      <c r="C1597" s="9">
        <v>10</v>
      </c>
      <c r="D1597" s="52"/>
      <c r="E1597" s="11">
        <f t="shared" si="1496"/>
        <v>15</v>
      </c>
      <c r="F1597" s="12">
        <v>5</v>
      </c>
      <c r="G1597" s="9">
        <v>10</v>
      </c>
      <c r="H1597" s="10"/>
      <c r="I1597" s="11">
        <f t="shared" si="1497"/>
        <v>15</v>
      </c>
      <c r="J1597" s="11">
        <f t="shared" si="1498"/>
        <v>30</v>
      </c>
      <c r="K1597" s="63">
        <v>45857</v>
      </c>
      <c r="L1597" s="82"/>
      <c r="M1597" s="25" t="s">
        <v>9</v>
      </c>
      <c r="N1597" s="8"/>
      <c r="O1597" s="9"/>
      <c r="P1597" s="52"/>
      <c r="Q1597" s="11">
        <f t="shared" si="1499"/>
        <v>0</v>
      </c>
      <c r="R1597" s="12"/>
      <c r="S1597" s="9"/>
      <c r="T1597" s="10"/>
      <c r="U1597" s="11">
        <f t="shared" si="1500"/>
        <v>0</v>
      </c>
      <c r="V1597" s="11">
        <f t="shared" si="1501"/>
        <v>0</v>
      </c>
      <c r="W1597" s="140"/>
    </row>
    <row r="1598" spans="1:23" x14ac:dyDescent="0.15">
      <c r="A1598" s="25" t="s">
        <v>10</v>
      </c>
      <c r="B1598" s="8"/>
      <c r="C1598" s="9"/>
      <c r="D1598" s="52">
        <v>5</v>
      </c>
      <c r="E1598" s="11">
        <f t="shared" ref="E1598:E1603" si="1502">SUM(B1598:D1598)</f>
        <v>5</v>
      </c>
      <c r="F1598" s="12"/>
      <c r="G1598" s="9">
        <v>5</v>
      </c>
      <c r="H1598" s="10">
        <v>5</v>
      </c>
      <c r="I1598" s="11">
        <f t="shared" ref="I1598:I1603" si="1503">SUM(F1598:H1598)</f>
        <v>10</v>
      </c>
      <c r="J1598" s="11">
        <f t="shared" ref="J1598:J1603" si="1504">E1598+I1598</f>
        <v>15</v>
      </c>
      <c r="K1598" s="63">
        <v>45869</v>
      </c>
      <c r="L1598" s="82"/>
      <c r="M1598" s="25" t="s">
        <v>10</v>
      </c>
      <c r="N1598" s="8"/>
      <c r="O1598" s="9"/>
      <c r="P1598" s="52"/>
      <c r="Q1598" s="11">
        <f t="shared" si="1499"/>
        <v>0</v>
      </c>
      <c r="R1598" s="12"/>
      <c r="S1598" s="9"/>
      <c r="T1598" s="10"/>
      <c r="U1598" s="11">
        <f t="shared" si="1500"/>
        <v>0</v>
      </c>
      <c r="V1598" s="11">
        <f t="shared" si="1501"/>
        <v>0</v>
      </c>
      <c r="W1598" s="140"/>
    </row>
    <row r="1599" spans="1:23" x14ac:dyDescent="0.15">
      <c r="A1599" s="25" t="s">
        <v>11</v>
      </c>
      <c r="B1599" s="8">
        <v>10</v>
      </c>
      <c r="C1599" s="9">
        <v>10</v>
      </c>
      <c r="D1599" s="52"/>
      <c r="E1599" s="11">
        <f t="shared" si="1502"/>
        <v>20</v>
      </c>
      <c r="F1599" s="12"/>
      <c r="G1599" s="9">
        <v>5</v>
      </c>
      <c r="H1599" s="10"/>
      <c r="I1599" s="11">
        <f t="shared" si="1503"/>
        <v>5</v>
      </c>
      <c r="J1599" s="11">
        <f t="shared" si="1504"/>
        <v>25</v>
      </c>
      <c r="K1599" s="63">
        <v>45871</v>
      </c>
      <c r="L1599" s="82"/>
      <c r="M1599" s="25" t="s">
        <v>11</v>
      </c>
      <c r="N1599" s="8"/>
      <c r="O1599" s="9"/>
      <c r="P1599" s="52"/>
      <c r="Q1599" s="11">
        <f t="shared" si="1499"/>
        <v>0</v>
      </c>
      <c r="R1599" s="12"/>
      <c r="S1599" s="9"/>
      <c r="T1599" s="10"/>
      <c r="U1599" s="11">
        <f t="shared" si="1500"/>
        <v>0</v>
      </c>
      <c r="V1599" s="11">
        <f t="shared" si="1501"/>
        <v>0</v>
      </c>
      <c r="W1599" s="140"/>
    </row>
    <row r="1600" spans="1:23" x14ac:dyDescent="0.15">
      <c r="A1600" s="25" t="s">
        <v>12</v>
      </c>
      <c r="B1600" s="8"/>
      <c r="C1600" s="9"/>
      <c r="D1600" s="52"/>
      <c r="E1600" s="11">
        <f t="shared" si="1502"/>
        <v>0</v>
      </c>
      <c r="F1600" s="12"/>
      <c r="G1600" s="9"/>
      <c r="H1600" s="10"/>
      <c r="I1600" s="11">
        <f t="shared" si="1503"/>
        <v>0</v>
      </c>
      <c r="J1600" s="11">
        <f t="shared" si="1504"/>
        <v>0</v>
      </c>
      <c r="K1600" s="63"/>
      <c r="L1600" s="82"/>
      <c r="M1600" s="25" t="s">
        <v>12</v>
      </c>
      <c r="N1600" s="8"/>
      <c r="O1600" s="9"/>
      <c r="P1600" s="52"/>
      <c r="Q1600" s="11">
        <f t="shared" si="1499"/>
        <v>0</v>
      </c>
      <c r="R1600" s="12"/>
      <c r="S1600" s="9"/>
      <c r="T1600" s="10"/>
      <c r="U1600" s="11">
        <f t="shared" si="1500"/>
        <v>0</v>
      </c>
      <c r="V1600" s="11">
        <f t="shared" si="1501"/>
        <v>0</v>
      </c>
      <c r="W1600" s="140"/>
    </row>
    <row r="1601" spans="1:23" x14ac:dyDescent="0.15">
      <c r="A1601" s="25" t="s">
        <v>13</v>
      </c>
      <c r="B1601" s="8"/>
      <c r="C1601" s="9"/>
      <c r="D1601" s="52"/>
      <c r="E1601" s="11">
        <f t="shared" si="1502"/>
        <v>0</v>
      </c>
      <c r="F1601" s="12"/>
      <c r="G1601" s="9"/>
      <c r="H1601" s="10"/>
      <c r="I1601" s="11">
        <f t="shared" si="1503"/>
        <v>0</v>
      </c>
      <c r="J1601" s="11">
        <f t="shared" si="1504"/>
        <v>0</v>
      </c>
      <c r="K1601" s="63"/>
      <c r="L1601" s="82"/>
      <c r="M1601" s="25" t="s">
        <v>13</v>
      </c>
      <c r="N1601" s="8"/>
      <c r="O1601" s="9"/>
      <c r="P1601" s="52"/>
      <c r="Q1601" s="11">
        <f t="shared" si="1499"/>
        <v>0</v>
      </c>
      <c r="R1601" s="12"/>
      <c r="S1601" s="9"/>
      <c r="T1601" s="10"/>
      <c r="U1601" s="11">
        <f t="shared" si="1500"/>
        <v>0</v>
      </c>
      <c r="V1601" s="11">
        <f t="shared" si="1501"/>
        <v>0</v>
      </c>
      <c r="W1601" s="140"/>
    </row>
    <row r="1602" spans="1:23" x14ac:dyDescent="0.15">
      <c r="A1602" s="25" t="s">
        <v>14</v>
      </c>
      <c r="B1602" s="13"/>
      <c r="C1602" s="14"/>
      <c r="D1602" s="53"/>
      <c r="E1602" s="11">
        <f t="shared" si="1502"/>
        <v>0</v>
      </c>
      <c r="F1602" s="16"/>
      <c r="G1602" s="14"/>
      <c r="H1602" s="15"/>
      <c r="I1602" s="11">
        <f t="shared" si="1503"/>
        <v>0</v>
      </c>
      <c r="J1602" s="11">
        <f t="shared" si="1504"/>
        <v>0</v>
      </c>
      <c r="K1602" s="63"/>
      <c r="L1602" s="82"/>
      <c r="M1602" s="25" t="s">
        <v>14</v>
      </c>
      <c r="N1602" s="13"/>
      <c r="O1602" s="14"/>
      <c r="P1602" s="53"/>
      <c r="Q1602" s="11">
        <f t="shared" si="1499"/>
        <v>0</v>
      </c>
      <c r="R1602" s="16"/>
      <c r="S1602" s="14"/>
      <c r="T1602" s="15"/>
      <c r="U1602" s="11">
        <f t="shared" si="1500"/>
        <v>0</v>
      </c>
      <c r="V1602" s="11">
        <f t="shared" si="1501"/>
        <v>0</v>
      </c>
      <c r="W1602" s="140"/>
    </row>
    <row r="1603" spans="1:23" ht="14.25" thickBot="1" x14ac:dyDescent="0.2">
      <c r="A1603" s="25" t="s">
        <v>15</v>
      </c>
      <c r="B1603" s="13"/>
      <c r="C1603" s="14"/>
      <c r="D1603" s="53"/>
      <c r="E1603" s="11">
        <f t="shared" si="1502"/>
        <v>0</v>
      </c>
      <c r="F1603" s="16"/>
      <c r="G1603" s="14"/>
      <c r="H1603" s="15"/>
      <c r="I1603" s="11">
        <f t="shared" si="1503"/>
        <v>0</v>
      </c>
      <c r="J1603" s="11">
        <f t="shared" si="1504"/>
        <v>0</v>
      </c>
      <c r="M1603" s="25" t="s">
        <v>15</v>
      </c>
      <c r="N1603" s="13"/>
      <c r="O1603" s="14"/>
      <c r="P1603" s="53"/>
      <c r="Q1603" s="11">
        <f t="shared" si="1499"/>
        <v>0</v>
      </c>
      <c r="R1603" s="16"/>
      <c r="S1603" s="14"/>
      <c r="T1603" s="15"/>
      <c r="U1603" s="11">
        <f t="shared" si="1500"/>
        <v>0</v>
      </c>
      <c r="V1603" s="11">
        <f t="shared" si="1501"/>
        <v>0</v>
      </c>
    </row>
    <row r="1604" spans="1:23" ht="14.25" thickBot="1" x14ac:dyDescent="0.2">
      <c r="A1604" s="35" t="s">
        <v>16</v>
      </c>
      <c r="B1604" s="28">
        <f>SUM(B1595:B1603)</f>
        <v>40</v>
      </c>
      <c r="C1604" s="29">
        <f t="shared" ref="C1604:D1604" si="1505">SUM(C1595:C1603)</f>
        <v>46</v>
      </c>
      <c r="D1604" s="68">
        <f t="shared" si="1505"/>
        <v>30</v>
      </c>
      <c r="E1604" s="64">
        <f>SUM(B1604:D1604)</f>
        <v>116</v>
      </c>
      <c r="F1604" s="28">
        <f>SUM(F1595:F1603)</f>
        <v>26</v>
      </c>
      <c r="G1604" s="29">
        <f t="shared" ref="G1604:H1604" si="1506">SUM(G1595:G1603)</f>
        <v>39</v>
      </c>
      <c r="H1604" s="68">
        <f t="shared" si="1506"/>
        <v>33</v>
      </c>
      <c r="I1604" s="64">
        <f>SUM(F1604:H1604)</f>
        <v>98</v>
      </c>
      <c r="J1604" s="31">
        <f>E1604+I1604</f>
        <v>214</v>
      </c>
      <c r="M1604" s="35" t="s">
        <v>16</v>
      </c>
      <c r="N1604" s="28">
        <f>SUM(N1595:N1603)</f>
        <v>450</v>
      </c>
      <c r="O1604" s="29">
        <f t="shared" ref="O1604:P1604" si="1507">SUM(O1595:O1603)</f>
        <v>527</v>
      </c>
      <c r="P1604" s="68">
        <f t="shared" si="1507"/>
        <v>246</v>
      </c>
      <c r="Q1604" s="64">
        <f>SUM(N1604:P1604)</f>
        <v>1223</v>
      </c>
      <c r="R1604" s="28">
        <f>SUM(R1595:R1603)</f>
        <v>439</v>
      </c>
      <c r="S1604" s="29">
        <f t="shared" ref="S1604:T1604" si="1508">SUM(S1595:S1603)</f>
        <v>483</v>
      </c>
      <c r="T1604" s="68">
        <f t="shared" si="1508"/>
        <v>201</v>
      </c>
      <c r="U1604" s="64">
        <f>SUM(R1604:T1604)</f>
        <v>1123</v>
      </c>
      <c r="V1604" s="31">
        <f>Q1604+U1604</f>
        <v>2346</v>
      </c>
    </row>
    <row r="1605" spans="1:23" x14ac:dyDescent="0.15">
      <c r="A1605" s="26" t="s">
        <v>33</v>
      </c>
      <c r="B1605" s="8">
        <v>1</v>
      </c>
      <c r="C1605" s="9">
        <f>3+1</f>
        <v>4</v>
      </c>
      <c r="D1605" s="10">
        <f>2+1</f>
        <v>3</v>
      </c>
      <c r="E1605" s="49">
        <f t="shared" ref="E1605:E1610" si="1509">SUM(B1605:D1605)</f>
        <v>8</v>
      </c>
      <c r="F1605" s="12">
        <f>1+1</f>
        <v>2</v>
      </c>
      <c r="G1605" s="9">
        <f>1+2</f>
        <v>3</v>
      </c>
      <c r="H1605" s="10">
        <f>2+1</f>
        <v>3</v>
      </c>
      <c r="I1605" s="49">
        <f t="shared" ref="I1605:I1610" si="1510">SUM(F1605:H1605)</f>
        <v>8</v>
      </c>
      <c r="J1605" s="11">
        <f t="shared" ref="J1605:J1610" si="1511">E1605+I1605</f>
        <v>16</v>
      </c>
      <c r="K1605" s="63">
        <v>45845</v>
      </c>
      <c r="M1605" s="25" t="s">
        <v>28</v>
      </c>
      <c r="N1605" s="8">
        <v>5</v>
      </c>
      <c r="O1605" s="9">
        <v>10</v>
      </c>
      <c r="P1605" s="10"/>
      <c r="Q1605" s="49">
        <f t="shared" ref="Q1605" si="1512">SUM(N1605:P1605)</f>
        <v>15</v>
      </c>
      <c r="R1605" s="12">
        <v>5</v>
      </c>
      <c r="S1605" s="9">
        <v>10</v>
      </c>
      <c r="T1605" s="10"/>
      <c r="U1605" s="49">
        <f t="shared" ref="U1605" si="1513">SUM(R1605:T1605)</f>
        <v>15</v>
      </c>
      <c r="V1605" s="11">
        <f t="shared" ref="V1605" si="1514">Q1605+U1605</f>
        <v>30</v>
      </c>
      <c r="W1605" s="140">
        <v>45857</v>
      </c>
    </row>
    <row r="1606" spans="1:23" x14ac:dyDescent="0.15">
      <c r="A1606" s="26" t="s">
        <v>329</v>
      </c>
      <c r="B1606" s="8"/>
      <c r="C1606" s="9">
        <v>2</v>
      </c>
      <c r="D1606" s="10"/>
      <c r="E1606" s="49">
        <f t="shared" si="1509"/>
        <v>2</v>
      </c>
      <c r="F1606" s="12"/>
      <c r="G1606" s="9">
        <v>2</v>
      </c>
      <c r="H1606" s="10"/>
      <c r="I1606" s="49">
        <f t="shared" si="1510"/>
        <v>2</v>
      </c>
      <c r="J1606" s="11">
        <f t="shared" si="1511"/>
        <v>4</v>
      </c>
      <c r="K1606" s="63">
        <v>45848</v>
      </c>
      <c r="M1606" s="26" t="s">
        <v>329</v>
      </c>
      <c r="N1606" s="8"/>
      <c r="O1606" s="9"/>
      <c r="P1606" s="10">
        <v>4</v>
      </c>
      <c r="Q1606" s="49">
        <f t="shared" ref="Q1606:Q1631" si="1515">SUM(N1606:P1606)</f>
        <v>4</v>
      </c>
      <c r="R1606" s="12"/>
      <c r="S1606" s="9"/>
      <c r="T1606" s="10">
        <v>4</v>
      </c>
      <c r="U1606" s="49">
        <f t="shared" ref="U1606:U1631" si="1516">SUM(R1606:T1606)</f>
        <v>4</v>
      </c>
      <c r="V1606" s="11">
        <f t="shared" ref="V1606:V1629" si="1517">Q1606+U1606</f>
        <v>8</v>
      </c>
      <c r="W1606" s="140">
        <v>45868</v>
      </c>
    </row>
    <row r="1607" spans="1:23" x14ac:dyDescent="0.15">
      <c r="A1607" s="26" t="s">
        <v>33</v>
      </c>
      <c r="B1607" s="8">
        <f>1+3</f>
        <v>4</v>
      </c>
      <c r="C1607" s="9"/>
      <c r="D1607" s="10"/>
      <c r="E1607" s="49">
        <f t="shared" si="1509"/>
        <v>4</v>
      </c>
      <c r="F1607" s="12"/>
      <c r="G1607" s="9"/>
      <c r="H1607" s="10"/>
      <c r="I1607" s="49">
        <f t="shared" si="1510"/>
        <v>0</v>
      </c>
      <c r="J1607" s="11">
        <f t="shared" si="1511"/>
        <v>4</v>
      </c>
      <c r="K1607" s="63">
        <v>45846</v>
      </c>
      <c r="M1607" s="26" t="s">
        <v>329</v>
      </c>
      <c r="N1607" s="8">
        <v>7</v>
      </c>
      <c r="O1607" s="9">
        <v>3</v>
      </c>
      <c r="P1607" s="10"/>
      <c r="Q1607" s="49">
        <f t="shared" si="1515"/>
        <v>10</v>
      </c>
      <c r="R1607" s="12">
        <v>7</v>
      </c>
      <c r="S1607" s="9">
        <v>3</v>
      </c>
      <c r="T1607" s="10"/>
      <c r="U1607" s="49">
        <f t="shared" si="1516"/>
        <v>10</v>
      </c>
      <c r="V1607" s="11">
        <f t="shared" si="1517"/>
        <v>20</v>
      </c>
      <c r="W1607" s="140">
        <v>45870</v>
      </c>
    </row>
    <row r="1608" spans="1:23" x14ac:dyDescent="0.15">
      <c r="A1608" s="26" t="s">
        <v>33</v>
      </c>
      <c r="B1608" s="8"/>
      <c r="C1608" s="9"/>
      <c r="D1608" s="10">
        <v>1</v>
      </c>
      <c r="E1608" s="49">
        <f t="shared" si="1509"/>
        <v>1</v>
      </c>
      <c r="F1608" s="12"/>
      <c r="G1608" s="9"/>
      <c r="H1608" s="10">
        <f>1+1</f>
        <v>2</v>
      </c>
      <c r="I1608" s="49">
        <f t="shared" si="1510"/>
        <v>2</v>
      </c>
      <c r="J1608" s="11">
        <f t="shared" si="1511"/>
        <v>3</v>
      </c>
      <c r="K1608" s="63">
        <v>45847</v>
      </c>
      <c r="M1608" s="25" t="s">
        <v>28</v>
      </c>
      <c r="N1608" s="8"/>
      <c r="O1608" s="9"/>
      <c r="P1608" s="10">
        <v>5</v>
      </c>
      <c r="Q1608" s="49">
        <f t="shared" si="1515"/>
        <v>5</v>
      </c>
      <c r="R1608" s="12"/>
      <c r="S1608" s="9">
        <v>5</v>
      </c>
      <c r="T1608" s="10">
        <v>5</v>
      </c>
      <c r="U1608" s="49">
        <f t="shared" si="1516"/>
        <v>10</v>
      </c>
      <c r="V1608" s="11">
        <f t="shared" si="1517"/>
        <v>15</v>
      </c>
      <c r="W1608" s="140">
        <v>45869</v>
      </c>
    </row>
    <row r="1609" spans="1:23" x14ac:dyDescent="0.15">
      <c r="A1609" s="26" t="s">
        <v>33</v>
      </c>
      <c r="B1609" s="8">
        <v>1</v>
      </c>
      <c r="C1609" s="9">
        <v>2</v>
      </c>
      <c r="D1609" s="10"/>
      <c r="E1609" s="49">
        <f t="shared" si="1509"/>
        <v>3</v>
      </c>
      <c r="F1609" s="12">
        <v>1</v>
      </c>
      <c r="G1609" s="9"/>
      <c r="H1609" s="10"/>
      <c r="I1609" s="49">
        <f t="shared" si="1510"/>
        <v>1</v>
      </c>
      <c r="J1609" s="11">
        <f t="shared" si="1511"/>
        <v>4</v>
      </c>
      <c r="K1609" s="63">
        <v>45848</v>
      </c>
      <c r="M1609" s="25" t="s">
        <v>28</v>
      </c>
      <c r="N1609" s="8">
        <v>10</v>
      </c>
      <c r="O1609" s="9">
        <v>10</v>
      </c>
      <c r="P1609" s="10"/>
      <c r="Q1609" s="49">
        <f t="shared" si="1515"/>
        <v>20</v>
      </c>
      <c r="R1609" s="12"/>
      <c r="S1609" s="9">
        <v>5</v>
      </c>
      <c r="T1609" s="10"/>
      <c r="U1609" s="49">
        <f t="shared" si="1516"/>
        <v>5</v>
      </c>
      <c r="V1609" s="11">
        <f t="shared" si="1517"/>
        <v>25</v>
      </c>
      <c r="W1609" s="140">
        <v>45871</v>
      </c>
    </row>
    <row r="1610" spans="1:23" x14ac:dyDescent="0.15">
      <c r="A1610" s="26" t="s">
        <v>33</v>
      </c>
      <c r="B1610" s="8">
        <v>1</v>
      </c>
      <c r="C1610" s="9">
        <v>1</v>
      </c>
      <c r="D1610" s="10"/>
      <c r="E1610" s="49">
        <f t="shared" si="1509"/>
        <v>2</v>
      </c>
      <c r="F1610" s="12"/>
      <c r="G1610" s="9">
        <v>1</v>
      </c>
      <c r="H1610" s="10">
        <v>1</v>
      </c>
      <c r="I1610" s="49">
        <f t="shared" si="1510"/>
        <v>2</v>
      </c>
      <c r="J1610" s="11">
        <f t="shared" si="1511"/>
        <v>4</v>
      </c>
      <c r="K1610" s="63">
        <v>45849</v>
      </c>
      <c r="M1610" s="26"/>
      <c r="N1610" s="8"/>
      <c r="O1610" s="9"/>
      <c r="P1610" s="10"/>
      <c r="Q1610" s="49">
        <f t="shared" si="1515"/>
        <v>0</v>
      </c>
      <c r="R1610" s="12"/>
      <c r="S1610" s="9"/>
      <c r="T1610" s="10"/>
      <c r="U1610" s="49">
        <f t="shared" si="1516"/>
        <v>0</v>
      </c>
      <c r="V1610" s="11">
        <f t="shared" si="1517"/>
        <v>0</v>
      </c>
      <c r="W1610" s="142"/>
    </row>
    <row r="1611" spans="1:23" x14ac:dyDescent="0.15">
      <c r="A1611" s="26" t="s">
        <v>33</v>
      </c>
      <c r="B1611" s="8">
        <f>1+2</f>
        <v>3</v>
      </c>
      <c r="C1611" s="9"/>
      <c r="D1611" s="10">
        <v>1</v>
      </c>
      <c r="E1611" s="49">
        <f t="shared" ref="E1611:E1631" si="1518">SUM(B1611:D1611)</f>
        <v>4</v>
      </c>
      <c r="F1611" s="12">
        <v>3</v>
      </c>
      <c r="G1611" s="9">
        <f>1+1</f>
        <v>2</v>
      </c>
      <c r="H1611" s="10"/>
      <c r="I1611" s="49">
        <f t="shared" ref="I1611:I1631" si="1519">SUM(F1611:H1611)</f>
        <v>5</v>
      </c>
      <c r="J1611" s="11">
        <f t="shared" ref="J1611:J1630" si="1520">E1611+I1611</f>
        <v>9</v>
      </c>
      <c r="K1611" s="63">
        <v>45852</v>
      </c>
      <c r="M1611" s="26"/>
      <c r="N1611" s="8"/>
      <c r="O1611" s="9"/>
      <c r="P1611" s="10"/>
      <c r="Q1611" s="49">
        <f t="shared" si="1515"/>
        <v>0</v>
      </c>
      <c r="R1611" s="12"/>
      <c r="S1611" s="9"/>
      <c r="T1611" s="10"/>
      <c r="U1611" s="49">
        <f t="shared" si="1516"/>
        <v>0</v>
      </c>
      <c r="V1611" s="11">
        <f t="shared" si="1517"/>
        <v>0</v>
      </c>
      <c r="W1611" s="142"/>
    </row>
    <row r="1612" spans="1:23" x14ac:dyDescent="0.15">
      <c r="A1612" s="26" t="s">
        <v>33</v>
      </c>
      <c r="B1612" s="8"/>
      <c r="C1612" s="9"/>
      <c r="D1612" s="10">
        <v>1</v>
      </c>
      <c r="E1612" s="49">
        <f t="shared" si="1518"/>
        <v>1</v>
      </c>
      <c r="F1612" s="12"/>
      <c r="G1612" s="9"/>
      <c r="H1612" s="10"/>
      <c r="I1612" s="49">
        <f t="shared" si="1519"/>
        <v>0</v>
      </c>
      <c r="J1612" s="11">
        <f t="shared" si="1520"/>
        <v>1</v>
      </c>
      <c r="K1612" s="63">
        <v>45853</v>
      </c>
      <c r="M1612" s="26"/>
      <c r="N1612" s="8"/>
      <c r="O1612" s="9"/>
      <c r="P1612" s="10"/>
      <c r="Q1612" s="49">
        <f t="shared" si="1515"/>
        <v>0</v>
      </c>
      <c r="R1612" s="12"/>
      <c r="S1612" s="9"/>
      <c r="T1612" s="10"/>
      <c r="U1612" s="49">
        <f t="shared" si="1516"/>
        <v>0</v>
      </c>
      <c r="V1612" s="11">
        <f t="shared" si="1517"/>
        <v>0</v>
      </c>
      <c r="W1612" s="142"/>
    </row>
    <row r="1613" spans="1:23" x14ac:dyDescent="0.15">
      <c r="A1613" s="26" t="s">
        <v>329</v>
      </c>
      <c r="B1613" s="8"/>
      <c r="C1613" s="9">
        <v>1</v>
      </c>
      <c r="D1613" s="10"/>
      <c r="E1613" s="49">
        <f t="shared" si="1518"/>
        <v>1</v>
      </c>
      <c r="F1613" s="12"/>
      <c r="G1613" s="9">
        <v>1</v>
      </c>
      <c r="H1613" s="10"/>
      <c r="I1613" s="49">
        <f t="shared" si="1519"/>
        <v>1</v>
      </c>
      <c r="J1613" s="11">
        <f t="shared" si="1520"/>
        <v>2</v>
      </c>
      <c r="K1613" s="63">
        <v>45856</v>
      </c>
      <c r="M1613" s="26"/>
      <c r="N1613" s="8"/>
      <c r="O1613" s="9"/>
      <c r="P1613" s="10"/>
      <c r="Q1613" s="49">
        <f t="shared" si="1515"/>
        <v>0</v>
      </c>
      <c r="R1613" s="12"/>
      <c r="S1613" s="9"/>
      <c r="T1613" s="10"/>
      <c r="U1613" s="49">
        <f t="shared" si="1516"/>
        <v>0</v>
      </c>
      <c r="V1613" s="11">
        <f t="shared" si="1517"/>
        <v>0</v>
      </c>
      <c r="W1613" s="142"/>
    </row>
    <row r="1614" spans="1:23" x14ac:dyDescent="0.15">
      <c r="A1614" s="26" t="s">
        <v>33</v>
      </c>
      <c r="B1614" s="8"/>
      <c r="C1614" s="9">
        <f>1+1</f>
        <v>2</v>
      </c>
      <c r="D1614" s="10"/>
      <c r="E1614" s="49">
        <f t="shared" si="1518"/>
        <v>2</v>
      </c>
      <c r="F1614" s="12">
        <f>1+1</f>
        <v>2</v>
      </c>
      <c r="G1614" s="9"/>
      <c r="H1614" s="10"/>
      <c r="I1614" s="49">
        <f t="shared" si="1519"/>
        <v>2</v>
      </c>
      <c r="J1614" s="11">
        <f t="shared" si="1520"/>
        <v>4</v>
      </c>
      <c r="K1614" s="63">
        <v>45854</v>
      </c>
      <c r="M1614" s="26"/>
      <c r="N1614" s="8"/>
      <c r="O1614" s="9"/>
      <c r="P1614" s="10"/>
      <c r="Q1614" s="49">
        <f t="shared" si="1515"/>
        <v>0</v>
      </c>
      <c r="R1614" s="12"/>
      <c r="S1614" s="9"/>
      <c r="T1614" s="10"/>
      <c r="U1614" s="49">
        <f t="shared" si="1516"/>
        <v>0</v>
      </c>
      <c r="V1614" s="11">
        <f t="shared" si="1517"/>
        <v>0</v>
      </c>
      <c r="W1614" s="142"/>
    </row>
    <row r="1615" spans="1:23" x14ac:dyDescent="0.15">
      <c r="A1615" s="26" t="s">
        <v>33</v>
      </c>
      <c r="B1615" s="8"/>
      <c r="C1615" s="9">
        <v>1</v>
      </c>
      <c r="D1615" s="10"/>
      <c r="E1615" s="49">
        <f t="shared" si="1518"/>
        <v>1</v>
      </c>
      <c r="F1615" s="12"/>
      <c r="G1615" s="9"/>
      <c r="H1615" s="10"/>
      <c r="I1615" s="49">
        <f t="shared" si="1519"/>
        <v>0</v>
      </c>
      <c r="J1615" s="11">
        <f t="shared" si="1520"/>
        <v>1</v>
      </c>
      <c r="K1615" s="63">
        <v>45855</v>
      </c>
      <c r="M1615" s="26"/>
      <c r="N1615" s="8"/>
      <c r="O1615" s="9"/>
      <c r="P1615" s="10"/>
      <c r="Q1615" s="49">
        <f t="shared" si="1515"/>
        <v>0</v>
      </c>
      <c r="R1615" s="12"/>
      <c r="S1615" s="9"/>
      <c r="T1615" s="10"/>
      <c r="U1615" s="49">
        <f t="shared" si="1516"/>
        <v>0</v>
      </c>
      <c r="V1615" s="11">
        <f t="shared" si="1517"/>
        <v>0</v>
      </c>
      <c r="W1615" s="142"/>
    </row>
    <row r="1616" spans="1:23" x14ac:dyDescent="0.15">
      <c r="A1616" s="26" t="s">
        <v>33</v>
      </c>
      <c r="B1616" s="8">
        <v>2</v>
      </c>
      <c r="C1616" s="9"/>
      <c r="D1616" s="10"/>
      <c r="E1616" s="49">
        <f t="shared" si="1518"/>
        <v>2</v>
      </c>
      <c r="F1616" s="12">
        <v>1</v>
      </c>
      <c r="G1616" s="9"/>
      <c r="H1616" s="10"/>
      <c r="I1616" s="49">
        <f t="shared" si="1519"/>
        <v>1</v>
      </c>
      <c r="J1616" s="11">
        <f t="shared" si="1520"/>
        <v>3</v>
      </c>
      <c r="K1616" s="63">
        <v>45857</v>
      </c>
      <c r="M1616" s="26"/>
      <c r="N1616" s="8"/>
      <c r="O1616" s="9"/>
      <c r="P1616" s="10"/>
      <c r="Q1616" s="49">
        <f t="shared" si="1515"/>
        <v>0</v>
      </c>
      <c r="R1616" s="12"/>
      <c r="S1616" s="9"/>
      <c r="T1616" s="10"/>
      <c r="U1616" s="49">
        <f t="shared" si="1516"/>
        <v>0</v>
      </c>
      <c r="V1616" s="11">
        <f t="shared" si="1517"/>
        <v>0</v>
      </c>
      <c r="W1616" s="142"/>
    </row>
    <row r="1617" spans="1:23" x14ac:dyDescent="0.15">
      <c r="A1617" s="26" t="s">
        <v>33</v>
      </c>
      <c r="B1617" s="8"/>
      <c r="C1617" s="9">
        <f>1+1+1</f>
        <v>3</v>
      </c>
      <c r="D1617" s="10">
        <v>1</v>
      </c>
      <c r="E1617" s="49">
        <f t="shared" si="1518"/>
        <v>4</v>
      </c>
      <c r="F1617" s="12"/>
      <c r="G1617" s="9">
        <f>1+2</f>
        <v>3</v>
      </c>
      <c r="H1617" s="10">
        <v>3</v>
      </c>
      <c r="I1617" s="49">
        <f t="shared" si="1519"/>
        <v>6</v>
      </c>
      <c r="J1617" s="11">
        <f t="shared" si="1520"/>
        <v>10</v>
      </c>
      <c r="K1617" s="63">
        <v>45860</v>
      </c>
      <c r="L1617" s="82"/>
      <c r="M1617" s="26"/>
      <c r="N1617" s="8"/>
      <c r="O1617" s="9"/>
      <c r="P1617" s="10"/>
      <c r="Q1617" s="49">
        <f t="shared" si="1515"/>
        <v>0</v>
      </c>
      <c r="R1617" s="12"/>
      <c r="S1617" s="9"/>
      <c r="T1617" s="10"/>
      <c r="U1617" s="49">
        <f t="shared" si="1516"/>
        <v>0</v>
      </c>
      <c r="V1617" s="11">
        <f t="shared" si="1517"/>
        <v>0</v>
      </c>
      <c r="W1617" s="142"/>
    </row>
    <row r="1618" spans="1:23" x14ac:dyDescent="0.15">
      <c r="A1618" s="26" t="s">
        <v>33</v>
      </c>
      <c r="B1618" s="8"/>
      <c r="C1618" s="9"/>
      <c r="D1618" s="10">
        <v>1</v>
      </c>
      <c r="E1618" s="49">
        <f t="shared" si="1518"/>
        <v>1</v>
      </c>
      <c r="F1618" s="12"/>
      <c r="G1618" s="9">
        <v>2</v>
      </c>
      <c r="H1618" s="10"/>
      <c r="I1618" s="49">
        <f t="shared" si="1519"/>
        <v>2</v>
      </c>
      <c r="J1618" s="11">
        <f t="shared" si="1520"/>
        <v>3</v>
      </c>
      <c r="K1618" s="63">
        <v>45861</v>
      </c>
      <c r="M1618" s="26"/>
      <c r="N1618" s="8"/>
      <c r="O1618" s="9"/>
      <c r="P1618" s="10"/>
      <c r="Q1618" s="49">
        <f t="shared" si="1515"/>
        <v>0</v>
      </c>
      <c r="R1618" s="12"/>
      <c r="S1618" s="9"/>
      <c r="T1618" s="10"/>
      <c r="U1618" s="49">
        <f t="shared" si="1516"/>
        <v>0</v>
      </c>
      <c r="V1618" s="11">
        <f t="shared" si="1517"/>
        <v>0</v>
      </c>
      <c r="W1618" s="142"/>
    </row>
    <row r="1619" spans="1:23" x14ac:dyDescent="0.15">
      <c r="A1619" s="26" t="s">
        <v>329</v>
      </c>
      <c r="B1619" s="8"/>
      <c r="C1619" s="9"/>
      <c r="D1619" s="10">
        <v>1</v>
      </c>
      <c r="E1619" s="49">
        <f t="shared" si="1518"/>
        <v>1</v>
      </c>
      <c r="F1619" s="12"/>
      <c r="G1619" s="9"/>
      <c r="H1619" s="10">
        <v>1</v>
      </c>
      <c r="I1619" s="49">
        <f t="shared" si="1519"/>
        <v>1</v>
      </c>
      <c r="J1619" s="11">
        <f t="shared" si="1520"/>
        <v>2</v>
      </c>
      <c r="K1619" s="63">
        <v>45863</v>
      </c>
      <c r="L1619" s="82"/>
      <c r="M1619" s="26"/>
      <c r="N1619" s="8"/>
      <c r="O1619" s="9"/>
      <c r="P1619" s="10"/>
      <c r="Q1619" s="49">
        <f t="shared" si="1515"/>
        <v>0</v>
      </c>
      <c r="R1619" s="12"/>
      <c r="S1619" s="9"/>
      <c r="T1619" s="10"/>
      <c r="U1619" s="49">
        <f t="shared" si="1516"/>
        <v>0</v>
      </c>
      <c r="V1619" s="11">
        <f t="shared" si="1517"/>
        <v>0</v>
      </c>
      <c r="W1619" s="142"/>
    </row>
    <row r="1620" spans="1:23" x14ac:dyDescent="0.15">
      <c r="A1620" s="26" t="s">
        <v>33</v>
      </c>
      <c r="B1620" s="8">
        <v>1</v>
      </c>
      <c r="C1620" s="9"/>
      <c r="D1620" s="10">
        <v>1</v>
      </c>
      <c r="E1620" s="49">
        <f t="shared" si="1518"/>
        <v>2</v>
      </c>
      <c r="F1620" s="12">
        <v>1</v>
      </c>
      <c r="G1620" s="9"/>
      <c r="H1620" s="10">
        <v>1</v>
      </c>
      <c r="I1620" s="49">
        <f t="shared" si="1519"/>
        <v>2</v>
      </c>
      <c r="J1620" s="11">
        <f t="shared" si="1520"/>
        <v>4</v>
      </c>
      <c r="K1620" s="63">
        <v>45862</v>
      </c>
      <c r="L1620" s="82"/>
      <c r="M1620" s="26"/>
      <c r="N1620" s="8"/>
      <c r="O1620" s="9"/>
      <c r="P1620" s="10"/>
      <c r="Q1620" s="49">
        <f t="shared" si="1515"/>
        <v>0</v>
      </c>
      <c r="R1620" s="12"/>
      <c r="S1620" s="9"/>
      <c r="T1620" s="10"/>
      <c r="U1620" s="49">
        <f t="shared" si="1516"/>
        <v>0</v>
      </c>
      <c r="V1620" s="11">
        <f t="shared" si="1517"/>
        <v>0</v>
      </c>
      <c r="W1620" s="142"/>
    </row>
    <row r="1621" spans="1:23" x14ac:dyDescent="0.15">
      <c r="A1621" s="26" t="s">
        <v>329</v>
      </c>
      <c r="B1621" s="8">
        <v>1</v>
      </c>
      <c r="C1621" s="9"/>
      <c r="D1621" s="10"/>
      <c r="E1621" s="49">
        <f t="shared" si="1518"/>
        <v>1</v>
      </c>
      <c r="F1621" s="12">
        <v>1</v>
      </c>
      <c r="G1621" s="9"/>
      <c r="H1621" s="10"/>
      <c r="I1621" s="49">
        <f t="shared" si="1519"/>
        <v>1</v>
      </c>
      <c r="J1621" s="11">
        <f t="shared" si="1520"/>
        <v>2</v>
      </c>
      <c r="K1621" s="63">
        <v>45866</v>
      </c>
      <c r="L1621" s="82"/>
      <c r="M1621" s="26"/>
      <c r="N1621" s="8"/>
      <c r="O1621" s="9"/>
      <c r="P1621" s="10"/>
      <c r="Q1621" s="49">
        <f t="shared" si="1515"/>
        <v>0</v>
      </c>
      <c r="R1621" s="12"/>
      <c r="S1621" s="9"/>
      <c r="T1621" s="10"/>
      <c r="U1621" s="49">
        <f t="shared" si="1516"/>
        <v>0</v>
      </c>
      <c r="V1621" s="11">
        <f t="shared" si="1517"/>
        <v>0</v>
      </c>
      <c r="W1621" s="142"/>
    </row>
    <row r="1622" spans="1:23" x14ac:dyDescent="0.15">
      <c r="A1622" s="26" t="s">
        <v>33</v>
      </c>
      <c r="B1622" s="8">
        <f>1+2</f>
        <v>3</v>
      </c>
      <c r="C1622" s="9"/>
      <c r="D1622" s="10">
        <v>2</v>
      </c>
      <c r="E1622" s="49">
        <f t="shared" si="1518"/>
        <v>5</v>
      </c>
      <c r="F1622" s="12"/>
      <c r="G1622" s="9"/>
      <c r="H1622" s="10">
        <v>2</v>
      </c>
      <c r="I1622" s="49">
        <f t="shared" si="1519"/>
        <v>2</v>
      </c>
      <c r="J1622" s="11">
        <f t="shared" si="1520"/>
        <v>7</v>
      </c>
      <c r="K1622" s="63">
        <v>45863</v>
      </c>
      <c r="L1622" s="82"/>
      <c r="M1622" s="26"/>
      <c r="N1622" s="8"/>
      <c r="O1622" s="9"/>
      <c r="P1622" s="10"/>
      <c r="Q1622" s="49">
        <f t="shared" si="1515"/>
        <v>0</v>
      </c>
      <c r="R1622" s="12"/>
      <c r="S1622" s="9"/>
      <c r="T1622" s="10"/>
      <c r="U1622" s="49">
        <f t="shared" si="1516"/>
        <v>0</v>
      </c>
      <c r="V1622" s="11">
        <f t="shared" si="1517"/>
        <v>0</v>
      </c>
      <c r="W1622" s="142"/>
    </row>
    <row r="1623" spans="1:23" x14ac:dyDescent="0.15">
      <c r="A1623" s="26" t="s">
        <v>33</v>
      </c>
      <c r="B1623" s="8"/>
      <c r="C1623" s="9">
        <f>2+3+1</f>
        <v>6</v>
      </c>
      <c r="D1623" s="10">
        <v>1</v>
      </c>
      <c r="E1623" s="49">
        <f t="shared" si="1518"/>
        <v>7</v>
      </c>
      <c r="F1623" s="12"/>
      <c r="G1623" s="9">
        <v>2</v>
      </c>
      <c r="H1623" s="10">
        <v>2</v>
      </c>
      <c r="I1623" s="49">
        <f t="shared" si="1519"/>
        <v>4</v>
      </c>
      <c r="J1623" s="11">
        <f t="shared" si="1520"/>
        <v>11</v>
      </c>
      <c r="K1623" s="63">
        <v>45866</v>
      </c>
      <c r="L1623" s="82"/>
      <c r="M1623" s="26"/>
      <c r="N1623" s="8"/>
      <c r="O1623" s="9"/>
      <c r="P1623" s="10"/>
      <c r="Q1623" s="49">
        <f t="shared" si="1515"/>
        <v>0</v>
      </c>
      <c r="R1623" s="12"/>
      <c r="S1623" s="9"/>
      <c r="T1623" s="10"/>
      <c r="U1623" s="49">
        <f t="shared" si="1516"/>
        <v>0</v>
      </c>
      <c r="V1623" s="11">
        <f t="shared" si="1517"/>
        <v>0</v>
      </c>
      <c r="W1623" s="142"/>
    </row>
    <row r="1624" spans="1:23" x14ac:dyDescent="0.15">
      <c r="A1624" s="26" t="s">
        <v>329</v>
      </c>
      <c r="B1624" s="8"/>
      <c r="C1624" s="9">
        <v>4</v>
      </c>
      <c r="D1624" s="10">
        <v>2</v>
      </c>
      <c r="E1624" s="49">
        <f t="shared" si="1518"/>
        <v>6</v>
      </c>
      <c r="F1624" s="12"/>
      <c r="G1624" s="9">
        <v>4</v>
      </c>
      <c r="H1624" s="10">
        <v>2</v>
      </c>
      <c r="I1624" s="49">
        <f t="shared" si="1519"/>
        <v>6</v>
      </c>
      <c r="J1624" s="11">
        <f t="shared" si="1520"/>
        <v>12</v>
      </c>
      <c r="K1624" s="63">
        <v>45869</v>
      </c>
      <c r="L1624" s="82"/>
      <c r="M1624" s="26"/>
      <c r="N1624" s="8"/>
      <c r="O1624" s="9"/>
      <c r="P1624" s="10"/>
      <c r="Q1624" s="49">
        <f t="shared" si="1515"/>
        <v>0</v>
      </c>
      <c r="R1624" s="12"/>
      <c r="S1624" s="9"/>
      <c r="T1624" s="10"/>
      <c r="U1624" s="49">
        <f t="shared" si="1516"/>
        <v>0</v>
      </c>
      <c r="V1624" s="11">
        <f t="shared" si="1517"/>
        <v>0</v>
      </c>
      <c r="W1624" s="142"/>
    </row>
    <row r="1625" spans="1:23" x14ac:dyDescent="0.15">
      <c r="A1625" s="26" t="s">
        <v>33</v>
      </c>
      <c r="B1625" s="8"/>
      <c r="C1625" s="9">
        <f>1+1</f>
        <v>2</v>
      </c>
      <c r="D1625" s="10">
        <v>1</v>
      </c>
      <c r="E1625" s="49">
        <f t="shared" si="1518"/>
        <v>3</v>
      </c>
      <c r="F1625" s="12"/>
      <c r="G1625" s="9"/>
      <c r="H1625" s="10">
        <v>1</v>
      </c>
      <c r="I1625" s="49">
        <f t="shared" si="1519"/>
        <v>1</v>
      </c>
      <c r="J1625" s="11">
        <f t="shared" si="1520"/>
        <v>4</v>
      </c>
      <c r="K1625" s="63">
        <v>45867</v>
      </c>
      <c r="L1625" s="82"/>
      <c r="M1625" s="26"/>
      <c r="N1625" s="8"/>
      <c r="O1625" s="9"/>
      <c r="P1625" s="10"/>
      <c r="Q1625" s="49">
        <f t="shared" si="1515"/>
        <v>0</v>
      </c>
      <c r="R1625" s="12"/>
      <c r="S1625" s="9"/>
      <c r="T1625" s="10"/>
      <c r="U1625" s="49">
        <f t="shared" si="1516"/>
        <v>0</v>
      </c>
      <c r="V1625" s="11">
        <f t="shared" si="1517"/>
        <v>0</v>
      </c>
      <c r="W1625" s="142"/>
    </row>
    <row r="1626" spans="1:23" x14ac:dyDescent="0.15">
      <c r="A1626" s="26" t="s">
        <v>33</v>
      </c>
      <c r="B1626" s="8"/>
      <c r="C1626" s="9"/>
      <c r="D1626" s="10"/>
      <c r="E1626" s="49">
        <f t="shared" si="1518"/>
        <v>0</v>
      </c>
      <c r="F1626" s="12">
        <v>1</v>
      </c>
      <c r="G1626" s="9">
        <f>1+1</f>
        <v>2</v>
      </c>
      <c r="H1626" s="10"/>
      <c r="I1626" s="49">
        <f t="shared" si="1519"/>
        <v>3</v>
      </c>
      <c r="J1626" s="11">
        <f t="shared" si="1520"/>
        <v>3</v>
      </c>
      <c r="K1626" s="63">
        <v>45868</v>
      </c>
      <c r="M1626" s="26"/>
      <c r="N1626" s="8"/>
      <c r="O1626" s="9"/>
      <c r="P1626" s="10"/>
      <c r="Q1626" s="49">
        <f t="shared" si="1515"/>
        <v>0</v>
      </c>
      <c r="R1626" s="12"/>
      <c r="S1626" s="9"/>
      <c r="T1626" s="10"/>
      <c r="U1626" s="49">
        <f t="shared" si="1516"/>
        <v>0</v>
      </c>
      <c r="V1626" s="11">
        <f t="shared" si="1517"/>
        <v>0</v>
      </c>
      <c r="W1626" s="142"/>
    </row>
    <row r="1627" spans="1:23" x14ac:dyDescent="0.15">
      <c r="A1627" s="26" t="s">
        <v>33</v>
      </c>
      <c r="B1627" s="8"/>
      <c r="C1627" s="9"/>
      <c r="D1627" s="10">
        <v>1</v>
      </c>
      <c r="E1627" s="49">
        <f t="shared" si="1518"/>
        <v>1</v>
      </c>
      <c r="F1627" s="12"/>
      <c r="G1627" s="9"/>
      <c r="H1627" s="10">
        <v>1</v>
      </c>
      <c r="I1627" s="49">
        <f t="shared" si="1519"/>
        <v>1</v>
      </c>
      <c r="J1627" s="11">
        <f t="shared" si="1520"/>
        <v>2</v>
      </c>
      <c r="K1627" s="63">
        <v>45869</v>
      </c>
      <c r="M1627" s="26"/>
      <c r="N1627" s="8"/>
      <c r="O1627" s="9"/>
      <c r="P1627" s="10"/>
      <c r="Q1627" s="49">
        <f t="shared" si="1515"/>
        <v>0</v>
      </c>
      <c r="R1627" s="12"/>
      <c r="S1627" s="9"/>
      <c r="T1627" s="10"/>
      <c r="U1627" s="49">
        <f t="shared" si="1516"/>
        <v>0</v>
      </c>
      <c r="V1627" s="11">
        <f t="shared" si="1517"/>
        <v>0</v>
      </c>
      <c r="W1627" s="142"/>
    </row>
    <row r="1628" spans="1:23" x14ac:dyDescent="0.15">
      <c r="A1628" s="26" t="s">
        <v>329</v>
      </c>
      <c r="B1628" s="8"/>
      <c r="C1628" s="9">
        <v>1</v>
      </c>
      <c r="D1628" s="10"/>
      <c r="E1628" s="49">
        <f t="shared" si="1518"/>
        <v>1</v>
      </c>
      <c r="F1628" s="12"/>
      <c r="G1628" s="9">
        <v>1</v>
      </c>
      <c r="H1628" s="10"/>
      <c r="I1628" s="49">
        <f t="shared" si="1519"/>
        <v>1</v>
      </c>
      <c r="J1628" s="11">
        <f t="shared" si="1520"/>
        <v>2</v>
      </c>
      <c r="K1628" s="63">
        <v>45873</v>
      </c>
      <c r="M1628" s="26"/>
      <c r="N1628" s="8"/>
      <c r="O1628" s="9"/>
      <c r="P1628" s="10"/>
      <c r="Q1628" s="49">
        <f t="shared" si="1515"/>
        <v>0</v>
      </c>
      <c r="R1628" s="12"/>
      <c r="S1628" s="9"/>
      <c r="T1628" s="10"/>
      <c r="U1628" s="49">
        <f t="shared" si="1516"/>
        <v>0</v>
      </c>
      <c r="V1628" s="11">
        <f t="shared" si="1517"/>
        <v>0</v>
      </c>
      <c r="W1628" s="142"/>
    </row>
    <row r="1629" spans="1:23" x14ac:dyDescent="0.15">
      <c r="A1629" s="26" t="s">
        <v>33</v>
      </c>
      <c r="B1629" s="8">
        <v>1</v>
      </c>
      <c r="C1629" s="9"/>
      <c r="D1629" s="10"/>
      <c r="E1629" s="49">
        <f t="shared" si="1518"/>
        <v>1</v>
      </c>
      <c r="F1629" s="12">
        <v>1</v>
      </c>
      <c r="G1629" s="9"/>
      <c r="H1629" s="10"/>
      <c r="I1629" s="49">
        <f t="shared" si="1519"/>
        <v>1</v>
      </c>
      <c r="J1629" s="11">
        <f t="shared" si="1520"/>
        <v>2</v>
      </c>
      <c r="K1629" s="63">
        <v>45870</v>
      </c>
      <c r="M1629" s="26"/>
      <c r="N1629" s="8"/>
      <c r="O1629" s="9"/>
      <c r="P1629" s="10"/>
      <c r="Q1629" s="49">
        <f t="shared" si="1515"/>
        <v>0</v>
      </c>
      <c r="R1629" s="12"/>
      <c r="S1629" s="9"/>
      <c r="T1629" s="10"/>
      <c r="U1629" s="49">
        <f t="shared" si="1516"/>
        <v>0</v>
      </c>
      <c r="V1629" s="11">
        <f t="shared" si="1517"/>
        <v>0</v>
      </c>
      <c r="W1629" s="142"/>
    </row>
    <row r="1630" spans="1:23" ht="14.25" thickBot="1" x14ac:dyDescent="0.2">
      <c r="A1630" s="26" t="s">
        <v>329</v>
      </c>
      <c r="B1630" s="8"/>
      <c r="C1630" s="9">
        <v>1</v>
      </c>
      <c r="D1630" s="10">
        <v>2</v>
      </c>
      <c r="E1630" s="49">
        <f t="shared" si="1518"/>
        <v>3</v>
      </c>
      <c r="F1630" s="12"/>
      <c r="G1630" s="9">
        <v>1</v>
      </c>
      <c r="H1630" s="10">
        <v>2</v>
      </c>
      <c r="I1630" s="49">
        <f t="shared" si="1519"/>
        <v>3</v>
      </c>
      <c r="J1630" s="11">
        <f t="shared" si="1520"/>
        <v>6</v>
      </c>
      <c r="K1630" s="63">
        <v>45875</v>
      </c>
      <c r="M1630" s="26" t="s">
        <v>507</v>
      </c>
      <c r="N1630" s="8"/>
      <c r="O1630" s="9"/>
      <c r="P1630" s="10"/>
      <c r="Q1630" s="49">
        <f t="shared" ref="Q1630" si="1521">SUM(N1630:P1630)</f>
        <v>0</v>
      </c>
      <c r="R1630" s="12"/>
      <c r="S1630" s="9"/>
      <c r="T1630" s="10"/>
      <c r="U1630" s="49">
        <f t="shared" ref="U1630" si="1522">SUM(R1630:T1630)</f>
        <v>0</v>
      </c>
      <c r="V1630" s="11">
        <f t="shared" ref="V1630" si="1523">Q1630+U1630</f>
        <v>0</v>
      </c>
      <c r="W1630" s="142" t="s">
        <v>257</v>
      </c>
    </row>
    <row r="1631" spans="1:23" ht="14.25" thickBot="1" x14ac:dyDescent="0.2">
      <c r="A1631" s="41" t="s">
        <v>19</v>
      </c>
      <c r="B1631" s="46">
        <f>SUM(B1605:B1630)</f>
        <v>18</v>
      </c>
      <c r="C1631" s="47">
        <f t="shared" ref="C1631:D1631" si="1524">SUM(C1605:C1630)</f>
        <v>30</v>
      </c>
      <c r="D1631" s="59">
        <f t="shared" si="1524"/>
        <v>19</v>
      </c>
      <c r="E1631" s="45">
        <f t="shared" si="1518"/>
        <v>67</v>
      </c>
      <c r="F1631" s="46">
        <f>SUM(F1605:F1630)</f>
        <v>13</v>
      </c>
      <c r="G1631" s="47">
        <f t="shared" ref="G1631:H1631" si="1525">SUM(G1605:G1630)</f>
        <v>24</v>
      </c>
      <c r="H1631" s="59">
        <f t="shared" si="1525"/>
        <v>21</v>
      </c>
      <c r="I1631" s="45">
        <f t="shared" si="1519"/>
        <v>58</v>
      </c>
      <c r="J1631" s="45">
        <f>E1631+I1631</f>
        <v>125</v>
      </c>
      <c r="M1631" s="41" t="s">
        <v>19</v>
      </c>
      <c r="N1631" s="46">
        <f>SUM(N1605:N1630)</f>
        <v>22</v>
      </c>
      <c r="O1631" s="47">
        <f t="shared" ref="O1631:P1631" si="1526">SUM(O1605:O1630)</f>
        <v>23</v>
      </c>
      <c r="P1631" s="59">
        <f t="shared" si="1526"/>
        <v>9</v>
      </c>
      <c r="Q1631" s="45">
        <f t="shared" si="1515"/>
        <v>54</v>
      </c>
      <c r="R1631" s="46">
        <f>SUM(R1605:R1630)</f>
        <v>12</v>
      </c>
      <c r="S1631" s="47">
        <f t="shared" ref="S1631:T1631" si="1527">SUM(S1605:S1630)</f>
        <v>23</v>
      </c>
      <c r="T1631" s="59">
        <f t="shared" si="1527"/>
        <v>9</v>
      </c>
      <c r="U1631" s="45">
        <f t="shared" si="1516"/>
        <v>44</v>
      </c>
      <c r="V1631" s="45">
        <f>Q1631+U1631</f>
        <v>98</v>
      </c>
    </row>
    <row r="1632" spans="1:23" ht="14.25" thickBot="1" x14ac:dyDescent="0.2">
      <c r="A1632" s="22" t="s">
        <v>17</v>
      </c>
      <c r="B1632" s="50">
        <f>B1604-B1631</f>
        <v>22</v>
      </c>
      <c r="C1632" s="57">
        <f t="shared" ref="C1632:D1632" si="1528">C1604-C1631</f>
        <v>16</v>
      </c>
      <c r="D1632" s="58">
        <f t="shared" si="1528"/>
        <v>11</v>
      </c>
      <c r="E1632" s="56">
        <f>SUM(B1632:D1632)</f>
        <v>49</v>
      </c>
      <c r="F1632" s="50">
        <f>F1604-F1631</f>
        <v>13</v>
      </c>
      <c r="G1632" s="57">
        <f t="shared" ref="G1632:H1632" si="1529">G1604-G1631</f>
        <v>15</v>
      </c>
      <c r="H1632" s="58">
        <f t="shared" si="1529"/>
        <v>12</v>
      </c>
      <c r="I1632" s="56">
        <f>SUM(F1632:H1632)</f>
        <v>40</v>
      </c>
      <c r="J1632" s="31">
        <f>E1632+I1632</f>
        <v>89</v>
      </c>
      <c r="M1632" s="22" t="s">
        <v>17</v>
      </c>
      <c r="N1632" s="50">
        <f>N1604-N1631</f>
        <v>428</v>
      </c>
      <c r="O1632" s="57">
        <f t="shared" ref="O1632:P1632" si="1530">O1604-O1631</f>
        <v>504</v>
      </c>
      <c r="P1632" s="58">
        <f t="shared" si="1530"/>
        <v>237</v>
      </c>
      <c r="Q1632" s="56">
        <f>SUM(N1632:P1632)</f>
        <v>1169</v>
      </c>
      <c r="R1632" s="50">
        <f>R1604-R1631</f>
        <v>427</v>
      </c>
      <c r="S1632" s="57">
        <f t="shared" ref="S1632:T1632" si="1531">S1604-S1631</f>
        <v>460</v>
      </c>
      <c r="T1632" s="58">
        <f t="shared" si="1531"/>
        <v>192</v>
      </c>
      <c r="U1632" s="56">
        <f>SUM(R1632:T1632)</f>
        <v>1079</v>
      </c>
      <c r="V1632" s="31">
        <f>Q1632+U1632</f>
        <v>2248</v>
      </c>
    </row>
    <row r="1635" spans="1:25" ht="19.5" thickBot="1" x14ac:dyDescent="0.25">
      <c r="A1635" s="3" t="s">
        <v>21</v>
      </c>
      <c r="B1635" s="1"/>
      <c r="C1635" s="1"/>
      <c r="D1635" s="1"/>
      <c r="E1635" s="1"/>
      <c r="F1635" s="1"/>
      <c r="G1635" s="1"/>
      <c r="H1635" s="1" t="s">
        <v>498</v>
      </c>
      <c r="I1635" s="1"/>
      <c r="J1635" s="1"/>
      <c r="M1635" s="3" t="s">
        <v>22</v>
      </c>
      <c r="N1635" s="1"/>
      <c r="O1635" s="1"/>
      <c r="P1635" s="1"/>
      <c r="Q1635" s="1"/>
      <c r="R1635" s="1"/>
      <c r="S1635" s="1" t="s">
        <v>498</v>
      </c>
      <c r="T1635" s="1"/>
      <c r="U1635" s="1"/>
      <c r="V1635" s="1">
        <v>580</v>
      </c>
    </row>
    <row r="1636" spans="1:25" ht="14.25" thickBot="1" x14ac:dyDescent="0.2">
      <c r="A1636" s="7" t="s">
        <v>0</v>
      </c>
      <c r="B1636" s="165" t="s">
        <v>24</v>
      </c>
      <c r="C1636" s="166"/>
      <c r="D1636" s="166"/>
      <c r="E1636" s="170"/>
      <c r="F1636" s="165" t="s">
        <v>18</v>
      </c>
      <c r="G1636" s="166"/>
      <c r="H1636" s="166"/>
      <c r="I1636" s="167"/>
      <c r="J1636" s="168" t="s">
        <v>1</v>
      </c>
      <c r="M1636" s="7" t="s">
        <v>0</v>
      </c>
      <c r="N1636" s="165" t="s">
        <v>24</v>
      </c>
      <c r="O1636" s="166"/>
      <c r="P1636" s="166"/>
      <c r="Q1636" s="170"/>
      <c r="R1636" s="165" t="s">
        <v>18</v>
      </c>
      <c r="S1636" s="166"/>
      <c r="T1636" s="166"/>
      <c r="U1636" s="167"/>
      <c r="V1636" s="168" t="s">
        <v>1</v>
      </c>
    </row>
    <row r="1637" spans="1:25" ht="14.25" thickBot="1" x14ac:dyDescent="0.2">
      <c r="A1637" s="7" t="s">
        <v>2</v>
      </c>
      <c r="B1637" s="4" t="s">
        <v>3</v>
      </c>
      <c r="C1637" s="5" t="s">
        <v>4</v>
      </c>
      <c r="D1637" s="6" t="s">
        <v>5</v>
      </c>
      <c r="E1637" s="7" t="s">
        <v>6</v>
      </c>
      <c r="F1637" s="4" t="s">
        <v>3</v>
      </c>
      <c r="G1637" s="5" t="s">
        <v>4</v>
      </c>
      <c r="H1637" s="6" t="s">
        <v>5</v>
      </c>
      <c r="I1637" s="7" t="s">
        <v>6</v>
      </c>
      <c r="J1637" s="169"/>
      <c r="M1637" s="7" t="s">
        <v>2</v>
      </c>
      <c r="N1637" s="4" t="s">
        <v>3</v>
      </c>
      <c r="O1637" s="5" t="s">
        <v>4</v>
      </c>
      <c r="P1637" s="6" t="s">
        <v>5</v>
      </c>
      <c r="Q1637" s="7" t="s">
        <v>6</v>
      </c>
      <c r="R1637" s="4" t="s">
        <v>3</v>
      </c>
      <c r="S1637" s="5" t="s">
        <v>4</v>
      </c>
      <c r="T1637" s="6" t="s">
        <v>5</v>
      </c>
      <c r="U1637" s="7" t="s">
        <v>6</v>
      </c>
      <c r="V1637" s="169"/>
    </row>
    <row r="1638" spans="1:25" ht="14.25" thickBot="1" x14ac:dyDescent="0.2">
      <c r="A1638" s="27" t="s">
        <v>20</v>
      </c>
      <c r="B1638" s="28">
        <f>B1632</f>
        <v>22</v>
      </c>
      <c r="C1638" s="29">
        <f>C1632</f>
        <v>16</v>
      </c>
      <c r="D1638" s="30">
        <f>D1632</f>
        <v>11</v>
      </c>
      <c r="E1638" s="31">
        <f>SUM(B1638:D1638)</f>
        <v>49</v>
      </c>
      <c r="F1638" s="28">
        <f>F1632</f>
        <v>13</v>
      </c>
      <c r="G1638" s="29">
        <f>G1632</f>
        <v>15</v>
      </c>
      <c r="H1638" s="30">
        <f>H1632</f>
        <v>12</v>
      </c>
      <c r="I1638" s="31">
        <f>SUM(F1638:H1638)</f>
        <v>40</v>
      </c>
      <c r="J1638" s="31">
        <f>E1638+I1638</f>
        <v>89</v>
      </c>
      <c r="M1638" s="27" t="s">
        <v>20</v>
      </c>
      <c r="N1638" s="28">
        <f>N1632</f>
        <v>428</v>
      </c>
      <c r="O1638" s="29">
        <f>O1632</f>
        <v>504</v>
      </c>
      <c r="P1638" s="30">
        <f>P1632</f>
        <v>237</v>
      </c>
      <c r="Q1638" s="31">
        <f>SUM(N1638:P1638)</f>
        <v>1169</v>
      </c>
      <c r="R1638" s="28">
        <f>R1632</f>
        <v>427</v>
      </c>
      <c r="S1638" s="29">
        <f>S1632</f>
        <v>460</v>
      </c>
      <c r="T1638" s="30">
        <f>T1632</f>
        <v>192</v>
      </c>
      <c r="U1638" s="31">
        <f>SUM(R1638:T1638)</f>
        <v>1079</v>
      </c>
      <c r="V1638" s="31">
        <f>Q1638+U1638</f>
        <v>2248</v>
      </c>
    </row>
    <row r="1639" spans="1:25" x14ac:dyDescent="0.15">
      <c r="A1639" s="25" t="s">
        <v>8</v>
      </c>
      <c r="B1639" s="8">
        <v>5</v>
      </c>
      <c r="C1639" s="9">
        <v>5</v>
      </c>
      <c r="D1639" s="52">
        <v>5</v>
      </c>
      <c r="E1639" s="11">
        <f t="shared" ref="E1639:E1642" si="1532">SUM(B1639:D1639)</f>
        <v>15</v>
      </c>
      <c r="F1639" s="12">
        <v>5</v>
      </c>
      <c r="G1639" s="9"/>
      <c r="H1639" s="10"/>
      <c r="I1639" s="11">
        <f t="shared" ref="I1639:I1642" si="1533">SUM(F1639:H1639)</f>
        <v>5</v>
      </c>
      <c r="J1639" s="11">
        <f t="shared" ref="J1639:J1642" si="1534">E1639+I1639</f>
        <v>20</v>
      </c>
      <c r="K1639" s="63">
        <v>45878</v>
      </c>
      <c r="M1639" s="25" t="s">
        <v>8</v>
      </c>
      <c r="N1639" s="17"/>
      <c r="O1639" s="18"/>
      <c r="P1639" s="51"/>
      <c r="Q1639" s="49">
        <f t="shared" ref="Q1639:Q1646" si="1535">SUM(N1639:P1639)</f>
        <v>0</v>
      </c>
      <c r="R1639" s="20"/>
      <c r="S1639" s="18"/>
      <c r="T1639" s="19"/>
      <c r="U1639" s="49">
        <f t="shared" ref="U1639:U1646" si="1536">SUM(R1639:T1639)</f>
        <v>0</v>
      </c>
      <c r="V1639" s="49">
        <f t="shared" ref="V1639:V1646" si="1537">Q1639+U1639</f>
        <v>0</v>
      </c>
      <c r="W1639" s="140"/>
    </row>
    <row r="1640" spans="1:25" x14ac:dyDescent="0.15">
      <c r="A1640" s="25" t="s">
        <v>143</v>
      </c>
      <c r="B1640" s="8"/>
      <c r="C1640" s="9">
        <v>1</v>
      </c>
      <c r="D1640" s="52"/>
      <c r="E1640" s="11">
        <f t="shared" si="1532"/>
        <v>1</v>
      </c>
      <c r="F1640" s="12"/>
      <c r="G1640" s="9">
        <v>1</v>
      </c>
      <c r="H1640" s="10"/>
      <c r="I1640" s="11">
        <f t="shared" si="1533"/>
        <v>1</v>
      </c>
      <c r="J1640" s="11">
        <f t="shared" si="1534"/>
        <v>2</v>
      </c>
      <c r="K1640" s="63">
        <v>45874</v>
      </c>
      <c r="L1640" s="82"/>
      <c r="M1640" s="25" t="s">
        <v>9</v>
      </c>
      <c r="N1640" s="8"/>
      <c r="O1640" s="9"/>
      <c r="P1640" s="52"/>
      <c r="Q1640" s="11">
        <f t="shared" ref="Q1640" si="1538">SUM(N1640:P1640)</f>
        <v>0</v>
      </c>
      <c r="R1640" s="12"/>
      <c r="S1640" s="9"/>
      <c r="T1640" s="10"/>
      <c r="U1640" s="11">
        <f t="shared" ref="U1640" si="1539">SUM(R1640:T1640)</f>
        <v>0</v>
      </c>
      <c r="V1640" s="11">
        <f t="shared" ref="V1640" si="1540">Q1640+U1640</f>
        <v>0</v>
      </c>
      <c r="W1640" s="140"/>
    </row>
    <row r="1641" spans="1:25" x14ac:dyDescent="0.15">
      <c r="A1641" s="25" t="s">
        <v>10</v>
      </c>
      <c r="B1641" s="8">
        <v>5</v>
      </c>
      <c r="C1641" s="9"/>
      <c r="D1641" s="52"/>
      <c r="E1641" s="11">
        <f t="shared" si="1532"/>
        <v>5</v>
      </c>
      <c r="F1641" s="12">
        <v>5</v>
      </c>
      <c r="G1641" s="9"/>
      <c r="H1641" s="10">
        <v>5</v>
      </c>
      <c r="I1641" s="11">
        <f t="shared" si="1533"/>
        <v>10</v>
      </c>
      <c r="J1641" s="11">
        <f t="shared" si="1534"/>
        <v>15</v>
      </c>
      <c r="K1641" s="63">
        <v>45889</v>
      </c>
      <c r="L1641" s="82"/>
      <c r="M1641" s="25" t="s">
        <v>10</v>
      </c>
      <c r="N1641" s="8"/>
      <c r="O1641" s="9"/>
      <c r="P1641" s="52"/>
      <c r="Q1641" s="11">
        <f t="shared" si="1535"/>
        <v>0</v>
      </c>
      <c r="R1641" s="12"/>
      <c r="S1641" s="9"/>
      <c r="T1641" s="10"/>
      <c r="U1641" s="11">
        <f t="shared" si="1536"/>
        <v>0</v>
      </c>
      <c r="V1641" s="11">
        <f t="shared" si="1537"/>
        <v>0</v>
      </c>
      <c r="W1641" s="140"/>
    </row>
    <row r="1642" spans="1:25" x14ac:dyDescent="0.15">
      <c r="A1642" s="25" t="s">
        <v>11</v>
      </c>
      <c r="B1642" s="8">
        <v>5</v>
      </c>
      <c r="C1642" s="9">
        <v>5</v>
      </c>
      <c r="D1642" s="52">
        <v>5</v>
      </c>
      <c r="E1642" s="11">
        <f t="shared" si="1532"/>
        <v>15</v>
      </c>
      <c r="F1642" s="12">
        <v>10</v>
      </c>
      <c r="G1642" s="9">
        <v>5</v>
      </c>
      <c r="H1642" s="10">
        <v>5</v>
      </c>
      <c r="I1642" s="11">
        <f t="shared" si="1533"/>
        <v>20</v>
      </c>
      <c r="J1642" s="11">
        <f t="shared" si="1534"/>
        <v>35</v>
      </c>
      <c r="K1642" s="63">
        <v>45894</v>
      </c>
      <c r="L1642" s="82"/>
      <c r="M1642" s="25" t="s">
        <v>11</v>
      </c>
      <c r="N1642" s="8"/>
      <c r="O1642" s="9"/>
      <c r="P1642" s="52"/>
      <c r="Q1642" s="11">
        <f t="shared" si="1535"/>
        <v>0</v>
      </c>
      <c r="R1642" s="12"/>
      <c r="S1642" s="9"/>
      <c r="T1642" s="10"/>
      <c r="U1642" s="11">
        <f t="shared" si="1536"/>
        <v>0</v>
      </c>
      <c r="V1642" s="11">
        <f t="shared" si="1537"/>
        <v>0</v>
      </c>
      <c r="W1642" s="140"/>
    </row>
    <row r="1643" spans="1:25" x14ac:dyDescent="0.15">
      <c r="A1643" s="25" t="s">
        <v>204</v>
      </c>
      <c r="B1643" s="8">
        <v>0</v>
      </c>
      <c r="C1643" s="9">
        <v>0</v>
      </c>
      <c r="D1643" s="52">
        <v>-1</v>
      </c>
      <c r="E1643" s="11">
        <f t="shared" ref="E1643:E1646" si="1541">SUM(B1643:D1643)</f>
        <v>-1</v>
      </c>
      <c r="F1643" s="12">
        <v>0</v>
      </c>
      <c r="G1643" s="9">
        <v>0</v>
      </c>
      <c r="H1643" s="10">
        <v>0</v>
      </c>
      <c r="I1643" s="11">
        <f t="shared" ref="I1643:I1646" si="1542">SUM(F1643:H1643)</f>
        <v>0</v>
      </c>
      <c r="J1643" s="11">
        <f t="shared" ref="J1643:J1646" si="1543">E1643+I1643</f>
        <v>-1</v>
      </c>
      <c r="K1643" s="63">
        <v>45895</v>
      </c>
      <c r="L1643" s="82"/>
      <c r="M1643" s="25" t="s">
        <v>12</v>
      </c>
      <c r="N1643" s="8"/>
      <c r="O1643" s="9"/>
      <c r="P1643" s="52"/>
      <c r="Q1643" s="11">
        <f t="shared" si="1535"/>
        <v>0</v>
      </c>
      <c r="R1643" s="12"/>
      <c r="S1643" s="9"/>
      <c r="T1643" s="10"/>
      <c r="U1643" s="11">
        <f t="shared" si="1536"/>
        <v>0</v>
      </c>
      <c r="V1643" s="11">
        <f t="shared" si="1537"/>
        <v>0</v>
      </c>
      <c r="W1643" s="140"/>
    </row>
    <row r="1644" spans="1:25" x14ac:dyDescent="0.15">
      <c r="A1644" s="25" t="s">
        <v>13</v>
      </c>
      <c r="B1644" s="8"/>
      <c r="C1644" s="9"/>
      <c r="D1644" s="52">
        <v>5</v>
      </c>
      <c r="E1644" s="11">
        <f t="shared" si="1541"/>
        <v>5</v>
      </c>
      <c r="F1644" s="12"/>
      <c r="G1644" s="9"/>
      <c r="H1644" s="10">
        <v>5</v>
      </c>
      <c r="I1644" s="11">
        <f t="shared" si="1542"/>
        <v>5</v>
      </c>
      <c r="J1644" s="11">
        <f t="shared" si="1543"/>
        <v>10</v>
      </c>
      <c r="K1644" s="63">
        <v>45897</v>
      </c>
      <c r="L1644" s="82"/>
      <c r="M1644" s="25" t="s">
        <v>13</v>
      </c>
      <c r="N1644" s="8"/>
      <c r="O1644" s="9"/>
      <c r="P1644" s="52"/>
      <c r="Q1644" s="11">
        <f t="shared" si="1535"/>
        <v>0</v>
      </c>
      <c r="R1644" s="12"/>
      <c r="S1644" s="9"/>
      <c r="T1644" s="10"/>
      <c r="U1644" s="11">
        <f t="shared" si="1536"/>
        <v>0</v>
      </c>
      <c r="V1644" s="11">
        <f t="shared" si="1537"/>
        <v>0</v>
      </c>
      <c r="W1644" s="140"/>
    </row>
    <row r="1645" spans="1:25" x14ac:dyDescent="0.15">
      <c r="A1645" s="26" t="s">
        <v>515</v>
      </c>
      <c r="B1645" s="13">
        <v>1</v>
      </c>
      <c r="C1645" s="14"/>
      <c r="D1645" s="53"/>
      <c r="E1645" s="11">
        <f t="shared" si="1541"/>
        <v>1</v>
      </c>
      <c r="F1645" s="16">
        <v>1</v>
      </c>
      <c r="G1645" s="14"/>
      <c r="H1645" s="15"/>
      <c r="I1645" s="11">
        <f t="shared" si="1542"/>
        <v>1</v>
      </c>
      <c r="J1645" s="11">
        <f t="shared" si="1543"/>
        <v>2</v>
      </c>
      <c r="K1645" s="63">
        <v>45895</v>
      </c>
      <c r="L1645" s="82"/>
      <c r="M1645" s="25" t="s">
        <v>14</v>
      </c>
      <c r="N1645" s="13"/>
      <c r="O1645" s="14"/>
      <c r="P1645" s="53"/>
      <c r="Q1645" s="11">
        <f t="shared" si="1535"/>
        <v>0</v>
      </c>
      <c r="R1645" s="16"/>
      <c r="S1645" s="14"/>
      <c r="T1645" s="15"/>
      <c r="U1645" s="11">
        <f t="shared" si="1536"/>
        <v>0</v>
      </c>
      <c r="V1645" s="11">
        <f t="shared" si="1537"/>
        <v>0</v>
      </c>
      <c r="W1645" s="140"/>
    </row>
    <row r="1646" spans="1:25" ht="14.25" thickBot="1" x14ac:dyDescent="0.2">
      <c r="A1646" s="25" t="s">
        <v>15</v>
      </c>
      <c r="B1646" s="13"/>
      <c r="C1646" s="14"/>
      <c r="D1646" s="53"/>
      <c r="E1646" s="11">
        <f t="shared" si="1541"/>
        <v>0</v>
      </c>
      <c r="F1646" s="16">
        <v>3</v>
      </c>
      <c r="G1646" s="14">
        <v>3</v>
      </c>
      <c r="H1646" s="15">
        <v>5</v>
      </c>
      <c r="I1646" s="11">
        <f t="shared" si="1542"/>
        <v>11</v>
      </c>
      <c r="J1646" s="11">
        <f t="shared" si="1543"/>
        <v>11</v>
      </c>
      <c r="K1646" s="63">
        <v>45906</v>
      </c>
      <c r="M1646" s="25" t="s">
        <v>15</v>
      </c>
      <c r="N1646" s="13"/>
      <c r="O1646" s="14"/>
      <c r="P1646" s="53"/>
      <c r="Q1646" s="11">
        <f t="shared" si="1535"/>
        <v>0</v>
      </c>
      <c r="R1646" s="16"/>
      <c r="S1646" s="14"/>
      <c r="T1646" s="15"/>
      <c r="U1646" s="11">
        <f t="shared" si="1536"/>
        <v>0</v>
      </c>
      <c r="V1646" s="11">
        <f t="shared" si="1537"/>
        <v>0</v>
      </c>
    </row>
    <row r="1647" spans="1:25" ht="14.25" thickBot="1" x14ac:dyDescent="0.2">
      <c r="A1647" s="35" t="s">
        <v>16</v>
      </c>
      <c r="B1647" s="28">
        <f>SUM(B1638:B1646)</f>
        <v>38</v>
      </c>
      <c r="C1647" s="29">
        <f t="shared" ref="C1647:D1647" si="1544">SUM(C1638:C1646)</f>
        <v>27</v>
      </c>
      <c r="D1647" s="68">
        <f t="shared" si="1544"/>
        <v>25</v>
      </c>
      <c r="E1647" s="64">
        <f>SUM(B1647:D1647)</f>
        <v>90</v>
      </c>
      <c r="F1647" s="28">
        <f>SUM(F1638:F1646)</f>
        <v>37</v>
      </c>
      <c r="G1647" s="29">
        <f t="shared" ref="G1647:H1647" si="1545">SUM(G1638:G1646)</f>
        <v>24</v>
      </c>
      <c r="H1647" s="68">
        <f t="shared" si="1545"/>
        <v>32</v>
      </c>
      <c r="I1647" s="64">
        <f>SUM(F1647:H1647)</f>
        <v>93</v>
      </c>
      <c r="J1647" s="31">
        <f>E1647+I1647</f>
        <v>183</v>
      </c>
      <c r="M1647" s="35" t="s">
        <v>16</v>
      </c>
      <c r="N1647" s="28">
        <f>SUM(N1638:N1646)</f>
        <v>428</v>
      </c>
      <c r="O1647" s="29">
        <f t="shared" ref="O1647:P1647" si="1546">SUM(O1638:O1646)</f>
        <v>504</v>
      </c>
      <c r="P1647" s="68">
        <f t="shared" si="1546"/>
        <v>237</v>
      </c>
      <c r="Q1647" s="64">
        <f>SUM(N1647:P1647)</f>
        <v>1169</v>
      </c>
      <c r="R1647" s="28">
        <f>SUM(R1638:R1646)</f>
        <v>427</v>
      </c>
      <c r="S1647" s="29">
        <f t="shared" ref="S1647:T1647" si="1547">SUM(S1638:S1646)</f>
        <v>460</v>
      </c>
      <c r="T1647" s="68">
        <f t="shared" si="1547"/>
        <v>192</v>
      </c>
      <c r="U1647" s="64">
        <f>SUM(R1647:T1647)</f>
        <v>1079</v>
      </c>
      <c r="V1647" s="31">
        <f>Q1647+U1647</f>
        <v>2248</v>
      </c>
    </row>
    <row r="1648" spans="1:25" x14ac:dyDescent="0.15">
      <c r="A1648" s="26" t="s">
        <v>33</v>
      </c>
      <c r="B1648" s="8">
        <f>2+2</f>
        <v>4</v>
      </c>
      <c r="C1648" s="9">
        <v>1</v>
      </c>
      <c r="D1648" s="10"/>
      <c r="E1648" s="49">
        <f t="shared" ref="E1648:E1673" si="1548">SUM(B1648:D1648)</f>
        <v>5</v>
      </c>
      <c r="F1648" s="12">
        <v>1</v>
      </c>
      <c r="G1648" s="9">
        <v>1</v>
      </c>
      <c r="H1648" s="10"/>
      <c r="I1648" s="49">
        <f t="shared" ref="I1648:I1673" si="1549">SUM(F1648:H1648)</f>
        <v>2</v>
      </c>
      <c r="J1648" s="11">
        <f t="shared" ref="J1648:J1673" si="1550">E1648+I1648</f>
        <v>7</v>
      </c>
      <c r="K1648" s="140">
        <v>45873</v>
      </c>
      <c r="M1648" s="26" t="s">
        <v>514</v>
      </c>
      <c r="N1648" s="8">
        <v>5</v>
      </c>
      <c r="O1648" s="9">
        <v>5</v>
      </c>
      <c r="P1648" s="10">
        <v>5</v>
      </c>
      <c r="Q1648" s="49">
        <f t="shared" ref="Q1648:Q1652" si="1551">SUM(N1648:P1648)</f>
        <v>15</v>
      </c>
      <c r="R1648" s="12">
        <v>5</v>
      </c>
      <c r="S1648" s="9"/>
      <c r="T1648" s="10"/>
      <c r="U1648" s="49">
        <f t="shared" ref="U1648:U1652" si="1552">SUM(R1648:T1648)</f>
        <v>5</v>
      </c>
      <c r="V1648" s="11">
        <f t="shared" ref="V1648:V1652" si="1553">Q1648+U1648</f>
        <v>20</v>
      </c>
      <c r="W1648" s="140">
        <v>45878</v>
      </c>
      <c r="X1648" s="82"/>
      <c r="Y1648" s="82"/>
    </row>
    <row r="1649" spans="1:25" x14ac:dyDescent="0.15">
      <c r="A1649" s="26" t="s">
        <v>329</v>
      </c>
      <c r="B1649" s="8">
        <v>2</v>
      </c>
      <c r="C1649" s="9">
        <v>2</v>
      </c>
      <c r="D1649" s="10"/>
      <c r="E1649" s="49">
        <f t="shared" si="1548"/>
        <v>4</v>
      </c>
      <c r="F1649" s="12">
        <v>2</v>
      </c>
      <c r="G1649" s="9">
        <v>2</v>
      </c>
      <c r="H1649" s="10"/>
      <c r="I1649" s="49">
        <f t="shared" si="1549"/>
        <v>4</v>
      </c>
      <c r="J1649" s="11">
        <f t="shared" si="1550"/>
        <v>8</v>
      </c>
      <c r="K1649" s="140">
        <v>45876</v>
      </c>
      <c r="M1649" s="26" t="s">
        <v>28</v>
      </c>
      <c r="N1649" s="8">
        <v>5</v>
      </c>
      <c r="O1649" s="9"/>
      <c r="P1649" s="10"/>
      <c r="Q1649" s="49">
        <f t="shared" si="1551"/>
        <v>5</v>
      </c>
      <c r="R1649" s="12">
        <v>5</v>
      </c>
      <c r="S1649" s="9"/>
      <c r="T1649" s="10">
        <v>5</v>
      </c>
      <c r="U1649" s="49">
        <f t="shared" si="1552"/>
        <v>10</v>
      </c>
      <c r="V1649" s="11">
        <f t="shared" si="1553"/>
        <v>15</v>
      </c>
      <c r="W1649" s="140">
        <v>45889</v>
      </c>
      <c r="X1649" s="82"/>
      <c r="Y1649" s="82"/>
    </row>
    <row r="1650" spans="1:25" x14ac:dyDescent="0.15">
      <c r="A1650" s="26" t="s">
        <v>33</v>
      </c>
      <c r="B1650" s="8">
        <v>2</v>
      </c>
      <c r="C1650" s="9">
        <v>1</v>
      </c>
      <c r="D1650" s="10"/>
      <c r="E1650" s="49">
        <f t="shared" si="1548"/>
        <v>3</v>
      </c>
      <c r="F1650" s="12">
        <f>1+1</f>
        <v>2</v>
      </c>
      <c r="G1650" s="9">
        <v>1</v>
      </c>
      <c r="H1650" s="10"/>
      <c r="I1650" s="49">
        <f t="shared" si="1549"/>
        <v>3</v>
      </c>
      <c r="J1650" s="11">
        <f t="shared" si="1550"/>
        <v>6</v>
      </c>
      <c r="K1650" s="140">
        <v>45874</v>
      </c>
      <c r="M1650" s="26" t="s">
        <v>28</v>
      </c>
      <c r="N1650" s="8">
        <v>5</v>
      </c>
      <c r="O1650" s="9">
        <v>5</v>
      </c>
      <c r="P1650" s="10">
        <v>5</v>
      </c>
      <c r="Q1650" s="49">
        <f t="shared" si="1551"/>
        <v>15</v>
      </c>
      <c r="R1650" s="12">
        <v>10</v>
      </c>
      <c r="S1650" s="9">
        <v>5</v>
      </c>
      <c r="T1650" s="10">
        <v>5</v>
      </c>
      <c r="U1650" s="49">
        <f t="shared" si="1552"/>
        <v>20</v>
      </c>
      <c r="V1650" s="11">
        <f t="shared" si="1553"/>
        <v>35</v>
      </c>
      <c r="W1650" s="140">
        <v>45894</v>
      </c>
      <c r="X1650" s="82"/>
      <c r="Y1650" s="82"/>
    </row>
    <row r="1651" spans="1:25" x14ac:dyDescent="0.15">
      <c r="A1651" s="26" t="s">
        <v>33</v>
      </c>
      <c r="B1651" s="8">
        <v>2</v>
      </c>
      <c r="C1651" s="9"/>
      <c r="D1651" s="10">
        <v>1</v>
      </c>
      <c r="E1651" s="49">
        <f t="shared" si="1548"/>
        <v>3</v>
      </c>
      <c r="F1651" s="12"/>
      <c r="G1651" s="9"/>
      <c r="H1651" s="10"/>
      <c r="I1651" s="49">
        <f t="shared" si="1549"/>
        <v>0</v>
      </c>
      <c r="J1651" s="11">
        <f t="shared" si="1550"/>
        <v>3</v>
      </c>
      <c r="K1651" s="140">
        <v>45875</v>
      </c>
      <c r="M1651" s="26" t="s">
        <v>28</v>
      </c>
      <c r="N1651" s="8"/>
      <c r="O1651" s="9"/>
      <c r="P1651" s="10">
        <v>5</v>
      </c>
      <c r="Q1651" s="49">
        <f t="shared" si="1551"/>
        <v>5</v>
      </c>
      <c r="R1651" s="12"/>
      <c r="S1651" s="9"/>
      <c r="T1651" s="10">
        <v>5</v>
      </c>
      <c r="U1651" s="49">
        <f t="shared" si="1552"/>
        <v>5</v>
      </c>
      <c r="V1651" s="11">
        <f t="shared" si="1553"/>
        <v>10</v>
      </c>
      <c r="W1651" s="140">
        <v>45897</v>
      </c>
    </row>
    <row r="1652" spans="1:25" x14ac:dyDescent="0.15">
      <c r="A1652" s="26" t="s">
        <v>33</v>
      </c>
      <c r="B1652" s="8"/>
      <c r="C1652" s="9"/>
      <c r="D1652" s="10">
        <v>2</v>
      </c>
      <c r="E1652" s="49">
        <f t="shared" si="1548"/>
        <v>2</v>
      </c>
      <c r="F1652" s="12"/>
      <c r="G1652" s="9">
        <v>1</v>
      </c>
      <c r="H1652" s="10"/>
      <c r="I1652" s="49">
        <f t="shared" si="1549"/>
        <v>1</v>
      </c>
      <c r="J1652" s="11">
        <f t="shared" si="1550"/>
        <v>3</v>
      </c>
      <c r="K1652" s="140">
        <v>45876</v>
      </c>
      <c r="M1652" s="26" t="s">
        <v>28</v>
      </c>
      <c r="N1652" s="8"/>
      <c r="O1652" s="9"/>
      <c r="P1652" s="10"/>
      <c r="Q1652" s="49">
        <f t="shared" si="1551"/>
        <v>0</v>
      </c>
      <c r="R1652" s="12">
        <v>3</v>
      </c>
      <c r="S1652" s="9">
        <v>3</v>
      </c>
      <c r="T1652" s="10">
        <v>5</v>
      </c>
      <c r="U1652" s="49">
        <f t="shared" si="1552"/>
        <v>11</v>
      </c>
      <c r="V1652" s="11">
        <f t="shared" si="1553"/>
        <v>11</v>
      </c>
      <c r="W1652" s="140">
        <v>45906</v>
      </c>
    </row>
    <row r="1653" spans="1:25" x14ac:dyDescent="0.15">
      <c r="A1653" s="26" t="s">
        <v>329</v>
      </c>
      <c r="B1653" s="8">
        <v>1</v>
      </c>
      <c r="C1653" s="9"/>
      <c r="D1653" s="10">
        <v>1</v>
      </c>
      <c r="E1653" s="49">
        <f t="shared" si="1548"/>
        <v>2</v>
      </c>
      <c r="F1653" s="12">
        <v>1</v>
      </c>
      <c r="G1653" s="9"/>
      <c r="H1653" s="10">
        <v>1</v>
      </c>
      <c r="I1653" s="49">
        <f t="shared" si="1549"/>
        <v>2</v>
      </c>
      <c r="J1653" s="11">
        <f t="shared" si="1550"/>
        <v>4</v>
      </c>
      <c r="K1653" s="140">
        <v>45885</v>
      </c>
      <c r="M1653" s="26"/>
      <c r="N1653" s="8"/>
      <c r="O1653" s="9"/>
      <c r="P1653" s="10"/>
      <c r="Q1653" s="49">
        <f t="shared" ref="Q1653:Q1674" si="1554">SUM(N1653:P1653)</f>
        <v>0</v>
      </c>
      <c r="R1653" s="12"/>
      <c r="S1653" s="9"/>
      <c r="T1653" s="10"/>
      <c r="U1653" s="49">
        <f t="shared" ref="U1653:U1674" si="1555">SUM(R1653:T1653)</f>
        <v>0</v>
      </c>
      <c r="V1653" s="11">
        <f t="shared" ref="V1653:V1658" si="1556">Q1653+U1653</f>
        <v>0</v>
      </c>
      <c r="W1653" s="142"/>
    </row>
    <row r="1654" spans="1:25" x14ac:dyDescent="0.15">
      <c r="A1654" s="26" t="s">
        <v>33</v>
      </c>
      <c r="B1654" s="8"/>
      <c r="C1654" s="9">
        <v>1</v>
      </c>
      <c r="D1654" s="10"/>
      <c r="E1654" s="49">
        <f t="shared" si="1548"/>
        <v>1</v>
      </c>
      <c r="F1654" s="12">
        <v>2</v>
      </c>
      <c r="G1654" s="9"/>
      <c r="H1654" s="10"/>
      <c r="I1654" s="49">
        <f t="shared" si="1549"/>
        <v>2</v>
      </c>
      <c r="J1654" s="11">
        <f t="shared" si="1550"/>
        <v>3</v>
      </c>
      <c r="K1654" s="140">
        <v>45877</v>
      </c>
      <c r="M1654" s="26"/>
      <c r="N1654" s="8"/>
      <c r="O1654" s="9"/>
      <c r="P1654" s="10"/>
      <c r="Q1654" s="49">
        <f t="shared" si="1554"/>
        <v>0</v>
      </c>
      <c r="R1654" s="12"/>
      <c r="S1654" s="9"/>
      <c r="T1654" s="10"/>
      <c r="U1654" s="49">
        <f t="shared" si="1555"/>
        <v>0</v>
      </c>
      <c r="V1654" s="11">
        <f t="shared" si="1556"/>
        <v>0</v>
      </c>
      <c r="W1654" s="142"/>
    </row>
    <row r="1655" spans="1:25" x14ac:dyDescent="0.15">
      <c r="A1655" s="26" t="s">
        <v>329</v>
      </c>
      <c r="B1655" s="8">
        <v>2</v>
      </c>
      <c r="C1655" s="9"/>
      <c r="D1655" s="10">
        <v>2</v>
      </c>
      <c r="E1655" s="49">
        <f t="shared" si="1548"/>
        <v>4</v>
      </c>
      <c r="F1655" s="12">
        <v>2</v>
      </c>
      <c r="G1655" s="9"/>
      <c r="H1655" s="10">
        <v>2</v>
      </c>
      <c r="I1655" s="49">
        <f t="shared" si="1549"/>
        <v>4</v>
      </c>
      <c r="J1655" s="11">
        <f t="shared" si="1550"/>
        <v>8</v>
      </c>
      <c r="K1655" s="140">
        <v>45889</v>
      </c>
      <c r="M1655" s="26"/>
      <c r="N1655" s="8"/>
      <c r="O1655" s="9"/>
      <c r="P1655" s="10"/>
      <c r="Q1655" s="49">
        <f t="shared" si="1554"/>
        <v>0</v>
      </c>
      <c r="R1655" s="12"/>
      <c r="S1655" s="9"/>
      <c r="T1655" s="10"/>
      <c r="U1655" s="49">
        <f t="shared" si="1555"/>
        <v>0</v>
      </c>
      <c r="V1655" s="11">
        <f t="shared" si="1556"/>
        <v>0</v>
      </c>
      <c r="W1655" s="142"/>
    </row>
    <row r="1656" spans="1:25" x14ac:dyDescent="0.15">
      <c r="A1656" s="26" t="s">
        <v>33</v>
      </c>
      <c r="B1656" s="8">
        <v>3</v>
      </c>
      <c r="C1656" s="9">
        <f>4+2+2</f>
        <v>8</v>
      </c>
      <c r="D1656" s="10">
        <v>2</v>
      </c>
      <c r="E1656" s="49">
        <f t="shared" si="1548"/>
        <v>13</v>
      </c>
      <c r="F1656" s="12">
        <f>2+2</f>
        <v>4</v>
      </c>
      <c r="G1656" s="9">
        <f>1+2+2</f>
        <v>5</v>
      </c>
      <c r="H1656" s="10">
        <f>4+1</f>
        <v>5</v>
      </c>
      <c r="I1656" s="49">
        <f t="shared" si="1549"/>
        <v>14</v>
      </c>
      <c r="J1656" s="11">
        <f t="shared" si="1550"/>
        <v>27</v>
      </c>
      <c r="K1656" s="140">
        <v>45887</v>
      </c>
      <c r="M1656" s="26"/>
      <c r="N1656" s="8"/>
      <c r="O1656" s="9"/>
      <c r="P1656" s="10"/>
      <c r="Q1656" s="49">
        <f t="shared" si="1554"/>
        <v>0</v>
      </c>
      <c r="R1656" s="12"/>
      <c r="S1656" s="9"/>
      <c r="T1656" s="10"/>
      <c r="U1656" s="49">
        <f t="shared" si="1555"/>
        <v>0</v>
      </c>
      <c r="V1656" s="11">
        <f t="shared" si="1556"/>
        <v>0</v>
      </c>
      <c r="W1656" s="142"/>
    </row>
    <row r="1657" spans="1:25" x14ac:dyDescent="0.15">
      <c r="A1657" s="26" t="s">
        <v>329</v>
      </c>
      <c r="B1657" s="8">
        <v>2</v>
      </c>
      <c r="C1657" s="9"/>
      <c r="D1657" s="10">
        <v>1</v>
      </c>
      <c r="E1657" s="49">
        <f t="shared" si="1548"/>
        <v>3</v>
      </c>
      <c r="F1657" s="12">
        <v>2</v>
      </c>
      <c r="G1657" s="9"/>
      <c r="H1657" s="10">
        <v>1</v>
      </c>
      <c r="I1657" s="49">
        <f t="shared" si="1549"/>
        <v>3</v>
      </c>
      <c r="J1657" s="11">
        <f t="shared" si="1550"/>
        <v>6</v>
      </c>
      <c r="K1657" s="140">
        <v>45890</v>
      </c>
      <c r="M1657" s="26"/>
      <c r="N1657" s="8"/>
      <c r="O1657" s="9"/>
      <c r="P1657" s="10"/>
      <c r="Q1657" s="49">
        <f t="shared" si="1554"/>
        <v>0</v>
      </c>
      <c r="R1657" s="12"/>
      <c r="S1657" s="9"/>
      <c r="T1657" s="10"/>
      <c r="U1657" s="49">
        <f t="shared" si="1555"/>
        <v>0</v>
      </c>
      <c r="V1657" s="11">
        <f t="shared" si="1556"/>
        <v>0</v>
      </c>
      <c r="W1657" s="142"/>
    </row>
    <row r="1658" spans="1:25" x14ac:dyDescent="0.15">
      <c r="A1658" s="26" t="s">
        <v>33</v>
      </c>
      <c r="B1658" s="8">
        <v>2</v>
      </c>
      <c r="C1658" s="9"/>
      <c r="D1658" s="10"/>
      <c r="E1658" s="49">
        <f t="shared" si="1548"/>
        <v>2</v>
      </c>
      <c r="F1658" s="12"/>
      <c r="G1658" s="9"/>
      <c r="H1658" s="10"/>
      <c r="I1658" s="49">
        <f t="shared" si="1549"/>
        <v>0</v>
      </c>
      <c r="J1658" s="11">
        <f t="shared" si="1550"/>
        <v>2</v>
      </c>
      <c r="K1658" s="140">
        <v>45888</v>
      </c>
      <c r="M1658" s="26"/>
      <c r="N1658" s="8"/>
      <c r="O1658" s="9"/>
      <c r="P1658" s="10"/>
      <c r="Q1658" s="49">
        <f t="shared" si="1554"/>
        <v>0</v>
      </c>
      <c r="R1658" s="12"/>
      <c r="S1658" s="9"/>
      <c r="T1658" s="10"/>
      <c r="U1658" s="49">
        <f t="shared" si="1555"/>
        <v>0</v>
      </c>
      <c r="V1658" s="11">
        <f t="shared" si="1556"/>
        <v>0</v>
      </c>
      <c r="W1658" s="142"/>
    </row>
    <row r="1659" spans="1:25" x14ac:dyDescent="0.15">
      <c r="A1659" s="26" t="s">
        <v>33</v>
      </c>
      <c r="B1659" s="8"/>
      <c r="C1659" s="9"/>
      <c r="D1659" s="10"/>
      <c r="E1659" s="49">
        <f t="shared" si="1548"/>
        <v>0</v>
      </c>
      <c r="F1659" s="12">
        <f>1+1+4</f>
        <v>6</v>
      </c>
      <c r="G1659" s="9"/>
      <c r="H1659" s="10"/>
      <c r="I1659" s="49">
        <f t="shared" si="1549"/>
        <v>6</v>
      </c>
      <c r="J1659" s="11">
        <f t="shared" si="1550"/>
        <v>6</v>
      </c>
      <c r="K1659" s="140">
        <v>45889</v>
      </c>
      <c r="M1659" s="26"/>
      <c r="N1659" s="8"/>
      <c r="O1659" s="9"/>
      <c r="P1659" s="10"/>
      <c r="Q1659" s="49">
        <f t="shared" ref="Q1659:Q1671" si="1557">SUM(N1659:P1659)</f>
        <v>0</v>
      </c>
      <c r="R1659" s="12"/>
      <c r="S1659" s="9"/>
      <c r="T1659" s="10"/>
      <c r="U1659" s="49">
        <f t="shared" ref="U1659:U1671" si="1558">SUM(R1659:T1659)</f>
        <v>0</v>
      </c>
      <c r="V1659" s="11">
        <f t="shared" ref="V1659:V1671" si="1559">Q1659+U1659</f>
        <v>0</v>
      </c>
      <c r="W1659" s="142"/>
    </row>
    <row r="1660" spans="1:25" x14ac:dyDescent="0.15">
      <c r="A1660" s="26" t="s">
        <v>329</v>
      </c>
      <c r="B1660" s="8"/>
      <c r="C1660" s="9">
        <v>1</v>
      </c>
      <c r="D1660" s="10">
        <v>1</v>
      </c>
      <c r="E1660" s="49">
        <f t="shared" si="1548"/>
        <v>2</v>
      </c>
      <c r="F1660" s="12"/>
      <c r="G1660" s="9">
        <v>1</v>
      </c>
      <c r="H1660" s="10">
        <v>1</v>
      </c>
      <c r="I1660" s="49">
        <f t="shared" si="1549"/>
        <v>2</v>
      </c>
      <c r="J1660" s="11">
        <f t="shared" si="1550"/>
        <v>4</v>
      </c>
      <c r="K1660" s="140">
        <v>45891</v>
      </c>
      <c r="L1660" s="82"/>
      <c r="M1660" s="26"/>
      <c r="N1660" s="8"/>
      <c r="O1660" s="9"/>
      <c r="P1660" s="10"/>
      <c r="Q1660" s="49">
        <f t="shared" si="1557"/>
        <v>0</v>
      </c>
      <c r="R1660" s="12"/>
      <c r="S1660" s="9"/>
      <c r="T1660" s="10"/>
      <c r="U1660" s="49">
        <f t="shared" si="1558"/>
        <v>0</v>
      </c>
      <c r="V1660" s="11">
        <f t="shared" si="1559"/>
        <v>0</v>
      </c>
      <c r="W1660" s="142"/>
    </row>
    <row r="1661" spans="1:25" x14ac:dyDescent="0.15">
      <c r="A1661" s="26" t="s">
        <v>329</v>
      </c>
      <c r="B1661" s="8"/>
      <c r="C1661" s="9"/>
      <c r="D1661" s="10">
        <v>1</v>
      </c>
      <c r="E1661" s="49">
        <f t="shared" si="1548"/>
        <v>1</v>
      </c>
      <c r="F1661" s="12"/>
      <c r="G1661" s="9"/>
      <c r="H1661" s="10">
        <v>1</v>
      </c>
      <c r="I1661" s="49">
        <f t="shared" si="1549"/>
        <v>1</v>
      </c>
      <c r="J1661" s="11">
        <f t="shared" si="1550"/>
        <v>2</v>
      </c>
      <c r="K1661" s="140">
        <v>45894</v>
      </c>
      <c r="M1661" s="26"/>
      <c r="N1661" s="8"/>
      <c r="O1661" s="9"/>
      <c r="P1661" s="10"/>
      <c r="Q1661" s="49">
        <f t="shared" si="1557"/>
        <v>0</v>
      </c>
      <c r="R1661" s="12"/>
      <c r="S1661" s="9"/>
      <c r="T1661" s="10"/>
      <c r="U1661" s="49">
        <f t="shared" si="1558"/>
        <v>0</v>
      </c>
      <c r="V1661" s="11">
        <f t="shared" si="1559"/>
        <v>0</v>
      </c>
      <c r="W1661" s="142"/>
    </row>
    <row r="1662" spans="1:25" x14ac:dyDescent="0.15">
      <c r="A1662" s="26" t="s">
        <v>33</v>
      </c>
      <c r="B1662" s="8">
        <v>1</v>
      </c>
      <c r="C1662" s="9"/>
      <c r="D1662" s="10"/>
      <c r="E1662" s="49">
        <f t="shared" si="1548"/>
        <v>1</v>
      </c>
      <c r="F1662" s="12"/>
      <c r="G1662" s="9"/>
      <c r="H1662" s="10"/>
      <c r="I1662" s="49">
        <f t="shared" si="1549"/>
        <v>0</v>
      </c>
      <c r="J1662" s="11">
        <f t="shared" si="1550"/>
        <v>1</v>
      </c>
      <c r="K1662" s="140">
        <v>45891</v>
      </c>
      <c r="L1662" s="82"/>
      <c r="M1662" s="26"/>
      <c r="N1662" s="8"/>
      <c r="O1662" s="9"/>
      <c r="P1662" s="10"/>
      <c r="Q1662" s="49">
        <f t="shared" si="1557"/>
        <v>0</v>
      </c>
      <c r="R1662" s="12"/>
      <c r="S1662" s="9"/>
      <c r="T1662" s="10"/>
      <c r="U1662" s="49">
        <f t="shared" si="1558"/>
        <v>0</v>
      </c>
      <c r="V1662" s="11">
        <f t="shared" si="1559"/>
        <v>0</v>
      </c>
      <c r="W1662" s="142"/>
    </row>
    <row r="1663" spans="1:25" x14ac:dyDescent="0.15">
      <c r="A1663" s="26" t="s">
        <v>329</v>
      </c>
      <c r="B1663" s="8"/>
      <c r="C1663" s="9"/>
      <c r="D1663" s="10">
        <v>2</v>
      </c>
      <c r="E1663" s="49">
        <f t="shared" si="1548"/>
        <v>2</v>
      </c>
      <c r="F1663" s="12"/>
      <c r="G1663" s="9"/>
      <c r="H1663" s="10">
        <v>2</v>
      </c>
      <c r="I1663" s="49">
        <f t="shared" si="1549"/>
        <v>2</v>
      </c>
      <c r="J1663" s="11">
        <f t="shared" si="1550"/>
        <v>4</v>
      </c>
      <c r="K1663" s="140">
        <v>45896</v>
      </c>
      <c r="L1663" s="82"/>
      <c r="M1663" s="26"/>
      <c r="N1663" s="8"/>
      <c r="O1663" s="9"/>
      <c r="P1663" s="10"/>
      <c r="Q1663" s="49">
        <f t="shared" si="1557"/>
        <v>0</v>
      </c>
      <c r="R1663" s="12"/>
      <c r="S1663" s="9"/>
      <c r="T1663" s="10"/>
      <c r="U1663" s="49">
        <f t="shared" si="1558"/>
        <v>0</v>
      </c>
      <c r="V1663" s="11">
        <f t="shared" si="1559"/>
        <v>0</v>
      </c>
      <c r="W1663" s="142"/>
    </row>
    <row r="1664" spans="1:25" x14ac:dyDescent="0.15">
      <c r="A1664" s="26" t="s">
        <v>33</v>
      </c>
      <c r="B1664" s="8">
        <v>1</v>
      </c>
      <c r="C1664" s="9">
        <v>1</v>
      </c>
      <c r="D1664" s="10">
        <v>1</v>
      </c>
      <c r="E1664" s="49">
        <f t="shared" si="1548"/>
        <v>3</v>
      </c>
      <c r="F1664" s="12"/>
      <c r="G1664" s="9">
        <v>1</v>
      </c>
      <c r="H1664" s="10">
        <v>2</v>
      </c>
      <c r="I1664" s="49">
        <f t="shared" si="1549"/>
        <v>3</v>
      </c>
      <c r="J1664" s="11">
        <f t="shared" si="1550"/>
        <v>6</v>
      </c>
      <c r="K1664" s="140">
        <v>45894</v>
      </c>
      <c r="L1664" s="82"/>
      <c r="M1664" s="26"/>
      <c r="N1664" s="8"/>
      <c r="O1664" s="9"/>
      <c r="P1664" s="10"/>
      <c r="Q1664" s="49">
        <f t="shared" si="1557"/>
        <v>0</v>
      </c>
      <c r="R1664" s="12"/>
      <c r="S1664" s="9"/>
      <c r="T1664" s="10"/>
      <c r="U1664" s="49">
        <f t="shared" si="1558"/>
        <v>0</v>
      </c>
      <c r="V1664" s="11">
        <f t="shared" si="1559"/>
        <v>0</v>
      </c>
      <c r="W1664" s="142"/>
    </row>
    <row r="1665" spans="1:23" x14ac:dyDescent="0.15">
      <c r="A1665" s="26" t="s">
        <v>329</v>
      </c>
      <c r="B1665" s="8">
        <v>1</v>
      </c>
      <c r="C1665" s="9"/>
      <c r="D1665" s="10"/>
      <c r="E1665" s="49">
        <f t="shared" si="1548"/>
        <v>1</v>
      </c>
      <c r="F1665" s="12">
        <v>1</v>
      </c>
      <c r="G1665" s="9"/>
      <c r="H1665" s="10"/>
      <c r="I1665" s="49">
        <f t="shared" si="1549"/>
        <v>1</v>
      </c>
      <c r="J1665" s="11">
        <f t="shared" si="1550"/>
        <v>2</v>
      </c>
      <c r="K1665" s="140">
        <v>45897</v>
      </c>
      <c r="L1665" s="82"/>
      <c r="M1665" s="26"/>
      <c r="N1665" s="8"/>
      <c r="O1665" s="9"/>
      <c r="P1665" s="10"/>
      <c r="Q1665" s="49">
        <f t="shared" si="1557"/>
        <v>0</v>
      </c>
      <c r="R1665" s="12"/>
      <c r="S1665" s="9"/>
      <c r="T1665" s="10"/>
      <c r="U1665" s="49">
        <f t="shared" si="1558"/>
        <v>0</v>
      </c>
      <c r="V1665" s="11">
        <f t="shared" si="1559"/>
        <v>0</v>
      </c>
      <c r="W1665" s="142"/>
    </row>
    <row r="1666" spans="1:23" x14ac:dyDescent="0.15">
      <c r="A1666" s="26" t="s">
        <v>33</v>
      </c>
      <c r="B1666" s="8"/>
      <c r="C1666" s="9"/>
      <c r="D1666" s="10"/>
      <c r="E1666" s="49">
        <f t="shared" si="1548"/>
        <v>0</v>
      </c>
      <c r="F1666" s="12"/>
      <c r="G1666" s="9"/>
      <c r="H1666" s="10">
        <v>1</v>
      </c>
      <c r="I1666" s="49">
        <f t="shared" si="1549"/>
        <v>1</v>
      </c>
      <c r="J1666" s="11">
        <f t="shared" si="1550"/>
        <v>1</v>
      </c>
      <c r="K1666" s="140">
        <v>45895</v>
      </c>
      <c r="L1666" s="82"/>
      <c r="M1666" s="26"/>
      <c r="N1666" s="8"/>
      <c r="O1666" s="9"/>
      <c r="P1666" s="10"/>
      <c r="Q1666" s="49">
        <f t="shared" si="1557"/>
        <v>0</v>
      </c>
      <c r="R1666" s="12"/>
      <c r="S1666" s="9"/>
      <c r="T1666" s="10"/>
      <c r="U1666" s="49">
        <f t="shared" si="1558"/>
        <v>0</v>
      </c>
      <c r="V1666" s="11">
        <f t="shared" si="1559"/>
        <v>0</v>
      </c>
      <c r="W1666" s="142"/>
    </row>
    <row r="1667" spans="1:23" x14ac:dyDescent="0.15">
      <c r="A1667" s="26" t="s">
        <v>33</v>
      </c>
      <c r="B1667" s="8"/>
      <c r="C1667" s="9"/>
      <c r="D1667" s="10"/>
      <c r="E1667" s="49">
        <f t="shared" si="1548"/>
        <v>0</v>
      </c>
      <c r="F1667" s="12">
        <v>3</v>
      </c>
      <c r="G1667" s="9"/>
      <c r="H1667" s="10">
        <v>4</v>
      </c>
      <c r="I1667" s="49">
        <f t="shared" si="1549"/>
        <v>7</v>
      </c>
      <c r="J1667" s="11">
        <f t="shared" si="1550"/>
        <v>7</v>
      </c>
      <c r="K1667" s="140">
        <v>45896</v>
      </c>
      <c r="L1667" s="82"/>
      <c r="M1667" s="26"/>
      <c r="N1667" s="8"/>
      <c r="O1667" s="9"/>
      <c r="P1667" s="10"/>
      <c r="Q1667" s="49">
        <f t="shared" si="1557"/>
        <v>0</v>
      </c>
      <c r="R1667" s="12"/>
      <c r="S1667" s="9"/>
      <c r="T1667" s="10"/>
      <c r="U1667" s="49">
        <f t="shared" si="1558"/>
        <v>0</v>
      </c>
      <c r="V1667" s="11">
        <f t="shared" si="1559"/>
        <v>0</v>
      </c>
      <c r="W1667" s="142"/>
    </row>
    <row r="1668" spans="1:23" x14ac:dyDescent="0.15">
      <c r="A1668" s="26" t="s">
        <v>33</v>
      </c>
      <c r="B1668" s="8">
        <v>1</v>
      </c>
      <c r="C1668" s="9"/>
      <c r="D1668" s="10"/>
      <c r="E1668" s="49">
        <f t="shared" si="1548"/>
        <v>1</v>
      </c>
      <c r="F1668" s="12"/>
      <c r="G1668" s="9">
        <v>1</v>
      </c>
      <c r="H1668" s="10"/>
      <c r="I1668" s="49">
        <f t="shared" si="1549"/>
        <v>1</v>
      </c>
      <c r="J1668" s="11">
        <f t="shared" si="1550"/>
        <v>2</v>
      </c>
      <c r="K1668" s="140">
        <v>45898</v>
      </c>
      <c r="L1668" s="82"/>
      <c r="M1668" s="26"/>
      <c r="N1668" s="8"/>
      <c r="O1668" s="9"/>
      <c r="P1668" s="10"/>
      <c r="Q1668" s="49">
        <f t="shared" si="1557"/>
        <v>0</v>
      </c>
      <c r="R1668" s="12"/>
      <c r="S1668" s="9"/>
      <c r="T1668" s="10"/>
      <c r="U1668" s="49">
        <f t="shared" si="1558"/>
        <v>0</v>
      </c>
      <c r="V1668" s="11">
        <f t="shared" si="1559"/>
        <v>0</v>
      </c>
      <c r="W1668" s="142"/>
    </row>
    <row r="1669" spans="1:23" x14ac:dyDescent="0.15">
      <c r="A1669" s="26" t="s">
        <v>33</v>
      </c>
      <c r="B1669" s="8"/>
      <c r="C1669" s="9"/>
      <c r="D1669" s="10"/>
      <c r="E1669" s="49">
        <f t="shared" ref="E1669" si="1560">SUM(B1669:D1669)</f>
        <v>0</v>
      </c>
      <c r="F1669" s="12">
        <v>1</v>
      </c>
      <c r="G1669" s="9">
        <v>1</v>
      </c>
      <c r="H1669" s="10">
        <v>1</v>
      </c>
      <c r="I1669" s="49">
        <f t="shared" si="1549"/>
        <v>3</v>
      </c>
      <c r="J1669" s="11">
        <f t="shared" si="1550"/>
        <v>3</v>
      </c>
      <c r="K1669" s="140">
        <v>45899</v>
      </c>
      <c r="M1669" s="26"/>
      <c r="N1669" s="8"/>
      <c r="O1669" s="9"/>
      <c r="P1669" s="10"/>
      <c r="Q1669" s="49">
        <f t="shared" si="1557"/>
        <v>0</v>
      </c>
      <c r="R1669" s="12"/>
      <c r="S1669" s="9"/>
      <c r="T1669" s="10"/>
      <c r="U1669" s="49">
        <f t="shared" si="1558"/>
        <v>0</v>
      </c>
      <c r="V1669" s="11">
        <f t="shared" si="1559"/>
        <v>0</v>
      </c>
      <c r="W1669" s="142"/>
    </row>
    <row r="1670" spans="1:23" x14ac:dyDescent="0.15">
      <c r="A1670" s="26" t="s">
        <v>33</v>
      </c>
      <c r="B1670" s="8">
        <v>2</v>
      </c>
      <c r="C1670" s="9"/>
      <c r="D1670" s="10"/>
      <c r="E1670" s="49">
        <f t="shared" si="1548"/>
        <v>2</v>
      </c>
      <c r="F1670" s="12">
        <v>1</v>
      </c>
      <c r="G1670" s="9"/>
      <c r="H1670" s="10"/>
      <c r="I1670" s="49">
        <f t="shared" si="1549"/>
        <v>1</v>
      </c>
      <c r="J1670" s="11">
        <f t="shared" si="1550"/>
        <v>3</v>
      </c>
      <c r="K1670" s="140">
        <v>45902</v>
      </c>
      <c r="M1670" s="26"/>
      <c r="N1670" s="8"/>
      <c r="O1670" s="9"/>
      <c r="P1670" s="10"/>
      <c r="Q1670" s="49">
        <f t="shared" si="1557"/>
        <v>0</v>
      </c>
      <c r="R1670" s="12"/>
      <c r="S1670" s="9"/>
      <c r="T1670" s="10"/>
      <c r="U1670" s="49">
        <f t="shared" si="1558"/>
        <v>0</v>
      </c>
      <c r="V1670" s="11">
        <f t="shared" si="1559"/>
        <v>0</v>
      </c>
      <c r="W1670" s="142"/>
    </row>
    <row r="1671" spans="1:23" x14ac:dyDescent="0.15">
      <c r="A1671" s="26" t="s">
        <v>33</v>
      </c>
      <c r="B1671" s="8"/>
      <c r="C1671" s="9"/>
      <c r="D1671" s="10"/>
      <c r="E1671" s="49">
        <f t="shared" si="1548"/>
        <v>0</v>
      </c>
      <c r="F1671" s="12">
        <v>1</v>
      </c>
      <c r="G1671" s="9">
        <v>1</v>
      </c>
      <c r="H1671" s="10">
        <v>1</v>
      </c>
      <c r="I1671" s="49">
        <f t="shared" si="1549"/>
        <v>3</v>
      </c>
      <c r="J1671" s="11">
        <f t="shared" si="1550"/>
        <v>3</v>
      </c>
      <c r="K1671" s="140">
        <v>45903</v>
      </c>
      <c r="M1671" s="26"/>
      <c r="N1671" s="8"/>
      <c r="O1671" s="9"/>
      <c r="P1671" s="10"/>
      <c r="Q1671" s="49">
        <f t="shared" si="1557"/>
        <v>0</v>
      </c>
      <c r="R1671" s="12"/>
      <c r="S1671" s="9"/>
      <c r="T1671" s="10"/>
      <c r="U1671" s="49">
        <f t="shared" si="1558"/>
        <v>0</v>
      </c>
      <c r="V1671" s="11">
        <f t="shared" si="1559"/>
        <v>0</v>
      </c>
      <c r="W1671" s="142"/>
    </row>
    <row r="1672" spans="1:23" x14ac:dyDescent="0.15">
      <c r="A1672" s="26" t="s">
        <v>329</v>
      </c>
      <c r="B1672" s="8"/>
      <c r="C1672" s="9">
        <v>1</v>
      </c>
      <c r="D1672" s="10"/>
      <c r="E1672" s="49">
        <f t="shared" si="1548"/>
        <v>1</v>
      </c>
      <c r="F1672" s="12"/>
      <c r="G1672" s="9">
        <v>1</v>
      </c>
      <c r="H1672" s="10"/>
      <c r="I1672" s="49">
        <f t="shared" si="1549"/>
        <v>1</v>
      </c>
      <c r="J1672" s="11">
        <f t="shared" si="1550"/>
        <v>2</v>
      </c>
      <c r="K1672" s="140">
        <v>45908</v>
      </c>
      <c r="M1672" s="26"/>
      <c r="N1672" s="8"/>
      <c r="O1672" s="9"/>
      <c r="P1672" s="10"/>
      <c r="Q1672" s="49">
        <f t="shared" ref="Q1672:Q1673" si="1561">SUM(N1672:P1672)</f>
        <v>0</v>
      </c>
      <c r="R1672" s="12"/>
      <c r="S1672" s="9"/>
      <c r="T1672" s="10"/>
      <c r="U1672" s="49">
        <f t="shared" ref="U1672:U1673" si="1562">SUM(R1672:T1672)</f>
        <v>0</v>
      </c>
      <c r="V1672" s="11">
        <f t="shared" ref="V1672:V1673" si="1563">Q1672+U1672</f>
        <v>0</v>
      </c>
      <c r="W1672" s="142"/>
    </row>
    <row r="1673" spans="1:23" ht="14.25" thickBot="1" x14ac:dyDescent="0.2">
      <c r="A1673" s="26" t="s">
        <v>33</v>
      </c>
      <c r="B1673" s="8"/>
      <c r="C1673" s="9"/>
      <c r="D1673" s="10"/>
      <c r="E1673" s="49">
        <f t="shared" si="1548"/>
        <v>0</v>
      </c>
      <c r="F1673" s="12"/>
      <c r="G1673" s="9"/>
      <c r="H1673" s="10">
        <v>2</v>
      </c>
      <c r="I1673" s="49">
        <f t="shared" si="1549"/>
        <v>2</v>
      </c>
      <c r="J1673" s="11">
        <f t="shared" si="1550"/>
        <v>2</v>
      </c>
      <c r="K1673" s="140">
        <v>45905</v>
      </c>
      <c r="M1673" s="26"/>
      <c r="N1673" s="8"/>
      <c r="O1673" s="9"/>
      <c r="P1673" s="10"/>
      <c r="Q1673" s="49">
        <f t="shared" si="1561"/>
        <v>0</v>
      </c>
      <c r="R1673" s="12"/>
      <c r="S1673" s="9"/>
      <c r="T1673" s="10"/>
      <c r="U1673" s="49">
        <f t="shared" si="1562"/>
        <v>0</v>
      </c>
      <c r="V1673" s="11">
        <f t="shared" si="1563"/>
        <v>0</v>
      </c>
      <c r="W1673" s="142"/>
    </row>
    <row r="1674" spans="1:23" ht="14.25" thickBot="1" x14ac:dyDescent="0.2">
      <c r="A1674" s="41" t="s">
        <v>19</v>
      </c>
      <c r="B1674" s="46">
        <f>SUM(B1648:B1673)</f>
        <v>26</v>
      </c>
      <c r="C1674" s="47">
        <f t="shared" ref="C1674:D1674" si="1564">SUM(C1648:C1673)</f>
        <v>16</v>
      </c>
      <c r="D1674" s="59">
        <f t="shared" si="1564"/>
        <v>14</v>
      </c>
      <c r="E1674" s="45">
        <f t="shared" ref="E1674" si="1565">SUM(B1674:D1674)</f>
        <v>56</v>
      </c>
      <c r="F1674" s="46">
        <f>SUM(F1648:F1673)</f>
        <v>29</v>
      </c>
      <c r="G1674" s="47">
        <f t="shared" ref="G1674:H1674" si="1566">SUM(G1648:G1673)</f>
        <v>16</v>
      </c>
      <c r="H1674" s="59">
        <f t="shared" si="1566"/>
        <v>24</v>
      </c>
      <c r="I1674" s="45">
        <f t="shared" ref="I1674" si="1567">SUM(F1674:H1674)</f>
        <v>69</v>
      </c>
      <c r="J1674" s="45">
        <f>E1674+I1674</f>
        <v>125</v>
      </c>
      <c r="M1674" s="41" t="s">
        <v>19</v>
      </c>
      <c r="N1674" s="46">
        <f>SUM(N1648:N1673)</f>
        <v>15</v>
      </c>
      <c r="O1674" s="47">
        <f t="shared" ref="O1674:P1674" si="1568">SUM(O1648:O1673)</f>
        <v>10</v>
      </c>
      <c r="P1674" s="59">
        <f t="shared" si="1568"/>
        <v>15</v>
      </c>
      <c r="Q1674" s="45">
        <f t="shared" si="1554"/>
        <v>40</v>
      </c>
      <c r="R1674" s="46">
        <f>SUM(R1648:R1673)</f>
        <v>23</v>
      </c>
      <c r="S1674" s="47">
        <f t="shared" ref="S1674:T1674" si="1569">SUM(S1648:S1673)</f>
        <v>8</v>
      </c>
      <c r="T1674" s="59">
        <f t="shared" si="1569"/>
        <v>20</v>
      </c>
      <c r="U1674" s="45">
        <f t="shared" si="1555"/>
        <v>51</v>
      </c>
      <c r="V1674" s="45">
        <f>Q1674+U1674</f>
        <v>91</v>
      </c>
    </row>
    <row r="1675" spans="1:23" ht="14.25" thickBot="1" x14ac:dyDescent="0.2">
      <c r="A1675" s="22" t="s">
        <v>17</v>
      </c>
      <c r="B1675" s="50">
        <f>B1647-B1674</f>
        <v>12</v>
      </c>
      <c r="C1675" s="57">
        <f t="shared" ref="C1675:D1675" si="1570">C1647-C1674</f>
        <v>11</v>
      </c>
      <c r="D1675" s="58">
        <f t="shared" si="1570"/>
        <v>11</v>
      </c>
      <c r="E1675" s="56">
        <f>SUM(B1675:D1675)</f>
        <v>34</v>
      </c>
      <c r="F1675" s="50">
        <f>F1647-F1674</f>
        <v>8</v>
      </c>
      <c r="G1675" s="57">
        <f t="shared" ref="G1675:H1675" si="1571">G1647-G1674</f>
        <v>8</v>
      </c>
      <c r="H1675" s="58">
        <f t="shared" si="1571"/>
        <v>8</v>
      </c>
      <c r="I1675" s="56">
        <f>SUM(F1675:H1675)</f>
        <v>24</v>
      </c>
      <c r="J1675" s="31">
        <f>E1675+I1675</f>
        <v>58</v>
      </c>
      <c r="M1675" s="22" t="s">
        <v>17</v>
      </c>
      <c r="N1675" s="50">
        <f>N1647-N1674</f>
        <v>413</v>
      </c>
      <c r="O1675" s="57">
        <f t="shared" ref="O1675:P1675" si="1572">O1647-O1674</f>
        <v>494</v>
      </c>
      <c r="P1675" s="58">
        <f t="shared" si="1572"/>
        <v>222</v>
      </c>
      <c r="Q1675" s="56">
        <f>SUM(N1675:P1675)</f>
        <v>1129</v>
      </c>
      <c r="R1675" s="50">
        <f>R1647-R1674</f>
        <v>404</v>
      </c>
      <c r="S1675" s="57">
        <f t="shared" ref="S1675:T1675" si="1573">S1647-S1674</f>
        <v>452</v>
      </c>
      <c r="T1675" s="58">
        <f t="shared" si="1573"/>
        <v>172</v>
      </c>
      <c r="U1675" s="56">
        <f>SUM(R1675:T1675)</f>
        <v>1028</v>
      </c>
      <c r="V1675" s="31">
        <f>Q1675+U1675</f>
        <v>2157</v>
      </c>
    </row>
    <row r="1678" spans="1:23" ht="19.5" thickBot="1" x14ac:dyDescent="0.25">
      <c r="A1678" s="3" t="s">
        <v>21</v>
      </c>
      <c r="B1678" s="1"/>
      <c r="C1678" s="1"/>
      <c r="D1678" s="1"/>
      <c r="E1678" s="1"/>
      <c r="F1678" s="1"/>
      <c r="G1678" s="1"/>
      <c r="H1678" s="1" t="s">
        <v>498</v>
      </c>
      <c r="I1678" s="1"/>
      <c r="J1678" s="1"/>
      <c r="M1678" s="3" t="s">
        <v>22</v>
      </c>
      <c r="N1678" s="1"/>
      <c r="O1678" s="1"/>
      <c r="P1678" s="1"/>
      <c r="Q1678" s="1"/>
      <c r="R1678" s="1"/>
      <c r="S1678" s="1" t="s">
        <v>498</v>
      </c>
      <c r="T1678" s="1"/>
      <c r="U1678" s="1"/>
      <c r="V1678" s="1">
        <v>580</v>
      </c>
    </row>
    <row r="1679" spans="1:23" ht="14.25" thickBot="1" x14ac:dyDescent="0.2">
      <c r="A1679" s="7" t="s">
        <v>0</v>
      </c>
      <c r="B1679" s="165" t="s">
        <v>24</v>
      </c>
      <c r="C1679" s="166"/>
      <c r="D1679" s="166"/>
      <c r="E1679" s="170"/>
      <c r="F1679" s="165" t="s">
        <v>18</v>
      </c>
      <c r="G1679" s="166"/>
      <c r="H1679" s="166"/>
      <c r="I1679" s="167"/>
      <c r="J1679" s="168" t="s">
        <v>1</v>
      </c>
      <c r="M1679" s="7" t="s">
        <v>0</v>
      </c>
      <c r="N1679" s="165" t="s">
        <v>24</v>
      </c>
      <c r="O1679" s="166"/>
      <c r="P1679" s="166"/>
      <c r="Q1679" s="170"/>
      <c r="R1679" s="165" t="s">
        <v>18</v>
      </c>
      <c r="S1679" s="166"/>
      <c r="T1679" s="166"/>
      <c r="U1679" s="167"/>
      <c r="V1679" s="168" t="s">
        <v>1</v>
      </c>
    </row>
    <row r="1680" spans="1:23" ht="14.25" thickBot="1" x14ac:dyDescent="0.2">
      <c r="A1680" s="7" t="s">
        <v>2</v>
      </c>
      <c r="B1680" s="4" t="s">
        <v>3</v>
      </c>
      <c r="C1680" s="5" t="s">
        <v>4</v>
      </c>
      <c r="D1680" s="6" t="s">
        <v>5</v>
      </c>
      <c r="E1680" s="7" t="s">
        <v>6</v>
      </c>
      <c r="F1680" s="4" t="s">
        <v>3</v>
      </c>
      <c r="G1680" s="5" t="s">
        <v>4</v>
      </c>
      <c r="H1680" s="6" t="s">
        <v>5</v>
      </c>
      <c r="I1680" s="7" t="s">
        <v>6</v>
      </c>
      <c r="J1680" s="169"/>
      <c r="M1680" s="7" t="s">
        <v>2</v>
      </c>
      <c r="N1680" s="4" t="s">
        <v>3</v>
      </c>
      <c r="O1680" s="5" t="s">
        <v>4</v>
      </c>
      <c r="P1680" s="6" t="s">
        <v>5</v>
      </c>
      <c r="Q1680" s="7" t="s">
        <v>6</v>
      </c>
      <c r="R1680" s="4" t="s">
        <v>3</v>
      </c>
      <c r="S1680" s="5" t="s">
        <v>4</v>
      </c>
      <c r="T1680" s="6" t="s">
        <v>5</v>
      </c>
      <c r="U1680" s="7" t="s">
        <v>6</v>
      </c>
      <c r="V1680" s="169"/>
    </row>
    <row r="1681" spans="1:23" ht="14.25" thickBot="1" x14ac:dyDescent="0.2">
      <c r="A1681" s="27" t="s">
        <v>20</v>
      </c>
      <c r="B1681" s="28">
        <f>B1675</f>
        <v>12</v>
      </c>
      <c r="C1681" s="29">
        <f>C1675</f>
        <v>11</v>
      </c>
      <c r="D1681" s="30">
        <f>D1675</f>
        <v>11</v>
      </c>
      <c r="E1681" s="31">
        <f>SUM(B1681:D1681)</f>
        <v>34</v>
      </c>
      <c r="F1681" s="28">
        <f>F1675</f>
        <v>8</v>
      </c>
      <c r="G1681" s="29">
        <f>G1675</f>
        <v>8</v>
      </c>
      <c r="H1681" s="30">
        <f>H1675</f>
        <v>8</v>
      </c>
      <c r="I1681" s="31">
        <f>SUM(F1681:H1681)</f>
        <v>24</v>
      </c>
      <c r="J1681" s="31">
        <f>E1681+I1681</f>
        <v>58</v>
      </c>
      <c r="M1681" s="27" t="s">
        <v>20</v>
      </c>
      <c r="N1681" s="28">
        <f>N1675</f>
        <v>413</v>
      </c>
      <c r="O1681" s="29">
        <f>O1675</f>
        <v>494</v>
      </c>
      <c r="P1681" s="30">
        <f>P1675</f>
        <v>222</v>
      </c>
      <c r="Q1681" s="31">
        <f>SUM(N1681:P1681)</f>
        <v>1129</v>
      </c>
      <c r="R1681" s="28">
        <f>R1675</f>
        <v>404</v>
      </c>
      <c r="S1681" s="29">
        <f>S1675</f>
        <v>452</v>
      </c>
      <c r="T1681" s="30">
        <f>T1675</f>
        <v>172</v>
      </c>
      <c r="U1681" s="31">
        <f>SUM(R1681:T1681)</f>
        <v>1028</v>
      </c>
      <c r="V1681" s="31">
        <f>Q1681+U1681</f>
        <v>2157</v>
      </c>
    </row>
    <row r="1682" spans="1:23" x14ac:dyDescent="0.15">
      <c r="A1682" s="25" t="s">
        <v>8</v>
      </c>
      <c r="B1682" s="8"/>
      <c r="C1682" s="9">
        <v>5</v>
      </c>
      <c r="D1682" s="52"/>
      <c r="E1682" s="11">
        <f t="shared" ref="E1682:E1685" si="1574">SUM(B1682:D1682)</f>
        <v>5</v>
      </c>
      <c r="F1682" s="12">
        <v>5</v>
      </c>
      <c r="G1682" s="9">
        <v>5</v>
      </c>
      <c r="H1682" s="10">
        <v>5</v>
      </c>
      <c r="I1682" s="11">
        <f t="shared" ref="I1682:I1685" si="1575">SUM(F1682:H1682)</f>
        <v>15</v>
      </c>
      <c r="J1682" s="11">
        <f t="shared" ref="J1682:J1685" si="1576">E1682+I1682</f>
        <v>20</v>
      </c>
      <c r="K1682" s="63">
        <v>45916</v>
      </c>
      <c r="M1682" s="25" t="s">
        <v>8</v>
      </c>
      <c r="N1682" s="17"/>
      <c r="O1682" s="18"/>
      <c r="P1682" s="51"/>
      <c r="Q1682" s="49">
        <f t="shared" ref="Q1682:Q1689" si="1577">SUM(N1682:P1682)</f>
        <v>0</v>
      </c>
      <c r="R1682" s="20"/>
      <c r="S1682" s="18"/>
      <c r="T1682" s="19"/>
      <c r="U1682" s="49">
        <f t="shared" ref="U1682:U1689" si="1578">SUM(R1682:T1682)</f>
        <v>0</v>
      </c>
      <c r="V1682" s="49">
        <f t="shared" ref="V1682:V1689" si="1579">Q1682+U1682</f>
        <v>0</v>
      </c>
      <c r="W1682" s="140"/>
    </row>
    <row r="1683" spans="1:23" x14ac:dyDescent="0.15">
      <c r="A1683" s="25" t="s">
        <v>143</v>
      </c>
      <c r="B1683" s="8">
        <v>1</v>
      </c>
      <c r="C1683" s="9"/>
      <c r="D1683" s="52"/>
      <c r="E1683" s="11">
        <f t="shared" si="1574"/>
        <v>1</v>
      </c>
      <c r="F1683" s="12">
        <v>1</v>
      </c>
      <c r="G1683" s="9"/>
      <c r="H1683" s="10"/>
      <c r="I1683" s="11">
        <f t="shared" si="1575"/>
        <v>1</v>
      </c>
      <c r="J1683" s="11">
        <f t="shared" si="1576"/>
        <v>2</v>
      </c>
      <c r="K1683" s="63">
        <v>45924</v>
      </c>
      <c r="L1683" s="82"/>
      <c r="M1683" s="25" t="s">
        <v>137</v>
      </c>
      <c r="N1683" s="8">
        <v>18</v>
      </c>
      <c r="O1683" s="9">
        <v>40</v>
      </c>
      <c r="P1683" s="52">
        <v>11</v>
      </c>
      <c r="Q1683" s="11">
        <f t="shared" si="1577"/>
        <v>69</v>
      </c>
      <c r="R1683" s="12">
        <v>22</v>
      </c>
      <c r="S1683" s="9">
        <v>52</v>
      </c>
      <c r="T1683" s="10">
        <v>6</v>
      </c>
      <c r="U1683" s="11">
        <f t="shared" si="1578"/>
        <v>80</v>
      </c>
      <c r="V1683" s="11">
        <f t="shared" si="1579"/>
        <v>149</v>
      </c>
      <c r="W1683" s="140">
        <v>45905</v>
      </c>
    </row>
    <row r="1684" spans="1:23" x14ac:dyDescent="0.15">
      <c r="A1684" s="25" t="s">
        <v>10</v>
      </c>
      <c r="B1684" s="8"/>
      <c r="C1684" s="9"/>
      <c r="D1684" s="52"/>
      <c r="E1684" s="11">
        <f t="shared" si="1574"/>
        <v>0</v>
      </c>
      <c r="F1684" s="12"/>
      <c r="G1684" s="9">
        <v>5</v>
      </c>
      <c r="H1684" s="10"/>
      <c r="I1684" s="11">
        <f t="shared" si="1575"/>
        <v>5</v>
      </c>
      <c r="J1684" s="11">
        <f t="shared" si="1576"/>
        <v>5</v>
      </c>
      <c r="K1684" s="63">
        <v>45931</v>
      </c>
      <c r="L1684" s="82"/>
      <c r="M1684" s="25" t="s">
        <v>517</v>
      </c>
      <c r="N1684" s="8"/>
      <c r="O1684" s="9">
        <v>6</v>
      </c>
      <c r="P1684" s="52">
        <v>1</v>
      </c>
      <c r="Q1684" s="11">
        <f t="shared" si="1577"/>
        <v>7</v>
      </c>
      <c r="R1684" s="12"/>
      <c r="S1684" s="9">
        <v>2</v>
      </c>
      <c r="T1684" s="10">
        <v>3</v>
      </c>
      <c r="U1684" s="11">
        <f t="shared" si="1578"/>
        <v>5</v>
      </c>
      <c r="V1684" s="11">
        <f t="shared" si="1579"/>
        <v>12</v>
      </c>
      <c r="W1684" s="140">
        <v>45948</v>
      </c>
    </row>
    <row r="1685" spans="1:23" x14ac:dyDescent="0.15">
      <c r="A1685" s="155" t="s">
        <v>11</v>
      </c>
      <c r="B1685" s="148"/>
      <c r="C1685" s="149"/>
      <c r="D1685" s="156"/>
      <c r="E1685" s="153">
        <f t="shared" si="1574"/>
        <v>0</v>
      </c>
      <c r="F1685" s="152">
        <v>3</v>
      </c>
      <c r="G1685" s="149">
        <v>3</v>
      </c>
      <c r="H1685" s="150"/>
      <c r="I1685" s="153">
        <f t="shared" si="1575"/>
        <v>6</v>
      </c>
      <c r="J1685" s="153">
        <f t="shared" si="1576"/>
        <v>6</v>
      </c>
      <c r="K1685" s="154">
        <v>45939</v>
      </c>
      <c r="L1685" s="82"/>
      <c r="M1685" s="25" t="s">
        <v>11</v>
      </c>
      <c r="N1685" s="8"/>
      <c r="O1685" s="9"/>
      <c r="P1685" s="52"/>
      <c r="Q1685" s="11">
        <f t="shared" si="1577"/>
        <v>0</v>
      </c>
      <c r="R1685" s="12"/>
      <c r="S1685" s="9"/>
      <c r="T1685" s="10"/>
      <c r="U1685" s="11">
        <f t="shared" si="1578"/>
        <v>0</v>
      </c>
      <c r="V1685" s="11">
        <f t="shared" si="1579"/>
        <v>0</v>
      </c>
      <c r="W1685" s="140"/>
    </row>
    <row r="1686" spans="1:23" x14ac:dyDescent="0.15">
      <c r="A1686" s="155" t="s">
        <v>12</v>
      </c>
      <c r="B1686" s="148"/>
      <c r="C1686" s="149"/>
      <c r="D1686" s="156"/>
      <c r="E1686" s="153">
        <f t="shared" ref="E1686:E1689" si="1580">SUM(B1686:D1686)</f>
        <v>0</v>
      </c>
      <c r="F1686" s="152">
        <v>5</v>
      </c>
      <c r="G1686" s="149"/>
      <c r="H1686" s="150"/>
      <c r="I1686" s="153">
        <f t="shared" ref="I1686:I1689" si="1581">SUM(F1686:H1686)</f>
        <v>5</v>
      </c>
      <c r="J1686" s="153">
        <f t="shared" ref="J1686:J1689" si="1582">E1686+I1686</f>
        <v>5</v>
      </c>
      <c r="K1686" s="154">
        <v>45945</v>
      </c>
      <c r="L1686" s="82"/>
      <c r="M1686" s="25" t="s">
        <v>12</v>
      </c>
      <c r="N1686" s="8"/>
      <c r="O1686" s="9"/>
      <c r="P1686" s="52"/>
      <c r="Q1686" s="11">
        <f t="shared" si="1577"/>
        <v>0</v>
      </c>
      <c r="R1686" s="12"/>
      <c r="S1686" s="9"/>
      <c r="T1686" s="10"/>
      <c r="U1686" s="11">
        <f t="shared" si="1578"/>
        <v>0</v>
      </c>
      <c r="V1686" s="11">
        <f t="shared" si="1579"/>
        <v>0</v>
      </c>
      <c r="W1686" s="140"/>
    </row>
    <row r="1687" spans="1:23" x14ac:dyDescent="0.15">
      <c r="A1687" s="25" t="s">
        <v>137</v>
      </c>
      <c r="B1687" s="8">
        <v>3</v>
      </c>
      <c r="C1687" s="9">
        <v>6</v>
      </c>
      <c r="D1687" s="52">
        <v>1</v>
      </c>
      <c r="E1687" s="11">
        <f t="shared" si="1580"/>
        <v>10</v>
      </c>
      <c r="F1687" s="12">
        <v>1</v>
      </c>
      <c r="G1687" s="9">
        <v>2</v>
      </c>
      <c r="H1687" s="10">
        <v>3</v>
      </c>
      <c r="I1687" s="11">
        <f t="shared" si="1581"/>
        <v>6</v>
      </c>
      <c r="J1687" s="11">
        <f t="shared" si="1582"/>
        <v>16</v>
      </c>
      <c r="K1687" s="63">
        <v>45945</v>
      </c>
      <c r="L1687" s="82"/>
      <c r="M1687" s="25" t="s">
        <v>13</v>
      </c>
      <c r="N1687" s="8"/>
      <c r="O1687" s="9"/>
      <c r="P1687" s="52"/>
      <c r="Q1687" s="11">
        <f t="shared" si="1577"/>
        <v>0</v>
      </c>
      <c r="R1687" s="12"/>
      <c r="S1687" s="9"/>
      <c r="T1687" s="10"/>
      <c r="U1687" s="11">
        <f t="shared" si="1578"/>
        <v>0</v>
      </c>
      <c r="V1687" s="11">
        <f t="shared" si="1579"/>
        <v>0</v>
      </c>
      <c r="W1687" s="140"/>
    </row>
    <row r="1688" spans="1:23" x14ac:dyDescent="0.15">
      <c r="A1688" s="25" t="s">
        <v>14</v>
      </c>
      <c r="B1688" s="13"/>
      <c r="C1688" s="14"/>
      <c r="D1688" s="53"/>
      <c r="E1688" s="11">
        <f t="shared" si="1580"/>
        <v>0</v>
      </c>
      <c r="F1688" s="16"/>
      <c r="G1688" s="14"/>
      <c r="H1688" s="15"/>
      <c r="I1688" s="11">
        <f t="shared" si="1581"/>
        <v>0</v>
      </c>
      <c r="J1688" s="11">
        <f t="shared" si="1582"/>
        <v>0</v>
      </c>
      <c r="K1688" s="63"/>
      <c r="L1688" s="82"/>
      <c r="M1688" s="25" t="s">
        <v>14</v>
      </c>
      <c r="N1688" s="13"/>
      <c r="O1688" s="14"/>
      <c r="P1688" s="53"/>
      <c r="Q1688" s="11">
        <f t="shared" si="1577"/>
        <v>0</v>
      </c>
      <c r="R1688" s="16"/>
      <c r="S1688" s="14"/>
      <c r="T1688" s="15"/>
      <c r="U1688" s="11">
        <f t="shared" si="1578"/>
        <v>0</v>
      </c>
      <c r="V1688" s="11">
        <f t="shared" si="1579"/>
        <v>0</v>
      </c>
      <c r="W1688" s="140"/>
    </row>
    <row r="1689" spans="1:23" ht="14.25" thickBot="1" x14ac:dyDescent="0.2">
      <c r="A1689" s="25" t="s">
        <v>15</v>
      </c>
      <c r="B1689" s="13"/>
      <c r="C1689" s="14"/>
      <c r="D1689" s="53"/>
      <c r="E1689" s="11">
        <f t="shared" si="1580"/>
        <v>0</v>
      </c>
      <c r="F1689" s="16"/>
      <c r="G1689" s="14"/>
      <c r="H1689" s="15"/>
      <c r="I1689" s="11">
        <f t="shared" si="1581"/>
        <v>0</v>
      </c>
      <c r="J1689" s="11">
        <f t="shared" si="1582"/>
        <v>0</v>
      </c>
      <c r="M1689" s="25" t="s">
        <v>15</v>
      </c>
      <c r="N1689" s="13"/>
      <c r="O1689" s="14"/>
      <c r="P1689" s="53"/>
      <c r="Q1689" s="11">
        <f t="shared" si="1577"/>
        <v>0</v>
      </c>
      <c r="R1689" s="16"/>
      <c r="S1689" s="14"/>
      <c r="T1689" s="15"/>
      <c r="U1689" s="11">
        <f t="shared" si="1578"/>
        <v>0</v>
      </c>
      <c r="V1689" s="11">
        <f t="shared" si="1579"/>
        <v>0</v>
      </c>
    </row>
    <row r="1690" spans="1:23" ht="14.25" thickBot="1" x14ac:dyDescent="0.2">
      <c r="A1690" s="35" t="s">
        <v>16</v>
      </c>
      <c r="B1690" s="28">
        <f>SUM(B1681:B1689)</f>
        <v>16</v>
      </c>
      <c r="C1690" s="29">
        <f t="shared" ref="C1690:D1690" si="1583">SUM(C1681:C1689)</f>
        <v>22</v>
      </c>
      <c r="D1690" s="68">
        <f t="shared" si="1583"/>
        <v>12</v>
      </c>
      <c r="E1690" s="64">
        <f>SUM(B1690:D1690)</f>
        <v>50</v>
      </c>
      <c r="F1690" s="28">
        <f>SUM(F1681:F1689)</f>
        <v>23</v>
      </c>
      <c r="G1690" s="29">
        <f t="shared" ref="G1690:H1690" si="1584">SUM(G1681:G1689)</f>
        <v>23</v>
      </c>
      <c r="H1690" s="68">
        <f t="shared" si="1584"/>
        <v>16</v>
      </c>
      <c r="I1690" s="64">
        <f>SUM(F1690:H1690)</f>
        <v>62</v>
      </c>
      <c r="J1690" s="31">
        <f>E1690+I1690</f>
        <v>112</v>
      </c>
      <c r="M1690" s="35" t="s">
        <v>16</v>
      </c>
      <c r="N1690" s="28">
        <f>SUM(N1681:N1689)</f>
        <v>431</v>
      </c>
      <c r="O1690" s="29">
        <f t="shared" ref="O1690:P1690" si="1585">SUM(O1681:O1689)</f>
        <v>540</v>
      </c>
      <c r="P1690" s="68">
        <f t="shared" si="1585"/>
        <v>234</v>
      </c>
      <c r="Q1690" s="64">
        <f>SUM(N1690:P1690)</f>
        <v>1205</v>
      </c>
      <c r="R1690" s="28">
        <f>SUM(R1681:R1689)</f>
        <v>426</v>
      </c>
      <c r="S1690" s="29">
        <f t="shared" ref="S1690:T1690" si="1586">SUM(S1681:S1689)</f>
        <v>506</v>
      </c>
      <c r="T1690" s="68">
        <f t="shared" si="1586"/>
        <v>181</v>
      </c>
      <c r="U1690" s="64">
        <f>SUM(R1690:T1690)</f>
        <v>1113</v>
      </c>
      <c r="V1690" s="31">
        <f>Q1690+U1690</f>
        <v>2318</v>
      </c>
    </row>
    <row r="1691" spans="1:23" x14ac:dyDescent="0.15">
      <c r="A1691" s="26" t="s">
        <v>329</v>
      </c>
      <c r="B1691" s="8"/>
      <c r="C1691" s="9">
        <v>1</v>
      </c>
      <c r="D1691" s="10"/>
      <c r="E1691" s="49">
        <f t="shared" ref="E1691:E1702" si="1587">SUM(B1691:D1691)</f>
        <v>1</v>
      </c>
      <c r="F1691" s="12"/>
      <c r="G1691" s="9">
        <v>1</v>
      </c>
      <c r="H1691" s="10"/>
      <c r="I1691" s="49">
        <f t="shared" ref="I1691:I1702" si="1588">SUM(F1691:H1691)</f>
        <v>1</v>
      </c>
      <c r="J1691" s="11">
        <f t="shared" ref="J1691:J1702" si="1589">E1691+I1691</f>
        <v>2</v>
      </c>
      <c r="K1691" s="140">
        <v>45910</v>
      </c>
      <c r="M1691" s="26" t="s">
        <v>28</v>
      </c>
      <c r="N1691" s="8"/>
      <c r="O1691" s="9">
        <v>5</v>
      </c>
      <c r="P1691" s="10"/>
      <c r="Q1691" s="49">
        <f t="shared" ref="Q1691" si="1590">SUM(N1691:P1691)</f>
        <v>5</v>
      </c>
      <c r="R1691" s="12">
        <v>5</v>
      </c>
      <c r="S1691" s="9">
        <v>5</v>
      </c>
      <c r="T1691" s="10">
        <v>5</v>
      </c>
      <c r="U1691" s="49">
        <f t="shared" ref="U1691" si="1591">SUM(R1691:T1691)</f>
        <v>15</v>
      </c>
      <c r="V1691" s="11">
        <f t="shared" ref="V1691" si="1592">Q1691+U1691</f>
        <v>20</v>
      </c>
      <c r="W1691" s="140">
        <v>45916</v>
      </c>
    </row>
    <row r="1692" spans="1:23" x14ac:dyDescent="0.15">
      <c r="A1692" s="26" t="s">
        <v>33</v>
      </c>
      <c r="B1692" s="8">
        <v>1</v>
      </c>
      <c r="C1692" s="9"/>
      <c r="D1692" s="10"/>
      <c r="E1692" s="49">
        <f t="shared" si="1587"/>
        <v>1</v>
      </c>
      <c r="F1692" s="12">
        <f>1+1</f>
        <v>2</v>
      </c>
      <c r="G1692" s="9"/>
      <c r="H1692" s="10">
        <v>2</v>
      </c>
      <c r="I1692" s="49">
        <f t="shared" si="1588"/>
        <v>4</v>
      </c>
      <c r="J1692" s="11">
        <f t="shared" si="1589"/>
        <v>5</v>
      </c>
      <c r="K1692" s="140">
        <v>45908</v>
      </c>
      <c r="M1692" s="26" t="s">
        <v>28</v>
      </c>
      <c r="N1692" s="8"/>
      <c r="O1692" s="9"/>
      <c r="P1692" s="10"/>
      <c r="Q1692" s="49">
        <f t="shared" ref="Q1692:Q1693" si="1593">SUM(N1692:P1692)</f>
        <v>0</v>
      </c>
      <c r="R1692" s="12"/>
      <c r="S1692" s="9">
        <v>5</v>
      </c>
      <c r="T1692" s="10"/>
      <c r="U1692" s="49">
        <f t="shared" ref="U1692:U1693" si="1594">SUM(R1692:T1692)</f>
        <v>5</v>
      </c>
      <c r="V1692" s="11">
        <f t="shared" ref="V1692:V1693" si="1595">Q1692+U1692</f>
        <v>5</v>
      </c>
      <c r="W1692" s="140">
        <v>45931</v>
      </c>
    </row>
    <row r="1693" spans="1:23" x14ac:dyDescent="0.15">
      <c r="A1693" s="26" t="s">
        <v>329</v>
      </c>
      <c r="B1693" s="8"/>
      <c r="C1693" s="9">
        <v>2</v>
      </c>
      <c r="D1693" s="10"/>
      <c r="E1693" s="49">
        <f t="shared" si="1587"/>
        <v>2</v>
      </c>
      <c r="F1693" s="12"/>
      <c r="G1693" s="9">
        <v>2</v>
      </c>
      <c r="H1693" s="10"/>
      <c r="I1693" s="49">
        <f t="shared" si="1588"/>
        <v>2</v>
      </c>
      <c r="J1693" s="11">
        <f t="shared" si="1589"/>
        <v>4</v>
      </c>
      <c r="K1693" s="140">
        <v>45911</v>
      </c>
      <c r="M1693" s="147" t="s">
        <v>28</v>
      </c>
      <c r="N1693" s="148"/>
      <c r="O1693" s="149"/>
      <c r="P1693" s="150"/>
      <c r="Q1693" s="151">
        <f t="shared" si="1593"/>
        <v>0</v>
      </c>
      <c r="R1693" s="152">
        <v>3</v>
      </c>
      <c r="S1693" s="149">
        <v>3</v>
      </c>
      <c r="T1693" s="150"/>
      <c r="U1693" s="151">
        <f t="shared" si="1594"/>
        <v>6</v>
      </c>
      <c r="V1693" s="153">
        <f t="shared" si="1595"/>
        <v>6</v>
      </c>
      <c r="W1693" s="157">
        <v>45939</v>
      </c>
    </row>
    <row r="1694" spans="1:23" x14ac:dyDescent="0.15">
      <c r="A1694" s="26" t="s">
        <v>33</v>
      </c>
      <c r="B1694" s="8">
        <v>1</v>
      </c>
      <c r="C1694" s="9">
        <v>1</v>
      </c>
      <c r="D1694" s="10">
        <v>1</v>
      </c>
      <c r="E1694" s="49">
        <f t="shared" si="1587"/>
        <v>3</v>
      </c>
      <c r="F1694" s="12">
        <v>1</v>
      </c>
      <c r="G1694" s="9"/>
      <c r="H1694" s="10"/>
      <c r="I1694" s="49">
        <f t="shared" si="1588"/>
        <v>1</v>
      </c>
      <c r="J1694" s="11">
        <f t="shared" si="1589"/>
        <v>4</v>
      </c>
      <c r="K1694" s="140">
        <v>45910</v>
      </c>
      <c r="M1694" s="147" t="s">
        <v>28</v>
      </c>
      <c r="N1694" s="148"/>
      <c r="O1694" s="149"/>
      <c r="P1694" s="150"/>
      <c r="Q1694" s="151">
        <f t="shared" ref="Q1694:Q1717" si="1596">SUM(N1694:P1694)</f>
        <v>0</v>
      </c>
      <c r="R1694" s="152">
        <v>5</v>
      </c>
      <c r="S1694" s="149"/>
      <c r="T1694" s="150"/>
      <c r="U1694" s="151">
        <f t="shared" ref="U1694:U1717" si="1597">SUM(R1694:T1694)</f>
        <v>5</v>
      </c>
      <c r="V1694" s="153">
        <f t="shared" ref="V1694:V1716" si="1598">Q1694+U1694</f>
        <v>5</v>
      </c>
      <c r="W1694" s="157">
        <v>45945</v>
      </c>
    </row>
    <row r="1695" spans="1:23" x14ac:dyDescent="0.15">
      <c r="A1695" s="26" t="s">
        <v>329</v>
      </c>
      <c r="B1695" s="8"/>
      <c r="C1695" s="9">
        <v>2</v>
      </c>
      <c r="D1695" s="10"/>
      <c r="E1695" s="49">
        <f t="shared" si="1587"/>
        <v>2</v>
      </c>
      <c r="F1695" s="12"/>
      <c r="G1695" s="9">
        <v>2</v>
      </c>
      <c r="H1695" s="10"/>
      <c r="I1695" s="49">
        <f t="shared" si="1588"/>
        <v>2</v>
      </c>
      <c r="J1695" s="11">
        <f t="shared" si="1589"/>
        <v>4</v>
      </c>
      <c r="K1695" s="140">
        <v>45912</v>
      </c>
      <c r="M1695" s="26"/>
      <c r="N1695" s="8"/>
      <c r="O1695" s="9"/>
      <c r="P1695" s="10"/>
      <c r="Q1695" s="49">
        <f t="shared" si="1596"/>
        <v>0</v>
      </c>
      <c r="R1695" s="12"/>
      <c r="S1695" s="9"/>
      <c r="T1695" s="10"/>
      <c r="U1695" s="49">
        <f t="shared" si="1597"/>
        <v>0</v>
      </c>
      <c r="V1695" s="11">
        <f t="shared" si="1598"/>
        <v>0</v>
      </c>
      <c r="W1695" s="142"/>
    </row>
    <row r="1696" spans="1:23" x14ac:dyDescent="0.15">
      <c r="A1696" s="26" t="s">
        <v>33</v>
      </c>
      <c r="B1696" s="8">
        <v>1</v>
      </c>
      <c r="C1696" s="9"/>
      <c r="D1696" s="10"/>
      <c r="E1696" s="49">
        <f t="shared" si="1587"/>
        <v>1</v>
      </c>
      <c r="F1696" s="12"/>
      <c r="G1696" s="9">
        <v>1</v>
      </c>
      <c r="H1696" s="10">
        <v>1</v>
      </c>
      <c r="I1696" s="49">
        <f t="shared" si="1588"/>
        <v>2</v>
      </c>
      <c r="J1696" s="11">
        <f t="shared" si="1589"/>
        <v>3</v>
      </c>
      <c r="K1696" s="140">
        <v>45916</v>
      </c>
      <c r="M1696" s="26"/>
      <c r="N1696" s="8"/>
      <c r="O1696" s="9"/>
      <c r="P1696" s="10"/>
      <c r="Q1696" s="49">
        <f t="shared" si="1596"/>
        <v>0</v>
      </c>
      <c r="R1696" s="12"/>
      <c r="S1696" s="9"/>
      <c r="T1696" s="10"/>
      <c r="U1696" s="49">
        <f t="shared" si="1597"/>
        <v>0</v>
      </c>
      <c r="V1696" s="11">
        <f t="shared" si="1598"/>
        <v>0</v>
      </c>
      <c r="W1696" s="142"/>
    </row>
    <row r="1697" spans="1:23" x14ac:dyDescent="0.15">
      <c r="A1697" s="26" t="s">
        <v>33</v>
      </c>
      <c r="B1697" s="8"/>
      <c r="C1697" s="9"/>
      <c r="D1697" s="10">
        <v>1</v>
      </c>
      <c r="E1697" s="49">
        <f t="shared" si="1587"/>
        <v>1</v>
      </c>
      <c r="F1697" s="12">
        <v>1</v>
      </c>
      <c r="G1697" s="9"/>
      <c r="H1697" s="10">
        <v>1</v>
      </c>
      <c r="I1697" s="49">
        <f t="shared" si="1588"/>
        <v>2</v>
      </c>
      <c r="J1697" s="11">
        <f t="shared" si="1589"/>
        <v>3</v>
      </c>
      <c r="K1697" s="140">
        <v>45918</v>
      </c>
      <c r="M1697" s="26"/>
      <c r="N1697" s="8"/>
      <c r="O1697" s="9"/>
      <c r="P1697" s="10"/>
      <c r="Q1697" s="49">
        <f t="shared" si="1596"/>
        <v>0</v>
      </c>
      <c r="R1697" s="12"/>
      <c r="S1697" s="9"/>
      <c r="T1697" s="10"/>
      <c r="U1697" s="49">
        <f t="shared" si="1597"/>
        <v>0</v>
      </c>
      <c r="V1697" s="11">
        <f t="shared" si="1598"/>
        <v>0</v>
      </c>
      <c r="W1697" s="142"/>
    </row>
    <row r="1698" spans="1:23" x14ac:dyDescent="0.15">
      <c r="A1698" s="26" t="s">
        <v>33</v>
      </c>
      <c r="B1698" s="8"/>
      <c r="C1698" s="9"/>
      <c r="D1698" s="10"/>
      <c r="E1698" s="49">
        <f t="shared" si="1587"/>
        <v>0</v>
      </c>
      <c r="F1698" s="12"/>
      <c r="G1698" s="9">
        <v>1</v>
      </c>
      <c r="H1698" s="10"/>
      <c r="I1698" s="49">
        <f t="shared" si="1588"/>
        <v>1</v>
      </c>
      <c r="J1698" s="11">
        <f t="shared" si="1589"/>
        <v>1</v>
      </c>
      <c r="K1698" s="140">
        <v>45919</v>
      </c>
      <c r="M1698" s="26"/>
      <c r="N1698" s="8"/>
      <c r="O1698" s="9"/>
      <c r="P1698" s="10"/>
      <c r="Q1698" s="49">
        <f t="shared" si="1596"/>
        <v>0</v>
      </c>
      <c r="R1698" s="12"/>
      <c r="S1698" s="9"/>
      <c r="T1698" s="10"/>
      <c r="U1698" s="49">
        <f t="shared" si="1597"/>
        <v>0</v>
      </c>
      <c r="V1698" s="11">
        <f t="shared" si="1598"/>
        <v>0</v>
      </c>
      <c r="W1698" s="142"/>
    </row>
    <row r="1699" spans="1:23" x14ac:dyDescent="0.15">
      <c r="A1699" s="26" t="s">
        <v>33</v>
      </c>
      <c r="B1699" s="8">
        <v>1</v>
      </c>
      <c r="C1699" s="9"/>
      <c r="D1699" s="10"/>
      <c r="E1699" s="49">
        <f t="shared" si="1587"/>
        <v>1</v>
      </c>
      <c r="F1699" s="12"/>
      <c r="G1699" s="9"/>
      <c r="H1699" s="10"/>
      <c r="I1699" s="49">
        <f t="shared" si="1588"/>
        <v>0</v>
      </c>
      <c r="J1699" s="11">
        <f t="shared" si="1589"/>
        <v>1</v>
      </c>
      <c r="K1699" s="140">
        <v>45922</v>
      </c>
      <c r="M1699" s="26"/>
      <c r="N1699" s="8"/>
      <c r="O1699" s="9"/>
      <c r="P1699" s="10"/>
      <c r="Q1699" s="49">
        <f t="shared" si="1596"/>
        <v>0</v>
      </c>
      <c r="R1699" s="12"/>
      <c r="S1699" s="9"/>
      <c r="T1699" s="10"/>
      <c r="U1699" s="49">
        <f t="shared" si="1597"/>
        <v>0</v>
      </c>
      <c r="V1699" s="11">
        <f t="shared" si="1598"/>
        <v>0</v>
      </c>
      <c r="W1699" s="142"/>
    </row>
    <row r="1700" spans="1:23" x14ac:dyDescent="0.15">
      <c r="A1700" s="26" t="s">
        <v>33</v>
      </c>
      <c r="B1700" s="8">
        <v>1</v>
      </c>
      <c r="C1700" s="9"/>
      <c r="D1700" s="10">
        <v>1</v>
      </c>
      <c r="E1700" s="49">
        <f t="shared" si="1587"/>
        <v>2</v>
      </c>
      <c r="F1700" s="12">
        <v>1</v>
      </c>
      <c r="G1700" s="9">
        <v>1</v>
      </c>
      <c r="H1700" s="10"/>
      <c r="I1700" s="49">
        <f t="shared" si="1588"/>
        <v>2</v>
      </c>
      <c r="J1700" s="11">
        <f t="shared" si="1589"/>
        <v>4</v>
      </c>
      <c r="K1700" s="140">
        <v>45924</v>
      </c>
      <c r="M1700" s="26"/>
      <c r="N1700" s="8"/>
      <c r="O1700" s="9"/>
      <c r="P1700" s="10"/>
      <c r="Q1700" s="49">
        <f t="shared" si="1596"/>
        <v>0</v>
      </c>
      <c r="R1700" s="12"/>
      <c r="S1700" s="9"/>
      <c r="T1700" s="10"/>
      <c r="U1700" s="49">
        <f t="shared" si="1597"/>
        <v>0</v>
      </c>
      <c r="V1700" s="11">
        <f t="shared" si="1598"/>
        <v>0</v>
      </c>
      <c r="W1700" s="142"/>
    </row>
    <row r="1701" spans="1:23" x14ac:dyDescent="0.15">
      <c r="A1701" s="26" t="s">
        <v>33</v>
      </c>
      <c r="B1701" s="8"/>
      <c r="C1701" s="9"/>
      <c r="D1701" s="10"/>
      <c r="E1701" s="49">
        <f t="shared" si="1587"/>
        <v>0</v>
      </c>
      <c r="F1701" s="12"/>
      <c r="G1701" s="9"/>
      <c r="H1701" s="10">
        <v>1</v>
      </c>
      <c r="I1701" s="49">
        <f t="shared" si="1588"/>
        <v>1</v>
      </c>
      <c r="J1701" s="11">
        <f t="shared" si="1589"/>
        <v>1</v>
      </c>
      <c r="K1701" s="140">
        <v>45925</v>
      </c>
      <c r="M1701" s="26"/>
      <c r="N1701" s="8"/>
      <c r="O1701" s="9"/>
      <c r="P1701" s="10"/>
      <c r="Q1701" s="49">
        <f t="shared" si="1596"/>
        <v>0</v>
      </c>
      <c r="R1701" s="12"/>
      <c r="S1701" s="9"/>
      <c r="T1701" s="10"/>
      <c r="U1701" s="49">
        <f t="shared" si="1597"/>
        <v>0</v>
      </c>
      <c r="V1701" s="11">
        <f t="shared" si="1598"/>
        <v>0</v>
      </c>
      <c r="W1701" s="142"/>
    </row>
    <row r="1702" spans="1:23" x14ac:dyDescent="0.15">
      <c r="A1702" s="26" t="s">
        <v>329</v>
      </c>
      <c r="B1702" s="8"/>
      <c r="C1702" s="9"/>
      <c r="D1702" s="10">
        <v>1</v>
      </c>
      <c r="E1702" s="49">
        <f t="shared" si="1587"/>
        <v>1</v>
      </c>
      <c r="F1702" s="12"/>
      <c r="G1702" s="9"/>
      <c r="H1702" s="10">
        <v>1</v>
      </c>
      <c r="I1702" s="49">
        <f t="shared" si="1588"/>
        <v>1</v>
      </c>
      <c r="J1702" s="11">
        <f t="shared" si="1589"/>
        <v>2</v>
      </c>
      <c r="K1702" s="140">
        <v>45929</v>
      </c>
      <c r="L1702" s="82"/>
      <c r="M1702" s="26"/>
      <c r="N1702" s="8"/>
      <c r="O1702" s="9"/>
      <c r="P1702" s="10"/>
      <c r="Q1702" s="49">
        <f t="shared" si="1596"/>
        <v>0</v>
      </c>
      <c r="R1702" s="12"/>
      <c r="S1702" s="9"/>
      <c r="T1702" s="10"/>
      <c r="U1702" s="49">
        <f t="shared" si="1597"/>
        <v>0</v>
      </c>
      <c r="V1702" s="11">
        <f t="shared" si="1598"/>
        <v>0</v>
      </c>
      <c r="W1702" s="142"/>
    </row>
    <row r="1703" spans="1:23" x14ac:dyDescent="0.15">
      <c r="A1703" s="26" t="s">
        <v>33</v>
      </c>
      <c r="B1703" s="8"/>
      <c r="C1703" s="9"/>
      <c r="D1703" s="10"/>
      <c r="E1703" s="49">
        <f t="shared" ref="E1703:E1717" si="1599">SUM(B1703:D1703)</f>
        <v>0</v>
      </c>
      <c r="F1703" s="12"/>
      <c r="G1703" s="9">
        <v>1</v>
      </c>
      <c r="H1703" s="10"/>
      <c r="I1703" s="49">
        <f t="shared" ref="I1703:I1717" si="1600">SUM(F1703:H1703)</f>
        <v>1</v>
      </c>
      <c r="J1703" s="11">
        <f t="shared" ref="J1703:J1716" si="1601">E1703+I1703</f>
        <v>1</v>
      </c>
      <c r="K1703" s="140">
        <v>45926</v>
      </c>
      <c r="L1703" s="82"/>
      <c r="M1703" s="26"/>
      <c r="N1703" s="8"/>
      <c r="O1703" s="9"/>
      <c r="P1703" s="10"/>
      <c r="Q1703" s="49">
        <f t="shared" si="1596"/>
        <v>0</v>
      </c>
      <c r="R1703" s="12"/>
      <c r="S1703" s="9"/>
      <c r="T1703" s="10"/>
      <c r="U1703" s="49">
        <f t="shared" si="1597"/>
        <v>0</v>
      </c>
      <c r="V1703" s="11">
        <f t="shared" si="1598"/>
        <v>0</v>
      </c>
      <c r="W1703" s="142"/>
    </row>
    <row r="1704" spans="1:23" x14ac:dyDescent="0.15">
      <c r="A1704" s="26" t="s">
        <v>33</v>
      </c>
      <c r="B1704" s="8"/>
      <c r="C1704" s="9"/>
      <c r="D1704" s="10"/>
      <c r="E1704" s="49">
        <f t="shared" si="1599"/>
        <v>0</v>
      </c>
      <c r="F1704" s="12"/>
      <c r="G1704" s="9">
        <v>2</v>
      </c>
      <c r="H1704" s="10">
        <v>1</v>
      </c>
      <c r="I1704" s="49">
        <f t="shared" si="1600"/>
        <v>3</v>
      </c>
      <c r="J1704" s="11">
        <f t="shared" si="1601"/>
        <v>3</v>
      </c>
      <c r="K1704" s="140">
        <v>45929</v>
      </c>
      <c r="M1704" s="26"/>
      <c r="N1704" s="8"/>
      <c r="O1704" s="9"/>
      <c r="P1704" s="10"/>
      <c r="Q1704" s="49">
        <f t="shared" si="1596"/>
        <v>0</v>
      </c>
      <c r="R1704" s="12"/>
      <c r="S1704" s="9"/>
      <c r="T1704" s="10"/>
      <c r="U1704" s="49">
        <f t="shared" si="1597"/>
        <v>0</v>
      </c>
      <c r="V1704" s="11">
        <f t="shared" si="1598"/>
        <v>0</v>
      </c>
      <c r="W1704" s="142"/>
    </row>
    <row r="1705" spans="1:23" x14ac:dyDescent="0.15">
      <c r="A1705" s="26" t="s">
        <v>329</v>
      </c>
      <c r="B1705" s="8"/>
      <c r="C1705" s="9">
        <v>1</v>
      </c>
      <c r="D1705" s="10"/>
      <c r="E1705" s="49">
        <f t="shared" si="1599"/>
        <v>1</v>
      </c>
      <c r="F1705" s="12"/>
      <c r="G1705" s="9">
        <v>1</v>
      </c>
      <c r="H1705" s="10"/>
      <c r="I1705" s="49">
        <f t="shared" si="1600"/>
        <v>1</v>
      </c>
      <c r="J1705" s="11">
        <f t="shared" si="1601"/>
        <v>2</v>
      </c>
      <c r="K1705" s="140">
        <v>45932</v>
      </c>
      <c r="L1705" s="82"/>
      <c r="M1705" s="26"/>
      <c r="N1705" s="8"/>
      <c r="O1705" s="9"/>
      <c r="P1705" s="10"/>
      <c r="Q1705" s="49">
        <f t="shared" si="1596"/>
        <v>0</v>
      </c>
      <c r="R1705" s="12"/>
      <c r="S1705" s="9"/>
      <c r="T1705" s="10"/>
      <c r="U1705" s="49">
        <f t="shared" si="1597"/>
        <v>0</v>
      </c>
      <c r="V1705" s="11">
        <f t="shared" si="1598"/>
        <v>0</v>
      </c>
      <c r="W1705" s="142"/>
    </row>
    <row r="1706" spans="1:23" x14ac:dyDescent="0.15">
      <c r="A1706" s="26" t="s">
        <v>33</v>
      </c>
      <c r="B1706" s="8"/>
      <c r="C1706" s="9"/>
      <c r="D1706" s="10"/>
      <c r="E1706" s="49">
        <f t="shared" si="1599"/>
        <v>0</v>
      </c>
      <c r="F1706" s="12"/>
      <c r="G1706" s="9">
        <v>1</v>
      </c>
      <c r="H1706" s="10"/>
      <c r="I1706" s="49">
        <f t="shared" si="1600"/>
        <v>1</v>
      </c>
      <c r="J1706" s="11">
        <f t="shared" si="1601"/>
        <v>1</v>
      </c>
      <c r="K1706" s="140">
        <v>45932</v>
      </c>
      <c r="L1706" s="82"/>
      <c r="M1706" s="26"/>
      <c r="N1706" s="8"/>
      <c r="O1706" s="9"/>
      <c r="P1706" s="10"/>
      <c r="Q1706" s="49">
        <f t="shared" si="1596"/>
        <v>0</v>
      </c>
      <c r="R1706" s="12"/>
      <c r="S1706" s="9"/>
      <c r="T1706" s="10"/>
      <c r="U1706" s="49">
        <f t="shared" si="1597"/>
        <v>0</v>
      </c>
      <c r="V1706" s="11">
        <f t="shared" si="1598"/>
        <v>0</v>
      </c>
      <c r="W1706" s="142"/>
    </row>
    <row r="1707" spans="1:23" x14ac:dyDescent="0.15">
      <c r="A1707" s="26" t="s">
        <v>33</v>
      </c>
      <c r="B1707" s="8"/>
      <c r="C1707" s="9"/>
      <c r="D1707" s="10"/>
      <c r="E1707" s="49">
        <f t="shared" si="1599"/>
        <v>0</v>
      </c>
      <c r="F1707" s="12">
        <v>2</v>
      </c>
      <c r="G1707" s="9"/>
      <c r="H1707" s="10"/>
      <c r="I1707" s="49">
        <f t="shared" si="1600"/>
        <v>2</v>
      </c>
      <c r="J1707" s="11">
        <f t="shared" si="1601"/>
        <v>2</v>
      </c>
      <c r="K1707" s="140">
        <v>45934</v>
      </c>
      <c r="L1707" s="82"/>
      <c r="M1707" s="26"/>
      <c r="N1707" s="8"/>
      <c r="O1707" s="9"/>
      <c r="P1707" s="10"/>
      <c r="Q1707" s="49">
        <f t="shared" si="1596"/>
        <v>0</v>
      </c>
      <c r="R1707" s="12"/>
      <c r="S1707" s="9"/>
      <c r="T1707" s="10"/>
      <c r="U1707" s="49">
        <f t="shared" si="1597"/>
        <v>0</v>
      </c>
      <c r="V1707" s="11">
        <f t="shared" si="1598"/>
        <v>0</v>
      </c>
      <c r="W1707" s="142"/>
    </row>
    <row r="1708" spans="1:23" x14ac:dyDescent="0.15">
      <c r="A1708" s="26" t="s">
        <v>33</v>
      </c>
      <c r="B1708" s="8">
        <v>1</v>
      </c>
      <c r="C1708" s="9"/>
      <c r="D1708" s="10"/>
      <c r="E1708" s="49">
        <f t="shared" si="1599"/>
        <v>1</v>
      </c>
      <c r="F1708" s="12">
        <v>3</v>
      </c>
      <c r="G1708" s="9">
        <v>1</v>
      </c>
      <c r="H1708" s="10"/>
      <c r="I1708" s="49">
        <f t="shared" si="1600"/>
        <v>4</v>
      </c>
      <c r="J1708" s="11">
        <f t="shared" si="1601"/>
        <v>5</v>
      </c>
      <c r="K1708" s="140">
        <v>45936</v>
      </c>
      <c r="L1708" s="82"/>
      <c r="M1708" s="26"/>
      <c r="N1708" s="8"/>
      <c r="O1708" s="9"/>
      <c r="P1708" s="10"/>
      <c r="Q1708" s="49">
        <f t="shared" si="1596"/>
        <v>0</v>
      </c>
      <c r="R1708" s="12"/>
      <c r="S1708" s="9"/>
      <c r="T1708" s="10"/>
      <c r="U1708" s="49">
        <f t="shared" si="1597"/>
        <v>0</v>
      </c>
      <c r="V1708" s="11">
        <f t="shared" si="1598"/>
        <v>0</v>
      </c>
      <c r="W1708" s="142"/>
    </row>
    <row r="1709" spans="1:23" x14ac:dyDescent="0.15">
      <c r="A1709" s="26" t="s">
        <v>33</v>
      </c>
      <c r="B1709" s="8">
        <v>1</v>
      </c>
      <c r="C1709" s="9"/>
      <c r="D1709" s="10"/>
      <c r="E1709" s="49">
        <f t="shared" si="1599"/>
        <v>1</v>
      </c>
      <c r="F1709" s="12">
        <v>1</v>
      </c>
      <c r="G1709" s="9">
        <v>1</v>
      </c>
      <c r="H1709" s="10"/>
      <c r="I1709" s="49">
        <f t="shared" si="1600"/>
        <v>2</v>
      </c>
      <c r="J1709" s="11">
        <f t="shared" si="1601"/>
        <v>3</v>
      </c>
      <c r="K1709" s="140">
        <v>45937</v>
      </c>
      <c r="L1709" s="82"/>
      <c r="M1709" s="26"/>
      <c r="N1709" s="8"/>
      <c r="O1709" s="9"/>
      <c r="P1709" s="10"/>
      <c r="Q1709" s="49">
        <f t="shared" si="1596"/>
        <v>0</v>
      </c>
      <c r="R1709" s="12"/>
      <c r="S1709" s="9"/>
      <c r="T1709" s="10"/>
      <c r="U1709" s="49">
        <f t="shared" si="1597"/>
        <v>0</v>
      </c>
      <c r="V1709" s="11">
        <f t="shared" si="1598"/>
        <v>0</v>
      </c>
      <c r="W1709" s="142"/>
    </row>
    <row r="1710" spans="1:23" x14ac:dyDescent="0.15">
      <c r="A1710" s="26" t="s">
        <v>33</v>
      </c>
      <c r="B1710" s="8"/>
      <c r="C1710" s="9"/>
      <c r="D1710" s="10"/>
      <c r="E1710" s="49">
        <f t="shared" si="1599"/>
        <v>0</v>
      </c>
      <c r="F1710" s="12">
        <v>1</v>
      </c>
      <c r="G1710" s="9"/>
      <c r="H1710" s="10"/>
      <c r="I1710" s="49">
        <f t="shared" si="1600"/>
        <v>1</v>
      </c>
      <c r="J1710" s="11">
        <f t="shared" si="1601"/>
        <v>1</v>
      </c>
      <c r="K1710" s="140">
        <v>45938</v>
      </c>
      <c r="L1710" s="82"/>
      <c r="M1710" s="26"/>
      <c r="N1710" s="8"/>
      <c r="O1710" s="9"/>
      <c r="P1710" s="10"/>
      <c r="Q1710" s="49">
        <f t="shared" si="1596"/>
        <v>0</v>
      </c>
      <c r="R1710" s="12"/>
      <c r="S1710" s="9"/>
      <c r="T1710" s="10"/>
      <c r="U1710" s="49">
        <f t="shared" si="1597"/>
        <v>0</v>
      </c>
      <c r="V1710" s="11">
        <f t="shared" si="1598"/>
        <v>0</v>
      </c>
      <c r="W1710" s="142"/>
    </row>
    <row r="1711" spans="1:23" x14ac:dyDescent="0.15">
      <c r="A1711" s="26" t="s">
        <v>33</v>
      </c>
      <c r="B1711" s="8">
        <v>1</v>
      </c>
      <c r="C1711" s="9"/>
      <c r="D1711" s="10">
        <v>1</v>
      </c>
      <c r="E1711" s="49">
        <f t="shared" si="1599"/>
        <v>2</v>
      </c>
      <c r="F1711" s="12">
        <f>1+3</f>
        <v>4</v>
      </c>
      <c r="G1711" s="9"/>
      <c r="H1711" s="10"/>
      <c r="I1711" s="49">
        <f t="shared" si="1600"/>
        <v>4</v>
      </c>
      <c r="J1711" s="11">
        <f t="shared" si="1601"/>
        <v>6</v>
      </c>
      <c r="K1711" s="140">
        <v>45940</v>
      </c>
      <c r="L1711" s="82"/>
      <c r="M1711" s="26"/>
      <c r="N1711" s="8"/>
      <c r="O1711" s="9"/>
      <c r="P1711" s="10"/>
      <c r="Q1711" s="49">
        <f t="shared" si="1596"/>
        <v>0</v>
      </c>
      <c r="R1711" s="12"/>
      <c r="S1711" s="9"/>
      <c r="T1711" s="10"/>
      <c r="U1711" s="49">
        <f t="shared" si="1597"/>
        <v>0</v>
      </c>
      <c r="V1711" s="11">
        <f t="shared" si="1598"/>
        <v>0</v>
      </c>
      <c r="W1711" s="142"/>
    </row>
    <row r="1712" spans="1:23" x14ac:dyDescent="0.15">
      <c r="A1712" s="26" t="s">
        <v>33</v>
      </c>
      <c r="B1712" s="8"/>
      <c r="C1712" s="9"/>
      <c r="D1712" s="10"/>
      <c r="E1712" s="49">
        <f t="shared" si="1599"/>
        <v>0</v>
      </c>
      <c r="F1712" s="12">
        <v>1</v>
      </c>
      <c r="G1712" s="9">
        <v>1</v>
      </c>
      <c r="H1712" s="10"/>
      <c r="I1712" s="49">
        <f t="shared" si="1600"/>
        <v>2</v>
      </c>
      <c r="J1712" s="11">
        <f t="shared" si="1601"/>
        <v>2</v>
      </c>
      <c r="K1712" s="140">
        <v>45944</v>
      </c>
      <c r="M1712" s="26"/>
      <c r="N1712" s="8"/>
      <c r="O1712" s="9"/>
      <c r="P1712" s="10"/>
      <c r="Q1712" s="49">
        <f t="shared" si="1596"/>
        <v>0</v>
      </c>
      <c r="R1712" s="12"/>
      <c r="S1712" s="9"/>
      <c r="T1712" s="10"/>
      <c r="U1712" s="49">
        <f t="shared" si="1597"/>
        <v>0</v>
      </c>
      <c r="V1712" s="11">
        <f t="shared" si="1598"/>
        <v>0</v>
      </c>
      <c r="W1712" s="142"/>
    </row>
    <row r="1713" spans="1:23" x14ac:dyDescent="0.15">
      <c r="A1713" s="26" t="s">
        <v>33</v>
      </c>
      <c r="B1713" s="8">
        <v>2</v>
      </c>
      <c r="C1713" s="9"/>
      <c r="D1713" s="10"/>
      <c r="E1713" s="49">
        <f t="shared" si="1599"/>
        <v>2</v>
      </c>
      <c r="F1713" s="12">
        <v>2</v>
      </c>
      <c r="G1713" s="9"/>
      <c r="H1713" s="10"/>
      <c r="I1713" s="49">
        <f t="shared" si="1600"/>
        <v>2</v>
      </c>
      <c r="J1713" s="11">
        <f t="shared" si="1601"/>
        <v>4</v>
      </c>
      <c r="K1713" s="140">
        <v>45945</v>
      </c>
      <c r="M1713" s="26"/>
      <c r="N1713" s="8"/>
      <c r="O1713" s="9"/>
      <c r="P1713" s="10"/>
      <c r="Q1713" s="49">
        <f t="shared" ref="Q1713:Q1715" si="1602">SUM(N1713:P1713)</f>
        <v>0</v>
      </c>
      <c r="R1713" s="12"/>
      <c r="S1713" s="9"/>
      <c r="T1713" s="10"/>
      <c r="U1713" s="49">
        <f t="shared" ref="U1713:U1715" si="1603">SUM(R1713:T1713)</f>
        <v>0</v>
      </c>
      <c r="V1713" s="11">
        <f t="shared" ref="V1713:V1715" si="1604">Q1713+U1713</f>
        <v>0</v>
      </c>
      <c r="W1713" s="142"/>
    </row>
    <row r="1714" spans="1:23" x14ac:dyDescent="0.15">
      <c r="A1714" s="26" t="s">
        <v>33</v>
      </c>
      <c r="B1714" s="8">
        <v>1</v>
      </c>
      <c r="C1714" s="9"/>
      <c r="D1714" s="10"/>
      <c r="E1714" s="49">
        <f t="shared" si="1599"/>
        <v>1</v>
      </c>
      <c r="F1714" s="12"/>
      <c r="G1714" s="9"/>
      <c r="H1714" s="10"/>
      <c r="I1714" s="49">
        <f t="shared" si="1600"/>
        <v>0</v>
      </c>
      <c r="J1714" s="11">
        <f t="shared" si="1601"/>
        <v>1</v>
      </c>
      <c r="K1714" s="140">
        <v>45947</v>
      </c>
      <c r="M1714" s="26"/>
      <c r="N1714" s="8"/>
      <c r="O1714" s="9"/>
      <c r="P1714" s="10"/>
      <c r="Q1714" s="49">
        <f t="shared" si="1602"/>
        <v>0</v>
      </c>
      <c r="R1714" s="12"/>
      <c r="S1714" s="9"/>
      <c r="T1714" s="10"/>
      <c r="U1714" s="49">
        <f t="shared" si="1603"/>
        <v>0</v>
      </c>
      <c r="V1714" s="11">
        <f t="shared" si="1604"/>
        <v>0</v>
      </c>
      <c r="W1714" s="142"/>
    </row>
    <row r="1715" spans="1:23" x14ac:dyDescent="0.15">
      <c r="A1715" s="26" t="s">
        <v>516</v>
      </c>
      <c r="B1715" s="8"/>
      <c r="C1715" s="9">
        <v>6</v>
      </c>
      <c r="D1715" s="10">
        <v>1</v>
      </c>
      <c r="E1715" s="49">
        <f t="shared" si="1599"/>
        <v>7</v>
      </c>
      <c r="F1715" s="12"/>
      <c r="G1715" s="9">
        <v>2</v>
      </c>
      <c r="H1715" s="10">
        <v>3</v>
      </c>
      <c r="I1715" s="49">
        <f t="shared" si="1600"/>
        <v>5</v>
      </c>
      <c r="J1715" s="11">
        <f t="shared" si="1601"/>
        <v>12</v>
      </c>
      <c r="K1715" s="140">
        <v>45948</v>
      </c>
      <c r="M1715" s="26"/>
      <c r="N1715" s="8"/>
      <c r="O1715" s="9"/>
      <c r="P1715" s="10"/>
      <c r="Q1715" s="49">
        <f t="shared" si="1602"/>
        <v>0</v>
      </c>
      <c r="R1715" s="12"/>
      <c r="S1715" s="9"/>
      <c r="T1715" s="10"/>
      <c r="U1715" s="49">
        <f t="shared" si="1603"/>
        <v>0</v>
      </c>
      <c r="V1715" s="11">
        <f t="shared" si="1604"/>
        <v>0</v>
      </c>
      <c r="W1715" s="142"/>
    </row>
    <row r="1716" spans="1:23" ht="14.25" thickBot="1" x14ac:dyDescent="0.2">
      <c r="A1716" s="26" t="s">
        <v>33</v>
      </c>
      <c r="B1716" s="8"/>
      <c r="C1716" s="9"/>
      <c r="D1716" s="10"/>
      <c r="E1716" s="49">
        <f t="shared" si="1599"/>
        <v>0</v>
      </c>
      <c r="F1716" s="12"/>
      <c r="G1716" s="9">
        <v>1</v>
      </c>
      <c r="H1716" s="10"/>
      <c r="I1716" s="49">
        <f t="shared" si="1600"/>
        <v>1</v>
      </c>
      <c r="J1716" s="11">
        <f t="shared" si="1601"/>
        <v>1</v>
      </c>
      <c r="K1716" s="140">
        <v>45948</v>
      </c>
      <c r="M1716" s="26" t="s">
        <v>495</v>
      </c>
      <c r="N1716" s="8"/>
      <c r="O1716" s="9"/>
      <c r="P1716" s="10"/>
      <c r="Q1716" s="49">
        <f t="shared" si="1596"/>
        <v>0</v>
      </c>
      <c r="R1716" s="12"/>
      <c r="S1716" s="9"/>
      <c r="T1716" s="10"/>
      <c r="U1716" s="49">
        <f t="shared" si="1597"/>
        <v>0</v>
      </c>
      <c r="V1716" s="11">
        <f t="shared" si="1598"/>
        <v>0</v>
      </c>
      <c r="W1716" s="142"/>
    </row>
    <row r="1717" spans="1:23" ht="14.25" thickBot="1" x14ac:dyDescent="0.2">
      <c r="A1717" s="41" t="s">
        <v>19</v>
      </c>
      <c r="B1717" s="46">
        <f>SUM(B1691:B1716)</f>
        <v>11</v>
      </c>
      <c r="C1717" s="47">
        <f t="shared" ref="C1717:D1717" si="1605">SUM(C1691:C1716)</f>
        <v>13</v>
      </c>
      <c r="D1717" s="59">
        <f t="shared" si="1605"/>
        <v>6</v>
      </c>
      <c r="E1717" s="45">
        <f t="shared" si="1599"/>
        <v>30</v>
      </c>
      <c r="F1717" s="46">
        <f>SUM(F1691:F1716)</f>
        <v>19</v>
      </c>
      <c r="G1717" s="47">
        <f t="shared" ref="G1717:H1717" si="1606">SUM(G1691:G1716)</f>
        <v>19</v>
      </c>
      <c r="H1717" s="59">
        <f t="shared" si="1606"/>
        <v>10</v>
      </c>
      <c r="I1717" s="45">
        <f t="shared" si="1600"/>
        <v>48</v>
      </c>
      <c r="J1717" s="45">
        <f>E1717+I1717</f>
        <v>78</v>
      </c>
      <c r="M1717" s="41" t="s">
        <v>19</v>
      </c>
      <c r="N1717" s="46">
        <f>SUM(N1691:N1716)</f>
        <v>0</v>
      </c>
      <c r="O1717" s="47">
        <f t="shared" ref="O1717:P1717" si="1607">SUM(O1691:O1716)</f>
        <v>5</v>
      </c>
      <c r="P1717" s="59">
        <f t="shared" si="1607"/>
        <v>0</v>
      </c>
      <c r="Q1717" s="45">
        <f t="shared" si="1596"/>
        <v>5</v>
      </c>
      <c r="R1717" s="46">
        <f>SUM(R1691:R1716)</f>
        <v>13</v>
      </c>
      <c r="S1717" s="47">
        <f t="shared" ref="S1717:T1717" si="1608">SUM(S1691:S1716)</f>
        <v>13</v>
      </c>
      <c r="T1717" s="59">
        <f t="shared" si="1608"/>
        <v>5</v>
      </c>
      <c r="U1717" s="45">
        <f t="shared" si="1597"/>
        <v>31</v>
      </c>
      <c r="V1717" s="45">
        <f>Q1717+U1717</f>
        <v>36</v>
      </c>
    </row>
    <row r="1718" spans="1:23" ht="14.25" thickBot="1" x14ac:dyDescent="0.2">
      <c r="A1718" s="22" t="s">
        <v>17</v>
      </c>
      <c r="B1718" s="50">
        <f>B1690-B1717</f>
        <v>5</v>
      </c>
      <c r="C1718" s="57">
        <f t="shared" ref="C1718:D1718" si="1609">C1690-C1717</f>
        <v>9</v>
      </c>
      <c r="D1718" s="58">
        <f t="shared" si="1609"/>
        <v>6</v>
      </c>
      <c r="E1718" s="56">
        <f>SUM(B1718:D1718)</f>
        <v>20</v>
      </c>
      <c r="F1718" s="50">
        <f>F1690-F1717</f>
        <v>4</v>
      </c>
      <c r="G1718" s="57">
        <f t="shared" ref="G1718:H1718" si="1610">G1690-G1717</f>
        <v>4</v>
      </c>
      <c r="H1718" s="58">
        <f t="shared" si="1610"/>
        <v>6</v>
      </c>
      <c r="I1718" s="56">
        <f>SUM(F1718:H1718)</f>
        <v>14</v>
      </c>
      <c r="J1718" s="31">
        <f>E1718+I1718</f>
        <v>34</v>
      </c>
      <c r="M1718" s="22" t="s">
        <v>17</v>
      </c>
      <c r="N1718" s="50">
        <f>N1690-N1717</f>
        <v>431</v>
      </c>
      <c r="O1718" s="57">
        <f t="shared" ref="O1718:P1718" si="1611">O1690-O1717</f>
        <v>535</v>
      </c>
      <c r="P1718" s="58">
        <f t="shared" si="1611"/>
        <v>234</v>
      </c>
      <c r="Q1718" s="56">
        <f>SUM(N1718:P1718)</f>
        <v>1200</v>
      </c>
      <c r="R1718" s="50">
        <f>R1690-R1717</f>
        <v>413</v>
      </c>
      <c r="S1718" s="57">
        <f t="shared" ref="S1718:T1718" si="1612">S1690-S1717</f>
        <v>493</v>
      </c>
      <c r="T1718" s="58">
        <f t="shared" si="1612"/>
        <v>176</v>
      </c>
      <c r="U1718" s="56">
        <f>SUM(R1718:T1718)</f>
        <v>1082</v>
      </c>
      <c r="V1718" s="31">
        <f>Q1718+U1718</f>
        <v>2282</v>
      </c>
    </row>
    <row r="1721" spans="1:23" ht="19.5" thickBot="1" x14ac:dyDescent="0.25">
      <c r="A1721" s="3" t="s">
        <v>21</v>
      </c>
      <c r="B1721" s="1"/>
      <c r="C1721" s="1"/>
      <c r="D1721" s="1"/>
      <c r="E1721" s="1"/>
      <c r="F1721" s="1"/>
      <c r="G1721" s="1"/>
      <c r="H1721" s="1" t="s">
        <v>498</v>
      </c>
      <c r="I1721" s="1"/>
      <c r="J1721" s="1"/>
      <c r="M1721" s="3" t="s">
        <v>22</v>
      </c>
      <c r="N1721" s="1"/>
      <c r="O1721" s="1"/>
      <c r="P1721" s="1"/>
      <c r="Q1721" s="1"/>
      <c r="R1721" s="1"/>
      <c r="S1721" s="1" t="s">
        <v>498</v>
      </c>
      <c r="T1721" s="1"/>
      <c r="U1721" s="1"/>
      <c r="V1721" s="1">
        <v>580</v>
      </c>
    </row>
    <row r="1722" spans="1:23" ht="14.25" thickBot="1" x14ac:dyDescent="0.2">
      <c r="A1722" s="7" t="s">
        <v>0</v>
      </c>
      <c r="B1722" s="165" t="s">
        <v>24</v>
      </c>
      <c r="C1722" s="166"/>
      <c r="D1722" s="166"/>
      <c r="E1722" s="170"/>
      <c r="F1722" s="165" t="s">
        <v>18</v>
      </c>
      <c r="G1722" s="166"/>
      <c r="H1722" s="166"/>
      <c r="I1722" s="167"/>
      <c r="J1722" s="168" t="s">
        <v>1</v>
      </c>
      <c r="M1722" s="7" t="s">
        <v>0</v>
      </c>
      <c r="N1722" s="165" t="s">
        <v>24</v>
      </c>
      <c r="O1722" s="166"/>
      <c r="P1722" s="166"/>
      <c r="Q1722" s="170"/>
      <c r="R1722" s="165" t="s">
        <v>18</v>
      </c>
      <c r="S1722" s="166"/>
      <c r="T1722" s="166"/>
      <c r="U1722" s="167"/>
      <c r="V1722" s="168" t="s">
        <v>1</v>
      </c>
    </row>
    <row r="1723" spans="1:23" ht="14.25" thickBot="1" x14ac:dyDescent="0.2">
      <c r="A1723" s="7" t="s">
        <v>2</v>
      </c>
      <c r="B1723" s="4" t="s">
        <v>3</v>
      </c>
      <c r="C1723" s="5" t="s">
        <v>4</v>
      </c>
      <c r="D1723" s="6" t="s">
        <v>5</v>
      </c>
      <c r="E1723" s="7" t="s">
        <v>6</v>
      </c>
      <c r="F1723" s="4" t="s">
        <v>3</v>
      </c>
      <c r="G1723" s="5" t="s">
        <v>4</v>
      </c>
      <c r="H1723" s="6" t="s">
        <v>5</v>
      </c>
      <c r="I1723" s="7" t="s">
        <v>6</v>
      </c>
      <c r="J1723" s="169"/>
      <c r="M1723" s="7" t="s">
        <v>2</v>
      </c>
      <c r="N1723" s="4" t="s">
        <v>3</v>
      </c>
      <c r="O1723" s="5" t="s">
        <v>4</v>
      </c>
      <c r="P1723" s="6" t="s">
        <v>5</v>
      </c>
      <c r="Q1723" s="7" t="s">
        <v>6</v>
      </c>
      <c r="R1723" s="4" t="s">
        <v>3</v>
      </c>
      <c r="S1723" s="5" t="s">
        <v>4</v>
      </c>
      <c r="T1723" s="6" t="s">
        <v>5</v>
      </c>
      <c r="U1723" s="7" t="s">
        <v>6</v>
      </c>
      <c r="V1723" s="169"/>
    </row>
    <row r="1724" spans="1:23" ht="14.25" thickBot="1" x14ac:dyDescent="0.2">
      <c r="A1724" s="27" t="s">
        <v>20</v>
      </c>
      <c r="B1724" s="28">
        <f>B1718</f>
        <v>5</v>
      </c>
      <c r="C1724" s="29">
        <f>C1718</f>
        <v>9</v>
      </c>
      <c r="D1724" s="30">
        <f>D1718</f>
        <v>6</v>
      </c>
      <c r="E1724" s="31">
        <f>SUM(B1724:D1724)</f>
        <v>20</v>
      </c>
      <c r="F1724" s="28">
        <f>F1718</f>
        <v>4</v>
      </c>
      <c r="G1724" s="29">
        <f>G1718</f>
        <v>4</v>
      </c>
      <c r="H1724" s="30">
        <f>H1718</f>
        <v>6</v>
      </c>
      <c r="I1724" s="31">
        <f>SUM(F1724:H1724)</f>
        <v>14</v>
      </c>
      <c r="J1724" s="31">
        <f>E1724+I1724</f>
        <v>34</v>
      </c>
      <c r="M1724" s="27" t="s">
        <v>20</v>
      </c>
      <c r="N1724" s="28">
        <f>N1718</f>
        <v>431</v>
      </c>
      <c r="O1724" s="29">
        <f>O1718</f>
        <v>535</v>
      </c>
      <c r="P1724" s="30">
        <f>P1718</f>
        <v>234</v>
      </c>
      <c r="Q1724" s="31">
        <f>SUM(N1724:P1724)</f>
        <v>1200</v>
      </c>
      <c r="R1724" s="28">
        <f>R1718</f>
        <v>413</v>
      </c>
      <c r="S1724" s="29">
        <f>S1718</f>
        <v>493</v>
      </c>
      <c r="T1724" s="30">
        <f>T1718</f>
        <v>176</v>
      </c>
      <c r="U1724" s="31">
        <f>SUM(R1724:T1724)</f>
        <v>1082</v>
      </c>
      <c r="V1724" s="31">
        <f>Q1724+U1724</f>
        <v>2282</v>
      </c>
    </row>
    <row r="1725" spans="1:23" x14ac:dyDescent="0.15">
      <c r="A1725" s="25" t="s">
        <v>8</v>
      </c>
      <c r="B1725" s="8">
        <v>5</v>
      </c>
      <c r="C1725" s="9"/>
      <c r="D1725" s="52"/>
      <c r="E1725" s="11">
        <f t="shared" ref="E1725:E1732" si="1613">SUM(B1725:D1725)</f>
        <v>5</v>
      </c>
      <c r="F1725" s="12">
        <v>5</v>
      </c>
      <c r="G1725" s="9"/>
      <c r="H1725" s="10"/>
      <c r="I1725" s="11">
        <f t="shared" ref="I1725:I1732" si="1614">SUM(F1725:H1725)</f>
        <v>5</v>
      </c>
      <c r="J1725" s="11">
        <f t="shared" ref="J1725:J1732" si="1615">E1725+I1725</f>
        <v>10</v>
      </c>
      <c r="K1725" s="63">
        <v>45954</v>
      </c>
      <c r="M1725" s="25" t="s">
        <v>8</v>
      </c>
      <c r="N1725" s="17"/>
      <c r="O1725" s="18"/>
      <c r="P1725" s="51"/>
      <c r="Q1725" s="49">
        <f t="shared" ref="Q1725:Q1732" si="1616">SUM(N1725:P1725)</f>
        <v>0</v>
      </c>
      <c r="R1725" s="20"/>
      <c r="S1725" s="18"/>
      <c r="T1725" s="19"/>
      <c r="U1725" s="49">
        <f t="shared" ref="U1725:U1732" si="1617">SUM(R1725:T1725)</f>
        <v>0</v>
      </c>
      <c r="V1725" s="49">
        <f t="shared" ref="V1725:V1732" si="1618">Q1725+U1725</f>
        <v>0</v>
      </c>
    </row>
    <row r="1726" spans="1:23" x14ac:dyDescent="0.15">
      <c r="A1726" s="155" t="s">
        <v>9</v>
      </c>
      <c r="B1726" s="148"/>
      <c r="C1726" s="149"/>
      <c r="D1726" s="156"/>
      <c r="E1726" s="153">
        <f t="shared" si="1613"/>
        <v>0</v>
      </c>
      <c r="F1726" s="152"/>
      <c r="G1726" s="149">
        <v>3</v>
      </c>
      <c r="H1726" s="150"/>
      <c r="I1726" s="153">
        <f t="shared" si="1614"/>
        <v>3</v>
      </c>
      <c r="J1726" s="153">
        <f t="shared" si="1615"/>
        <v>3</v>
      </c>
      <c r="K1726" s="154">
        <v>45960</v>
      </c>
      <c r="L1726" s="82"/>
      <c r="M1726" s="25" t="s">
        <v>9</v>
      </c>
      <c r="N1726" s="8"/>
      <c r="O1726" s="9"/>
      <c r="P1726" s="52"/>
      <c r="Q1726" s="11">
        <f t="shared" ref="Q1726:Q1728" si="1619">SUM(N1726:P1726)</f>
        <v>0</v>
      </c>
      <c r="R1726" s="12"/>
      <c r="S1726" s="9"/>
      <c r="T1726" s="10"/>
      <c r="U1726" s="11">
        <f t="shared" ref="U1726:U1728" si="1620">SUM(R1726:T1726)</f>
        <v>0</v>
      </c>
      <c r="V1726" s="11">
        <f t="shared" ref="V1726:V1728" si="1621">Q1726+U1726</f>
        <v>0</v>
      </c>
    </row>
    <row r="1727" spans="1:23" x14ac:dyDescent="0.15">
      <c r="A1727" s="25" t="s">
        <v>520</v>
      </c>
      <c r="B1727" s="8">
        <v>2</v>
      </c>
      <c r="C1727" s="9">
        <v>1</v>
      </c>
      <c r="D1727" s="52">
        <v>1</v>
      </c>
      <c r="E1727" s="11">
        <f t="shared" si="1613"/>
        <v>4</v>
      </c>
      <c r="F1727" s="12"/>
      <c r="G1727" s="9"/>
      <c r="H1727" s="10"/>
      <c r="I1727" s="11">
        <f t="shared" si="1614"/>
        <v>0</v>
      </c>
      <c r="J1727" s="11">
        <f t="shared" si="1615"/>
        <v>4</v>
      </c>
      <c r="K1727" s="63">
        <v>45978</v>
      </c>
      <c r="L1727" s="82"/>
      <c r="M1727" s="25" t="s">
        <v>10</v>
      </c>
      <c r="N1727" s="8"/>
      <c r="O1727" s="9"/>
      <c r="P1727" s="52"/>
      <c r="Q1727" s="11">
        <f t="shared" si="1619"/>
        <v>0</v>
      </c>
      <c r="R1727" s="12"/>
      <c r="S1727" s="9"/>
      <c r="T1727" s="10"/>
      <c r="U1727" s="11">
        <f t="shared" si="1620"/>
        <v>0</v>
      </c>
      <c r="V1727" s="11">
        <f t="shared" si="1621"/>
        <v>0</v>
      </c>
    </row>
    <row r="1728" spans="1:23" x14ac:dyDescent="0.15">
      <c r="A1728" s="155" t="s">
        <v>11</v>
      </c>
      <c r="B1728" s="148"/>
      <c r="C1728" s="149">
        <v>5</v>
      </c>
      <c r="D1728" s="156"/>
      <c r="E1728" s="153">
        <f t="shared" si="1613"/>
        <v>5</v>
      </c>
      <c r="F1728" s="152">
        <v>3</v>
      </c>
      <c r="G1728" s="149">
        <v>5</v>
      </c>
      <c r="H1728" s="150">
        <v>3</v>
      </c>
      <c r="I1728" s="153">
        <f t="shared" si="1614"/>
        <v>11</v>
      </c>
      <c r="J1728" s="153">
        <f t="shared" si="1615"/>
        <v>16</v>
      </c>
      <c r="K1728" s="154">
        <v>45993</v>
      </c>
      <c r="L1728" s="82"/>
      <c r="M1728" s="25" t="s">
        <v>11</v>
      </c>
      <c r="N1728" s="8"/>
      <c r="O1728" s="9"/>
      <c r="P1728" s="52"/>
      <c r="Q1728" s="11">
        <f t="shared" si="1619"/>
        <v>0</v>
      </c>
      <c r="R1728" s="12"/>
      <c r="S1728" s="9"/>
      <c r="T1728" s="10"/>
      <c r="U1728" s="11">
        <f t="shared" si="1620"/>
        <v>0</v>
      </c>
      <c r="V1728" s="11">
        <f t="shared" si="1621"/>
        <v>0</v>
      </c>
    </row>
    <row r="1729" spans="1:23" x14ac:dyDescent="0.15">
      <c r="A1729" s="155" t="s">
        <v>12</v>
      </c>
      <c r="B1729" s="148"/>
      <c r="C1729" s="149"/>
      <c r="D1729" s="156"/>
      <c r="E1729" s="153">
        <f t="shared" si="1613"/>
        <v>0</v>
      </c>
      <c r="F1729" s="152">
        <v>3</v>
      </c>
      <c r="G1729" s="149">
        <v>3</v>
      </c>
      <c r="H1729" s="150"/>
      <c r="I1729" s="153">
        <f t="shared" si="1614"/>
        <v>6</v>
      </c>
      <c r="J1729" s="153">
        <f t="shared" si="1615"/>
        <v>6</v>
      </c>
      <c r="K1729" s="154">
        <v>46014</v>
      </c>
      <c r="L1729" s="82"/>
      <c r="M1729" s="25" t="s">
        <v>12</v>
      </c>
      <c r="N1729" s="8"/>
      <c r="O1729" s="9"/>
      <c r="P1729" s="52"/>
      <c r="Q1729" s="11">
        <f t="shared" si="1616"/>
        <v>0</v>
      </c>
      <c r="R1729" s="12"/>
      <c r="S1729" s="9"/>
      <c r="T1729" s="10"/>
      <c r="U1729" s="11">
        <f t="shared" si="1617"/>
        <v>0</v>
      </c>
      <c r="V1729" s="11">
        <f t="shared" si="1618"/>
        <v>0</v>
      </c>
    </row>
    <row r="1730" spans="1:23" x14ac:dyDescent="0.15">
      <c r="A1730" s="25" t="s">
        <v>13</v>
      </c>
      <c r="B1730" s="8"/>
      <c r="C1730" s="9"/>
      <c r="D1730" s="52"/>
      <c r="E1730" s="11">
        <f t="shared" si="1613"/>
        <v>0</v>
      </c>
      <c r="F1730" s="12"/>
      <c r="G1730" s="9"/>
      <c r="H1730" s="10"/>
      <c r="I1730" s="11">
        <f t="shared" si="1614"/>
        <v>0</v>
      </c>
      <c r="J1730" s="11">
        <f t="shared" si="1615"/>
        <v>0</v>
      </c>
      <c r="K1730" s="63"/>
      <c r="L1730" s="82"/>
      <c r="M1730" s="25" t="s">
        <v>13</v>
      </c>
      <c r="N1730" s="8"/>
      <c r="O1730" s="9"/>
      <c r="P1730" s="52"/>
      <c r="Q1730" s="11">
        <f t="shared" si="1616"/>
        <v>0</v>
      </c>
      <c r="R1730" s="12"/>
      <c r="S1730" s="9"/>
      <c r="T1730" s="10"/>
      <c r="U1730" s="11">
        <f t="shared" si="1617"/>
        <v>0</v>
      </c>
      <c r="V1730" s="11">
        <f t="shared" si="1618"/>
        <v>0</v>
      </c>
    </row>
    <row r="1731" spans="1:23" x14ac:dyDescent="0.15">
      <c r="A1731" s="25" t="s">
        <v>14</v>
      </c>
      <c r="B1731" s="13"/>
      <c r="C1731" s="14"/>
      <c r="D1731" s="53"/>
      <c r="E1731" s="11">
        <f t="shared" si="1613"/>
        <v>0</v>
      </c>
      <c r="F1731" s="16"/>
      <c r="G1731" s="14"/>
      <c r="H1731" s="15"/>
      <c r="I1731" s="11">
        <f t="shared" si="1614"/>
        <v>0</v>
      </c>
      <c r="J1731" s="11">
        <f t="shared" si="1615"/>
        <v>0</v>
      </c>
      <c r="K1731" s="63"/>
      <c r="L1731" s="82"/>
      <c r="M1731" s="25" t="s">
        <v>14</v>
      </c>
      <c r="N1731" s="13"/>
      <c r="O1731" s="14"/>
      <c r="P1731" s="53"/>
      <c r="Q1731" s="11">
        <f t="shared" si="1616"/>
        <v>0</v>
      </c>
      <c r="R1731" s="16"/>
      <c r="S1731" s="14"/>
      <c r="T1731" s="15"/>
      <c r="U1731" s="11">
        <f t="shared" si="1617"/>
        <v>0</v>
      </c>
      <c r="V1731" s="11">
        <f t="shared" si="1618"/>
        <v>0</v>
      </c>
    </row>
    <row r="1732" spans="1:23" ht="14.25" thickBot="1" x14ac:dyDescent="0.2">
      <c r="A1732" s="25" t="s">
        <v>15</v>
      </c>
      <c r="B1732" s="13"/>
      <c r="C1732" s="14"/>
      <c r="D1732" s="53"/>
      <c r="E1732" s="11">
        <f t="shared" si="1613"/>
        <v>0</v>
      </c>
      <c r="F1732" s="16"/>
      <c r="G1732" s="14"/>
      <c r="H1732" s="15"/>
      <c r="I1732" s="11">
        <f t="shared" si="1614"/>
        <v>0</v>
      </c>
      <c r="J1732" s="11">
        <f t="shared" si="1615"/>
        <v>0</v>
      </c>
      <c r="M1732" s="25" t="s">
        <v>15</v>
      </c>
      <c r="N1732" s="13"/>
      <c r="O1732" s="14"/>
      <c r="P1732" s="53"/>
      <c r="Q1732" s="11">
        <f t="shared" si="1616"/>
        <v>0</v>
      </c>
      <c r="R1732" s="16"/>
      <c r="S1732" s="14"/>
      <c r="T1732" s="15"/>
      <c r="U1732" s="11">
        <f t="shared" si="1617"/>
        <v>0</v>
      </c>
      <c r="V1732" s="11">
        <f t="shared" si="1618"/>
        <v>0</v>
      </c>
    </row>
    <row r="1733" spans="1:23" ht="14.25" thickBot="1" x14ac:dyDescent="0.2">
      <c r="A1733" s="35" t="s">
        <v>16</v>
      </c>
      <c r="B1733" s="28">
        <f>SUM(B1724:B1732)</f>
        <v>12</v>
      </c>
      <c r="C1733" s="29">
        <f t="shared" ref="C1733:D1733" si="1622">SUM(C1724:C1732)</f>
        <v>15</v>
      </c>
      <c r="D1733" s="68">
        <f t="shared" si="1622"/>
        <v>7</v>
      </c>
      <c r="E1733" s="64">
        <f>SUM(B1733:D1733)</f>
        <v>34</v>
      </c>
      <c r="F1733" s="28">
        <f>SUM(F1724:F1732)</f>
        <v>15</v>
      </c>
      <c r="G1733" s="29">
        <f t="shared" ref="G1733:H1733" si="1623">SUM(G1724:G1732)</f>
        <v>15</v>
      </c>
      <c r="H1733" s="68">
        <f t="shared" si="1623"/>
        <v>9</v>
      </c>
      <c r="I1733" s="64">
        <f>SUM(F1733:H1733)</f>
        <v>39</v>
      </c>
      <c r="J1733" s="31">
        <f>E1733+I1733</f>
        <v>73</v>
      </c>
      <c r="M1733" s="35" t="s">
        <v>16</v>
      </c>
      <c r="N1733" s="28">
        <f>SUM(N1724:N1732)</f>
        <v>431</v>
      </c>
      <c r="O1733" s="29">
        <f t="shared" ref="O1733:P1733" si="1624">SUM(O1724:O1732)</f>
        <v>535</v>
      </c>
      <c r="P1733" s="68">
        <f t="shared" si="1624"/>
        <v>234</v>
      </c>
      <c r="Q1733" s="64">
        <f>SUM(N1733:P1733)</f>
        <v>1200</v>
      </c>
      <c r="R1733" s="28">
        <f>SUM(R1724:R1732)</f>
        <v>413</v>
      </c>
      <c r="S1733" s="29">
        <f t="shared" ref="S1733:T1733" si="1625">SUM(S1724:S1732)</f>
        <v>493</v>
      </c>
      <c r="T1733" s="68">
        <f t="shared" si="1625"/>
        <v>176</v>
      </c>
      <c r="U1733" s="64">
        <f>SUM(R1733:T1733)</f>
        <v>1082</v>
      </c>
      <c r="V1733" s="31">
        <f>Q1733+U1733</f>
        <v>2282</v>
      </c>
    </row>
    <row r="1734" spans="1:23" x14ac:dyDescent="0.15">
      <c r="A1734" s="26" t="s">
        <v>33</v>
      </c>
      <c r="B1734" s="8"/>
      <c r="C1734" s="9"/>
      <c r="D1734" s="10"/>
      <c r="E1734" s="49">
        <f t="shared" ref="E1734:E1760" si="1626">SUM(B1734:D1734)</f>
        <v>0</v>
      </c>
      <c r="F1734" s="12">
        <v>1</v>
      </c>
      <c r="G1734" s="9"/>
      <c r="H1734" s="10">
        <v>1</v>
      </c>
      <c r="I1734" s="49">
        <f t="shared" ref="I1734:I1760" si="1627">SUM(F1734:H1734)</f>
        <v>2</v>
      </c>
      <c r="J1734" s="11">
        <f t="shared" ref="J1734:J1759" si="1628">E1734+I1734</f>
        <v>2</v>
      </c>
      <c r="K1734" s="140">
        <v>45950</v>
      </c>
      <c r="M1734" s="26" t="s">
        <v>518</v>
      </c>
      <c r="N1734" s="8">
        <v>5</v>
      </c>
      <c r="O1734" s="9"/>
      <c r="P1734" s="10"/>
      <c r="Q1734" s="49">
        <f t="shared" ref="Q1734:Q1737" si="1629">SUM(N1734:P1734)</f>
        <v>5</v>
      </c>
      <c r="R1734" s="12">
        <v>5</v>
      </c>
      <c r="S1734" s="9"/>
      <c r="T1734" s="10"/>
      <c r="U1734" s="49">
        <f t="shared" ref="U1734:U1737" si="1630">SUM(R1734:T1734)</f>
        <v>5</v>
      </c>
      <c r="V1734" s="11">
        <f t="shared" ref="V1734:V1737" si="1631">Q1734+U1734</f>
        <v>10</v>
      </c>
      <c r="W1734" s="140">
        <v>45954</v>
      </c>
    </row>
    <row r="1735" spans="1:23" x14ac:dyDescent="0.15">
      <c r="A1735" s="26" t="s">
        <v>33</v>
      </c>
      <c r="B1735" s="8">
        <v>2</v>
      </c>
      <c r="C1735" s="9"/>
      <c r="D1735" s="10"/>
      <c r="E1735" s="49">
        <f t="shared" si="1626"/>
        <v>2</v>
      </c>
      <c r="F1735" s="12"/>
      <c r="G1735" s="9"/>
      <c r="H1735" s="10"/>
      <c r="I1735" s="49">
        <f t="shared" si="1627"/>
        <v>0</v>
      </c>
      <c r="J1735" s="11">
        <f t="shared" si="1628"/>
        <v>2</v>
      </c>
      <c r="K1735" s="140">
        <v>45953</v>
      </c>
      <c r="M1735" s="147" t="s">
        <v>28</v>
      </c>
      <c r="N1735" s="148"/>
      <c r="O1735" s="149"/>
      <c r="P1735" s="150"/>
      <c r="Q1735" s="151">
        <f t="shared" si="1629"/>
        <v>0</v>
      </c>
      <c r="R1735" s="152"/>
      <c r="S1735" s="149">
        <v>3</v>
      </c>
      <c r="T1735" s="150"/>
      <c r="U1735" s="151">
        <f t="shared" si="1630"/>
        <v>3</v>
      </c>
      <c r="V1735" s="153">
        <f t="shared" si="1631"/>
        <v>3</v>
      </c>
      <c r="W1735" s="157">
        <v>45960</v>
      </c>
    </row>
    <row r="1736" spans="1:23" x14ac:dyDescent="0.15">
      <c r="A1736" s="26" t="s">
        <v>519</v>
      </c>
      <c r="B1736" s="8"/>
      <c r="C1736" s="9"/>
      <c r="D1736" s="10">
        <v>1</v>
      </c>
      <c r="E1736" s="49">
        <f t="shared" si="1626"/>
        <v>1</v>
      </c>
      <c r="F1736" s="12"/>
      <c r="G1736" s="9"/>
      <c r="H1736" s="10">
        <v>1</v>
      </c>
      <c r="I1736" s="49">
        <f t="shared" si="1627"/>
        <v>1</v>
      </c>
      <c r="J1736" s="11">
        <f t="shared" si="1628"/>
        <v>2</v>
      </c>
      <c r="K1736" s="140">
        <v>45959</v>
      </c>
      <c r="M1736" s="147" t="s">
        <v>28</v>
      </c>
      <c r="N1736" s="148"/>
      <c r="O1736" s="149">
        <v>5</v>
      </c>
      <c r="P1736" s="150"/>
      <c r="Q1736" s="151">
        <f t="shared" si="1629"/>
        <v>5</v>
      </c>
      <c r="R1736" s="152">
        <v>3</v>
      </c>
      <c r="S1736" s="149">
        <v>5</v>
      </c>
      <c r="T1736" s="150">
        <v>3</v>
      </c>
      <c r="U1736" s="151">
        <f t="shared" si="1630"/>
        <v>11</v>
      </c>
      <c r="V1736" s="153">
        <f t="shared" si="1631"/>
        <v>16</v>
      </c>
      <c r="W1736" s="157">
        <v>45993</v>
      </c>
    </row>
    <row r="1737" spans="1:23" x14ac:dyDescent="0.15">
      <c r="A1737" s="26" t="s">
        <v>33</v>
      </c>
      <c r="B1737" s="8"/>
      <c r="C1737" s="9"/>
      <c r="D1737" s="10"/>
      <c r="E1737" s="49">
        <f t="shared" si="1626"/>
        <v>0</v>
      </c>
      <c r="F1737" s="12"/>
      <c r="G1737" s="9">
        <v>1</v>
      </c>
      <c r="H1737" s="10"/>
      <c r="I1737" s="49">
        <f t="shared" si="1627"/>
        <v>1</v>
      </c>
      <c r="J1737" s="11">
        <f t="shared" si="1628"/>
        <v>1</v>
      </c>
      <c r="K1737" s="140">
        <v>45957</v>
      </c>
      <c r="M1737" s="147" t="s">
        <v>28</v>
      </c>
      <c r="N1737" s="148"/>
      <c r="O1737" s="149"/>
      <c r="P1737" s="150"/>
      <c r="Q1737" s="151">
        <f t="shared" si="1629"/>
        <v>0</v>
      </c>
      <c r="R1737" s="152">
        <v>3</v>
      </c>
      <c r="S1737" s="149">
        <v>3</v>
      </c>
      <c r="T1737" s="150"/>
      <c r="U1737" s="151">
        <f t="shared" si="1630"/>
        <v>6</v>
      </c>
      <c r="V1737" s="153">
        <f t="shared" si="1631"/>
        <v>6</v>
      </c>
      <c r="W1737" s="157">
        <v>46014</v>
      </c>
    </row>
    <row r="1738" spans="1:23" x14ac:dyDescent="0.15">
      <c r="A1738" s="26" t="s">
        <v>33</v>
      </c>
      <c r="B1738" s="8"/>
      <c r="C1738" s="9"/>
      <c r="D1738" s="10"/>
      <c r="E1738" s="49">
        <f t="shared" si="1626"/>
        <v>0</v>
      </c>
      <c r="F1738" s="12"/>
      <c r="G1738" s="9">
        <v>1</v>
      </c>
      <c r="H1738" s="10"/>
      <c r="I1738" s="49">
        <f t="shared" si="1627"/>
        <v>1</v>
      </c>
      <c r="J1738" s="11">
        <f t="shared" si="1628"/>
        <v>1</v>
      </c>
      <c r="K1738" s="140">
        <v>45959</v>
      </c>
      <c r="M1738" s="26" t="s">
        <v>28</v>
      </c>
      <c r="N1738" s="8"/>
      <c r="O1738" s="9">
        <v>5</v>
      </c>
      <c r="P1738" s="10"/>
      <c r="Q1738" s="49">
        <f t="shared" ref="Q1738:Q1760" si="1632">SUM(N1738:P1738)</f>
        <v>5</v>
      </c>
      <c r="R1738" s="12"/>
      <c r="S1738" s="9"/>
      <c r="T1738" s="10">
        <v>3</v>
      </c>
      <c r="U1738" s="49">
        <f t="shared" ref="U1738:U1760" si="1633">SUM(R1738:T1738)</f>
        <v>3</v>
      </c>
      <c r="V1738" s="11">
        <f t="shared" ref="V1738:V1756" si="1634">Q1738+U1738</f>
        <v>8</v>
      </c>
      <c r="W1738" s="140">
        <v>46038</v>
      </c>
    </row>
    <row r="1739" spans="1:23" x14ac:dyDescent="0.15">
      <c r="A1739" s="26" t="s">
        <v>329</v>
      </c>
      <c r="B1739" s="8">
        <v>1</v>
      </c>
      <c r="C1739" s="9"/>
      <c r="D1739" s="10"/>
      <c r="E1739" s="49">
        <f t="shared" si="1626"/>
        <v>1</v>
      </c>
      <c r="F1739" s="12">
        <v>1</v>
      </c>
      <c r="G1739" s="9"/>
      <c r="H1739" s="10"/>
      <c r="I1739" s="49">
        <f t="shared" si="1627"/>
        <v>1</v>
      </c>
      <c r="J1739" s="11">
        <f t="shared" si="1628"/>
        <v>2</v>
      </c>
      <c r="K1739" s="140">
        <v>45965</v>
      </c>
      <c r="L1739" s="40"/>
      <c r="M1739" s="147" t="s">
        <v>28</v>
      </c>
      <c r="N1739" s="148"/>
      <c r="O1739" s="149"/>
      <c r="P1739" s="150">
        <v>3</v>
      </c>
      <c r="Q1739" s="151">
        <f t="shared" si="1632"/>
        <v>3</v>
      </c>
      <c r="R1739" s="152">
        <v>3</v>
      </c>
      <c r="S1739" s="149">
        <v>3</v>
      </c>
      <c r="T1739" s="150"/>
      <c r="U1739" s="151">
        <f t="shared" si="1633"/>
        <v>6</v>
      </c>
      <c r="V1739" s="153">
        <f t="shared" si="1634"/>
        <v>9</v>
      </c>
      <c r="W1739" s="157">
        <v>46044</v>
      </c>
    </row>
    <row r="1740" spans="1:23" x14ac:dyDescent="0.15">
      <c r="A1740" s="26" t="s">
        <v>33</v>
      </c>
      <c r="B1740" s="8"/>
      <c r="C1740" s="9">
        <v>1</v>
      </c>
      <c r="D1740" s="10">
        <v>1</v>
      </c>
      <c r="E1740" s="49">
        <f t="shared" si="1626"/>
        <v>2</v>
      </c>
      <c r="F1740" s="12"/>
      <c r="G1740" s="9"/>
      <c r="H1740" s="10"/>
      <c r="I1740" s="49">
        <f t="shared" si="1627"/>
        <v>0</v>
      </c>
      <c r="J1740" s="11">
        <f t="shared" si="1628"/>
        <v>2</v>
      </c>
      <c r="K1740" s="140">
        <v>45965</v>
      </c>
      <c r="M1740" s="26"/>
      <c r="N1740" s="8"/>
      <c r="O1740" s="9"/>
      <c r="P1740" s="10"/>
      <c r="Q1740" s="49">
        <f t="shared" si="1632"/>
        <v>0</v>
      </c>
      <c r="R1740" s="12"/>
      <c r="S1740" s="9"/>
      <c r="T1740" s="10"/>
      <c r="U1740" s="49">
        <f t="shared" si="1633"/>
        <v>0</v>
      </c>
      <c r="V1740" s="11">
        <f t="shared" si="1634"/>
        <v>0</v>
      </c>
    </row>
    <row r="1741" spans="1:23" x14ac:dyDescent="0.15">
      <c r="A1741" s="26" t="s">
        <v>33</v>
      </c>
      <c r="B1741" s="8"/>
      <c r="C1741" s="9"/>
      <c r="D1741" s="10"/>
      <c r="E1741" s="49">
        <f t="shared" si="1626"/>
        <v>0</v>
      </c>
      <c r="F1741" s="12">
        <v>1</v>
      </c>
      <c r="G1741" s="9"/>
      <c r="H1741" s="10"/>
      <c r="I1741" s="49">
        <f t="shared" si="1627"/>
        <v>1</v>
      </c>
      <c r="J1741" s="11">
        <f t="shared" si="1628"/>
        <v>1</v>
      </c>
      <c r="K1741" s="140">
        <v>45967</v>
      </c>
      <c r="M1741" s="26"/>
      <c r="N1741" s="8"/>
      <c r="O1741" s="9"/>
      <c r="P1741" s="10"/>
      <c r="Q1741" s="49">
        <f t="shared" si="1632"/>
        <v>0</v>
      </c>
      <c r="R1741" s="12"/>
      <c r="S1741" s="9"/>
      <c r="T1741" s="10"/>
      <c r="U1741" s="49">
        <f t="shared" si="1633"/>
        <v>0</v>
      </c>
      <c r="V1741" s="11">
        <f t="shared" si="1634"/>
        <v>0</v>
      </c>
    </row>
    <row r="1742" spans="1:23" x14ac:dyDescent="0.15">
      <c r="A1742" s="26" t="s">
        <v>33</v>
      </c>
      <c r="B1742" s="8"/>
      <c r="C1742" s="9"/>
      <c r="D1742" s="10"/>
      <c r="E1742" s="49">
        <f t="shared" si="1626"/>
        <v>0</v>
      </c>
      <c r="F1742" s="12">
        <v>1</v>
      </c>
      <c r="G1742" s="9"/>
      <c r="H1742" s="10"/>
      <c r="I1742" s="49">
        <f t="shared" si="1627"/>
        <v>1</v>
      </c>
      <c r="J1742" s="11">
        <f t="shared" si="1628"/>
        <v>1</v>
      </c>
      <c r="K1742" s="140">
        <v>45971</v>
      </c>
      <c r="M1742" s="26"/>
      <c r="N1742" s="8"/>
      <c r="O1742" s="9"/>
      <c r="P1742" s="10"/>
      <c r="Q1742" s="49">
        <f t="shared" si="1632"/>
        <v>0</v>
      </c>
      <c r="R1742" s="12"/>
      <c r="S1742" s="9"/>
      <c r="T1742" s="10"/>
      <c r="U1742" s="49">
        <f t="shared" si="1633"/>
        <v>0</v>
      </c>
      <c r="V1742" s="11">
        <f t="shared" si="1634"/>
        <v>0</v>
      </c>
    </row>
    <row r="1743" spans="1:23" x14ac:dyDescent="0.15">
      <c r="A1743" s="26" t="s">
        <v>33</v>
      </c>
      <c r="B1743" s="8"/>
      <c r="C1743" s="9">
        <v>2</v>
      </c>
      <c r="D1743" s="10"/>
      <c r="E1743" s="49">
        <f t="shared" si="1626"/>
        <v>2</v>
      </c>
      <c r="F1743" s="12"/>
      <c r="G1743" s="9"/>
      <c r="H1743" s="10"/>
      <c r="I1743" s="49">
        <f t="shared" si="1627"/>
        <v>0</v>
      </c>
      <c r="J1743" s="11">
        <f t="shared" si="1628"/>
        <v>2</v>
      </c>
      <c r="K1743" s="140">
        <v>45973</v>
      </c>
      <c r="M1743" s="26"/>
      <c r="N1743" s="8"/>
      <c r="O1743" s="9"/>
      <c r="P1743" s="10"/>
      <c r="Q1743" s="49">
        <f t="shared" si="1632"/>
        <v>0</v>
      </c>
      <c r="R1743" s="12"/>
      <c r="S1743" s="9"/>
      <c r="T1743" s="10"/>
      <c r="U1743" s="49">
        <f t="shared" si="1633"/>
        <v>0</v>
      </c>
      <c r="V1743" s="11">
        <f t="shared" si="1634"/>
        <v>0</v>
      </c>
    </row>
    <row r="1744" spans="1:23" x14ac:dyDescent="0.15">
      <c r="A1744" s="26" t="s">
        <v>33</v>
      </c>
      <c r="B1744" s="8"/>
      <c r="C1744" s="9"/>
      <c r="D1744" s="10"/>
      <c r="E1744" s="49">
        <f t="shared" si="1626"/>
        <v>0</v>
      </c>
      <c r="F1744" s="12">
        <v>1</v>
      </c>
      <c r="G1744" s="9"/>
      <c r="H1744" s="10"/>
      <c r="I1744" s="49">
        <f t="shared" si="1627"/>
        <v>1</v>
      </c>
      <c r="J1744" s="11">
        <f t="shared" si="1628"/>
        <v>1</v>
      </c>
      <c r="K1744" s="140">
        <v>45980</v>
      </c>
      <c r="M1744" s="26"/>
      <c r="N1744" s="8"/>
      <c r="O1744" s="9"/>
      <c r="P1744" s="10"/>
      <c r="Q1744" s="49">
        <f t="shared" si="1632"/>
        <v>0</v>
      </c>
      <c r="R1744" s="12"/>
      <c r="S1744" s="9"/>
      <c r="T1744" s="10"/>
      <c r="U1744" s="49">
        <f t="shared" si="1633"/>
        <v>0</v>
      </c>
      <c r="V1744" s="11">
        <f t="shared" si="1634"/>
        <v>0</v>
      </c>
    </row>
    <row r="1745" spans="1:22" x14ac:dyDescent="0.15">
      <c r="A1745" s="26" t="s">
        <v>33</v>
      </c>
      <c r="B1745" s="8">
        <v>1</v>
      </c>
      <c r="C1745" s="9"/>
      <c r="D1745" s="10"/>
      <c r="E1745" s="49">
        <f t="shared" si="1626"/>
        <v>1</v>
      </c>
      <c r="F1745" s="12"/>
      <c r="G1745" s="9"/>
      <c r="H1745" s="10"/>
      <c r="I1745" s="49">
        <f t="shared" si="1627"/>
        <v>0</v>
      </c>
      <c r="J1745" s="11">
        <f t="shared" si="1628"/>
        <v>1</v>
      </c>
      <c r="K1745" s="140">
        <v>45986</v>
      </c>
      <c r="L1745" s="82"/>
      <c r="M1745" s="26"/>
      <c r="N1745" s="8"/>
      <c r="O1745" s="9"/>
      <c r="P1745" s="10"/>
      <c r="Q1745" s="49">
        <f t="shared" si="1632"/>
        <v>0</v>
      </c>
      <c r="R1745" s="12"/>
      <c r="S1745" s="9"/>
      <c r="T1745" s="10"/>
      <c r="U1745" s="49">
        <f t="shared" si="1633"/>
        <v>0</v>
      </c>
      <c r="V1745" s="11">
        <f t="shared" si="1634"/>
        <v>0</v>
      </c>
    </row>
    <row r="1746" spans="1:22" x14ac:dyDescent="0.15">
      <c r="A1746" s="26" t="s">
        <v>33</v>
      </c>
      <c r="B1746" s="8"/>
      <c r="C1746" s="9"/>
      <c r="D1746" s="10"/>
      <c r="E1746" s="49">
        <f t="shared" si="1626"/>
        <v>0</v>
      </c>
      <c r="F1746" s="12"/>
      <c r="G1746" s="9">
        <v>2</v>
      </c>
      <c r="H1746" s="10"/>
      <c r="I1746" s="49">
        <f t="shared" si="1627"/>
        <v>2</v>
      </c>
      <c r="J1746" s="11">
        <f t="shared" si="1628"/>
        <v>2</v>
      </c>
      <c r="K1746" s="140">
        <v>45987</v>
      </c>
      <c r="L1746" s="82"/>
      <c r="M1746" s="26"/>
      <c r="N1746" s="8"/>
      <c r="O1746" s="9"/>
      <c r="P1746" s="10"/>
      <c r="Q1746" s="49">
        <f t="shared" si="1632"/>
        <v>0</v>
      </c>
      <c r="R1746" s="12"/>
      <c r="S1746" s="9"/>
      <c r="T1746" s="10"/>
      <c r="U1746" s="49">
        <f t="shared" si="1633"/>
        <v>0</v>
      </c>
      <c r="V1746" s="11">
        <f t="shared" si="1634"/>
        <v>0</v>
      </c>
    </row>
    <row r="1747" spans="1:22" x14ac:dyDescent="0.15">
      <c r="A1747" s="26" t="s">
        <v>33</v>
      </c>
      <c r="B1747" s="8"/>
      <c r="C1747" s="9"/>
      <c r="D1747" s="10"/>
      <c r="E1747" s="49">
        <f t="shared" si="1626"/>
        <v>0</v>
      </c>
      <c r="F1747" s="12"/>
      <c r="G1747" s="9">
        <v>1</v>
      </c>
      <c r="H1747" s="10"/>
      <c r="I1747" s="49">
        <f t="shared" si="1627"/>
        <v>1</v>
      </c>
      <c r="J1747" s="11">
        <f t="shared" si="1628"/>
        <v>1</v>
      </c>
      <c r="K1747" s="140">
        <v>45988</v>
      </c>
      <c r="M1747" s="26"/>
      <c r="N1747" s="8"/>
      <c r="O1747" s="9"/>
      <c r="P1747" s="10"/>
      <c r="Q1747" s="49">
        <f t="shared" si="1632"/>
        <v>0</v>
      </c>
      <c r="R1747" s="12"/>
      <c r="S1747" s="9"/>
      <c r="T1747" s="10"/>
      <c r="U1747" s="49">
        <f t="shared" si="1633"/>
        <v>0</v>
      </c>
      <c r="V1747" s="11">
        <f t="shared" si="1634"/>
        <v>0</v>
      </c>
    </row>
    <row r="1748" spans="1:22" x14ac:dyDescent="0.15">
      <c r="A1748" s="26" t="s">
        <v>33</v>
      </c>
      <c r="B1748" s="8"/>
      <c r="C1748" s="9">
        <v>3</v>
      </c>
      <c r="D1748" s="10"/>
      <c r="E1748" s="49">
        <f t="shared" si="1626"/>
        <v>3</v>
      </c>
      <c r="F1748" s="12"/>
      <c r="G1748" s="9"/>
      <c r="H1748" s="10"/>
      <c r="I1748" s="49">
        <f t="shared" si="1627"/>
        <v>0</v>
      </c>
      <c r="J1748" s="11">
        <f t="shared" si="1628"/>
        <v>3</v>
      </c>
      <c r="K1748" s="140">
        <v>45989</v>
      </c>
      <c r="L1748" s="82"/>
      <c r="M1748" s="26"/>
      <c r="N1748" s="8"/>
      <c r="O1748" s="9"/>
      <c r="P1748" s="10"/>
      <c r="Q1748" s="49">
        <f t="shared" si="1632"/>
        <v>0</v>
      </c>
      <c r="R1748" s="12"/>
      <c r="S1748" s="9"/>
      <c r="T1748" s="10"/>
      <c r="U1748" s="49">
        <f t="shared" si="1633"/>
        <v>0</v>
      </c>
      <c r="V1748" s="11">
        <f t="shared" si="1634"/>
        <v>0</v>
      </c>
    </row>
    <row r="1749" spans="1:22" x14ac:dyDescent="0.15">
      <c r="A1749" s="26" t="s">
        <v>33</v>
      </c>
      <c r="B1749" s="8"/>
      <c r="C1749" s="9">
        <v>3</v>
      </c>
      <c r="D1749" s="10"/>
      <c r="E1749" s="49">
        <f t="shared" si="1626"/>
        <v>3</v>
      </c>
      <c r="F1749" s="12">
        <v>1</v>
      </c>
      <c r="G1749" s="9">
        <v>1</v>
      </c>
      <c r="H1749" s="10">
        <v>2</v>
      </c>
      <c r="I1749" s="49">
        <f t="shared" si="1627"/>
        <v>4</v>
      </c>
      <c r="J1749" s="11">
        <f t="shared" si="1628"/>
        <v>7</v>
      </c>
      <c r="K1749" s="140">
        <v>45992</v>
      </c>
      <c r="L1749" s="82"/>
      <c r="M1749" s="26"/>
      <c r="N1749" s="8"/>
      <c r="O1749" s="9"/>
      <c r="P1749" s="10"/>
      <c r="Q1749" s="49">
        <f t="shared" si="1632"/>
        <v>0</v>
      </c>
      <c r="R1749" s="12"/>
      <c r="S1749" s="9"/>
      <c r="T1749" s="10"/>
      <c r="U1749" s="49">
        <f t="shared" si="1633"/>
        <v>0</v>
      </c>
      <c r="V1749" s="11">
        <f t="shared" si="1634"/>
        <v>0</v>
      </c>
    </row>
    <row r="1750" spans="1:22" x14ac:dyDescent="0.15">
      <c r="A1750" s="26" t="s">
        <v>33</v>
      </c>
      <c r="B1750" s="8"/>
      <c r="C1750" s="9"/>
      <c r="D1750" s="10">
        <v>1</v>
      </c>
      <c r="E1750" s="49">
        <f t="shared" si="1626"/>
        <v>1</v>
      </c>
      <c r="F1750" s="12"/>
      <c r="G1750" s="9"/>
      <c r="H1750" s="10"/>
      <c r="I1750" s="49">
        <f t="shared" si="1627"/>
        <v>0</v>
      </c>
      <c r="J1750" s="11">
        <f t="shared" si="1628"/>
        <v>1</v>
      </c>
      <c r="K1750" s="140">
        <v>45994</v>
      </c>
      <c r="L1750" s="82"/>
      <c r="M1750" s="26"/>
      <c r="N1750" s="8"/>
      <c r="O1750" s="9"/>
      <c r="P1750" s="10"/>
      <c r="Q1750" s="49">
        <f t="shared" si="1632"/>
        <v>0</v>
      </c>
      <c r="R1750" s="12"/>
      <c r="S1750" s="9"/>
      <c r="T1750" s="10"/>
      <c r="U1750" s="49">
        <f t="shared" si="1633"/>
        <v>0</v>
      </c>
      <c r="V1750" s="11">
        <f t="shared" si="1634"/>
        <v>0</v>
      </c>
    </row>
    <row r="1751" spans="1:22" x14ac:dyDescent="0.15">
      <c r="A1751" s="26" t="s">
        <v>33</v>
      </c>
      <c r="B1751" s="8">
        <v>1</v>
      </c>
      <c r="C1751" s="9"/>
      <c r="D1751" s="10"/>
      <c r="E1751" s="49">
        <f t="shared" si="1626"/>
        <v>1</v>
      </c>
      <c r="F1751" s="12">
        <v>1</v>
      </c>
      <c r="G1751" s="9"/>
      <c r="H1751" s="10"/>
      <c r="I1751" s="49">
        <f t="shared" si="1627"/>
        <v>1</v>
      </c>
      <c r="J1751" s="11">
        <f t="shared" si="1628"/>
        <v>2</v>
      </c>
      <c r="K1751" s="140">
        <v>45999</v>
      </c>
      <c r="L1751" s="82"/>
      <c r="M1751" s="26"/>
      <c r="N1751" s="8"/>
      <c r="O1751" s="9"/>
      <c r="P1751" s="10"/>
      <c r="Q1751" s="49">
        <f t="shared" si="1632"/>
        <v>0</v>
      </c>
      <c r="R1751" s="12"/>
      <c r="S1751" s="9"/>
      <c r="T1751" s="10"/>
      <c r="U1751" s="49">
        <f t="shared" si="1633"/>
        <v>0</v>
      </c>
      <c r="V1751" s="11">
        <f t="shared" si="1634"/>
        <v>0</v>
      </c>
    </row>
    <row r="1752" spans="1:22" x14ac:dyDescent="0.15">
      <c r="A1752" s="26" t="s">
        <v>33</v>
      </c>
      <c r="B1752" s="8"/>
      <c r="C1752" s="9"/>
      <c r="D1752" s="10"/>
      <c r="E1752" s="49">
        <f t="shared" si="1626"/>
        <v>0</v>
      </c>
      <c r="F1752" s="12">
        <v>2</v>
      </c>
      <c r="G1752" s="9"/>
      <c r="H1752" s="10"/>
      <c r="I1752" s="49">
        <f t="shared" si="1627"/>
        <v>2</v>
      </c>
      <c r="J1752" s="11">
        <f t="shared" si="1628"/>
        <v>2</v>
      </c>
      <c r="K1752" s="140">
        <v>46000</v>
      </c>
      <c r="L1752" s="82"/>
      <c r="M1752" s="26"/>
      <c r="N1752" s="8"/>
      <c r="O1752" s="9"/>
      <c r="P1752" s="10"/>
      <c r="Q1752" s="49">
        <f t="shared" si="1632"/>
        <v>0</v>
      </c>
      <c r="R1752" s="12"/>
      <c r="S1752" s="9"/>
      <c r="T1752" s="10"/>
      <c r="U1752" s="49">
        <f t="shared" si="1633"/>
        <v>0</v>
      </c>
      <c r="V1752" s="11">
        <f t="shared" si="1634"/>
        <v>0</v>
      </c>
    </row>
    <row r="1753" spans="1:22" x14ac:dyDescent="0.15">
      <c r="A1753" s="26" t="s">
        <v>33</v>
      </c>
      <c r="B1753" s="8"/>
      <c r="C1753" s="9"/>
      <c r="D1753" s="10"/>
      <c r="E1753" s="49">
        <f t="shared" si="1626"/>
        <v>0</v>
      </c>
      <c r="F1753" s="12"/>
      <c r="G1753" s="9">
        <v>2</v>
      </c>
      <c r="H1753" s="10"/>
      <c r="I1753" s="49">
        <f t="shared" si="1627"/>
        <v>2</v>
      </c>
      <c r="J1753" s="11">
        <f t="shared" si="1628"/>
        <v>2</v>
      </c>
      <c r="K1753" s="140">
        <v>46002</v>
      </c>
      <c r="L1753" s="82"/>
      <c r="M1753" s="26"/>
      <c r="N1753" s="8"/>
      <c r="O1753" s="9"/>
      <c r="P1753" s="10"/>
      <c r="Q1753" s="49">
        <f t="shared" si="1632"/>
        <v>0</v>
      </c>
      <c r="R1753" s="12"/>
      <c r="S1753" s="9"/>
      <c r="T1753" s="10"/>
      <c r="U1753" s="49">
        <f t="shared" si="1633"/>
        <v>0</v>
      </c>
      <c r="V1753" s="11">
        <f t="shared" si="1634"/>
        <v>0</v>
      </c>
    </row>
    <row r="1754" spans="1:22" x14ac:dyDescent="0.15">
      <c r="A1754" s="26" t="s">
        <v>33</v>
      </c>
      <c r="B1754" s="8"/>
      <c r="C1754" s="9"/>
      <c r="D1754" s="10">
        <v>1</v>
      </c>
      <c r="E1754" s="49">
        <f t="shared" si="1626"/>
        <v>1</v>
      </c>
      <c r="F1754" s="12"/>
      <c r="G1754" s="9"/>
      <c r="H1754" s="10"/>
      <c r="I1754" s="49">
        <f t="shared" si="1627"/>
        <v>0</v>
      </c>
      <c r="J1754" s="11">
        <f t="shared" si="1628"/>
        <v>1</v>
      </c>
      <c r="K1754" s="140">
        <v>46008</v>
      </c>
      <c r="L1754" s="82"/>
      <c r="M1754" s="26"/>
      <c r="N1754" s="8"/>
      <c r="O1754" s="9"/>
      <c r="P1754" s="10"/>
      <c r="Q1754" s="49">
        <f t="shared" si="1632"/>
        <v>0</v>
      </c>
      <c r="R1754" s="12"/>
      <c r="S1754" s="9"/>
      <c r="T1754" s="10"/>
      <c r="U1754" s="49">
        <f t="shared" si="1633"/>
        <v>0</v>
      </c>
      <c r="V1754" s="11">
        <f t="shared" si="1634"/>
        <v>0</v>
      </c>
    </row>
    <row r="1755" spans="1:22" x14ac:dyDescent="0.15">
      <c r="A1755" s="26" t="s">
        <v>33</v>
      </c>
      <c r="B1755" s="8"/>
      <c r="C1755" s="9"/>
      <c r="D1755" s="10"/>
      <c r="E1755" s="49">
        <f t="shared" si="1626"/>
        <v>0</v>
      </c>
      <c r="F1755" s="12"/>
      <c r="G1755" s="9">
        <v>1</v>
      </c>
      <c r="H1755" s="10"/>
      <c r="I1755" s="49">
        <f t="shared" si="1627"/>
        <v>1</v>
      </c>
      <c r="J1755" s="11">
        <f t="shared" si="1628"/>
        <v>1</v>
      </c>
      <c r="K1755" s="140">
        <v>46009</v>
      </c>
      <c r="M1755" s="26"/>
      <c r="N1755" s="8"/>
      <c r="O1755" s="9"/>
      <c r="P1755" s="10"/>
      <c r="Q1755" s="49">
        <f t="shared" si="1632"/>
        <v>0</v>
      </c>
      <c r="R1755" s="12"/>
      <c r="S1755" s="9"/>
      <c r="T1755" s="10"/>
      <c r="U1755" s="49">
        <f t="shared" si="1633"/>
        <v>0</v>
      </c>
      <c r="V1755" s="11">
        <f t="shared" si="1634"/>
        <v>0</v>
      </c>
    </row>
    <row r="1756" spans="1:22" x14ac:dyDescent="0.15">
      <c r="A1756" s="26" t="s">
        <v>33</v>
      </c>
      <c r="B1756" s="8"/>
      <c r="C1756" s="9">
        <v>2</v>
      </c>
      <c r="D1756" s="10"/>
      <c r="E1756" s="49">
        <f t="shared" si="1626"/>
        <v>2</v>
      </c>
      <c r="F1756" s="12"/>
      <c r="G1756" s="9">
        <v>1</v>
      </c>
      <c r="H1756" s="10">
        <v>1</v>
      </c>
      <c r="I1756" s="49">
        <f t="shared" si="1627"/>
        <v>2</v>
      </c>
      <c r="J1756" s="11">
        <f t="shared" si="1628"/>
        <v>4</v>
      </c>
      <c r="K1756" s="140">
        <v>46013</v>
      </c>
      <c r="M1756" s="26"/>
      <c r="N1756" s="8"/>
      <c r="O1756" s="9"/>
      <c r="P1756" s="10"/>
      <c r="Q1756" s="49">
        <f t="shared" si="1632"/>
        <v>0</v>
      </c>
      <c r="R1756" s="12"/>
      <c r="S1756" s="9"/>
      <c r="T1756" s="10"/>
      <c r="U1756" s="49">
        <f t="shared" si="1633"/>
        <v>0</v>
      </c>
      <c r="V1756" s="11">
        <f t="shared" si="1634"/>
        <v>0</v>
      </c>
    </row>
    <row r="1757" spans="1:22" x14ac:dyDescent="0.15">
      <c r="A1757" s="26" t="s">
        <v>33</v>
      </c>
      <c r="B1757" s="8"/>
      <c r="C1757" s="9">
        <v>1</v>
      </c>
      <c r="D1757" s="10"/>
      <c r="E1757" s="49">
        <f t="shared" si="1626"/>
        <v>1</v>
      </c>
      <c r="F1757" s="12"/>
      <c r="G1757" s="9"/>
      <c r="H1757" s="10"/>
      <c r="I1757" s="49">
        <f t="shared" si="1627"/>
        <v>0</v>
      </c>
      <c r="J1757" s="11">
        <f t="shared" si="1628"/>
        <v>1</v>
      </c>
      <c r="K1757" s="140">
        <v>46016</v>
      </c>
      <c r="M1757" s="26"/>
      <c r="N1757" s="8"/>
      <c r="O1757" s="9"/>
      <c r="P1757" s="10"/>
      <c r="Q1757" s="49">
        <f t="shared" ref="Q1757" si="1635">SUM(N1757:P1757)</f>
        <v>0</v>
      </c>
      <c r="R1757" s="12"/>
      <c r="S1757" s="9"/>
      <c r="T1757" s="10"/>
      <c r="U1757" s="49">
        <f t="shared" ref="U1757" si="1636">SUM(R1757:T1757)</f>
        <v>0</v>
      </c>
      <c r="V1757" s="11">
        <f t="shared" ref="V1757" si="1637">Q1757+U1757</f>
        <v>0</v>
      </c>
    </row>
    <row r="1758" spans="1:22" x14ac:dyDescent="0.15">
      <c r="A1758" s="26" t="s">
        <v>33</v>
      </c>
      <c r="B1758" s="8"/>
      <c r="C1758" s="9"/>
      <c r="D1758" s="10"/>
      <c r="E1758" s="49">
        <f t="shared" si="1626"/>
        <v>0</v>
      </c>
      <c r="F1758" s="12"/>
      <c r="G1758" s="9">
        <v>1</v>
      </c>
      <c r="H1758" s="10"/>
      <c r="I1758" s="49">
        <f t="shared" si="1627"/>
        <v>1</v>
      </c>
      <c r="J1758" s="11">
        <f t="shared" si="1628"/>
        <v>1</v>
      </c>
      <c r="K1758" s="140">
        <v>46027</v>
      </c>
      <c r="M1758" s="26"/>
      <c r="N1758" s="8"/>
      <c r="O1758" s="9"/>
      <c r="P1758" s="10"/>
      <c r="Q1758" s="49">
        <f t="shared" ref="Q1758:Q1759" si="1638">SUM(N1758:P1758)</f>
        <v>0</v>
      </c>
      <c r="R1758" s="12"/>
      <c r="S1758" s="9"/>
      <c r="T1758" s="10"/>
      <c r="U1758" s="49">
        <f t="shared" ref="U1758:U1759" si="1639">SUM(R1758:T1758)</f>
        <v>0</v>
      </c>
      <c r="V1758" s="11">
        <f t="shared" ref="V1758:V1759" si="1640">Q1758+U1758</f>
        <v>0</v>
      </c>
    </row>
    <row r="1759" spans="1:22" ht="14.25" thickBot="1" x14ac:dyDescent="0.2">
      <c r="A1759" s="26" t="s">
        <v>33</v>
      </c>
      <c r="B1759" s="8"/>
      <c r="C1759" s="9"/>
      <c r="D1759" s="10"/>
      <c r="E1759" s="49">
        <f t="shared" si="1626"/>
        <v>0</v>
      </c>
      <c r="F1759" s="12"/>
      <c r="G1759" s="9">
        <v>1</v>
      </c>
      <c r="H1759" s="10"/>
      <c r="I1759" s="49">
        <f t="shared" si="1627"/>
        <v>1</v>
      </c>
      <c r="J1759" s="11">
        <f t="shared" si="1628"/>
        <v>1</v>
      </c>
      <c r="K1759" s="140">
        <v>46030</v>
      </c>
      <c r="M1759" s="26"/>
      <c r="N1759" s="8"/>
      <c r="O1759" s="9"/>
      <c r="P1759" s="10"/>
      <c r="Q1759" s="49">
        <f t="shared" si="1638"/>
        <v>0</v>
      </c>
      <c r="R1759" s="12"/>
      <c r="S1759" s="9"/>
      <c r="T1759" s="10"/>
      <c r="U1759" s="49">
        <f t="shared" si="1639"/>
        <v>0</v>
      </c>
      <c r="V1759" s="11">
        <f t="shared" si="1640"/>
        <v>0</v>
      </c>
    </row>
    <row r="1760" spans="1:22" ht="14.25" thickBot="1" x14ac:dyDescent="0.2">
      <c r="A1760" s="41" t="s">
        <v>19</v>
      </c>
      <c r="B1760" s="46">
        <f>SUM(B1734:B1759)</f>
        <v>5</v>
      </c>
      <c r="C1760" s="47">
        <f t="shared" ref="C1760:D1760" si="1641">SUM(C1734:C1759)</f>
        <v>12</v>
      </c>
      <c r="D1760" s="59">
        <f t="shared" si="1641"/>
        <v>4</v>
      </c>
      <c r="E1760" s="45">
        <f t="shared" si="1626"/>
        <v>21</v>
      </c>
      <c r="F1760" s="46">
        <f>SUM(F1734:F1759)</f>
        <v>9</v>
      </c>
      <c r="G1760" s="47">
        <f t="shared" ref="G1760:H1760" si="1642">SUM(G1734:G1759)</f>
        <v>12</v>
      </c>
      <c r="H1760" s="59">
        <f t="shared" si="1642"/>
        <v>5</v>
      </c>
      <c r="I1760" s="45">
        <f t="shared" si="1627"/>
        <v>26</v>
      </c>
      <c r="J1760" s="45">
        <f>E1760+I1760</f>
        <v>47</v>
      </c>
      <c r="M1760" s="41" t="s">
        <v>19</v>
      </c>
      <c r="N1760" s="46">
        <f>SUM(N1734:N1759)</f>
        <v>5</v>
      </c>
      <c r="O1760" s="47">
        <f t="shared" ref="O1760:P1760" si="1643">SUM(O1734:O1759)</f>
        <v>10</v>
      </c>
      <c r="P1760" s="59">
        <f t="shared" si="1643"/>
        <v>3</v>
      </c>
      <c r="Q1760" s="45">
        <f t="shared" si="1632"/>
        <v>18</v>
      </c>
      <c r="R1760" s="46">
        <f>SUM(R1734:R1759)</f>
        <v>14</v>
      </c>
      <c r="S1760" s="47">
        <f t="shared" ref="S1760:T1760" si="1644">SUM(S1734:S1759)</f>
        <v>14</v>
      </c>
      <c r="T1760" s="59">
        <f t="shared" si="1644"/>
        <v>6</v>
      </c>
      <c r="U1760" s="45">
        <f t="shared" si="1633"/>
        <v>34</v>
      </c>
      <c r="V1760" s="45">
        <f>Q1760+U1760</f>
        <v>52</v>
      </c>
    </row>
    <row r="1761" spans="1:22" ht="14.25" thickBot="1" x14ac:dyDescent="0.2">
      <c r="A1761" s="22" t="s">
        <v>17</v>
      </c>
      <c r="B1761" s="50">
        <f>B1733-B1760</f>
        <v>7</v>
      </c>
      <c r="C1761" s="57">
        <f t="shared" ref="C1761:D1761" si="1645">C1733-C1760</f>
        <v>3</v>
      </c>
      <c r="D1761" s="58">
        <f t="shared" si="1645"/>
        <v>3</v>
      </c>
      <c r="E1761" s="56">
        <f>SUM(B1761:D1761)</f>
        <v>13</v>
      </c>
      <c r="F1761" s="50">
        <f>F1733-F1760</f>
        <v>6</v>
      </c>
      <c r="G1761" s="57">
        <f t="shared" ref="G1761:H1761" si="1646">G1733-G1760</f>
        <v>3</v>
      </c>
      <c r="H1761" s="58">
        <f t="shared" si="1646"/>
        <v>4</v>
      </c>
      <c r="I1761" s="56">
        <f>SUM(F1761:H1761)</f>
        <v>13</v>
      </c>
      <c r="J1761" s="31">
        <f>E1761+I1761</f>
        <v>26</v>
      </c>
      <c r="M1761" s="22" t="s">
        <v>17</v>
      </c>
      <c r="N1761" s="50">
        <f>N1733-N1760</f>
        <v>426</v>
      </c>
      <c r="O1761" s="57">
        <f t="shared" ref="O1761:P1761" si="1647">O1733-O1760</f>
        <v>525</v>
      </c>
      <c r="P1761" s="58">
        <f t="shared" si="1647"/>
        <v>231</v>
      </c>
      <c r="Q1761" s="56">
        <f>SUM(N1761:P1761)</f>
        <v>1182</v>
      </c>
      <c r="R1761" s="50">
        <f>R1733-R1760</f>
        <v>399</v>
      </c>
      <c r="S1761" s="57">
        <f t="shared" ref="S1761:T1761" si="1648">S1733-S1760</f>
        <v>479</v>
      </c>
      <c r="T1761" s="58">
        <f t="shared" si="1648"/>
        <v>170</v>
      </c>
      <c r="U1761" s="56">
        <f>SUM(R1761:T1761)</f>
        <v>1048</v>
      </c>
      <c r="V1761" s="31">
        <f>Q1761+U1761</f>
        <v>2230</v>
      </c>
    </row>
    <row r="1764" spans="1:22" ht="19.5" thickBot="1" x14ac:dyDescent="0.25">
      <c r="A1764" s="3" t="s">
        <v>21</v>
      </c>
      <c r="B1764" s="1"/>
      <c r="C1764" s="1"/>
      <c r="D1764" s="1"/>
      <c r="E1764" s="1"/>
      <c r="F1764" s="1"/>
      <c r="G1764" s="1"/>
      <c r="H1764" s="1" t="s">
        <v>498</v>
      </c>
      <c r="I1764" s="1"/>
      <c r="J1764" s="1"/>
      <c r="M1764" s="3" t="s">
        <v>22</v>
      </c>
      <c r="N1764" s="1"/>
      <c r="O1764" s="1"/>
      <c r="P1764" s="1"/>
      <c r="Q1764" s="1"/>
      <c r="R1764" s="1"/>
      <c r="S1764" s="1" t="s">
        <v>498</v>
      </c>
      <c r="T1764" s="1"/>
      <c r="U1764" s="1"/>
      <c r="V1764" s="1">
        <v>580</v>
      </c>
    </row>
    <row r="1765" spans="1:22" ht="14.25" thickBot="1" x14ac:dyDescent="0.2">
      <c r="A1765" s="7" t="s">
        <v>0</v>
      </c>
      <c r="B1765" s="165" t="s">
        <v>24</v>
      </c>
      <c r="C1765" s="166"/>
      <c r="D1765" s="166"/>
      <c r="E1765" s="170"/>
      <c r="F1765" s="165" t="s">
        <v>18</v>
      </c>
      <c r="G1765" s="166"/>
      <c r="H1765" s="166"/>
      <c r="I1765" s="167"/>
      <c r="J1765" s="168" t="s">
        <v>1</v>
      </c>
      <c r="M1765" s="7" t="s">
        <v>0</v>
      </c>
      <c r="N1765" s="165" t="s">
        <v>24</v>
      </c>
      <c r="O1765" s="166"/>
      <c r="P1765" s="166"/>
      <c r="Q1765" s="170"/>
      <c r="R1765" s="165" t="s">
        <v>18</v>
      </c>
      <c r="S1765" s="166"/>
      <c r="T1765" s="166"/>
      <c r="U1765" s="167"/>
      <c r="V1765" s="168" t="s">
        <v>1</v>
      </c>
    </row>
    <row r="1766" spans="1:22" ht="14.25" thickBot="1" x14ac:dyDescent="0.2">
      <c r="A1766" s="7" t="s">
        <v>2</v>
      </c>
      <c r="B1766" s="4" t="s">
        <v>3</v>
      </c>
      <c r="C1766" s="5" t="s">
        <v>4</v>
      </c>
      <c r="D1766" s="6" t="s">
        <v>5</v>
      </c>
      <c r="E1766" s="7" t="s">
        <v>6</v>
      </c>
      <c r="F1766" s="4" t="s">
        <v>3</v>
      </c>
      <c r="G1766" s="5" t="s">
        <v>4</v>
      </c>
      <c r="H1766" s="6" t="s">
        <v>5</v>
      </c>
      <c r="I1766" s="7" t="s">
        <v>6</v>
      </c>
      <c r="J1766" s="169"/>
      <c r="M1766" s="7" t="s">
        <v>2</v>
      </c>
      <c r="N1766" s="4" t="s">
        <v>3</v>
      </c>
      <c r="O1766" s="5" t="s">
        <v>4</v>
      </c>
      <c r="P1766" s="6" t="s">
        <v>5</v>
      </c>
      <c r="Q1766" s="7" t="s">
        <v>6</v>
      </c>
      <c r="R1766" s="4" t="s">
        <v>3</v>
      </c>
      <c r="S1766" s="5" t="s">
        <v>4</v>
      </c>
      <c r="T1766" s="6" t="s">
        <v>5</v>
      </c>
      <c r="U1766" s="7" t="s">
        <v>6</v>
      </c>
      <c r="V1766" s="169"/>
    </row>
    <row r="1767" spans="1:22" ht="14.25" thickBot="1" x14ac:dyDescent="0.2">
      <c r="A1767" s="27" t="s">
        <v>20</v>
      </c>
      <c r="B1767" s="28">
        <f>B1761</f>
        <v>7</v>
      </c>
      <c r="C1767" s="29">
        <f>C1761</f>
        <v>3</v>
      </c>
      <c r="D1767" s="30">
        <f>D1761</f>
        <v>3</v>
      </c>
      <c r="E1767" s="31">
        <f t="shared" ref="E1767:E1774" si="1649">SUM(B1767:D1767)</f>
        <v>13</v>
      </c>
      <c r="F1767" s="28">
        <f>F1761</f>
        <v>6</v>
      </c>
      <c r="G1767" s="29">
        <f>G1761</f>
        <v>3</v>
      </c>
      <c r="H1767" s="30">
        <f>H1761</f>
        <v>4</v>
      </c>
      <c r="I1767" s="31">
        <f>SUM(F1767:H1767)</f>
        <v>13</v>
      </c>
      <c r="J1767" s="31">
        <f>E1767+I1767</f>
        <v>26</v>
      </c>
      <c r="M1767" s="27" t="s">
        <v>20</v>
      </c>
      <c r="N1767" s="28">
        <f>N1761</f>
        <v>426</v>
      </c>
      <c r="O1767" s="29">
        <f>O1761</f>
        <v>525</v>
      </c>
      <c r="P1767" s="30">
        <f>P1761</f>
        <v>231</v>
      </c>
      <c r="Q1767" s="31">
        <f>SUM(N1767:P1767)</f>
        <v>1182</v>
      </c>
      <c r="R1767" s="28">
        <f>R1761</f>
        <v>399</v>
      </c>
      <c r="S1767" s="29">
        <f>S1761</f>
        <v>479</v>
      </c>
      <c r="T1767" s="30">
        <f>T1761</f>
        <v>170</v>
      </c>
      <c r="U1767" s="31">
        <f>SUM(R1767:T1767)</f>
        <v>1048</v>
      </c>
      <c r="V1767" s="31">
        <f>Q1767+U1767</f>
        <v>2230</v>
      </c>
    </row>
    <row r="1768" spans="1:22" x14ac:dyDescent="0.15">
      <c r="A1768" s="25" t="s">
        <v>8</v>
      </c>
      <c r="B1768" s="8"/>
      <c r="C1768" s="9">
        <v>5</v>
      </c>
      <c r="D1768" s="52"/>
      <c r="E1768" s="11">
        <f t="shared" si="1649"/>
        <v>5</v>
      </c>
      <c r="F1768" s="12"/>
      <c r="G1768" s="9"/>
      <c r="H1768" s="10">
        <v>3</v>
      </c>
      <c r="I1768" s="11">
        <f t="shared" ref="I1768:I1775" si="1650">SUM(F1768:H1768)</f>
        <v>3</v>
      </c>
      <c r="J1768" s="11">
        <f t="shared" ref="J1768:J1775" si="1651">E1768+I1768</f>
        <v>8</v>
      </c>
      <c r="K1768" s="63">
        <v>46038</v>
      </c>
      <c r="M1768" s="25" t="s">
        <v>8</v>
      </c>
      <c r="N1768" s="17"/>
      <c r="O1768" s="18"/>
      <c r="P1768" s="51"/>
      <c r="Q1768" s="49">
        <f t="shared" ref="Q1768:Q1775" si="1652">SUM(N1768:P1768)</f>
        <v>0</v>
      </c>
      <c r="R1768" s="20"/>
      <c r="S1768" s="18"/>
      <c r="T1768" s="19"/>
      <c r="U1768" s="49">
        <f t="shared" ref="U1768:U1775" si="1653">SUM(R1768:T1768)</f>
        <v>0</v>
      </c>
      <c r="V1768" s="49">
        <f t="shared" ref="V1768:V1775" si="1654">Q1768+U1768</f>
        <v>0</v>
      </c>
    </row>
    <row r="1769" spans="1:22" x14ac:dyDescent="0.15">
      <c r="A1769" s="155" t="s">
        <v>9</v>
      </c>
      <c r="B1769" s="148"/>
      <c r="C1769" s="149"/>
      <c r="D1769" s="156">
        <v>3</v>
      </c>
      <c r="E1769" s="153">
        <f t="shared" si="1649"/>
        <v>3</v>
      </c>
      <c r="F1769" s="152">
        <v>3</v>
      </c>
      <c r="G1769" s="149">
        <v>3</v>
      </c>
      <c r="H1769" s="150"/>
      <c r="I1769" s="153">
        <f t="shared" si="1650"/>
        <v>6</v>
      </c>
      <c r="J1769" s="153">
        <f t="shared" si="1651"/>
        <v>9</v>
      </c>
      <c r="K1769" s="154">
        <v>46044</v>
      </c>
      <c r="M1769" s="25" t="s">
        <v>9</v>
      </c>
      <c r="N1769" s="8"/>
      <c r="O1769" s="9"/>
      <c r="P1769" s="52"/>
      <c r="Q1769" s="11">
        <f t="shared" si="1652"/>
        <v>0</v>
      </c>
      <c r="R1769" s="12"/>
      <c r="S1769" s="9"/>
      <c r="T1769" s="10"/>
      <c r="U1769" s="11">
        <f t="shared" si="1653"/>
        <v>0</v>
      </c>
      <c r="V1769" s="11">
        <f t="shared" si="1654"/>
        <v>0</v>
      </c>
    </row>
    <row r="1770" spans="1:22" x14ac:dyDescent="0.15">
      <c r="A1770" s="25" t="s">
        <v>10</v>
      </c>
      <c r="B1770" s="8">
        <v>5</v>
      </c>
      <c r="C1770" s="9">
        <v>3</v>
      </c>
      <c r="D1770" s="52"/>
      <c r="E1770" s="11">
        <f t="shared" si="1649"/>
        <v>8</v>
      </c>
      <c r="F1770" s="12">
        <v>3</v>
      </c>
      <c r="G1770" s="9">
        <v>3</v>
      </c>
      <c r="H1770" s="10"/>
      <c r="I1770" s="11">
        <f t="shared" si="1650"/>
        <v>6</v>
      </c>
      <c r="J1770" s="11">
        <f t="shared" si="1651"/>
        <v>14</v>
      </c>
      <c r="K1770" s="63">
        <v>46050</v>
      </c>
      <c r="M1770" s="25" t="s">
        <v>10</v>
      </c>
      <c r="N1770" s="8"/>
      <c r="O1770" s="9"/>
      <c r="P1770" s="52"/>
      <c r="Q1770" s="11">
        <f t="shared" si="1652"/>
        <v>0</v>
      </c>
      <c r="R1770" s="12"/>
      <c r="S1770" s="9"/>
      <c r="T1770" s="10"/>
      <c r="U1770" s="11">
        <f t="shared" si="1653"/>
        <v>0</v>
      </c>
      <c r="V1770" s="11">
        <f t="shared" si="1654"/>
        <v>0</v>
      </c>
    </row>
    <row r="1771" spans="1:22" x14ac:dyDescent="0.15">
      <c r="A1771" s="25" t="s">
        <v>11</v>
      </c>
      <c r="B1771" s="8"/>
      <c r="C1771" s="9"/>
      <c r="D1771" s="52"/>
      <c r="E1771" s="11">
        <f t="shared" si="1649"/>
        <v>0</v>
      </c>
      <c r="F1771" s="12"/>
      <c r="G1771" s="9"/>
      <c r="H1771" s="10">
        <v>3</v>
      </c>
      <c r="I1771" s="11">
        <f t="shared" si="1650"/>
        <v>3</v>
      </c>
      <c r="J1771" s="11">
        <f t="shared" si="1651"/>
        <v>3</v>
      </c>
      <c r="K1771" s="63">
        <v>46083</v>
      </c>
      <c r="M1771" s="25" t="s">
        <v>11</v>
      </c>
      <c r="N1771" s="8"/>
      <c r="O1771" s="9"/>
      <c r="P1771" s="52"/>
      <c r="Q1771" s="11">
        <f t="shared" si="1652"/>
        <v>0</v>
      </c>
      <c r="R1771" s="12"/>
      <c r="S1771" s="9"/>
      <c r="T1771" s="10"/>
      <c r="U1771" s="11">
        <f t="shared" si="1653"/>
        <v>0</v>
      </c>
      <c r="V1771" s="11">
        <f t="shared" si="1654"/>
        <v>0</v>
      </c>
    </row>
    <row r="1772" spans="1:22" x14ac:dyDescent="0.15">
      <c r="A1772" s="25" t="s">
        <v>12</v>
      </c>
      <c r="B1772" s="8"/>
      <c r="C1772" s="9"/>
      <c r="D1772" s="52"/>
      <c r="E1772" s="11">
        <f t="shared" si="1649"/>
        <v>0</v>
      </c>
      <c r="F1772" s="12"/>
      <c r="G1772" s="9">
        <v>2</v>
      </c>
      <c r="H1772" s="10">
        <v>3</v>
      </c>
      <c r="I1772" s="11">
        <f t="shared" si="1650"/>
        <v>5</v>
      </c>
      <c r="J1772" s="11">
        <f t="shared" si="1651"/>
        <v>5</v>
      </c>
      <c r="K1772" s="63">
        <v>46084</v>
      </c>
      <c r="M1772" s="25" t="s">
        <v>12</v>
      </c>
      <c r="N1772" s="8"/>
      <c r="O1772" s="9"/>
      <c r="P1772" s="52"/>
      <c r="Q1772" s="11">
        <f t="shared" si="1652"/>
        <v>0</v>
      </c>
      <c r="R1772" s="12"/>
      <c r="S1772" s="9"/>
      <c r="T1772" s="10"/>
      <c r="U1772" s="11">
        <f t="shared" si="1653"/>
        <v>0</v>
      </c>
      <c r="V1772" s="11">
        <f t="shared" si="1654"/>
        <v>0</v>
      </c>
    </row>
    <row r="1773" spans="1:22" x14ac:dyDescent="0.15">
      <c r="A1773" s="25" t="s">
        <v>13</v>
      </c>
      <c r="B1773" s="8"/>
      <c r="C1773" s="9"/>
      <c r="D1773" s="52"/>
      <c r="E1773" s="11">
        <f t="shared" si="1649"/>
        <v>0</v>
      </c>
      <c r="F1773" s="12"/>
      <c r="G1773" s="9"/>
      <c r="H1773" s="10">
        <v>4</v>
      </c>
      <c r="I1773" s="11">
        <f t="shared" si="1650"/>
        <v>4</v>
      </c>
      <c r="J1773" s="11">
        <f t="shared" si="1651"/>
        <v>4</v>
      </c>
      <c r="K1773" s="63">
        <v>46085</v>
      </c>
      <c r="M1773" s="25" t="s">
        <v>13</v>
      </c>
      <c r="N1773" s="8"/>
      <c r="O1773" s="9"/>
      <c r="P1773" s="52"/>
      <c r="Q1773" s="11">
        <f t="shared" si="1652"/>
        <v>0</v>
      </c>
      <c r="R1773" s="12"/>
      <c r="S1773" s="9"/>
      <c r="T1773" s="10"/>
      <c r="U1773" s="11">
        <f t="shared" si="1653"/>
        <v>0</v>
      </c>
      <c r="V1773" s="11">
        <f t="shared" si="1654"/>
        <v>0</v>
      </c>
    </row>
    <row r="1774" spans="1:22" x14ac:dyDescent="0.15">
      <c r="A1774" s="25" t="s">
        <v>14</v>
      </c>
      <c r="B1774" s="13"/>
      <c r="C1774" s="14"/>
      <c r="D1774" s="53">
        <v>5</v>
      </c>
      <c r="E1774" s="11">
        <f t="shared" si="1649"/>
        <v>5</v>
      </c>
      <c r="F1774" s="16"/>
      <c r="G1774" s="14"/>
      <c r="H1774" s="15">
        <v>5</v>
      </c>
      <c r="I1774" s="11">
        <f t="shared" si="1650"/>
        <v>5</v>
      </c>
      <c r="J1774" s="11">
        <f t="shared" si="1651"/>
        <v>10</v>
      </c>
      <c r="K1774" s="63">
        <v>46093</v>
      </c>
      <c r="M1774" s="25" t="s">
        <v>14</v>
      </c>
      <c r="N1774" s="13"/>
      <c r="O1774" s="14"/>
      <c r="P1774" s="53"/>
      <c r="Q1774" s="11">
        <f t="shared" si="1652"/>
        <v>0</v>
      </c>
      <c r="R1774" s="16"/>
      <c r="S1774" s="14"/>
      <c r="T1774" s="15"/>
      <c r="U1774" s="11">
        <f t="shared" si="1653"/>
        <v>0</v>
      </c>
      <c r="V1774" s="11">
        <f t="shared" si="1654"/>
        <v>0</v>
      </c>
    </row>
    <row r="1775" spans="1:22" ht="14.25" thickBot="1" x14ac:dyDescent="0.2">
      <c r="A1775" s="25" t="s">
        <v>15</v>
      </c>
      <c r="B1775" s="13"/>
      <c r="C1775" s="14"/>
      <c r="D1775" s="53"/>
      <c r="E1775" s="11">
        <f>SUM(B1775:D1775)</f>
        <v>0</v>
      </c>
      <c r="F1775" s="16">
        <v>3</v>
      </c>
      <c r="G1775" s="14">
        <v>3</v>
      </c>
      <c r="H1775" s="15"/>
      <c r="I1775" s="11">
        <f t="shared" si="1650"/>
        <v>6</v>
      </c>
      <c r="J1775" s="11">
        <f t="shared" si="1651"/>
        <v>6</v>
      </c>
      <c r="K1775" s="63">
        <v>46097</v>
      </c>
      <c r="M1775" s="25" t="s">
        <v>15</v>
      </c>
      <c r="N1775" s="13"/>
      <c r="O1775" s="14"/>
      <c r="P1775" s="53"/>
      <c r="Q1775" s="11">
        <f t="shared" si="1652"/>
        <v>0</v>
      </c>
      <c r="R1775" s="16"/>
      <c r="S1775" s="14"/>
      <c r="T1775" s="15"/>
      <c r="U1775" s="11">
        <f t="shared" si="1653"/>
        <v>0</v>
      </c>
      <c r="V1775" s="11">
        <f t="shared" si="1654"/>
        <v>0</v>
      </c>
    </row>
    <row r="1776" spans="1:22" ht="14.25" thickBot="1" x14ac:dyDescent="0.2">
      <c r="A1776" s="35" t="s">
        <v>16</v>
      </c>
      <c r="B1776" s="28">
        <f>SUM(B1767:B1775)</f>
        <v>12</v>
      </c>
      <c r="C1776" s="29">
        <f t="shared" ref="C1776:D1776" si="1655">SUM(C1767:C1775)</f>
        <v>11</v>
      </c>
      <c r="D1776" s="68">
        <f t="shared" si="1655"/>
        <v>11</v>
      </c>
      <c r="E1776" s="64">
        <f t="shared" ref="E1776:E1802" si="1656">SUM(B1776:D1776)</f>
        <v>34</v>
      </c>
      <c r="F1776" s="28">
        <f>SUM(F1767:F1775)</f>
        <v>15</v>
      </c>
      <c r="G1776" s="29">
        <f t="shared" ref="G1776:H1776" si="1657">SUM(G1767:G1775)</f>
        <v>14</v>
      </c>
      <c r="H1776" s="68">
        <f t="shared" si="1657"/>
        <v>22</v>
      </c>
      <c r="I1776" s="64">
        <f>SUM(F1776:H1776)</f>
        <v>51</v>
      </c>
      <c r="J1776" s="31">
        <f>E1776+I1776</f>
        <v>85</v>
      </c>
      <c r="M1776" s="35" t="s">
        <v>16</v>
      </c>
      <c r="N1776" s="28">
        <f>SUM(N1767:N1775)</f>
        <v>426</v>
      </c>
      <c r="O1776" s="29">
        <f t="shared" ref="O1776:P1776" si="1658">SUM(O1767:O1775)</f>
        <v>525</v>
      </c>
      <c r="P1776" s="68">
        <f t="shared" si="1658"/>
        <v>231</v>
      </c>
      <c r="Q1776" s="64">
        <f>SUM(N1776:P1776)</f>
        <v>1182</v>
      </c>
      <c r="R1776" s="28">
        <f>SUM(R1767:R1775)</f>
        <v>399</v>
      </c>
      <c r="S1776" s="29">
        <f t="shared" ref="S1776:T1776" si="1659">SUM(S1767:S1775)</f>
        <v>479</v>
      </c>
      <c r="T1776" s="68">
        <f t="shared" si="1659"/>
        <v>170</v>
      </c>
      <c r="U1776" s="64">
        <f>SUM(R1776:T1776)</f>
        <v>1048</v>
      </c>
      <c r="V1776" s="31">
        <f>Q1776+U1776</f>
        <v>2230</v>
      </c>
    </row>
    <row r="1777" spans="1:24" x14ac:dyDescent="0.15">
      <c r="A1777" s="26" t="s">
        <v>33</v>
      </c>
      <c r="B1777" s="8"/>
      <c r="C1777" s="9">
        <v>1</v>
      </c>
      <c r="D1777" s="10"/>
      <c r="E1777" s="49">
        <f t="shared" si="1656"/>
        <v>1</v>
      </c>
      <c r="F1777" s="12">
        <v>1</v>
      </c>
      <c r="G1777" s="9"/>
      <c r="H1777" s="10">
        <v>2</v>
      </c>
      <c r="I1777" s="49">
        <f t="shared" ref="I1777:I1803" si="1660">SUM(F1777:H1777)</f>
        <v>3</v>
      </c>
      <c r="J1777" s="11">
        <f t="shared" ref="J1777:J1802" si="1661">E1777+I1777</f>
        <v>4</v>
      </c>
      <c r="K1777" s="71">
        <v>46035</v>
      </c>
      <c r="M1777" s="147" t="s">
        <v>521</v>
      </c>
      <c r="N1777" s="148">
        <v>5</v>
      </c>
      <c r="O1777" s="149">
        <v>3</v>
      </c>
      <c r="P1777" s="150"/>
      <c r="Q1777" s="151">
        <f t="shared" ref="Q1777:Q1781" si="1662">SUM(N1777:P1777)</f>
        <v>8</v>
      </c>
      <c r="R1777" s="152">
        <v>3</v>
      </c>
      <c r="S1777" s="149">
        <v>3</v>
      </c>
      <c r="T1777" s="150"/>
      <c r="U1777" s="151">
        <f t="shared" ref="U1777:U1803" si="1663">SUM(R1777:T1777)</f>
        <v>6</v>
      </c>
      <c r="V1777" s="153">
        <f t="shared" ref="V1777:V1797" si="1664">Q1777+U1777</f>
        <v>14</v>
      </c>
      <c r="W1777" s="157">
        <v>46050</v>
      </c>
    </row>
    <row r="1778" spans="1:24" x14ac:dyDescent="0.15">
      <c r="A1778" s="26" t="s">
        <v>33</v>
      </c>
      <c r="B1778" s="8"/>
      <c r="C1778" s="9">
        <v>2</v>
      </c>
      <c r="D1778" s="10"/>
      <c r="E1778" s="49">
        <f t="shared" si="1656"/>
        <v>2</v>
      </c>
      <c r="F1778" s="12"/>
      <c r="G1778" s="9"/>
      <c r="H1778" s="10"/>
      <c r="I1778" s="49">
        <f t="shared" si="1660"/>
        <v>0</v>
      </c>
      <c r="J1778" s="11">
        <f t="shared" si="1661"/>
        <v>2</v>
      </c>
      <c r="K1778" s="71">
        <v>46037</v>
      </c>
      <c r="M1778" s="26" t="s">
        <v>525</v>
      </c>
      <c r="N1778" s="8"/>
      <c r="O1778" s="9"/>
      <c r="P1778" s="10"/>
      <c r="Q1778" s="49">
        <f t="shared" si="1662"/>
        <v>0</v>
      </c>
      <c r="R1778" s="12"/>
      <c r="S1778" s="9"/>
      <c r="T1778" s="10">
        <v>3</v>
      </c>
      <c r="U1778" s="49">
        <f t="shared" si="1663"/>
        <v>3</v>
      </c>
      <c r="V1778" s="11">
        <f t="shared" si="1664"/>
        <v>3</v>
      </c>
      <c r="W1778" s="140">
        <v>46083</v>
      </c>
      <c r="X1778" s="82"/>
    </row>
    <row r="1779" spans="1:24" x14ac:dyDescent="0.15">
      <c r="A1779" s="26" t="s">
        <v>33</v>
      </c>
      <c r="B1779" s="8"/>
      <c r="C1779" s="9"/>
      <c r="D1779" s="10"/>
      <c r="E1779" s="49">
        <f t="shared" si="1656"/>
        <v>0</v>
      </c>
      <c r="F1779" s="12">
        <v>2</v>
      </c>
      <c r="G1779" s="9"/>
      <c r="H1779" s="10"/>
      <c r="I1779" s="49">
        <f t="shared" si="1660"/>
        <v>2</v>
      </c>
      <c r="J1779" s="11">
        <f t="shared" si="1661"/>
        <v>2</v>
      </c>
      <c r="K1779" s="71">
        <v>46038</v>
      </c>
      <c r="M1779" s="26" t="s">
        <v>525</v>
      </c>
      <c r="N1779" s="8"/>
      <c r="O1779" s="9"/>
      <c r="P1779" s="10"/>
      <c r="Q1779" s="49">
        <f t="shared" si="1662"/>
        <v>0</v>
      </c>
      <c r="R1779" s="12"/>
      <c r="S1779" s="9">
        <v>2</v>
      </c>
      <c r="T1779" s="10">
        <v>3</v>
      </c>
      <c r="U1779" s="49">
        <f t="shared" si="1663"/>
        <v>5</v>
      </c>
      <c r="V1779" s="11">
        <f t="shared" si="1664"/>
        <v>5</v>
      </c>
      <c r="W1779" s="140">
        <v>46084</v>
      </c>
    </row>
    <row r="1780" spans="1:24" x14ac:dyDescent="0.15">
      <c r="A1780" s="26" t="s">
        <v>33</v>
      </c>
      <c r="B1780" s="8">
        <v>1</v>
      </c>
      <c r="C1780" s="9"/>
      <c r="D1780" s="10"/>
      <c r="E1780" s="49">
        <f t="shared" si="1656"/>
        <v>1</v>
      </c>
      <c r="F1780" s="12">
        <v>1</v>
      </c>
      <c r="G1780" s="9"/>
      <c r="H1780" s="10"/>
      <c r="I1780" s="49">
        <f t="shared" si="1660"/>
        <v>1</v>
      </c>
      <c r="J1780" s="11">
        <f t="shared" si="1661"/>
        <v>2</v>
      </c>
      <c r="K1780" s="71">
        <v>46039</v>
      </c>
      <c r="M1780" s="147" t="s">
        <v>525</v>
      </c>
      <c r="N1780" s="148"/>
      <c r="O1780" s="149"/>
      <c r="P1780" s="150"/>
      <c r="Q1780" s="151">
        <f t="shared" si="1662"/>
        <v>0</v>
      </c>
      <c r="R1780" s="152"/>
      <c r="S1780" s="149"/>
      <c r="T1780" s="150">
        <v>4</v>
      </c>
      <c r="U1780" s="151">
        <f t="shared" si="1663"/>
        <v>4</v>
      </c>
      <c r="V1780" s="153">
        <f t="shared" si="1664"/>
        <v>4</v>
      </c>
      <c r="W1780" s="157">
        <v>46085</v>
      </c>
    </row>
    <row r="1781" spans="1:24" x14ac:dyDescent="0.15">
      <c r="A1781" s="26" t="s">
        <v>33</v>
      </c>
      <c r="B1781" s="8">
        <v>2</v>
      </c>
      <c r="C1781" s="9"/>
      <c r="D1781" s="10"/>
      <c r="E1781" s="49">
        <f t="shared" si="1656"/>
        <v>2</v>
      </c>
      <c r="F1781" s="12"/>
      <c r="G1781" s="9"/>
      <c r="H1781" s="10"/>
      <c r="I1781" s="49">
        <f t="shared" si="1660"/>
        <v>0</v>
      </c>
      <c r="J1781" s="11">
        <f t="shared" si="1661"/>
        <v>2</v>
      </c>
      <c r="K1781" s="71">
        <v>46041</v>
      </c>
      <c r="M1781" s="147" t="s">
        <v>525</v>
      </c>
      <c r="N1781" s="148"/>
      <c r="O1781" s="149"/>
      <c r="P1781" s="150">
        <v>5</v>
      </c>
      <c r="Q1781" s="151">
        <f t="shared" si="1662"/>
        <v>5</v>
      </c>
      <c r="R1781" s="152"/>
      <c r="S1781" s="149"/>
      <c r="T1781" s="150">
        <v>5</v>
      </c>
      <c r="U1781" s="151">
        <f t="shared" si="1663"/>
        <v>5</v>
      </c>
      <c r="V1781" s="153">
        <f t="shared" si="1664"/>
        <v>10</v>
      </c>
      <c r="W1781" s="157">
        <v>46093</v>
      </c>
    </row>
    <row r="1782" spans="1:24" x14ac:dyDescent="0.15">
      <c r="A1782" s="26" t="s">
        <v>33</v>
      </c>
      <c r="B1782" s="8"/>
      <c r="C1782" s="9"/>
      <c r="D1782" s="10">
        <v>1</v>
      </c>
      <c r="E1782" s="49">
        <f t="shared" si="1656"/>
        <v>1</v>
      </c>
      <c r="F1782" s="12"/>
      <c r="G1782" s="9"/>
      <c r="H1782" s="10"/>
      <c r="I1782" s="49">
        <f t="shared" si="1660"/>
        <v>0</v>
      </c>
      <c r="J1782" s="11">
        <f t="shared" si="1661"/>
        <v>1</v>
      </c>
      <c r="K1782" s="71">
        <v>46043</v>
      </c>
      <c r="M1782" s="26" t="s">
        <v>525</v>
      </c>
      <c r="N1782" s="8"/>
      <c r="O1782" s="9"/>
      <c r="P1782" s="10"/>
      <c r="Q1782" s="49">
        <f t="shared" ref="Q1782:Q1803" si="1665">SUM(N1782:P1782)</f>
        <v>0</v>
      </c>
      <c r="R1782" s="12">
        <v>3</v>
      </c>
      <c r="S1782" s="9">
        <v>3</v>
      </c>
      <c r="T1782" s="10"/>
      <c r="U1782" s="49">
        <f t="shared" si="1663"/>
        <v>6</v>
      </c>
      <c r="V1782" s="11">
        <f t="shared" si="1664"/>
        <v>6</v>
      </c>
      <c r="W1782" s="140">
        <v>46097</v>
      </c>
    </row>
    <row r="1783" spans="1:24" x14ac:dyDescent="0.15">
      <c r="A1783" s="26" t="s">
        <v>33</v>
      </c>
      <c r="B1783" s="8">
        <v>1</v>
      </c>
      <c r="C1783" s="9">
        <v>1</v>
      </c>
      <c r="D1783" s="10"/>
      <c r="E1783" s="49">
        <f t="shared" si="1656"/>
        <v>2</v>
      </c>
      <c r="F1783" s="12"/>
      <c r="G1783" s="9">
        <v>1</v>
      </c>
      <c r="H1783" s="10"/>
      <c r="I1783" s="49">
        <f t="shared" si="1660"/>
        <v>1</v>
      </c>
      <c r="J1783" s="11">
        <f t="shared" si="1661"/>
        <v>3</v>
      </c>
      <c r="K1783" s="71">
        <v>46048</v>
      </c>
      <c r="M1783" s="147" t="s">
        <v>525</v>
      </c>
      <c r="N1783" s="148"/>
      <c r="O1783" s="149"/>
      <c r="P1783" s="150"/>
      <c r="Q1783" s="151">
        <f t="shared" si="1665"/>
        <v>0</v>
      </c>
      <c r="R1783" s="152">
        <v>3</v>
      </c>
      <c r="S1783" s="149"/>
      <c r="T1783" s="150"/>
      <c r="U1783" s="151">
        <f t="shared" si="1663"/>
        <v>3</v>
      </c>
      <c r="V1783" s="153">
        <f t="shared" si="1664"/>
        <v>3</v>
      </c>
      <c r="W1783" s="157">
        <v>46099</v>
      </c>
    </row>
    <row r="1784" spans="1:24" x14ac:dyDescent="0.15">
      <c r="A1784" s="26" t="s">
        <v>33</v>
      </c>
      <c r="B1784" s="8"/>
      <c r="C1784" s="9"/>
      <c r="D1784" s="10"/>
      <c r="E1784" s="49">
        <f t="shared" si="1656"/>
        <v>0</v>
      </c>
      <c r="F1784" s="12"/>
      <c r="G1784" s="9">
        <v>1</v>
      </c>
      <c r="H1784" s="10"/>
      <c r="I1784" s="49">
        <f t="shared" si="1660"/>
        <v>1</v>
      </c>
      <c r="J1784" s="11">
        <f t="shared" si="1661"/>
        <v>1</v>
      </c>
      <c r="K1784" s="71">
        <v>46059</v>
      </c>
      <c r="M1784" s="26" t="s">
        <v>525</v>
      </c>
      <c r="N1784" s="8">
        <v>9</v>
      </c>
      <c r="O1784" s="9">
        <v>5</v>
      </c>
      <c r="P1784" s="10">
        <v>4</v>
      </c>
      <c r="Q1784" s="49">
        <f t="shared" si="1665"/>
        <v>18</v>
      </c>
      <c r="R1784" s="12">
        <v>4</v>
      </c>
      <c r="S1784" s="9">
        <v>5</v>
      </c>
      <c r="T1784" s="10"/>
      <c r="U1784" s="49">
        <f t="shared" si="1663"/>
        <v>9</v>
      </c>
      <c r="V1784" s="11">
        <f t="shared" si="1664"/>
        <v>27</v>
      </c>
      <c r="W1784" s="140">
        <v>46102</v>
      </c>
    </row>
    <row r="1785" spans="1:24" x14ac:dyDescent="0.15">
      <c r="A1785" s="26" t="s">
        <v>33</v>
      </c>
      <c r="B1785" s="8"/>
      <c r="C1785" s="9"/>
      <c r="D1785" s="10"/>
      <c r="E1785" s="49">
        <f t="shared" si="1656"/>
        <v>0</v>
      </c>
      <c r="F1785" s="12"/>
      <c r="G1785" s="9">
        <v>1</v>
      </c>
      <c r="H1785" s="10"/>
      <c r="I1785" s="49">
        <f t="shared" si="1660"/>
        <v>1</v>
      </c>
      <c r="J1785" s="11">
        <f t="shared" si="1661"/>
        <v>1</v>
      </c>
      <c r="K1785" s="71">
        <v>46069</v>
      </c>
      <c r="M1785" s="147" t="s">
        <v>525</v>
      </c>
      <c r="N1785" s="148"/>
      <c r="O1785" s="149"/>
      <c r="P1785" s="150"/>
      <c r="Q1785" s="151">
        <f t="shared" si="1665"/>
        <v>0</v>
      </c>
      <c r="R1785" s="152"/>
      <c r="S1785" s="149"/>
      <c r="T1785" s="150">
        <v>5</v>
      </c>
      <c r="U1785" s="151">
        <f t="shared" si="1663"/>
        <v>5</v>
      </c>
      <c r="V1785" s="153">
        <f t="shared" si="1664"/>
        <v>5</v>
      </c>
      <c r="W1785" s="157">
        <v>46113</v>
      </c>
    </row>
    <row r="1786" spans="1:24" x14ac:dyDescent="0.15">
      <c r="A1786" s="26" t="s">
        <v>33</v>
      </c>
      <c r="B1786" s="8">
        <v>1</v>
      </c>
      <c r="C1786" s="9"/>
      <c r="D1786" s="10"/>
      <c r="E1786" s="49">
        <f t="shared" si="1656"/>
        <v>1</v>
      </c>
      <c r="F1786" s="12"/>
      <c r="G1786" s="9"/>
      <c r="H1786" s="10"/>
      <c r="I1786" s="49">
        <f t="shared" si="1660"/>
        <v>0</v>
      </c>
      <c r="J1786" s="11">
        <f t="shared" si="1661"/>
        <v>1</v>
      </c>
      <c r="K1786" s="71">
        <v>46070</v>
      </c>
      <c r="M1786" s="26"/>
      <c r="N1786" s="8"/>
      <c r="O1786" s="9"/>
      <c r="P1786" s="10"/>
      <c r="Q1786" s="49">
        <f t="shared" si="1665"/>
        <v>0</v>
      </c>
      <c r="R1786" s="12"/>
      <c r="S1786" s="9"/>
      <c r="T1786" s="10"/>
      <c r="U1786" s="49">
        <f t="shared" si="1663"/>
        <v>0</v>
      </c>
      <c r="V1786" s="11">
        <f t="shared" si="1664"/>
        <v>0</v>
      </c>
    </row>
    <row r="1787" spans="1:24" x14ac:dyDescent="0.15">
      <c r="A1787" s="26" t="s">
        <v>33</v>
      </c>
      <c r="B1787" s="8"/>
      <c r="C1787" s="9"/>
      <c r="D1787" s="10"/>
      <c r="E1787" s="49">
        <f t="shared" si="1656"/>
        <v>0</v>
      </c>
      <c r="F1787" s="12"/>
      <c r="G1787" s="9"/>
      <c r="H1787" s="10">
        <v>1</v>
      </c>
      <c r="I1787" s="49">
        <f t="shared" si="1660"/>
        <v>1</v>
      </c>
      <c r="J1787" s="11">
        <f t="shared" si="1661"/>
        <v>1</v>
      </c>
      <c r="K1787" s="71">
        <v>46072</v>
      </c>
      <c r="M1787" s="26"/>
      <c r="N1787" s="8"/>
      <c r="O1787" s="9"/>
      <c r="P1787" s="10"/>
      <c r="Q1787" s="49">
        <f t="shared" si="1665"/>
        <v>0</v>
      </c>
      <c r="R1787" s="12"/>
      <c r="S1787" s="9"/>
      <c r="T1787" s="10"/>
      <c r="U1787" s="49">
        <f t="shared" si="1663"/>
        <v>0</v>
      </c>
      <c r="V1787" s="11">
        <f t="shared" si="1664"/>
        <v>0</v>
      </c>
    </row>
    <row r="1788" spans="1:24" x14ac:dyDescent="0.15">
      <c r="A1788" s="26" t="s">
        <v>33</v>
      </c>
      <c r="B1788" s="8"/>
      <c r="C1788" s="9"/>
      <c r="D1788" s="10"/>
      <c r="E1788" s="49">
        <f t="shared" si="1656"/>
        <v>0</v>
      </c>
      <c r="F1788" s="12">
        <v>1</v>
      </c>
      <c r="G1788" s="9">
        <v>3</v>
      </c>
      <c r="H1788" s="10"/>
      <c r="I1788" s="49">
        <f t="shared" si="1660"/>
        <v>4</v>
      </c>
      <c r="J1788" s="11">
        <f t="shared" si="1661"/>
        <v>4</v>
      </c>
      <c r="K1788" s="71">
        <v>46073</v>
      </c>
      <c r="M1788" s="26"/>
      <c r="N1788" s="8"/>
      <c r="O1788" s="9"/>
      <c r="P1788" s="10"/>
      <c r="Q1788" s="49">
        <f t="shared" si="1665"/>
        <v>0</v>
      </c>
      <c r="R1788" s="12"/>
      <c r="S1788" s="9"/>
      <c r="T1788" s="10"/>
      <c r="U1788" s="49">
        <f t="shared" si="1663"/>
        <v>0</v>
      </c>
      <c r="V1788" s="11">
        <f t="shared" si="1664"/>
        <v>0</v>
      </c>
    </row>
    <row r="1789" spans="1:24" x14ac:dyDescent="0.15">
      <c r="A1789" s="26" t="s">
        <v>33</v>
      </c>
      <c r="B1789" s="8"/>
      <c r="C1789" s="9"/>
      <c r="D1789" s="10"/>
      <c r="E1789" s="49">
        <f t="shared" si="1656"/>
        <v>0</v>
      </c>
      <c r="F1789" s="12">
        <v>2</v>
      </c>
      <c r="G1789" s="9"/>
      <c r="H1789" s="10">
        <v>1</v>
      </c>
      <c r="I1789" s="49">
        <f t="shared" si="1660"/>
        <v>3</v>
      </c>
      <c r="J1789" s="11">
        <f t="shared" si="1661"/>
        <v>3</v>
      </c>
      <c r="K1789" s="71">
        <v>46077</v>
      </c>
      <c r="M1789" s="26"/>
      <c r="N1789" s="8"/>
      <c r="O1789" s="9"/>
      <c r="P1789" s="10"/>
      <c r="Q1789" s="49">
        <f t="shared" si="1665"/>
        <v>0</v>
      </c>
      <c r="R1789" s="12"/>
      <c r="S1789" s="9"/>
      <c r="T1789" s="10"/>
      <c r="U1789" s="49">
        <f t="shared" si="1663"/>
        <v>0</v>
      </c>
      <c r="V1789" s="11">
        <f t="shared" si="1664"/>
        <v>0</v>
      </c>
    </row>
    <row r="1790" spans="1:24" x14ac:dyDescent="0.15">
      <c r="A1790" s="26" t="s">
        <v>33</v>
      </c>
      <c r="B1790" s="8">
        <v>2</v>
      </c>
      <c r="C1790" s="9"/>
      <c r="D1790" s="10"/>
      <c r="E1790" s="49">
        <f t="shared" si="1656"/>
        <v>2</v>
      </c>
      <c r="F1790" s="12"/>
      <c r="G1790" s="9"/>
      <c r="H1790" s="10"/>
      <c r="I1790" s="49">
        <f t="shared" si="1660"/>
        <v>0</v>
      </c>
      <c r="J1790" s="11">
        <f t="shared" si="1661"/>
        <v>2</v>
      </c>
      <c r="K1790" s="71">
        <v>46078</v>
      </c>
      <c r="M1790" s="26"/>
      <c r="N1790" s="8"/>
      <c r="O1790" s="9"/>
      <c r="P1790" s="10"/>
      <c r="Q1790" s="49">
        <f t="shared" si="1665"/>
        <v>0</v>
      </c>
      <c r="R1790" s="12"/>
      <c r="S1790" s="9"/>
      <c r="T1790" s="10"/>
      <c r="U1790" s="49">
        <f t="shared" si="1663"/>
        <v>0</v>
      </c>
      <c r="V1790" s="11">
        <f t="shared" si="1664"/>
        <v>0</v>
      </c>
    </row>
    <row r="1791" spans="1:24" x14ac:dyDescent="0.15">
      <c r="A1791" s="26" t="s">
        <v>33</v>
      </c>
      <c r="B1791" s="8"/>
      <c r="C1791" s="9"/>
      <c r="D1791" s="10"/>
      <c r="E1791" s="49">
        <f t="shared" si="1656"/>
        <v>0</v>
      </c>
      <c r="F1791" s="12"/>
      <c r="G1791" s="9"/>
      <c r="H1791" s="10">
        <v>1</v>
      </c>
      <c r="I1791" s="49">
        <f t="shared" si="1660"/>
        <v>1</v>
      </c>
      <c r="J1791" s="11">
        <f t="shared" si="1661"/>
        <v>1</v>
      </c>
      <c r="K1791" s="71">
        <v>46079</v>
      </c>
      <c r="M1791" s="26"/>
      <c r="N1791" s="8"/>
      <c r="O1791" s="9"/>
      <c r="P1791" s="10"/>
      <c r="Q1791" s="49">
        <f t="shared" si="1665"/>
        <v>0</v>
      </c>
      <c r="R1791" s="12"/>
      <c r="S1791" s="9"/>
      <c r="T1791" s="10"/>
      <c r="U1791" s="49">
        <f t="shared" si="1663"/>
        <v>0</v>
      </c>
      <c r="V1791" s="11">
        <f t="shared" si="1664"/>
        <v>0</v>
      </c>
    </row>
    <row r="1792" spans="1:24" x14ac:dyDescent="0.15">
      <c r="A1792" s="26" t="s">
        <v>33</v>
      </c>
      <c r="B1792" s="8"/>
      <c r="C1792" s="9"/>
      <c r="D1792" s="10"/>
      <c r="E1792" s="49">
        <f t="shared" si="1656"/>
        <v>0</v>
      </c>
      <c r="F1792" s="12">
        <v>1</v>
      </c>
      <c r="G1792" s="9"/>
      <c r="H1792" s="10">
        <v>3</v>
      </c>
      <c r="I1792" s="49">
        <f t="shared" si="1660"/>
        <v>4</v>
      </c>
      <c r="J1792" s="11">
        <f t="shared" si="1661"/>
        <v>4</v>
      </c>
      <c r="K1792" s="71">
        <v>46083</v>
      </c>
      <c r="M1792" s="26"/>
      <c r="N1792" s="8"/>
      <c r="O1792" s="9"/>
      <c r="P1792" s="10"/>
      <c r="Q1792" s="49">
        <f t="shared" si="1665"/>
        <v>0</v>
      </c>
      <c r="R1792" s="12"/>
      <c r="S1792" s="9"/>
      <c r="T1792" s="10"/>
      <c r="U1792" s="49">
        <f t="shared" si="1663"/>
        <v>0</v>
      </c>
      <c r="V1792" s="11">
        <f t="shared" si="1664"/>
        <v>0</v>
      </c>
    </row>
    <row r="1793" spans="1:23" x14ac:dyDescent="0.15">
      <c r="A1793" s="26" t="s">
        <v>33</v>
      </c>
      <c r="B1793" s="8">
        <v>1</v>
      </c>
      <c r="C1793" s="9"/>
      <c r="D1793" s="10"/>
      <c r="E1793" s="49">
        <f t="shared" si="1656"/>
        <v>1</v>
      </c>
      <c r="F1793" s="12"/>
      <c r="G1793" s="9"/>
      <c r="H1793" s="10">
        <v>3</v>
      </c>
      <c r="I1793" s="49">
        <f t="shared" si="1660"/>
        <v>3</v>
      </c>
      <c r="J1793" s="11">
        <f t="shared" si="1661"/>
        <v>4</v>
      </c>
      <c r="K1793" s="71">
        <v>46084</v>
      </c>
      <c r="M1793" s="26"/>
      <c r="N1793" s="8"/>
      <c r="O1793" s="9"/>
      <c r="P1793" s="10"/>
      <c r="Q1793" s="49">
        <f t="shared" si="1665"/>
        <v>0</v>
      </c>
      <c r="R1793" s="12"/>
      <c r="S1793" s="9"/>
      <c r="T1793" s="10"/>
      <c r="U1793" s="49">
        <f t="shared" si="1663"/>
        <v>0</v>
      </c>
      <c r="V1793" s="11">
        <f t="shared" si="1664"/>
        <v>0</v>
      </c>
    </row>
    <row r="1794" spans="1:23" x14ac:dyDescent="0.15">
      <c r="A1794" s="26" t="s">
        <v>33</v>
      </c>
      <c r="B1794" s="8"/>
      <c r="C1794" s="9"/>
      <c r="D1794" s="10"/>
      <c r="E1794" s="49">
        <f t="shared" si="1656"/>
        <v>0</v>
      </c>
      <c r="F1794" s="12"/>
      <c r="G1794" s="9"/>
      <c r="H1794" s="10">
        <v>2</v>
      </c>
      <c r="I1794" s="49">
        <f t="shared" si="1660"/>
        <v>2</v>
      </c>
      <c r="J1794" s="11">
        <f t="shared" si="1661"/>
        <v>2</v>
      </c>
      <c r="K1794" s="71">
        <v>46087</v>
      </c>
      <c r="M1794" s="26"/>
      <c r="N1794" s="8"/>
      <c r="O1794" s="9"/>
      <c r="P1794" s="10"/>
      <c r="Q1794" s="49">
        <f t="shared" si="1665"/>
        <v>0</v>
      </c>
      <c r="R1794" s="12"/>
      <c r="S1794" s="9"/>
      <c r="T1794" s="10"/>
      <c r="U1794" s="49">
        <f t="shared" si="1663"/>
        <v>0</v>
      </c>
      <c r="V1794" s="11">
        <f t="shared" si="1664"/>
        <v>0</v>
      </c>
    </row>
    <row r="1795" spans="1:23" x14ac:dyDescent="0.15">
      <c r="A1795" s="26" t="s">
        <v>33</v>
      </c>
      <c r="B1795" s="8"/>
      <c r="C1795" s="9"/>
      <c r="D1795" s="10"/>
      <c r="E1795" s="49">
        <f t="shared" si="1656"/>
        <v>0</v>
      </c>
      <c r="F1795" s="12"/>
      <c r="G1795" s="9"/>
      <c r="H1795" s="10">
        <v>1</v>
      </c>
      <c r="I1795" s="49">
        <f t="shared" si="1660"/>
        <v>1</v>
      </c>
      <c r="J1795" s="11">
        <f t="shared" si="1661"/>
        <v>1</v>
      </c>
      <c r="K1795" s="71">
        <v>46090</v>
      </c>
      <c r="M1795" s="26"/>
      <c r="N1795" s="8"/>
      <c r="O1795" s="9"/>
      <c r="P1795" s="10"/>
      <c r="Q1795" s="49">
        <f t="shared" si="1665"/>
        <v>0</v>
      </c>
      <c r="R1795" s="12"/>
      <c r="S1795" s="9"/>
      <c r="T1795" s="10"/>
      <c r="U1795" s="49">
        <f t="shared" si="1663"/>
        <v>0</v>
      </c>
      <c r="V1795" s="11">
        <f t="shared" si="1664"/>
        <v>0</v>
      </c>
    </row>
    <row r="1796" spans="1:23" x14ac:dyDescent="0.15">
      <c r="A1796" s="26" t="s">
        <v>33</v>
      </c>
      <c r="B1796" s="8"/>
      <c r="C1796" s="9"/>
      <c r="D1796" s="10"/>
      <c r="E1796" s="49">
        <f t="shared" si="1656"/>
        <v>0</v>
      </c>
      <c r="F1796" s="12"/>
      <c r="G1796" s="9">
        <v>1</v>
      </c>
      <c r="H1796" s="10"/>
      <c r="I1796" s="49">
        <f t="shared" si="1660"/>
        <v>1</v>
      </c>
      <c r="J1796" s="11">
        <f t="shared" si="1661"/>
        <v>1</v>
      </c>
      <c r="K1796" s="71">
        <v>46091</v>
      </c>
      <c r="M1796" s="26"/>
      <c r="N1796" s="8"/>
      <c r="O1796" s="9"/>
      <c r="P1796" s="10"/>
      <c r="Q1796" s="49">
        <f t="shared" si="1665"/>
        <v>0</v>
      </c>
      <c r="R1796" s="12"/>
      <c r="S1796" s="9"/>
      <c r="T1796" s="10"/>
      <c r="U1796" s="49">
        <f t="shared" si="1663"/>
        <v>0</v>
      </c>
      <c r="V1796" s="11">
        <f t="shared" si="1664"/>
        <v>0</v>
      </c>
    </row>
    <row r="1797" spans="1:23" x14ac:dyDescent="0.15">
      <c r="A1797" s="26" t="s">
        <v>33</v>
      </c>
      <c r="B1797" s="8"/>
      <c r="C1797" s="9"/>
      <c r="D1797" s="10">
        <v>2</v>
      </c>
      <c r="E1797" s="49">
        <f t="shared" si="1656"/>
        <v>2</v>
      </c>
      <c r="F1797" s="12">
        <v>1</v>
      </c>
      <c r="G1797" s="9"/>
      <c r="H1797" s="10">
        <v>2</v>
      </c>
      <c r="I1797" s="49">
        <f t="shared" si="1660"/>
        <v>3</v>
      </c>
      <c r="J1797" s="11">
        <f t="shared" si="1661"/>
        <v>5</v>
      </c>
      <c r="K1797" s="71">
        <v>46092</v>
      </c>
      <c r="M1797" s="26"/>
      <c r="N1797" s="8"/>
      <c r="O1797" s="9"/>
      <c r="P1797" s="10"/>
      <c r="Q1797" s="49">
        <f t="shared" si="1665"/>
        <v>0</v>
      </c>
      <c r="R1797" s="12"/>
      <c r="S1797" s="9"/>
      <c r="T1797" s="10"/>
      <c r="U1797" s="49">
        <f t="shared" si="1663"/>
        <v>0</v>
      </c>
      <c r="V1797" s="11">
        <f t="shared" si="1664"/>
        <v>0</v>
      </c>
    </row>
    <row r="1798" spans="1:23" x14ac:dyDescent="0.15">
      <c r="A1798" s="26" t="s">
        <v>33</v>
      </c>
      <c r="B1798" s="8"/>
      <c r="C1798" s="9">
        <v>1</v>
      </c>
      <c r="D1798" s="10"/>
      <c r="E1798" s="49">
        <f t="shared" si="1656"/>
        <v>1</v>
      </c>
      <c r="F1798" s="12"/>
      <c r="G1798" s="9">
        <v>1</v>
      </c>
      <c r="H1798" s="10"/>
      <c r="I1798" s="49">
        <f t="shared" si="1660"/>
        <v>1</v>
      </c>
      <c r="J1798" s="11">
        <f t="shared" si="1661"/>
        <v>2</v>
      </c>
      <c r="K1798" s="71">
        <v>46093</v>
      </c>
      <c r="M1798" s="26"/>
      <c r="N1798" s="8"/>
      <c r="O1798" s="9"/>
      <c r="P1798" s="10"/>
      <c r="Q1798" s="49">
        <f t="shared" ref="Q1798:Q1802" si="1666">SUM(N1798:P1798)</f>
        <v>0</v>
      </c>
      <c r="R1798" s="12"/>
      <c r="S1798" s="9"/>
      <c r="T1798" s="10"/>
      <c r="U1798" s="49">
        <f t="shared" ref="U1798:U1802" si="1667">SUM(R1798:T1798)</f>
        <v>0</v>
      </c>
      <c r="V1798" s="11">
        <f t="shared" ref="V1798:V1802" si="1668">Q1798+U1798</f>
        <v>0</v>
      </c>
    </row>
    <row r="1799" spans="1:23" x14ac:dyDescent="0.15">
      <c r="A1799" s="26" t="s">
        <v>33</v>
      </c>
      <c r="B1799" s="8">
        <v>1</v>
      </c>
      <c r="C1799" s="9"/>
      <c r="D1799" s="10">
        <v>1</v>
      </c>
      <c r="E1799" s="49">
        <f t="shared" si="1656"/>
        <v>2</v>
      </c>
      <c r="F1799" s="12">
        <v>3</v>
      </c>
      <c r="G1799" s="9"/>
      <c r="H1799" s="10">
        <v>2</v>
      </c>
      <c r="I1799" s="49">
        <f t="shared" si="1660"/>
        <v>5</v>
      </c>
      <c r="J1799" s="11">
        <f t="shared" si="1661"/>
        <v>7</v>
      </c>
      <c r="K1799" s="71">
        <v>46097</v>
      </c>
      <c r="M1799" s="26"/>
      <c r="N1799" s="8"/>
      <c r="O1799" s="9"/>
      <c r="P1799" s="10"/>
      <c r="Q1799" s="49">
        <f t="shared" si="1666"/>
        <v>0</v>
      </c>
      <c r="R1799" s="12"/>
      <c r="S1799" s="9"/>
      <c r="T1799" s="10"/>
      <c r="U1799" s="49">
        <f t="shared" si="1667"/>
        <v>0</v>
      </c>
      <c r="V1799" s="11">
        <f t="shared" si="1668"/>
        <v>0</v>
      </c>
    </row>
    <row r="1800" spans="1:23" x14ac:dyDescent="0.15">
      <c r="A1800" s="147" t="s">
        <v>189</v>
      </c>
      <c r="B1800" s="148"/>
      <c r="C1800" s="149"/>
      <c r="D1800" s="150"/>
      <c r="E1800" s="151">
        <f t="shared" si="1656"/>
        <v>0</v>
      </c>
      <c r="F1800" s="152">
        <v>-3</v>
      </c>
      <c r="G1800" s="149"/>
      <c r="H1800" s="150"/>
      <c r="I1800" s="151">
        <f t="shared" si="1660"/>
        <v>-3</v>
      </c>
      <c r="J1800" s="153">
        <f t="shared" si="1661"/>
        <v>-3</v>
      </c>
      <c r="K1800" s="154">
        <v>46099</v>
      </c>
      <c r="M1800" s="26"/>
      <c r="N1800" s="8"/>
      <c r="O1800" s="9"/>
      <c r="P1800" s="10"/>
      <c r="Q1800" s="49">
        <f t="shared" si="1666"/>
        <v>0</v>
      </c>
      <c r="R1800" s="12"/>
      <c r="S1800" s="9"/>
      <c r="T1800" s="10"/>
      <c r="U1800" s="49">
        <f t="shared" si="1667"/>
        <v>0</v>
      </c>
      <c r="V1800" s="11">
        <f t="shared" si="1668"/>
        <v>0</v>
      </c>
    </row>
    <row r="1801" spans="1:23" x14ac:dyDescent="0.15">
      <c r="A1801" s="26" t="s">
        <v>33</v>
      </c>
      <c r="B1801" s="8">
        <v>1</v>
      </c>
      <c r="C1801" s="9"/>
      <c r="D1801" s="10"/>
      <c r="E1801" s="49">
        <f t="shared" si="1656"/>
        <v>1</v>
      </c>
      <c r="F1801" s="12"/>
      <c r="G1801" s="9"/>
      <c r="H1801" s="10"/>
      <c r="I1801" s="49">
        <f t="shared" si="1660"/>
        <v>0</v>
      </c>
      <c r="J1801" s="11">
        <f t="shared" si="1661"/>
        <v>1</v>
      </c>
      <c r="K1801" s="71">
        <v>46099</v>
      </c>
      <c r="M1801" s="26"/>
      <c r="N1801" s="8"/>
      <c r="O1801" s="9"/>
      <c r="P1801" s="10"/>
      <c r="Q1801" s="49">
        <f t="shared" si="1666"/>
        <v>0</v>
      </c>
      <c r="R1801" s="12"/>
      <c r="S1801" s="9"/>
      <c r="T1801" s="10"/>
      <c r="U1801" s="49">
        <f t="shared" si="1667"/>
        <v>0</v>
      </c>
      <c r="V1801" s="11">
        <f t="shared" si="1668"/>
        <v>0</v>
      </c>
    </row>
    <row r="1802" spans="1:23" ht="14.25" thickBot="1" x14ac:dyDescent="0.2">
      <c r="A1802" s="26" t="s">
        <v>526</v>
      </c>
      <c r="B1802" s="8">
        <v>2</v>
      </c>
      <c r="C1802" s="9"/>
      <c r="D1802" s="10">
        <v>2</v>
      </c>
      <c r="E1802" s="49">
        <f t="shared" si="1656"/>
        <v>4</v>
      </c>
      <c r="F1802" s="12"/>
      <c r="G1802" s="9"/>
      <c r="H1802" s="10"/>
      <c r="I1802" s="49">
        <f t="shared" si="1660"/>
        <v>0</v>
      </c>
      <c r="J1802" s="11">
        <f t="shared" si="1661"/>
        <v>4</v>
      </c>
      <c r="K1802" s="71">
        <v>46099</v>
      </c>
      <c r="M1802" s="26"/>
      <c r="N1802" s="8"/>
      <c r="O1802" s="9"/>
      <c r="P1802" s="10"/>
      <c r="Q1802" s="49">
        <f t="shared" si="1666"/>
        <v>0</v>
      </c>
      <c r="R1802" s="12"/>
      <c r="S1802" s="9"/>
      <c r="T1802" s="10"/>
      <c r="U1802" s="49">
        <f t="shared" si="1667"/>
        <v>0</v>
      </c>
      <c r="V1802" s="11">
        <f t="shared" si="1668"/>
        <v>0</v>
      </c>
    </row>
    <row r="1803" spans="1:23" ht="14.25" thickBot="1" x14ac:dyDescent="0.2">
      <c r="A1803" s="41" t="s">
        <v>19</v>
      </c>
      <c r="B1803" s="46">
        <f>SUM(B1777:B1802)</f>
        <v>12</v>
      </c>
      <c r="C1803" s="47">
        <f t="shared" ref="C1803:D1803" si="1669">SUM(C1777:C1802)</f>
        <v>5</v>
      </c>
      <c r="D1803" s="59">
        <f t="shared" si="1669"/>
        <v>6</v>
      </c>
      <c r="E1803" s="45">
        <f>SUM(B1803:D1803)</f>
        <v>23</v>
      </c>
      <c r="F1803" s="46">
        <f>SUM(F1777:F1802)</f>
        <v>9</v>
      </c>
      <c r="G1803" s="47">
        <f t="shared" ref="G1803:H1803" si="1670">SUM(G1777:G1802)</f>
        <v>8</v>
      </c>
      <c r="H1803" s="59">
        <f t="shared" si="1670"/>
        <v>18</v>
      </c>
      <c r="I1803" s="45">
        <f t="shared" si="1660"/>
        <v>35</v>
      </c>
      <c r="J1803" s="45">
        <f>E1803+I1803</f>
        <v>58</v>
      </c>
      <c r="M1803" s="41" t="s">
        <v>19</v>
      </c>
      <c r="N1803" s="46">
        <f>SUM(N1777:N1802)</f>
        <v>14</v>
      </c>
      <c r="O1803" s="47">
        <f t="shared" ref="O1803:P1803" si="1671">SUM(O1777:O1802)</f>
        <v>8</v>
      </c>
      <c r="P1803" s="59">
        <f t="shared" si="1671"/>
        <v>9</v>
      </c>
      <c r="Q1803" s="45">
        <f t="shared" si="1665"/>
        <v>31</v>
      </c>
      <c r="R1803" s="46">
        <f>SUM(R1777:R1802)</f>
        <v>13</v>
      </c>
      <c r="S1803" s="47">
        <f t="shared" ref="S1803:T1803" si="1672">SUM(S1777:S1802)</f>
        <v>13</v>
      </c>
      <c r="T1803" s="59">
        <f t="shared" si="1672"/>
        <v>20</v>
      </c>
      <c r="U1803" s="45">
        <f t="shared" si="1663"/>
        <v>46</v>
      </c>
      <c r="V1803" s="45">
        <f>Q1803+U1803</f>
        <v>77</v>
      </c>
    </row>
    <row r="1804" spans="1:23" ht="14.25" thickBot="1" x14ac:dyDescent="0.2">
      <c r="A1804" s="22" t="s">
        <v>17</v>
      </c>
      <c r="B1804" s="50">
        <f>B1776-B1803</f>
        <v>0</v>
      </c>
      <c r="C1804" s="57">
        <f t="shared" ref="C1804:D1804" si="1673">C1776-C1803</f>
        <v>6</v>
      </c>
      <c r="D1804" s="58">
        <f t="shared" si="1673"/>
        <v>5</v>
      </c>
      <c r="E1804" s="56">
        <f>SUM(B1804:D1804)</f>
        <v>11</v>
      </c>
      <c r="F1804" s="50">
        <f>F1776-F1803</f>
        <v>6</v>
      </c>
      <c r="G1804" s="57">
        <f t="shared" ref="G1804:H1804" si="1674">G1776-G1803</f>
        <v>6</v>
      </c>
      <c r="H1804" s="58">
        <f t="shared" si="1674"/>
        <v>4</v>
      </c>
      <c r="I1804" s="56">
        <f>SUM(F1804:H1804)</f>
        <v>16</v>
      </c>
      <c r="J1804" s="31">
        <f>E1804+I1804</f>
        <v>27</v>
      </c>
      <c r="M1804" s="22" t="s">
        <v>17</v>
      </c>
      <c r="N1804" s="50">
        <f>N1776-N1803</f>
        <v>412</v>
      </c>
      <c r="O1804" s="57">
        <f t="shared" ref="O1804:P1804" si="1675">O1776-O1803</f>
        <v>517</v>
      </c>
      <c r="P1804" s="58">
        <f t="shared" si="1675"/>
        <v>222</v>
      </c>
      <c r="Q1804" s="56">
        <f>SUM(N1804:P1804)</f>
        <v>1151</v>
      </c>
      <c r="R1804" s="50">
        <f>R1776-R1803</f>
        <v>386</v>
      </c>
      <c r="S1804" s="57">
        <f t="shared" ref="S1804:T1804" si="1676">S1776-S1803</f>
        <v>466</v>
      </c>
      <c r="T1804" s="58">
        <f t="shared" si="1676"/>
        <v>150</v>
      </c>
      <c r="U1804" s="56">
        <f>SUM(R1804:T1804)</f>
        <v>1002</v>
      </c>
      <c r="V1804" s="31">
        <f>Q1804+U1804</f>
        <v>2153</v>
      </c>
      <c r="W1804" s="158" t="s">
        <v>524</v>
      </c>
    </row>
    <row r="1807" spans="1:23" ht="19.5" thickBot="1" x14ac:dyDescent="0.25">
      <c r="A1807" s="3" t="s">
        <v>21</v>
      </c>
      <c r="B1807" s="1"/>
      <c r="C1807" s="1"/>
      <c r="D1807" s="1"/>
      <c r="E1807" s="1"/>
      <c r="F1807" s="1"/>
      <c r="G1807" s="1"/>
      <c r="H1807" s="1" t="s">
        <v>498</v>
      </c>
      <c r="I1807" s="1"/>
      <c r="J1807" s="1"/>
      <c r="M1807" s="3" t="s">
        <v>22</v>
      </c>
      <c r="N1807" s="1"/>
      <c r="O1807" s="1"/>
      <c r="P1807" s="1"/>
      <c r="Q1807" s="1"/>
      <c r="R1807" s="1"/>
      <c r="S1807" s="1" t="s">
        <v>498</v>
      </c>
      <c r="T1807" s="1"/>
      <c r="U1807" s="1"/>
      <c r="V1807" s="1">
        <v>580</v>
      </c>
    </row>
    <row r="1808" spans="1:23" ht="14.25" thickBot="1" x14ac:dyDescent="0.2">
      <c r="A1808" s="7" t="s">
        <v>0</v>
      </c>
      <c r="B1808" s="165" t="s">
        <v>24</v>
      </c>
      <c r="C1808" s="166"/>
      <c r="D1808" s="166"/>
      <c r="E1808" s="170"/>
      <c r="F1808" s="165" t="s">
        <v>18</v>
      </c>
      <c r="G1808" s="166"/>
      <c r="H1808" s="166"/>
      <c r="I1808" s="167"/>
      <c r="J1808" s="168" t="s">
        <v>1</v>
      </c>
      <c r="M1808" s="7" t="s">
        <v>0</v>
      </c>
      <c r="N1808" s="165" t="s">
        <v>24</v>
      </c>
      <c r="O1808" s="166"/>
      <c r="P1808" s="166"/>
      <c r="Q1808" s="170"/>
      <c r="R1808" s="165" t="s">
        <v>18</v>
      </c>
      <c r="S1808" s="166"/>
      <c r="T1808" s="166"/>
      <c r="U1808" s="167"/>
      <c r="V1808" s="168" t="s">
        <v>1</v>
      </c>
    </row>
    <row r="1809" spans="1:23" ht="14.25" thickBot="1" x14ac:dyDescent="0.2">
      <c r="A1809" s="7" t="s">
        <v>2</v>
      </c>
      <c r="B1809" s="4" t="s">
        <v>3</v>
      </c>
      <c r="C1809" s="5" t="s">
        <v>4</v>
      </c>
      <c r="D1809" s="6" t="s">
        <v>5</v>
      </c>
      <c r="E1809" s="7" t="s">
        <v>6</v>
      </c>
      <c r="F1809" s="4" t="s">
        <v>3</v>
      </c>
      <c r="G1809" s="5" t="s">
        <v>4</v>
      </c>
      <c r="H1809" s="6" t="s">
        <v>5</v>
      </c>
      <c r="I1809" s="7" t="s">
        <v>6</v>
      </c>
      <c r="J1809" s="169"/>
      <c r="M1809" s="7" t="s">
        <v>2</v>
      </c>
      <c r="N1809" s="4" t="s">
        <v>3</v>
      </c>
      <c r="O1809" s="5" t="s">
        <v>4</v>
      </c>
      <c r="P1809" s="6" t="s">
        <v>5</v>
      </c>
      <c r="Q1809" s="7" t="s">
        <v>6</v>
      </c>
      <c r="R1809" s="4" t="s">
        <v>3</v>
      </c>
      <c r="S1809" s="5" t="s">
        <v>4</v>
      </c>
      <c r="T1809" s="6" t="s">
        <v>5</v>
      </c>
      <c r="U1809" s="7" t="s">
        <v>6</v>
      </c>
      <c r="V1809" s="169"/>
    </row>
    <row r="1810" spans="1:23" ht="14.25" thickBot="1" x14ac:dyDescent="0.2">
      <c r="A1810" s="27" t="s">
        <v>20</v>
      </c>
      <c r="B1810" s="28">
        <f>B1804</f>
        <v>0</v>
      </c>
      <c r="C1810" s="29">
        <f>C1804</f>
        <v>6</v>
      </c>
      <c r="D1810" s="30">
        <f>D1804</f>
        <v>5</v>
      </c>
      <c r="E1810" s="31">
        <f t="shared" ref="E1810:E1817" si="1677">SUM(B1810:D1810)</f>
        <v>11</v>
      </c>
      <c r="F1810" s="28">
        <f>F1804</f>
        <v>6</v>
      </c>
      <c r="G1810" s="29">
        <f>G1804</f>
        <v>6</v>
      </c>
      <c r="H1810" s="30">
        <f>H1804</f>
        <v>4</v>
      </c>
      <c r="I1810" s="31">
        <f>SUM(F1810:H1810)</f>
        <v>16</v>
      </c>
      <c r="J1810" s="31">
        <f>E1810+I1810</f>
        <v>27</v>
      </c>
      <c r="M1810" s="27" t="s">
        <v>20</v>
      </c>
      <c r="N1810" s="28">
        <f>N1804</f>
        <v>412</v>
      </c>
      <c r="O1810" s="29">
        <f>O1804</f>
        <v>517</v>
      </c>
      <c r="P1810" s="30">
        <f>P1804</f>
        <v>222</v>
      </c>
      <c r="Q1810" s="31">
        <f>SUM(N1810:P1810)</f>
        <v>1151</v>
      </c>
      <c r="R1810" s="28">
        <f>R1804</f>
        <v>386</v>
      </c>
      <c r="S1810" s="29">
        <f>S1804</f>
        <v>466</v>
      </c>
      <c r="T1810" s="30">
        <f>T1804</f>
        <v>150</v>
      </c>
      <c r="U1810" s="31">
        <f>SUM(R1810:T1810)</f>
        <v>1002</v>
      </c>
      <c r="V1810" s="31">
        <f>Q1810+U1810</f>
        <v>2153</v>
      </c>
    </row>
    <row r="1811" spans="1:23" x14ac:dyDescent="0.15">
      <c r="A1811" s="25" t="s">
        <v>8</v>
      </c>
      <c r="B1811" s="8">
        <v>9</v>
      </c>
      <c r="C1811" s="9">
        <v>5</v>
      </c>
      <c r="D1811" s="52">
        <v>4</v>
      </c>
      <c r="E1811" s="11">
        <f t="shared" si="1677"/>
        <v>18</v>
      </c>
      <c r="F1811" s="12">
        <v>4</v>
      </c>
      <c r="G1811" s="9">
        <v>5</v>
      </c>
      <c r="H1811" s="10"/>
      <c r="I1811" s="11">
        <f t="shared" ref="I1811:I1818" si="1678">SUM(F1811:H1811)</f>
        <v>9</v>
      </c>
      <c r="J1811" s="11">
        <f t="shared" ref="J1811:J1818" si="1679">E1811+I1811</f>
        <v>27</v>
      </c>
      <c r="K1811" s="63">
        <v>46102</v>
      </c>
      <c r="M1811" s="25" t="s">
        <v>8</v>
      </c>
      <c r="N1811" s="17"/>
      <c r="O1811" s="18"/>
      <c r="P1811" s="51"/>
      <c r="Q1811" s="49">
        <f t="shared" ref="Q1811:Q1818" si="1680">SUM(N1811:P1811)</f>
        <v>0</v>
      </c>
      <c r="R1811" s="20"/>
      <c r="S1811" s="18"/>
      <c r="T1811" s="19"/>
      <c r="U1811" s="49">
        <f t="shared" ref="U1811:U1818" si="1681">SUM(R1811:T1811)</f>
        <v>0</v>
      </c>
      <c r="V1811" s="49">
        <f t="shared" ref="V1811:V1818" si="1682">Q1811+U1811</f>
        <v>0</v>
      </c>
    </row>
    <row r="1812" spans="1:23" x14ac:dyDescent="0.15">
      <c r="A1812" s="155" t="s">
        <v>9</v>
      </c>
      <c r="B1812" s="148"/>
      <c r="C1812" s="149"/>
      <c r="D1812" s="156"/>
      <c r="E1812" s="153">
        <f t="shared" si="1677"/>
        <v>0</v>
      </c>
      <c r="F1812" s="152"/>
      <c r="G1812" s="149"/>
      <c r="H1812" s="150">
        <v>5</v>
      </c>
      <c r="I1812" s="153">
        <f t="shared" si="1678"/>
        <v>5</v>
      </c>
      <c r="J1812" s="153">
        <f t="shared" si="1679"/>
        <v>5</v>
      </c>
      <c r="K1812" s="154">
        <v>46113</v>
      </c>
      <c r="M1812" s="25" t="s">
        <v>9</v>
      </c>
      <c r="N1812" s="8"/>
      <c r="O1812" s="9"/>
      <c r="P1812" s="52"/>
      <c r="Q1812" s="11">
        <f t="shared" si="1680"/>
        <v>0</v>
      </c>
      <c r="R1812" s="12"/>
      <c r="S1812" s="9"/>
      <c r="T1812" s="10"/>
      <c r="U1812" s="11">
        <f t="shared" si="1681"/>
        <v>0</v>
      </c>
      <c r="V1812" s="11">
        <f t="shared" si="1682"/>
        <v>0</v>
      </c>
    </row>
    <row r="1813" spans="1:23" x14ac:dyDescent="0.15">
      <c r="A1813" s="25" t="s">
        <v>10</v>
      </c>
      <c r="B1813" s="8"/>
      <c r="C1813" s="9"/>
      <c r="D1813" s="52"/>
      <c r="E1813" s="11">
        <f t="shared" si="1677"/>
        <v>0</v>
      </c>
      <c r="F1813" s="12">
        <v>3</v>
      </c>
      <c r="G1813" s="9"/>
      <c r="H1813" s="10"/>
      <c r="I1813" s="11">
        <f t="shared" si="1678"/>
        <v>3</v>
      </c>
      <c r="J1813" s="11">
        <f t="shared" si="1679"/>
        <v>3</v>
      </c>
      <c r="K1813" s="63">
        <v>46120</v>
      </c>
      <c r="L1813" s="159"/>
      <c r="M1813" s="25" t="s">
        <v>10</v>
      </c>
      <c r="N1813" s="8"/>
      <c r="O1813" s="9"/>
      <c r="P1813" s="52"/>
      <c r="Q1813" s="11">
        <f t="shared" si="1680"/>
        <v>0</v>
      </c>
      <c r="R1813" s="12"/>
      <c r="S1813" s="9"/>
      <c r="T1813" s="10"/>
      <c r="U1813" s="11">
        <f t="shared" si="1681"/>
        <v>0</v>
      </c>
      <c r="V1813" s="11">
        <f t="shared" si="1682"/>
        <v>0</v>
      </c>
    </row>
    <row r="1814" spans="1:23" x14ac:dyDescent="0.15">
      <c r="A1814" s="25" t="s">
        <v>11</v>
      </c>
      <c r="B1814" s="8">
        <v>3</v>
      </c>
      <c r="C1814" s="9"/>
      <c r="D1814" s="52"/>
      <c r="E1814" s="11">
        <f t="shared" si="1677"/>
        <v>3</v>
      </c>
      <c r="F1814" s="12"/>
      <c r="G1814" s="9"/>
      <c r="H1814" s="10"/>
      <c r="I1814" s="11">
        <f t="shared" si="1678"/>
        <v>0</v>
      </c>
      <c r="J1814" s="11">
        <f t="shared" si="1679"/>
        <v>3</v>
      </c>
      <c r="K1814" s="63">
        <v>46121</v>
      </c>
      <c r="M1814" s="25" t="s">
        <v>11</v>
      </c>
      <c r="N1814" s="8"/>
      <c r="O1814" s="9"/>
      <c r="P1814" s="52"/>
      <c r="Q1814" s="11">
        <f t="shared" si="1680"/>
        <v>0</v>
      </c>
      <c r="R1814" s="12"/>
      <c r="S1814" s="9"/>
      <c r="T1814" s="10"/>
      <c r="U1814" s="11">
        <f t="shared" si="1681"/>
        <v>0</v>
      </c>
      <c r="V1814" s="11">
        <f t="shared" si="1682"/>
        <v>0</v>
      </c>
    </row>
    <row r="1815" spans="1:23" x14ac:dyDescent="0.15">
      <c r="A1815" s="25" t="s">
        <v>12</v>
      </c>
      <c r="B1815" s="8">
        <v>7</v>
      </c>
      <c r="C1815" s="9">
        <v>5</v>
      </c>
      <c r="D1815" s="52"/>
      <c r="E1815" s="11">
        <f t="shared" si="1677"/>
        <v>12</v>
      </c>
      <c r="F1815" s="12">
        <v>8</v>
      </c>
      <c r="G1815" s="9"/>
      <c r="H1815" s="10">
        <v>5</v>
      </c>
      <c r="I1815" s="11">
        <f t="shared" si="1678"/>
        <v>13</v>
      </c>
      <c r="J1815" s="11">
        <f t="shared" si="1679"/>
        <v>25</v>
      </c>
      <c r="K1815" s="63">
        <v>46122</v>
      </c>
      <c r="M1815" s="25" t="s">
        <v>12</v>
      </c>
      <c r="N1815" s="8"/>
      <c r="O1815" s="9"/>
      <c r="P1815" s="52"/>
      <c r="Q1815" s="11">
        <f t="shared" si="1680"/>
        <v>0</v>
      </c>
      <c r="R1815" s="12"/>
      <c r="S1815" s="9"/>
      <c r="T1815" s="10"/>
      <c r="U1815" s="11">
        <f t="shared" si="1681"/>
        <v>0</v>
      </c>
      <c r="V1815" s="11">
        <f t="shared" si="1682"/>
        <v>0</v>
      </c>
    </row>
    <row r="1816" spans="1:23" x14ac:dyDescent="0.15">
      <c r="A1816" s="155" t="s">
        <v>13</v>
      </c>
      <c r="B1816" s="148">
        <v>3</v>
      </c>
      <c r="C1816" s="149"/>
      <c r="D1816" s="156"/>
      <c r="E1816" s="153">
        <f t="shared" si="1677"/>
        <v>3</v>
      </c>
      <c r="F1816" s="152"/>
      <c r="G1816" s="149"/>
      <c r="H1816" s="150"/>
      <c r="I1816" s="153">
        <f t="shared" si="1678"/>
        <v>0</v>
      </c>
      <c r="J1816" s="153">
        <f t="shared" si="1679"/>
        <v>3</v>
      </c>
      <c r="K1816" s="154">
        <v>46128</v>
      </c>
      <c r="M1816" s="25" t="s">
        <v>13</v>
      </c>
      <c r="N1816" s="8"/>
      <c r="O1816" s="9"/>
      <c r="P1816" s="52"/>
      <c r="Q1816" s="11">
        <f t="shared" si="1680"/>
        <v>0</v>
      </c>
      <c r="R1816" s="12"/>
      <c r="S1816" s="9"/>
      <c r="T1816" s="10"/>
      <c r="U1816" s="11">
        <f t="shared" si="1681"/>
        <v>0</v>
      </c>
      <c r="V1816" s="11">
        <f t="shared" si="1682"/>
        <v>0</v>
      </c>
    </row>
    <row r="1817" spans="1:23" x14ac:dyDescent="0.15">
      <c r="A1817" s="25" t="s">
        <v>14</v>
      </c>
      <c r="B1817" s="13">
        <v>5</v>
      </c>
      <c r="C1817" s="14"/>
      <c r="D1817" s="53"/>
      <c r="E1817" s="11">
        <f t="shared" si="1677"/>
        <v>5</v>
      </c>
      <c r="F1817" s="16"/>
      <c r="G1817" s="14">
        <v>5</v>
      </c>
      <c r="H1817" s="15"/>
      <c r="I1817" s="11">
        <f t="shared" si="1678"/>
        <v>5</v>
      </c>
      <c r="J1817" s="11">
        <f t="shared" si="1679"/>
        <v>10</v>
      </c>
      <c r="K1817" s="63">
        <v>46129</v>
      </c>
      <c r="M1817" s="25" t="s">
        <v>14</v>
      </c>
      <c r="N1817" s="13"/>
      <c r="O1817" s="14"/>
      <c r="P1817" s="53"/>
      <c r="Q1817" s="11">
        <f t="shared" si="1680"/>
        <v>0</v>
      </c>
      <c r="R1817" s="16"/>
      <c r="S1817" s="14"/>
      <c r="T1817" s="15"/>
      <c r="U1817" s="11">
        <f t="shared" si="1681"/>
        <v>0</v>
      </c>
      <c r="V1817" s="11">
        <f t="shared" si="1682"/>
        <v>0</v>
      </c>
    </row>
    <row r="1818" spans="1:23" ht="14.25" thickBot="1" x14ac:dyDescent="0.2">
      <c r="A1818" s="155" t="s">
        <v>15</v>
      </c>
      <c r="B1818" s="160">
        <v>5</v>
      </c>
      <c r="C1818" s="161"/>
      <c r="D1818" s="162"/>
      <c r="E1818" s="153">
        <f>SUM(B1818:D1818)</f>
        <v>5</v>
      </c>
      <c r="F1818" s="163">
        <v>5</v>
      </c>
      <c r="G1818" s="161">
        <v>10</v>
      </c>
      <c r="H1818" s="164"/>
      <c r="I1818" s="153">
        <f t="shared" si="1678"/>
        <v>15</v>
      </c>
      <c r="J1818" s="153">
        <f t="shared" si="1679"/>
        <v>20</v>
      </c>
      <c r="K1818" s="154">
        <v>46133</v>
      </c>
      <c r="M1818" s="25" t="s">
        <v>15</v>
      </c>
      <c r="N1818" s="13"/>
      <c r="O1818" s="14"/>
      <c r="P1818" s="53"/>
      <c r="Q1818" s="11">
        <f t="shared" si="1680"/>
        <v>0</v>
      </c>
      <c r="R1818" s="16"/>
      <c r="S1818" s="14"/>
      <c r="T1818" s="15"/>
      <c r="U1818" s="11">
        <f t="shared" si="1681"/>
        <v>0</v>
      </c>
      <c r="V1818" s="11">
        <f t="shared" si="1682"/>
        <v>0</v>
      </c>
    </row>
    <row r="1819" spans="1:23" ht="14.25" thickBot="1" x14ac:dyDescent="0.2">
      <c r="A1819" s="35" t="s">
        <v>16</v>
      </c>
      <c r="B1819" s="28">
        <f>SUM(B1810:B1818)</f>
        <v>32</v>
      </c>
      <c r="C1819" s="29">
        <f t="shared" ref="C1819:D1819" si="1683">SUM(C1810:C1818)</f>
        <v>16</v>
      </c>
      <c r="D1819" s="68">
        <f t="shared" si="1683"/>
        <v>9</v>
      </c>
      <c r="E1819" s="64">
        <f t="shared" ref="E1819:E1845" si="1684">SUM(B1819:D1819)</f>
        <v>57</v>
      </c>
      <c r="F1819" s="28">
        <f>SUM(F1810:F1818)</f>
        <v>26</v>
      </c>
      <c r="G1819" s="29">
        <f t="shared" ref="G1819:H1819" si="1685">SUM(G1810:G1818)</f>
        <v>26</v>
      </c>
      <c r="H1819" s="68">
        <f t="shared" si="1685"/>
        <v>14</v>
      </c>
      <c r="I1819" s="64">
        <f>SUM(F1819:H1819)</f>
        <v>66</v>
      </c>
      <c r="J1819" s="31">
        <f>E1819+I1819</f>
        <v>123</v>
      </c>
      <c r="M1819" s="35" t="s">
        <v>16</v>
      </c>
      <c r="N1819" s="28">
        <f>SUM(N1810:N1818)</f>
        <v>412</v>
      </c>
      <c r="O1819" s="29">
        <f t="shared" ref="O1819:P1819" si="1686">SUM(O1810:O1818)</f>
        <v>517</v>
      </c>
      <c r="P1819" s="68">
        <f t="shared" si="1686"/>
        <v>222</v>
      </c>
      <c r="Q1819" s="64">
        <f>SUM(N1819:P1819)</f>
        <v>1151</v>
      </c>
      <c r="R1819" s="28">
        <f>SUM(R1810:R1818)</f>
        <v>386</v>
      </c>
      <c r="S1819" s="29">
        <f t="shared" ref="S1819:T1819" si="1687">SUM(S1810:S1818)</f>
        <v>466</v>
      </c>
      <c r="T1819" s="68">
        <f t="shared" si="1687"/>
        <v>150</v>
      </c>
      <c r="U1819" s="64">
        <f>SUM(R1819:T1819)</f>
        <v>1002</v>
      </c>
      <c r="V1819" s="31">
        <f>Q1819+U1819</f>
        <v>2153</v>
      </c>
    </row>
    <row r="1820" spans="1:23" x14ac:dyDescent="0.15">
      <c r="A1820" s="26" t="s">
        <v>33</v>
      </c>
      <c r="B1820" s="8">
        <f>4+2</f>
        <v>6</v>
      </c>
      <c r="C1820" s="9"/>
      <c r="D1820" s="10"/>
      <c r="E1820" s="49">
        <f t="shared" si="1684"/>
        <v>6</v>
      </c>
      <c r="F1820" s="12">
        <v>4</v>
      </c>
      <c r="G1820" s="9">
        <v>1</v>
      </c>
      <c r="H1820" s="10"/>
      <c r="I1820" s="49">
        <f t="shared" ref="I1820" si="1688">SUM(F1820:H1820)</f>
        <v>5</v>
      </c>
      <c r="J1820" s="11">
        <f t="shared" ref="J1820" si="1689">E1820+I1820</f>
        <v>11</v>
      </c>
      <c r="K1820" s="71">
        <v>46104</v>
      </c>
      <c r="M1820" s="26" t="s">
        <v>499</v>
      </c>
      <c r="N1820" s="8">
        <v>25</v>
      </c>
      <c r="O1820" s="9">
        <v>25</v>
      </c>
      <c r="P1820" s="10">
        <v>25</v>
      </c>
      <c r="Q1820" s="49">
        <f t="shared" ref="Q1820:Q1826" si="1690">SUM(N1820:P1820)</f>
        <v>75</v>
      </c>
      <c r="R1820" s="12">
        <v>25</v>
      </c>
      <c r="S1820" s="9">
        <v>25</v>
      </c>
      <c r="T1820" s="10">
        <v>25</v>
      </c>
      <c r="U1820" s="49">
        <f t="shared" ref="U1820:U1826" si="1691">SUM(R1820:T1820)</f>
        <v>75</v>
      </c>
      <c r="V1820" s="11">
        <f t="shared" ref="V1820:V1826" si="1692">Q1820+U1820</f>
        <v>150</v>
      </c>
      <c r="W1820" s="140">
        <v>46121</v>
      </c>
    </row>
    <row r="1821" spans="1:23" x14ac:dyDescent="0.15">
      <c r="A1821" s="26" t="s">
        <v>33</v>
      </c>
      <c r="B1821" s="8">
        <v>1</v>
      </c>
      <c r="C1821" s="9">
        <v>2</v>
      </c>
      <c r="D1821" s="10"/>
      <c r="E1821" s="49">
        <f t="shared" si="1684"/>
        <v>3</v>
      </c>
      <c r="F1821" s="12">
        <v>1</v>
      </c>
      <c r="G1821" s="9"/>
      <c r="H1821" s="10">
        <v>1</v>
      </c>
      <c r="I1821" s="49">
        <f t="shared" ref="I1821:I1846" si="1693">SUM(F1821:H1821)</f>
        <v>2</v>
      </c>
      <c r="J1821" s="11">
        <f t="shared" ref="J1821:J1845" si="1694">E1821+I1821</f>
        <v>5</v>
      </c>
      <c r="K1821" s="71">
        <v>46105</v>
      </c>
      <c r="M1821" s="147" t="s">
        <v>525</v>
      </c>
      <c r="N1821" s="148"/>
      <c r="O1821" s="149"/>
      <c r="P1821" s="150"/>
      <c r="Q1821" s="151">
        <f t="shared" si="1690"/>
        <v>0</v>
      </c>
      <c r="R1821" s="152">
        <v>3</v>
      </c>
      <c r="S1821" s="149"/>
      <c r="T1821" s="150"/>
      <c r="U1821" s="151">
        <f t="shared" si="1691"/>
        <v>3</v>
      </c>
      <c r="V1821" s="153">
        <f t="shared" si="1692"/>
        <v>3</v>
      </c>
      <c r="W1821" s="157">
        <v>46120</v>
      </c>
    </row>
    <row r="1822" spans="1:23" x14ac:dyDescent="0.15">
      <c r="A1822" s="26" t="s">
        <v>33</v>
      </c>
      <c r="B1822" s="8"/>
      <c r="C1822" s="9"/>
      <c r="D1822" s="10"/>
      <c r="E1822" s="49">
        <f t="shared" si="1684"/>
        <v>0</v>
      </c>
      <c r="F1822" s="12">
        <v>1</v>
      </c>
      <c r="G1822" s="9">
        <v>1</v>
      </c>
      <c r="H1822" s="10"/>
      <c r="I1822" s="49">
        <f t="shared" si="1693"/>
        <v>2</v>
      </c>
      <c r="J1822" s="11">
        <f t="shared" si="1694"/>
        <v>2</v>
      </c>
      <c r="K1822" s="71">
        <v>46107</v>
      </c>
      <c r="L1822" s="40"/>
      <c r="M1822" s="26" t="s">
        <v>525</v>
      </c>
      <c r="N1822" s="8">
        <v>3</v>
      </c>
      <c r="O1822" s="9"/>
      <c r="P1822" s="10"/>
      <c r="Q1822" s="49">
        <f t="shared" si="1690"/>
        <v>3</v>
      </c>
      <c r="R1822" s="12"/>
      <c r="S1822" s="9"/>
      <c r="T1822" s="10"/>
      <c r="U1822" s="49">
        <f t="shared" si="1691"/>
        <v>0</v>
      </c>
      <c r="V1822" s="11">
        <f t="shared" si="1692"/>
        <v>3</v>
      </c>
      <c r="W1822" s="140">
        <v>46121</v>
      </c>
    </row>
    <row r="1823" spans="1:23" x14ac:dyDescent="0.15">
      <c r="A1823" s="26" t="s">
        <v>33</v>
      </c>
      <c r="B1823" s="8">
        <v>1</v>
      </c>
      <c r="C1823" s="9"/>
      <c r="D1823" s="10"/>
      <c r="E1823" s="49">
        <f t="shared" si="1684"/>
        <v>1</v>
      </c>
      <c r="F1823" s="12">
        <v>1</v>
      </c>
      <c r="G1823" s="9"/>
      <c r="H1823" s="10"/>
      <c r="I1823" s="49">
        <f t="shared" si="1693"/>
        <v>1</v>
      </c>
      <c r="J1823" s="11">
        <f t="shared" si="1694"/>
        <v>2</v>
      </c>
      <c r="K1823" s="71">
        <v>46111</v>
      </c>
      <c r="M1823" s="26" t="s">
        <v>525</v>
      </c>
      <c r="N1823" s="8">
        <v>7</v>
      </c>
      <c r="O1823" s="9">
        <v>5</v>
      </c>
      <c r="P1823" s="10"/>
      <c r="Q1823" s="49">
        <f t="shared" si="1690"/>
        <v>12</v>
      </c>
      <c r="R1823" s="12">
        <v>8</v>
      </c>
      <c r="S1823" s="9"/>
      <c r="T1823" s="10">
        <v>5</v>
      </c>
      <c r="U1823" s="49">
        <f t="shared" si="1691"/>
        <v>13</v>
      </c>
      <c r="V1823" s="11">
        <f t="shared" si="1692"/>
        <v>25</v>
      </c>
      <c r="W1823" s="140">
        <v>46122</v>
      </c>
    </row>
    <row r="1824" spans="1:23" x14ac:dyDescent="0.15">
      <c r="A1824" s="26" t="s">
        <v>33</v>
      </c>
      <c r="B1824" s="8"/>
      <c r="C1824" s="9"/>
      <c r="D1824" s="10"/>
      <c r="E1824" s="49">
        <f t="shared" si="1684"/>
        <v>0</v>
      </c>
      <c r="F1824" s="12"/>
      <c r="G1824" s="9"/>
      <c r="H1824" s="10">
        <v>2</v>
      </c>
      <c r="I1824" s="49">
        <f t="shared" si="1693"/>
        <v>2</v>
      </c>
      <c r="J1824" s="11">
        <f t="shared" si="1694"/>
        <v>2</v>
      </c>
      <c r="K1824" s="71">
        <v>46112</v>
      </c>
      <c r="M1824" s="147" t="s">
        <v>525</v>
      </c>
      <c r="N1824" s="148">
        <v>3</v>
      </c>
      <c r="O1824" s="149"/>
      <c r="P1824" s="150"/>
      <c r="Q1824" s="151">
        <f t="shared" si="1690"/>
        <v>3</v>
      </c>
      <c r="R1824" s="152"/>
      <c r="S1824" s="149"/>
      <c r="T1824" s="150"/>
      <c r="U1824" s="151">
        <f t="shared" si="1691"/>
        <v>0</v>
      </c>
      <c r="V1824" s="153">
        <f t="shared" si="1692"/>
        <v>3</v>
      </c>
      <c r="W1824" s="157">
        <v>46128</v>
      </c>
    </row>
    <row r="1825" spans="1:25" x14ac:dyDescent="0.15">
      <c r="A1825" s="26" t="s">
        <v>33</v>
      </c>
      <c r="B1825" s="8"/>
      <c r="C1825" s="9">
        <v>1</v>
      </c>
      <c r="D1825" s="10"/>
      <c r="E1825" s="49">
        <f t="shared" si="1684"/>
        <v>1</v>
      </c>
      <c r="F1825" s="12"/>
      <c r="G1825" s="9"/>
      <c r="H1825" s="10"/>
      <c r="I1825" s="49">
        <f t="shared" si="1693"/>
        <v>0</v>
      </c>
      <c r="J1825" s="11">
        <f t="shared" si="1694"/>
        <v>1</v>
      </c>
      <c r="K1825" s="71">
        <v>46115</v>
      </c>
      <c r="M1825" s="26" t="s">
        <v>525</v>
      </c>
      <c r="N1825" s="8">
        <v>5</v>
      </c>
      <c r="O1825" s="9"/>
      <c r="P1825" s="10"/>
      <c r="Q1825" s="49">
        <f t="shared" si="1690"/>
        <v>5</v>
      </c>
      <c r="R1825" s="12"/>
      <c r="S1825" s="9">
        <v>5</v>
      </c>
      <c r="T1825" s="10"/>
      <c r="U1825" s="49">
        <f t="shared" si="1691"/>
        <v>5</v>
      </c>
      <c r="V1825" s="11">
        <f t="shared" si="1692"/>
        <v>10</v>
      </c>
      <c r="W1825" s="140">
        <v>46129</v>
      </c>
      <c r="X1825" s="82"/>
      <c r="Y1825" s="82"/>
    </row>
    <row r="1826" spans="1:25" x14ac:dyDescent="0.15">
      <c r="A1826" s="26" t="s">
        <v>33</v>
      </c>
      <c r="B1826" s="8"/>
      <c r="C1826" s="9">
        <v>3</v>
      </c>
      <c r="D1826" s="10">
        <v>1</v>
      </c>
      <c r="E1826" s="49">
        <f t="shared" si="1684"/>
        <v>4</v>
      </c>
      <c r="F1826" s="12">
        <v>1</v>
      </c>
      <c r="G1826" s="9">
        <v>2</v>
      </c>
      <c r="H1826" s="10"/>
      <c r="I1826" s="49">
        <f t="shared" si="1693"/>
        <v>3</v>
      </c>
      <c r="J1826" s="11">
        <f t="shared" si="1694"/>
        <v>7</v>
      </c>
      <c r="K1826" s="71">
        <v>46118</v>
      </c>
      <c r="M1826" s="147" t="s">
        <v>525</v>
      </c>
      <c r="N1826" s="148">
        <v>5</v>
      </c>
      <c r="O1826" s="149"/>
      <c r="P1826" s="150"/>
      <c r="Q1826" s="151">
        <f t="shared" si="1690"/>
        <v>5</v>
      </c>
      <c r="R1826" s="152">
        <v>5</v>
      </c>
      <c r="S1826" s="149">
        <v>10</v>
      </c>
      <c r="T1826" s="150"/>
      <c r="U1826" s="151">
        <f t="shared" si="1691"/>
        <v>15</v>
      </c>
      <c r="V1826" s="153">
        <f t="shared" si="1692"/>
        <v>20</v>
      </c>
      <c r="W1826" s="157">
        <v>46133</v>
      </c>
    </row>
    <row r="1827" spans="1:25" x14ac:dyDescent="0.15">
      <c r="A1827" s="26" t="s">
        <v>33</v>
      </c>
      <c r="B1827" s="8">
        <v>1</v>
      </c>
      <c r="C1827" s="9"/>
      <c r="D1827" s="10"/>
      <c r="E1827" s="49">
        <f t="shared" si="1684"/>
        <v>1</v>
      </c>
      <c r="F1827" s="12"/>
      <c r="G1827" s="9"/>
      <c r="H1827" s="10">
        <v>1</v>
      </c>
      <c r="I1827" s="49">
        <f t="shared" si="1693"/>
        <v>1</v>
      </c>
      <c r="J1827" s="11">
        <f t="shared" si="1694"/>
        <v>2</v>
      </c>
      <c r="K1827" s="71">
        <v>46120</v>
      </c>
      <c r="M1827" s="26" t="s">
        <v>503</v>
      </c>
      <c r="N1827" s="8">
        <v>10</v>
      </c>
      <c r="O1827" s="9">
        <v>25</v>
      </c>
      <c r="P1827" s="10">
        <v>5</v>
      </c>
      <c r="Q1827" s="49">
        <f t="shared" ref="Q1827:Q1846" si="1695">SUM(N1827:P1827)</f>
        <v>40</v>
      </c>
      <c r="R1827" s="12">
        <v>15</v>
      </c>
      <c r="S1827" s="9">
        <v>15</v>
      </c>
      <c r="T1827" s="10">
        <v>5</v>
      </c>
      <c r="U1827" s="49">
        <f t="shared" ref="U1827:U1846" si="1696">SUM(R1827:T1827)</f>
        <v>35</v>
      </c>
      <c r="V1827" s="11">
        <f t="shared" ref="V1827:V1840" si="1697">Q1827+U1827</f>
        <v>75</v>
      </c>
      <c r="W1827" s="140">
        <v>46135</v>
      </c>
    </row>
    <row r="1828" spans="1:25" x14ac:dyDescent="0.15">
      <c r="A1828" s="26" t="s">
        <v>33</v>
      </c>
      <c r="B1828" s="8">
        <v>2</v>
      </c>
      <c r="C1828" s="9"/>
      <c r="D1828" s="10"/>
      <c r="E1828" s="49">
        <f t="shared" si="1684"/>
        <v>2</v>
      </c>
      <c r="F1828" s="12">
        <v>3</v>
      </c>
      <c r="G1828" s="9"/>
      <c r="H1828" s="10"/>
      <c r="I1828" s="49">
        <f t="shared" si="1693"/>
        <v>3</v>
      </c>
      <c r="J1828" s="11">
        <f t="shared" si="1694"/>
        <v>5</v>
      </c>
      <c r="K1828" s="71">
        <v>46121</v>
      </c>
      <c r="M1828" s="26" t="s">
        <v>504</v>
      </c>
      <c r="N1828" s="8">
        <v>35</v>
      </c>
      <c r="O1828" s="9">
        <v>25</v>
      </c>
      <c r="P1828" s="10"/>
      <c r="Q1828" s="49">
        <f t="shared" si="1695"/>
        <v>60</v>
      </c>
      <c r="R1828" s="12"/>
      <c r="S1828" s="9">
        <v>12</v>
      </c>
      <c r="T1828" s="10">
        <v>12</v>
      </c>
      <c r="U1828" s="49">
        <f t="shared" si="1696"/>
        <v>24</v>
      </c>
      <c r="V1828" s="11">
        <f t="shared" si="1697"/>
        <v>84</v>
      </c>
      <c r="W1828" s="140">
        <v>46137</v>
      </c>
    </row>
    <row r="1829" spans="1:25" x14ac:dyDescent="0.15">
      <c r="A1829" s="26" t="s">
        <v>33</v>
      </c>
      <c r="B1829" s="8">
        <v>1</v>
      </c>
      <c r="C1829" s="9"/>
      <c r="D1829" s="10"/>
      <c r="E1829" s="49">
        <f t="shared" si="1684"/>
        <v>1</v>
      </c>
      <c r="F1829" s="12"/>
      <c r="G1829" s="9"/>
      <c r="H1829" s="10">
        <v>1</v>
      </c>
      <c r="I1829" s="49">
        <f t="shared" si="1693"/>
        <v>1</v>
      </c>
      <c r="J1829" s="11">
        <f t="shared" si="1694"/>
        <v>2</v>
      </c>
      <c r="K1829" s="71">
        <v>46122</v>
      </c>
      <c r="M1829" s="26" t="s">
        <v>525</v>
      </c>
      <c r="N1829" s="8">
        <v>5</v>
      </c>
      <c r="O1829" s="9">
        <v>5</v>
      </c>
      <c r="P1829" s="10">
        <v>5</v>
      </c>
      <c r="Q1829" s="49">
        <f t="shared" si="1695"/>
        <v>15</v>
      </c>
      <c r="R1829" s="12">
        <v>10</v>
      </c>
      <c r="S1829" s="9">
        <v>10</v>
      </c>
      <c r="T1829" s="10">
        <v>10</v>
      </c>
      <c r="U1829" s="49">
        <f t="shared" si="1696"/>
        <v>30</v>
      </c>
      <c r="V1829" s="11">
        <f t="shared" si="1697"/>
        <v>45</v>
      </c>
      <c r="W1829" s="140">
        <v>46144</v>
      </c>
    </row>
    <row r="1830" spans="1:25" x14ac:dyDescent="0.15">
      <c r="A1830" s="26" t="s">
        <v>33</v>
      </c>
      <c r="B1830" s="8">
        <v>6</v>
      </c>
      <c r="C1830" s="9"/>
      <c r="D1830" s="10"/>
      <c r="E1830" s="49">
        <f t="shared" si="1684"/>
        <v>6</v>
      </c>
      <c r="F1830" s="12">
        <v>5</v>
      </c>
      <c r="G1830" s="9">
        <v>1</v>
      </c>
      <c r="H1830" s="10">
        <v>1</v>
      </c>
      <c r="I1830" s="49">
        <f t="shared" si="1693"/>
        <v>7</v>
      </c>
      <c r="J1830" s="11">
        <f t="shared" si="1694"/>
        <v>13</v>
      </c>
      <c r="K1830" s="71">
        <v>46125</v>
      </c>
      <c r="M1830" s="147" t="s">
        <v>525</v>
      </c>
      <c r="N1830" s="148">
        <v>5</v>
      </c>
      <c r="O1830" s="149"/>
      <c r="P1830" s="150"/>
      <c r="Q1830" s="151">
        <f t="shared" si="1695"/>
        <v>5</v>
      </c>
      <c r="R1830" s="152">
        <v>8</v>
      </c>
      <c r="S1830" s="149">
        <v>5</v>
      </c>
      <c r="T1830" s="150"/>
      <c r="U1830" s="151">
        <f t="shared" si="1696"/>
        <v>13</v>
      </c>
      <c r="V1830" s="153">
        <f t="shared" si="1697"/>
        <v>18</v>
      </c>
      <c r="W1830" s="157">
        <v>46154</v>
      </c>
    </row>
    <row r="1831" spans="1:25" x14ac:dyDescent="0.15">
      <c r="A1831" s="26" t="s">
        <v>33</v>
      </c>
      <c r="B1831" s="8">
        <v>2</v>
      </c>
      <c r="C1831" s="9"/>
      <c r="D1831" s="10"/>
      <c r="E1831" s="49">
        <f t="shared" si="1684"/>
        <v>2</v>
      </c>
      <c r="F1831" s="12">
        <v>1</v>
      </c>
      <c r="G1831" s="9"/>
      <c r="H1831" s="10"/>
      <c r="I1831" s="49">
        <f t="shared" si="1693"/>
        <v>1</v>
      </c>
      <c r="J1831" s="11">
        <f t="shared" si="1694"/>
        <v>3</v>
      </c>
      <c r="K1831" s="71">
        <v>46127</v>
      </c>
      <c r="M1831" s="147" t="s">
        <v>525</v>
      </c>
      <c r="N1831" s="148">
        <v>10</v>
      </c>
      <c r="O1831" s="149">
        <v>5</v>
      </c>
      <c r="P1831" s="150"/>
      <c r="Q1831" s="151">
        <f t="shared" si="1695"/>
        <v>15</v>
      </c>
      <c r="R1831" s="152"/>
      <c r="S1831" s="149"/>
      <c r="T1831" s="150"/>
      <c r="U1831" s="151">
        <f t="shared" si="1696"/>
        <v>0</v>
      </c>
      <c r="V1831" s="153">
        <f t="shared" si="1697"/>
        <v>15</v>
      </c>
      <c r="W1831" s="157">
        <v>46156</v>
      </c>
    </row>
    <row r="1832" spans="1:25" x14ac:dyDescent="0.15">
      <c r="A1832" s="26" t="s">
        <v>33</v>
      </c>
      <c r="B1832" s="8">
        <v>2</v>
      </c>
      <c r="C1832" s="9"/>
      <c r="D1832" s="10">
        <v>1</v>
      </c>
      <c r="E1832" s="49">
        <f t="shared" si="1684"/>
        <v>3</v>
      </c>
      <c r="F1832" s="12"/>
      <c r="G1832" s="9">
        <v>4</v>
      </c>
      <c r="H1832" s="10"/>
      <c r="I1832" s="49">
        <f t="shared" si="1693"/>
        <v>4</v>
      </c>
      <c r="J1832" s="11">
        <f t="shared" si="1694"/>
        <v>7</v>
      </c>
      <c r="K1832" s="71">
        <v>46128</v>
      </c>
      <c r="M1832" s="26"/>
      <c r="N1832" s="8"/>
      <c r="O1832" s="9"/>
      <c r="P1832" s="10"/>
      <c r="Q1832" s="49">
        <f t="shared" si="1695"/>
        <v>0</v>
      </c>
      <c r="R1832" s="12"/>
      <c r="S1832" s="9"/>
      <c r="T1832" s="10"/>
      <c r="U1832" s="49">
        <f t="shared" si="1696"/>
        <v>0</v>
      </c>
      <c r="V1832" s="11">
        <f t="shared" si="1697"/>
        <v>0</v>
      </c>
    </row>
    <row r="1833" spans="1:25" x14ac:dyDescent="0.15">
      <c r="A1833" s="26" t="s">
        <v>33</v>
      </c>
      <c r="B1833" s="8"/>
      <c r="C1833" s="9"/>
      <c r="D1833" s="10"/>
      <c r="E1833" s="49">
        <f t="shared" si="1684"/>
        <v>0</v>
      </c>
      <c r="F1833" s="12"/>
      <c r="G1833" s="9">
        <v>2</v>
      </c>
      <c r="H1833" s="10"/>
      <c r="I1833" s="49">
        <f t="shared" si="1693"/>
        <v>2</v>
      </c>
      <c r="J1833" s="11">
        <f t="shared" si="1694"/>
        <v>2</v>
      </c>
      <c r="K1833" s="71">
        <v>46129</v>
      </c>
      <c r="M1833" s="26"/>
      <c r="N1833" s="8"/>
      <c r="O1833" s="9"/>
      <c r="P1833" s="10"/>
      <c r="Q1833" s="49">
        <f t="shared" si="1695"/>
        <v>0</v>
      </c>
      <c r="R1833" s="12"/>
      <c r="S1833" s="9"/>
      <c r="T1833" s="10"/>
      <c r="U1833" s="49">
        <f t="shared" si="1696"/>
        <v>0</v>
      </c>
      <c r="V1833" s="11">
        <f t="shared" si="1697"/>
        <v>0</v>
      </c>
    </row>
    <row r="1834" spans="1:25" x14ac:dyDescent="0.15">
      <c r="A1834" s="26" t="s">
        <v>33</v>
      </c>
      <c r="B1834" s="8">
        <v>2</v>
      </c>
      <c r="C1834" s="9">
        <v>1</v>
      </c>
      <c r="D1834" s="10"/>
      <c r="E1834" s="49">
        <f t="shared" si="1684"/>
        <v>3</v>
      </c>
      <c r="F1834" s="12">
        <v>3</v>
      </c>
      <c r="G1834" s="9">
        <v>5</v>
      </c>
      <c r="H1834" s="10">
        <v>1</v>
      </c>
      <c r="I1834" s="49">
        <f t="shared" si="1693"/>
        <v>9</v>
      </c>
      <c r="J1834" s="11">
        <f t="shared" si="1694"/>
        <v>12</v>
      </c>
      <c r="K1834" s="71">
        <v>46132</v>
      </c>
      <c r="M1834" s="26"/>
      <c r="N1834" s="8"/>
      <c r="O1834" s="9"/>
      <c r="P1834" s="10"/>
      <c r="Q1834" s="49">
        <f t="shared" si="1695"/>
        <v>0</v>
      </c>
      <c r="R1834" s="12"/>
      <c r="S1834" s="9"/>
      <c r="T1834" s="10"/>
      <c r="U1834" s="49">
        <f t="shared" si="1696"/>
        <v>0</v>
      </c>
      <c r="V1834" s="11">
        <f t="shared" si="1697"/>
        <v>0</v>
      </c>
    </row>
    <row r="1835" spans="1:25" x14ac:dyDescent="0.15">
      <c r="A1835" s="26" t="s">
        <v>33</v>
      </c>
      <c r="B1835" s="8">
        <v>2</v>
      </c>
      <c r="C1835" s="9"/>
      <c r="D1835" s="10"/>
      <c r="E1835" s="49">
        <f t="shared" si="1684"/>
        <v>2</v>
      </c>
      <c r="F1835" s="12"/>
      <c r="G1835" s="9"/>
      <c r="H1835" s="10"/>
      <c r="I1835" s="49">
        <f t="shared" si="1693"/>
        <v>0</v>
      </c>
      <c r="J1835" s="11">
        <f t="shared" si="1694"/>
        <v>2</v>
      </c>
      <c r="K1835" s="71">
        <v>46133</v>
      </c>
      <c r="M1835" s="26"/>
      <c r="N1835" s="8"/>
      <c r="O1835" s="9"/>
      <c r="P1835" s="10"/>
      <c r="Q1835" s="49">
        <f t="shared" si="1695"/>
        <v>0</v>
      </c>
      <c r="R1835" s="12"/>
      <c r="S1835" s="9"/>
      <c r="T1835" s="10"/>
      <c r="U1835" s="49">
        <f t="shared" si="1696"/>
        <v>0</v>
      </c>
      <c r="V1835" s="11">
        <f t="shared" si="1697"/>
        <v>0</v>
      </c>
    </row>
    <row r="1836" spans="1:25" x14ac:dyDescent="0.15">
      <c r="A1836" s="26" t="s">
        <v>33</v>
      </c>
      <c r="B1836" s="8"/>
      <c r="C1836" s="9">
        <v>1</v>
      </c>
      <c r="D1836" s="10"/>
      <c r="E1836" s="49">
        <f t="shared" si="1684"/>
        <v>1</v>
      </c>
      <c r="F1836" s="12"/>
      <c r="G1836" s="9"/>
      <c r="H1836" s="10"/>
      <c r="I1836" s="49">
        <f t="shared" si="1693"/>
        <v>0</v>
      </c>
      <c r="J1836" s="11">
        <f t="shared" si="1694"/>
        <v>1</v>
      </c>
      <c r="K1836" s="71">
        <v>46134</v>
      </c>
      <c r="M1836" s="26"/>
      <c r="N1836" s="8"/>
      <c r="O1836" s="9"/>
      <c r="P1836" s="10"/>
      <c r="Q1836" s="49">
        <f t="shared" si="1695"/>
        <v>0</v>
      </c>
      <c r="R1836" s="12"/>
      <c r="S1836" s="9"/>
      <c r="T1836" s="10"/>
      <c r="U1836" s="49">
        <f t="shared" si="1696"/>
        <v>0</v>
      </c>
      <c r="V1836" s="11">
        <f t="shared" si="1697"/>
        <v>0</v>
      </c>
    </row>
    <row r="1837" spans="1:25" x14ac:dyDescent="0.15">
      <c r="A1837" s="26" t="s">
        <v>33</v>
      </c>
      <c r="B1837" s="8"/>
      <c r="C1837" s="9">
        <v>1</v>
      </c>
      <c r="D1837" s="10"/>
      <c r="E1837" s="49">
        <f t="shared" si="1684"/>
        <v>1</v>
      </c>
      <c r="F1837" s="12"/>
      <c r="G1837" s="9"/>
      <c r="H1837" s="10">
        <v>2</v>
      </c>
      <c r="I1837" s="49">
        <f t="shared" si="1693"/>
        <v>2</v>
      </c>
      <c r="J1837" s="11">
        <f t="shared" si="1694"/>
        <v>3</v>
      </c>
      <c r="K1837" s="71">
        <v>46135</v>
      </c>
      <c r="M1837" s="26"/>
      <c r="N1837" s="8"/>
      <c r="O1837" s="9"/>
      <c r="P1837" s="10"/>
      <c r="Q1837" s="49">
        <f t="shared" si="1695"/>
        <v>0</v>
      </c>
      <c r="R1837" s="12"/>
      <c r="S1837" s="9"/>
      <c r="T1837" s="10"/>
      <c r="U1837" s="49">
        <f t="shared" si="1696"/>
        <v>0</v>
      </c>
      <c r="V1837" s="11">
        <f t="shared" si="1697"/>
        <v>0</v>
      </c>
    </row>
    <row r="1838" spans="1:25" x14ac:dyDescent="0.15">
      <c r="A1838" s="26" t="s">
        <v>33</v>
      </c>
      <c r="B1838" s="8"/>
      <c r="C1838" s="9">
        <v>1</v>
      </c>
      <c r="D1838" s="10"/>
      <c r="E1838" s="49">
        <f t="shared" si="1684"/>
        <v>1</v>
      </c>
      <c r="F1838" s="12"/>
      <c r="G1838" s="9">
        <v>2</v>
      </c>
      <c r="H1838" s="10"/>
      <c r="I1838" s="49">
        <f t="shared" si="1693"/>
        <v>2</v>
      </c>
      <c r="J1838" s="11">
        <f t="shared" si="1694"/>
        <v>3</v>
      </c>
      <c r="K1838" s="71">
        <v>46136</v>
      </c>
      <c r="M1838" s="26"/>
      <c r="N1838" s="8"/>
      <c r="O1838" s="9"/>
      <c r="P1838" s="10"/>
      <c r="Q1838" s="49">
        <f t="shared" si="1695"/>
        <v>0</v>
      </c>
      <c r="R1838" s="12"/>
      <c r="S1838" s="9"/>
      <c r="T1838" s="10"/>
      <c r="U1838" s="49">
        <f t="shared" si="1696"/>
        <v>0</v>
      </c>
      <c r="V1838" s="11">
        <f t="shared" si="1697"/>
        <v>0</v>
      </c>
    </row>
    <row r="1839" spans="1:25" x14ac:dyDescent="0.15">
      <c r="A1839" s="26" t="s">
        <v>33</v>
      </c>
      <c r="B1839" s="8">
        <v>4</v>
      </c>
      <c r="C1839" s="9">
        <v>2</v>
      </c>
      <c r="D1839" s="10">
        <v>3</v>
      </c>
      <c r="E1839" s="49">
        <f t="shared" si="1684"/>
        <v>9</v>
      </c>
      <c r="F1839" s="12">
        <v>3</v>
      </c>
      <c r="G1839" s="9">
        <v>5</v>
      </c>
      <c r="H1839" s="10">
        <v>2</v>
      </c>
      <c r="I1839" s="49">
        <f t="shared" ref="I1839" si="1698">SUM(F1839:H1839)</f>
        <v>10</v>
      </c>
      <c r="J1839" s="11">
        <f t="shared" ref="J1839" si="1699">E1839+I1839</f>
        <v>19</v>
      </c>
      <c r="K1839" s="71">
        <v>46139</v>
      </c>
      <c r="M1839" s="26"/>
      <c r="N1839" s="8"/>
      <c r="O1839" s="9"/>
      <c r="P1839" s="10"/>
      <c r="Q1839" s="49">
        <f t="shared" si="1695"/>
        <v>0</v>
      </c>
      <c r="R1839" s="12"/>
      <c r="S1839" s="9"/>
      <c r="T1839" s="10"/>
      <c r="U1839" s="49">
        <f t="shared" si="1696"/>
        <v>0</v>
      </c>
      <c r="V1839" s="11">
        <f t="shared" si="1697"/>
        <v>0</v>
      </c>
    </row>
    <row r="1840" spans="1:25" x14ac:dyDescent="0.15">
      <c r="A1840" s="26" t="s">
        <v>33</v>
      </c>
      <c r="B1840" s="8"/>
      <c r="C1840" s="9"/>
      <c r="D1840" s="10"/>
      <c r="E1840" s="49">
        <f t="shared" si="1684"/>
        <v>0</v>
      </c>
      <c r="F1840" s="12">
        <v>1</v>
      </c>
      <c r="G1840" s="9"/>
      <c r="H1840" s="10"/>
      <c r="I1840" s="49">
        <f t="shared" si="1693"/>
        <v>1</v>
      </c>
      <c r="J1840" s="11">
        <f t="shared" si="1694"/>
        <v>1</v>
      </c>
      <c r="K1840" s="71">
        <v>46140</v>
      </c>
      <c r="M1840" s="26"/>
      <c r="N1840" s="8"/>
      <c r="O1840" s="9"/>
      <c r="P1840" s="10"/>
      <c r="Q1840" s="49">
        <f t="shared" si="1695"/>
        <v>0</v>
      </c>
      <c r="R1840" s="12"/>
      <c r="S1840" s="9"/>
      <c r="T1840" s="10"/>
      <c r="U1840" s="49">
        <f t="shared" si="1696"/>
        <v>0</v>
      </c>
      <c r="V1840" s="11">
        <f t="shared" si="1697"/>
        <v>0</v>
      </c>
    </row>
    <row r="1841" spans="1:23" x14ac:dyDescent="0.15">
      <c r="A1841" s="26" t="s">
        <v>33</v>
      </c>
      <c r="B1841" s="8"/>
      <c r="C1841" s="9"/>
      <c r="D1841" s="10"/>
      <c r="E1841" s="49">
        <f t="shared" si="1684"/>
        <v>0</v>
      </c>
      <c r="F1841" s="12"/>
      <c r="G1841" s="9"/>
      <c r="H1841" s="10">
        <v>1</v>
      </c>
      <c r="I1841" s="49">
        <f t="shared" si="1693"/>
        <v>1</v>
      </c>
      <c r="J1841" s="11">
        <f t="shared" si="1694"/>
        <v>1</v>
      </c>
      <c r="K1841" s="71">
        <v>46142</v>
      </c>
      <c r="M1841" s="26"/>
      <c r="N1841" s="8"/>
      <c r="O1841" s="9"/>
      <c r="P1841" s="10"/>
      <c r="Q1841" s="49">
        <f t="shared" ref="Q1841:Q1842" si="1700">SUM(N1841:P1841)</f>
        <v>0</v>
      </c>
      <c r="R1841" s="12"/>
      <c r="S1841" s="9"/>
      <c r="T1841" s="10"/>
      <c r="U1841" s="49">
        <f t="shared" ref="U1841:U1842" si="1701">SUM(R1841:T1841)</f>
        <v>0</v>
      </c>
      <c r="V1841" s="11">
        <f t="shared" ref="V1841:V1842" si="1702">Q1841+U1841</f>
        <v>0</v>
      </c>
    </row>
    <row r="1842" spans="1:23" x14ac:dyDescent="0.15">
      <c r="A1842" s="26" t="s">
        <v>189</v>
      </c>
      <c r="B1842" s="8">
        <v>-5</v>
      </c>
      <c r="C1842" s="9">
        <v>-5</v>
      </c>
      <c r="D1842" s="10">
        <v>-5</v>
      </c>
      <c r="E1842" s="49">
        <f t="shared" si="1684"/>
        <v>-15</v>
      </c>
      <c r="F1842" s="12">
        <v>-10</v>
      </c>
      <c r="G1842" s="9">
        <v>-10</v>
      </c>
      <c r="H1842" s="10">
        <v>-10</v>
      </c>
      <c r="I1842" s="49">
        <f t="shared" si="1693"/>
        <v>-30</v>
      </c>
      <c r="J1842" s="11">
        <f t="shared" si="1694"/>
        <v>-45</v>
      </c>
      <c r="K1842" s="63">
        <v>46144</v>
      </c>
      <c r="M1842" s="26"/>
      <c r="N1842" s="8"/>
      <c r="O1842" s="9"/>
      <c r="P1842" s="10"/>
      <c r="Q1842" s="49">
        <f t="shared" si="1700"/>
        <v>0</v>
      </c>
      <c r="R1842" s="12"/>
      <c r="S1842" s="9"/>
      <c r="T1842" s="10"/>
      <c r="U1842" s="49">
        <f t="shared" si="1701"/>
        <v>0</v>
      </c>
      <c r="V1842" s="11">
        <f t="shared" si="1702"/>
        <v>0</v>
      </c>
    </row>
    <row r="1843" spans="1:23" x14ac:dyDescent="0.15">
      <c r="A1843" s="26" t="s">
        <v>33</v>
      </c>
      <c r="B1843" s="8"/>
      <c r="C1843" s="9"/>
      <c r="D1843" s="10"/>
      <c r="E1843" s="49">
        <f t="shared" si="1684"/>
        <v>0</v>
      </c>
      <c r="F1843" s="12">
        <v>1</v>
      </c>
      <c r="G1843" s="9"/>
      <c r="H1843" s="10">
        <v>1</v>
      </c>
      <c r="I1843" s="49">
        <f t="shared" si="1693"/>
        <v>2</v>
      </c>
      <c r="J1843" s="11">
        <f t="shared" si="1694"/>
        <v>2</v>
      </c>
      <c r="K1843" s="71">
        <v>46143</v>
      </c>
      <c r="M1843" s="26"/>
      <c r="N1843" s="8"/>
      <c r="O1843" s="9"/>
      <c r="P1843" s="10"/>
      <c r="Q1843" s="49">
        <f t="shared" ref="Q1843:Q1845" si="1703">SUM(N1843:P1843)</f>
        <v>0</v>
      </c>
      <c r="R1843" s="12"/>
      <c r="S1843" s="9"/>
      <c r="T1843" s="10"/>
      <c r="U1843" s="49">
        <f t="shared" ref="U1843:U1845" si="1704">SUM(R1843:T1843)</f>
        <v>0</v>
      </c>
      <c r="V1843" s="11">
        <f t="shared" ref="V1843:V1845" si="1705">Q1843+U1843</f>
        <v>0</v>
      </c>
    </row>
    <row r="1844" spans="1:23" x14ac:dyDescent="0.15">
      <c r="A1844" s="26" t="s">
        <v>33</v>
      </c>
      <c r="B1844" s="8">
        <v>2</v>
      </c>
      <c r="C1844" s="9">
        <v>3</v>
      </c>
      <c r="D1844" s="10">
        <v>1</v>
      </c>
      <c r="E1844" s="49">
        <f t="shared" si="1684"/>
        <v>6</v>
      </c>
      <c r="F1844" s="12">
        <v>3</v>
      </c>
      <c r="G1844" s="9">
        <v>7</v>
      </c>
      <c r="H1844" s="10"/>
      <c r="I1844" s="49">
        <f t="shared" si="1693"/>
        <v>10</v>
      </c>
      <c r="J1844" s="11">
        <f t="shared" si="1694"/>
        <v>16</v>
      </c>
      <c r="K1844" s="71">
        <v>46149</v>
      </c>
      <c r="M1844" s="121" t="s">
        <v>523</v>
      </c>
      <c r="N1844" s="106"/>
      <c r="O1844" s="103"/>
      <c r="P1844" s="104"/>
      <c r="Q1844" s="122">
        <f t="shared" si="1703"/>
        <v>0</v>
      </c>
      <c r="R1844" s="107"/>
      <c r="S1844" s="103"/>
      <c r="T1844" s="104"/>
      <c r="U1844" s="122">
        <f t="shared" si="1704"/>
        <v>0</v>
      </c>
      <c r="V1844" s="123">
        <f t="shared" si="1705"/>
        <v>0</v>
      </c>
      <c r="W1844" s="142"/>
    </row>
    <row r="1845" spans="1:23" ht="14.25" thickBot="1" x14ac:dyDescent="0.2">
      <c r="A1845" s="26" t="s">
        <v>33</v>
      </c>
      <c r="B1845" s="8">
        <v>4</v>
      </c>
      <c r="C1845" s="9">
        <v>2</v>
      </c>
      <c r="D1845" s="10">
        <v>1</v>
      </c>
      <c r="E1845" s="49">
        <f t="shared" si="1684"/>
        <v>7</v>
      </c>
      <c r="F1845" s="12">
        <v>8</v>
      </c>
      <c r="G1845" s="9">
        <v>3</v>
      </c>
      <c r="H1845" s="10">
        <v>5</v>
      </c>
      <c r="I1845" s="49">
        <f t="shared" si="1693"/>
        <v>16</v>
      </c>
      <c r="J1845" s="11">
        <f t="shared" si="1694"/>
        <v>23</v>
      </c>
      <c r="K1845" s="71">
        <v>46153</v>
      </c>
      <c r="M1845" s="26" t="s">
        <v>489</v>
      </c>
      <c r="N1845" s="8"/>
      <c r="O1845" s="9"/>
      <c r="P1845" s="10"/>
      <c r="Q1845" s="49">
        <f t="shared" si="1703"/>
        <v>0</v>
      </c>
      <c r="R1845" s="12"/>
      <c r="S1845" s="9"/>
      <c r="T1845" s="10"/>
      <c r="U1845" s="49">
        <f t="shared" si="1704"/>
        <v>0</v>
      </c>
      <c r="V1845" s="11">
        <f t="shared" si="1705"/>
        <v>0</v>
      </c>
      <c r="W1845" s="142" t="s">
        <v>522</v>
      </c>
    </row>
    <row r="1846" spans="1:23" ht="14.25" thickBot="1" x14ac:dyDescent="0.2">
      <c r="A1846" s="41" t="s">
        <v>19</v>
      </c>
      <c r="B1846" s="46">
        <f>SUM(B1820:B1845)</f>
        <v>31</v>
      </c>
      <c r="C1846" s="47">
        <f t="shared" ref="C1846:D1846" si="1706">SUM(C1820:C1845)</f>
        <v>12</v>
      </c>
      <c r="D1846" s="59">
        <f t="shared" si="1706"/>
        <v>2</v>
      </c>
      <c r="E1846" s="45">
        <f>SUM(B1846:D1846)</f>
        <v>45</v>
      </c>
      <c r="F1846" s="46">
        <f>SUM(F1820:F1845)</f>
        <v>26</v>
      </c>
      <c r="G1846" s="47">
        <f t="shared" ref="G1846:H1846" si="1707">SUM(G1820:G1845)</f>
        <v>23</v>
      </c>
      <c r="H1846" s="59">
        <f t="shared" si="1707"/>
        <v>8</v>
      </c>
      <c r="I1846" s="45">
        <f t="shared" si="1693"/>
        <v>57</v>
      </c>
      <c r="J1846" s="45">
        <f>E1846+I1846</f>
        <v>102</v>
      </c>
      <c r="M1846" s="41" t="s">
        <v>19</v>
      </c>
      <c r="N1846" s="46">
        <f>SUM(N1820:N1845)</f>
        <v>113</v>
      </c>
      <c r="O1846" s="47">
        <f t="shared" ref="O1846:P1846" si="1708">SUM(O1820:O1845)</f>
        <v>90</v>
      </c>
      <c r="P1846" s="59">
        <f t="shared" si="1708"/>
        <v>35</v>
      </c>
      <c r="Q1846" s="45">
        <f t="shared" si="1695"/>
        <v>238</v>
      </c>
      <c r="R1846" s="46">
        <f>SUM(R1820:R1845)</f>
        <v>74</v>
      </c>
      <c r="S1846" s="47">
        <f t="shared" ref="S1846:T1846" si="1709">SUM(S1820:S1845)</f>
        <v>82</v>
      </c>
      <c r="T1846" s="59">
        <f t="shared" si="1709"/>
        <v>57</v>
      </c>
      <c r="U1846" s="45">
        <f t="shared" si="1696"/>
        <v>213</v>
      </c>
      <c r="V1846" s="45">
        <f>Q1846+U1846</f>
        <v>451</v>
      </c>
    </row>
    <row r="1847" spans="1:23" ht="14.25" thickBot="1" x14ac:dyDescent="0.2">
      <c r="A1847" s="22" t="s">
        <v>17</v>
      </c>
      <c r="B1847" s="50">
        <f>B1819-B1846</f>
        <v>1</v>
      </c>
      <c r="C1847" s="57">
        <f t="shared" ref="C1847:D1847" si="1710">C1819-C1846</f>
        <v>4</v>
      </c>
      <c r="D1847" s="58">
        <f t="shared" si="1710"/>
        <v>7</v>
      </c>
      <c r="E1847" s="56">
        <f>SUM(B1847:D1847)</f>
        <v>12</v>
      </c>
      <c r="F1847" s="50">
        <f>F1819-F1846</f>
        <v>0</v>
      </c>
      <c r="G1847" s="57">
        <f t="shared" ref="G1847:H1847" si="1711">G1819-G1846</f>
        <v>3</v>
      </c>
      <c r="H1847" s="58">
        <f t="shared" si="1711"/>
        <v>6</v>
      </c>
      <c r="I1847" s="56">
        <f>SUM(F1847:H1847)</f>
        <v>9</v>
      </c>
      <c r="J1847" s="31">
        <f>E1847+I1847</f>
        <v>21</v>
      </c>
      <c r="M1847" s="22" t="s">
        <v>17</v>
      </c>
      <c r="N1847" s="50">
        <f>N1819-N1846</f>
        <v>299</v>
      </c>
      <c r="O1847" s="57">
        <f t="shared" ref="O1847:P1847" si="1712">O1819-O1846</f>
        <v>427</v>
      </c>
      <c r="P1847" s="58">
        <f t="shared" si="1712"/>
        <v>187</v>
      </c>
      <c r="Q1847" s="56">
        <f>SUM(N1847:P1847)</f>
        <v>913</v>
      </c>
      <c r="R1847" s="50">
        <f>R1819-R1846</f>
        <v>312</v>
      </c>
      <c r="S1847" s="57">
        <f t="shared" ref="S1847:T1847" si="1713">S1819-S1846</f>
        <v>384</v>
      </c>
      <c r="T1847" s="58">
        <f t="shared" si="1713"/>
        <v>93</v>
      </c>
      <c r="U1847" s="56">
        <f>SUM(R1847:T1847)</f>
        <v>789</v>
      </c>
      <c r="V1847" s="31">
        <f>Q1847+U1847</f>
        <v>1702</v>
      </c>
      <c r="W1847" s="158" t="s">
        <v>524</v>
      </c>
    </row>
    <row r="1850" spans="1:23" ht="19.5" thickBot="1" x14ac:dyDescent="0.25">
      <c r="A1850" s="3" t="s">
        <v>21</v>
      </c>
      <c r="B1850" s="1"/>
      <c r="C1850" s="1"/>
      <c r="D1850" s="1"/>
      <c r="E1850" s="1"/>
      <c r="F1850" s="1"/>
      <c r="G1850" s="1"/>
      <c r="H1850" s="1" t="s">
        <v>498</v>
      </c>
      <c r="I1850" s="1"/>
      <c r="J1850" s="1"/>
      <c r="M1850" s="3" t="s">
        <v>22</v>
      </c>
      <c r="N1850" s="1"/>
      <c r="O1850" s="1"/>
      <c r="P1850" s="1"/>
      <c r="Q1850" s="1"/>
      <c r="R1850" s="1"/>
      <c r="S1850" s="1" t="s">
        <v>498</v>
      </c>
      <c r="T1850" s="1"/>
      <c r="U1850" s="1"/>
      <c r="V1850" s="1">
        <v>580</v>
      </c>
    </row>
    <row r="1851" spans="1:23" ht="14.25" thickBot="1" x14ac:dyDescent="0.2">
      <c r="A1851" s="7" t="s">
        <v>0</v>
      </c>
      <c r="B1851" s="165" t="s">
        <v>24</v>
      </c>
      <c r="C1851" s="166"/>
      <c r="D1851" s="166"/>
      <c r="E1851" s="170"/>
      <c r="F1851" s="165" t="s">
        <v>18</v>
      </c>
      <c r="G1851" s="166"/>
      <c r="H1851" s="166"/>
      <c r="I1851" s="167"/>
      <c r="J1851" s="168" t="s">
        <v>1</v>
      </c>
      <c r="M1851" s="7" t="s">
        <v>0</v>
      </c>
      <c r="N1851" s="165" t="s">
        <v>24</v>
      </c>
      <c r="O1851" s="166"/>
      <c r="P1851" s="166"/>
      <c r="Q1851" s="170"/>
      <c r="R1851" s="165" t="s">
        <v>18</v>
      </c>
      <c r="S1851" s="166"/>
      <c r="T1851" s="166"/>
      <c r="U1851" s="167"/>
      <c r="V1851" s="168" t="s">
        <v>1</v>
      </c>
    </row>
    <row r="1852" spans="1:23" ht="14.25" thickBot="1" x14ac:dyDescent="0.2">
      <c r="A1852" s="7" t="s">
        <v>2</v>
      </c>
      <c r="B1852" s="4" t="s">
        <v>3</v>
      </c>
      <c r="C1852" s="5" t="s">
        <v>4</v>
      </c>
      <c r="D1852" s="6" t="s">
        <v>5</v>
      </c>
      <c r="E1852" s="7" t="s">
        <v>6</v>
      </c>
      <c r="F1852" s="4" t="s">
        <v>3</v>
      </c>
      <c r="G1852" s="5" t="s">
        <v>4</v>
      </c>
      <c r="H1852" s="6" t="s">
        <v>5</v>
      </c>
      <c r="I1852" s="7" t="s">
        <v>6</v>
      </c>
      <c r="J1852" s="169"/>
      <c r="M1852" s="7" t="s">
        <v>2</v>
      </c>
      <c r="N1852" s="4" t="s">
        <v>3</v>
      </c>
      <c r="O1852" s="5" t="s">
        <v>4</v>
      </c>
      <c r="P1852" s="6" t="s">
        <v>5</v>
      </c>
      <c r="Q1852" s="7" t="s">
        <v>6</v>
      </c>
      <c r="R1852" s="4" t="s">
        <v>3</v>
      </c>
      <c r="S1852" s="5" t="s">
        <v>4</v>
      </c>
      <c r="T1852" s="6" t="s">
        <v>5</v>
      </c>
      <c r="U1852" s="7" t="s">
        <v>6</v>
      </c>
      <c r="V1852" s="169"/>
    </row>
    <row r="1853" spans="1:23" ht="14.25" thickBot="1" x14ac:dyDescent="0.2">
      <c r="A1853" s="27" t="s">
        <v>20</v>
      </c>
      <c r="B1853" s="28">
        <f>B1847</f>
        <v>1</v>
      </c>
      <c r="C1853" s="29">
        <f>C1847</f>
        <v>4</v>
      </c>
      <c r="D1853" s="30">
        <f>D1847</f>
        <v>7</v>
      </c>
      <c r="E1853" s="31">
        <f t="shared" ref="E1853:E1860" si="1714">SUM(B1853:D1853)</f>
        <v>12</v>
      </c>
      <c r="F1853" s="28">
        <f>F1847</f>
        <v>0</v>
      </c>
      <c r="G1853" s="29">
        <f>G1847</f>
        <v>3</v>
      </c>
      <c r="H1853" s="30">
        <f>H1847</f>
        <v>6</v>
      </c>
      <c r="I1853" s="31">
        <f>SUM(F1853:H1853)</f>
        <v>9</v>
      </c>
      <c r="J1853" s="31">
        <f>E1853+I1853</f>
        <v>21</v>
      </c>
      <c r="M1853" s="27" t="s">
        <v>20</v>
      </c>
      <c r="N1853" s="28">
        <f>N1847</f>
        <v>299</v>
      </c>
      <c r="O1853" s="29">
        <f>O1847</f>
        <v>427</v>
      </c>
      <c r="P1853" s="30">
        <f>P1847</f>
        <v>187</v>
      </c>
      <c r="Q1853" s="31">
        <f>SUM(N1853:P1853)</f>
        <v>913</v>
      </c>
      <c r="R1853" s="28">
        <f>R1847</f>
        <v>312</v>
      </c>
      <c r="S1853" s="29">
        <f>S1847</f>
        <v>384</v>
      </c>
      <c r="T1853" s="30">
        <f>T1847</f>
        <v>93</v>
      </c>
      <c r="U1853" s="31">
        <f>SUM(R1853:T1853)</f>
        <v>789</v>
      </c>
      <c r="V1853" s="31">
        <f>Q1853+U1853</f>
        <v>1702</v>
      </c>
    </row>
    <row r="1854" spans="1:23" x14ac:dyDescent="0.15">
      <c r="A1854" s="155" t="s">
        <v>8</v>
      </c>
      <c r="B1854" s="148">
        <v>5</v>
      </c>
      <c r="C1854" s="149"/>
      <c r="D1854" s="156"/>
      <c r="E1854" s="153">
        <f t="shared" si="1714"/>
        <v>5</v>
      </c>
      <c r="F1854" s="152">
        <v>8</v>
      </c>
      <c r="G1854" s="149">
        <v>5</v>
      </c>
      <c r="H1854" s="150"/>
      <c r="I1854" s="153">
        <f t="shared" ref="I1854:I1861" si="1715">SUM(F1854:H1854)</f>
        <v>13</v>
      </c>
      <c r="J1854" s="153">
        <f t="shared" ref="J1854:J1861" si="1716">E1854+I1854</f>
        <v>18</v>
      </c>
      <c r="K1854" s="154">
        <v>46154</v>
      </c>
      <c r="M1854" s="25" t="s">
        <v>8</v>
      </c>
      <c r="N1854" s="17"/>
      <c r="O1854" s="18"/>
      <c r="P1854" s="51"/>
      <c r="Q1854" s="49">
        <f t="shared" ref="Q1854:Q1861" si="1717">SUM(N1854:P1854)</f>
        <v>0</v>
      </c>
      <c r="R1854" s="20"/>
      <c r="S1854" s="18"/>
      <c r="T1854" s="19"/>
      <c r="U1854" s="49">
        <f t="shared" ref="U1854:U1861" si="1718">SUM(R1854:T1854)</f>
        <v>0</v>
      </c>
      <c r="V1854" s="49">
        <f t="shared" ref="V1854:V1861" si="1719">Q1854+U1854</f>
        <v>0</v>
      </c>
    </row>
    <row r="1855" spans="1:23" x14ac:dyDescent="0.15">
      <c r="A1855" s="25" t="s">
        <v>9</v>
      </c>
      <c r="B1855" s="8">
        <v>10</v>
      </c>
      <c r="C1855" s="9">
        <v>5</v>
      </c>
      <c r="D1855" s="52"/>
      <c r="E1855" s="11">
        <f t="shared" si="1714"/>
        <v>15</v>
      </c>
      <c r="F1855" s="12"/>
      <c r="G1855" s="9"/>
      <c r="H1855" s="10"/>
      <c r="I1855" s="11">
        <f t="shared" si="1715"/>
        <v>0</v>
      </c>
      <c r="J1855" s="11">
        <f t="shared" si="1716"/>
        <v>15</v>
      </c>
      <c r="K1855" s="63">
        <v>46156</v>
      </c>
      <c r="L1855" s="159"/>
      <c r="M1855" s="25" t="s">
        <v>9</v>
      </c>
      <c r="N1855" s="8"/>
      <c r="O1855" s="9"/>
      <c r="P1855" s="52"/>
      <c r="Q1855" s="11">
        <f t="shared" si="1717"/>
        <v>0</v>
      </c>
      <c r="R1855" s="12"/>
      <c r="S1855" s="9"/>
      <c r="T1855" s="10"/>
      <c r="U1855" s="11">
        <f t="shared" si="1718"/>
        <v>0</v>
      </c>
      <c r="V1855" s="11">
        <f t="shared" si="1719"/>
        <v>0</v>
      </c>
    </row>
    <row r="1856" spans="1:23" x14ac:dyDescent="0.15">
      <c r="A1856" s="25" t="s">
        <v>10</v>
      </c>
      <c r="B1856" s="8">
        <v>5</v>
      </c>
      <c r="C1856" s="9">
        <v>5</v>
      </c>
      <c r="D1856" s="52">
        <v>5</v>
      </c>
      <c r="E1856" s="11">
        <f t="shared" si="1714"/>
        <v>15</v>
      </c>
      <c r="F1856" s="12">
        <v>5</v>
      </c>
      <c r="G1856" s="9">
        <v>5</v>
      </c>
      <c r="H1856" s="10">
        <v>5</v>
      </c>
      <c r="I1856" s="11">
        <f t="shared" si="1715"/>
        <v>15</v>
      </c>
      <c r="J1856" s="11">
        <f t="shared" si="1716"/>
        <v>30</v>
      </c>
      <c r="K1856" s="63">
        <v>46158</v>
      </c>
      <c r="M1856" s="25" t="s">
        <v>10</v>
      </c>
      <c r="N1856" s="8"/>
      <c r="O1856" s="9"/>
      <c r="P1856" s="52"/>
      <c r="Q1856" s="11">
        <f t="shared" si="1717"/>
        <v>0</v>
      </c>
      <c r="R1856" s="12"/>
      <c r="S1856" s="9"/>
      <c r="T1856" s="10"/>
      <c r="U1856" s="11">
        <f t="shared" si="1718"/>
        <v>0</v>
      </c>
      <c r="V1856" s="11">
        <f t="shared" si="1719"/>
        <v>0</v>
      </c>
    </row>
    <row r="1857" spans="1:25" x14ac:dyDescent="0.15">
      <c r="A1857" s="155" t="s">
        <v>11</v>
      </c>
      <c r="B1857" s="148"/>
      <c r="C1857" s="149"/>
      <c r="D1857" s="156"/>
      <c r="E1857" s="153">
        <f t="shared" si="1714"/>
        <v>0</v>
      </c>
      <c r="F1857" s="152">
        <v>10</v>
      </c>
      <c r="G1857" s="149"/>
      <c r="H1857" s="150"/>
      <c r="I1857" s="153">
        <f t="shared" si="1715"/>
        <v>10</v>
      </c>
      <c r="J1857" s="153">
        <f t="shared" si="1716"/>
        <v>10</v>
      </c>
      <c r="K1857" s="154">
        <v>46161</v>
      </c>
      <c r="M1857" s="25" t="s">
        <v>11</v>
      </c>
      <c r="N1857" s="8"/>
      <c r="O1857" s="9"/>
      <c r="P1857" s="52"/>
      <c r="Q1857" s="11">
        <f t="shared" si="1717"/>
        <v>0</v>
      </c>
      <c r="R1857" s="12"/>
      <c r="S1857" s="9"/>
      <c r="T1857" s="10"/>
      <c r="U1857" s="11">
        <f t="shared" si="1718"/>
        <v>0</v>
      </c>
      <c r="V1857" s="11">
        <f t="shared" si="1719"/>
        <v>0</v>
      </c>
    </row>
    <row r="1858" spans="1:25" x14ac:dyDescent="0.15">
      <c r="A1858" s="155" t="s">
        <v>12</v>
      </c>
      <c r="B1858" s="148">
        <v>5</v>
      </c>
      <c r="C1858" s="149"/>
      <c r="D1858" s="156"/>
      <c r="E1858" s="153">
        <f t="shared" si="1714"/>
        <v>5</v>
      </c>
      <c r="F1858" s="152">
        <v>5</v>
      </c>
      <c r="G1858" s="149"/>
      <c r="H1858" s="150"/>
      <c r="I1858" s="153">
        <f t="shared" si="1715"/>
        <v>5</v>
      </c>
      <c r="J1858" s="153">
        <f t="shared" si="1716"/>
        <v>10</v>
      </c>
      <c r="K1858" s="154">
        <v>46163</v>
      </c>
      <c r="M1858" s="25" t="s">
        <v>12</v>
      </c>
      <c r="N1858" s="8"/>
      <c r="O1858" s="9"/>
      <c r="P1858" s="52"/>
      <c r="Q1858" s="11">
        <f t="shared" si="1717"/>
        <v>0</v>
      </c>
      <c r="R1858" s="12"/>
      <c r="S1858" s="9"/>
      <c r="T1858" s="10"/>
      <c r="U1858" s="11">
        <f t="shared" si="1718"/>
        <v>0</v>
      </c>
      <c r="V1858" s="11">
        <f t="shared" si="1719"/>
        <v>0</v>
      </c>
    </row>
    <row r="1859" spans="1:25" x14ac:dyDescent="0.15">
      <c r="A1859" s="25" t="s">
        <v>13</v>
      </c>
      <c r="B1859" s="8">
        <v>3</v>
      </c>
      <c r="C1859" s="9">
        <v>3</v>
      </c>
      <c r="D1859" s="52">
        <v>3</v>
      </c>
      <c r="E1859" s="11">
        <f t="shared" si="1714"/>
        <v>9</v>
      </c>
      <c r="F1859" s="12"/>
      <c r="G1859" s="9"/>
      <c r="H1859" s="10">
        <v>5</v>
      </c>
      <c r="I1859" s="11">
        <f t="shared" si="1715"/>
        <v>5</v>
      </c>
      <c r="J1859" s="11">
        <f t="shared" si="1716"/>
        <v>14</v>
      </c>
      <c r="K1859" s="63">
        <v>46164</v>
      </c>
      <c r="M1859" s="25" t="s">
        <v>13</v>
      </c>
      <c r="N1859" s="8"/>
      <c r="O1859" s="9"/>
      <c r="P1859" s="52"/>
      <c r="Q1859" s="11">
        <f t="shared" si="1717"/>
        <v>0</v>
      </c>
      <c r="R1859" s="12"/>
      <c r="S1859" s="9"/>
      <c r="T1859" s="10"/>
      <c r="U1859" s="11">
        <f t="shared" si="1718"/>
        <v>0</v>
      </c>
      <c r="V1859" s="11">
        <f t="shared" si="1719"/>
        <v>0</v>
      </c>
    </row>
    <row r="1860" spans="1:25" x14ac:dyDescent="0.15">
      <c r="A1860" s="25" t="s">
        <v>14</v>
      </c>
      <c r="B1860" s="13">
        <v>5</v>
      </c>
      <c r="C1860" s="14"/>
      <c r="D1860" s="53">
        <v>3</v>
      </c>
      <c r="E1860" s="11">
        <f t="shared" si="1714"/>
        <v>8</v>
      </c>
      <c r="F1860" s="16">
        <v>3</v>
      </c>
      <c r="G1860" s="14"/>
      <c r="H1860" s="15">
        <v>3</v>
      </c>
      <c r="I1860" s="11">
        <f t="shared" si="1715"/>
        <v>6</v>
      </c>
      <c r="J1860" s="11">
        <f t="shared" si="1716"/>
        <v>14</v>
      </c>
      <c r="K1860" s="63">
        <v>46167</v>
      </c>
      <c r="M1860" s="25" t="s">
        <v>14</v>
      </c>
      <c r="N1860" s="13"/>
      <c r="O1860" s="14"/>
      <c r="P1860" s="53"/>
      <c r="Q1860" s="11">
        <f t="shared" si="1717"/>
        <v>0</v>
      </c>
      <c r="R1860" s="16"/>
      <c r="S1860" s="14"/>
      <c r="T1860" s="15"/>
      <c r="U1860" s="11">
        <f t="shared" si="1718"/>
        <v>0</v>
      </c>
      <c r="V1860" s="11">
        <f t="shared" si="1719"/>
        <v>0</v>
      </c>
    </row>
    <row r="1861" spans="1:25" ht="14.25" thickBot="1" x14ac:dyDescent="0.2">
      <c r="A1861" s="25" t="s">
        <v>15</v>
      </c>
      <c r="B1861" s="13">
        <v>5</v>
      </c>
      <c r="C1861" s="14">
        <v>10</v>
      </c>
      <c r="D1861" s="53">
        <v>5</v>
      </c>
      <c r="E1861" s="11">
        <f>SUM(B1861:D1861)</f>
        <v>20</v>
      </c>
      <c r="F1861" s="16">
        <v>5</v>
      </c>
      <c r="G1861" s="14"/>
      <c r="H1861" s="15">
        <v>5</v>
      </c>
      <c r="I1861" s="11">
        <f t="shared" si="1715"/>
        <v>10</v>
      </c>
      <c r="J1861" s="11">
        <f t="shared" si="1716"/>
        <v>30</v>
      </c>
      <c r="K1861" s="63">
        <v>46170</v>
      </c>
      <c r="M1861" s="25" t="s">
        <v>15</v>
      </c>
      <c r="N1861" s="13"/>
      <c r="O1861" s="14"/>
      <c r="P1861" s="53"/>
      <c r="Q1861" s="11">
        <f t="shared" si="1717"/>
        <v>0</v>
      </c>
      <c r="R1861" s="16"/>
      <c r="S1861" s="14"/>
      <c r="T1861" s="15"/>
      <c r="U1861" s="11">
        <f t="shared" si="1718"/>
        <v>0</v>
      </c>
      <c r="V1861" s="11">
        <f t="shared" si="1719"/>
        <v>0</v>
      </c>
    </row>
    <row r="1862" spans="1:25" ht="14.25" thickBot="1" x14ac:dyDescent="0.2">
      <c r="A1862" s="35" t="s">
        <v>16</v>
      </c>
      <c r="B1862" s="28">
        <f>SUM(B1853:B1861)</f>
        <v>39</v>
      </c>
      <c r="C1862" s="29">
        <f t="shared" ref="C1862:D1862" si="1720">SUM(C1853:C1861)</f>
        <v>27</v>
      </c>
      <c r="D1862" s="68">
        <f t="shared" si="1720"/>
        <v>23</v>
      </c>
      <c r="E1862" s="64">
        <f t="shared" ref="E1862:E1888" si="1721">SUM(B1862:D1862)</f>
        <v>89</v>
      </c>
      <c r="F1862" s="28">
        <f>SUM(F1853:F1861)</f>
        <v>36</v>
      </c>
      <c r="G1862" s="29">
        <f t="shared" ref="G1862:H1862" si="1722">SUM(G1853:G1861)</f>
        <v>13</v>
      </c>
      <c r="H1862" s="68">
        <f t="shared" si="1722"/>
        <v>24</v>
      </c>
      <c r="I1862" s="64">
        <f>SUM(F1862:H1862)</f>
        <v>73</v>
      </c>
      <c r="J1862" s="31">
        <f>E1862+I1862</f>
        <v>162</v>
      </c>
      <c r="M1862" s="35" t="s">
        <v>16</v>
      </c>
      <c r="N1862" s="28">
        <f>SUM(N1853:N1861)</f>
        <v>299</v>
      </c>
      <c r="O1862" s="29">
        <f t="shared" ref="O1862:P1862" si="1723">SUM(O1853:O1861)</f>
        <v>427</v>
      </c>
      <c r="P1862" s="68">
        <f t="shared" si="1723"/>
        <v>187</v>
      </c>
      <c r="Q1862" s="64">
        <f>SUM(N1862:P1862)</f>
        <v>913</v>
      </c>
      <c r="R1862" s="28">
        <f>SUM(R1853:R1861)</f>
        <v>312</v>
      </c>
      <c r="S1862" s="29">
        <f t="shared" ref="S1862:T1862" si="1724">SUM(S1853:S1861)</f>
        <v>384</v>
      </c>
      <c r="T1862" s="68">
        <f t="shared" si="1724"/>
        <v>93</v>
      </c>
      <c r="U1862" s="64">
        <f>SUM(R1862:T1862)</f>
        <v>789</v>
      </c>
      <c r="V1862" s="31">
        <f>Q1862+U1862</f>
        <v>1702</v>
      </c>
    </row>
    <row r="1863" spans="1:25" x14ac:dyDescent="0.15">
      <c r="A1863" s="26" t="s">
        <v>33</v>
      </c>
      <c r="B1863" s="8">
        <v>3</v>
      </c>
      <c r="C1863" s="9"/>
      <c r="D1863" s="10">
        <v>1</v>
      </c>
      <c r="E1863" s="49">
        <f t="shared" si="1721"/>
        <v>4</v>
      </c>
      <c r="F1863" s="12"/>
      <c r="G1863" s="9"/>
      <c r="H1863" s="10"/>
      <c r="I1863" s="49">
        <f t="shared" ref="I1863:I1885" si="1725">SUM(F1863:H1863)</f>
        <v>0</v>
      </c>
      <c r="J1863" s="11">
        <f t="shared" ref="J1863:J1885" si="1726">E1863+I1863</f>
        <v>4</v>
      </c>
      <c r="K1863" s="71">
        <v>46154</v>
      </c>
      <c r="M1863" s="26" t="s">
        <v>527</v>
      </c>
      <c r="N1863" s="8">
        <v>5</v>
      </c>
      <c r="O1863" s="9">
        <v>5</v>
      </c>
      <c r="P1863" s="10">
        <v>5</v>
      </c>
      <c r="Q1863" s="49">
        <f t="shared" ref="Q1863:Q1872" si="1727">SUM(N1863:P1863)</f>
        <v>15</v>
      </c>
      <c r="R1863" s="12">
        <v>5</v>
      </c>
      <c r="S1863" s="9">
        <v>5</v>
      </c>
      <c r="T1863" s="10">
        <v>5</v>
      </c>
      <c r="U1863" s="49">
        <f t="shared" ref="U1863:U1872" si="1728">SUM(R1863:T1863)</f>
        <v>15</v>
      </c>
      <c r="V1863" s="11">
        <f t="shared" ref="V1863:V1872" si="1729">Q1863+U1863</f>
        <v>30</v>
      </c>
      <c r="W1863" s="140">
        <v>46158</v>
      </c>
    </row>
    <row r="1864" spans="1:25" x14ac:dyDescent="0.15">
      <c r="A1864" s="26" t="s">
        <v>33</v>
      </c>
      <c r="B1864" s="8">
        <v>3</v>
      </c>
      <c r="C1864" s="9"/>
      <c r="D1864" s="10"/>
      <c r="E1864" s="49">
        <f t="shared" si="1721"/>
        <v>3</v>
      </c>
      <c r="F1864" s="12">
        <v>1</v>
      </c>
      <c r="G1864" s="9"/>
      <c r="H1864" s="10"/>
      <c r="I1864" s="49">
        <f t="shared" si="1725"/>
        <v>1</v>
      </c>
      <c r="J1864" s="11">
        <f t="shared" si="1726"/>
        <v>4</v>
      </c>
      <c r="K1864" s="71">
        <v>46155</v>
      </c>
      <c r="M1864" s="147" t="s">
        <v>525</v>
      </c>
      <c r="N1864" s="148"/>
      <c r="O1864" s="149"/>
      <c r="P1864" s="150"/>
      <c r="Q1864" s="151">
        <f t="shared" si="1727"/>
        <v>0</v>
      </c>
      <c r="R1864" s="152">
        <v>10</v>
      </c>
      <c r="S1864" s="149"/>
      <c r="T1864" s="150"/>
      <c r="U1864" s="151">
        <f t="shared" si="1728"/>
        <v>10</v>
      </c>
      <c r="V1864" s="153">
        <f t="shared" si="1729"/>
        <v>10</v>
      </c>
      <c r="W1864" s="157">
        <v>46161</v>
      </c>
    </row>
    <row r="1865" spans="1:25" x14ac:dyDescent="0.15">
      <c r="A1865" s="26" t="s">
        <v>33</v>
      </c>
      <c r="B1865" s="8">
        <v>3</v>
      </c>
      <c r="C1865" s="9">
        <v>1</v>
      </c>
      <c r="D1865" s="10"/>
      <c r="E1865" s="49">
        <f t="shared" si="1721"/>
        <v>4</v>
      </c>
      <c r="F1865" s="12">
        <v>2</v>
      </c>
      <c r="G1865" s="9"/>
      <c r="H1865" s="10"/>
      <c r="I1865" s="49">
        <f t="shared" si="1725"/>
        <v>2</v>
      </c>
      <c r="J1865" s="11">
        <f t="shared" si="1726"/>
        <v>6</v>
      </c>
      <c r="K1865" s="71">
        <v>46156</v>
      </c>
      <c r="M1865" s="147" t="s">
        <v>525</v>
      </c>
      <c r="N1865" s="148">
        <v>5</v>
      </c>
      <c r="O1865" s="149"/>
      <c r="P1865" s="150"/>
      <c r="Q1865" s="151">
        <f t="shared" si="1727"/>
        <v>5</v>
      </c>
      <c r="R1865" s="152">
        <v>5</v>
      </c>
      <c r="S1865" s="149"/>
      <c r="T1865" s="150"/>
      <c r="U1865" s="151">
        <f t="shared" si="1728"/>
        <v>5</v>
      </c>
      <c r="V1865" s="153">
        <f t="shared" si="1729"/>
        <v>10</v>
      </c>
      <c r="W1865" s="157">
        <v>46163</v>
      </c>
    </row>
    <row r="1866" spans="1:25" x14ac:dyDescent="0.15">
      <c r="A1866" s="26" t="s">
        <v>33</v>
      </c>
      <c r="B1866" s="8">
        <v>2</v>
      </c>
      <c r="C1866" s="9">
        <v>2</v>
      </c>
      <c r="D1866" s="10">
        <v>2</v>
      </c>
      <c r="E1866" s="49">
        <f t="shared" si="1721"/>
        <v>6</v>
      </c>
      <c r="F1866" s="12">
        <v>4</v>
      </c>
      <c r="G1866" s="9"/>
      <c r="H1866" s="10">
        <v>1</v>
      </c>
      <c r="I1866" s="49">
        <f t="shared" si="1725"/>
        <v>5</v>
      </c>
      <c r="J1866" s="11">
        <f t="shared" si="1726"/>
        <v>11</v>
      </c>
      <c r="K1866" s="71">
        <v>46157</v>
      </c>
      <c r="M1866" s="26" t="s">
        <v>525</v>
      </c>
      <c r="N1866" s="8">
        <v>3</v>
      </c>
      <c r="O1866" s="9">
        <v>3</v>
      </c>
      <c r="P1866" s="10">
        <v>3</v>
      </c>
      <c r="Q1866" s="49">
        <f t="shared" si="1727"/>
        <v>9</v>
      </c>
      <c r="R1866" s="12"/>
      <c r="S1866" s="9"/>
      <c r="T1866" s="10">
        <v>5</v>
      </c>
      <c r="U1866" s="49">
        <f t="shared" si="1728"/>
        <v>5</v>
      </c>
      <c r="V1866" s="11">
        <f t="shared" si="1729"/>
        <v>14</v>
      </c>
      <c r="W1866" s="140">
        <v>46164</v>
      </c>
    </row>
    <row r="1867" spans="1:25" x14ac:dyDescent="0.15">
      <c r="A1867" s="26" t="s">
        <v>33</v>
      </c>
      <c r="B1867" s="8">
        <v>6</v>
      </c>
      <c r="C1867" s="9">
        <v>3</v>
      </c>
      <c r="D1867" s="10">
        <v>2</v>
      </c>
      <c r="E1867" s="49">
        <f t="shared" si="1721"/>
        <v>11</v>
      </c>
      <c r="F1867" s="12">
        <v>6</v>
      </c>
      <c r="G1867" s="9">
        <v>2</v>
      </c>
      <c r="H1867" s="10">
        <v>4</v>
      </c>
      <c r="I1867" s="49">
        <f t="shared" si="1725"/>
        <v>12</v>
      </c>
      <c r="J1867" s="11">
        <f t="shared" si="1726"/>
        <v>23</v>
      </c>
      <c r="K1867" s="71">
        <v>46160</v>
      </c>
      <c r="M1867" s="26" t="s">
        <v>525</v>
      </c>
      <c r="N1867" s="8">
        <v>5</v>
      </c>
      <c r="O1867" s="9"/>
      <c r="P1867" s="10">
        <v>3</v>
      </c>
      <c r="Q1867" s="49">
        <f t="shared" si="1727"/>
        <v>8</v>
      </c>
      <c r="R1867" s="12">
        <v>3</v>
      </c>
      <c r="S1867" s="9"/>
      <c r="T1867" s="10">
        <v>3</v>
      </c>
      <c r="U1867" s="49">
        <f t="shared" si="1728"/>
        <v>6</v>
      </c>
      <c r="V1867" s="11">
        <f t="shared" si="1729"/>
        <v>14</v>
      </c>
      <c r="W1867" s="140">
        <v>46167</v>
      </c>
      <c r="X1867" s="82"/>
      <c r="Y1867" s="82"/>
    </row>
    <row r="1868" spans="1:25" x14ac:dyDescent="0.15">
      <c r="A1868" s="26" t="s">
        <v>33</v>
      </c>
      <c r="B1868" s="8"/>
      <c r="C1868" s="9"/>
      <c r="D1868" s="10">
        <v>1</v>
      </c>
      <c r="E1868" s="49">
        <f t="shared" si="1721"/>
        <v>1</v>
      </c>
      <c r="F1868" s="12">
        <v>4</v>
      </c>
      <c r="G1868" s="9"/>
      <c r="H1868" s="10"/>
      <c r="I1868" s="49">
        <f t="shared" si="1725"/>
        <v>4</v>
      </c>
      <c r="J1868" s="11">
        <f t="shared" si="1726"/>
        <v>5</v>
      </c>
      <c r="K1868" s="71">
        <v>46161</v>
      </c>
      <c r="M1868" s="26" t="s">
        <v>525</v>
      </c>
      <c r="N1868" s="8">
        <v>5</v>
      </c>
      <c r="O1868" s="9">
        <v>10</v>
      </c>
      <c r="P1868" s="10">
        <v>5</v>
      </c>
      <c r="Q1868" s="49">
        <f t="shared" si="1727"/>
        <v>20</v>
      </c>
      <c r="R1868" s="12">
        <v>5</v>
      </c>
      <c r="S1868" s="9"/>
      <c r="T1868" s="10">
        <v>5</v>
      </c>
      <c r="U1868" s="49">
        <f t="shared" si="1728"/>
        <v>10</v>
      </c>
      <c r="V1868" s="11">
        <f t="shared" si="1729"/>
        <v>30</v>
      </c>
      <c r="W1868" s="140">
        <v>46170</v>
      </c>
      <c r="X1868" s="82"/>
    </row>
    <row r="1869" spans="1:25" x14ac:dyDescent="0.15">
      <c r="A1869" s="26" t="s">
        <v>33</v>
      </c>
      <c r="B1869" s="8">
        <v>1</v>
      </c>
      <c r="C1869" s="9">
        <v>1</v>
      </c>
      <c r="D1869" s="10">
        <v>1</v>
      </c>
      <c r="E1869" s="49">
        <f t="shared" si="1721"/>
        <v>3</v>
      </c>
      <c r="F1869" s="12"/>
      <c r="G1869" s="9">
        <v>1</v>
      </c>
      <c r="H1869" s="10">
        <v>1</v>
      </c>
      <c r="I1869" s="49">
        <f t="shared" si="1725"/>
        <v>2</v>
      </c>
      <c r="J1869" s="11">
        <f t="shared" si="1726"/>
        <v>5</v>
      </c>
      <c r="K1869" s="71">
        <v>46162</v>
      </c>
      <c r="M1869" s="26" t="s">
        <v>525</v>
      </c>
      <c r="N1869" s="8">
        <v>5</v>
      </c>
      <c r="O1869" s="9">
        <v>5</v>
      </c>
      <c r="P1869" s="10"/>
      <c r="Q1869" s="49">
        <f t="shared" si="1727"/>
        <v>10</v>
      </c>
      <c r="R1869" s="12">
        <v>5</v>
      </c>
      <c r="S1869" s="9">
        <v>10</v>
      </c>
      <c r="T1869" s="10"/>
      <c r="U1869" s="49">
        <f t="shared" si="1728"/>
        <v>15</v>
      </c>
      <c r="V1869" s="11">
        <f t="shared" si="1729"/>
        <v>25</v>
      </c>
      <c r="W1869" s="140">
        <v>46171</v>
      </c>
      <c r="X1869" s="82"/>
    </row>
    <row r="1870" spans="1:25" x14ac:dyDescent="0.15">
      <c r="A1870" s="26" t="s">
        <v>33</v>
      </c>
      <c r="B1870" s="8">
        <v>3</v>
      </c>
      <c r="C1870" s="9"/>
      <c r="D1870" s="10"/>
      <c r="E1870" s="49">
        <f t="shared" si="1721"/>
        <v>3</v>
      </c>
      <c r="F1870" s="12">
        <v>1</v>
      </c>
      <c r="G1870" s="9"/>
      <c r="H1870" s="10">
        <v>2</v>
      </c>
      <c r="I1870" s="49">
        <f t="shared" si="1725"/>
        <v>3</v>
      </c>
      <c r="J1870" s="11">
        <f t="shared" si="1726"/>
        <v>6</v>
      </c>
      <c r="K1870" s="71">
        <v>46163</v>
      </c>
      <c r="M1870" s="26" t="s">
        <v>525</v>
      </c>
      <c r="N1870" s="8"/>
      <c r="O1870" s="9"/>
      <c r="P1870" s="10">
        <v>10</v>
      </c>
      <c r="Q1870" s="49">
        <f t="shared" si="1727"/>
        <v>10</v>
      </c>
      <c r="R1870" s="12"/>
      <c r="S1870" s="9"/>
      <c r="T1870" s="10">
        <v>5</v>
      </c>
      <c r="U1870" s="49">
        <f t="shared" si="1728"/>
        <v>5</v>
      </c>
      <c r="V1870" s="11">
        <f t="shared" si="1729"/>
        <v>15</v>
      </c>
      <c r="W1870" s="140">
        <v>46175</v>
      </c>
    </row>
    <row r="1871" spans="1:25" x14ac:dyDescent="0.15">
      <c r="A1871" s="26" t="s">
        <v>33</v>
      </c>
      <c r="B1871" s="8">
        <v>1</v>
      </c>
      <c r="C1871" s="9"/>
      <c r="D1871" s="10">
        <v>2</v>
      </c>
      <c r="E1871" s="49">
        <f t="shared" si="1721"/>
        <v>3</v>
      </c>
      <c r="F1871" s="12">
        <v>1</v>
      </c>
      <c r="G1871" s="9"/>
      <c r="H1871" s="10">
        <v>1</v>
      </c>
      <c r="I1871" s="49">
        <f t="shared" si="1725"/>
        <v>2</v>
      </c>
      <c r="J1871" s="11">
        <f t="shared" si="1726"/>
        <v>5</v>
      </c>
      <c r="K1871" s="71">
        <v>46164</v>
      </c>
      <c r="M1871" s="26" t="s">
        <v>525</v>
      </c>
      <c r="N1871" s="8"/>
      <c r="O1871" s="9">
        <v>10</v>
      </c>
      <c r="P1871" s="10"/>
      <c r="Q1871" s="49">
        <f t="shared" si="1727"/>
        <v>10</v>
      </c>
      <c r="R1871" s="12">
        <v>10</v>
      </c>
      <c r="S1871" s="9"/>
      <c r="T1871" s="10"/>
      <c r="U1871" s="49">
        <f t="shared" si="1728"/>
        <v>10</v>
      </c>
      <c r="V1871" s="11">
        <f t="shared" si="1729"/>
        <v>20</v>
      </c>
      <c r="W1871" s="140">
        <v>46176</v>
      </c>
      <c r="X1871" s="82"/>
    </row>
    <row r="1872" spans="1:25" x14ac:dyDescent="0.15">
      <c r="A1872" s="26" t="s">
        <v>33</v>
      </c>
      <c r="B1872" s="8">
        <v>3</v>
      </c>
      <c r="C1872" s="9">
        <v>4</v>
      </c>
      <c r="D1872" s="10">
        <v>3</v>
      </c>
      <c r="E1872" s="49">
        <f t="shared" si="1721"/>
        <v>10</v>
      </c>
      <c r="F1872" s="12">
        <v>4</v>
      </c>
      <c r="G1872" s="9">
        <v>2</v>
      </c>
      <c r="H1872" s="10">
        <v>5</v>
      </c>
      <c r="I1872" s="49">
        <f t="shared" si="1725"/>
        <v>11</v>
      </c>
      <c r="J1872" s="11">
        <f t="shared" si="1726"/>
        <v>21</v>
      </c>
      <c r="K1872" s="71">
        <v>46167</v>
      </c>
      <c r="M1872" s="147" t="s">
        <v>525</v>
      </c>
      <c r="N1872" s="148">
        <v>5</v>
      </c>
      <c r="O1872" s="149"/>
      <c r="P1872" s="150">
        <v>5</v>
      </c>
      <c r="Q1872" s="151">
        <f t="shared" si="1727"/>
        <v>10</v>
      </c>
      <c r="R1872" s="152"/>
      <c r="S1872" s="149">
        <v>5</v>
      </c>
      <c r="T1872" s="150">
        <v>5</v>
      </c>
      <c r="U1872" s="151">
        <f t="shared" si="1728"/>
        <v>10</v>
      </c>
      <c r="V1872" s="153">
        <f t="shared" si="1729"/>
        <v>20</v>
      </c>
      <c r="W1872" s="157">
        <v>46177</v>
      </c>
    </row>
    <row r="1873" spans="1:23" x14ac:dyDescent="0.15">
      <c r="A1873" s="26" t="s">
        <v>33</v>
      </c>
      <c r="B1873" s="8">
        <v>1</v>
      </c>
      <c r="C1873" s="9">
        <v>2</v>
      </c>
      <c r="D1873" s="10"/>
      <c r="E1873" s="49">
        <f t="shared" si="1721"/>
        <v>3</v>
      </c>
      <c r="F1873" s="12">
        <v>2</v>
      </c>
      <c r="G1873" s="9"/>
      <c r="H1873" s="10"/>
      <c r="I1873" s="49">
        <f t="shared" si="1725"/>
        <v>2</v>
      </c>
      <c r="J1873" s="11">
        <f t="shared" si="1726"/>
        <v>5</v>
      </c>
      <c r="K1873" s="71">
        <v>46168</v>
      </c>
      <c r="M1873" s="147" t="s">
        <v>525</v>
      </c>
      <c r="N1873" s="148"/>
      <c r="O1873" s="149"/>
      <c r="P1873" s="150">
        <v>5</v>
      </c>
      <c r="Q1873" s="151">
        <f t="shared" ref="Q1873:Q1889" si="1730">SUM(N1873:P1873)</f>
        <v>5</v>
      </c>
      <c r="R1873" s="152"/>
      <c r="S1873" s="149">
        <v>5</v>
      </c>
      <c r="T1873" s="150"/>
      <c r="U1873" s="151">
        <f t="shared" ref="U1873:U1889" si="1731">SUM(R1873:T1873)</f>
        <v>5</v>
      </c>
      <c r="V1873" s="153">
        <f t="shared" ref="V1873:V1883" si="1732">Q1873+U1873</f>
        <v>10</v>
      </c>
      <c r="W1873" s="157">
        <v>46182</v>
      </c>
    </row>
    <row r="1874" spans="1:23" x14ac:dyDescent="0.15">
      <c r="A1874" s="26" t="s">
        <v>33</v>
      </c>
      <c r="B1874" s="8">
        <v>2</v>
      </c>
      <c r="C1874" s="9">
        <v>4</v>
      </c>
      <c r="D1874" s="10">
        <v>1</v>
      </c>
      <c r="E1874" s="49">
        <f t="shared" si="1721"/>
        <v>7</v>
      </c>
      <c r="F1874" s="12">
        <v>2</v>
      </c>
      <c r="G1874" s="9">
        <v>1</v>
      </c>
      <c r="H1874" s="10"/>
      <c r="I1874" s="49">
        <f t="shared" si="1725"/>
        <v>3</v>
      </c>
      <c r="J1874" s="11">
        <f t="shared" si="1726"/>
        <v>10</v>
      </c>
      <c r="K1874" s="71">
        <v>46169</v>
      </c>
      <c r="M1874" s="26"/>
      <c r="N1874" s="8"/>
      <c r="O1874" s="9"/>
      <c r="P1874" s="10"/>
      <c r="Q1874" s="49">
        <f t="shared" si="1730"/>
        <v>0</v>
      </c>
      <c r="R1874" s="12"/>
      <c r="S1874" s="9"/>
      <c r="T1874" s="10"/>
      <c r="U1874" s="49">
        <f t="shared" si="1731"/>
        <v>0</v>
      </c>
      <c r="V1874" s="11">
        <f t="shared" si="1732"/>
        <v>0</v>
      </c>
    </row>
    <row r="1875" spans="1:23" x14ac:dyDescent="0.15">
      <c r="A1875" s="26" t="s">
        <v>33</v>
      </c>
      <c r="B1875" s="8">
        <v>3</v>
      </c>
      <c r="C1875" s="9">
        <v>3</v>
      </c>
      <c r="D1875" s="10"/>
      <c r="E1875" s="49">
        <f t="shared" si="1721"/>
        <v>6</v>
      </c>
      <c r="F1875" s="12"/>
      <c r="G1875" s="9">
        <v>3</v>
      </c>
      <c r="H1875" s="10"/>
      <c r="I1875" s="49">
        <f t="shared" si="1725"/>
        <v>3</v>
      </c>
      <c r="J1875" s="11">
        <f t="shared" si="1726"/>
        <v>9</v>
      </c>
      <c r="K1875" s="63">
        <v>46170</v>
      </c>
      <c r="M1875" s="26"/>
      <c r="N1875" s="8"/>
      <c r="O1875" s="9"/>
      <c r="P1875" s="10"/>
      <c r="Q1875" s="49">
        <f t="shared" si="1730"/>
        <v>0</v>
      </c>
      <c r="R1875" s="12"/>
      <c r="S1875" s="9"/>
      <c r="T1875" s="10"/>
      <c r="U1875" s="49">
        <f t="shared" si="1731"/>
        <v>0</v>
      </c>
      <c r="V1875" s="11">
        <f t="shared" si="1732"/>
        <v>0</v>
      </c>
    </row>
    <row r="1876" spans="1:23" x14ac:dyDescent="0.15">
      <c r="A1876" s="26" t="s">
        <v>528</v>
      </c>
      <c r="B1876" s="8">
        <v>-5</v>
      </c>
      <c r="C1876" s="9">
        <v>-5</v>
      </c>
      <c r="D1876" s="10"/>
      <c r="E1876" s="49">
        <f t="shared" si="1721"/>
        <v>-10</v>
      </c>
      <c r="F1876" s="12">
        <v>-5</v>
      </c>
      <c r="G1876" s="9">
        <v>-10</v>
      </c>
      <c r="H1876" s="10"/>
      <c r="I1876" s="49">
        <f t="shared" si="1725"/>
        <v>-15</v>
      </c>
      <c r="J1876" s="11">
        <f t="shared" si="1726"/>
        <v>-25</v>
      </c>
      <c r="K1876" s="63">
        <v>46171</v>
      </c>
      <c r="M1876" s="26"/>
      <c r="N1876" s="8"/>
      <c r="O1876" s="9"/>
      <c r="P1876" s="10"/>
      <c r="Q1876" s="49">
        <f t="shared" si="1730"/>
        <v>0</v>
      </c>
      <c r="R1876" s="12"/>
      <c r="S1876" s="9"/>
      <c r="T1876" s="10"/>
      <c r="U1876" s="49">
        <f t="shared" si="1731"/>
        <v>0</v>
      </c>
      <c r="V1876" s="11">
        <f t="shared" si="1732"/>
        <v>0</v>
      </c>
    </row>
    <row r="1877" spans="1:23" x14ac:dyDescent="0.15">
      <c r="A1877" s="26" t="s">
        <v>33</v>
      </c>
      <c r="B1877" s="8"/>
      <c r="C1877" s="9">
        <v>2</v>
      </c>
      <c r="D1877" s="10">
        <v>2</v>
      </c>
      <c r="E1877" s="49">
        <f t="shared" si="1721"/>
        <v>4</v>
      </c>
      <c r="F1877" s="12"/>
      <c r="G1877" s="9">
        <v>1</v>
      </c>
      <c r="H1877" s="10">
        <v>1</v>
      </c>
      <c r="I1877" s="49">
        <f t="shared" si="1725"/>
        <v>2</v>
      </c>
      <c r="J1877" s="11">
        <f t="shared" si="1726"/>
        <v>6</v>
      </c>
      <c r="K1877" s="71">
        <v>46171</v>
      </c>
      <c r="M1877" s="26"/>
      <c r="N1877" s="8"/>
      <c r="O1877" s="9"/>
      <c r="P1877" s="10"/>
      <c r="Q1877" s="49">
        <f t="shared" si="1730"/>
        <v>0</v>
      </c>
      <c r="R1877" s="12"/>
      <c r="S1877" s="9"/>
      <c r="T1877" s="10"/>
      <c r="U1877" s="49">
        <f t="shared" si="1731"/>
        <v>0</v>
      </c>
      <c r="V1877" s="11">
        <f t="shared" si="1732"/>
        <v>0</v>
      </c>
    </row>
    <row r="1878" spans="1:23" x14ac:dyDescent="0.15">
      <c r="A1878" s="26" t="s">
        <v>529</v>
      </c>
      <c r="B1878" s="8"/>
      <c r="C1878" s="9"/>
      <c r="D1878" s="10">
        <v>1</v>
      </c>
      <c r="E1878" s="49">
        <f t="shared" si="1721"/>
        <v>1</v>
      </c>
      <c r="F1878" s="12"/>
      <c r="G1878" s="9"/>
      <c r="H1878" s="10"/>
      <c r="I1878" s="49">
        <f t="shared" si="1725"/>
        <v>0</v>
      </c>
      <c r="J1878" s="11">
        <f t="shared" si="1726"/>
        <v>1</v>
      </c>
      <c r="K1878" s="71">
        <v>46171</v>
      </c>
      <c r="M1878" s="26"/>
      <c r="N1878" s="8"/>
      <c r="O1878" s="9"/>
      <c r="P1878" s="10"/>
      <c r="Q1878" s="49">
        <f t="shared" si="1730"/>
        <v>0</v>
      </c>
      <c r="R1878" s="12"/>
      <c r="S1878" s="9"/>
      <c r="T1878" s="10"/>
      <c r="U1878" s="49">
        <f t="shared" si="1731"/>
        <v>0</v>
      </c>
      <c r="V1878" s="11">
        <f t="shared" si="1732"/>
        <v>0</v>
      </c>
    </row>
    <row r="1879" spans="1:23" x14ac:dyDescent="0.15">
      <c r="A1879" s="26" t="s">
        <v>33</v>
      </c>
      <c r="B1879" s="8">
        <v>5</v>
      </c>
      <c r="C1879" s="9">
        <v>3</v>
      </c>
      <c r="D1879" s="10">
        <v>7</v>
      </c>
      <c r="E1879" s="49">
        <f t="shared" si="1721"/>
        <v>15</v>
      </c>
      <c r="F1879" s="12">
        <v>8</v>
      </c>
      <c r="G1879" s="9">
        <v>5</v>
      </c>
      <c r="H1879" s="10">
        <v>4</v>
      </c>
      <c r="I1879" s="49">
        <f t="shared" si="1725"/>
        <v>17</v>
      </c>
      <c r="J1879" s="11">
        <f t="shared" si="1726"/>
        <v>32</v>
      </c>
      <c r="K1879" s="71">
        <v>46174</v>
      </c>
      <c r="M1879" s="26"/>
      <c r="N1879" s="8"/>
      <c r="O1879" s="9"/>
      <c r="P1879" s="10"/>
      <c r="Q1879" s="49">
        <f t="shared" si="1730"/>
        <v>0</v>
      </c>
      <c r="R1879" s="12"/>
      <c r="S1879" s="9"/>
      <c r="T1879" s="10"/>
      <c r="U1879" s="49">
        <f t="shared" si="1731"/>
        <v>0</v>
      </c>
      <c r="V1879" s="11">
        <f t="shared" si="1732"/>
        <v>0</v>
      </c>
    </row>
    <row r="1880" spans="1:23" x14ac:dyDescent="0.15">
      <c r="A1880" s="147" t="s">
        <v>189</v>
      </c>
      <c r="B1880" s="148"/>
      <c r="C1880" s="149"/>
      <c r="D1880" s="150">
        <v>-10</v>
      </c>
      <c r="E1880" s="151">
        <f t="shared" si="1721"/>
        <v>-10</v>
      </c>
      <c r="F1880" s="152"/>
      <c r="G1880" s="149"/>
      <c r="H1880" s="150">
        <v>-5</v>
      </c>
      <c r="I1880" s="151">
        <f t="shared" si="1725"/>
        <v>-5</v>
      </c>
      <c r="J1880" s="153">
        <f t="shared" si="1726"/>
        <v>-15</v>
      </c>
      <c r="K1880" s="154">
        <v>46175</v>
      </c>
      <c r="M1880" s="26"/>
      <c r="N1880" s="8"/>
      <c r="O1880" s="9"/>
      <c r="P1880" s="10"/>
      <c r="Q1880" s="49">
        <f t="shared" si="1730"/>
        <v>0</v>
      </c>
      <c r="R1880" s="12"/>
      <c r="S1880" s="9"/>
      <c r="T1880" s="10"/>
      <c r="U1880" s="49">
        <f t="shared" si="1731"/>
        <v>0</v>
      </c>
      <c r="V1880" s="11">
        <f t="shared" si="1732"/>
        <v>0</v>
      </c>
    </row>
    <row r="1881" spans="1:23" x14ac:dyDescent="0.15">
      <c r="A1881" s="26" t="s">
        <v>33</v>
      </c>
      <c r="B1881" s="8">
        <v>1</v>
      </c>
      <c r="C1881" s="9">
        <v>2</v>
      </c>
      <c r="D1881" s="10">
        <v>4</v>
      </c>
      <c r="E1881" s="49">
        <f t="shared" si="1721"/>
        <v>7</v>
      </c>
      <c r="F1881" s="12">
        <v>4</v>
      </c>
      <c r="G1881" s="9"/>
      <c r="H1881" s="10">
        <v>3</v>
      </c>
      <c r="I1881" s="49">
        <f t="shared" si="1725"/>
        <v>7</v>
      </c>
      <c r="J1881" s="11">
        <f t="shared" si="1726"/>
        <v>14</v>
      </c>
      <c r="K1881" s="71">
        <v>46175</v>
      </c>
      <c r="M1881" s="26"/>
      <c r="N1881" s="8"/>
      <c r="O1881" s="9"/>
      <c r="P1881" s="10"/>
      <c r="Q1881" s="49">
        <f t="shared" si="1730"/>
        <v>0</v>
      </c>
      <c r="R1881" s="12"/>
      <c r="S1881" s="9"/>
      <c r="T1881" s="10"/>
      <c r="U1881" s="49">
        <f t="shared" si="1731"/>
        <v>0</v>
      </c>
      <c r="V1881" s="11">
        <f t="shared" si="1732"/>
        <v>0</v>
      </c>
    </row>
    <row r="1882" spans="1:23" x14ac:dyDescent="0.15">
      <c r="A1882" s="26" t="s">
        <v>189</v>
      </c>
      <c r="B1882" s="8"/>
      <c r="C1882" s="9">
        <v>-10</v>
      </c>
      <c r="D1882" s="10"/>
      <c r="E1882" s="49">
        <f t="shared" si="1721"/>
        <v>-10</v>
      </c>
      <c r="F1882" s="12">
        <v>-10</v>
      </c>
      <c r="G1882" s="9"/>
      <c r="H1882" s="10"/>
      <c r="I1882" s="49">
        <f t="shared" si="1725"/>
        <v>-10</v>
      </c>
      <c r="J1882" s="11">
        <f t="shared" si="1726"/>
        <v>-20</v>
      </c>
      <c r="K1882" s="63">
        <v>46176</v>
      </c>
      <c r="M1882" s="26"/>
      <c r="N1882" s="8"/>
      <c r="O1882" s="9"/>
      <c r="P1882" s="10"/>
      <c r="Q1882" s="49">
        <f t="shared" si="1730"/>
        <v>0</v>
      </c>
      <c r="R1882" s="12"/>
      <c r="S1882" s="9"/>
      <c r="T1882" s="10"/>
      <c r="U1882" s="49">
        <f t="shared" si="1731"/>
        <v>0</v>
      </c>
      <c r="V1882" s="11">
        <f t="shared" si="1732"/>
        <v>0</v>
      </c>
    </row>
    <row r="1883" spans="1:23" x14ac:dyDescent="0.15">
      <c r="A1883" s="147" t="s">
        <v>189</v>
      </c>
      <c r="B1883" s="148">
        <v>-5</v>
      </c>
      <c r="C1883" s="149"/>
      <c r="D1883" s="150">
        <v>-5</v>
      </c>
      <c r="E1883" s="151">
        <f t="shared" si="1721"/>
        <v>-10</v>
      </c>
      <c r="F1883" s="152"/>
      <c r="G1883" s="149">
        <v>-5</v>
      </c>
      <c r="H1883" s="150">
        <v>-5</v>
      </c>
      <c r="I1883" s="151">
        <f t="shared" si="1725"/>
        <v>-10</v>
      </c>
      <c r="J1883" s="153">
        <f t="shared" si="1726"/>
        <v>-20</v>
      </c>
      <c r="K1883" s="154">
        <v>46177</v>
      </c>
      <c r="M1883" s="26"/>
      <c r="N1883" s="8"/>
      <c r="O1883" s="9"/>
      <c r="P1883" s="10"/>
      <c r="Q1883" s="49">
        <f t="shared" si="1730"/>
        <v>0</v>
      </c>
      <c r="R1883" s="12"/>
      <c r="S1883" s="9"/>
      <c r="T1883" s="10"/>
      <c r="U1883" s="49">
        <f t="shared" si="1731"/>
        <v>0</v>
      </c>
      <c r="V1883" s="11">
        <f t="shared" si="1732"/>
        <v>0</v>
      </c>
    </row>
    <row r="1884" spans="1:23" x14ac:dyDescent="0.15">
      <c r="A1884" s="26" t="s">
        <v>33</v>
      </c>
      <c r="B1884" s="8"/>
      <c r="C1884" s="9">
        <v>1</v>
      </c>
      <c r="D1884" s="10">
        <v>2</v>
      </c>
      <c r="E1884" s="49">
        <f t="shared" si="1721"/>
        <v>3</v>
      </c>
      <c r="F1884" s="12"/>
      <c r="G1884" s="9"/>
      <c r="H1884" s="10">
        <v>1</v>
      </c>
      <c r="I1884" s="49">
        <f t="shared" si="1725"/>
        <v>1</v>
      </c>
      <c r="J1884" s="11">
        <f t="shared" si="1726"/>
        <v>4</v>
      </c>
      <c r="K1884" s="71">
        <v>46176</v>
      </c>
      <c r="M1884" s="26"/>
      <c r="N1884" s="8"/>
      <c r="O1884" s="9"/>
      <c r="P1884" s="10"/>
      <c r="Q1884" s="49">
        <f t="shared" ref="Q1884:Q1886" si="1733">SUM(N1884:P1884)</f>
        <v>0</v>
      </c>
      <c r="R1884" s="12"/>
      <c r="S1884" s="9"/>
      <c r="T1884" s="10"/>
      <c r="U1884" s="49">
        <f t="shared" ref="U1884:U1886" si="1734">SUM(R1884:T1884)</f>
        <v>0</v>
      </c>
      <c r="V1884" s="11">
        <f t="shared" ref="V1884:V1886" si="1735">Q1884+U1884</f>
        <v>0</v>
      </c>
    </row>
    <row r="1885" spans="1:23" x14ac:dyDescent="0.15">
      <c r="A1885" s="26" t="s">
        <v>33</v>
      </c>
      <c r="B1885" s="8"/>
      <c r="C1885" s="9">
        <v>1</v>
      </c>
      <c r="D1885" s="10"/>
      <c r="E1885" s="49">
        <f t="shared" si="1721"/>
        <v>1</v>
      </c>
      <c r="F1885" s="12"/>
      <c r="G1885" s="9">
        <v>1</v>
      </c>
      <c r="H1885" s="10">
        <v>1</v>
      </c>
      <c r="I1885" s="49">
        <f t="shared" si="1725"/>
        <v>2</v>
      </c>
      <c r="J1885" s="11">
        <f t="shared" si="1726"/>
        <v>3</v>
      </c>
      <c r="K1885" s="71">
        <v>46177</v>
      </c>
      <c r="M1885" s="26"/>
      <c r="N1885" s="8"/>
      <c r="O1885" s="9"/>
      <c r="P1885" s="10"/>
      <c r="Q1885" s="49">
        <f t="shared" si="1733"/>
        <v>0</v>
      </c>
      <c r="R1885" s="12"/>
      <c r="S1885" s="9"/>
      <c r="T1885" s="10"/>
      <c r="U1885" s="49">
        <f t="shared" si="1734"/>
        <v>0</v>
      </c>
      <c r="V1885" s="11">
        <f t="shared" si="1735"/>
        <v>0</v>
      </c>
    </row>
    <row r="1886" spans="1:23" x14ac:dyDescent="0.15">
      <c r="A1886" s="26" t="s">
        <v>33</v>
      </c>
      <c r="B1886" s="8"/>
      <c r="C1886" s="9">
        <v>1</v>
      </c>
      <c r="D1886" s="10">
        <v>1</v>
      </c>
      <c r="E1886" s="49">
        <f t="shared" si="1721"/>
        <v>2</v>
      </c>
      <c r="F1886" s="12">
        <v>1</v>
      </c>
      <c r="G1886" s="9">
        <v>2</v>
      </c>
      <c r="H1886" s="10"/>
      <c r="I1886" s="49">
        <f t="shared" ref="I1886:I1889" si="1736">SUM(F1886:H1886)</f>
        <v>3</v>
      </c>
      <c r="J1886" s="11">
        <f t="shared" ref="J1886:J1888" si="1737">E1886+I1886</f>
        <v>5</v>
      </c>
      <c r="K1886" s="71">
        <v>46178</v>
      </c>
      <c r="M1886" s="26"/>
      <c r="N1886" s="8"/>
      <c r="O1886" s="9"/>
      <c r="P1886" s="10"/>
      <c r="Q1886" s="49">
        <f t="shared" si="1733"/>
        <v>0</v>
      </c>
      <c r="R1886" s="12"/>
      <c r="S1886" s="9"/>
      <c r="T1886" s="10"/>
      <c r="U1886" s="49">
        <f t="shared" si="1734"/>
        <v>0</v>
      </c>
      <c r="V1886" s="11">
        <f t="shared" si="1735"/>
        <v>0</v>
      </c>
    </row>
    <row r="1887" spans="1:23" x14ac:dyDescent="0.15">
      <c r="A1887" s="26" t="s">
        <v>33</v>
      </c>
      <c r="B1887" s="8">
        <v>2</v>
      </c>
      <c r="C1887" s="9">
        <v>3</v>
      </c>
      <c r="D1887" s="10">
        <v>4</v>
      </c>
      <c r="E1887" s="49">
        <f t="shared" si="1721"/>
        <v>9</v>
      </c>
      <c r="F1887" s="12">
        <v>1</v>
      </c>
      <c r="G1887" s="9">
        <v>4</v>
      </c>
      <c r="H1887" s="10">
        <v>4</v>
      </c>
      <c r="I1887" s="49">
        <f t="shared" si="1736"/>
        <v>9</v>
      </c>
      <c r="J1887" s="11">
        <f t="shared" si="1737"/>
        <v>18</v>
      </c>
      <c r="K1887" s="71">
        <v>46181</v>
      </c>
      <c r="M1887" s="26"/>
      <c r="N1887" s="8"/>
      <c r="O1887" s="9"/>
      <c r="P1887" s="10"/>
      <c r="Q1887" s="49">
        <f t="shared" ref="Q1887:Q1888" si="1738">SUM(N1887:P1887)</f>
        <v>0</v>
      </c>
      <c r="R1887" s="12"/>
      <c r="S1887" s="9"/>
      <c r="T1887" s="10"/>
      <c r="U1887" s="49">
        <f t="shared" ref="U1887:U1888" si="1739">SUM(R1887:T1887)</f>
        <v>0</v>
      </c>
      <c r="V1887" s="11">
        <f t="shared" ref="V1887:V1888" si="1740">Q1887+U1887</f>
        <v>0</v>
      </c>
    </row>
    <row r="1888" spans="1:23" ht="14.25" thickBot="1" x14ac:dyDescent="0.2">
      <c r="A1888" s="26" t="s">
        <v>33</v>
      </c>
      <c r="B1888" s="8">
        <v>1</v>
      </c>
      <c r="C1888" s="9"/>
      <c r="D1888" s="10"/>
      <c r="E1888" s="49">
        <f t="shared" si="1721"/>
        <v>1</v>
      </c>
      <c r="F1888" s="12">
        <v>4</v>
      </c>
      <c r="G1888" s="9">
        <v>1</v>
      </c>
      <c r="H1888" s="10"/>
      <c r="I1888" s="49">
        <f t="shared" si="1736"/>
        <v>5</v>
      </c>
      <c r="J1888" s="11">
        <f t="shared" si="1737"/>
        <v>6</v>
      </c>
      <c r="K1888" s="71">
        <v>46182</v>
      </c>
      <c r="M1888" s="26"/>
      <c r="N1888" s="8"/>
      <c r="O1888" s="9"/>
      <c r="P1888" s="10"/>
      <c r="Q1888" s="49">
        <f t="shared" si="1738"/>
        <v>0</v>
      </c>
      <c r="R1888" s="12"/>
      <c r="S1888" s="9"/>
      <c r="T1888" s="10"/>
      <c r="U1888" s="49">
        <f t="shared" si="1739"/>
        <v>0</v>
      </c>
      <c r="V1888" s="11">
        <f t="shared" si="1740"/>
        <v>0</v>
      </c>
    </row>
    <row r="1889" spans="1:22" ht="14.25" thickBot="1" x14ac:dyDescent="0.2">
      <c r="A1889" s="41" t="s">
        <v>19</v>
      </c>
      <c r="B1889" s="46">
        <f>SUM(B1863:B1888)</f>
        <v>30</v>
      </c>
      <c r="C1889" s="47">
        <f t="shared" ref="C1889:D1889" si="1741">SUM(C1863:C1888)</f>
        <v>18</v>
      </c>
      <c r="D1889" s="59">
        <f t="shared" si="1741"/>
        <v>19</v>
      </c>
      <c r="E1889" s="45">
        <f>SUM(B1889:D1889)</f>
        <v>67</v>
      </c>
      <c r="F1889" s="46">
        <f>SUM(F1863:F1888)</f>
        <v>30</v>
      </c>
      <c r="G1889" s="47">
        <f t="shared" ref="G1889:H1889" si="1742">SUM(G1863:G1888)</f>
        <v>8</v>
      </c>
      <c r="H1889" s="59">
        <f t="shared" si="1742"/>
        <v>18</v>
      </c>
      <c r="I1889" s="45">
        <f t="shared" si="1736"/>
        <v>56</v>
      </c>
      <c r="J1889" s="45">
        <f>E1889+I1889</f>
        <v>123</v>
      </c>
      <c r="M1889" s="41" t="s">
        <v>19</v>
      </c>
      <c r="N1889" s="46">
        <f>SUM(N1863:N1888)</f>
        <v>33</v>
      </c>
      <c r="O1889" s="47">
        <f t="shared" ref="O1889:P1889" si="1743">SUM(O1863:O1888)</f>
        <v>33</v>
      </c>
      <c r="P1889" s="59">
        <f t="shared" si="1743"/>
        <v>36</v>
      </c>
      <c r="Q1889" s="45">
        <f t="shared" si="1730"/>
        <v>102</v>
      </c>
      <c r="R1889" s="46">
        <f>SUM(R1863:R1888)</f>
        <v>43</v>
      </c>
      <c r="S1889" s="47">
        <f t="shared" ref="S1889:T1889" si="1744">SUM(S1863:S1888)</f>
        <v>25</v>
      </c>
      <c r="T1889" s="59">
        <f t="shared" si="1744"/>
        <v>28</v>
      </c>
      <c r="U1889" s="45">
        <f t="shared" si="1731"/>
        <v>96</v>
      </c>
      <c r="V1889" s="45">
        <f>Q1889+U1889</f>
        <v>198</v>
      </c>
    </row>
    <row r="1890" spans="1:22" ht="14.25" thickBot="1" x14ac:dyDescent="0.2">
      <c r="A1890" s="22" t="s">
        <v>17</v>
      </c>
      <c r="B1890" s="50">
        <f>B1862-B1889</f>
        <v>9</v>
      </c>
      <c r="C1890" s="57">
        <f t="shared" ref="C1890:D1890" si="1745">C1862-C1889</f>
        <v>9</v>
      </c>
      <c r="D1890" s="58">
        <f t="shared" si="1745"/>
        <v>4</v>
      </c>
      <c r="E1890" s="56">
        <f>SUM(B1890:D1890)</f>
        <v>22</v>
      </c>
      <c r="F1890" s="50">
        <f>F1862-F1889</f>
        <v>6</v>
      </c>
      <c r="G1890" s="57">
        <f t="shared" ref="G1890:H1890" si="1746">G1862-G1889</f>
        <v>5</v>
      </c>
      <c r="H1890" s="58">
        <f t="shared" si="1746"/>
        <v>6</v>
      </c>
      <c r="I1890" s="56">
        <f>SUM(F1890:H1890)</f>
        <v>17</v>
      </c>
      <c r="J1890" s="31">
        <f>E1890+I1890</f>
        <v>39</v>
      </c>
      <c r="M1890" s="22" t="s">
        <v>17</v>
      </c>
      <c r="N1890" s="50">
        <f>N1862-N1889</f>
        <v>266</v>
      </c>
      <c r="O1890" s="57">
        <f t="shared" ref="O1890:P1890" si="1747">O1862-O1889</f>
        <v>394</v>
      </c>
      <c r="P1890" s="58">
        <f t="shared" si="1747"/>
        <v>151</v>
      </c>
      <c r="Q1890" s="56">
        <f>SUM(N1890:P1890)</f>
        <v>811</v>
      </c>
      <c r="R1890" s="50">
        <f>R1862-R1889</f>
        <v>269</v>
      </c>
      <c r="S1890" s="57">
        <f t="shared" ref="S1890:T1890" si="1748">S1862-S1889</f>
        <v>359</v>
      </c>
      <c r="T1890" s="58">
        <f t="shared" si="1748"/>
        <v>65</v>
      </c>
      <c r="U1890" s="56">
        <f>SUM(R1890:T1890)</f>
        <v>693</v>
      </c>
      <c r="V1890" s="31">
        <f>Q1890+U1890</f>
        <v>1504</v>
      </c>
    </row>
    <row r="1893" spans="1:22" ht="19.5" thickBot="1" x14ac:dyDescent="0.25">
      <c r="A1893" s="3" t="s">
        <v>21</v>
      </c>
      <c r="B1893" s="1"/>
      <c r="C1893" s="1"/>
      <c r="D1893" s="1"/>
      <c r="E1893" s="1"/>
      <c r="F1893" s="1"/>
      <c r="G1893" s="1"/>
      <c r="H1893" s="1" t="s">
        <v>498</v>
      </c>
      <c r="I1893" s="1"/>
      <c r="J1893" s="1"/>
      <c r="M1893" s="3" t="s">
        <v>22</v>
      </c>
      <c r="N1893" s="1"/>
      <c r="O1893" s="1"/>
      <c r="P1893" s="1"/>
      <c r="Q1893" s="1"/>
      <c r="R1893" s="1"/>
      <c r="S1893" s="1" t="s">
        <v>498</v>
      </c>
      <c r="T1893" s="1"/>
      <c r="U1893" s="1"/>
      <c r="V1893" s="1">
        <v>580</v>
      </c>
    </row>
    <row r="1894" spans="1:22" ht="14.25" thickBot="1" x14ac:dyDescent="0.2">
      <c r="A1894" s="7" t="s">
        <v>0</v>
      </c>
      <c r="B1894" s="165" t="s">
        <v>24</v>
      </c>
      <c r="C1894" s="166"/>
      <c r="D1894" s="166"/>
      <c r="E1894" s="170"/>
      <c r="F1894" s="165" t="s">
        <v>18</v>
      </c>
      <c r="G1894" s="166"/>
      <c r="H1894" s="166"/>
      <c r="I1894" s="167"/>
      <c r="J1894" s="168" t="s">
        <v>1</v>
      </c>
      <c r="M1894" s="7" t="s">
        <v>0</v>
      </c>
      <c r="N1894" s="165" t="s">
        <v>24</v>
      </c>
      <c r="O1894" s="166"/>
      <c r="P1894" s="166"/>
      <c r="Q1894" s="170"/>
      <c r="R1894" s="165" t="s">
        <v>18</v>
      </c>
      <c r="S1894" s="166"/>
      <c r="T1894" s="166"/>
      <c r="U1894" s="167"/>
      <c r="V1894" s="168" t="s">
        <v>1</v>
      </c>
    </row>
    <row r="1895" spans="1:22" ht="14.25" thickBot="1" x14ac:dyDescent="0.2">
      <c r="A1895" s="7" t="s">
        <v>2</v>
      </c>
      <c r="B1895" s="4" t="s">
        <v>3</v>
      </c>
      <c r="C1895" s="5" t="s">
        <v>4</v>
      </c>
      <c r="D1895" s="6" t="s">
        <v>5</v>
      </c>
      <c r="E1895" s="7" t="s">
        <v>6</v>
      </c>
      <c r="F1895" s="4" t="s">
        <v>3</v>
      </c>
      <c r="G1895" s="5" t="s">
        <v>4</v>
      </c>
      <c r="H1895" s="6" t="s">
        <v>5</v>
      </c>
      <c r="I1895" s="7" t="s">
        <v>6</v>
      </c>
      <c r="J1895" s="169"/>
      <c r="M1895" s="7" t="s">
        <v>2</v>
      </c>
      <c r="N1895" s="4" t="s">
        <v>3</v>
      </c>
      <c r="O1895" s="5" t="s">
        <v>4</v>
      </c>
      <c r="P1895" s="6" t="s">
        <v>5</v>
      </c>
      <c r="Q1895" s="7" t="s">
        <v>6</v>
      </c>
      <c r="R1895" s="4" t="s">
        <v>3</v>
      </c>
      <c r="S1895" s="5" t="s">
        <v>4</v>
      </c>
      <c r="T1895" s="6" t="s">
        <v>5</v>
      </c>
      <c r="U1895" s="7" t="s">
        <v>6</v>
      </c>
      <c r="V1895" s="169"/>
    </row>
    <row r="1896" spans="1:22" ht="14.25" thickBot="1" x14ac:dyDescent="0.2">
      <c r="A1896" s="27" t="s">
        <v>20</v>
      </c>
      <c r="B1896" s="28">
        <f>B1890</f>
        <v>9</v>
      </c>
      <c r="C1896" s="29">
        <f>C1890</f>
        <v>9</v>
      </c>
      <c r="D1896" s="30">
        <f>D1890</f>
        <v>4</v>
      </c>
      <c r="E1896" s="31">
        <f t="shared" ref="E1896:E1900" si="1749">SUM(B1896:D1896)</f>
        <v>22</v>
      </c>
      <c r="F1896" s="28">
        <f>F1890</f>
        <v>6</v>
      </c>
      <c r="G1896" s="29">
        <f>G1890</f>
        <v>5</v>
      </c>
      <c r="H1896" s="30">
        <f>H1890</f>
        <v>6</v>
      </c>
      <c r="I1896" s="31">
        <f>SUM(F1896:H1896)</f>
        <v>17</v>
      </c>
      <c r="J1896" s="31">
        <f>E1896+I1896</f>
        <v>39</v>
      </c>
      <c r="M1896" s="27" t="s">
        <v>20</v>
      </c>
      <c r="N1896" s="28">
        <f>N1890</f>
        <v>266</v>
      </c>
      <c r="O1896" s="29">
        <f>O1890</f>
        <v>394</v>
      </c>
      <c r="P1896" s="30">
        <f>P1890</f>
        <v>151</v>
      </c>
      <c r="Q1896" s="31">
        <f>SUM(N1896:P1896)</f>
        <v>811</v>
      </c>
      <c r="R1896" s="28">
        <f>R1890</f>
        <v>269</v>
      </c>
      <c r="S1896" s="29">
        <f>S1890</f>
        <v>359</v>
      </c>
      <c r="T1896" s="30">
        <f>T1890</f>
        <v>65</v>
      </c>
      <c r="U1896" s="31">
        <f>SUM(R1896:T1896)</f>
        <v>693</v>
      </c>
      <c r="V1896" s="31">
        <f>Q1896+U1896</f>
        <v>1504</v>
      </c>
    </row>
    <row r="1897" spans="1:22" x14ac:dyDescent="0.15">
      <c r="A1897" s="155" t="s">
        <v>8</v>
      </c>
      <c r="B1897" s="148"/>
      <c r="C1897" s="149"/>
      <c r="D1897" s="156">
        <v>5</v>
      </c>
      <c r="E1897" s="153">
        <f t="shared" ref="E1897:E1899" si="1750">SUM(B1897:D1897)</f>
        <v>5</v>
      </c>
      <c r="F1897" s="152"/>
      <c r="G1897" s="149">
        <v>5</v>
      </c>
      <c r="H1897" s="150"/>
      <c r="I1897" s="153">
        <f t="shared" ref="I1897:I1899" si="1751">SUM(F1897:H1897)</f>
        <v>5</v>
      </c>
      <c r="J1897" s="153">
        <f t="shared" ref="J1897:J1899" si="1752">E1897+I1897</f>
        <v>10</v>
      </c>
      <c r="K1897" s="154">
        <v>46182</v>
      </c>
      <c r="L1897" s="159"/>
      <c r="M1897" s="25" t="s">
        <v>8</v>
      </c>
      <c r="N1897" s="17"/>
      <c r="O1897" s="18"/>
      <c r="P1897" s="51"/>
      <c r="Q1897" s="49">
        <f t="shared" ref="Q1897:Q1904" si="1753">SUM(N1897:P1897)</f>
        <v>0</v>
      </c>
      <c r="R1897" s="20"/>
      <c r="S1897" s="18"/>
      <c r="T1897" s="19"/>
      <c r="U1897" s="49">
        <f t="shared" ref="U1897:U1904" si="1754">SUM(R1897:T1897)</f>
        <v>0</v>
      </c>
      <c r="V1897" s="49">
        <f t="shared" ref="V1897:V1904" si="1755">Q1897+U1897</f>
        <v>0</v>
      </c>
    </row>
    <row r="1898" spans="1:22" x14ac:dyDescent="0.15">
      <c r="A1898" s="25" t="s">
        <v>9</v>
      </c>
      <c r="B1898" s="8">
        <v>5</v>
      </c>
      <c r="C1898" s="9">
        <v>5</v>
      </c>
      <c r="D1898" s="52">
        <v>5</v>
      </c>
      <c r="E1898" s="11">
        <f t="shared" si="1750"/>
        <v>15</v>
      </c>
      <c r="F1898" s="12">
        <v>5</v>
      </c>
      <c r="G1898" s="9">
        <v>5</v>
      </c>
      <c r="H1898" s="10">
        <v>5</v>
      </c>
      <c r="I1898" s="11">
        <f t="shared" si="1751"/>
        <v>15</v>
      </c>
      <c r="J1898" s="11">
        <f t="shared" si="1752"/>
        <v>30</v>
      </c>
      <c r="K1898" s="63">
        <v>46188</v>
      </c>
      <c r="L1898" s="159"/>
      <c r="M1898" s="25" t="s">
        <v>9</v>
      </c>
      <c r="N1898" s="8"/>
      <c r="O1898" s="9"/>
      <c r="P1898" s="52"/>
      <c r="Q1898" s="11">
        <f t="shared" si="1753"/>
        <v>0</v>
      </c>
      <c r="R1898" s="12"/>
      <c r="S1898" s="9"/>
      <c r="T1898" s="10"/>
      <c r="U1898" s="11">
        <f t="shared" si="1754"/>
        <v>0</v>
      </c>
      <c r="V1898" s="11">
        <f t="shared" si="1755"/>
        <v>0</v>
      </c>
    </row>
    <row r="1899" spans="1:22" x14ac:dyDescent="0.15">
      <c r="A1899" s="25" t="s">
        <v>10</v>
      </c>
      <c r="B1899" s="8"/>
      <c r="C1899" s="9"/>
      <c r="D1899" s="52"/>
      <c r="E1899" s="11">
        <f t="shared" si="1750"/>
        <v>0</v>
      </c>
      <c r="F1899" s="12">
        <v>5</v>
      </c>
      <c r="G1899" s="9">
        <v>5</v>
      </c>
      <c r="H1899" s="10"/>
      <c r="I1899" s="11">
        <f t="shared" si="1751"/>
        <v>10</v>
      </c>
      <c r="J1899" s="11">
        <f t="shared" si="1752"/>
        <v>10</v>
      </c>
      <c r="K1899" s="63">
        <v>46190</v>
      </c>
      <c r="M1899" s="25" t="s">
        <v>10</v>
      </c>
      <c r="N1899" s="8"/>
      <c r="O1899" s="9"/>
      <c r="P1899" s="52"/>
      <c r="Q1899" s="11">
        <f t="shared" si="1753"/>
        <v>0</v>
      </c>
      <c r="R1899" s="12"/>
      <c r="S1899" s="9"/>
      <c r="T1899" s="10"/>
      <c r="U1899" s="11">
        <f t="shared" si="1754"/>
        <v>0</v>
      </c>
      <c r="V1899" s="11">
        <f t="shared" si="1755"/>
        <v>0</v>
      </c>
    </row>
    <row r="1900" spans="1:22" x14ac:dyDescent="0.15">
      <c r="A1900" s="87" t="s">
        <v>11</v>
      </c>
      <c r="B1900" s="83">
        <v>5</v>
      </c>
      <c r="C1900" s="84">
        <v>5</v>
      </c>
      <c r="D1900" s="88"/>
      <c r="E1900" s="69">
        <f t="shared" si="1749"/>
        <v>10</v>
      </c>
      <c r="F1900" s="86">
        <v>5</v>
      </c>
      <c r="G1900" s="84">
        <v>5</v>
      </c>
      <c r="H1900" s="85"/>
      <c r="I1900" s="69">
        <f t="shared" ref="I1900" si="1756">SUM(F1900:H1900)</f>
        <v>10</v>
      </c>
      <c r="J1900" s="69">
        <f t="shared" ref="J1900" si="1757">E1900+I1900</f>
        <v>20</v>
      </c>
      <c r="K1900" s="70">
        <v>46191</v>
      </c>
      <c r="M1900" s="25" t="s">
        <v>11</v>
      </c>
      <c r="N1900" s="8"/>
      <c r="O1900" s="9"/>
      <c r="P1900" s="52"/>
      <c r="Q1900" s="11">
        <f t="shared" si="1753"/>
        <v>0</v>
      </c>
      <c r="R1900" s="12"/>
      <c r="S1900" s="9"/>
      <c r="T1900" s="10"/>
      <c r="U1900" s="11">
        <f t="shared" si="1754"/>
        <v>0</v>
      </c>
      <c r="V1900" s="11">
        <f t="shared" si="1755"/>
        <v>0</v>
      </c>
    </row>
    <row r="1901" spans="1:22" x14ac:dyDescent="0.15">
      <c r="A1901" s="155" t="s">
        <v>12</v>
      </c>
      <c r="B1901" s="148"/>
      <c r="C1901" s="149"/>
      <c r="D1901" s="156"/>
      <c r="E1901" s="153">
        <f t="shared" ref="E1901:E1904" si="1758">SUM(B1901:D1901)</f>
        <v>0</v>
      </c>
      <c r="F1901" s="152"/>
      <c r="G1901" s="149"/>
      <c r="H1901" s="150"/>
      <c r="I1901" s="153">
        <f t="shared" ref="I1901:I1904" si="1759">SUM(F1901:H1901)</f>
        <v>0</v>
      </c>
      <c r="J1901" s="153">
        <f t="shared" ref="J1901:J1904" si="1760">E1901+I1901</f>
        <v>0</v>
      </c>
      <c r="K1901" s="154"/>
      <c r="M1901" s="25" t="s">
        <v>12</v>
      </c>
      <c r="N1901" s="8"/>
      <c r="O1901" s="9"/>
      <c r="P1901" s="52"/>
      <c r="Q1901" s="11">
        <f t="shared" si="1753"/>
        <v>0</v>
      </c>
      <c r="R1901" s="12"/>
      <c r="S1901" s="9"/>
      <c r="T1901" s="10"/>
      <c r="U1901" s="11">
        <f t="shared" si="1754"/>
        <v>0</v>
      </c>
      <c r="V1901" s="11">
        <f t="shared" si="1755"/>
        <v>0</v>
      </c>
    </row>
    <row r="1902" spans="1:22" x14ac:dyDescent="0.15">
      <c r="A1902" s="155" t="s">
        <v>13</v>
      </c>
      <c r="B1902" s="148"/>
      <c r="C1902" s="149"/>
      <c r="D1902" s="156"/>
      <c r="E1902" s="153">
        <f t="shared" si="1758"/>
        <v>0</v>
      </c>
      <c r="F1902" s="152"/>
      <c r="G1902" s="149"/>
      <c r="H1902" s="150"/>
      <c r="I1902" s="153">
        <f t="shared" si="1759"/>
        <v>0</v>
      </c>
      <c r="J1902" s="153">
        <f t="shared" si="1760"/>
        <v>0</v>
      </c>
      <c r="K1902" s="154"/>
      <c r="M1902" s="25" t="s">
        <v>13</v>
      </c>
      <c r="N1902" s="8"/>
      <c r="O1902" s="9"/>
      <c r="P1902" s="52"/>
      <c r="Q1902" s="11">
        <f t="shared" si="1753"/>
        <v>0</v>
      </c>
      <c r="R1902" s="12"/>
      <c r="S1902" s="9"/>
      <c r="T1902" s="10"/>
      <c r="U1902" s="11">
        <f t="shared" si="1754"/>
        <v>0</v>
      </c>
      <c r="V1902" s="11">
        <f t="shared" si="1755"/>
        <v>0</v>
      </c>
    </row>
    <row r="1903" spans="1:22" x14ac:dyDescent="0.15">
      <c r="A1903" s="155" t="s">
        <v>14</v>
      </c>
      <c r="B1903" s="148"/>
      <c r="C1903" s="149"/>
      <c r="D1903" s="156"/>
      <c r="E1903" s="153">
        <f t="shared" si="1758"/>
        <v>0</v>
      </c>
      <c r="F1903" s="152"/>
      <c r="G1903" s="149"/>
      <c r="H1903" s="150"/>
      <c r="I1903" s="153">
        <f t="shared" si="1759"/>
        <v>0</v>
      </c>
      <c r="J1903" s="153">
        <f t="shared" si="1760"/>
        <v>0</v>
      </c>
      <c r="K1903" s="154"/>
      <c r="M1903" s="25" t="s">
        <v>14</v>
      </c>
      <c r="N1903" s="13"/>
      <c r="O1903" s="14"/>
      <c r="P1903" s="53"/>
      <c r="Q1903" s="11">
        <f t="shared" si="1753"/>
        <v>0</v>
      </c>
      <c r="R1903" s="16"/>
      <c r="S1903" s="14"/>
      <c r="T1903" s="15"/>
      <c r="U1903" s="11">
        <f t="shared" si="1754"/>
        <v>0</v>
      </c>
      <c r="V1903" s="11">
        <f t="shared" si="1755"/>
        <v>0</v>
      </c>
    </row>
    <row r="1904" spans="1:22" ht="14.25" thickBot="1" x14ac:dyDescent="0.2">
      <c r="A1904" s="155" t="s">
        <v>15</v>
      </c>
      <c r="B1904" s="148"/>
      <c r="C1904" s="149"/>
      <c r="D1904" s="156"/>
      <c r="E1904" s="153">
        <f t="shared" si="1758"/>
        <v>0</v>
      </c>
      <c r="F1904" s="152"/>
      <c r="G1904" s="149"/>
      <c r="H1904" s="150"/>
      <c r="I1904" s="153">
        <f t="shared" si="1759"/>
        <v>0</v>
      </c>
      <c r="J1904" s="153">
        <f t="shared" si="1760"/>
        <v>0</v>
      </c>
      <c r="K1904" s="154"/>
      <c r="M1904" s="25" t="s">
        <v>15</v>
      </c>
      <c r="N1904" s="13"/>
      <c r="O1904" s="14"/>
      <c r="P1904" s="53"/>
      <c r="Q1904" s="11">
        <f t="shared" si="1753"/>
        <v>0</v>
      </c>
      <c r="R1904" s="16"/>
      <c r="S1904" s="14"/>
      <c r="T1904" s="15"/>
      <c r="U1904" s="11">
        <f t="shared" si="1754"/>
        <v>0</v>
      </c>
      <c r="V1904" s="11">
        <f t="shared" si="1755"/>
        <v>0</v>
      </c>
    </row>
    <row r="1905" spans="1:25" ht="14.25" thickBot="1" x14ac:dyDescent="0.2">
      <c r="A1905" s="35" t="s">
        <v>16</v>
      </c>
      <c r="B1905" s="28">
        <f>SUM(B1896:B1904)</f>
        <v>19</v>
      </c>
      <c r="C1905" s="29">
        <f t="shared" ref="C1905:D1905" si="1761">SUM(C1896:C1904)</f>
        <v>19</v>
      </c>
      <c r="D1905" s="68">
        <f t="shared" si="1761"/>
        <v>14</v>
      </c>
      <c r="E1905" s="64">
        <f t="shared" ref="E1905:E1931" si="1762">SUM(B1905:D1905)</f>
        <v>52</v>
      </c>
      <c r="F1905" s="28">
        <f>SUM(F1896:F1904)</f>
        <v>21</v>
      </c>
      <c r="G1905" s="29">
        <f t="shared" ref="G1905:H1905" si="1763">SUM(G1896:G1904)</f>
        <v>25</v>
      </c>
      <c r="H1905" s="68">
        <f t="shared" si="1763"/>
        <v>11</v>
      </c>
      <c r="I1905" s="64">
        <f>SUM(F1905:H1905)</f>
        <v>57</v>
      </c>
      <c r="J1905" s="31">
        <f>E1905+I1905</f>
        <v>109</v>
      </c>
      <c r="M1905" s="35" t="s">
        <v>16</v>
      </c>
      <c r="N1905" s="28">
        <f>SUM(N1896:N1904)</f>
        <v>266</v>
      </c>
      <c r="O1905" s="29">
        <f t="shared" ref="O1905:P1905" si="1764">SUM(O1896:O1904)</f>
        <v>394</v>
      </c>
      <c r="P1905" s="68">
        <f t="shared" si="1764"/>
        <v>151</v>
      </c>
      <c r="Q1905" s="64">
        <f>SUM(N1905:P1905)</f>
        <v>811</v>
      </c>
      <c r="R1905" s="28">
        <f>SUM(R1896:R1904)</f>
        <v>269</v>
      </c>
      <c r="S1905" s="29">
        <f t="shared" ref="S1905:T1905" si="1765">SUM(S1896:S1904)</f>
        <v>359</v>
      </c>
      <c r="T1905" s="68">
        <f t="shared" si="1765"/>
        <v>65</v>
      </c>
      <c r="U1905" s="64">
        <f>SUM(R1905:T1905)</f>
        <v>693</v>
      </c>
      <c r="V1905" s="31">
        <f>Q1905+U1905</f>
        <v>1504</v>
      </c>
    </row>
    <row r="1906" spans="1:25" x14ac:dyDescent="0.15">
      <c r="A1906" s="26" t="s">
        <v>33</v>
      </c>
      <c r="B1906" s="8">
        <v>2</v>
      </c>
      <c r="C1906" s="9">
        <v>1</v>
      </c>
      <c r="D1906" s="10"/>
      <c r="E1906" s="49">
        <f t="shared" ref="E1906:E1917" si="1766">SUM(B1906:D1906)</f>
        <v>3</v>
      </c>
      <c r="F1906" s="12"/>
      <c r="G1906" s="9">
        <v>1</v>
      </c>
      <c r="H1906" s="10"/>
      <c r="I1906" s="49">
        <f t="shared" ref="I1906:I1917" si="1767">SUM(F1906:H1906)</f>
        <v>1</v>
      </c>
      <c r="J1906" s="11">
        <f t="shared" ref="J1906:J1917" si="1768">E1906+I1906</f>
        <v>4</v>
      </c>
      <c r="K1906" s="71">
        <v>46183</v>
      </c>
      <c r="M1906" s="26" t="s">
        <v>530</v>
      </c>
      <c r="N1906" s="8">
        <v>5</v>
      </c>
      <c r="O1906" s="9">
        <v>5</v>
      </c>
      <c r="P1906" s="10">
        <v>5</v>
      </c>
      <c r="Q1906" s="49">
        <f t="shared" ref="Q1906:Q1911" si="1769">SUM(N1906:P1906)</f>
        <v>15</v>
      </c>
      <c r="R1906" s="12">
        <v>5</v>
      </c>
      <c r="S1906" s="9">
        <v>5</v>
      </c>
      <c r="T1906" s="10">
        <v>5</v>
      </c>
      <c r="U1906" s="49">
        <f t="shared" ref="U1906:U1911" si="1770">SUM(R1906:T1906)</f>
        <v>15</v>
      </c>
      <c r="V1906" s="11">
        <f t="shared" ref="V1906:V1911" si="1771">Q1906+U1906</f>
        <v>30</v>
      </c>
      <c r="W1906" s="140">
        <v>46188</v>
      </c>
      <c r="X1906" s="82"/>
      <c r="Y1906" s="82"/>
    </row>
    <row r="1907" spans="1:25" x14ac:dyDescent="0.15">
      <c r="A1907" s="26" t="s">
        <v>33</v>
      </c>
      <c r="B1907" s="8"/>
      <c r="C1907" s="9">
        <v>2</v>
      </c>
      <c r="D1907" s="10">
        <v>1</v>
      </c>
      <c r="E1907" s="49">
        <f t="shared" si="1766"/>
        <v>3</v>
      </c>
      <c r="F1907" s="12"/>
      <c r="G1907" s="9">
        <v>3</v>
      </c>
      <c r="H1907" s="10">
        <v>2</v>
      </c>
      <c r="I1907" s="49">
        <f t="shared" si="1767"/>
        <v>5</v>
      </c>
      <c r="J1907" s="11">
        <f t="shared" si="1768"/>
        <v>8</v>
      </c>
      <c r="K1907" s="71">
        <v>46184</v>
      </c>
      <c r="M1907" s="26" t="s">
        <v>495</v>
      </c>
      <c r="N1907" s="8"/>
      <c r="O1907" s="9"/>
      <c r="P1907" s="10"/>
      <c r="Q1907" s="49">
        <f t="shared" si="1769"/>
        <v>0</v>
      </c>
      <c r="R1907" s="12">
        <v>5</v>
      </c>
      <c r="S1907" s="9">
        <v>5</v>
      </c>
      <c r="T1907" s="10"/>
      <c r="U1907" s="49">
        <f t="shared" si="1770"/>
        <v>10</v>
      </c>
      <c r="V1907" s="11">
        <f t="shared" si="1771"/>
        <v>10</v>
      </c>
      <c r="W1907" s="140">
        <v>46190</v>
      </c>
      <c r="X1907" s="82"/>
      <c r="Y1907" s="82"/>
    </row>
    <row r="1908" spans="1:25" x14ac:dyDescent="0.15">
      <c r="A1908" s="26" t="s">
        <v>33</v>
      </c>
      <c r="B1908" s="8">
        <v>1</v>
      </c>
      <c r="C1908" s="9">
        <v>1</v>
      </c>
      <c r="D1908" s="10"/>
      <c r="E1908" s="49">
        <f t="shared" si="1766"/>
        <v>2</v>
      </c>
      <c r="F1908" s="12">
        <v>2</v>
      </c>
      <c r="G1908" s="9">
        <v>2</v>
      </c>
      <c r="H1908" s="10">
        <v>1</v>
      </c>
      <c r="I1908" s="49">
        <f t="shared" si="1767"/>
        <v>5</v>
      </c>
      <c r="J1908" s="11">
        <f t="shared" si="1768"/>
        <v>7</v>
      </c>
      <c r="K1908" s="71">
        <v>46185</v>
      </c>
      <c r="M1908" s="81" t="s">
        <v>495</v>
      </c>
      <c r="N1908" s="83">
        <v>5</v>
      </c>
      <c r="O1908" s="84">
        <v>5</v>
      </c>
      <c r="P1908" s="85"/>
      <c r="Q1908" s="114">
        <f t="shared" si="1769"/>
        <v>10</v>
      </c>
      <c r="R1908" s="86">
        <v>5</v>
      </c>
      <c r="S1908" s="84">
        <v>5</v>
      </c>
      <c r="T1908" s="85"/>
      <c r="U1908" s="114">
        <f t="shared" si="1770"/>
        <v>10</v>
      </c>
      <c r="V1908" s="69">
        <f t="shared" si="1771"/>
        <v>20</v>
      </c>
      <c r="W1908" s="145">
        <v>46191</v>
      </c>
    </row>
    <row r="1909" spans="1:25" x14ac:dyDescent="0.15">
      <c r="A1909" s="26" t="s">
        <v>33</v>
      </c>
      <c r="B1909" s="8">
        <v>2</v>
      </c>
      <c r="C1909" s="9">
        <v>4</v>
      </c>
      <c r="D1909" s="10">
        <v>3</v>
      </c>
      <c r="E1909" s="49">
        <f t="shared" si="1766"/>
        <v>9</v>
      </c>
      <c r="F1909" s="12">
        <v>1</v>
      </c>
      <c r="G1909" s="9">
        <v>6</v>
      </c>
      <c r="H1909" s="10">
        <v>2</v>
      </c>
      <c r="I1909" s="49">
        <f t="shared" si="1767"/>
        <v>9</v>
      </c>
      <c r="J1909" s="11">
        <f t="shared" si="1768"/>
        <v>18</v>
      </c>
      <c r="K1909" s="71">
        <v>46188</v>
      </c>
      <c r="M1909" s="26"/>
      <c r="N1909" s="8"/>
      <c r="O1909" s="9"/>
      <c r="P1909" s="10"/>
      <c r="Q1909" s="49">
        <f t="shared" si="1769"/>
        <v>0</v>
      </c>
      <c r="R1909" s="12"/>
      <c r="S1909" s="9"/>
      <c r="T1909" s="10"/>
      <c r="U1909" s="49">
        <f t="shared" si="1770"/>
        <v>0</v>
      </c>
      <c r="V1909" s="11">
        <f t="shared" si="1771"/>
        <v>0</v>
      </c>
    </row>
    <row r="1910" spans="1:25" x14ac:dyDescent="0.15">
      <c r="A1910" s="26" t="s">
        <v>33</v>
      </c>
      <c r="B1910" s="8">
        <v>1</v>
      </c>
      <c r="C1910" s="9"/>
      <c r="D1910" s="10"/>
      <c r="E1910" s="49">
        <f t="shared" si="1766"/>
        <v>1</v>
      </c>
      <c r="F1910" s="12">
        <v>4</v>
      </c>
      <c r="G1910" s="9"/>
      <c r="H1910" s="10"/>
      <c r="I1910" s="49">
        <f t="shared" si="1767"/>
        <v>4</v>
      </c>
      <c r="J1910" s="11">
        <f t="shared" si="1768"/>
        <v>5</v>
      </c>
      <c r="K1910" s="71">
        <v>46189</v>
      </c>
      <c r="M1910" s="26"/>
      <c r="N1910" s="8"/>
      <c r="O1910" s="9"/>
      <c r="P1910" s="10"/>
      <c r="Q1910" s="49">
        <f t="shared" si="1769"/>
        <v>0</v>
      </c>
      <c r="R1910" s="12"/>
      <c r="S1910" s="9"/>
      <c r="T1910" s="10"/>
      <c r="U1910" s="49">
        <f t="shared" si="1770"/>
        <v>0</v>
      </c>
      <c r="V1910" s="11">
        <f t="shared" si="1771"/>
        <v>0</v>
      </c>
    </row>
    <row r="1911" spans="1:25" x14ac:dyDescent="0.15">
      <c r="A1911" s="26" t="s">
        <v>33</v>
      </c>
      <c r="B1911" s="8"/>
      <c r="C1911" s="9"/>
      <c r="D1911" s="10"/>
      <c r="E1911" s="49">
        <f t="shared" si="1766"/>
        <v>0</v>
      </c>
      <c r="F1911" s="12"/>
      <c r="G1911" s="9">
        <v>1</v>
      </c>
      <c r="H1911" s="10"/>
      <c r="I1911" s="49">
        <f t="shared" si="1767"/>
        <v>1</v>
      </c>
      <c r="J1911" s="11">
        <f t="shared" si="1768"/>
        <v>1</v>
      </c>
      <c r="K1911" s="71">
        <v>46190</v>
      </c>
      <c r="M1911" s="26"/>
      <c r="N1911" s="8"/>
      <c r="O1911" s="9"/>
      <c r="P1911" s="10"/>
      <c r="Q1911" s="49">
        <f t="shared" si="1769"/>
        <v>0</v>
      </c>
      <c r="R1911" s="12"/>
      <c r="S1911" s="9"/>
      <c r="T1911" s="10"/>
      <c r="U1911" s="49">
        <f t="shared" si="1770"/>
        <v>0</v>
      </c>
      <c r="V1911" s="11">
        <f t="shared" si="1771"/>
        <v>0</v>
      </c>
    </row>
    <row r="1912" spans="1:25" x14ac:dyDescent="0.15">
      <c r="A1912" s="26" t="s">
        <v>33</v>
      </c>
      <c r="B1912" s="8">
        <v>2</v>
      </c>
      <c r="C1912" s="9">
        <v>2</v>
      </c>
      <c r="D1912" s="10"/>
      <c r="E1912" s="49">
        <f t="shared" si="1766"/>
        <v>4</v>
      </c>
      <c r="F1912" s="12">
        <v>3</v>
      </c>
      <c r="G1912" s="9">
        <v>1</v>
      </c>
      <c r="H1912" s="10"/>
      <c r="I1912" s="49">
        <f t="shared" si="1767"/>
        <v>4</v>
      </c>
      <c r="J1912" s="11">
        <f t="shared" si="1768"/>
        <v>8</v>
      </c>
      <c r="K1912" s="71">
        <v>46191</v>
      </c>
      <c r="M1912" s="26"/>
      <c r="N1912" s="8"/>
      <c r="O1912" s="9"/>
      <c r="P1912" s="10"/>
      <c r="Q1912" s="49">
        <f t="shared" ref="Q1912:Q1932" si="1772">SUM(N1912:P1912)</f>
        <v>0</v>
      </c>
      <c r="R1912" s="12"/>
      <c r="S1912" s="9"/>
      <c r="T1912" s="10"/>
      <c r="U1912" s="49">
        <f t="shared" ref="U1912:U1932" si="1773">SUM(R1912:T1912)</f>
        <v>0</v>
      </c>
      <c r="V1912" s="11">
        <f t="shared" ref="V1912:V1931" si="1774">Q1912+U1912</f>
        <v>0</v>
      </c>
    </row>
    <row r="1913" spans="1:25" x14ac:dyDescent="0.15">
      <c r="A1913" s="26" t="s">
        <v>163</v>
      </c>
      <c r="B1913" s="8">
        <v>3</v>
      </c>
      <c r="C1913" s="9">
        <v>1</v>
      </c>
      <c r="D1913" s="10"/>
      <c r="E1913" s="49">
        <f t="shared" si="1766"/>
        <v>4</v>
      </c>
      <c r="F1913" s="12">
        <v>2</v>
      </c>
      <c r="G1913" s="9"/>
      <c r="H1913" s="10"/>
      <c r="I1913" s="49">
        <f t="shared" si="1767"/>
        <v>2</v>
      </c>
      <c r="J1913" s="11">
        <f t="shared" si="1768"/>
        <v>6</v>
      </c>
      <c r="K1913" s="71">
        <v>46198</v>
      </c>
      <c r="M1913" s="26"/>
      <c r="N1913" s="8"/>
      <c r="O1913" s="9"/>
      <c r="P1913" s="10"/>
      <c r="Q1913" s="49">
        <f t="shared" si="1772"/>
        <v>0</v>
      </c>
      <c r="R1913" s="12"/>
      <c r="S1913" s="9"/>
      <c r="T1913" s="10"/>
      <c r="U1913" s="49">
        <f t="shared" si="1773"/>
        <v>0</v>
      </c>
      <c r="V1913" s="11">
        <f t="shared" si="1774"/>
        <v>0</v>
      </c>
    </row>
    <row r="1914" spans="1:25" x14ac:dyDescent="0.15">
      <c r="A1914" s="26" t="s">
        <v>163</v>
      </c>
      <c r="B1914" s="8">
        <v>6</v>
      </c>
      <c r="C1914" s="9">
        <v>3</v>
      </c>
      <c r="D1914" s="10">
        <v>1</v>
      </c>
      <c r="E1914" s="49">
        <f t="shared" si="1766"/>
        <v>10</v>
      </c>
      <c r="F1914" s="12">
        <v>6</v>
      </c>
      <c r="G1914" s="9">
        <v>6</v>
      </c>
      <c r="H1914" s="10">
        <v>1</v>
      </c>
      <c r="I1914" s="49">
        <f t="shared" si="1767"/>
        <v>13</v>
      </c>
      <c r="J1914" s="11">
        <f t="shared" si="1768"/>
        <v>23</v>
      </c>
      <c r="K1914" s="71">
        <v>46217</v>
      </c>
      <c r="M1914" s="26"/>
      <c r="N1914" s="8"/>
      <c r="O1914" s="9"/>
      <c r="P1914" s="10"/>
      <c r="Q1914" s="49">
        <f t="shared" si="1772"/>
        <v>0</v>
      </c>
      <c r="R1914" s="12"/>
      <c r="S1914" s="9"/>
      <c r="T1914" s="10"/>
      <c r="U1914" s="49">
        <f t="shared" si="1773"/>
        <v>0</v>
      </c>
      <c r="V1914" s="11">
        <f t="shared" si="1774"/>
        <v>0</v>
      </c>
    </row>
    <row r="1915" spans="1:25" x14ac:dyDescent="0.15">
      <c r="A1915" s="26" t="s">
        <v>163</v>
      </c>
      <c r="B1915" s="8"/>
      <c r="C1915" s="9">
        <v>1</v>
      </c>
      <c r="D1915" s="10"/>
      <c r="E1915" s="49">
        <f t="shared" si="1766"/>
        <v>1</v>
      </c>
      <c r="F1915" s="12"/>
      <c r="G1915" s="9">
        <v>1</v>
      </c>
      <c r="H1915" s="10">
        <v>1</v>
      </c>
      <c r="I1915" s="49">
        <f t="shared" si="1767"/>
        <v>2</v>
      </c>
      <c r="J1915" s="11">
        <f t="shared" si="1768"/>
        <v>3</v>
      </c>
      <c r="K1915" s="71">
        <v>46218</v>
      </c>
      <c r="M1915" s="26"/>
      <c r="N1915" s="8"/>
      <c r="O1915" s="9"/>
      <c r="P1915" s="10"/>
      <c r="Q1915" s="49">
        <f t="shared" si="1772"/>
        <v>0</v>
      </c>
      <c r="R1915" s="12"/>
      <c r="S1915" s="9"/>
      <c r="T1915" s="10"/>
      <c r="U1915" s="49">
        <f t="shared" si="1773"/>
        <v>0</v>
      </c>
      <c r="V1915" s="11">
        <f t="shared" si="1774"/>
        <v>0</v>
      </c>
    </row>
    <row r="1916" spans="1:25" x14ac:dyDescent="0.15">
      <c r="A1916" s="26" t="s">
        <v>163</v>
      </c>
      <c r="B1916" s="8"/>
      <c r="C1916" s="9">
        <v>1</v>
      </c>
      <c r="D1916" s="10"/>
      <c r="E1916" s="49">
        <f t="shared" si="1766"/>
        <v>1</v>
      </c>
      <c r="F1916" s="12"/>
      <c r="G1916" s="9">
        <v>1</v>
      </c>
      <c r="H1916" s="10">
        <v>1</v>
      </c>
      <c r="I1916" s="49">
        <f t="shared" si="1767"/>
        <v>2</v>
      </c>
      <c r="J1916" s="11">
        <f t="shared" si="1768"/>
        <v>3</v>
      </c>
      <c r="K1916" s="71">
        <v>46218</v>
      </c>
      <c r="M1916" s="26"/>
      <c r="N1916" s="8"/>
      <c r="O1916" s="9"/>
      <c r="P1916" s="10"/>
      <c r="Q1916" s="49">
        <f t="shared" si="1772"/>
        <v>0</v>
      </c>
      <c r="R1916" s="12"/>
      <c r="S1916" s="9"/>
      <c r="T1916" s="10"/>
      <c r="U1916" s="49">
        <f t="shared" si="1773"/>
        <v>0</v>
      </c>
      <c r="V1916" s="11">
        <f t="shared" si="1774"/>
        <v>0</v>
      </c>
    </row>
    <row r="1917" spans="1:25" x14ac:dyDescent="0.15">
      <c r="A1917" s="26"/>
      <c r="B1917" s="8"/>
      <c r="C1917" s="9"/>
      <c r="D1917" s="10"/>
      <c r="E1917" s="49">
        <f t="shared" si="1766"/>
        <v>0</v>
      </c>
      <c r="F1917" s="12"/>
      <c r="G1917" s="9"/>
      <c r="H1917" s="10"/>
      <c r="I1917" s="49">
        <f t="shared" si="1767"/>
        <v>0</v>
      </c>
      <c r="J1917" s="11">
        <f t="shared" si="1768"/>
        <v>0</v>
      </c>
      <c r="M1917" s="26"/>
      <c r="N1917" s="8"/>
      <c r="O1917" s="9"/>
      <c r="P1917" s="10"/>
      <c r="Q1917" s="49">
        <f t="shared" si="1772"/>
        <v>0</v>
      </c>
      <c r="R1917" s="12"/>
      <c r="S1917" s="9"/>
      <c r="T1917" s="10"/>
      <c r="U1917" s="49">
        <f t="shared" si="1773"/>
        <v>0</v>
      </c>
      <c r="V1917" s="11">
        <f t="shared" si="1774"/>
        <v>0</v>
      </c>
    </row>
    <row r="1918" spans="1:25" x14ac:dyDescent="0.15">
      <c r="A1918" s="26"/>
      <c r="B1918" s="8"/>
      <c r="C1918" s="9"/>
      <c r="D1918" s="10"/>
      <c r="E1918" s="49">
        <f t="shared" si="1762"/>
        <v>0</v>
      </c>
      <c r="F1918" s="12"/>
      <c r="G1918" s="9"/>
      <c r="H1918" s="10"/>
      <c r="I1918" s="49">
        <f t="shared" ref="I1918:I1932" si="1775">SUM(F1918:H1918)</f>
        <v>0</v>
      </c>
      <c r="J1918" s="11">
        <f t="shared" ref="J1918:J1931" si="1776">E1918+I1918</f>
        <v>0</v>
      </c>
      <c r="M1918" s="26"/>
      <c r="N1918" s="8"/>
      <c r="O1918" s="9"/>
      <c r="P1918" s="10"/>
      <c r="Q1918" s="49">
        <f t="shared" si="1772"/>
        <v>0</v>
      </c>
      <c r="R1918" s="12"/>
      <c r="S1918" s="9"/>
      <c r="T1918" s="10"/>
      <c r="U1918" s="49">
        <f t="shared" si="1773"/>
        <v>0</v>
      </c>
      <c r="V1918" s="11">
        <f t="shared" si="1774"/>
        <v>0</v>
      </c>
    </row>
    <row r="1919" spans="1:25" x14ac:dyDescent="0.15">
      <c r="A1919" s="26"/>
      <c r="B1919" s="8"/>
      <c r="C1919" s="9"/>
      <c r="D1919" s="10"/>
      <c r="E1919" s="49">
        <f t="shared" si="1762"/>
        <v>0</v>
      </c>
      <c r="F1919" s="12"/>
      <c r="G1919" s="9"/>
      <c r="H1919" s="10"/>
      <c r="I1919" s="49">
        <f t="shared" si="1775"/>
        <v>0</v>
      </c>
      <c r="J1919" s="11">
        <f t="shared" si="1776"/>
        <v>0</v>
      </c>
      <c r="M1919" s="26"/>
      <c r="N1919" s="8"/>
      <c r="O1919" s="9"/>
      <c r="P1919" s="10"/>
      <c r="Q1919" s="49">
        <f t="shared" si="1772"/>
        <v>0</v>
      </c>
      <c r="R1919" s="12"/>
      <c r="S1919" s="9"/>
      <c r="T1919" s="10"/>
      <c r="U1919" s="49">
        <f t="shared" si="1773"/>
        <v>0</v>
      </c>
      <c r="V1919" s="11">
        <f t="shared" si="1774"/>
        <v>0</v>
      </c>
    </row>
    <row r="1920" spans="1:25" x14ac:dyDescent="0.15">
      <c r="A1920" s="26"/>
      <c r="B1920" s="8"/>
      <c r="C1920" s="9"/>
      <c r="D1920" s="10"/>
      <c r="E1920" s="49">
        <f t="shared" si="1762"/>
        <v>0</v>
      </c>
      <c r="F1920" s="12"/>
      <c r="G1920" s="9"/>
      <c r="H1920" s="10"/>
      <c r="I1920" s="49">
        <f t="shared" si="1775"/>
        <v>0</v>
      </c>
      <c r="J1920" s="11">
        <f t="shared" si="1776"/>
        <v>0</v>
      </c>
      <c r="M1920" s="26"/>
      <c r="N1920" s="8"/>
      <c r="O1920" s="9"/>
      <c r="P1920" s="10"/>
      <c r="Q1920" s="49">
        <f t="shared" si="1772"/>
        <v>0</v>
      </c>
      <c r="R1920" s="12"/>
      <c r="S1920" s="9"/>
      <c r="T1920" s="10"/>
      <c r="U1920" s="49">
        <f t="shared" si="1773"/>
        <v>0</v>
      </c>
      <c r="V1920" s="11">
        <f t="shared" si="1774"/>
        <v>0</v>
      </c>
    </row>
    <row r="1921" spans="1:22" x14ac:dyDescent="0.15">
      <c r="A1921" s="26"/>
      <c r="B1921" s="8"/>
      <c r="C1921" s="9"/>
      <c r="D1921" s="10"/>
      <c r="E1921" s="49">
        <f t="shared" si="1762"/>
        <v>0</v>
      </c>
      <c r="F1921" s="12"/>
      <c r="G1921" s="9"/>
      <c r="H1921" s="10"/>
      <c r="I1921" s="49">
        <f t="shared" si="1775"/>
        <v>0</v>
      </c>
      <c r="J1921" s="11">
        <f t="shared" si="1776"/>
        <v>0</v>
      </c>
      <c r="M1921" s="26"/>
      <c r="N1921" s="8"/>
      <c r="O1921" s="9"/>
      <c r="P1921" s="10"/>
      <c r="Q1921" s="49">
        <f t="shared" si="1772"/>
        <v>0</v>
      </c>
      <c r="R1921" s="12"/>
      <c r="S1921" s="9"/>
      <c r="T1921" s="10"/>
      <c r="U1921" s="49">
        <f t="shared" si="1773"/>
        <v>0</v>
      </c>
      <c r="V1921" s="11">
        <f t="shared" si="1774"/>
        <v>0</v>
      </c>
    </row>
    <row r="1922" spans="1:22" x14ac:dyDescent="0.15">
      <c r="A1922" s="26"/>
      <c r="B1922" s="8"/>
      <c r="C1922" s="9"/>
      <c r="D1922" s="10"/>
      <c r="E1922" s="49">
        <f t="shared" si="1762"/>
        <v>0</v>
      </c>
      <c r="F1922" s="12"/>
      <c r="G1922" s="9"/>
      <c r="H1922" s="10"/>
      <c r="I1922" s="49">
        <f t="shared" si="1775"/>
        <v>0</v>
      </c>
      <c r="J1922" s="11">
        <f t="shared" si="1776"/>
        <v>0</v>
      </c>
      <c r="M1922" s="26"/>
      <c r="N1922" s="8"/>
      <c r="O1922" s="9"/>
      <c r="P1922" s="10"/>
      <c r="Q1922" s="49">
        <f t="shared" si="1772"/>
        <v>0</v>
      </c>
      <c r="R1922" s="12"/>
      <c r="S1922" s="9"/>
      <c r="T1922" s="10"/>
      <c r="U1922" s="49">
        <f t="shared" si="1773"/>
        <v>0</v>
      </c>
      <c r="V1922" s="11">
        <f t="shared" si="1774"/>
        <v>0</v>
      </c>
    </row>
    <row r="1923" spans="1:22" x14ac:dyDescent="0.15">
      <c r="A1923" s="26"/>
      <c r="B1923" s="8"/>
      <c r="C1923" s="9"/>
      <c r="D1923" s="10"/>
      <c r="E1923" s="49">
        <f t="shared" si="1762"/>
        <v>0</v>
      </c>
      <c r="F1923" s="12"/>
      <c r="G1923" s="9"/>
      <c r="H1923" s="10"/>
      <c r="I1923" s="49">
        <f t="shared" si="1775"/>
        <v>0</v>
      </c>
      <c r="J1923" s="11">
        <f t="shared" si="1776"/>
        <v>0</v>
      </c>
      <c r="M1923" s="26"/>
      <c r="N1923" s="8"/>
      <c r="O1923" s="9"/>
      <c r="P1923" s="10"/>
      <c r="Q1923" s="49">
        <f t="shared" si="1772"/>
        <v>0</v>
      </c>
      <c r="R1923" s="12"/>
      <c r="S1923" s="9"/>
      <c r="T1923" s="10"/>
      <c r="U1923" s="49">
        <f t="shared" si="1773"/>
        <v>0</v>
      </c>
      <c r="V1923" s="11">
        <f t="shared" si="1774"/>
        <v>0</v>
      </c>
    </row>
    <row r="1924" spans="1:22" x14ac:dyDescent="0.15">
      <c r="A1924" s="26"/>
      <c r="B1924" s="8"/>
      <c r="C1924" s="9"/>
      <c r="D1924" s="10"/>
      <c r="E1924" s="49">
        <f t="shared" si="1762"/>
        <v>0</v>
      </c>
      <c r="F1924" s="12"/>
      <c r="G1924" s="9"/>
      <c r="H1924" s="10"/>
      <c r="I1924" s="49">
        <f t="shared" si="1775"/>
        <v>0</v>
      </c>
      <c r="J1924" s="11">
        <f t="shared" si="1776"/>
        <v>0</v>
      </c>
      <c r="M1924" s="26"/>
      <c r="N1924" s="8"/>
      <c r="O1924" s="9"/>
      <c r="P1924" s="10"/>
      <c r="Q1924" s="49">
        <f t="shared" si="1772"/>
        <v>0</v>
      </c>
      <c r="R1924" s="12"/>
      <c r="S1924" s="9"/>
      <c r="T1924" s="10"/>
      <c r="U1924" s="49">
        <f t="shared" si="1773"/>
        <v>0</v>
      </c>
      <c r="V1924" s="11">
        <f t="shared" si="1774"/>
        <v>0</v>
      </c>
    </row>
    <row r="1925" spans="1:22" x14ac:dyDescent="0.15">
      <c r="A1925" s="26"/>
      <c r="B1925" s="8"/>
      <c r="C1925" s="9"/>
      <c r="D1925" s="10"/>
      <c r="E1925" s="49">
        <f t="shared" si="1762"/>
        <v>0</v>
      </c>
      <c r="F1925" s="12"/>
      <c r="G1925" s="9"/>
      <c r="H1925" s="10"/>
      <c r="I1925" s="49">
        <f t="shared" si="1775"/>
        <v>0</v>
      </c>
      <c r="J1925" s="11">
        <f t="shared" si="1776"/>
        <v>0</v>
      </c>
      <c r="M1925" s="26"/>
      <c r="N1925" s="8"/>
      <c r="O1925" s="9"/>
      <c r="P1925" s="10"/>
      <c r="Q1925" s="49">
        <f t="shared" si="1772"/>
        <v>0</v>
      </c>
      <c r="R1925" s="12"/>
      <c r="S1925" s="9"/>
      <c r="T1925" s="10"/>
      <c r="U1925" s="49">
        <f t="shared" si="1773"/>
        <v>0</v>
      </c>
      <c r="V1925" s="11">
        <f t="shared" si="1774"/>
        <v>0</v>
      </c>
    </row>
    <row r="1926" spans="1:22" x14ac:dyDescent="0.15">
      <c r="A1926" s="26"/>
      <c r="B1926" s="8"/>
      <c r="C1926" s="9"/>
      <c r="D1926" s="10"/>
      <c r="E1926" s="49">
        <f t="shared" si="1762"/>
        <v>0</v>
      </c>
      <c r="F1926" s="12"/>
      <c r="G1926" s="9"/>
      <c r="H1926" s="10"/>
      <c r="I1926" s="49">
        <f t="shared" si="1775"/>
        <v>0</v>
      </c>
      <c r="J1926" s="11">
        <f t="shared" si="1776"/>
        <v>0</v>
      </c>
      <c r="M1926" s="26"/>
      <c r="N1926" s="8"/>
      <c r="O1926" s="9"/>
      <c r="P1926" s="10"/>
      <c r="Q1926" s="49">
        <f t="shared" si="1772"/>
        <v>0</v>
      </c>
      <c r="R1926" s="12"/>
      <c r="S1926" s="9"/>
      <c r="T1926" s="10"/>
      <c r="U1926" s="49">
        <f t="shared" si="1773"/>
        <v>0</v>
      </c>
      <c r="V1926" s="11">
        <f t="shared" si="1774"/>
        <v>0</v>
      </c>
    </row>
    <row r="1927" spans="1:22" x14ac:dyDescent="0.15">
      <c r="A1927" s="26"/>
      <c r="B1927" s="8"/>
      <c r="C1927" s="9"/>
      <c r="D1927" s="10"/>
      <c r="E1927" s="49">
        <f t="shared" si="1762"/>
        <v>0</v>
      </c>
      <c r="F1927" s="12"/>
      <c r="G1927" s="9"/>
      <c r="H1927" s="10"/>
      <c r="I1927" s="49">
        <f t="shared" si="1775"/>
        <v>0</v>
      </c>
      <c r="J1927" s="11">
        <f t="shared" si="1776"/>
        <v>0</v>
      </c>
      <c r="M1927" s="26"/>
      <c r="N1927" s="8"/>
      <c r="O1927" s="9"/>
      <c r="P1927" s="10"/>
      <c r="Q1927" s="49">
        <f t="shared" si="1772"/>
        <v>0</v>
      </c>
      <c r="R1927" s="12"/>
      <c r="S1927" s="9"/>
      <c r="T1927" s="10"/>
      <c r="U1927" s="49">
        <f t="shared" si="1773"/>
        <v>0</v>
      </c>
      <c r="V1927" s="11">
        <f t="shared" si="1774"/>
        <v>0</v>
      </c>
    </row>
    <row r="1928" spans="1:22" x14ac:dyDescent="0.15">
      <c r="A1928" s="26"/>
      <c r="B1928" s="8"/>
      <c r="C1928" s="9"/>
      <c r="D1928" s="10"/>
      <c r="E1928" s="49">
        <f t="shared" si="1762"/>
        <v>0</v>
      </c>
      <c r="F1928" s="12"/>
      <c r="G1928" s="9"/>
      <c r="H1928" s="10"/>
      <c r="I1928" s="49">
        <f t="shared" si="1775"/>
        <v>0</v>
      </c>
      <c r="J1928" s="11">
        <f t="shared" si="1776"/>
        <v>0</v>
      </c>
      <c r="M1928" s="26"/>
      <c r="N1928" s="8"/>
      <c r="O1928" s="9"/>
      <c r="P1928" s="10"/>
      <c r="Q1928" s="49">
        <f t="shared" si="1772"/>
        <v>0</v>
      </c>
      <c r="R1928" s="12"/>
      <c r="S1928" s="9"/>
      <c r="T1928" s="10"/>
      <c r="U1928" s="49">
        <f t="shared" si="1773"/>
        <v>0</v>
      </c>
      <c r="V1928" s="11">
        <f t="shared" si="1774"/>
        <v>0</v>
      </c>
    </row>
    <row r="1929" spans="1:22" x14ac:dyDescent="0.15">
      <c r="A1929" s="26"/>
      <c r="B1929" s="8"/>
      <c r="C1929" s="9"/>
      <c r="D1929" s="10"/>
      <c r="E1929" s="49">
        <f t="shared" si="1762"/>
        <v>0</v>
      </c>
      <c r="F1929" s="12"/>
      <c r="G1929" s="9"/>
      <c r="H1929" s="10"/>
      <c r="I1929" s="49">
        <f t="shared" si="1775"/>
        <v>0</v>
      </c>
      <c r="J1929" s="11">
        <f t="shared" si="1776"/>
        <v>0</v>
      </c>
      <c r="M1929" s="26"/>
      <c r="N1929" s="8"/>
      <c r="O1929" s="9"/>
      <c r="P1929" s="10"/>
      <c r="Q1929" s="49">
        <f t="shared" si="1772"/>
        <v>0</v>
      </c>
      <c r="R1929" s="12"/>
      <c r="S1929" s="9"/>
      <c r="T1929" s="10"/>
      <c r="U1929" s="49">
        <f t="shared" si="1773"/>
        <v>0</v>
      </c>
      <c r="V1929" s="11">
        <f t="shared" si="1774"/>
        <v>0</v>
      </c>
    </row>
    <row r="1930" spans="1:22" x14ac:dyDescent="0.15">
      <c r="A1930" s="26"/>
      <c r="B1930" s="8"/>
      <c r="C1930" s="9"/>
      <c r="D1930" s="10"/>
      <c r="E1930" s="49">
        <f t="shared" si="1762"/>
        <v>0</v>
      </c>
      <c r="F1930" s="12"/>
      <c r="G1930" s="9"/>
      <c r="H1930" s="10"/>
      <c r="I1930" s="49">
        <f t="shared" si="1775"/>
        <v>0</v>
      </c>
      <c r="J1930" s="11">
        <f t="shared" si="1776"/>
        <v>0</v>
      </c>
      <c r="M1930" s="26"/>
      <c r="N1930" s="8"/>
      <c r="O1930" s="9"/>
      <c r="P1930" s="10"/>
      <c r="Q1930" s="49">
        <f t="shared" si="1772"/>
        <v>0</v>
      </c>
      <c r="R1930" s="12"/>
      <c r="S1930" s="9"/>
      <c r="T1930" s="10"/>
      <c r="U1930" s="49">
        <f t="shared" si="1773"/>
        <v>0</v>
      </c>
      <c r="V1930" s="11">
        <f t="shared" si="1774"/>
        <v>0</v>
      </c>
    </row>
    <row r="1931" spans="1:22" ht="14.25" thickBot="1" x14ac:dyDescent="0.2">
      <c r="A1931" s="26"/>
      <c r="B1931" s="8"/>
      <c r="C1931" s="9"/>
      <c r="D1931" s="10"/>
      <c r="E1931" s="49">
        <f t="shared" si="1762"/>
        <v>0</v>
      </c>
      <c r="F1931" s="12"/>
      <c r="G1931" s="9"/>
      <c r="H1931" s="10"/>
      <c r="I1931" s="49">
        <f t="shared" si="1775"/>
        <v>0</v>
      </c>
      <c r="J1931" s="11">
        <f t="shared" si="1776"/>
        <v>0</v>
      </c>
      <c r="M1931" s="26"/>
      <c r="N1931" s="8"/>
      <c r="O1931" s="9"/>
      <c r="P1931" s="10"/>
      <c r="Q1931" s="49">
        <f t="shared" si="1772"/>
        <v>0</v>
      </c>
      <c r="R1931" s="12"/>
      <c r="S1931" s="9"/>
      <c r="T1931" s="10"/>
      <c r="U1931" s="49">
        <f t="shared" si="1773"/>
        <v>0</v>
      </c>
      <c r="V1931" s="11">
        <f t="shared" si="1774"/>
        <v>0</v>
      </c>
    </row>
    <row r="1932" spans="1:22" ht="14.25" thickBot="1" x14ac:dyDescent="0.2">
      <c r="A1932" s="41" t="s">
        <v>19</v>
      </c>
      <c r="B1932" s="46">
        <f>SUM(B1906:B1931)</f>
        <v>17</v>
      </c>
      <c r="C1932" s="47">
        <f t="shared" ref="C1932:D1932" si="1777">SUM(C1906:C1931)</f>
        <v>16</v>
      </c>
      <c r="D1932" s="59">
        <f t="shared" si="1777"/>
        <v>5</v>
      </c>
      <c r="E1932" s="45">
        <f>SUM(B1932:D1932)</f>
        <v>38</v>
      </c>
      <c r="F1932" s="46">
        <f>SUM(F1906:F1931)</f>
        <v>18</v>
      </c>
      <c r="G1932" s="47">
        <f t="shared" ref="G1932:H1932" si="1778">SUM(G1906:G1931)</f>
        <v>22</v>
      </c>
      <c r="H1932" s="59">
        <f t="shared" si="1778"/>
        <v>8</v>
      </c>
      <c r="I1932" s="45">
        <f t="shared" si="1775"/>
        <v>48</v>
      </c>
      <c r="J1932" s="45">
        <f>E1932+I1932</f>
        <v>86</v>
      </c>
      <c r="M1932" s="41" t="s">
        <v>19</v>
      </c>
      <c r="N1932" s="46">
        <f>SUM(N1906:N1931)</f>
        <v>10</v>
      </c>
      <c r="O1932" s="47">
        <f t="shared" ref="O1932:P1932" si="1779">SUM(O1906:O1931)</f>
        <v>10</v>
      </c>
      <c r="P1932" s="59">
        <f t="shared" si="1779"/>
        <v>5</v>
      </c>
      <c r="Q1932" s="45">
        <f t="shared" si="1772"/>
        <v>25</v>
      </c>
      <c r="R1932" s="46">
        <f>SUM(R1906:R1931)</f>
        <v>15</v>
      </c>
      <c r="S1932" s="47">
        <f t="shared" ref="S1932:T1932" si="1780">SUM(S1906:S1931)</f>
        <v>15</v>
      </c>
      <c r="T1932" s="59">
        <f t="shared" si="1780"/>
        <v>5</v>
      </c>
      <c r="U1932" s="45">
        <f t="shared" si="1773"/>
        <v>35</v>
      </c>
      <c r="V1932" s="45">
        <f>Q1932+U1932</f>
        <v>60</v>
      </c>
    </row>
    <row r="1933" spans="1:22" ht="14.25" thickBot="1" x14ac:dyDescent="0.2">
      <c r="A1933" s="22" t="s">
        <v>17</v>
      </c>
      <c r="B1933" s="50">
        <f>B1905-B1932</f>
        <v>2</v>
      </c>
      <c r="C1933" s="57">
        <f t="shared" ref="C1933:D1933" si="1781">C1905-C1932</f>
        <v>3</v>
      </c>
      <c r="D1933" s="58">
        <f t="shared" si="1781"/>
        <v>9</v>
      </c>
      <c r="E1933" s="56">
        <f>SUM(B1933:D1933)</f>
        <v>14</v>
      </c>
      <c r="F1933" s="50">
        <f>F1905-F1932</f>
        <v>3</v>
      </c>
      <c r="G1933" s="57">
        <f t="shared" ref="G1933:H1933" si="1782">G1905-G1932</f>
        <v>3</v>
      </c>
      <c r="H1933" s="58">
        <f t="shared" si="1782"/>
        <v>3</v>
      </c>
      <c r="I1933" s="56">
        <f>SUM(F1933:H1933)</f>
        <v>9</v>
      </c>
      <c r="J1933" s="31">
        <f>E1933+I1933</f>
        <v>23</v>
      </c>
      <c r="M1933" s="22" t="s">
        <v>17</v>
      </c>
      <c r="N1933" s="50">
        <f>N1905-N1932</f>
        <v>256</v>
      </c>
      <c r="O1933" s="57">
        <f t="shared" ref="O1933:P1933" si="1783">O1905-O1932</f>
        <v>384</v>
      </c>
      <c r="P1933" s="58">
        <f t="shared" si="1783"/>
        <v>146</v>
      </c>
      <c r="Q1933" s="56">
        <f>SUM(N1933:P1933)</f>
        <v>786</v>
      </c>
      <c r="R1933" s="50">
        <f>R1905-R1932</f>
        <v>254</v>
      </c>
      <c r="S1933" s="57">
        <f t="shared" ref="S1933:T1933" si="1784">S1905-S1932</f>
        <v>344</v>
      </c>
      <c r="T1933" s="58">
        <f t="shared" si="1784"/>
        <v>60</v>
      </c>
      <c r="U1933" s="56">
        <f>SUM(R1933:T1933)</f>
        <v>658</v>
      </c>
      <c r="V1933" s="31">
        <f>Q1933+U1933</f>
        <v>1444</v>
      </c>
    </row>
  </sheetData>
  <mergeCells count="310">
    <mergeCell ref="B1894:E1894"/>
    <mergeCell ref="F1894:I1894"/>
    <mergeCell ref="J1894:J1895"/>
    <mergeCell ref="N1894:Q1894"/>
    <mergeCell ref="R1894:U1894"/>
    <mergeCell ref="V1894:V1895"/>
    <mergeCell ref="V1507:V1508"/>
    <mergeCell ref="B1765:E1765"/>
    <mergeCell ref="F1765:I1765"/>
    <mergeCell ref="J1765:J1766"/>
    <mergeCell ref="N1765:Q1765"/>
    <mergeCell ref="R1765:U1765"/>
    <mergeCell ref="V1765:V1766"/>
    <mergeCell ref="B1722:E1722"/>
    <mergeCell ref="F1722:I1722"/>
    <mergeCell ref="J1722:J1723"/>
    <mergeCell ref="N1722:Q1722"/>
    <mergeCell ref="R1722:U1722"/>
    <mergeCell ref="V1722:V1723"/>
    <mergeCell ref="V1636:V1637"/>
    <mergeCell ref="B1593:E1593"/>
    <mergeCell ref="F1593:I1593"/>
    <mergeCell ref="J1593:J1594"/>
    <mergeCell ref="N1593:Q1593"/>
    <mergeCell ref="R1593:U1593"/>
    <mergeCell ref="V1593:V1594"/>
    <mergeCell ref="B1679:E1679"/>
    <mergeCell ref="F1679:I1679"/>
    <mergeCell ref="J1679:J1680"/>
    <mergeCell ref="N1679:Q1679"/>
    <mergeCell ref="A1461:V1462"/>
    <mergeCell ref="B1421:E1421"/>
    <mergeCell ref="F1421:I1421"/>
    <mergeCell ref="J1421:J1422"/>
    <mergeCell ref="N1421:Q1421"/>
    <mergeCell ref="R1421:U1421"/>
    <mergeCell ref="V1421:V1422"/>
    <mergeCell ref="B1550:E1550"/>
    <mergeCell ref="F1550:I1550"/>
    <mergeCell ref="J1550:J1551"/>
    <mergeCell ref="N1550:Q1550"/>
    <mergeCell ref="R1550:U1550"/>
    <mergeCell ref="V1550:V1551"/>
    <mergeCell ref="B1464:E1464"/>
    <mergeCell ref="F1464:I1464"/>
    <mergeCell ref="J1464:J1465"/>
    <mergeCell ref="N1464:Q1464"/>
    <mergeCell ref="R1464:U1464"/>
    <mergeCell ref="V1464:V1465"/>
    <mergeCell ref="B1507:E1507"/>
    <mergeCell ref="F1507:I1507"/>
    <mergeCell ref="J1507:J1508"/>
    <mergeCell ref="N1507:Q1507"/>
    <mergeCell ref="R1507:U1507"/>
    <mergeCell ref="B1120:E1120"/>
    <mergeCell ref="F1120:I1120"/>
    <mergeCell ref="J1120:J1121"/>
    <mergeCell ref="N1120:Q1120"/>
    <mergeCell ref="R1120:U1120"/>
    <mergeCell ref="V1120:V1121"/>
    <mergeCell ref="B1249:E1249"/>
    <mergeCell ref="F1249:I1249"/>
    <mergeCell ref="J1249:J1250"/>
    <mergeCell ref="N1249:Q1249"/>
    <mergeCell ref="R1249:U1249"/>
    <mergeCell ref="V1249:V1250"/>
    <mergeCell ref="B1163:E1163"/>
    <mergeCell ref="F1163:I1163"/>
    <mergeCell ref="J1163:J1164"/>
    <mergeCell ref="N1163:Q1163"/>
    <mergeCell ref="R1163:U1163"/>
    <mergeCell ref="V1163:V1164"/>
    <mergeCell ref="B1206:E1206"/>
    <mergeCell ref="F1206:I1206"/>
    <mergeCell ref="J1206:J1207"/>
    <mergeCell ref="N1206:Q1206"/>
    <mergeCell ref="R1206:U1206"/>
    <mergeCell ref="V1206:V1207"/>
    <mergeCell ref="B948:E948"/>
    <mergeCell ref="F948:I948"/>
    <mergeCell ref="J948:J949"/>
    <mergeCell ref="N948:Q948"/>
    <mergeCell ref="R948:U948"/>
    <mergeCell ref="V948:V949"/>
    <mergeCell ref="N1077:Q1077"/>
    <mergeCell ref="R1077:U1077"/>
    <mergeCell ref="V1077:V1078"/>
    <mergeCell ref="B1077:E1077"/>
    <mergeCell ref="F1077:I1077"/>
    <mergeCell ref="J1077:J1078"/>
    <mergeCell ref="B1034:E1034"/>
    <mergeCell ref="F1034:I1034"/>
    <mergeCell ref="J1034:J1035"/>
    <mergeCell ref="N1034:Q1034"/>
    <mergeCell ref="R1034:U1034"/>
    <mergeCell ref="V1034:V1035"/>
    <mergeCell ref="B174:E174"/>
    <mergeCell ref="F174:I174"/>
    <mergeCell ref="J174:J175"/>
    <mergeCell ref="N174:Q174"/>
    <mergeCell ref="R174:U174"/>
    <mergeCell ref="J260:J261"/>
    <mergeCell ref="N217:Q217"/>
    <mergeCell ref="R217:U217"/>
    <mergeCell ref="N303:Q303"/>
    <mergeCell ref="B217:E217"/>
    <mergeCell ref="F217:I217"/>
    <mergeCell ref="J217:J218"/>
    <mergeCell ref="J303:J304"/>
    <mergeCell ref="N260:Q260"/>
    <mergeCell ref="R260:U260"/>
    <mergeCell ref="R303:U303"/>
    <mergeCell ref="B260:E260"/>
    <mergeCell ref="F260:I260"/>
    <mergeCell ref="B303:E303"/>
    <mergeCell ref="F303:I303"/>
    <mergeCell ref="V217:V218"/>
    <mergeCell ref="B647:E647"/>
    <mergeCell ref="F647:I647"/>
    <mergeCell ref="Z217:AC217"/>
    <mergeCell ref="B2:E2"/>
    <mergeCell ref="F2:I2"/>
    <mergeCell ref="J2:J3"/>
    <mergeCell ref="B45:E45"/>
    <mergeCell ref="F45:I45"/>
    <mergeCell ref="J45:J46"/>
    <mergeCell ref="N45:Q45"/>
    <mergeCell ref="V45:V46"/>
    <mergeCell ref="N2:Q2"/>
    <mergeCell ref="R2:U2"/>
    <mergeCell ref="V2:V3"/>
    <mergeCell ref="R45:U45"/>
    <mergeCell ref="B88:E88"/>
    <mergeCell ref="F88:I88"/>
    <mergeCell ref="J88:J89"/>
    <mergeCell ref="B131:E131"/>
    <mergeCell ref="F131:I131"/>
    <mergeCell ref="J131:J132"/>
    <mergeCell ref="N88:Q88"/>
    <mergeCell ref="R88:U88"/>
    <mergeCell ref="N131:Q131"/>
    <mergeCell ref="R131:U131"/>
    <mergeCell ref="J647:J648"/>
    <mergeCell ref="F690:I690"/>
    <mergeCell ref="Z2:AC2"/>
    <mergeCell ref="AD2:AG2"/>
    <mergeCell ref="AH2:AH3"/>
    <mergeCell ref="Z45:AC45"/>
    <mergeCell ref="AD45:AG45"/>
    <mergeCell ref="AH45:AH46"/>
    <mergeCell ref="AD217:AG217"/>
    <mergeCell ref="AH217:AH218"/>
    <mergeCell ref="V174:V175"/>
    <mergeCell ref="Z174:AC174"/>
    <mergeCell ref="AD174:AG174"/>
    <mergeCell ref="AH174:AH175"/>
    <mergeCell ref="V88:V89"/>
    <mergeCell ref="Z88:AC88"/>
    <mergeCell ref="AD88:AG88"/>
    <mergeCell ref="AH88:AH89"/>
    <mergeCell ref="V131:V132"/>
    <mergeCell ref="Z131:AC131"/>
    <mergeCell ref="AD131:AG131"/>
    <mergeCell ref="AH131:AH132"/>
    <mergeCell ref="N690:Q690"/>
    <mergeCell ref="R690:U690"/>
    <mergeCell ref="AH260:AH261"/>
    <mergeCell ref="V260:V261"/>
    <mergeCell ref="Z260:AC260"/>
    <mergeCell ref="AD260:AG260"/>
    <mergeCell ref="Z303:AC303"/>
    <mergeCell ref="AD346:AG346"/>
    <mergeCell ref="AH346:AH347"/>
    <mergeCell ref="V389:V390"/>
    <mergeCell ref="V346:V347"/>
    <mergeCell ref="Z346:AC346"/>
    <mergeCell ref="AH389:AH390"/>
    <mergeCell ref="AD303:AG303"/>
    <mergeCell ref="AH303:AH304"/>
    <mergeCell ref="AD389:AG389"/>
    <mergeCell ref="Z389:AC389"/>
    <mergeCell ref="V303:V304"/>
    <mergeCell ref="N389:Q389"/>
    <mergeCell ref="R389:U389"/>
    <mergeCell ref="R346:U346"/>
    <mergeCell ref="N346:Q346"/>
    <mergeCell ref="R647:U647"/>
    <mergeCell ref="AH518:AH519"/>
    <mergeCell ref="V604:V605"/>
    <mergeCell ref="Z432:AC432"/>
    <mergeCell ref="AD432:AG432"/>
    <mergeCell ref="AH432:AH433"/>
    <mergeCell ref="AH475:AH476"/>
    <mergeCell ref="AD518:AG518"/>
    <mergeCell ref="Z475:AC475"/>
    <mergeCell ref="AD475:AG475"/>
    <mergeCell ref="Z518:AC518"/>
    <mergeCell ref="V561:V562"/>
    <mergeCell ref="V432:V433"/>
    <mergeCell ref="V475:V476"/>
    <mergeCell ref="V518:V519"/>
    <mergeCell ref="B346:E346"/>
    <mergeCell ref="F346:I346"/>
    <mergeCell ref="J346:J347"/>
    <mergeCell ref="B776:E776"/>
    <mergeCell ref="F776:I776"/>
    <mergeCell ref="J776:J777"/>
    <mergeCell ref="N776:Q776"/>
    <mergeCell ref="R776:U776"/>
    <mergeCell ref="V776:V777"/>
    <mergeCell ref="B733:E733"/>
    <mergeCell ref="F733:I733"/>
    <mergeCell ref="J733:J734"/>
    <mergeCell ref="N733:Q733"/>
    <mergeCell ref="R733:U733"/>
    <mergeCell ref="V733:V734"/>
    <mergeCell ref="J690:J691"/>
    <mergeCell ref="N647:Q647"/>
    <mergeCell ref="V690:V691"/>
    <mergeCell ref="B690:E690"/>
    <mergeCell ref="V647:V648"/>
    <mergeCell ref="F561:I561"/>
    <mergeCell ref="J561:J562"/>
    <mergeCell ref="B561:E561"/>
    <mergeCell ref="B604:E604"/>
    <mergeCell ref="F604:I604"/>
    <mergeCell ref="J604:J605"/>
    <mergeCell ref="N604:Q604"/>
    <mergeCell ref="R604:U604"/>
    <mergeCell ref="N561:Q561"/>
    <mergeCell ref="R561:U561"/>
    <mergeCell ref="B389:E389"/>
    <mergeCell ref="F389:I389"/>
    <mergeCell ref="J389:J390"/>
    <mergeCell ref="R432:U432"/>
    <mergeCell ref="F518:I518"/>
    <mergeCell ref="J518:J519"/>
    <mergeCell ref="B475:E475"/>
    <mergeCell ref="F475:I475"/>
    <mergeCell ref="J475:J476"/>
    <mergeCell ref="N475:Q475"/>
    <mergeCell ref="R475:U475"/>
    <mergeCell ref="B518:E518"/>
    <mergeCell ref="N518:Q518"/>
    <mergeCell ref="B432:E432"/>
    <mergeCell ref="F432:I432"/>
    <mergeCell ref="R518:U518"/>
    <mergeCell ref="J432:J433"/>
    <mergeCell ref="N432:Q432"/>
    <mergeCell ref="B819:E819"/>
    <mergeCell ref="F819:I819"/>
    <mergeCell ref="J819:J820"/>
    <mergeCell ref="N819:Q819"/>
    <mergeCell ref="R819:U819"/>
    <mergeCell ref="V819:V820"/>
    <mergeCell ref="B991:E991"/>
    <mergeCell ref="F991:I991"/>
    <mergeCell ref="J991:J992"/>
    <mergeCell ref="N991:Q991"/>
    <mergeCell ref="R991:U991"/>
    <mergeCell ref="V991:V992"/>
    <mergeCell ref="B862:E862"/>
    <mergeCell ref="F862:I862"/>
    <mergeCell ref="J862:J863"/>
    <mergeCell ref="N862:Q862"/>
    <mergeCell ref="R862:U862"/>
    <mergeCell ref="V862:V863"/>
    <mergeCell ref="N905:Q905"/>
    <mergeCell ref="R905:U905"/>
    <mergeCell ref="V905:V906"/>
    <mergeCell ref="B905:E905"/>
    <mergeCell ref="F905:I905"/>
    <mergeCell ref="J905:J906"/>
    <mergeCell ref="B1292:E1292"/>
    <mergeCell ref="F1292:I1292"/>
    <mergeCell ref="J1292:J1293"/>
    <mergeCell ref="N1292:Q1292"/>
    <mergeCell ref="R1292:U1292"/>
    <mergeCell ref="V1292:V1293"/>
    <mergeCell ref="B1378:E1378"/>
    <mergeCell ref="F1378:I1378"/>
    <mergeCell ref="J1378:J1379"/>
    <mergeCell ref="N1378:Q1378"/>
    <mergeCell ref="R1378:U1378"/>
    <mergeCell ref="V1378:V1379"/>
    <mergeCell ref="B1335:E1335"/>
    <mergeCell ref="F1335:I1335"/>
    <mergeCell ref="J1335:J1336"/>
    <mergeCell ref="N1335:Q1335"/>
    <mergeCell ref="R1335:U1335"/>
    <mergeCell ref="V1335:V1336"/>
    <mergeCell ref="R1679:U1679"/>
    <mergeCell ref="V1679:V1680"/>
    <mergeCell ref="B1636:E1636"/>
    <mergeCell ref="F1636:I1636"/>
    <mergeCell ref="J1636:J1637"/>
    <mergeCell ref="N1636:Q1636"/>
    <mergeCell ref="R1636:U1636"/>
    <mergeCell ref="N1851:Q1851"/>
    <mergeCell ref="R1851:U1851"/>
    <mergeCell ref="V1851:V1852"/>
    <mergeCell ref="B1851:E1851"/>
    <mergeCell ref="F1851:I1851"/>
    <mergeCell ref="J1851:J1852"/>
    <mergeCell ref="B1808:E1808"/>
    <mergeCell ref="F1808:I1808"/>
    <mergeCell ref="J1808:J1809"/>
    <mergeCell ref="N1808:Q1808"/>
    <mergeCell ref="R1808:U1808"/>
    <mergeCell ref="V1808:V1809"/>
  </mergeCells>
  <phoneticPr fontId="7"/>
  <pageMargins left="0.70866141732283472" right="0.70866141732283472" top="0.74803149606299213" bottom="0.74803149606299213" header="0.31496062992125984" footer="0.31496062992125984"/>
  <pageSetup paperSize="9" scale="50" orientation="landscape" r:id="rId1"/>
  <ignoredErrors>
    <ignoredError sqref="Q384:Q385 E384:E38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タンクトップ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2020-01-22T02:05:50Z</cp:lastPrinted>
  <dcterms:created xsi:type="dcterms:W3CDTF">2017-08-26T01:27:44Z</dcterms:created>
  <dcterms:modified xsi:type="dcterms:W3CDTF">2026-07-15T03:00:00Z</dcterms:modified>
</cp:coreProperties>
</file>