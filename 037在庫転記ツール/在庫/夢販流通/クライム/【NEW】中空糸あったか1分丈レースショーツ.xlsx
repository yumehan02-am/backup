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filterPrivacy="1" defaultThemeVersion="124226"/>
  <xr:revisionPtr revIDLastSave="0" documentId="13_ncr:1_{8742CAD3-D719-4583-A815-83ABB590DB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1分丈ショーツ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Z384" i="1" l="1"/>
  <c r="W384" i="1"/>
  <c r="X383" i="1"/>
  <c r="E403" i="1"/>
  <c r="I403" i="1"/>
  <c r="M403" i="1"/>
  <c r="E404" i="1"/>
  <c r="I404" i="1"/>
  <c r="N404" i="1" s="1"/>
  <c r="M404" i="1"/>
  <c r="E405" i="1"/>
  <c r="I405" i="1"/>
  <c r="M405" i="1"/>
  <c r="E406" i="1"/>
  <c r="I406" i="1"/>
  <c r="M406" i="1"/>
  <c r="N406" i="1"/>
  <c r="E407" i="1"/>
  <c r="I407" i="1"/>
  <c r="M407" i="1"/>
  <c r="N407" i="1"/>
  <c r="E408" i="1"/>
  <c r="I408" i="1"/>
  <c r="M408" i="1"/>
  <c r="E409" i="1"/>
  <c r="I409" i="1"/>
  <c r="M409" i="1"/>
  <c r="E410" i="1"/>
  <c r="I410" i="1"/>
  <c r="M410" i="1"/>
  <c r="N410" i="1" s="1"/>
  <c r="E411" i="1"/>
  <c r="I411" i="1"/>
  <c r="M411" i="1"/>
  <c r="N411" i="1" s="1"/>
  <c r="E412" i="1"/>
  <c r="I412" i="1"/>
  <c r="M412" i="1"/>
  <c r="E413" i="1"/>
  <c r="N413" i="1" s="1"/>
  <c r="I413" i="1"/>
  <c r="M413" i="1"/>
  <c r="E414" i="1"/>
  <c r="I414" i="1"/>
  <c r="M414" i="1"/>
  <c r="E415" i="1"/>
  <c r="I415" i="1"/>
  <c r="M415" i="1"/>
  <c r="N415" i="1"/>
  <c r="E416" i="1"/>
  <c r="I416" i="1"/>
  <c r="M416" i="1"/>
  <c r="N416" i="1"/>
  <c r="E417" i="1"/>
  <c r="I417" i="1"/>
  <c r="M417" i="1"/>
  <c r="N417" i="1"/>
  <c r="E418" i="1"/>
  <c r="I418" i="1"/>
  <c r="M418" i="1"/>
  <c r="N418" i="1"/>
  <c r="E419" i="1"/>
  <c r="I419" i="1"/>
  <c r="M419" i="1"/>
  <c r="N419" i="1"/>
  <c r="E420" i="1"/>
  <c r="I420" i="1"/>
  <c r="M420" i="1"/>
  <c r="N420" i="1"/>
  <c r="E421" i="1"/>
  <c r="I421" i="1"/>
  <c r="M421" i="1"/>
  <c r="N421" i="1"/>
  <c r="E392" i="1"/>
  <c r="I392" i="1"/>
  <c r="M392" i="1"/>
  <c r="E393" i="1"/>
  <c r="I393" i="1"/>
  <c r="M393" i="1"/>
  <c r="E394" i="1"/>
  <c r="I394" i="1"/>
  <c r="M394" i="1"/>
  <c r="N394" i="1"/>
  <c r="E395" i="1"/>
  <c r="I395" i="1"/>
  <c r="M395" i="1"/>
  <c r="N395" i="1"/>
  <c r="E396" i="1"/>
  <c r="I396" i="1"/>
  <c r="M396" i="1"/>
  <c r="N396" i="1"/>
  <c r="L427" i="1"/>
  <c r="K427" i="1"/>
  <c r="J427" i="1"/>
  <c r="H427" i="1"/>
  <c r="G427" i="1"/>
  <c r="F427" i="1"/>
  <c r="D427" i="1"/>
  <c r="C427" i="1"/>
  <c r="B427" i="1"/>
  <c r="M426" i="1"/>
  <c r="N426" i="1" s="1"/>
  <c r="I426" i="1"/>
  <c r="E426" i="1"/>
  <c r="M425" i="1"/>
  <c r="N425" i="1" s="1"/>
  <c r="I425" i="1"/>
  <c r="E425" i="1"/>
  <c r="M424" i="1"/>
  <c r="N424" i="1" s="1"/>
  <c r="I424" i="1"/>
  <c r="E424" i="1"/>
  <c r="M423" i="1"/>
  <c r="N423" i="1" s="1"/>
  <c r="I423" i="1"/>
  <c r="E423" i="1"/>
  <c r="M422" i="1"/>
  <c r="N422" i="1" s="1"/>
  <c r="I422" i="1"/>
  <c r="E422" i="1"/>
  <c r="N401" i="1"/>
  <c r="M401" i="1"/>
  <c r="I401" i="1"/>
  <c r="E401" i="1"/>
  <c r="N400" i="1"/>
  <c r="M400" i="1"/>
  <c r="I400" i="1"/>
  <c r="E400" i="1"/>
  <c r="N399" i="1"/>
  <c r="M399" i="1"/>
  <c r="I399" i="1"/>
  <c r="E399" i="1"/>
  <c r="N398" i="1"/>
  <c r="M398" i="1"/>
  <c r="I398" i="1"/>
  <c r="E398" i="1"/>
  <c r="N397" i="1"/>
  <c r="M397" i="1"/>
  <c r="I397" i="1"/>
  <c r="E397" i="1"/>
  <c r="T424" i="1"/>
  <c r="X424" i="1"/>
  <c r="AB424" i="1"/>
  <c r="AC424" i="1"/>
  <c r="AC427" i="1" s="1"/>
  <c r="T425" i="1"/>
  <c r="X425" i="1"/>
  <c r="AB425" i="1"/>
  <c r="AC425" i="1"/>
  <c r="T426" i="1"/>
  <c r="X426" i="1"/>
  <c r="AB426" i="1"/>
  <c r="AC426" i="1"/>
  <c r="T403" i="1"/>
  <c r="X403" i="1"/>
  <c r="AB403" i="1"/>
  <c r="AC403" i="1"/>
  <c r="T404" i="1"/>
  <c r="X404" i="1"/>
  <c r="AB404" i="1"/>
  <c r="AC404" i="1"/>
  <c r="T405" i="1"/>
  <c r="X405" i="1"/>
  <c r="AB405" i="1"/>
  <c r="AC405" i="1"/>
  <c r="AA427" i="1"/>
  <c r="W427" i="1"/>
  <c r="S427" i="1"/>
  <c r="Z427" i="1"/>
  <c r="Y427" i="1"/>
  <c r="V427" i="1"/>
  <c r="U427" i="1"/>
  <c r="R427" i="1"/>
  <c r="Q427" i="1"/>
  <c r="AC423" i="1"/>
  <c r="AB423" i="1"/>
  <c r="X423" i="1"/>
  <c r="T423" i="1"/>
  <c r="AC422" i="1"/>
  <c r="AB422" i="1"/>
  <c r="X422" i="1"/>
  <c r="T422" i="1"/>
  <c r="AC421" i="1"/>
  <c r="AB421" i="1"/>
  <c r="X421" i="1"/>
  <c r="T421" i="1"/>
  <c r="AC420" i="1"/>
  <c r="AB420" i="1"/>
  <c r="X420" i="1"/>
  <c r="T420" i="1"/>
  <c r="AC419" i="1"/>
  <c r="AB419" i="1"/>
  <c r="X419" i="1"/>
  <c r="T419" i="1"/>
  <c r="AC418" i="1"/>
  <c r="AB418" i="1"/>
  <c r="X418" i="1"/>
  <c r="T418" i="1"/>
  <c r="AC417" i="1"/>
  <c r="AB417" i="1"/>
  <c r="X417" i="1"/>
  <c r="T417" i="1"/>
  <c r="AC416" i="1"/>
  <c r="AB416" i="1"/>
  <c r="X416" i="1"/>
  <c r="T416" i="1"/>
  <c r="AC415" i="1"/>
  <c r="AB415" i="1"/>
  <c r="X415" i="1"/>
  <c r="T415" i="1"/>
  <c r="AC414" i="1"/>
  <c r="AB414" i="1"/>
  <c r="X414" i="1"/>
  <c r="T414" i="1"/>
  <c r="AC413" i="1"/>
  <c r="AB413" i="1"/>
  <c r="X413" i="1"/>
  <c r="T413" i="1"/>
  <c r="AC412" i="1"/>
  <c r="AB412" i="1"/>
  <c r="X412" i="1"/>
  <c r="T412" i="1"/>
  <c r="AC411" i="1"/>
  <c r="AB411" i="1"/>
  <c r="X411" i="1"/>
  <c r="T411" i="1"/>
  <c r="AC410" i="1"/>
  <c r="AB410" i="1"/>
  <c r="X410" i="1"/>
  <c r="T410" i="1"/>
  <c r="AC409" i="1"/>
  <c r="AB409" i="1"/>
  <c r="X409" i="1"/>
  <c r="T409" i="1"/>
  <c r="AC408" i="1"/>
  <c r="AB408" i="1"/>
  <c r="X408" i="1"/>
  <c r="T408" i="1"/>
  <c r="AC407" i="1"/>
  <c r="AB407" i="1"/>
  <c r="X407" i="1"/>
  <c r="T407" i="1"/>
  <c r="AC406" i="1"/>
  <c r="AB406" i="1"/>
  <c r="X406" i="1"/>
  <c r="T406" i="1"/>
  <c r="AB427" i="1"/>
  <c r="X427" i="1"/>
  <c r="T427" i="1"/>
  <c r="AB401" i="1"/>
  <c r="X401" i="1"/>
  <c r="T401" i="1"/>
  <c r="AC401" i="1" s="1"/>
  <c r="AB400" i="1"/>
  <c r="X400" i="1"/>
  <c r="T400" i="1"/>
  <c r="AC400" i="1" s="1"/>
  <c r="AB399" i="1"/>
  <c r="X399" i="1"/>
  <c r="T399" i="1"/>
  <c r="AC399" i="1" s="1"/>
  <c r="AB398" i="1"/>
  <c r="X398" i="1"/>
  <c r="T398" i="1"/>
  <c r="AC398" i="1" s="1"/>
  <c r="AB397" i="1"/>
  <c r="X397" i="1"/>
  <c r="T397" i="1"/>
  <c r="AC397" i="1" s="1"/>
  <c r="AB396" i="1"/>
  <c r="X396" i="1"/>
  <c r="T396" i="1"/>
  <c r="AC396" i="1" s="1"/>
  <c r="AB395" i="1"/>
  <c r="X395" i="1"/>
  <c r="T395" i="1"/>
  <c r="AC395" i="1" s="1"/>
  <c r="AB394" i="1"/>
  <c r="X394" i="1"/>
  <c r="T394" i="1"/>
  <c r="AC394" i="1" s="1"/>
  <c r="AB393" i="1"/>
  <c r="X393" i="1"/>
  <c r="T393" i="1"/>
  <c r="AC393" i="1" s="1"/>
  <c r="AB392" i="1"/>
  <c r="X392" i="1"/>
  <c r="T392" i="1"/>
  <c r="AC392" i="1" s="1"/>
  <c r="AB383" i="1"/>
  <c r="T335" i="1"/>
  <c r="X335" i="1"/>
  <c r="AB335" i="1"/>
  <c r="AC335" i="1"/>
  <c r="T336" i="1"/>
  <c r="X336" i="1"/>
  <c r="AB336" i="1"/>
  <c r="AC336" i="1"/>
  <c r="T337" i="1"/>
  <c r="X337" i="1"/>
  <c r="AB337" i="1"/>
  <c r="AC337" i="1"/>
  <c r="AB340" i="1"/>
  <c r="X340" i="1"/>
  <c r="T340" i="1"/>
  <c r="AB339" i="1"/>
  <c r="X339" i="1"/>
  <c r="T339" i="1"/>
  <c r="AC339" i="1" s="1"/>
  <c r="AB338" i="1"/>
  <c r="X338" i="1"/>
  <c r="T338" i="1"/>
  <c r="AC338" i="1" s="1"/>
  <c r="T360" i="1"/>
  <c r="X360" i="1"/>
  <c r="AB360" i="1"/>
  <c r="T361" i="1"/>
  <c r="X361" i="1"/>
  <c r="AB361" i="1"/>
  <c r="AC361" i="1"/>
  <c r="T362" i="1"/>
  <c r="X362" i="1"/>
  <c r="AB362" i="1"/>
  <c r="T363" i="1"/>
  <c r="X363" i="1"/>
  <c r="AB363" i="1"/>
  <c r="T364" i="1"/>
  <c r="X364" i="1"/>
  <c r="AB364" i="1"/>
  <c r="AC364" i="1" s="1"/>
  <c r="T365" i="1"/>
  <c r="X365" i="1"/>
  <c r="AB365" i="1"/>
  <c r="T366" i="1"/>
  <c r="X366" i="1"/>
  <c r="AB366" i="1"/>
  <c r="AC366" i="1"/>
  <c r="T367" i="1"/>
  <c r="X367" i="1"/>
  <c r="AB367" i="1"/>
  <c r="AC367" i="1"/>
  <c r="T377" i="1"/>
  <c r="X377" i="1"/>
  <c r="AB377" i="1"/>
  <c r="AC377" i="1"/>
  <c r="T378" i="1"/>
  <c r="X378" i="1"/>
  <c r="AB378" i="1"/>
  <c r="AC378" i="1"/>
  <c r="T379" i="1"/>
  <c r="X379" i="1"/>
  <c r="AB379" i="1"/>
  <c r="AC379" i="1"/>
  <c r="T380" i="1"/>
  <c r="X380" i="1"/>
  <c r="AB380" i="1"/>
  <c r="AC380" i="1"/>
  <c r="E360" i="1"/>
  <c r="I360" i="1"/>
  <c r="M360" i="1"/>
  <c r="N360" i="1" s="1"/>
  <c r="E361" i="1"/>
  <c r="I361" i="1"/>
  <c r="M361" i="1"/>
  <c r="N361" i="1"/>
  <c r="E362" i="1"/>
  <c r="I362" i="1"/>
  <c r="M362" i="1"/>
  <c r="N362" i="1"/>
  <c r="E363" i="1"/>
  <c r="I363" i="1"/>
  <c r="M363" i="1"/>
  <c r="N363" i="1"/>
  <c r="E364" i="1"/>
  <c r="I364" i="1"/>
  <c r="M364" i="1"/>
  <c r="N364" i="1"/>
  <c r="E365" i="1"/>
  <c r="I365" i="1"/>
  <c r="M365" i="1"/>
  <c r="N365" i="1"/>
  <c r="E366" i="1"/>
  <c r="I366" i="1"/>
  <c r="M366" i="1"/>
  <c r="N366" i="1"/>
  <c r="E367" i="1"/>
  <c r="I367" i="1"/>
  <c r="M367" i="1"/>
  <c r="N367" i="1"/>
  <c r="E368" i="1"/>
  <c r="I368" i="1"/>
  <c r="M368" i="1"/>
  <c r="E369" i="1"/>
  <c r="I369" i="1"/>
  <c r="M369" i="1"/>
  <c r="N369" i="1" s="1"/>
  <c r="E370" i="1"/>
  <c r="I370" i="1"/>
  <c r="M370" i="1"/>
  <c r="N370" i="1"/>
  <c r="E371" i="1"/>
  <c r="I371" i="1"/>
  <c r="M371" i="1"/>
  <c r="E372" i="1"/>
  <c r="I372" i="1"/>
  <c r="M372" i="1"/>
  <c r="E373" i="1"/>
  <c r="I373" i="1"/>
  <c r="M373" i="1"/>
  <c r="N373" i="1"/>
  <c r="E374" i="1"/>
  <c r="I374" i="1"/>
  <c r="M374" i="1"/>
  <c r="N374" i="1"/>
  <c r="E375" i="1"/>
  <c r="I375" i="1"/>
  <c r="M375" i="1"/>
  <c r="N375" i="1"/>
  <c r="E376" i="1"/>
  <c r="I376" i="1"/>
  <c r="M376" i="1"/>
  <c r="E377" i="1"/>
  <c r="I377" i="1"/>
  <c r="M377" i="1"/>
  <c r="N377" i="1"/>
  <c r="E378" i="1"/>
  <c r="I378" i="1"/>
  <c r="M378" i="1"/>
  <c r="N378" i="1"/>
  <c r="E379" i="1"/>
  <c r="I379" i="1"/>
  <c r="M379" i="1"/>
  <c r="N379" i="1"/>
  <c r="E380" i="1"/>
  <c r="I380" i="1"/>
  <c r="M380" i="1"/>
  <c r="E381" i="1"/>
  <c r="I381" i="1"/>
  <c r="M381" i="1"/>
  <c r="E349" i="1"/>
  <c r="I349" i="1"/>
  <c r="M349" i="1"/>
  <c r="N349" i="1"/>
  <c r="E350" i="1"/>
  <c r="I350" i="1"/>
  <c r="M350" i="1"/>
  <c r="N350" i="1"/>
  <c r="E351" i="1"/>
  <c r="I351" i="1"/>
  <c r="M351" i="1"/>
  <c r="N351" i="1" s="1"/>
  <c r="E352" i="1"/>
  <c r="I352" i="1"/>
  <c r="M352" i="1"/>
  <c r="N352" i="1"/>
  <c r="E353" i="1"/>
  <c r="N353" i="1" s="1"/>
  <c r="I353" i="1"/>
  <c r="M353" i="1"/>
  <c r="E354" i="1"/>
  <c r="I354" i="1"/>
  <c r="M354" i="1"/>
  <c r="E355" i="1"/>
  <c r="N355" i="1" s="1"/>
  <c r="I355" i="1"/>
  <c r="M355" i="1"/>
  <c r="AA384" i="1"/>
  <c r="Y384" i="1"/>
  <c r="U384" i="1"/>
  <c r="S384" i="1"/>
  <c r="R384" i="1"/>
  <c r="Q384" i="1"/>
  <c r="L384" i="1"/>
  <c r="K384" i="1"/>
  <c r="J384" i="1"/>
  <c r="H384" i="1"/>
  <c r="G384" i="1"/>
  <c r="F384" i="1"/>
  <c r="D384" i="1"/>
  <c r="C384" i="1"/>
  <c r="B384" i="1"/>
  <c r="T383" i="1"/>
  <c r="M383" i="1"/>
  <c r="I383" i="1"/>
  <c r="E383" i="1"/>
  <c r="N383" i="1" s="1"/>
  <c r="AB382" i="1"/>
  <c r="X382" i="1"/>
  <c r="T382" i="1"/>
  <c r="M382" i="1"/>
  <c r="I382" i="1"/>
  <c r="E382" i="1"/>
  <c r="N382" i="1" s="1"/>
  <c r="AB381" i="1"/>
  <c r="X381" i="1"/>
  <c r="T381" i="1"/>
  <c r="AC381" i="1" s="1"/>
  <c r="AB376" i="1"/>
  <c r="X376" i="1"/>
  <c r="T376" i="1"/>
  <c r="AC376" i="1" s="1"/>
  <c r="AB375" i="1"/>
  <c r="X375" i="1"/>
  <c r="T375" i="1"/>
  <c r="AC375" i="1" s="1"/>
  <c r="AB374" i="1"/>
  <c r="X374" i="1"/>
  <c r="T374" i="1"/>
  <c r="AC374" i="1" s="1"/>
  <c r="AB373" i="1"/>
  <c r="X373" i="1"/>
  <c r="T373" i="1"/>
  <c r="AC373" i="1" s="1"/>
  <c r="AB372" i="1"/>
  <c r="X372" i="1"/>
  <c r="T372" i="1"/>
  <c r="AC372" i="1" s="1"/>
  <c r="AB371" i="1"/>
  <c r="X371" i="1"/>
  <c r="T371" i="1"/>
  <c r="AC371" i="1" s="1"/>
  <c r="AB370" i="1"/>
  <c r="X370" i="1"/>
  <c r="T370" i="1"/>
  <c r="AC370" i="1" s="1"/>
  <c r="AB369" i="1"/>
  <c r="X369" i="1"/>
  <c r="T369" i="1"/>
  <c r="AC369" i="1" s="1"/>
  <c r="AB368" i="1"/>
  <c r="X368" i="1"/>
  <c r="T368" i="1"/>
  <c r="AC368" i="1" s="1"/>
  <c r="AB358" i="1"/>
  <c r="X358" i="1"/>
  <c r="T358" i="1"/>
  <c r="AC358" i="1" s="1"/>
  <c r="M358" i="1"/>
  <c r="I358" i="1"/>
  <c r="E358" i="1"/>
  <c r="N358" i="1" s="1"/>
  <c r="AB357" i="1"/>
  <c r="X357" i="1"/>
  <c r="T357" i="1"/>
  <c r="AC357" i="1" s="1"/>
  <c r="M357" i="1"/>
  <c r="I357" i="1"/>
  <c r="E357" i="1"/>
  <c r="N357" i="1" s="1"/>
  <c r="AB356" i="1"/>
  <c r="X356" i="1"/>
  <c r="T356" i="1"/>
  <c r="AC356" i="1" s="1"/>
  <c r="M356" i="1"/>
  <c r="I356" i="1"/>
  <c r="E356" i="1"/>
  <c r="N356" i="1" s="1"/>
  <c r="AB355" i="1"/>
  <c r="X355" i="1"/>
  <c r="T355" i="1"/>
  <c r="AB354" i="1"/>
  <c r="X354" i="1"/>
  <c r="AC354" i="1" s="1"/>
  <c r="T354" i="1"/>
  <c r="AB353" i="1"/>
  <c r="X353" i="1"/>
  <c r="AC353" i="1" s="1"/>
  <c r="T353" i="1"/>
  <c r="AB352" i="1"/>
  <c r="X352" i="1"/>
  <c r="AC352" i="1" s="1"/>
  <c r="T352" i="1"/>
  <c r="AB351" i="1"/>
  <c r="X351" i="1"/>
  <c r="AC351" i="1" s="1"/>
  <c r="T351" i="1"/>
  <c r="AB350" i="1"/>
  <c r="X350" i="1"/>
  <c r="AC350" i="1" s="1"/>
  <c r="T350" i="1"/>
  <c r="AB349" i="1"/>
  <c r="X349" i="1"/>
  <c r="T349" i="1"/>
  <c r="T324" i="1"/>
  <c r="X324" i="1"/>
  <c r="AB324" i="1"/>
  <c r="AC324" i="1"/>
  <c r="M269" i="1"/>
  <c r="N269" i="1"/>
  <c r="I269" i="1"/>
  <c r="E269" i="1"/>
  <c r="AB283" i="1"/>
  <c r="AC283" i="1"/>
  <c r="X283" i="1"/>
  <c r="T283" i="1"/>
  <c r="X297" i="1"/>
  <c r="T276" i="1"/>
  <c r="X276" i="1"/>
  <c r="AB276" i="1"/>
  <c r="AC276" i="1"/>
  <c r="E317" i="1"/>
  <c r="I317" i="1"/>
  <c r="M317" i="1"/>
  <c r="N317" i="1" s="1"/>
  <c r="E318" i="1"/>
  <c r="I318" i="1"/>
  <c r="M318" i="1"/>
  <c r="AA341" i="1"/>
  <c r="Z341" i="1"/>
  <c r="Y341" i="1"/>
  <c r="W341" i="1"/>
  <c r="V341" i="1"/>
  <c r="U341" i="1"/>
  <c r="S341" i="1"/>
  <c r="R341" i="1"/>
  <c r="Q341" i="1"/>
  <c r="L341" i="1"/>
  <c r="K341" i="1"/>
  <c r="J341" i="1"/>
  <c r="H341" i="1"/>
  <c r="G341" i="1"/>
  <c r="F341" i="1"/>
  <c r="D341" i="1"/>
  <c r="C341" i="1"/>
  <c r="B341" i="1"/>
  <c r="M340" i="1"/>
  <c r="I340" i="1"/>
  <c r="E340" i="1"/>
  <c r="N340" i="1" s="1"/>
  <c r="M339" i="1"/>
  <c r="I339" i="1"/>
  <c r="E339" i="1"/>
  <c r="N339" i="1" s="1"/>
  <c r="M338" i="1"/>
  <c r="I338" i="1"/>
  <c r="E338" i="1"/>
  <c r="N338" i="1" s="1"/>
  <c r="M337" i="1"/>
  <c r="I337" i="1"/>
  <c r="E337" i="1"/>
  <c r="M336" i="1"/>
  <c r="I336" i="1"/>
  <c r="I341" i="1" s="1"/>
  <c r="E336" i="1"/>
  <c r="M335" i="1"/>
  <c r="I335" i="1"/>
  <c r="E335" i="1"/>
  <c r="N335" i="1" s="1"/>
  <c r="AB334" i="1"/>
  <c r="X334" i="1"/>
  <c r="T334" i="1"/>
  <c r="AC334" i="1" s="1"/>
  <c r="M334" i="1"/>
  <c r="I334" i="1"/>
  <c r="E334" i="1"/>
  <c r="N334" i="1" s="1"/>
  <c r="AB333" i="1"/>
  <c r="X333" i="1"/>
  <c r="T333" i="1"/>
  <c r="AC333" i="1" s="1"/>
  <c r="M333" i="1"/>
  <c r="I333" i="1"/>
  <c r="E333" i="1"/>
  <c r="N333" i="1" s="1"/>
  <c r="AB332" i="1"/>
  <c r="X332" i="1"/>
  <c r="T332" i="1"/>
  <c r="AC332" i="1" s="1"/>
  <c r="M332" i="1"/>
  <c r="I332" i="1"/>
  <c r="E332" i="1"/>
  <c r="N332" i="1" s="1"/>
  <c r="AB331" i="1"/>
  <c r="X331" i="1"/>
  <c r="T331" i="1"/>
  <c r="AC331" i="1" s="1"/>
  <c r="M331" i="1"/>
  <c r="I331" i="1"/>
  <c r="E331" i="1"/>
  <c r="N331" i="1" s="1"/>
  <c r="AB330" i="1"/>
  <c r="X330" i="1"/>
  <c r="T330" i="1"/>
  <c r="AC330" i="1" s="1"/>
  <c r="M330" i="1"/>
  <c r="I330" i="1"/>
  <c r="E330" i="1"/>
  <c r="N330" i="1" s="1"/>
  <c r="AB329" i="1"/>
  <c r="X329" i="1"/>
  <c r="T329" i="1"/>
  <c r="AC329" i="1" s="1"/>
  <c r="M329" i="1"/>
  <c r="I329" i="1"/>
  <c r="E329" i="1"/>
  <c r="N329" i="1" s="1"/>
  <c r="AB328" i="1"/>
  <c r="X328" i="1"/>
  <c r="T328" i="1"/>
  <c r="AC328" i="1" s="1"/>
  <c r="M328" i="1"/>
  <c r="I328" i="1"/>
  <c r="E328" i="1"/>
  <c r="AB327" i="1"/>
  <c r="X327" i="1"/>
  <c r="T327" i="1"/>
  <c r="M327" i="1"/>
  <c r="I327" i="1"/>
  <c r="E327" i="1"/>
  <c r="AB326" i="1"/>
  <c r="X326" i="1"/>
  <c r="T326" i="1"/>
  <c r="AC326" i="1" s="1"/>
  <c r="M326" i="1"/>
  <c r="I326" i="1"/>
  <c r="E326" i="1"/>
  <c r="AB325" i="1"/>
  <c r="X325" i="1"/>
  <c r="T325" i="1"/>
  <c r="AC325" i="1" s="1"/>
  <c r="M325" i="1"/>
  <c r="I325" i="1"/>
  <c r="E325" i="1"/>
  <c r="N325" i="1" s="1"/>
  <c r="M324" i="1"/>
  <c r="I324" i="1"/>
  <c r="E324" i="1"/>
  <c r="N324" i="1" s="1"/>
  <c r="AB323" i="1"/>
  <c r="X323" i="1"/>
  <c r="T323" i="1"/>
  <c r="M323" i="1"/>
  <c r="I323" i="1"/>
  <c r="E323" i="1"/>
  <c r="N323" i="1" s="1"/>
  <c r="AB322" i="1"/>
  <c r="X322" i="1"/>
  <c r="T322" i="1"/>
  <c r="M322" i="1"/>
  <c r="I322" i="1"/>
  <c r="E322" i="1"/>
  <c r="N322" i="1" s="1"/>
  <c r="AB321" i="1"/>
  <c r="X321" i="1"/>
  <c r="T321" i="1"/>
  <c r="AC321" i="1" s="1"/>
  <c r="M321" i="1"/>
  <c r="I321" i="1"/>
  <c r="E321" i="1"/>
  <c r="N321" i="1" s="1"/>
  <c r="AB320" i="1"/>
  <c r="X320" i="1"/>
  <c r="T320" i="1"/>
  <c r="M320" i="1"/>
  <c r="I320" i="1"/>
  <c r="E320" i="1"/>
  <c r="N320" i="1" s="1"/>
  <c r="AB319" i="1"/>
  <c r="X319" i="1"/>
  <c r="T319" i="1"/>
  <c r="M319" i="1"/>
  <c r="I319" i="1"/>
  <c r="E319" i="1"/>
  <c r="N319" i="1" s="1"/>
  <c r="AB318" i="1"/>
  <c r="X318" i="1"/>
  <c r="T318" i="1"/>
  <c r="AB317" i="1"/>
  <c r="X317" i="1"/>
  <c r="T317" i="1"/>
  <c r="AC317" i="1" s="1"/>
  <c r="AB315" i="1"/>
  <c r="X315" i="1"/>
  <c r="T315" i="1"/>
  <c r="AC315" i="1" s="1"/>
  <c r="M315" i="1"/>
  <c r="I315" i="1"/>
  <c r="E315" i="1"/>
  <c r="N315" i="1" s="1"/>
  <c r="AB314" i="1"/>
  <c r="X314" i="1"/>
  <c r="T314" i="1"/>
  <c r="AC314" i="1" s="1"/>
  <c r="M314" i="1"/>
  <c r="I314" i="1"/>
  <c r="E314" i="1"/>
  <c r="N314" i="1" s="1"/>
  <c r="AB313" i="1"/>
  <c r="X313" i="1"/>
  <c r="T313" i="1"/>
  <c r="AC313" i="1" s="1"/>
  <c r="M313" i="1"/>
  <c r="I313" i="1"/>
  <c r="E313" i="1"/>
  <c r="AB312" i="1"/>
  <c r="X312" i="1"/>
  <c r="T312" i="1"/>
  <c r="AC312" i="1" s="1"/>
  <c r="M312" i="1"/>
  <c r="I312" i="1"/>
  <c r="E312" i="1"/>
  <c r="N312" i="1" s="1"/>
  <c r="AB311" i="1"/>
  <c r="X311" i="1"/>
  <c r="T311" i="1"/>
  <c r="AC311" i="1" s="1"/>
  <c r="M311" i="1"/>
  <c r="I311" i="1"/>
  <c r="E311" i="1"/>
  <c r="AB310" i="1"/>
  <c r="X310" i="1"/>
  <c r="T310" i="1"/>
  <c r="AC310" i="1" s="1"/>
  <c r="M310" i="1"/>
  <c r="I310" i="1"/>
  <c r="E310" i="1"/>
  <c r="N310" i="1" s="1"/>
  <c r="AB309" i="1"/>
  <c r="X309" i="1"/>
  <c r="T309" i="1"/>
  <c r="AC309" i="1" s="1"/>
  <c r="M309" i="1"/>
  <c r="I309" i="1"/>
  <c r="E309" i="1"/>
  <c r="AB308" i="1"/>
  <c r="X308" i="1"/>
  <c r="T308" i="1"/>
  <c r="AC308" i="1" s="1"/>
  <c r="M308" i="1"/>
  <c r="I308" i="1"/>
  <c r="E308" i="1"/>
  <c r="AB307" i="1"/>
  <c r="X307" i="1"/>
  <c r="T307" i="1"/>
  <c r="AC307" i="1" s="1"/>
  <c r="M307" i="1"/>
  <c r="I307" i="1"/>
  <c r="E307" i="1"/>
  <c r="AB306" i="1"/>
  <c r="X306" i="1"/>
  <c r="T306" i="1"/>
  <c r="AC306" i="1" s="1"/>
  <c r="M306" i="1"/>
  <c r="I306" i="1"/>
  <c r="E306" i="1"/>
  <c r="T295" i="1"/>
  <c r="X295" i="1"/>
  <c r="AB295" i="1"/>
  <c r="AC295" i="1"/>
  <c r="AB222" i="1"/>
  <c r="X222" i="1"/>
  <c r="T222" i="1"/>
  <c r="AC222" i="1" s="1"/>
  <c r="AB234" i="1"/>
  <c r="X234" i="1"/>
  <c r="T234" i="1"/>
  <c r="AC234" i="1" s="1"/>
  <c r="N225" i="1"/>
  <c r="M225" i="1"/>
  <c r="I225" i="1"/>
  <c r="E225" i="1"/>
  <c r="AB221" i="1"/>
  <c r="X221" i="1"/>
  <c r="T221" i="1"/>
  <c r="AC221" i="1" s="1"/>
  <c r="AB220" i="1"/>
  <c r="AA220" i="1"/>
  <c r="Z220" i="1"/>
  <c r="Y220" i="1"/>
  <c r="W220" i="1"/>
  <c r="V220" i="1"/>
  <c r="U220" i="1"/>
  <c r="X220" i="1" s="1"/>
  <c r="S220" i="1"/>
  <c r="R220" i="1"/>
  <c r="Q220" i="1"/>
  <c r="T220" i="1" s="1"/>
  <c r="L233" i="1"/>
  <c r="K233" i="1"/>
  <c r="J233" i="1"/>
  <c r="H233" i="1"/>
  <c r="G233" i="1"/>
  <c r="F233" i="1"/>
  <c r="I233" i="1" s="1"/>
  <c r="D233" i="1"/>
  <c r="C233" i="1"/>
  <c r="B233" i="1"/>
  <c r="E233" i="1" s="1"/>
  <c r="AB181" i="1"/>
  <c r="X181" i="1"/>
  <c r="AC181" i="1" s="1"/>
  <c r="T181" i="1"/>
  <c r="M183" i="1"/>
  <c r="I183" i="1"/>
  <c r="E183" i="1"/>
  <c r="N183" i="1" s="1"/>
  <c r="AC252" i="1"/>
  <c r="AB252" i="1"/>
  <c r="X252" i="1"/>
  <c r="T252" i="1"/>
  <c r="AB251" i="1"/>
  <c r="X251" i="1"/>
  <c r="T251" i="1"/>
  <c r="AC251" i="1" s="1"/>
  <c r="AB178" i="1"/>
  <c r="X178" i="1"/>
  <c r="T178" i="1"/>
  <c r="AC178" i="1" s="1"/>
  <c r="M190" i="1"/>
  <c r="I190" i="1"/>
  <c r="E190" i="1"/>
  <c r="N190" i="1" s="1"/>
  <c r="T296" i="1"/>
  <c r="X296" i="1"/>
  <c r="AB296" i="1"/>
  <c r="T297" i="1"/>
  <c r="AB297" i="1"/>
  <c r="AB254" i="1"/>
  <c r="X254" i="1"/>
  <c r="T254" i="1"/>
  <c r="AB253" i="1"/>
  <c r="X253" i="1"/>
  <c r="T253" i="1"/>
  <c r="AA177" i="1"/>
  <c r="Z177" i="1"/>
  <c r="Y177" i="1"/>
  <c r="AB177" i="1" s="1"/>
  <c r="X177" i="1"/>
  <c r="W177" i="1"/>
  <c r="V177" i="1"/>
  <c r="U177" i="1"/>
  <c r="S177" i="1"/>
  <c r="R177" i="1"/>
  <c r="T177" i="1" s="1"/>
  <c r="AC177" i="1" s="1"/>
  <c r="Q177" i="1"/>
  <c r="K189" i="1"/>
  <c r="G189" i="1"/>
  <c r="C189" i="1"/>
  <c r="C212" i="1" s="1"/>
  <c r="L189" i="1"/>
  <c r="M189" i="1" s="1"/>
  <c r="J189" i="1"/>
  <c r="H189" i="1"/>
  <c r="H212" i="1" s="1"/>
  <c r="G212" i="1"/>
  <c r="F189" i="1"/>
  <c r="I189" i="1" s="1"/>
  <c r="I212" i="1" s="1"/>
  <c r="D189" i="1"/>
  <c r="D212" i="1" s="1"/>
  <c r="B189" i="1"/>
  <c r="AB211" i="1"/>
  <c r="V212" i="1"/>
  <c r="U212" i="1"/>
  <c r="L178" i="1"/>
  <c r="K178" i="1"/>
  <c r="M178" i="1" s="1"/>
  <c r="J178" i="1"/>
  <c r="H178" i="1"/>
  <c r="G178" i="1"/>
  <c r="F178" i="1"/>
  <c r="I178" i="1" s="1"/>
  <c r="D178" i="1"/>
  <c r="E178" i="1" s="1"/>
  <c r="C178" i="1"/>
  <c r="B178" i="1"/>
  <c r="E231" i="1"/>
  <c r="I231" i="1"/>
  <c r="M231" i="1"/>
  <c r="N231" i="1" s="1"/>
  <c r="M188" i="1"/>
  <c r="I188" i="1"/>
  <c r="E188" i="1"/>
  <c r="N188" i="1" s="1"/>
  <c r="T231" i="1"/>
  <c r="X231" i="1"/>
  <c r="AB231" i="1"/>
  <c r="AB184" i="1"/>
  <c r="X184" i="1"/>
  <c r="T184" i="1"/>
  <c r="AC184" i="1" s="1"/>
  <c r="AB188" i="1"/>
  <c r="X188" i="1"/>
  <c r="T188" i="1"/>
  <c r="AC188" i="1" s="1"/>
  <c r="X211" i="1"/>
  <c r="T211" i="1"/>
  <c r="AB210" i="1"/>
  <c r="X210" i="1"/>
  <c r="T210" i="1"/>
  <c r="AC209" i="1"/>
  <c r="AB209" i="1"/>
  <c r="X209" i="1"/>
  <c r="T209" i="1"/>
  <c r="AC208" i="1"/>
  <c r="AB208" i="1"/>
  <c r="X208" i="1"/>
  <c r="T208" i="1"/>
  <c r="AC207" i="1"/>
  <c r="AB207" i="1"/>
  <c r="X207" i="1"/>
  <c r="T207" i="1"/>
  <c r="AC206" i="1"/>
  <c r="AB206" i="1"/>
  <c r="X206" i="1"/>
  <c r="T206" i="1"/>
  <c r="AC205" i="1"/>
  <c r="AB205" i="1"/>
  <c r="X205" i="1"/>
  <c r="T205" i="1"/>
  <c r="T182" i="1"/>
  <c r="X182" i="1"/>
  <c r="AB182" i="1"/>
  <c r="AC182" i="1"/>
  <c r="M160" i="1"/>
  <c r="I160" i="1"/>
  <c r="E160" i="1"/>
  <c r="N160" i="1" s="1"/>
  <c r="X166" i="1"/>
  <c r="AB155" i="1"/>
  <c r="X155" i="1"/>
  <c r="T155" i="1"/>
  <c r="AC155" i="1" s="1"/>
  <c r="E153" i="1"/>
  <c r="I153" i="1"/>
  <c r="M153" i="1"/>
  <c r="N153" i="1"/>
  <c r="M152" i="1"/>
  <c r="I152" i="1"/>
  <c r="E152" i="1"/>
  <c r="N152" i="1" s="1"/>
  <c r="M151" i="1"/>
  <c r="I151" i="1"/>
  <c r="E151" i="1"/>
  <c r="N151" i="1" s="1"/>
  <c r="M150" i="1"/>
  <c r="I150" i="1"/>
  <c r="E150" i="1"/>
  <c r="N150" i="1" s="1"/>
  <c r="AB153" i="1"/>
  <c r="X153" i="1"/>
  <c r="AC153" i="1" s="1"/>
  <c r="T153" i="1"/>
  <c r="AC151" i="1"/>
  <c r="AB151" i="1"/>
  <c r="X151" i="1"/>
  <c r="T151" i="1"/>
  <c r="T250" i="1"/>
  <c r="X250" i="1"/>
  <c r="AB250" i="1"/>
  <c r="AC250" i="1"/>
  <c r="T223" i="1"/>
  <c r="X223" i="1"/>
  <c r="AB223" i="1"/>
  <c r="AC223" i="1"/>
  <c r="T224" i="1"/>
  <c r="X224" i="1"/>
  <c r="AB224" i="1"/>
  <c r="AC224" i="1"/>
  <c r="AB180" i="1"/>
  <c r="X180" i="1"/>
  <c r="T180" i="1"/>
  <c r="AB179" i="1"/>
  <c r="X179" i="1"/>
  <c r="T179" i="1"/>
  <c r="AC179" i="1" s="1"/>
  <c r="X168" i="1"/>
  <c r="T168" i="1"/>
  <c r="AB167" i="1"/>
  <c r="X167" i="1"/>
  <c r="T167" i="1"/>
  <c r="AB166" i="1"/>
  <c r="W169" i="1"/>
  <c r="S169" i="1"/>
  <c r="T166" i="1"/>
  <c r="AB165" i="1"/>
  <c r="X165" i="1"/>
  <c r="T165" i="1"/>
  <c r="AC165" i="1" s="1"/>
  <c r="T119" i="1"/>
  <c r="X119" i="1"/>
  <c r="AB119" i="1"/>
  <c r="T120" i="1"/>
  <c r="X120" i="1"/>
  <c r="AB120" i="1"/>
  <c r="AC120" i="1"/>
  <c r="R126" i="1"/>
  <c r="T121" i="1"/>
  <c r="X121" i="1"/>
  <c r="AB121" i="1"/>
  <c r="T122" i="1"/>
  <c r="X122" i="1"/>
  <c r="AB122" i="1"/>
  <c r="T123" i="1"/>
  <c r="X123" i="1"/>
  <c r="AB123" i="1"/>
  <c r="T124" i="1"/>
  <c r="X124" i="1"/>
  <c r="AB124" i="1"/>
  <c r="T125" i="1"/>
  <c r="X125" i="1"/>
  <c r="AB125" i="1"/>
  <c r="AB110" i="1"/>
  <c r="AC110" i="1" s="1"/>
  <c r="X110" i="1"/>
  <c r="T110" i="1"/>
  <c r="AB91" i="1"/>
  <c r="X91" i="1"/>
  <c r="T91" i="1"/>
  <c r="AC91" i="1" s="1"/>
  <c r="T183" i="1"/>
  <c r="X183" i="1"/>
  <c r="AB183" i="1"/>
  <c r="AC183" i="1"/>
  <c r="L298" i="1"/>
  <c r="K298" i="1"/>
  <c r="J298" i="1"/>
  <c r="H298" i="1"/>
  <c r="G298" i="1"/>
  <c r="F298" i="1"/>
  <c r="D298" i="1"/>
  <c r="C298" i="1"/>
  <c r="B298" i="1"/>
  <c r="M297" i="1"/>
  <c r="I297" i="1"/>
  <c r="E297" i="1"/>
  <c r="N297" i="1" s="1"/>
  <c r="M296" i="1"/>
  <c r="I296" i="1"/>
  <c r="E296" i="1"/>
  <c r="N296" i="1" s="1"/>
  <c r="M295" i="1"/>
  <c r="I295" i="1"/>
  <c r="E295" i="1"/>
  <c r="N295" i="1" s="1"/>
  <c r="M294" i="1"/>
  <c r="I294" i="1"/>
  <c r="E294" i="1"/>
  <c r="N294" i="1" s="1"/>
  <c r="M293" i="1"/>
  <c r="I293" i="1"/>
  <c r="E293" i="1"/>
  <c r="N293" i="1" s="1"/>
  <c r="M292" i="1"/>
  <c r="I292" i="1"/>
  <c r="E292" i="1"/>
  <c r="M291" i="1"/>
  <c r="I291" i="1"/>
  <c r="E291" i="1"/>
  <c r="N291" i="1" s="1"/>
  <c r="M290" i="1"/>
  <c r="I290" i="1"/>
  <c r="E290" i="1"/>
  <c r="M289" i="1"/>
  <c r="I289" i="1"/>
  <c r="E289" i="1"/>
  <c r="N289" i="1" s="1"/>
  <c r="M288" i="1"/>
  <c r="I288" i="1"/>
  <c r="E288" i="1"/>
  <c r="M287" i="1"/>
  <c r="I287" i="1"/>
  <c r="E287" i="1"/>
  <c r="M286" i="1"/>
  <c r="I286" i="1"/>
  <c r="E286" i="1"/>
  <c r="N286" i="1" s="1"/>
  <c r="M285" i="1"/>
  <c r="I285" i="1"/>
  <c r="E285" i="1"/>
  <c r="M284" i="1"/>
  <c r="I284" i="1"/>
  <c r="E284" i="1"/>
  <c r="N284" i="1" s="1"/>
  <c r="M283" i="1"/>
  <c r="I283" i="1"/>
  <c r="E283" i="1"/>
  <c r="M282" i="1"/>
  <c r="I282" i="1"/>
  <c r="E282" i="1"/>
  <c r="N282" i="1" s="1"/>
  <c r="M281" i="1"/>
  <c r="I281" i="1"/>
  <c r="E281" i="1"/>
  <c r="M280" i="1"/>
  <c r="I280" i="1"/>
  <c r="E280" i="1"/>
  <c r="N280" i="1" s="1"/>
  <c r="M279" i="1"/>
  <c r="I279" i="1"/>
  <c r="E279" i="1"/>
  <c r="M278" i="1"/>
  <c r="I278" i="1"/>
  <c r="E278" i="1"/>
  <c r="N278" i="1" s="1"/>
  <c r="M277" i="1"/>
  <c r="I277" i="1"/>
  <c r="E277" i="1"/>
  <c r="M276" i="1"/>
  <c r="I276" i="1"/>
  <c r="E276" i="1"/>
  <c r="N276" i="1" s="1"/>
  <c r="M275" i="1"/>
  <c r="I275" i="1"/>
  <c r="E275" i="1"/>
  <c r="N275" i="1" s="1"/>
  <c r="M274" i="1"/>
  <c r="I274" i="1"/>
  <c r="E274" i="1"/>
  <c r="N272" i="1"/>
  <c r="M272" i="1"/>
  <c r="I272" i="1"/>
  <c r="E272" i="1"/>
  <c r="N271" i="1"/>
  <c r="M271" i="1"/>
  <c r="I271" i="1"/>
  <c r="E271" i="1"/>
  <c r="N270" i="1"/>
  <c r="M270" i="1"/>
  <c r="I270" i="1"/>
  <c r="E270" i="1"/>
  <c r="M268" i="1"/>
  <c r="I268" i="1"/>
  <c r="E268" i="1"/>
  <c r="N268" i="1" s="1"/>
  <c r="M267" i="1"/>
  <c r="I267" i="1"/>
  <c r="E267" i="1"/>
  <c r="M266" i="1"/>
  <c r="I266" i="1"/>
  <c r="N266" i="1" s="1"/>
  <c r="E266" i="1"/>
  <c r="M265" i="1"/>
  <c r="I265" i="1"/>
  <c r="E265" i="1"/>
  <c r="M264" i="1"/>
  <c r="I264" i="1"/>
  <c r="E264" i="1"/>
  <c r="M263" i="1"/>
  <c r="I263" i="1"/>
  <c r="E263" i="1"/>
  <c r="T249" i="1"/>
  <c r="X249" i="1"/>
  <c r="AB249" i="1"/>
  <c r="AC249" i="1"/>
  <c r="T292" i="1"/>
  <c r="X292" i="1"/>
  <c r="AB292" i="1"/>
  <c r="AC292" i="1"/>
  <c r="T293" i="1"/>
  <c r="X293" i="1"/>
  <c r="AB293" i="1"/>
  <c r="AC293" i="1"/>
  <c r="T294" i="1"/>
  <c r="X294" i="1"/>
  <c r="AB294" i="1"/>
  <c r="AC294" i="1"/>
  <c r="AA298" i="1"/>
  <c r="Z298" i="1"/>
  <c r="Y298" i="1"/>
  <c r="W298" i="1"/>
  <c r="V298" i="1"/>
  <c r="U298" i="1"/>
  <c r="S298" i="1"/>
  <c r="R298" i="1"/>
  <c r="Q298" i="1"/>
  <c r="AB291" i="1"/>
  <c r="X291" i="1"/>
  <c r="T291" i="1"/>
  <c r="AC291" i="1" s="1"/>
  <c r="AB290" i="1"/>
  <c r="X290" i="1"/>
  <c r="T290" i="1"/>
  <c r="AC290" i="1" s="1"/>
  <c r="AB289" i="1"/>
  <c r="X289" i="1"/>
  <c r="T289" i="1"/>
  <c r="AC289" i="1" s="1"/>
  <c r="AB288" i="1"/>
  <c r="X288" i="1"/>
  <c r="T288" i="1"/>
  <c r="AC288" i="1" s="1"/>
  <c r="AB287" i="1"/>
  <c r="X287" i="1"/>
  <c r="T287" i="1"/>
  <c r="AC287" i="1" s="1"/>
  <c r="AB286" i="1"/>
  <c r="X286" i="1"/>
  <c r="T286" i="1"/>
  <c r="AC286" i="1" s="1"/>
  <c r="AB285" i="1"/>
  <c r="X285" i="1"/>
  <c r="T285" i="1"/>
  <c r="AB284" i="1"/>
  <c r="X284" i="1"/>
  <c r="T284" i="1"/>
  <c r="AB282" i="1"/>
  <c r="X282" i="1"/>
  <c r="T282" i="1"/>
  <c r="AB281" i="1"/>
  <c r="X281" i="1"/>
  <c r="T281" i="1"/>
  <c r="AB280" i="1"/>
  <c r="X280" i="1"/>
  <c r="T280" i="1"/>
  <c r="AB279" i="1"/>
  <c r="X279" i="1"/>
  <c r="T279" i="1"/>
  <c r="AB278" i="1"/>
  <c r="X278" i="1"/>
  <c r="T278" i="1"/>
  <c r="AC278" i="1" s="1"/>
  <c r="AB277" i="1"/>
  <c r="X277" i="1"/>
  <c r="T277" i="1"/>
  <c r="AB275" i="1"/>
  <c r="X275" i="1"/>
  <c r="T275" i="1"/>
  <c r="AC275" i="1" s="1"/>
  <c r="AB274" i="1"/>
  <c r="X274" i="1"/>
  <c r="T274" i="1"/>
  <c r="AB272" i="1"/>
  <c r="X272" i="1"/>
  <c r="AC272" i="1" s="1"/>
  <c r="T272" i="1"/>
  <c r="AB271" i="1"/>
  <c r="X271" i="1"/>
  <c r="AC271" i="1" s="1"/>
  <c r="T271" i="1"/>
  <c r="AB270" i="1"/>
  <c r="X270" i="1"/>
  <c r="AC270" i="1" s="1"/>
  <c r="T270" i="1"/>
  <c r="AB269" i="1"/>
  <c r="X269" i="1"/>
  <c r="AC269" i="1" s="1"/>
  <c r="T269" i="1"/>
  <c r="AB268" i="1"/>
  <c r="X268" i="1"/>
  <c r="AC268" i="1" s="1"/>
  <c r="T268" i="1"/>
  <c r="AB267" i="1"/>
  <c r="X267" i="1"/>
  <c r="AC267" i="1" s="1"/>
  <c r="T267" i="1"/>
  <c r="AB266" i="1"/>
  <c r="X266" i="1"/>
  <c r="AC266" i="1" s="1"/>
  <c r="T266" i="1"/>
  <c r="AB265" i="1"/>
  <c r="X265" i="1"/>
  <c r="AC265" i="1" s="1"/>
  <c r="T265" i="1"/>
  <c r="AB264" i="1"/>
  <c r="X264" i="1"/>
  <c r="AC264" i="1" s="1"/>
  <c r="T264" i="1"/>
  <c r="AB263" i="1"/>
  <c r="X263" i="1"/>
  <c r="AC263" i="1" s="1"/>
  <c r="T263" i="1"/>
  <c r="AB72" i="1"/>
  <c r="X72" i="1"/>
  <c r="T72" i="1"/>
  <c r="AC72" i="1" s="1"/>
  <c r="L255" i="1"/>
  <c r="K255" i="1"/>
  <c r="J255" i="1"/>
  <c r="H255" i="1"/>
  <c r="G255" i="1"/>
  <c r="F255" i="1"/>
  <c r="D255" i="1"/>
  <c r="C255" i="1"/>
  <c r="B255" i="1"/>
  <c r="N254" i="1"/>
  <c r="M254" i="1"/>
  <c r="I254" i="1"/>
  <c r="E254" i="1"/>
  <c r="N253" i="1"/>
  <c r="M253" i="1"/>
  <c r="I253" i="1"/>
  <c r="E253" i="1"/>
  <c r="N252" i="1"/>
  <c r="M252" i="1"/>
  <c r="I252" i="1"/>
  <c r="E252" i="1"/>
  <c r="N251" i="1"/>
  <c r="M251" i="1"/>
  <c r="I251" i="1"/>
  <c r="E251" i="1"/>
  <c r="N250" i="1"/>
  <c r="M250" i="1"/>
  <c r="I250" i="1"/>
  <c r="E250" i="1"/>
  <c r="N249" i="1"/>
  <c r="M249" i="1"/>
  <c r="I249" i="1"/>
  <c r="E249" i="1"/>
  <c r="N248" i="1"/>
  <c r="M248" i="1"/>
  <c r="I248" i="1"/>
  <c r="E248" i="1"/>
  <c r="N247" i="1"/>
  <c r="M247" i="1"/>
  <c r="I247" i="1"/>
  <c r="E247" i="1"/>
  <c r="N246" i="1"/>
  <c r="M246" i="1"/>
  <c r="I246" i="1"/>
  <c r="E246" i="1"/>
  <c r="N245" i="1"/>
  <c r="M245" i="1"/>
  <c r="I245" i="1"/>
  <c r="E245" i="1"/>
  <c r="N244" i="1"/>
  <c r="M244" i="1"/>
  <c r="I244" i="1"/>
  <c r="E244" i="1"/>
  <c r="N243" i="1"/>
  <c r="M243" i="1"/>
  <c r="I243" i="1"/>
  <c r="E243" i="1"/>
  <c r="N242" i="1"/>
  <c r="M242" i="1"/>
  <c r="I242" i="1"/>
  <c r="E242" i="1"/>
  <c r="M241" i="1"/>
  <c r="N241" i="1" s="1"/>
  <c r="I241" i="1"/>
  <c r="E241" i="1"/>
  <c r="M240" i="1"/>
  <c r="I240" i="1"/>
  <c r="E240" i="1"/>
  <c r="M239" i="1"/>
  <c r="N239" i="1" s="1"/>
  <c r="I239" i="1"/>
  <c r="E239" i="1"/>
  <c r="M238" i="1"/>
  <c r="I238" i="1"/>
  <c r="N238" i="1" s="1"/>
  <c r="E238" i="1"/>
  <c r="M237" i="1"/>
  <c r="I237" i="1"/>
  <c r="E237" i="1"/>
  <c r="M236" i="1"/>
  <c r="I236" i="1"/>
  <c r="E236" i="1"/>
  <c r="M235" i="1"/>
  <c r="I235" i="1"/>
  <c r="E235" i="1"/>
  <c r="M234" i="1"/>
  <c r="I234" i="1"/>
  <c r="E234" i="1"/>
  <c r="M233" i="1"/>
  <c r="M232" i="1"/>
  <c r="I232" i="1"/>
  <c r="E232" i="1"/>
  <c r="M229" i="1"/>
  <c r="I229" i="1"/>
  <c r="E229" i="1"/>
  <c r="N228" i="1"/>
  <c r="M228" i="1"/>
  <c r="I228" i="1"/>
  <c r="E228" i="1"/>
  <c r="M227" i="1"/>
  <c r="I227" i="1"/>
  <c r="E227" i="1"/>
  <c r="M226" i="1"/>
  <c r="I226" i="1"/>
  <c r="E226" i="1"/>
  <c r="M224" i="1"/>
  <c r="I224" i="1"/>
  <c r="E224" i="1"/>
  <c r="M223" i="1"/>
  <c r="I223" i="1"/>
  <c r="E223" i="1"/>
  <c r="M222" i="1"/>
  <c r="I222" i="1"/>
  <c r="E222" i="1"/>
  <c r="M221" i="1"/>
  <c r="I221" i="1"/>
  <c r="E221" i="1"/>
  <c r="M220" i="1"/>
  <c r="I220" i="1"/>
  <c r="E220" i="1"/>
  <c r="T204" i="1"/>
  <c r="X204" i="1"/>
  <c r="AB204" i="1"/>
  <c r="AC204" i="1"/>
  <c r="T247" i="1"/>
  <c r="X247" i="1"/>
  <c r="AB247" i="1"/>
  <c r="AC247" i="1"/>
  <c r="T248" i="1"/>
  <c r="X248" i="1"/>
  <c r="AB248" i="1"/>
  <c r="AC248" i="1"/>
  <c r="T225" i="1"/>
  <c r="X225" i="1"/>
  <c r="AB225" i="1"/>
  <c r="AC225" i="1"/>
  <c r="T226" i="1"/>
  <c r="X226" i="1"/>
  <c r="AB226" i="1"/>
  <c r="AC226" i="1"/>
  <c r="T227" i="1"/>
  <c r="X227" i="1"/>
  <c r="AB227" i="1"/>
  <c r="AC227" i="1"/>
  <c r="AA255" i="1"/>
  <c r="Z255" i="1"/>
  <c r="Y255" i="1"/>
  <c r="W255" i="1"/>
  <c r="V255" i="1"/>
  <c r="U255" i="1"/>
  <c r="S255" i="1"/>
  <c r="R255" i="1"/>
  <c r="Q255" i="1"/>
  <c r="AB246" i="1"/>
  <c r="X246" i="1"/>
  <c r="T246" i="1"/>
  <c r="AC246" i="1" s="1"/>
  <c r="AB245" i="1"/>
  <c r="X245" i="1"/>
  <c r="T245" i="1"/>
  <c r="AC245" i="1" s="1"/>
  <c r="AB244" i="1"/>
  <c r="X244" i="1"/>
  <c r="T244" i="1"/>
  <c r="AC244" i="1" s="1"/>
  <c r="AB243" i="1"/>
  <c r="X243" i="1"/>
  <c r="T243" i="1"/>
  <c r="AC243" i="1" s="1"/>
  <c r="AB242" i="1"/>
  <c r="X242" i="1"/>
  <c r="T242" i="1"/>
  <c r="AC242" i="1" s="1"/>
  <c r="AB241" i="1"/>
  <c r="X241" i="1"/>
  <c r="T241" i="1"/>
  <c r="AC241" i="1" s="1"/>
  <c r="AB240" i="1"/>
  <c r="X240" i="1"/>
  <c r="T240" i="1"/>
  <c r="AC240" i="1" s="1"/>
  <c r="AB239" i="1"/>
  <c r="X239" i="1"/>
  <c r="T239" i="1"/>
  <c r="AC239" i="1" s="1"/>
  <c r="AB238" i="1"/>
  <c r="X238" i="1"/>
  <c r="T238" i="1"/>
  <c r="AC238" i="1" s="1"/>
  <c r="AB237" i="1"/>
  <c r="X237" i="1"/>
  <c r="T237" i="1"/>
  <c r="AC237" i="1" s="1"/>
  <c r="AB236" i="1"/>
  <c r="X236" i="1"/>
  <c r="T236" i="1"/>
  <c r="AC236" i="1" s="1"/>
  <c r="AB235" i="1"/>
  <c r="X235" i="1"/>
  <c r="T235" i="1"/>
  <c r="AC235" i="1" s="1"/>
  <c r="AB233" i="1"/>
  <c r="X233" i="1"/>
  <c r="T233" i="1"/>
  <c r="AC233" i="1" s="1"/>
  <c r="AB232" i="1"/>
  <c r="X232" i="1"/>
  <c r="T232" i="1"/>
  <c r="AB229" i="1"/>
  <c r="X229" i="1"/>
  <c r="AC229" i="1" s="1"/>
  <c r="T229" i="1"/>
  <c r="AB228" i="1"/>
  <c r="X228" i="1"/>
  <c r="AC228" i="1" s="1"/>
  <c r="T228" i="1"/>
  <c r="T203" i="1"/>
  <c r="X203" i="1"/>
  <c r="AB203" i="1"/>
  <c r="AC203" i="1"/>
  <c r="K212" i="1"/>
  <c r="J212" i="1"/>
  <c r="F212" i="1"/>
  <c r="B212" i="1"/>
  <c r="M211" i="1"/>
  <c r="I211" i="1"/>
  <c r="E211" i="1"/>
  <c r="N211" i="1" s="1"/>
  <c r="M210" i="1"/>
  <c r="I210" i="1"/>
  <c r="E210" i="1"/>
  <c r="N210" i="1" s="1"/>
  <c r="M209" i="1"/>
  <c r="I209" i="1"/>
  <c r="E209" i="1"/>
  <c r="N209" i="1" s="1"/>
  <c r="M208" i="1"/>
  <c r="I208" i="1"/>
  <c r="E208" i="1"/>
  <c r="N208" i="1" s="1"/>
  <c r="M207" i="1"/>
  <c r="I207" i="1"/>
  <c r="E207" i="1"/>
  <c r="N207" i="1" s="1"/>
  <c r="M206" i="1"/>
  <c r="I206" i="1"/>
  <c r="E206" i="1"/>
  <c r="N206" i="1" s="1"/>
  <c r="M205" i="1"/>
  <c r="I205" i="1"/>
  <c r="E205" i="1"/>
  <c r="N205" i="1" s="1"/>
  <c r="M204" i="1"/>
  <c r="I204" i="1"/>
  <c r="E204" i="1"/>
  <c r="N204" i="1" s="1"/>
  <c r="M203" i="1"/>
  <c r="I203" i="1"/>
  <c r="E203" i="1"/>
  <c r="N203" i="1" s="1"/>
  <c r="M202" i="1"/>
  <c r="I202" i="1"/>
  <c r="E202" i="1"/>
  <c r="N202" i="1" s="1"/>
  <c r="M201" i="1"/>
  <c r="I201" i="1"/>
  <c r="E201" i="1"/>
  <c r="N201" i="1" s="1"/>
  <c r="M200" i="1"/>
  <c r="I200" i="1"/>
  <c r="E200" i="1"/>
  <c r="N200" i="1" s="1"/>
  <c r="M199" i="1"/>
  <c r="I199" i="1"/>
  <c r="E199" i="1"/>
  <c r="N199" i="1" s="1"/>
  <c r="M198" i="1"/>
  <c r="I198" i="1"/>
  <c r="E198" i="1"/>
  <c r="N198" i="1" s="1"/>
  <c r="M197" i="1"/>
  <c r="I197" i="1"/>
  <c r="E197" i="1"/>
  <c r="N197" i="1" s="1"/>
  <c r="M196" i="1"/>
  <c r="I196" i="1"/>
  <c r="E196" i="1"/>
  <c r="N196" i="1" s="1"/>
  <c r="M195" i="1"/>
  <c r="I195" i="1"/>
  <c r="E195" i="1"/>
  <c r="N195" i="1" s="1"/>
  <c r="M194" i="1"/>
  <c r="I194" i="1"/>
  <c r="E194" i="1"/>
  <c r="N194" i="1" s="1"/>
  <c r="M193" i="1"/>
  <c r="I193" i="1"/>
  <c r="E193" i="1"/>
  <c r="M192" i="1"/>
  <c r="I192" i="1"/>
  <c r="E192" i="1"/>
  <c r="N192" i="1" s="1"/>
  <c r="M191" i="1"/>
  <c r="I191" i="1"/>
  <c r="E191" i="1"/>
  <c r="M186" i="1"/>
  <c r="I186" i="1"/>
  <c r="E186" i="1"/>
  <c r="M185" i="1"/>
  <c r="I185" i="1"/>
  <c r="E185" i="1"/>
  <c r="M184" i="1"/>
  <c r="I184" i="1"/>
  <c r="E184" i="1"/>
  <c r="M182" i="1"/>
  <c r="I182" i="1"/>
  <c r="E182" i="1"/>
  <c r="M181" i="1"/>
  <c r="I181" i="1"/>
  <c r="E181" i="1"/>
  <c r="M180" i="1"/>
  <c r="I180" i="1"/>
  <c r="E180" i="1"/>
  <c r="M179" i="1"/>
  <c r="I179" i="1"/>
  <c r="E179" i="1"/>
  <c r="M177" i="1"/>
  <c r="I177" i="1"/>
  <c r="E177" i="1"/>
  <c r="T139" i="1"/>
  <c r="X139" i="1"/>
  <c r="AB139" i="1"/>
  <c r="AC139" i="1"/>
  <c r="T140" i="1"/>
  <c r="X140" i="1"/>
  <c r="AB140" i="1"/>
  <c r="AC140" i="1"/>
  <c r="T141" i="1"/>
  <c r="X141" i="1"/>
  <c r="AB141" i="1"/>
  <c r="AC141" i="1"/>
  <c r="T160" i="1"/>
  <c r="X160" i="1"/>
  <c r="AB160" i="1"/>
  <c r="AC160" i="1"/>
  <c r="T161" i="1"/>
  <c r="X161" i="1"/>
  <c r="AB161" i="1"/>
  <c r="T162" i="1"/>
  <c r="X162" i="1"/>
  <c r="AB162" i="1"/>
  <c r="T163" i="1"/>
  <c r="X163" i="1"/>
  <c r="AB163" i="1"/>
  <c r="AC163" i="1"/>
  <c r="T164" i="1"/>
  <c r="X164" i="1"/>
  <c r="AB164" i="1"/>
  <c r="AC164" i="1"/>
  <c r="AA212" i="1"/>
  <c r="W212" i="1"/>
  <c r="S212" i="1"/>
  <c r="R212" i="1"/>
  <c r="Q212" i="1"/>
  <c r="AB202" i="1"/>
  <c r="X202" i="1"/>
  <c r="T202" i="1"/>
  <c r="AC202" i="1" s="1"/>
  <c r="AB201" i="1"/>
  <c r="X201" i="1"/>
  <c r="T201" i="1"/>
  <c r="AC201" i="1" s="1"/>
  <c r="AB200" i="1"/>
  <c r="X200" i="1"/>
  <c r="T200" i="1"/>
  <c r="AC200" i="1" s="1"/>
  <c r="AB199" i="1"/>
  <c r="X199" i="1"/>
  <c r="T199" i="1"/>
  <c r="AC199" i="1" s="1"/>
  <c r="AB198" i="1"/>
  <c r="X198" i="1"/>
  <c r="T198" i="1"/>
  <c r="AC198" i="1" s="1"/>
  <c r="AB197" i="1"/>
  <c r="X197" i="1"/>
  <c r="T197" i="1"/>
  <c r="AC197" i="1" s="1"/>
  <c r="AB196" i="1"/>
  <c r="X196" i="1"/>
  <c r="T196" i="1"/>
  <c r="AC196" i="1" s="1"/>
  <c r="AB195" i="1"/>
  <c r="X195" i="1"/>
  <c r="T195" i="1"/>
  <c r="AC195" i="1" s="1"/>
  <c r="AB194" i="1"/>
  <c r="X194" i="1"/>
  <c r="T194" i="1"/>
  <c r="AC194" i="1" s="1"/>
  <c r="AB193" i="1"/>
  <c r="X193" i="1"/>
  <c r="T193" i="1"/>
  <c r="AB192" i="1"/>
  <c r="X192" i="1"/>
  <c r="T192" i="1"/>
  <c r="AC192" i="1" s="1"/>
  <c r="AB191" i="1"/>
  <c r="X191" i="1"/>
  <c r="T191" i="1"/>
  <c r="AB190" i="1"/>
  <c r="X190" i="1"/>
  <c r="T190" i="1"/>
  <c r="AB189" i="1"/>
  <c r="X189" i="1"/>
  <c r="T189" i="1"/>
  <c r="AC189" i="1" s="1"/>
  <c r="AC186" i="1"/>
  <c r="AB186" i="1"/>
  <c r="X186" i="1"/>
  <c r="T186" i="1"/>
  <c r="AC185" i="1"/>
  <c r="AB185" i="1"/>
  <c r="X185" i="1"/>
  <c r="T185" i="1"/>
  <c r="AC71" i="1"/>
  <c r="AB71" i="1"/>
  <c r="X71" i="1"/>
  <c r="T71" i="1"/>
  <c r="AB78" i="1"/>
  <c r="X78" i="1"/>
  <c r="AB80" i="1"/>
  <c r="X80" i="1"/>
  <c r="AB82" i="1"/>
  <c r="AB69" i="1"/>
  <c r="X69" i="1"/>
  <c r="T69" i="1"/>
  <c r="AC69" i="1" s="1"/>
  <c r="T77" i="1"/>
  <c r="X77" i="1"/>
  <c r="AB77" i="1"/>
  <c r="AC77" i="1"/>
  <c r="T78" i="1"/>
  <c r="T35" i="1"/>
  <c r="X35" i="1"/>
  <c r="AB35" i="1"/>
  <c r="AC35" i="1"/>
  <c r="T36" i="1"/>
  <c r="X36" i="1"/>
  <c r="AB36" i="1"/>
  <c r="AC36" i="1"/>
  <c r="AB39" i="1"/>
  <c r="X39" i="1"/>
  <c r="T39" i="1"/>
  <c r="AC39" i="1" s="1"/>
  <c r="AB38" i="1"/>
  <c r="X38" i="1"/>
  <c r="T38" i="1"/>
  <c r="X82" i="1"/>
  <c r="T82" i="1"/>
  <c r="AB81" i="1"/>
  <c r="X81" i="1"/>
  <c r="T81" i="1"/>
  <c r="AB26" i="1"/>
  <c r="X26" i="1"/>
  <c r="T26" i="1"/>
  <c r="AC26" i="1" s="1"/>
  <c r="AB60" i="1"/>
  <c r="X60" i="1"/>
  <c r="T60" i="1"/>
  <c r="AC60" i="1" s="1"/>
  <c r="AB59" i="1"/>
  <c r="X59" i="1"/>
  <c r="T59" i="1"/>
  <c r="AC59" i="1" s="1"/>
  <c r="AB37" i="1"/>
  <c r="X37" i="1"/>
  <c r="AB23" i="1"/>
  <c r="X23" i="1"/>
  <c r="T23" i="1"/>
  <c r="AC23" i="1" s="1"/>
  <c r="AC102" i="1"/>
  <c r="AB102" i="1"/>
  <c r="X102" i="1"/>
  <c r="T102" i="1"/>
  <c r="T18" i="1"/>
  <c r="X18" i="1"/>
  <c r="AB18" i="1"/>
  <c r="E5" i="1"/>
  <c r="I5" i="1"/>
  <c r="M5" i="1"/>
  <c r="N5" i="1"/>
  <c r="T137" i="1"/>
  <c r="X137" i="1"/>
  <c r="AB137" i="1"/>
  <c r="AC137" i="1"/>
  <c r="AB93" i="1"/>
  <c r="X93" i="1"/>
  <c r="T93" i="1"/>
  <c r="T94" i="1"/>
  <c r="X94" i="1"/>
  <c r="AB94" i="1"/>
  <c r="T95" i="1"/>
  <c r="X95" i="1"/>
  <c r="AB95" i="1"/>
  <c r="AC95" i="1"/>
  <c r="T138" i="1"/>
  <c r="X138" i="1"/>
  <c r="AB138" i="1"/>
  <c r="T96" i="1"/>
  <c r="X96" i="1"/>
  <c r="AB96" i="1"/>
  <c r="AC96" i="1"/>
  <c r="T97" i="1"/>
  <c r="X97" i="1"/>
  <c r="AB97" i="1"/>
  <c r="AC97" i="1"/>
  <c r="T135" i="1"/>
  <c r="X135" i="1"/>
  <c r="AB135" i="1"/>
  <c r="AC135" i="1"/>
  <c r="T136" i="1"/>
  <c r="X136" i="1"/>
  <c r="AB136" i="1"/>
  <c r="AC136" i="1"/>
  <c r="L169" i="1"/>
  <c r="K169" i="1"/>
  <c r="J169" i="1"/>
  <c r="H169" i="1"/>
  <c r="G169" i="1"/>
  <c r="F169" i="1"/>
  <c r="D169" i="1"/>
  <c r="C169" i="1"/>
  <c r="B169" i="1"/>
  <c r="M168" i="1"/>
  <c r="N168" i="1" s="1"/>
  <c r="I168" i="1"/>
  <c r="E168" i="1"/>
  <c r="M167" i="1"/>
  <c r="N167" i="1" s="1"/>
  <c r="I167" i="1"/>
  <c r="E167" i="1"/>
  <c r="M166" i="1"/>
  <c r="N166" i="1" s="1"/>
  <c r="I166" i="1"/>
  <c r="E166" i="1"/>
  <c r="M165" i="1"/>
  <c r="N165" i="1" s="1"/>
  <c r="I165" i="1"/>
  <c r="E165" i="1"/>
  <c r="M164" i="1"/>
  <c r="N164" i="1" s="1"/>
  <c r="I164" i="1"/>
  <c r="E164" i="1"/>
  <c r="M163" i="1"/>
  <c r="I163" i="1"/>
  <c r="E163" i="1"/>
  <c r="M162" i="1"/>
  <c r="I162" i="1"/>
  <c r="E162" i="1"/>
  <c r="M161" i="1"/>
  <c r="I161" i="1"/>
  <c r="E161" i="1"/>
  <c r="M159" i="1"/>
  <c r="I159" i="1"/>
  <c r="E159" i="1"/>
  <c r="M158" i="1"/>
  <c r="I158" i="1"/>
  <c r="E158" i="1"/>
  <c r="M157" i="1"/>
  <c r="I157" i="1"/>
  <c r="E157" i="1"/>
  <c r="M156" i="1"/>
  <c r="I156" i="1"/>
  <c r="E156" i="1"/>
  <c r="M155" i="1"/>
  <c r="I155" i="1"/>
  <c r="E155" i="1"/>
  <c r="M154" i="1"/>
  <c r="I154" i="1"/>
  <c r="E154" i="1"/>
  <c r="M149" i="1"/>
  <c r="I149" i="1"/>
  <c r="E149" i="1"/>
  <c r="M148" i="1"/>
  <c r="I148" i="1"/>
  <c r="E148" i="1"/>
  <c r="M147" i="1"/>
  <c r="I147" i="1"/>
  <c r="E147" i="1"/>
  <c r="M146" i="1"/>
  <c r="I146" i="1"/>
  <c r="E146" i="1"/>
  <c r="M145" i="1"/>
  <c r="I145" i="1"/>
  <c r="E145" i="1"/>
  <c r="N143" i="1"/>
  <c r="M143" i="1"/>
  <c r="I143" i="1"/>
  <c r="E143" i="1"/>
  <c r="N142" i="1"/>
  <c r="M142" i="1"/>
  <c r="I142" i="1"/>
  <c r="E142" i="1"/>
  <c r="M141" i="1"/>
  <c r="I141" i="1"/>
  <c r="E141" i="1"/>
  <c r="M140" i="1"/>
  <c r="I140" i="1"/>
  <c r="E140" i="1"/>
  <c r="M139" i="1"/>
  <c r="I139" i="1"/>
  <c r="E139" i="1"/>
  <c r="N139" i="1" s="1"/>
  <c r="M138" i="1"/>
  <c r="I138" i="1"/>
  <c r="E138" i="1"/>
  <c r="M137" i="1"/>
  <c r="I137" i="1"/>
  <c r="E137" i="1"/>
  <c r="M136" i="1"/>
  <c r="N136" i="1" s="1"/>
  <c r="I136" i="1"/>
  <c r="E136" i="1"/>
  <c r="M135" i="1"/>
  <c r="I135" i="1"/>
  <c r="E135" i="1"/>
  <c r="M134" i="1"/>
  <c r="I134" i="1"/>
  <c r="E134" i="1"/>
  <c r="AA169" i="1"/>
  <c r="Y169" i="1"/>
  <c r="U169" i="1"/>
  <c r="R169" i="1"/>
  <c r="AB159" i="1"/>
  <c r="X159" i="1"/>
  <c r="T159" i="1"/>
  <c r="AC159" i="1" s="1"/>
  <c r="AB158" i="1"/>
  <c r="X158" i="1"/>
  <c r="T158" i="1"/>
  <c r="AC158" i="1" s="1"/>
  <c r="AB157" i="1"/>
  <c r="X157" i="1"/>
  <c r="T157" i="1"/>
  <c r="AC157" i="1" s="1"/>
  <c r="AB156" i="1"/>
  <c r="X156" i="1"/>
  <c r="T156" i="1"/>
  <c r="AC156" i="1" s="1"/>
  <c r="AB154" i="1"/>
  <c r="X154" i="1"/>
  <c r="T154" i="1"/>
  <c r="AC154" i="1" s="1"/>
  <c r="AB152" i="1"/>
  <c r="X152" i="1"/>
  <c r="T152" i="1"/>
  <c r="AC152" i="1" s="1"/>
  <c r="AB150" i="1"/>
  <c r="X150" i="1"/>
  <c r="T150" i="1"/>
  <c r="AB149" i="1"/>
  <c r="X149" i="1"/>
  <c r="T149" i="1"/>
  <c r="AC149" i="1" s="1"/>
  <c r="AB148" i="1"/>
  <c r="X148" i="1"/>
  <c r="T148" i="1"/>
  <c r="AB147" i="1"/>
  <c r="X147" i="1"/>
  <c r="T147" i="1"/>
  <c r="AC147" i="1" s="1"/>
  <c r="AB146" i="1"/>
  <c r="X146" i="1"/>
  <c r="T146" i="1"/>
  <c r="AB145" i="1"/>
  <c r="X145" i="1"/>
  <c r="T145" i="1"/>
  <c r="AC143" i="1"/>
  <c r="AB143" i="1"/>
  <c r="X143" i="1"/>
  <c r="T143" i="1"/>
  <c r="AC142" i="1"/>
  <c r="AB142" i="1"/>
  <c r="X142" i="1"/>
  <c r="T142" i="1"/>
  <c r="AC134" i="1"/>
  <c r="AB134" i="1"/>
  <c r="X134" i="1"/>
  <c r="T134" i="1"/>
  <c r="T79" i="1"/>
  <c r="X79" i="1"/>
  <c r="AB79" i="1"/>
  <c r="T80" i="1"/>
  <c r="T34" i="1"/>
  <c r="X34" i="1"/>
  <c r="AB34" i="1"/>
  <c r="AC34" i="1"/>
  <c r="T37" i="1"/>
  <c r="L126" i="1"/>
  <c r="K126" i="1"/>
  <c r="J126" i="1"/>
  <c r="H126" i="1"/>
  <c r="G126" i="1"/>
  <c r="F126" i="1"/>
  <c r="D126" i="1"/>
  <c r="C126" i="1"/>
  <c r="B126" i="1"/>
  <c r="M125" i="1"/>
  <c r="I125" i="1"/>
  <c r="E125" i="1"/>
  <c r="N125" i="1" s="1"/>
  <c r="M124" i="1"/>
  <c r="I124" i="1"/>
  <c r="E124" i="1"/>
  <c r="N124" i="1" s="1"/>
  <c r="M123" i="1"/>
  <c r="I123" i="1"/>
  <c r="E123" i="1"/>
  <c r="N123" i="1" s="1"/>
  <c r="M122" i="1"/>
  <c r="I122" i="1"/>
  <c r="E122" i="1"/>
  <c r="N122" i="1" s="1"/>
  <c r="M121" i="1"/>
  <c r="I121" i="1"/>
  <c r="E121" i="1"/>
  <c r="N121" i="1" s="1"/>
  <c r="M120" i="1"/>
  <c r="I120" i="1"/>
  <c r="E120" i="1"/>
  <c r="N120" i="1" s="1"/>
  <c r="M119" i="1"/>
  <c r="I119" i="1"/>
  <c r="E119" i="1"/>
  <c r="N119" i="1" s="1"/>
  <c r="M118" i="1"/>
  <c r="I118" i="1"/>
  <c r="E118" i="1"/>
  <c r="N118" i="1" s="1"/>
  <c r="M117" i="1"/>
  <c r="I117" i="1"/>
  <c r="E117" i="1"/>
  <c r="N117" i="1" s="1"/>
  <c r="M116" i="1"/>
  <c r="I116" i="1"/>
  <c r="E116" i="1"/>
  <c r="N116" i="1" s="1"/>
  <c r="M115" i="1"/>
  <c r="I115" i="1"/>
  <c r="E115" i="1"/>
  <c r="M114" i="1"/>
  <c r="I114" i="1"/>
  <c r="E114" i="1"/>
  <c r="M113" i="1"/>
  <c r="I113" i="1"/>
  <c r="E113" i="1"/>
  <c r="N113" i="1" s="1"/>
  <c r="M112" i="1"/>
  <c r="I112" i="1"/>
  <c r="E112" i="1"/>
  <c r="N112" i="1" s="1"/>
  <c r="M111" i="1"/>
  <c r="I111" i="1"/>
  <c r="E111" i="1"/>
  <c r="M110" i="1"/>
  <c r="I110" i="1"/>
  <c r="E110" i="1"/>
  <c r="M109" i="1"/>
  <c r="I109" i="1"/>
  <c r="E109" i="1"/>
  <c r="N109" i="1" s="1"/>
  <c r="M108" i="1"/>
  <c r="I108" i="1"/>
  <c r="E108" i="1"/>
  <c r="M107" i="1"/>
  <c r="I107" i="1"/>
  <c r="E107" i="1"/>
  <c r="M106" i="1"/>
  <c r="I106" i="1"/>
  <c r="E106" i="1"/>
  <c r="M105" i="1"/>
  <c r="I105" i="1"/>
  <c r="E105" i="1"/>
  <c r="M104" i="1"/>
  <c r="I104" i="1"/>
  <c r="E104" i="1"/>
  <c r="M103" i="1"/>
  <c r="I103" i="1"/>
  <c r="E103" i="1"/>
  <c r="M102" i="1"/>
  <c r="I102" i="1"/>
  <c r="E102" i="1"/>
  <c r="M100" i="1"/>
  <c r="I100" i="1"/>
  <c r="E100" i="1"/>
  <c r="M99" i="1"/>
  <c r="I99" i="1"/>
  <c r="E99" i="1"/>
  <c r="M98" i="1"/>
  <c r="I98" i="1"/>
  <c r="E98" i="1"/>
  <c r="M97" i="1"/>
  <c r="I97" i="1"/>
  <c r="E97" i="1"/>
  <c r="M96" i="1"/>
  <c r="I96" i="1"/>
  <c r="E96" i="1"/>
  <c r="M95" i="1"/>
  <c r="I95" i="1"/>
  <c r="E95" i="1"/>
  <c r="M94" i="1"/>
  <c r="I94" i="1"/>
  <c r="E94" i="1"/>
  <c r="N94" i="1" s="1"/>
  <c r="M93" i="1"/>
  <c r="I93" i="1"/>
  <c r="E93" i="1"/>
  <c r="M92" i="1"/>
  <c r="I92" i="1"/>
  <c r="E92" i="1"/>
  <c r="M91" i="1"/>
  <c r="I91" i="1"/>
  <c r="E91" i="1"/>
  <c r="AA126" i="1"/>
  <c r="W126" i="1"/>
  <c r="S126" i="1"/>
  <c r="AB118" i="1"/>
  <c r="X118" i="1"/>
  <c r="T118" i="1"/>
  <c r="AB117" i="1"/>
  <c r="X117" i="1"/>
  <c r="T117" i="1"/>
  <c r="AB116" i="1"/>
  <c r="X116" i="1"/>
  <c r="T116" i="1"/>
  <c r="AB115" i="1"/>
  <c r="X115" i="1"/>
  <c r="T115" i="1"/>
  <c r="AB114" i="1"/>
  <c r="X114" i="1"/>
  <c r="T114" i="1"/>
  <c r="AB113" i="1"/>
  <c r="X113" i="1"/>
  <c r="T113" i="1"/>
  <c r="AB112" i="1"/>
  <c r="X112" i="1"/>
  <c r="T112" i="1"/>
  <c r="AB111" i="1"/>
  <c r="X111" i="1"/>
  <c r="T111" i="1"/>
  <c r="AB109" i="1"/>
  <c r="X109" i="1"/>
  <c r="T109" i="1"/>
  <c r="AB108" i="1"/>
  <c r="X108" i="1"/>
  <c r="T108" i="1"/>
  <c r="AB107" i="1"/>
  <c r="X107" i="1"/>
  <c r="T107" i="1"/>
  <c r="AB106" i="1"/>
  <c r="X106" i="1"/>
  <c r="T106" i="1"/>
  <c r="AB105" i="1"/>
  <c r="X105" i="1"/>
  <c r="T105" i="1"/>
  <c r="AB104" i="1"/>
  <c r="X104" i="1"/>
  <c r="T104" i="1"/>
  <c r="AB103" i="1"/>
  <c r="X103" i="1"/>
  <c r="T103" i="1"/>
  <c r="AC100" i="1"/>
  <c r="AB100" i="1"/>
  <c r="X100" i="1"/>
  <c r="T100" i="1"/>
  <c r="AC99" i="1"/>
  <c r="AB99" i="1"/>
  <c r="X99" i="1"/>
  <c r="T99" i="1"/>
  <c r="AC98" i="1"/>
  <c r="AB98" i="1"/>
  <c r="X98" i="1"/>
  <c r="T98" i="1"/>
  <c r="AC92" i="1"/>
  <c r="AB92" i="1"/>
  <c r="X92" i="1"/>
  <c r="T92" i="1"/>
  <c r="T6" i="1"/>
  <c r="AC6" i="1" s="1"/>
  <c r="X6" i="1"/>
  <c r="AB6" i="1"/>
  <c r="AB50" i="1"/>
  <c r="X50" i="1"/>
  <c r="T50" i="1"/>
  <c r="T48" i="1"/>
  <c r="AC48" i="1" s="1"/>
  <c r="X48" i="1"/>
  <c r="AB48" i="1"/>
  <c r="T61" i="1"/>
  <c r="X61" i="1"/>
  <c r="AB61" i="1"/>
  <c r="AC61" i="1"/>
  <c r="T62" i="1"/>
  <c r="X62" i="1"/>
  <c r="AB62" i="1"/>
  <c r="AC62" i="1"/>
  <c r="T63" i="1"/>
  <c r="X63" i="1"/>
  <c r="AB63" i="1"/>
  <c r="T64" i="1"/>
  <c r="X64" i="1"/>
  <c r="AB64" i="1"/>
  <c r="T65" i="1"/>
  <c r="X65" i="1"/>
  <c r="AB65" i="1"/>
  <c r="T66" i="1"/>
  <c r="X66" i="1"/>
  <c r="AB66" i="1"/>
  <c r="T67" i="1"/>
  <c r="X67" i="1"/>
  <c r="AB67" i="1"/>
  <c r="T68" i="1"/>
  <c r="X68" i="1"/>
  <c r="AB68" i="1"/>
  <c r="T51" i="1"/>
  <c r="X51" i="1"/>
  <c r="AB51" i="1"/>
  <c r="T52" i="1"/>
  <c r="X52" i="1"/>
  <c r="AB52" i="1"/>
  <c r="AC52" i="1"/>
  <c r="T53" i="1"/>
  <c r="X53" i="1"/>
  <c r="AB53" i="1"/>
  <c r="AC53" i="1"/>
  <c r="T5" i="1"/>
  <c r="X5" i="1"/>
  <c r="AB5" i="1"/>
  <c r="AC5" i="1"/>
  <c r="T7" i="1"/>
  <c r="X7" i="1"/>
  <c r="AB7" i="1"/>
  <c r="AC7" i="1"/>
  <c r="T8" i="1"/>
  <c r="X8" i="1"/>
  <c r="AB8" i="1"/>
  <c r="T9" i="1"/>
  <c r="X9" i="1"/>
  <c r="AC9" i="1" s="1"/>
  <c r="AB9" i="1"/>
  <c r="T10" i="1"/>
  <c r="X10" i="1"/>
  <c r="AB10" i="1"/>
  <c r="AC10" i="1"/>
  <c r="T16" i="1"/>
  <c r="X16" i="1"/>
  <c r="AB16" i="1"/>
  <c r="T17" i="1"/>
  <c r="X17" i="1"/>
  <c r="AB17" i="1"/>
  <c r="AC17" i="1"/>
  <c r="T19" i="1"/>
  <c r="X19" i="1"/>
  <c r="AB19" i="1"/>
  <c r="T20" i="1"/>
  <c r="X20" i="1"/>
  <c r="AB20" i="1"/>
  <c r="T21" i="1"/>
  <c r="X21" i="1"/>
  <c r="AB21" i="1"/>
  <c r="T22" i="1"/>
  <c r="X22" i="1"/>
  <c r="AB22" i="1"/>
  <c r="T24" i="1"/>
  <c r="X24" i="1"/>
  <c r="AB24" i="1"/>
  <c r="T25" i="1"/>
  <c r="X25" i="1"/>
  <c r="AB25" i="1"/>
  <c r="E6" i="1"/>
  <c r="I6" i="1"/>
  <c r="M6" i="1"/>
  <c r="E7" i="1"/>
  <c r="I7" i="1"/>
  <c r="M7" i="1"/>
  <c r="E16" i="1"/>
  <c r="I16" i="1"/>
  <c r="M16" i="1"/>
  <c r="E17" i="1"/>
  <c r="I17" i="1"/>
  <c r="M17" i="1"/>
  <c r="E18" i="1"/>
  <c r="I18" i="1"/>
  <c r="M18" i="1"/>
  <c r="E19" i="1"/>
  <c r="I19" i="1"/>
  <c r="M19" i="1"/>
  <c r="N19" i="1" s="1"/>
  <c r="E20" i="1"/>
  <c r="I20" i="1"/>
  <c r="M20" i="1"/>
  <c r="E21" i="1"/>
  <c r="I21" i="1"/>
  <c r="M21" i="1"/>
  <c r="E48" i="1"/>
  <c r="I48" i="1"/>
  <c r="M48" i="1"/>
  <c r="E59" i="1"/>
  <c r="I59" i="1"/>
  <c r="M59" i="1"/>
  <c r="N59" i="1"/>
  <c r="E60" i="1"/>
  <c r="I60" i="1"/>
  <c r="M60" i="1"/>
  <c r="E61" i="1"/>
  <c r="I61" i="1"/>
  <c r="M61" i="1"/>
  <c r="N61" i="1"/>
  <c r="E62" i="1"/>
  <c r="I62" i="1"/>
  <c r="M62" i="1"/>
  <c r="E63" i="1"/>
  <c r="I63" i="1"/>
  <c r="M63" i="1"/>
  <c r="T13" i="1"/>
  <c r="X13" i="1"/>
  <c r="AB13" i="1"/>
  <c r="T12" i="1"/>
  <c r="X12" i="1"/>
  <c r="AB12" i="1"/>
  <c r="AB11" i="1"/>
  <c r="X11" i="1"/>
  <c r="T11" i="1"/>
  <c r="AC11" i="1" s="1"/>
  <c r="E82" i="1"/>
  <c r="I82" i="1"/>
  <c r="M82" i="1"/>
  <c r="M39" i="1"/>
  <c r="I39" i="1"/>
  <c r="E39" i="1"/>
  <c r="T57" i="1"/>
  <c r="AC57" i="1" s="1"/>
  <c r="X57" i="1"/>
  <c r="AB57" i="1"/>
  <c r="T49" i="1"/>
  <c r="AC49" i="1" s="1"/>
  <c r="X49" i="1"/>
  <c r="AB49" i="1"/>
  <c r="T54" i="1"/>
  <c r="AC54" i="1" s="1"/>
  <c r="X54" i="1"/>
  <c r="AB54" i="1"/>
  <c r="T56" i="1"/>
  <c r="AC56" i="1" s="1"/>
  <c r="X56" i="1"/>
  <c r="AB56" i="1"/>
  <c r="N414" i="1" l="1"/>
  <c r="N412" i="1"/>
  <c r="N409" i="1"/>
  <c r="N408" i="1"/>
  <c r="M427" i="1"/>
  <c r="N393" i="1"/>
  <c r="N405" i="1"/>
  <c r="N392" i="1"/>
  <c r="I427" i="1"/>
  <c r="N403" i="1"/>
  <c r="E427" i="1"/>
  <c r="AC365" i="1"/>
  <c r="N381" i="1"/>
  <c r="N380" i="1"/>
  <c r="N354" i="1"/>
  <c r="V384" i="1"/>
  <c r="AC363" i="1"/>
  <c r="AC382" i="1"/>
  <c r="AC362" i="1"/>
  <c r="X384" i="1"/>
  <c r="AB384" i="1"/>
  <c r="AC383" i="1"/>
  <c r="N376" i="1"/>
  <c r="M384" i="1"/>
  <c r="AC360" i="1"/>
  <c r="N372" i="1"/>
  <c r="N371" i="1"/>
  <c r="N368" i="1"/>
  <c r="AC327" i="1"/>
  <c r="AC340" i="1"/>
  <c r="I384" i="1"/>
  <c r="N313" i="1"/>
  <c r="AC349" i="1"/>
  <c r="T384" i="1"/>
  <c r="AC355" i="1"/>
  <c r="E384" i="1"/>
  <c r="N384" i="1"/>
  <c r="N337" i="1"/>
  <c r="N336" i="1"/>
  <c r="N341" i="1" s="1"/>
  <c r="AC323" i="1"/>
  <c r="N311" i="1"/>
  <c r="AC322" i="1"/>
  <c r="N328" i="1"/>
  <c r="N327" i="1"/>
  <c r="AC320" i="1"/>
  <c r="N326" i="1"/>
  <c r="N309" i="1"/>
  <c r="AC319" i="1"/>
  <c r="N308" i="1"/>
  <c r="AC318" i="1"/>
  <c r="N307" i="1"/>
  <c r="M341" i="1"/>
  <c r="N306" i="1"/>
  <c r="N318" i="1"/>
  <c r="E341" i="1"/>
  <c r="AC285" i="1"/>
  <c r="AC284" i="1"/>
  <c r="N292" i="1"/>
  <c r="X341" i="1"/>
  <c r="AB341" i="1"/>
  <c r="AC282" i="1"/>
  <c r="N267" i="1"/>
  <c r="N290" i="1"/>
  <c r="N288" i="1"/>
  <c r="AC281" i="1"/>
  <c r="N265" i="1"/>
  <c r="N287" i="1"/>
  <c r="N285" i="1"/>
  <c r="AC280" i="1"/>
  <c r="N264" i="1"/>
  <c r="N283" i="1"/>
  <c r="AC279" i="1"/>
  <c r="N281" i="1"/>
  <c r="AC277" i="1"/>
  <c r="N263" i="1"/>
  <c r="N279" i="1"/>
  <c r="I298" i="1"/>
  <c r="N277" i="1"/>
  <c r="AC296" i="1"/>
  <c r="T341" i="1"/>
  <c r="M298" i="1"/>
  <c r="E298" i="1"/>
  <c r="N229" i="1"/>
  <c r="N227" i="1"/>
  <c r="N240" i="1"/>
  <c r="N237" i="1"/>
  <c r="N236" i="1"/>
  <c r="N226" i="1"/>
  <c r="N235" i="1"/>
  <c r="N224" i="1"/>
  <c r="AB298" i="1"/>
  <c r="AC297" i="1"/>
  <c r="X298" i="1"/>
  <c r="N234" i="1"/>
  <c r="AC220" i="1"/>
  <c r="I255" i="1"/>
  <c r="N233" i="1"/>
  <c r="N232" i="1"/>
  <c r="N223" i="1"/>
  <c r="N222" i="1"/>
  <c r="N221" i="1"/>
  <c r="M255" i="1"/>
  <c r="N220" i="1"/>
  <c r="N193" i="1"/>
  <c r="N186" i="1"/>
  <c r="AC193" i="1"/>
  <c r="N185" i="1"/>
  <c r="N184" i="1"/>
  <c r="N191" i="1"/>
  <c r="N182" i="1"/>
  <c r="AC253" i="1"/>
  <c r="AC254" i="1"/>
  <c r="AC232" i="1"/>
  <c r="AC231" i="1"/>
  <c r="AC210" i="1"/>
  <c r="N181" i="1"/>
  <c r="N180" i="1"/>
  <c r="AC191" i="1"/>
  <c r="E189" i="1"/>
  <c r="N189" i="1" s="1"/>
  <c r="L212" i="1"/>
  <c r="M212" i="1"/>
  <c r="AC190" i="1"/>
  <c r="N179" i="1"/>
  <c r="Y212" i="1"/>
  <c r="AC211" i="1"/>
  <c r="N178" i="1"/>
  <c r="N177" i="1"/>
  <c r="E212" i="1"/>
  <c r="E255" i="1"/>
  <c r="AC167" i="1"/>
  <c r="N141" i="1"/>
  <c r="N163" i="1"/>
  <c r="N162" i="1"/>
  <c r="AC162" i="1"/>
  <c r="N161" i="1"/>
  <c r="N140" i="1"/>
  <c r="AC161" i="1"/>
  <c r="Z169" i="1"/>
  <c r="N159" i="1"/>
  <c r="N158" i="1"/>
  <c r="N157" i="1"/>
  <c r="N156" i="1"/>
  <c r="N155" i="1"/>
  <c r="I169" i="1"/>
  <c r="N154" i="1"/>
  <c r="N138" i="1"/>
  <c r="N137" i="1"/>
  <c r="N135" i="1"/>
  <c r="N134" i="1"/>
  <c r="N149" i="1"/>
  <c r="AC150" i="1"/>
  <c r="N148" i="1"/>
  <c r="AC148" i="1"/>
  <c r="N147" i="1"/>
  <c r="N100" i="1"/>
  <c r="M169" i="1"/>
  <c r="N146" i="1"/>
  <c r="E169" i="1"/>
  <c r="N115" i="1"/>
  <c r="N99" i="1"/>
  <c r="AC146" i="1"/>
  <c r="N114" i="1"/>
  <c r="AC180" i="1"/>
  <c r="AC119" i="1"/>
  <c r="AC118" i="1"/>
  <c r="AC121" i="1"/>
  <c r="AC122" i="1"/>
  <c r="AC117" i="1"/>
  <c r="AC116" i="1"/>
  <c r="AC115" i="1"/>
  <c r="N98" i="1"/>
  <c r="AC123" i="1"/>
  <c r="AC166" i="1"/>
  <c r="AB168" i="1"/>
  <c r="AC168" i="1" s="1"/>
  <c r="Q169" i="1"/>
  <c r="AC125" i="1"/>
  <c r="AC124" i="1"/>
  <c r="Q126" i="1"/>
  <c r="U126" i="1"/>
  <c r="Y126" i="1"/>
  <c r="Z126" i="1"/>
  <c r="AC114" i="1"/>
  <c r="N97" i="1"/>
  <c r="N111" i="1"/>
  <c r="AC113" i="1"/>
  <c r="N96" i="1"/>
  <c r="N110" i="1"/>
  <c r="N95" i="1"/>
  <c r="AC112" i="1"/>
  <c r="V169" i="1"/>
  <c r="AC111" i="1"/>
  <c r="N93" i="1"/>
  <c r="N108" i="1"/>
  <c r="N92" i="1"/>
  <c r="AC109" i="1"/>
  <c r="M126" i="1"/>
  <c r="N107" i="1"/>
  <c r="E126" i="1"/>
  <c r="N106" i="1"/>
  <c r="V126" i="1"/>
  <c r="AC108" i="1"/>
  <c r="N105" i="1"/>
  <c r="N104" i="1"/>
  <c r="Z212" i="1"/>
  <c r="AC107" i="1"/>
  <c r="I126" i="1"/>
  <c r="N103" i="1"/>
  <c r="N91" i="1"/>
  <c r="N274" i="1"/>
  <c r="T298" i="1"/>
  <c r="AC274" i="1"/>
  <c r="X255" i="1"/>
  <c r="AB255" i="1"/>
  <c r="T255" i="1"/>
  <c r="T212" i="1"/>
  <c r="AB212" i="1"/>
  <c r="X212" i="1"/>
  <c r="AC81" i="1"/>
  <c r="AC79" i="1"/>
  <c r="AC78" i="1"/>
  <c r="AC106" i="1"/>
  <c r="AC105" i="1"/>
  <c r="AC104" i="1"/>
  <c r="AC103" i="1"/>
  <c r="AC94" i="1"/>
  <c r="X126" i="1"/>
  <c r="AC38" i="1"/>
  <c r="AC82" i="1"/>
  <c r="AC68" i="1"/>
  <c r="AC67" i="1"/>
  <c r="N48" i="1"/>
  <c r="AC66" i="1"/>
  <c r="AC65" i="1"/>
  <c r="N63" i="1"/>
  <c r="N62" i="1"/>
  <c r="N60" i="1"/>
  <c r="AC64" i="1"/>
  <c r="AC63" i="1"/>
  <c r="AC51" i="1"/>
  <c r="AC25" i="1"/>
  <c r="AC24" i="1"/>
  <c r="N7" i="1"/>
  <c r="AC22" i="1"/>
  <c r="N21" i="1"/>
  <c r="N20" i="1"/>
  <c r="AC21" i="1"/>
  <c r="AC37" i="1"/>
  <c r="AC20" i="1"/>
  <c r="AC19" i="1"/>
  <c r="N6" i="1"/>
  <c r="AC18" i="1"/>
  <c r="N18" i="1"/>
  <c r="N17" i="1"/>
  <c r="N16" i="1"/>
  <c r="AC93" i="1"/>
  <c r="AC138" i="1"/>
  <c r="X169" i="1"/>
  <c r="T169" i="1"/>
  <c r="N145" i="1"/>
  <c r="AC145" i="1"/>
  <c r="AC80" i="1"/>
  <c r="AC16" i="1"/>
  <c r="N102" i="1"/>
  <c r="T126" i="1"/>
  <c r="AB126" i="1"/>
  <c r="AC8" i="1"/>
  <c r="AC50" i="1"/>
  <c r="N82" i="1"/>
  <c r="AC13" i="1"/>
  <c r="AC12" i="1"/>
  <c r="N39" i="1"/>
  <c r="N427" i="1" l="1"/>
  <c r="AC384" i="1"/>
  <c r="AC341" i="1"/>
  <c r="N298" i="1"/>
  <c r="AC298" i="1"/>
  <c r="N255" i="1"/>
  <c r="N212" i="1"/>
  <c r="AB169" i="1"/>
  <c r="AC212" i="1"/>
  <c r="N169" i="1"/>
  <c r="N126" i="1"/>
  <c r="AC255" i="1"/>
  <c r="AC169" i="1"/>
  <c r="AC126" i="1"/>
  <c r="AB4" i="1"/>
  <c r="X4" i="1"/>
  <c r="T4" i="1"/>
  <c r="T55" i="1"/>
  <c r="X55" i="1"/>
  <c r="AB55" i="1"/>
  <c r="T70" i="1"/>
  <c r="X70" i="1"/>
  <c r="AB70" i="1"/>
  <c r="T73" i="1"/>
  <c r="X73" i="1"/>
  <c r="AB73" i="1"/>
  <c r="T74" i="1"/>
  <c r="X74" i="1"/>
  <c r="AB74" i="1"/>
  <c r="T75" i="1"/>
  <c r="X75" i="1"/>
  <c r="AB75" i="1"/>
  <c r="T76" i="1"/>
  <c r="X76" i="1"/>
  <c r="AB76" i="1"/>
  <c r="AA15" i="1"/>
  <c r="AA83" i="1"/>
  <c r="Z15" i="1"/>
  <c r="Z83" i="1"/>
  <c r="Y15" i="1"/>
  <c r="Y83" i="1"/>
  <c r="W15" i="1"/>
  <c r="W83" i="1"/>
  <c r="V15" i="1"/>
  <c r="V83" i="1"/>
  <c r="U15" i="1"/>
  <c r="U83" i="1"/>
  <c r="S15" i="1"/>
  <c r="S83" i="1"/>
  <c r="R15" i="1"/>
  <c r="R83" i="1"/>
  <c r="Q15" i="1"/>
  <c r="Q83" i="1"/>
  <c r="T14" i="1"/>
  <c r="X14" i="1"/>
  <c r="AB14" i="1"/>
  <c r="T27" i="1"/>
  <c r="X27" i="1"/>
  <c r="AB27" i="1"/>
  <c r="T28" i="1"/>
  <c r="X28" i="1"/>
  <c r="AB28" i="1"/>
  <c r="T29" i="1"/>
  <c r="X29" i="1"/>
  <c r="AB29" i="1"/>
  <c r="T30" i="1"/>
  <c r="X30" i="1"/>
  <c r="AB30" i="1"/>
  <c r="T31" i="1"/>
  <c r="X31" i="1"/>
  <c r="AB31" i="1"/>
  <c r="T32" i="1"/>
  <c r="X32" i="1"/>
  <c r="AB32" i="1"/>
  <c r="T33" i="1"/>
  <c r="X33" i="1"/>
  <c r="AB33" i="1"/>
  <c r="AA40" i="1"/>
  <c r="Z40" i="1"/>
  <c r="Y40" i="1"/>
  <c r="W40" i="1"/>
  <c r="V40" i="1"/>
  <c r="U40" i="1"/>
  <c r="S40" i="1"/>
  <c r="R40" i="1"/>
  <c r="Q40" i="1"/>
  <c r="M81" i="1"/>
  <c r="M80" i="1"/>
  <c r="M79" i="1"/>
  <c r="M78" i="1"/>
  <c r="M77" i="1"/>
  <c r="M76" i="1"/>
  <c r="M75" i="1"/>
  <c r="M74" i="1"/>
  <c r="M73" i="1"/>
  <c r="M72" i="1"/>
  <c r="M71" i="1"/>
  <c r="M70" i="1"/>
  <c r="M69" i="1"/>
  <c r="M68" i="1"/>
  <c r="M67" i="1"/>
  <c r="M66" i="1"/>
  <c r="M65" i="1"/>
  <c r="M64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C15" i="1"/>
  <c r="D15" i="1"/>
  <c r="E4" i="1"/>
  <c r="F15" i="1"/>
  <c r="G15" i="1"/>
  <c r="H15" i="1"/>
  <c r="I4" i="1"/>
  <c r="J15" i="1"/>
  <c r="K15" i="1"/>
  <c r="L15" i="1"/>
  <c r="M4" i="1"/>
  <c r="B15" i="1"/>
  <c r="M57" i="1"/>
  <c r="M56" i="1"/>
  <c r="M55" i="1"/>
  <c r="M54" i="1"/>
  <c r="M53" i="1"/>
  <c r="M52" i="1"/>
  <c r="M51" i="1"/>
  <c r="M50" i="1"/>
  <c r="M49" i="1"/>
  <c r="I57" i="1"/>
  <c r="I56" i="1"/>
  <c r="I55" i="1"/>
  <c r="I54" i="1"/>
  <c r="I53" i="1"/>
  <c r="I52" i="1"/>
  <c r="I51" i="1"/>
  <c r="I50" i="1"/>
  <c r="I49" i="1"/>
  <c r="E49" i="1"/>
  <c r="E50" i="1"/>
  <c r="E51" i="1"/>
  <c r="E52" i="1"/>
  <c r="E53" i="1"/>
  <c r="E54" i="1"/>
  <c r="E55" i="1"/>
  <c r="E56" i="1"/>
  <c r="E57" i="1"/>
  <c r="C40" i="1"/>
  <c r="D40" i="1"/>
  <c r="F40" i="1"/>
  <c r="G40" i="1"/>
  <c r="H40" i="1"/>
  <c r="J40" i="1"/>
  <c r="K40" i="1"/>
  <c r="L40" i="1"/>
  <c r="B40" i="1"/>
  <c r="M38" i="1"/>
  <c r="M37" i="1"/>
  <c r="M36" i="1"/>
  <c r="M35" i="1"/>
  <c r="M34" i="1"/>
  <c r="M33" i="1"/>
  <c r="M32" i="1"/>
  <c r="M31" i="1"/>
  <c r="M30" i="1"/>
  <c r="M29" i="1"/>
  <c r="M28" i="1"/>
  <c r="M27" i="1"/>
  <c r="M26" i="1"/>
  <c r="M25" i="1"/>
  <c r="M24" i="1"/>
  <c r="M23" i="1"/>
  <c r="M22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E22" i="1"/>
  <c r="E23" i="1"/>
  <c r="E24" i="1"/>
  <c r="E25" i="1"/>
  <c r="E26" i="1"/>
  <c r="E27" i="1"/>
  <c r="E28" i="1"/>
  <c r="E29" i="1"/>
  <c r="E30" i="1"/>
  <c r="E31" i="1"/>
  <c r="E32" i="1"/>
  <c r="N32" i="1" s="1"/>
  <c r="E33" i="1"/>
  <c r="E34" i="1"/>
  <c r="E35" i="1"/>
  <c r="E36" i="1"/>
  <c r="E37" i="1"/>
  <c r="E38" i="1"/>
  <c r="N38" i="1" s="1"/>
  <c r="M8" i="1"/>
  <c r="M9" i="1"/>
  <c r="M10" i="1"/>
  <c r="M11" i="1"/>
  <c r="M12" i="1"/>
  <c r="M13" i="1"/>
  <c r="M14" i="1"/>
  <c r="I8" i="1"/>
  <c r="I9" i="1"/>
  <c r="I10" i="1"/>
  <c r="I11" i="1"/>
  <c r="I12" i="1"/>
  <c r="I13" i="1"/>
  <c r="I14" i="1"/>
  <c r="E8" i="1"/>
  <c r="E9" i="1"/>
  <c r="E10" i="1"/>
  <c r="E11" i="1"/>
  <c r="E12" i="1"/>
  <c r="E13" i="1"/>
  <c r="E14" i="1"/>
  <c r="L83" i="1"/>
  <c r="K83" i="1"/>
  <c r="J83" i="1"/>
  <c r="H83" i="1"/>
  <c r="G83" i="1"/>
  <c r="F83" i="1"/>
  <c r="D83" i="1"/>
  <c r="C83" i="1"/>
  <c r="B83" i="1"/>
  <c r="N64" i="1"/>
  <c r="N71" i="1" l="1"/>
  <c r="N68" i="1"/>
  <c r="N67" i="1"/>
  <c r="N65" i="1"/>
  <c r="N28" i="1"/>
  <c r="N22" i="1"/>
  <c r="N35" i="1"/>
  <c r="N31" i="1"/>
  <c r="N25" i="1"/>
  <c r="N80" i="1"/>
  <c r="N78" i="1"/>
  <c r="N74" i="1"/>
  <c r="N72" i="1"/>
  <c r="G41" i="1"/>
  <c r="G47" i="1" s="1"/>
  <c r="G58" i="1" s="1"/>
  <c r="G84" i="1" s="1"/>
  <c r="G90" i="1" s="1"/>
  <c r="G101" i="1" s="1"/>
  <c r="G127" i="1" s="1"/>
  <c r="G133" i="1" s="1"/>
  <c r="G144" i="1" s="1"/>
  <c r="G170" i="1" s="1"/>
  <c r="G176" i="1" s="1"/>
  <c r="G187" i="1" s="1"/>
  <c r="G213" i="1" s="1"/>
  <c r="G219" i="1" s="1"/>
  <c r="G230" i="1" s="1"/>
  <c r="G256" i="1" s="1"/>
  <c r="G262" i="1" s="1"/>
  <c r="G273" i="1" s="1"/>
  <c r="G299" i="1" s="1"/>
  <c r="G305" i="1" s="1"/>
  <c r="G316" i="1" s="1"/>
  <c r="G342" i="1" s="1"/>
  <c r="G348" i="1" s="1"/>
  <c r="G359" i="1" s="1"/>
  <c r="G385" i="1" s="1"/>
  <c r="G391" i="1" s="1"/>
  <c r="G402" i="1" s="1"/>
  <c r="G428" i="1" s="1"/>
  <c r="N76" i="1"/>
  <c r="AC74" i="1"/>
  <c r="N79" i="1"/>
  <c r="N73" i="1"/>
  <c r="N36" i="1"/>
  <c r="N30" i="1"/>
  <c r="N24" i="1"/>
  <c r="N69" i="1"/>
  <c r="N77" i="1"/>
  <c r="AC30" i="1"/>
  <c r="AC27" i="1"/>
  <c r="AC75" i="1"/>
  <c r="N57" i="1"/>
  <c r="N49" i="1"/>
  <c r="AC14" i="1"/>
  <c r="AC55" i="1"/>
  <c r="AC33" i="1"/>
  <c r="M83" i="1"/>
  <c r="N9" i="1"/>
  <c r="D41" i="1"/>
  <c r="D47" i="1" s="1"/>
  <c r="D58" i="1" s="1"/>
  <c r="D84" i="1" s="1"/>
  <c r="D90" i="1" s="1"/>
  <c r="D101" i="1" s="1"/>
  <c r="D127" i="1" s="1"/>
  <c r="D133" i="1" s="1"/>
  <c r="D144" i="1" s="1"/>
  <c r="D170" i="1" s="1"/>
  <c r="D176" i="1" s="1"/>
  <c r="D187" i="1" s="1"/>
  <c r="D213" i="1" s="1"/>
  <c r="D219" i="1" s="1"/>
  <c r="D230" i="1" s="1"/>
  <c r="D256" i="1" s="1"/>
  <c r="D262" i="1" s="1"/>
  <c r="D273" i="1" s="1"/>
  <c r="D299" i="1" s="1"/>
  <c r="D305" i="1" s="1"/>
  <c r="D316" i="1" s="1"/>
  <c r="D342" i="1" s="1"/>
  <c r="D348" i="1" s="1"/>
  <c r="D359" i="1" s="1"/>
  <c r="D385" i="1" s="1"/>
  <c r="D391" i="1" s="1"/>
  <c r="D402" i="1" s="1"/>
  <c r="D428" i="1" s="1"/>
  <c r="N81" i="1"/>
  <c r="AC32" i="1"/>
  <c r="AC76" i="1"/>
  <c r="N37" i="1"/>
  <c r="N29" i="1"/>
  <c r="N75" i="1"/>
  <c r="H41" i="1"/>
  <c r="H47" i="1" s="1"/>
  <c r="H58" i="1" s="1"/>
  <c r="H84" i="1" s="1"/>
  <c r="H90" i="1" s="1"/>
  <c r="H101" i="1" s="1"/>
  <c r="H127" i="1" s="1"/>
  <c r="H133" i="1" s="1"/>
  <c r="H144" i="1" s="1"/>
  <c r="H170" i="1" s="1"/>
  <c r="H176" i="1" s="1"/>
  <c r="H187" i="1" s="1"/>
  <c r="H213" i="1" s="1"/>
  <c r="H219" i="1" s="1"/>
  <c r="H230" i="1" s="1"/>
  <c r="H256" i="1" s="1"/>
  <c r="H262" i="1" s="1"/>
  <c r="H273" i="1" s="1"/>
  <c r="H299" i="1" s="1"/>
  <c r="H305" i="1" s="1"/>
  <c r="H316" i="1" s="1"/>
  <c r="H342" i="1" s="1"/>
  <c r="H348" i="1" s="1"/>
  <c r="H359" i="1" s="1"/>
  <c r="H385" i="1" s="1"/>
  <c r="H391" i="1" s="1"/>
  <c r="H402" i="1" s="1"/>
  <c r="H428" i="1" s="1"/>
  <c r="N55" i="1"/>
  <c r="AC29" i="1"/>
  <c r="N34" i="1"/>
  <c r="N26" i="1"/>
  <c r="AB40" i="1"/>
  <c r="N10" i="1"/>
  <c r="N23" i="1"/>
  <c r="N56" i="1"/>
  <c r="N50" i="1"/>
  <c r="AC31" i="1"/>
  <c r="X40" i="1"/>
  <c r="S41" i="1"/>
  <c r="S47" i="1" s="1"/>
  <c r="S58" i="1" s="1"/>
  <c r="S84" i="1" s="1"/>
  <c r="S90" i="1" s="1"/>
  <c r="S101" i="1" s="1"/>
  <c r="S127" i="1" s="1"/>
  <c r="S133" i="1" s="1"/>
  <c r="S144" i="1" s="1"/>
  <c r="S170" i="1" s="1"/>
  <c r="S176" i="1" s="1"/>
  <c r="S187" i="1" s="1"/>
  <c r="S213" i="1" s="1"/>
  <c r="S219" i="1" s="1"/>
  <c r="S230" i="1" s="1"/>
  <c r="S256" i="1" s="1"/>
  <c r="S262" i="1" s="1"/>
  <c r="S273" i="1" s="1"/>
  <c r="S299" i="1" s="1"/>
  <c r="S305" i="1" s="1"/>
  <c r="S316" i="1" s="1"/>
  <c r="S342" i="1" s="1"/>
  <c r="S348" i="1" s="1"/>
  <c r="S359" i="1" s="1"/>
  <c r="S385" i="1" s="1"/>
  <c r="S391" i="1" s="1"/>
  <c r="S402" i="1" s="1"/>
  <c r="S428" i="1" s="1"/>
  <c r="AC73" i="1"/>
  <c r="L41" i="1"/>
  <c r="L47" i="1" s="1"/>
  <c r="L58" i="1" s="1"/>
  <c r="L84" i="1" s="1"/>
  <c r="L90" i="1" s="1"/>
  <c r="L101" i="1" s="1"/>
  <c r="L127" i="1" s="1"/>
  <c r="L133" i="1" s="1"/>
  <c r="L144" i="1" s="1"/>
  <c r="L170" i="1" s="1"/>
  <c r="L176" i="1" s="1"/>
  <c r="L187" i="1" s="1"/>
  <c r="L213" i="1" s="1"/>
  <c r="L219" i="1" s="1"/>
  <c r="L230" i="1" s="1"/>
  <c r="L256" i="1" s="1"/>
  <c r="L262" i="1" s="1"/>
  <c r="L273" i="1" s="1"/>
  <c r="L299" i="1" s="1"/>
  <c r="L305" i="1" s="1"/>
  <c r="L316" i="1" s="1"/>
  <c r="L342" i="1" s="1"/>
  <c r="L348" i="1" s="1"/>
  <c r="L359" i="1" s="1"/>
  <c r="L385" i="1" s="1"/>
  <c r="L391" i="1" s="1"/>
  <c r="L402" i="1" s="1"/>
  <c r="L428" i="1" s="1"/>
  <c r="T40" i="1"/>
  <c r="F41" i="1"/>
  <c r="F47" i="1" s="1"/>
  <c r="F58" i="1" s="1"/>
  <c r="F84" i="1" s="1"/>
  <c r="F90" i="1" s="1"/>
  <c r="F101" i="1" s="1"/>
  <c r="F127" i="1" s="1"/>
  <c r="F133" i="1" s="1"/>
  <c r="F144" i="1" s="1"/>
  <c r="F170" i="1" s="1"/>
  <c r="F176" i="1" s="1"/>
  <c r="F187" i="1" s="1"/>
  <c r="F213" i="1" s="1"/>
  <c r="F219" i="1" s="1"/>
  <c r="F230" i="1" s="1"/>
  <c r="F256" i="1" s="1"/>
  <c r="F262" i="1" s="1"/>
  <c r="F273" i="1" s="1"/>
  <c r="F299" i="1" s="1"/>
  <c r="F305" i="1" s="1"/>
  <c r="F316" i="1" s="1"/>
  <c r="F342" i="1" s="1"/>
  <c r="F348" i="1" s="1"/>
  <c r="F359" i="1" s="1"/>
  <c r="F385" i="1" s="1"/>
  <c r="F391" i="1" s="1"/>
  <c r="F402" i="1" s="1"/>
  <c r="F428" i="1" s="1"/>
  <c r="AB83" i="1"/>
  <c r="V41" i="1"/>
  <c r="V47" i="1" s="1"/>
  <c r="V58" i="1" s="1"/>
  <c r="V84" i="1" s="1"/>
  <c r="V90" i="1" s="1"/>
  <c r="V101" i="1" s="1"/>
  <c r="V127" i="1" s="1"/>
  <c r="V133" i="1" s="1"/>
  <c r="V144" i="1" s="1"/>
  <c r="V170" i="1" s="1"/>
  <c r="V176" i="1" s="1"/>
  <c r="V187" i="1" s="1"/>
  <c r="V213" i="1" s="1"/>
  <c r="V219" i="1" s="1"/>
  <c r="V230" i="1" s="1"/>
  <c r="V256" i="1" s="1"/>
  <c r="V262" i="1" s="1"/>
  <c r="V273" i="1" s="1"/>
  <c r="V299" i="1" s="1"/>
  <c r="V305" i="1" s="1"/>
  <c r="V316" i="1" s="1"/>
  <c r="V342" i="1" s="1"/>
  <c r="V348" i="1" s="1"/>
  <c r="V359" i="1" s="1"/>
  <c r="V385" i="1" s="1"/>
  <c r="V391" i="1" s="1"/>
  <c r="V402" i="1" s="1"/>
  <c r="V428" i="1" s="1"/>
  <c r="N66" i="1"/>
  <c r="AC28" i="1"/>
  <c r="AC70" i="1"/>
  <c r="M40" i="1"/>
  <c r="N14" i="1"/>
  <c r="N8" i="1"/>
  <c r="N33" i="1"/>
  <c r="N27" i="1"/>
  <c r="N54" i="1"/>
  <c r="T83" i="1"/>
  <c r="W41" i="1"/>
  <c r="W47" i="1" s="1"/>
  <c r="W58" i="1" s="1"/>
  <c r="W84" i="1" s="1"/>
  <c r="W90" i="1" s="1"/>
  <c r="W101" i="1" s="1"/>
  <c r="W127" i="1" s="1"/>
  <c r="W133" i="1" s="1"/>
  <c r="W144" i="1" s="1"/>
  <c r="W170" i="1" s="1"/>
  <c r="W176" i="1" s="1"/>
  <c r="W187" i="1" s="1"/>
  <c r="W213" i="1" s="1"/>
  <c r="W219" i="1" s="1"/>
  <c r="W230" i="1" s="1"/>
  <c r="W256" i="1" s="1"/>
  <c r="W262" i="1" s="1"/>
  <c r="W273" i="1" s="1"/>
  <c r="W299" i="1" s="1"/>
  <c r="W305" i="1" s="1"/>
  <c r="W316" i="1" s="1"/>
  <c r="W342" i="1" s="1"/>
  <c r="W348" i="1" s="1"/>
  <c r="W359" i="1" s="1"/>
  <c r="W385" i="1" s="1"/>
  <c r="W391" i="1" s="1"/>
  <c r="W402" i="1" s="1"/>
  <c r="W428" i="1" s="1"/>
  <c r="X83" i="1"/>
  <c r="E83" i="1"/>
  <c r="N13" i="1"/>
  <c r="N53" i="1"/>
  <c r="N70" i="1"/>
  <c r="I83" i="1"/>
  <c r="Q41" i="1"/>
  <c r="Q47" i="1" s="1"/>
  <c r="Q58" i="1" s="1"/>
  <c r="Q84" i="1" s="1"/>
  <c r="Q90" i="1" s="1"/>
  <c r="Q101" i="1" s="1"/>
  <c r="Q127" i="1" s="1"/>
  <c r="Q133" i="1" s="1"/>
  <c r="Q144" i="1" s="1"/>
  <c r="Q170" i="1" s="1"/>
  <c r="Q176" i="1" s="1"/>
  <c r="Q187" i="1" s="1"/>
  <c r="Q213" i="1" s="1"/>
  <c r="Q219" i="1" s="1"/>
  <c r="Q230" i="1" s="1"/>
  <c r="Q256" i="1" s="1"/>
  <c r="Q262" i="1" s="1"/>
  <c r="Q273" i="1" s="1"/>
  <c r="Q299" i="1" s="1"/>
  <c r="Q305" i="1" s="1"/>
  <c r="Q316" i="1" s="1"/>
  <c r="Q342" i="1" s="1"/>
  <c r="Q348" i="1" s="1"/>
  <c r="Q359" i="1" s="1"/>
  <c r="Q385" i="1" s="1"/>
  <c r="Q391" i="1" s="1"/>
  <c r="Q402" i="1" s="1"/>
  <c r="Q428" i="1" s="1"/>
  <c r="N12" i="1"/>
  <c r="N52" i="1"/>
  <c r="J41" i="1"/>
  <c r="J47" i="1" s="1"/>
  <c r="J58" i="1" s="1"/>
  <c r="J84" i="1" s="1"/>
  <c r="J90" i="1" s="1"/>
  <c r="J101" i="1" s="1"/>
  <c r="J127" i="1" s="1"/>
  <c r="J133" i="1" s="1"/>
  <c r="J144" i="1" s="1"/>
  <c r="J170" i="1" s="1"/>
  <c r="J176" i="1" s="1"/>
  <c r="J187" i="1" s="1"/>
  <c r="J213" i="1" s="1"/>
  <c r="J219" i="1" s="1"/>
  <c r="J230" i="1" s="1"/>
  <c r="J256" i="1" s="1"/>
  <c r="J262" i="1" s="1"/>
  <c r="J273" i="1" s="1"/>
  <c r="J299" i="1" s="1"/>
  <c r="J305" i="1" s="1"/>
  <c r="J316" i="1" s="1"/>
  <c r="J342" i="1" s="1"/>
  <c r="J348" i="1" s="1"/>
  <c r="J359" i="1" s="1"/>
  <c r="J385" i="1" s="1"/>
  <c r="J391" i="1" s="1"/>
  <c r="J402" i="1" s="1"/>
  <c r="J428" i="1" s="1"/>
  <c r="I40" i="1"/>
  <c r="N11" i="1"/>
  <c r="I15" i="1"/>
  <c r="N51" i="1"/>
  <c r="AB15" i="1"/>
  <c r="E40" i="1"/>
  <c r="M15" i="1"/>
  <c r="K41" i="1"/>
  <c r="K47" i="1" s="1"/>
  <c r="K58" i="1" s="1"/>
  <c r="K84" i="1" s="1"/>
  <c r="K90" i="1" s="1"/>
  <c r="K101" i="1" s="1"/>
  <c r="K127" i="1" s="1"/>
  <c r="K133" i="1" s="1"/>
  <c r="K144" i="1" s="1"/>
  <c r="K170" i="1" s="1"/>
  <c r="K176" i="1" s="1"/>
  <c r="K187" i="1" s="1"/>
  <c r="K213" i="1" s="1"/>
  <c r="K219" i="1" s="1"/>
  <c r="K230" i="1" s="1"/>
  <c r="K256" i="1" s="1"/>
  <c r="K262" i="1" s="1"/>
  <c r="K273" i="1" s="1"/>
  <c r="K299" i="1" s="1"/>
  <c r="K305" i="1" s="1"/>
  <c r="K316" i="1" s="1"/>
  <c r="K342" i="1" s="1"/>
  <c r="K348" i="1" s="1"/>
  <c r="K359" i="1" s="1"/>
  <c r="K385" i="1" s="1"/>
  <c r="K391" i="1" s="1"/>
  <c r="K402" i="1" s="1"/>
  <c r="K428" i="1" s="1"/>
  <c r="B41" i="1"/>
  <c r="B47" i="1" s="1"/>
  <c r="B58" i="1" s="1"/>
  <c r="B84" i="1" s="1"/>
  <c r="B90" i="1" s="1"/>
  <c r="B101" i="1" s="1"/>
  <c r="B127" i="1" s="1"/>
  <c r="B133" i="1" s="1"/>
  <c r="B144" i="1" s="1"/>
  <c r="B170" i="1" s="1"/>
  <c r="B176" i="1" s="1"/>
  <c r="B187" i="1" s="1"/>
  <c r="B213" i="1" s="1"/>
  <c r="B219" i="1" s="1"/>
  <c r="B230" i="1" s="1"/>
  <c r="B256" i="1" s="1"/>
  <c r="B262" i="1" s="1"/>
  <c r="B273" i="1" s="1"/>
  <c r="B299" i="1" s="1"/>
  <c r="B305" i="1" s="1"/>
  <c r="B316" i="1" s="1"/>
  <c r="B342" i="1" s="1"/>
  <c r="B348" i="1" s="1"/>
  <c r="B359" i="1" s="1"/>
  <c r="B385" i="1" s="1"/>
  <c r="B391" i="1" s="1"/>
  <c r="B402" i="1" s="1"/>
  <c r="B428" i="1" s="1"/>
  <c r="E15" i="1"/>
  <c r="C41" i="1"/>
  <c r="C47" i="1" s="1"/>
  <c r="C58" i="1" s="1"/>
  <c r="C84" i="1" s="1"/>
  <c r="C90" i="1" s="1"/>
  <c r="C101" i="1" s="1"/>
  <c r="C127" i="1" s="1"/>
  <c r="C133" i="1" s="1"/>
  <c r="C144" i="1" s="1"/>
  <c r="C170" i="1" s="1"/>
  <c r="C176" i="1" s="1"/>
  <c r="C187" i="1" s="1"/>
  <c r="C213" i="1" s="1"/>
  <c r="C219" i="1" s="1"/>
  <c r="C230" i="1" s="1"/>
  <c r="C256" i="1" s="1"/>
  <c r="C262" i="1" s="1"/>
  <c r="C273" i="1" s="1"/>
  <c r="C299" i="1" s="1"/>
  <c r="C305" i="1" s="1"/>
  <c r="C316" i="1" s="1"/>
  <c r="C342" i="1" s="1"/>
  <c r="C348" i="1" s="1"/>
  <c r="C359" i="1" s="1"/>
  <c r="C385" i="1" s="1"/>
  <c r="C391" i="1" s="1"/>
  <c r="C402" i="1" s="1"/>
  <c r="C428" i="1" s="1"/>
  <c r="R41" i="1"/>
  <c r="R47" i="1" s="1"/>
  <c r="R58" i="1" s="1"/>
  <c r="R84" i="1" s="1"/>
  <c r="R90" i="1" s="1"/>
  <c r="R101" i="1" s="1"/>
  <c r="R127" i="1" s="1"/>
  <c r="R133" i="1" s="1"/>
  <c r="R144" i="1" s="1"/>
  <c r="R170" i="1" s="1"/>
  <c r="R176" i="1" s="1"/>
  <c r="R187" i="1" s="1"/>
  <c r="R213" i="1" s="1"/>
  <c r="R219" i="1" s="1"/>
  <c r="R230" i="1" s="1"/>
  <c r="R256" i="1" s="1"/>
  <c r="R262" i="1" s="1"/>
  <c r="R273" i="1" s="1"/>
  <c r="R299" i="1" s="1"/>
  <c r="R305" i="1" s="1"/>
  <c r="R316" i="1" s="1"/>
  <c r="R342" i="1" s="1"/>
  <c r="R348" i="1" s="1"/>
  <c r="R359" i="1" s="1"/>
  <c r="R385" i="1" s="1"/>
  <c r="R391" i="1" s="1"/>
  <c r="R402" i="1" s="1"/>
  <c r="R428" i="1" s="1"/>
  <c r="N4" i="1"/>
  <c r="U41" i="1"/>
  <c r="U47" i="1" s="1"/>
  <c r="U58" i="1" s="1"/>
  <c r="U84" i="1" s="1"/>
  <c r="U90" i="1" s="1"/>
  <c r="U101" i="1" s="1"/>
  <c r="U127" i="1" s="1"/>
  <c r="U133" i="1" s="1"/>
  <c r="U144" i="1" s="1"/>
  <c r="U170" i="1" s="1"/>
  <c r="U176" i="1" s="1"/>
  <c r="U187" i="1" s="1"/>
  <c r="U213" i="1" s="1"/>
  <c r="U219" i="1" s="1"/>
  <c r="U230" i="1" s="1"/>
  <c r="U256" i="1" s="1"/>
  <c r="U262" i="1" s="1"/>
  <c r="U273" i="1" s="1"/>
  <c r="U299" i="1" s="1"/>
  <c r="U305" i="1" s="1"/>
  <c r="U316" i="1" s="1"/>
  <c r="U342" i="1" s="1"/>
  <c r="U348" i="1" s="1"/>
  <c r="U359" i="1" s="1"/>
  <c r="U385" i="1" s="1"/>
  <c r="U391" i="1" s="1"/>
  <c r="U402" i="1" s="1"/>
  <c r="U428" i="1" s="1"/>
  <c r="Y41" i="1"/>
  <c r="Y47" i="1" s="1"/>
  <c r="Y58" i="1" s="1"/>
  <c r="Y84" i="1" s="1"/>
  <c r="Y90" i="1" s="1"/>
  <c r="Y101" i="1" s="1"/>
  <c r="Y127" i="1" s="1"/>
  <c r="Y133" i="1" s="1"/>
  <c r="Y144" i="1" s="1"/>
  <c r="Y170" i="1" s="1"/>
  <c r="Y176" i="1" s="1"/>
  <c r="Y187" i="1" s="1"/>
  <c r="Y213" i="1" s="1"/>
  <c r="Y219" i="1" s="1"/>
  <c r="Y230" i="1" s="1"/>
  <c r="Y256" i="1" s="1"/>
  <c r="Y262" i="1" s="1"/>
  <c r="Y273" i="1" s="1"/>
  <c r="Y299" i="1" s="1"/>
  <c r="Y305" i="1" s="1"/>
  <c r="Y316" i="1" s="1"/>
  <c r="Y342" i="1" s="1"/>
  <c r="Y348" i="1" s="1"/>
  <c r="Y359" i="1" s="1"/>
  <c r="Y385" i="1" s="1"/>
  <c r="Y391" i="1" s="1"/>
  <c r="Y402" i="1" s="1"/>
  <c r="Y428" i="1" s="1"/>
  <c r="Z41" i="1"/>
  <c r="Z47" i="1" s="1"/>
  <c r="Z58" i="1" s="1"/>
  <c r="Z84" i="1" s="1"/>
  <c r="Z90" i="1" s="1"/>
  <c r="Z101" i="1" s="1"/>
  <c r="Z127" i="1" s="1"/>
  <c r="Z133" i="1" s="1"/>
  <c r="Z144" i="1" s="1"/>
  <c r="Z170" i="1" s="1"/>
  <c r="Z176" i="1" s="1"/>
  <c r="Z187" i="1" s="1"/>
  <c r="Z213" i="1" s="1"/>
  <c r="Z219" i="1" s="1"/>
  <c r="Z230" i="1" s="1"/>
  <c r="Z256" i="1" s="1"/>
  <c r="Z262" i="1" s="1"/>
  <c r="Z273" i="1" s="1"/>
  <c r="Z299" i="1" s="1"/>
  <c r="Z305" i="1" s="1"/>
  <c r="Z316" i="1" s="1"/>
  <c r="Z342" i="1" s="1"/>
  <c r="Z348" i="1" s="1"/>
  <c r="Z359" i="1" s="1"/>
  <c r="Z385" i="1" s="1"/>
  <c r="Z391" i="1" s="1"/>
  <c r="Z402" i="1" s="1"/>
  <c r="Z428" i="1" s="1"/>
  <c r="AA41" i="1"/>
  <c r="AA47" i="1" s="1"/>
  <c r="AA58" i="1" s="1"/>
  <c r="AA84" i="1" s="1"/>
  <c r="AA90" i="1" s="1"/>
  <c r="AA101" i="1" s="1"/>
  <c r="AA127" i="1" s="1"/>
  <c r="AA133" i="1" s="1"/>
  <c r="AA144" i="1" s="1"/>
  <c r="AA170" i="1" s="1"/>
  <c r="AA176" i="1" s="1"/>
  <c r="AA187" i="1" s="1"/>
  <c r="AA213" i="1" s="1"/>
  <c r="AA219" i="1" s="1"/>
  <c r="AA230" i="1" s="1"/>
  <c r="AA256" i="1" s="1"/>
  <c r="AA262" i="1" s="1"/>
  <c r="AA273" i="1" s="1"/>
  <c r="AA299" i="1" s="1"/>
  <c r="AA305" i="1" s="1"/>
  <c r="AA316" i="1" s="1"/>
  <c r="AA342" i="1" s="1"/>
  <c r="AA348" i="1" s="1"/>
  <c r="AA359" i="1" s="1"/>
  <c r="AA385" i="1" s="1"/>
  <c r="AA391" i="1" s="1"/>
  <c r="AA402" i="1" s="1"/>
  <c r="AA428" i="1" s="1"/>
  <c r="T15" i="1"/>
  <c r="X15" i="1"/>
  <c r="AC4" i="1"/>
  <c r="I41" i="1" l="1"/>
  <c r="I47" i="1" s="1"/>
  <c r="I58" i="1" s="1"/>
  <c r="I84" i="1" s="1"/>
  <c r="I90" i="1" s="1"/>
  <c r="I101" i="1" s="1"/>
  <c r="I127" i="1" s="1"/>
  <c r="I133" i="1" s="1"/>
  <c r="I144" i="1" s="1"/>
  <c r="I170" i="1" s="1"/>
  <c r="I176" i="1" s="1"/>
  <c r="I187" i="1" s="1"/>
  <c r="I213" i="1" s="1"/>
  <c r="I219" i="1" s="1"/>
  <c r="I230" i="1" s="1"/>
  <c r="I256" i="1" s="1"/>
  <c r="I262" i="1" s="1"/>
  <c r="I273" i="1" s="1"/>
  <c r="I299" i="1" s="1"/>
  <c r="I305" i="1" s="1"/>
  <c r="I316" i="1" s="1"/>
  <c r="I342" i="1" s="1"/>
  <c r="I348" i="1" s="1"/>
  <c r="I359" i="1" s="1"/>
  <c r="I385" i="1" s="1"/>
  <c r="I391" i="1" s="1"/>
  <c r="I402" i="1" s="1"/>
  <c r="I428" i="1" s="1"/>
  <c r="X41" i="1"/>
  <c r="X47" i="1" s="1"/>
  <c r="X58" i="1" s="1"/>
  <c r="X84" i="1" s="1"/>
  <c r="X90" i="1" s="1"/>
  <c r="X101" i="1" s="1"/>
  <c r="X127" i="1" s="1"/>
  <c r="X133" i="1" s="1"/>
  <c r="X144" i="1" s="1"/>
  <c r="X170" i="1" s="1"/>
  <c r="X176" i="1" s="1"/>
  <c r="X187" i="1" s="1"/>
  <c r="X213" i="1" s="1"/>
  <c r="X219" i="1" s="1"/>
  <c r="X230" i="1" s="1"/>
  <c r="X256" i="1" s="1"/>
  <c r="X262" i="1" s="1"/>
  <c r="X273" i="1" s="1"/>
  <c r="X299" i="1" s="1"/>
  <c r="X305" i="1" s="1"/>
  <c r="X316" i="1" s="1"/>
  <c r="X342" i="1" s="1"/>
  <c r="X348" i="1" s="1"/>
  <c r="X359" i="1" s="1"/>
  <c r="X385" i="1" s="1"/>
  <c r="X391" i="1" s="1"/>
  <c r="X402" i="1" s="1"/>
  <c r="X428" i="1" s="1"/>
  <c r="AC83" i="1"/>
  <c r="N15" i="1"/>
  <c r="N40" i="1"/>
  <c r="AB41" i="1"/>
  <c r="AB47" i="1" s="1"/>
  <c r="AB58" i="1" s="1"/>
  <c r="AB84" i="1" s="1"/>
  <c r="AB90" i="1" s="1"/>
  <c r="AB101" i="1" s="1"/>
  <c r="AB127" i="1" s="1"/>
  <c r="AB133" i="1" s="1"/>
  <c r="AB144" i="1" s="1"/>
  <c r="AB170" i="1" s="1"/>
  <c r="AB176" i="1" s="1"/>
  <c r="AB187" i="1" s="1"/>
  <c r="AB213" i="1" s="1"/>
  <c r="AB219" i="1" s="1"/>
  <c r="AB230" i="1" s="1"/>
  <c r="AB256" i="1" s="1"/>
  <c r="AB262" i="1" s="1"/>
  <c r="AB273" i="1" s="1"/>
  <c r="AB299" i="1" s="1"/>
  <c r="AB305" i="1" s="1"/>
  <c r="AB316" i="1" s="1"/>
  <c r="AB342" i="1" s="1"/>
  <c r="AB348" i="1" s="1"/>
  <c r="AB359" i="1" s="1"/>
  <c r="AB385" i="1" s="1"/>
  <c r="AB391" i="1" s="1"/>
  <c r="AB402" i="1" s="1"/>
  <c r="AB428" i="1" s="1"/>
  <c r="AC40" i="1"/>
  <c r="T41" i="1"/>
  <c r="T47" i="1" s="1"/>
  <c r="T58" i="1" s="1"/>
  <c r="T84" i="1" s="1"/>
  <c r="T90" i="1" s="1"/>
  <c r="T101" i="1" s="1"/>
  <c r="T127" i="1" s="1"/>
  <c r="T133" i="1" s="1"/>
  <c r="T144" i="1" s="1"/>
  <c r="T170" i="1" s="1"/>
  <c r="T176" i="1" s="1"/>
  <c r="T187" i="1" s="1"/>
  <c r="T213" i="1" s="1"/>
  <c r="T219" i="1" s="1"/>
  <c r="T230" i="1" s="1"/>
  <c r="T256" i="1" s="1"/>
  <c r="T262" i="1" s="1"/>
  <c r="T273" i="1" s="1"/>
  <c r="T299" i="1" s="1"/>
  <c r="T305" i="1" s="1"/>
  <c r="T316" i="1" s="1"/>
  <c r="T342" i="1" s="1"/>
  <c r="T348" i="1" s="1"/>
  <c r="T359" i="1" s="1"/>
  <c r="T385" i="1" s="1"/>
  <c r="T391" i="1" s="1"/>
  <c r="T402" i="1" s="1"/>
  <c r="T428" i="1" s="1"/>
  <c r="N83" i="1"/>
  <c r="E41" i="1"/>
  <c r="E47" i="1" s="1"/>
  <c r="E58" i="1" s="1"/>
  <c r="E84" i="1" s="1"/>
  <c r="E90" i="1" s="1"/>
  <c r="E101" i="1" s="1"/>
  <c r="E127" i="1" s="1"/>
  <c r="E133" i="1" s="1"/>
  <c r="E144" i="1" s="1"/>
  <c r="E170" i="1" s="1"/>
  <c r="E176" i="1" s="1"/>
  <c r="E187" i="1" s="1"/>
  <c r="E213" i="1" s="1"/>
  <c r="E219" i="1" s="1"/>
  <c r="E230" i="1" s="1"/>
  <c r="E256" i="1" s="1"/>
  <c r="E262" i="1" s="1"/>
  <c r="E273" i="1" s="1"/>
  <c r="E299" i="1" s="1"/>
  <c r="E305" i="1" s="1"/>
  <c r="E316" i="1" s="1"/>
  <c r="E342" i="1" s="1"/>
  <c r="E348" i="1" s="1"/>
  <c r="E359" i="1" s="1"/>
  <c r="E385" i="1" s="1"/>
  <c r="E391" i="1" s="1"/>
  <c r="E402" i="1" s="1"/>
  <c r="E428" i="1" s="1"/>
  <c r="M41" i="1"/>
  <c r="M47" i="1" s="1"/>
  <c r="M58" i="1" s="1"/>
  <c r="M84" i="1" s="1"/>
  <c r="M90" i="1" s="1"/>
  <c r="M101" i="1" s="1"/>
  <c r="M127" i="1" s="1"/>
  <c r="M133" i="1" s="1"/>
  <c r="M144" i="1" s="1"/>
  <c r="M170" i="1" s="1"/>
  <c r="M176" i="1" s="1"/>
  <c r="M187" i="1" s="1"/>
  <c r="M213" i="1" s="1"/>
  <c r="M219" i="1" s="1"/>
  <c r="M230" i="1" s="1"/>
  <c r="M256" i="1" s="1"/>
  <c r="M262" i="1" s="1"/>
  <c r="M273" i="1" s="1"/>
  <c r="M299" i="1" s="1"/>
  <c r="M305" i="1" s="1"/>
  <c r="M316" i="1" s="1"/>
  <c r="M342" i="1" s="1"/>
  <c r="M348" i="1" s="1"/>
  <c r="M359" i="1" s="1"/>
  <c r="M385" i="1" s="1"/>
  <c r="M391" i="1" s="1"/>
  <c r="M402" i="1" s="1"/>
  <c r="M428" i="1" s="1"/>
  <c r="AC15" i="1"/>
  <c r="N41" i="1" l="1"/>
  <c r="N47" i="1" s="1"/>
  <c r="N58" i="1" s="1"/>
  <c r="N84" i="1" s="1"/>
  <c r="N90" i="1" s="1"/>
  <c r="N101" i="1" s="1"/>
  <c r="N127" i="1" s="1"/>
  <c r="N133" i="1" s="1"/>
  <c r="N144" i="1" s="1"/>
  <c r="N170" i="1" s="1"/>
  <c r="N176" i="1" s="1"/>
  <c r="N187" i="1" s="1"/>
  <c r="N213" i="1" s="1"/>
  <c r="N219" i="1" s="1"/>
  <c r="N230" i="1" s="1"/>
  <c r="N256" i="1" s="1"/>
  <c r="N262" i="1" s="1"/>
  <c r="N273" i="1" s="1"/>
  <c r="N299" i="1" s="1"/>
  <c r="N305" i="1" s="1"/>
  <c r="N316" i="1" s="1"/>
  <c r="N342" i="1" s="1"/>
  <c r="N348" i="1" s="1"/>
  <c r="N359" i="1" s="1"/>
  <c r="N385" i="1" s="1"/>
  <c r="N391" i="1" s="1"/>
  <c r="N402" i="1" s="1"/>
  <c r="N428" i="1" s="1"/>
  <c r="AC41" i="1"/>
  <c r="AC47" i="1" s="1"/>
  <c r="AC58" i="1" s="1"/>
  <c r="AC84" i="1" s="1"/>
  <c r="AC90" i="1" s="1"/>
  <c r="AC101" i="1" s="1"/>
  <c r="AC127" i="1" s="1"/>
  <c r="AC133" i="1" s="1"/>
  <c r="AC144" i="1" s="1"/>
  <c r="AC170" i="1" s="1"/>
  <c r="AC176" i="1" s="1"/>
  <c r="AC187" i="1" s="1"/>
  <c r="AC213" i="1" s="1"/>
  <c r="AC219" i="1" s="1"/>
  <c r="AC230" i="1" s="1"/>
  <c r="AC256" i="1" s="1"/>
  <c r="AC262" i="1" s="1"/>
  <c r="AC273" i="1" s="1"/>
  <c r="AC299" i="1" s="1"/>
  <c r="AC305" i="1" s="1"/>
  <c r="AC316" i="1" s="1"/>
  <c r="AC342" i="1" s="1"/>
  <c r="AC348" i="1" s="1"/>
  <c r="AC359" i="1" s="1"/>
  <c r="AC385" i="1" s="1"/>
  <c r="AC391" i="1" s="1"/>
  <c r="AC402" i="1" s="1"/>
  <c r="AC428" i="1" s="1"/>
</calcChain>
</file>

<file path=xl/sharedStrings.xml><?xml version="1.0" encoding="utf-8"?>
<sst xmlns="http://schemas.openxmlformats.org/spreadsheetml/2006/main" count="1001" uniqueCount="239">
  <si>
    <t>カラー</t>
  </si>
  <si>
    <t>合計</t>
    <rPh sb="0" eb="2">
      <t>ゴウケイ</t>
    </rPh>
    <phoneticPr fontId="1"/>
  </si>
  <si>
    <t>サイズ</t>
  </si>
  <si>
    <t>M</t>
  </si>
  <si>
    <t>L</t>
  </si>
  <si>
    <t>LL</t>
  </si>
  <si>
    <t>計</t>
  </si>
  <si>
    <t>追加</t>
    <rPh sb="0" eb="2">
      <t>ツイカ</t>
    </rPh>
    <phoneticPr fontId="4"/>
  </si>
  <si>
    <t>総数</t>
  </si>
  <si>
    <t>出荷数</t>
    <rPh sb="0" eb="2">
      <t>シュッカ</t>
    </rPh>
    <rPh sb="2" eb="3">
      <t>スウ</t>
    </rPh>
    <phoneticPr fontId="4"/>
  </si>
  <si>
    <t>残数</t>
    <rPh sb="0" eb="2">
      <t>ザンスウ</t>
    </rPh>
    <phoneticPr fontId="4"/>
  </si>
  <si>
    <t>初回</t>
    <rPh sb="0" eb="2">
      <t>ショカイ</t>
    </rPh>
    <phoneticPr fontId="4"/>
  </si>
  <si>
    <t>モカ</t>
    <phoneticPr fontId="1"/>
  </si>
  <si>
    <t>ネイビー</t>
    <phoneticPr fontId="1"/>
  </si>
  <si>
    <t>&lt;中空糸あったか1分丈レースショーツ　　@380&gt; K-PORT在庫　</t>
    <rPh sb="1" eb="4">
      <t>チュウクウシ</t>
    </rPh>
    <rPh sb="9" eb="10">
      <t>ブ</t>
    </rPh>
    <rPh sb="10" eb="11">
      <t>タケ</t>
    </rPh>
    <rPh sb="32" eb="34">
      <t>ザイコ</t>
    </rPh>
    <phoneticPr fontId="4"/>
  </si>
  <si>
    <t>&lt;中空糸あったか1分丈レースショーツ　　@380&gt; 夢販在庫</t>
    <rPh sb="1" eb="4">
      <t>チュウクウシ</t>
    </rPh>
    <rPh sb="9" eb="11">
      <t>ブタケ</t>
    </rPh>
    <rPh sb="26" eb="28">
      <t>ユメハン</t>
    </rPh>
    <rPh sb="28" eb="30">
      <t>ザイコ</t>
    </rPh>
    <phoneticPr fontId="4"/>
  </si>
  <si>
    <t>ピンク</t>
    <phoneticPr fontId="1"/>
  </si>
  <si>
    <t>ディノス24冬号3色組</t>
    <rPh sb="6" eb="8">
      <t>フユゴウ</t>
    </rPh>
    <phoneticPr fontId="1"/>
  </si>
  <si>
    <t>テスト8/14、本10/中旬</t>
    <rPh sb="8" eb="9">
      <t>ホン</t>
    </rPh>
    <rPh sb="12" eb="14">
      <t>チュウジュン</t>
    </rPh>
    <phoneticPr fontId="1"/>
  </si>
  <si>
    <t>事前9/9～、本10/1～</t>
    <rPh sb="0" eb="2">
      <t>ジゼン</t>
    </rPh>
    <rPh sb="7" eb="8">
      <t>ホン</t>
    </rPh>
    <phoneticPr fontId="1"/>
  </si>
  <si>
    <t>初回　3-1</t>
    <rPh sb="0" eb="2">
      <t>ショカイ</t>
    </rPh>
    <phoneticPr fontId="4"/>
  </si>
  <si>
    <t>初回　3-3</t>
    <rPh sb="0" eb="2">
      <t>ショカイ</t>
    </rPh>
    <phoneticPr fontId="4"/>
  </si>
  <si>
    <t>初回　3-2</t>
    <rPh sb="0" eb="2">
      <t>ショカイ</t>
    </rPh>
    <phoneticPr fontId="4"/>
  </si>
  <si>
    <t>ハルメクアルファ2422号3色組</t>
    <rPh sb="12" eb="13">
      <t>ゴウ</t>
    </rPh>
    <rPh sb="14" eb="15">
      <t>ショク</t>
    </rPh>
    <rPh sb="15" eb="16">
      <t>クミ</t>
    </rPh>
    <phoneticPr fontId="1"/>
  </si>
  <si>
    <t>8/23～</t>
    <phoneticPr fontId="1"/>
  </si>
  <si>
    <t>ロイヤルステージ8月号6枚組</t>
    <rPh sb="9" eb="11">
      <t>ガツゴウ</t>
    </rPh>
    <rPh sb="12" eb="14">
      <t>マイクミ</t>
    </rPh>
    <phoneticPr fontId="1"/>
  </si>
  <si>
    <t>コープきんき10月3回単品1180円</t>
    <rPh sb="8" eb="9">
      <t>ガツ</t>
    </rPh>
    <rPh sb="10" eb="11">
      <t>カイ</t>
    </rPh>
    <rPh sb="11" eb="13">
      <t>タンピン</t>
    </rPh>
    <rPh sb="17" eb="18">
      <t>エン</t>
    </rPh>
    <phoneticPr fontId="1"/>
  </si>
  <si>
    <t>コープきんき10月3回差分予測</t>
    <rPh sb="8" eb="9">
      <t>ガツ</t>
    </rPh>
    <rPh sb="10" eb="11">
      <t>カイ</t>
    </rPh>
    <rPh sb="11" eb="15">
      <t>サブンヨソク</t>
    </rPh>
    <phoneticPr fontId="1"/>
  </si>
  <si>
    <t>ベルーナ24冬号3色組\3600</t>
    <rPh sb="6" eb="7">
      <t>フユ</t>
    </rPh>
    <rPh sb="7" eb="8">
      <t>ゴウ</t>
    </rPh>
    <rPh sb="9" eb="11">
      <t>ショククミ</t>
    </rPh>
    <phoneticPr fontId="1"/>
  </si>
  <si>
    <t>ベルーナ24冬号3色組差分予測</t>
    <rPh sb="6" eb="7">
      <t>フユ</t>
    </rPh>
    <rPh sb="7" eb="8">
      <t>ゴウ</t>
    </rPh>
    <rPh sb="9" eb="11">
      <t>ショククミ</t>
    </rPh>
    <rPh sb="11" eb="15">
      <t>サブンヨソク</t>
    </rPh>
    <phoneticPr fontId="1"/>
  </si>
  <si>
    <t>ニッセン25年初春アトランダム3色組</t>
    <rPh sb="6" eb="7">
      <t>ネン</t>
    </rPh>
    <rPh sb="7" eb="9">
      <t>ショシュン</t>
    </rPh>
    <rPh sb="16" eb="18">
      <t>ショククミ</t>
    </rPh>
    <phoneticPr fontId="1"/>
  </si>
  <si>
    <t>1/9～</t>
    <phoneticPr fontId="1"/>
  </si>
  <si>
    <t>ディノス24冬号3色組差分予測</t>
    <rPh sb="6" eb="8">
      <t>フユゴウ</t>
    </rPh>
    <rPh sb="11" eb="15">
      <t>サブンヨソク</t>
    </rPh>
    <phoneticPr fontId="1"/>
  </si>
  <si>
    <t>アテニア12月号3色組　１1月初旬納品</t>
    <rPh sb="6" eb="7">
      <t>ガツ</t>
    </rPh>
    <rPh sb="7" eb="8">
      <t>ゴウ</t>
    </rPh>
    <rPh sb="9" eb="11">
      <t>ショククミ</t>
    </rPh>
    <rPh sb="14" eb="15">
      <t>ガツ</t>
    </rPh>
    <rPh sb="15" eb="17">
      <t>ショジュン</t>
    </rPh>
    <rPh sb="17" eb="19">
      <t>ノウヒン</t>
    </rPh>
    <phoneticPr fontId="1"/>
  </si>
  <si>
    <t>ベルーナ24冬号3色組\3600①</t>
    <rPh sb="6" eb="7">
      <t>フユ</t>
    </rPh>
    <rPh sb="7" eb="8">
      <t>ゴウ</t>
    </rPh>
    <rPh sb="9" eb="11">
      <t>ショククミ</t>
    </rPh>
    <phoneticPr fontId="1"/>
  </si>
  <si>
    <t>9/30～12/31</t>
    <phoneticPr fontId="1"/>
  </si>
  <si>
    <t>ディノス25春号３色組（継続）</t>
    <rPh sb="6" eb="8">
      <t>ハルゴウ</t>
    </rPh>
    <rPh sb="9" eb="11">
      <t>ショククミ</t>
    </rPh>
    <rPh sb="12" eb="14">
      <t>ケイゾク</t>
    </rPh>
    <phoneticPr fontId="1"/>
  </si>
  <si>
    <t>2月末～</t>
    <rPh sb="1" eb="2">
      <t>ガツ</t>
    </rPh>
    <rPh sb="2" eb="3">
      <t>マツ</t>
    </rPh>
    <phoneticPr fontId="1"/>
  </si>
  <si>
    <t>ディノス25春号３色組（継続）差分予測</t>
    <rPh sb="6" eb="8">
      <t>ハルゴウ</t>
    </rPh>
    <rPh sb="9" eb="11">
      <t>ショククミ</t>
    </rPh>
    <rPh sb="12" eb="14">
      <t>ケイゾク</t>
    </rPh>
    <rPh sb="15" eb="19">
      <t>サブンヨソク</t>
    </rPh>
    <phoneticPr fontId="1"/>
  </si>
  <si>
    <t>ニッセン撮影用sample</t>
    <rPh sb="4" eb="7">
      <t>サツエイヨウ</t>
    </rPh>
    <phoneticPr fontId="1"/>
  </si>
  <si>
    <t>ニッセン25年初春アトランダム3色組差分予測</t>
    <rPh sb="6" eb="7">
      <t>ネン</t>
    </rPh>
    <rPh sb="7" eb="9">
      <t>ショシュン</t>
    </rPh>
    <rPh sb="16" eb="18">
      <t>ショククミ</t>
    </rPh>
    <rPh sb="18" eb="22">
      <t>サブンヨソク</t>
    </rPh>
    <phoneticPr fontId="1"/>
  </si>
  <si>
    <t>追加 2-1</t>
    <rPh sb="0" eb="2">
      <t>ツイカ</t>
    </rPh>
    <phoneticPr fontId="4"/>
  </si>
  <si>
    <t>2024/11/12GF倉庫より</t>
    <rPh sb="12" eb="14">
      <t>ソウコ</t>
    </rPh>
    <phoneticPr fontId="1"/>
  </si>
  <si>
    <t>追加 2-2</t>
    <rPh sb="0" eb="2">
      <t>ツイカ</t>
    </rPh>
    <phoneticPr fontId="4"/>
  </si>
  <si>
    <t>点9/19、アバウト10/8、本10/9～19</t>
    <rPh sb="0" eb="1">
      <t>テン</t>
    </rPh>
    <rPh sb="15" eb="16">
      <t>ホン</t>
    </rPh>
    <phoneticPr fontId="1"/>
  </si>
  <si>
    <t>ハルメクアルファ先上げsample</t>
    <rPh sb="8" eb="10">
      <t>サキア</t>
    </rPh>
    <phoneticPr fontId="1"/>
  </si>
  <si>
    <t>夢販</t>
    <rPh sb="0" eb="2">
      <t>ユメハン</t>
    </rPh>
    <phoneticPr fontId="1"/>
  </si>
  <si>
    <t>2024/8/10数伝</t>
    <rPh sb="9" eb="11">
      <t>スウデン</t>
    </rPh>
    <phoneticPr fontId="1"/>
  </si>
  <si>
    <t>在庫確認</t>
    <rPh sb="0" eb="4">
      <t>ザイコカクニン</t>
    </rPh>
    <phoneticPr fontId="4"/>
  </si>
  <si>
    <t>初回12月中旬</t>
    <rPh sb="0" eb="2">
      <t>ショカイ</t>
    </rPh>
    <rPh sb="4" eb="5">
      <t>ガツ</t>
    </rPh>
    <rPh sb="5" eb="7">
      <t>チュウジュン</t>
    </rPh>
    <phoneticPr fontId="1"/>
  </si>
  <si>
    <t>ディノス24冬号3色組①</t>
    <rPh sb="6" eb="8">
      <t>フユゴウ</t>
    </rPh>
    <phoneticPr fontId="1"/>
  </si>
  <si>
    <t>ハルメクアルファ2432号3色組</t>
    <rPh sb="12" eb="13">
      <t>ゴウ</t>
    </rPh>
    <rPh sb="14" eb="15">
      <t>ショク</t>
    </rPh>
    <rPh sb="15" eb="16">
      <t>クミ</t>
    </rPh>
    <phoneticPr fontId="1"/>
  </si>
  <si>
    <t>10/25～1/31</t>
    <phoneticPr fontId="1"/>
  </si>
  <si>
    <t>毎日が発見2月号3色組</t>
    <phoneticPr fontId="1"/>
  </si>
  <si>
    <t>ロイヤルステージ8月号6枚組①</t>
    <rPh sb="9" eb="11">
      <t>ガツゴウ</t>
    </rPh>
    <rPh sb="12" eb="14">
      <t>マイクミ</t>
    </rPh>
    <phoneticPr fontId="1"/>
  </si>
  <si>
    <t>ベルーナ24冬号3色組\3600②</t>
    <rPh sb="6" eb="7">
      <t>フユ</t>
    </rPh>
    <rPh sb="7" eb="8">
      <t>ゴウ</t>
    </rPh>
    <rPh sb="9" eb="11">
      <t>ショククミ</t>
    </rPh>
    <phoneticPr fontId="1"/>
  </si>
  <si>
    <t>ネット</t>
    <phoneticPr fontId="1"/>
  </si>
  <si>
    <t>不足分</t>
    <rPh sb="0" eb="3">
      <t>フソクブン</t>
    </rPh>
    <phoneticPr fontId="4"/>
  </si>
  <si>
    <t>ハルメクアルファ破裂ピリング検査用</t>
    <rPh sb="8" eb="10">
      <t>ハレツ</t>
    </rPh>
    <rPh sb="14" eb="17">
      <t>ケンサヨウ</t>
    </rPh>
    <phoneticPr fontId="1"/>
  </si>
  <si>
    <t>2F展示用sample</t>
    <rPh sb="2" eb="5">
      <t>テンジヨウ</t>
    </rPh>
    <phoneticPr fontId="1"/>
  </si>
  <si>
    <t>サクラマチ(サンネット)sample</t>
    <phoneticPr fontId="1"/>
  </si>
  <si>
    <t>2024/9/7伝数</t>
    <rPh sb="8" eb="9">
      <t>デン</t>
    </rPh>
    <rPh sb="9" eb="10">
      <t>スウ</t>
    </rPh>
    <phoneticPr fontId="1"/>
  </si>
  <si>
    <t>毎日が発見撮影用sample</t>
    <rPh sb="0" eb="2">
      <t>マイニチ</t>
    </rPh>
    <rPh sb="3" eb="5">
      <t>ハッケン</t>
    </rPh>
    <rPh sb="5" eb="8">
      <t>サツエイヨウ</t>
    </rPh>
    <phoneticPr fontId="1"/>
  </si>
  <si>
    <t>ディノス返品</t>
    <rPh sb="4" eb="6">
      <t>ヘンピン</t>
    </rPh>
    <phoneticPr fontId="4"/>
  </si>
  <si>
    <t>コープきんき10月3回単品1180円①</t>
    <rPh sb="8" eb="9">
      <t>ガツ</t>
    </rPh>
    <rPh sb="10" eb="11">
      <t>カイ</t>
    </rPh>
    <rPh sb="11" eb="13">
      <t>タンピン</t>
    </rPh>
    <rPh sb="17" eb="18">
      <t>エン</t>
    </rPh>
    <phoneticPr fontId="1"/>
  </si>
  <si>
    <t>ロイヤルステージ8月号6枚組②</t>
    <rPh sb="9" eb="11">
      <t>ガツゴウ</t>
    </rPh>
    <rPh sb="12" eb="14">
      <t>マイクミ</t>
    </rPh>
    <phoneticPr fontId="1"/>
  </si>
  <si>
    <t>かりん</t>
    <phoneticPr fontId="1"/>
  </si>
  <si>
    <t>JOD撮影用sample</t>
    <rPh sb="3" eb="6">
      <t>サツエイヨウ</t>
    </rPh>
    <phoneticPr fontId="1"/>
  </si>
  <si>
    <t>過入荷分</t>
    <rPh sb="0" eb="4">
      <t>カニュウカブン</t>
    </rPh>
    <phoneticPr fontId="4"/>
  </si>
  <si>
    <t>ベルーナ24冬号3色組\3600③</t>
    <rPh sb="6" eb="7">
      <t>フユ</t>
    </rPh>
    <rPh sb="7" eb="8">
      <t>ゴウ</t>
    </rPh>
    <rPh sb="9" eb="11">
      <t>ショククミ</t>
    </rPh>
    <phoneticPr fontId="1"/>
  </si>
  <si>
    <t>ハルメクアルファ先上げsample返品</t>
    <rPh sb="8" eb="10">
      <t>サキア</t>
    </rPh>
    <rPh sb="17" eb="19">
      <t>ヘンピン</t>
    </rPh>
    <phoneticPr fontId="1"/>
  </si>
  <si>
    <t>牧野</t>
    <rPh sb="0" eb="2">
      <t>マキノ</t>
    </rPh>
    <phoneticPr fontId="1"/>
  </si>
  <si>
    <t>ディノス24冬号3色組②</t>
    <rPh sb="6" eb="8">
      <t>フユゴウ</t>
    </rPh>
    <phoneticPr fontId="1"/>
  </si>
  <si>
    <t>2024/10/4伝数</t>
    <rPh sb="9" eb="10">
      <t>デン</t>
    </rPh>
    <rPh sb="10" eb="11">
      <t>スウ</t>
    </rPh>
    <phoneticPr fontId="1"/>
  </si>
  <si>
    <t>ディノス24冬号3色組③</t>
    <rPh sb="6" eb="8">
      <t>フユゴウ</t>
    </rPh>
    <phoneticPr fontId="1"/>
  </si>
  <si>
    <t>ディノス24冬号3色組④</t>
    <rPh sb="6" eb="8">
      <t>フユゴウ</t>
    </rPh>
    <phoneticPr fontId="1"/>
  </si>
  <si>
    <t>ベルーナ24冬号3色組\3600④</t>
    <rPh sb="6" eb="7">
      <t>フユ</t>
    </rPh>
    <rPh sb="7" eb="8">
      <t>ゴウ</t>
    </rPh>
    <rPh sb="9" eb="11">
      <t>ショククミ</t>
    </rPh>
    <phoneticPr fontId="1"/>
  </si>
  <si>
    <t>ディノス24冬号3色組⑤</t>
    <rPh sb="6" eb="8">
      <t>フユゴウ</t>
    </rPh>
    <phoneticPr fontId="1"/>
  </si>
  <si>
    <t>ディノス24冬号3色組⑥</t>
    <rPh sb="6" eb="8">
      <t>フユゴウ</t>
    </rPh>
    <phoneticPr fontId="1"/>
  </si>
  <si>
    <t>1/6～</t>
    <phoneticPr fontId="1"/>
  </si>
  <si>
    <t>かりん</t>
    <phoneticPr fontId="1"/>
  </si>
  <si>
    <t>西夢</t>
    <rPh sb="0" eb="2">
      <t>ニシユメ</t>
    </rPh>
    <phoneticPr fontId="1"/>
  </si>
  <si>
    <t>ディノス24冬号3色組⑦</t>
    <rPh sb="6" eb="8">
      <t>フユゴウ</t>
    </rPh>
    <phoneticPr fontId="1"/>
  </si>
  <si>
    <t>ディノス24冬号3色組⑧</t>
    <rPh sb="6" eb="8">
      <t>フユゴウ</t>
    </rPh>
    <phoneticPr fontId="1"/>
  </si>
  <si>
    <t>ディノス24冬号3色組⑨</t>
    <rPh sb="6" eb="8">
      <t>フユゴウ</t>
    </rPh>
    <phoneticPr fontId="1"/>
  </si>
  <si>
    <t>夢販</t>
    <rPh sb="0" eb="2">
      <t>ユメハン</t>
    </rPh>
    <phoneticPr fontId="1"/>
  </si>
  <si>
    <t>ハルメクアルファことせ2452/3色組</t>
    <rPh sb="17" eb="18">
      <t>ショク</t>
    </rPh>
    <rPh sb="18" eb="19">
      <t>クミ</t>
    </rPh>
    <phoneticPr fontId="1"/>
  </si>
  <si>
    <t>1/6～3/31</t>
    <phoneticPr fontId="1"/>
  </si>
  <si>
    <t>ディノス24冬号3色組⑩</t>
    <rPh sb="6" eb="8">
      <t>フユゴウ</t>
    </rPh>
    <phoneticPr fontId="1"/>
  </si>
  <si>
    <t>ディノス24冬号3色組⑪</t>
    <rPh sb="6" eb="8">
      <t>フユゴウ</t>
    </rPh>
    <phoneticPr fontId="1"/>
  </si>
  <si>
    <t>コープ北陸2025年1月2回3色組（不透明袋）サクラマチ</t>
    <rPh sb="3" eb="5">
      <t>ホクリク</t>
    </rPh>
    <rPh sb="9" eb="10">
      <t>ネン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1"/>
  </si>
  <si>
    <t>12/25～1/16</t>
    <phoneticPr fontId="1"/>
  </si>
  <si>
    <t>ディノス24冬号3色組⑫</t>
    <rPh sb="6" eb="8">
      <t>フユゴウ</t>
    </rPh>
    <phoneticPr fontId="1"/>
  </si>
  <si>
    <t>ディノス24冬号3色組⑬</t>
    <rPh sb="6" eb="8">
      <t>フユゴウ</t>
    </rPh>
    <phoneticPr fontId="1"/>
  </si>
  <si>
    <t>パルくらす2月3回3色組</t>
    <rPh sb="6" eb="7">
      <t>ガツ</t>
    </rPh>
    <rPh sb="8" eb="9">
      <t>カイ</t>
    </rPh>
    <rPh sb="10" eb="12">
      <t>ショククミ</t>
    </rPh>
    <phoneticPr fontId="1"/>
  </si>
  <si>
    <t>パルくらす2月3回3色組差分予測</t>
    <rPh sb="6" eb="7">
      <t>ガツ</t>
    </rPh>
    <rPh sb="8" eb="9">
      <t>カイ</t>
    </rPh>
    <rPh sb="10" eb="12">
      <t>ショククミ</t>
    </rPh>
    <rPh sb="12" eb="16">
      <t>サブンヨソク</t>
    </rPh>
    <phoneticPr fontId="1"/>
  </si>
  <si>
    <t>点1/30、アバウト・初回2/11、最終2/17</t>
    <rPh sb="0" eb="1">
      <t>テン</t>
    </rPh>
    <rPh sb="11" eb="13">
      <t>ショカイ</t>
    </rPh>
    <rPh sb="18" eb="20">
      <t>サイシュウ</t>
    </rPh>
    <phoneticPr fontId="1"/>
  </si>
  <si>
    <t>西夢</t>
    <rPh sb="0" eb="2">
      <t>ニシユメ</t>
    </rPh>
    <phoneticPr fontId="1"/>
  </si>
  <si>
    <t>ディノス24冬号3色組⑭</t>
    <rPh sb="6" eb="8">
      <t>フユゴウ</t>
    </rPh>
    <phoneticPr fontId="1"/>
  </si>
  <si>
    <t>過不足分</t>
    <rPh sb="0" eb="3">
      <t>カブソク</t>
    </rPh>
    <rPh sb="3" eb="4">
      <t>ブン</t>
    </rPh>
    <phoneticPr fontId="4"/>
  </si>
  <si>
    <t>ベルーナ24冬号3色組\3600⑤</t>
    <rPh sb="6" eb="7">
      <t>フユ</t>
    </rPh>
    <rPh sb="7" eb="8">
      <t>ゴウ</t>
    </rPh>
    <rPh sb="9" eb="11">
      <t>ショククミ</t>
    </rPh>
    <phoneticPr fontId="1"/>
  </si>
  <si>
    <t>くらし返品</t>
    <rPh sb="3" eb="5">
      <t>ヘンピン</t>
    </rPh>
    <phoneticPr fontId="4"/>
  </si>
  <si>
    <t>ベルーナ24冬号3色組\3600⑥</t>
    <rPh sb="6" eb="7">
      <t>フユ</t>
    </rPh>
    <rPh sb="7" eb="8">
      <t>ゴウ</t>
    </rPh>
    <rPh sb="9" eb="11">
      <t>ショククミ</t>
    </rPh>
    <phoneticPr fontId="1"/>
  </si>
  <si>
    <t>GF倉庫よりアテニア分</t>
  </si>
  <si>
    <t>2024/11/7数伝</t>
    <rPh sb="9" eb="11">
      <t>スウデン</t>
    </rPh>
    <phoneticPr fontId="1"/>
  </si>
  <si>
    <t>ディノス24冬号3色組⑮</t>
    <rPh sb="6" eb="8">
      <t>フユゴウ</t>
    </rPh>
    <phoneticPr fontId="1"/>
  </si>
  <si>
    <t>大阪いずみ生協2月4回3色組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phoneticPr fontId="1"/>
  </si>
  <si>
    <t>2/19～3/10</t>
    <phoneticPr fontId="1"/>
  </si>
  <si>
    <t>東北サンネット2月4回3色組</t>
    <rPh sb="0" eb="2">
      <t>トウホク</t>
    </rPh>
    <rPh sb="8" eb="9">
      <t>ガツ</t>
    </rPh>
    <rPh sb="10" eb="11">
      <t>カイ</t>
    </rPh>
    <rPh sb="12" eb="14">
      <t>ショククミ</t>
    </rPh>
    <phoneticPr fontId="1"/>
  </si>
  <si>
    <t>2/12～26</t>
    <phoneticPr fontId="1"/>
  </si>
  <si>
    <t>西夢</t>
    <rPh sb="0" eb="1">
      <t>ニシ</t>
    </rPh>
    <rPh sb="1" eb="2">
      <t>ユメ</t>
    </rPh>
    <phoneticPr fontId="1"/>
  </si>
  <si>
    <t>かりん</t>
    <phoneticPr fontId="1"/>
  </si>
  <si>
    <t>ロイヤルステージ返品</t>
    <rPh sb="8" eb="10">
      <t>ヘンピン</t>
    </rPh>
    <phoneticPr fontId="4"/>
  </si>
  <si>
    <t>ディノス24冬号3色組⑯</t>
    <rPh sb="6" eb="8">
      <t>フユゴウ</t>
    </rPh>
    <phoneticPr fontId="1"/>
  </si>
  <si>
    <t>ニッセン25年初春アトランダム3色組①</t>
    <rPh sb="6" eb="7">
      <t>ネン</t>
    </rPh>
    <rPh sb="7" eb="9">
      <t>ショシュン</t>
    </rPh>
    <rPh sb="16" eb="18">
      <t>ショククミ</t>
    </rPh>
    <phoneticPr fontId="1"/>
  </si>
  <si>
    <t>12/24～</t>
    <phoneticPr fontId="1"/>
  </si>
  <si>
    <t>JODコーデ特集（表4）1226/3色組</t>
    <rPh sb="6" eb="8">
      <t>トクシュウ</t>
    </rPh>
    <rPh sb="9" eb="10">
      <t>ヒョウ</t>
    </rPh>
    <rPh sb="18" eb="20">
      <t>ショククミ</t>
    </rPh>
    <phoneticPr fontId="1"/>
  </si>
  <si>
    <t>ハルメクアルファ3色組③</t>
    <rPh sb="9" eb="10">
      <t>ショク</t>
    </rPh>
    <rPh sb="10" eb="11">
      <t>クミ</t>
    </rPh>
    <phoneticPr fontId="1"/>
  </si>
  <si>
    <t>ハルメクアルファ3色組④</t>
    <rPh sb="9" eb="10">
      <t>ショク</t>
    </rPh>
    <rPh sb="10" eb="11">
      <t>クミ</t>
    </rPh>
    <phoneticPr fontId="1"/>
  </si>
  <si>
    <t>ハルメクアルファ3色組②</t>
    <rPh sb="9" eb="10">
      <t>ショク</t>
    </rPh>
    <rPh sb="10" eb="11">
      <t>クミ</t>
    </rPh>
    <phoneticPr fontId="1"/>
  </si>
  <si>
    <t>ハルメクアルファ3色組①</t>
    <rPh sb="9" eb="10">
      <t>ショク</t>
    </rPh>
    <rPh sb="10" eb="11">
      <t>クミ</t>
    </rPh>
    <phoneticPr fontId="1"/>
  </si>
  <si>
    <t>K-PORT</t>
    <phoneticPr fontId="1"/>
  </si>
  <si>
    <t>ハルメクアルファ3色組⑤</t>
    <rPh sb="9" eb="10">
      <t>ショク</t>
    </rPh>
    <rPh sb="10" eb="11">
      <t>クミ</t>
    </rPh>
    <phoneticPr fontId="1"/>
  </si>
  <si>
    <t>ディノス返品</t>
    <rPh sb="4" eb="6">
      <t>ヘンピン</t>
    </rPh>
    <phoneticPr fontId="1"/>
  </si>
  <si>
    <t>ディノス24冬号3色組⑰</t>
    <rPh sb="6" eb="8">
      <t>フユゴウ</t>
    </rPh>
    <phoneticPr fontId="1"/>
  </si>
  <si>
    <t>毎日が発見2月号3色組①</t>
    <phoneticPr fontId="1"/>
  </si>
  <si>
    <t>ディノス24冬号3色組⑱</t>
    <rPh sb="6" eb="8">
      <t>フユゴウ</t>
    </rPh>
    <phoneticPr fontId="1"/>
  </si>
  <si>
    <r>
      <t>IEI使ってヨカッタ1月号　</t>
    </r>
    <r>
      <rPr>
        <b/>
        <sz val="11"/>
        <rFont val="ＭＳ Ｐゴシック"/>
        <family val="3"/>
        <charset val="128"/>
      </rPr>
      <t>6枚組</t>
    </r>
    <r>
      <rPr>
        <sz val="11"/>
        <rFont val="ＭＳ Ｐゴシック"/>
        <family val="3"/>
        <charset val="128"/>
      </rPr>
      <t>①</t>
    </r>
    <rPh sb="3" eb="4">
      <t>ツカ</t>
    </rPh>
    <rPh sb="11" eb="13">
      <t>ガツゴウ</t>
    </rPh>
    <rPh sb="15" eb="17">
      <t>マイクミ</t>
    </rPh>
    <phoneticPr fontId="1"/>
  </si>
  <si>
    <t>コープ北陸2025年1月2回3色組（不透明袋）サクラマチ①</t>
    <rPh sb="3" eb="5">
      <t>ホクリク</t>
    </rPh>
    <rPh sb="9" eb="10">
      <t>ネン</t>
    </rPh>
    <rPh sb="11" eb="12">
      <t>ガツ</t>
    </rPh>
    <rPh sb="13" eb="14">
      <t>カイ</t>
    </rPh>
    <rPh sb="15" eb="17">
      <t>ショククミ</t>
    </rPh>
    <rPh sb="18" eb="22">
      <t>フトウメイフクロ</t>
    </rPh>
    <phoneticPr fontId="1"/>
  </si>
  <si>
    <t>JODアクセス7007/3色組</t>
    <rPh sb="13" eb="15">
      <t>ショククミ</t>
    </rPh>
    <phoneticPr fontId="1"/>
  </si>
  <si>
    <t>2/19～</t>
    <phoneticPr fontId="1"/>
  </si>
  <si>
    <t>ディノス24冬号3色組⑲</t>
    <rPh sb="6" eb="8">
      <t>フユゴウ</t>
    </rPh>
    <phoneticPr fontId="1"/>
  </si>
  <si>
    <t>JOD①</t>
    <phoneticPr fontId="1"/>
  </si>
  <si>
    <t>JOD②</t>
    <phoneticPr fontId="1"/>
  </si>
  <si>
    <t>JOD③</t>
    <phoneticPr fontId="1"/>
  </si>
  <si>
    <t>JOD④</t>
    <phoneticPr fontId="1"/>
  </si>
  <si>
    <t>11月納品分の差引分/過不足</t>
    <rPh sb="2" eb="6">
      <t>ガツノウヒンブン</t>
    </rPh>
    <rPh sb="7" eb="10">
      <t>サシヒキブン</t>
    </rPh>
    <rPh sb="11" eb="14">
      <t>カブソク</t>
    </rPh>
    <phoneticPr fontId="4"/>
  </si>
  <si>
    <t>JOD⑤</t>
    <phoneticPr fontId="1"/>
  </si>
  <si>
    <t>JOD⑥</t>
    <phoneticPr fontId="1"/>
  </si>
  <si>
    <t>ベルーナ返品</t>
    <rPh sb="4" eb="6">
      <t>ヘンピン</t>
    </rPh>
    <phoneticPr fontId="4"/>
  </si>
  <si>
    <t>ディノス24冬号3色組⑳</t>
    <rPh sb="6" eb="8">
      <t>フユゴウ</t>
    </rPh>
    <phoneticPr fontId="1"/>
  </si>
  <si>
    <t>JOD⑦</t>
    <phoneticPr fontId="1"/>
  </si>
  <si>
    <t>JOD⑧</t>
    <phoneticPr fontId="1"/>
  </si>
  <si>
    <t>JOD⑨</t>
    <phoneticPr fontId="1"/>
  </si>
  <si>
    <t>JOD⑩</t>
    <phoneticPr fontId="1"/>
  </si>
  <si>
    <t>パルくらす2月3回3色組①</t>
    <rPh sb="6" eb="7">
      <t>ガツ</t>
    </rPh>
    <rPh sb="8" eb="9">
      <t>カイ</t>
    </rPh>
    <rPh sb="10" eb="12">
      <t>ショククミ</t>
    </rPh>
    <phoneticPr fontId="1"/>
  </si>
  <si>
    <t>JOD⑪</t>
    <phoneticPr fontId="1"/>
  </si>
  <si>
    <t>IEI交換</t>
    <rPh sb="3" eb="5">
      <t>コウカン</t>
    </rPh>
    <phoneticPr fontId="1"/>
  </si>
  <si>
    <t>ベルーナ24冬号3色組\3600⑦</t>
    <rPh sb="6" eb="7">
      <t>フユ</t>
    </rPh>
    <rPh sb="7" eb="8">
      <t>ゴウ</t>
    </rPh>
    <rPh sb="9" eb="11">
      <t>ショククミ</t>
    </rPh>
    <phoneticPr fontId="1"/>
  </si>
  <si>
    <t>JOD返品</t>
    <rPh sb="3" eb="5">
      <t>ヘンピン</t>
    </rPh>
    <phoneticPr fontId="1"/>
  </si>
  <si>
    <t>ディノス24冬号3色組㉑</t>
    <rPh sb="6" eb="8">
      <t>フユゴウ</t>
    </rPh>
    <phoneticPr fontId="1"/>
  </si>
  <si>
    <t>JOD⑫</t>
    <phoneticPr fontId="1"/>
  </si>
  <si>
    <t>JOD⑬</t>
    <phoneticPr fontId="1"/>
  </si>
  <si>
    <t>JOD⑭</t>
    <phoneticPr fontId="1"/>
  </si>
  <si>
    <t>2025/2/5伝数</t>
    <rPh sb="8" eb="9">
      <t>デン</t>
    </rPh>
    <rPh sb="9" eb="10">
      <t>スウ</t>
    </rPh>
    <phoneticPr fontId="1"/>
  </si>
  <si>
    <t>JOD⑮</t>
    <phoneticPr fontId="1"/>
  </si>
  <si>
    <t>大阪いずみ生協2月4回3色組①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phoneticPr fontId="1"/>
  </si>
  <si>
    <t>パルくらす2月3回3色組②</t>
    <rPh sb="6" eb="7">
      <t>ガツ</t>
    </rPh>
    <rPh sb="8" eb="9">
      <t>カイ</t>
    </rPh>
    <rPh sb="10" eb="12">
      <t>ショククミ</t>
    </rPh>
    <phoneticPr fontId="1"/>
  </si>
  <si>
    <t>JOD⑯</t>
    <phoneticPr fontId="1"/>
  </si>
  <si>
    <t>パルくらす2月3回3色組③</t>
    <rPh sb="6" eb="7">
      <t>ガツ</t>
    </rPh>
    <rPh sb="8" eb="9">
      <t>カイ</t>
    </rPh>
    <rPh sb="10" eb="12">
      <t>ショククミ</t>
    </rPh>
    <phoneticPr fontId="1"/>
  </si>
  <si>
    <t>パルくらす2月3回3色組④</t>
    <rPh sb="6" eb="7">
      <t>ガツ</t>
    </rPh>
    <rPh sb="8" eb="9">
      <t>カイ</t>
    </rPh>
    <rPh sb="10" eb="12">
      <t>ショククミ</t>
    </rPh>
    <phoneticPr fontId="1"/>
  </si>
  <si>
    <r>
      <t>IEI使ってヨカッタ1月号　</t>
    </r>
    <r>
      <rPr>
        <b/>
        <sz val="11"/>
        <rFont val="ＭＳ Ｐゴシック"/>
        <family val="3"/>
        <charset val="128"/>
      </rPr>
      <t>6枚組②</t>
    </r>
    <rPh sb="3" eb="4">
      <t>ツカ</t>
    </rPh>
    <rPh sb="11" eb="13">
      <t>ガツゴウ</t>
    </rPh>
    <rPh sb="15" eb="17">
      <t>マイクミ</t>
    </rPh>
    <phoneticPr fontId="1"/>
  </si>
  <si>
    <t>ディノス24冬号3色組㉒</t>
    <rPh sb="6" eb="8">
      <t>フユゴウ</t>
    </rPh>
    <phoneticPr fontId="1"/>
  </si>
  <si>
    <r>
      <t>IEI使ってヨカッタ1月号　</t>
    </r>
    <r>
      <rPr>
        <b/>
        <sz val="11"/>
        <rFont val="ＭＳ Ｐゴシック"/>
        <family val="3"/>
        <charset val="128"/>
      </rPr>
      <t>6枚組</t>
    </r>
    <rPh sb="3" eb="4">
      <t>ツカ</t>
    </rPh>
    <rPh sb="11" eb="13">
      <t>ガツゴウ</t>
    </rPh>
    <rPh sb="15" eb="17">
      <t>マイクミ</t>
    </rPh>
    <phoneticPr fontId="1"/>
  </si>
  <si>
    <t>JOD⑰</t>
    <phoneticPr fontId="1"/>
  </si>
  <si>
    <t>ディノス24冬号3色組㉓</t>
    <rPh sb="6" eb="8">
      <t>フユゴウ</t>
    </rPh>
    <phoneticPr fontId="1"/>
  </si>
  <si>
    <t>大阪いずみ生協2月4回3色組②</t>
    <rPh sb="0" eb="2">
      <t>オオサカ</t>
    </rPh>
    <rPh sb="5" eb="7">
      <t>セイキョウ</t>
    </rPh>
    <rPh sb="8" eb="9">
      <t>ガツ</t>
    </rPh>
    <rPh sb="10" eb="11">
      <t>カイ</t>
    </rPh>
    <rPh sb="12" eb="14">
      <t>ショククミ</t>
    </rPh>
    <phoneticPr fontId="1"/>
  </si>
  <si>
    <t>あいコープみやぎ4月3回単品</t>
    <rPh sb="9" eb="10">
      <t>ガツ</t>
    </rPh>
    <rPh sb="11" eb="12">
      <t>カイ</t>
    </rPh>
    <rPh sb="12" eb="14">
      <t>タンピン</t>
    </rPh>
    <phoneticPr fontId="1"/>
  </si>
  <si>
    <t>あいコープみやぎ4月3回3色組</t>
    <rPh sb="9" eb="10">
      <t>ガツ</t>
    </rPh>
    <rPh sb="11" eb="12">
      <t>カイ</t>
    </rPh>
    <rPh sb="13" eb="15">
      <t>ショククミ</t>
    </rPh>
    <phoneticPr fontId="1"/>
  </si>
  <si>
    <t>JOD⑱</t>
    <phoneticPr fontId="1"/>
  </si>
  <si>
    <t>ディノス24冬号3色組㉔</t>
    <rPh sb="6" eb="8">
      <t>フユゴウ</t>
    </rPh>
    <phoneticPr fontId="1"/>
  </si>
  <si>
    <t>JOD⑲</t>
    <phoneticPr fontId="1"/>
  </si>
  <si>
    <t>JOD⑳</t>
    <phoneticPr fontId="1"/>
  </si>
  <si>
    <t>サクラマチ返品</t>
    <rPh sb="5" eb="7">
      <t>ヘンピン</t>
    </rPh>
    <phoneticPr fontId="4"/>
  </si>
  <si>
    <t>ディノス24冬号3色組㉕</t>
    <rPh sb="6" eb="8">
      <t>フユゴウ</t>
    </rPh>
    <phoneticPr fontId="1"/>
  </si>
  <si>
    <t>ニッセン25年初春アトランダム3色組②</t>
    <rPh sb="6" eb="7">
      <t>ネン</t>
    </rPh>
    <rPh sb="7" eb="9">
      <t>ショシュン</t>
    </rPh>
    <rPh sb="16" eb="18">
      <t>ショククミ</t>
    </rPh>
    <phoneticPr fontId="1"/>
  </si>
  <si>
    <t>K-PORT</t>
    <phoneticPr fontId="1"/>
  </si>
  <si>
    <t>夢販移動</t>
    <rPh sb="0" eb="4">
      <t>ユメハンイドウ</t>
    </rPh>
    <phoneticPr fontId="4"/>
  </si>
  <si>
    <t>ディノス24冬号3色組㉖</t>
    <rPh sb="6" eb="8">
      <t>フユゴウ</t>
    </rPh>
    <phoneticPr fontId="1"/>
  </si>
  <si>
    <t>ハルメクアルファ返品</t>
    <rPh sb="8" eb="10">
      <t>ヘンピン</t>
    </rPh>
    <phoneticPr fontId="4"/>
  </si>
  <si>
    <t>あいコープみやぎ4月3回3色組①</t>
    <rPh sb="9" eb="10">
      <t>ガツ</t>
    </rPh>
    <rPh sb="11" eb="12">
      <t>カイ</t>
    </rPh>
    <rPh sb="13" eb="15">
      <t>ショククミ</t>
    </rPh>
    <phoneticPr fontId="1"/>
  </si>
  <si>
    <t>あいコープみやぎ4月3回単品①</t>
    <rPh sb="9" eb="10">
      <t>ガツ</t>
    </rPh>
    <rPh sb="11" eb="12">
      <t>カイ</t>
    </rPh>
    <rPh sb="12" eb="14">
      <t>タンピン</t>
    </rPh>
    <phoneticPr fontId="1"/>
  </si>
  <si>
    <t>あいコープみやぎ6月2回3色組</t>
    <rPh sb="9" eb="10">
      <t>ガツ</t>
    </rPh>
    <rPh sb="11" eb="12">
      <t>カイ</t>
    </rPh>
    <rPh sb="13" eb="15">
      <t>ショククミ</t>
    </rPh>
    <phoneticPr fontId="1"/>
  </si>
  <si>
    <t>あいコープみやぎ6月2回単品</t>
    <rPh sb="9" eb="10">
      <t>ガツ</t>
    </rPh>
    <rPh sb="11" eb="12">
      <t>カイ</t>
    </rPh>
    <rPh sb="12" eb="14">
      <t>タンピン</t>
    </rPh>
    <phoneticPr fontId="1"/>
  </si>
  <si>
    <t>くらし企画返品</t>
    <rPh sb="3" eb="7">
      <t>キカクヘンピン</t>
    </rPh>
    <phoneticPr fontId="4"/>
  </si>
  <si>
    <t>ニッセン撮影用sample返却</t>
    <rPh sb="4" eb="7">
      <t>サツエイヨウ</t>
    </rPh>
    <rPh sb="13" eb="15">
      <t>ヘンキャク</t>
    </rPh>
    <phoneticPr fontId="1"/>
  </si>
  <si>
    <t>サクラマチ提案sample</t>
    <rPh sb="5" eb="7">
      <t>テイアン</t>
    </rPh>
    <phoneticPr fontId="4"/>
  </si>
  <si>
    <t>ディノス24冬号3色組㉗</t>
    <rPh sb="6" eb="8">
      <t>フユゴウ</t>
    </rPh>
    <phoneticPr fontId="1"/>
  </si>
  <si>
    <t>JOD㉑</t>
    <phoneticPr fontId="1"/>
  </si>
  <si>
    <t>ディノス24冬号3色組㉘</t>
    <rPh sb="6" eb="8">
      <t>フユゴウ</t>
    </rPh>
    <phoneticPr fontId="1"/>
  </si>
  <si>
    <t>かりん</t>
    <phoneticPr fontId="1"/>
  </si>
  <si>
    <t>IEI返品</t>
    <rPh sb="3" eb="5">
      <t>ヘンピン</t>
    </rPh>
    <phoneticPr fontId="4"/>
  </si>
  <si>
    <t>毎日が発見返品</t>
    <rPh sb="0" eb="2">
      <t>マイニチ</t>
    </rPh>
    <rPh sb="3" eb="7">
      <t>ハッケンヘンピン</t>
    </rPh>
    <phoneticPr fontId="4"/>
  </si>
  <si>
    <t>ディノス24冬号3色組㉙</t>
    <rPh sb="6" eb="8">
      <t>フユゴウ</t>
    </rPh>
    <phoneticPr fontId="1"/>
  </si>
  <si>
    <t>JOD㉒</t>
    <phoneticPr fontId="1"/>
  </si>
  <si>
    <t>K-PORT</t>
    <phoneticPr fontId="1"/>
  </si>
  <si>
    <t>ロイヤルステージ10月ロイプロ6枚組</t>
    <rPh sb="10" eb="11">
      <t>ガツ</t>
    </rPh>
    <rPh sb="16" eb="18">
      <t>マイクミ</t>
    </rPh>
    <phoneticPr fontId="1"/>
  </si>
  <si>
    <t>10/17～</t>
    <phoneticPr fontId="1"/>
  </si>
  <si>
    <t>JOD撮影用sample返却</t>
    <rPh sb="3" eb="6">
      <t>サツエイヨウ</t>
    </rPh>
    <rPh sb="12" eb="14">
      <t>ヘンキャク</t>
    </rPh>
    <phoneticPr fontId="1"/>
  </si>
  <si>
    <t>サクラマチsample3色組</t>
    <rPh sb="12" eb="14">
      <t>ショククミ</t>
    </rPh>
    <phoneticPr fontId="1"/>
  </si>
  <si>
    <t>くらし企画（きんき）返却</t>
    <rPh sb="3" eb="5">
      <t>キカク</t>
    </rPh>
    <rPh sb="10" eb="12">
      <t>ヘンキャク</t>
    </rPh>
    <phoneticPr fontId="1"/>
  </si>
  <si>
    <t>オバタサンプル返却</t>
    <rPh sb="7" eb="9">
      <t>ヘンキャク</t>
    </rPh>
    <phoneticPr fontId="1"/>
  </si>
  <si>
    <t>←ここまで式確認2025/7/17</t>
    <rPh sb="0" eb="8">
      <t>&lt;-ココマデシキカクニン</t>
    </rPh>
    <phoneticPr fontId="1"/>
  </si>
  <si>
    <t>JODアクセス7012/3色組￥3800</t>
    <rPh sb="13" eb="15">
      <t>ショククミ</t>
    </rPh>
    <phoneticPr fontId="1"/>
  </si>
  <si>
    <t>10/1～</t>
    <phoneticPr fontId="1"/>
  </si>
  <si>
    <t>JOD</t>
    <phoneticPr fontId="1"/>
  </si>
  <si>
    <t>JODアクセス7013/3色組</t>
    <rPh sb="13" eb="15">
      <t>ショククミ</t>
    </rPh>
    <phoneticPr fontId="1"/>
  </si>
  <si>
    <t>11/15～</t>
    <phoneticPr fontId="1"/>
  </si>
  <si>
    <t>夢販</t>
    <rPh sb="0" eb="2">
      <t>ユメハン</t>
    </rPh>
    <phoneticPr fontId="1"/>
  </si>
  <si>
    <t>ロイヤルステージ10月ロイプロ6枚組①</t>
    <rPh sb="10" eb="11">
      <t>ガツ</t>
    </rPh>
    <rPh sb="16" eb="18">
      <t>マイクミ</t>
    </rPh>
    <phoneticPr fontId="1"/>
  </si>
  <si>
    <t>JOD特別版1205/3色組</t>
    <rPh sb="3" eb="5">
      <t>トクベツ</t>
    </rPh>
    <rPh sb="5" eb="6">
      <t>バン</t>
    </rPh>
    <rPh sb="12" eb="14">
      <t>ショククミ</t>
    </rPh>
    <phoneticPr fontId="1"/>
  </si>
  <si>
    <t>12/4～</t>
    <phoneticPr fontId="1"/>
  </si>
  <si>
    <t>JOD返品</t>
    <rPh sb="3" eb="5">
      <t>ヘンピン</t>
    </rPh>
    <phoneticPr fontId="4"/>
  </si>
  <si>
    <t>西夢</t>
    <rPh sb="0" eb="2">
      <t>ニシユメ</t>
    </rPh>
    <phoneticPr fontId="1"/>
  </si>
  <si>
    <t>西夢</t>
    <rPh sb="0" eb="2">
      <t>ニシユメ</t>
    </rPh>
    <phoneticPr fontId="1"/>
  </si>
  <si>
    <t>夢販</t>
    <rPh sb="0" eb="2">
      <t>y</t>
    </rPh>
    <phoneticPr fontId="1"/>
  </si>
  <si>
    <t>JODメルシー1224/3色組</t>
    <rPh sb="13" eb="15">
      <t>ショククミ</t>
    </rPh>
    <phoneticPr fontId="1"/>
  </si>
  <si>
    <t>夢販</t>
    <rPh sb="0" eb="2">
      <t>ユメハン</t>
    </rPh>
    <phoneticPr fontId="1"/>
  </si>
  <si>
    <t>2/18～2/23</t>
    <phoneticPr fontId="1"/>
  </si>
  <si>
    <t>コープ東北サンネット2月4回3色組￥2980（不透明袋）オバタ</t>
    <rPh sb="3" eb="5">
      <t>トウホク</t>
    </rPh>
    <rPh sb="11" eb="12">
      <t>ガツ</t>
    </rPh>
    <rPh sb="13" eb="14">
      <t>カイ</t>
    </rPh>
    <rPh sb="15" eb="17">
      <t>ショククミ</t>
    </rPh>
    <rPh sb="23" eb="27">
      <t>フトウメイフクロ</t>
    </rPh>
    <phoneticPr fontId="1"/>
  </si>
  <si>
    <t>JOD特別号9552/3色組</t>
    <rPh sb="3" eb="6">
      <t>トクベツゴウ</t>
    </rPh>
    <rPh sb="12" eb="14">
      <t>ショククミ</t>
    </rPh>
    <phoneticPr fontId="1"/>
  </si>
  <si>
    <t>1/29～</t>
    <phoneticPr fontId="1"/>
  </si>
  <si>
    <t>2/2～</t>
    <phoneticPr fontId="1"/>
  </si>
  <si>
    <t>JOD特別版0203/3色組</t>
    <rPh sb="3" eb="6">
      <t>トクベツバン</t>
    </rPh>
    <rPh sb="12" eb="14">
      <t>ショククミ</t>
    </rPh>
    <phoneticPr fontId="1"/>
  </si>
  <si>
    <t>ニッセン</t>
    <phoneticPr fontId="1"/>
  </si>
  <si>
    <t>西夢</t>
    <rPh sb="0" eb="2">
      <t>ニシユメ</t>
    </rPh>
    <phoneticPr fontId="1"/>
  </si>
  <si>
    <t>製品化</t>
    <rPh sb="0" eb="3">
      <t>セイヒンカ</t>
    </rPh>
    <phoneticPr fontId="4"/>
  </si>
  <si>
    <t>コープ東北サンネット2月4回3色組￥2980（不透明袋）オバタ①</t>
    <rPh sb="3" eb="5">
      <t>トウホク</t>
    </rPh>
    <rPh sb="11" eb="12">
      <t>ガツ</t>
    </rPh>
    <rPh sb="13" eb="14">
      <t>カイ</t>
    </rPh>
    <rPh sb="15" eb="17">
      <t>ショククミ</t>
    </rPh>
    <rPh sb="23" eb="27">
      <t>フトウメイフクロ</t>
    </rPh>
    <phoneticPr fontId="1"/>
  </si>
  <si>
    <t>コープ東北サンネット2月4回3色組￥2980（不透明袋）オバタ②</t>
    <rPh sb="3" eb="5">
      <t>トウホク</t>
    </rPh>
    <rPh sb="11" eb="12">
      <t>ガツ</t>
    </rPh>
    <rPh sb="13" eb="14">
      <t>カイ</t>
    </rPh>
    <rPh sb="15" eb="17">
      <t>ショククミ</t>
    </rPh>
    <rPh sb="23" eb="27">
      <t>フトウメイフクロ</t>
    </rPh>
    <phoneticPr fontId="1"/>
  </si>
  <si>
    <t>←ここまで在庫確認済2/25</t>
    <rPh sb="0" eb="10">
      <t>ヤジルシココマデザイコカクニンスミ</t>
    </rPh>
    <phoneticPr fontId="1"/>
  </si>
  <si>
    <t>営業用サンプル</t>
    <rPh sb="0" eb="3">
      <t>エイギョウヨウ</t>
    </rPh>
    <phoneticPr fontId="1"/>
  </si>
  <si>
    <t>オバタ返品</t>
    <rPh sb="3" eb="5">
      <t>ヘンピン</t>
    </rPh>
    <phoneticPr fontId="4"/>
  </si>
  <si>
    <t>ディノス提案sample</t>
    <rPh sb="4" eb="6">
      <t>テイアン</t>
    </rPh>
    <phoneticPr fontId="1"/>
  </si>
  <si>
    <t>KPORT</t>
    <phoneticPr fontId="1"/>
  </si>
  <si>
    <t>ゆめはん移動</t>
    <rPh sb="4" eb="6">
      <t>イドウ</t>
    </rPh>
    <phoneticPr fontId="4"/>
  </si>
  <si>
    <t>サクラマチsample</t>
    <phoneticPr fontId="1"/>
  </si>
  <si>
    <t>ディノス26年冬号3色組（継続）</t>
    <rPh sb="6" eb="7">
      <t>ネン</t>
    </rPh>
    <rPh sb="7" eb="9">
      <t>フユゴウ</t>
    </rPh>
    <rPh sb="10" eb="12">
      <t>ショククミ</t>
    </rPh>
    <rPh sb="13" eb="15">
      <t>ケイゾク</t>
    </rPh>
    <phoneticPr fontId="1"/>
  </si>
  <si>
    <t>10/5～3/31</t>
    <phoneticPr fontId="1"/>
  </si>
  <si>
    <t>西夢</t>
    <rPh sb="0" eb="2">
      <t>ニシユメ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</si>
</sst>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16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  <scheme val="minor"/>
    </font>
    <font>
      <sz val="11"/>
      <name val="ＭＳ Ｐゴシック"/>
      <family val="3"/>
      <charset val="128"/>
      <scheme val="minor"/>
    </font>
    <font>
      <b/>
      <sz val="18"/>
      <color rgb="FFFF0000"/>
      <name val="ＭＳ Ｐゴシック"/>
      <family val="3"/>
      <charset val="128"/>
    </font>
    <font>
      <sz val="11"/>
      <color theme="1"/>
      <name val="ＭＳ Ｐゴシック"/>
      <family val="3"/>
      <charset val="128"/>
      <scheme val="minor"/>
    </font>
    <font>
      <b/>
      <sz val="11"/>
      <name val="ＭＳ Ｐゴシック"/>
      <family val="3"/>
      <charset val="128"/>
      <scheme val="minor"/>
    </font>
    <font>
      <b/>
      <sz val="11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b/>
      <sz val="11"/>
      <color rgb="FFFF0000"/>
      <name val="ＭＳ Ｐゴシック"/>
      <family val="3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0" fontId="2" fillId="0" borderId="0"/>
    <xf numFmtId="0" fontId="11" fillId="0" borderId="0">
      <alignment vertical="center"/>
    </xf>
  </cellStyleXfs>
  <cellXfs count="98">
    <xf numFmtId="0" fontId="0" fillId="0" borderId="0" xfId="0">
      <alignment vertical="center"/>
    </xf>
    <xf numFmtId="0" fontId="2" fillId="0" borderId="0" xfId="1"/>
    <xf numFmtId="0" fontId="5" fillId="0" borderId="1" xfId="1" applyFont="1" applyBorder="1" applyAlignment="1">
      <alignment horizontal="center" vertical="center"/>
    </xf>
    <xf numFmtId="0" fontId="5" fillId="0" borderId="5" xfId="1" applyFont="1" applyBorder="1" applyAlignment="1">
      <alignment horizontal="center" vertical="center"/>
    </xf>
    <xf numFmtId="0" fontId="5" fillId="0" borderId="2" xfId="1" applyFont="1" applyBorder="1" applyAlignment="1">
      <alignment horizontal="center" vertical="center"/>
    </xf>
    <xf numFmtId="0" fontId="5" fillId="0" borderId="7" xfId="1" applyFont="1" applyBorder="1" applyAlignment="1">
      <alignment horizontal="center" vertical="center"/>
    </xf>
    <xf numFmtId="0" fontId="2" fillId="3" borderId="9" xfId="1" applyFill="1" applyBorder="1"/>
    <xf numFmtId="0" fontId="9" fillId="2" borderId="9" xfId="0" applyFont="1" applyFill="1" applyBorder="1">
      <alignment vertical="center"/>
    </xf>
    <xf numFmtId="0" fontId="9" fillId="0" borderId="0" xfId="0" applyFont="1">
      <alignment vertical="center"/>
    </xf>
    <xf numFmtId="0" fontId="2" fillId="0" borderId="10" xfId="1" applyBorder="1"/>
    <xf numFmtId="0" fontId="5" fillId="0" borderId="11" xfId="1" applyFont="1" applyBorder="1" applyAlignment="1">
      <alignment horizontal="center" vertical="center"/>
    </xf>
    <xf numFmtId="0" fontId="2" fillId="0" borderId="12" xfId="1" applyBorder="1"/>
    <xf numFmtId="0" fontId="7" fillId="0" borderId="1" xfId="1" applyFont="1" applyBorder="1" applyAlignment="1">
      <alignment horizontal="center" vertical="center"/>
    </xf>
    <xf numFmtId="0" fontId="7" fillId="0" borderId="5" xfId="1" applyFont="1" applyBorder="1"/>
    <xf numFmtId="0" fontId="7" fillId="3" borderId="1" xfId="1" applyFont="1" applyFill="1" applyBorder="1"/>
    <xf numFmtId="0" fontId="8" fillId="2" borderId="1" xfId="0" applyFont="1" applyFill="1" applyBorder="1">
      <alignment vertical="center"/>
    </xf>
    <xf numFmtId="0" fontId="2" fillId="0" borderId="13" xfId="1" applyBorder="1"/>
    <xf numFmtId="0" fontId="7" fillId="4" borderId="1" xfId="1" applyFont="1" applyFill="1" applyBorder="1"/>
    <xf numFmtId="0" fontId="7" fillId="5" borderId="1" xfId="1" applyFont="1" applyFill="1" applyBorder="1"/>
    <xf numFmtId="0" fontId="6" fillId="0" borderId="5" xfId="1" applyFont="1" applyBorder="1" applyAlignment="1">
      <alignment horizontal="center" vertical="center"/>
    </xf>
    <xf numFmtId="0" fontId="7" fillId="3" borderId="5" xfId="1" applyFont="1" applyFill="1" applyBorder="1"/>
    <xf numFmtId="56" fontId="8" fillId="0" borderId="0" xfId="0" applyNumberFormat="1" applyFont="1" applyAlignment="1">
      <alignment horizontal="left" vertical="center"/>
    </xf>
    <xf numFmtId="56" fontId="9" fillId="0" borderId="0" xfId="0" applyNumberFormat="1" applyFont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9" fillId="0" borderId="0" xfId="0" applyFont="1" applyAlignment="1">
      <alignment horizontal="left" vertical="center" shrinkToFit="1"/>
    </xf>
    <xf numFmtId="56" fontId="9" fillId="0" borderId="0" xfId="0" applyNumberFormat="1" applyFont="1" applyAlignment="1">
      <alignment horizontal="left" vertical="center" shrinkToFit="1"/>
    </xf>
    <xf numFmtId="0" fontId="3" fillId="6" borderId="0" xfId="1" applyFont="1" applyFill="1"/>
    <xf numFmtId="0" fontId="2" fillId="6" borderId="0" xfId="1" applyFill="1"/>
    <xf numFmtId="0" fontId="10" fillId="6" borderId="0" xfId="1" applyFont="1" applyFill="1" applyAlignment="1">
      <alignment horizontal="center"/>
    </xf>
    <xf numFmtId="56" fontId="9" fillId="0" borderId="0" xfId="0" applyNumberFormat="1" applyFont="1">
      <alignment vertical="center"/>
    </xf>
    <xf numFmtId="0" fontId="7" fillId="0" borderId="2" xfId="1" applyFont="1" applyBorder="1"/>
    <xf numFmtId="0" fontId="7" fillId="0" borderId="3" xfId="1" applyFont="1" applyBorder="1"/>
    <xf numFmtId="0" fontId="7" fillId="3" borderId="2" xfId="1" applyFont="1" applyFill="1" applyBorder="1"/>
    <xf numFmtId="0" fontId="5" fillId="0" borderId="14" xfId="1" applyFont="1" applyBorder="1" applyAlignment="1">
      <alignment horizontal="center" vertical="center"/>
    </xf>
    <xf numFmtId="0" fontId="2" fillId="0" borderId="16" xfId="1" applyBorder="1"/>
    <xf numFmtId="0" fontId="2" fillId="0" borderId="17" xfId="1" applyBorder="1"/>
    <xf numFmtId="0" fontId="7" fillId="0" borderId="14" xfId="1" applyFont="1" applyBorder="1"/>
    <xf numFmtId="0" fontId="7" fillId="3" borderId="14" xfId="1" applyFont="1" applyFill="1" applyBorder="1"/>
    <xf numFmtId="0" fontId="5" fillId="0" borderId="9" xfId="1" applyFont="1" applyBorder="1" applyAlignment="1">
      <alignment horizontal="center" vertical="center"/>
    </xf>
    <xf numFmtId="0" fontId="6" fillId="0" borderId="1" xfId="1" applyFont="1" applyBorder="1" applyAlignment="1">
      <alignment horizontal="center" vertical="center"/>
    </xf>
    <xf numFmtId="0" fontId="7" fillId="0" borderId="2" xfId="1" applyFont="1" applyBorder="1" applyAlignment="1">
      <alignment horizontal="center" vertical="center"/>
    </xf>
    <xf numFmtId="0" fontId="7" fillId="0" borderId="14" xfId="1" applyFont="1" applyBorder="1" applyAlignment="1">
      <alignment horizontal="center" vertical="center"/>
    </xf>
    <xf numFmtId="0" fontId="3" fillId="7" borderId="0" xfId="1" applyFont="1" applyFill="1"/>
    <xf numFmtId="0" fontId="2" fillId="7" borderId="0" xfId="1" applyFill="1"/>
    <xf numFmtId="0" fontId="10" fillId="7" borderId="0" xfId="1" applyFont="1" applyFill="1" applyAlignment="1">
      <alignment horizontal="center"/>
    </xf>
    <xf numFmtId="176" fontId="0" fillId="0" borderId="0" xfId="0" applyNumberFormat="1">
      <alignment vertical="center"/>
    </xf>
    <xf numFmtId="0" fontId="2" fillId="0" borderId="9" xfId="1" applyBorder="1" applyAlignment="1">
      <alignment horizontal="center" vertical="center"/>
    </xf>
    <xf numFmtId="0" fontId="2" fillId="0" borderId="7" xfId="1" applyBorder="1" applyAlignment="1">
      <alignment horizontal="center" vertical="center" shrinkToFit="1"/>
    </xf>
    <xf numFmtId="0" fontId="2" fillId="0" borderId="9" xfId="1" applyBorder="1" applyAlignment="1">
      <alignment horizontal="center" vertical="center" shrinkToFit="1"/>
    </xf>
    <xf numFmtId="0" fontId="2" fillId="0" borderId="8" xfId="1" applyBorder="1" applyAlignment="1">
      <alignment horizontal="center" vertical="center"/>
    </xf>
    <xf numFmtId="0" fontId="2" fillId="0" borderId="15" xfId="1" applyBorder="1" applyAlignment="1">
      <alignment horizontal="center" vertical="center"/>
    </xf>
    <xf numFmtId="0" fontId="2" fillId="0" borderId="12" xfId="1" applyBorder="1" applyAlignment="1">
      <alignment horizontal="right"/>
    </xf>
    <xf numFmtId="0" fontId="2" fillId="0" borderId="17" xfId="1" applyBorder="1" applyAlignment="1">
      <alignment horizontal="right"/>
    </xf>
    <xf numFmtId="0" fontId="7" fillId="0" borderId="2" xfId="1" applyFont="1" applyBorder="1" applyAlignment="1">
      <alignment horizontal="right" vertical="center"/>
    </xf>
    <xf numFmtId="0" fontId="7" fillId="0" borderId="14" xfId="1" applyFont="1" applyBorder="1" applyAlignment="1">
      <alignment horizontal="right" vertical="center"/>
    </xf>
    <xf numFmtId="0" fontId="2" fillId="0" borderId="8" xfId="1" applyBorder="1" applyAlignment="1">
      <alignment horizontal="right"/>
    </xf>
    <xf numFmtId="0" fontId="2" fillId="0" borderId="15" xfId="1" applyBorder="1" applyAlignment="1">
      <alignment horizontal="right"/>
    </xf>
    <xf numFmtId="0" fontId="2" fillId="0" borderId="10" xfId="1" applyBorder="1" applyAlignment="1">
      <alignment horizontal="right"/>
    </xf>
    <xf numFmtId="0" fontId="2" fillId="0" borderId="16" xfId="1" applyBorder="1" applyAlignment="1">
      <alignment horizontal="right"/>
    </xf>
    <xf numFmtId="0" fontId="2" fillId="3" borderId="7" xfId="1" applyFill="1" applyBorder="1"/>
    <xf numFmtId="0" fontId="9" fillId="2" borderId="7" xfId="0" applyFont="1" applyFill="1" applyBorder="1">
      <alignment vertical="center"/>
    </xf>
    <xf numFmtId="0" fontId="5" fillId="0" borderId="13" xfId="1" applyFont="1" applyBorder="1"/>
    <xf numFmtId="0" fontId="5" fillId="0" borderId="16" xfId="1" applyFont="1" applyBorder="1"/>
    <xf numFmtId="0" fontId="5" fillId="0" borderId="10" xfId="1" applyFont="1" applyBorder="1"/>
    <xf numFmtId="0" fontId="5" fillId="3" borderId="9" xfId="1" applyFont="1" applyFill="1" applyBorder="1"/>
    <xf numFmtId="0" fontId="12" fillId="2" borderId="9" xfId="0" applyFont="1" applyFill="1" applyBorder="1">
      <alignment vertical="center"/>
    </xf>
    <xf numFmtId="0" fontId="2" fillId="0" borderId="8" xfId="1" applyBorder="1" applyAlignment="1">
      <alignment vertical="center"/>
    </xf>
    <xf numFmtId="0" fontId="2" fillId="0" borderId="15" xfId="1" applyBorder="1" applyAlignment="1">
      <alignment vertical="center"/>
    </xf>
    <xf numFmtId="56" fontId="12" fillId="0" borderId="0" xfId="0" applyNumberFormat="1" applyFont="1" applyAlignment="1">
      <alignment horizontal="left" vertical="center" shrinkToFit="1"/>
    </xf>
    <xf numFmtId="56" fontId="0" fillId="0" borderId="0" xfId="0" applyNumberFormat="1">
      <alignment vertical="center"/>
    </xf>
    <xf numFmtId="56" fontId="0" fillId="0" borderId="0" xfId="0" applyNumberFormat="1" applyAlignment="1">
      <alignment horizontal="left" vertical="center"/>
    </xf>
    <xf numFmtId="56" fontId="9" fillId="0" borderId="0" xfId="0" applyNumberFormat="1" applyFont="1" applyAlignment="1">
      <alignment horizontal="right" vertical="center"/>
    </xf>
    <xf numFmtId="0" fontId="2" fillId="10" borderId="9" xfId="1" applyFill="1" applyBorder="1" applyAlignment="1">
      <alignment horizontal="center" vertical="center"/>
    </xf>
    <xf numFmtId="0" fontId="13" fillId="0" borderId="7" xfId="1" applyFont="1" applyBorder="1" applyAlignment="1">
      <alignment horizontal="center" vertical="center"/>
    </xf>
    <xf numFmtId="0" fontId="14" fillId="0" borderId="10" xfId="1" applyFont="1" applyBorder="1"/>
    <xf numFmtId="0" fontId="14" fillId="0" borderId="16" xfId="1" applyFont="1" applyBorder="1"/>
    <xf numFmtId="0" fontId="14" fillId="3" borderId="9" xfId="1" applyFont="1" applyFill="1" applyBorder="1"/>
    <xf numFmtId="0" fontId="11" fillId="2" borderId="9" xfId="0" applyFont="1" applyFill="1" applyBorder="1">
      <alignment vertical="center"/>
    </xf>
    <xf numFmtId="56" fontId="11" fillId="0" borderId="0" xfId="0" applyNumberFormat="1" applyFont="1">
      <alignment vertical="center"/>
    </xf>
    <xf numFmtId="0" fontId="14" fillId="0" borderId="9" xfId="1" applyFont="1" applyBorder="1" applyAlignment="1">
      <alignment horizontal="center" vertical="center"/>
    </xf>
    <xf numFmtId="0" fontId="14" fillId="0" borderId="13" xfId="1" applyFont="1" applyBorder="1"/>
    <xf numFmtId="56" fontId="11" fillId="0" borderId="0" xfId="0" applyNumberFormat="1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7" fillId="0" borderId="9" xfId="1" applyFont="1" applyBorder="1" applyAlignment="1">
      <alignment horizontal="center" vertical="center"/>
    </xf>
    <xf numFmtId="0" fontId="7" fillId="0" borderId="13" xfId="1" applyFont="1" applyBorder="1"/>
    <xf numFmtId="0" fontId="7" fillId="0" borderId="16" xfId="1" applyFont="1" applyBorder="1"/>
    <xf numFmtId="0" fontId="7" fillId="0" borderId="10" xfId="1" applyFont="1" applyBorder="1"/>
    <xf numFmtId="0" fontId="7" fillId="3" borderId="9" xfId="1" applyFont="1" applyFill="1" applyBorder="1"/>
    <xf numFmtId="0" fontId="8" fillId="2" borderId="9" xfId="0" applyFont="1" applyFill="1" applyBorder="1">
      <alignment vertical="center"/>
    </xf>
    <xf numFmtId="0" fontId="8" fillId="0" borderId="0" xfId="0" applyFont="1" applyAlignment="1">
      <alignment horizontal="left" vertical="center"/>
    </xf>
    <xf numFmtId="0" fontId="5" fillId="5" borderId="2" xfId="1" applyFont="1" applyFill="1" applyBorder="1" applyAlignment="1">
      <alignment horizontal="center"/>
    </xf>
    <xf numFmtId="0" fontId="5" fillId="5" borderId="3" xfId="1" applyFont="1" applyFill="1" applyBorder="1" applyAlignment="1">
      <alignment horizontal="center"/>
    </xf>
    <xf numFmtId="0" fontId="5" fillId="8" borderId="2" xfId="1" applyFont="1" applyFill="1" applyBorder="1" applyAlignment="1">
      <alignment horizontal="center"/>
    </xf>
    <xf numFmtId="0" fontId="5" fillId="8" borderId="3" xfId="1" applyFont="1" applyFill="1" applyBorder="1" applyAlignment="1">
      <alignment horizontal="center"/>
    </xf>
    <xf numFmtId="0" fontId="5" fillId="9" borderId="2" xfId="1" applyFont="1" applyFill="1" applyBorder="1" applyAlignment="1">
      <alignment horizontal="center"/>
    </xf>
    <xf numFmtId="0" fontId="0" fillId="2" borderId="4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</cellXfs>
  <cellStyles count="3">
    <cellStyle name="標準" xfId="0" builtinId="0"/>
    <cellStyle name="標準 2" xfId="1" xr:uid="{00000000-0005-0000-0000-000001000000}"/>
    <cellStyle name="標準 4" xfId="2" xr:uid="{BC3B7A5F-740E-4CA9-9AF6-86A7B1AF1FF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28"/>
  <sheetViews>
    <sheetView tabSelected="1" topLeftCell="A393" zoomScaleNormal="100" workbookViewId="0">
      <selection activeCell="A415" sqref="A415"/>
    </sheetView>
  </sheetViews>
  <sheetFormatPr defaultRowHeight="13.5" x14ac:dyDescent="0.15"/>
  <cols>
    <col min="1" max="1" width="25.75" customWidth="1"/>
    <col min="2" max="13" width="6.5" customWidth="1"/>
    <col min="14" max="14" width="7" customWidth="1"/>
    <col min="15" max="15" width="9.375" customWidth="1"/>
    <col min="16" max="16" width="49.25" customWidth="1"/>
    <col min="17" max="28" width="6.5" customWidth="1"/>
    <col min="29" max="29" width="7" customWidth="1"/>
    <col min="30" max="30" width="18.5" style="24" customWidth="1"/>
    <col min="31" max="31" width="21" customWidth="1"/>
    <col min="32" max="44" width="7" customWidth="1"/>
    <col min="45" max="45" width="13" customWidth="1"/>
  </cols>
  <sheetData>
    <row r="1" spans="1:46" ht="21.75" thickBot="1" x14ac:dyDescent="0.25">
      <c r="A1" s="27" t="s">
        <v>15</v>
      </c>
      <c r="B1" s="28"/>
      <c r="C1" s="28"/>
      <c r="D1" s="28"/>
      <c r="E1" s="29"/>
      <c r="F1" s="28"/>
      <c r="G1" s="28"/>
      <c r="H1" s="28"/>
      <c r="I1" s="28"/>
      <c r="J1" s="1"/>
      <c r="K1" s="1"/>
      <c r="L1" s="1"/>
      <c r="M1" s="1"/>
      <c r="O1" s="24"/>
      <c r="P1" s="43" t="s">
        <v>14</v>
      </c>
      <c r="Q1" s="44"/>
      <c r="R1" s="44"/>
      <c r="S1" s="44"/>
      <c r="T1" s="45"/>
      <c r="U1" s="44"/>
      <c r="V1" s="44"/>
      <c r="W1" s="44"/>
      <c r="X1" s="44"/>
      <c r="Y1" s="44"/>
      <c r="Z1" s="44"/>
      <c r="AA1" s="44"/>
      <c r="AB1" s="1"/>
      <c r="AE1" s="24"/>
      <c r="AF1" s="24"/>
      <c r="AG1" s="24"/>
      <c r="AH1" s="24"/>
      <c r="AI1" s="24"/>
      <c r="AJ1" s="24"/>
      <c r="AK1" s="24"/>
      <c r="AL1" s="24"/>
      <c r="AM1" s="24"/>
      <c r="AN1" s="24"/>
      <c r="AO1" s="24"/>
      <c r="AP1" s="24"/>
      <c r="AQ1" s="24"/>
      <c r="AR1" s="24"/>
      <c r="AS1" s="24"/>
    </row>
    <row r="2" spans="1:46" ht="14.25" thickBot="1" x14ac:dyDescent="0.2">
      <c r="A2" s="2" t="s">
        <v>0</v>
      </c>
      <c r="B2" s="91" t="s">
        <v>16</v>
      </c>
      <c r="C2" s="91"/>
      <c r="D2" s="91"/>
      <c r="E2" s="92"/>
      <c r="F2" s="93" t="s">
        <v>12</v>
      </c>
      <c r="G2" s="93"/>
      <c r="H2" s="93"/>
      <c r="I2" s="94"/>
      <c r="J2" s="95" t="s">
        <v>13</v>
      </c>
      <c r="K2" s="95"/>
      <c r="L2" s="95"/>
      <c r="M2" s="95"/>
      <c r="N2" s="96"/>
      <c r="O2" s="24"/>
      <c r="P2" s="2" t="s">
        <v>0</v>
      </c>
      <c r="Q2" s="91" t="s">
        <v>16</v>
      </c>
      <c r="R2" s="91"/>
      <c r="S2" s="91"/>
      <c r="T2" s="92"/>
      <c r="U2" s="93" t="s">
        <v>12</v>
      </c>
      <c r="V2" s="93"/>
      <c r="W2" s="93"/>
      <c r="X2" s="94"/>
      <c r="Y2" s="95" t="s">
        <v>13</v>
      </c>
      <c r="Z2" s="95"/>
      <c r="AA2" s="95"/>
      <c r="AB2" s="95"/>
      <c r="AC2" s="96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</row>
    <row r="3" spans="1:46" ht="14.25" thickBot="1" x14ac:dyDescent="0.2">
      <c r="A3" s="2" t="s">
        <v>2</v>
      </c>
      <c r="B3" s="3" t="s">
        <v>3</v>
      </c>
      <c r="C3" s="34" t="s">
        <v>4</v>
      </c>
      <c r="D3" s="4" t="s">
        <v>5</v>
      </c>
      <c r="E3" s="2" t="s">
        <v>6</v>
      </c>
      <c r="F3" s="3" t="s">
        <v>3</v>
      </c>
      <c r="G3" s="34" t="s">
        <v>4</v>
      </c>
      <c r="H3" s="4" t="s">
        <v>5</v>
      </c>
      <c r="I3" s="2" t="s">
        <v>6</v>
      </c>
      <c r="J3" s="3" t="s">
        <v>3</v>
      </c>
      <c r="K3" s="34" t="s">
        <v>4</v>
      </c>
      <c r="L3" s="4" t="s">
        <v>5</v>
      </c>
      <c r="M3" s="3" t="s">
        <v>6</v>
      </c>
      <c r="N3" s="97"/>
      <c r="O3" s="24"/>
      <c r="P3" s="2" t="s">
        <v>2</v>
      </c>
      <c r="Q3" s="3" t="s">
        <v>3</v>
      </c>
      <c r="R3" s="34" t="s">
        <v>4</v>
      </c>
      <c r="S3" s="4" t="s">
        <v>5</v>
      </c>
      <c r="T3" s="2" t="s">
        <v>6</v>
      </c>
      <c r="U3" s="3" t="s">
        <v>3</v>
      </c>
      <c r="V3" s="34" t="s">
        <v>4</v>
      </c>
      <c r="W3" s="4" t="s">
        <v>5</v>
      </c>
      <c r="X3" s="2" t="s">
        <v>6</v>
      </c>
      <c r="Y3" s="3" t="s">
        <v>3</v>
      </c>
      <c r="Z3" s="34" t="s">
        <v>4</v>
      </c>
      <c r="AA3" s="4" t="s">
        <v>5</v>
      </c>
      <c r="AB3" s="3" t="s">
        <v>6</v>
      </c>
      <c r="AC3" s="97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</row>
    <row r="4" spans="1:46" x14ac:dyDescent="0.15">
      <c r="A4" s="5" t="s">
        <v>11</v>
      </c>
      <c r="B4" s="50">
        <v>5</v>
      </c>
      <c r="C4" s="51">
        <v>5</v>
      </c>
      <c r="D4" s="50">
        <v>5</v>
      </c>
      <c r="E4" s="6">
        <f>SUM(B4:D4)</f>
        <v>15</v>
      </c>
      <c r="F4" s="50">
        <v>5</v>
      </c>
      <c r="G4" s="51">
        <v>5</v>
      </c>
      <c r="H4" s="50">
        <v>5</v>
      </c>
      <c r="I4" s="6">
        <f>SUM(F4:H4)</f>
        <v>15</v>
      </c>
      <c r="J4" s="50">
        <v>5</v>
      </c>
      <c r="K4" s="51">
        <v>5</v>
      </c>
      <c r="L4" s="50">
        <v>5</v>
      </c>
      <c r="M4" s="6">
        <f>SUM(J4:L4)</f>
        <v>15</v>
      </c>
      <c r="N4" s="7">
        <f>E4+I4+M4</f>
        <v>45</v>
      </c>
      <c r="O4" s="22">
        <v>45514</v>
      </c>
      <c r="P4" s="5" t="s">
        <v>20</v>
      </c>
      <c r="Q4" s="67">
        <v>50</v>
      </c>
      <c r="R4" s="68">
        <v>50</v>
      </c>
      <c r="S4" s="67">
        <v>50</v>
      </c>
      <c r="T4" s="6">
        <f>SUM(Q4:S4)</f>
        <v>150</v>
      </c>
      <c r="U4" s="67">
        <v>50</v>
      </c>
      <c r="V4" s="68">
        <v>50</v>
      </c>
      <c r="W4" s="67">
        <v>50</v>
      </c>
      <c r="X4" s="6">
        <f>SUM(U4:W4)</f>
        <v>150</v>
      </c>
      <c r="Y4" s="67">
        <v>50</v>
      </c>
      <c r="Z4" s="68">
        <v>50</v>
      </c>
      <c r="AA4" s="67">
        <v>50</v>
      </c>
      <c r="AB4" s="6">
        <f>SUM(Y4:AA4)</f>
        <v>150</v>
      </c>
      <c r="AC4" s="7">
        <f>T4+X4+AB4</f>
        <v>450</v>
      </c>
      <c r="AD4" s="22" t="s">
        <v>47</v>
      </c>
      <c r="AE4" s="21"/>
      <c r="AF4" s="21"/>
      <c r="AG4" s="21"/>
      <c r="AH4" s="21"/>
      <c r="AI4" s="21"/>
      <c r="AJ4" s="21"/>
      <c r="AK4" s="21"/>
      <c r="AL4" s="21"/>
      <c r="AM4" s="21"/>
      <c r="AN4" s="21"/>
      <c r="AO4" s="21"/>
      <c r="AP4" s="21"/>
      <c r="AQ4" s="21"/>
      <c r="AR4" s="21"/>
      <c r="AS4" s="21"/>
    </row>
    <row r="5" spans="1:46" x14ac:dyDescent="0.15">
      <c r="A5" s="5" t="s">
        <v>48</v>
      </c>
      <c r="B5" s="9"/>
      <c r="C5" s="35"/>
      <c r="D5" s="9">
        <v>1</v>
      </c>
      <c r="E5" s="6">
        <f t="shared" ref="E5" si="0">SUM(B5:D5)</f>
        <v>1</v>
      </c>
      <c r="F5" s="9"/>
      <c r="G5" s="35">
        <v>-1</v>
      </c>
      <c r="H5" s="9">
        <v>1</v>
      </c>
      <c r="I5" s="6">
        <f t="shared" ref="I5" si="1">SUM(F5:H5)</f>
        <v>0</v>
      </c>
      <c r="J5" s="9"/>
      <c r="K5" s="35"/>
      <c r="L5" s="9"/>
      <c r="M5" s="6">
        <f t="shared" ref="M5" si="2">SUM(J5:L5)</f>
        <v>0</v>
      </c>
      <c r="N5" s="7">
        <f t="shared" ref="N5" si="3">E5+I5+M5</f>
        <v>1</v>
      </c>
      <c r="O5" s="22">
        <v>45526</v>
      </c>
      <c r="P5" s="5" t="s">
        <v>7</v>
      </c>
      <c r="Q5" s="9"/>
      <c r="R5" s="35"/>
      <c r="S5" s="9"/>
      <c r="T5" s="60">
        <f t="shared" ref="T5:T10" si="4">SUM(Q5:S5)</f>
        <v>0</v>
      </c>
      <c r="U5" s="58"/>
      <c r="V5" s="59"/>
      <c r="W5" s="58"/>
      <c r="X5" s="60">
        <f t="shared" ref="X5:X10" si="5">SUM(U5:W5)</f>
        <v>0</v>
      </c>
      <c r="Y5" s="58"/>
      <c r="Z5" s="59"/>
      <c r="AA5" s="58"/>
      <c r="AB5" s="60">
        <f t="shared" ref="AB5:AB10" si="6">SUM(Y5:AA5)</f>
        <v>0</v>
      </c>
      <c r="AC5" s="61">
        <f t="shared" ref="AC5:AC10" si="7">T5+X5+AB5</f>
        <v>0</v>
      </c>
      <c r="AD5" s="22"/>
      <c r="AE5" s="22"/>
      <c r="AF5" s="22"/>
      <c r="AG5" s="22"/>
      <c r="AH5" s="22"/>
      <c r="AI5" s="22"/>
      <c r="AJ5" s="22"/>
      <c r="AK5" s="22"/>
      <c r="AL5" s="22"/>
      <c r="AM5" s="22"/>
      <c r="AN5" s="22"/>
      <c r="AO5" s="22"/>
      <c r="AP5" s="22"/>
      <c r="AQ5" s="22"/>
      <c r="AR5" s="22"/>
      <c r="AS5" s="22"/>
    </row>
    <row r="6" spans="1:46" x14ac:dyDescent="0.15">
      <c r="A6" s="5" t="s">
        <v>7</v>
      </c>
      <c r="B6" s="9">
        <v>5</v>
      </c>
      <c r="C6" s="35"/>
      <c r="D6" s="9">
        <v>5</v>
      </c>
      <c r="E6" s="6">
        <f t="shared" ref="E6:E7" si="8">SUM(B6:D6)</f>
        <v>10</v>
      </c>
      <c r="F6" s="9">
        <v>5</v>
      </c>
      <c r="G6" s="35"/>
      <c r="H6" s="9">
        <v>5</v>
      </c>
      <c r="I6" s="6">
        <f t="shared" ref="I6:I7" si="9">SUM(F6:H6)</f>
        <v>10</v>
      </c>
      <c r="J6" s="9">
        <v>5</v>
      </c>
      <c r="K6" s="35"/>
      <c r="L6" s="9">
        <v>5</v>
      </c>
      <c r="M6" s="6">
        <f t="shared" ref="M6:M7" si="10">SUM(J6:L6)</f>
        <v>10</v>
      </c>
      <c r="N6" s="7">
        <f t="shared" ref="N6:N7" si="11">E6+I6+M6</f>
        <v>30</v>
      </c>
      <c r="O6" s="22">
        <v>45521</v>
      </c>
      <c r="P6" s="10" t="s">
        <v>7</v>
      </c>
      <c r="Q6" s="11"/>
      <c r="R6" s="36"/>
      <c r="S6" s="11"/>
      <c r="T6" s="6">
        <f t="shared" ref="T6" si="12">SUM(Q6:S6)</f>
        <v>0</v>
      </c>
      <c r="U6" s="52"/>
      <c r="V6" s="53"/>
      <c r="W6" s="52"/>
      <c r="X6" s="6">
        <f t="shared" ref="X6" si="13">SUM(U6:W6)</f>
        <v>0</v>
      </c>
      <c r="Y6" s="52"/>
      <c r="Z6" s="53"/>
      <c r="AA6" s="52"/>
      <c r="AB6" s="6">
        <f t="shared" ref="AB6" si="14">SUM(Y6:AA6)</f>
        <v>0</v>
      </c>
      <c r="AC6" s="7">
        <f t="shared" ref="AC6" si="15">T6+X6+AB6</f>
        <v>0</v>
      </c>
      <c r="AD6" s="22"/>
      <c r="AF6" s="22"/>
      <c r="AG6" s="22"/>
      <c r="AH6" s="22"/>
      <c r="AI6" s="22"/>
      <c r="AJ6" s="22"/>
      <c r="AK6" s="22"/>
      <c r="AL6" s="22"/>
      <c r="AM6" s="22"/>
      <c r="AN6" s="22"/>
      <c r="AO6" s="22"/>
      <c r="AP6" s="22"/>
      <c r="AQ6" s="22"/>
      <c r="AR6" s="22"/>
      <c r="AS6" s="22"/>
    </row>
    <row r="7" spans="1:46" x14ac:dyDescent="0.15">
      <c r="A7" s="5" t="s">
        <v>7</v>
      </c>
      <c r="B7" s="9"/>
      <c r="C7" s="35">
        <v>5</v>
      </c>
      <c r="D7" s="9"/>
      <c r="E7" s="6">
        <f t="shared" si="8"/>
        <v>5</v>
      </c>
      <c r="F7" s="9"/>
      <c r="G7" s="35">
        <v>5</v>
      </c>
      <c r="H7" s="9"/>
      <c r="I7" s="6">
        <f t="shared" si="9"/>
        <v>5</v>
      </c>
      <c r="J7" s="9"/>
      <c r="K7" s="35">
        <v>5</v>
      </c>
      <c r="L7" s="9"/>
      <c r="M7" s="6">
        <f t="shared" si="10"/>
        <v>5</v>
      </c>
      <c r="N7" s="7">
        <f t="shared" si="11"/>
        <v>15</v>
      </c>
      <c r="O7" s="22">
        <v>45545</v>
      </c>
      <c r="P7" s="10" t="s">
        <v>7</v>
      </c>
      <c r="Q7" s="11"/>
      <c r="R7" s="36"/>
      <c r="S7" s="11"/>
      <c r="T7" s="6">
        <f t="shared" si="4"/>
        <v>0</v>
      </c>
      <c r="U7" s="52"/>
      <c r="V7" s="53"/>
      <c r="W7" s="52"/>
      <c r="X7" s="6">
        <f t="shared" si="5"/>
        <v>0</v>
      </c>
      <c r="Y7" s="52"/>
      <c r="Z7" s="53"/>
      <c r="AA7" s="52"/>
      <c r="AB7" s="6">
        <f t="shared" si="6"/>
        <v>0</v>
      </c>
      <c r="AC7" s="7">
        <f t="shared" si="7"/>
        <v>0</v>
      </c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  <c r="AP7" s="22"/>
      <c r="AQ7" s="22"/>
      <c r="AR7" s="22"/>
      <c r="AS7" s="22"/>
    </row>
    <row r="8" spans="1:46" x14ac:dyDescent="0.15">
      <c r="A8" s="5" t="s">
        <v>63</v>
      </c>
      <c r="B8" s="9">
        <v>1</v>
      </c>
      <c r="C8" s="35"/>
      <c r="D8" s="9"/>
      <c r="E8" s="6">
        <f t="shared" ref="E8:E14" si="16">SUM(B8:D8)</f>
        <v>1</v>
      </c>
      <c r="F8" s="9">
        <v>1</v>
      </c>
      <c r="G8" s="35"/>
      <c r="H8" s="9"/>
      <c r="I8" s="6">
        <f t="shared" ref="I8:I14" si="17">SUM(F8:H8)</f>
        <v>1</v>
      </c>
      <c r="J8" s="9">
        <v>1</v>
      </c>
      <c r="K8" s="35"/>
      <c r="L8" s="9"/>
      <c r="M8" s="6">
        <f t="shared" ref="M8:M14" si="18">SUM(J8:L8)</f>
        <v>1</v>
      </c>
      <c r="N8" s="7">
        <f t="shared" ref="N8:N14" si="19">E8+I8+M8</f>
        <v>3</v>
      </c>
      <c r="O8" s="22">
        <v>45552</v>
      </c>
      <c r="P8" s="5" t="s">
        <v>22</v>
      </c>
      <c r="Q8" s="11">
        <v>350</v>
      </c>
      <c r="R8" s="36">
        <v>400</v>
      </c>
      <c r="S8" s="11">
        <v>200</v>
      </c>
      <c r="T8" s="6">
        <f t="shared" si="4"/>
        <v>950</v>
      </c>
      <c r="U8" s="52">
        <v>350</v>
      </c>
      <c r="V8" s="53">
        <v>400</v>
      </c>
      <c r="W8" s="52">
        <v>200</v>
      </c>
      <c r="X8" s="6">
        <f t="shared" si="5"/>
        <v>950</v>
      </c>
      <c r="Y8" s="52">
        <v>350</v>
      </c>
      <c r="Z8" s="53">
        <v>400</v>
      </c>
      <c r="AA8" s="52">
        <v>200</v>
      </c>
      <c r="AB8" s="6">
        <f t="shared" si="6"/>
        <v>950</v>
      </c>
      <c r="AC8" s="7">
        <f t="shared" si="7"/>
        <v>2850</v>
      </c>
      <c r="AD8" s="22" t="s">
        <v>61</v>
      </c>
      <c r="AE8" s="22"/>
      <c r="AF8" s="22"/>
      <c r="AG8" s="22"/>
      <c r="AH8" s="22"/>
      <c r="AI8" s="22"/>
      <c r="AJ8" s="22"/>
      <c r="AK8" s="22"/>
      <c r="AL8" s="22"/>
      <c r="AM8" s="22"/>
      <c r="AN8" s="22"/>
      <c r="AO8" s="22"/>
      <c r="AP8" s="22"/>
      <c r="AQ8" s="22"/>
      <c r="AR8" s="22"/>
      <c r="AS8" s="22"/>
    </row>
    <row r="9" spans="1:46" x14ac:dyDescent="0.15">
      <c r="A9" s="5" t="s">
        <v>7</v>
      </c>
      <c r="B9" s="9">
        <v>10</v>
      </c>
      <c r="C9" s="35">
        <v>10</v>
      </c>
      <c r="D9" s="9">
        <v>10</v>
      </c>
      <c r="E9" s="6">
        <f t="shared" si="16"/>
        <v>30</v>
      </c>
      <c r="F9" s="9">
        <v>10</v>
      </c>
      <c r="G9" s="35">
        <v>10</v>
      </c>
      <c r="H9" s="9">
        <v>10</v>
      </c>
      <c r="I9" s="6">
        <f t="shared" si="17"/>
        <v>30</v>
      </c>
      <c r="J9" s="9">
        <v>10</v>
      </c>
      <c r="K9" s="35">
        <v>10</v>
      </c>
      <c r="L9" s="9">
        <v>10</v>
      </c>
      <c r="M9" s="6">
        <f t="shared" si="18"/>
        <v>30</v>
      </c>
      <c r="N9" s="7">
        <f t="shared" si="19"/>
        <v>90</v>
      </c>
      <c r="O9" s="22">
        <v>45570</v>
      </c>
      <c r="P9" s="10" t="s">
        <v>57</v>
      </c>
      <c r="Q9" s="11"/>
      <c r="R9" s="36"/>
      <c r="S9" s="11"/>
      <c r="T9" s="6">
        <f t="shared" si="4"/>
        <v>0</v>
      </c>
      <c r="U9" s="52">
        <v>-1</v>
      </c>
      <c r="V9" s="53"/>
      <c r="W9" s="52"/>
      <c r="X9" s="6">
        <f t="shared" si="5"/>
        <v>-1</v>
      </c>
      <c r="Y9" s="52"/>
      <c r="Z9" s="53"/>
      <c r="AA9" s="52"/>
      <c r="AB9" s="6">
        <f t="shared" si="6"/>
        <v>0</v>
      </c>
      <c r="AC9" s="7">
        <f t="shared" si="7"/>
        <v>-1</v>
      </c>
      <c r="AD9" s="22"/>
      <c r="AF9" s="22"/>
      <c r="AG9" s="22"/>
      <c r="AH9" s="22"/>
      <c r="AI9" s="22"/>
      <c r="AJ9" s="22"/>
      <c r="AK9" s="22"/>
      <c r="AL9" s="22"/>
      <c r="AM9" s="22"/>
      <c r="AN9" s="22"/>
      <c r="AO9" s="22"/>
      <c r="AP9" s="22"/>
      <c r="AQ9" s="22"/>
      <c r="AR9" s="22"/>
      <c r="AS9" s="22"/>
    </row>
    <row r="10" spans="1:46" x14ac:dyDescent="0.15">
      <c r="A10" s="5" t="s">
        <v>7</v>
      </c>
      <c r="B10" s="9"/>
      <c r="C10" s="35"/>
      <c r="D10" s="9"/>
      <c r="E10" s="6">
        <f t="shared" si="16"/>
        <v>0</v>
      </c>
      <c r="F10" s="9"/>
      <c r="G10" s="35"/>
      <c r="H10" s="9"/>
      <c r="I10" s="6">
        <f t="shared" si="17"/>
        <v>0</v>
      </c>
      <c r="J10" s="9"/>
      <c r="K10" s="35"/>
      <c r="L10" s="9"/>
      <c r="M10" s="6">
        <f t="shared" si="18"/>
        <v>0</v>
      </c>
      <c r="N10" s="7">
        <f t="shared" si="19"/>
        <v>0</v>
      </c>
      <c r="O10" s="22"/>
      <c r="P10" s="10" t="s">
        <v>7</v>
      </c>
      <c r="Q10" s="11"/>
      <c r="R10" s="36"/>
      <c r="S10" s="11"/>
      <c r="T10" s="6">
        <f t="shared" si="4"/>
        <v>0</v>
      </c>
      <c r="U10" s="52"/>
      <c r="V10" s="53"/>
      <c r="W10" s="52"/>
      <c r="X10" s="6">
        <f t="shared" si="5"/>
        <v>0</v>
      </c>
      <c r="Y10" s="52"/>
      <c r="Z10" s="53"/>
      <c r="AA10" s="52"/>
      <c r="AB10" s="6">
        <f t="shared" si="6"/>
        <v>0</v>
      </c>
      <c r="AC10" s="7">
        <f t="shared" si="7"/>
        <v>0</v>
      </c>
      <c r="AD10" s="22"/>
      <c r="AE10" s="24"/>
      <c r="AF10" s="24"/>
      <c r="AG10" s="24"/>
      <c r="AH10" s="24"/>
      <c r="AI10" s="24"/>
      <c r="AJ10" s="24"/>
      <c r="AK10" s="24"/>
      <c r="AL10" s="24"/>
      <c r="AM10" s="24"/>
      <c r="AN10" s="24"/>
      <c r="AO10" s="24"/>
      <c r="AP10" s="24"/>
      <c r="AQ10" s="24"/>
      <c r="AR10" s="24"/>
      <c r="AS10" s="24"/>
    </row>
    <row r="11" spans="1:46" x14ac:dyDescent="0.15">
      <c r="A11" s="5" t="s">
        <v>7</v>
      </c>
      <c r="B11" s="9"/>
      <c r="C11" s="35"/>
      <c r="D11" s="9"/>
      <c r="E11" s="6">
        <f t="shared" si="16"/>
        <v>0</v>
      </c>
      <c r="F11" s="9"/>
      <c r="G11" s="35"/>
      <c r="H11" s="9"/>
      <c r="I11" s="6">
        <f t="shared" si="17"/>
        <v>0</v>
      </c>
      <c r="J11" s="9"/>
      <c r="K11" s="35"/>
      <c r="L11" s="9"/>
      <c r="M11" s="6">
        <f t="shared" si="18"/>
        <v>0</v>
      </c>
      <c r="N11" s="7">
        <f t="shared" si="19"/>
        <v>0</v>
      </c>
      <c r="O11" s="22"/>
      <c r="P11" s="10" t="s">
        <v>7</v>
      </c>
      <c r="Q11" s="11"/>
      <c r="R11" s="36"/>
      <c r="S11" s="11"/>
      <c r="T11" s="6">
        <f t="shared" ref="T11" si="20">SUM(Q11:S11)</f>
        <v>0</v>
      </c>
      <c r="U11" s="52"/>
      <c r="V11" s="53"/>
      <c r="W11" s="52"/>
      <c r="X11" s="6">
        <f t="shared" ref="X11" si="21">SUM(U11:W11)</f>
        <v>0</v>
      </c>
      <c r="Y11" s="52"/>
      <c r="Z11" s="53"/>
      <c r="AA11" s="52"/>
      <c r="AB11" s="6">
        <f t="shared" ref="AB11" si="22">SUM(Y11:AA11)</f>
        <v>0</v>
      </c>
      <c r="AC11" s="7">
        <f t="shared" ref="AC11" si="23">T11+X11+AB11</f>
        <v>0</v>
      </c>
      <c r="AD11" s="22"/>
      <c r="AE11" s="22"/>
      <c r="AF11" s="22"/>
      <c r="AG11" s="22"/>
      <c r="AH11" s="22"/>
      <c r="AI11" s="22"/>
      <c r="AJ11" s="22"/>
      <c r="AK11" s="22"/>
      <c r="AL11" s="22"/>
      <c r="AM11" s="22"/>
      <c r="AN11" s="22"/>
      <c r="AO11" s="22"/>
      <c r="AP11" s="22"/>
      <c r="AQ11" s="22"/>
      <c r="AR11" s="22"/>
      <c r="AS11" s="22"/>
    </row>
    <row r="12" spans="1:46" x14ac:dyDescent="0.15">
      <c r="A12" s="5" t="s">
        <v>7</v>
      </c>
      <c r="B12" s="9"/>
      <c r="C12" s="35"/>
      <c r="D12" s="9"/>
      <c r="E12" s="6">
        <f t="shared" si="16"/>
        <v>0</v>
      </c>
      <c r="F12" s="9"/>
      <c r="G12" s="35"/>
      <c r="H12" s="9"/>
      <c r="I12" s="6">
        <f t="shared" si="17"/>
        <v>0</v>
      </c>
      <c r="J12" s="9"/>
      <c r="K12" s="35"/>
      <c r="L12" s="9"/>
      <c r="M12" s="6">
        <f t="shared" si="18"/>
        <v>0</v>
      </c>
      <c r="N12" s="7">
        <f t="shared" si="19"/>
        <v>0</v>
      </c>
      <c r="O12" s="23"/>
      <c r="P12" s="5" t="s">
        <v>7</v>
      </c>
      <c r="Q12" s="11"/>
      <c r="R12" s="36"/>
      <c r="S12" s="11"/>
      <c r="T12" s="6">
        <f t="shared" ref="T12" si="24">SUM(Q12:S12)</f>
        <v>0</v>
      </c>
      <c r="U12" s="52"/>
      <c r="V12" s="53"/>
      <c r="W12" s="52"/>
      <c r="X12" s="6">
        <f t="shared" ref="X12" si="25">SUM(U12:W12)</f>
        <v>0</v>
      </c>
      <c r="Y12" s="52"/>
      <c r="Z12" s="53"/>
      <c r="AA12" s="52"/>
      <c r="AB12" s="6">
        <f t="shared" ref="AB12" si="26">SUM(Y12:AA12)</f>
        <v>0</v>
      </c>
      <c r="AC12" s="7">
        <f t="shared" ref="AC12" si="27">T12+X12+AB12</f>
        <v>0</v>
      </c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2"/>
      <c r="AS12" s="22"/>
    </row>
    <row r="13" spans="1:46" x14ac:dyDescent="0.15">
      <c r="A13" s="5" t="s">
        <v>7</v>
      </c>
      <c r="B13" s="9"/>
      <c r="C13" s="35"/>
      <c r="D13" s="9"/>
      <c r="E13" s="6">
        <f t="shared" si="16"/>
        <v>0</v>
      </c>
      <c r="F13" s="9"/>
      <c r="G13" s="35"/>
      <c r="H13" s="9"/>
      <c r="I13" s="6">
        <f t="shared" si="17"/>
        <v>0</v>
      </c>
      <c r="J13" s="9"/>
      <c r="K13" s="35"/>
      <c r="L13" s="9"/>
      <c r="M13" s="6">
        <f t="shared" si="18"/>
        <v>0</v>
      </c>
      <c r="N13" s="7">
        <f t="shared" si="19"/>
        <v>0</v>
      </c>
      <c r="O13" s="23"/>
      <c r="P13" s="5" t="s">
        <v>7</v>
      </c>
      <c r="Q13" s="11"/>
      <c r="R13" s="36"/>
      <c r="S13" s="11"/>
      <c r="T13" s="6">
        <f t="shared" ref="T13" si="28">SUM(Q13:S13)</f>
        <v>0</v>
      </c>
      <c r="U13" s="52"/>
      <c r="V13" s="53"/>
      <c r="W13" s="52"/>
      <c r="X13" s="6">
        <f t="shared" ref="X13" si="29">SUM(U13:W13)</f>
        <v>0</v>
      </c>
      <c r="Y13" s="52"/>
      <c r="Z13" s="53"/>
      <c r="AA13" s="52"/>
      <c r="AB13" s="6">
        <f t="shared" ref="AB13" si="30">SUM(Y13:AA13)</f>
        <v>0</v>
      </c>
      <c r="AC13" s="7">
        <f t="shared" ref="AC13" si="31">T13+X13+AB13</f>
        <v>0</v>
      </c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</row>
    <row r="14" spans="1:46" ht="14.25" thickBot="1" x14ac:dyDescent="0.2">
      <c r="A14" s="10" t="s">
        <v>7</v>
      </c>
      <c r="B14" s="11"/>
      <c r="C14" s="36"/>
      <c r="D14" s="11"/>
      <c r="E14" s="6">
        <f t="shared" si="16"/>
        <v>0</v>
      </c>
      <c r="F14" s="11"/>
      <c r="G14" s="36"/>
      <c r="H14" s="11"/>
      <c r="I14" s="6">
        <f t="shared" si="17"/>
        <v>0</v>
      </c>
      <c r="J14" s="11"/>
      <c r="K14" s="36"/>
      <c r="L14" s="11"/>
      <c r="M14" s="6">
        <f t="shared" si="18"/>
        <v>0</v>
      </c>
      <c r="N14" s="7">
        <f t="shared" si="19"/>
        <v>0</v>
      </c>
      <c r="O14" s="23"/>
      <c r="P14" s="10" t="s">
        <v>7</v>
      </c>
      <c r="Q14" s="11"/>
      <c r="R14" s="36"/>
      <c r="S14" s="11"/>
      <c r="T14" s="6">
        <f t="shared" ref="T14" si="32">SUM(Q14:S14)</f>
        <v>0</v>
      </c>
      <c r="U14" s="52"/>
      <c r="V14" s="53"/>
      <c r="W14" s="52"/>
      <c r="X14" s="6">
        <f t="shared" ref="X14" si="33">SUM(U14:W14)</f>
        <v>0</v>
      </c>
      <c r="Y14" s="52"/>
      <c r="Z14" s="53"/>
      <c r="AA14" s="52"/>
      <c r="AB14" s="6">
        <f t="shared" ref="AB14" si="34">SUM(Y14:AA14)</f>
        <v>0</v>
      </c>
      <c r="AC14" s="7">
        <f t="shared" ref="AC14" si="35">T14+X14+AB14</f>
        <v>0</v>
      </c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</row>
    <row r="15" spans="1:46" ht="14.25" thickBot="1" x14ac:dyDescent="0.2">
      <c r="A15" s="12" t="s">
        <v>8</v>
      </c>
      <c r="B15" s="13">
        <f>SUM(B4:B14)</f>
        <v>21</v>
      </c>
      <c r="C15" s="37">
        <f t="shared" ref="C15:N15" si="36">SUM(C4:C14)</f>
        <v>20</v>
      </c>
      <c r="D15" s="31">
        <f t="shared" si="36"/>
        <v>21</v>
      </c>
      <c r="E15" s="14">
        <f t="shared" si="36"/>
        <v>62</v>
      </c>
      <c r="F15" s="13">
        <f t="shared" si="36"/>
        <v>21</v>
      </c>
      <c r="G15" s="37">
        <f t="shared" si="36"/>
        <v>19</v>
      </c>
      <c r="H15" s="31">
        <f t="shared" si="36"/>
        <v>21</v>
      </c>
      <c r="I15" s="14">
        <f t="shared" si="36"/>
        <v>61</v>
      </c>
      <c r="J15" s="13">
        <f t="shared" si="36"/>
        <v>21</v>
      </c>
      <c r="K15" s="37">
        <f t="shared" si="36"/>
        <v>20</v>
      </c>
      <c r="L15" s="31">
        <f t="shared" si="36"/>
        <v>20</v>
      </c>
      <c r="M15" s="14">
        <f t="shared" si="36"/>
        <v>61</v>
      </c>
      <c r="N15" s="15">
        <f t="shared" si="36"/>
        <v>184</v>
      </c>
      <c r="O15" s="24"/>
      <c r="P15" s="12" t="s">
        <v>8</v>
      </c>
      <c r="Q15" s="13">
        <f>SUM(Q4:Q14)</f>
        <v>400</v>
      </c>
      <c r="R15" s="37">
        <f t="shared" ref="R15" si="37">SUM(R4:R14)</f>
        <v>450</v>
      </c>
      <c r="S15" s="31">
        <f t="shared" ref="S15" si="38">SUM(S4:S14)</f>
        <v>250</v>
      </c>
      <c r="T15" s="14">
        <f t="shared" ref="T15" si="39">SUM(T4:T14)</f>
        <v>1100</v>
      </c>
      <c r="U15" s="13">
        <f t="shared" ref="U15" si="40">SUM(U4:U14)</f>
        <v>399</v>
      </c>
      <c r="V15" s="37">
        <f t="shared" ref="V15" si="41">SUM(V4:V14)</f>
        <v>450</v>
      </c>
      <c r="W15" s="31">
        <f t="shared" ref="W15" si="42">SUM(W4:W14)</f>
        <v>250</v>
      </c>
      <c r="X15" s="14">
        <f t="shared" ref="X15" si="43">SUM(X4:X14)</f>
        <v>1099</v>
      </c>
      <c r="Y15" s="13">
        <f t="shared" ref="Y15" si="44">SUM(Y4:Y14)</f>
        <v>400</v>
      </c>
      <c r="Z15" s="37">
        <f t="shared" ref="Z15" si="45">SUM(Z4:Z14)</f>
        <v>450</v>
      </c>
      <c r="AA15" s="31">
        <f t="shared" ref="AA15" si="46">SUM(AA4:AA14)</f>
        <v>250</v>
      </c>
      <c r="AB15" s="14">
        <f t="shared" ref="AB15" si="47">SUM(AB4:AB14)</f>
        <v>1100</v>
      </c>
      <c r="AC15" s="15">
        <f t="shared" ref="AC15" si="48">SUM(AC4:AC14)</f>
        <v>3299</v>
      </c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  <c r="AP15" s="24"/>
      <c r="AQ15" s="24"/>
      <c r="AR15" s="24"/>
      <c r="AS15" s="24"/>
    </row>
    <row r="16" spans="1:46" x14ac:dyDescent="0.15">
      <c r="A16" s="49" t="s">
        <v>39</v>
      </c>
      <c r="B16" s="16">
        <v>1</v>
      </c>
      <c r="C16" s="35"/>
      <c r="D16" s="9"/>
      <c r="E16" s="6">
        <f t="shared" ref="E16:E21" si="49">SUM(B16:D16)</f>
        <v>1</v>
      </c>
      <c r="F16" s="16">
        <v>1</v>
      </c>
      <c r="G16" s="35"/>
      <c r="H16" s="9"/>
      <c r="I16" s="6">
        <f t="shared" ref="I16:I21" si="50">SUM(F16:H16)</f>
        <v>1</v>
      </c>
      <c r="J16" s="16">
        <v>1</v>
      </c>
      <c r="K16" s="35"/>
      <c r="L16" s="9"/>
      <c r="M16" s="6">
        <f t="shared" ref="M16:M21" si="51">SUM(J16:L16)</f>
        <v>1</v>
      </c>
      <c r="N16" s="7">
        <f t="shared" ref="N16:N21" si="52">E16+I16+M16</f>
        <v>3</v>
      </c>
      <c r="O16" s="22">
        <v>45520</v>
      </c>
      <c r="P16" s="47" t="s">
        <v>34</v>
      </c>
      <c r="Q16" s="16">
        <v>6</v>
      </c>
      <c r="R16" s="35">
        <v>10</v>
      </c>
      <c r="S16" s="9">
        <v>5</v>
      </c>
      <c r="T16" s="6">
        <f t="shared" ref="T16:T26" si="53">SUM(Q16:S16)</f>
        <v>21</v>
      </c>
      <c r="U16" s="16">
        <v>6</v>
      </c>
      <c r="V16" s="35">
        <v>10</v>
      </c>
      <c r="W16" s="9">
        <v>5</v>
      </c>
      <c r="X16" s="6">
        <f t="shared" ref="X16:X26" si="54">SUM(U16:W16)</f>
        <v>21</v>
      </c>
      <c r="Y16" s="16">
        <v>6</v>
      </c>
      <c r="Z16" s="35">
        <v>10</v>
      </c>
      <c r="AA16" s="9">
        <v>5</v>
      </c>
      <c r="AB16" s="6">
        <f t="shared" ref="AB16:AB26" si="55">SUM(Y16:AA16)</f>
        <v>21</v>
      </c>
      <c r="AC16" s="7">
        <f t="shared" ref="AC16:AC26" si="56">T16+X16+AB16</f>
        <v>63</v>
      </c>
      <c r="AD16" s="26">
        <v>45523</v>
      </c>
      <c r="AE16" s="30"/>
      <c r="AF16" s="26"/>
      <c r="AG16" s="26"/>
      <c r="AH16" s="26"/>
      <c r="AI16" s="26"/>
      <c r="AJ16" s="26"/>
      <c r="AK16" s="26"/>
      <c r="AL16" s="26"/>
      <c r="AM16" s="26"/>
      <c r="AN16" s="26"/>
      <c r="AO16" s="26"/>
      <c r="AP16" s="26"/>
      <c r="AQ16" s="26"/>
      <c r="AR16" s="26"/>
      <c r="AS16" s="26"/>
      <c r="AT16" s="8"/>
    </row>
    <row r="17" spans="1:45" x14ac:dyDescent="0.15">
      <c r="A17" s="49" t="s">
        <v>45</v>
      </c>
      <c r="B17" s="16">
        <v>1</v>
      </c>
      <c r="C17" s="35">
        <v>1</v>
      </c>
      <c r="D17" s="9">
        <v>1</v>
      </c>
      <c r="E17" s="6">
        <f t="shared" si="49"/>
        <v>3</v>
      </c>
      <c r="F17" s="16">
        <v>1</v>
      </c>
      <c r="G17" s="35">
        <v>1</v>
      </c>
      <c r="H17" s="9">
        <v>1</v>
      </c>
      <c r="I17" s="6">
        <f t="shared" si="50"/>
        <v>3</v>
      </c>
      <c r="J17" s="16">
        <v>1</v>
      </c>
      <c r="K17" s="35">
        <v>1</v>
      </c>
      <c r="L17" s="9">
        <v>1</v>
      </c>
      <c r="M17" s="6">
        <f t="shared" si="51"/>
        <v>3</v>
      </c>
      <c r="N17" s="7">
        <f t="shared" si="52"/>
        <v>9</v>
      </c>
      <c r="O17" s="22">
        <v>45520</v>
      </c>
      <c r="P17" s="47" t="s">
        <v>46</v>
      </c>
      <c r="Q17" s="16">
        <v>5</v>
      </c>
      <c r="R17" s="35">
        <v>5</v>
      </c>
      <c r="S17" s="9">
        <v>5</v>
      </c>
      <c r="T17" s="6">
        <f t="shared" si="53"/>
        <v>15</v>
      </c>
      <c r="U17" s="16">
        <v>5</v>
      </c>
      <c r="V17" s="35">
        <v>5</v>
      </c>
      <c r="W17" s="9">
        <v>5</v>
      </c>
      <c r="X17" s="6">
        <f t="shared" si="54"/>
        <v>15</v>
      </c>
      <c r="Y17" s="16">
        <v>5</v>
      </c>
      <c r="Z17" s="35">
        <v>5</v>
      </c>
      <c r="AA17" s="9">
        <v>5</v>
      </c>
      <c r="AB17" s="6">
        <f t="shared" si="55"/>
        <v>15</v>
      </c>
      <c r="AC17" s="7">
        <f t="shared" si="56"/>
        <v>45</v>
      </c>
      <c r="AD17" s="26">
        <v>45514</v>
      </c>
      <c r="AE17" s="30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2"/>
      <c r="AS17" s="22"/>
    </row>
    <row r="18" spans="1:45" x14ac:dyDescent="0.15">
      <c r="A18" s="49" t="s">
        <v>59</v>
      </c>
      <c r="B18" s="16">
        <v>1</v>
      </c>
      <c r="C18" s="35"/>
      <c r="D18" s="9"/>
      <c r="E18" s="6">
        <f t="shared" si="49"/>
        <v>1</v>
      </c>
      <c r="F18" s="16">
        <v>1</v>
      </c>
      <c r="G18" s="35"/>
      <c r="H18" s="9"/>
      <c r="I18" s="6">
        <f t="shared" si="50"/>
        <v>1</v>
      </c>
      <c r="J18" s="16">
        <v>1</v>
      </c>
      <c r="K18" s="35"/>
      <c r="L18" s="9"/>
      <c r="M18" s="6">
        <f t="shared" si="51"/>
        <v>1</v>
      </c>
      <c r="N18" s="7">
        <f t="shared" si="52"/>
        <v>3</v>
      </c>
      <c r="O18" s="22">
        <v>45539</v>
      </c>
      <c r="P18" s="47" t="s">
        <v>50</v>
      </c>
      <c r="Q18" s="16">
        <v>18</v>
      </c>
      <c r="R18" s="35">
        <v>16</v>
      </c>
      <c r="S18" s="9">
        <v>16</v>
      </c>
      <c r="T18" s="6">
        <f t="shared" ref="T18" si="57">SUM(Q18:S18)</f>
        <v>50</v>
      </c>
      <c r="U18" s="16">
        <v>18</v>
      </c>
      <c r="V18" s="35">
        <v>16</v>
      </c>
      <c r="W18" s="9">
        <v>16</v>
      </c>
      <c r="X18" s="6">
        <f t="shared" ref="X18" si="58">SUM(U18:W18)</f>
        <v>50</v>
      </c>
      <c r="Y18" s="16">
        <v>18</v>
      </c>
      <c r="Z18" s="35">
        <v>16</v>
      </c>
      <c r="AA18" s="9">
        <v>16</v>
      </c>
      <c r="AB18" s="6">
        <f t="shared" ref="AB18" si="59">SUM(Y18:AA18)</f>
        <v>50</v>
      </c>
      <c r="AC18" s="7">
        <f t="shared" ref="AC18" si="60">T18+X18+AB18</f>
        <v>150</v>
      </c>
      <c r="AD18" s="26">
        <v>45545</v>
      </c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2"/>
      <c r="AS18" s="22"/>
    </row>
    <row r="19" spans="1:45" x14ac:dyDescent="0.15">
      <c r="A19" s="49" t="s">
        <v>56</v>
      </c>
      <c r="B19" s="16"/>
      <c r="C19" s="35"/>
      <c r="D19" s="9"/>
      <c r="E19" s="6">
        <f t="shared" si="49"/>
        <v>0</v>
      </c>
      <c r="F19" s="16"/>
      <c r="G19" s="35"/>
      <c r="H19" s="9"/>
      <c r="I19" s="6">
        <f t="shared" si="50"/>
        <v>0</v>
      </c>
      <c r="J19" s="16"/>
      <c r="K19" s="35"/>
      <c r="L19" s="9">
        <v>1</v>
      </c>
      <c r="M19" s="6">
        <f t="shared" si="51"/>
        <v>1</v>
      </c>
      <c r="N19" s="7">
        <f t="shared" si="52"/>
        <v>1</v>
      </c>
      <c r="O19" s="22">
        <v>45537</v>
      </c>
      <c r="P19" s="47" t="s">
        <v>46</v>
      </c>
      <c r="Q19" s="16">
        <v>5</v>
      </c>
      <c r="R19" s="35"/>
      <c r="S19" s="9">
        <v>5</v>
      </c>
      <c r="T19" s="6">
        <f t="shared" si="53"/>
        <v>10</v>
      </c>
      <c r="U19" s="16">
        <v>5</v>
      </c>
      <c r="V19" s="35"/>
      <c r="W19" s="9">
        <v>5</v>
      </c>
      <c r="X19" s="6">
        <f t="shared" si="54"/>
        <v>10</v>
      </c>
      <c r="Y19" s="16">
        <v>5</v>
      </c>
      <c r="Z19" s="35"/>
      <c r="AA19" s="9">
        <v>5</v>
      </c>
      <c r="AB19" s="6">
        <f t="shared" si="55"/>
        <v>10</v>
      </c>
      <c r="AC19" s="7">
        <f t="shared" si="56"/>
        <v>30</v>
      </c>
      <c r="AD19" s="26">
        <v>45521</v>
      </c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</row>
    <row r="20" spans="1:45" x14ac:dyDescent="0.15">
      <c r="A20" s="49" t="s">
        <v>58</v>
      </c>
      <c r="B20" s="16">
        <v>1</v>
      </c>
      <c r="C20" s="35"/>
      <c r="D20" s="9"/>
      <c r="E20" s="6">
        <f t="shared" si="49"/>
        <v>1</v>
      </c>
      <c r="F20" s="16">
        <v>1</v>
      </c>
      <c r="G20" s="35"/>
      <c r="H20" s="9"/>
      <c r="I20" s="6">
        <f t="shared" si="50"/>
        <v>1</v>
      </c>
      <c r="J20" s="16">
        <v>1</v>
      </c>
      <c r="K20" s="35"/>
      <c r="L20" s="9"/>
      <c r="M20" s="6">
        <f t="shared" si="51"/>
        <v>1</v>
      </c>
      <c r="N20" s="7">
        <f t="shared" si="52"/>
        <v>3</v>
      </c>
      <c r="O20" s="22">
        <v>45539</v>
      </c>
      <c r="P20" s="47" t="s">
        <v>54</v>
      </c>
      <c r="Q20" s="16">
        <v>8</v>
      </c>
      <c r="R20" s="35">
        <v>10</v>
      </c>
      <c r="S20" s="9">
        <v>8</v>
      </c>
      <c r="T20" s="6">
        <f t="shared" si="53"/>
        <v>26</v>
      </c>
      <c r="U20" s="16">
        <v>8</v>
      </c>
      <c r="V20" s="35">
        <v>10</v>
      </c>
      <c r="W20" s="9">
        <v>8</v>
      </c>
      <c r="X20" s="6">
        <f t="shared" si="54"/>
        <v>26</v>
      </c>
      <c r="Y20" s="16">
        <v>8</v>
      </c>
      <c r="Z20" s="35">
        <v>10</v>
      </c>
      <c r="AA20" s="9">
        <v>8</v>
      </c>
      <c r="AB20" s="6">
        <f t="shared" si="55"/>
        <v>26</v>
      </c>
      <c r="AC20" s="7">
        <f t="shared" si="56"/>
        <v>78</v>
      </c>
      <c r="AD20" s="26">
        <v>45534</v>
      </c>
      <c r="AE20" s="30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</row>
    <row r="21" spans="1:45" x14ac:dyDescent="0.15">
      <c r="A21" s="49" t="s">
        <v>56</v>
      </c>
      <c r="B21" s="16"/>
      <c r="C21" s="35"/>
      <c r="D21" s="9">
        <v>2</v>
      </c>
      <c r="E21" s="6">
        <f t="shared" si="49"/>
        <v>2</v>
      </c>
      <c r="F21" s="16"/>
      <c r="G21" s="35"/>
      <c r="H21" s="9"/>
      <c r="I21" s="6">
        <f t="shared" si="50"/>
        <v>0</v>
      </c>
      <c r="J21" s="16"/>
      <c r="K21" s="35"/>
      <c r="L21" s="9"/>
      <c r="M21" s="6">
        <f t="shared" si="51"/>
        <v>0</v>
      </c>
      <c r="N21" s="7">
        <f t="shared" si="52"/>
        <v>2</v>
      </c>
      <c r="O21" s="22">
        <v>45541</v>
      </c>
      <c r="P21" s="47" t="s">
        <v>55</v>
      </c>
      <c r="Q21" s="16">
        <v>5</v>
      </c>
      <c r="R21" s="35">
        <v>10</v>
      </c>
      <c r="S21" s="9"/>
      <c r="T21" s="6">
        <f t="shared" si="53"/>
        <v>15</v>
      </c>
      <c r="U21" s="16">
        <v>5</v>
      </c>
      <c r="V21" s="35">
        <v>10</v>
      </c>
      <c r="W21" s="9"/>
      <c r="X21" s="6">
        <f t="shared" si="54"/>
        <v>15</v>
      </c>
      <c r="Y21" s="16">
        <v>5</v>
      </c>
      <c r="Z21" s="35">
        <v>10</v>
      </c>
      <c r="AA21" s="9"/>
      <c r="AB21" s="6">
        <f t="shared" si="55"/>
        <v>15</v>
      </c>
      <c r="AC21" s="7">
        <f t="shared" si="56"/>
        <v>45</v>
      </c>
      <c r="AD21" s="26">
        <v>45554</v>
      </c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</row>
    <row r="22" spans="1:45" x14ac:dyDescent="0.15">
      <c r="A22" s="49" t="s">
        <v>60</v>
      </c>
      <c r="B22" s="16">
        <v>1</v>
      </c>
      <c r="C22" s="35">
        <v>1</v>
      </c>
      <c r="D22" s="9"/>
      <c r="E22" s="6">
        <f t="shared" ref="E22:E38" si="61">SUM(B22:D22)</f>
        <v>2</v>
      </c>
      <c r="F22" s="16">
        <v>1</v>
      </c>
      <c r="G22" s="35">
        <v>1</v>
      </c>
      <c r="H22" s="9"/>
      <c r="I22" s="6">
        <f t="shared" ref="I22:I39" si="62">SUM(F22:H22)</f>
        <v>2</v>
      </c>
      <c r="J22" s="16">
        <v>1</v>
      </c>
      <c r="K22" s="35">
        <v>1</v>
      </c>
      <c r="L22" s="9"/>
      <c r="M22" s="6">
        <f t="shared" ref="M22:M39" si="63">SUM(J22:L22)</f>
        <v>2</v>
      </c>
      <c r="N22" s="7">
        <f t="shared" ref="N22:N39" si="64">E22+I22+M22</f>
        <v>6</v>
      </c>
      <c r="O22" s="22">
        <v>45544</v>
      </c>
      <c r="P22" s="47" t="s">
        <v>120</v>
      </c>
      <c r="Q22" s="16">
        <v>2</v>
      </c>
      <c r="R22" s="35">
        <v>2</v>
      </c>
      <c r="S22" s="9">
        <v>2</v>
      </c>
      <c r="T22" s="6">
        <f t="shared" si="53"/>
        <v>6</v>
      </c>
      <c r="U22" s="16">
        <v>2</v>
      </c>
      <c r="V22" s="35">
        <v>2</v>
      </c>
      <c r="W22" s="9">
        <v>2</v>
      </c>
      <c r="X22" s="6">
        <f t="shared" si="54"/>
        <v>6</v>
      </c>
      <c r="Y22" s="16">
        <v>2</v>
      </c>
      <c r="Z22" s="35">
        <v>2</v>
      </c>
      <c r="AA22" s="9">
        <v>2</v>
      </c>
      <c r="AB22" s="6">
        <f t="shared" si="55"/>
        <v>6</v>
      </c>
      <c r="AC22" s="7">
        <f t="shared" si="56"/>
        <v>18</v>
      </c>
      <c r="AD22" s="26">
        <v>45553</v>
      </c>
      <c r="AE22" s="30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</row>
    <row r="23" spans="1:45" x14ac:dyDescent="0.15">
      <c r="A23" s="49" t="s">
        <v>56</v>
      </c>
      <c r="B23" s="16"/>
      <c r="C23" s="35">
        <v>1</v>
      </c>
      <c r="D23" s="9"/>
      <c r="E23" s="6">
        <f t="shared" si="61"/>
        <v>1</v>
      </c>
      <c r="F23" s="16"/>
      <c r="G23" s="35">
        <v>1</v>
      </c>
      <c r="H23" s="9"/>
      <c r="I23" s="6">
        <f t="shared" si="62"/>
        <v>1</v>
      </c>
      <c r="J23" s="16"/>
      <c r="K23" s="35">
        <v>1</v>
      </c>
      <c r="L23" s="9"/>
      <c r="M23" s="6">
        <f t="shared" si="63"/>
        <v>1</v>
      </c>
      <c r="N23" s="7">
        <f t="shared" si="64"/>
        <v>3</v>
      </c>
      <c r="O23" s="22">
        <v>45544</v>
      </c>
      <c r="P23" s="47" t="s">
        <v>46</v>
      </c>
      <c r="Q23" s="16"/>
      <c r="R23" s="35">
        <v>5</v>
      </c>
      <c r="S23" s="9"/>
      <c r="T23" s="6">
        <f t="shared" si="53"/>
        <v>5</v>
      </c>
      <c r="U23" s="16"/>
      <c r="V23" s="35">
        <v>5</v>
      </c>
      <c r="W23" s="9"/>
      <c r="X23" s="6">
        <f t="shared" si="54"/>
        <v>5</v>
      </c>
      <c r="Y23" s="16"/>
      <c r="Z23" s="35">
        <v>5</v>
      </c>
      <c r="AA23" s="9"/>
      <c r="AB23" s="6">
        <f t="shared" si="55"/>
        <v>5</v>
      </c>
      <c r="AC23" s="7">
        <f t="shared" si="56"/>
        <v>15</v>
      </c>
      <c r="AD23" s="26">
        <v>45545</v>
      </c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</row>
    <row r="24" spans="1:45" x14ac:dyDescent="0.15">
      <c r="A24" s="49" t="s">
        <v>62</v>
      </c>
      <c r="B24" s="16">
        <v>1</v>
      </c>
      <c r="C24" s="35"/>
      <c r="D24" s="9"/>
      <c r="E24" s="6">
        <f t="shared" si="61"/>
        <v>1</v>
      </c>
      <c r="F24" s="16">
        <v>1</v>
      </c>
      <c r="G24" s="35"/>
      <c r="H24" s="9"/>
      <c r="I24" s="6">
        <f t="shared" si="62"/>
        <v>1</v>
      </c>
      <c r="J24" s="16">
        <v>1</v>
      </c>
      <c r="K24" s="35"/>
      <c r="L24" s="9"/>
      <c r="M24" s="6">
        <f t="shared" si="63"/>
        <v>1</v>
      </c>
      <c r="N24" s="7">
        <f t="shared" si="64"/>
        <v>3</v>
      </c>
      <c r="O24" s="22">
        <v>45553</v>
      </c>
      <c r="P24" s="47" t="s">
        <v>64</v>
      </c>
      <c r="Q24" s="16">
        <v>25</v>
      </c>
      <c r="R24" s="35">
        <v>40</v>
      </c>
      <c r="S24" s="9">
        <v>30</v>
      </c>
      <c r="T24" s="6">
        <f t="shared" si="53"/>
        <v>95</v>
      </c>
      <c r="U24" s="16">
        <v>25</v>
      </c>
      <c r="V24" s="35">
        <v>35</v>
      </c>
      <c r="W24" s="9">
        <v>30</v>
      </c>
      <c r="X24" s="6">
        <f t="shared" si="54"/>
        <v>90</v>
      </c>
      <c r="Y24" s="16">
        <v>20</v>
      </c>
      <c r="Z24" s="35">
        <v>25</v>
      </c>
      <c r="AA24" s="9">
        <v>25</v>
      </c>
      <c r="AB24" s="6">
        <f t="shared" si="55"/>
        <v>70</v>
      </c>
      <c r="AC24" s="7">
        <f t="shared" si="56"/>
        <v>255</v>
      </c>
      <c r="AD24" s="26">
        <v>45561</v>
      </c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</row>
    <row r="25" spans="1:45" x14ac:dyDescent="0.15">
      <c r="A25" s="49" t="s">
        <v>56</v>
      </c>
      <c r="B25" s="16"/>
      <c r="C25" s="35"/>
      <c r="D25" s="9">
        <v>1</v>
      </c>
      <c r="E25" s="6">
        <f t="shared" si="61"/>
        <v>1</v>
      </c>
      <c r="F25" s="16"/>
      <c r="G25" s="35"/>
      <c r="H25" s="9">
        <v>1</v>
      </c>
      <c r="I25" s="6">
        <f t="shared" si="62"/>
        <v>1</v>
      </c>
      <c r="J25" s="16"/>
      <c r="K25" s="35"/>
      <c r="L25" s="9">
        <v>1</v>
      </c>
      <c r="M25" s="6">
        <f t="shared" si="63"/>
        <v>1</v>
      </c>
      <c r="N25" s="7">
        <f t="shared" si="64"/>
        <v>3</v>
      </c>
      <c r="O25" s="22">
        <v>45553</v>
      </c>
      <c r="P25" s="47" t="s">
        <v>65</v>
      </c>
      <c r="Q25" s="16">
        <v>2</v>
      </c>
      <c r="R25" s="35">
        <v>2</v>
      </c>
      <c r="S25" s="9">
        <v>6</v>
      </c>
      <c r="T25" s="6">
        <f t="shared" si="53"/>
        <v>10</v>
      </c>
      <c r="U25" s="16">
        <v>2</v>
      </c>
      <c r="V25" s="35">
        <v>2</v>
      </c>
      <c r="W25" s="9">
        <v>6</v>
      </c>
      <c r="X25" s="6">
        <f t="shared" si="54"/>
        <v>10</v>
      </c>
      <c r="Y25" s="16">
        <v>2</v>
      </c>
      <c r="Z25" s="35">
        <v>2</v>
      </c>
      <c r="AA25" s="9">
        <v>6</v>
      </c>
      <c r="AB25" s="6">
        <f t="shared" si="55"/>
        <v>10</v>
      </c>
      <c r="AC25" s="7">
        <f t="shared" si="56"/>
        <v>30</v>
      </c>
      <c r="AD25" s="26">
        <v>45559</v>
      </c>
      <c r="AE25" s="22"/>
      <c r="AF25" s="22"/>
      <c r="AG25" s="22"/>
      <c r="AH25" s="22"/>
      <c r="AI25" s="22"/>
      <c r="AJ25" s="22"/>
      <c r="AK25" s="22"/>
      <c r="AL25" s="22"/>
      <c r="AM25" s="22"/>
      <c r="AN25" s="22"/>
      <c r="AO25" s="22"/>
      <c r="AP25" s="22"/>
      <c r="AQ25" s="22"/>
      <c r="AR25" s="22"/>
      <c r="AS25" s="22"/>
    </row>
    <row r="26" spans="1:45" x14ac:dyDescent="0.15">
      <c r="A26" s="49" t="s">
        <v>66</v>
      </c>
      <c r="B26" s="16"/>
      <c r="C26" s="35"/>
      <c r="D26" s="9"/>
      <c r="E26" s="6">
        <f t="shared" si="61"/>
        <v>0</v>
      </c>
      <c r="F26" s="16"/>
      <c r="G26" s="35"/>
      <c r="H26" s="9"/>
      <c r="I26" s="6">
        <f t="shared" si="62"/>
        <v>0</v>
      </c>
      <c r="J26" s="16"/>
      <c r="K26" s="35">
        <v>1</v>
      </c>
      <c r="L26" s="9"/>
      <c r="M26" s="6">
        <f t="shared" si="63"/>
        <v>1</v>
      </c>
      <c r="N26" s="7">
        <f t="shared" si="64"/>
        <v>1</v>
      </c>
      <c r="O26" s="26">
        <v>45560</v>
      </c>
      <c r="P26" s="47" t="s">
        <v>46</v>
      </c>
      <c r="Q26" s="16">
        <v>10</v>
      </c>
      <c r="R26" s="35">
        <v>10</v>
      </c>
      <c r="S26" s="9">
        <v>10</v>
      </c>
      <c r="T26" s="6">
        <f t="shared" si="53"/>
        <v>30</v>
      </c>
      <c r="U26" s="16">
        <v>10</v>
      </c>
      <c r="V26" s="35">
        <v>10</v>
      </c>
      <c r="W26" s="9">
        <v>10</v>
      </c>
      <c r="X26" s="6">
        <f t="shared" si="54"/>
        <v>30</v>
      </c>
      <c r="Y26" s="16">
        <v>10</v>
      </c>
      <c r="Z26" s="35">
        <v>10</v>
      </c>
      <c r="AA26" s="9">
        <v>10</v>
      </c>
      <c r="AB26" s="6">
        <f t="shared" si="55"/>
        <v>30</v>
      </c>
      <c r="AC26" s="7">
        <f t="shared" si="56"/>
        <v>90</v>
      </c>
      <c r="AD26" s="26">
        <v>45570</v>
      </c>
      <c r="AE26" s="22"/>
      <c r="AF26" s="22"/>
      <c r="AG26" s="22"/>
      <c r="AH26" s="22"/>
      <c r="AI26" s="22"/>
      <c r="AJ26" s="22"/>
      <c r="AK26" s="22"/>
      <c r="AL26" s="22"/>
      <c r="AM26" s="22"/>
      <c r="AN26" s="22"/>
      <c r="AO26" s="22"/>
      <c r="AP26" s="22"/>
      <c r="AQ26" s="22"/>
      <c r="AR26" s="22"/>
      <c r="AS26" s="22"/>
    </row>
    <row r="27" spans="1:45" x14ac:dyDescent="0.15">
      <c r="A27" s="49" t="s">
        <v>67</v>
      </c>
      <c r="B27" s="16">
        <v>1</v>
      </c>
      <c r="C27" s="35"/>
      <c r="D27" s="9"/>
      <c r="E27" s="6">
        <f t="shared" si="61"/>
        <v>1</v>
      </c>
      <c r="F27" s="16">
        <v>1</v>
      </c>
      <c r="G27" s="35"/>
      <c r="H27" s="9"/>
      <c r="I27" s="6">
        <f t="shared" si="62"/>
        <v>1</v>
      </c>
      <c r="J27" s="16">
        <v>1</v>
      </c>
      <c r="K27" s="35"/>
      <c r="L27" s="9"/>
      <c r="M27" s="6">
        <f t="shared" si="63"/>
        <v>1</v>
      </c>
      <c r="N27" s="7">
        <f t="shared" si="64"/>
        <v>3</v>
      </c>
      <c r="O27" s="22">
        <v>45561</v>
      </c>
      <c r="P27" s="47"/>
      <c r="Q27" s="16"/>
      <c r="R27" s="35"/>
      <c r="S27" s="9"/>
      <c r="T27" s="6">
        <f t="shared" ref="T27:T33" si="65">SUM(Q27:S27)</f>
        <v>0</v>
      </c>
      <c r="U27" s="16"/>
      <c r="V27" s="35"/>
      <c r="W27" s="9"/>
      <c r="X27" s="6">
        <f t="shared" ref="X27:X33" si="66">SUM(U27:W27)</f>
        <v>0</v>
      </c>
      <c r="Y27" s="16"/>
      <c r="Z27" s="35"/>
      <c r="AA27" s="9"/>
      <c r="AB27" s="6">
        <f t="shared" ref="AB27:AB33" si="67">SUM(Y27:AA27)</f>
        <v>0</v>
      </c>
      <c r="AC27" s="7">
        <f t="shared" ref="AC27:AC33" si="68">T27+X27+AB27</f>
        <v>0</v>
      </c>
      <c r="AD27" s="26"/>
      <c r="AE27" s="22"/>
      <c r="AF27" s="22"/>
      <c r="AG27" s="22"/>
      <c r="AH27" s="22"/>
      <c r="AI27" s="22"/>
      <c r="AJ27" s="22"/>
      <c r="AK27" s="22"/>
      <c r="AL27" s="22"/>
      <c r="AM27" s="22"/>
      <c r="AN27" s="22"/>
      <c r="AO27" s="22"/>
      <c r="AP27" s="22"/>
      <c r="AQ27" s="22"/>
      <c r="AR27" s="22"/>
      <c r="AS27" s="22"/>
    </row>
    <row r="28" spans="1:45" x14ac:dyDescent="0.15">
      <c r="A28" s="49" t="s">
        <v>56</v>
      </c>
      <c r="B28" s="16"/>
      <c r="C28" s="35"/>
      <c r="D28" s="9"/>
      <c r="E28" s="6">
        <f t="shared" si="61"/>
        <v>0</v>
      </c>
      <c r="F28" s="16"/>
      <c r="G28" s="35"/>
      <c r="H28" s="9"/>
      <c r="I28" s="6">
        <f t="shared" si="62"/>
        <v>0</v>
      </c>
      <c r="J28" s="16"/>
      <c r="K28" s="35">
        <v>1</v>
      </c>
      <c r="L28" s="9"/>
      <c r="M28" s="6">
        <f t="shared" si="63"/>
        <v>1</v>
      </c>
      <c r="N28" s="7">
        <f t="shared" si="64"/>
        <v>1</v>
      </c>
      <c r="O28" s="22">
        <v>45566</v>
      </c>
      <c r="P28" s="47"/>
      <c r="Q28" s="16"/>
      <c r="R28" s="35"/>
      <c r="S28" s="9"/>
      <c r="T28" s="6">
        <f t="shared" si="65"/>
        <v>0</v>
      </c>
      <c r="U28" s="16"/>
      <c r="V28" s="35"/>
      <c r="W28" s="9"/>
      <c r="X28" s="6">
        <f t="shared" si="66"/>
        <v>0</v>
      </c>
      <c r="Y28" s="16"/>
      <c r="Z28" s="35"/>
      <c r="AA28" s="9"/>
      <c r="AB28" s="6">
        <f t="shared" si="67"/>
        <v>0</v>
      </c>
      <c r="AC28" s="7">
        <f t="shared" si="68"/>
        <v>0</v>
      </c>
      <c r="AD28" s="26"/>
      <c r="AE28" s="22"/>
      <c r="AF28" s="22"/>
      <c r="AG28" s="22"/>
      <c r="AH28" s="22"/>
      <c r="AI28" s="22"/>
      <c r="AJ28" s="22"/>
      <c r="AK28" s="22"/>
      <c r="AL28" s="22"/>
      <c r="AM28" s="22"/>
      <c r="AN28" s="22"/>
      <c r="AO28" s="22"/>
      <c r="AP28" s="22"/>
      <c r="AQ28" s="22"/>
      <c r="AR28" s="22"/>
      <c r="AS28" s="22"/>
    </row>
    <row r="29" spans="1:45" x14ac:dyDescent="0.15">
      <c r="A29" s="49" t="s">
        <v>70</v>
      </c>
      <c r="B29" s="16">
        <v>1</v>
      </c>
      <c r="C29" s="35">
        <v>1</v>
      </c>
      <c r="D29" s="9">
        <v>1</v>
      </c>
      <c r="E29" s="6">
        <f t="shared" si="61"/>
        <v>3</v>
      </c>
      <c r="F29" s="16">
        <v>1</v>
      </c>
      <c r="G29" s="35">
        <v>1</v>
      </c>
      <c r="H29" s="9">
        <v>1</v>
      </c>
      <c r="I29" s="6">
        <f t="shared" si="62"/>
        <v>3</v>
      </c>
      <c r="J29" s="16">
        <v>1</v>
      </c>
      <c r="K29" s="35">
        <v>1</v>
      </c>
      <c r="L29" s="9">
        <v>1</v>
      </c>
      <c r="M29" s="6">
        <f t="shared" si="63"/>
        <v>3</v>
      </c>
      <c r="N29" s="7">
        <f t="shared" si="64"/>
        <v>9</v>
      </c>
      <c r="O29" s="22">
        <v>45567</v>
      </c>
      <c r="P29" s="47"/>
      <c r="Q29" s="16"/>
      <c r="R29" s="35"/>
      <c r="S29" s="9"/>
      <c r="T29" s="6">
        <f t="shared" si="65"/>
        <v>0</v>
      </c>
      <c r="U29" s="16"/>
      <c r="V29" s="35"/>
      <c r="W29" s="9"/>
      <c r="X29" s="6">
        <f t="shared" si="66"/>
        <v>0</v>
      </c>
      <c r="Y29" s="16"/>
      <c r="Z29" s="35"/>
      <c r="AA29" s="9"/>
      <c r="AB29" s="6">
        <f t="shared" si="67"/>
        <v>0</v>
      </c>
      <c r="AC29" s="7">
        <f t="shared" si="68"/>
        <v>0</v>
      </c>
      <c r="AD29" s="26"/>
      <c r="AE29" s="22"/>
      <c r="AF29" s="22"/>
      <c r="AG29" s="22"/>
      <c r="AH29" s="22"/>
      <c r="AI29" s="22"/>
      <c r="AJ29" s="22"/>
      <c r="AK29" s="22"/>
      <c r="AL29" s="22"/>
      <c r="AM29" s="22"/>
      <c r="AN29" s="22"/>
      <c r="AO29" s="22"/>
      <c r="AP29" s="22"/>
      <c r="AQ29" s="22"/>
      <c r="AR29" s="22"/>
      <c r="AS29" s="22"/>
    </row>
    <row r="30" spans="1:45" x14ac:dyDescent="0.15">
      <c r="A30" s="49" t="s">
        <v>71</v>
      </c>
      <c r="B30" s="16"/>
      <c r="C30" s="35"/>
      <c r="D30" s="9"/>
      <c r="E30" s="6">
        <f t="shared" si="61"/>
        <v>0</v>
      </c>
      <c r="F30" s="16"/>
      <c r="G30" s="35"/>
      <c r="H30" s="9">
        <v>1</v>
      </c>
      <c r="I30" s="6">
        <f t="shared" si="62"/>
        <v>1</v>
      </c>
      <c r="J30" s="16"/>
      <c r="K30" s="35"/>
      <c r="L30" s="9"/>
      <c r="M30" s="6">
        <f t="shared" si="63"/>
        <v>0</v>
      </c>
      <c r="N30" s="7">
        <f t="shared" si="64"/>
        <v>1</v>
      </c>
      <c r="O30" s="22">
        <v>45567</v>
      </c>
      <c r="P30" s="47"/>
      <c r="Q30" s="16"/>
      <c r="R30" s="35"/>
      <c r="S30" s="9"/>
      <c r="T30" s="6">
        <f t="shared" si="65"/>
        <v>0</v>
      </c>
      <c r="U30" s="16"/>
      <c r="V30" s="35"/>
      <c r="W30" s="9"/>
      <c r="X30" s="6">
        <f t="shared" si="66"/>
        <v>0</v>
      </c>
      <c r="Y30" s="16"/>
      <c r="Z30" s="35"/>
      <c r="AA30" s="9"/>
      <c r="AB30" s="6">
        <f t="shared" si="67"/>
        <v>0</v>
      </c>
      <c r="AC30" s="7">
        <f t="shared" si="68"/>
        <v>0</v>
      </c>
      <c r="AD30" s="26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2"/>
      <c r="AS30" s="22"/>
    </row>
    <row r="31" spans="1:45" x14ac:dyDescent="0.15">
      <c r="A31" s="49" t="s">
        <v>56</v>
      </c>
      <c r="B31" s="16"/>
      <c r="C31" s="35">
        <v>1</v>
      </c>
      <c r="D31" s="9"/>
      <c r="E31" s="6">
        <f t="shared" si="61"/>
        <v>1</v>
      </c>
      <c r="F31" s="16"/>
      <c r="G31" s="35">
        <v>1</v>
      </c>
      <c r="H31" s="9"/>
      <c r="I31" s="6">
        <f t="shared" si="62"/>
        <v>1</v>
      </c>
      <c r="J31" s="16"/>
      <c r="K31" s="35"/>
      <c r="L31" s="9"/>
      <c r="M31" s="6">
        <f t="shared" si="63"/>
        <v>0</v>
      </c>
      <c r="N31" s="7">
        <f t="shared" si="64"/>
        <v>2</v>
      </c>
      <c r="O31" s="22">
        <v>45570</v>
      </c>
      <c r="P31" s="47"/>
      <c r="Q31" s="16"/>
      <c r="R31" s="35"/>
      <c r="S31" s="9"/>
      <c r="T31" s="6">
        <f t="shared" si="65"/>
        <v>0</v>
      </c>
      <c r="U31" s="16"/>
      <c r="V31" s="35"/>
      <c r="W31" s="9"/>
      <c r="X31" s="6">
        <f t="shared" si="66"/>
        <v>0</v>
      </c>
      <c r="Y31" s="16"/>
      <c r="Z31" s="35"/>
      <c r="AA31" s="9"/>
      <c r="AB31" s="6">
        <f t="shared" si="67"/>
        <v>0</v>
      </c>
      <c r="AC31" s="7">
        <f t="shared" si="68"/>
        <v>0</v>
      </c>
      <c r="AD31" s="26"/>
      <c r="AE31" s="22"/>
      <c r="AF31" s="22"/>
      <c r="AG31" s="22"/>
      <c r="AH31" s="22"/>
      <c r="AI31" s="22"/>
      <c r="AJ31" s="22"/>
      <c r="AK31" s="22"/>
      <c r="AL31" s="22"/>
      <c r="AM31" s="22"/>
      <c r="AN31" s="22"/>
      <c r="AO31" s="22"/>
      <c r="AP31" s="22"/>
      <c r="AQ31" s="22"/>
      <c r="AR31" s="22"/>
      <c r="AS31" s="22"/>
    </row>
    <row r="32" spans="1:45" x14ac:dyDescent="0.15">
      <c r="A32" s="49"/>
      <c r="B32" s="16"/>
      <c r="C32" s="35"/>
      <c r="D32" s="9"/>
      <c r="E32" s="6">
        <f t="shared" si="61"/>
        <v>0</v>
      </c>
      <c r="F32" s="16"/>
      <c r="G32" s="35"/>
      <c r="H32" s="9"/>
      <c r="I32" s="6">
        <f t="shared" si="62"/>
        <v>0</v>
      </c>
      <c r="J32" s="16"/>
      <c r="K32" s="35"/>
      <c r="L32" s="9"/>
      <c r="M32" s="6">
        <f t="shared" si="63"/>
        <v>0</v>
      </c>
      <c r="N32" s="7">
        <f t="shared" si="64"/>
        <v>0</v>
      </c>
      <c r="O32" s="22"/>
      <c r="P32" s="47"/>
      <c r="Q32" s="16"/>
      <c r="R32" s="35"/>
      <c r="S32" s="9"/>
      <c r="T32" s="6">
        <f t="shared" si="65"/>
        <v>0</v>
      </c>
      <c r="U32" s="16"/>
      <c r="V32" s="35"/>
      <c r="W32" s="9"/>
      <c r="X32" s="6">
        <f t="shared" si="66"/>
        <v>0</v>
      </c>
      <c r="Y32" s="16"/>
      <c r="Z32" s="35"/>
      <c r="AA32" s="9"/>
      <c r="AB32" s="6">
        <f t="shared" si="67"/>
        <v>0</v>
      </c>
      <c r="AC32" s="7">
        <f t="shared" si="68"/>
        <v>0</v>
      </c>
      <c r="AD32" s="26"/>
      <c r="AE32" s="22"/>
      <c r="AF32" s="22"/>
      <c r="AG32" s="22"/>
      <c r="AH32" s="22"/>
      <c r="AI32" s="22"/>
      <c r="AJ32" s="22"/>
      <c r="AK32" s="22"/>
      <c r="AL32" s="22"/>
      <c r="AM32" s="22"/>
      <c r="AN32" s="22"/>
      <c r="AO32" s="22"/>
      <c r="AP32" s="22"/>
      <c r="AQ32" s="22"/>
      <c r="AR32" s="22"/>
      <c r="AS32" s="22"/>
    </row>
    <row r="33" spans="1:45" x14ac:dyDescent="0.15">
      <c r="A33" s="49"/>
      <c r="B33" s="16"/>
      <c r="C33" s="35"/>
      <c r="D33" s="9"/>
      <c r="E33" s="6">
        <f t="shared" si="61"/>
        <v>0</v>
      </c>
      <c r="F33" s="16"/>
      <c r="G33" s="35"/>
      <c r="H33" s="9"/>
      <c r="I33" s="6">
        <f t="shared" si="62"/>
        <v>0</v>
      </c>
      <c r="J33" s="16"/>
      <c r="K33" s="35"/>
      <c r="L33" s="9"/>
      <c r="M33" s="6">
        <f t="shared" si="63"/>
        <v>0</v>
      </c>
      <c r="N33" s="7">
        <f t="shared" si="64"/>
        <v>0</v>
      </c>
      <c r="O33" s="22"/>
      <c r="P33" s="47"/>
      <c r="Q33" s="16"/>
      <c r="R33" s="35"/>
      <c r="S33" s="9"/>
      <c r="T33" s="6">
        <f t="shared" si="65"/>
        <v>0</v>
      </c>
      <c r="U33" s="16"/>
      <c r="V33" s="35"/>
      <c r="W33" s="9"/>
      <c r="X33" s="6">
        <f t="shared" si="66"/>
        <v>0</v>
      </c>
      <c r="Y33" s="16"/>
      <c r="Z33" s="35"/>
      <c r="AA33" s="9"/>
      <c r="AB33" s="6">
        <f t="shared" si="67"/>
        <v>0</v>
      </c>
      <c r="AC33" s="7">
        <f t="shared" si="68"/>
        <v>0</v>
      </c>
      <c r="AD33" s="26"/>
      <c r="AE33" s="22"/>
      <c r="AF33" s="22"/>
      <c r="AG33" s="22"/>
      <c r="AH33" s="22"/>
      <c r="AI33" s="22"/>
      <c r="AJ33" s="22"/>
      <c r="AK33" s="22"/>
      <c r="AL33" s="22"/>
      <c r="AM33" s="22"/>
      <c r="AN33" s="22"/>
      <c r="AO33" s="22"/>
      <c r="AP33" s="22"/>
      <c r="AQ33" s="22"/>
      <c r="AR33" s="22"/>
      <c r="AS33" s="22"/>
    </row>
    <row r="34" spans="1:45" x14ac:dyDescent="0.15">
      <c r="A34" s="49"/>
      <c r="B34" s="16"/>
      <c r="C34" s="35"/>
      <c r="D34" s="9"/>
      <c r="E34" s="6">
        <f t="shared" si="61"/>
        <v>0</v>
      </c>
      <c r="F34" s="16"/>
      <c r="G34" s="35"/>
      <c r="H34" s="9"/>
      <c r="I34" s="6">
        <f t="shared" si="62"/>
        <v>0</v>
      </c>
      <c r="J34" s="16"/>
      <c r="K34" s="35"/>
      <c r="L34" s="9"/>
      <c r="M34" s="6">
        <f t="shared" si="63"/>
        <v>0</v>
      </c>
      <c r="N34" s="7">
        <f t="shared" si="64"/>
        <v>0</v>
      </c>
      <c r="O34" s="22"/>
      <c r="P34" s="47"/>
      <c r="Q34" s="16"/>
      <c r="R34" s="35"/>
      <c r="S34" s="9"/>
      <c r="T34" s="6">
        <f t="shared" ref="T34" si="69">SUM(Q34:S34)</f>
        <v>0</v>
      </c>
      <c r="U34" s="16"/>
      <c r="V34" s="35"/>
      <c r="W34" s="9"/>
      <c r="X34" s="6">
        <f t="shared" ref="X34" si="70">SUM(U34:W34)</f>
        <v>0</v>
      </c>
      <c r="Y34" s="16"/>
      <c r="Z34" s="35"/>
      <c r="AA34" s="9"/>
      <c r="AB34" s="6">
        <f t="shared" ref="AB34" si="71">SUM(Y34:AA34)</f>
        <v>0</v>
      </c>
      <c r="AC34" s="7">
        <f t="shared" ref="AC34" si="72">T34+X34+AB34</f>
        <v>0</v>
      </c>
      <c r="AD34" s="26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2"/>
      <c r="AS34" s="22"/>
    </row>
    <row r="35" spans="1:45" x14ac:dyDescent="0.15">
      <c r="A35" s="49"/>
      <c r="B35" s="16"/>
      <c r="C35" s="35"/>
      <c r="D35" s="9"/>
      <c r="E35" s="6">
        <f t="shared" si="61"/>
        <v>0</v>
      </c>
      <c r="F35" s="16"/>
      <c r="G35" s="35"/>
      <c r="H35" s="9"/>
      <c r="I35" s="6">
        <f t="shared" si="62"/>
        <v>0</v>
      </c>
      <c r="J35" s="16"/>
      <c r="K35" s="35"/>
      <c r="L35" s="9"/>
      <c r="M35" s="6">
        <f t="shared" si="63"/>
        <v>0</v>
      </c>
      <c r="N35" s="7">
        <f t="shared" si="64"/>
        <v>0</v>
      </c>
      <c r="O35" s="22"/>
      <c r="P35" s="47"/>
      <c r="Q35" s="16"/>
      <c r="R35" s="35"/>
      <c r="S35" s="9"/>
      <c r="T35" s="6">
        <f t="shared" ref="T35:T36" si="73">SUM(Q35:S35)</f>
        <v>0</v>
      </c>
      <c r="U35" s="16"/>
      <c r="V35" s="35"/>
      <c r="W35" s="9"/>
      <c r="X35" s="6">
        <f t="shared" ref="X35:X36" si="74">SUM(U35:W35)</f>
        <v>0</v>
      </c>
      <c r="Y35" s="16"/>
      <c r="Z35" s="35"/>
      <c r="AA35" s="9"/>
      <c r="AB35" s="6">
        <f t="shared" ref="AB35:AB36" si="75">SUM(Y35:AA35)</f>
        <v>0</v>
      </c>
      <c r="AC35" s="7">
        <f t="shared" ref="AC35:AC36" si="76">T35+X35+AB35</f>
        <v>0</v>
      </c>
      <c r="AD35" s="26"/>
      <c r="AE35" s="22"/>
      <c r="AF35" s="26"/>
      <c r="AG35" s="26"/>
      <c r="AH35" s="26"/>
      <c r="AI35" s="26"/>
      <c r="AJ35" s="26"/>
      <c r="AK35" s="26"/>
      <c r="AL35" s="26"/>
      <c r="AM35" s="26"/>
      <c r="AN35" s="26"/>
      <c r="AO35" s="26"/>
      <c r="AP35" s="26"/>
      <c r="AQ35" s="26"/>
      <c r="AR35" s="26"/>
      <c r="AS35" s="26"/>
    </row>
    <row r="36" spans="1:45" x14ac:dyDescent="0.15">
      <c r="A36" s="49"/>
      <c r="B36" s="16"/>
      <c r="C36" s="35"/>
      <c r="D36" s="9"/>
      <c r="E36" s="6">
        <f t="shared" si="61"/>
        <v>0</v>
      </c>
      <c r="F36" s="16"/>
      <c r="G36" s="35"/>
      <c r="H36" s="9"/>
      <c r="I36" s="6">
        <f t="shared" si="62"/>
        <v>0</v>
      </c>
      <c r="J36" s="16"/>
      <c r="K36" s="35"/>
      <c r="L36" s="9"/>
      <c r="M36" s="6">
        <f t="shared" si="63"/>
        <v>0</v>
      </c>
      <c r="N36" s="7">
        <f t="shared" si="64"/>
        <v>0</v>
      </c>
      <c r="O36" s="22"/>
      <c r="P36" s="47"/>
      <c r="Q36" s="16"/>
      <c r="R36" s="35"/>
      <c r="S36" s="9"/>
      <c r="T36" s="6">
        <f t="shared" si="73"/>
        <v>0</v>
      </c>
      <c r="U36" s="16"/>
      <c r="V36" s="35"/>
      <c r="W36" s="9"/>
      <c r="X36" s="6">
        <f t="shared" si="74"/>
        <v>0</v>
      </c>
      <c r="Y36" s="16"/>
      <c r="Z36" s="35"/>
      <c r="AA36" s="9"/>
      <c r="AB36" s="6">
        <f t="shared" si="75"/>
        <v>0</v>
      </c>
      <c r="AC36" s="7">
        <f t="shared" si="76"/>
        <v>0</v>
      </c>
      <c r="AD36" s="26"/>
      <c r="AE36" s="25"/>
      <c r="AF36" s="25"/>
      <c r="AG36" s="25"/>
      <c r="AH36" s="25"/>
      <c r="AI36" s="25"/>
      <c r="AJ36" s="25"/>
      <c r="AK36" s="25"/>
      <c r="AL36" s="25"/>
      <c r="AM36" s="25"/>
      <c r="AN36" s="25"/>
      <c r="AO36" s="25"/>
      <c r="AP36" s="25"/>
      <c r="AQ36" s="25"/>
      <c r="AR36" s="25"/>
      <c r="AS36" s="25"/>
    </row>
    <row r="37" spans="1:45" x14ac:dyDescent="0.15">
      <c r="A37" s="49"/>
      <c r="B37" s="16"/>
      <c r="C37" s="35"/>
      <c r="D37" s="9"/>
      <c r="E37" s="6">
        <f t="shared" si="61"/>
        <v>0</v>
      </c>
      <c r="F37" s="16"/>
      <c r="G37" s="35"/>
      <c r="H37" s="9"/>
      <c r="I37" s="6">
        <f t="shared" si="62"/>
        <v>0</v>
      </c>
      <c r="J37" s="16"/>
      <c r="K37" s="35"/>
      <c r="L37" s="9"/>
      <c r="M37" s="6">
        <f t="shared" si="63"/>
        <v>0</v>
      </c>
      <c r="N37" s="7">
        <f t="shared" si="64"/>
        <v>0</v>
      </c>
      <c r="O37" s="22"/>
      <c r="P37" s="47" t="s">
        <v>25</v>
      </c>
      <c r="Q37" s="16"/>
      <c r="R37" s="35"/>
      <c r="S37" s="9"/>
      <c r="T37" s="6">
        <f t="shared" ref="T37:T39" si="77">SUM(Q37:S37)</f>
        <v>0</v>
      </c>
      <c r="U37" s="16"/>
      <c r="V37" s="35"/>
      <c r="W37" s="9"/>
      <c r="X37" s="6">
        <f t="shared" ref="X37:X39" si="78">SUM(U37:W37)</f>
        <v>0</v>
      </c>
      <c r="Y37" s="16"/>
      <c r="Z37" s="35"/>
      <c r="AA37" s="9"/>
      <c r="AB37" s="6">
        <f t="shared" ref="AB37:AB39" si="79">SUM(Y37:AA37)</f>
        <v>0</v>
      </c>
      <c r="AC37" s="7">
        <f t="shared" ref="AC37:AC39" si="80">T37+X37+AB37</f>
        <v>0</v>
      </c>
      <c r="AD37" s="26" t="s">
        <v>24</v>
      </c>
      <c r="AE37" s="30"/>
      <c r="AF37" s="26"/>
      <c r="AG37" s="26"/>
      <c r="AH37" s="26"/>
      <c r="AI37" s="26"/>
      <c r="AJ37" s="26"/>
      <c r="AK37" s="26"/>
      <c r="AL37" s="26"/>
      <c r="AM37" s="26"/>
      <c r="AN37" s="26"/>
      <c r="AO37" s="26"/>
      <c r="AP37" s="26"/>
      <c r="AQ37" s="26"/>
      <c r="AR37" s="26"/>
      <c r="AS37" s="26"/>
    </row>
    <row r="38" spans="1:45" x14ac:dyDescent="0.15">
      <c r="A38" s="49"/>
      <c r="B38" s="16"/>
      <c r="C38" s="35"/>
      <c r="D38" s="9"/>
      <c r="E38" s="6">
        <f t="shared" si="61"/>
        <v>0</v>
      </c>
      <c r="F38" s="16"/>
      <c r="G38" s="35"/>
      <c r="H38" s="9"/>
      <c r="I38" s="6">
        <f t="shared" si="62"/>
        <v>0</v>
      </c>
      <c r="J38" s="16"/>
      <c r="K38" s="35"/>
      <c r="L38" s="9"/>
      <c r="M38" s="6">
        <f t="shared" si="63"/>
        <v>0</v>
      </c>
      <c r="N38" s="7">
        <f t="shared" si="64"/>
        <v>0</v>
      </c>
      <c r="O38" s="22"/>
      <c r="P38" s="39" t="s">
        <v>27</v>
      </c>
      <c r="Q38" s="62"/>
      <c r="R38" s="63"/>
      <c r="S38" s="64"/>
      <c r="T38" s="65">
        <f t="shared" si="77"/>
        <v>0</v>
      </c>
      <c r="U38" s="62"/>
      <c r="V38" s="63"/>
      <c r="W38" s="64"/>
      <c r="X38" s="65">
        <f t="shared" si="78"/>
        <v>0</v>
      </c>
      <c r="Y38" s="62"/>
      <c r="Z38" s="63"/>
      <c r="AA38" s="64"/>
      <c r="AB38" s="65">
        <f t="shared" si="79"/>
        <v>0</v>
      </c>
      <c r="AC38" s="66">
        <f t="shared" si="80"/>
        <v>0</v>
      </c>
      <c r="AD38" s="26"/>
      <c r="AE38" s="30"/>
      <c r="AF38" s="26"/>
      <c r="AG38" s="26"/>
      <c r="AH38" s="26"/>
      <c r="AI38" s="26"/>
      <c r="AJ38" s="26"/>
      <c r="AK38" s="26"/>
      <c r="AL38" s="26"/>
      <c r="AM38" s="26"/>
      <c r="AN38" s="26"/>
      <c r="AO38" s="26"/>
      <c r="AP38" s="26"/>
      <c r="AQ38" s="26"/>
      <c r="AR38" s="26"/>
      <c r="AS38" s="26"/>
    </row>
    <row r="39" spans="1:45" ht="14.25" thickBot="1" x14ac:dyDescent="0.2">
      <c r="A39" s="49"/>
      <c r="B39" s="16"/>
      <c r="C39" s="35"/>
      <c r="D39" s="9"/>
      <c r="E39" s="6">
        <f t="shared" ref="E39" si="81">SUM(B39:D39)</f>
        <v>0</v>
      </c>
      <c r="F39" s="16"/>
      <c r="G39" s="35"/>
      <c r="H39" s="9"/>
      <c r="I39" s="6">
        <f t="shared" si="62"/>
        <v>0</v>
      </c>
      <c r="J39" s="16"/>
      <c r="K39" s="35"/>
      <c r="L39" s="9"/>
      <c r="M39" s="6">
        <f t="shared" si="63"/>
        <v>0</v>
      </c>
      <c r="N39" s="7">
        <f t="shared" si="64"/>
        <v>0</v>
      </c>
      <c r="O39" s="22"/>
      <c r="P39" s="47" t="s">
        <v>26</v>
      </c>
      <c r="Q39" s="16"/>
      <c r="R39" s="35"/>
      <c r="S39" s="9"/>
      <c r="T39" s="6">
        <f t="shared" si="77"/>
        <v>0</v>
      </c>
      <c r="U39" s="16"/>
      <c r="V39" s="35"/>
      <c r="W39" s="9"/>
      <c r="X39" s="6">
        <f t="shared" si="78"/>
        <v>0</v>
      </c>
      <c r="Y39" s="16"/>
      <c r="Z39" s="35"/>
      <c r="AA39" s="9"/>
      <c r="AB39" s="6">
        <f t="shared" si="79"/>
        <v>0</v>
      </c>
      <c r="AC39" s="7">
        <f t="shared" si="80"/>
        <v>0</v>
      </c>
      <c r="AD39" s="22" t="s">
        <v>44</v>
      </c>
      <c r="AE39" s="30"/>
      <c r="AF39" s="23"/>
      <c r="AG39" s="23"/>
      <c r="AH39" s="23"/>
      <c r="AI39" s="23"/>
      <c r="AJ39" s="23"/>
      <c r="AK39" s="23"/>
      <c r="AL39" s="23"/>
      <c r="AM39" s="23"/>
      <c r="AN39" s="23"/>
      <c r="AO39" s="23"/>
      <c r="AP39" s="23"/>
      <c r="AQ39" s="23"/>
      <c r="AR39" s="23"/>
      <c r="AS39" s="23"/>
    </row>
    <row r="40" spans="1:45" ht="14.25" thickBot="1" x14ac:dyDescent="0.2">
      <c r="A40" s="3" t="s">
        <v>9</v>
      </c>
      <c r="B40" s="13">
        <f>SUM(B16:B39)</f>
        <v>8</v>
      </c>
      <c r="C40" s="37">
        <f t="shared" ref="C40:N40" si="82">SUM(C16:C39)</f>
        <v>5</v>
      </c>
      <c r="D40" s="32">
        <f t="shared" si="82"/>
        <v>5</v>
      </c>
      <c r="E40" s="17">
        <f t="shared" si="82"/>
        <v>18</v>
      </c>
      <c r="F40" s="13">
        <f t="shared" si="82"/>
        <v>8</v>
      </c>
      <c r="G40" s="37">
        <f t="shared" si="82"/>
        <v>5</v>
      </c>
      <c r="H40" s="32">
        <f t="shared" si="82"/>
        <v>4</v>
      </c>
      <c r="I40" s="17">
        <f t="shared" si="82"/>
        <v>17</v>
      </c>
      <c r="J40" s="13">
        <f t="shared" si="82"/>
        <v>8</v>
      </c>
      <c r="K40" s="37">
        <f t="shared" si="82"/>
        <v>6</v>
      </c>
      <c r="L40" s="32">
        <f t="shared" si="82"/>
        <v>4</v>
      </c>
      <c r="M40" s="17">
        <f t="shared" si="82"/>
        <v>18</v>
      </c>
      <c r="N40" s="18">
        <f t="shared" si="82"/>
        <v>53</v>
      </c>
      <c r="O40" s="24"/>
      <c r="P40" s="3" t="s">
        <v>9</v>
      </c>
      <c r="Q40" s="13">
        <f>SUM(Q16:Q39)</f>
        <v>86</v>
      </c>
      <c r="R40" s="37">
        <f t="shared" ref="R40" si="83">SUM(R16:R39)</f>
        <v>110</v>
      </c>
      <c r="S40" s="32">
        <f t="shared" ref="S40" si="84">SUM(S16:S39)</f>
        <v>87</v>
      </c>
      <c r="T40" s="17">
        <f t="shared" ref="T40" si="85">SUM(T16:T39)</f>
        <v>283</v>
      </c>
      <c r="U40" s="13">
        <f t="shared" ref="U40" si="86">SUM(U16:U39)</f>
        <v>86</v>
      </c>
      <c r="V40" s="37">
        <f t="shared" ref="V40" si="87">SUM(V16:V39)</f>
        <v>105</v>
      </c>
      <c r="W40" s="32">
        <f t="shared" ref="W40" si="88">SUM(W16:W39)</f>
        <v>87</v>
      </c>
      <c r="X40" s="17">
        <f t="shared" ref="X40" si="89">SUM(X16:X39)</f>
        <v>278</v>
      </c>
      <c r="Y40" s="13">
        <f t="shared" ref="Y40" si="90">SUM(Y16:Y39)</f>
        <v>81</v>
      </c>
      <c r="Z40" s="37">
        <f t="shared" ref="Z40" si="91">SUM(Z16:Z39)</f>
        <v>95</v>
      </c>
      <c r="AA40" s="32">
        <f t="shared" ref="AA40" si="92">SUM(AA16:AA39)</f>
        <v>82</v>
      </c>
      <c r="AB40" s="17">
        <f t="shared" ref="AB40" si="93">SUM(AB16:AB39)</f>
        <v>258</v>
      </c>
      <c r="AC40" s="18">
        <f t="shared" ref="AC40" si="94">SUM(AC16:AC39)</f>
        <v>819</v>
      </c>
      <c r="AE40" s="24"/>
      <c r="AF40" s="24"/>
      <c r="AG40" s="24"/>
      <c r="AH40" s="24"/>
      <c r="AI40" s="24"/>
      <c r="AJ40" s="24"/>
      <c r="AK40" s="24"/>
      <c r="AL40" s="24"/>
      <c r="AM40" s="24"/>
      <c r="AN40" s="24"/>
      <c r="AO40" s="24"/>
      <c r="AP40" s="24"/>
      <c r="AQ40" s="24"/>
      <c r="AR40" s="24"/>
      <c r="AS40" s="24"/>
    </row>
    <row r="41" spans="1:45" ht="14.25" thickBot="1" x14ac:dyDescent="0.2">
      <c r="A41" s="19" t="s">
        <v>10</v>
      </c>
      <c r="B41" s="20">
        <f>B15-B40</f>
        <v>13</v>
      </c>
      <c r="C41" s="38">
        <f t="shared" ref="C41:N41" si="95">C15-C40</f>
        <v>15</v>
      </c>
      <c r="D41" s="33">
        <f t="shared" si="95"/>
        <v>16</v>
      </c>
      <c r="E41" s="20">
        <f t="shared" si="95"/>
        <v>44</v>
      </c>
      <c r="F41" s="20">
        <f t="shared" si="95"/>
        <v>13</v>
      </c>
      <c r="G41" s="38">
        <f t="shared" si="95"/>
        <v>14</v>
      </c>
      <c r="H41" s="33">
        <f t="shared" si="95"/>
        <v>17</v>
      </c>
      <c r="I41" s="20">
        <f t="shared" si="95"/>
        <v>44</v>
      </c>
      <c r="J41" s="20">
        <f t="shared" si="95"/>
        <v>13</v>
      </c>
      <c r="K41" s="38">
        <f t="shared" si="95"/>
        <v>14</v>
      </c>
      <c r="L41" s="33">
        <f t="shared" si="95"/>
        <v>16</v>
      </c>
      <c r="M41" s="20">
        <f t="shared" si="95"/>
        <v>43</v>
      </c>
      <c r="N41" s="18">
        <f t="shared" si="95"/>
        <v>131</v>
      </c>
      <c r="O41" s="24"/>
      <c r="P41" s="19" t="s">
        <v>10</v>
      </c>
      <c r="Q41" s="20">
        <f>Q15-Q40</f>
        <v>314</v>
      </c>
      <c r="R41" s="38">
        <f t="shared" ref="R41" si="96">R15-R40</f>
        <v>340</v>
      </c>
      <c r="S41" s="33">
        <f t="shared" ref="S41" si="97">S15-S40</f>
        <v>163</v>
      </c>
      <c r="T41" s="20">
        <f t="shared" ref="T41" si="98">T15-T40</f>
        <v>817</v>
      </c>
      <c r="U41" s="20">
        <f t="shared" ref="U41" si="99">U15-U40</f>
        <v>313</v>
      </c>
      <c r="V41" s="38">
        <f t="shared" ref="V41" si="100">V15-V40</f>
        <v>345</v>
      </c>
      <c r="W41" s="33">
        <f t="shared" ref="W41" si="101">W15-W40</f>
        <v>163</v>
      </c>
      <c r="X41" s="20">
        <f t="shared" ref="X41" si="102">X15-X40</f>
        <v>821</v>
      </c>
      <c r="Y41" s="20">
        <f t="shared" ref="Y41" si="103">Y15-Y40</f>
        <v>319</v>
      </c>
      <c r="Z41" s="38">
        <f t="shared" ref="Z41" si="104">Z15-Z40</f>
        <v>355</v>
      </c>
      <c r="AA41" s="33">
        <f t="shared" ref="AA41" si="105">AA15-AA40</f>
        <v>168</v>
      </c>
      <c r="AB41" s="20">
        <f t="shared" ref="AB41" si="106">AB15-AB40</f>
        <v>842</v>
      </c>
      <c r="AC41" s="18">
        <f t="shared" ref="AC41" si="107">AC15-AC40</f>
        <v>2480</v>
      </c>
      <c r="AE41" s="24"/>
      <c r="AF41" s="24"/>
      <c r="AG41" s="24"/>
      <c r="AH41" s="24"/>
      <c r="AI41" s="24"/>
      <c r="AJ41" s="24"/>
      <c r="AK41" s="24"/>
      <c r="AL41" s="24"/>
      <c r="AM41" s="24"/>
      <c r="AN41" s="24"/>
      <c r="AO41" s="24"/>
      <c r="AP41" s="24"/>
      <c r="AQ41" s="24"/>
      <c r="AR41" s="24"/>
      <c r="AS41" s="24"/>
    </row>
    <row r="42" spans="1:45" x14ac:dyDescent="0.15">
      <c r="O42" s="24"/>
      <c r="Q42" s="46"/>
      <c r="R42" s="46"/>
      <c r="S42" s="46"/>
      <c r="T42" s="46"/>
      <c r="AE42" s="24"/>
      <c r="AF42" s="24"/>
      <c r="AG42" s="24"/>
      <c r="AH42" s="24"/>
      <c r="AI42" s="24"/>
      <c r="AJ42" s="24"/>
      <c r="AK42" s="24"/>
      <c r="AL42" s="24"/>
      <c r="AM42" s="24"/>
      <c r="AN42" s="24"/>
      <c r="AO42" s="24"/>
      <c r="AP42" s="24"/>
      <c r="AQ42" s="24"/>
      <c r="AR42" s="24"/>
      <c r="AS42" s="24"/>
    </row>
    <row r="43" spans="1:45" x14ac:dyDescent="0.15">
      <c r="O43" s="24"/>
      <c r="AE43" s="24"/>
      <c r="AF43" s="24"/>
      <c r="AG43" s="24"/>
      <c r="AH43" s="24"/>
      <c r="AI43" s="24"/>
      <c r="AJ43" s="24"/>
      <c r="AK43" s="24"/>
      <c r="AL43" s="24"/>
      <c r="AM43" s="24"/>
      <c r="AN43" s="24"/>
      <c r="AO43" s="24"/>
      <c r="AP43" s="24"/>
      <c r="AQ43" s="24"/>
      <c r="AR43" s="24"/>
      <c r="AS43" s="24"/>
    </row>
    <row r="44" spans="1:45" ht="21.75" thickBot="1" x14ac:dyDescent="0.25">
      <c r="A44" s="27" t="s">
        <v>15</v>
      </c>
      <c r="B44" s="28"/>
      <c r="C44" s="28"/>
      <c r="D44" s="28"/>
      <c r="E44" s="29"/>
      <c r="F44" s="28"/>
      <c r="G44" s="28"/>
      <c r="H44" s="28"/>
      <c r="I44" s="28"/>
      <c r="J44" s="1"/>
      <c r="K44" s="1"/>
      <c r="L44" s="1"/>
      <c r="M44" s="1"/>
      <c r="O44" s="24"/>
      <c r="P44" s="43" t="s">
        <v>14</v>
      </c>
      <c r="Q44" s="44"/>
      <c r="R44" s="44"/>
      <c r="S44" s="44"/>
      <c r="T44" s="45"/>
      <c r="U44" s="44"/>
      <c r="V44" s="44"/>
      <c r="W44" s="44"/>
      <c r="X44" s="44"/>
      <c r="Y44" s="44"/>
      <c r="Z44" s="44"/>
      <c r="AA44" s="44"/>
      <c r="AB44" s="1"/>
      <c r="AE44" s="24"/>
      <c r="AF44" s="24"/>
      <c r="AG44" s="24"/>
      <c r="AH44" s="24"/>
      <c r="AI44" s="24"/>
      <c r="AJ44" s="24"/>
      <c r="AK44" s="24"/>
      <c r="AL44" s="24"/>
      <c r="AM44" s="24"/>
      <c r="AN44" s="24"/>
      <c r="AO44" s="24"/>
      <c r="AP44" s="24"/>
      <c r="AQ44" s="24"/>
      <c r="AR44" s="24"/>
      <c r="AS44" s="24"/>
    </row>
    <row r="45" spans="1:45" ht="14.25" thickBot="1" x14ac:dyDescent="0.2">
      <c r="A45" s="2" t="s">
        <v>0</v>
      </c>
      <c r="B45" s="91" t="s">
        <v>16</v>
      </c>
      <c r="C45" s="91"/>
      <c r="D45" s="91"/>
      <c r="E45" s="92"/>
      <c r="F45" s="93" t="s">
        <v>12</v>
      </c>
      <c r="G45" s="93"/>
      <c r="H45" s="93"/>
      <c r="I45" s="94"/>
      <c r="J45" s="95" t="s">
        <v>13</v>
      </c>
      <c r="K45" s="95"/>
      <c r="L45" s="95"/>
      <c r="M45" s="95"/>
      <c r="N45" s="96" t="s">
        <v>1</v>
      </c>
      <c r="O45" s="24"/>
      <c r="P45" s="2" t="s">
        <v>0</v>
      </c>
      <c r="Q45" s="91" t="s">
        <v>16</v>
      </c>
      <c r="R45" s="91"/>
      <c r="S45" s="91"/>
      <c r="T45" s="92"/>
      <c r="U45" s="93" t="s">
        <v>12</v>
      </c>
      <c r="V45" s="93"/>
      <c r="W45" s="93"/>
      <c r="X45" s="94"/>
      <c r="Y45" s="95" t="s">
        <v>13</v>
      </c>
      <c r="Z45" s="95"/>
      <c r="AA45" s="95"/>
      <c r="AB45" s="95"/>
      <c r="AC45" s="96" t="s">
        <v>1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  <c r="AQ45" s="24"/>
      <c r="AR45" s="24"/>
      <c r="AS45" s="24"/>
    </row>
    <row r="46" spans="1:45" ht="14.25" thickBot="1" x14ac:dyDescent="0.2">
      <c r="A46" s="2" t="s">
        <v>2</v>
      </c>
      <c r="B46" s="3" t="s">
        <v>3</v>
      </c>
      <c r="C46" s="34" t="s">
        <v>4</v>
      </c>
      <c r="D46" s="4" t="s">
        <v>5</v>
      </c>
      <c r="E46" s="2" t="s">
        <v>6</v>
      </c>
      <c r="F46" s="3" t="s">
        <v>3</v>
      </c>
      <c r="G46" s="34" t="s">
        <v>4</v>
      </c>
      <c r="H46" s="4" t="s">
        <v>5</v>
      </c>
      <c r="I46" s="2" t="s">
        <v>6</v>
      </c>
      <c r="J46" s="3" t="s">
        <v>3</v>
      </c>
      <c r="K46" s="34" t="s">
        <v>4</v>
      </c>
      <c r="L46" s="4" t="s">
        <v>5</v>
      </c>
      <c r="M46" s="3" t="s">
        <v>6</v>
      </c>
      <c r="N46" s="97"/>
      <c r="O46" s="24"/>
      <c r="P46" s="2" t="s">
        <v>2</v>
      </c>
      <c r="Q46" s="3" t="s">
        <v>3</v>
      </c>
      <c r="R46" s="34" t="s">
        <v>4</v>
      </c>
      <c r="S46" s="4" t="s">
        <v>5</v>
      </c>
      <c r="T46" s="2" t="s">
        <v>6</v>
      </c>
      <c r="U46" s="3" t="s">
        <v>3</v>
      </c>
      <c r="V46" s="34" t="s">
        <v>4</v>
      </c>
      <c r="W46" s="4" t="s">
        <v>5</v>
      </c>
      <c r="X46" s="2" t="s">
        <v>6</v>
      </c>
      <c r="Y46" s="3" t="s">
        <v>3</v>
      </c>
      <c r="Z46" s="34" t="s">
        <v>4</v>
      </c>
      <c r="AA46" s="4" t="s">
        <v>5</v>
      </c>
      <c r="AB46" s="3" t="s">
        <v>6</v>
      </c>
      <c r="AC46" s="97"/>
      <c r="AE46" s="24"/>
      <c r="AF46" s="24"/>
      <c r="AG46" s="24"/>
      <c r="AH46" s="24"/>
      <c r="AI46" s="24"/>
      <c r="AJ46" s="24"/>
      <c r="AK46" s="24"/>
      <c r="AL46" s="24"/>
      <c r="AM46" s="24"/>
      <c r="AN46" s="24"/>
      <c r="AO46" s="24"/>
      <c r="AP46" s="24"/>
      <c r="AQ46" s="24"/>
      <c r="AR46" s="24"/>
      <c r="AS46" s="24"/>
    </row>
    <row r="47" spans="1:45" ht="14.25" thickBot="1" x14ac:dyDescent="0.2">
      <c r="A47" s="40" t="s">
        <v>10</v>
      </c>
      <c r="B47" s="41">
        <f>B41</f>
        <v>13</v>
      </c>
      <c r="C47" s="42">
        <f t="shared" ref="C47:M47" si="108">C41</f>
        <v>15</v>
      </c>
      <c r="D47" s="41">
        <f t="shared" si="108"/>
        <v>16</v>
      </c>
      <c r="E47" s="14">
        <f t="shared" si="108"/>
        <v>44</v>
      </c>
      <c r="F47" s="41">
        <f t="shared" si="108"/>
        <v>13</v>
      </c>
      <c r="G47" s="42">
        <f t="shared" si="108"/>
        <v>14</v>
      </c>
      <c r="H47" s="41">
        <f t="shared" si="108"/>
        <v>17</v>
      </c>
      <c r="I47" s="14">
        <f t="shared" si="108"/>
        <v>44</v>
      </c>
      <c r="J47" s="41">
        <f t="shared" si="108"/>
        <v>13</v>
      </c>
      <c r="K47" s="42">
        <f t="shared" si="108"/>
        <v>14</v>
      </c>
      <c r="L47" s="41">
        <f t="shared" si="108"/>
        <v>16</v>
      </c>
      <c r="M47" s="14">
        <f t="shared" si="108"/>
        <v>43</v>
      </c>
      <c r="N47" s="15">
        <f>N41</f>
        <v>131</v>
      </c>
      <c r="O47" s="24"/>
      <c r="P47" s="40" t="s">
        <v>10</v>
      </c>
      <c r="Q47" s="54">
        <f>Q41</f>
        <v>314</v>
      </c>
      <c r="R47" s="55">
        <f t="shared" ref="R47:AB47" si="109">R41</f>
        <v>340</v>
      </c>
      <c r="S47" s="54">
        <f t="shared" si="109"/>
        <v>163</v>
      </c>
      <c r="T47" s="14">
        <f t="shared" si="109"/>
        <v>817</v>
      </c>
      <c r="U47" s="54">
        <f t="shared" si="109"/>
        <v>313</v>
      </c>
      <c r="V47" s="55">
        <f t="shared" si="109"/>
        <v>345</v>
      </c>
      <c r="W47" s="54">
        <f t="shared" si="109"/>
        <v>163</v>
      </c>
      <c r="X47" s="14">
        <f t="shared" si="109"/>
        <v>821</v>
      </c>
      <c r="Y47" s="54">
        <f t="shared" si="109"/>
        <v>319</v>
      </c>
      <c r="Z47" s="55">
        <f t="shared" si="109"/>
        <v>355</v>
      </c>
      <c r="AA47" s="54">
        <f t="shared" si="109"/>
        <v>168</v>
      </c>
      <c r="AB47" s="14">
        <f t="shared" si="109"/>
        <v>842</v>
      </c>
      <c r="AC47" s="15">
        <f>AC41</f>
        <v>2480</v>
      </c>
      <c r="AE47" s="24"/>
      <c r="AF47" s="24"/>
      <c r="AG47" s="24"/>
      <c r="AH47" s="24"/>
      <c r="AI47" s="24"/>
      <c r="AJ47" s="24"/>
      <c r="AK47" s="24"/>
      <c r="AL47" s="24"/>
      <c r="AM47" s="24"/>
      <c r="AN47" s="24"/>
      <c r="AO47" s="24"/>
      <c r="AP47" s="24"/>
      <c r="AQ47" s="24"/>
      <c r="AR47" s="24"/>
      <c r="AS47" s="24"/>
    </row>
    <row r="48" spans="1:45" x14ac:dyDescent="0.15">
      <c r="A48" s="5" t="s">
        <v>7</v>
      </c>
      <c r="B48" s="9">
        <v>10</v>
      </c>
      <c r="C48" s="35"/>
      <c r="D48" s="9"/>
      <c r="E48" s="6">
        <f t="shared" ref="E48" si="110">SUM(B48:D48)</f>
        <v>10</v>
      </c>
      <c r="F48" s="9">
        <v>10</v>
      </c>
      <c r="G48" s="35"/>
      <c r="H48" s="9"/>
      <c r="I48" s="6">
        <f t="shared" ref="I48" si="111">SUM(F48:H48)</f>
        <v>10</v>
      </c>
      <c r="J48" s="9">
        <v>10</v>
      </c>
      <c r="K48" s="35"/>
      <c r="L48" s="9"/>
      <c r="M48" s="6">
        <f t="shared" ref="M48" si="112">SUM(J48:L48)</f>
        <v>10</v>
      </c>
      <c r="N48" s="7">
        <f t="shared" ref="N48" si="113">E48+I48+M48</f>
        <v>30</v>
      </c>
      <c r="O48" s="22">
        <v>45584</v>
      </c>
      <c r="P48" s="39" t="s">
        <v>7</v>
      </c>
      <c r="Q48" s="56"/>
      <c r="R48" s="57"/>
      <c r="S48" s="56"/>
      <c r="T48" s="6">
        <f t="shared" ref="T48" si="114">SUM(Q48:S48)</f>
        <v>0</v>
      </c>
      <c r="U48" s="56"/>
      <c r="V48" s="57"/>
      <c r="W48" s="56"/>
      <c r="X48" s="6">
        <f t="shared" ref="X48" si="115">SUM(U48:W48)</f>
        <v>0</v>
      </c>
      <c r="Y48" s="56"/>
      <c r="Z48" s="57"/>
      <c r="AA48" s="56"/>
      <c r="AB48" s="6">
        <f t="shared" ref="AB48" si="116">SUM(Y48:AA48)</f>
        <v>0</v>
      </c>
      <c r="AC48" s="7">
        <f t="shared" ref="AC48" si="117">T48+X48+AB48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</row>
    <row r="49" spans="1:45" x14ac:dyDescent="0.15">
      <c r="A49" s="5" t="s">
        <v>63</v>
      </c>
      <c r="B49" s="9">
        <v>2</v>
      </c>
      <c r="C49" s="35">
        <v>1</v>
      </c>
      <c r="D49" s="9">
        <v>1</v>
      </c>
      <c r="E49" s="6">
        <f t="shared" ref="E49:E57" si="118">SUM(B49:D49)</f>
        <v>4</v>
      </c>
      <c r="F49" s="9">
        <v>2</v>
      </c>
      <c r="G49" s="35">
        <v>1</v>
      </c>
      <c r="H49" s="9">
        <v>1</v>
      </c>
      <c r="I49" s="6">
        <f t="shared" ref="I49:I57" si="119">SUM(F49:H49)</f>
        <v>4</v>
      </c>
      <c r="J49" s="9">
        <v>2</v>
      </c>
      <c r="K49" s="35">
        <v>1</v>
      </c>
      <c r="L49" s="9">
        <v>1</v>
      </c>
      <c r="M49" s="6">
        <f t="shared" ref="M49:M57" si="120">SUM(J49:L49)</f>
        <v>4</v>
      </c>
      <c r="N49" s="7">
        <f t="shared" ref="N49:N57" si="121">E49+I49+M49</f>
        <v>12</v>
      </c>
      <c r="O49" s="22">
        <v>45586</v>
      </c>
      <c r="P49" s="39" t="s">
        <v>7</v>
      </c>
      <c r="Q49" s="56"/>
      <c r="R49" s="57"/>
      <c r="S49" s="56"/>
      <c r="T49" s="6">
        <f t="shared" ref="T49:T50" si="122">SUM(Q49:S49)</f>
        <v>0</v>
      </c>
      <c r="U49" s="56"/>
      <c r="V49" s="57"/>
      <c r="W49" s="56"/>
      <c r="X49" s="6">
        <f t="shared" ref="X49:X50" si="123">SUM(U49:W49)</f>
        <v>0</v>
      </c>
      <c r="Y49" s="56"/>
      <c r="Z49" s="57"/>
      <c r="AA49" s="56"/>
      <c r="AB49" s="6">
        <f t="shared" ref="AB49:AB50" si="124">SUM(Y49:AA49)</f>
        <v>0</v>
      </c>
      <c r="AC49" s="7">
        <f t="shared" ref="AC49:AC50" si="125">T49+X49+AB49</f>
        <v>0</v>
      </c>
      <c r="AE49" s="22"/>
      <c r="AF49" s="22"/>
      <c r="AG49" s="22"/>
      <c r="AH49" s="22"/>
      <c r="AI49" s="22"/>
      <c r="AJ49" s="22"/>
      <c r="AK49" s="22"/>
      <c r="AL49" s="22"/>
      <c r="AM49" s="22"/>
      <c r="AN49" s="22"/>
      <c r="AO49" s="22"/>
      <c r="AP49" s="22"/>
      <c r="AQ49" s="22"/>
      <c r="AR49" s="22"/>
      <c r="AS49" s="22"/>
    </row>
    <row r="50" spans="1:45" x14ac:dyDescent="0.15">
      <c r="A50" s="5" t="s">
        <v>7</v>
      </c>
      <c r="B50" s="9"/>
      <c r="C50" s="35">
        <v>5</v>
      </c>
      <c r="D50" s="9"/>
      <c r="E50" s="6">
        <f t="shared" si="118"/>
        <v>5</v>
      </c>
      <c r="F50" s="9"/>
      <c r="G50" s="35">
        <v>5</v>
      </c>
      <c r="H50" s="9"/>
      <c r="I50" s="6">
        <f t="shared" si="119"/>
        <v>5</v>
      </c>
      <c r="J50" s="9"/>
      <c r="K50" s="35">
        <v>5</v>
      </c>
      <c r="L50" s="9"/>
      <c r="M50" s="6">
        <f t="shared" si="120"/>
        <v>5</v>
      </c>
      <c r="N50" s="7">
        <f t="shared" si="121"/>
        <v>15</v>
      </c>
      <c r="O50" s="22">
        <v>45594</v>
      </c>
      <c r="P50" s="5" t="s">
        <v>21</v>
      </c>
      <c r="Q50" s="11">
        <v>300</v>
      </c>
      <c r="R50" s="36">
        <v>300</v>
      </c>
      <c r="S50" s="11">
        <v>300</v>
      </c>
      <c r="T50" s="6">
        <f t="shared" si="122"/>
        <v>900</v>
      </c>
      <c r="U50" s="52">
        <v>300</v>
      </c>
      <c r="V50" s="53">
        <v>300</v>
      </c>
      <c r="W50" s="52">
        <v>300</v>
      </c>
      <c r="X50" s="6">
        <f t="shared" si="123"/>
        <v>900</v>
      </c>
      <c r="Y50" s="52">
        <v>300</v>
      </c>
      <c r="Z50" s="53">
        <v>300</v>
      </c>
      <c r="AA50" s="52">
        <v>300</v>
      </c>
      <c r="AB50" s="6">
        <f t="shared" si="124"/>
        <v>900</v>
      </c>
      <c r="AC50" s="7">
        <f t="shared" si="125"/>
        <v>2700</v>
      </c>
      <c r="AD50" s="22" t="s">
        <v>73</v>
      </c>
      <c r="AE50" s="22"/>
      <c r="AF50" s="22"/>
      <c r="AG50" s="22"/>
      <c r="AH50" s="22"/>
      <c r="AI50" s="22"/>
      <c r="AJ50" s="22"/>
      <c r="AK50" s="22"/>
      <c r="AL50" s="22"/>
      <c r="AM50" s="22"/>
      <c r="AN50" s="22"/>
      <c r="AO50" s="22"/>
      <c r="AP50" s="22"/>
      <c r="AQ50" s="22"/>
      <c r="AR50" s="22"/>
      <c r="AS50" s="22"/>
    </row>
    <row r="51" spans="1:45" x14ac:dyDescent="0.15">
      <c r="A51" s="5" t="s">
        <v>63</v>
      </c>
      <c r="B51" s="16"/>
      <c r="C51" s="35">
        <v>1</v>
      </c>
      <c r="D51" s="9"/>
      <c r="E51" s="6">
        <f t="shared" si="118"/>
        <v>1</v>
      </c>
      <c r="F51" s="16"/>
      <c r="G51" s="35">
        <v>1</v>
      </c>
      <c r="H51" s="9"/>
      <c r="I51" s="6">
        <f t="shared" si="119"/>
        <v>1</v>
      </c>
      <c r="J51" s="16"/>
      <c r="K51" s="35">
        <v>1</v>
      </c>
      <c r="L51" s="9"/>
      <c r="M51" s="6">
        <f t="shared" si="120"/>
        <v>1</v>
      </c>
      <c r="N51" s="7">
        <f t="shared" si="121"/>
        <v>3</v>
      </c>
      <c r="O51" s="22">
        <v>45602</v>
      </c>
      <c r="P51" s="5" t="s">
        <v>68</v>
      </c>
      <c r="Q51" s="58">
        <v>8</v>
      </c>
      <c r="R51" s="59">
        <v>5</v>
      </c>
      <c r="S51" s="58">
        <v>11</v>
      </c>
      <c r="T51" s="6">
        <f t="shared" ref="T51:T53" si="126">SUM(Q51:S51)</f>
        <v>24</v>
      </c>
      <c r="U51" s="58"/>
      <c r="V51" s="59">
        <v>2</v>
      </c>
      <c r="W51" s="58">
        <v>1</v>
      </c>
      <c r="X51" s="6">
        <f t="shared" ref="X51:X53" si="127">SUM(U51:W51)</f>
        <v>3</v>
      </c>
      <c r="Y51" s="58">
        <v>8</v>
      </c>
      <c r="Z51" s="59">
        <v>5</v>
      </c>
      <c r="AA51" s="58">
        <v>10</v>
      </c>
      <c r="AB51" s="6">
        <f t="shared" ref="AB51:AB53" si="128">SUM(Y51:AA51)</f>
        <v>23</v>
      </c>
      <c r="AC51" s="7">
        <f t="shared" ref="AC51:AC53" si="129">T51+X51+AB51</f>
        <v>50</v>
      </c>
      <c r="AD51" s="23"/>
      <c r="AE51" s="22"/>
      <c r="AF51" s="22"/>
      <c r="AG51" s="22"/>
      <c r="AH51" s="22"/>
      <c r="AI51" s="22"/>
      <c r="AJ51" s="22"/>
      <c r="AK51" s="22"/>
      <c r="AL51" s="22"/>
      <c r="AM51" s="22"/>
      <c r="AN51" s="22"/>
      <c r="AO51" s="22"/>
      <c r="AP51" s="22"/>
      <c r="AQ51" s="22"/>
      <c r="AR51" s="22"/>
      <c r="AS51" s="22"/>
    </row>
    <row r="52" spans="1:45" x14ac:dyDescent="0.15">
      <c r="A52" s="5" t="s">
        <v>7</v>
      </c>
      <c r="B52" s="9"/>
      <c r="C52" s="35">
        <v>5</v>
      </c>
      <c r="D52" s="9"/>
      <c r="E52" s="6">
        <f t="shared" si="118"/>
        <v>5</v>
      </c>
      <c r="F52" s="9"/>
      <c r="G52" s="35">
        <v>5</v>
      </c>
      <c r="H52" s="9"/>
      <c r="I52" s="6">
        <f t="shared" si="119"/>
        <v>5</v>
      </c>
      <c r="J52" s="9"/>
      <c r="K52" s="35">
        <v>5</v>
      </c>
      <c r="L52" s="9"/>
      <c r="M52" s="6">
        <f t="shared" si="120"/>
        <v>5</v>
      </c>
      <c r="N52" s="7">
        <f t="shared" si="121"/>
        <v>15</v>
      </c>
      <c r="O52" s="22">
        <v>45621</v>
      </c>
      <c r="P52" s="5" t="s">
        <v>7</v>
      </c>
      <c r="Q52" s="58"/>
      <c r="R52" s="59"/>
      <c r="S52" s="58"/>
      <c r="T52" s="6">
        <f t="shared" si="126"/>
        <v>0</v>
      </c>
      <c r="U52" s="58"/>
      <c r="V52" s="59"/>
      <c r="W52" s="58"/>
      <c r="X52" s="6">
        <f t="shared" si="127"/>
        <v>0</v>
      </c>
      <c r="Y52" s="58"/>
      <c r="Z52" s="59"/>
      <c r="AA52" s="58"/>
      <c r="AB52" s="6">
        <f t="shared" si="128"/>
        <v>0</v>
      </c>
      <c r="AC52" s="7">
        <f t="shared" si="129"/>
        <v>0</v>
      </c>
      <c r="AD52" s="23"/>
      <c r="AE52" s="22"/>
      <c r="AF52" s="22"/>
      <c r="AG52" s="22"/>
      <c r="AH52" s="22"/>
      <c r="AI52" s="22"/>
      <c r="AJ52" s="22"/>
      <c r="AK52" s="22"/>
      <c r="AL52" s="22"/>
      <c r="AM52" s="22"/>
      <c r="AN52" s="22"/>
      <c r="AO52" s="22"/>
      <c r="AP52" s="22"/>
      <c r="AQ52" s="22"/>
      <c r="AR52" s="22"/>
      <c r="AS52" s="22"/>
    </row>
    <row r="53" spans="1:45" x14ac:dyDescent="0.15">
      <c r="A53" s="5" t="s">
        <v>63</v>
      </c>
      <c r="B53" s="9">
        <v>2</v>
      </c>
      <c r="C53" s="35"/>
      <c r="D53" s="9"/>
      <c r="E53" s="6">
        <f t="shared" si="118"/>
        <v>2</v>
      </c>
      <c r="F53" s="9">
        <v>2</v>
      </c>
      <c r="G53" s="35"/>
      <c r="H53" s="9"/>
      <c r="I53" s="6">
        <f t="shared" si="119"/>
        <v>2</v>
      </c>
      <c r="J53" s="9">
        <v>2</v>
      </c>
      <c r="K53" s="35"/>
      <c r="L53" s="9"/>
      <c r="M53" s="6">
        <f t="shared" si="120"/>
        <v>2</v>
      </c>
      <c r="N53" s="7">
        <f t="shared" si="121"/>
        <v>6</v>
      </c>
      <c r="O53" s="22">
        <v>45622</v>
      </c>
      <c r="P53" s="5" t="s">
        <v>7</v>
      </c>
      <c r="Q53" s="58"/>
      <c r="R53" s="59"/>
      <c r="S53" s="58"/>
      <c r="T53" s="6">
        <f t="shared" si="126"/>
        <v>0</v>
      </c>
      <c r="U53" s="58"/>
      <c r="V53" s="59"/>
      <c r="W53" s="58"/>
      <c r="X53" s="6">
        <f t="shared" si="127"/>
        <v>0</v>
      </c>
      <c r="Y53" s="58"/>
      <c r="Z53" s="59"/>
      <c r="AA53" s="58"/>
      <c r="AB53" s="6">
        <f t="shared" si="128"/>
        <v>0</v>
      </c>
      <c r="AC53" s="7">
        <f t="shared" si="129"/>
        <v>0</v>
      </c>
      <c r="AD53" s="23"/>
      <c r="AE53" s="22"/>
      <c r="AF53" s="22"/>
      <c r="AG53" s="22"/>
      <c r="AH53" s="22"/>
      <c r="AI53" s="22"/>
      <c r="AJ53" s="22"/>
      <c r="AK53" s="22"/>
      <c r="AL53" s="22"/>
      <c r="AM53" s="22"/>
      <c r="AN53" s="22"/>
      <c r="AO53" s="22"/>
      <c r="AP53" s="22"/>
      <c r="AQ53" s="22"/>
      <c r="AR53" s="22"/>
      <c r="AS53" s="22"/>
    </row>
    <row r="54" spans="1:45" x14ac:dyDescent="0.15">
      <c r="A54" s="5" t="s">
        <v>7</v>
      </c>
      <c r="B54" s="9"/>
      <c r="C54" s="35">
        <v>5</v>
      </c>
      <c r="D54" s="9"/>
      <c r="E54" s="6">
        <f t="shared" si="118"/>
        <v>5</v>
      </c>
      <c r="F54" s="9"/>
      <c r="G54" s="35">
        <v>5</v>
      </c>
      <c r="H54" s="9"/>
      <c r="I54" s="6">
        <f t="shared" si="119"/>
        <v>5</v>
      </c>
      <c r="J54" s="9"/>
      <c r="K54" s="35">
        <v>5</v>
      </c>
      <c r="L54" s="9"/>
      <c r="M54" s="6">
        <f t="shared" si="120"/>
        <v>5</v>
      </c>
      <c r="N54" s="7">
        <f t="shared" si="121"/>
        <v>15</v>
      </c>
      <c r="O54" s="22">
        <v>45622</v>
      </c>
      <c r="P54" s="5" t="s">
        <v>7</v>
      </c>
      <c r="Q54" s="58"/>
      <c r="R54" s="59"/>
      <c r="S54" s="58"/>
      <c r="T54" s="6">
        <f t="shared" ref="T54" si="130">SUM(Q54:S54)</f>
        <v>0</v>
      </c>
      <c r="U54" s="58"/>
      <c r="V54" s="59"/>
      <c r="W54" s="58"/>
      <c r="X54" s="6">
        <f t="shared" ref="X54" si="131">SUM(U54:W54)</f>
        <v>0</v>
      </c>
      <c r="Y54" s="58"/>
      <c r="Z54" s="59"/>
      <c r="AA54" s="58"/>
      <c r="AB54" s="6">
        <f t="shared" ref="AB54" si="132">SUM(Y54:AA54)</f>
        <v>0</v>
      </c>
      <c r="AC54" s="7">
        <f t="shared" ref="AC54" si="133">T54+X54+AB54</f>
        <v>0</v>
      </c>
      <c r="AD54" s="23"/>
      <c r="AE54" s="22"/>
      <c r="AF54" s="22"/>
      <c r="AG54" s="22"/>
      <c r="AH54" s="22"/>
      <c r="AI54" s="22"/>
      <c r="AJ54" s="22"/>
      <c r="AK54" s="22"/>
      <c r="AL54" s="22"/>
      <c r="AM54" s="22"/>
      <c r="AN54" s="22"/>
      <c r="AO54" s="22"/>
      <c r="AP54" s="22"/>
      <c r="AQ54" s="22"/>
      <c r="AR54" s="22"/>
      <c r="AS54" s="22"/>
    </row>
    <row r="55" spans="1:45" x14ac:dyDescent="0.15">
      <c r="A55" s="5" t="s">
        <v>48</v>
      </c>
      <c r="B55" s="9">
        <v>3</v>
      </c>
      <c r="C55" s="35">
        <v>3</v>
      </c>
      <c r="D55" s="9">
        <v>2</v>
      </c>
      <c r="E55" s="6">
        <f t="shared" si="118"/>
        <v>8</v>
      </c>
      <c r="F55" s="9">
        <v>3</v>
      </c>
      <c r="G55" s="35">
        <v>3</v>
      </c>
      <c r="H55" s="9">
        <v>2</v>
      </c>
      <c r="I55" s="6">
        <f t="shared" si="119"/>
        <v>8</v>
      </c>
      <c r="J55" s="9">
        <v>3</v>
      </c>
      <c r="K55" s="35">
        <v>3</v>
      </c>
      <c r="L55" s="9">
        <v>1</v>
      </c>
      <c r="M55" s="6">
        <f t="shared" si="120"/>
        <v>7</v>
      </c>
      <c r="N55" s="7">
        <f t="shared" si="121"/>
        <v>23</v>
      </c>
      <c r="O55" s="22">
        <v>45671</v>
      </c>
      <c r="P55" s="5" t="s">
        <v>7</v>
      </c>
      <c r="Q55" s="58"/>
      <c r="R55" s="59"/>
      <c r="S55" s="58"/>
      <c r="T55" s="6">
        <f t="shared" ref="T55" si="134">SUM(Q55:S55)</f>
        <v>0</v>
      </c>
      <c r="U55" s="58"/>
      <c r="V55" s="59"/>
      <c r="W55" s="58"/>
      <c r="X55" s="6">
        <f t="shared" ref="X55" si="135">SUM(U55:W55)</f>
        <v>0</v>
      </c>
      <c r="Y55" s="58"/>
      <c r="Z55" s="59"/>
      <c r="AA55" s="58"/>
      <c r="AB55" s="6">
        <f t="shared" ref="AB55" si="136">SUM(Y55:AA55)</f>
        <v>0</v>
      </c>
      <c r="AC55" s="7">
        <f t="shared" ref="AC55" si="137">T55+X55+AB55</f>
        <v>0</v>
      </c>
      <c r="AE55" s="24"/>
      <c r="AF55" s="24"/>
      <c r="AG55" s="24"/>
      <c r="AH55" s="24"/>
      <c r="AI55" s="24"/>
      <c r="AJ55" s="24"/>
      <c r="AK55" s="24"/>
      <c r="AL55" s="24"/>
      <c r="AM55" s="24"/>
      <c r="AN55" s="24"/>
      <c r="AO55" s="24"/>
      <c r="AP55" s="24"/>
      <c r="AQ55" s="24"/>
      <c r="AR55" s="24"/>
      <c r="AS55" s="24"/>
    </row>
    <row r="56" spans="1:45" x14ac:dyDescent="0.15">
      <c r="A56" s="5" t="s">
        <v>7</v>
      </c>
      <c r="B56" s="9"/>
      <c r="C56" s="35"/>
      <c r="D56" s="9"/>
      <c r="E56" s="6">
        <f t="shared" si="118"/>
        <v>0</v>
      </c>
      <c r="F56" s="9"/>
      <c r="G56" s="35"/>
      <c r="H56" s="9"/>
      <c r="I56" s="6">
        <f t="shared" si="119"/>
        <v>0</v>
      </c>
      <c r="J56" s="9"/>
      <c r="K56" s="35"/>
      <c r="L56" s="9"/>
      <c r="M56" s="6">
        <f t="shared" si="120"/>
        <v>0</v>
      </c>
      <c r="N56" s="7">
        <f t="shared" si="121"/>
        <v>0</v>
      </c>
      <c r="O56" s="22"/>
      <c r="P56" s="5" t="s">
        <v>7</v>
      </c>
      <c r="Q56" s="58"/>
      <c r="R56" s="59"/>
      <c r="S56" s="58"/>
      <c r="T56" s="6">
        <f t="shared" ref="T56" si="138">SUM(Q56:S56)</f>
        <v>0</v>
      </c>
      <c r="U56" s="58"/>
      <c r="V56" s="59"/>
      <c r="W56" s="58"/>
      <c r="X56" s="6">
        <f t="shared" ref="X56" si="139">SUM(U56:W56)</f>
        <v>0</v>
      </c>
      <c r="Y56" s="58"/>
      <c r="Z56" s="59"/>
      <c r="AA56" s="58"/>
      <c r="AB56" s="6">
        <f t="shared" ref="AB56" si="140">SUM(Y56:AA56)</f>
        <v>0</v>
      </c>
      <c r="AC56" s="7">
        <f t="shared" ref="AC56" si="141">T56+X56+AB56</f>
        <v>0</v>
      </c>
      <c r="AE56" s="24"/>
      <c r="AF56" s="24"/>
      <c r="AG56" s="24"/>
      <c r="AH56" s="24"/>
      <c r="AI56" s="24"/>
      <c r="AJ56" s="24"/>
      <c r="AK56" s="24"/>
      <c r="AL56" s="24"/>
      <c r="AM56" s="24"/>
      <c r="AN56" s="24"/>
      <c r="AO56" s="24"/>
      <c r="AP56" s="24"/>
      <c r="AQ56" s="24"/>
      <c r="AR56" s="24"/>
      <c r="AS56" s="24"/>
    </row>
    <row r="57" spans="1:45" ht="14.25" thickBot="1" x14ac:dyDescent="0.2">
      <c r="A57" s="10" t="s">
        <v>7</v>
      </c>
      <c r="B57" s="11"/>
      <c r="C57" s="36"/>
      <c r="D57" s="11"/>
      <c r="E57" s="6">
        <f t="shared" si="118"/>
        <v>0</v>
      </c>
      <c r="F57" s="11"/>
      <c r="G57" s="36"/>
      <c r="H57" s="11"/>
      <c r="I57" s="6">
        <f t="shared" si="119"/>
        <v>0</v>
      </c>
      <c r="J57" s="11"/>
      <c r="K57" s="36"/>
      <c r="L57" s="11"/>
      <c r="M57" s="6">
        <f t="shared" si="120"/>
        <v>0</v>
      </c>
      <c r="N57" s="7">
        <f t="shared" si="121"/>
        <v>0</v>
      </c>
      <c r="O57" s="24"/>
      <c r="P57" s="5" t="s">
        <v>7</v>
      </c>
      <c r="Q57" s="58"/>
      <c r="R57" s="59"/>
      <c r="S57" s="58"/>
      <c r="T57" s="6">
        <f t="shared" ref="T57" si="142">SUM(Q57:S57)</f>
        <v>0</v>
      </c>
      <c r="U57" s="58"/>
      <c r="V57" s="59"/>
      <c r="W57" s="58"/>
      <c r="X57" s="6">
        <f t="shared" ref="X57" si="143">SUM(U57:W57)</f>
        <v>0</v>
      </c>
      <c r="Y57" s="58"/>
      <c r="Z57" s="59"/>
      <c r="AA57" s="58"/>
      <c r="AB57" s="6">
        <f t="shared" ref="AB57" si="144">SUM(Y57:AA57)</f>
        <v>0</v>
      </c>
      <c r="AC57" s="7">
        <f t="shared" ref="AC57" si="145">T57+X57+AB57</f>
        <v>0</v>
      </c>
      <c r="AE57" s="24"/>
      <c r="AF57" s="24"/>
      <c r="AG57" s="24"/>
      <c r="AH57" s="24"/>
      <c r="AI57" s="24"/>
      <c r="AJ57" s="24"/>
      <c r="AK57" s="24"/>
      <c r="AL57" s="24"/>
      <c r="AM57" s="24"/>
      <c r="AN57" s="24"/>
      <c r="AO57" s="24"/>
      <c r="AP57" s="24"/>
      <c r="AQ57" s="24"/>
      <c r="AR57" s="24"/>
      <c r="AS57" s="24"/>
    </row>
    <row r="58" spans="1:45" ht="14.25" thickBot="1" x14ac:dyDescent="0.2">
      <c r="A58" s="12" t="s">
        <v>8</v>
      </c>
      <c r="B58" s="13">
        <f>SUM(B47:B57)</f>
        <v>30</v>
      </c>
      <c r="C58" s="37">
        <f t="shared" ref="C58:N58" si="146">SUM(C47:C57)</f>
        <v>35</v>
      </c>
      <c r="D58" s="31">
        <f t="shared" si="146"/>
        <v>19</v>
      </c>
      <c r="E58" s="14">
        <f t="shared" si="146"/>
        <v>84</v>
      </c>
      <c r="F58" s="13">
        <f t="shared" si="146"/>
        <v>30</v>
      </c>
      <c r="G58" s="37">
        <f t="shared" si="146"/>
        <v>34</v>
      </c>
      <c r="H58" s="31">
        <f t="shared" si="146"/>
        <v>20</v>
      </c>
      <c r="I58" s="14">
        <f t="shared" si="146"/>
        <v>84</v>
      </c>
      <c r="J58" s="13">
        <f t="shared" si="146"/>
        <v>30</v>
      </c>
      <c r="K58" s="37">
        <f t="shared" si="146"/>
        <v>34</v>
      </c>
      <c r="L58" s="31">
        <f t="shared" si="146"/>
        <v>18</v>
      </c>
      <c r="M58" s="14">
        <f t="shared" si="146"/>
        <v>82</v>
      </c>
      <c r="N58" s="15">
        <f t="shared" si="146"/>
        <v>250</v>
      </c>
      <c r="O58" s="24"/>
      <c r="P58" s="12" t="s">
        <v>8</v>
      </c>
      <c r="Q58" s="13">
        <f>SUM(Q47:Q57)</f>
        <v>622</v>
      </c>
      <c r="R58" s="37">
        <f t="shared" ref="R58" si="147">SUM(R47:R57)</f>
        <v>645</v>
      </c>
      <c r="S58" s="31">
        <f t="shared" ref="S58" si="148">SUM(S47:S57)</f>
        <v>474</v>
      </c>
      <c r="T58" s="14">
        <f t="shared" ref="T58" si="149">SUM(T47:T57)</f>
        <v>1741</v>
      </c>
      <c r="U58" s="13">
        <f t="shared" ref="U58" si="150">SUM(U47:U57)</f>
        <v>613</v>
      </c>
      <c r="V58" s="37">
        <f t="shared" ref="V58" si="151">SUM(V47:V57)</f>
        <v>647</v>
      </c>
      <c r="W58" s="31">
        <f t="shared" ref="W58" si="152">SUM(W47:W57)</f>
        <v>464</v>
      </c>
      <c r="X58" s="14">
        <f t="shared" ref="X58" si="153">SUM(X47:X57)</f>
        <v>1724</v>
      </c>
      <c r="Y58" s="13">
        <f t="shared" ref="Y58" si="154">SUM(Y47:Y57)</f>
        <v>627</v>
      </c>
      <c r="Z58" s="37">
        <f t="shared" ref="Z58" si="155">SUM(Z47:Z57)</f>
        <v>660</v>
      </c>
      <c r="AA58" s="31">
        <f t="shared" ref="AA58" si="156">SUM(AA47:AA57)</f>
        <v>478</v>
      </c>
      <c r="AB58" s="14">
        <f t="shared" ref="AB58" si="157">SUM(AB47:AB57)</f>
        <v>1765</v>
      </c>
      <c r="AC58" s="15">
        <f t="shared" ref="AC58" si="158">SUM(AC47:AC57)</f>
        <v>5230</v>
      </c>
      <c r="AE58" s="24"/>
      <c r="AF58" s="24"/>
      <c r="AG58" s="24"/>
      <c r="AH58" s="24"/>
      <c r="AI58" s="24"/>
      <c r="AJ58" s="24"/>
      <c r="AK58" s="24"/>
      <c r="AL58" s="24"/>
      <c r="AM58" s="24"/>
      <c r="AN58" s="24"/>
      <c r="AO58" s="24"/>
      <c r="AP58" s="24"/>
      <c r="AQ58" s="24"/>
      <c r="AR58" s="24"/>
      <c r="AS58" s="24"/>
    </row>
    <row r="59" spans="1:45" x14ac:dyDescent="0.15">
      <c r="A59" s="47" t="s">
        <v>77</v>
      </c>
      <c r="B59" s="16">
        <v>3</v>
      </c>
      <c r="C59" s="35"/>
      <c r="D59" s="9"/>
      <c r="E59" s="6">
        <f t="shared" ref="E59:E63" si="159">SUM(B59:D59)</f>
        <v>3</v>
      </c>
      <c r="F59" s="16">
        <v>3</v>
      </c>
      <c r="G59" s="35"/>
      <c r="H59" s="9"/>
      <c r="I59" s="6">
        <f t="shared" ref="I59:I63" si="160">SUM(F59:H59)</f>
        <v>3</v>
      </c>
      <c r="J59" s="16">
        <v>3</v>
      </c>
      <c r="K59" s="35"/>
      <c r="L59" s="9"/>
      <c r="M59" s="6">
        <f t="shared" ref="M59:M63" si="161">SUM(J59:L59)</f>
        <v>3</v>
      </c>
      <c r="N59" s="7">
        <f t="shared" ref="N59:N63" si="162">E59+I59+M59</f>
        <v>9</v>
      </c>
      <c r="O59" s="22">
        <v>45581</v>
      </c>
      <c r="P59" s="47" t="s">
        <v>69</v>
      </c>
      <c r="Q59" s="16">
        <v>10</v>
      </c>
      <c r="R59" s="35">
        <v>20</v>
      </c>
      <c r="S59" s="9">
        <v>5</v>
      </c>
      <c r="T59" s="6">
        <f t="shared" ref="T59:T60" si="163">SUM(Q59:S59)</f>
        <v>35</v>
      </c>
      <c r="U59" s="16">
        <v>10</v>
      </c>
      <c r="V59" s="35">
        <v>20</v>
      </c>
      <c r="W59" s="9">
        <v>5</v>
      </c>
      <c r="X59" s="6">
        <f t="shared" ref="X59:X60" si="164">SUM(U59:W59)</f>
        <v>35</v>
      </c>
      <c r="Y59" s="16">
        <v>10</v>
      </c>
      <c r="Z59" s="35">
        <v>20</v>
      </c>
      <c r="AA59" s="9">
        <v>5</v>
      </c>
      <c r="AB59" s="6">
        <f t="shared" ref="AB59:AB60" si="165">SUM(Y59:AA59)</f>
        <v>35</v>
      </c>
      <c r="AC59" s="7">
        <f t="shared" ref="AC59:AC60" si="166">T59+X59+AB59</f>
        <v>105</v>
      </c>
      <c r="AD59" s="26">
        <v>45583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</row>
    <row r="60" spans="1:45" x14ac:dyDescent="0.15">
      <c r="A60" s="47" t="s">
        <v>78</v>
      </c>
      <c r="B60" s="16">
        <v>2</v>
      </c>
      <c r="C60" s="35"/>
      <c r="D60" s="9"/>
      <c r="E60" s="6">
        <f t="shared" si="159"/>
        <v>2</v>
      </c>
      <c r="F60" s="16">
        <v>2</v>
      </c>
      <c r="G60" s="35"/>
      <c r="H60" s="9"/>
      <c r="I60" s="6">
        <f t="shared" si="160"/>
        <v>2</v>
      </c>
      <c r="J60" s="16">
        <v>2</v>
      </c>
      <c r="K60" s="35"/>
      <c r="L60" s="9"/>
      <c r="M60" s="6">
        <f t="shared" si="161"/>
        <v>2</v>
      </c>
      <c r="N60" s="7">
        <f t="shared" si="162"/>
        <v>6</v>
      </c>
      <c r="O60" s="22">
        <v>45581</v>
      </c>
      <c r="P60" s="47" t="s">
        <v>119</v>
      </c>
      <c r="Q60" s="16">
        <v>18</v>
      </c>
      <c r="R60" s="35">
        <v>20</v>
      </c>
      <c r="S60" s="9">
        <v>14</v>
      </c>
      <c r="T60" s="6">
        <f t="shared" si="163"/>
        <v>52</v>
      </c>
      <c r="U60" s="16">
        <v>18</v>
      </c>
      <c r="V60" s="35">
        <v>20</v>
      </c>
      <c r="W60" s="9">
        <v>14</v>
      </c>
      <c r="X60" s="6">
        <f t="shared" si="164"/>
        <v>52</v>
      </c>
      <c r="Y60" s="16">
        <v>18</v>
      </c>
      <c r="Z60" s="35">
        <v>20</v>
      </c>
      <c r="AA60" s="9">
        <v>14</v>
      </c>
      <c r="AB60" s="6">
        <f t="shared" si="165"/>
        <v>52</v>
      </c>
      <c r="AC60" s="7">
        <f t="shared" si="166"/>
        <v>156</v>
      </c>
      <c r="AD60" s="26">
        <v>45573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</row>
    <row r="61" spans="1:45" x14ac:dyDescent="0.15">
      <c r="A61" s="49" t="s">
        <v>80</v>
      </c>
      <c r="B61" s="16">
        <v>1</v>
      </c>
      <c r="C61" s="35">
        <v>1</v>
      </c>
      <c r="D61" s="9"/>
      <c r="E61" s="6">
        <f t="shared" si="159"/>
        <v>2</v>
      </c>
      <c r="F61" s="16"/>
      <c r="G61" s="35"/>
      <c r="H61" s="9"/>
      <c r="I61" s="6">
        <f t="shared" si="160"/>
        <v>0</v>
      </c>
      <c r="J61" s="16"/>
      <c r="K61" s="35"/>
      <c r="L61" s="9"/>
      <c r="M61" s="6">
        <f t="shared" si="161"/>
        <v>0</v>
      </c>
      <c r="N61" s="7">
        <f t="shared" si="162"/>
        <v>2</v>
      </c>
      <c r="O61" s="22">
        <v>45581</v>
      </c>
      <c r="P61" s="47" t="s">
        <v>72</v>
      </c>
      <c r="Q61" s="16"/>
      <c r="R61" s="35"/>
      <c r="S61" s="9">
        <v>9</v>
      </c>
      <c r="T61" s="6">
        <f t="shared" ref="T61:T69" si="167">SUM(Q61:S61)</f>
        <v>9</v>
      </c>
      <c r="U61" s="16"/>
      <c r="V61" s="35"/>
      <c r="W61" s="9">
        <v>9</v>
      </c>
      <c r="X61" s="6">
        <f t="shared" ref="X61:X69" si="168">SUM(U61:W61)</f>
        <v>9</v>
      </c>
      <c r="Y61" s="16"/>
      <c r="Z61" s="35"/>
      <c r="AA61" s="9">
        <v>9</v>
      </c>
      <c r="AB61" s="6">
        <f t="shared" ref="AB61:AB69" si="169">SUM(Y61:AA61)</f>
        <v>9</v>
      </c>
      <c r="AC61" s="7">
        <f t="shared" ref="AC61:AC69" si="170">T61+X61+AB61</f>
        <v>27</v>
      </c>
      <c r="AD61" s="26">
        <v>45574</v>
      </c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1:45" x14ac:dyDescent="0.15">
      <c r="A62" s="49" t="s">
        <v>81</v>
      </c>
      <c r="B62" s="16">
        <v>1</v>
      </c>
      <c r="C62" s="35"/>
      <c r="D62" s="9"/>
      <c r="E62" s="6">
        <f t="shared" si="159"/>
        <v>1</v>
      </c>
      <c r="F62" s="16">
        <v>1</v>
      </c>
      <c r="G62" s="35"/>
      <c r="H62" s="9"/>
      <c r="I62" s="6">
        <f t="shared" si="160"/>
        <v>1</v>
      </c>
      <c r="J62" s="16">
        <v>1</v>
      </c>
      <c r="K62" s="35"/>
      <c r="L62" s="9"/>
      <c r="M62" s="6">
        <f t="shared" si="161"/>
        <v>1</v>
      </c>
      <c r="N62" s="7">
        <f t="shared" si="162"/>
        <v>3</v>
      </c>
      <c r="O62" s="22">
        <v>45580</v>
      </c>
      <c r="P62" s="47" t="s">
        <v>74</v>
      </c>
      <c r="Q62" s="16">
        <v>1</v>
      </c>
      <c r="R62" s="35">
        <v>8</v>
      </c>
      <c r="S62" s="9"/>
      <c r="T62" s="6">
        <f t="shared" si="167"/>
        <v>9</v>
      </c>
      <c r="U62" s="16">
        <v>1</v>
      </c>
      <c r="V62" s="35">
        <v>8</v>
      </c>
      <c r="W62" s="9"/>
      <c r="X62" s="6">
        <f t="shared" si="168"/>
        <v>9</v>
      </c>
      <c r="Y62" s="16">
        <v>1</v>
      </c>
      <c r="Z62" s="35">
        <v>8</v>
      </c>
      <c r="AA62" s="9"/>
      <c r="AB62" s="6">
        <f t="shared" si="169"/>
        <v>9</v>
      </c>
      <c r="AC62" s="7">
        <f t="shared" si="170"/>
        <v>27</v>
      </c>
      <c r="AD62" s="26">
        <v>45576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x14ac:dyDescent="0.15">
      <c r="A63" s="49" t="s">
        <v>56</v>
      </c>
      <c r="B63" s="16"/>
      <c r="C63" s="35"/>
      <c r="D63" s="9"/>
      <c r="E63" s="6">
        <f t="shared" si="159"/>
        <v>0</v>
      </c>
      <c r="F63" s="16">
        <v>1</v>
      </c>
      <c r="G63" s="35"/>
      <c r="H63" s="9"/>
      <c r="I63" s="6">
        <f t="shared" si="160"/>
        <v>1</v>
      </c>
      <c r="J63" s="16"/>
      <c r="K63" s="35">
        <v>1</v>
      </c>
      <c r="L63" s="9"/>
      <c r="M63" s="6">
        <f t="shared" si="161"/>
        <v>1</v>
      </c>
      <c r="N63" s="7">
        <f t="shared" si="162"/>
        <v>2</v>
      </c>
      <c r="O63" s="22">
        <v>45580</v>
      </c>
      <c r="P63" s="47" t="s">
        <v>75</v>
      </c>
      <c r="Q63" s="16">
        <v>4</v>
      </c>
      <c r="R63" s="35">
        <v>4</v>
      </c>
      <c r="S63" s="9"/>
      <c r="T63" s="6">
        <f t="shared" si="167"/>
        <v>8</v>
      </c>
      <c r="U63" s="16">
        <v>4</v>
      </c>
      <c r="V63" s="35">
        <v>4</v>
      </c>
      <c r="W63" s="9"/>
      <c r="X63" s="6">
        <f t="shared" si="168"/>
        <v>8</v>
      </c>
      <c r="Y63" s="16">
        <v>4</v>
      </c>
      <c r="Z63" s="35">
        <v>4</v>
      </c>
      <c r="AA63" s="9"/>
      <c r="AB63" s="6">
        <f t="shared" si="169"/>
        <v>8</v>
      </c>
      <c r="AC63" s="7">
        <f t="shared" si="170"/>
        <v>24</v>
      </c>
      <c r="AD63" s="26">
        <v>45580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1:45" x14ac:dyDescent="0.15">
      <c r="A64" s="47" t="s">
        <v>84</v>
      </c>
      <c r="B64" s="16">
        <v>5</v>
      </c>
      <c r="C64" s="35"/>
      <c r="D64" s="9"/>
      <c r="E64" s="6">
        <f t="shared" ref="E64:E81" si="171">SUM(B64:D64)</f>
        <v>5</v>
      </c>
      <c r="F64" s="16">
        <v>5</v>
      </c>
      <c r="G64" s="35"/>
      <c r="H64" s="9"/>
      <c r="I64" s="6">
        <f t="shared" ref="I64:I81" si="172">SUM(F64:H64)</f>
        <v>5</v>
      </c>
      <c r="J64" s="16">
        <v>5</v>
      </c>
      <c r="K64" s="35"/>
      <c r="L64" s="9"/>
      <c r="M64" s="6">
        <f t="shared" ref="M64:M81" si="173">SUM(J64:L64)</f>
        <v>5</v>
      </c>
      <c r="N64" s="7">
        <f t="shared" ref="N64:N81" si="174">E64+I64+M64</f>
        <v>15</v>
      </c>
      <c r="O64" s="22">
        <v>45588</v>
      </c>
      <c r="P64" s="47" t="s">
        <v>76</v>
      </c>
      <c r="Q64" s="16">
        <v>10</v>
      </c>
      <c r="R64" s="35">
        <v>20</v>
      </c>
      <c r="S64" s="9"/>
      <c r="T64" s="6">
        <f t="shared" si="167"/>
        <v>30</v>
      </c>
      <c r="U64" s="16">
        <v>10</v>
      </c>
      <c r="V64" s="35">
        <v>20</v>
      </c>
      <c r="W64" s="9"/>
      <c r="X64" s="6">
        <f t="shared" si="168"/>
        <v>30</v>
      </c>
      <c r="Y64" s="16">
        <v>10</v>
      </c>
      <c r="Z64" s="35">
        <v>20</v>
      </c>
      <c r="AA64" s="9"/>
      <c r="AB64" s="6">
        <f t="shared" si="169"/>
        <v>30</v>
      </c>
      <c r="AC64" s="7">
        <f t="shared" si="170"/>
        <v>90</v>
      </c>
      <c r="AD64" s="26">
        <v>45587</v>
      </c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1:45" x14ac:dyDescent="0.15">
      <c r="A65" s="47" t="s">
        <v>88</v>
      </c>
      <c r="B65" s="16"/>
      <c r="C65" s="35">
        <v>5</v>
      </c>
      <c r="D65" s="9"/>
      <c r="E65" s="6">
        <f t="shared" si="171"/>
        <v>5</v>
      </c>
      <c r="F65" s="16"/>
      <c r="G65" s="35">
        <v>5</v>
      </c>
      <c r="H65" s="9"/>
      <c r="I65" s="6">
        <f t="shared" si="172"/>
        <v>5</v>
      </c>
      <c r="J65" s="16"/>
      <c r="K65" s="35">
        <v>5</v>
      </c>
      <c r="L65" s="9"/>
      <c r="M65" s="6">
        <f t="shared" si="173"/>
        <v>5</v>
      </c>
      <c r="N65" s="7">
        <f t="shared" si="174"/>
        <v>15</v>
      </c>
      <c r="O65" s="22">
        <v>45588</v>
      </c>
      <c r="P65" s="47" t="s">
        <v>82</v>
      </c>
      <c r="Q65" s="16"/>
      <c r="R65" s="35">
        <v>5</v>
      </c>
      <c r="S65" s="9"/>
      <c r="T65" s="6">
        <f t="shared" si="167"/>
        <v>5</v>
      </c>
      <c r="U65" s="16"/>
      <c r="V65" s="35">
        <v>5</v>
      </c>
      <c r="W65" s="9"/>
      <c r="X65" s="6">
        <f t="shared" si="168"/>
        <v>5</v>
      </c>
      <c r="Y65" s="16"/>
      <c r="Z65" s="35">
        <v>5</v>
      </c>
      <c r="AA65" s="9"/>
      <c r="AB65" s="6">
        <f t="shared" si="169"/>
        <v>5</v>
      </c>
      <c r="AC65" s="7">
        <f t="shared" si="170"/>
        <v>15</v>
      </c>
      <c r="AD65" s="26">
        <v>45586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1:45" x14ac:dyDescent="0.15">
      <c r="A66" s="47" t="s">
        <v>92</v>
      </c>
      <c r="B66" s="16"/>
      <c r="C66" s="35">
        <v>3</v>
      </c>
      <c r="D66" s="9"/>
      <c r="E66" s="6">
        <f t="shared" si="171"/>
        <v>3</v>
      </c>
      <c r="F66" s="16"/>
      <c r="G66" s="35">
        <v>3</v>
      </c>
      <c r="H66" s="9"/>
      <c r="I66" s="6">
        <f t="shared" si="172"/>
        <v>3</v>
      </c>
      <c r="J66" s="16"/>
      <c r="K66" s="35">
        <v>3</v>
      </c>
      <c r="L66" s="9"/>
      <c r="M66" s="6">
        <f t="shared" si="173"/>
        <v>3</v>
      </c>
      <c r="N66" s="7">
        <f t="shared" si="174"/>
        <v>9</v>
      </c>
      <c r="O66" s="22">
        <v>45593</v>
      </c>
      <c r="P66" s="47" t="s">
        <v>83</v>
      </c>
      <c r="Q66" s="16"/>
      <c r="R66" s="35">
        <v>5</v>
      </c>
      <c r="S66" s="9"/>
      <c r="T66" s="6">
        <f t="shared" si="167"/>
        <v>5</v>
      </c>
      <c r="U66" s="16"/>
      <c r="V66" s="35">
        <v>5</v>
      </c>
      <c r="W66" s="9"/>
      <c r="X66" s="6">
        <f t="shared" si="168"/>
        <v>5</v>
      </c>
      <c r="Y66" s="16"/>
      <c r="Z66" s="35">
        <v>5</v>
      </c>
      <c r="AA66" s="9"/>
      <c r="AB66" s="6">
        <f t="shared" si="169"/>
        <v>5</v>
      </c>
      <c r="AC66" s="7">
        <f t="shared" si="170"/>
        <v>15</v>
      </c>
      <c r="AD66" s="26">
        <v>45586</v>
      </c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x14ac:dyDescent="0.15">
      <c r="A67" s="47" t="s">
        <v>93</v>
      </c>
      <c r="B67" s="16"/>
      <c r="C67" s="35">
        <v>3</v>
      </c>
      <c r="D67" s="9"/>
      <c r="E67" s="6">
        <f t="shared" si="171"/>
        <v>3</v>
      </c>
      <c r="F67" s="16"/>
      <c r="G67" s="35">
        <v>3</v>
      </c>
      <c r="H67" s="9"/>
      <c r="I67" s="6">
        <f t="shared" si="172"/>
        <v>3</v>
      </c>
      <c r="J67" s="16"/>
      <c r="K67" s="35">
        <v>3</v>
      </c>
      <c r="L67" s="9"/>
      <c r="M67" s="6">
        <f t="shared" si="173"/>
        <v>3</v>
      </c>
      <c r="N67" s="7">
        <f t="shared" si="174"/>
        <v>9</v>
      </c>
      <c r="O67" s="22">
        <v>45593</v>
      </c>
      <c r="P67" s="47" t="s">
        <v>85</v>
      </c>
      <c r="Q67" s="16">
        <v>10</v>
      </c>
      <c r="R67" s="35"/>
      <c r="S67" s="9"/>
      <c r="T67" s="6">
        <f t="shared" si="167"/>
        <v>10</v>
      </c>
      <c r="U67" s="16">
        <v>10</v>
      </c>
      <c r="V67" s="35"/>
      <c r="W67" s="9"/>
      <c r="X67" s="6">
        <f t="shared" si="168"/>
        <v>10</v>
      </c>
      <c r="Y67" s="16">
        <v>10</v>
      </c>
      <c r="Z67" s="35"/>
      <c r="AA67" s="9"/>
      <c r="AB67" s="6">
        <f t="shared" si="169"/>
        <v>10</v>
      </c>
      <c r="AC67" s="7">
        <f t="shared" si="170"/>
        <v>30</v>
      </c>
      <c r="AD67" s="26">
        <v>45584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</row>
    <row r="68" spans="1:45" x14ac:dyDescent="0.15">
      <c r="A68" s="49" t="s">
        <v>56</v>
      </c>
      <c r="B68" s="16"/>
      <c r="C68" s="35"/>
      <c r="D68" s="9">
        <v>1</v>
      </c>
      <c r="E68" s="6">
        <f t="shared" si="171"/>
        <v>1</v>
      </c>
      <c r="F68" s="16"/>
      <c r="G68" s="35"/>
      <c r="H68" s="9">
        <v>1</v>
      </c>
      <c r="I68" s="6">
        <f t="shared" si="172"/>
        <v>1</v>
      </c>
      <c r="J68" s="16"/>
      <c r="K68" s="35"/>
      <c r="L68" s="9"/>
      <c r="M68" s="6">
        <f t="shared" si="173"/>
        <v>0</v>
      </c>
      <c r="N68" s="7">
        <f t="shared" si="174"/>
        <v>2</v>
      </c>
      <c r="O68" s="22">
        <v>45593</v>
      </c>
      <c r="P68" s="47" t="s">
        <v>89</v>
      </c>
      <c r="Q68" s="16">
        <v>10</v>
      </c>
      <c r="R68" s="35"/>
      <c r="S68" s="9">
        <v>10</v>
      </c>
      <c r="T68" s="6">
        <f t="shared" si="167"/>
        <v>20</v>
      </c>
      <c r="U68" s="16">
        <v>10</v>
      </c>
      <c r="V68" s="35"/>
      <c r="W68" s="9">
        <v>10</v>
      </c>
      <c r="X68" s="6">
        <f t="shared" si="168"/>
        <v>20</v>
      </c>
      <c r="Y68" s="16">
        <v>10</v>
      </c>
      <c r="Z68" s="35"/>
      <c r="AA68" s="9">
        <v>10</v>
      </c>
      <c r="AB68" s="6">
        <f t="shared" si="169"/>
        <v>20</v>
      </c>
      <c r="AC68" s="7">
        <f t="shared" si="170"/>
        <v>60</v>
      </c>
      <c r="AD68" s="26">
        <v>45601</v>
      </c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</row>
    <row r="69" spans="1:45" x14ac:dyDescent="0.15">
      <c r="A69" s="49" t="s">
        <v>97</v>
      </c>
      <c r="B69" s="16"/>
      <c r="C69" s="35">
        <v>1</v>
      </c>
      <c r="D69" s="9"/>
      <c r="E69" s="6">
        <f t="shared" si="171"/>
        <v>1</v>
      </c>
      <c r="F69" s="16"/>
      <c r="G69" s="35">
        <v>1</v>
      </c>
      <c r="H69" s="9"/>
      <c r="I69" s="6">
        <f t="shared" si="172"/>
        <v>1</v>
      </c>
      <c r="J69" s="16"/>
      <c r="K69" s="35">
        <v>1</v>
      </c>
      <c r="L69" s="9"/>
      <c r="M69" s="6">
        <f t="shared" si="173"/>
        <v>1</v>
      </c>
      <c r="N69" s="7">
        <f t="shared" si="174"/>
        <v>3</v>
      </c>
      <c r="O69" s="22">
        <v>45594</v>
      </c>
      <c r="P69" s="47" t="s">
        <v>46</v>
      </c>
      <c r="Q69" s="16"/>
      <c r="R69" s="35">
        <v>5</v>
      </c>
      <c r="S69" s="9"/>
      <c r="T69" s="6">
        <f t="shared" si="167"/>
        <v>5</v>
      </c>
      <c r="U69" s="16"/>
      <c r="V69" s="35">
        <v>5</v>
      </c>
      <c r="W69" s="9"/>
      <c r="X69" s="6">
        <f t="shared" si="168"/>
        <v>5</v>
      </c>
      <c r="Y69" s="16"/>
      <c r="Z69" s="35">
        <v>5</v>
      </c>
      <c r="AA69" s="9"/>
      <c r="AB69" s="6">
        <f t="shared" si="169"/>
        <v>5</v>
      </c>
      <c r="AC69" s="7">
        <f t="shared" si="170"/>
        <v>15</v>
      </c>
      <c r="AD69" s="26">
        <v>45594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</row>
    <row r="70" spans="1:45" x14ac:dyDescent="0.15">
      <c r="A70" s="49" t="s">
        <v>81</v>
      </c>
      <c r="B70" s="16"/>
      <c r="C70" s="35"/>
      <c r="D70" s="9"/>
      <c r="E70" s="6">
        <f t="shared" si="171"/>
        <v>0</v>
      </c>
      <c r="F70" s="16"/>
      <c r="G70" s="35">
        <v>1</v>
      </c>
      <c r="H70" s="9"/>
      <c r="I70" s="6">
        <f t="shared" si="172"/>
        <v>1</v>
      </c>
      <c r="J70" s="16"/>
      <c r="K70" s="35">
        <v>1</v>
      </c>
      <c r="L70" s="9"/>
      <c r="M70" s="6">
        <f t="shared" si="173"/>
        <v>1</v>
      </c>
      <c r="N70" s="7">
        <f t="shared" si="174"/>
        <v>2</v>
      </c>
      <c r="O70" s="22">
        <v>45602</v>
      </c>
      <c r="P70" s="47" t="s">
        <v>98</v>
      </c>
      <c r="Q70" s="16">
        <v>8</v>
      </c>
      <c r="R70" s="35">
        <v>12</v>
      </c>
      <c r="S70" s="9"/>
      <c r="T70" s="6">
        <f t="shared" ref="T70:T76" si="175">SUM(Q70:S70)</f>
        <v>20</v>
      </c>
      <c r="U70" s="16">
        <v>8</v>
      </c>
      <c r="V70" s="35">
        <v>12</v>
      </c>
      <c r="W70" s="9"/>
      <c r="X70" s="6">
        <f t="shared" ref="X70:X76" si="176">SUM(U70:W70)</f>
        <v>20</v>
      </c>
      <c r="Y70" s="16">
        <v>8</v>
      </c>
      <c r="Z70" s="35">
        <v>12</v>
      </c>
      <c r="AA70" s="9"/>
      <c r="AB70" s="6">
        <f t="shared" ref="AB70:AB76" si="177">SUM(Y70:AA70)</f>
        <v>20</v>
      </c>
      <c r="AC70" s="7">
        <f t="shared" ref="AC70:AC76" si="178">T70+X70+AB70</f>
        <v>60</v>
      </c>
      <c r="AD70" s="26">
        <v>45607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x14ac:dyDescent="0.15">
      <c r="A71" s="49" t="s">
        <v>56</v>
      </c>
      <c r="B71" s="16"/>
      <c r="C71" s="35">
        <v>1</v>
      </c>
      <c r="D71" s="9"/>
      <c r="E71" s="6">
        <f t="shared" si="171"/>
        <v>1</v>
      </c>
      <c r="F71" s="16"/>
      <c r="G71" s="35">
        <v>1</v>
      </c>
      <c r="H71" s="9"/>
      <c r="I71" s="6">
        <f t="shared" si="172"/>
        <v>1</v>
      </c>
      <c r="J71" s="16"/>
      <c r="K71" s="35">
        <v>1</v>
      </c>
      <c r="L71" s="9"/>
      <c r="M71" s="6">
        <f t="shared" si="173"/>
        <v>1</v>
      </c>
      <c r="N71" s="7">
        <f t="shared" si="174"/>
        <v>3</v>
      </c>
      <c r="O71" s="22">
        <v>45604</v>
      </c>
      <c r="P71" s="47" t="s">
        <v>46</v>
      </c>
      <c r="Q71" s="16"/>
      <c r="R71" s="35">
        <v>5</v>
      </c>
      <c r="S71" s="9"/>
      <c r="T71" s="6">
        <f t="shared" si="175"/>
        <v>5</v>
      </c>
      <c r="U71" s="16"/>
      <c r="V71" s="35">
        <v>5</v>
      </c>
      <c r="W71" s="9"/>
      <c r="X71" s="6">
        <f t="shared" si="176"/>
        <v>5</v>
      </c>
      <c r="Y71" s="16"/>
      <c r="Z71" s="35">
        <v>5</v>
      </c>
      <c r="AA71" s="9"/>
      <c r="AB71" s="6">
        <f t="shared" si="177"/>
        <v>5</v>
      </c>
      <c r="AC71" s="7">
        <f t="shared" si="178"/>
        <v>15</v>
      </c>
      <c r="AD71" s="26">
        <v>45621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x14ac:dyDescent="0.15">
      <c r="A72" s="49" t="s">
        <v>56</v>
      </c>
      <c r="B72" s="16"/>
      <c r="C72" s="35"/>
      <c r="D72" s="9"/>
      <c r="E72" s="6">
        <f t="shared" si="171"/>
        <v>0</v>
      </c>
      <c r="F72" s="16"/>
      <c r="G72" s="35"/>
      <c r="H72" s="9"/>
      <c r="I72" s="6">
        <f t="shared" si="172"/>
        <v>0</v>
      </c>
      <c r="J72" s="16"/>
      <c r="K72" s="35">
        <v>1</v>
      </c>
      <c r="L72" s="9"/>
      <c r="M72" s="6">
        <f t="shared" si="173"/>
        <v>1</v>
      </c>
      <c r="N72" s="7">
        <f t="shared" si="174"/>
        <v>1</v>
      </c>
      <c r="O72" s="22">
        <v>45618</v>
      </c>
      <c r="P72" s="47" t="s">
        <v>46</v>
      </c>
      <c r="Q72" s="16"/>
      <c r="R72" s="35">
        <v>5</v>
      </c>
      <c r="S72" s="9"/>
      <c r="T72" s="6">
        <f t="shared" si="175"/>
        <v>5</v>
      </c>
      <c r="U72" s="16"/>
      <c r="V72" s="35">
        <v>5</v>
      </c>
      <c r="W72" s="9"/>
      <c r="X72" s="6">
        <f t="shared" si="176"/>
        <v>5</v>
      </c>
      <c r="Y72" s="16"/>
      <c r="Z72" s="35">
        <v>5</v>
      </c>
      <c r="AA72" s="9"/>
      <c r="AB72" s="6">
        <f t="shared" si="177"/>
        <v>5</v>
      </c>
      <c r="AC72" s="7">
        <f t="shared" si="178"/>
        <v>15</v>
      </c>
      <c r="AD72" s="26">
        <v>45622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x14ac:dyDescent="0.15">
      <c r="A73" s="49" t="s">
        <v>110</v>
      </c>
      <c r="B73" s="16"/>
      <c r="C73" s="35"/>
      <c r="D73" s="9">
        <v>5</v>
      </c>
      <c r="E73" s="6">
        <f t="shared" si="171"/>
        <v>5</v>
      </c>
      <c r="F73" s="16"/>
      <c r="G73" s="35"/>
      <c r="H73" s="9"/>
      <c r="I73" s="6">
        <f t="shared" si="172"/>
        <v>0</v>
      </c>
      <c r="J73" s="16"/>
      <c r="K73" s="35"/>
      <c r="L73" s="9"/>
      <c r="M73" s="6">
        <f t="shared" si="173"/>
        <v>0</v>
      </c>
      <c r="N73" s="7">
        <f t="shared" si="174"/>
        <v>5</v>
      </c>
      <c r="O73" s="22">
        <v>45624</v>
      </c>
      <c r="P73" s="47"/>
      <c r="Q73" s="16"/>
      <c r="R73" s="35"/>
      <c r="S73" s="9"/>
      <c r="T73" s="6">
        <f t="shared" si="175"/>
        <v>0</v>
      </c>
      <c r="U73" s="16"/>
      <c r="V73" s="35"/>
      <c r="W73" s="9"/>
      <c r="X73" s="6">
        <f t="shared" si="176"/>
        <v>0</v>
      </c>
      <c r="Y73" s="16"/>
      <c r="Z73" s="35"/>
      <c r="AA73" s="9"/>
      <c r="AB73" s="6">
        <f t="shared" si="177"/>
        <v>0</v>
      </c>
      <c r="AC73" s="7">
        <f t="shared" si="178"/>
        <v>0</v>
      </c>
      <c r="AD73" s="26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x14ac:dyDescent="0.15">
      <c r="A74" s="49" t="s">
        <v>56</v>
      </c>
      <c r="B74" s="16"/>
      <c r="C74" s="35"/>
      <c r="D74" s="9"/>
      <c r="E74" s="6">
        <f t="shared" si="171"/>
        <v>0</v>
      </c>
      <c r="F74" s="16">
        <v>1</v>
      </c>
      <c r="G74" s="35"/>
      <c r="H74" s="9"/>
      <c r="I74" s="6">
        <f t="shared" si="172"/>
        <v>1</v>
      </c>
      <c r="J74" s="16"/>
      <c r="K74" s="35"/>
      <c r="L74" s="9">
        <v>1</v>
      </c>
      <c r="M74" s="6">
        <f t="shared" si="173"/>
        <v>1</v>
      </c>
      <c r="N74" s="7">
        <f t="shared" si="174"/>
        <v>2</v>
      </c>
      <c r="O74" s="22">
        <v>45622</v>
      </c>
      <c r="P74" s="47"/>
      <c r="Q74" s="16"/>
      <c r="R74" s="35"/>
      <c r="S74" s="9"/>
      <c r="T74" s="6">
        <f t="shared" si="175"/>
        <v>0</v>
      </c>
      <c r="U74" s="16"/>
      <c r="V74" s="35"/>
      <c r="W74" s="9"/>
      <c r="X74" s="6">
        <f t="shared" si="176"/>
        <v>0</v>
      </c>
      <c r="Y74" s="16"/>
      <c r="Z74" s="35"/>
      <c r="AA74" s="9"/>
      <c r="AB74" s="6">
        <f t="shared" si="177"/>
        <v>0</v>
      </c>
      <c r="AC74" s="7">
        <f t="shared" si="178"/>
        <v>0</v>
      </c>
      <c r="AD74" s="26"/>
      <c r="AE74" s="26"/>
      <c r="AF74" s="26"/>
      <c r="AG74" s="26"/>
      <c r="AH74" s="26"/>
      <c r="AI74" s="26"/>
      <c r="AJ74" s="26"/>
      <c r="AK74" s="26"/>
      <c r="AL74" s="26"/>
      <c r="AM74" s="26"/>
      <c r="AN74" s="26"/>
      <c r="AO74" s="26"/>
      <c r="AP74" s="26"/>
      <c r="AQ74" s="26"/>
      <c r="AR74" s="26"/>
      <c r="AS74" s="26"/>
    </row>
    <row r="75" spans="1:45" x14ac:dyDescent="0.15">
      <c r="A75" s="47" t="s">
        <v>105</v>
      </c>
      <c r="B75" s="16"/>
      <c r="C75" s="35">
        <v>6</v>
      </c>
      <c r="D75" s="9"/>
      <c r="E75" s="6">
        <f t="shared" si="171"/>
        <v>6</v>
      </c>
      <c r="F75" s="16"/>
      <c r="G75" s="35">
        <v>6</v>
      </c>
      <c r="H75" s="9"/>
      <c r="I75" s="6">
        <f t="shared" si="172"/>
        <v>6</v>
      </c>
      <c r="J75" s="16"/>
      <c r="K75" s="35">
        <v>6</v>
      </c>
      <c r="L75" s="9"/>
      <c r="M75" s="6">
        <f t="shared" si="173"/>
        <v>6</v>
      </c>
      <c r="N75" s="7">
        <f t="shared" si="174"/>
        <v>18</v>
      </c>
      <c r="O75" s="22">
        <v>45625</v>
      </c>
      <c r="P75" s="47"/>
      <c r="Q75" s="16"/>
      <c r="R75" s="35"/>
      <c r="S75" s="9"/>
      <c r="T75" s="6">
        <f t="shared" si="175"/>
        <v>0</v>
      </c>
      <c r="U75" s="16"/>
      <c r="V75" s="35"/>
      <c r="W75" s="9"/>
      <c r="X75" s="6">
        <f t="shared" si="176"/>
        <v>0</v>
      </c>
      <c r="Y75" s="16"/>
      <c r="Z75" s="35"/>
      <c r="AA75" s="9"/>
      <c r="AB75" s="6">
        <f t="shared" si="177"/>
        <v>0</v>
      </c>
      <c r="AC75" s="7">
        <f t="shared" si="178"/>
        <v>0</v>
      </c>
      <c r="AD75" s="26"/>
      <c r="AE75" s="26"/>
      <c r="AF75" s="26"/>
      <c r="AG75" s="26"/>
      <c r="AH75" s="26"/>
      <c r="AI75" s="26"/>
      <c r="AJ75" s="26"/>
      <c r="AK75" s="26"/>
      <c r="AL75" s="26"/>
      <c r="AM75" s="26"/>
      <c r="AN75" s="26"/>
      <c r="AO75" s="26"/>
      <c r="AP75" s="26"/>
      <c r="AQ75" s="26"/>
      <c r="AR75" s="26"/>
      <c r="AS75" s="26"/>
    </row>
    <row r="76" spans="1:45" x14ac:dyDescent="0.15">
      <c r="A76" s="49" t="s">
        <v>56</v>
      </c>
      <c r="B76" s="16"/>
      <c r="C76" s="35"/>
      <c r="D76" s="9">
        <v>1</v>
      </c>
      <c r="E76" s="6">
        <f t="shared" si="171"/>
        <v>1</v>
      </c>
      <c r="F76" s="16"/>
      <c r="G76" s="35"/>
      <c r="H76" s="9">
        <v>1</v>
      </c>
      <c r="I76" s="6">
        <f t="shared" si="172"/>
        <v>1</v>
      </c>
      <c r="J76" s="16"/>
      <c r="K76" s="35"/>
      <c r="L76" s="9">
        <v>1</v>
      </c>
      <c r="M76" s="6">
        <f t="shared" si="173"/>
        <v>1</v>
      </c>
      <c r="N76" s="7">
        <f t="shared" si="174"/>
        <v>3</v>
      </c>
      <c r="O76" s="22">
        <v>45623</v>
      </c>
      <c r="P76" s="47"/>
      <c r="Q76" s="16"/>
      <c r="R76" s="35"/>
      <c r="S76" s="9"/>
      <c r="T76" s="6">
        <f t="shared" si="175"/>
        <v>0</v>
      </c>
      <c r="U76" s="16"/>
      <c r="V76" s="35"/>
      <c r="W76" s="9"/>
      <c r="X76" s="6">
        <f t="shared" si="176"/>
        <v>0</v>
      </c>
      <c r="Y76" s="16"/>
      <c r="Z76" s="35"/>
      <c r="AA76" s="9"/>
      <c r="AB76" s="6">
        <f t="shared" si="177"/>
        <v>0</v>
      </c>
      <c r="AC76" s="7">
        <f t="shared" si="178"/>
        <v>0</v>
      </c>
      <c r="AD76" s="26"/>
      <c r="AE76" s="26"/>
      <c r="AF76" s="26"/>
      <c r="AG76" s="26"/>
      <c r="AH76" s="26"/>
      <c r="AI76" s="26"/>
      <c r="AJ76" s="26"/>
      <c r="AK76" s="26"/>
      <c r="AL76" s="26"/>
      <c r="AM76" s="26"/>
      <c r="AN76" s="26"/>
      <c r="AO76" s="26"/>
      <c r="AP76" s="26"/>
      <c r="AQ76" s="26"/>
      <c r="AR76" s="26"/>
      <c r="AS76" s="26"/>
    </row>
    <row r="77" spans="1:45" x14ac:dyDescent="0.15">
      <c r="A77" s="49"/>
      <c r="B77" s="16"/>
      <c r="C77" s="35"/>
      <c r="D77" s="9"/>
      <c r="E77" s="6">
        <f t="shared" si="171"/>
        <v>0</v>
      </c>
      <c r="F77" s="16"/>
      <c r="G77" s="35"/>
      <c r="H77" s="9"/>
      <c r="I77" s="6">
        <f t="shared" si="172"/>
        <v>0</v>
      </c>
      <c r="J77" s="16"/>
      <c r="K77" s="35"/>
      <c r="L77" s="9"/>
      <c r="M77" s="6">
        <f t="shared" si="173"/>
        <v>0</v>
      </c>
      <c r="N77" s="7">
        <f t="shared" si="174"/>
        <v>0</v>
      </c>
      <c r="O77" s="22"/>
      <c r="P77" s="47"/>
      <c r="Q77" s="16"/>
      <c r="R77" s="35"/>
      <c r="S77" s="9"/>
      <c r="T77" s="6">
        <f t="shared" ref="T77" si="179">SUM(Q77:S77)</f>
        <v>0</v>
      </c>
      <c r="U77" s="16"/>
      <c r="V77" s="35"/>
      <c r="W77" s="9"/>
      <c r="X77" s="6">
        <f t="shared" ref="X77" si="180">SUM(U77:W77)</f>
        <v>0</v>
      </c>
      <c r="Y77" s="16"/>
      <c r="Z77" s="35"/>
      <c r="AA77" s="9"/>
      <c r="AB77" s="6">
        <f t="shared" ref="AB77" si="181">SUM(Y77:AA77)</f>
        <v>0</v>
      </c>
      <c r="AC77" s="7">
        <f t="shared" ref="AC77" si="182">T77+X77+AB77</f>
        <v>0</v>
      </c>
      <c r="AD77" s="26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x14ac:dyDescent="0.15">
      <c r="A78" s="49"/>
      <c r="B78" s="16"/>
      <c r="C78" s="35"/>
      <c r="D78" s="9"/>
      <c r="E78" s="6">
        <f t="shared" si="171"/>
        <v>0</v>
      </c>
      <c r="F78" s="16"/>
      <c r="G78" s="35"/>
      <c r="H78" s="9"/>
      <c r="I78" s="6">
        <f t="shared" si="172"/>
        <v>0</v>
      </c>
      <c r="J78" s="16"/>
      <c r="K78" s="35"/>
      <c r="L78" s="9"/>
      <c r="M78" s="6">
        <f t="shared" si="173"/>
        <v>0</v>
      </c>
      <c r="N78" s="7">
        <f t="shared" si="174"/>
        <v>0</v>
      </c>
      <c r="O78" s="22"/>
      <c r="P78" s="47" t="s">
        <v>23</v>
      </c>
      <c r="Q78" s="16"/>
      <c r="R78" s="35"/>
      <c r="S78" s="9"/>
      <c r="T78" s="6">
        <f t="shared" ref="T78" si="183">SUM(Q78:S78)</f>
        <v>0</v>
      </c>
      <c r="U78" s="16"/>
      <c r="V78" s="35"/>
      <c r="W78" s="9"/>
      <c r="X78" s="6">
        <f t="shared" ref="X78" si="184">SUM(U78:W78)</f>
        <v>0</v>
      </c>
      <c r="Y78" s="16"/>
      <c r="Z78" s="35"/>
      <c r="AA78" s="9"/>
      <c r="AB78" s="6">
        <f t="shared" ref="AB78" si="185">SUM(Y78:AA78)</f>
        <v>0</v>
      </c>
      <c r="AC78" s="7">
        <f t="shared" ref="AC78" si="186">T78+X78+AB78</f>
        <v>0</v>
      </c>
      <c r="AD78" s="26" t="s">
        <v>35</v>
      </c>
      <c r="AE78" s="26"/>
      <c r="AF78" s="26"/>
      <c r="AG78" s="26"/>
      <c r="AH78" s="26"/>
      <c r="AI78" s="26"/>
      <c r="AJ78" s="26"/>
      <c r="AK78" s="26"/>
      <c r="AL78" s="26"/>
      <c r="AM78" s="26"/>
      <c r="AN78" s="26"/>
      <c r="AO78" s="26"/>
      <c r="AP78" s="26"/>
      <c r="AQ78" s="26"/>
      <c r="AR78" s="26"/>
      <c r="AS78" s="26"/>
    </row>
    <row r="79" spans="1:45" x14ac:dyDescent="0.15">
      <c r="A79" s="49"/>
      <c r="B79" s="16"/>
      <c r="C79" s="35"/>
      <c r="D79" s="9"/>
      <c r="E79" s="6">
        <f t="shared" si="171"/>
        <v>0</v>
      </c>
      <c r="F79" s="16"/>
      <c r="G79" s="35"/>
      <c r="H79" s="9"/>
      <c r="I79" s="6">
        <f t="shared" si="172"/>
        <v>0</v>
      </c>
      <c r="J79" s="16"/>
      <c r="K79" s="35"/>
      <c r="L79" s="9"/>
      <c r="M79" s="6">
        <f t="shared" si="173"/>
        <v>0</v>
      </c>
      <c r="N79" s="7">
        <f t="shared" si="174"/>
        <v>0</v>
      </c>
      <c r="O79" s="22"/>
      <c r="P79" s="39" t="s">
        <v>29</v>
      </c>
      <c r="Q79" s="62"/>
      <c r="R79" s="63"/>
      <c r="S79" s="64"/>
      <c r="T79" s="65">
        <f t="shared" ref="T79:T82" si="187">SUM(Q79:S79)</f>
        <v>0</v>
      </c>
      <c r="U79" s="62"/>
      <c r="V79" s="63"/>
      <c r="W79" s="64"/>
      <c r="X79" s="65">
        <f t="shared" ref="X79:X82" si="188">SUM(U79:W79)</f>
        <v>0</v>
      </c>
      <c r="Y79" s="62"/>
      <c r="Z79" s="63"/>
      <c r="AA79" s="64"/>
      <c r="AB79" s="65">
        <f t="shared" ref="AB79:AB82" si="189">SUM(Y79:AA79)</f>
        <v>0</v>
      </c>
      <c r="AC79" s="66">
        <f t="shared" ref="AC79:AC82" si="190">T79+X79+AB79</f>
        <v>0</v>
      </c>
      <c r="AD79" s="26"/>
      <c r="AE79" s="26"/>
      <c r="AF79" s="26"/>
      <c r="AG79" s="26"/>
      <c r="AH79" s="26"/>
      <c r="AI79" s="26"/>
      <c r="AJ79" s="26"/>
      <c r="AK79" s="26"/>
      <c r="AL79" s="26"/>
      <c r="AM79" s="26"/>
      <c r="AN79" s="26"/>
      <c r="AO79" s="26"/>
      <c r="AP79" s="26"/>
      <c r="AQ79" s="26"/>
      <c r="AR79" s="26"/>
      <c r="AS79" s="26"/>
    </row>
    <row r="80" spans="1:45" x14ac:dyDescent="0.15">
      <c r="A80" s="49"/>
      <c r="B80" s="16"/>
      <c r="C80" s="35"/>
      <c r="D80" s="9"/>
      <c r="E80" s="6">
        <f t="shared" si="171"/>
        <v>0</v>
      </c>
      <c r="F80" s="16"/>
      <c r="G80" s="35"/>
      <c r="H80" s="9"/>
      <c r="I80" s="6">
        <f t="shared" si="172"/>
        <v>0</v>
      </c>
      <c r="J80" s="16"/>
      <c r="K80" s="35"/>
      <c r="L80" s="9"/>
      <c r="M80" s="6">
        <f t="shared" si="173"/>
        <v>0</v>
      </c>
      <c r="N80" s="7">
        <f t="shared" si="174"/>
        <v>0</v>
      </c>
      <c r="O80" s="22"/>
      <c r="P80" s="47" t="s">
        <v>28</v>
      </c>
      <c r="Q80" s="16"/>
      <c r="R80" s="35"/>
      <c r="S80" s="9"/>
      <c r="T80" s="6">
        <f t="shared" si="187"/>
        <v>0</v>
      </c>
      <c r="U80" s="16"/>
      <c r="V80" s="35"/>
      <c r="W80" s="9"/>
      <c r="X80" s="6">
        <f t="shared" si="188"/>
        <v>0</v>
      </c>
      <c r="Y80" s="16"/>
      <c r="Z80" s="35"/>
      <c r="AA80" s="9"/>
      <c r="AB80" s="6">
        <f t="shared" si="189"/>
        <v>0</v>
      </c>
      <c r="AC80" s="7">
        <f t="shared" si="190"/>
        <v>0</v>
      </c>
      <c r="AD80" s="26" t="s">
        <v>18</v>
      </c>
      <c r="AE80" s="26"/>
      <c r="AF80" s="26"/>
      <c r="AG80" s="26"/>
      <c r="AH80" s="26"/>
      <c r="AI80" s="26"/>
      <c r="AJ80" s="26"/>
      <c r="AK80" s="26"/>
      <c r="AL80" s="26"/>
      <c r="AM80" s="26"/>
      <c r="AN80" s="26"/>
      <c r="AO80" s="26"/>
      <c r="AP80" s="26"/>
      <c r="AQ80" s="26"/>
      <c r="AR80" s="26"/>
      <c r="AS80" s="26"/>
    </row>
    <row r="81" spans="1:45" x14ac:dyDescent="0.15">
      <c r="A81" s="49"/>
      <c r="B81" s="16"/>
      <c r="C81" s="35"/>
      <c r="D81" s="9"/>
      <c r="E81" s="6">
        <f t="shared" si="171"/>
        <v>0</v>
      </c>
      <c r="F81" s="16"/>
      <c r="G81" s="35"/>
      <c r="H81" s="9"/>
      <c r="I81" s="6">
        <f t="shared" si="172"/>
        <v>0</v>
      </c>
      <c r="J81" s="16"/>
      <c r="K81" s="35"/>
      <c r="L81" s="9"/>
      <c r="M81" s="6">
        <f t="shared" si="173"/>
        <v>0</v>
      </c>
      <c r="N81" s="7">
        <f t="shared" si="174"/>
        <v>0</v>
      </c>
      <c r="O81" s="22"/>
      <c r="P81" s="39" t="s">
        <v>32</v>
      </c>
      <c r="Q81" s="62"/>
      <c r="R81" s="63"/>
      <c r="S81" s="64"/>
      <c r="T81" s="65">
        <f t="shared" si="187"/>
        <v>0</v>
      </c>
      <c r="U81" s="62"/>
      <c r="V81" s="63"/>
      <c r="W81" s="64"/>
      <c r="X81" s="65">
        <f t="shared" si="188"/>
        <v>0</v>
      </c>
      <c r="Y81" s="62"/>
      <c r="Z81" s="63"/>
      <c r="AA81" s="64"/>
      <c r="AB81" s="65">
        <f t="shared" si="189"/>
        <v>0</v>
      </c>
      <c r="AC81" s="66">
        <f t="shared" si="190"/>
        <v>0</v>
      </c>
      <c r="AD81" s="69"/>
      <c r="AE81" s="30"/>
      <c r="AF81" s="26"/>
      <c r="AG81" s="26"/>
      <c r="AH81" s="26"/>
      <c r="AI81" s="26"/>
      <c r="AJ81" s="26"/>
      <c r="AK81" s="26"/>
      <c r="AL81" s="26"/>
      <c r="AM81" s="26"/>
      <c r="AN81" s="26"/>
      <c r="AO81" s="26"/>
      <c r="AP81" s="26"/>
      <c r="AQ81" s="26"/>
      <c r="AR81" s="26"/>
      <c r="AS81" s="26"/>
    </row>
    <row r="82" spans="1:45" ht="14.25" thickBot="1" x14ac:dyDescent="0.2">
      <c r="A82" s="49"/>
      <c r="B82" s="16"/>
      <c r="C82" s="35"/>
      <c r="D82" s="9"/>
      <c r="E82" s="6">
        <f t="shared" ref="E82" si="191">SUM(B82:D82)</f>
        <v>0</v>
      </c>
      <c r="F82" s="16"/>
      <c r="G82" s="35"/>
      <c r="H82" s="9"/>
      <c r="I82" s="6">
        <f t="shared" ref="I82" si="192">SUM(F82:H82)</f>
        <v>0</v>
      </c>
      <c r="J82" s="16"/>
      <c r="K82" s="35"/>
      <c r="L82" s="9"/>
      <c r="M82" s="6">
        <f t="shared" ref="M82" si="193">SUM(J82:L82)</f>
        <v>0</v>
      </c>
      <c r="N82" s="7">
        <f t="shared" ref="N82" si="194">E82+I82+M82</f>
        <v>0</v>
      </c>
      <c r="O82" s="22"/>
      <c r="P82" s="47" t="s">
        <v>17</v>
      </c>
      <c r="Q82" s="16"/>
      <c r="R82" s="35"/>
      <c r="S82" s="9"/>
      <c r="T82" s="6">
        <f t="shared" si="187"/>
        <v>0</v>
      </c>
      <c r="U82" s="16"/>
      <c r="V82" s="35"/>
      <c r="W82" s="9"/>
      <c r="X82" s="6">
        <f t="shared" si="188"/>
        <v>0</v>
      </c>
      <c r="Y82" s="16"/>
      <c r="Z82" s="35"/>
      <c r="AA82" s="9"/>
      <c r="AB82" s="6">
        <f t="shared" si="189"/>
        <v>0</v>
      </c>
      <c r="AC82" s="7">
        <f t="shared" si="190"/>
        <v>0</v>
      </c>
      <c r="AD82" s="26" t="s">
        <v>19</v>
      </c>
      <c r="AE82" s="30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ht="14.25" thickBot="1" x14ac:dyDescent="0.2">
      <c r="A83" s="3" t="s">
        <v>9</v>
      </c>
      <c r="B83" s="13">
        <f>SUM(B59:B82)</f>
        <v>12</v>
      </c>
      <c r="C83" s="37">
        <f t="shared" ref="C83:N83" si="195">SUM(C59:C82)</f>
        <v>20</v>
      </c>
      <c r="D83" s="32">
        <f t="shared" si="195"/>
        <v>7</v>
      </c>
      <c r="E83" s="17">
        <f t="shared" si="195"/>
        <v>39</v>
      </c>
      <c r="F83" s="13">
        <f t="shared" si="195"/>
        <v>13</v>
      </c>
      <c r="G83" s="37">
        <f t="shared" si="195"/>
        <v>20</v>
      </c>
      <c r="H83" s="32">
        <f t="shared" si="195"/>
        <v>2</v>
      </c>
      <c r="I83" s="17">
        <f t="shared" si="195"/>
        <v>35</v>
      </c>
      <c r="J83" s="13">
        <f t="shared" si="195"/>
        <v>11</v>
      </c>
      <c r="K83" s="37">
        <f t="shared" si="195"/>
        <v>22</v>
      </c>
      <c r="L83" s="32">
        <f t="shared" si="195"/>
        <v>2</v>
      </c>
      <c r="M83" s="17">
        <f t="shared" si="195"/>
        <v>35</v>
      </c>
      <c r="N83" s="18">
        <f t="shared" si="195"/>
        <v>109</v>
      </c>
      <c r="O83" s="24"/>
      <c r="P83" s="3" t="s">
        <v>9</v>
      </c>
      <c r="Q83" s="13">
        <f>SUM(Q59:Q82)</f>
        <v>71</v>
      </c>
      <c r="R83" s="37">
        <f t="shared" ref="R83:AC83" si="196">SUM(R59:R82)</f>
        <v>109</v>
      </c>
      <c r="S83" s="32">
        <f t="shared" si="196"/>
        <v>38</v>
      </c>
      <c r="T83" s="17">
        <f t="shared" si="196"/>
        <v>218</v>
      </c>
      <c r="U83" s="13">
        <f t="shared" si="196"/>
        <v>71</v>
      </c>
      <c r="V83" s="37">
        <f t="shared" si="196"/>
        <v>109</v>
      </c>
      <c r="W83" s="32">
        <f t="shared" si="196"/>
        <v>38</v>
      </c>
      <c r="X83" s="17">
        <f t="shared" si="196"/>
        <v>218</v>
      </c>
      <c r="Y83" s="13">
        <f t="shared" si="196"/>
        <v>71</v>
      </c>
      <c r="Z83" s="37">
        <f t="shared" si="196"/>
        <v>109</v>
      </c>
      <c r="AA83" s="32">
        <f t="shared" si="196"/>
        <v>38</v>
      </c>
      <c r="AB83" s="17">
        <f t="shared" si="196"/>
        <v>218</v>
      </c>
      <c r="AC83" s="18">
        <f t="shared" si="196"/>
        <v>654</v>
      </c>
      <c r="AD83" s="23"/>
      <c r="AE83" s="23"/>
      <c r="AF83" s="23"/>
      <c r="AG83" s="23"/>
      <c r="AH83" s="23"/>
      <c r="AI83" s="23"/>
      <c r="AJ83" s="23"/>
      <c r="AK83" s="23"/>
      <c r="AL83" s="23"/>
      <c r="AM83" s="23"/>
      <c r="AN83" s="23"/>
      <c r="AO83" s="23"/>
      <c r="AP83" s="23"/>
      <c r="AQ83" s="23"/>
      <c r="AR83" s="23"/>
      <c r="AS83" s="23"/>
    </row>
    <row r="84" spans="1:45" ht="14.25" thickBot="1" x14ac:dyDescent="0.2">
      <c r="A84" s="19" t="s">
        <v>10</v>
      </c>
      <c r="B84" s="20">
        <f>B58-B83</f>
        <v>18</v>
      </c>
      <c r="C84" s="38">
        <f t="shared" ref="C84:N84" si="197">C58-C83</f>
        <v>15</v>
      </c>
      <c r="D84" s="33">
        <f t="shared" si="197"/>
        <v>12</v>
      </c>
      <c r="E84" s="20">
        <f t="shared" si="197"/>
        <v>45</v>
      </c>
      <c r="F84" s="20">
        <f t="shared" si="197"/>
        <v>17</v>
      </c>
      <c r="G84" s="38">
        <f t="shared" si="197"/>
        <v>14</v>
      </c>
      <c r="H84" s="33">
        <f t="shared" si="197"/>
        <v>18</v>
      </c>
      <c r="I84" s="20">
        <f t="shared" si="197"/>
        <v>49</v>
      </c>
      <c r="J84" s="20">
        <f t="shared" si="197"/>
        <v>19</v>
      </c>
      <c r="K84" s="38">
        <f t="shared" si="197"/>
        <v>12</v>
      </c>
      <c r="L84" s="33">
        <f t="shared" si="197"/>
        <v>16</v>
      </c>
      <c r="M84" s="20">
        <f t="shared" si="197"/>
        <v>47</v>
      </c>
      <c r="N84" s="18">
        <f t="shared" si="197"/>
        <v>141</v>
      </c>
      <c r="O84" s="24"/>
      <c r="P84" s="19" t="s">
        <v>10</v>
      </c>
      <c r="Q84" s="20">
        <f>Q58-Q83</f>
        <v>551</v>
      </c>
      <c r="R84" s="38">
        <f t="shared" ref="R84:AC84" si="198">R58-R83</f>
        <v>536</v>
      </c>
      <c r="S84" s="33">
        <f t="shared" si="198"/>
        <v>436</v>
      </c>
      <c r="T84" s="20">
        <f t="shared" si="198"/>
        <v>1523</v>
      </c>
      <c r="U84" s="20">
        <f t="shared" si="198"/>
        <v>542</v>
      </c>
      <c r="V84" s="38">
        <f t="shared" si="198"/>
        <v>538</v>
      </c>
      <c r="W84" s="33">
        <f t="shared" si="198"/>
        <v>426</v>
      </c>
      <c r="X84" s="20">
        <f t="shared" si="198"/>
        <v>1506</v>
      </c>
      <c r="Y84" s="20">
        <f t="shared" si="198"/>
        <v>556</v>
      </c>
      <c r="Z84" s="38">
        <f t="shared" si="198"/>
        <v>551</v>
      </c>
      <c r="AA84" s="33">
        <f t="shared" si="198"/>
        <v>440</v>
      </c>
      <c r="AB84" s="20">
        <f t="shared" si="198"/>
        <v>1547</v>
      </c>
      <c r="AC84" s="18">
        <f t="shared" si="198"/>
        <v>4576</v>
      </c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</row>
    <row r="87" spans="1:45" ht="21.75" thickBot="1" x14ac:dyDescent="0.25">
      <c r="A87" s="27" t="s">
        <v>15</v>
      </c>
      <c r="B87" s="28"/>
      <c r="C87" s="28"/>
      <c r="D87" s="28"/>
      <c r="E87" s="29"/>
      <c r="F87" s="28"/>
      <c r="G87" s="28"/>
      <c r="H87" s="28"/>
      <c r="I87" s="28"/>
      <c r="J87" s="1"/>
      <c r="K87" s="1"/>
      <c r="L87" s="1"/>
      <c r="M87" s="1"/>
      <c r="P87" s="43" t="s">
        <v>14</v>
      </c>
      <c r="Q87" s="44"/>
      <c r="R87" s="44"/>
      <c r="S87" s="44"/>
      <c r="T87" s="45"/>
      <c r="U87" s="44"/>
      <c r="V87" s="44"/>
      <c r="W87" s="44"/>
      <c r="X87" s="44"/>
      <c r="Y87" s="44"/>
      <c r="Z87" s="44"/>
      <c r="AA87" s="44"/>
      <c r="AB87" s="1"/>
    </row>
    <row r="88" spans="1:45" ht="14.25" thickBot="1" x14ac:dyDescent="0.2">
      <c r="A88" s="2" t="s">
        <v>0</v>
      </c>
      <c r="B88" s="91" t="s">
        <v>16</v>
      </c>
      <c r="C88" s="91"/>
      <c r="D88" s="91"/>
      <c r="E88" s="92"/>
      <c r="F88" s="93" t="s">
        <v>12</v>
      </c>
      <c r="G88" s="93"/>
      <c r="H88" s="93"/>
      <c r="I88" s="94"/>
      <c r="J88" s="95" t="s">
        <v>13</v>
      </c>
      <c r="K88" s="95"/>
      <c r="L88" s="95"/>
      <c r="M88" s="95"/>
      <c r="N88" s="96" t="s">
        <v>1</v>
      </c>
      <c r="P88" s="2" t="s">
        <v>0</v>
      </c>
      <c r="Q88" s="91" t="s">
        <v>16</v>
      </c>
      <c r="R88" s="91"/>
      <c r="S88" s="91"/>
      <c r="T88" s="92"/>
      <c r="U88" s="93" t="s">
        <v>12</v>
      </c>
      <c r="V88" s="93"/>
      <c r="W88" s="93"/>
      <c r="X88" s="94"/>
      <c r="Y88" s="95" t="s">
        <v>13</v>
      </c>
      <c r="Z88" s="95"/>
      <c r="AA88" s="95"/>
      <c r="AB88" s="95"/>
      <c r="AC88" s="96" t="s">
        <v>1</v>
      </c>
    </row>
    <row r="89" spans="1:45" ht="14.25" thickBot="1" x14ac:dyDescent="0.2">
      <c r="A89" s="2" t="s">
        <v>2</v>
      </c>
      <c r="B89" s="3" t="s">
        <v>3</v>
      </c>
      <c r="C89" s="34" t="s">
        <v>4</v>
      </c>
      <c r="D89" s="4" t="s">
        <v>5</v>
      </c>
      <c r="E89" s="2" t="s">
        <v>6</v>
      </c>
      <c r="F89" s="3" t="s">
        <v>3</v>
      </c>
      <c r="G89" s="34" t="s">
        <v>4</v>
      </c>
      <c r="H89" s="4" t="s">
        <v>5</v>
      </c>
      <c r="I89" s="2" t="s">
        <v>6</v>
      </c>
      <c r="J89" s="3" t="s">
        <v>3</v>
      </c>
      <c r="K89" s="34" t="s">
        <v>4</v>
      </c>
      <c r="L89" s="4" t="s">
        <v>5</v>
      </c>
      <c r="M89" s="3" t="s">
        <v>6</v>
      </c>
      <c r="N89" s="97"/>
      <c r="P89" s="2" t="s">
        <v>2</v>
      </c>
      <c r="Q89" s="3" t="s">
        <v>3</v>
      </c>
      <c r="R89" s="34" t="s">
        <v>4</v>
      </c>
      <c r="S89" s="4" t="s">
        <v>5</v>
      </c>
      <c r="T89" s="2" t="s">
        <v>6</v>
      </c>
      <c r="U89" s="3" t="s">
        <v>3</v>
      </c>
      <c r="V89" s="34" t="s">
        <v>4</v>
      </c>
      <c r="W89" s="4" t="s">
        <v>5</v>
      </c>
      <c r="X89" s="2" t="s">
        <v>6</v>
      </c>
      <c r="Y89" s="3" t="s">
        <v>3</v>
      </c>
      <c r="Z89" s="34" t="s">
        <v>4</v>
      </c>
      <c r="AA89" s="4" t="s">
        <v>5</v>
      </c>
      <c r="AB89" s="3" t="s">
        <v>6</v>
      </c>
      <c r="AC89" s="97"/>
    </row>
    <row r="90" spans="1:45" ht="14.25" thickBot="1" x14ac:dyDescent="0.2">
      <c r="A90" s="40" t="s">
        <v>10</v>
      </c>
      <c r="B90" s="41">
        <f>B84</f>
        <v>18</v>
      </c>
      <c r="C90" s="42">
        <f t="shared" ref="C90:M90" si="199">C84</f>
        <v>15</v>
      </c>
      <c r="D90" s="41">
        <f t="shared" si="199"/>
        <v>12</v>
      </c>
      <c r="E90" s="14">
        <f t="shared" si="199"/>
        <v>45</v>
      </c>
      <c r="F90" s="41">
        <f t="shared" si="199"/>
        <v>17</v>
      </c>
      <c r="G90" s="42">
        <f t="shared" si="199"/>
        <v>14</v>
      </c>
      <c r="H90" s="41">
        <f t="shared" si="199"/>
        <v>18</v>
      </c>
      <c r="I90" s="14">
        <f t="shared" si="199"/>
        <v>49</v>
      </c>
      <c r="J90" s="41">
        <f t="shared" si="199"/>
        <v>19</v>
      </c>
      <c r="K90" s="42">
        <f t="shared" si="199"/>
        <v>12</v>
      </c>
      <c r="L90" s="41">
        <f t="shared" si="199"/>
        <v>16</v>
      </c>
      <c r="M90" s="14">
        <f t="shared" si="199"/>
        <v>47</v>
      </c>
      <c r="N90" s="15">
        <f>N84</f>
        <v>141</v>
      </c>
      <c r="P90" s="40" t="s">
        <v>10</v>
      </c>
      <c r="Q90" s="54">
        <f>Q84</f>
        <v>551</v>
      </c>
      <c r="R90" s="55">
        <f t="shared" ref="R90:AB90" si="200">R84</f>
        <v>536</v>
      </c>
      <c r="S90" s="54">
        <f t="shared" si="200"/>
        <v>436</v>
      </c>
      <c r="T90" s="14">
        <f t="shared" si="200"/>
        <v>1523</v>
      </c>
      <c r="U90" s="54">
        <f t="shared" si="200"/>
        <v>542</v>
      </c>
      <c r="V90" s="55">
        <f t="shared" si="200"/>
        <v>538</v>
      </c>
      <c r="W90" s="54">
        <f t="shared" si="200"/>
        <v>426</v>
      </c>
      <c r="X90" s="14">
        <f t="shared" si="200"/>
        <v>1506</v>
      </c>
      <c r="Y90" s="54">
        <f t="shared" si="200"/>
        <v>556</v>
      </c>
      <c r="Z90" s="55">
        <f t="shared" si="200"/>
        <v>551</v>
      </c>
      <c r="AA90" s="54">
        <f t="shared" si="200"/>
        <v>440</v>
      </c>
      <c r="AB90" s="14">
        <f t="shared" si="200"/>
        <v>1547</v>
      </c>
      <c r="AC90" s="15">
        <f>AC84</f>
        <v>4576</v>
      </c>
    </row>
    <row r="91" spans="1:45" x14ac:dyDescent="0.15">
      <c r="A91" s="5" t="s">
        <v>112</v>
      </c>
      <c r="B91" s="9">
        <v>2</v>
      </c>
      <c r="C91" s="35">
        <v>10</v>
      </c>
      <c r="D91" s="9">
        <v>2</v>
      </c>
      <c r="E91" s="6">
        <f t="shared" ref="E91:E100" si="201">SUM(B91:D91)</f>
        <v>14</v>
      </c>
      <c r="F91" s="9">
        <v>2</v>
      </c>
      <c r="G91" s="35">
        <v>10</v>
      </c>
      <c r="H91" s="9">
        <v>2</v>
      </c>
      <c r="I91" s="6">
        <f t="shared" ref="I91:I100" si="202">SUM(F91:H91)</f>
        <v>14</v>
      </c>
      <c r="J91" s="9">
        <v>2</v>
      </c>
      <c r="K91" s="35">
        <v>10</v>
      </c>
      <c r="L91" s="9">
        <v>2</v>
      </c>
      <c r="M91" s="6">
        <f t="shared" ref="M91:M100" si="203">SUM(J91:L91)</f>
        <v>14</v>
      </c>
      <c r="N91" s="7">
        <f t="shared" ref="N91:N100" si="204">E91+I91+M91</f>
        <v>42</v>
      </c>
      <c r="O91" s="70">
        <v>45625</v>
      </c>
      <c r="P91" s="39" t="s">
        <v>7</v>
      </c>
      <c r="Q91" s="56">
        <v>2</v>
      </c>
      <c r="R91" s="57">
        <v>10</v>
      </c>
      <c r="S91" s="56">
        <v>2</v>
      </c>
      <c r="T91" s="6">
        <f t="shared" ref="T91" si="205">SUM(Q91:S91)</f>
        <v>14</v>
      </c>
      <c r="U91" s="56">
        <v>2</v>
      </c>
      <c r="V91" s="57">
        <v>10</v>
      </c>
      <c r="W91" s="56">
        <v>2</v>
      </c>
      <c r="X91" s="6">
        <f t="shared" ref="X91" si="206">SUM(U91:W91)</f>
        <v>14</v>
      </c>
      <c r="Y91" s="56">
        <v>2</v>
      </c>
      <c r="Z91" s="57">
        <v>10</v>
      </c>
      <c r="AA91" s="56">
        <v>2</v>
      </c>
      <c r="AB91" s="6">
        <f t="shared" ref="AB91" si="207">SUM(Y91:AA91)</f>
        <v>14</v>
      </c>
      <c r="AC91" s="7">
        <f t="shared" ref="AC91" si="208">T91+X91+AB91</f>
        <v>42</v>
      </c>
      <c r="AD91" s="71">
        <v>45633</v>
      </c>
    </row>
    <row r="92" spans="1:45" x14ac:dyDescent="0.15">
      <c r="A92" s="5" t="s">
        <v>123</v>
      </c>
      <c r="B92" s="9"/>
      <c r="C92" s="35">
        <v>2</v>
      </c>
      <c r="D92" s="9"/>
      <c r="E92" s="6">
        <f t="shared" si="201"/>
        <v>2</v>
      </c>
      <c r="F92" s="9"/>
      <c r="G92" s="35">
        <v>2</v>
      </c>
      <c r="H92" s="9"/>
      <c r="I92" s="6">
        <f t="shared" si="202"/>
        <v>2</v>
      </c>
      <c r="J92" s="9"/>
      <c r="K92" s="35">
        <v>2</v>
      </c>
      <c r="L92" s="9"/>
      <c r="M92" s="6">
        <f t="shared" si="203"/>
        <v>2</v>
      </c>
      <c r="N92" s="7">
        <f t="shared" si="204"/>
        <v>6</v>
      </c>
      <c r="O92" s="70">
        <v>45636</v>
      </c>
      <c r="P92" s="39" t="s">
        <v>7</v>
      </c>
      <c r="Q92" s="56"/>
      <c r="R92" s="57"/>
      <c r="S92" s="56"/>
      <c r="T92" s="6">
        <f t="shared" ref="T92:T100" si="209">SUM(Q92:S92)</f>
        <v>0</v>
      </c>
      <c r="U92" s="56"/>
      <c r="V92" s="57"/>
      <c r="W92" s="56"/>
      <c r="X92" s="6">
        <f t="shared" ref="X92:X100" si="210">SUM(U92:W92)</f>
        <v>0</v>
      </c>
      <c r="Y92" s="56"/>
      <c r="Z92" s="57"/>
      <c r="AA92" s="56"/>
      <c r="AB92" s="6">
        <f t="shared" ref="AB92:AB100" si="211">SUM(Y92:AA92)</f>
        <v>0</v>
      </c>
      <c r="AC92" s="7">
        <f t="shared" ref="AC92:AC100" si="212">T92+X92+AB92</f>
        <v>0</v>
      </c>
    </row>
    <row r="93" spans="1:45" x14ac:dyDescent="0.15">
      <c r="A93" s="5" t="s">
        <v>123</v>
      </c>
      <c r="B93" s="9">
        <v>1</v>
      </c>
      <c r="C93" s="35">
        <v>1</v>
      </c>
      <c r="D93" s="9"/>
      <c r="E93" s="6">
        <f t="shared" si="201"/>
        <v>2</v>
      </c>
      <c r="F93" s="9">
        <v>1</v>
      </c>
      <c r="G93" s="35">
        <v>1</v>
      </c>
      <c r="H93" s="9"/>
      <c r="I93" s="6">
        <f t="shared" si="202"/>
        <v>2</v>
      </c>
      <c r="J93" s="9">
        <v>1</v>
      </c>
      <c r="K93" s="35">
        <v>1</v>
      </c>
      <c r="L93" s="9"/>
      <c r="M93" s="6">
        <f t="shared" si="203"/>
        <v>2</v>
      </c>
      <c r="N93" s="7">
        <f t="shared" si="204"/>
        <v>6</v>
      </c>
      <c r="O93" s="70">
        <v>45639</v>
      </c>
      <c r="P93" s="39" t="s">
        <v>41</v>
      </c>
      <c r="Q93" s="56">
        <v>650</v>
      </c>
      <c r="R93" s="57">
        <v>650</v>
      </c>
      <c r="S93" s="56">
        <v>250</v>
      </c>
      <c r="T93" s="6">
        <f t="shared" si="209"/>
        <v>1550</v>
      </c>
      <c r="U93" s="56">
        <v>650</v>
      </c>
      <c r="V93" s="57">
        <v>650</v>
      </c>
      <c r="W93" s="56">
        <v>250</v>
      </c>
      <c r="X93" s="6">
        <f t="shared" si="210"/>
        <v>1550</v>
      </c>
      <c r="Y93" s="56">
        <v>650</v>
      </c>
      <c r="Z93" s="57">
        <v>650</v>
      </c>
      <c r="AA93" s="56">
        <v>250</v>
      </c>
      <c r="AB93" s="6">
        <f t="shared" si="211"/>
        <v>1550</v>
      </c>
      <c r="AC93" s="7">
        <f t="shared" si="212"/>
        <v>4650</v>
      </c>
      <c r="AD93" s="22" t="s">
        <v>104</v>
      </c>
    </row>
    <row r="94" spans="1:45" x14ac:dyDescent="0.15">
      <c r="A94" s="5" t="s">
        <v>7</v>
      </c>
      <c r="B94" s="16"/>
      <c r="C94" s="35"/>
      <c r="D94" s="9">
        <v>5</v>
      </c>
      <c r="E94" s="6">
        <f t="shared" si="201"/>
        <v>5</v>
      </c>
      <c r="F94" s="16"/>
      <c r="G94" s="35"/>
      <c r="H94" s="9"/>
      <c r="I94" s="6">
        <f t="shared" si="202"/>
        <v>0</v>
      </c>
      <c r="J94" s="16"/>
      <c r="K94" s="35"/>
      <c r="L94" s="9"/>
      <c r="M94" s="6">
        <f t="shared" si="203"/>
        <v>0</v>
      </c>
      <c r="N94" s="7">
        <f t="shared" si="204"/>
        <v>5</v>
      </c>
      <c r="O94" s="30">
        <v>45642</v>
      </c>
      <c r="P94" s="39" t="s">
        <v>99</v>
      </c>
      <c r="Q94" s="56">
        <v>70</v>
      </c>
      <c r="R94" s="57">
        <v>70</v>
      </c>
      <c r="S94" s="56">
        <v>-10</v>
      </c>
      <c r="T94" s="6">
        <f t="shared" ref="T94:T97" si="213">SUM(Q94:S94)</f>
        <v>130</v>
      </c>
      <c r="U94" s="56">
        <v>70</v>
      </c>
      <c r="V94" s="57">
        <v>70</v>
      </c>
      <c r="W94" s="56">
        <v>-10</v>
      </c>
      <c r="X94" s="6">
        <f t="shared" ref="X94:X97" si="214">SUM(U94:W94)</f>
        <v>130</v>
      </c>
      <c r="Y94" s="56">
        <v>70</v>
      </c>
      <c r="Z94" s="57">
        <v>90</v>
      </c>
      <c r="AA94" s="56">
        <v>-10</v>
      </c>
      <c r="AB94" s="6">
        <f t="shared" ref="AB94:AB97" si="215">SUM(Y94:AA94)</f>
        <v>150</v>
      </c>
      <c r="AC94" s="7">
        <f t="shared" ref="AC94:AC97" si="216">T94+X94+AB94</f>
        <v>410</v>
      </c>
      <c r="AD94" s="23" t="s">
        <v>103</v>
      </c>
    </row>
    <row r="95" spans="1:45" x14ac:dyDescent="0.15">
      <c r="A95" s="5" t="s">
        <v>123</v>
      </c>
      <c r="B95" s="9"/>
      <c r="C95" s="35"/>
      <c r="D95" s="9"/>
      <c r="E95" s="6">
        <f t="shared" si="201"/>
        <v>0</v>
      </c>
      <c r="F95" s="9"/>
      <c r="G95" s="35"/>
      <c r="H95" s="9">
        <v>1</v>
      </c>
      <c r="I95" s="6">
        <f t="shared" si="202"/>
        <v>1</v>
      </c>
      <c r="J95" s="9"/>
      <c r="K95" s="35"/>
      <c r="L95" s="9">
        <v>1</v>
      </c>
      <c r="M95" s="6">
        <f t="shared" si="203"/>
        <v>1</v>
      </c>
      <c r="N95" s="7">
        <f t="shared" si="204"/>
        <v>2</v>
      </c>
      <c r="O95" s="30">
        <v>45645</v>
      </c>
      <c r="P95" s="39" t="s">
        <v>7</v>
      </c>
      <c r="Q95" s="56"/>
      <c r="R95" s="57"/>
      <c r="S95" s="56"/>
      <c r="T95" s="6">
        <f t="shared" si="213"/>
        <v>0</v>
      </c>
      <c r="U95" s="56"/>
      <c r="V95" s="57"/>
      <c r="W95" s="56"/>
      <c r="X95" s="6">
        <f t="shared" si="214"/>
        <v>0</v>
      </c>
      <c r="Y95" s="56"/>
      <c r="Z95" s="57"/>
      <c r="AA95" s="56"/>
      <c r="AB95" s="6">
        <f t="shared" si="215"/>
        <v>0</v>
      </c>
      <c r="AC95" s="7">
        <f t="shared" si="216"/>
        <v>0</v>
      </c>
    </row>
    <row r="96" spans="1:45" x14ac:dyDescent="0.15">
      <c r="A96" s="5" t="s">
        <v>7</v>
      </c>
      <c r="B96" s="9"/>
      <c r="C96" s="35"/>
      <c r="D96" s="9">
        <v>7</v>
      </c>
      <c r="E96" s="6">
        <f t="shared" si="201"/>
        <v>7</v>
      </c>
      <c r="F96" s="9"/>
      <c r="G96" s="35"/>
      <c r="H96" s="9">
        <v>7</v>
      </c>
      <c r="I96" s="6">
        <f t="shared" si="202"/>
        <v>7</v>
      </c>
      <c r="J96" s="9"/>
      <c r="K96" s="35"/>
      <c r="L96" s="9">
        <v>7</v>
      </c>
      <c r="M96" s="6">
        <f t="shared" si="203"/>
        <v>7</v>
      </c>
      <c r="N96" s="7">
        <f t="shared" si="204"/>
        <v>21</v>
      </c>
      <c r="O96" s="30">
        <v>45647</v>
      </c>
      <c r="P96" s="39" t="s">
        <v>101</v>
      </c>
      <c r="Q96" s="56">
        <v>20</v>
      </c>
      <c r="R96" s="57">
        <v>18</v>
      </c>
      <c r="S96" s="56">
        <v>21</v>
      </c>
      <c r="T96" s="6">
        <f t="shared" si="213"/>
        <v>59</v>
      </c>
      <c r="U96" s="56">
        <v>16</v>
      </c>
      <c r="V96" s="57">
        <v>21</v>
      </c>
      <c r="W96" s="56">
        <v>24</v>
      </c>
      <c r="X96" s="6">
        <f t="shared" si="214"/>
        <v>61</v>
      </c>
      <c r="Y96" s="56">
        <v>16</v>
      </c>
      <c r="Z96" s="57">
        <v>17</v>
      </c>
      <c r="AA96" s="56">
        <v>22</v>
      </c>
      <c r="AB96" s="6">
        <f t="shared" si="215"/>
        <v>55</v>
      </c>
      <c r="AC96" s="7">
        <f t="shared" si="216"/>
        <v>175</v>
      </c>
      <c r="AD96" s="22">
        <v>45632</v>
      </c>
    </row>
    <row r="97" spans="1:31" x14ac:dyDescent="0.15">
      <c r="A97" s="5" t="s">
        <v>123</v>
      </c>
      <c r="B97" s="9">
        <v>1</v>
      </c>
      <c r="C97" s="35"/>
      <c r="D97" s="9"/>
      <c r="E97" s="6">
        <f t="shared" si="201"/>
        <v>1</v>
      </c>
      <c r="F97" s="9">
        <v>1</v>
      </c>
      <c r="G97" s="35"/>
      <c r="H97" s="9"/>
      <c r="I97" s="6">
        <f t="shared" si="202"/>
        <v>1</v>
      </c>
      <c r="J97" s="9">
        <v>1</v>
      </c>
      <c r="K97" s="35"/>
      <c r="L97" s="9"/>
      <c r="M97" s="6">
        <f t="shared" si="203"/>
        <v>1</v>
      </c>
      <c r="N97" s="7">
        <f t="shared" si="204"/>
        <v>3</v>
      </c>
      <c r="O97" s="30">
        <v>45650</v>
      </c>
      <c r="P97" s="39" t="s">
        <v>7</v>
      </c>
      <c r="Q97" s="56"/>
      <c r="R97" s="57"/>
      <c r="S97" s="56"/>
      <c r="T97" s="6">
        <f t="shared" si="213"/>
        <v>0</v>
      </c>
      <c r="U97" s="56"/>
      <c r="V97" s="57"/>
      <c r="W97" s="56"/>
      <c r="X97" s="6">
        <f t="shared" si="214"/>
        <v>0</v>
      </c>
      <c r="Y97" s="56"/>
      <c r="Z97" s="57"/>
      <c r="AA97" s="56"/>
      <c r="AB97" s="6">
        <f t="shared" si="215"/>
        <v>0</v>
      </c>
      <c r="AC97" s="7">
        <f t="shared" si="216"/>
        <v>0</v>
      </c>
    </row>
    <row r="98" spans="1:31" x14ac:dyDescent="0.15">
      <c r="A98" s="5" t="s">
        <v>7</v>
      </c>
      <c r="B98" s="9"/>
      <c r="C98" s="35">
        <v>5</v>
      </c>
      <c r="D98" s="9"/>
      <c r="E98" s="6">
        <f t="shared" si="201"/>
        <v>5</v>
      </c>
      <c r="F98" s="9"/>
      <c r="G98" s="35">
        <v>5</v>
      </c>
      <c r="H98" s="9"/>
      <c r="I98" s="6">
        <f t="shared" si="202"/>
        <v>5</v>
      </c>
      <c r="J98" s="9"/>
      <c r="K98" s="35">
        <v>5</v>
      </c>
      <c r="L98" s="9"/>
      <c r="M98" s="6">
        <f t="shared" si="203"/>
        <v>5</v>
      </c>
      <c r="N98" s="7">
        <f t="shared" si="204"/>
        <v>15</v>
      </c>
      <c r="O98" s="30">
        <v>45664</v>
      </c>
      <c r="P98" s="5" t="s">
        <v>7</v>
      </c>
      <c r="Q98" s="58"/>
      <c r="R98" s="59"/>
      <c r="S98" s="58"/>
      <c r="T98" s="6">
        <f t="shared" si="209"/>
        <v>0</v>
      </c>
      <c r="U98" s="58"/>
      <c r="V98" s="59"/>
      <c r="W98" s="58"/>
      <c r="X98" s="6">
        <f t="shared" si="210"/>
        <v>0</v>
      </c>
      <c r="Y98" s="58"/>
      <c r="Z98" s="59"/>
      <c r="AA98" s="58"/>
      <c r="AB98" s="6">
        <f t="shared" si="211"/>
        <v>0</v>
      </c>
      <c r="AC98" s="7">
        <f t="shared" si="212"/>
        <v>0</v>
      </c>
    </row>
    <row r="99" spans="1:31" x14ac:dyDescent="0.15">
      <c r="A99" s="5" t="s">
        <v>139</v>
      </c>
      <c r="B99" s="9"/>
      <c r="C99" s="35"/>
      <c r="D99" s="9">
        <v>1</v>
      </c>
      <c r="E99" s="6">
        <f t="shared" si="201"/>
        <v>1</v>
      </c>
      <c r="F99" s="9"/>
      <c r="G99" s="35"/>
      <c r="H99" s="9">
        <v>1</v>
      </c>
      <c r="I99" s="6">
        <f t="shared" si="202"/>
        <v>1</v>
      </c>
      <c r="J99" s="9"/>
      <c r="K99" s="35"/>
      <c r="L99" s="9">
        <v>1</v>
      </c>
      <c r="M99" s="6">
        <f t="shared" si="203"/>
        <v>1</v>
      </c>
      <c r="N99" s="7">
        <f t="shared" si="204"/>
        <v>3</v>
      </c>
      <c r="O99" s="30">
        <v>45672</v>
      </c>
      <c r="P99" s="5" t="s">
        <v>7</v>
      </c>
      <c r="Q99" s="58"/>
      <c r="R99" s="59"/>
      <c r="S99" s="58"/>
      <c r="T99" s="6">
        <f t="shared" si="209"/>
        <v>0</v>
      </c>
      <c r="U99" s="58"/>
      <c r="V99" s="59"/>
      <c r="W99" s="58"/>
      <c r="X99" s="6">
        <f t="shared" si="210"/>
        <v>0</v>
      </c>
      <c r="Y99" s="58"/>
      <c r="Z99" s="59"/>
      <c r="AA99" s="58"/>
      <c r="AB99" s="6">
        <f t="shared" si="211"/>
        <v>0</v>
      </c>
      <c r="AC99" s="7">
        <f t="shared" si="212"/>
        <v>0</v>
      </c>
    </row>
    <row r="100" spans="1:31" ht="14.25" thickBot="1" x14ac:dyDescent="0.2">
      <c r="A100" s="5" t="s">
        <v>123</v>
      </c>
      <c r="B100" s="11"/>
      <c r="C100" s="36">
        <v>1</v>
      </c>
      <c r="D100" s="11">
        <v>1</v>
      </c>
      <c r="E100" s="6">
        <f t="shared" si="201"/>
        <v>2</v>
      </c>
      <c r="F100" s="11"/>
      <c r="G100" s="36">
        <v>1</v>
      </c>
      <c r="H100" s="11">
        <v>1</v>
      </c>
      <c r="I100" s="6">
        <f t="shared" si="202"/>
        <v>2</v>
      </c>
      <c r="J100" s="11"/>
      <c r="K100" s="36">
        <v>1</v>
      </c>
      <c r="L100" s="11">
        <v>1</v>
      </c>
      <c r="M100" s="6">
        <f t="shared" si="203"/>
        <v>2</v>
      </c>
      <c r="N100" s="7">
        <f t="shared" si="204"/>
        <v>6</v>
      </c>
      <c r="O100" s="70">
        <v>45673</v>
      </c>
      <c r="P100" s="5" t="s">
        <v>7</v>
      </c>
      <c r="Q100" s="58"/>
      <c r="R100" s="59"/>
      <c r="S100" s="58"/>
      <c r="T100" s="6">
        <f t="shared" si="209"/>
        <v>0</v>
      </c>
      <c r="U100" s="58"/>
      <c r="V100" s="59"/>
      <c r="W100" s="58"/>
      <c r="X100" s="6">
        <f t="shared" si="210"/>
        <v>0</v>
      </c>
      <c r="Y100" s="58"/>
      <c r="Z100" s="59"/>
      <c r="AA100" s="58"/>
      <c r="AB100" s="6">
        <f t="shared" si="211"/>
        <v>0</v>
      </c>
      <c r="AC100" s="7">
        <f t="shared" si="212"/>
        <v>0</v>
      </c>
    </row>
    <row r="101" spans="1:31" ht="14.25" thickBot="1" x14ac:dyDescent="0.2">
      <c r="A101" s="12" t="s">
        <v>8</v>
      </c>
      <c r="B101" s="13">
        <f>SUM(B90:B100)</f>
        <v>22</v>
      </c>
      <c r="C101" s="37">
        <f t="shared" ref="C101:N101" si="217">SUM(C90:C100)</f>
        <v>34</v>
      </c>
      <c r="D101" s="31">
        <f t="shared" si="217"/>
        <v>28</v>
      </c>
      <c r="E101" s="14">
        <f t="shared" si="217"/>
        <v>84</v>
      </c>
      <c r="F101" s="13">
        <f t="shared" si="217"/>
        <v>21</v>
      </c>
      <c r="G101" s="37">
        <f t="shared" si="217"/>
        <v>33</v>
      </c>
      <c r="H101" s="31">
        <f t="shared" si="217"/>
        <v>30</v>
      </c>
      <c r="I101" s="14">
        <f t="shared" si="217"/>
        <v>84</v>
      </c>
      <c r="J101" s="13">
        <f t="shared" si="217"/>
        <v>23</v>
      </c>
      <c r="K101" s="37">
        <f t="shared" si="217"/>
        <v>31</v>
      </c>
      <c r="L101" s="31">
        <f t="shared" si="217"/>
        <v>28</v>
      </c>
      <c r="M101" s="14">
        <f t="shared" si="217"/>
        <v>82</v>
      </c>
      <c r="N101" s="15">
        <f t="shared" si="217"/>
        <v>250</v>
      </c>
      <c r="P101" s="12" t="s">
        <v>8</v>
      </c>
      <c r="Q101" s="13">
        <f>SUM(Q90:Q100)</f>
        <v>1293</v>
      </c>
      <c r="R101" s="37">
        <f t="shared" ref="R101:AC101" si="218">SUM(R90:R100)</f>
        <v>1284</v>
      </c>
      <c r="S101" s="31">
        <f t="shared" si="218"/>
        <v>699</v>
      </c>
      <c r="T101" s="14">
        <f t="shared" si="218"/>
        <v>3276</v>
      </c>
      <c r="U101" s="13">
        <f t="shared" si="218"/>
        <v>1280</v>
      </c>
      <c r="V101" s="37">
        <f t="shared" si="218"/>
        <v>1289</v>
      </c>
      <c r="W101" s="31">
        <f t="shared" si="218"/>
        <v>692</v>
      </c>
      <c r="X101" s="14">
        <f t="shared" si="218"/>
        <v>3261</v>
      </c>
      <c r="Y101" s="13">
        <f t="shared" si="218"/>
        <v>1294</v>
      </c>
      <c r="Z101" s="37">
        <f t="shared" si="218"/>
        <v>1318</v>
      </c>
      <c r="AA101" s="31">
        <f t="shared" si="218"/>
        <v>704</v>
      </c>
      <c r="AB101" s="14">
        <f t="shared" si="218"/>
        <v>3316</v>
      </c>
      <c r="AC101" s="15">
        <f t="shared" si="218"/>
        <v>9853</v>
      </c>
    </row>
    <row r="102" spans="1:31" x14ac:dyDescent="0.15">
      <c r="A102" s="49" t="s">
        <v>111</v>
      </c>
      <c r="B102" s="16"/>
      <c r="C102" s="35"/>
      <c r="D102" s="9"/>
      <c r="E102" s="6">
        <f t="shared" ref="E102:E125" si="219">SUM(B102:D102)</f>
        <v>0</v>
      </c>
      <c r="F102" s="16">
        <v>1</v>
      </c>
      <c r="G102" s="35"/>
      <c r="H102" s="9"/>
      <c r="I102" s="6">
        <f t="shared" ref="I102:I125" si="220">SUM(F102:H102)</f>
        <v>1</v>
      </c>
      <c r="J102" s="16"/>
      <c r="K102" s="35"/>
      <c r="L102" s="9"/>
      <c r="M102" s="6">
        <f t="shared" ref="M102:M125" si="221">SUM(J102:L102)</f>
        <v>0</v>
      </c>
      <c r="N102" s="7">
        <f t="shared" ref="N102:N125" si="222">E102+I102+M102</f>
        <v>1</v>
      </c>
      <c r="O102" s="30">
        <v>45625</v>
      </c>
      <c r="P102" s="47" t="s">
        <v>33</v>
      </c>
      <c r="Q102" s="16">
        <v>620</v>
      </c>
      <c r="R102" s="35">
        <v>630</v>
      </c>
      <c r="S102" s="9">
        <v>200</v>
      </c>
      <c r="T102" s="6">
        <f t="shared" ref="T102" si="223">SUM(Q102:S102)</f>
        <v>1450</v>
      </c>
      <c r="U102" s="16">
        <v>620</v>
      </c>
      <c r="V102" s="35">
        <v>630</v>
      </c>
      <c r="W102" s="9">
        <v>200</v>
      </c>
      <c r="X102" s="6">
        <f t="shared" ref="X102" si="224">SUM(U102:W102)</f>
        <v>1450</v>
      </c>
      <c r="Y102" s="16">
        <v>620</v>
      </c>
      <c r="Z102" s="35">
        <v>630</v>
      </c>
      <c r="AA102" s="9">
        <v>200</v>
      </c>
      <c r="AB102" s="6">
        <f t="shared" ref="AB102" si="225">SUM(Y102:AA102)</f>
        <v>1450</v>
      </c>
      <c r="AC102" s="7">
        <f t="shared" ref="AC102" si="226">T102+X102+AB102</f>
        <v>4350</v>
      </c>
      <c r="AD102" s="26" t="s">
        <v>42</v>
      </c>
    </row>
    <row r="103" spans="1:31" x14ac:dyDescent="0.15">
      <c r="A103" s="47" t="s">
        <v>113</v>
      </c>
      <c r="B103" s="16"/>
      <c r="C103" s="35"/>
      <c r="D103" s="9">
        <v>6</v>
      </c>
      <c r="E103" s="6">
        <f t="shared" si="219"/>
        <v>6</v>
      </c>
      <c r="F103" s="16"/>
      <c r="G103" s="35"/>
      <c r="H103" s="9">
        <v>6</v>
      </c>
      <c r="I103" s="6">
        <f t="shared" si="220"/>
        <v>6</v>
      </c>
      <c r="J103" s="16"/>
      <c r="K103" s="35"/>
      <c r="L103" s="9">
        <v>6</v>
      </c>
      <c r="M103" s="6">
        <f t="shared" si="221"/>
        <v>6</v>
      </c>
      <c r="N103" s="7">
        <f t="shared" si="222"/>
        <v>18</v>
      </c>
      <c r="O103" s="30">
        <v>45630</v>
      </c>
      <c r="P103" s="47" t="s">
        <v>100</v>
      </c>
      <c r="Q103" s="16"/>
      <c r="R103" s="35">
        <v>20</v>
      </c>
      <c r="S103" s="9">
        <v>5</v>
      </c>
      <c r="T103" s="6">
        <f t="shared" ref="T103:T118" si="227">SUM(Q103:S103)</f>
        <v>25</v>
      </c>
      <c r="U103" s="16"/>
      <c r="V103" s="35">
        <v>20</v>
      </c>
      <c r="W103" s="9">
        <v>5</v>
      </c>
      <c r="X103" s="6">
        <f t="shared" ref="X103:X118" si="228">SUM(U103:W103)</f>
        <v>25</v>
      </c>
      <c r="Y103" s="16"/>
      <c r="Z103" s="35">
        <v>20</v>
      </c>
      <c r="AA103" s="9">
        <v>5</v>
      </c>
      <c r="AB103" s="6">
        <f t="shared" ref="AB103:AB118" si="229">SUM(Y103:AA103)</f>
        <v>25</v>
      </c>
      <c r="AC103" s="7">
        <f t="shared" ref="AC103:AC118" si="230">T103+X103+AB103</f>
        <v>75</v>
      </c>
      <c r="AD103" s="22">
        <v>45616</v>
      </c>
    </row>
    <row r="104" spans="1:31" x14ac:dyDescent="0.15">
      <c r="A104" s="49" t="s">
        <v>56</v>
      </c>
      <c r="B104" s="16"/>
      <c r="C104" s="35"/>
      <c r="D104" s="9">
        <v>1</v>
      </c>
      <c r="E104" s="6">
        <f t="shared" si="219"/>
        <v>1</v>
      </c>
      <c r="F104" s="16"/>
      <c r="G104" s="35"/>
      <c r="H104" s="9"/>
      <c r="I104" s="6">
        <f t="shared" si="220"/>
        <v>0</v>
      </c>
      <c r="J104" s="16"/>
      <c r="K104" s="35"/>
      <c r="L104" s="9">
        <v>1</v>
      </c>
      <c r="M104" s="6">
        <f t="shared" si="221"/>
        <v>1</v>
      </c>
      <c r="N104" s="7">
        <f t="shared" si="222"/>
        <v>2</v>
      </c>
      <c r="O104" s="30">
        <v>45630</v>
      </c>
      <c r="P104" s="47" t="s">
        <v>102</v>
      </c>
      <c r="Q104" s="16">
        <v>10</v>
      </c>
      <c r="R104" s="35"/>
      <c r="S104" s="9">
        <v>20</v>
      </c>
      <c r="T104" s="6">
        <f t="shared" si="227"/>
        <v>30</v>
      </c>
      <c r="U104" s="16">
        <v>10</v>
      </c>
      <c r="V104" s="35"/>
      <c r="W104" s="9">
        <v>20</v>
      </c>
      <c r="X104" s="6">
        <f t="shared" si="228"/>
        <v>30</v>
      </c>
      <c r="Y104" s="16">
        <v>10</v>
      </c>
      <c r="Z104" s="35"/>
      <c r="AA104" s="9">
        <v>20</v>
      </c>
      <c r="AB104" s="6">
        <f t="shared" si="229"/>
        <v>30</v>
      </c>
      <c r="AC104" s="7">
        <f t="shared" si="230"/>
        <v>90</v>
      </c>
      <c r="AD104" s="22">
        <v>45625</v>
      </c>
      <c r="AE104" s="8"/>
    </row>
    <row r="105" spans="1:31" x14ac:dyDescent="0.15">
      <c r="A105" s="49" t="s">
        <v>56</v>
      </c>
      <c r="B105" s="16"/>
      <c r="C105" s="35"/>
      <c r="D105" s="9"/>
      <c r="E105" s="6">
        <f t="shared" si="219"/>
        <v>0</v>
      </c>
      <c r="F105" s="16">
        <v>1</v>
      </c>
      <c r="G105" s="35">
        <v>1</v>
      </c>
      <c r="H105" s="9"/>
      <c r="I105" s="6">
        <f t="shared" si="220"/>
        <v>2</v>
      </c>
      <c r="J105" s="16"/>
      <c r="K105" s="35"/>
      <c r="L105" s="9"/>
      <c r="M105" s="6">
        <f t="shared" si="221"/>
        <v>0</v>
      </c>
      <c r="N105" s="7">
        <f t="shared" si="222"/>
        <v>2</v>
      </c>
      <c r="O105" s="30">
        <v>45631</v>
      </c>
      <c r="P105" s="47" t="s">
        <v>105</v>
      </c>
      <c r="Q105" s="16">
        <v>10</v>
      </c>
      <c r="R105" s="35">
        <v>4</v>
      </c>
      <c r="S105" s="9"/>
      <c r="T105" s="6">
        <f t="shared" si="227"/>
        <v>14</v>
      </c>
      <c r="U105" s="16">
        <v>10</v>
      </c>
      <c r="V105" s="35">
        <v>4</v>
      </c>
      <c r="W105" s="9"/>
      <c r="X105" s="6">
        <f t="shared" si="228"/>
        <v>14</v>
      </c>
      <c r="Y105" s="16">
        <v>10</v>
      </c>
      <c r="Z105" s="35">
        <v>4</v>
      </c>
      <c r="AA105" s="9"/>
      <c r="AB105" s="6">
        <f t="shared" si="229"/>
        <v>14</v>
      </c>
      <c r="AC105" s="7">
        <f t="shared" si="230"/>
        <v>42</v>
      </c>
      <c r="AD105" s="22">
        <v>45631</v>
      </c>
    </row>
    <row r="106" spans="1:31" x14ac:dyDescent="0.15">
      <c r="A106" s="49" t="s">
        <v>66</v>
      </c>
      <c r="B106" s="16"/>
      <c r="C106" s="35"/>
      <c r="D106" s="9"/>
      <c r="E106" s="6">
        <f t="shared" si="219"/>
        <v>0</v>
      </c>
      <c r="F106" s="16"/>
      <c r="G106" s="35"/>
      <c r="H106" s="9"/>
      <c r="I106" s="6">
        <f t="shared" si="220"/>
        <v>0</v>
      </c>
      <c r="J106" s="16"/>
      <c r="K106" s="35">
        <v>1</v>
      </c>
      <c r="L106" s="9"/>
      <c r="M106" s="6">
        <f t="shared" si="221"/>
        <v>1</v>
      </c>
      <c r="N106" s="7">
        <f t="shared" si="222"/>
        <v>1</v>
      </c>
      <c r="O106" s="30">
        <v>45633</v>
      </c>
      <c r="P106" s="47" t="s">
        <v>117</v>
      </c>
      <c r="Q106" s="16">
        <v>6</v>
      </c>
      <c r="R106" s="35">
        <v>8</v>
      </c>
      <c r="S106" s="9">
        <v>3</v>
      </c>
      <c r="T106" s="6">
        <f t="shared" si="227"/>
        <v>17</v>
      </c>
      <c r="U106" s="16">
        <v>6</v>
      </c>
      <c r="V106" s="35">
        <v>8</v>
      </c>
      <c r="W106" s="9">
        <v>3</v>
      </c>
      <c r="X106" s="6">
        <f t="shared" si="228"/>
        <v>17</v>
      </c>
      <c r="Y106" s="16">
        <v>6</v>
      </c>
      <c r="Z106" s="35">
        <v>8</v>
      </c>
      <c r="AA106" s="9">
        <v>3</v>
      </c>
      <c r="AB106" s="6">
        <f t="shared" si="229"/>
        <v>17</v>
      </c>
      <c r="AC106" s="7">
        <f t="shared" si="230"/>
        <v>51</v>
      </c>
      <c r="AD106" s="22">
        <v>45622</v>
      </c>
    </row>
    <row r="107" spans="1:31" x14ac:dyDescent="0.15">
      <c r="A107" s="49" t="s">
        <v>121</v>
      </c>
      <c r="B107" s="16">
        <v>2</v>
      </c>
      <c r="C107" s="35">
        <v>10</v>
      </c>
      <c r="D107" s="9">
        <v>2</v>
      </c>
      <c r="E107" s="6">
        <f t="shared" si="219"/>
        <v>14</v>
      </c>
      <c r="F107" s="16">
        <v>2</v>
      </c>
      <c r="G107" s="35">
        <v>10</v>
      </c>
      <c r="H107" s="9">
        <v>2</v>
      </c>
      <c r="I107" s="6">
        <f t="shared" si="220"/>
        <v>14</v>
      </c>
      <c r="J107" s="16">
        <v>2</v>
      </c>
      <c r="K107" s="35">
        <v>10</v>
      </c>
      <c r="L107" s="9">
        <v>2</v>
      </c>
      <c r="M107" s="6">
        <f t="shared" si="221"/>
        <v>14</v>
      </c>
      <c r="N107" s="7">
        <f t="shared" si="222"/>
        <v>42</v>
      </c>
      <c r="O107" s="70">
        <v>45633</v>
      </c>
      <c r="P107" s="47" t="s">
        <v>114</v>
      </c>
      <c r="Q107" s="16">
        <v>6</v>
      </c>
      <c r="R107" s="35">
        <v>15</v>
      </c>
      <c r="S107" s="9">
        <v>15</v>
      </c>
      <c r="T107" s="6">
        <f t="shared" si="227"/>
        <v>36</v>
      </c>
      <c r="U107" s="16">
        <v>6</v>
      </c>
      <c r="V107" s="35">
        <v>15</v>
      </c>
      <c r="W107" s="9">
        <v>15</v>
      </c>
      <c r="X107" s="6">
        <f t="shared" si="228"/>
        <v>36</v>
      </c>
      <c r="Y107" s="16">
        <v>6</v>
      </c>
      <c r="Z107" s="35">
        <v>15</v>
      </c>
      <c r="AA107" s="9">
        <v>15</v>
      </c>
      <c r="AB107" s="6">
        <f t="shared" si="229"/>
        <v>36</v>
      </c>
      <c r="AC107" s="7">
        <f t="shared" si="230"/>
        <v>108</v>
      </c>
      <c r="AD107" s="22">
        <v>45636</v>
      </c>
    </row>
    <row r="108" spans="1:31" x14ac:dyDescent="0.15">
      <c r="A108" s="49" t="s">
        <v>56</v>
      </c>
      <c r="B108" s="16"/>
      <c r="C108" s="35"/>
      <c r="D108" s="9"/>
      <c r="E108" s="6">
        <f t="shared" si="219"/>
        <v>0</v>
      </c>
      <c r="F108" s="16"/>
      <c r="G108" s="35"/>
      <c r="H108" s="9"/>
      <c r="I108" s="6">
        <f t="shared" si="220"/>
        <v>0</v>
      </c>
      <c r="J108" s="16"/>
      <c r="K108" s="35"/>
      <c r="L108" s="9">
        <v>1</v>
      </c>
      <c r="M108" s="6">
        <f t="shared" si="221"/>
        <v>1</v>
      </c>
      <c r="N108" s="7">
        <f t="shared" si="222"/>
        <v>1</v>
      </c>
      <c r="O108" s="30">
        <v>45636</v>
      </c>
      <c r="P108" s="47" t="s">
        <v>118</v>
      </c>
      <c r="Q108" s="16"/>
      <c r="R108" s="35">
        <v>2</v>
      </c>
      <c r="S108" s="9"/>
      <c r="T108" s="6">
        <f t="shared" si="227"/>
        <v>2</v>
      </c>
      <c r="U108" s="16"/>
      <c r="V108" s="35">
        <v>2</v>
      </c>
      <c r="W108" s="9"/>
      <c r="X108" s="6">
        <f t="shared" si="228"/>
        <v>2</v>
      </c>
      <c r="Y108" s="16"/>
      <c r="Z108" s="35">
        <v>2</v>
      </c>
      <c r="AA108" s="9"/>
      <c r="AB108" s="6">
        <f t="shared" si="229"/>
        <v>2</v>
      </c>
      <c r="AC108" s="7">
        <f t="shared" si="230"/>
        <v>6</v>
      </c>
      <c r="AD108" s="22">
        <v>45636</v>
      </c>
    </row>
    <row r="109" spans="1:31" x14ac:dyDescent="0.15">
      <c r="A109" s="47" t="s">
        <v>124</v>
      </c>
      <c r="B109" s="16">
        <v>5</v>
      </c>
      <c r="C109" s="35"/>
      <c r="D109" s="9">
        <v>3</v>
      </c>
      <c r="E109" s="6">
        <f t="shared" si="219"/>
        <v>8</v>
      </c>
      <c r="F109" s="16">
        <v>5</v>
      </c>
      <c r="G109" s="35"/>
      <c r="H109" s="9">
        <v>3</v>
      </c>
      <c r="I109" s="6">
        <f t="shared" si="220"/>
        <v>8</v>
      </c>
      <c r="J109" s="16">
        <v>5</v>
      </c>
      <c r="K109" s="35"/>
      <c r="L109" s="9">
        <v>3</v>
      </c>
      <c r="M109" s="6">
        <f t="shared" si="221"/>
        <v>8</v>
      </c>
      <c r="N109" s="7">
        <f t="shared" si="222"/>
        <v>24</v>
      </c>
      <c r="O109" s="30">
        <v>45646</v>
      </c>
      <c r="P109" s="47" t="s">
        <v>122</v>
      </c>
      <c r="Q109" s="16">
        <v>8</v>
      </c>
      <c r="R109" s="35">
        <v>10</v>
      </c>
      <c r="S109" s="9">
        <v>7</v>
      </c>
      <c r="T109" s="6">
        <f t="shared" si="227"/>
        <v>25</v>
      </c>
      <c r="U109" s="16">
        <v>8</v>
      </c>
      <c r="V109" s="35">
        <v>10</v>
      </c>
      <c r="W109" s="9">
        <v>7</v>
      </c>
      <c r="X109" s="6">
        <f t="shared" si="228"/>
        <v>25</v>
      </c>
      <c r="Y109" s="16">
        <v>8</v>
      </c>
      <c r="Z109" s="35">
        <v>10</v>
      </c>
      <c r="AA109" s="9">
        <v>7</v>
      </c>
      <c r="AB109" s="6">
        <f t="shared" si="229"/>
        <v>25</v>
      </c>
      <c r="AC109" s="7">
        <f t="shared" si="230"/>
        <v>75</v>
      </c>
      <c r="AD109" s="22">
        <v>45645</v>
      </c>
      <c r="AE109" s="8"/>
    </row>
    <row r="110" spans="1:31" x14ac:dyDescent="0.15">
      <c r="A110" s="47" t="s">
        <v>126</v>
      </c>
      <c r="B110" s="16"/>
      <c r="C110" s="35"/>
      <c r="D110" s="9">
        <v>5</v>
      </c>
      <c r="E110" s="6">
        <f t="shared" si="219"/>
        <v>5</v>
      </c>
      <c r="F110" s="16"/>
      <c r="G110" s="35"/>
      <c r="H110" s="9">
        <v>5</v>
      </c>
      <c r="I110" s="6">
        <f t="shared" si="220"/>
        <v>5</v>
      </c>
      <c r="J110" s="16"/>
      <c r="K110" s="35"/>
      <c r="L110" s="9">
        <v>5</v>
      </c>
      <c r="M110" s="6">
        <f t="shared" si="221"/>
        <v>5</v>
      </c>
      <c r="N110" s="7">
        <f t="shared" si="222"/>
        <v>15</v>
      </c>
      <c r="O110" s="30">
        <v>45651</v>
      </c>
      <c r="P110" s="47" t="s">
        <v>46</v>
      </c>
      <c r="Q110" s="16"/>
      <c r="R110" s="35"/>
      <c r="S110" s="9">
        <v>5</v>
      </c>
      <c r="T110" s="6">
        <f t="shared" si="227"/>
        <v>5</v>
      </c>
      <c r="U110" s="16"/>
      <c r="V110" s="35"/>
      <c r="W110" s="9"/>
      <c r="X110" s="6">
        <f t="shared" si="228"/>
        <v>0</v>
      </c>
      <c r="Y110" s="16"/>
      <c r="Z110" s="35"/>
      <c r="AA110" s="9"/>
      <c r="AB110" s="6">
        <f t="shared" si="229"/>
        <v>0</v>
      </c>
      <c r="AC110" s="7">
        <f t="shared" si="230"/>
        <v>5</v>
      </c>
      <c r="AD110" s="22">
        <v>45642</v>
      </c>
      <c r="AE110" s="8"/>
    </row>
    <row r="111" spans="1:31" x14ac:dyDescent="0.15">
      <c r="A111" s="49" t="s">
        <v>56</v>
      </c>
      <c r="B111" s="16"/>
      <c r="C111" s="35"/>
      <c r="D111" s="9"/>
      <c r="E111" s="6">
        <f t="shared" si="219"/>
        <v>0</v>
      </c>
      <c r="F111" s="16"/>
      <c r="G111" s="35">
        <v>1</v>
      </c>
      <c r="H111" s="9"/>
      <c r="I111" s="6">
        <f t="shared" si="220"/>
        <v>1</v>
      </c>
      <c r="J111" s="16"/>
      <c r="K111" s="35"/>
      <c r="L111" s="9"/>
      <c r="M111" s="6">
        <f t="shared" si="221"/>
        <v>0</v>
      </c>
      <c r="N111" s="7">
        <f t="shared" si="222"/>
        <v>1</v>
      </c>
      <c r="O111" s="30">
        <v>45647</v>
      </c>
      <c r="P111" s="47" t="s">
        <v>125</v>
      </c>
      <c r="Q111" s="16">
        <v>20</v>
      </c>
      <c r="R111" s="35">
        <v>30</v>
      </c>
      <c r="S111" s="9">
        <v>15</v>
      </c>
      <c r="T111" s="6">
        <f t="shared" si="227"/>
        <v>65</v>
      </c>
      <c r="U111" s="16">
        <v>20</v>
      </c>
      <c r="V111" s="35">
        <v>30</v>
      </c>
      <c r="W111" s="9">
        <v>15</v>
      </c>
      <c r="X111" s="6">
        <f t="shared" si="228"/>
        <v>65</v>
      </c>
      <c r="Y111" s="16">
        <v>20</v>
      </c>
      <c r="Z111" s="35">
        <v>30</v>
      </c>
      <c r="AA111" s="9">
        <v>15</v>
      </c>
      <c r="AB111" s="6">
        <f t="shared" si="229"/>
        <v>65</v>
      </c>
      <c r="AC111" s="7">
        <f t="shared" si="230"/>
        <v>195</v>
      </c>
      <c r="AD111" s="22">
        <v>45645</v>
      </c>
      <c r="AE111" s="8"/>
    </row>
    <row r="112" spans="1:31" x14ac:dyDescent="0.15">
      <c r="A112" s="47" t="s">
        <v>131</v>
      </c>
      <c r="B112" s="16"/>
      <c r="C112" s="35">
        <v>10</v>
      </c>
      <c r="D112" s="9"/>
      <c r="E112" s="6">
        <f t="shared" si="219"/>
        <v>10</v>
      </c>
      <c r="F112" s="16"/>
      <c r="G112" s="35">
        <v>10</v>
      </c>
      <c r="H112" s="9"/>
      <c r="I112" s="6">
        <f t="shared" si="220"/>
        <v>10</v>
      </c>
      <c r="J112" s="16"/>
      <c r="K112" s="35">
        <v>10</v>
      </c>
      <c r="L112" s="9"/>
      <c r="M112" s="6">
        <f t="shared" si="221"/>
        <v>10</v>
      </c>
      <c r="N112" s="7">
        <f t="shared" si="222"/>
        <v>30</v>
      </c>
      <c r="O112" s="30">
        <v>45667</v>
      </c>
      <c r="P112" s="47" t="s">
        <v>127</v>
      </c>
      <c r="Q112" s="16">
        <v>8</v>
      </c>
      <c r="R112" s="35">
        <v>8</v>
      </c>
      <c r="S112" s="9">
        <v>6</v>
      </c>
      <c r="T112" s="6">
        <f t="shared" si="227"/>
        <v>22</v>
      </c>
      <c r="U112" s="16">
        <v>8</v>
      </c>
      <c r="V112" s="35">
        <v>8</v>
      </c>
      <c r="W112" s="9">
        <v>6</v>
      </c>
      <c r="X112" s="6">
        <f t="shared" si="228"/>
        <v>22</v>
      </c>
      <c r="Y112" s="16">
        <v>8</v>
      </c>
      <c r="Z112" s="35">
        <v>8</v>
      </c>
      <c r="AA112" s="9">
        <v>6</v>
      </c>
      <c r="AB112" s="6">
        <f t="shared" si="229"/>
        <v>22</v>
      </c>
      <c r="AC112" s="7">
        <f t="shared" si="230"/>
        <v>66</v>
      </c>
      <c r="AD112" s="22">
        <v>45649</v>
      </c>
    </row>
    <row r="113" spans="1:30" x14ac:dyDescent="0.15">
      <c r="A113" s="49" t="s">
        <v>56</v>
      </c>
      <c r="B113" s="16"/>
      <c r="C113" s="35"/>
      <c r="D113" s="9"/>
      <c r="E113" s="6">
        <f t="shared" si="219"/>
        <v>0</v>
      </c>
      <c r="F113" s="16"/>
      <c r="G113" s="35">
        <v>1</v>
      </c>
      <c r="H113" s="9"/>
      <c r="I113" s="6">
        <f t="shared" si="220"/>
        <v>1</v>
      </c>
      <c r="J113" s="16"/>
      <c r="K113" s="35"/>
      <c r="L113" s="9"/>
      <c r="M113" s="6">
        <f t="shared" si="221"/>
        <v>0</v>
      </c>
      <c r="N113" s="7">
        <f t="shared" si="222"/>
        <v>1</v>
      </c>
      <c r="O113" s="70">
        <v>45666</v>
      </c>
      <c r="P113" s="47" t="s">
        <v>46</v>
      </c>
      <c r="Q113" s="16"/>
      <c r="R113" s="35"/>
      <c r="S113" s="9">
        <v>7</v>
      </c>
      <c r="T113" s="6">
        <f t="shared" si="227"/>
        <v>7</v>
      </c>
      <c r="U113" s="16"/>
      <c r="V113" s="35"/>
      <c r="W113" s="9">
        <v>7</v>
      </c>
      <c r="X113" s="6">
        <f t="shared" si="228"/>
        <v>7</v>
      </c>
      <c r="Y113" s="16"/>
      <c r="Z113" s="35"/>
      <c r="AA113" s="9">
        <v>7</v>
      </c>
      <c r="AB113" s="6">
        <f t="shared" si="229"/>
        <v>7</v>
      </c>
      <c r="AC113" s="7">
        <f t="shared" si="230"/>
        <v>21</v>
      </c>
      <c r="AD113" s="22">
        <v>45647</v>
      </c>
    </row>
    <row r="114" spans="1:30" x14ac:dyDescent="0.15">
      <c r="A114" s="49" t="s">
        <v>56</v>
      </c>
      <c r="B114" s="16"/>
      <c r="C114" s="35"/>
      <c r="D114" s="9">
        <v>2</v>
      </c>
      <c r="E114" s="6">
        <f t="shared" si="219"/>
        <v>2</v>
      </c>
      <c r="F114" s="16"/>
      <c r="G114" s="35"/>
      <c r="H114" s="9">
        <v>2</v>
      </c>
      <c r="I114" s="6">
        <f t="shared" si="220"/>
        <v>2</v>
      </c>
      <c r="J114" s="16"/>
      <c r="K114" s="35"/>
      <c r="L114" s="9">
        <v>2</v>
      </c>
      <c r="M114" s="6">
        <f t="shared" si="221"/>
        <v>2</v>
      </c>
      <c r="N114" s="7">
        <f t="shared" si="222"/>
        <v>6</v>
      </c>
      <c r="O114" s="70">
        <v>45671</v>
      </c>
      <c r="P114" s="49" t="s">
        <v>128</v>
      </c>
      <c r="Q114" s="16">
        <v>20</v>
      </c>
      <c r="R114" s="35">
        <v>20</v>
      </c>
      <c r="S114" s="9">
        <v>20</v>
      </c>
      <c r="T114" s="6">
        <f t="shared" si="227"/>
        <v>60</v>
      </c>
      <c r="U114" s="16">
        <v>20</v>
      </c>
      <c r="V114" s="35">
        <v>20</v>
      </c>
      <c r="W114" s="9">
        <v>20</v>
      </c>
      <c r="X114" s="6">
        <f t="shared" si="228"/>
        <v>60</v>
      </c>
      <c r="Y114" s="16">
        <v>20</v>
      </c>
      <c r="Z114" s="35">
        <v>20</v>
      </c>
      <c r="AA114" s="9">
        <v>20</v>
      </c>
      <c r="AB114" s="6">
        <f t="shared" si="229"/>
        <v>60</v>
      </c>
      <c r="AC114" s="7">
        <f t="shared" si="230"/>
        <v>180</v>
      </c>
      <c r="AD114" s="22">
        <v>45653</v>
      </c>
    </row>
    <row r="115" spans="1:30" x14ac:dyDescent="0.15">
      <c r="A115" s="47"/>
      <c r="B115" s="16"/>
      <c r="C115" s="35"/>
      <c r="D115" s="9"/>
      <c r="E115" s="6">
        <f t="shared" si="219"/>
        <v>0</v>
      </c>
      <c r="F115" s="16"/>
      <c r="G115" s="35"/>
      <c r="H115" s="9"/>
      <c r="I115" s="6">
        <f t="shared" si="220"/>
        <v>0</v>
      </c>
      <c r="J115" s="16"/>
      <c r="K115" s="35"/>
      <c r="L115" s="9"/>
      <c r="M115" s="6">
        <f t="shared" si="221"/>
        <v>0</v>
      </c>
      <c r="N115" s="7">
        <f t="shared" si="222"/>
        <v>0</v>
      </c>
      <c r="O115" s="70"/>
      <c r="P115" s="47" t="s">
        <v>46</v>
      </c>
      <c r="Q115" s="16"/>
      <c r="R115" s="35">
        <v>5</v>
      </c>
      <c r="S115" s="9"/>
      <c r="T115" s="6">
        <f t="shared" si="227"/>
        <v>5</v>
      </c>
      <c r="U115" s="16"/>
      <c r="V115" s="35">
        <v>5</v>
      </c>
      <c r="W115" s="9"/>
      <c r="X115" s="6">
        <f t="shared" si="228"/>
        <v>5</v>
      </c>
      <c r="Y115" s="16"/>
      <c r="Z115" s="35">
        <v>5</v>
      </c>
      <c r="AA115" s="9"/>
      <c r="AB115" s="6">
        <f t="shared" si="229"/>
        <v>5</v>
      </c>
      <c r="AC115" s="7">
        <f t="shared" si="230"/>
        <v>15</v>
      </c>
      <c r="AD115" s="22">
        <v>45664</v>
      </c>
    </row>
    <row r="116" spans="1:30" x14ac:dyDescent="0.15">
      <c r="A116" s="49"/>
      <c r="B116" s="16"/>
      <c r="C116" s="35"/>
      <c r="D116" s="9"/>
      <c r="E116" s="6">
        <f t="shared" si="219"/>
        <v>0</v>
      </c>
      <c r="F116" s="16"/>
      <c r="G116" s="35"/>
      <c r="H116" s="9"/>
      <c r="I116" s="6">
        <f t="shared" si="220"/>
        <v>0</v>
      </c>
      <c r="J116" s="16"/>
      <c r="K116" s="35"/>
      <c r="L116" s="9"/>
      <c r="M116" s="6">
        <f t="shared" si="221"/>
        <v>0</v>
      </c>
      <c r="N116" s="7">
        <f t="shared" si="222"/>
        <v>0</v>
      </c>
      <c r="P116" s="47" t="s">
        <v>132</v>
      </c>
      <c r="Q116" s="16"/>
      <c r="R116" s="35">
        <v>2</v>
      </c>
      <c r="S116" s="9">
        <v>8</v>
      </c>
      <c r="T116" s="6">
        <f t="shared" si="227"/>
        <v>10</v>
      </c>
      <c r="U116" s="16"/>
      <c r="V116" s="35">
        <v>2</v>
      </c>
      <c r="W116" s="9">
        <v>8</v>
      </c>
      <c r="X116" s="6">
        <f t="shared" si="228"/>
        <v>10</v>
      </c>
      <c r="Y116" s="16"/>
      <c r="Z116" s="35">
        <v>2</v>
      </c>
      <c r="AA116" s="9">
        <v>8</v>
      </c>
      <c r="AB116" s="6">
        <f t="shared" si="229"/>
        <v>10</v>
      </c>
      <c r="AC116" s="7">
        <f t="shared" si="230"/>
        <v>30</v>
      </c>
      <c r="AD116" s="22">
        <v>45666</v>
      </c>
    </row>
    <row r="117" spans="1:30" x14ac:dyDescent="0.15">
      <c r="A117" s="49"/>
      <c r="B117" s="16"/>
      <c r="C117" s="35"/>
      <c r="D117" s="9"/>
      <c r="E117" s="6">
        <f t="shared" si="219"/>
        <v>0</v>
      </c>
      <c r="F117" s="16"/>
      <c r="G117" s="35"/>
      <c r="H117" s="9"/>
      <c r="I117" s="6">
        <f t="shared" si="220"/>
        <v>0</v>
      </c>
      <c r="J117" s="16"/>
      <c r="K117" s="35"/>
      <c r="L117" s="9"/>
      <c r="M117" s="6">
        <f t="shared" si="221"/>
        <v>0</v>
      </c>
      <c r="N117" s="7">
        <f t="shared" si="222"/>
        <v>0</v>
      </c>
      <c r="P117" s="47" t="s">
        <v>133</v>
      </c>
      <c r="Q117" s="16">
        <v>1</v>
      </c>
      <c r="R117" s="35">
        <v>3</v>
      </c>
      <c r="S117" s="9"/>
      <c r="T117" s="6">
        <f t="shared" si="227"/>
        <v>4</v>
      </c>
      <c r="U117" s="16">
        <v>1</v>
      </c>
      <c r="V117" s="35">
        <v>3</v>
      </c>
      <c r="W117" s="9"/>
      <c r="X117" s="6">
        <f t="shared" si="228"/>
        <v>4</v>
      </c>
      <c r="Y117" s="16">
        <v>1</v>
      </c>
      <c r="Z117" s="35">
        <v>3</v>
      </c>
      <c r="AA117" s="9"/>
      <c r="AB117" s="6">
        <f t="shared" si="229"/>
        <v>4</v>
      </c>
      <c r="AC117" s="7">
        <f t="shared" si="230"/>
        <v>12</v>
      </c>
      <c r="AD117" s="22">
        <v>45667</v>
      </c>
    </row>
    <row r="118" spans="1:30" x14ac:dyDescent="0.15">
      <c r="A118" s="49"/>
      <c r="B118" s="16"/>
      <c r="C118" s="35"/>
      <c r="D118" s="9"/>
      <c r="E118" s="6">
        <f t="shared" si="219"/>
        <v>0</v>
      </c>
      <c r="F118" s="16"/>
      <c r="G118" s="35"/>
      <c r="H118" s="9"/>
      <c r="I118" s="6">
        <f t="shared" si="220"/>
        <v>0</v>
      </c>
      <c r="J118" s="16"/>
      <c r="K118" s="35"/>
      <c r="L118" s="9"/>
      <c r="M118" s="6">
        <f t="shared" si="221"/>
        <v>0</v>
      </c>
      <c r="N118" s="7">
        <f t="shared" si="222"/>
        <v>0</v>
      </c>
      <c r="P118" s="47" t="s">
        <v>134</v>
      </c>
      <c r="Q118" s="16">
        <v>3</v>
      </c>
      <c r="R118" s="35">
        <v>11</v>
      </c>
      <c r="S118" s="9">
        <v>5</v>
      </c>
      <c r="T118" s="6">
        <f t="shared" si="227"/>
        <v>19</v>
      </c>
      <c r="U118" s="16">
        <v>3</v>
      </c>
      <c r="V118" s="35">
        <v>11</v>
      </c>
      <c r="W118" s="9">
        <v>5</v>
      </c>
      <c r="X118" s="6">
        <f t="shared" si="228"/>
        <v>19</v>
      </c>
      <c r="Y118" s="16">
        <v>3</v>
      </c>
      <c r="Z118" s="35">
        <v>11</v>
      </c>
      <c r="AA118" s="9">
        <v>5</v>
      </c>
      <c r="AB118" s="6">
        <f t="shared" si="229"/>
        <v>19</v>
      </c>
      <c r="AC118" s="7">
        <f t="shared" si="230"/>
        <v>57</v>
      </c>
      <c r="AD118" s="22">
        <v>45667</v>
      </c>
    </row>
    <row r="119" spans="1:30" x14ac:dyDescent="0.15">
      <c r="A119" s="49"/>
      <c r="B119" s="16"/>
      <c r="C119" s="35"/>
      <c r="D119" s="9"/>
      <c r="E119" s="6">
        <f t="shared" si="219"/>
        <v>0</v>
      </c>
      <c r="F119" s="16"/>
      <c r="G119" s="35"/>
      <c r="H119" s="9"/>
      <c r="I119" s="6">
        <f t="shared" si="220"/>
        <v>0</v>
      </c>
      <c r="J119" s="16"/>
      <c r="K119" s="35"/>
      <c r="L119" s="9"/>
      <c r="M119" s="6">
        <f t="shared" si="221"/>
        <v>0</v>
      </c>
      <c r="N119" s="7">
        <f t="shared" si="222"/>
        <v>0</v>
      </c>
      <c r="P119" s="47" t="s">
        <v>135</v>
      </c>
      <c r="Q119" s="16">
        <v>7</v>
      </c>
      <c r="R119" s="35">
        <v>2</v>
      </c>
      <c r="S119" s="9">
        <v>1</v>
      </c>
      <c r="T119" s="6">
        <f t="shared" ref="T119:T120" si="231">SUM(Q119:S119)</f>
        <v>10</v>
      </c>
      <c r="U119" s="16">
        <v>7</v>
      </c>
      <c r="V119" s="35">
        <v>2</v>
      </c>
      <c r="W119" s="9">
        <v>1</v>
      </c>
      <c r="X119" s="6">
        <f t="shared" ref="X119:X120" si="232">SUM(U119:W119)</f>
        <v>10</v>
      </c>
      <c r="Y119" s="16">
        <v>7</v>
      </c>
      <c r="Z119" s="35">
        <v>2</v>
      </c>
      <c r="AA119" s="9">
        <v>1</v>
      </c>
      <c r="AB119" s="6">
        <f t="shared" ref="AB119:AB120" si="233">SUM(Y119:AA119)</f>
        <v>10</v>
      </c>
      <c r="AC119" s="7">
        <f t="shared" ref="AC119:AC120" si="234">T119+X119+AB119</f>
        <v>30</v>
      </c>
      <c r="AD119" s="22">
        <v>45671</v>
      </c>
    </row>
    <row r="120" spans="1:30" x14ac:dyDescent="0.15">
      <c r="A120" s="49"/>
      <c r="B120" s="16"/>
      <c r="C120" s="35"/>
      <c r="D120" s="9"/>
      <c r="E120" s="6">
        <f t="shared" si="219"/>
        <v>0</v>
      </c>
      <c r="F120" s="16"/>
      <c r="G120" s="35"/>
      <c r="H120" s="9"/>
      <c r="I120" s="6">
        <f t="shared" si="220"/>
        <v>0</v>
      </c>
      <c r="J120" s="16"/>
      <c r="K120" s="35"/>
      <c r="L120" s="9"/>
      <c r="M120" s="6">
        <f t="shared" si="221"/>
        <v>0</v>
      </c>
      <c r="N120" s="7">
        <f t="shared" si="222"/>
        <v>0</v>
      </c>
      <c r="P120" s="47"/>
      <c r="Q120" s="16"/>
      <c r="R120" s="35"/>
      <c r="S120" s="9"/>
      <c r="T120" s="6">
        <f t="shared" si="231"/>
        <v>0</v>
      </c>
      <c r="U120" s="16"/>
      <c r="V120" s="35"/>
      <c r="W120" s="9"/>
      <c r="X120" s="6">
        <f t="shared" si="232"/>
        <v>0</v>
      </c>
      <c r="Y120" s="16"/>
      <c r="Z120" s="35"/>
      <c r="AA120" s="9"/>
      <c r="AB120" s="6">
        <f t="shared" si="233"/>
        <v>0</v>
      </c>
      <c r="AC120" s="7">
        <f t="shared" si="234"/>
        <v>0</v>
      </c>
    </row>
    <row r="121" spans="1:30" x14ac:dyDescent="0.15">
      <c r="A121" s="49"/>
      <c r="B121" s="16"/>
      <c r="C121" s="35"/>
      <c r="D121" s="9"/>
      <c r="E121" s="6">
        <f t="shared" si="219"/>
        <v>0</v>
      </c>
      <c r="F121" s="16"/>
      <c r="G121" s="35"/>
      <c r="H121" s="9"/>
      <c r="I121" s="6">
        <f t="shared" si="220"/>
        <v>0</v>
      </c>
      <c r="J121" s="16"/>
      <c r="K121" s="35"/>
      <c r="L121" s="9"/>
      <c r="M121" s="6">
        <f t="shared" si="221"/>
        <v>0</v>
      </c>
      <c r="N121" s="7">
        <f t="shared" si="222"/>
        <v>0</v>
      </c>
      <c r="P121" s="47" t="s">
        <v>51</v>
      </c>
      <c r="Q121" s="16"/>
      <c r="R121" s="35"/>
      <c r="S121" s="9"/>
      <c r="T121" s="6">
        <f t="shared" ref="T121:T125" si="235">SUM(Q121:S121)</f>
        <v>0</v>
      </c>
      <c r="U121" s="16"/>
      <c r="V121" s="35"/>
      <c r="W121" s="9"/>
      <c r="X121" s="6">
        <f t="shared" ref="X121:X125" si="236">SUM(U121:W121)</f>
        <v>0</v>
      </c>
      <c r="Y121" s="16"/>
      <c r="Z121" s="35"/>
      <c r="AA121" s="9"/>
      <c r="AB121" s="6">
        <f t="shared" ref="AB121:AB125" si="237">SUM(Y121:AA121)</f>
        <v>0</v>
      </c>
      <c r="AC121" s="7">
        <f t="shared" ref="AC121:AC125" si="238">T121+X121+AB121</f>
        <v>0</v>
      </c>
      <c r="AD121" s="26" t="s">
        <v>52</v>
      </c>
    </row>
    <row r="122" spans="1:30" x14ac:dyDescent="0.15">
      <c r="A122" s="49"/>
      <c r="B122" s="16"/>
      <c r="C122" s="35"/>
      <c r="D122" s="9"/>
      <c r="E122" s="6">
        <f t="shared" si="219"/>
        <v>0</v>
      </c>
      <c r="F122" s="16"/>
      <c r="G122" s="35"/>
      <c r="H122" s="9"/>
      <c r="I122" s="6">
        <f t="shared" si="220"/>
        <v>0</v>
      </c>
      <c r="J122" s="16"/>
      <c r="K122" s="35"/>
      <c r="L122" s="9"/>
      <c r="M122" s="6">
        <f t="shared" si="221"/>
        <v>0</v>
      </c>
      <c r="N122" s="7">
        <f t="shared" si="222"/>
        <v>0</v>
      </c>
      <c r="P122" s="47" t="s">
        <v>33</v>
      </c>
      <c r="Q122" s="16"/>
      <c r="R122" s="35"/>
      <c r="S122" s="9"/>
      <c r="T122" s="6">
        <f t="shared" si="235"/>
        <v>0</v>
      </c>
      <c r="U122" s="16"/>
      <c r="V122" s="35"/>
      <c r="W122" s="9"/>
      <c r="X122" s="6">
        <f t="shared" si="236"/>
        <v>0</v>
      </c>
      <c r="Y122" s="16"/>
      <c r="Z122" s="35"/>
      <c r="AA122" s="9"/>
      <c r="AB122" s="6">
        <f t="shared" si="237"/>
        <v>0</v>
      </c>
      <c r="AC122" s="7">
        <f t="shared" si="238"/>
        <v>0</v>
      </c>
      <c r="AD122" s="26" t="s">
        <v>42</v>
      </c>
    </row>
    <row r="123" spans="1:30" x14ac:dyDescent="0.15">
      <c r="A123" s="49"/>
      <c r="B123" s="16"/>
      <c r="C123" s="35"/>
      <c r="D123" s="9"/>
      <c r="E123" s="6">
        <f t="shared" si="219"/>
        <v>0</v>
      </c>
      <c r="F123" s="16"/>
      <c r="G123" s="35"/>
      <c r="H123" s="9"/>
      <c r="I123" s="6">
        <f t="shared" si="220"/>
        <v>0</v>
      </c>
      <c r="J123" s="16"/>
      <c r="K123" s="35"/>
      <c r="L123" s="9"/>
      <c r="M123" s="6">
        <f t="shared" si="221"/>
        <v>0</v>
      </c>
      <c r="N123" s="7">
        <f t="shared" si="222"/>
        <v>0</v>
      </c>
      <c r="P123" s="47" t="s">
        <v>116</v>
      </c>
      <c r="Q123" s="16"/>
      <c r="R123" s="35"/>
      <c r="S123" s="9"/>
      <c r="T123" s="6">
        <f t="shared" si="235"/>
        <v>0</v>
      </c>
      <c r="U123" s="16"/>
      <c r="V123" s="35"/>
      <c r="W123" s="9"/>
      <c r="X123" s="6">
        <f t="shared" si="236"/>
        <v>0</v>
      </c>
      <c r="Y123" s="16"/>
      <c r="Z123" s="35"/>
      <c r="AA123" s="9"/>
      <c r="AB123" s="6">
        <f t="shared" si="237"/>
        <v>0</v>
      </c>
      <c r="AC123" s="7">
        <f t="shared" si="238"/>
        <v>0</v>
      </c>
      <c r="AD123" s="23" t="s">
        <v>115</v>
      </c>
    </row>
    <row r="124" spans="1:30" x14ac:dyDescent="0.15">
      <c r="A124" s="49"/>
      <c r="B124" s="16"/>
      <c r="C124" s="35"/>
      <c r="D124" s="9"/>
      <c r="E124" s="6">
        <f t="shared" si="219"/>
        <v>0</v>
      </c>
      <c r="F124" s="16"/>
      <c r="G124" s="35"/>
      <c r="H124" s="9"/>
      <c r="I124" s="6">
        <f t="shared" si="220"/>
        <v>0</v>
      </c>
      <c r="J124" s="16"/>
      <c r="K124" s="35"/>
      <c r="L124" s="9"/>
      <c r="M124" s="6">
        <f t="shared" si="221"/>
        <v>0</v>
      </c>
      <c r="N124" s="7">
        <f t="shared" si="222"/>
        <v>0</v>
      </c>
      <c r="P124" s="47" t="s">
        <v>53</v>
      </c>
      <c r="Q124" s="16"/>
      <c r="R124" s="35"/>
      <c r="S124" s="9"/>
      <c r="T124" s="6">
        <f t="shared" si="235"/>
        <v>0</v>
      </c>
      <c r="U124" s="16"/>
      <c r="V124" s="35"/>
      <c r="W124" s="9"/>
      <c r="X124" s="6">
        <f t="shared" si="236"/>
        <v>0</v>
      </c>
      <c r="Y124" s="16"/>
      <c r="Z124" s="35"/>
      <c r="AA124" s="9"/>
      <c r="AB124" s="6">
        <f t="shared" si="237"/>
        <v>0</v>
      </c>
      <c r="AC124" s="7">
        <f t="shared" si="238"/>
        <v>0</v>
      </c>
      <c r="AD124" s="23" t="s">
        <v>49</v>
      </c>
    </row>
    <row r="125" spans="1:30" ht="14.25" thickBot="1" x14ac:dyDescent="0.2">
      <c r="A125" s="49"/>
      <c r="B125" s="16"/>
      <c r="C125" s="35"/>
      <c r="D125" s="9"/>
      <c r="E125" s="6">
        <f t="shared" si="219"/>
        <v>0</v>
      </c>
      <c r="F125" s="16"/>
      <c r="G125" s="35"/>
      <c r="H125" s="9"/>
      <c r="I125" s="6">
        <f t="shared" si="220"/>
        <v>0</v>
      </c>
      <c r="J125" s="16"/>
      <c r="K125" s="35"/>
      <c r="L125" s="9"/>
      <c r="M125" s="6">
        <f t="shared" si="221"/>
        <v>0</v>
      </c>
      <c r="N125" s="7">
        <f t="shared" si="222"/>
        <v>0</v>
      </c>
      <c r="P125" s="47" t="s">
        <v>90</v>
      </c>
      <c r="Q125" s="16"/>
      <c r="R125" s="35"/>
      <c r="S125" s="9"/>
      <c r="T125" s="6">
        <f t="shared" si="235"/>
        <v>0</v>
      </c>
      <c r="U125" s="16"/>
      <c r="V125" s="35"/>
      <c r="W125" s="9"/>
      <c r="X125" s="6">
        <f t="shared" si="236"/>
        <v>0</v>
      </c>
      <c r="Y125" s="16"/>
      <c r="Z125" s="35"/>
      <c r="AA125" s="9"/>
      <c r="AB125" s="6">
        <f t="shared" si="237"/>
        <v>0</v>
      </c>
      <c r="AC125" s="7">
        <f t="shared" si="238"/>
        <v>0</v>
      </c>
      <c r="AD125" s="23" t="s">
        <v>91</v>
      </c>
    </row>
    <row r="126" spans="1:30" ht="14.25" thickBot="1" x14ac:dyDescent="0.2">
      <c r="A126" s="3" t="s">
        <v>9</v>
      </c>
      <c r="B126" s="13">
        <f>SUM(B102:B125)</f>
        <v>7</v>
      </c>
      <c r="C126" s="37">
        <f t="shared" ref="C126:N126" si="239">SUM(C102:C125)</f>
        <v>20</v>
      </c>
      <c r="D126" s="32">
        <f t="shared" si="239"/>
        <v>19</v>
      </c>
      <c r="E126" s="17">
        <f t="shared" si="239"/>
        <v>46</v>
      </c>
      <c r="F126" s="13">
        <f t="shared" si="239"/>
        <v>9</v>
      </c>
      <c r="G126" s="37">
        <f t="shared" si="239"/>
        <v>23</v>
      </c>
      <c r="H126" s="32">
        <f t="shared" si="239"/>
        <v>18</v>
      </c>
      <c r="I126" s="17">
        <f t="shared" si="239"/>
        <v>50</v>
      </c>
      <c r="J126" s="13">
        <f t="shared" si="239"/>
        <v>7</v>
      </c>
      <c r="K126" s="37">
        <f t="shared" si="239"/>
        <v>21</v>
      </c>
      <c r="L126" s="32">
        <f t="shared" si="239"/>
        <v>20</v>
      </c>
      <c r="M126" s="17">
        <f t="shared" si="239"/>
        <v>48</v>
      </c>
      <c r="N126" s="18">
        <f t="shared" si="239"/>
        <v>144</v>
      </c>
      <c r="P126" s="3" t="s">
        <v>9</v>
      </c>
      <c r="Q126" s="13">
        <f>SUM(Q102:Q125)</f>
        <v>719</v>
      </c>
      <c r="R126" s="37">
        <f t="shared" ref="R126:AC126" si="240">SUM(R102:R125)</f>
        <v>770</v>
      </c>
      <c r="S126" s="32">
        <f t="shared" si="240"/>
        <v>317</v>
      </c>
      <c r="T126" s="17">
        <f t="shared" si="240"/>
        <v>1806</v>
      </c>
      <c r="U126" s="13">
        <f t="shared" si="240"/>
        <v>719</v>
      </c>
      <c r="V126" s="37">
        <f t="shared" si="240"/>
        <v>770</v>
      </c>
      <c r="W126" s="32">
        <f t="shared" si="240"/>
        <v>312</v>
      </c>
      <c r="X126" s="17">
        <f t="shared" si="240"/>
        <v>1801</v>
      </c>
      <c r="Y126" s="13">
        <f t="shared" si="240"/>
        <v>719</v>
      </c>
      <c r="Z126" s="37">
        <f t="shared" si="240"/>
        <v>770</v>
      </c>
      <c r="AA126" s="32">
        <f t="shared" si="240"/>
        <v>312</v>
      </c>
      <c r="AB126" s="17">
        <f t="shared" si="240"/>
        <v>1801</v>
      </c>
      <c r="AC126" s="18">
        <f t="shared" si="240"/>
        <v>5408</v>
      </c>
    </row>
    <row r="127" spans="1:30" ht="14.25" thickBot="1" x14ac:dyDescent="0.2">
      <c r="A127" s="19" t="s">
        <v>10</v>
      </c>
      <c r="B127" s="20">
        <f>B101-B126</f>
        <v>15</v>
      </c>
      <c r="C127" s="38">
        <f t="shared" ref="C127:N127" si="241">C101-C126</f>
        <v>14</v>
      </c>
      <c r="D127" s="33">
        <f t="shared" si="241"/>
        <v>9</v>
      </c>
      <c r="E127" s="20">
        <f t="shared" si="241"/>
        <v>38</v>
      </c>
      <c r="F127" s="20">
        <f t="shared" si="241"/>
        <v>12</v>
      </c>
      <c r="G127" s="38">
        <f t="shared" si="241"/>
        <v>10</v>
      </c>
      <c r="H127" s="33">
        <f t="shared" si="241"/>
        <v>12</v>
      </c>
      <c r="I127" s="20">
        <f t="shared" si="241"/>
        <v>34</v>
      </c>
      <c r="J127" s="20">
        <f t="shared" si="241"/>
        <v>16</v>
      </c>
      <c r="K127" s="38">
        <f t="shared" si="241"/>
        <v>10</v>
      </c>
      <c r="L127" s="33">
        <f t="shared" si="241"/>
        <v>8</v>
      </c>
      <c r="M127" s="20">
        <f t="shared" si="241"/>
        <v>34</v>
      </c>
      <c r="N127" s="18">
        <f t="shared" si="241"/>
        <v>106</v>
      </c>
      <c r="P127" s="19" t="s">
        <v>10</v>
      </c>
      <c r="Q127" s="20">
        <f>Q101-Q126</f>
        <v>574</v>
      </c>
      <c r="R127" s="38">
        <f t="shared" ref="R127:AC127" si="242">R101-R126</f>
        <v>514</v>
      </c>
      <c r="S127" s="33">
        <f t="shared" si="242"/>
        <v>382</v>
      </c>
      <c r="T127" s="20">
        <f t="shared" si="242"/>
        <v>1470</v>
      </c>
      <c r="U127" s="20">
        <f t="shared" si="242"/>
        <v>561</v>
      </c>
      <c r="V127" s="38">
        <f t="shared" si="242"/>
        <v>519</v>
      </c>
      <c r="W127" s="33">
        <f t="shared" si="242"/>
        <v>380</v>
      </c>
      <c r="X127" s="20">
        <f t="shared" si="242"/>
        <v>1460</v>
      </c>
      <c r="Y127" s="20">
        <f t="shared" si="242"/>
        <v>575</v>
      </c>
      <c r="Z127" s="38">
        <f t="shared" si="242"/>
        <v>548</v>
      </c>
      <c r="AA127" s="33">
        <f t="shared" si="242"/>
        <v>392</v>
      </c>
      <c r="AB127" s="20">
        <f t="shared" si="242"/>
        <v>1515</v>
      </c>
      <c r="AC127" s="18">
        <f t="shared" si="242"/>
        <v>4445</v>
      </c>
    </row>
    <row r="130" spans="1:29" ht="21.75" thickBot="1" x14ac:dyDescent="0.25">
      <c r="A130" s="27" t="s">
        <v>15</v>
      </c>
      <c r="B130" s="28"/>
      <c r="C130" s="28"/>
      <c r="D130" s="28"/>
      <c r="E130" s="29"/>
      <c r="F130" s="28"/>
      <c r="G130" s="28"/>
      <c r="H130" s="28"/>
      <c r="I130" s="28"/>
      <c r="J130" s="1"/>
      <c r="K130" s="1"/>
      <c r="L130" s="1"/>
      <c r="M130" s="1"/>
      <c r="P130" s="43" t="s">
        <v>14</v>
      </c>
      <c r="Q130" s="44"/>
      <c r="R130" s="44"/>
      <c r="S130" s="44"/>
      <c r="T130" s="45"/>
      <c r="U130" s="44"/>
      <c r="V130" s="44"/>
      <c r="W130" s="44"/>
      <c r="X130" s="44"/>
      <c r="Y130" s="44"/>
      <c r="Z130" s="44"/>
      <c r="AA130" s="44"/>
      <c r="AB130" s="1"/>
    </row>
    <row r="131" spans="1:29" ht="14.25" thickBot="1" x14ac:dyDescent="0.2">
      <c r="A131" s="2" t="s">
        <v>0</v>
      </c>
      <c r="B131" s="91" t="s">
        <v>16</v>
      </c>
      <c r="C131" s="91"/>
      <c r="D131" s="91"/>
      <c r="E131" s="92"/>
      <c r="F131" s="93" t="s">
        <v>12</v>
      </c>
      <c r="G131" s="93"/>
      <c r="H131" s="93"/>
      <c r="I131" s="94"/>
      <c r="J131" s="95" t="s">
        <v>13</v>
      </c>
      <c r="K131" s="95"/>
      <c r="L131" s="95"/>
      <c r="M131" s="95"/>
      <c r="N131" s="96" t="s">
        <v>1</v>
      </c>
      <c r="P131" s="2" t="s">
        <v>0</v>
      </c>
      <c r="Q131" s="91" t="s">
        <v>16</v>
      </c>
      <c r="R131" s="91"/>
      <c r="S131" s="91"/>
      <c r="T131" s="92"/>
      <c r="U131" s="93" t="s">
        <v>12</v>
      </c>
      <c r="V131" s="93"/>
      <c r="W131" s="93"/>
      <c r="X131" s="94"/>
      <c r="Y131" s="95" t="s">
        <v>13</v>
      </c>
      <c r="Z131" s="95"/>
      <c r="AA131" s="95"/>
      <c r="AB131" s="95"/>
      <c r="AC131" s="96" t="s">
        <v>1</v>
      </c>
    </row>
    <row r="132" spans="1:29" ht="14.25" thickBot="1" x14ac:dyDescent="0.2">
      <c r="A132" s="2" t="s">
        <v>2</v>
      </c>
      <c r="B132" s="3" t="s">
        <v>3</v>
      </c>
      <c r="C132" s="34" t="s">
        <v>4</v>
      </c>
      <c r="D132" s="4" t="s">
        <v>5</v>
      </c>
      <c r="E132" s="2" t="s">
        <v>6</v>
      </c>
      <c r="F132" s="3" t="s">
        <v>3</v>
      </c>
      <c r="G132" s="34" t="s">
        <v>4</v>
      </c>
      <c r="H132" s="4" t="s">
        <v>5</v>
      </c>
      <c r="I132" s="2" t="s">
        <v>6</v>
      </c>
      <c r="J132" s="3" t="s">
        <v>3</v>
      </c>
      <c r="K132" s="34" t="s">
        <v>4</v>
      </c>
      <c r="L132" s="4" t="s">
        <v>5</v>
      </c>
      <c r="M132" s="3" t="s">
        <v>6</v>
      </c>
      <c r="N132" s="97"/>
      <c r="P132" s="2" t="s">
        <v>2</v>
      </c>
      <c r="Q132" s="3" t="s">
        <v>3</v>
      </c>
      <c r="R132" s="34" t="s">
        <v>4</v>
      </c>
      <c r="S132" s="4" t="s">
        <v>5</v>
      </c>
      <c r="T132" s="2" t="s">
        <v>6</v>
      </c>
      <c r="U132" s="3" t="s">
        <v>3</v>
      </c>
      <c r="V132" s="34" t="s">
        <v>4</v>
      </c>
      <c r="W132" s="4" t="s">
        <v>5</v>
      </c>
      <c r="X132" s="2" t="s">
        <v>6</v>
      </c>
      <c r="Y132" s="3" t="s">
        <v>3</v>
      </c>
      <c r="Z132" s="34" t="s">
        <v>4</v>
      </c>
      <c r="AA132" s="4" t="s">
        <v>5</v>
      </c>
      <c r="AB132" s="3" t="s">
        <v>6</v>
      </c>
      <c r="AC132" s="97"/>
    </row>
    <row r="133" spans="1:29" ht="14.25" thickBot="1" x14ac:dyDescent="0.2">
      <c r="A133" s="40" t="s">
        <v>10</v>
      </c>
      <c r="B133" s="41">
        <f>B127</f>
        <v>15</v>
      </c>
      <c r="C133" s="42">
        <f t="shared" ref="C133:M133" si="243">C127</f>
        <v>14</v>
      </c>
      <c r="D133" s="41">
        <f t="shared" si="243"/>
        <v>9</v>
      </c>
      <c r="E133" s="14">
        <f t="shared" si="243"/>
        <v>38</v>
      </c>
      <c r="F133" s="41">
        <f t="shared" si="243"/>
        <v>12</v>
      </c>
      <c r="G133" s="42">
        <f t="shared" si="243"/>
        <v>10</v>
      </c>
      <c r="H133" s="41">
        <f t="shared" si="243"/>
        <v>12</v>
      </c>
      <c r="I133" s="14">
        <f t="shared" si="243"/>
        <v>34</v>
      </c>
      <c r="J133" s="41">
        <f t="shared" si="243"/>
        <v>16</v>
      </c>
      <c r="K133" s="42">
        <f t="shared" si="243"/>
        <v>10</v>
      </c>
      <c r="L133" s="41">
        <f t="shared" si="243"/>
        <v>8</v>
      </c>
      <c r="M133" s="14">
        <f t="shared" si="243"/>
        <v>34</v>
      </c>
      <c r="N133" s="15">
        <f>N127</f>
        <v>106</v>
      </c>
      <c r="P133" s="40" t="s">
        <v>10</v>
      </c>
      <c r="Q133" s="54">
        <f>Q127</f>
        <v>574</v>
      </c>
      <c r="R133" s="55">
        <f t="shared" ref="R133:AB133" si="244">R127</f>
        <v>514</v>
      </c>
      <c r="S133" s="54">
        <f t="shared" si="244"/>
        <v>382</v>
      </c>
      <c r="T133" s="14">
        <f t="shared" si="244"/>
        <v>1470</v>
      </c>
      <c r="U133" s="54">
        <f t="shared" si="244"/>
        <v>561</v>
      </c>
      <c r="V133" s="55">
        <f t="shared" si="244"/>
        <v>519</v>
      </c>
      <c r="W133" s="54">
        <f t="shared" si="244"/>
        <v>380</v>
      </c>
      <c r="X133" s="14">
        <f t="shared" si="244"/>
        <v>1460</v>
      </c>
      <c r="Y133" s="54">
        <f t="shared" si="244"/>
        <v>575</v>
      </c>
      <c r="Z133" s="55">
        <f t="shared" si="244"/>
        <v>548</v>
      </c>
      <c r="AA133" s="54">
        <f t="shared" si="244"/>
        <v>392</v>
      </c>
      <c r="AB133" s="14">
        <f t="shared" si="244"/>
        <v>1515</v>
      </c>
      <c r="AC133" s="15">
        <f>AC127</f>
        <v>4445</v>
      </c>
    </row>
    <row r="134" spans="1:29" x14ac:dyDescent="0.15">
      <c r="A134" s="5" t="s">
        <v>7</v>
      </c>
      <c r="B134" s="9"/>
      <c r="C134" s="35"/>
      <c r="D134" s="9"/>
      <c r="E134" s="6">
        <f t="shared" ref="E134:E143" si="245">SUM(B134:D134)</f>
        <v>0</v>
      </c>
      <c r="F134" s="9"/>
      <c r="G134" s="35">
        <v>5</v>
      </c>
      <c r="H134" s="9"/>
      <c r="I134" s="6">
        <f t="shared" ref="I134:I143" si="246">SUM(F134:H134)</f>
        <v>5</v>
      </c>
      <c r="J134" s="9"/>
      <c r="K134" s="35">
        <v>5</v>
      </c>
      <c r="L134" s="9"/>
      <c r="M134" s="6">
        <f t="shared" ref="M134:M143" si="247">SUM(J134:L134)</f>
        <v>5</v>
      </c>
      <c r="N134" s="7">
        <f t="shared" ref="N134:N143" si="248">E134+I134+M134</f>
        <v>10</v>
      </c>
      <c r="O134" s="30">
        <v>45680</v>
      </c>
      <c r="P134" s="39" t="s">
        <v>7</v>
      </c>
      <c r="Q134" s="56"/>
      <c r="R134" s="57"/>
      <c r="S134" s="56"/>
      <c r="T134" s="6">
        <f t="shared" ref="T134:T143" si="249">SUM(Q134:S134)</f>
        <v>0</v>
      </c>
      <c r="U134" s="56"/>
      <c r="V134" s="57"/>
      <c r="W134" s="56"/>
      <c r="X134" s="6">
        <f t="shared" ref="X134:X143" si="250">SUM(U134:W134)</f>
        <v>0</v>
      </c>
      <c r="Y134" s="56"/>
      <c r="Z134" s="57"/>
      <c r="AA134" s="56"/>
      <c r="AB134" s="6">
        <f t="shared" ref="AB134:AB143" si="251">SUM(Y134:AA134)</f>
        <v>0</v>
      </c>
      <c r="AC134" s="7">
        <f t="shared" ref="AC134:AC143" si="252">T134+X134+AB134</f>
        <v>0</v>
      </c>
    </row>
    <row r="135" spans="1:29" x14ac:dyDescent="0.15">
      <c r="A135" s="5" t="s">
        <v>149</v>
      </c>
      <c r="B135" s="9">
        <v>3</v>
      </c>
      <c r="C135" s="35"/>
      <c r="D135" s="9"/>
      <c r="E135" s="6">
        <f t="shared" si="245"/>
        <v>3</v>
      </c>
      <c r="F135" s="9">
        <v>3</v>
      </c>
      <c r="G135" s="35"/>
      <c r="H135" s="9"/>
      <c r="I135" s="6">
        <f t="shared" si="246"/>
        <v>3</v>
      </c>
      <c r="J135" s="9">
        <v>3</v>
      </c>
      <c r="K135" s="35"/>
      <c r="L135" s="9"/>
      <c r="M135" s="6">
        <f t="shared" si="247"/>
        <v>3</v>
      </c>
      <c r="N135" s="7">
        <f t="shared" si="248"/>
        <v>9</v>
      </c>
      <c r="O135" s="30">
        <v>45680</v>
      </c>
      <c r="P135" s="39" t="s">
        <v>7</v>
      </c>
      <c r="Q135" s="56"/>
      <c r="R135" s="57"/>
      <c r="S135" s="56"/>
      <c r="T135" s="6">
        <f t="shared" ref="T135:T138" si="253">SUM(Q135:S135)</f>
        <v>0</v>
      </c>
      <c r="U135" s="56"/>
      <c r="V135" s="57"/>
      <c r="W135" s="56"/>
      <c r="X135" s="6">
        <f t="shared" ref="X135:X138" si="254">SUM(U135:W135)</f>
        <v>0</v>
      </c>
      <c r="Y135" s="56"/>
      <c r="Z135" s="57"/>
      <c r="AA135" s="56"/>
      <c r="AB135" s="6">
        <f t="shared" ref="AB135:AB138" si="255">SUM(Y135:AA135)</f>
        <v>0</v>
      </c>
      <c r="AC135" s="7">
        <f t="shared" ref="AC135:AC138" si="256">T135+X135+AB135</f>
        <v>0</v>
      </c>
    </row>
    <row r="136" spans="1:29" x14ac:dyDescent="0.15">
      <c r="A136" s="5" t="s">
        <v>7</v>
      </c>
      <c r="B136" s="9"/>
      <c r="C136" s="35">
        <v>3</v>
      </c>
      <c r="D136" s="9">
        <v>3</v>
      </c>
      <c r="E136" s="6">
        <f t="shared" si="245"/>
        <v>6</v>
      </c>
      <c r="F136" s="9"/>
      <c r="G136" s="35"/>
      <c r="H136" s="9"/>
      <c r="I136" s="6">
        <f t="shared" si="246"/>
        <v>0</v>
      </c>
      <c r="J136" s="9"/>
      <c r="K136" s="35"/>
      <c r="L136" s="9">
        <v>3</v>
      </c>
      <c r="M136" s="6">
        <f t="shared" si="247"/>
        <v>3</v>
      </c>
      <c r="N136" s="7">
        <f t="shared" si="248"/>
        <v>9</v>
      </c>
      <c r="O136" s="30">
        <v>45686</v>
      </c>
      <c r="P136" s="39" t="s">
        <v>7</v>
      </c>
      <c r="Q136" s="56"/>
      <c r="R136" s="57"/>
      <c r="S136" s="56"/>
      <c r="T136" s="6">
        <f t="shared" si="253"/>
        <v>0</v>
      </c>
      <c r="U136" s="56"/>
      <c r="V136" s="57"/>
      <c r="W136" s="56"/>
      <c r="X136" s="6">
        <f t="shared" si="254"/>
        <v>0</v>
      </c>
      <c r="Y136" s="56"/>
      <c r="Z136" s="57"/>
      <c r="AA136" s="56"/>
      <c r="AB136" s="6">
        <f t="shared" si="255"/>
        <v>0</v>
      </c>
      <c r="AC136" s="7">
        <f t="shared" si="256"/>
        <v>0</v>
      </c>
    </row>
    <row r="137" spans="1:29" x14ac:dyDescent="0.15">
      <c r="A137" s="5" t="s">
        <v>149</v>
      </c>
      <c r="B137" s="16">
        <v>2</v>
      </c>
      <c r="C137" s="35"/>
      <c r="D137" s="9"/>
      <c r="E137" s="6">
        <f t="shared" si="245"/>
        <v>2</v>
      </c>
      <c r="F137" s="16">
        <v>2</v>
      </c>
      <c r="G137" s="35"/>
      <c r="H137" s="9"/>
      <c r="I137" s="6">
        <f t="shared" si="246"/>
        <v>2</v>
      </c>
      <c r="J137" s="16">
        <v>2</v>
      </c>
      <c r="K137" s="35"/>
      <c r="L137" s="9"/>
      <c r="M137" s="6">
        <f t="shared" si="247"/>
        <v>2</v>
      </c>
      <c r="N137" s="7">
        <f t="shared" si="248"/>
        <v>6</v>
      </c>
      <c r="O137" s="30">
        <v>45687</v>
      </c>
      <c r="P137" s="39" t="s">
        <v>7</v>
      </c>
      <c r="Q137" s="56"/>
      <c r="R137" s="57"/>
      <c r="S137" s="56"/>
      <c r="T137" s="6">
        <f t="shared" ref="T137" si="257">SUM(Q137:S137)</f>
        <v>0</v>
      </c>
      <c r="U137" s="56"/>
      <c r="V137" s="57"/>
      <c r="W137" s="56"/>
      <c r="X137" s="6">
        <f t="shared" ref="X137" si="258">SUM(U137:W137)</f>
        <v>0</v>
      </c>
      <c r="Y137" s="56"/>
      <c r="Z137" s="57"/>
      <c r="AA137" s="56"/>
      <c r="AB137" s="6">
        <f t="shared" ref="AB137" si="259">SUM(Y137:AA137)</f>
        <v>0</v>
      </c>
      <c r="AC137" s="7">
        <f t="shared" ref="AC137" si="260">T137+X137+AB137</f>
        <v>0</v>
      </c>
    </row>
    <row r="138" spans="1:29" x14ac:dyDescent="0.15">
      <c r="A138" s="5" t="s">
        <v>63</v>
      </c>
      <c r="B138" s="9">
        <v>2</v>
      </c>
      <c r="C138" s="35"/>
      <c r="D138" s="9"/>
      <c r="E138" s="6">
        <f t="shared" si="245"/>
        <v>2</v>
      </c>
      <c r="F138" s="9">
        <v>2</v>
      </c>
      <c r="G138" s="35"/>
      <c r="H138" s="9"/>
      <c r="I138" s="6">
        <f t="shared" si="246"/>
        <v>2</v>
      </c>
      <c r="J138" s="9">
        <v>2</v>
      </c>
      <c r="K138" s="35"/>
      <c r="L138" s="9"/>
      <c r="M138" s="6">
        <f t="shared" si="247"/>
        <v>2</v>
      </c>
      <c r="N138" s="7">
        <f t="shared" si="248"/>
        <v>6</v>
      </c>
      <c r="O138" s="30">
        <v>45688</v>
      </c>
      <c r="P138" s="39" t="s">
        <v>7</v>
      </c>
      <c r="Q138" s="56"/>
      <c r="R138" s="57"/>
      <c r="S138" s="56"/>
      <c r="T138" s="6">
        <f t="shared" si="253"/>
        <v>0</v>
      </c>
      <c r="U138" s="56"/>
      <c r="V138" s="57"/>
      <c r="W138" s="56"/>
      <c r="X138" s="6">
        <f t="shared" si="254"/>
        <v>0</v>
      </c>
      <c r="Y138" s="56"/>
      <c r="Z138" s="57"/>
      <c r="AA138" s="56"/>
      <c r="AB138" s="6">
        <f t="shared" si="255"/>
        <v>0</v>
      </c>
      <c r="AC138" s="7">
        <f t="shared" si="256"/>
        <v>0</v>
      </c>
    </row>
    <row r="139" spans="1:29" x14ac:dyDescent="0.15">
      <c r="A139" s="5" t="s">
        <v>7</v>
      </c>
      <c r="B139" s="9"/>
      <c r="C139" s="35">
        <v>5</v>
      </c>
      <c r="D139" s="9">
        <v>5</v>
      </c>
      <c r="E139" s="6">
        <f t="shared" si="245"/>
        <v>10</v>
      </c>
      <c r="F139" s="9"/>
      <c r="G139" s="35">
        <v>5</v>
      </c>
      <c r="H139" s="9">
        <v>5</v>
      </c>
      <c r="I139" s="6">
        <f t="shared" si="246"/>
        <v>10</v>
      </c>
      <c r="J139" s="9"/>
      <c r="K139" s="35">
        <v>5</v>
      </c>
      <c r="L139" s="9">
        <v>5</v>
      </c>
      <c r="M139" s="6">
        <f t="shared" si="247"/>
        <v>10</v>
      </c>
      <c r="N139" s="7">
        <f t="shared" si="248"/>
        <v>30</v>
      </c>
      <c r="O139" s="30">
        <v>45695</v>
      </c>
      <c r="P139" s="39" t="s">
        <v>7</v>
      </c>
      <c r="Q139" s="56"/>
      <c r="R139" s="57"/>
      <c r="S139" s="56"/>
      <c r="T139" s="6">
        <f t="shared" ref="T139:T141" si="261">SUM(Q139:S139)</f>
        <v>0</v>
      </c>
      <c r="U139" s="56"/>
      <c r="V139" s="57"/>
      <c r="W139" s="56"/>
      <c r="X139" s="6">
        <f t="shared" ref="X139:X141" si="262">SUM(U139:W139)</f>
        <v>0</v>
      </c>
      <c r="Y139" s="56"/>
      <c r="Z139" s="57"/>
      <c r="AA139" s="56"/>
      <c r="AB139" s="6">
        <f t="shared" ref="AB139:AB141" si="263">SUM(Y139:AA139)</f>
        <v>0</v>
      </c>
      <c r="AC139" s="7">
        <f t="shared" ref="AC139:AC141" si="264">T139+X139+AB139</f>
        <v>0</v>
      </c>
    </row>
    <row r="140" spans="1:29" x14ac:dyDescent="0.15">
      <c r="A140" s="5" t="s">
        <v>7</v>
      </c>
      <c r="B140" s="9">
        <v>5</v>
      </c>
      <c r="C140" s="35"/>
      <c r="D140" s="9"/>
      <c r="E140" s="6">
        <f t="shared" si="245"/>
        <v>5</v>
      </c>
      <c r="F140" s="9">
        <v>10</v>
      </c>
      <c r="G140" s="35"/>
      <c r="H140" s="9"/>
      <c r="I140" s="6">
        <f t="shared" si="246"/>
        <v>10</v>
      </c>
      <c r="J140" s="9">
        <v>5</v>
      </c>
      <c r="K140" s="35"/>
      <c r="L140" s="9"/>
      <c r="M140" s="6">
        <f t="shared" si="247"/>
        <v>5</v>
      </c>
      <c r="N140" s="7">
        <f t="shared" si="248"/>
        <v>20</v>
      </c>
      <c r="O140" s="30">
        <v>45706</v>
      </c>
      <c r="P140" s="39" t="s">
        <v>7</v>
      </c>
      <c r="Q140" s="56"/>
      <c r="R140" s="57"/>
      <c r="S140" s="56"/>
      <c r="T140" s="6">
        <f t="shared" si="261"/>
        <v>0</v>
      </c>
      <c r="U140" s="56"/>
      <c r="V140" s="57"/>
      <c r="W140" s="56"/>
      <c r="X140" s="6">
        <f t="shared" si="262"/>
        <v>0</v>
      </c>
      <c r="Y140" s="56"/>
      <c r="Z140" s="57"/>
      <c r="AA140" s="56"/>
      <c r="AB140" s="6">
        <f t="shared" si="263"/>
        <v>0</v>
      </c>
      <c r="AC140" s="7">
        <f t="shared" si="264"/>
        <v>0</v>
      </c>
    </row>
    <row r="141" spans="1:29" x14ac:dyDescent="0.15">
      <c r="A141" s="5" t="s">
        <v>63</v>
      </c>
      <c r="B141" s="9">
        <v>1</v>
      </c>
      <c r="C141" s="35">
        <v>1</v>
      </c>
      <c r="D141" s="9"/>
      <c r="E141" s="6">
        <f t="shared" si="245"/>
        <v>2</v>
      </c>
      <c r="F141" s="9">
        <v>1</v>
      </c>
      <c r="G141" s="35">
        <v>1</v>
      </c>
      <c r="H141" s="9"/>
      <c r="I141" s="6">
        <f t="shared" si="246"/>
        <v>2</v>
      </c>
      <c r="J141" s="9">
        <v>1</v>
      </c>
      <c r="K141" s="35">
        <v>1</v>
      </c>
      <c r="L141" s="9"/>
      <c r="M141" s="6">
        <f t="shared" si="247"/>
        <v>2</v>
      </c>
      <c r="N141" s="7">
        <f t="shared" si="248"/>
        <v>6</v>
      </c>
      <c r="O141" s="30">
        <v>45722</v>
      </c>
      <c r="P141" s="39" t="s">
        <v>7</v>
      </c>
      <c r="Q141" s="56"/>
      <c r="R141" s="57"/>
      <c r="S141" s="56"/>
      <c r="T141" s="6">
        <f t="shared" si="261"/>
        <v>0</v>
      </c>
      <c r="U141" s="56"/>
      <c r="V141" s="57"/>
      <c r="W141" s="56"/>
      <c r="X141" s="6">
        <f t="shared" si="262"/>
        <v>0</v>
      </c>
      <c r="Y141" s="56"/>
      <c r="Z141" s="57"/>
      <c r="AA141" s="56"/>
      <c r="AB141" s="6">
        <f t="shared" si="263"/>
        <v>0</v>
      </c>
      <c r="AC141" s="7">
        <f t="shared" si="264"/>
        <v>0</v>
      </c>
    </row>
    <row r="142" spans="1:29" x14ac:dyDescent="0.15">
      <c r="A142" s="5" t="s">
        <v>7</v>
      </c>
      <c r="B142" s="9"/>
      <c r="C142" s="35"/>
      <c r="D142" s="9"/>
      <c r="E142" s="6">
        <f t="shared" si="245"/>
        <v>0</v>
      </c>
      <c r="F142" s="9"/>
      <c r="G142" s="35"/>
      <c r="H142" s="9"/>
      <c r="I142" s="6">
        <f t="shared" si="246"/>
        <v>0</v>
      </c>
      <c r="J142" s="9"/>
      <c r="K142" s="35"/>
      <c r="L142" s="9"/>
      <c r="M142" s="6">
        <f t="shared" si="247"/>
        <v>0</v>
      </c>
      <c r="N142" s="7">
        <f t="shared" si="248"/>
        <v>0</v>
      </c>
      <c r="O142" s="8"/>
      <c r="P142" s="5" t="s">
        <v>7</v>
      </c>
      <c r="Q142" s="58"/>
      <c r="R142" s="59"/>
      <c r="S142" s="58"/>
      <c r="T142" s="6">
        <f t="shared" si="249"/>
        <v>0</v>
      </c>
      <c r="U142" s="58"/>
      <c r="V142" s="59"/>
      <c r="W142" s="58"/>
      <c r="X142" s="6">
        <f t="shared" si="250"/>
        <v>0</v>
      </c>
      <c r="Y142" s="58"/>
      <c r="Z142" s="59"/>
      <c r="AA142" s="58"/>
      <c r="AB142" s="6">
        <f t="shared" si="251"/>
        <v>0</v>
      </c>
      <c r="AC142" s="7">
        <f t="shared" si="252"/>
        <v>0</v>
      </c>
    </row>
    <row r="143" spans="1:29" ht="14.25" thickBot="1" x14ac:dyDescent="0.2">
      <c r="A143" s="10" t="s">
        <v>7</v>
      </c>
      <c r="B143" s="11"/>
      <c r="C143" s="36"/>
      <c r="D143" s="11"/>
      <c r="E143" s="6">
        <f t="shared" si="245"/>
        <v>0</v>
      </c>
      <c r="F143" s="11"/>
      <c r="G143" s="36"/>
      <c r="H143" s="11"/>
      <c r="I143" s="6">
        <f t="shared" si="246"/>
        <v>0</v>
      </c>
      <c r="J143" s="11"/>
      <c r="K143" s="36"/>
      <c r="L143" s="11"/>
      <c r="M143" s="6">
        <f t="shared" si="247"/>
        <v>0</v>
      </c>
      <c r="N143" s="7">
        <f t="shared" si="248"/>
        <v>0</v>
      </c>
      <c r="P143" s="5" t="s">
        <v>7</v>
      </c>
      <c r="Q143" s="58"/>
      <c r="R143" s="59"/>
      <c r="S143" s="58"/>
      <c r="T143" s="6">
        <f t="shared" si="249"/>
        <v>0</v>
      </c>
      <c r="U143" s="58"/>
      <c r="V143" s="59"/>
      <c r="W143" s="58"/>
      <c r="X143" s="6">
        <f t="shared" si="250"/>
        <v>0</v>
      </c>
      <c r="Y143" s="58"/>
      <c r="Z143" s="59"/>
      <c r="AA143" s="58"/>
      <c r="AB143" s="6">
        <f t="shared" si="251"/>
        <v>0</v>
      </c>
      <c r="AC143" s="7">
        <f t="shared" si="252"/>
        <v>0</v>
      </c>
    </row>
    <row r="144" spans="1:29" ht="14.25" thickBot="1" x14ac:dyDescent="0.2">
      <c r="A144" s="12" t="s">
        <v>8</v>
      </c>
      <c r="B144" s="13">
        <f>SUM(B133:B143)</f>
        <v>28</v>
      </c>
      <c r="C144" s="37">
        <f t="shared" ref="C144:N144" si="265">SUM(C133:C143)</f>
        <v>23</v>
      </c>
      <c r="D144" s="31">
        <f t="shared" si="265"/>
        <v>17</v>
      </c>
      <c r="E144" s="14">
        <f t="shared" si="265"/>
        <v>68</v>
      </c>
      <c r="F144" s="13">
        <f t="shared" si="265"/>
        <v>30</v>
      </c>
      <c r="G144" s="37">
        <f t="shared" si="265"/>
        <v>21</v>
      </c>
      <c r="H144" s="31">
        <f t="shared" si="265"/>
        <v>17</v>
      </c>
      <c r="I144" s="14">
        <f t="shared" si="265"/>
        <v>68</v>
      </c>
      <c r="J144" s="13">
        <f t="shared" si="265"/>
        <v>29</v>
      </c>
      <c r="K144" s="37">
        <f t="shared" si="265"/>
        <v>21</v>
      </c>
      <c r="L144" s="31">
        <f t="shared" si="265"/>
        <v>16</v>
      </c>
      <c r="M144" s="14">
        <f t="shared" si="265"/>
        <v>66</v>
      </c>
      <c r="N144" s="15">
        <f t="shared" si="265"/>
        <v>202</v>
      </c>
      <c r="P144" s="12" t="s">
        <v>8</v>
      </c>
      <c r="Q144" s="13">
        <f>SUM(Q133:Q143)</f>
        <v>574</v>
      </c>
      <c r="R144" s="37">
        <f t="shared" ref="R144:AC144" si="266">SUM(R133:R143)</f>
        <v>514</v>
      </c>
      <c r="S144" s="31">
        <f t="shared" si="266"/>
        <v>382</v>
      </c>
      <c r="T144" s="14">
        <f t="shared" si="266"/>
        <v>1470</v>
      </c>
      <c r="U144" s="13">
        <f t="shared" si="266"/>
        <v>561</v>
      </c>
      <c r="V144" s="37">
        <f t="shared" si="266"/>
        <v>519</v>
      </c>
      <c r="W144" s="31">
        <f t="shared" si="266"/>
        <v>380</v>
      </c>
      <c r="X144" s="14">
        <f t="shared" si="266"/>
        <v>1460</v>
      </c>
      <c r="Y144" s="13">
        <f t="shared" si="266"/>
        <v>575</v>
      </c>
      <c r="Z144" s="37">
        <f t="shared" si="266"/>
        <v>548</v>
      </c>
      <c r="AA144" s="31">
        <f t="shared" si="266"/>
        <v>392</v>
      </c>
      <c r="AB144" s="14">
        <f t="shared" si="266"/>
        <v>1515</v>
      </c>
      <c r="AC144" s="15">
        <f t="shared" si="266"/>
        <v>4445</v>
      </c>
    </row>
    <row r="145" spans="1:31" x14ac:dyDescent="0.15">
      <c r="A145" s="47" t="s">
        <v>141</v>
      </c>
      <c r="B145" s="16"/>
      <c r="C145" s="35"/>
      <c r="D145" s="9">
        <v>1</v>
      </c>
      <c r="E145" s="6">
        <f t="shared" ref="E145:E168" si="267">SUM(B145:D145)</f>
        <v>1</v>
      </c>
      <c r="F145" s="16"/>
      <c r="G145" s="35"/>
      <c r="H145" s="9">
        <v>1</v>
      </c>
      <c r="I145" s="6">
        <f t="shared" ref="I145:I168" si="268">SUM(F145:H145)</f>
        <v>1</v>
      </c>
      <c r="J145" s="16"/>
      <c r="K145" s="35"/>
      <c r="L145" s="9">
        <v>1</v>
      </c>
      <c r="M145" s="6">
        <f t="shared" ref="M145:M168" si="269">SUM(J145:L145)</f>
        <v>1</v>
      </c>
      <c r="N145" s="7">
        <f t="shared" ref="N145:N168" si="270">E145+I145+M145</f>
        <v>3</v>
      </c>
      <c r="O145" s="30">
        <v>45674</v>
      </c>
      <c r="P145" s="47" t="s">
        <v>137</v>
      </c>
      <c r="Q145" s="16">
        <v>3</v>
      </c>
      <c r="R145" s="35">
        <v>2</v>
      </c>
      <c r="S145" s="9">
        <v>3</v>
      </c>
      <c r="T145" s="6">
        <f t="shared" ref="T145:T159" si="271">SUM(Q145:S145)</f>
        <v>8</v>
      </c>
      <c r="U145" s="16">
        <v>3</v>
      </c>
      <c r="V145" s="35">
        <v>2</v>
      </c>
      <c r="W145" s="9">
        <v>3</v>
      </c>
      <c r="X145" s="6">
        <f t="shared" ref="X145:X159" si="272">SUM(U145:W145)</f>
        <v>8</v>
      </c>
      <c r="Y145" s="16">
        <v>3</v>
      </c>
      <c r="Z145" s="35">
        <v>2</v>
      </c>
      <c r="AA145" s="9">
        <v>3</v>
      </c>
      <c r="AB145" s="6">
        <f t="shared" ref="AB145:AB159" si="273">SUM(Y145:AA145)</f>
        <v>8</v>
      </c>
      <c r="AC145" s="7">
        <f t="shared" ref="AC145:AC159" si="274">T145+X145+AB145</f>
        <v>24</v>
      </c>
      <c r="AD145" s="22">
        <v>45673</v>
      </c>
    </row>
    <row r="146" spans="1:31" x14ac:dyDescent="0.15">
      <c r="A146" s="49" t="s">
        <v>56</v>
      </c>
      <c r="B146" s="16">
        <v>1</v>
      </c>
      <c r="C146" s="35">
        <v>1</v>
      </c>
      <c r="D146" s="9"/>
      <c r="E146" s="6">
        <f t="shared" si="267"/>
        <v>2</v>
      </c>
      <c r="F146" s="16"/>
      <c r="G146" s="35">
        <v>1</v>
      </c>
      <c r="H146" s="9"/>
      <c r="I146" s="6">
        <f t="shared" si="268"/>
        <v>1</v>
      </c>
      <c r="J146" s="16"/>
      <c r="K146" s="35">
        <v>1</v>
      </c>
      <c r="L146" s="9"/>
      <c r="M146" s="6">
        <f t="shared" si="269"/>
        <v>1</v>
      </c>
      <c r="N146" s="7">
        <f t="shared" si="270"/>
        <v>4</v>
      </c>
      <c r="O146" s="70">
        <v>45673</v>
      </c>
      <c r="P146" s="47" t="s">
        <v>138</v>
      </c>
      <c r="Q146" s="16">
        <v>3</v>
      </c>
      <c r="R146" s="35">
        <v>7</v>
      </c>
      <c r="S146" s="9">
        <v>2</v>
      </c>
      <c r="T146" s="6">
        <f t="shared" si="271"/>
        <v>12</v>
      </c>
      <c r="U146" s="16">
        <v>3</v>
      </c>
      <c r="V146" s="35">
        <v>7</v>
      </c>
      <c r="W146" s="9">
        <v>2</v>
      </c>
      <c r="X146" s="6">
        <f t="shared" si="272"/>
        <v>12</v>
      </c>
      <c r="Y146" s="16">
        <v>3</v>
      </c>
      <c r="Z146" s="35">
        <v>7</v>
      </c>
      <c r="AA146" s="9">
        <v>2</v>
      </c>
      <c r="AB146" s="6">
        <f t="shared" si="273"/>
        <v>12</v>
      </c>
      <c r="AC146" s="7">
        <f t="shared" si="274"/>
        <v>36</v>
      </c>
      <c r="AD146" s="22">
        <v>45674</v>
      </c>
    </row>
    <row r="147" spans="1:31" x14ac:dyDescent="0.15">
      <c r="A147" s="47" t="s">
        <v>142</v>
      </c>
      <c r="B147" s="16">
        <v>3</v>
      </c>
      <c r="C147" s="35">
        <v>2</v>
      </c>
      <c r="D147" s="9">
        <v>1</v>
      </c>
      <c r="E147" s="6">
        <f t="shared" si="267"/>
        <v>6</v>
      </c>
      <c r="F147" s="16">
        <v>3</v>
      </c>
      <c r="G147" s="35">
        <v>2</v>
      </c>
      <c r="H147" s="9">
        <v>1</v>
      </c>
      <c r="I147" s="6">
        <f t="shared" si="268"/>
        <v>6</v>
      </c>
      <c r="J147" s="16">
        <v>3</v>
      </c>
      <c r="K147" s="35">
        <v>2</v>
      </c>
      <c r="L147" s="9">
        <v>1</v>
      </c>
      <c r="M147" s="6">
        <f t="shared" si="269"/>
        <v>6</v>
      </c>
      <c r="N147" s="7">
        <f t="shared" si="270"/>
        <v>18</v>
      </c>
      <c r="O147" s="30">
        <v>45677</v>
      </c>
      <c r="P147" s="47" t="s">
        <v>140</v>
      </c>
      <c r="Q147" s="16">
        <v>6</v>
      </c>
      <c r="R147" s="35">
        <v>6</v>
      </c>
      <c r="S147" s="9"/>
      <c r="T147" s="6">
        <f t="shared" si="271"/>
        <v>12</v>
      </c>
      <c r="U147" s="16">
        <v>6</v>
      </c>
      <c r="V147" s="35">
        <v>6</v>
      </c>
      <c r="W147" s="9"/>
      <c r="X147" s="6">
        <f t="shared" si="272"/>
        <v>12</v>
      </c>
      <c r="Y147" s="16">
        <v>6</v>
      </c>
      <c r="Z147" s="35">
        <v>6</v>
      </c>
      <c r="AA147" s="9"/>
      <c r="AB147" s="6">
        <f t="shared" si="273"/>
        <v>12</v>
      </c>
      <c r="AC147" s="7">
        <f t="shared" si="274"/>
        <v>36</v>
      </c>
      <c r="AD147" s="22">
        <v>45677</v>
      </c>
    </row>
    <row r="148" spans="1:31" x14ac:dyDescent="0.15">
      <c r="A148" s="47" t="s">
        <v>144</v>
      </c>
      <c r="B148" s="16">
        <v>3</v>
      </c>
      <c r="C148" s="35">
        <v>4</v>
      </c>
      <c r="D148" s="9">
        <v>1</v>
      </c>
      <c r="E148" s="6">
        <f t="shared" si="267"/>
        <v>8</v>
      </c>
      <c r="F148" s="16">
        <v>3</v>
      </c>
      <c r="G148" s="35">
        <v>4</v>
      </c>
      <c r="H148" s="9">
        <v>1</v>
      </c>
      <c r="I148" s="6">
        <f t="shared" si="268"/>
        <v>8</v>
      </c>
      <c r="J148" s="16">
        <v>3</v>
      </c>
      <c r="K148" s="35">
        <v>4</v>
      </c>
      <c r="L148" s="9">
        <v>1</v>
      </c>
      <c r="M148" s="6">
        <f t="shared" si="269"/>
        <v>8</v>
      </c>
      <c r="N148" s="7">
        <f t="shared" si="270"/>
        <v>24</v>
      </c>
      <c r="O148" s="30">
        <v>45680</v>
      </c>
      <c r="P148" s="47" t="s">
        <v>143</v>
      </c>
      <c r="Q148" s="16">
        <v>4</v>
      </c>
      <c r="R148" s="35">
        <v>3</v>
      </c>
      <c r="S148" s="9">
        <v>5</v>
      </c>
      <c r="T148" s="6">
        <f t="shared" si="271"/>
        <v>12</v>
      </c>
      <c r="U148" s="16">
        <v>4</v>
      </c>
      <c r="V148" s="35">
        <v>3</v>
      </c>
      <c r="W148" s="9">
        <v>5</v>
      </c>
      <c r="X148" s="6">
        <f t="shared" si="272"/>
        <v>12</v>
      </c>
      <c r="Y148" s="16">
        <v>4</v>
      </c>
      <c r="Z148" s="35">
        <v>3</v>
      </c>
      <c r="AA148" s="9">
        <v>5</v>
      </c>
      <c r="AB148" s="6">
        <f t="shared" si="273"/>
        <v>12</v>
      </c>
      <c r="AC148" s="7">
        <f t="shared" si="274"/>
        <v>36</v>
      </c>
      <c r="AD148" s="22">
        <v>45679</v>
      </c>
    </row>
    <row r="149" spans="1:31" x14ac:dyDescent="0.15">
      <c r="A149" s="47" t="s">
        <v>147</v>
      </c>
      <c r="B149" s="16">
        <v>-2</v>
      </c>
      <c r="C149" s="35">
        <v>2</v>
      </c>
      <c r="D149" s="9"/>
      <c r="E149" s="6">
        <f t="shared" si="267"/>
        <v>0</v>
      </c>
      <c r="F149" s="16">
        <v>-2</v>
      </c>
      <c r="G149" s="35">
        <v>2</v>
      </c>
      <c r="H149" s="9"/>
      <c r="I149" s="6">
        <f t="shared" si="268"/>
        <v>0</v>
      </c>
      <c r="J149" s="16">
        <v>-2</v>
      </c>
      <c r="K149" s="35">
        <v>2</v>
      </c>
      <c r="L149" s="9"/>
      <c r="M149" s="6">
        <f t="shared" si="269"/>
        <v>0</v>
      </c>
      <c r="N149" s="7">
        <f t="shared" si="270"/>
        <v>0</v>
      </c>
      <c r="O149" s="30">
        <v>45680</v>
      </c>
      <c r="P149" s="73" t="s">
        <v>145</v>
      </c>
      <c r="Q149" s="16">
        <v>10</v>
      </c>
      <c r="R149" s="35">
        <v>10</v>
      </c>
      <c r="S149" s="9">
        <v>10</v>
      </c>
      <c r="T149" s="6">
        <f t="shared" si="271"/>
        <v>30</v>
      </c>
      <c r="U149" s="16">
        <v>10</v>
      </c>
      <c r="V149" s="35">
        <v>10</v>
      </c>
      <c r="W149" s="9">
        <v>10</v>
      </c>
      <c r="X149" s="6">
        <f t="shared" si="272"/>
        <v>30</v>
      </c>
      <c r="Y149" s="16">
        <v>10</v>
      </c>
      <c r="Z149" s="35">
        <v>10</v>
      </c>
      <c r="AA149" s="9">
        <v>10</v>
      </c>
      <c r="AB149" s="6">
        <f t="shared" si="273"/>
        <v>30</v>
      </c>
      <c r="AC149" s="7">
        <f t="shared" si="274"/>
        <v>90</v>
      </c>
      <c r="AD149" s="22">
        <v>45687</v>
      </c>
    </row>
    <row r="150" spans="1:31" x14ac:dyDescent="0.15">
      <c r="A150" s="49" t="s">
        <v>56</v>
      </c>
      <c r="B150" s="16"/>
      <c r="C150" s="35"/>
      <c r="D150" s="9">
        <v>1</v>
      </c>
      <c r="E150" s="6">
        <f t="shared" ref="E150:E153" si="275">SUM(B150:D150)</f>
        <v>1</v>
      </c>
      <c r="F150" s="16"/>
      <c r="G150" s="35"/>
      <c r="H150" s="9">
        <v>1</v>
      </c>
      <c r="I150" s="6">
        <f t="shared" ref="I150:I153" si="276">SUM(F150:H150)</f>
        <v>1</v>
      </c>
      <c r="J150" s="16"/>
      <c r="K150" s="35"/>
      <c r="L150" s="9">
        <v>1</v>
      </c>
      <c r="M150" s="6">
        <f t="shared" ref="M150:M153" si="277">SUM(J150:L150)</f>
        <v>1</v>
      </c>
      <c r="N150" s="7">
        <f t="shared" ref="N150:N153" si="278">E150+I150+M150</f>
        <v>3</v>
      </c>
      <c r="O150" s="70">
        <v>45684</v>
      </c>
      <c r="P150" s="47" t="s">
        <v>146</v>
      </c>
      <c r="Q150" s="16"/>
      <c r="R150" s="35">
        <v>4</v>
      </c>
      <c r="S150" s="9">
        <v>2</v>
      </c>
      <c r="T150" s="6">
        <f t="shared" si="271"/>
        <v>6</v>
      </c>
      <c r="U150" s="16"/>
      <c r="V150" s="35">
        <v>4</v>
      </c>
      <c r="W150" s="9">
        <v>2</v>
      </c>
      <c r="X150" s="6">
        <f t="shared" si="272"/>
        <v>6</v>
      </c>
      <c r="Y150" s="16"/>
      <c r="Z150" s="35">
        <v>4</v>
      </c>
      <c r="AA150" s="9">
        <v>2</v>
      </c>
      <c r="AB150" s="6">
        <f t="shared" si="273"/>
        <v>6</v>
      </c>
      <c r="AC150" s="7">
        <f t="shared" si="274"/>
        <v>18</v>
      </c>
      <c r="AD150" s="22">
        <v>45681</v>
      </c>
    </row>
    <row r="151" spans="1:31" x14ac:dyDescent="0.15">
      <c r="A151" s="49" t="s">
        <v>56</v>
      </c>
      <c r="B151" s="16"/>
      <c r="C151" s="35"/>
      <c r="D151" s="9"/>
      <c r="E151" s="6">
        <f t="shared" si="275"/>
        <v>0</v>
      </c>
      <c r="F151" s="16"/>
      <c r="G151" s="35"/>
      <c r="H151" s="9"/>
      <c r="I151" s="6">
        <f t="shared" si="276"/>
        <v>0</v>
      </c>
      <c r="J151" s="16">
        <v>1</v>
      </c>
      <c r="K151" s="35"/>
      <c r="L151" s="9"/>
      <c r="M151" s="6">
        <f t="shared" si="277"/>
        <v>1</v>
      </c>
      <c r="N151" s="7">
        <f t="shared" si="278"/>
        <v>1</v>
      </c>
      <c r="O151" s="70">
        <v>45685</v>
      </c>
      <c r="P151" s="47" t="s">
        <v>46</v>
      </c>
      <c r="Q151" s="16"/>
      <c r="R151" s="35"/>
      <c r="S151" s="9"/>
      <c r="T151" s="6">
        <f t="shared" si="271"/>
        <v>0</v>
      </c>
      <c r="U151" s="16"/>
      <c r="V151" s="35">
        <v>5</v>
      </c>
      <c r="W151" s="9"/>
      <c r="X151" s="6">
        <f t="shared" si="272"/>
        <v>5</v>
      </c>
      <c r="Y151" s="16"/>
      <c r="Z151" s="35">
        <v>5</v>
      </c>
      <c r="AA151" s="9"/>
      <c r="AB151" s="6">
        <f t="shared" si="273"/>
        <v>5</v>
      </c>
      <c r="AC151" s="7">
        <f t="shared" si="274"/>
        <v>10</v>
      </c>
      <c r="AD151" s="22">
        <v>45680</v>
      </c>
    </row>
    <row r="152" spans="1:31" x14ac:dyDescent="0.15">
      <c r="A152" s="47" t="s">
        <v>147</v>
      </c>
      <c r="B152" s="16">
        <v>-2</v>
      </c>
      <c r="C152" s="35">
        <v>2</v>
      </c>
      <c r="D152" s="9"/>
      <c r="E152" s="6">
        <f t="shared" si="275"/>
        <v>0</v>
      </c>
      <c r="F152" s="16">
        <v>-2</v>
      </c>
      <c r="G152" s="35">
        <v>2</v>
      </c>
      <c r="H152" s="9"/>
      <c r="I152" s="6">
        <f t="shared" si="276"/>
        <v>0</v>
      </c>
      <c r="J152" s="16">
        <v>-2</v>
      </c>
      <c r="K152" s="35">
        <v>2</v>
      </c>
      <c r="L152" s="9"/>
      <c r="M152" s="6">
        <f t="shared" si="277"/>
        <v>0</v>
      </c>
      <c r="N152" s="7">
        <f t="shared" si="278"/>
        <v>0</v>
      </c>
      <c r="O152" s="70">
        <v>45685</v>
      </c>
      <c r="P152" s="47" t="s">
        <v>148</v>
      </c>
      <c r="Q152" s="16">
        <v>5</v>
      </c>
      <c r="R152" s="35"/>
      <c r="S152" s="9"/>
      <c r="T152" s="6">
        <f t="shared" si="271"/>
        <v>5</v>
      </c>
      <c r="U152" s="16">
        <v>5</v>
      </c>
      <c r="V152" s="35"/>
      <c r="W152" s="9"/>
      <c r="X152" s="6">
        <f t="shared" si="272"/>
        <v>5</v>
      </c>
      <c r="Y152" s="16">
        <v>5</v>
      </c>
      <c r="Z152" s="35"/>
      <c r="AA152" s="9"/>
      <c r="AB152" s="6">
        <f t="shared" si="273"/>
        <v>5</v>
      </c>
      <c r="AC152" s="7">
        <f t="shared" si="274"/>
        <v>15</v>
      </c>
      <c r="AD152" s="22">
        <v>45686</v>
      </c>
    </row>
    <row r="153" spans="1:31" x14ac:dyDescent="0.15">
      <c r="A153" s="47" t="s">
        <v>151</v>
      </c>
      <c r="B153" s="16"/>
      <c r="C153" s="35"/>
      <c r="D153" s="9">
        <v>1</v>
      </c>
      <c r="E153" s="6">
        <f t="shared" si="275"/>
        <v>1</v>
      </c>
      <c r="F153" s="16"/>
      <c r="G153" s="35"/>
      <c r="H153" s="9">
        <v>1</v>
      </c>
      <c r="I153" s="6">
        <f t="shared" si="276"/>
        <v>1</v>
      </c>
      <c r="J153" s="16"/>
      <c r="K153" s="35"/>
      <c r="L153" s="9">
        <v>1</v>
      </c>
      <c r="M153" s="6">
        <f t="shared" si="277"/>
        <v>1</v>
      </c>
      <c r="N153" s="7">
        <f t="shared" si="278"/>
        <v>3</v>
      </c>
      <c r="O153" s="30">
        <v>45688</v>
      </c>
      <c r="P153" s="47" t="s">
        <v>46</v>
      </c>
      <c r="Q153" s="16"/>
      <c r="R153" s="35">
        <v>3</v>
      </c>
      <c r="S153" s="9">
        <v>3</v>
      </c>
      <c r="T153" s="6">
        <f t="shared" si="271"/>
        <v>6</v>
      </c>
      <c r="U153" s="16"/>
      <c r="V153" s="35"/>
      <c r="W153" s="9"/>
      <c r="X153" s="6">
        <f t="shared" si="272"/>
        <v>0</v>
      </c>
      <c r="Y153" s="16"/>
      <c r="Z153" s="35"/>
      <c r="AA153" s="9">
        <v>3</v>
      </c>
      <c r="AB153" s="6">
        <f t="shared" si="273"/>
        <v>3</v>
      </c>
      <c r="AC153" s="7">
        <f t="shared" si="274"/>
        <v>9</v>
      </c>
      <c r="AD153" s="22">
        <v>45686</v>
      </c>
    </row>
    <row r="154" spans="1:31" x14ac:dyDescent="0.15">
      <c r="A154" s="49" t="s">
        <v>56</v>
      </c>
      <c r="B154" s="16"/>
      <c r="C154" s="35"/>
      <c r="D154" s="9"/>
      <c r="E154" s="6">
        <f t="shared" si="267"/>
        <v>0</v>
      </c>
      <c r="F154" s="16">
        <v>1</v>
      </c>
      <c r="G154" s="35"/>
      <c r="H154" s="9"/>
      <c r="I154" s="6">
        <f t="shared" si="268"/>
        <v>1</v>
      </c>
      <c r="J154" s="16"/>
      <c r="K154" s="35"/>
      <c r="L154" s="9"/>
      <c r="M154" s="6">
        <f t="shared" si="269"/>
        <v>0</v>
      </c>
      <c r="N154" s="7">
        <f t="shared" si="270"/>
        <v>1</v>
      </c>
      <c r="O154" s="30">
        <v>45688</v>
      </c>
      <c r="P154" s="47" t="s">
        <v>150</v>
      </c>
      <c r="Q154" s="16">
        <v>10</v>
      </c>
      <c r="R154" s="35"/>
      <c r="S154" s="9"/>
      <c r="T154" s="6">
        <f t="shared" si="271"/>
        <v>10</v>
      </c>
      <c r="U154" s="16">
        <v>10</v>
      </c>
      <c r="V154" s="35"/>
      <c r="W154" s="9"/>
      <c r="X154" s="6">
        <f t="shared" si="272"/>
        <v>10</v>
      </c>
      <c r="Y154" s="16">
        <v>10</v>
      </c>
      <c r="Z154" s="35"/>
      <c r="AA154" s="9"/>
      <c r="AB154" s="6">
        <f t="shared" si="273"/>
        <v>10</v>
      </c>
      <c r="AC154" s="7">
        <f t="shared" si="274"/>
        <v>30</v>
      </c>
      <c r="AD154" s="22">
        <v>45692</v>
      </c>
    </row>
    <row r="155" spans="1:31" x14ac:dyDescent="0.15">
      <c r="A155" s="47" t="s">
        <v>152</v>
      </c>
      <c r="B155" s="16"/>
      <c r="C155" s="35"/>
      <c r="D155" s="9">
        <v>1</v>
      </c>
      <c r="E155" s="6">
        <f t="shared" si="267"/>
        <v>1</v>
      </c>
      <c r="F155" s="16"/>
      <c r="G155" s="35"/>
      <c r="H155" s="9">
        <v>1</v>
      </c>
      <c r="I155" s="6">
        <f t="shared" si="268"/>
        <v>1</v>
      </c>
      <c r="J155" s="16"/>
      <c r="K155" s="35"/>
      <c r="L155" s="9">
        <v>1</v>
      </c>
      <c r="M155" s="6">
        <f t="shared" si="269"/>
        <v>1</v>
      </c>
      <c r="N155" s="7">
        <f t="shared" si="270"/>
        <v>3</v>
      </c>
      <c r="O155" s="30">
        <v>45694</v>
      </c>
      <c r="P155" s="47" t="s">
        <v>46</v>
      </c>
      <c r="Q155" s="16"/>
      <c r="R155" s="35">
        <v>5</v>
      </c>
      <c r="S155" s="9">
        <v>5</v>
      </c>
      <c r="T155" s="6">
        <f t="shared" si="271"/>
        <v>10</v>
      </c>
      <c r="U155" s="16"/>
      <c r="V155" s="35">
        <v>5</v>
      </c>
      <c r="W155" s="9">
        <v>5</v>
      </c>
      <c r="X155" s="6">
        <f t="shared" si="272"/>
        <v>10</v>
      </c>
      <c r="Y155" s="16"/>
      <c r="Z155" s="35">
        <v>5</v>
      </c>
      <c r="AA155" s="9">
        <v>5</v>
      </c>
      <c r="AB155" s="6">
        <f t="shared" si="273"/>
        <v>10</v>
      </c>
      <c r="AC155" s="7">
        <f t="shared" si="274"/>
        <v>30</v>
      </c>
      <c r="AD155" s="22">
        <v>45695</v>
      </c>
    </row>
    <row r="156" spans="1:31" x14ac:dyDescent="0.15">
      <c r="A156" s="47" t="s">
        <v>153</v>
      </c>
      <c r="B156" s="16"/>
      <c r="C156" s="35"/>
      <c r="D156" s="9">
        <v>1</v>
      </c>
      <c r="E156" s="6">
        <f t="shared" si="267"/>
        <v>1</v>
      </c>
      <c r="F156" s="16"/>
      <c r="G156" s="35"/>
      <c r="H156" s="9">
        <v>1</v>
      </c>
      <c r="I156" s="6">
        <f t="shared" si="268"/>
        <v>1</v>
      </c>
      <c r="J156" s="16"/>
      <c r="K156" s="35"/>
      <c r="L156" s="9">
        <v>1</v>
      </c>
      <c r="M156" s="6">
        <f t="shared" si="269"/>
        <v>1</v>
      </c>
      <c r="N156" s="7">
        <f t="shared" si="270"/>
        <v>3</v>
      </c>
      <c r="O156" s="30">
        <v>45695</v>
      </c>
      <c r="P156" s="47" t="s">
        <v>156</v>
      </c>
      <c r="Q156" s="16">
        <v>5</v>
      </c>
      <c r="R156" s="35">
        <v>5</v>
      </c>
      <c r="S156" s="9">
        <v>5</v>
      </c>
      <c r="T156" s="6">
        <f t="shared" si="271"/>
        <v>15</v>
      </c>
      <c r="U156" s="16">
        <v>5</v>
      </c>
      <c r="V156" s="35">
        <v>5</v>
      </c>
      <c r="W156" s="9">
        <v>5</v>
      </c>
      <c r="X156" s="6">
        <f t="shared" si="272"/>
        <v>15</v>
      </c>
      <c r="Y156" s="16">
        <v>5</v>
      </c>
      <c r="Z156" s="35">
        <v>5</v>
      </c>
      <c r="AA156" s="9">
        <v>5</v>
      </c>
      <c r="AB156" s="6">
        <f t="shared" si="273"/>
        <v>15</v>
      </c>
      <c r="AC156" s="7">
        <f t="shared" si="274"/>
        <v>45</v>
      </c>
      <c r="AD156" s="22">
        <v>45700</v>
      </c>
    </row>
    <row r="157" spans="1:31" x14ac:dyDescent="0.15">
      <c r="A157" s="47" t="s">
        <v>155</v>
      </c>
      <c r="B157" s="16"/>
      <c r="C157" s="35"/>
      <c r="D157" s="9">
        <v>1</v>
      </c>
      <c r="E157" s="6">
        <f t="shared" si="267"/>
        <v>1</v>
      </c>
      <c r="F157" s="16"/>
      <c r="G157" s="35"/>
      <c r="H157" s="9">
        <v>1</v>
      </c>
      <c r="I157" s="6">
        <f t="shared" si="268"/>
        <v>1</v>
      </c>
      <c r="J157" s="16"/>
      <c r="K157" s="35"/>
      <c r="L157" s="9">
        <v>1</v>
      </c>
      <c r="M157" s="6">
        <f t="shared" si="269"/>
        <v>1</v>
      </c>
      <c r="N157" s="7">
        <f t="shared" si="270"/>
        <v>3</v>
      </c>
      <c r="O157" s="30">
        <v>45695</v>
      </c>
      <c r="P157" s="73" t="s">
        <v>157</v>
      </c>
      <c r="Q157" s="16"/>
      <c r="R157" s="35">
        <v>10</v>
      </c>
      <c r="S157" s="9">
        <v>10</v>
      </c>
      <c r="T157" s="6">
        <f t="shared" si="271"/>
        <v>20</v>
      </c>
      <c r="U157" s="16"/>
      <c r="V157" s="35">
        <v>10</v>
      </c>
      <c r="W157" s="9">
        <v>10</v>
      </c>
      <c r="X157" s="6">
        <f t="shared" si="272"/>
        <v>20</v>
      </c>
      <c r="Y157" s="16"/>
      <c r="Z157" s="35">
        <v>10</v>
      </c>
      <c r="AA157" s="9">
        <v>10</v>
      </c>
      <c r="AB157" s="6">
        <f t="shared" si="273"/>
        <v>20</v>
      </c>
      <c r="AC157" s="7">
        <f t="shared" si="274"/>
        <v>60</v>
      </c>
      <c r="AD157" s="22">
        <v>45700</v>
      </c>
    </row>
    <row r="158" spans="1:31" x14ac:dyDescent="0.15">
      <c r="A158" s="47" t="s">
        <v>147</v>
      </c>
      <c r="B158" s="16">
        <v>-2</v>
      </c>
      <c r="C158" s="35">
        <v>2</v>
      </c>
      <c r="D158" s="9"/>
      <c r="E158" s="6">
        <f t="shared" si="267"/>
        <v>0</v>
      </c>
      <c r="F158" s="16">
        <v>-2</v>
      </c>
      <c r="G158" s="35">
        <v>2</v>
      </c>
      <c r="H158" s="9"/>
      <c r="I158" s="6">
        <f t="shared" si="268"/>
        <v>0</v>
      </c>
      <c r="J158" s="16">
        <v>-2</v>
      </c>
      <c r="K158" s="35">
        <v>2</v>
      </c>
      <c r="L158" s="9"/>
      <c r="M158" s="6">
        <f t="shared" si="269"/>
        <v>0</v>
      </c>
      <c r="N158" s="7">
        <f t="shared" si="270"/>
        <v>0</v>
      </c>
      <c r="O158" s="30">
        <v>45694</v>
      </c>
      <c r="P158" s="73" t="s">
        <v>159</v>
      </c>
      <c r="Q158" s="16">
        <v>5</v>
      </c>
      <c r="R158" s="35">
        <v>10</v>
      </c>
      <c r="S158" s="9">
        <v>10</v>
      </c>
      <c r="T158" s="6">
        <f t="shared" si="271"/>
        <v>25</v>
      </c>
      <c r="U158" s="16">
        <v>5</v>
      </c>
      <c r="V158" s="35">
        <v>10</v>
      </c>
      <c r="W158" s="9">
        <v>10</v>
      </c>
      <c r="X158" s="6">
        <f t="shared" si="272"/>
        <v>25</v>
      </c>
      <c r="Y158" s="16">
        <v>5</v>
      </c>
      <c r="Z158" s="35">
        <v>10</v>
      </c>
      <c r="AA158" s="9">
        <v>10</v>
      </c>
      <c r="AB158" s="6">
        <f t="shared" si="273"/>
        <v>25</v>
      </c>
      <c r="AC158" s="7">
        <f t="shared" si="274"/>
        <v>75</v>
      </c>
      <c r="AD158" s="22">
        <v>45701</v>
      </c>
    </row>
    <row r="159" spans="1:31" x14ac:dyDescent="0.15">
      <c r="A159" s="47" t="s">
        <v>158</v>
      </c>
      <c r="B159" s="16"/>
      <c r="C159" s="35"/>
      <c r="D159" s="9">
        <v>1</v>
      </c>
      <c r="E159" s="6">
        <f t="shared" si="267"/>
        <v>1</v>
      </c>
      <c r="F159" s="16"/>
      <c r="G159" s="35"/>
      <c r="H159" s="9">
        <v>1</v>
      </c>
      <c r="I159" s="6">
        <f t="shared" si="268"/>
        <v>1</v>
      </c>
      <c r="J159" s="16"/>
      <c r="K159" s="35"/>
      <c r="L159" s="9">
        <v>1</v>
      </c>
      <c r="M159" s="6">
        <f t="shared" si="269"/>
        <v>1</v>
      </c>
      <c r="N159" s="7">
        <f t="shared" si="270"/>
        <v>3</v>
      </c>
      <c r="O159" s="30">
        <v>45702</v>
      </c>
      <c r="P159" s="47" t="s">
        <v>161</v>
      </c>
      <c r="Q159" s="16">
        <v>6</v>
      </c>
      <c r="R159" s="35">
        <v>12</v>
      </c>
      <c r="S159" s="9">
        <v>4</v>
      </c>
      <c r="T159" s="6">
        <f t="shared" si="271"/>
        <v>22</v>
      </c>
      <c r="U159" s="16">
        <v>6</v>
      </c>
      <c r="V159" s="35">
        <v>12</v>
      </c>
      <c r="W159" s="9">
        <v>4</v>
      </c>
      <c r="X159" s="6">
        <f t="shared" si="272"/>
        <v>22</v>
      </c>
      <c r="Y159" s="16">
        <v>6</v>
      </c>
      <c r="Z159" s="35">
        <v>12</v>
      </c>
      <c r="AA159" s="9">
        <v>4</v>
      </c>
      <c r="AB159" s="6">
        <f t="shared" si="273"/>
        <v>22</v>
      </c>
      <c r="AC159" s="7">
        <f t="shared" si="274"/>
        <v>66</v>
      </c>
      <c r="AD159" s="22">
        <v>45705</v>
      </c>
    </row>
    <row r="160" spans="1:31" x14ac:dyDescent="0.15">
      <c r="A160" s="47" t="s">
        <v>162</v>
      </c>
      <c r="B160" s="16">
        <v>20</v>
      </c>
      <c r="C160" s="35"/>
      <c r="D160" s="9"/>
      <c r="E160" s="6">
        <f t="shared" si="267"/>
        <v>20</v>
      </c>
      <c r="F160" s="16">
        <v>20</v>
      </c>
      <c r="G160" s="35"/>
      <c r="H160" s="9"/>
      <c r="I160" s="6">
        <f t="shared" si="268"/>
        <v>20</v>
      </c>
      <c r="J160" s="16">
        <v>20</v>
      </c>
      <c r="K160" s="35"/>
      <c r="L160" s="9"/>
      <c r="M160" s="6">
        <f t="shared" si="269"/>
        <v>20</v>
      </c>
      <c r="N160" s="7">
        <f t="shared" si="270"/>
        <v>60</v>
      </c>
      <c r="O160" s="72">
        <v>45709</v>
      </c>
      <c r="P160" s="73" t="s">
        <v>160</v>
      </c>
      <c r="Q160" s="16">
        <v>10</v>
      </c>
      <c r="R160" s="35">
        <v>10</v>
      </c>
      <c r="S160" s="9"/>
      <c r="T160" s="6">
        <f t="shared" ref="T160:T168" si="279">SUM(Q160:S160)</f>
        <v>20</v>
      </c>
      <c r="U160" s="16">
        <v>10</v>
      </c>
      <c r="V160" s="35">
        <v>10</v>
      </c>
      <c r="W160" s="9"/>
      <c r="X160" s="6">
        <f t="shared" ref="X160:X168" si="280">SUM(U160:W160)</f>
        <v>20</v>
      </c>
      <c r="Y160" s="16">
        <v>10</v>
      </c>
      <c r="Z160" s="35">
        <v>10</v>
      </c>
      <c r="AA160" s="9"/>
      <c r="AB160" s="6">
        <f t="shared" ref="AB160:AB168" si="281">SUM(Y160:AA160)</f>
        <v>20</v>
      </c>
      <c r="AC160" s="7">
        <f t="shared" ref="AC160:AC168" si="282">T160+X160+AB160</f>
        <v>60</v>
      </c>
      <c r="AD160" s="22">
        <v>45703</v>
      </c>
      <c r="AE160" s="8"/>
    </row>
    <row r="161" spans="1:31" x14ac:dyDescent="0.15">
      <c r="A161" s="47" t="s">
        <v>164</v>
      </c>
      <c r="B161" s="16">
        <v>2</v>
      </c>
      <c r="C161" s="35">
        <v>2</v>
      </c>
      <c r="D161" s="9">
        <v>2</v>
      </c>
      <c r="E161" s="6">
        <f t="shared" si="267"/>
        <v>6</v>
      </c>
      <c r="F161" s="16">
        <v>2</v>
      </c>
      <c r="G161" s="35">
        <v>2</v>
      </c>
      <c r="H161" s="9">
        <v>2</v>
      </c>
      <c r="I161" s="6">
        <f t="shared" si="268"/>
        <v>6</v>
      </c>
      <c r="J161" s="16">
        <v>2</v>
      </c>
      <c r="K161" s="35">
        <v>2</v>
      </c>
      <c r="L161" s="9">
        <v>2</v>
      </c>
      <c r="M161" s="6">
        <f t="shared" si="269"/>
        <v>6</v>
      </c>
      <c r="N161" s="7">
        <f t="shared" si="270"/>
        <v>18</v>
      </c>
      <c r="O161" s="30">
        <v>45709</v>
      </c>
      <c r="P161" s="47" t="s">
        <v>46</v>
      </c>
      <c r="Q161" s="16">
        <v>5</v>
      </c>
      <c r="R161" s="35"/>
      <c r="S161" s="9"/>
      <c r="T161" s="6">
        <f t="shared" si="279"/>
        <v>5</v>
      </c>
      <c r="U161" s="16">
        <v>10</v>
      </c>
      <c r="V161" s="35"/>
      <c r="W161" s="9"/>
      <c r="X161" s="6">
        <f t="shared" si="280"/>
        <v>10</v>
      </c>
      <c r="Y161" s="16">
        <v>5</v>
      </c>
      <c r="Z161" s="35"/>
      <c r="AA161" s="9"/>
      <c r="AB161" s="6">
        <f t="shared" si="281"/>
        <v>5</v>
      </c>
      <c r="AC161" s="7">
        <f t="shared" si="282"/>
        <v>20</v>
      </c>
      <c r="AD161" s="22">
        <v>45709</v>
      </c>
      <c r="AE161" s="8"/>
    </row>
    <row r="162" spans="1:31" x14ac:dyDescent="0.15">
      <c r="A162" s="47" t="s">
        <v>169</v>
      </c>
      <c r="B162" s="16">
        <v>1</v>
      </c>
      <c r="C162" s="35">
        <v>2</v>
      </c>
      <c r="D162" s="9"/>
      <c r="E162" s="6">
        <f t="shared" si="267"/>
        <v>3</v>
      </c>
      <c r="F162" s="16">
        <v>1</v>
      </c>
      <c r="G162" s="35">
        <v>2</v>
      </c>
      <c r="H162" s="9"/>
      <c r="I162" s="6">
        <f t="shared" si="268"/>
        <v>3</v>
      </c>
      <c r="J162" s="16">
        <v>1</v>
      </c>
      <c r="K162" s="35">
        <v>2</v>
      </c>
      <c r="L162" s="9"/>
      <c r="M162" s="6">
        <f t="shared" si="269"/>
        <v>3</v>
      </c>
      <c r="N162" s="7">
        <f t="shared" si="270"/>
        <v>9</v>
      </c>
      <c r="O162" s="30">
        <v>45721</v>
      </c>
      <c r="P162" s="47" t="s">
        <v>165</v>
      </c>
      <c r="Q162" s="16"/>
      <c r="R162" s="35">
        <v>12</v>
      </c>
      <c r="S162" s="9">
        <v>20</v>
      </c>
      <c r="T162" s="6">
        <f t="shared" si="279"/>
        <v>32</v>
      </c>
      <c r="U162" s="16"/>
      <c r="V162" s="35">
        <v>12</v>
      </c>
      <c r="W162" s="9">
        <v>20</v>
      </c>
      <c r="X162" s="6">
        <f t="shared" si="280"/>
        <v>32</v>
      </c>
      <c r="Y162" s="16"/>
      <c r="Z162" s="35">
        <v>12</v>
      </c>
      <c r="AA162" s="9">
        <v>20</v>
      </c>
      <c r="AB162" s="6">
        <f t="shared" si="281"/>
        <v>32</v>
      </c>
      <c r="AC162" s="7">
        <f t="shared" si="282"/>
        <v>96</v>
      </c>
      <c r="AD162" s="22">
        <v>45714</v>
      </c>
      <c r="AE162" s="8"/>
    </row>
    <row r="163" spans="1:31" x14ac:dyDescent="0.15">
      <c r="A163" s="47" t="s">
        <v>171</v>
      </c>
      <c r="B163" s="16"/>
      <c r="C163" s="35">
        <v>1</v>
      </c>
      <c r="D163" s="9">
        <v>1</v>
      </c>
      <c r="E163" s="6">
        <f t="shared" si="267"/>
        <v>2</v>
      </c>
      <c r="F163" s="16"/>
      <c r="G163" s="35">
        <v>1</v>
      </c>
      <c r="H163" s="9">
        <v>1</v>
      </c>
      <c r="I163" s="6">
        <f t="shared" si="268"/>
        <v>2</v>
      </c>
      <c r="J163" s="16"/>
      <c r="K163" s="35">
        <v>1</v>
      </c>
      <c r="L163" s="9">
        <v>1</v>
      </c>
      <c r="M163" s="6">
        <f t="shared" si="269"/>
        <v>2</v>
      </c>
      <c r="N163" s="7">
        <f t="shared" si="270"/>
        <v>6</v>
      </c>
      <c r="O163" s="30">
        <v>45723</v>
      </c>
      <c r="P163" s="47" t="s">
        <v>166</v>
      </c>
      <c r="Q163" s="16"/>
      <c r="R163" s="35">
        <v>5</v>
      </c>
      <c r="S163" s="9">
        <v>2</v>
      </c>
      <c r="T163" s="6">
        <f t="shared" si="279"/>
        <v>7</v>
      </c>
      <c r="U163" s="16"/>
      <c r="V163" s="35">
        <v>5</v>
      </c>
      <c r="W163" s="9">
        <v>2</v>
      </c>
      <c r="X163" s="6">
        <f t="shared" si="280"/>
        <v>7</v>
      </c>
      <c r="Y163" s="16"/>
      <c r="Z163" s="35">
        <v>5</v>
      </c>
      <c r="AA163" s="9">
        <v>2</v>
      </c>
      <c r="AB163" s="6">
        <f t="shared" si="281"/>
        <v>7</v>
      </c>
      <c r="AC163" s="7">
        <f t="shared" si="282"/>
        <v>21</v>
      </c>
      <c r="AD163" s="22">
        <v>45715</v>
      </c>
      <c r="AE163" s="8"/>
    </row>
    <row r="164" spans="1:31" x14ac:dyDescent="0.15">
      <c r="A164" s="47"/>
      <c r="B164" s="16"/>
      <c r="C164" s="35"/>
      <c r="D164" s="9"/>
      <c r="E164" s="6">
        <f t="shared" si="267"/>
        <v>0</v>
      </c>
      <c r="F164" s="16"/>
      <c r="G164" s="35"/>
      <c r="H164" s="9"/>
      <c r="I164" s="6">
        <f t="shared" si="268"/>
        <v>0</v>
      </c>
      <c r="J164" s="16"/>
      <c r="K164" s="35"/>
      <c r="L164" s="9"/>
      <c r="M164" s="6">
        <f t="shared" si="269"/>
        <v>0</v>
      </c>
      <c r="N164" s="7">
        <f t="shared" si="270"/>
        <v>0</v>
      </c>
      <c r="O164" s="8"/>
      <c r="P164" s="47"/>
      <c r="Q164" s="16"/>
      <c r="R164" s="35"/>
      <c r="S164" s="9"/>
      <c r="T164" s="6">
        <f t="shared" si="279"/>
        <v>0</v>
      </c>
      <c r="U164" s="16"/>
      <c r="V164" s="35"/>
      <c r="W164" s="9"/>
      <c r="X164" s="6">
        <f t="shared" si="280"/>
        <v>0</v>
      </c>
      <c r="Y164" s="16"/>
      <c r="Z164" s="35"/>
      <c r="AA164" s="9"/>
      <c r="AB164" s="6">
        <f t="shared" si="281"/>
        <v>0</v>
      </c>
      <c r="AC164" s="7">
        <f t="shared" si="282"/>
        <v>0</v>
      </c>
      <c r="AD164" s="23"/>
      <c r="AE164" s="8"/>
    </row>
    <row r="165" spans="1:31" x14ac:dyDescent="0.15">
      <c r="A165" s="47"/>
      <c r="B165" s="16"/>
      <c r="C165" s="35"/>
      <c r="D165" s="9"/>
      <c r="E165" s="6">
        <f t="shared" si="267"/>
        <v>0</v>
      </c>
      <c r="F165" s="16"/>
      <c r="G165" s="35"/>
      <c r="H165" s="9"/>
      <c r="I165" s="6">
        <f t="shared" si="268"/>
        <v>0</v>
      </c>
      <c r="J165" s="16"/>
      <c r="K165" s="35"/>
      <c r="L165" s="9"/>
      <c r="M165" s="6">
        <f t="shared" si="269"/>
        <v>0</v>
      </c>
      <c r="N165" s="7">
        <f t="shared" si="270"/>
        <v>0</v>
      </c>
      <c r="P165" s="47" t="s">
        <v>86</v>
      </c>
      <c r="Q165" s="16"/>
      <c r="R165" s="35"/>
      <c r="S165" s="9"/>
      <c r="T165" s="6">
        <f t="shared" si="279"/>
        <v>0</v>
      </c>
      <c r="U165" s="16"/>
      <c r="V165" s="35"/>
      <c r="W165" s="9"/>
      <c r="X165" s="6">
        <f t="shared" si="280"/>
        <v>0</v>
      </c>
      <c r="Y165" s="16"/>
      <c r="Z165" s="35"/>
      <c r="AA165" s="9"/>
      <c r="AB165" s="6">
        <f t="shared" si="281"/>
        <v>0</v>
      </c>
      <c r="AC165" s="7">
        <f t="shared" si="282"/>
        <v>0</v>
      </c>
      <c r="AD165" s="23" t="s">
        <v>87</v>
      </c>
    </row>
    <row r="166" spans="1:31" x14ac:dyDescent="0.15">
      <c r="A166" s="47"/>
      <c r="B166" s="16"/>
      <c r="C166" s="35"/>
      <c r="D166" s="9"/>
      <c r="E166" s="6">
        <f t="shared" si="267"/>
        <v>0</v>
      </c>
      <c r="F166" s="16"/>
      <c r="G166" s="35"/>
      <c r="H166" s="9"/>
      <c r="I166" s="6">
        <f t="shared" si="268"/>
        <v>0</v>
      </c>
      <c r="J166" s="16"/>
      <c r="K166" s="35"/>
      <c r="L166" s="9"/>
      <c r="M166" s="6">
        <f t="shared" si="269"/>
        <v>0</v>
      </c>
      <c r="N166" s="7">
        <f t="shared" si="270"/>
        <v>0</v>
      </c>
      <c r="P166" s="47" t="s">
        <v>163</v>
      </c>
      <c r="Q166" s="16"/>
      <c r="R166" s="35"/>
      <c r="S166" s="9"/>
      <c r="T166" s="6">
        <f t="shared" si="279"/>
        <v>0</v>
      </c>
      <c r="U166" s="16"/>
      <c r="V166" s="35"/>
      <c r="W166" s="9"/>
      <c r="X166" s="6">
        <f t="shared" si="280"/>
        <v>0</v>
      </c>
      <c r="Y166" s="16"/>
      <c r="Z166" s="35"/>
      <c r="AA166" s="9"/>
      <c r="AB166" s="6">
        <f t="shared" si="281"/>
        <v>0</v>
      </c>
      <c r="AC166" s="7">
        <f t="shared" si="282"/>
        <v>0</v>
      </c>
      <c r="AD166" s="23" t="s">
        <v>79</v>
      </c>
    </row>
    <row r="167" spans="1:31" x14ac:dyDescent="0.15">
      <c r="A167" s="47"/>
      <c r="B167" s="16"/>
      <c r="C167" s="35"/>
      <c r="D167" s="9"/>
      <c r="E167" s="6">
        <f t="shared" si="267"/>
        <v>0</v>
      </c>
      <c r="F167" s="16"/>
      <c r="G167" s="35"/>
      <c r="H167" s="9"/>
      <c r="I167" s="6">
        <f t="shared" si="268"/>
        <v>0</v>
      </c>
      <c r="J167" s="16"/>
      <c r="K167" s="35"/>
      <c r="L167" s="9"/>
      <c r="M167" s="6">
        <f t="shared" si="269"/>
        <v>0</v>
      </c>
      <c r="N167" s="7">
        <f t="shared" si="270"/>
        <v>0</v>
      </c>
      <c r="P167" s="39" t="s">
        <v>40</v>
      </c>
      <c r="Q167" s="62"/>
      <c r="R167" s="63"/>
      <c r="S167" s="64"/>
      <c r="T167" s="65">
        <f t="shared" si="279"/>
        <v>0</v>
      </c>
      <c r="U167" s="62"/>
      <c r="V167" s="63"/>
      <c r="W167" s="64"/>
      <c r="X167" s="65">
        <f t="shared" si="280"/>
        <v>0</v>
      </c>
      <c r="Y167" s="62"/>
      <c r="Z167" s="63"/>
      <c r="AA167" s="64"/>
      <c r="AB167" s="65">
        <f t="shared" si="281"/>
        <v>0</v>
      </c>
      <c r="AC167" s="66">
        <f t="shared" si="282"/>
        <v>0</v>
      </c>
      <c r="AD167" s="23"/>
    </row>
    <row r="168" spans="1:31" ht="14.25" thickBot="1" x14ac:dyDescent="0.2">
      <c r="A168" s="47"/>
      <c r="B168" s="16"/>
      <c r="C168" s="35"/>
      <c r="D168" s="9"/>
      <c r="E168" s="6">
        <f t="shared" si="267"/>
        <v>0</v>
      </c>
      <c r="F168" s="16"/>
      <c r="G168" s="35"/>
      <c r="H168" s="9"/>
      <c r="I168" s="6">
        <f t="shared" si="268"/>
        <v>0</v>
      </c>
      <c r="J168" s="16"/>
      <c r="K168" s="35"/>
      <c r="L168" s="9"/>
      <c r="M168" s="6">
        <f t="shared" si="269"/>
        <v>0</v>
      </c>
      <c r="N168" s="7">
        <f t="shared" si="270"/>
        <v>0</v>
      </c>
      <c r="P168" s="47" t="s">
        <v>30</v>
      </c>
      <c r="Q168" s="16"/>
      <c r="R168" s="35"/>
      <c r="S168" s="9"/>
      <c r="T168" s="6">
        <f t="shared" si="279"/>
        <v>0</v>
      </c>
      <c r="U168" s="16"/>
      <c r="V168" s="35"/>
      <c r="W168" s="9"/>
      <c r="X168" s="6">
        <f t="shared" si="280"/>
        <v>0</v>
      </c>
      <c r="Y168" s="16"/>
      <c r="Z168" s="35"/>
      <c r="AA168" s="9"/>
      <c r="AB168" s="6">
        <f t="shared" si="281"/>
        <v>0</v>
      </c>
      <c r="AC168" s="7">
        <f t="shared" si="282"/>
        <v>0</v>
      </c>
      <c r="AD168" s="26" t="s">
        <v>31</v>
      </c>
    </row>
    <row r="169" spans="1:31" ht="14.25" thickBot="1" x14ac:dyDescent="0.2">
      <c r="A169" s="3" t="s">
        <v>9</v>
      </c>
      <c r="B169" s="13">
        <f>SUM(B145:B168)</f>
        <v>24</v>
      </c>
      <c r="C169" s="37">
        <f t="shared" ref="C169:N169" si="283">SUM(C145:C168)</f>
        <v>18</v>
      </c>
      <c r="D169" s="32">
        <f t="shared" si="283"/>
        <v>12</v>
      </c>
      <c r="E169" s="17">
        <f t="shared" si="283"/>
        <v>54</v>
      </c>
      <c r="F169" s="13">
        <f t="shared" si="283"/>
        <v>24</v>
      </c>
      <c r="G169" s="37">
        <f t="shared" si="283"/>
        <v>18</v>
      </c>
      <c r="H169" s="32">
        <f t="shared" si="283"/>
        <v>12</v>
      </c>
      <c r="I169" s="17">
        <f t="shared" si="283"/>
        <v>54</v>
      </c>
      <c r="J169" s="13">
        <f t="shared" si="283"/>
        <v>24</v>
      </c>
      <c r="K169" s="37">
        <f t="shared" si="283"/>
        <v>18</v>
      </c>
      <c r="L169" s="32">
        <f t="shared" si="283"/>
        <v>12</v>
      </c>
      <c r="M169" s="17">
        <f t="shared" si="283"/>
        <v>54</v>
      </c>
      <c r="N169" s="18">
        <f t="shared" si="283"/>
        <v>162</v>
      </c>
      <c r="P169" s="3" t="s">
        <v>9</v>
      </c>
      <c r="Q169" s="13">
        <f>SUM(Q145:Q168)</f>
        <v>72</v>
      </c>
      <c r="R169" s="37">
        <f t="shared" ref="R169:AC169" si="284">SUM(R145:R168)</f>
        <v>104</v>
      </c>
      <c r="S169" s="32">
        <f t="shared" si="284"/>
        <v>81</v>
      </c>
      <c r="T169" s="17">
        <f t="shared" si="284"/>
        <v>257</v>
      </c>
      <c r="U169" s="13">
        <f t="shared" si="284"/>
        <v>77</v>
      </c>
      <c r="V169" s="37">
        <f t="shared" si="284"/>
        <v>106</v>
      </c>
      <c r="W169" s="32">
        <f t="shared" si="284"/>
        <v>78</v>
      </c>
      <c r="X169" s="17">
        <f t="shared" si="284"/>
        <v>261</v>
      </c>
      <c r="Y169" s="13">
        <f t="shared" si="284"/>
        <v>72</v>
      </c>
      <c r="Z169" s="37">
        <f t="shared" si="284"/>
        <v>106</v>
      </c>
      <c r="AA169" s="32">
        <f t="shared" si="284"/>
        <v>81</v>
      </c>
      <c r="AB169" s="17">
        <f t="shared" si="284"/>
        <v>259</v>
      </c>
      <c r="AC169" s="18">
        <f t="shared" si="284"/>
        <v>777</v>
      </c>
    </row>
    <row r="170" spans="1:31" ht="14.25" thickBot="1" x14ac:dyDescent="0.2">
      <c r="A170" s="19" t="s">
        <v>10</v>
      </c>
      <c r="B170" s="20">
        <f>B144-B169</f>
        <v>4</v>
      </c>
      <c r="C170" s="38">
        <f t="shared" ref="C170:N170" si="285">C144-C169</f>
        <v>5</v>
      </c>
      <c r="D170" s="33">
        <f t="shared" si="285"/>
        <v>5</v>
      </c>
      <c r="E170" s="20">
        <f t="shared" si="285"/>
        <v>14</v>
      </c>
      <c r="F170" s="20">
        <f t="shared" si="285"/>
        <v>6</v>
      </c>
      <c r="G170" s="38">
        <f t="shared" si="285"/>
        <v>3</v>
      </c>
      <c r="H170" s="33">
        <f t="shared" si="285"/>
        <v>5</v>
      </c>
      <c r="I170" s="20">
        <f t="shared" si="285"/>
        <v>14</v>
      </c>
      <c r="J170" s="20">
        <f t="shared" si="285"/>
        <v>5</v>
      </c>
      <c r="K170" s="38">
        <f t="shared" si="285"/>
        <v>3</v>
      </c>
      <c r="L170" s="33">
        <f t="shared" si="285"/>
        <v>4</v>
      </c>
      <c r="M170" s="20">
        <f t="shared" si="285"/>
        <v>12</v>
      </c>
      <c r="N170" s="18">
        <f t="shared" si="285"/>
        <v>40</v>
      </c>
      <c r="P170" s="19" t="s">
        <v>10</v>
      </c>
      <c r="Q170" s="20">
        <f>Q144-Q169</f>
        <v>502</v>
      </c>
      <c r="R170" s="38">
        <f t="shared" ref="R170:AC170" si="286">R144-R169</f>
        <v>410</v>
      </c>
      <c r="S170" s="33">
        <f t="shared" si="286"/>
        <v>301</v>
      </c>
      <c r="T170" s="20">
        <f t="shared" si="286"/>
        <v>1213</v>
      </c>
      <c r="U170" s="20">
        <f t="shared" si="286"/>
        <v>484</v>
      </c>
      <c r="V170" s="38">
        <f t="shared" si="286"/>
        <v>413</v>
      </c>
      <c r="W170" s="33">
        <f t="shared" si="286"/>
        <v>302</v>
      </c>
      <c r="X170" s="20">
        <f t="shared" si="286"/>
        <v>1199</v>
      </c>
      <c r="Y170" s="20">
        <f t="shared" si="286"/>
        <v>503</v>
      </c>
      <c r="Z170" s="38">
        <f t="shared" si="286"/>
        <v>442</v>
      </c>
      <c r="AA170" s="33">
        <f t="shared" si="286"/>
        <v>311</v>
      </c>
      <c r="AB170" s="20">
        <f t="shared" si="286"/>
        <v>1256</v>
      </c>
      <c r="AC170" s="18">
        <f t="shared" si="286"/>
        <v>3668</v>
      </c>
    </row>
    <row r="173" spans="1:31" ht="21.75" thickBot="1" x14ac:dyDescent="0.25">
      <c r="A173" s="27" t="s">
        <v>15</v>
      </c>
      <c r="B173" s="28"/>
      <c r="C173" s="28"/>
      <c r="D173" s="28"/>
      <c r="E173" s="29"/>
      <c r="F173" s="28"/>
      <c r="G173" s="28"/>
      <c r="H173" s="28"/>
      <c r="I173" s="28"/>
      <c r="J173" s="1"/>
      <c r="K173" s="1"/>
      <c r="L173" s="1"/>
      <c r="M173" s="1"/>
      <c r="P173" s="43" t="s">
        <v>14</v>
      </c>
      <c r="Q173" s="44"/>
      <c r="R173" s="44"/>
      <c r="S173" s="44"/>
      <c r="T173" s="45"/>
      <c r="U173" s="44"/>
      <c r="V173" s="44"/>
      <c r="W173" s="44"/>
      <c r="X173" s="44"/>
      <c r="Y173" s="44"/>
      <c r="Z173" s="44"/>
      <c r="AA173" s="44"/>
      <c r="AB173" s="1"/>
    </row>
    <row r="174" spans="1:31" ht="14.25" thickBot="1" x14ac:dyDescent="0.2">
      <c r="A174" s="2" t="s">
        <v>0</v>
      </c>
      <c r="B174" s="91" t="s">
        <v>16</v>
      </c>
      <c r="C174" s="91"/>
      <c r="D174" s="91"/>
      <c r="E174" s="92"/>
      <c r="F174" s="93" t="s">
        <v>12</v>
      </c>
      <c r="G174" s="93"/>
      <c r="H174" s="93"/>
      <c r="I174" s="94"/>
      <c r="J174" s="95" t="s">
        <v>13</v>
      </c>
      <c r="K174" s="95"/>
      <c r="L174" s="95"/>
      <c r="M174" s="95"/>
      <c r="N174" s="96" t="s">
        <v>1</v>
      </c>
      <c r="P174" s="2" t="s">
        <v>0</v>
      </c>
      <c r="Q174" s="91" t="s">
        <v>16</v>
      </c>
      <c r="R174" s="91"/>
      <c r="S174" s="91"/>
      <c r="T174" s="92"/>
      <c r="U174" s="93" t="s">
        <v>12</v>
      </c>
      <c r="V174" s="93"/>
      <c r="W174" s="93"/>
      <c r="X174" s="94"/>
      <c r="Y174" s="95" t="s">
        <v>13</v>
      </c>
      <c r="Z174" s="95"/>
      <c r="AA174" s="95"/>
      <c r="AB174" s="95"/>
      <c r="AC174" s="96" t="s">
        <v>1</v>
      </c>
    </row>
    <row r="175" spans="1:31" ht="14.25" thickBot="1" x14ac:dyDescent="0.2">
      <c r="A175" s="2" t="s">
        <v>2</v>
      </c>
      <c r="B175" s="3" t="s">
        <v>3</v>
      </c>
      <c r="C175" s="34" t="s">
        <v>4</v>
      </c>
      <c r="D175" s="4" t="s">
        <v>5</v>
      </c>
      <c r="E175" s="2" t="s">
        <v>6</v>
      </c>
      <c r="F175" s="3" t="s">
        <v>3</v>
      </c>
      <c r="G175" s="34" t="s">
        <v>4</v>
      </c>
      <c r="H175" s="4" t="s">
        <v>5</v>
      </c>
      <c r="I175" s="2" t="s">
        <v>6</v>
      </c>
      <c r="J175" s="3" t="s">
        <v>3</v>
      </c>
      <c r="K175" s="34" t="s">
        <v>4</v>
      </c>
      <c r="L175" s="4" t="s">
        <v>5</v>
      </c>
      <c r="M175" s="3" t="s">
        <v>6</v>
      </c>
      <c r="N175" s="97"/>
      <c r="P175" s="2" t="s">
        <v>2</v>
      </c>
      <c r="Q175" s="3" t="s">
        <v>3</v>
      </c>
      <c r="R175" s="34" t="s">
        <v>4</v>
      </c>
      <c r="S175" s="4" t="s">
        <v>5</v>
      </c>
      <c r="T175" s="2" t="s">
        <v>6</v>
      </c>
      <c r="U175" s="3" t="s">
        <v>3</v>
      </c>
      <c r="V175" s="34" t="s">
        <v>4</v>
      </c>
      <c r="W175" s="4" t="s">
        <v>5</v>
      </c>
      <c r="X175" s="2" t="s">
        <v>6</v>
      </c>
      <c r="Y175" s="3" t="s">
        <v>3</v>
      </c>
      <c r="Z175" s="34" t="s">
        <v>4</v>
      </c>
      <c r="AA175" s="4" t="s">
        <v>5</v>
      </c>
      <c r="AB175" s="3" t="s">
        <v>6</v>
      </c>
      <c r="AC175" s="97"/>
    </row>
    <row r="176" spans="1:31" ht="14.25" thickBot="1" x14ac:dyDescent="0.2">
      <c r="A176" s="40" t="s">
        <v>10</v>
      </c>
      <c r="B176" s="41">
        <f>B170</f>
        <v>4</v>
      </c>
      <c r="C176" s="42">
        <f t="shared" ref="C176:M176" si="287">C170</f>
        <v>5</v>
      </c>
      <c r="D176" s="41">
        <f t="shared" si="287"/>
        <v>5</v>
      </c>
      <c r="E176" s="14">
        <f t="shared" si="287"/>
        <v>14</v>
      </c>
      <c r="F176" s="41">
        <f t="shared" si="287"/>
        <v>6</v>
      </c>
      <c r="G176" s="42">
        <f t="shared" si="287"/>
        <v>3</v>
      </c>
      <c r="H176" s="41">
        <f t="shared" si="287"/>
        <v>5</v>
      </c>
      <c r="I176" s="14">
        <f t="shared" si="287"/>
        <v>14</v>
      </c>
      <c r="J176" s="41">
        <f t="shared" si="287"/>
        <v>5</v>
      </c>
      <c r="K176" s="42">
        <f t="shared" si="287"/>
        <v>3</v>
      </c>
      <c r="L176" s="41">
        <f t="shared" si="287"/>
        <v>4</v>
      </c>
      <c r="M176" s="14">
        <f t="shared" si="287"/>
        <v>12</v>
      </c>
      <c r="N176" s="15">
        <f>N170</f>
        <v>40</v>
      </c>
      <c r="P176" s="40" t="s">
        <v>10</v>
      </c>
      <c r="Q176" s="54">
        <f>Q170</f>
        <v>502</v>
      </c>
      <c r="R176" s="55">
        <f t="shared" ref="R176:AB176" si="288">R170</f>
        <v>410</v>
      </c>
      <c r="S176" s="54">
        <f t="shared" si="288"/>
        <v>301</v>
      </c>
      <c r="T176" s="14">
        <f t="shared" si="288"/>
        <v>1213</v>
      </c>
      <c r="U176" s="54">
        <f t="shared" si="288"/>
        <v>484</v>
      </c>
      <c r="V176" s="55">
        <f t="shared" si="288"/>
        <v>413</v>
      </c>
      <c r="W176" s="54">
        <f t="shared" si="288"/>
        <v>302</v>
      </c>
      <c r="X176" s="14">
        <f t="shared" si="288"/>
        <v>1199</v>
      </c>
      <c r="Y176" s="54">
        <f t="shared" si="288"/>
        <v>503</v>
      </c>
      <c r="Z176" s="55">
        <f t="shared" si="288"/>
        <v>442</v>
      </c>
      <c r="AA176" s="54">
        <f t="shared" si="288"/>
        <v>311</v>
      </c>
      <c r="AB176" s="14">
        <f t="shared" si="288"/>
        <v>1256</v>
      </c>
      <c r="AC176" s="15">
        <f>AC170</f>
        <v>3668</v>
      </c>
    </row>
    <row r="177" spans="1:31" x14ac:dyDescent="0.15">
      <c r="A177" s="5" t="s">
        <v>63</v>
      </c>
      <c r="B177" s="9"/>
      <c r="C177" s="35">
        <v>1</v>
      </c>
      <c r="D177" s="9"/>
      <c r="E177" s="6">
        <f t="shared" ref="E177:E186" si="289">SUM(B177:D177)</f>
        <v>1</v>
      </c>
      <c r="F177" s="9"/>
      <c r="G177" s="35">
        <v>1</v>
      </c>
      <c r="H177" s="9"/>
      <c r="I177" s="6">
        <f t="shared" ref="I177:I186" si="290">SUM(F177:H177)</f>
        <v>1</v>
      </c>
      <c r="J177" s="9"/>
      <c r="K177" s="35">
        <v>1</v>
      </c>
      <c r="L177" s="9"/>
      <c r="M177" s="6">
        <f t="shared" ref="M177:M186" si="291">SUM(J177:L177)</f>
        <v>1</v>
      </c>
      <c r="N177" s="7">
        <f t="shared" ref="N177:N186" si="292">E177+I177+M177</f>
        <v>3</v>
      </c>
      <c r="O177" s="70">
        <v>45730</v>
      </c>
      <c r="P177" s="39" t="s">
        <v>177</v>
      </c>
      <c r="Q177" s="56">
        <f>3+10</f>
        <v>13</v>
      </c>
      <c r="R177" s="57">
        <f>2+10+21</f>
        <v>33</v>
      </c>
      <c r="S177" s="56">
        <f>2+13</f>
        <v>15</v>
      </c>
      <c r="T177" s="6">
        <f t="shared" ref="T177:T178" si="293">SUM(Q177:S177)</f>
        <v>61</v>
      </c>
      <c r="U177" s="56">
        <f>3+10</f>
        <v>13</v>
      </c>
      <c r="V177" s="57">
        <f>2+10+21</f>
        <v>33</v>
      </c>
      <c r="W177" s="56">
        <f>2+13</f>
        <v>15</v>
      </c>
      <c r="X177" s="6">
        <f t="shared" ref="X177:X178" si="294">SUM(U177:W177)</f>
        <v>61</v>
      </c>
      <c r="Y177" s="56">
        <f>3+10</f>
        <v>13</v>
      </c>
      <c r="Z177" s="57">
        <f>2+10+21</f>
        <v>33</v>
      </c>
      <c r="AA177" s="56">
        <f>2+13</f>
        <v>15</v>
      </c>
      <c r="AB177" s="6">
        <f t="shared" ref="AB177:AB178" si="295">SUM(Y177:AA177)</f>
        <v>61</v>
      </c>
      <c r="AC177" s="7">
        <f t="shared" ref="AC177:AC178" si="296">T177+X177+AB177</f>
        <v>183</v>
      </c>
      <c r="AD177" s="71">
        <v>45745</v>
      </c>
    </row>
    <row r="178" spans="1:31" x14ac:dyDescent="0.15">
      <c r="A178" s="5" t="s">
        <v>173</v>
      </c>
      <c r="B178" s="9">
        <f>3+10</f>
        <v>13</v>
      </c>
      <c r="C178" s="35">
        <f>2+10</f>
        <v>12</v>
      </c>
      <c r="D178" s="9">
        <f>2+13</f>
        <v>15</v>
      </c>
      <c r="E178" s="6">
        <f t="shared" si="289"/>
        <v>40</v>
      </c>
      <c r="F178" s="9">
        <f>3+10</f>
        <v>13</v>
      </c>
      <c r="G178" s="35">
        <f>2+10</f>
        <v>12</v>
      </c>
      <c r="H178" s="9">
        <f>2+13</f>
        <v>15</v>
      </c>
      <c r="I178" s="6">
        <f t="shared" si="290"/>
        <v>40</v>
      </c>
      <c r="J178" s="9">
        <f>3+10</f>
        <v>13</v>
      </c>
      <c r="K178" s="35">
        <f>2+10</f>
        <v>12</v>
      </c>
      <c r="L178" s="9">
        <f>2+13</f>
        <v>15</v>
      </c>
      <c r="M178" s="6">
        <f t="shared" si="291"/>
        <v>40</v>
      </c>
      <c r="N178" s="7">
        <f t="shared" si="292"/>
        <v>120</v>
      </c>
      <c r="O178" s="70">
        <v>45734</v>
      </c>
      <c r="P178" s="39" t="s">
        <v>177</v>
      </c>
      <c r="Q178" s="56">
        <v>2</v>
      </c>
      <c r="R178" s="57">
        <v>5</v>
      </c>
      <c r="S178" s="56">
        <v>6</v>
      </c>
      <c r="T178" s="6">
        <f t="shared" si="293"/>
        <v>13</v>
      </c>
      <c r="U178" s="56">
        <v>2</v>
      </c>
      <c r="V178" s="57">
        <v>5</v>
      </c>
      <c r="W178" s="56">
        <v>6</v>
      </c>
      <c r="X178" s="6">
        <f t="shared" si="294"/>
        <v>13</v>
      </c>
      <c r="Y178" s="56">
        <v>2</v>
      </c>
      <c r="Z178" s="57">
        <v>5</v>
      </c>
      <c r="AA178" s="56">
        <v>6</v>
      </c>
      <c r="AB178" s="6">
        <f t="shared" si="295"/>
        <v>13</v>
      </c>
      <c r="AC178" s="7">
        <f t="shared" si="296"/>
        <v>39</v>
      </c>
      <c r="AD178" s="71">
        <v>45752</v>
      </c>
    </row>
    <row r="179" spans="1:31" x14ac:dyDescent="0.15">
      <c r="A179" s="5" t="s">
        <v>139</v>
      </c>
      <c r="B179" s="9"/>
      <c r="C179" s="35">
        <v>22</v>
      </c>
      <c r="D179" s="9"/>
      <c r="E179" s="6">
        <f t="shared" si="289"/>
        <v>22</v>
      </c>
      <c r="F179" s="9"/>
      <c r="G179" s="35">
        <v>22</v>
      </c>
      <c r="H179" s="9"/>
      <c r="I179" s="6">
        <f t="shared" si="290"/>
        <v>22</v>
      </c>
      <c r="J179" s="9"/>
      <c r="K179" s="35">
        <v>22</v>
      </c>
      <c r="L179" s="9"/>
      <c r="M179" s="6">
        <f t="shared" si="291"/>
        <v>22</v>
      </c>
      <c r="N179" s="7">
        <f t="shared" si="292"/>
        <v>66</v>
      </c>
      <c r="O179" s="70">
        <v>45737</v>
      </c>
      <c r="P179" s="5" t="s">
        <v>43</v>
      </c>
      <c r="Q179" s="58">
        <v>200</v>
      </c>
      <c r="R179" s="59">
        <v>250</v>
      </c>
      <c r="S179" s="58">
        <v>120</v>
      </c>
      <c r="T179" s="6">
        <f t="shared" ref="T179:T186" si="297">SUM(Q179:S179)</f>
        <v>570</v>
      </c>
      <c r="U179" s="58">
        <v>200</v>
      </c>
      <c r="V179" s="59">
        <v>230</v>
      </c>
      <c r="W179" s="58">
        <v>120</v>
      </c>
      <c r="X179" s="6">
        <f t="shared" ref="X179:X186" si="298">SUM(U179:W179)</f>
        <v>550</v>
      </c>
      <c r="Y179" s="58">
        <v>180</v>
      </c>
      <c r="Z179" s="59">
        <v>200</v>
      </c>
      <c r="AA179" s="58">
        <v>100</v>
      </c>
      <c r="AB179" s="6">
        <f t="shared" ref="AB179:AB186" si="299">SUM(Y179:AA179)</f>
        <v>480</v>
      </c>
      <c r="AC179" s="7">
        <f t="shared" ref="AC179:AC186" si="300">T179+X179+AB179</f>
        <v>1600</v>
      </c>
      <c r="AD179" s="22" t="s">
        <v>154</v>
      </c>
    </row>
    <row r="180" spans="1:31" x14ac:dyDescent="0.15">
      <c r="A180" s="5" t="s">
        <v>63</v>
      </c>
      <c r="B180" s="16">
        <v>1</v>
      </c>
      <c r="C180" s="35"/>
      <c r="D180" s="9">
        <v>1</v>
      </c>
      <c r="E180" s="6">
        <f t="shared" si="289"/>
        <v>2</v>
      </c>
      <c r="F180" s="16">
        <v>1</v>
      </c>
      <c r="G180" s="35"/>
      <c r="H180" s="9">
        <v>1</v>
      </c>
      <c r="I180" s="6">
        <f t="shared" si="290"/>
        <v>2</v>
      </c>
      <c r="J180" s="16">
        <v>1</v>
      </c>
      <c r="K180" s="35"/>
      <c r="L180" s="9">
        <v>1</v>
      </c>
      <c r="M180" s="6">
        <f t="shared" si="291"/>
        <v>2</v>
      </c>
      <c r="N180" s="7">
        <f t="shared" si="292"/>
        <v>6</v>
      </c>
      <c r="O180" s="70">
        <v>45748</v>
      </c>
      <c r="P180" s="5" t="s">
        <v>136</v>
      </c>
      <c r="Q180" s="58">
        <v>-44</v>
      </c>
      <c r="R180" s="59">
        <v>-58</v>
      </c>
      <c r="S180" s="58">
        <v>22</v>
      </c>
      <c r="T180" s="6">
        <f t="shared" si="297"/>
        <v>-80</v>
      </c>
      <c r="U180" s="58">
        <v>-41</v>
      </c>
      <c r="V180" s="59">
        <v>-41</v>
      </c>
      <c r="W180" s="58">
        <v>25</v>
      </c>
      <c r="X180" s="6">
        <f t="shared" si="298"/>
        <v>-57</v>
      </c>
      <c r="Y180" s="58">
        <v>-58</v>
      </c>
      <c r="Z180" s="59">
        <v>-67</v>
      </c>
      <c r="AA180" s="58">
        <v>19</v>
      </c>
      <c r="AB180" s="6">
        <f t="shared" si="299"/>
        <v>-106</v>
      </c>
      <c r="AC180" s="7">
        <f t="shared" si="300"/>
        <v>-243</v>
      </c>
      <c r="AD180" s="22"/>
    </row>
    <row r="181" spans="1:31" x14ac:dyDescent="0.15">
      <c r="A181" s="5" t="s">
        <v>179</v>
      </c>
      <c r="B181" s="9">
        <v>2</v>
      </c>
      <c r="C181" s="35">
        <v>5</v>
      </c>
      <c r="D181" s="9">
        <v>6</v>
      </c>
      <c r="E181" s="6">
        <f t="shared" si="289"/>
        <v>13</v>
      </c>
      <c r="F181" s="9">
        <v>2</v>
      </c>
      <c r="G181" s="35">
        <v>5</v>
      </c>
      <c r="H181" s="9">
        <v>6</v>
      </c>
      <c r="I181" s="6">
        <f t="shared" si="290"/>
        <v>13</v>
      </c>
      <c r="J181" s="9">
        <v>2</v>
      </c>
      <c r="K181" s="35">
        <v>5</v>
      </c>
      <c r="L181" s="9">
        <v>6</v>
      </c>
      <c r="M181" s="6">
        <f t="shared" si="291"/>
        <v>13</v>
      </c>
      <c r="N181" s="7">
        <f t="shared" si="292"/>
        <v>39</v>
      </c>
      <c r="O181" s="70">
        <v>45750</v>
      </c>
      <c r="P181" s="39" t="s">
        <v>177</v>
      </c>
      <c r="Q181" s="56">
        <v>3</v>
      </c>
      <c r="R181" s="57"/>
      <c r="S181" s="56">
        <v>3</v>
      </c>
      <c r="T181" s="6">
        <f t="shared" si="297"/>
        <v>6</v>
      </c>
      <c r="U181" s="56">
        <v>3</v>
      </c>
      <c r="V181" s="57"/>
      <c r="W181" s="56">
        <v>3</v>
      </c>
      <c r="X181" s="6">
        <f t="shared" si="298"/>
        <v>6</v>
      </c>
      <c r="Y181" s="56">
        <v>3</v>
      </c>
      <c r="Z181" s="57"/>
      <c r="AA181" s="56">
        <v>3</v>
      </c>
      <c r="AB181" s="6">
        <f t="shared" si="299"/>
        <v>6</v>
      </c>
      <c r="AC181" s="7">
        <f t="shared" si="300"/>
        <v>18</v>
      </c>
      <c r="AD181" s="71">
        <v>45787</v>
      </c>
    </row>
    <row r="182" spans="1:31" x14ac:dyDescent="0.15">
      <c r="A182" s="5" t="s">
        <v>184</v>
      </c>
      <c r="B182" s="9">
        <v>1</v>
      </c>
      <c r="C182" s="35">
        <v>1</v>
      </c>
      <c r="D182" s="9">
        <v>1</v>
      </c>
      <c r="E182" s="6">
        <f t="shared" si="289"/>
        <v>3</v>
      </c>
      <c r="F182" s="9">
        <v>1</v>
      </c>
      <c r="G182" s="35">
        <v>1</v>
      </c>
      <c r="H182" s="9">
        <v>1</v>
      </c>
      <c r="I182" s="6">
        <f t="shared" si="290"/>
        <v>3</v>
      </c>
      <c r="J182" s="9">
        <v>1</v>
      </c>
      <c r="K182" s="35">
        <v>1</v>
      </c>
      <c r="L182" s="9">
        <v>1</v>
      </c>
      <c r="M182" s="6">
        <f t="shared" si="291"/>
        <v>3</v>
      </c>
      <c r="N182" s="7">
        <f t="shared" si="292"/>
        <v>9</v>
      </c>
      <c r="O182" s="30">
        <v>45763</v>
      </c>
      <c r="P182" s="39" t="s">
        <v>7</v>
      </c>
      <c r="Q182" s="56"/>
      <c r="R182" s="57"/>
      <c r="S182" s="56"/>
      <c r="T182" s="6">
        <f t="shared" si="297"/>
        <v>0</v>
      </c>
      <c r="U182" s="56"/>
      <c r="V182" s="57"/>
      <c r="W182" s="56"/>
      <c r="X182" s="6">
        <f t="shared" si="298"/>
        <v>0</v>
      </c>
      <c r="Y182" s="56"/>
      <c r="Z182" s="57"/>
      <c r="AA182" s="56"/>
      <c r="AB182" s="6">
        <f t="shared" si="299"/>
        <v>0</v>
      </c>
      <c r="AC182" s="7">
        <f t="shared" si="300"/>
        <v>0</v>
      </c>
    </row>
    <row r="183" spans="1:31" x14ac:dyDescent="0.15">
      <c r="A183" s="49" t="s">
        <v>185</v>
      </c>
      <c r="B183" s="16">
        <v>1</v>
      </c>
      <c r="C183" s="35"/>
      <c r="D183" s="9"/>
      <c r="E183" s="6">
        <f t="shared" si="289"/>
        <v>1</v>
      </c>
      <c r="F183" s="16">
        <v>1</v>
      </c>
      <c r="G183" s="35"/>
      <c r="H183" s="9"/>
      <c r="I183" s="6">
        <f t="shared" si="290"/>
        <v>1</v>
      </c>
      <c r="J183" s="16">
        <v>1</v>
      </c>
      <c r="K183" s="35"/>
      <c r="L183" s="9"/>
      <c r="M183" s="6">
        <f t="shared" si="291"/>
        <v>1</v>
      </c>
      <c r="N183" s="7">
        <f t="shared" si="292"/>
        <v>3</v>
      </c>
      <c r="O183" s="22">
        <v>45763</v>
      </c>
      <c r="P183" s="39" t="s">
        <v>7</v>
      </c>
      <c r="Q183" s="56"/>
      <c r="R183" s="57"/>
      <c r="S183" s="56"/>
      <c r="T183" s="6">
        <f t="shared" ref="T183:T184" si="301">SUM(Q183:S183)</f>
        <v>0</v>
      </c>
      <c r="U183" s="56"/>
      <c r="V183" s="57"/>
      <c r="W183" s="56"/>
      <c r="X183" s="6">
        <f t="shared" ref="X183:X184" si="302">SUM(U183:W183)</f>
        <v>0</v>
      </c>
      <c r="Y183" s="56"/>
      <c r="Z183" s="57"/>
      <c r="AA183" s="56"/>
      <c r="AB183" s="6">
        <f t="shared" ref="AB183:AB184" si="303">SUM(Y183:AA183)</f>
        <v>0</v>
      </c>
      <c r="AC183" s="7">
        <f t="shared" ref="AC183:AC184" si="304">T183+X183+AB183</f>
        <v>0</v>
      </c>
    </row>
    <row r="184" spans="1:31" x14ac:dyDescent="0.15">
      <c r="A184" s="5" t="s">
        <v>63</v>
      </c>
      <c r="B184" s="9">
        <v>1</v>
      </c>
      <c r="C184" s="35"/>
      <c r="D184" s="9"/>
      <c r="E184" s="6">
        <f t="shared" si="289"/>
        <v>1</v>
      </c>
      <c r="F184" s="9">
        <v>1</v>
      </c>
      <c r="G184" s="35"/>
      <c r="H184" s="9"/>
      <c r="I184" s="6">
        <f t="shared" si="290"/>
        <v>1</v>
      </c>
      <c r="J184" s="9">
        <v>1</v>
      </c>
      <c r="K184" s="35"/>
      <c r="L184" s="9"/>
      <c r="M184" s="6">
        <f t="shared" si="291"/>
        <v>1</v>
      </c>
      <c r="N184" s="7">
        <f t="shared" si="292"/>
        <v>3</v>
      </c>
      <c r="O184" s="70">
        <v>45770</v>
      </c>
      <c r="P184" s="39" t="s">
        <v>101</v>
      </c>
      <c r="Q184" s="56">
        <v>11</v>
      </c>
      <c r="R184" s="57">
        <v>16</v>
      </c>
      <c r="S184" s="56">
        <v>20</v>
      </c>
      <c r="T184" s="6">
        <f t="shared" si="301"/>
        <v>47</v>
      </c>
      <c r="U184" s="56">
        <v>11</v>
      </c>
      <c r="V184" s="57">
        <v>16</v>
      </c>
      <c r="W184" s="56">
        <v>20</v>
      </c>
      <c r="X184" s="6">
        <f t="shared" si="302"/>
        <v>47</v>
      </c>
      <c r="Y184" s="56">
        <v>11</v>
      </c>
      <c r="Z184" s="57">
        <v>16</v>
      </c>
      <c r="AA184" s="56">
        <v>20</v>
      </c>
      <c r="AB184" s="6">
        <f t="shared" si="303"/>
        <v>47</v>
      </c>
      <c r="AC184" s="7">
        <f t="shared" si="304"/>
        <v>141</v>
      </c>
      <c r="AD184" s="22">
        <v>45730</v>
      </c>
    </row>
    <row r="185" spans="1:31" x14ac:dyDescent="0.15">
      <c r="A185" s="5" t="s">
        <v>139</v>
      </c>
      <c r="B185" s="9">
        <v>3</v>
      </c>
      <c r="C185" s="35"/>
      <c r="D185" s="9">
        <v>3</v>
      </c>
      <c r="E185" s="6">
        <f t="shared" si="289"/>
        <v>6</v>
      </c>
      <c r="F185" s="9">
        <v>3</v>
      </c>
      <c r="G185" s="35"/>
      <c r="H185" s="9">
        <v>3</v>
      </c>
      <c r="I185" s="6">
        <f t="shared" si="290"/>
        <v>6</v>
      </c>
      <c r="J185" s="9">
        <v>3</v>
      </c>
      <c r="K185" s="35"/>
      <c r="L185" s="9">
        <v>3</v>
      </c>
      <c r="M185" s="6">
        <f t="shared" si="291"/>
        <v>6</v>
      </c>
      <c r="N185" s="7">
        <f t="shared" si="292"/>
        <v>18</v>
      </c>
      <c r="O185" s="70">
        <v>45771</v>
      </c>
      <c r="P185" s="5" t="s">
        <v>7</v>
      </c>
      <c r="Q185" s="58"/>
      <c r="R185" s="59"/>
      <c r="S185" s="58"/>
      <c r="T185" s="6">
        <f t="shared" si="297"/>
        <v>0</v>
      </c>
      <c r="U185" s="58"/>
      <c r="V185" s="59"/>
      <c r="W185" s="58"/>
      <c r="X185" s="6">
        <f t="shared" si="298"/>
        <v>0</v>
      </c>
      <c r="Y185" s="58"/>
      <c r="Z185" s="59"/>
      <c r="AA185" s="58"/>
      <c r="AB185" s="6">
        <f t="shared" si="299"/>
        <v>0</v>
      </c>
      <c r="AC185" s="7">
        <f t="shared" si="300"/>
        <v>0</v>
      </c>
    </row>
    <row r="186" spans="1:31" ht="14.25" thickBot="1" x14ac:dyDescent="0.2">
      <c r="A186" s="5" t="s">
        <v>149</v>
      </c>
      <c r="B186" s="11"/>
      <c r="C186" s="36"/>
      <c r="D186" s="11">
        <v>1</v>
      </c>
      <c r="E186" s="6">
        <f t="shared" si="289"/>
        <v>1</v>
      </c>
      <c r="F186" s="11"/>
      <c r="G186" s="36"/>
      <c r="H186" s="11">
        <v>1</v>
      </c>
      <c r="I186" s="6">
        <f t="shared" si="290"/>
        <v>1</v>
      </c>
      <c r="J186" s="11"/>
      <c r="K186" s="36"/>
      <c r="L186" s="11">
        <v>1</v>
      </c>
      <c r="M186" s="6">
        <f t="shared" si="291"/>
        <v>1</v>
      </c>
      <c r="N186" s="7">
        <f t="shared" si="292"/>
        <v>3</v>
      </c>
      <c r="O186" s="70">
        <v>45784</v>
      </c>
      <c r="P186" s="5" t="s">
        <v>7</v>
      </c>
      <c r="Q186" s="58"/>
      <c r="R186" s="59"/>
      <c r="S186" s="58"/>
      <c r="T186" s="6">
        <f t="shared" si="297"/>
        <v>0</v>
      </c>
      <c r="U186" s="58"/>
      <c r="V186" s="59"/>
      <c r="W186" s="58"/>
      <c r="X186" s="6">
        <f t="shared" si="298"/>
        <v>0</v>
      </c>
      <c r="Y186" s="58"/>
      <c r="Z186" s="59"/>
      <c r="AA186" s="58"/>
      <c r="AB186" s="6">
        <f t="shared" si="299"/>
        <v>0</v>
      </c>
      <c r="AC186" s="7">
        <f t="shared" si="300"/>
        <v>0</v>
      </c>
    </row>
    <row r="187" spans="1:31" ht="14.25" thickBot="1" x14ac:dyDescent="0.2">
      <c r="A187" s="12" t="s">
        <v>8</v>
      </c>
      <c r="B187" s="13">
        <f>SUM(B176:B186)</f>
        <v>26</v>
      </c>
      <c r="C187" s="37">
        <f t="shared" ref="C187:N187" si="305">SUM(C176:C186)</f>
        <v>46</v>
      </c>
      <c r="D187" s="31">
        <f t="shared" si="305"/>
        <v>32</v>
      </c>
      <c r="E187" s="14">
        <f t="shared" si="305"/>
        <v>104</v>
      </c>
      <c r="F187" s="13">
        <f t="shared" si="305"/>
        <v>28</v>
      </c>
      <c r="G187" s="37">
        <f t="shared" si="305"/>
        <v>44</v>
      </c>
      <c r="H187" s="31">
        <f t="shared" si="305"/>
        <v>32</v>
      </c>
      <c r="I187" s="14">
        <f t="shared" si="305"/>
        <v>104</v>
      </c>
      <c r="J187" s="13">
        <f t="shared" si="305"/>
        <v>27</v>
      </c>
      <c r="K187" s="37">
        <f t="shared" si="305"/>
        <v>44</v>
      </c>
      <c r="L187" s="31">
        <f t="shared" si="305"/>
        <v>31</v>
      </c>
      <c r="M187" s="14">
        <f t="shared" si="305"/>
        <v>102</v>
      </c>
      <c r="N187" s="15">
        <f t="shared" si="305"/>
        <v>310</v>
      </c>
      <c r="P187" s="12" t="s">
        <v>8</v>
      </c>
      <c r="Q187" s="13">
        <f>SUM(Q176:Q186)</f>
        <v>687</v>
      </c>
      <c r="R187" s="37">
        <f t="shared" ref="R187:AC187" si="306">SUM(R176:R186)</f>
        <v>656</v>
      </c>
      <c r="S187" s="31">
        <f t="shared" si="306"/>
        <v>487</v>
      </c>
      <c r="T187" s="14">
        <f t="shared" si="306"/>
        <v>1830</v>
      </c>
      <c r="U187" s="13">
        <f t="shared" si="306"/>
        <v>672</v>
      </c>
      <c r="V187" s="37">
        <f t="shared" si="306"/>
        <v>656</v>
      </c>
      <c r="W187" s="31">
        <f t="shared" si="306"/>
        <v>491</v>
      </c>
      <c r="X187" s="14">
        <f t="shared" si="306"/>
        <v>1819</v>
      </c>
      <c r="Y187" s="13">
        <f t="shared" si="306"/>
        <v>654</v>
      </c>
      <c r="Z187" s="37">
        <f t="shared" si="306"/>
        <v>629</v>
      </c>
      <c r="AA187" s="31">
        <f t="shared" si="306"/>
        <v>474</v>
      </c>
      <c r="AB187" s="14">
        <f t="shared" si="306"/>
        <v>1757</v>
      </c>
      <c r="AC187" s="15">
        <f t="shared" si="306"/>
        <v>5406</v>
      </c>
    </row>
    <row r="188" spans="1:31" x14ac:dyDescent="0.15">
      <c r="A188" s="47" t="s">
        <v>172</v>
      </c>
      <c r="B188" s="16">
        <v>2</v>
      </c>
      <c r="C188" s="35"/>
      <c r="D188" s="9">
        <v>2</v>
      </c>
      <c r="E188" s="6">
        <f t="shared" ref="E188:E190" si="307">SUM(B188:D188)</f>
        <v>4</v>
      </c>
      <c r="F188" s="16">
        <v>2</v>
      </c>
      <c r="G188" s="35"/>
      <c r="H188" s="9">
        <v>2</v>
      </c>
      <c r="I188" s="6">
        <f t="shared" ref="I188:I190" si="308">SUM(F188:H188)</f>
        <v>4</v>
      </c>
      <c r="J188" s="16">
        <v>2</v>
      </c>
      <c r="K188" s="35"/>
      <c r="L188" s="9">
        <v>2</v>
      </c>
      <c r="M188" s="6">
        <f t="shared" ref="M188:M190" si="309">SUM(J188:L188)</f>
        <v>4</v>
      </c>
      <c r="N188" s="7">
        <f t="shared" ref="N188:N190" si="310">E188+I188+M188</f>
        <v>12</v>
      </c>
      <c r="O188" s="30">
        <v>45729</v>
      </c>
      <c r="P188" s="47" t="s">
        <v>170</v>
      </c>
      <c r="Q188" s="16">
        <v>14</v>
      </c>
      <c r="R188" s="35">
        <v>28</v>
      </c>
      <c r="S188" s="9"/>
      <c r="T188" s="6">
        <f t="shared" ref="T188" si="311">SUM(Q188:S188)</f>
        <v>42</v>
      </c>
      <c r="U188" s="16">
        <v>14</v>
      </c>
      <c r="V188" s="35">
        <v>28</v>
      </c>
      <c r="W188" s="9"/>
      <c r="X188" s="6">
        <f t="shared" ref="X188" si="312">SUM(U188:W188)</f>
        <v>42</v>
      </c>
      <c r="Y188" s="16">
        <v>14</v>
      </c>
      <c r="Z188" s="35">
        <v>28</v>
      </c>
      <c r="AA188" s="9"/>
      <c r="AB188" s="6">
        <f t="shared" ref="AB188" si="313">SUM(Y188:AA188)</f>
        <v>42</v>
      </c>
      <c r="AC188" s="7">
        <f t="shared" ref="AC188" si="314">T188+X188+AB188</f>
        <v>126</v>
      </c>
      <c r="AD188" s="22">
        <v>45723</v>
      </c>
      <c r="AE188" s="8"/>
    </row>
    <row r="189" spans="1:31" x14ac:dyDescent="0.15">
      <c r="A189" s="47" t="s">
        <v>176</v>
      </c>
      <c r="B189" s="16">
        <f>3+10</f>
        <v>13</v>
      </c>
      <c r="C189" s="35">
        <f>2+10+21</f>
        <v>33</v>
      </c>
      <c r="D189" s="9">
        <f>2+13</f>
        <v>15</v>
      </c>
      <c r="E189" s="6">
        <f t="shared" si="307"/>
        <v>61</v>
      </c>
      <c r="F189" s="16">
        <f>3+10</f>
        <v>13</v>
      </c>
      <c r="G189" s="35">
        <f>2+10+21</f>
        <v>33</v>
      </c>
      <c r="H189" s="9">
        <f>2+13</f>
        <v>15</v>
      </c>
      <c r="I189" s="6">
        <f t="shared" si="308"/>
        <v>61</v>
      </c>
      <c r="J189" s="16">
        <f>3+10</f>
        <v>13</v>
      </c>
      <c r="K189" s="35">
        <f>2+10+21</f>
        <v>33</v>
      </c>
      <c r="L189" s="9">
        <f>2+13</f>
        <v>15</v>
      </c>
      <c r="M189" s="6">
        <f t="shared" si="309"/>
        <v>61</v>
      </c>
      <c r="N189" s="7">
        <f t="shared" si="310"/>
        <v>183</v>
      </c>
      <c r="O189" s="30">
        <v>45745</v>
      </c>
      <c r="P189" s="47" t="s">
        <v>174</v>
      </c>
      <c r="Q189" s="16">
        <v>8</v>
      </c>
      <c r="R189" s="35"/>
      <c r="S189" s="9">
        <v>8</v>
      </c>
      <c r="T189" s="6">
        <f t="shared" ref="T189:T202" si="315">SUM(Q189:S189)</f>
        <v>16</v>
      </c>
      <c r="U189" s="16">
        <v>8</v>
      </c>
      <c r="V189" s="35"/>
      <c r="W189" s="9">
        <v>8</v>
      </c>
      <c r="X189" s="6">
        <f t="shared" ref="X189:X202" si="316">SUM(U189:W189)</f>
        <v>16</v>
      </c>
      <c r="Y189" s="16">
        <v>8</v>
      </c>
      <c r="Z189" s="35"/>
      <c r="AA189" s="9">
        <v>8</v>
      </c>
      <c r="AB189" s="6">
        <f t="shared" ref="AB189:AB202" si="317">SUM(Y189:AA189)</f>
        <v>16</v>
      </c>
      <c r="AC189" s="7">
        <f t="shared" ref="AC189:AC202" si="318">T189+X189+AB189</f>
        <v>48</v>
      </c>
      <c r="AD189" s="22">
        <v>45741</v>
      </c>
      <c r="AE189" s="8"/>
    </row>
    <row r="190" spans="1:31" x14ac:dyDescent="0.15">
      <c r="A190" s="47" t="s">
        <v>121</v>
      </c>
      <c r="B190" s="16">
        <v>2</v>
      </c>
      <c r="C190" s="35">
        <v>5</v>
      </c>
      <c r="D190" s="9">
        <v>6</v>
      </c>
      <c r="E190" s="6">
        <f t="shared" si="307"/>
        <v>13</v>
      </c>
      <c r="F190" s="16">
        <v>2</v>
      </c>
      <c r="G190" s="35">
        <v>5</v>
      </c>
      <c r="H190" s="9">
        <v>6</v>
      </c>
      <c r="I190" s="6">
        <f t="shared" si="308"/>
        <v>13</v>
      </c>
      <c r="J190" s="16">
        <v>2</v>
      </c>
      <c r="K190" s="35">
        <v>5</v>
      </c>
      <c r="L190" s="9">
        <v>6</v>
      </c>
      <c r="M190" s="6">
        <f t="shared" si="309"/>
        <v>13</v>
      </c>
      <c r="N190" s="7">
        <f t="shared" si="310"/>
        <v>39</v>
      </c>
      <c r="O190" s="30">
        <v>45752</v>
      </c>
      <c r="P190" s="47" t="s">
        <v>175</v>
      </c>
      <c r="Q190" s="16">
        <v>5</v>
      </c>
      <c r="R190" s="35"/>
      <c r="S190" s="9"/>
      <c r="T190" s="6">
        <f t="shared" si="315"/>
        <v>5</v>
      </c>
      <c r="U190" s="16">
        <v>5</v>
      </c>
      <c r="V190" s="35"/>
      <c r="W190" s="9"/>
      <c r="X190" s="6">
        <f t="shared" si="316"/>
        <v>5</v>
      </c>
      <c r="Y190" s="16">
        <v>5</v>
      </c>
      <c r="Z190" s="35"/>
      <c r="AA190" s="9"/>
      <c r="AB190" s="6">
        <f t="shared" si="317"/>
        <v>5</v>
      </c>
      <c r="AC190" s="7">
        <f t="shared" si="318"/>
        <v>15</v>
      </c>
      <c r="AD190" s="22">
        <v>45755</v>
      </c>
      <c r="AE190" s="8"/>
    </row>
    <row r="191" spans="1:31" x14ac:dyDescent="0.15">
      <c r="A191" s="47" t="s">
        <v>186</v>
      </c>
      <c r="B191" s="16">
        <v>1</v>
      </c>
      <c r="C191" s="35"/>
      <c r="D191" s="9"/>
      <c r="E191" s="6">
        <f t="shared" ref="E191:E211" si="319">SUM(B191:D191)</f>
        <v>1</v>
      </c>
      <c r="F191" s="16">
        <v>1</v>
      </c>
      <c r="G191" s="35"/>
      <c r="H191" s="9"/>
      <c r="I191" s="6">
        <f t="shared" ref="I191:I211" si="320">SUM(F191:H191)</f>
        <v>1</v>
      </c>
      <c r="J191" s="16">
        <v>1</v>
      </c>
      <c r="K191" s="35"/>
      <c r="L191" s="9"/>
      <c r="M191" s="6">
        <f t="shared" ref="M191:M211" si="321">SUM(J191:L191)</f>
        <v>1</v>
      </c>
      <c r="N191" s="7">
        <f t="shared" ref="N191:N211" si="322">E191+I191+M191</f>
        <v>3</v>
      </c>
      <c r="O191" s="30">
        <v>45763</v>
      </c>
      <c r="P191" s="47" t="s">
        <v>178</v>
      </c>
      <c r="Q191" s="16">
        <v>3</v>
      </c>
      <c r="R191" s="35"/>
      <c r="S191" s="9"/>
      <c r="T191" s="6">
        <f t="shared" si="315"/>
        <v>3</v>
      </c>
      <c r="U191" s="16">
        <v>3</v>
      </c>
      <c r="V191" s="35"/>
      <c r="W191" s="9"/>
      <c r="X191" s="6">
        <f t="shared" si="316"/>
        <v>3</v>
      </c>
      <c r="Y191" s="16">
        <v>3</v>
      </c>
      <c r="Z191" s="35"/>
      <c r="AA191" s="9"/>
      <c r="AB191" s="6">
        <f t="shared" si="317"/>
        <v>3</v>
      </c>
      <c r="AC191" s="7">
        <f t="shared" si="318"/>
        <v>9</v>
      </c>
      <c r="AD191" s="22">
        <v>45755</v>
      </c>
      <c r="AE191" s="8"/>
    </row>
    <row r="192" spans="1:31" x14ac:dyDescent="0.15">
      <c r="A192" s="47" t="s">
        <v>188</v>
      </c>
      <c r="B192" s="16"/>
      <c r="C192" s="35">
        <v>1</v>
      </c>
      <c r="D192" s="9"/>
      <c r="E192" s="6">
        <f t="shared" si="319"/>
        <v>1</v>
      </c>
      <c r="F192" s="16"/>
      <c r="G192" s="35">
        <v>1</v>
      </c>
      <c r="H192" s="9"/>
      <c r="I192" s="6">
        <f t="shared" si="320"/>
        <v>1</v>
      </c>
      <c r="J192" s="16"/>
      <c r="K192" s="35">
        <v>1</v>
      </c>
      <c r="L192" s="9"/>
      <c r="M192" s="6">
        <f t="shared" si="321"/>
        <v>1</v>
      </c>
      <c r="N192" s="7">
        <f t="shared" si="322"/>
        <v>3</v>
      </c>
      <c r="O192" s="30">
        <v>45786</v>
      </c>
      <c r="P192" s="47" t="s">
        <v>187</v>
      </c>
      <c r="Q192" s="16">
        <v>7</v>
      </c>
      <c r="R192" s="35"/>
      <c r="S192" s="9"/>
      <c r="T192" s="6">
        <f t="shared" si="315"/>
        <v>7</v>
      </c>
      <c r="U192" s="16">
        <v>7</v>
      </c>
      <c r="V192" s="35"/>
      <c r="W192" s="9"/>
      <c r="X192" s="6">
        <f t="shared" si="316"/>
        <v>7</v>
      </c>
      <c r="Y192" s="16">
        <v>7</v>
      </c>
      <c r="Z192" s="35"/>
      <c r="AA192" s="9"/>
      <c r="AB192" s="6">
        <f t="shared" si="317"/>
        <v>7</v>
      </c>
      <c r="AC192" s="7">
        <f t="shared" si="318"/>
        <v>21</v>
      </c>
      <c r="AD192" s="22">
        <v>45771</v>
      </c>
    </row>
    <row r="193" spans="1:30" x14ac:dyDescent="0.15">
      <c r="A193" s="47" t="s">
        <v>121</v>
      </c>
      <c r="B193" s="16">
        <v>3</v>
      </c>
      <c r="C193" s="35"/>
      <c r="D193" s="9">
        <v>3</v>
      </c>
      <c r="E193" s="6">
        <f t="shared" si="319"/>
        <v>6</v>
      </c>
      <c r="F193" s="16">
        <v>3</v>
      </c>
      <c r="G193" s="35"/>
      <c r="H193" s="9">
        <v>3</v>
      </c>
      <c r="I193" s="6">
        <f t="shared" si="320"/>
        <v>6</v>
      </c>
      <c r="J193" s="16">
        <v>3</v>
      </c>
      <c r="K193" s="35"/>
      <c r="L193" s="9">
        <v>3</v>
      </c>
      <c r="M193" s="6">
        <f t="shared" si="321"/>
        <v>6</v>
      </c>
      <c r="N193" s="7">
        <f t="shared" si="322"/>
        <v>18</v>
      </c>
      <c r="O193" s="30">
        <v>45787</v>
      </c>
      <c r="P193" s="47" t="s">
        <v>189</v>
      </c>
      <c r="Q193" s="16"/>
      <c r="R193" s="35"/>
      <c r="S193" s="9">
        <v>2</v>
      </c>
      <c r="T193" s="6">
        <f t="shared" si="315"/>
        <v>2</v>
      </c>
      <c r="U193" s="16"/>
      <c r="V193" s="35"/>
      <c r="W193" s="9">
        <v>2</v>
      </c>
      <c r="X193" s="6">
        <f t="shared" si="316"/>
        <v>2</v>
      </c>
      <c r="Y193" s="16"/>
      <c r="Z193" s="35"/>
      <c r="AA193" s="9">
        <v>2</v>
      </c>
      <c r="AB193" s="6">
        <f t="shared" si="317"/>
        <v>2</v>
      </c>
      <c r="AC193" s="7">
        <f t="shared" si="318"/>
        <v>6</v>
      </c>
      <c r="AD193" s="22">
        <v>45790</v>
      </c>
    </row>
    <row r="194" spans="1:30" x14ac:dyDescent="0.15">
      <c r="A194" s="47"/>
      <c r="B194" s="16"/>
      <c r="C194" s="35"/>
      <c r="D194" s="9"/>
      <c r="E194" s="6">
        <f t="shared" si="319"/>
        <v>0</v>
      </c>
      <c r="F194" s="16"/>
      <c r="G194" s="35"/>
      <c r="H194" s="9"/>
      <c r="I194" s="6">
        <f t="shared" si="320"/>
        <v>0</v>
      </c>
      <c r="J194" s="16"/>
      <c r="K194" s="35"/>
      <c r="L194" s="9"/>
      <c r="M194" s="6">
        <f t="shared" si="321"/>
        <v>0</v>
      </c>
      <c r="N194" s="7">
        <f t="shared" si="322"/>
        <v>0</v>
      </c>
      <c r="O194" s="8"/>
      <c r="P194" s="47"/>
      <c r="Q194" s="16"/>
      <c r="R194" s="35"/>
      <c r="S194" s="9"/>
      <c r="T194" s="6">
        <f t="shared" si="315"/>
        <v>0</v>
      </c>
      <c r="U194" s="16"/>
      <c r="V194" s="35"/>
      <c r="W194" s="9"/>
      <c r="X194" s="6">
        <f t="shared" si="316"/>
        <v>0</v>
      </c>
      <c r="Y194" s="16"/>
      <c r="Z194" s="35"/>
      <c r="AA194" s="9"/>
      <c r="AB194" s="6">
        <f t="shared" si="317"/>
        <v>0</v>
      </c>
      <c r="AC194" s="7">
        <f t="shared" si="318"/>
        <v>0</v>
      </c>
      <c r="AD194" s="23"/>
    </row>
    <row r="195" spans="1:30" x14ac:dyDescent="0.15">
      <c r="A195" s="49"/>
      <c r="B195" s="16"/>
      <c r="C195" s="35"/>
      <c r="D195" s="9"/>
      <c r="E195" s="6">
        <f t="shared" si="319"/>
        <v>0</v>
      </c>
      <c r="F195" s="16"/>
      <c r="G195" s="35"/>
      <c r="H195" s="9"/>
      <c r="I195" s="6">
        <f t="shared" si="320"/>
        <v>0</v>
      </c>
      <c r="J195" s="16"/>
      <c r="K195" s="35"/>
      <c r="L195" s="9"/>
      <c r="M195" s="6">
        <f t="shared" si="321"/>
        <v>0</v>
      </c>
      <c r="N195" s="7">
        <f t="shared" si="322"/>
        <v>0</v>
      </c>
      <c r="P195" s="47"/>
      <c r="Q195" s="16"/>
      <c r="R195" s="35"/>
      <c r="S195" s="9"/>
      <c r="T195" s="6">
        <f t="shared" si="315"/>
        <v>0</v>
      </c>
      <c r="U195" s="16"/>
      <c r="V195" s="35"/>
      <c r="W195" s="9"/>
      <c r="X195" s="6">
        <f t="shared" si="316"/>
        <v>0</v>
      </c>
      <c r="Y195" s="16"/>
      <c r="Z195" s="35"/>
      <c r="AA195" s="9"/>
      <c r="AB195" s="6">
        <f t="shared" si="317"/>
        <v>0</v>
      </c>
      <c r="AC195" s="7">
        <f t="shared" si="318"/>
        <v>0</v>
      </c>
    </row>
    <row r="196" spans="1:30" x14ac:dyDescent="0.15">
      <c r="A196" s="47"/>
      <c r="B196" s="16"/>
      <c r="C196" s="35"/>
      <c r="D196" s="9"/>
      <c r="E196" s="6">
        <f t="shared" si="319"/>
        <v>0</v>
      </c>
      <c r="F196" s="16"/>
      <c r="G196" s="35"/>
      <c r="H196" s="9"/>
      <c r="I196" s="6">
        <f t="shared" si="320"/>
        <v>0</v>
      </c>
      <c r="J196" s="16"/>
      <c r="K196" s="35"/>
      <c r="L196" s="9"/>
      <c r="M196" s="6">
        <f t="shared" si="321"/>
        <v>0</v>
      </c>
      <c r="N196" s="7">
        <f t="shared" si="322"/>
        <v>0</v>
      </c>
      <c r="P196" s="47"/>
      <c r="Q196" s="16"/>
      <c r="R196" s="35"/>
      <c r="S196" s="9"/>
      <c r="T196" s="6">
        <f t="shared" si="315"/>
        <v>0</v>
      </c>
      <c r="U196" s="16"/>
      <c r="V196" s="35"/>
      <c r="W196" s="9"/>
      <c r="X196" s="6">
        <f t="shared" si="316"/>
        <v>0</v>
      </c>
      <c r="Y196" s="16"/>
      <c r="Z196" s="35"/>
      <c r="AA196" s="9"/>
      <c r="AB196" s="6">
        <f t="shared" si="317"/>
        <v>0</v>
      </c>
      <c r="AC196" s="7">
        <f t="shared" si="318"/>
        <v>0</v>
      </c>
    </row>
    <row r="197" spans="1:30" x14ac:dyDescent="0.15">
      <c r="A197" s="47"/>
      <c r="B197" s="16"/>
      <c r="C197" s="35"/>
      <c r="D197" s="9"/>
      <c r="E197" s="6">
        <f t="shared" si="319"/>
        <v>0</v>
      </c>
      <c r="F197" s="16"/>
      <c r="G197" s="35"/>
      <c r="H197" s="9"/>
      <c r="I197" s="6">
        <f t="shared" si="320"/>
        <v>0</v>
      </c>
      <c r="J197" s="16"/>
      <c r="K197" s="35"/>
      <c r="L197" s="9"/>
      <c r="M197" s="6">
        <f t="shared" si="321"/>
        <v>0</v>
      </c>
      <c r="N197" s="7">
        <f t="shared" si="322"/>
        <v>0</v>
      </c>
      <c r="P197" s="47"/>
      <c r="Q197" s="16"/>
      <c r="R197" s="35"/>
      <c r="S197" s="9"/>
      <c r="T197" s="6">
        <f t="shared" si="315"/>
        <v>0</v>
      </c>
      <c r="U197" s="16"/>
      <c r="V197" s="35"/>
      <c r="W197" s="9"/>
      <c r="X197" s="6">
        <f t="shared" si="316"/>
        <v>0</v>
      </c>
      <c r="Y197" s="16"/>
      <c r="Z197" s="35"/>
      <c r="AA197" s="9"/>
      <c r="AB197" s="6">
        <f t="shared" si="317"/>
        <v>0</v>
      </c>
      <c r="AC197" s="7">
        <f t="shared" si="318"/>
        <v>0</v>
      </c>
    </row>
    <row r="198" spans="1:30" x14ac:dyDescent="0.15">
      <c r="A198" s="47"/>
      <c r="B198" s="16"/>
      <c r="C198" s="35"/>
      <c r="D198" s="9"/>
      <c r="E198" s="6">
        <f t="shared" si="319"/>
        <v>0</v>
      </c>
      <c r="F198" s="16"/>
      <c r="G198" s="35"/>
      <c r="H198" s="9"/>
      <c r="I198" s="6">
        <f t="shared" si="320"/>
        <v>0</v>
      </c>
      <c r="J198" s="16"/>
      <c r="K198" s="35"/>
      <c r="L198" s="9"/>
      <c r="M198" s="6">
        <f t="shared" si="321"/>
        <v>0</v>
      </c>
      <c r="N198" s="7">
        <f t="shared" si="322"/>
        <v>0</v>
      </c>
      <c r="P198" s="47"/>
      <c r="Q198" s="16"/>
      <c r="R198" s="35"/>
      <c r="S198" s="9"/>
      <c r="T198" s="6">
        <f t="shared" si="315"/>
        <v>0</v>
      </c>
      <c r="U198" s="16"/>
      <c r="V198" s="35"/>
      <c r="W198" s="9"/>
      <c r="X198" s="6">
        <f t="shared" si="316"/>
        <v>0</v>
      </c>
      <c r="Y198" s="16"/>
      <c r="Z198" s="35"/>
      <c r="AA198" s="9"/>
      <c r="AB198" s="6">
        <f t="shared" si="317"/>
        <v>0</v>
      </c>
      <c r="AC198" s="7">
        <f t="shared" si="318"/>
        <v>0</v>
      </c>
    </row>
    <row r="199" spans="1:30" x14ac:dyDescent="0.15">
      <c r="A199" s="47"/>
      <c r="B199" s="16"/>
      <c r="C199" s="35"/>
      <c r="D199" s="9"/>
      <c r="E199" s="6">
        <f t="shared" si="319"/>
        <v>0</v>
      </c>
      <c r="F199" s="16"/>
      <c r="G199" s="35"/>
      <c r="H199" s="9"/>
      <c r="I199" s="6">
        <f t="shared" si="320"/>
        <v>0</v>
      </c>
      <c r="J199" s="16"/>
      <c r="K199" s="35"/>
      <c r="L199" s="9"/>
      <c r="M199" s="6">
        <f t="shared" si="321"/>
        <v>0</v>
      </c>
      <c r="N199" s="7">
        <f t="shared" si="322"/>
        <v>0</v>
      </c>
      <c r="P199" s="47"/>
      <c r="Q199" s="16"/>
      <c r="R199" s="35"/>
      <c r="S199" s="9"/>
      <c r="T199" s="6">
        <f t="shared" si="315"/>
        <v>0</v>
      </c>
      <c r="U199" s="16"/>
      <c r="V199" s="35"/>
      <c r="W199" s="9"/>
      <c r="X199" s="6">
        <f t="shared" si="316"/>
        <v>0</v>
      </c>
      <c r="Y199" s="16"/>
      <c r="Z199" s="35"/>
      <c r="AA199" s="9"/>
      <c r="AB199" s="6">
        <f t="shared" si="317"/>
        <v>0</v>
      </c>
      <c r="AC199" s="7">
        <f t="shared" si="318"/>
        <v>0</v>
      </c>
    </row>
    <row r="200" spans="1:30" x14ac:dyDescent="0.15">
      <c r="A200" s="48"/>
      <c r="B200" s="16"/>
      <c r="C200" s="35"/>
      <c r="D200" s="9"/>
      <c r="E200" s="6">
        <f t="shared" si="319"/>
        <v>0</v>
      </c>
      <c r="F200" s="16"/>
      <c r="G200" s="35"/>
      <c r="H200" s="9"/>
      <c r="I200" s="6">
        <f t="shared" si="320"/>
        <v>0</v>
      </c>
      <c r="J200" s="16"/>
      <c r="K200" s="35"/>
      <c r="L200" s="9"/>
      <c r="M200" s="6">
        <f t="shared" si="321"/>
        <v>0</v>
      </c>
      <c r="N200" s="7">
        <f t="shared" si="322"/>
        <v>0</v>
      </c>
      <c r="P200" s="48"/>
      <c r="Q200" s="16"/>
      <c r="R200" s="35"/>
      <c r="S200" s="9"/>
      <c r="T200" s="6">
        <f t="shared" si="315"/>
        <v>0</v>
      </c>
      <c r="U200" s="16"/>
      <c r="V200" s="35"/>
      <c r="W200" s="9"/>
      <c r="X200" s="6">
        <f t="shared" si="316"/>
        <v>0</v>
      </c>
      <c r="Y200" s="16"/>
      <c r="Z200" s="35"/>
      <c r="AA200" s="9"/>
      <c r="AB200" s="6">
        <f t="shared" si="317"/>
        <v>0</v>
      </c>
      <c r="AC200" s="7">
        <f t="shared" si="318"/>
        <v>0</v>
      </c>
    </row>
    <row r="201" spans="1:30" x14ac:dyDescent="0.15">
      <c r="A201" s="47"/>
      <c r="B201" s="16"/>
      <c r="C201" s="35"/>
      <c r="D201" s="9"/>
      <c r="E201" s="6">
        <f t="shared" si="319"/>
        <v>0</v>
      </c>
      <c r="F201" s="16"/>
      <c r="G201" s="35"/>
      <c r="H201" s="9"/>
      <c r="I201" s="6">
        <f t="shared" si="320"/>
        <v>0</v>
      </c>
      <c r="J201" s="16"/>
      <c r="K201" s="35"/>
      <c r="L201" s="9"/>
      <c r="M201" s="6">
        <f t="shared" si="321"/>
        <v>0</v>
      </c>
      <c r="N201" s="7">
        <f t="shared" si="322"/>
        <v>0</v>
      </c>
      <c r="P201" s="47"/>
      <c r="Q201" s="16"/>
      <c r="R201" s="35"/>
      <c r="S201" s="9"/>
      <c r="T201" s="6">
        <f t="shared" si="315"/>
        <v>0</v>
      </c>
      <c r="U201" s="16"/>
      <c r="V201" s="35"/>
      <c r="W201" s="9"/>
      <c r="X201" s="6">
        <f t="shared" si="316"/>
        <v>0</v>
      </c>
      <c r="Y201" s="16"/>
      <c r="Z201" s="35"/>
      <c r="AA201" s="9"/>
      <c r="AB201" s="6">
        <f t="shared" si="317"/>
        <v>0</v>
      </c>
      <c r="AC201" s="7">
        <f t="shared" si="318"/>
        <v>0</v>
      </c>
    </row>
    <row r="202" spans="1:30" x14ac:dyDescent="0.15">
      <c r="A202" s="47"/>
      <c r="B202" s="16"/>
      <c r="C202" s="35"/>
      <c r="D202" s="9"/>
      <c r="E202" s="6">
        <f t="shared" si="319"/>
        <v>0</v>
      </c>
      <c r="F202" s="16"/>
      <c r="G202" s="35"/>
      <c r="H202" s="9"/>
      <c r="I202" s="6">
        <f t="shared" si="320"/>
        <v>0</v>
      </c>
      <c r="J202" s="16"/>
      <c r="K202" s="35"/>
      <c r="L202" s="9"/>
      <c r="M202" s="6">
        <f t="shared" si="321"/>
        <v>0</v>
      </c>
      <c r="N202" s="7">
        <f t="shared" si="322"/>
        <v>0</v>
      </c>
      <c r="P202" s="47"/>
      <c r="Q202" s="16"/>
      <c r="R202" s="35"/>
      <c r="S202" s="9"/>
      <c r="T202" s="6">
        <f t="shared" si="315"/>
        <v>0</v>
      </c>
      <c r="U202" s="16"/>
      <c r="V202" s="35"/>
      <c r="W202" s="9"/>
      <c r="X202" s="6">
        <f t="shared" si="316"/>
        <v>0</v>
      </c>
      <c r="Y202" s="16"/>
      <c r="Z202" s="35"/>
      <c r="AA202" s="9"/>
      <c r="AB202" s="6">
        <f t="shared" si="317"/>
        <v>0</v>
      </c>
      <c r="AC202" s="7">
        <f t="shared" si="318"/>
        <v>0</v>
      </c>
    </row>
    <row r="203" spans="1:30" x14ac:dyDescent="0.15">
      <c r="A203" s="47"/>
      <c r="B203" s="16"/>
      <c r="C203" s="35"/>
      <c r="D203" s="9"/>
      <c r="E203" s="6">
        <f t="shared" si="319"/>
        <v>0</v>
      </c>
      <c r="F203" s="16"/>
      <c r="G203" s="35"/>
      <c r="H203" s="9"/>
      <c r="I203" s="6">
        <f t="shared" si="320"/>
        <v>0</v>
      </c>
      <c r="J203" s="16"/>
      <c r="K203" s="35"/>
      <c r="L203" s="9"/>
      <c r="M203" s="6">
        <f t="shared" si="321"/>
        <v>0</v>
      </c>
      <c r="N203" s="7">
        <f t="shared" si="322"/>
        <v>0</v>
      </c>
      <c r="P203" s="47"/>
      <c r="Q203" s="16"/>
      <c r="R203" s="35"/>
      <c r="S203" s="9"/>
      <c r="T203" s="6">
        <f t="shared" ref="T203" si="323">SUM(Q203:S203)</f>
        <v>0</v>
      </c>
      <c r="U203" s="16"/>
      <c r="V203" s="35"/>
      <c r="W203" s="9"/>
      <c r="X203" s="6">
        <f t="shared" ref="X203" si="324">SUM(U203:W203)</f>
        <v>0</v>
      </c>
      <c r="Y203" s="16"/>
      <c r="Z203" s="35"/>
      <c r="AA203" s="9"/>
      <c r="AB203" s="6">
        <f t="shared" ref="AB203" si="325">SUM(Y203:AA203)</f>
        <v>0</v>
      </c>
      <c r="AC203" s="7">
        <f t="shared" ref="AC203" si="326">T203+X203+AB203</f>
        <v>0</v>
      </c>
    </row>
    <row r="204" spans="1:30" x14ac:dyDescent="0.15">
      <c r="A204" s="47"/>
      <c r="B204" s="16"/>
      <c r="C204" s="35"/>
      <c r="D204" s="9"/>
      <c r="E204" s="6">
        <f t="shared" si="319"/>
        <v>0</v>
      </c>
      <c r="F204" s="16"/>
      <c r="G204" s="35"/>
      <c r="H204" s="9"/>
      <c r="I204" s="6">
        <f t="shared" si="320"/>
        <v>0</v>
      </c>
      <c r="J204" s="16"/>
      <c r="K204" s="35"/>
      <c r="L204" s="9"/>
      <c r="M204" s="6">
        <f t="shared" si="321"/>
        <v>0</v>
      </c>
      <c r="N204" s="7">
        <f t="shared" si="322"/>
        <v>0</v>
      </c>
      <c r="P204" s="47"/>
      <c r="Q204" s="16"/>
      <c r="R204" s="35"/>
      <c r="S204" s="9"/>
      <c r="T204" s="6">
        <f t="shared" ref="T204" si="327">SUM(Q204:S204)</f>
        <v>0</v>
      </c>
      <c r="U204" s="16"/>
      <c r="V204" s="35"/>
      <c r="W204" s="9"/>
      <c r="X204" s="6">
        <f t="shared" ref="X204" si="328">SUM(U204:W204)</f>
        <v>0</v>
      </c>
      <c r="Y204" s="16"/>
      <c r="Z204" s="35"/>
      <c r="AA204" s="9"/>
      <c r="AB204" s="6">
        <f t="shared" ref="AB204" si="329">SUM(Y204:AA204)</f>
        <v>0</v>
      </c>
      <c r="AC204" s="7">
        <f t="shared" ref="AC204" si="330">T204+X204+AB204</f>
        <v>0</v>
      </c>
    </row>
    <row r="205" spans="1:30" x14ac:dyDescent="0.15">
      <c r="A205" s="47"/>
      <c r="B205" s="16"/>
      <c r="C205" s="35"/>
      <c r="D205" s="9"/>
      <c r="E205" s="6">
        <f t="shared" si="319"/>
        <v>0</v>
      </c>
      <c r="F205" s="16"/>
      <c r="G205" s="35"/>
      <c r="H205" s="9"/>
      <c r="I205" s="6">
        <f t="shared" si="320"/>
        <v>0</v>
      </c>
      <c r="J205" s="16"/>
      <c r="K205" s="35"/>
      <c r="L205" s="9"/>
      <c r="M205" s="6">
        <f t="shared" si="321"/>
        <v>0</v>
      </c>
      <c r="N205" s="7">
        <f t="shared" si="322"/>
        <v>0</v>
      </c>
      <c r="P205" s="47" t="s">
        <v>129</v>
      </c>
      <c r="Q205" s="16"/>
      <c r="R205" s="35"/>
      <c r="S205" s="9"/>
      <c r="T205" s="6">
        <f t="shared" ref="T205:T211" si="331">SUM(Q205:S205)</f>
        <v>0</v>
      </c>
      <c r="U205" s="16"/>
      <c r="V205" s="35"/>
      <c r="W205" s="9"/>
      <c r="X205" s="6">
        <f t="shared" ref="X205:X211" si="332">SUM(U205:W205)</f>
        <v>0</v>
      </c>
      <c r="Y205" s="16"/>
      <c r="Z205" s="35"/>
      <c r="AA205" s="9"/>
      <c r="AB205" s="6">
        <f t="shared" ref="AB205:AB211" si="333">SUM(Y205:AA205)</f>
        <v>0</v>
      </c>
      <c r="AC205" s="7">
        <f t="shared" ref="AC205:AC211" si="334">T205+X205+AB205</f>
        <v>0</v>
      </c>
      <c r="AD205" s="23" t="s">
        <v>130</v>
      </c>
    </row>
    <row r="206" spans="1:30" x14ac:dyDescent="0.15">
      <c r="A206" s="47"/>
      <c r="B206" s="16"/>
      <c r="C206" s="35"/>
      <c r="D206" s="9"/>
      <c r="E206" s="6">
        <f t="shared" si="319"/>
        <v>0</v>
      </c>
      <c r="F206" s="16"/>
      <c r="G206" s="35"/>
      <c r="H206" s="9"/>
      <c r="I206" s="6">
        <f t="shared" si="320"/>
        <v>0</v>
      </c>
      <c r="J206" s="16"/>
      <c r="K206" s="35"/>
      <c r="L206" s="9"/>
      <c r="M206" s="6">
        <f t="shared" si="321"/>
        <v>0</v>
      </c>
      <c r="N206" s="7">
        <f t="shared" si="322"/>
        <v>0</v>
      </c>
      <c r="P206" s="47" t="s">
        <v>108</v>
      </c>
      <c r="Q206" s="16"/>
      <c r="R206" s="35"/>
      <c r="S206" s="9"/>
      <c r="T206" s="6">
        <f t="shared" si="331"/>
        <v>0</v>
      </c>
      <c r="U206" s="16"/>
      <c r="V206" s="35"/>
      <c r="W206" s="9"/>
      <c r="X206" s="6">
        <f t="shared" si="332"/>
        <v>0</v>
      </c>
      <c r="Y206" s="16"/>
      <c r="Z206" s="35"/>
      <c r="AA206" s="9"/>
      <c r="AB206" s="6">
        <f t="shared" si="333"/>
        <v>0</v>
      </c>
      <c r="AC206" s="7">
        <f t="shared" si="334"/>
        <v>0</v>
      </c>
      <c r="AD206" s="23" t="s">
        <v>109</v>
      </c>
    </row>
    <row r="207" spans="1:30" x14ac:dyDescent="0.15">
      <c r="A207" s="47"/>
      <c r="B207" s="16"/>
      <c r="C207" s="35"/>
      <c r="D207" s="9"/>
      <c r="E207" s="6">
        <f t="shared" si="319"/>
        <v>0</v>
      </c>
      <c r="F207" s="16"/>
      <c r="G207" s="35"/>
      <c r="H207" s="9"/>
      <c r="I207" s="6">
        <f t="shared" si="320"/>
        <v>0</v>
      </c>
      <c r="J207" s="16"/>
      <c r="K207" s="35"/>
      <c r="L207" s="9"/>
      <c r="M207" s="6">
        <f t="shared" si="321"/>
        <v>0</v>
      </c>
      <c r="N207" s="7">
        <f t="shared" si="322"/>
        <v>0</v>
      </c>
      <c r="P207" s="47" t="s">
        <v>106</v>
      </c>
      <c r="Q207" s="16"/>
      <c r="R207" s="35"/>
      <c r="S207" s="9"/>
      <c r="T207" s="6">
        <f t="shared" si="331"/>
        <v>0</v>
      </c>
      <c r="U207" s="16"/>
      <c r="V207" s="35"/>
      <c r="W207" s="9"/>
      <c r="X207" s="6">
        <f t="shared" si="332"/>
        <v>0</v>
      </c>
      <c r="Y207" s="16"/>
      <c r="Z207" s="35"/>
      <c r="AA207" s="9"/>
      <c r="AB207" s="6">
        <f t="shared" si="333"/>
        <v>0</v>
      </c>
      <c r="AC207" s="7">
        <f t="shared" si="334"/>
        <v>0</v>
      </c>
      <c r="AD207" s="23" t="s">
        <v>107</v>
      </c>
    </row>
    <row r="208" spans="1:30" x14ac:dyDescent="0.15">
      <c r="A208" s="47"/>
      <c r="B208" s="16"/>
      <c r="C208" s="35"/>
      <c r="D208" s="9"/>
      <c r="E208" s="6">
        <f t="shared" si="319"/>
        <v>0</v>
      </c>
      <c r="F208" s="16"/>
      <c r="G208" s="35"/>
      <c r="H208" s="9"/>
      <c r="I208" s="6">
        <f t="shared" si="320"/>
        <v>0</v>
      </c>
      <c r="J208" s="16"/>
      <c r="K208" s="35"/>
      <c r="L208" s="9"/>
      <c r="M208" s="6">
        <f t="shared" si="321"/>
        <v>0</v>
      </c>
      <c r="N208" s="7">
        <f t="shared" si="322"/>
        <v>0</v>
      </c>
      <c r="P208" s="39" t="s">
        <v>95</v>
      </c>
      <c r="Q208" s="62"/>
      <c r="R208" s="63"/>
      <c r="S208" s="64"/>
      <c r="T208" s="65">
        <f t="shared" si="331"/>
        <v>0</v>
      </c>
      <c r="U208" s="62"/>
      <c r="V208" s="63"/>
      <c r="W208" s="64"/>
      <c r="X208" s="65">
        <f t="shared" si="332"/>
        <v>0</v>
      </c>
      <c r="Y208" s="62"/>
      <c r="Z208" s="63"/>
      <c r="AA208" s="64"/>
      <c r="AB208" s="65">
        <f t="shared" si="333"/>
        <v>0</v>
      </c>
      <c r="AC208" s="66">
        <f t="shared" si="334"/>
        <v>0</v>
      </c>
      <c r="AD208" s="26"/>
    </row>
    <row r="209" spans="1:30" x14ac:dyDescent="0.15">
      <c r="A209" s="47"/>
      <c r="B209" s="16"/>
      <c r="C209" s="35"/>
      <c r="D209" s="9"/>
      <c r="E209" s="6">
        <f t="shared" si="319"/>
        <v>0</v>
      </c>
      <c r="F209" s="16"/>
      <c r="G209" s="35"/>
      <c r="H209" s="9"/>
      <c r="I209" s="6">
        <f t="shared" si="320"/>
        <v>0</v>
      </c>
      <c r="J209" s="16"/>
      <c r="K209" s="35"/>
      <c r="L209" s="9"/>
      <c r="M209" s="6">
        <f t="shared" si="321"/>
        <v>0</v>
      </c>
      <c r="N209" s="7">
        <f t="shared" si="322"/>
        <v>0</v>
      </c>
      <c r="P209" s="47" t="s">
        <v>94</v>
      </c>
      <c r="Q209" s="16"/>
      <c r="R209" s="35"/>
      <c r="S209" s="9"/>
      <c r="T209" s="6">
        <f t="shared" si="331"/>
        <v>0</v>
      </c>
      <c r="U209" s="16"/>
      <c r="V209" s="35"/>
      <c r="W209" s="9"/>
      <c r="X209" s="6">
        <f t="shared" si="332"/>
        <v>0</v>
      </c>
      <c r="Y209" s="16"/>
      <c r="Z209" s="35"/>
      <c r="AA209" s="9"/>
      <c r="AB209" s="6">
        <f t="shared" si="333"/>
        <v>0</v>
      </c>
      <c r="AC209" s="7">
        <f t="shared" si="334"/>
        <v>0</v>
      </c>
      <c r="AD209" s="22" t="s">
        <v>96</v>
      </c>
    </row>
    <row r="210" spans="1:30" x14ac:dyDescent="0.15">
      <c r="A210" s="47"/>
      <c r="B210" s="16"/>
      <c r="C210" s="35"/>
      <c r="D210" s="9"/>
      <c r="E210" s="6">
        <f t="shared" si="319"/>
        <v>0</v>
      </c>
      <c r="F210" s="16"/>
      <c r="G210" s="35"/>
      <c r="H210" s="9"/>
      <c r="I210" s="6">
        <f t="shared" si="320"/>
        <v>0</v>
      </c>
      <c r="J210" s="16"/>
      <c r="K210" s="35"/>
      <c r="L210" s="9"/>
      <c r="M210" s="6">
        <f t="shared" si="321"/>
        <v>0</v>
      </c>
      <c r="N210" s="7">
        <f t="shared" si="322"/>
        <v>0</v>
      </c>
      <c r="P210" s="39" t="s">
        <v>38</v>
      </c>
      <c r="Q210" s="62"/>
      <c r="R210" s="63"/>
      <c r="S210" s="64"/>
      <c r="T210" s="65">
        <f t="shared" si="331"/>
        <v>0</v>
      </c>
      <c r="U210" s="62"/>
      <c r="V210" s="63"/>
      <c r="W210" s="64"/>
      <c r="X210" s="65">
        <f t="shared" si="332"/>
        <v>0</v>
      </c>
      <c r="Y210" s="62"/>
      <c r="Z210" s="63"/>
      <c r="AA210" s="64"/>
      <c r="AB210" s="65">
        <f t="shared" si="333"/>
        <v>0</v>
      </c>
      <c r="AC210" s="66">
        <f t="shared" si="334"/>
        <v>0</v>
      </c>
      <c r="AD210" s="26"/>
    </row>
    <row r="211" spans="1:30" ht="14.25" thickBot="1" x14ac:dyDescent="0.2">
      <c r="A211" s="47"/>
      <c r="B211" s="16"/>
      <c r="C211" s="35"/>
      <c r="D211" s="9"/>
      <c r="E211" s="6">
        <f t="shared" si="319"/>
        <v>0</v>
      </c>
      <c r="F211" s="16"/>
      <c r="G211" s="35"/>
      <c r="H211" s="9"/>
      <c r="I211" s="6">
        <f t="shared" si="320"/>
        <v>0</v>
      </c>
      <c r="J211" s="16"/>
      <c r="K211" s="35"/>
      <c r="L211" s="9"/>
      <c r="M211" s="6">
        <f t="shared" si="321"/>
        <v>0</v>
      </c>
      <c r="N211" s="7">
        <f t="shared" si="322"/>
        <v>0</v>
      </c>
      <c r="P211" s="47" t="s">
        <v>36</v>
      </c>
      <c r="Q211" s="16"/>
      <c r="R211" s="35"/>
      <c r="S211" s="9"/>
      <c r="T211" s="6">
        <f t="shared" si="331"/>
        <v>0</v>
      </c>
      <c r="U211" s="16"/>
      <c r="V211" s="35"/>
      <c r="W211" s="9"/>
      <c r="X211" s="6">
        <f t="shared" si="332"/>
        <v>0</v>
      </c>
      <c r="Y211" s="16"/>
      <c r="Z211" s="35"/>
      <c r="AA211" s="9"/>
      <c r="AB211" s="6">
        <f t="shared" si="333"/>
        <v>0</v>
      </c>
      <c r="AC211" s="7">
        <f t="shared" si="334"/>
        <v>0</v>
      </c>
      <c r="AD211" s="26" t="s">
        <v>37</v>
      </c>
    </row>
    <row r="212" spans="1:30" ht="14.25" thickBot="1" x14ac:dyDescent="0.2">
      <c r="A212" s="3" t="s">
        <v>9</v>
      </c>
      <c r="B212" s="13">
        <f>SUM(B188:B211)</f>
        <v>21</v>
      </c>
      <c r="C212" s="37">
        <f t="shared" ref="C212:N212" si="335">SUM(C188:C211)</f>
        <v>39</v>
      </c>
      <c r="D212" s="32">
        <f t="shared" si="335"/>
        <v>26</v>
      </c>
      <c r="E212" s="17">
        <f t="shared" si="335"/>
        <v>86</v>
      </c>
      <c r="F212" s="13">
        <f t="shared" si="335"/>
        <v>21</v>
      </c>
      <c r="G212" s="37">
        <f t="shared" si="335"/>
        <v>39</v>
      </c>
      <c r="H212" s="32">
        <f t="shared" si="335"/>
        <v>26</v>
      </c>
      <c r="I212" s="17">
        <f t="shared" si="335"/>
        <v>86</v>
      </c>
      <c r="J212" s="13">
        <f t="shared" si="335"/>
        <v>21</v>
      </c>
      <c r="K212" s="37">
        <f t="shared" si="335"/>
        <v>39</v>
      </c>
      <c r="L212" s="32">
        <f t="shared" si="335"/>
        <v>26</v>
      </c>
      <c r="M212" s="17">
        <f t="shared" si="335"/>
        <v>86</v>
      </c>
      <c r="N212" s="18">
        <f t="shared" si="335"/>
        <v>258</v>
      </c>
      <c r="P212" s="3" t="s">
        <v>9</v>
      </c>
      <c r="Q212" s="13">
        <f>SUM(Q188:Q211)</f>
        <v>37</v>
      </c>
      <c r="R212" s="37">
        <f t="shared" ref="R212:AC212" si="336">SUM(R188:R211)</f>
        <v>28</v>
      </c>
      <c r="S212" s="32">
        <f t="shared" si="336"/>
        <v>10</v>
      </c>
      <c r="T212" s="17">
        <f t="shared" si="336"/>
        <v>75</v>
      </c>
      <c r="U212" s="13">
        <f t="shared" si="336"/>
        <v>37</v>
      </c>
      <c r="V212" s="37">
        <f t="shared" si="336"/>
        <v>28</v>
      </c>
      <c r="W212" s="32">
        <f t="shared" si="336"/>
        <v>10</v>
      </c>
      <c r="X212" s="17">
        <f t="shared" si="336"/>
        <v>75</v>
      </c>
      <c r="Y212" s="13">
        <f t="shared" si="336"/>
        <v>37</v>
      </c>
      <c r="Z212" s="37">
        <f t="shared" si="336"/>
        <v>28</v>
      </c>
      <c r="AA212" s="32">
        <f t="shared" si="336"/>
        <v>10</v>
      </c>
      <c r="AB212" s="17">
        <f t="shared" si="336"/>
        <v>75</v>
      </c>
      <c r="AC212" s="18">
        <f t="shared" si="336"/>
        <v>225</v>
      </c>
    </row>
    <row r="213" spans="1:30" ht="14.25" thickBot="1" x14ac:dyDescent="0.2">
      <c r="A213" s="19" t="s">
        <v>10</v>
      </c>
      <c r="B213" s="20">
        <f>B187-B212</f>
        <v>5</v>
      </c>
      <c r="C213" s="38">
        <f t="shared" ref="C213:N213" si="337">C187-C212</f>
        <v>7</v>
      </c>
      <c r="D213" s="33">
        <f t="shared" si="337"/>
        <v>6</v>
      </c>
      <c r="E213" s="20">
        <f t="shared" si="337"/>
        <v>18</v>
      </c>
      <c r="F213" s="20">
        <f t="shared" si="337"/>
        <v>7</v>
      </c>
      <c r="G213" s="38">
        <f t="shared" si="337"/>
        <v>5</v>
      </c>
      <c r="H213" s="33">
        <f t="shared" si="337"/>
        <v>6</v>
      </c>
      <c r="I213" s="20">
        <f t="shared" si="337"/>
        <v>18</v>
      </c>
      <c r="J213" s="20">
        <f t="shared" si="337"/>
        <v>6</v>
      </c>
      <c r="K213" s="38">
        <f t="shared" si="337"/>
        <v>5</v>
      </c>
      <c r="L213" s="33">
        <f t="shared" si="337"/>
        <v>5</v>
      </c>
      <c r="M213" s="20">
        <f t="shared" si="337"/>
        <v>16</v>
      </c>
      <c r="N213" s="18">
        <f t="shared" si="337"/>
        <v>52</v>
      </c>
      <c r="P213" s="19" t="s">
        <v>10</v>
      </c>
      <c r="Q213" s="20">
        <f>Q187-Q212</f>
        <v>650</v>
      </c>
      <c r="R213" s="38">
        <f t="shared" ref="R213:AC213" si="338">R187-R212</f>
        <v>628</v>
      </c>
      <c r="S213" s="33">
        <f t="shared" si="338"/>
        <v>477</v>
      </c>
      <c r="T213" s="20">
        <f t="shared" si="338"/>
        <v>1755</v>
      </c>
      <c r="U213" s="20">
        <f t="shared" si="338"/>
        <v>635</v>
      </c>
      <c r="V213" s="38">
        <f t="shared" si="338"/>
        <v>628</v>
      </c>
      <c r="W213" s="33">
        <f t="shared" si="338"/>
        <v>481</v>
      </c>
      <c r="X213" s="20">
        <f t="shared" si="338"/>
        <v>1744</v>
      </c>
      <c r="Y213" s="20">
        <f t="shared" si="338"/>
        <v>617</v>
      </c>
      <c r="Z213" s="38">
        <f t="shared" si="338"/>
        <v>601</v>
      </c>
      <c r="AA213" s="33">
        <f t="shared" si="338"/>
        <v>464</v>
      </c>
      <c r="AB213" s="20">
        <f t="shared" si="338"/>
        <v>1682</v>
      </c>
      <c r="AC213" s="18">
        <f t="shared" si="338"/>
        <v>5181</v>
      </c>
    </row>
    <row r="216" spans="1:30" ht="21.75" thickBot="1" x14ac:dyDescent="0.25">
      <c r="A216" s="27" t="s">
        <v>15</v>
      </c>
      <c r="B216" s="28"/>
      <c r="C216" s="28"/>
      <c r="D216" s="28"/>
      <c r="E216" s="29"/>
      <c r="F216" s="28"/>
      <c r="G216" s="28"/>
      <c r="H216" s="28"/>
      <c r="I216" s="28"/>
      <c r="J216" s="1"/>
      <c r="K216" s="1"/>
      <c r="L216" s="1"/>
      <c r="M216" s="1"/>
      <c r="P216" s="43" t="s">
        <v>14</v>
      </c>
      <c r="Q216" s="44"/>
      <c r="R216" s="44"/>
      <c r="S216" s="44"/>
      <c r="T216" s="45"/>
      <c r="U216" s="44"/>
      <c r="V216" s="44"/>
      <c r="W216" s="44"/>
      <c r="X216" s="44"/>
      <c r="Y216" s="44"/>
      <c r="Z216" s="44"/>
      <c r="AA216" s="44"/>
      <c r="AB216" s="1"/>
    </row>
    <row r="217" spans="1:30" ht="14.25" thickBot="1" x14ac:dyDescent="0.2">
      <c r="A217" s="2" t="s">
        <v>0</v>
      </c>
      <c r="B217" s="91" t="s">
        <v>16</v>
      </c>
      <c r="C217" s="91"/>
      <c r="D217" s="91"/>
      <c r="E217" s="92"/>
      <c r="F217" s="93" t="s">
        <v>12</v>
      </c>
      <c r="G217" s="93"/>
      <c r="H217" s="93"/>
      <c r="I217" s="94"/>
      <c r="J217" s="95" t="s">
        <v>13</v>
      </c>
      <c r="K217" s="95"/>
      <c r="L217" s="95"/>
      <c r="M217" s="95"/>
      <c r="N217" s="96" t="s">
        <v>1</v>
      </c>
      <c r="P217" s="2" t="s">
        <v>0</v>
      </c>
      <c r="Q217" s="91" t="s">
        <v>16</v>
      </c>
      <c r="R217" s="91"/>
      <c r="S217" s="91"/>
      <c r="T217" s="92"/>
      <c r="U217" s="93" t="s">
        <v>12</v>
      </c>
      <c r="V217" s="93"/>
      <c r="W217" s="93"/>
      <c r="X217" s="94"/>
      <c r="Y217" s="95" t="s">
        <v>13</v>
      </c>
      <c r="Z217" s="95"/>
      <c r="AA217" s="95"/>
      <c r="AB217" s="95"/>
      <c r="AC217" s="96" t="s">
        <v>1</v>
      </c>
    </row>
    <row r="218" spans="1:30" ht="14.25" thickBot="1" x14ac:dyDescent="0.2">
      <c r="A218" s="2" t="s">
        <v>2</v>
      </c>
      <c r="B218" s="3" t="s">
        <v>3</v>
      </c>
      <c r="C218" s="34" t="s">
        <v>4</v>
      </c>
      <c r="D218" s="4" t="s">
        <v>5</v>
      </c>
      <c r="E218" s="2" t="s">
        <v>6</v>
      </c>
      <c r="F218" s="3" t="s">
        <v>3</v>
      </c>
      <c r="G218" s="34" t="s">
        <v>4</v>
      </c>
      <c r="H218" s="4" t="s">
        <v>5</v>
      </c>
      <c r="I218" s="2" t="s">
        <v>6</v>
      </c>
      <c r="J218" s="3" t="s">
        <v>3</v>
      </c>
      <c r="K218" s="34" t="s">
        <v>4</v>
      </c>
      <c r="L218" s="4" t="s">
        <v>5</v>
      </c>
      <c r="M218" s="3" t="s">
        <v>6</v>
      </c>
      <c r="N218" s="97"/>
      <c r="P218" s="2" t="s">
        <v>2</v>
      </c>
      <c r="Q218" s="3" t="s">
        <v>3</v>
      </c>
      <c r="R218" s="34" t="s">
        <v>4</v>
      </c>
      <c r="S218" s="4" t="s">
        <v>5</v>
      </c>
      <c r="T218" s="2" t="s">
        <v>6</v>
      </c>
      <c r="U218" s="3" t="s">
        <v>3</v>
      </c>
      <c r="V218" s="34" t="s">
        <v>4</v>
      </c>
      <c r="W218" s="4" t="s">
        <v>5</v>
      </c>
      <c r="X218" s="2" t="s">
        <v>6</v>
      </c>
      <c r="Y218" s="3" t="s">
        <v>3</v>
      </c>
      <c r="Z218" s="34" t="s">
        <v>4</v>
      </c>
      <c r="AA218" s="4" t="s">
        <v>5</v>
      </c>
      <c r="AB218" s="3" t="s">
        <v>6</v>
      </c>
      <c r="AC218" s="97"/>
    </row>
    <row r="219" spans="1:30" ht="14.25" thickBot="1" x14ac:dyDescent="0.2">
      <c r="A219" s="40" t="s">
        <v>10</v>
      </c>
      <c r="B219" s="41">
        <f>B213</f>
        <v>5</v>
      </c>
      <c r="C219" s="42">
        <f t="shared" ref="C219:M219" si="339">C213</f>
        <v>7</v>
      </c>
      <c r="D219" s="41">
        <f t="shared" si="339"/>
        <v>6</v>
      </c>
      <c r="E219" s="14">
        <f t="shared" si="339"/>
        <v>18</v>
      </c>
      <c r="F219" s="41">
        <f t="shared" si="339"/>
        <v>7</v>
      </c>
      <c r="G219" s="42">
        <f t="shared" si="339"/>
        <v>5</v>
      </c>
      <c r="H219" s="41">
        <f t="shared" si="339"/>
        <v>6</v>
      </c>
      <c r="I219" s="14">
        <f t="shared" si="339"/>
        <v>18</v>
      </c>
      <c r="J219" s="41">
        <f t="shared" si="339"/>
        <v>6</v>
      </c>
      <c r="K219" s="42">
        <f t="shared" si="339"/>
        <v>5</v>
      </c>
      <c r="L219" s="41">
        <f t="shared" si="339"/>
        <v>5</v>
      </c>
      <c r="M219" s="14">
        <f t="shared" si="339"/>
        <v>16</v>
      </c>
      <c r="N219" s="15">
        <f>N213</f>
        <v>52</v>
      </c>
      <c r="P219" s="40" t="s">
        <v>10</v>
      </c>
      <c r="Q219" s="54">
        <f>Q213</f>
        <v>650</v>
      </c>
      <c r="R219" s="55">
        <f t="shared" ref="R219:AB219" si="340">R213</f>
        <v>628</v>
      </c>
      <c r="S219" s="54">
        <f t="shared" si="340"/>
        <v>477</v>
      </c>
      <c r="T219" s="14">
        <f t="shared" si="340"/>
        <v>1755</v>
      </c>
      <c r="U219" s="54">
        <f t="shared" si="340"/>
        <v>635</v>
      </c>
      <c r="V219" s="55">
        <f t="shared" si="340"/>
        <v>628</v>
      </c>
      <c r="W219" s="54">
        <f t="shared" si="340"/>
        <v>481</v>
      </c>
      <c r="X219" s="14">
        <f t="shared" si="340"/>
        <v>1744</v>
      </c>
      <c r="Y219" s="54">
        <f t="shared" si="340"/>
        <v>617</v>
      </c>
      <c r="Z219" s="55">
        <f t="shared" si="340"/>
        <v>601</v>
      </c>
      <c r="AA219" s="54">
        <f t="shared" si="340"/>
        <v>464</v>
      </c>
      <c r="AB219" s="14">
        <f t="shared" si="340"/>
        <v>1682</v>
      </c>
      <c r="AC219" s="15">
        <f>AC213</f>
        <v>5181</v>
      </c>
    </row>
    <row r="220" spans="1:30" x14ac:dyDescent="0.15">
      <c r="A220" s="5" t="s">
        <v>63</v>
      </c>
      <c r="B220" s="9">
        <v>1</v>
      </c>
      <c r="C220" s="35"/>
      <c r="D220" s="9"/>
      <c r="E220" s="6">
        <f t="shared" ref="E220:E229" si="341">SUM(B220:D220)</f>
        <v>1</v>
      </c>
      <c r="F220" s="9">
        <v>1</v>
      </c>
      <c r="G220" s="35"/>
      <c r="H220" s="9"/>
      <c r="I220" s="6">
        <f t="shared" ref="I220:I229" si="342">SUM(F220:H220)</f>
        <v>1</v>
      </c>
      <c r="J220" s="9">
        <v>1</v>
      </c>
      <c r="K220" s="35"/>
      <c r="L220" s="9"/>
      <c r="M220" s="6">
        <f t="shared" ref="M220:M229" si="343">SUM(J220:L220)</f>
        <v>1</v>
      </c>
      <c r="N220" s="7">
        <f t="shared" ref="N220:N229" si="344">E220+I220+M220</f>
        <v>3</v>
      </c>
      <c r="O220" s="70">
        <v>45793</v>
      </c>
      <c r="P220" s="39" t="s">
        <v>7</v>
      </c>
      <c r="Q220" s="56">
        <f>2+9</f>
        <v>11</v>
      </c>
      <c r="R220" s="57">
        <f>8+17</f>
        <v>25</v>
      </c>
      <c r="S220" s="56">
        <f>4+8</f>
        <v>12</v>
      </c>
      <c r="T220" s="6">
        <f t="shared" ref="T220:T222" si="345">SUM(Q220:S220)</f>
        <v>48</v>
      </c>
      <c r="U220" s="56">
        <f>2+9</f>
        <v>11</v>
      </c>
      <c r="V220" s="57">
        <f>8+17</f>
        <v>25</v>
      </c>
      <c r="W220" s="56">
        <f>4+8</f>
        <v>12</v>
      </c>
      <c r="X220" s="6">
        <f t="shared" ref="X220:X222" si="346">SUM(U220:W220)</f>
        <v>48</v>
      </c>
      <c r="Y220" s="56">
        <f>2+9</f>
        <v>11</v>
      </c>
      <c r="Z220" s="57">
        <f>8+17</f>
        <v>25</v>
      </c>
      <c r="AA220" s="56">
        <f>4+8</f>
        <v>12</v>
      </c>
      <c r="AB220" s="6">
        <f t="shared" ref="AB220:AB222" si="347">SUM(Y220:AA220)</f>
        <v>48</v>
      </c>
      <c r="AC220" s="7">
        <f t="shared" ref="AC220:AC222" si="348">T220+X220+AB220</f>
        <v>144</v>
      </c>
      <c r="AD220" s="71">
        <v>45808</v>
      </c>
    </row>
    <row r="221" spans="1:30" x14ac:dyDescent="0.15">
      <c r="A221" s="5" t="s">
        <v>191</v>
      </c>
      <c r="B221" s="9">
        <v>2</v>
      </c>
      <c r="C221" s="35">
        <v>8</v>
      </c>
      <c r="D221" s="9">
        <v>4</v>
      </c>
      <c r="E221" s="6">
        <f t="shared" si="341"/>
        <v>14</v>
      </c>
      <c r="F221" s="9">
        <v>2</v>
      </c>
      <c r="G221" s="35">
        <v>8</v>
      </c>
      <c r="H221" s="9">
        <v>4</v>
      </c>
      <c r="I221" s="6">
        <f t="shared" si="342"/>
        <v>14</v>
      </c>
      <c r="J221" s="9">
        <v>2</v>
      </c>
      <c r="K221" s="35">
        <v>8</v>
      </c>
      <c r="L221" s="9">
        <v>4</v>
      </c>
      <c r="M221" s="6">
        <f t="shared" si="343"/>
        <v>14</v>
      </c>
      <c r="N221" s="7">
        <f t="shared" si="344"/>
        <v>42</v>
      </c>
      <c r="O221" s="70">
        <v>45791</v>
      </c>
      <c r="P221" s="39" t="s">
        <v>7</v>
      </c>
      <c r="Q221" s="56">
        <v>1</v>
      </c>
      <c r="R221" s="57"/>
      <c r="S221" s="56">
        <v>3</v>
      </c>
      <c r="T221" s="6">
        <f t="shared" si="345"/>
        <v>4</v>
      </c>
      <c r="U221" s="56">
        <v>5</v>
      </c>
      <c r="V221" s="57"/>
      <c r="W221" s="56">
        <v>3</v>
      </c>
      <c r="X221" s="6">
        <f t="shared" si="346"/>
        <v>8</v>
      </c>
      <c r="Y221" s="56">
        <v>3</v>
      </c>
      <c r="Z221" s="57"/>
      <c r="AA221" s="56">
        <v>2</v>
      </c>
      <c r="AB221" s="6">
        <f t="shared" si="347"/>
        <v>5</v>
      </c>
      <c r="AC221" s="7">
        <f t="shared" si="348"/>
        <v>17</v>
      </c>
      <c r="AD221" s="71">
        <v>45815</v>
      </c>
    </row>
    <row r="222" spans="1:30" x14ac:dyDescent="0.15">
      <c r="A222" s="5" t="s">
        <v>192</v>
      </c>
      <c r="B222" s="9">
        <v>9</v>
      </c>
      <c r="C222" s="35">
        <v>17</v>
      </c>
      <c r="D222" s="9">
        <v>8</v>
      </c>
      <c r="E222" s="6">
        <f t="shared" si="341"/>
        <v>34</v>
      </c>
      <c r="F222" s="9">
        <v>9</v>
      </c>
      <c r="G222" s="35">
        <v>17</v>
      </c>
      <c r="H222" s="9">
        <v>8</v>
      </c>
      <c r="I222" s="6">
        <f t="shared" si="342"/>
        <v>34</v>
      </c>
      <c r="J222" s="9">
        <v>9</v>
      </c>
      <c r="K222" s="35">
        <v>17</v>
      </c>
      <c r="L222" s="9">
        <v>8</v>
      </c>
      <c r="M222" s="6">
        <f t="shared" si="343"/>
        <v>34</v>
      </c>
      <c r="N222" s="7">
        <f t="shared" si="344"/>
        <v>102</v>
      </c>
      <c r="O222" s="70">
        <v>45797</v>
      </c>
      <c r="P222" s="39" t="s">
        <v>7</v>
      </c>
      <c r="Q222" s="56"/>
      <c r="R222" s="57"/>
      <c r="S222" s="56">
        <v>2</v>
      </c>
      <c r="T222" s="6">
        <f t="shared" si="345"/>
        <v>2</v>
      </c>
      <c r="U222" s="56"/>
      <c r="V222" s="57"/>
      <c r="W222" s="56">
        <v>2</v>
      </c>
      <c r="X222" s="6">
        <f t="shared" si="346"/>
        <v>2</v>
      </c>
      <c r="Y222" s="56"/>
      <c r="Z222" s="57"/>
      <c r="AA222" s="56">
        <v>2</v>
      </c>
      <c r="AB222" s="6">
        <f t="shared" si="347"/>
        <v>2</v>
      </c>
      <c r="AC222" s="7">
        <f t="shared" si="348"/>
        <v>6</v>
      </c>
      <c r="AD222" s="22">
        <v>45842</v>
      </c>
    </row>
    <row r="223" spans="1:30" x14ac:dyDescent="0.15">
      <c r="A223" s="5" t="s">
        <v>63</v>
      </c>
      <c r="B223" s="16"/>
      <c r="C223" s="35"/>
      <c r="D223" s="9">
        <v>1</v>
      </c>
      <c r="E223" s="6">
        <f t="shared" si="341"/>
        <v>1</v>
      </c>
      <c r="F223" s="16"/>
      <c r="G223" s="35"/>
      <c r="H223" s="9">
        <v>1</v>
      </c>
      <c r="I223" s="6">
        <f t="shared" si="342"/>
        <v>1</v>
      </c>
      <c r="J223" s="16"/>
      <c r="K223" s="35"/>
      <c r="L223" s="9">
        <v>1</v>
      </c>
      <c r="M223" s="6">
        <f t="shared" si="343"/>
        <v>1</v>
      </c>
      <c r="N223" s="7">
        <f t="shared" si="344"/>
        <v>3</v>
      </c>
      <c r="O223" s="70">
        <v>45799</v>
      </c>
      <c r="P223" s="39" t="s">
        <v>101</v>
      </c>
      <c r="Q223" s="56">
        <v>3</v>
      </c>
      <c r="R223" s="57">
        <v>5</v>
      </c>
      <c r="S223" s="56">
        <v>5</v>
      </c>
      <c r="T223" s="6">
        <f t="shared" ref="T223:T224" si="349">SUM(Q223:S223)</f>
        <v>13</v>
      </c>
      <c r="U223" s="56">
        <v>1</v>
      </c>
      <c r="V223" s="57">
        <v>3</v>
      </c>
      <c r="W223" s="56">
        <v>4</v>
      </c>
      <c r="X223" s="6">
        <f t="shared" ref="X223:X224" si="350">SUM(U223:W223)</f>
        <v>8</v>
      </c>
      <c r="Y223" s="56">
        <v>2</v>
      </c>
      <c r="Z223" s="57">
        <v>3</v>
      </c>
      <c r="AA223" s="56">
        <v>3</v>
      </c>
      <c r="AB223" s="6">
        <f t="shared" ref="AB223:AB224" si="351">SUM(Y223:AA223)</f>
        <v>8</v>
      </c>
      <c r="AC223" s="7">
        <f t="shared" ref="AC223:AC224" si="352">T223+X223+AB223</f>
        <v>29</v>
      </c>
      <c r="AD223" s="22">
        <v>45856</v>
      </c>
    </row>
    <row r="224" spans="1:30" x14ac:dyDescent="0.15">
      <c r="A224" s="5" t="s">
        <v>63</v>
      </c>
      <c r="B224" s="9"/>
      <c r="C224" s="35"/>
      <c r="D224" s="9">
        <v>1</v>
      </c>
      <c r="E224" s="6">
        <f t="shared" si="341"/>
        <v>1</v>
      </c>
      <c r="F224" s="9"/>
      <c r="G224" s="35"/>
      <c r="H224" s="9">
        <v>1</v>
      </c>
      <c r="I224" s="6">
        <f t="shared" si="342"/>
        <v>1</v>
      </c>
      <c r="J224" s="9"/>
      <c r="K224" s="35"/>
      <c r="L224" s="9">
        <v>1</v>
      </c>
      <c r="M224" s="6">
        <f t="shared" si="343"/>
        <v>1</v>
      </c>
      <c r="N224" s="7">
        <f t="shared" si="344"/>
        <v>3</v>
      </c>
      <c r="O224" s="70">
        <v>45821</v>
      </c>
      <c r="P224" s="39" t="s">
        <v>101</v>
      </c>
      <c r="Q224" s="56">
        <v>5</v>
      </c>
      <c r="R224" s="57">
        <v>5</v>
      </c>
      <c r="S224" s="56">
        <v>4</v>
      </c>
      <c r="T224" s="6">
        <f t="shared" si="349"/>
        <v>14</v>
      </c>
      <c r="U224" s="56">
        <v>5</v>
      </c>
      <c r="V224" s="57">
        <v>5</v>
      </c>
      <c r="W224" s="56">
        <v>4</v>
      </c>
      <c r="X224" s="6">
        <f t="shared" si="350"/>
        <v>14</v>
      </c>
      <c r="Y224" s="56">
        <v>5</v>
      </c>
      <c r="Z224" s="57">
        <v>5</v>
      </c>
      <c r="AA224" s="56">
        <v>4</v>
      </c>
      <c r="AB224" s="6">
        <f t="shared" si="351"/>
        <v>14</v>
      </c>
      <c r="AC224" s="7">
        <f t="shared" si="352"/>
        <v>42</v>
      </c>
      <c r="AD224" s="22">
        <v>45856</v>
      </c>
    </row>
    <row r="225" spans="1:30" x14ac:dyDescent="0.15">
      <c r="A225" s="49" t="s">
        <v>198</v>
      </c>
      <c r="B225" s="16">
        <v>1</v>
      </c>
      <c r="C225" s="35"/>
      <c r="D225" s="9"/>
      <c r="E225" s="6">
        <f t="shared" si="341"/>
        <v>1</v>
      </c>
      <c r="F225" s="16">
        <v>1</v>
      </c>
      <c r="G225" s="35"/>
      <c r="H225" s="9"/>
      <c r="I225" s="6">
        <f t="shared" si="342"/>
        <v>1</v>
      </c>
      <c r="J225" s="16">
        <v>1</v>
      </c>
      <c r="K225" s="35"/>
      <c r="L225" s="9"/>
      <c r="M225" s="6">
        <f t="shared" si="343"/>
        <v>1</v>
      </c>
      <c r="N225" s="7">
        <f t="shared" si="344"/>
        <v>3</v>
      </c>
      <c r="O225" s="30">
        <v>45826</v>
      </c>
      <c r="P225" s="39" t="s">
        <v>7</v>
      </c>
      <c r="Q225" s="56"/>
      <c r="R225" s="57"/>
      <c r="S225" s="56"/>
      <c r="T225" s="6">
        <f t="shared" ref="T225:T227" si="353">SUM(Q225:S225)</f>
        <v>0</v>
      </c>
      <c r="U225" s="56"/>
      <c r="V225" s="57"/>
      <c r="W225" s="56"/>
      <c r="X225" s="6">
        <f t="shared" ref="X225:X227" si="354">SUM(U225:W225)</f>
        <v>0</v>
      </c>
      <c r="Y225" s="56"/>
      <c r="Z225" s="57"/>
      <c r="AA225" s="56"/>
      <c r="AB225" s="6">
        <f t="shared" ref="AB225:AB227" si="355">SUM(Y225:AA225)</f>
        <v>0</v>
      </c>
      <c r="AC225" s="7">
        <f t="shared" ref="AC225:AC227" si="356">T225+X225+AB225</f>
        <v>0</v>
      </c>
      <c r="AD225" s="23"/>
    </row>
    <row r="226" spans="1:30" x14ac:dyDescent="0.15">
      <c r="A226" s="5" t="s">
        <v>7</v>
      </c>
      <c r="B226" s="9"/>
      <c r="C226" s="35">
        <v>3</v>
      </c>
      <c r="D226" s="9"/>
      <c r="E226" s="6">
        <f t="shared" si="341"/>
        <v>3</v>
      </c>
      <c r="F226" s="9"/>
      <c r="G226" s="35">
        <v>3</v>
      </c>
      <c r="H226" s="9"/>
      <c r="I226" s="6">
        <f t="shared" si="342"/>
        <v>3</v>
      </c>
      <c r="J226" s="9"/>
      <c r="K226" s="35">
        <v>3</v>
      </c>
      <c r="L226" s="9"/>
      <c r="M226" s="6">
        <f t="shared" si="343"/>
        <v>3</v>
      </c>
      <c r="N226" s="7">
        <f t="shared" si="344"/>
        <v>9</v>
      </c>
      <c r="O226" s="30">
        <v>45835</v>
      </c>
      <c r="P226" s="39" t="s">
        <v>7</v>
      </c>
      <c r="Q226" s="56"/>
      <c r="R226" s="57"/>
      <c r="S226" s="56"/>
      <c r="T226" s="6">
        <f t="shared" si="353"/>
        <v>0</v>
      </c>
      <c r="U226" s="56"/>
      <c r="V226" s="57"/>
      <c r="W226" s="56"/>
      <c r="X226" s="6">
        <f t="shared" si="354"/>
        <v>0</v>
      </c>
      <c r="Y226" s="56"/>
      <c r="Z226" s="57"/>
      <c r="AA226" s="56"/>
      <c r="AB226" s="6">
        <f t="shared" si="355"/>
        <v>0</v>
      </c>
      <c r="AC226" s="7">
        <f t="shared" si="356"/>
        <v>0</v>
      </c>
      <c r="AD226" s="23"/>
    </row>
    <row r="227" spans="1:30" x14ac:dyDescent="0.15">
      <c r="A227" s="5" t="s">
        <v>63</v>
      </c>
      <c r="B227" s="9"/>
      <c r="C227" s="35"/>
      <c r="D227" s="9">
        <v>1</v>
      </c>
      <c r="E227" s="6">
        <f t="shared" si="341"/>
        <v>1</v>
      </c>
      <c r="F227" s="9"/>
      <c r="G227" s="35"/>
      <c r="H227" s="9">
        <v>1</v>
      </c>
      <c r="I227" s="6">
        <f t="shared" si="342"/>
        <v>1</v>
      </c>
      <c r="J227" s="9"/>
      <c r="K227" s="35"/>
      <c r="L227" s="9">
        <v>1</v>
      </c>
      <c r="M227" s="6">
        <f t="shared" si="343"/>
        <v>1</v>
      </c>
      <c r="N227" s="7">
        <f t="shared" si="344"/>
        <v>3</v>
      </c>
      <c r="O227" s="30">
        <v>45870</v>
      </c>
      <c r="P227" s="39" t="s">
        <v>7</v>
      </c>
      <c r="Q227" s="56"/>
      <c r="R227" s="57"/>
      <c r="S227" s="56"/>
      <c r="T227" s="6">
        <f t="shared" si="353"/>
        <v>0</v>
      </c>
      <c r="U227" s="56"/>
      <c r="V227" s="57"/>
      <c r="W227" s="56"/>
      <c r="X227" s="6">
        <f t="shared" si="354"/>
        <v>0</v>
      </c>
      <c r="Y227" s="56"/>
      <c r="Z227" s="57"/>
      <c r="AA227" s="56"/>
      <c r="AB227" s="6">
        <f t="shared" si="355"/>
        <v>0</v>
      </c>
      <c r="AC227" s="7">
        <f t="shared" si="356"/>
        <v>0</v>
      </c>
      <c r="AD227" s="23"/>
    </row>
    <row r="228" spans="1:30" x14ac:dyDescent="0.15">
      <c r="A228" s="5" t="s">
        <v>7</v>
      </c>
      <c r="B228" s="9"/>
      <c r="C228" s="35"/>
      <c r="D228" s="9"/>
      <c r="E228" s="6">
        <f t="shared" si="341"/>
        <v>0</v>
      </c>
      <c r="F228" s="9"/>
      <c r="G228" s="35"/>
      <c r="H228" s="9"/>
      <c r="I228" s="6">
        <f t="shared" si="342"/>
        <v>0</v>
      </c>
      <c r="J228" s="9"/>
      <c r="K228" s="35"/>
      <c r="L228" s="9"/>
      <c r="M228" s="6">
        <f t="shared" si="343"/>
        <v>0</v>
      </c>
      <c r="N228" s="7">
        <f t="shared" si="344"/>
        <v>0</v>
      </c>
      <c r="P228" s="5" t="s">
        <v>7</v>
      </c>
      <c r="Q228" s="58"/>
      <c r="R228" s="59"/>
      <c r="S228" s="58"/>
      <c r="T228" s="6">
        <f t="shared" ref="T228:T229" si="357">SUM(Q228:S228)</f>
        <v>0</v>
      </c>
      <c r="U228" s="58"/>
      <c r="V228" s="59"/>
      <c r="W228" s="58"/>
      <c r="X228" s="6">
        <f t="shared" ref="X228:X229" si="358">SUM(U228:W228)</f>
        <v>0</v>
      </c>
      <c r="Y228" s="58"/>
      <c r="Z228" s="59"/>
      <c r="AA228" s="58"/>
      <c r="AB228" s="6">
        <f t="shared" ref="AB228:AB229" si="359">SUM(Y228:AA228)</f>
        <v>0</v>
      </c>
      <c r="AC228" s="7">
        <f t="shared" ref="AC228:AC229" si="360">T228+X228+AB228</f>
        <v>0</v>
      </c>
    </row>
    <row r="229" spans="1:30" ht="14.25" thickBot="1" x14ac:dyDescent="0.2">
      <c r="A229" s="10" t="s">
        <v>48</v>
      </c>
      <c r="B229" s="11">
        <v>1</v>
      </c>
      <c r="C229" s="36">
        <v>-1</v>
      </c>
      <c r="D229" s="11">
        <v>1</v>
      </c>
      <c r="E229" s="6">
        <f t="shared" si="341"/>
        <v>1</v>
      </c>
      <c r="F229" s="11">
        <v>2</v>
      </c>
      <c r="G229" s="36">
        <v>-1</v>
      </c>
      <c r="H229" s="11">
        <v>1</v>
      </c>
      <c r="I229" s="6">
        <f t="shared" si="342"/>
        <v>2</v>
      </c>
      <c r="J229" s="11">
        <v>1</v>
      </c>
      <c r="K229" s="36">
        <v>-1</v>
      </c>
      <c r="L229" s="11">
        <v>1</v>
      </c>
      <c r="M229" s="6">
        <f t="shared" si="343"/>
        <v>1</v>
      </c>
      <c r="N229" s="7">
        <f t="shared" si="344"/>
        <v>4</v>
      </c>
      <c r="O229" s="70">
        <v>45878</v>
      </c>
      <c r="P229" s="5" t="s">
        <v>7</v>
      </c>
      <c r="Q229" s="58"/>
      <c r="R229" s="59"/>
      <c r="S229" s="58"/>
      <c r="T229" s="6">
        <f t="shared" si="357"/>
        <v>0</v>
      </c>
      <c r="U229" s="58"/>
      <c r="V229" s="59"/>
      <c r="W229" s="58"/>
      <c r="X229" s="6">
        <f t="shared" si="358"/>
        <v>0</v>
      </c>
      <c r="Y229" s="58"/>
      <c r="Z229" s="59"/>
      <c r="AA229" s="58"/>
      <c r="AB229" s="6">
        <f t="shared" si="359"/>
        <v>0</v>
      </c>
      <c r="AC229" s="7">
        <f t="shared" si="360"/>
        <v>0</v>
      </c>
    </row>
    <row r="230" spans="1:30" ht="14.25" thickBot="1" x14ac:dyDescent="0.2">
      <c r="A230" s="12" t="s">
        <v>8</v>
      </c>
      <c r="B230" s="13">
        <f>SUM(B219:B229)</f>
        <v>19</v>
      </c>
      <c r="C230" s="37">
        <f t="shared" ref="C230:N230" si="361">SUM(C219:C229)</f>
        <v>34</v>
      </c>
      <c r="D230" s="31">
        <f t="shared" si="361"/>
        <v>22</v>
      </c>
      <c r="E230" s="14">
        <f t="shared" si="361"/>
        <v>75</v>
      </c>
      <c r="F230" s="13">
        <f t="shared" si="361"/>
        <v>22</v>
      </c>
      <c r="G230" s="37">
        <f t="shared" si="361"/>
        <v>32</v>
      </c>
      <c r="H230" s="31">
        <f t="shared" si="361"/>
        <v>22</v>
      </c>
      <c r="I230" s="14">
        <f t="shared" si="361"/>
        <v>76</v>
      </c>
      <c r="J230" s="13">
        <f t="shared" si="361"/>
        <v>20</v>
      </c>
      <c r="K230" s="37">
        <f t="shared" si="361"/>
        <v>32</v>
      </c>
      <c r="L230" s="31">
        <f t="shared" si="361"/>
        <v>21</v>
      </c>
      <c r="M230" s="14">
        <f t="shared" si="361"/>
        <v>73</v>
      </c>
      <c r="N230" s="15">
        <f t="shared" si="361"/>
        <v>224</v>
      </c>
      <c r="P230" s="12" t="s">
        <v>8</v>
      </c>
      <c r="Q230" s="13">
        <f>SUM(Q219:Q229)</f>
        <v>670</v>
      </c>
      <c r="R230" s="37">
        <f t="shared" ref="R230:AC230" si="362">SUM(R219:R229)</f>
        <v>663</v>
      </c>
      <c r="S230" s="31">
        <f t="shared" si="362"/>
        <v>503</v>
      </c>
      <c r="T230" s="14">
        <f t="shared" si="362"/>
        <v>1836</v>
      </c>
      <c r="U230" s="13">
        <f t="shared" si="362"/>
        <v>657</v>
      </c>
      <c r="V230" s="37">
        <f t="shared" si="362"/>
        <v>661</v>
      </c>
      <c r="W230" s="31">
        <f t="shared" si="362"/>
        <v>506</v>
      </c>
      <c r="X230" s="14">
        <f t="shared" si="362"/>
        <v>1824</v>
      </c>
      <c r="Y230" s="13">
        <f t="shared" si="362"/>
        <v>638</v>
      </c>
      <c r="Z230" s="37">
        <f t="shared" si="362"/>
        <v>634</v>
      </c>
      <c r="AA230" s="31">
        <f t="shared" si="362"/>
        <v>487</v>
      </c>
      <c r="AB230" s="14">
        <f t="shared" si="362"/>
        <v>1759</v>
      </c>
      <c r="AC230" s="15">
        <f t="shared" si="362"/>
        <v>5419</v>
      </c>
    </row>
    <row r="231" spans="1:30" x14ac:dyDescent="0.15">
      <c r="A231" s="47" t="s">
        <v>190</v>
      </c>
      <c r="B231" s="16"/>
      <c r="C231" s="35"/>
      <c r="D231" s="9"/>
      <c r="E231" s="6">
        <f t="shared" ref="E231" si="363">SUM(B231:D231)</f>
        <v>0</v>
      </c>
      <c r="F231" s="16"/>
      <c r="G231" s="35"/>
      <c r="H231" s="9"/>
      <c r="I231" s="6">
        <f t="shared" ref="I231" si="364">SUM(F231:H231)</f>
        <v>0</v>
      </c>
      <c r="J231" s="16"/>
      <c r="K231" s="35">
        <v>1</v>
      </c>
      <c r="L231" s="9"/>
      <c r="M231" s="6">
        <f t="shared" ref="M231" si="365">SUM(J231:L231)</f>
        <v>1</v>
      </c>
      <c r="N231" s="7">
        <f t="shared" ref="N231" si="366">E231+I231+M231</f>
        <v>1</v>
      </c>
      <c r="O231" s="30">
        <v>45797</v>
      </c>
      <c r="P231" s="47" t="s">
        <v>180</v>
      </c>
      <c r="Q231" s="16">
        <v>5</v>
      </c>
      <c r="R231" s="35">
        <v>5</v>
      </c>
      <c r="S231" s="9">
        <v>5</v>
      </c>
      <c r="T231" s="6">
        <f t="shared" ref="T231" si="367">SUM(Q231:S231)</f>
        <v>15</v>
      </c>
      <c r="U231" s="16">
        <v>5</v>
      </c>
      <c r="V231" s="35">
        <v>5</v>
      </c>
      <c r="W231" s="9">
        <v>5</v>
      </c>
      <c r="X231" s="6">
        <f t="shared" ref="X231" si="368">SUM(U231:W231)</f>
        <v>15</v>
      </c>
      <c r="Y231" s="16">
        <v>5</v>
      </c>
      <c r="Z231" s="35">
        <v>5</v>
      </c>
      <c r="AA231" s="9">
        <v>5</v>
      </c>
      <c r="AB231" s="6">
        <f t="shared" ref="AB231" si="369">SUM(Y231:AA231)</f>
        <v>15</v>
      </c>
      <c r="AC231" s="7">
        <f t="shared" ref="AC231" si="370">T231+X231+AB231</f>
        <v>45</v>
      </c>
      <c r="AD231" s="22">
        <v>45757</v>
      </c>
    </row>
    <row r="232" spans="1:30" x14ac:dyDescent="0.15">
      <c r="A232" s="47" t="s">
        <v>194</v>
      </c>
      <c r="B232" s="16"/>
      <c r="C232" s="35">
        <v>1</v>
      </c>
      <c r="D232" s="9"/>
      <c r="E232" s="6">
        <f t="shared" ref="E232:E254" si="371">SUM(B232:D232)</f>
        <v>1</v>
      </c>
      <c r="F232" s="16"/>
      <c r="G232" s="35">
        <v>1</v>
      </c>
      <c r="H232" s="9"/>
      <c r="I232" s="6">
        <f t="shared" ref="I232:I254" si="372">SUM(F232:H232)</f>
        <v>1</v>
      </c>
      <c r="J232" s="16"/>
      <c r="K232" s="35">
        <v>1</v>
      </c>
      <c r="L232" s="9"/>
      <c r="M232" s="6">
        <f t="shared" ref="M232:M254" si="373">SUM(J232:L232)</f>
        <v>1</v>
      </c>
      <c r="N232" s="7">
        <f t="shared" ref="N232:N254" si="374">E232+I232+M232</f>
        <v>3</v>
      </c>
      <c r="O232" s="30">
        <v>45810</v>
      </c>
      <c r="P232" s="47" t="s">
        <v>181</v>
      </c>
      <c r="Q232" s="16">
        <v>5</v>
      </c>
      <c r="R232" s="35">
        <v>5</v>
      </c>
      <c r="S232" s="9">
        <v>5</v>
      </c>
      <c r="T232" s="6">
        <f t="shared" ref="T232:T246" si="375">SUM(Q232:S232)</f>
        <v>15</v>
      </c>
      <c r="U232" s="16">
        <v>5</v>
      </c>
      <c r="V232" s="35">
        <v>5</v>
      </c>
      <c r="W232" s="9">
        <v>5</v>
      </c>
      <c r="X232" s="6">
        <f t="shared" ref="X232:X246" si="376">SUM(U232:W232)</f>
        <v>15</v>
      </c>
      <c r="Y232" s="16">
        <v>3</v>
      </c>
      <c r="Z232" s="35">
        <v>3</v>
      </c>
      <c r="AA232" s="9">
        <v>3</v>
      </c>
      <c r="AB232" s="6">
        <f t="shared" ref="AB232:AB246" si="377">SUM(Y232:AA232)</f>
        <v>9</v>
      </c>
      <c r="AC232" s="7">
        <f t="shared" ref="AC232:AC246" si="378">T232+X232+AB232</f>
        <v>39</v>
      </c>
      <c r="AD232" s="22">
        <v>45757</v>
      </c>
    </row>
    <row r="233" spans="1:30" x14ac:dyDescent="0.15">
      <c r="A233" s="47" t="s">
        <v>195</v>
      </c>
      <c r="B233" s="16">
        <f>2+9</f>
        <v>11</v>
      </c>
      <c r="C233" s="35">
        <f>8+17</f>
        <v>25</v>
      </c>
      <c r="D233" s="9">
        <f>4+8</f>
        <v>12</v>
      </c>
      <c r="E233" s="6">
        <f t="shared" si="371"/>
        <v>48</v>
      </c>
      <c r="F233" s="16">
        <f>2+9</f>
        <v>11</v>
      </c>
      <c r="G233" s="35">
        <f>8+17</f>
        <v>25</v>
      </c>
      <c r="H233" s="9">
        <f>4+8</f>
        <v>12</v>
      </c>
      <c r="I233" s="6">
        <f t="shared" si="372"/>
        <v>48</v>
      </c>
      <c r="J233" s="16">
        <f>2+9</f>
        <v>11</v>
      </c>
      <c r="K233" s="35">
        <f>8+17</f>
        <v>25</v>
      </c>
      <c r="L233" s="9">
        <f>4+8</f>
        <v>12</v>
      </c>
      <c r="M233" s="6">
        <f t="shared" si="373"/>
        <v>48</v>
      </c>
      <c r="N233" s="7">
        <f t="shared" si="374"/>
        <v>144</v>
      </c>
      <c r="O233" s="30">
        <v>45808</v>
      </c>
      <c r="P233" s="47" t="s">
        <v>193</v>
      </c>
      <c r="Q233" s="16"/>
      <c r="R233" s="35"/>
      <c r="S233" s="9">
        <v>3</v>
      </c>
      <c r="T233" s="6">
        <f t="shared" si="375"/>
        <v>3</v>
      </c>
      <c r="U233" s="16"/>
      <c r="V233" s="35"/>
      <c r="W233" s="9">
        <v>3</v>
      </c>
      <c r="X233" s="6">
        <f t="shared" si="376"/>
        <v>3</v>
      </c>
      <c r="Y233" s="16"/>
      <c r="Z233" s="35"/>
      <c r="AA233" s="9">
        <v>3</v>
      </c>
      <c r="AB233" s="6">
        <f t="shared" si="377"/>
        <v>3</v>
      </c>
      <c r="AC233" s="7">
        <f t="shared" si="378"/>
        <v>9</v>
      </c>
      <c r="AD233" s="22">
        <v>45811</v>
      </c>
    </row>
    <row r="234" spans="1:30" x14ac:dyDescent="0.15">
      <c r="A234" s="47" t="s">
        <v>121</v>
      </c>
      <c r="B234" s="16">
        <v>1</v>
      </c>
      <c r="C234" s="35"/>
      <c r="D234" s="9">
        <v>3</v>
      </c>
      <c r="E234" s="6">
        <f t="shared" si="371"/>
        <v>4</v>
      </c>
      <c r="F234" s="16">
        <v>5</v>
      </c>
      <c r="G234" s="35"/>
      <c r="H234" s="9">
        <v>3</v>
      </c>
      <c r="I234" s="6">
        <f t="shared" si="372"/>
        <v>8</v>
      </c>
      <c r="J234" s="16">
        <v>3</v>
      </c>
      <c r="K234" s="35"/>
      <c r="L234" s="9">
        <v>2</v>
      </c>
      <c r="M234" s="6">
        <f t="shared" si="373"/>
        <v>5</v>
      </c>
      <c r="N234" s="7">
        <f t="shared" si="374"/>
        <v>17</v>
      </c>
      <c r="O234" s="30">
        <v>45815</v>
      </c>
      <c r="P234" s="47" t="s">
        <v>46</v>
      </c>
      <c r="Q234" s="16"/>
      <c r="R234" s="35">
        <v>3</v>
      </c>
      <c r="S234" s="9"/>
      <c r="T234" s="6">
        <f t="shared" si="375"/>
        <v>3</v>
      </c>
      <c r="U234" s="16"/>
      <c r="V234" s="35">
        <v>3</v>
      </c>
      <c r="W234" s="9"/>
      <c r="X234" s="6">
        <f t="shared" si="376"/>
        <v>3</v>
      </c>
      <c r="Y234" s="16"/>
      <c r="Z234" s="35">
        <v>3</v>
      </c>
      <c r="AA234" s="9"/>
      <c r="AB234" s="6">
        <f t="shared" si="377"/>
        <v>3</v>
      </c>
      <c r="AC234" s="7">
        <f t="shared" si="378"/>
        <v>9</v>
      </c>
      <c r="AD234" s="22">
        <v>45835</v>
      </c>
    </row>
    <row r="235" spans="1:30" x14ac:dyDescent="0.15">
      <c r="A235" s="47" t="s">
        <v>199</v>
      </c>
      <c r="B235" s="16"/>
      <c r="C235" s="35">
        <v>1</v>
      </c>
      <c r="D235" s="9"/>
      <c r="E235" s="6">
        <f t="shared" si="371"/>
        <v>1</v>
      </c>
      <c r="F235" s="16"/>
      <c r="G235" s="35">
        <v>1</v>
      </c>
      <c r="H235" s="9"/>
      <c r="I235" s="6">
        <f t="shared" si="372"/>
        <v>1</v>
      </c>
      <c r="J235" s="16"/>
      <c r="K235" s="35">
        <v>1</v>
      </c>
      <c r="L235" s="9"/>
      <c r="M235" s="6">
        <f t="shared" si="373"/>
        <v>1</v>
      </c>
      <c r="N235" s="7">
        <f t="shared" si="374"/>
        <v>3</v>
      </c>
      <c r="O235" s="70">
        <v>45833</v>
      </c>
      <c r="P235" s="47" t="s">
        <v>193</v>
      </c>
      <c r="Q235" s="16"/>
      <c r="R235" s="35"/>
      <c r="S235" s="9">
        <v>2</v>
      </c>
      <c r="T235" s="6">
        <f t="shared" si="375"/>
        <v>2</v>
      </c>
      <c r="U235" s="16"/>
      <c r="V235" s="35"/>
      <c r="W235" s="9">
        <v>2</v>
      </c>
      <c r="X235" s="6">
        <f t="shared" si="376"/>
        <v>2</v>
      </c>
      <c r="Y235" s="16"/>
      <c r="Z235" s="35"/>
      <c r="AA235" s="9">
        <v>2</v>
      </c>
      <c r="AB235" s="6">
        <f t="shared" si="377"/>
        <v>2</v>
      </c>
      <c r="AC235" s="7">
        <f t="shared" si="378"/>
        <v>6</v>
      </c>
      <c r="AD235" s="22">
        <v>45848</v>
      </c>
    </row>
    <row r="236" spans="1:30" x14ac:dyDescent="0.15">
      <c r="A236" s="47" t="s">
        <v>121</v>
      </c>
      <c r="B236" s="16"/>
      <c r="C236" s="35"/>
      <c r="D236" s="9">
        <v>2</v>
      </c>
      <c r="E236" s="6">
        <f t="shared" si="371"/>
        <v>2</v>
      </c>
      <c r="F236" s="16"/>
      <c r="G236" s="35"/>
      <c r="H236" s="9">
        <v>2</v>
      </c>
      <c r="I236" s="6">
        <f t="shared" si="372"/>
        <v>2</v>
      </c>
      <c r="J236" s="16"/>
      <c r="K236" s="35"/>
      <c r="L236" s="9">
        <v>2</v>
      </c>
      <c r="M236" s="6">
        <f t="shared" si="373"/>
        <v>2</v>
      </c>
      <c r="N236" s="7">
        <f t="shared" si="374"/>
        <v>6</v>
      </c>
      <c r="O236" s="70">
        <v>45842</v>
      </c>
      <c r="P236" s="47"/>
      <c r="Q236" s="16"/>
      <c r="R236" s="35"/>
      <c r="S236" s="9"/>
      <c r="T236" s="6">
        <f t="shared" si="375"/>
        <v>0</v>
      </c>
      <c r="U236" s="16"/>
      <c r="V236" s="35"/>
      <c r="W236" s="9"/>
      <c r="X236" s="6">
        <f t="shared" si="376"/>
        <v>0</v>
      </c>
      <c r="Y236" s="16"/>
      <c r="Z236" s="35"/>
      <c r="AA236" s="9"/>
      <c r="AB236" s="6">
        <f t="shared" si="377"/>
        <v>0</v>
      </c>
      <c r="AC236" s="7">
        <f t="shared" si="378"/>
        <v>0</v>
      </c>
      <c r="AD236" s="23"/>
    </row>
    <row r="237" spans="1:30" x14ac:dyDescent="0.15">
      <c r="A237" s="47" t="s">
        <v>200</v>
      </c>
      <c r="B237" s="16">
        <v>-1</v>
      </c>
      <c r="C237" s="35"/>
      <c r="D237" s="9"/>
      <c r="E237" s="6">
        <f t="shared" si="371"/>
        <v>-1</v>
      </c>
      <c r="F237" s="16"/>
      <c r="G237" s="35"/>
      <c r="H237" s="9">
        <v>-1</v>
      </c>
      <c r="I237" s="6">
        <f t="shared" si="372"/>
        <v>-1</v>
      </c>
      <c r="J237" s="16"/>
      <c r="K237" s="35">
        <v>-1</v>
      </c>
      <c r="L237" s="9"/>
      <c r="M237" s="6">
        <f t="shared" si="373"/>
        <v>-1</v>
      </c>
      <c r="N237" s="7">
        <f t="shared" si="374"/>
        <v>-3</v>
      </c>
      <c r="O237" s="70">
        <v>45843</v>
      </c>
      <c r="P237" s="47"/>
      <c r="Q237" s="16"/>
      <c r="R237" s="35"/>
      <c r="S237" s="9"/>
      <c r="T237" s="6">
        <f t="shared" si="375"/>
        <v>0</v>
      </c>
      <c r="U237" s="16"/>
      <c r="V237" s="35"/>
      <c r="W237" s="9"/>
      <c r="X237" s="6">
        <f t="shared" si="376"/>
        <v>0</v>
      </c>
      <c r="Y237" s="16"/>
      <c r="Z237" s="35"/>
      <c r="AA237" s="9"/>
      <c r="AB237" s="6">
        <f t="shared" si="377"/>
        <v>0</v>
      </c>
      <c r="AC237" s="7">
        <f t="shared" si="378"/>
        <v>0</v>
      </c>
      <c r="AD237" s="23"/>
    </row>
    <row r="238" spans="1:30" x14ac:dyDescent="0.15">
      <c r="A238" s="49" t="s">
        <v>201</v>
      </c>
      <c r="B238" s="16"/>
      <c r="C238" s="35">
        <v>-1</v>
      </c>
      <c r="D238" s="9"/>
      <c r="E238" s="6">
        <f t="shared" si="371"/>
        <v>-1</v>
      </c>
      <c r="F238" s="16">
        <v>-1</v>
      </c>
      <c r="G238" s="35"/>
      <c r="H238" s="9"/>
      <c r="I238" s="6">
        <f t="shared" si="372"/>
        <v>-1</v>
      </c>
      <c r="J238" s="16"/>
      <c r="K238" s="35"/>
      <c r="L238" s="9"/>
      <c r="M238" s="6">
        <f t="shared" si="373"/>
        <v>0</v>
      </c>
      <c r="N238" s="7">
        <f t="shared" si="374"/>
        <v>-2</v>
      </c>
      <c r="O238" s="70">
        <v>45852</v>
      </c>
      <c r="P238" s="47"/>
      <c r="Q238" s="16"/>
      <c r="R238" s="35"/>
      <c r="S238" s="9"/>
      <c r="T238" s="6">
        <f t="shared" si="375"/>
        <v>0</v>
      </c>
      <c r="U238" s="16"/>
      <c r="V238" s="35"/>
      <c r="W238" s="9"/>
      <c r="X238" s="6">
        <f t="shared" si="376"/>
        <v>0</v>
      </c>
      <c r="Y238" s="16"/>
      <c r="Z238" s="35"/>
      <c r="AA238" s="9"/>
      <c r="AB238" s="6">
        <f t="shared" si="377"/>
        <v>0</v>
      </c>
      <c r="AC238" s="7">
        <f t="shared" si="378"/>
        <v>0</v>
      </c>
    </row>
    <row r="239" spans="1:30" x14ac:dyDescent="0.15">
      <c r="A239" s="49" t="s">
        <v>56</v>
      </c>
      <c r="B239" s="16"/>
      <c r="C239" s="35"/>
      <c r="D239" s="9"/>
      <c r="E239" s="6">
        <f t="shared" si="371"/>
        <v>0</v>
      </c>
      <c r="F239" s="16"/>
      <c r="G239" s="35"/>
      <c r="H239" s="9"/>
      <c r="I239" s="6">
        <f t="shared" si="372"/>
        <v>0</v>
      </c>
      <c r="J239" s="16"/>
      <c r="K239" s="35">
        <v>1</v>
      </c>
      <c r="L239" s="9"/>
      <c r="M239" s="6">
        <f t="shared" si="373"/>
        <v>1</v>
      </c>
      <c r="N239" s="7">
        <f t="shared" si="374"/>
        <v>1</v>
      </c>
      <c r="O239" s="70">
        <v>45852</v>
      </c>
      <c r="P239" s="47"/>
      <c r="Q239" s="16"/>
      <c r="R239" s="35"/>
      <c r="S239" s="9"/>
      <c r="T239" s="6">
        <f t="shared" si="375"/>
        <v>0</v>
      </c>
      <c r="U239" s="16"/>
      <c r="V239" s="35"/>
      <c r="W239" s="9"/>
      <c r="X239" s="6">
        <f t="shared" si="376"/>
        <v>0</v>
      </c>
      <c r="Y239" s="16"/>
      <c r="Z239" s="35"/>
      <c r="AA239" s="9"/>
      <c r="AB239" s="6">
        <f t="shared" si="377"/>
        <v>0</v>
      </c>
      <c r="AC239" s="7">
        <f t="shared" si="378"/>
        <v>0</v>
      </c>
    </row>
    <row r="240" spans="1:30" x14ac:dyDescent="0.15">
      <c r="A240" s="47" t="s">
        <v>66</v>
      </c>
      <c r="B240" s="16">
        <v>1</v>
      </c>
      <c r="C240" s="35"/>
      <c r="D240" s="9"/>
      <c r="E240" s="6">
        <f t="shared" si="371"/>
        <v>1</v>
      </c>
      <c r="F240" s="16"/>
      <c r="G240" s="35"/>
      <c r="H240" s="9"/>
      <c r="I240" s="6">
        <f t="shared" si="372"/>
        <v>0</v>
      </c>
      <c r="J240" s="16">
        <v>1</v>
      </c>
      <c r="K240" s="35"/>
      <c r="L240" s="9"/>
      <c r="M240" s="6">
        <f t="shared" si="373"/>
        <v>1</v>
      </c>
      <c r="N240" s="7">
        <f t="shared" si="374"/>
        <v>2</v>
      </c>
      <c r="O240" s="30">
        <v>45860</v>
      </c>
      <c r="P240" s="47"/>
      <c r="Q240" s="16"/>
      <c r="R240" s="35"/>
      <c r="S240" s="9"/>
      <c r="T240" s="6">
        <f t="shared" si="375"/>
        <v>0</v>
      </c>
      <c r="U240" s="16"/>
      <c r="V240" s="35"/>
      <c r="W240" s="9"/>
      <c r="X240" s="6">
        <f t="shared" si="376"/>
        <v>0</v>
      </c>
      <c r="Y240" s="16"/>
      <c r="Z240" s="35"/>
      <c r="AA240" s="9"/>
      <c r="AB240" s="6">
        <f t="shared" si="377"/>
        <v>0</v>
      </c>
      <c r="AC240" s="7">
        <f t="shared" si="378"/>
        <v>0</v>
      </c>
    </row>
    <row r="241" spans="1:30" x14ac:dyDescent="0.15">
      <c r="A241" s="47" t="s">
        <v>67</v>
      </c>
      <c r="B241" s="16">
        <v>1</v>
      </c>
      <c r="C241" s="35"/>
      <c r="D241" s="9"/>
      <c r="E241" s="6">
        <f t="shared" si="371"/>
        <v>1</v>
      </c>
      <c r="F241" s="16">
        <v>1</v>
      </c>
      <c r="G241" s="35"/>
      <c r="H241" s="9"/>
      <c r="I241" s="6">
        <f t="shared" si="372"/>
        <v>1</v>
      </c>
      <c r="J241" s="16">
        <v>1</v>
      </c>
      <c r="K241" s="35"/>
      <c r="L241" s="9"/>
      <c r="M241" s="6">
        <f t="shared" si="373"/>
        <v>1</v>
      </c>
      <c r="N241" s="7">
        <f t="shared" si="374"/>
        <v>3</v>
      </c>
      <c r="O241" s="70">
        <v>45898</v>
      </c>
      <c r="P241" s="47"/>
      <c r="Q241" s="16"/>
      <c r="R241" s="35"/>
      <c r="S241" s="9"/>
      <c r="T241" s="6">
        <f t="shared" si="375"/>
        <v>0</v>
      </c>
      <c r="U241" s="16"/>
      <c r="V241" s="35"/>
      <c r="W241" s="9"/>
      <c r="X241" s="6">
        <f t="shared" si="376"/>
        <v>0</v>
      </c>
      <c r="Y241" s="16"/>
      <c r="Z241" s="35"/>
      <c r="AA241" s="9"/>
      <c r="AB241" s="6">
        <f t="shared" si="377"/>
        <v>0</v>
      </c>
      <c r="AC241" s="7">
        <f t="shared" si="378"/>
        <v>0</v>
      </c>
    </row>
    <row r="242" spans="1:30" x14ac:dyDescent="0.15">
      <c r="A242" s="47"/>
      <c r="B242" s="16"/>
      <c r="C242" s="35"/>
      <c r="D242" s="9"/>
      <c r="E242" s="6">
        <f t="shared" si="371"/>
        <v>0</v>
      </c>
      <c r="F242" s="16"/>
      <c r="G242" s="35"/>
      <c r="H242" s="9"/>
      <c r="I242" s="6">
        <f t="shared" si="372"/>
        <v>0</v>
      </c>
      <c r="J242" s="16"/>
      <c r="K242" s="35"/>
      <c r="L242" s="9"/>
      <c r="M242" s="6">
        <f t="shared" si="373"/>
        <v>0</v>
      </c>
      <c r="N242" s="7">
        <f t="shared" si="374"/>
        <v>0</v>
      </c>
      <c r="P242" s="47"/>
      <c r="Q242" s="16"/>
      <c r="R242" s="35"/>
      <c r="S242" s="9"/>
      <c r="T242" s="6">
        <f t="shared" si="375"/>
        <v>0</v>
      </c>
      <c r="U242" s="16"/>
      <c r="V242" s="35"/>
      <c r="W242" s="9"/>
      <c r="X242" s="6">
        <f t="shared" si="376"/>
        <v>0</v>
      </c>
      <c r="Y242" s="16"/>
      <c r="Z242" s="35"/>
      <c r="AA242" s="9"/>
      <c r="AB242" s="6">
        <f t="shared" si="377"/>
        <v>0</v>
      </c>
      <c r="AC242" s="7">
        <f t="shared" si="378"/>
        <v>0</v>
      </c>
    </row>
    <row r="243" spans="1:30" x14ac:dyDescent="0.15">
      <c r="A243" s="48"/>
      <c r="B243" s="16"/>
      <c r="C243" s="35"/>
      <c r="D243" s="9"/>
      <c r="E243" s="6">
        <f t="shared" si="371"/>
        <v>0</v>
      </c>
      <c r="F243" s="16"/>
      <c r="G243" s="35"/>
      <c r="H243" s="9"/>
      <c r="I243" s="6">
        <f t="shared" si="372"/>
        <v>0</v>
      </c>
      <c r="J243" s="16"/>
      <c r="K243" s="35"/>
      <c r="L243" s="9"/>
      <c r="M243" s="6">
        <f t="shared" si="373"/>
        <v>0</v>
      </c>
      <c r="N243" s="7">
        <f t="shared" si="374"/>
        <v>0</v>
      </c>
      <c r="P243" s="48"/>
      <c r="Q243" s="16"/>
      <c r="R243" s="35"/>
      <c r="S243" s="9"/>
      <c r="T243" s="6">
        <f t="shared" si="375"/>
        <v>0</v>
      </c>
      <c r="U243" s="16"/>
      <c r="V243" s="35"/>
      <c r="W243" s="9"/>
      <c r="X243" s="6">
        <f t="shared" si="376"/>
        <v>0</v>
      </c>
      <c r="Y243" s="16"/>
      <c r="Z243" s="35"/>
      <c r="AA243" s="9"/>
      <c r="AB243" s="6">
        <f t="shared" si="377"/>
        <v>0</v>
      </c>
      <c r="AC243" s="7">
        <f t="shared" si="378"/>
        <v>0</v>
      </c>
    </row>
    <row r="244" spans="1:30" x14ac:dyDescent="0.15">
      <c r="A244" s="47"/>
      <c r="B244" s="16"/>
      <c r="C244" s="35"/>
      <c r="D244" s="9"/>
      <c r="E244" s="6">
        <f t="shared" si="371"/>
        <v>0</v>
      </c>
      <c r="F244" s="16"/>
      <c r="G244" s="35"/>
      <c r="H244" s="9"/>
      <c r="I244" s="6">
        <f t="shared" si="372"/>
        <v>0</v>
      </c>
      <c r="J244" s="16"/>
      <c r="K244" s="35"/>
      <c r="L244" s="9"/>
      <c r="M244" s="6">
        <f t="shared" si="373"/>
        <v>0</v>
      </c>
      <c r="N244" s="7">
        <f t="shared" si="374"/>
        <v>0</v>
      </c>
      <c r="P244" s="47"/>
      <c r="Q244" s="16"/>
      <c r="R244" s="35"/>
      <c r="S244" s="9"/>
      <c r="T244" s="6">
        <f t="shared" si="375"/>
        <v>0</v>
      </c>
      <c r="U244" s="16"/>
      <c r="V244" s="35"/>
      <c r="W244" s="9"/>
      <c r="X244" s="6">
        <f t="shared" si="376"/>
        <v>0</v>
      </c>
      <c r="Y244" s="16"/>
      <c r="Z244" s="35"/>
      <c r="AA244" s="9"/>
      <c r="AB244" s="6">
        <f t="shared" si="377"/>
        <v>0</v>
      </c>
      <c r="AC244" s="7">
        <f t="shared" si="378"/>
        <v>0</v>
      </c>
    </row>
    <row r="245" spans="1:30" x14ac:dyDescent="0.15">
      <c r="A245" s="47"/>
      <c r="B245" s="16"/>
      <c r="C245" s="35"/>
      <c r="D245" s="9"/>
      <c r="E245" s="6">
        <f t="shared" si="371"/>
        <v>0</v>
      </c>
      <c r="F245" s="16"/>
      <c r="G245" s="35"/>
      <c r="H245" s="9"/>
      <c r="I245" s="6">
        <f t="shared" si="372"/>
        <v>0</v>
      </c>
      <c r="J245" s="16"/>
      <c r="K245" s="35"/>
      <c r="L245" s="9"/>
      <c r="M245" s="6">
        <f t="shared" si="373"/>
        <v>0</v>
      </c>
      <c r="N245" s="7">
        <f t="shared" si="374"/>
        <v>0</v>
      </c>
      <c r="P245" s="47"/>
      <c r="Q245" s="16"/>
      <c r="R245" s="35"/>
      <c r="S245" s="9"/>
      <c r="T245" s="6">
        <f t="shared" si="375"/>
        <v>0</v>
      </c>
      <c r="U245" s="16"/>
      <c r="V245" s="35"/>
      <c r="W245" s="9"/>
      <c r="X245" s="6">
        <f t="shared" si="376"/>
        <v>0</v>
      </c>
      <c r="Y245" s="16"/>
      <c r="Z245" s="35"/>
      <c r="AA245" s="9"/>
      <c r="AB245" s="6">
        <f t="shared" si="377"/>
        <v>0</v>
      </c>
      <c r="AC245" s="7">
        <f t="shared" si="378"/>
        <v>0</v>
      </c>
    </row>
    <row r="246" spans="1:30" x14ac:dyDescent="0.15">
      <c r="A246" s="47"/>
      <c r="B246" s="16"/>
      <c r="C246" s="35"/>
      <c r="D246" s="9"/>
      <c r="E246" s="6">
        <f t="shared" si="371"/>
        <v>0</v>
      </c>
      <c r="F246" s="16"/>
      <c r="G246" s="35"/>
      <c r="H246" s="9"/>
      <c r="I246" s="6">
        <f t="shared" si="372"/>
        <v>0</v>
      </c>
      <c r="J246" s="16"/>
      <c r="K246" s="35"/>
      <c r="L246" s="9"/>
      <c r="M246" s="6">
        <f t="shared" si="373"/>
        <v>0</v>
      </c>
      <c r="N246" s="7">
        <f t="shared" si="374"/>
        <v>0</v>
      </c>
      <c r="P246" s="47"/>
      <c r="Q246" s="16"/>
      <c r="R246" s="35"/>
      <c r="S246" s="9"/>
      <c r="T246" s="6">
        <f t="shared" si="375"/>
        <v>0</v>
      </c>
      <c r="U246" s="16"/>
      <c r="V246" s="35"/>
      <c r="W246" s="9"/>
      <c r="X246" s="6">
        <f t="shared" si="376"/>
        <v>0</v>
      </c>
      <c r="Y246" s="16"/>
      <c r="Z246" s="35"/>
      <c r="AA246" s="9"/>
      <c r="AB246" s="6">
        <f t="shared" si="377"/>
        <v>0</v>
      </c>
      <c r="AC246" s="7">
        <f t="shared" si="378"/>
        <v>0</v>
      </c>
    </row>
    <row r="247" spans="1:30" x14ac:dyDescent="0.15">
      <c r="A247" s="47"/>
      <c r="B247" s="16"/>
      <c r="C247" s="35"/>
      <c r="D247" s="9"/>
      <c r="E247" s="6">
        <f t="shared" si="371"/>
        <v>0</v>
      </c>
      <c r="F247" s="16"/>
      <c r="G247" s="35"/>
      <c r="H247" s="9"/>
      <c r="I247" s="6">
        <f t="shared" si="372"/>
        <v>0</v>
      </c>
      <c r="J247" s="16"/>
      <c r="K247" s="35"/>
      <c r="L247" s="9"/>
      <c r="M247" s="6">
        <f t="shared" si="373"/>
        <v>0</v>
      </c>
      <c r="N247" s="7">
        <f t="shared" si="374"/>
        <v>0</v>
      </c>
      <c r="P247" s="47"/>
      <c r="Q247" s="16"/>
      <c r="R247" s="35"/>
      <c r="S247" s="9"/>
      <c r="T247" s="6">
        <f t="shared" ref="T247:T248" si="379">SUM(Q247:S247)</f>
        <v>0</v>
      </c>
      <c r="U247" s="16"/>
      <c r="V247" s="35"/>
      <c r="W247" s="9"/>
      <c r="X247" s="6">
        <f t="shared" ref="X247:X248" si="380">SUM(U247:W247)</f>
        <v>0</v>
      </c>
      <c r="Y247" s="16"/>
      <c r="Z247" s="35"/>
      <c r="AA247" s="9"/>
      <c r="AB247" s="6">
        <f t="shared" ref="AB247:AB248" si="381">SUM(Y247:AA247)</f>
        <v>0</v>
      </c>
      <c r="AC247" s="7">
        <f t="shared" ref="AC247:AC248" si="382">T247+X247+AB247</f>
        <v>0</v>
      </c>
    </row>
    <row r="248" spans="1:30" x14ac:dyDescent="0.15">
      <c r="A248" s="47"/>
      <c r="B248" s="16"/>
      <c r="C248" s="35"/>
      <c r="D248" s="9"/>
      <c r="E248" s="6">
        <f t="shared" si="371"/>
        <v>0</v>
      </c>
      <c r="F248" s="16"/>
      <c r="G248" s="35"/>
      <c r="H248" s="9"/>
      <c r="I248" s="6">
        <f t="shared" si="372"/>
        <v>0</v>
      </c>
      <c r="J248" s="16"/>
      <c r="K248" s="35"/>
      <c r="L248" s="9"/>
      <c r="M248" s="6">
        <f t="shared" si="373"/>
        <v>0</v>
      </c>
      <c r="N248" s="7">
        <f t="shared" si="374"/>
        <v>0</v>
      </c>
      <c r="P248" s="47"/>
      <c r="Q248" s="16"/>
      <c r="R248" s="35"/>
      <c r="S248" s="9"/>
      <c r="T248" s="6">
        <f t="shared" si="379"/>
        <v>0</v>
      </c>
      <c r="U248" s="16"/>
      <c r="V248" s="35"/>
      <c r="W248" s="9"/>
      <c r="X248" s="6">
        <f t="shared" si="380"/>
        <v>0</v>
      </c>
      <c r="Y248" s="16"/>
      <c r="Z248" s="35"/>
      <c r="AA248" s="9"/>
      <c r="AB248" s="6">
        <f t="shared" si="381"/>
        <v>0</v>
      </c>
      <c r="AC248" s="7">
        <f t="shared" si="382"/>
        <v>0</v>
      </c>
    </row>
    <row r="249" spans="1:30" x14ac:dyDescent="0.15">
      <c r="A249" s="47"/>
      <c r="B249" s="16"/>
      <c r="C249" s="35"/>
      <c r="D249" s="9"/>
      <c r="E249" s="6">
        <f t="shared" si="371"/>
        <v>0</v>
      </c>
      <c r="F249" s="16"/>
      <c r="G249" s="35"/>
      <c r="H249" s="9"/>
      <c r="I249" s="6">
        <f t="shared" si="372"/>
        <v>0</v>
      </c>
      <c r="J249" s="16"/>
      <c r="K249" s="35"/>
      <c r="L249" s="9"/>
      <c r="M249" s="6">
        <f t="shared" si="373"/>
        <v>0</v>
      </c>
      <c r="N249" s="7">
        <f t="shared" si="374"/>
        <v>0</v>
      </c>
      <c r="P249" s="47"/>
      <c r="Q249" s="16"/>
      <c r="R249" s="35"/>
      <c r="S249" s="9"/>
      <c r="T249" s="6">
        <f t="shared" ref="T249" si="383">SUM(Q249:S249)</f>
        <v>0</v>
      </c>
      <c r="U249" s="16"/>
      <c r="V249" s="35"/>
      <c r="W249" s="9"/>
      <c r="X249" s="6">
        <f t="shared" ref="X249" si="384">SUM(U249:W249)</f>
        <v>0</v>
      </c>
      <c r="Y249" s="16"/>
      <c r="Z249" s="35"/>
      <c r="AA249" s="9"/>
      <c r="AB249" s="6">
        <f t="shared" ref="AB249" si="385">SUM(Y249:AA249)</f>
        <v>0</v>
      </c>
      <c r="AC249" s="7">
        <f t="shared" ref="AC249" si="386">T249+X249+AB249</f>
        <v>0</v>
      </c>
    </row>
    <row r="250" spans="1:30" x14ac:dyDescent="0.15">
      <c r="A250" s="47"/>
      <c r="B250" s="16"/>
      <c r="C250" s="35"/>
      <c r="D250" s="9"/>
      <c r="E250" s="6">
        <f t="shared" si="371"/>
        <v>0</v>
      </c>
      <c r="F250" s="16"/>
      <c r="G250" s="35"/>
      <c r="H250" s="9"/>
      <c r="I250" s="6">
        <f t="shared" si="372"/>
        <v>0</v>
      </c>
      <c r="J250" s="16"/>
      <c r="K250" s="35"/>
      <c r="L250" s="9"/>
      <c r="M250" s="6">
        <f t="shared" si="373"/>
        <v>0</v>
      </c>
      <c r="N250" s="7">
        <f t="shared" si="374"/>
        <v>0</v>
      </c>
      <c r="P250" s="47"/>
      <c r="Q250" s="16"/>
      <c r="R250" s="35"/>
      <c r="S250" s="9"/>
      <c r="T250" s="6">
        <f t="shared" ref="T250:T254" si="387">SUM(Q250:S250)</f>
        <v>0</v>
      </c>
      <c r="U250" s="16"/>
      <c r="V250" s="35"/>
      <c r="W250" s="9"/>
      <c r="X250" s="6">
        <f t="shared" ref="X250:X254" si="388">SUM(U250:W250)</f>
        <v>0</v>
      </c>
      <c r="Y250" s="16"/>
      <c r="Z250" s="35"/>
      <c r="AA250" s="9"/>
      <c r="AB250" s="6">
        <f t="shared" ref="AB250:AB254" si="389">SUM(Y250:AA250)</f>
        <v>0</v>
      </c>
      <c r="AC250" s="7">
        <f t="shared" ref="AC250:AC254" si="390">T250+X250+AB250</f>
        <v>0</v>
      </c>
    </row>
    <row r="251" spans="1:30" x14ac:dyDescent="0.15">
      <c r="A251" s="47"/>
      <c r="B251" s="16"/>
      <c r="C251" s="35"/>
      <c r="D251" s="9"/>
      <c r="E251" s="6">
        <f t="shared" si="371"/>
        <v>0</v>
      </c>
      <c r="F251" s="16"/>
      <c r="G251" s="35"/>
      <c r="H251" s="9"/>
      <c r="I251" s="6">
        <f t="shared" si="372"/>
        <v>0</v>
      </c>
      <c r="J251" s="16"/>
      <c r="K251" s="35"/>
      <c r="L251" s="9"/>
      <c r="M251" s="6">
        <f t="shared" si="373"/>
        <v>0</v>
      </c>
      <c r="N251" s="7">
        <f t="shared" si="374"/>
        <v>0</v>
      </c>
      <c r="P251" s="47" t="s">
        <v>168</v>
      </c>
      <c r="Q251" s="16"/>
      <c r="R251" s="35"/>
      <c r="S251" s="9"/>
      <c r="T251" s="6">
        <f t="shared" ref="T251:T252" si="391">SUM(Q251:S251)</f>
        <v>0</v>
      </c>
      <c r="U251" s="16"/>
      <c r="V251" s="35"/>
      <c r="W251" s="9"/>
      <c r="X251" s="6">
        <f t="shared" ref="X251:X252" si="392">SUM(U251:W251)</f>
        <v>0</v>
      </c>
      <c r="Y251" s="16"/>
      <c r="Z251" s="35"/>
      <c r="AA251" s="9"/>
      <c r="AB251" s="6">
        <f t="shared" ref="AB251:AB252" si="393">SUM(Y251:AA251)</f>
        <v>0</v>
      </c>
      <c r="AC251" s="7">
        <f t="shared" ref="AC251:AC252" si="394">T251+X251+AB251</f>
        <v>0</v>
      </c>
      <c r="AD251" s="22">
        <v>45756</v>
      </c>
    </row>
    <row r="252" spans="1:30" x14ac:dyDescent="0.15">
      <c r="A252" s="47"/>
      <c r="B252" s="16"/>
      <c r="C252" s="35"/>
      <c r="D252" s="9"/>
      <c r="E252" s="6">
        <f t="shared" si="371"/>
        <v>0</v>
      </c>
      <c r="F252" s="16"/>
      <c r="G252" s="35"/>
      <c r="H252" s="9"/>
      <c r="I252" s="6">
        <f t="shared" si="372"/>
        <v>0</v>
      </c>
      <c r="J252" s="16"/>
      <c r="K252" s="35"/>
      <c r="L252" s="9"/>
      <c r="M252" s="6">
        <f t="shared" si="373"/>
        <v>0</v>
      </c>
      <c r="N252" s="7">
        <f t="shared" si="374"/>
        <v>0</v>
      </c>
      <c r="P252" s="47" t="s">
        <v>167</v>
      </c>
      <c r="Q252" s="16"/>
      <c r="R252" s="35"/>
      <c r="S252" s="9"/>
      <c r="T252" s="6">
        <f t="shared" si="391"/>
        <v>0</v>
      </c>
      <c r="U252" s="16"/>
      <c r="V252" s="35"/>
      <c r="W252" s="9"/>
      <c r="X252" s="6">
        <f t="shared" si="392"/>
        <v>0</v>
      </c>
      <c r="Y252" s="16"/>
      <c r="Z252" s="35"/>
      <c r="AA252" s="9"/>
      <c r="AB252" s="6">
        <f t="shared" si="393"/>
        <v>0</v>
      </c>
      <c r="AC252" s="7">
        <f t="shared" si="394"/>
        <v>0</v>
      </c>
      <c r="AD252" s="22">
        <v>45756</v>
      </c>
    </row>
    <row r="253" spans="1:30" x14ac:dyDescent="0.15">
      <c r="A253" s="47"/>
      <c r="B253" s="16"/>
      <c r="C253" s="35"/>
      <c r="D253" s="9"/>
      <c r="E253" s="6">
        <f t="shared" si="371"/>
        <v>0</v>
      </c>
      <c r="F253" s="16"/>
      <c r="G253" s="35"/>
      <c r="H253" s="9"/>
      <c r="I253" s="6">
        <f t="shared" si="372"/>
        <v>0</v>
      </c>
      <c r="J253" s="16"/>
      <c r="K253" s="35"/>
      <c r="L253" s="9"/>
      <c r="M253" s="6">
        <f t="shared" si="373"/>
        <v>0</v>
      </c>
      <c r="N253" s="7">
        <f t="shared" si="374"/>
        <v>0</v>
      </c>
      <c r="P253" s="47" t="s">
        <v>182</v>
      </c>
      <c r="Q253" s="16"/>
      <c r="R253" s="35"/>
      <c r="S253" s="9"/>
      <c r="T253" s="6">
        <f t="shared" si="387"/>
        <v>0</v>
      </c>
      <c r="U253" s="16"/>
      <c r="V253" s="35"/>
      <c r="W253" s="9"/>
      <c r="X253" s="6">
        <f t="shared" si="388"/>
        <v>0</v>
      </c>
      <c r="Y253" s="16"/>
      <c r="Z253" s="35"/>
      <c r="AA253" s="9"/>
      <c r="AB253" s="6">
        <f t="shared" si="389"/>
        <v>0</v>
      </c>
      <c r="AC253" s="7">
        <f t="shared" si="390"/>
        <v>0</v>
      </c>
      <c r="AD253" s="22">
        <v>45812</v>
      </c>
    </row>
    <row r="254" spans="1:30" ht="14.25" thickBot="1" x14ac:dyDescent="0.2">
      <c r="A254" s="47"/>
      <c r="B254" s="16"/>
      <c r="C254" s="35"/>
      <c r="D254" s="9"/>
      <c r="E254" s="6">
        <f t="shared" si="371"/>
        <v>0</v>
      </c>
      <c r="F254" s="16"/>
      <c r="G254" s="35"/>
      <c r="H254" s="9"/>
      <c r="I254" s="6">
        <f t="shared" si="372"/>
        <v>0</v>
      </c>
      <c r="J254" s="16"/>
      <c r="K254" s="35"/>
      <c r="L254" s="9"/>
      <c r="M254" s="6">
        <f t="shared" si="373"/>
        <v>0</v>
      </c>
      <c r="N254" s="7">
        <f t="shared" si="374"/>
        <v>0</v>
      </c>
      <c r="P254" s="47" t="s">
        <v>183</v>
      </c>
      <c r="Q254" s="16"/>
      <c r="R254" s="35"/>
      <c r="S254" s="9"/>
      <c r="T254" s="6">
        <f t="shared" si="387"/>
        <v>0</v>
      </c>
      <c r="U254" s="16"/>
      <c r="V254" s="35"/>
      <c r="W254" s="9"/>
      <c r="X254" s="6">
        <f t="shared" si="388"/>
        <v>0</v>
      </c>
      <c r="Y254" s="16"/>
      <c r="Z254" s="35"/>
      <c r="AA254" s="9"/>
      <c r="AB254" s="6">
        <f t="shared" si="389"/>
        <v>0</v>
      </c>
      <c r="AC254" s="7">
        <f t="shared" si="390"/>
        <v>0</v>
      </c>
      <c r="AD254" s="22">
        <v>45812</v>
      </c>
    </row>
    <row r="255" spans="1:30" ht="14.25" thickBot="1" x14ac:dyDescent="0.2">
      <c r="A255" s="3" t="s">
        <v>9</v>
      </c>
      <c r="B255" s="13">
        <f>SUM(B231:B254)</f>
        <v>13</v>
      </c>
      <c r="C255" s="37">
        <f t="shared" ref="C255:N255" si="395">SUM(C231:C254)</f>
        <v>26</v>
      </c>
      <c r="D255" s="32">
        <f t="shared" si="395"/>
        <v>17</v>
      </c>
      <c r="E255" s="17">
        <f t="shared" si="395"/>
        <v>56</v>
      </c>
      <c r="F255" s="13">
        <f t="shared" si="395"/>
        <v>16</v>
      </c>
      <c r="G255" s="37">
        <f t="shared" si="395"/>
        <v>27</v>
      </c>
      <c r="H255" s="32">
        <f t="shared" si="395"/>
        <v>16</v>
      </c>
      <c r="I255" s="17">
        <f t="shared" si="395"/>
        <v>59</v>
      </c>
      <c r="J255" s="13">
        <f t="shared" si="395"/>
        <v>16</v>
      </c>
      <c r="K255" s="37">
        <f t="shared" si="395"/>
        <v>28</v>
      </c>
      <c r="L255" s="32">
        <f t="shared" si="395"/>
        <v>16</v>
      </c>
      <c r="M255" s="17">
        <f t="shared" si="395"/>
        <v>60</v>
      </c>
      <c r="N255" s="18">
        <f t="shared" si="395"/>
        <v>175</v>
      </c>
      <c r="P255" s="3" t="s">
        <v>9</v>
      </c>
      <c r="Q255" s="13">
        <f>SUM(Q231:Q254)</f>
        <v>10</v>
      </c>
      <c r="R255" s="37">
        <f t="shared" ref="R255:AC255" si="396">SUM(R231:R254)</f>
        <v>13</v>
      </c>
      <c r="S255" s="32">
        <f t="shared" si="396"/>
        <v>15</v>
      </c>
      <c r="T255" s="17">
        <f t="shared" si="396"/>
        <v>38</v>
      </c>
      <c r="U255" s="13">
        <f t="shared" si="396"/>
        <v>10</v>
      </c>
      <c r="V255" s="37">
        <f t="shared" si="396"/>
        <v>13</v>
      </c>
      <c r="W255" s="32">
        <f t="shared" si="396"/>
        <v>15</v>
      </c>
      <c r="X255" s="17">
        <f t="shared" si="396"/>
        <v>38</v>
      </c>
      <c r="Y255" s="13">
        <f t="shared" si="396"/>
        <v>8</v>
      </c>
      <c r="Z255" s="37">
        <f t="shared" si="396"/>
        <v>11</v>
      </c>
      <c r="AA255" s="32">
        <f t="shared" si="396"/>
        <v>13</v>
      </c>
      <c r="AB255" s="17">
        <f t="shared" si="396"/>
        <v>32</v>
      </c>
      <c r="AC255" s="18">
        <f t="shared" si="396"/>
        <v>108</v>
      </c>
    </row>
    <row r="256" spans="1:30" ht="14.25" thickBot="1" x14ac:dyDescent="0.2">
      <c r="A256" s="19" t="s">
        <v>10</v>
      </c>
      <c r="B256" s="20">
        <f>B230-B255</f>
        <v>6</v>
      </c>
      <c r="C256" s="38">
        <f t="shared" ref="C256:N256" si="397">C230-C255</f>
        <v>8</v>
      </c>
      <c r="D256" s="33">
        <f t="shared" si="397"/>
        <v>5</v>
      </c>
      <c r="E256" s="20">
        <f t="shared" si="397"/>
        <v>19</v>
      </c>
      <c r="F256" s="20">
        <f t="shared" si="397"/>
        <v>6</v>
      </c>
      <c r="G256" s="38">
        <f t="shared" si="397"/>
        <v>5</v>
      </c>
      <c r="H256" s="33">
        <f t="shared" si="397"/>
        <v>6</v>
      </c>
      <c r="I256" s="20">
        <f t="shared" si="397"/>
        <v>17</v>
      </c>
      <c r="J256" s="20">
        <f t="shared" si="397"/>
        <v>4</v>
      </c>
      <c r="K256" s="38">
        <f t="shared" si="397"/>
        <v>4</v>
      </c>
      <c r="L256" s="33">
        <f t="shared" si="397"/>
        <v>5</v>
      </c>
      <c r="M256" s="20">
        <f t="shared" si="397"/>
        <v>13</v>
      </c>
      <c r="N256" s="18">
        <f t="shared" si="397"/>
        <v>49</v>
      </c>
      <c r="P256" s="19" t="s">
        <v>10</v>
      </c>
      <c r="Q256" s="20">
        <f>Q230-Q255</f>
        <v>660</v>
      </c>
      <c r="R256" s="38">
        <f t="shared" ref="R256:AC256" si="398">R230-R255</f>
        <v>650</v>
      </c>
      <c r="S256" s="33">
        <f t="shared" si="398"/>
        <v>488</v>
      </c>
      <c r="T256" s="20">
        <f t="shared" si="398"/>
        <v>1798</v>
      </c>
      <c r="U256" s="20">
        <f t="shared" si="398"/>
        <v>647</v>
      </c>
      <c r="V256" s="38">
        <f t="shared" si="398"/>
        <v>648</v>
      </c>
      <c r="W256" s="33">
        <f t="shared" si="398"/>
        <v>491</v>
      </c>
      <c r="X256" s="20">
        <f t="shared" si="398"/>
        <v>1786</v>
      </c>
      <c r="Y256" s="20">
        <f t="shared" si="398"/>
        <v>630</v>
      </c>
      <c r="Z256" s="38">
        <f t="shared" si="398"/>
        <v>623</v>
      </c>
      <c r="AA256" s="33">
        <f t="shared" si="398"/>
        <v>474</v>
      </c>
      <c r="AB256" s="20">
        <f t="shared" si="398"/>
        <v>1727</v>
      </c>
      <c r="AC256" s="18">
        <f t="shared" si="398"/>
        <v>5311</v>
      </c>
    </row>
    <row r="259" spans="1:29" ht="21.75" thickBot="1" x14ac:dyDescent="0.25">
      <c r="A259" s="27" t="s">
        <v>15</v>
      </c>
      <c r="B259" s="28"/>
      <c r="C259" s="28"/>
      <c r="D259" s="28"/>
      <c r="E259" s="29"/>
      <c r="F259" s="28"/>
      <c r="G259" s="28"/>
      <c r="H259" s="28"/>
      <c r="I259" s="28"/>
      <c r="J259" s="1"/>
      <c r="K259" s="1"/>
      <c r="L259" s="1"/>
      <c r="M259" s="1"/>
      <c r="P259" s="43" t="s">
        <v>14</v>
      </c>
      <c r="Q259" s="44"/>
      <c r="R259" s="44"/>
      <c r="S259" s="44"/>
      <c r="T259" s="45"/>
      <c r="U259" s="44"/>
      <c r="V259" s="44"/>
      <c r="W259" s="44"/>
      <c r="X259" s="44"/>
      <c r="Y259" s="44"/>
      <c r="Z259" s="44"/>
      <c r="AA259" s="44"/>
      <c r="AB259" s="1"/>
    </row>
    <row r="260" spans="1:29" ht="14.25" thickBot="1" x14ac:dyDescent="0.2">
      <c r="A260" s="2" t="s">
        <v>0</v>
      </c>
      <c r="B260" s="91" t="s">
        <v>16</v>
      </c>
      <c r="C260" s="91"/>
      <c r="D260" s="91"/>
      <c r="E260" s="92"/>
      <c r="F260" s="93" t="s">
        <v>12</v>
      </c>
      <c r="G260" s="93"/>
      <c r="H260" s="93"/>
      <c r="I260" s="94"/>
      <c r="J260" s="95" t="s">
        <v>13</v>
      </c>
      <c r="K260" s="95"/>
      <c r="L260" s="95"/>
      <c r="M260" s="95"/>
      <c r="N260" s="96" t="s">
        <v>1</v>
      </c>
      <c r="P260" s="2" t="s">
        <v>0</v>
      </c>
      <c r="Q260" s="91" t="s">
        <v>16</v>
      </c>
      <c r="R260" s="91"/>
      <c r="S260" s="91"/>
      <c r="T260" s="92"/>
      <c r="U260" s="93" t="s">
        <v>12</v>
      </c>
      <c r="V260" s="93"/>
      <c r="W260" s="93"/>
      <c r="X260" s="94"/>
      <c r="Y260" s="95" t="s">
        <v>13</v>
      </c>
      <c r="Z260" s="95"/>
      <c r="AA260" s="95"/>
      <c r="AB260" s="95"/>
      <c r="AC260" s="96" t="s">
        <v>1</v>
      </c>
    </row>
    <row r="261" spans="1:29" ht="14.25" thickBot="1" x14ac:dyDescent="0.2">
      <c r="A261" s="2" t="s">
        <v>2</v>
      </c>
      <c r="B261" s="3" t="s">
        <v>3</v>
      </c>
      <c r="C261" s="34" t="s">
        <v>4</v>
      </c>
      <c r="D261" s="4" t="s">
        <v>5</v>
      </c>
      <c r="E261" s="2" t="s">
        <v>6</v>
      </c>
      <c r="F261" s="3" t="s">
        <v>3</v>
      </c>
      <c r="G261" s="34" t="s">
        <v>4</v>
      </c>
      <c r="H261" s="4" t="s">
        <v>5</v>
      </c>
      <c r="I261" s="2" t="s">
        <v>6</v>
      </c>
      <c r="J261" s="3" t="s">
        <v>3</v>
      </c>
      <c r="K261" s="34" t="s">
        <v>4</v>
      </c>
      <c r="L261" s="4" t="s">
        <v>5</v>
      </c>
      <c r="M261" s="3" t="s">
        <v>6</v>
      </c>
      <c r="N261" s="97"/>
      <c r="P261" s="2" t="s">
        <v>2</v>
      </c>
      <c r="Q261" s="3" t="s">
        <v>3</v>
      </c>
      <c r="R261" s="34" t="s">
        <v>4</v>
      </c>
      <c r="S261" s="4" t="s">
        <v>5</v>
      </c>
      <c r="T261" s="2" t="s">
        <v>6</v>
      </c>
      <c r="U261" s="3" t="s">
        <v>3</v>
      </c>
      <c r="V261" s="34" t="s">
        <v>4</v>
      </c>
      <c r="W261" s="4" t="s">
        <v>5</v>
      </c>
      <c r="X261" s="2" t="s">
        <v>6</v>
      </c>
      <c r="Y261" s="3" t="s">
        <v>3</v>
      </c>
      <c r="Z261" s="34" t="s">
        <v>4</v>
      </c>
      <c r="AA261" s="4" t="s">
        <v>5</v>
      </c>
      <c r="AB261" s="3" t="s">
        <v>6</v>
      </c>
      <c r="AC261" s="97"/>
    </row>
    <row r="262" spans="1:29" ht="14.25" thickBot="1" x14ac:dyDescent="0.2">
      <c r="A262" s="40" t="s">
        <v>10</v>
      </c>
      <c r="B262" s="41">
        <f>B256</f>
        <v>6</v>
      </c>
      <c r="C262" s="42">
        <f t="shared" ref="C262:M262" si="399">C256</f>
        <v>8</v>
      </c>
      <c r="D262" s="41">
        <f t="shared" si="399"/>
        <v>5</v>
      </c>
      <c r="E262" s="14">
        <f t="shared" si="399"/>
        <v>19</v>
      </c>
      <c r="F262" s="41">
        <f t="shared" si="399"/>
        <v>6</v>
      </c>
      <c r="G262" s="42">
        <f t="shared" si="399"/>
        <v>5</v>
      </c>
      <c r="H262" s="41">
        <f t="shared" si="399"/>
        <v>6</v>
      </c>
      <c r="I262" s="14">
        <f t="shared" si="399"/>
        <v>17</v>
      </c>
      <c r="J262" s="41">
        <f t="shared" si="399"/>
        <v>4</v>
      </c>
      <c r="K262" s="42">
        <f t="shared" si="399"/>
        <v>4</v>
      </c>
      <c r="L262" s="41">
        <f t="shared" si="399"/>
        <v>5</v>
      </c>
      <c r="M262" s="14">
        <f t="shared" si="399"/>
        <v>13</v>
      </c>
      <c r="N262" s="15">
        <f>N256</f>
        <v>49</v>
      </c>
      <c r="P262" s="40" t="s">
        <v>10</v>
      </c>
      <c r="Q262" s="54">
        <f>Q256</f>
        <v>660</v>
      </c>
      <c r="R262" s="55">
        <f t="shared" ref="R262:AB262" si="400">R256</f>
        <v>650</v>
      </c>
      <c r="S262" s="54">
        <f t="shared" si="400"/>
        <v>488</v>
      </c>
      <c r="T262" s="14">
        <f t="shared" si="400"/>
        <v>1798</v>
      </c>
      <c r="U262" s="54">
        <f t="shared" si="400"/>
        <v>647</v>
      </c>
      <c r="V262" s="55">
        <f t="shared" si="400"/>
        <v>648</v>
      </c>
      <c r="W262" s="54">
        <f t="shared" si="400"/>
        <v>491</v>
      </c>
      <c r="X262" s="14">
        <f t="shared" si="400"/>
        <v>1786</v>
      </c>
      <c r="Y262" s="54">
        <f t="shared" si="400"/>
        <v>630</v>
      </c>
      <c r="Z262" s="55">
        <f t="shared" si="400"/>
        <v>623</v>
      </c>
      <c r="AA262" s="54">
        <f t="shared" si="400"/>
        <v>474</v>
      </c>
      <c r="AB262" s="14">
        <f t="shared" si="400"/>
        <v>1727</v>
      </c>
      <c r="AC262" s="15">
        <f>AC256</f>
        <v>5311</v>
      </c>
    </row>
    <row r="263" spans="1:29" x14ac:dyDescent="0.15">
      <c r="A263" s="74" t="s">
        <v>7</v>
      </c>
      <c r="B263" s="75">
        <v>3</v>
      </c>
      <c r="C263" s="76"/>
      <c r="D263" s="75">
        <v>3</v>
      </c>
      <c r="E263" s="77">
        <f t="shared" ref="E263:E272" si="401">SUM(B263:D263)</f>
        <v>6</v>
      </c>
      <c r="F263" s="75">
        <v>3</v>
      </c>
      <c r="G263" s="76"/>
      <c r="H263" s="75"/>
      <c r="I263" s="77">
        <f t="shared" ref="I263:I272" si="402">SUM(F263:H263)</f>
        <v>3</v>
      </c>
      <c r="J263" s="75">
        <v>2</v>
      </c>
      <c r="K263" s="76">
        <v>3</v>
      </c>
      <c r="L263" s="75">
        <v>3</v>
      </c>
      <c r="M263" s="77">
        <f t="shared" ref="M263:M272" si="403">SUM(J263:L263)</f>
        <v>8</v>
      </c>
      <c r="N263" s="78">
        <f t="shared" ref="N263:N272" si="404">E263+I263+M263</f>
        <v>17</v>
      </c>
      <c r="O263" s="79">
        <v>45945</v>
      </c>
      <c r="P263" s="39" t="s">
        <v>7</v>
      </c>
      <c r="Q263" s="56"/>
      <c r="R263" s="57"/>
      <c r="S263" s="56"/>
      <c r="T263" s="6">
        <f t="shared" ref="T263:T272" si="405">SUM(Q263:S263)</f>
        <v>0</v>
      </c>
      <c r="U263" s="56"/>
      <c r="V263" s="57"/>
      <c r="W263" s="56"/>
      <c r="X263" s="6">
        <f t="shared" ref="X263:X272" si="406">SUM(U263:W263)</f>
        <v>0</v>
      </c>
      <c r="Y263" s="56"/>
      <c r="Z263" s="57"/>
      <c r="AA263" s="56"/>
      <c r="AB263" s="6">
        <f t="shared" ref="AB263:AB272" si="407">SUM(Y263:AA263)</f>
        <v>0</v>
      </c>
      <c r="AC263" s="7">
        <f t="shared" ref="AC263:AC272" si="408">T263+X263+AB263</f>
        <v>0</v>
      </c>
    </row>
    <row r="264" spans="1:29" x14ac:dyDescent="0.15">
      <c r="A264" s="74" t="s">
        <v>7</v>
      </c>
      <c r="B264" s="75"/>
      <c r="C264" s="76"/>
      <c r="D264" s="75">
        <v>3</v>
      </c>
      <c r="E264" s="77">
        <f t="shared" si="401"/>
        <v>3</v>
      </c>
      <c r="F264" s="75"/>
      <c r="G264" s="76">
        <v>3</v>
      </c>
      <c r="H264" s="75">
        <v>3</v>
      </c>
      <c r="I264" s="77">
        <f t="shared" si="402"/>
        <v>6</v>
      </c>
      <c r="J264" s="75">
        <v>3</v>
      </c>
      <c r="K264" s="76">
        <v>3</v>
      </c>
      <c r="L264" s="75">
        <v>3</v>
      </c>
      <c r="M264" s="77">
        <f t="shared" si="403"/>
        <v>9</v>
      </c>
      <c r="N264" s="78">
        <f t="shared" si="404"/>
        <v>18</v>
      </c>
      <c r="O264" s="79">
        <v>45953</v>
      </c>
      <c r="P264" s="39" t="s">
        <v>7</v>
      </c>
      <c r="Q264" s="56"/>
      <c r="R264" s="57"/>
      <c r="S264" s="56"/>
      <c r="T264" s="6">
        <f t="shared" si="405"/>
        <v>0</v>
      </c>
      <c r="U264" s="56"/>
      <c r="V264" s="57"/>
      <c r="W264" s="56"/>
      <c r="X264" s="6">
        <f t="shared" si="406"/>
        <v>0</v>
      </c>
      <c r="Y264" s="56"/>
      <c r="Z264" s="57"/>
      <c r="AA264" s="56"/>
      <c r="AB264" s="6">
        <f t="shared" si="407"/>
        <v>0</v>
      </c>
      <c r="AC264" s="7">
        <f t="shared" si="408"/>
        <v>0</v>
      </c>
    </row>
    <row r="265" spans="1:29" x14ac:dyDescent="0.15">
      <c r="A265" s="74" t="s">
        <v>7</v>
      </c>
      <c r="B265" s="75">
        <v>5</v>
      </c>
      <c r="C265" s="76">
        <v>5</v>
      </c>
      <c r="D265" s="75">
        <v>3</v>
      </c>
      <c r="E265" s="77">
        <f t="shared" si="401"/>
        <v>13</v>
      </c>
      <c r="F265" s="75">
        <v>5</v>
      </c>
      <c r="G265" s="76">
        <v>5</v>
      </c>
      <c r="H265" s="75">
        <v>5</v>
      </c>
      <c r="I265" s="77">
        <f t="shared" si="402"/>
        <v>15</v>
      </c>
      <c r="J265" s="75">
        <v>5</v>
      </c>
      <c r="K265" s="76">
        <v>5</v>
      </c>
      <c r="L265" s="75">
        <v>3</v>
      </c>
      <c r="M265" s="77">
        <f t="shared" si="403"/>
        <v>13</v>
      </c>
      <c r="N265" s="78">
        <f t="shared" si="404"/>
        <v>41</v>
      </c>
      <c r="O265" s="79">
        <v>45960</v>
      </c>
      <c r="P265" s="39" t="s">
        <v>7</v>
      </c>
      <c r="Q265" s="56"/>
      <c r="R265" s="57"/>
      <c r="S265" s="56"/>
      <c r="T265" s="6">
        <f t="shared" si="405"/>
        <v>0</v>
      </c>
      <c r="U265" s="56"/>
      <c r="V265" s="57"/>
      <c r="W265" s="56"/>
      <c r="X265" s="6">
        <f t="shared" si="406"/>
        <v>0</v>
      </c>
      <c r="Y265" s="56"/>
      <c r="Z265" s="57"/>
      <c r="AA265" s="56"/>
      <c r="AB265" s="6">
        <f t="shared" si="407"/>
        <v>0</v>
      </c>
      <c r="AC265" s="7">
        <f t="shared" si="408"/>
        <v>0</v>
      </c>
    </row>
    <row r="266" spans="1:29" x14ac:dyDescent="0.15">
      <c r="A266" s="5" t="s">
        <v>212</v>
      </c>
      <c r="B266" s="16">
        <v>1</v>
      </c>
      <c r="C266" s="35"/>
      <c r="D266" s="9"/>
      <c r="E266" s="6">
        <f t="shared" si="401"/>
        <v>1</v>
      </c>
      <c r="F266" s="16">
        <v>1</v>
      </c>
      <c r="G266" s="35"/>
      <c r="H266" s="9"/>
      <c r="I266" s="6">
        <f t="shared" si="402"/>
        <v>1</v>
      </c>
      <c r="J266" s="16">
        <v>1</v>
      </c>
      <c r="K266" s="35"/>
      <c r="L266" s="9"/>
      <c r="M266" s="6">
        <f t="shared" si="403"/>
        <v>1</v>
      </c>
      <c r="N266" s="7">
        <f t="shared" si="404"/>
        <v>3</v>
      </c>
      <c r="O266" s="70">
        <v>45960</v>
      </c>
      <c r="P266" s="39" t="s">
        <v>7</v>
      </c>
      <c r="Q266" s="56"/>
      <c r="R266" s="57"/>
      <c r="S266" s="56"/>
      <c r="T266" s="6">
        <f t="shared" si="405"/>
        <v>0</v>
      </c>
      <c r="U266" s="56"/>
      <c r="V266" s="57"/>
      <c r="W266" s="56"/>
      <c r="X266" s="6">
        <f t="shared" si="406"/>
        <v>0</v>
      </c>
      <c r="Y266" s="56"/>
      <c r="Z266" s="57"/>
      <c r="AA266" s="56"/>
      <c r="AB266" s="6">
        <f t="shared" si="407"/>
        <v>0</v>
      </c>
      <c r="AC266" s="7">
        <f t="shared" si="408"/>
        <v>0</v>
      </c>
    </row>
    <row r="267" spans="1:29" x14ac:dyDescent="0.15">
      <c r="A267" s="74" t="s">
        <v>7</v>
      </c>
      <c r="B267" s="75"/>
      <c r="C267" s="76">
        <v>5</v>
      </c>
      <c r="D267" s="75"/>
      <c r="E267" s="77">
        <f t="shared" si="401"/>
        <v>5</v>
      </c>
      <c r="F267" s="75"/>
      <c r="G267" s="76">
        <v>5</v>
      </c>
      <c r="H267" s="75"/>
      <c r="I267" s="77">
        <f t="shared" si="402"/>
        <v>5</v>
      </c>
      <c r="J267" s="75"/>
      <c r="K267" s="76">
        <v>5</v>
      </c>
      <c r="L267" s="75"/>
      <c r="M267" s="77">
        <f t="shared" si="403"/>
        <v>5</v>
      </c>
      <c r="N267" s="78">
        <f t="shared" si="404"/>
        <v>15</v>
      </c>
      <c r="O267" s="79">
        <v>45972</v>
      </c>
      <c r="P267" s="39" t="s">
        <v>7</v>
      </c>
      <c r="Q267" s="56"/>
      <c r="R267" s="57"/>
      <c r="S267" s="56"/>
      <c r="T267" s="6">
        <f t="shared" si="405"/>
        <v>0</v>
      </c>
      <c r="U267" s="56"/>
      <c r="V267" s="57"/>
      <c r="W267" s="56"/>
      <c r="X267" s="6">
        <f t="shared" si="406"/>
        <v>0</v>
      </c>
      <c r="Y267" s="56"/>
      <c r="Z267" s="57"/>
      <c r="AA267" s="56"/>
      <c r="AB267" s="6">
        <f t="shared" si="407"/>
        <v>0</v>
      </c>
      <c r="AC267" s="7">
        <f t="shared" si="408"/>
        <v>0</v>
      </c>
    </row>
    <row r="268" spans="1:29" x14ac:dyDescent="0.15">
      <c r="A268" s="5" t="s">
        <v>212</v>
      </c>
      <c r="B268" s="9"/>
      <c r="C268" s="35">
        <v>1</v>
      </c>
      <c r="D268" s="9"/>
      <c r="E268" s="6">
        <f t="shared" si="401"/>
        <v>1</v>
      </c>
      <c r="F268" s="9"/>
      <c r="G268" s="35">
        <v>1</v>
      </c>
      <c r="H268" s="9"/>
      <c r="I268" s="6">
        <f t="shared" si="402"/>
        <v>1</v>
      </c>
      <c r="J268" s="9"/>
      <c r="K268" s="35">
        <v>1</v>
      </c>
      <c r="L268" s="9"/>
      <c r="M268" s="6">
        <f t="shared" si="403"/>
        <v>1</v>
      </c>
      <c r="N268" s="7">
        <f t="shared" si="404"/>
        <v>3</v>
      </c>
      <c r="O268" s="70">
        <v>45973</v>
      </c>
      <c r="P268" s="39" t="s">
        <v>7</v>
      </c>
      <c r="Q268" s="56"/>
      <c r="R268" s="57"/>
      <c r="S268" s="56"/>
      <c r="T268" s="6">
        <f t="shared" si="405"/>
        <v>0</v>
      </c>
      <c r="U268" s="56"/>
      <c r="V268" s="57"/>
      <c r="W268" s="56"/>
      <c r="X268" s="6">
        <f t="shared" si="406"/>
        <v>0</v>
      </c>
      <c r="Y268" s="56"/>
      <c r="Z268" s="57"/>
      <c r="AA268" s="56"/>
      <c r="AB268" s="6">
        <f t="shared" si="407"/>
        <v>0</v>
      </c>
      <c r="AC268" s="7">
        <f t="shared" si="408"/>
        <v>0</v>
      </c>
    </row>
    <row r="269" spans="1:29" x14ac:dyDescent="0.15">
      <c r="A269" s="5" t="s">
        <v>7</v>
      </c>
      <c r="B269" s="9"/>
      <c r="C269" s="35">
        <v>5</v>
      </c>
      <c r="D269" s="9">
        <v>3</v>
      </c>
      <c r="E269" s="6">
        <f t="shared" si="401"/>
        <v>8</v>
      </c>
      <c r="F269" s="9"/>
      <c r="G269" s="35">
        <v>5</v>
      </c>
      <c r="H269" s="9">
        <v>3</v>
      </c>
      <c r="I269" s="6">
        <f t="shared" si="402"/>
        <v>8</v>
      </c>
      <c r="J269" s="9"/>
      <c r="K269" s="35">
        <v>7</v>
      </c>
      <c r="L269" s="9">
        <v>3</v>
      </c>
      <c r="M269" s="6">
        <f t="shared" si="403"/>
        <v>10</v>
      </c>
      <c r="N269" s="7">
        <f t="shared" si="404"/>
        <v>26</v>
      </c>
      <c r="O269" s="30">
        <v>45987</v>
      </c>
      <c r="P269" s="39" t="s">
        <v>7</v>
      </c>
      <c r="Q269" s="56"/>
      <c r="R269" s="57"/>
      <c r="S269" s="56"/>
      <c r="T269" s="6">
        <f t="shared" si="405"/>
        <v>0</v>
      </c>
      <c r="U269" s="56"/>
      <c r="V269" s="57"/>
      <c r="W269" s="56"/>
      <c r="X269" s="6">
        <f t="shared" si="406"/>
        <v>0</v>
      </c>
      <c r="Y269" s="56"/>
      <c r="Z269" s="57"/>
      <c r="AA269" s="56"/>
      <c r="AB269" s="6">
        <f t="shared" si="407"/>
        <v>0</v>
      </c>
      <c r="AC269" s="7">
        <f t="shared" si="408"/>
        <v>0</v>
      </c>
    </row>
    <row r="270" spans="1:29" x14ac:dyDescent="0.15">
      <c r="A270" s="5" t="s">
        <v>7</v>
      </c>
      <c r="B270" s="9"/>
      <c r="C270" s="35"/>
      <c r="D270" s="9"/>
      <c r="E270" s="6">
        <f t="shared" si="401"/>
        <v>0</v>
      </c>
      <c r="F270" s="9"/>
      <c r="G270" s="35"/>
      <c r="H270" s="9"/>
      <c r="I270" s="6">
        <f t="shared" si="402"/>
        <v>0</v>
      </c>
      <c r="J270" s="9"/>
      <c r="K270" s="35"/>
      <c r="L270" s="9"/>
      <c r="M270" s="6">
        <f t="shared" si="403"/>
        <v>0</v>
      </c>
      <c r="N270" s="7">
        <f t="shared" si="404"/>
        <v>0</v>
      </c>
      <c r="P270" s="39" t="s">
        <v>7</v>
      </c>
      <c r="Q270" s="56"/>
      <c r="R270" s="57"/>
      <c r="S270" s="56"/>
      <c r="T270" s="6">
        <f t="shared" si="405"/>
        <v>0</v>
      </c>
      <c r="U270" s="56"/>
      <c r="V270" s="57"/>
      <c r="W270" s="56"/>
      <c r="X270" s="6">
        <f t="shared" si="406"/>
        <v>0</v>
      </c>
      <c r="Y270" s="56"/>
      <c r="Z270" s="57"/>
      <c r="AA270" s="56"/>
      <c r="AB270" s="6">
        <f t="shared" si="407"/>
        <v>0</v>
      </c>
      <c r="AC270" s="7">
        <f t="shared" si="408"/>
        <v>0</v>
      </c>
    </row>
    <row r="271" spans="1:29" x14ac:dyDescent="0.15">
      <c r="A271" s="5" t="s">
        <v>7</v>
      </c>
      <c r="B271" s="9"/>
      <c r="C271" s="35"/>
      <c r="D271" s="9"/>
      <c r="E271" s="6">
        <f t="shared" si="401"/>
        <v>0</v>
      </c>
      <c r="F271" s="9"/>
      <c r="G271" s="35"/>
      <c r="H271" s="9"/>
      <c r="I271" s="6">
        <f t="shared" si="402"/>
        <v>0</v>
      </c>
      <c r="J271" s="9"/>
      <c r="K271" s="35"/>
      <c r="L271" s="9"/>
      <c r="M271" s="6">
        <f t="shared" si="403"/>
        <v>0</v>
      </c>
      <c r="N271" s="7">
        <f t="shared" si="404"/>
        <v>0</v>
      </c>
      <c r="P271" s="5" t="s">
        <v>7</v>
      </c>
      <c r="Q271" s="58"/>
      <c r="R271" s="59"/>
      <c r="S271" s="58"/>
      <c r="T271" s="6">
        <f t="shared" si="405"/>
        <v>0</v>
      </c>
      <c r="U271" s="58"/>
      <c r="V271" s="59"/>
      <c r="W271" s="58"/>
      <c r="X271" s="6">
        <f t="shared" si="406"/>
        <v>0</v>
      </c>
      <c r="Y271" s="58"/>
      <c r="Z271" s="59"/>
      <c r="AA271" s="58"/>
      <c r="AB271" s="6">
        <f t="shared" si="407"/>
        <v>0</v>
      </c>
      <c r="AC271" s="7">
        <f t="shared" si="408"/>
        <v>0</v>
      </c>
    </row>
    <row r="272" spans="1:29" ht="14.25" thickBot="1" x14ac:dyDescent="0.2">
      <c r="A272" s="10" t="s">
        <v>7</v>
      </c>
      <c r="B272" s="11"/>
      <c r="C272" s="36"/>
      <c r="D272" s="11"/>
      <c r="E272" s="6">
        <f t="shared" si="401"/>
        <v>0</v>
      </c>
      <c r="F272" s="11"/>
      <c r="G272" s="36"/>
      <c r="H272" s="11"/>
      <c r="I272" s="6">
        <f t="shared" si="402"/>
        <v>0</v>
      </c>
      <c r="J272" s="11"/>
      <c r="K272" s="36"/>
      <c r="L272" s="11"/>
      <c r="M272" s="6">
        <f t="shared" si="403"/>
        <v>0</v>
      </c>
      <c r="N272" s="7">
        <f t="shared" si="404"/>
        <v>0</v>
      </c>
      <c r="P272" s="5" t="s">
        <v>7</v>
      </c>
      <c r="Q272" s="58"/>
      <c r="R272" s="59"/>
      <c r="S272" s="58"/>
      <c r="T272" s="6">
        <f t="shared" si="405"/>
        <v>0</v>
      </c>
      <c r="U272" s="58"/>
      <c r="V272" s="59"/>
      <c r="W272" s="58"/>
      <c r="X272" s="6">
        <f t="shared" si="406"/>
        <v>0</v>
      </c>
      <c r="Y272" s="58"/>
      <c r="Z272" s="59"/>
      <c r="AA272" s="58"/>
      <c r="AB272" s="6">
        <f t="shared" si="407"/>
        <v>0</v>
      </c>
      <c r="AC272" s="7">
        <f t="shared" si="408"/>
        <v>0</v>
      </c>
    </row>
    <row r="273" spans="1:30" ht="14.25" thickBot="1" x14ac:dyDescent="0.2">
      <c r="A273" s="12" t="s">
        <v>8</v>
      </c>
      <c r="B273" s="13">
        <f>SUM(B262:B272)</f>
        <v>15</v>
      </c>
      <c r="C273" s="37">
        <f t="shared" ref="C273:N273" si="409">SUM(C262:C272)</f>
        <v>24</v>
      </c>
      <c r="D273" s="31">
        <f t="shared" si="409"/>
        <v>17</v>
      </c>
      <c r="E273" s="14">
        <f t="shared" si="409"/>
        <v>56</v>
      </c>
      <c r="F273" s="13">
        <f t="shared" si="409"/>
        <v>15</v>
      </c>
      <c r="G273" s="37">
        <f t="shared" si="409"/>
        <v>24</v>
      </c>
      <c r="H273" s="31">
        <f t="shared" si="409"/>
        <v>17</v>
      </c>
      <c r="I273" s="14">
        <f t="shared" si="409"/>
        <v>56</v>
      </c>
      <c r="J273" s="13">
        <f t="shared" si="409"/>
        <v>15</v>
      </c>
      <c r="K273" s="37">
        <f t="shared" si="409"/>
        <v>28</v>
      </c>
      <c r="L273" s="31">
        <f t="shared" si="409"/>
        <v>17</v>
      </c>
      <c r="M273" s="14">
        <f t="shared" si="409"/>
        <v>60</v>
      </c>
      <c r="N273" s="15">
        <f t="shared" si="409"/>
        <v>172</v>
      </c>
      <c r="P273" s="12" t="s">
        <v>8</v>
      </c>
      <c r="Q273" s="13">
        <f>SUM(Q262:Q272)</f>
        <v>660</v>
      </c>
      <c r="R273" s="37">
        <f t="shared" ref="R273:AC273" si="410">SUM(R262:R272)</f>
        <v>650</v>
      </c>
      <c r="S273" s="31">
        <f t="shared" si="410"/>
        <v>488</v>
      </c>
      <c r="T273" s="14">
        <f t="shared" si="410"/>
        <v>1798</v>
      </c>
      <c r="U273" s="13">
        <f t="shared" si="410"/>
        <v>647</v>
      </c>
      <c r="V273" s="37">
        <f t="shared" si="410"/>
        <v>648</v>
      </c>
      <c r="W273" s="31">
        <f t="shared" si="410"/>
        <v>491</v>
      </c>
      <c r="X273" s="14">
        <f t="shared" si="410"/>
        <v>1786</v>
      </c>
      <c r="Y273" s="13">
        <f t="shared" si="410"/>
        <v>630</v>
      </c>
      <c r="Z273" s="37">
        <f t="shared" si="410"/>
        <v>623</v>
      </c>
      <c r="AA273" s="31">
        <f t="shared" si="410"/>
        <v>474</v>
      </c>
      <c r="AB273" s="14">
        <f t="shared" si="410"/>
        <v>1727</v>
      </c>
      <c r="AC273" s="15">
        <f t="shared" si="410"/>
        <v>5311</v>
      </c>
    </row>
    <row r="274" spans="1:30" x14ac:dyDescent="0.15">
      <c r="A274" s="47" t="s">
        <v>205</v>
      </c>
      <c r="B274" s="16"/>
      <c r="C274" s="35">
        <v>1</v>
      </c>
      <c r="D274" s="9"/>
      <c r="E274" s="6">
        <f t="shared" ref="E274:E297" si="411">SUM(B274:D274)</f>
        <v>1</v>
      </c>
      <c r="F274" s="16"/>
      <c r="G274" s="35">
        <v>1</v>
      </c>
      <c r="H274" s="9"/>
      <c r="I274" s="6">
        <f t="shared" ref="I274:I297" si="412">SUM(F274:H274)</f>
        <v>1</v>
      </c>
      <c r="J274" s="16"/>
      <c r="K274" s="35">
        <v>1</v>
      </c>
      <c r="L274" s="9"/>
      <c r="M274" s="6">
        <f t="shared" ref="M274:M297" si="413">SUM(J274:L274)</f>
        <v>1</v>
      </c>
      <c r="N274" s="7">
        <f t="shared" ref="N274:N297" si="414">E274+I274+M274</f>
        <v>3</v>
      </c>
      <c r="O274" s="30">
        <v>45931</v>
      </c>
      <c r="P274" s="47" t="s">
        <v>205</v>
      </c>
      <c r="Q274" s="16">
        <v>5</v>
      </c>
      <c r="R274" s="35"/>
      <c r="S274" s="9">
        <v>1</v>
      </c>
      <c r="T274" s="6">
        <f t="shared" ref="T274:T291" si="415">SUM(Q274:S274)</f>
        <v>6</v>
      </c>
      <c r="U274" s="16">
        <v>5</v>
      </c>
      <c r="V274" s="35"/>
      <c r="W274" s="9">
        <v>1</v>
      </c>
      <c r="X274" s="6">
        <f t="shared" ref="X274:X291" si="416">SUM(U274:W274)</f>
        <v>6</v>
      </c>
      <c r="Y274" s="16">
        <v>5</v>
      </c>
      <c r="Z274" s="35"/>
      <c r="AA274" s="9">
        <v>1</v>
      </c>
      <c r="AB274" s="6">
        <f t="shared" ref="AB274:AB291" si="417">SUM(Y274:AA274)</f>
        <v>6</v>
      </c>
      <c r="AC274" s="7">
        <f t="shared" ref="AC274:AC291" si="418">T274+X274+AB274</f>
        <v>18</v>
      </c>
      <c r="AD274" s="22">
        <v>45933</v>
      </c>
    </row>
    <row r="275" spans="1:30" x14ac:dyDescent="0.15">
      <c r="A275" s="47" t="s">
        <v>205</v>
      </c>
      <c r="B275" s="16">
        <v>1</v>
      </c>
      <c r="C275" s="35"/>
      <c r="D275" s="9"/>
      <c r="E275" s="6">
        <f t="shared" si="411"/>
        <v>1</v>
      </c>
      <c r="F275" s="16">
        <v>1</v>
      </c>
      <c r="G275" s="35"/>
      <c r="H275" s="9"/>
      <c r="I275" s="6">
        <f t="shared" si="412"/>
        <v>1</v>
      </c>
      <c r="J275" s="16">
        <v>1</v>
      </c>
      <c r="K275" s="35"/>
      <c r="L275" s="9"/>
      <c r="M275" s="6">
        <f t="shared" si="413"/>
        <v>1</v>
      </c>
      <c r="N275" s="7">
        <f t="shared" si="414"/>
        <v>3</v>
      </c>
      <c r="O275" s="30">
        <v>45932</v>
      </c>
      <c r="P275" s="47" t="s">
        <v>205</v>
      </c>
      <c r="Q275" s="16">
        <v>2</v>
      </c>
      <c r="R275" s="35">
        <v>2</v>
      </c>
      <c r="S275" s="9">
        <v>2</v>
      </c>
      <c r="T275" s="6">
        <f t="shared" si="415"/>
        <v>6</v>
      </c>
      <c r="U275" s="16">
        <v>2</v>
      </c>
      <c r="V275" s="35">
        <v>2</v>
      </c>
      <c r="W275" s="9">
        <v>2</v>
      </c>
      <c r="X275" s="6">
        <f t="shared" si="416"/>
        <v>6</v>
      </c>
      <c r="Y275" s="16">
        <v>2</v>
      </c>
      <c r="Z275" s="35">
        <v>2</v>
      </c>
      <c r="AA275" s="9">
        <v>2</v>
      </c>
      <c r="AB275" s="6">
        <f t="shared" si="417"/>
        <v>6</v>
      </c>
      <c r="AC275" s="7">
        <f t="shared" si="418"/>
        <v>18</v>
      </c>
      <c r="AD275" s="22">
        <v>45933</v>
      </c>
    </row>
    <row r="276" spans="1:30" x14ac:dyDescent="0.15">
      <c r="A276" s="47" t="s">
        <v>205</v>
      </c>
      <c r="B276" s="16">
        <v>1</v>
      </c>
      <c r="C276" s="35"/>
      <c r="D276" s="9"/>
      <c r="E276" s="6">
        <f t="shared" si="411"/>
        <v>1</v>
      </c>
      <c r="F276" s="16">
        <v>1</v>
      </c>
      <c r="G276" s="35"/>
      <c r="H276" s="9"/>
      <c r="I276" s="6">
        <f t="shared" si="412"/>
        <v>1</v>
      </c>
      <c r="J276" s="16">
        <v>1</v>
      </c>
      <c r="K276" s="35"/>
      <c r="L276" s="9"/>
      <c r="M276" s="6">
        <f t="shared" si="413"/>
        <v>1</v>
      </c>
      <c r="N276" s="7">
        <f t="shared" si="414"/>
        <v>3</v>
      </c>
      <c r="O276" s="30">
        <v>45938</v>
      </c>
      <c r="P276" s="47" t="s">
        <v>208</v>
      </c>
      <c r="Q276" s="16">
        <v>3</v>
      </c>
      <c r="R276" s="35"/>
      <c r="S276" s="9">
        <v>3</v>
      </c>
      <c r="T276" s="6">
        <f t="shared" ref="T276" si="419">SUM(Q276:S276)</f>
        <v>6</v>
      </c>
      <c r="U276" s="16">
        <v>3</v>
      </c>
      <c r="V276" s="35"/>
      <c r="W276" s="9"/>
      <c r="X276" s="6">
        <f t="shared" ref="X276" si="420">SUM(U276:W276)</f>
        <v>3</v>
      </c>
      <c r="Y276" s="16">
        <v>2</v>
      </c>
      <c r="Z276" s="35">
        <v>3</v>
      </c>
      <c r="AA276" s="9">
        <v>3</v>
      </c>
      <c r="AB276" s="6">
        <f t="shared" ref="AB276" si="421">SUM(Y276:AA276)</f>
        <v>8</v>
      </c>
      <c r="AC276" s="7">
        <f t="shared" ref="AC276" si="422">T276+X276+AB276</f>
        <v>17</v>
      </c>
      <c r="AD276" s="22">
        <v>45945</v>
      </c>
    </row>
    <row r="277" spans="1:30" x14ac:dyDescent="0.15">
      <c r="A277" s="47" t="s">
        <v>205</v>
      </c>
      <c r="B277" s="16"/>
      <c r="C277" s="35">
        <v>1</v>
      </c>
      <c r="D277" s="9"/>
      <c r="E277" s="6">
        <f t="shared" si="411"/>
        <v>1</v>
      </c>
      <c r="F277" s="16"/>
      <c r="G277" s="35">
        <v>1</v>
      </c>
      <c r="H277" s="9"/>
      <c r="I277" s="6">
        <f t="shared" si="412"/>
        <v>1</v>
      </c>
      <c r="J277" s="16"/>
      <c r="K277" s="35">
        <v>1</v>
      </c>
      <c r="L277" s="9"/>
      <c r="M277" s="6">
        <f t="shared" si="413"/>
        <v>1</v>
      </c>
      <c r="N277" s="7">
        <f t="shared" si="414"/>
        <v>3</v>
      </c>
      <c r="O277" s="30">
        <v>45940</v>
      </c>
      <c r="P277" s="47" t="s">
        <v>205</v>
      </c>
      <c r="Q277" s="16">
        <v>2</v>
      </c>
      <c r="R277" s="35">
        <v>7</v>
      </c>
      <c r="S277" s="9"/>
      <c r="T277" s="6">
        <f t="shared" si="415"/>
        <v>9</v>
      </c>
      <c r="U277" s="16">
        <v>2</v>
      </c>
      <c r="V277" s="35">
        <v>7</v>
      </c>
      <c r="W277" s="9"/>
      <c r="X277" s="6">
        <f t="shared" si="416"/>
        <v>9</v>
      </c>
      <c r="Y277" s="16">
        <v>2</v>
      </c>
      <c r="Z277" s="35">
        <v>7</v>
      </c>
      <c r="AA277" s="9"/>
      <c r="AB277" s="6">
        <f t="shared" si="417"/>
        <v>9</v>
      </c>
      <c r="AC277" s="7">
        <f t="shared" si="418"/>
        <v>27</v>
      </c>
      <c r="AD277" s="22">
        <v>45947</v>
      </c>
    </row>
    <row r="278" spans="1:30" x14ac:dyDescent="0.15">
      <c r="A278" s="47" t="s">
        <v>205</v>
      </c>
      <c r="B278" s="16">
        <v>1</v>
      </c>
      <c r="C278" s="35"/>
      <c r="D278" s="9"/>
      <c r="E278" s="6">
        <f t="shared" si="411"/>
        <v>1</v>
      </c>
      <c r="F278" s="16">
        <v>1</v>
      </c>
      <c r="G278" s="35"/>
      <c r="H278" s="9"/>
      <c r="I278" s="6">
        <f t="shared" si="412"/>
        <v>1</v>
      </c>
      <c r="J278" s="16">
        <v>1</v>
      </c>
      <c r="K278" s="35"/>
      <c r="L278" s="9"/>
      <c r="M278" s="6">
        <f t="shared" si="413"/>
        <v>1</v>
      </c>
      <c r="N278" s="7">
        <f t="shared" si="414"/>
        <v>3</v>
      </c>
      <c r="O278" s="30">
        <v>45944</v>
      </c>
      <c r="P278" s="47" t="s">
        <v>205</v>
      </c>
      <c r="Q278" s="16"/>
      <c r="R278" s="35">
        <v>3</v>
      </c>
      <c r="S278" s="9">
        <v>1</v>
      </c>
      <c r="T278" s="6">
        <f t="shared" si="415"/>
        <v>4</v>
      </c>
      <c r="U278" s="16"/>
      <c r="V278" s="35">
        <v>3</v>
      </c>
      <c r="W278" s="9">
        <v>1</v>
      </c>
      <c r="X278" s="6">
        <f t="shared" si="416"/>
        <v>4</v>
      </c>
      <c r="Y278" s="16"/>
      <c r="Z278" s="35">
        <v>3</v>
      </c>
      <c r="AA278" s="9">
        <v>1</v>
      </c>
      <c r="AB278" s="6">
        <f t="shared" si="417"/>
        <v>4</v>
      </c>
      <c r="AC278" s="7">
        <f t="shared" si="418"/>
        <v>12</v>
      </c>
      <c r="AD278" s="22">
        <v>45947</v>
      </c>
    </row>
    <row r="279" spans="1:30" x14ac:dyDescent="0.15">
      <c r="A279" s="47" t="s">
        <v>205</v>
      </c>
      <c r="B279" s="16">
        <v>1</v>
      </c>
      <c r="C279" s="35"/>
      <c r="D279" s="9">
        <v>3</v>
      </c>
      <c r="E279" s="6">
        <f t="shared" si="411"/>
        <v>4</v>
      </c>
      <c r="F279" s="16">
        <v>1</v>
      </c>
      <c r="G279" s="35"/>
      <c r="H279" s="9">
        <v>3</v>
      </c>
      <c r="I279" s="6">
        <f t="shared" si="412"/>
        <v>4</v>
      </c>
      <c r="J279" s="16">
        <v>1</v>
      </c>
      <c r="K279" s="35"/>
      <c r="L279" s="9">
        <v>3</v>
      </c>
      <c r="M279" s="6">
        <f t="shared" si="413"/>
        <v>4</v>
      </c>
      <c r="N279" s="7">
        <f t="shared" si="414"/>
        <v>12</v>
      </c>
      <c r="O279" s="30">
        <v>45946</v>
      </c>
      <c r="P279" s="47" t="s">
        <v>209</v>
      </c>
      <c r="Q279" s="16">
        <v>6</v>
      </c>
      <c r="R279" s="35">
        <v>10</v>
      </c>
      <c r="S279" s="9">
        <v>6</v>
      </c>
      <c r="T279" s="6">
        <f t="shared" si="415"/>
        <v>22</v>
      </c>
      <c r="U279" s="16">
        <v>6</v>
      </c>
      <c r="V279" s="35">
        <v>10</v>
      </c>
      <c r="W279" s="9">
        <v>6</v>
      </c>
      <c r="X279" s="6">
        <f t="shared" si="416"/>
        <v>22</v>
      </c>
      <c r="Y279" s="16">
        <v>6</v>
      </c>
      <c r="Z279" s="35">
        <v>10</v>
      </c>
      <c r="AA279" s="9">
        <v>6</v>
      </c>
      <c r="AB279" s="6">
        <f t="shared" si="417"/>
        <v>22</v>
      </c>
      <c r="AC279" s="7">
        <f t="shared" si="418"/>
        <v>66</v>
      </c>
      <c r="AD279" s="22">
        <v>45954</v>
      </c>
    </row>
    <row r="280" spans="1:30" x14ac:dyDescent="0.15">
      <c r="A280" s="47" t="s">
        <v>205</v>
      </c>
      <c r="B280" s="16"/>
      <c r="C280" s="35">
        <v>1</v>
      </c>
      <c r="D280" s="9"/>
      <c r="E280" s="6">
        <f t="shared" si="411"/>
        <v>1</v>
      </c>
      <c r="F280" s="16"/>
      <c r="G280" s="35">
        <v>1</v>
      </c>
      <c r="H280" s="9"/>
      <c r="I280" s="6">
        <f t="shared" si="412"/>
        <v>1</v>
      </c>
      <c r="J280" s="16"/>
      <c r="K280" s="35">
        <v>1</v>
      </c>
      <c r="L280" s="9"/>
      <c r="M280" s="6">
        <f t="shared" si="413"/>
        <v>1</v>
      </c>
      <c r="N280" s="7">
        <f t="shared" si="414"/>
        <v>3</v>
      </c>
      <c r="O280" s="30">
        <v>45950</v>
      </c>
      <c r="P280" s="80" t="s">
        <v>46</v>
      </c>
      <c r="Q280" s="81"/>
      <c r="R280" s="76"/>
      <c r="S280" s="75">
        <v>3</v>
      </c>
      <c r="T280" s="77">
        <f t="shared" si="415"/>
        <v>3</v>
      </c>
      <c r="U280" s="81"/>
      <c r="V280" s="76">
        <v>3</v>
      </c>
      <c r="W280" s="75">
        <v>3</v>
      </c>
      <c r="X280" s="77">
        <f t="shared" si="416"/>
        <v>6</v>
      </c>
      <c r="Y280" s="81">
        <v>3</v>
      </c>
      <c r="Z280" s="76">
        <v>3</v>
      </c>
      <c r="AA280" s="75">
        <v>3</v>
      </c>
      <c r="AB280" s="77">
        <f t="shared" si="417"/>
        <v>9</v>
      </c>
      <c r="AC280" s="78">
        <f t="shared" si="418"/>
        <v>18</v>
      </c>
      <c r="AD280" s="82">
        <v>45953</v>
      </c>
    </row>
    <row r="281" spans="1:30" x14ac:dyDescent="0.15">
      <c r="A281" s="47" t="s">
        <v>205</v>
      </c>
      <c r="B281" s="16"/>
      <c r="C281" s="35">
        <v>1</v>
      </c>
      <c r="D281" s="9">
        <v>1</v>
      </c>
      <c r="E281" s="6">
        <f t="shared" si="411"/>
        <v>2</v>
      </c>
      <c r="F281" s="16"/>
      <c r="G281" s="35">
        <v>1</v>
      </c>
      <c r="H281" s="9">
        <v>1</v>
      </c>
      <c r="I281" s="6">
        <f t="shared" si="412"/>
        <v>2</v>
      </c>
      <c r="J281" s="16"/>
      <c r="K281" s="35">
        <v>1</v>
      </c>
      <c r="L281" s="9">
        <v>1</v>
      </c>
      <c r="M281" s="6">
        <f t="shared" si="413"/>
        <v>2</v>
      </c>
      <c r="N281" s="7">
        <f t="shared" si="414"/>
        <v>6</v>
      </c>
      <c r="O281" s="30">
        <v>45952</v>
      </c>
      <c r="P281" s="47" t="s">
        <v>46</v>
      </c>
      <c r="Q281" s="16">
        <v>5</v>
      </c>
      <c r="R281" s="35">
        <v>5</v>
      </c>
      <c r="S281" s="9">
        <v>3</v>
      </c>
      <c r="T281" s="6">
        <f t="shared" si="415"/>
        <v>13</v>
      </c>
      <c r="U281" s="16">
        <v>5</v>
      </c>
      <c r="V281" s="35">
        <v>5</v>
      </c>
      <c r="W281" s="9">
        <v>5</v>
      </c>
      <c r="X281" s="6">
        <f t="shared" si="416"/>
        <v>15</v>
      </c>
      <c r="Y281" s="16">
        <v>5</v>
      </c>
      <c r="Z281" s="35">
        <v>5</v>
      </c>
      <c r="AA281" s="9">
        <v>3</v>
      </c>
      <c r="AB281" s="6">
        <f t="shared" si="417"/>
        <v>13</v>
      </c>
      <c r="AC281" s="7">
        <f t="shared" si="418"/>
        <v>41</v>
      </c>
      <c r="AD281" s="22">
        <v>45960</v>
      </c>
    </row>
    <row r="282" spans="1:30" x14ac:dyDescent="0.15">
      <c r="A282" s="47" t="s">
        <v>205</v>
      </c>
      <c r="B282" s="16"/>
      <c r="C282" s="35">
        <v>1</v>
      </c>
      <c r="D282" s="9"/>
      <c r="E282" s="6">
        <f t="shared" si="411"/>
        <v>1</v>
      </c>
      <c r="F282" s="16"/>
      <c r="G282" s="35">
        <v>1</v>
      </c>
      <c r="H282" s="9"/>
      <c r="I282" s="6">
        <f t="shared" si="412"/>
        <v>1</v>
      </c>
      <c r="J282" s="16"/>
      <c r="K282" s="35">
        <v>1</v>
      </c>
      <c r="L282" s="9"/>
      <c r="M282" s="6">
        <f t="shared" si="413"/>
        <v>1</v>
      </c>
      <c r="N282" s="7">
        <f t="shared" si="414"/>
        <v>3</v>
      </c>
      <c r="O282" s="30">
        <v>45953</v>
      </c>
      <c r="P282" s="47" t="s">
        <v>46</v>
      </c>
      <c r="Q282" s="16"/>
      <c r="R282" s="35">
        <v>5</v>
      </c>
      <c r="S282" s="9"/>
      <c r="T282" s="6">
        <f t="shared" si="415"/>
        <v>5</v>
      </c>
      <c r="U282" s="16"/>
      <c r="V282" s="35">
        <v>5</v>
      </c>
      <c r="W282" s="9"/>
      <c r="X282" s="6">
        <f t="shared" si="416"/>
        <v>5</v>
      </c>
      <c r="Y282" s="16"/>
      <c r="Z282" s="35">
        <v>5</v>
      </c>
      <c r="AA282" s="9"/>
      <c r="AB282" s="6">
        <f t="shared" si="417"/>
        <v>5</v>
      </c>
      <c r="AC282" s="7">
        <f t="shared" si="418"/>
        <v>15</v>
      </c>
      <c r="AD282" s="22">
        <v>45972</v>
      </c>
    </row>
    <row r="283" spans="1:30" x14ac:dyDescent="0.15">
      <c r="A283" s="47" t="s">
        <v>205</v>
      </c>
      <c r="B283" s="16"/>
      <c r="C283" s="35"/>
      <c r="D283" s="9">
        <v>1</v>
      </c>
      <c r="E283" s="6">
        <f t="shared" si="411"/>
        <v>1</v>
      </c>
      <c r="F283" s="16"/>
      <c r="G283" s="35"/>
      <c r="H283" s="9">
        <v>1</v>
      </c>
      <c r="I283" s="6">
        <f t="shared" si="412"/>
        <v>1</v>
      </c>
      <c r="J283" s="16"/>
      <c r="K283" s="35"/>
      <c r="L283" s="9">
        <v>1</v>
      </c>
      <c r="M283" s="6">
        <f t="shared" si="413"/>
        <v>1</v>
      </c>
      <c r="N283" s="7">
        <f t="shared" si="414"/>
        <v>3</v>
      </c>
      <c r="O283" s="30">
        <v>45954</v>
      </c>
      <c r="P283" s="47" t="s">
        <v>205</v>
      </c>
      <c r="Q283" s="16"/>
      <c r="R283" s="35">
        <v>2</v>
      </c>
      <c r="S283" s="9"/>
      <c r="T283" s="6">
        <f t="shared" si="415"/>
        <v>2</v>
      </c>
      <c r="U283" s="16"/>
      <c r="V283" s="35">
        <v>2</v>
      </c>
      <c r="W283" s="9"/>
      <c r="X283" s="6">
        <f t="shared" si="416"/>
        <v>2</v>
      </c>
      <c r="Y283" s="16"/>
      <c r="Z283" s="35">
        <v>2</v>
      </c>
      <c r="AA283" s="9"/>
      <c r="AB283" s="6">
        <f t="shared" si="417"/>
        <v>2</v>
      </c>
      <c r="AC283" s="7">
        <f t="shared" si="418"/>
        <v>6</v>
      </c>
      <c r="AD283" s="22">
        <v>45988</v>
      </c>
    </row>
    <row r="284" spans="1:30" x14ac:dyDescent="0.15">
      <c r="A284" s="47" t="s">
        <v>205</v>
      </c>
      <c r="B284" s="16">
        <v>1</v>
      </c>
      <c r="C284" s="35"/>
      <c r="D284" s="9"/>
      <c r="E284" s="6">
        <f t="shared" si="411"/>
        <v>1</v>
      </c>
      <c r="F284" s="16">
        <v>1</v>
      </c>
      <c r="G284" s="35"/>
      <c r="H284" s="9"/>
      <c r="I284" s="6">
        <f t="shared" si="412"/>
        <v>1</v>
      </c>
      <c r="J284" s="16">
        <v>1</v>
      </c>
      <c r="K284" s="35"/>
      <c r="L284" s="9"/>
      <c r="M284" s="6">
        <f t="shared" si="413"/>
        <v>1</v>
      </c>
      <c r="N284" s="7">
        <f t="shared" si="414"/>
        <v>3</v>
      </c>
      <c r="O284" s="30">
        <v>45957</v>
      </c>
      <c r="P284" s="47" t="s">
        <v>215</v>
      </c>
      <c r="Q284" s="16"/>
      <c r="R284" s="35">
        <v>5</v>
      </c>
      <c r="S284" s="9">
        <v>3</v>
      </c>
      <c r="T284" s="6">
        <f t="shared" si="415"/>
        <v>8</v>
      </c>
      <c r="U284" s="16"/>
      <c r="V284" s="35">
        <v>5</v>
      </c>
      <c r="W284" s="9">
        <v>3</v>
      </c>
      <c r="X284" s="6">
        <f t="shared" si="416"/>
        <v>8</v>
      </c>
      <c r="Y284" s="16"/>
      <c r="Z284" s="35">
        <v>7</v>
      </c>
      <c r="AA284" s="9">
        <v>3</v>
      </c>
      <c r="AB284" s="6">
        <f t="shared" si="417"/>
        <v>10</v>
      </c>
      <c r="AC284" s="7">
        <f t="shared" si="418"/>
        <v>26</v>
      </c>
      <c r="AD284" s="22">
        <v>45987</v>
      </c>
    </row>
    <row r="285" spans="1:30" x14ac:dyDescent="0.15">
      <c r="A285" s="47" t="s">
        <v>205</v>
      </c>
      <c r="B285" s="16">
        <v>1</v>
      </c>
      <c r="C285" s="35">
        <v>1</v>
      </c>
      <c r="D285" s="9">
        <v>1</v>
      </c>
      <c r="E285" s="6">
        <f t="shared" si="411"/>
        <v>3</v>
      </c>
      <c r="F285" s="16">
        <v>1</v>
      </c>
      <c r="G285" s="35">
        <v>1</v>
      </c>
      <c r="H285" s="9">
        <v>1</v>
      </c>
      <c r="I285" s="6">
        <f t="shared" si="412"/>
        <v>3</v>
      </c>
      <c r="J285" s="16">
        <v>1</v>
      </c>
      <c r="K285" s="35">
        <v>1</v>
      </c>
      <c r="L285" s="9">
        <v>1</v>
      </c>
      <c r="M285" s="6">
        <f t="shared" si="413"/>
        <v>3</v>
      </c>
      <c r="N285" s="7">
        <f t="shared" si="414"/>
        <v>9</v>
      </c>
      <c r="O285" s="30">
        <v>45959</v>
      </c>
      <c r="P285" s="47" t="s">
        <v>205</v>
      </c>
      <c r="Q285" s="16">
        <v>5</v>
      </c>
      <c r="R285" s="35"/>
      <c r="S285" s="9"/>
      <c r="T285" s="6">
        <f t="shared" si="415"/>
        <v>5</v>
      </c>
      <c r="U285" s="16">
        <v>5</v>
      </c>
      <c r="V285" s="35"/>
      <c r="W285" s="9"/>
      <c r="X285" s="6">
        <f t="shared" si="416"/>
        <v>5</v>
      </c>
      <c r="Y285" s="16">
        <v>5</v>
      </c>
      <c r="Z285" s="35"/>
      <c r="AA285" s="9"/>
      <c r="AB285" s="6">
        <f t="shared" si="417"/>
        <v>5</v>
      </c>
      <c r="AC285" s="7">
        <f t="shared" si="418"/>
        <v>15</v>
      </c>
      <c r="AD285" s="22">
        <v>45989</v>
      </c>
    </row>
    <row r="286" spans="1:30" x14ac:dyDescent="0.15">
      <c r="A286" s="47" t="s">
        <v>205</v>
      </c>
      <c r="B286" s="16"/>
      <c r="C286" s="35">
        <v>1</v>
      </c>
      <c r="D286" s="9"/>
      <c r="E286" s="6">
        <f t="shared" si="411"/>
        <v>1</v>
      </c>
      <c r="F286" s="16"/>
      <c r="G286" s="35">
        <v>1</v>
      </c>
      <c r="H286" s="9"/>
      <c r="I286" s="6">
        <f t="shared" si="412"/>
        <v>1</v>
      </c>
      <c r="J286" s="16"/>
      <c r="K286" s="35">
        <v>1</v>
      </c>
      <c r="L286" s="9"/>
      <c r="M286" s="6">
        <f t="shared" si="413"/>
        <v>1</v>
      </c>
      <c r="N286" s="7">
        <f t="shared" si="414"/>
        <v>3</v>
      </c>
      <c r="O286" s="30">
        <v>45960</v>
      </c>
      <c r="P286" s="48"/>
      <c r="Q286" s="16"/>
      <c r="R286" s="35"/>
      <c r="S286" s="9"/>
      <c r="T286" s="6">
        <f t="shared" si="415"/>
        <v>0</v>
      </c>
      <c r="U286" s="16"/>
      <c r="V286" s="35"/>
      <c r="W286" s="9"/>
      <c r="X286" s="6">
        <f t="shared" si="416"/>
        <v>0</v>
      </c>
      <c r="Y286" s="16"/>
      <c r="Z286" s="35"/>
      <c r="AA286" s="9"/>
      <c r="AB286" s="6">
        <f t="shared" si="417"/>
        <v>0</v>
      </c>
      <c r="AC286" s="7">
        <f t="shared" si="418"/>
        <v>0</v>
      </c>
    </row>
    <row r="287" spans="1:30" x14ac:dyDescent="0.15">
      <c r="A287" s="47" t="s">
        <v>205</v>
      </c>
      <c r="B287" s="16"/>
      <c r="C287" s="35">
        <v>1</v>
      </c>
      <c r="D287" s="9"/>
      <c r="E287" s="6">
        <f t="shared" si="411"/>
        <v>1</v>
      </c>
      <c r="F287" s="16"/>
      <c r="G287" s="35">
        <v>1</v>
      </c>
      <c r="H287" s="9"/>
      <c r="I287" s="6">
        <f t="shared" si="412"/>
        <v>1</v>
      </c>
      <c r="J287" s="16"/>
      <c r="K287" s="35">
        <v>1</v>
      </c>
      <c r="L287" s="9"/>
      <c r="M287" s="6">
        <f t="shared" si="413"/>
        <v>1</v>
      </c>
      <c r="N287" s="7">
        <f t="shared" si="414"/>
        <v>3</v>
      </c>
      <c r="O287" s="30">
        <v>45961</v>
      </c>
      <c r="P287" s="47"/>
      <c r="Q287" s="16"/>
      <c r="R287" s="35"/>
      <c r="S287" s="9"/>
      <c r="T287" s="6">
        <f t="shared" si="415"/>
        <v>0</v>
      </c>
      <c r="U287" s="16"/>
      <c r="V287" s="35"/>
      <c r="W287" s="9"/>
      <c r="X287" s="6">
        <f t="shared" si="416"/>
        <v>0</v>
      </c>
      <c r="Y287" s="16"/>
      <c r="Z287" s="35"/>
      <c r="AA287" s="9"/>
      <c r="AB287" s="6">
        <f t="shared" si="417"/>
        <v>0</v>
      </c>
      <c r="AC287" s="7">
        <f t="shared" si="418"/>
        <v>0</v>
      </c>
    </row>
    <row r="288" spans="1:30" x14ac:dyDescent="0.15">
      <c r="A288" s="47" t="s">
        <v>205</v>
      </c>
      <c r="B288" s="16"/>
      <c r="C288" s="35">
        <v>1</v>
      </c>
      <c r="D288" s="9"/>
      <c r="E288" s="6">
        <f t="shared" si="411"/>
        <v>1</v>
      </c>
      <c r="F288" s="16"/>
      <c r="G288" s="35">
        <v>1</v>
      </c>
      <c r="H288" s="9"/>
      <c r="I288" s="6">
        <f t="shared" si="412"/>
        <v>1</v>
      </c>
      <c r="J288" s="16"/>
      <c r="K288" s="35">
        <v>1</v>
      </c>
      <c r="L288" s="9"/>
      <c r="M288" s="6">
        <f t="shared" si="413"/>
        <v>1</v>
      </c>
      <c r="N288" s="7">
        <f t="shared" si="414"/>
        <v>3</v>
      </c>
      <c r="O288" s="30">
        <v>45967</v>
      </c>
      <c r="P288" s="47"/>
      <c r="Q288" s="16"/>
      <c r="R288" s="35"/>
      <c r="S288" s="9"/>
      <c r="T288" s="6">
        <f t="shared" si="415"/>
        <v>0</v>
      </c>
      <c r="U288" s="16"/>
      <c r="V288" s="35"/>
      <c r="W288" s="9"/>
      <c r="X288" s="6">
        <f t="shared" si="416"/>
        <v>0</v>
      </c>
      <c r="Y288" s="16"/>
      <c r="Z288" s="35"/>
      <c r="AA288" s="9"/>
      <c r="AB288" s="6">
        <f t="shared" si="417"/>
        <v>0</v>
      </c>
      <c r="AC288" s="7">
        <f t="shared" si="418"/>
        <v>0</v>
      </c>
    </row>
    <row r="289" spans="1:31" x14ac:dyDescent="0.15">
      <c r="A289" s="47" t="s">
        <v>213</v>
      </c>
      <c r="B289" s="16"/>
      <c r="C289" s="35"/>
      <c r="D289" s="9"/>
      <c r="E289" s="6">
        <f t="shared" si="411"/>
        <v>0</v>
      </c>
      <c r="F289" s="16"/>
      <c r="G289" s="35"/>
      <c r="H289" s="9"/>
      <c r="I289" s="6">
        <f t="shared" si="412"/>
        <v>0</v>
      </c>
      <c r="J289" s="16"/>
      <c r="K289" s="35">
        <v>1</v>
      </c>
      <c r="L289" s="9"/>
      <c r="M289" s="6">
        <f t="shared" si="413"/>
        <v>1</v>
      </c>
      <c r="N289" s="7">
        <f t="shared" si="414"/>
        <v>1</v>
      </c>
      <c r="O289" s="30">
        <v>45968</v>
      </c>
      <c r="P289" s="47"/>
      <c r="Q289" s="16"/>
      <c r="R289" s="35"/>
      <c r="S289" s="9"/>
      <c r="T289" s="6">
        <f t="shared" si="415"/>
        <v>0</v>
      </c>
      <c r="U289" s="16"/>
      <c r="V289" s="35"/>
      <c r="W289" s="9"/>
      <c r="X289" s="6">
        <f t="shared" si="416"/>
        <v>0</v>
      </c>
      <c r="Y289" s="16"/>
      <c r="Z289" s="35"/>
      <c r="AA289" s="9"/>
      <c r="AB289" s="6">
        <f t="shared" si="417"/>
        <v>0</v>
      </c>
      <c r="AC289" s="7">
        <f t="shared" si="418"/>
        <v>0</v>
      </c>
    </row>
    <row r="290" spans="1:31" x14ac:dyDescent="0.15">
      <c r="A290" s="47" t="s">
        <v>56</v>
      </c>
      <c r="B290" s="16"/>
      <c r="C290" s="35"/>
      <c r="D290" s="9"/>
      <c r="E290" s="6">
        <f t="shared" si="411"/>
        <v>0</v>
      </c>
      <c r="F290" s="16"/>
      <c r="G290" s="35"/>
      <c r="H290" s="9"/>
      <c r="I290" s="6">
        <f t="shared" si="412"/>
        <v>0</v>
      </c>
      <c r="J290" s="16"/>
      <c r="K290" s="35">
        <v>1</v>
      </c>
      <c r="L290" s="9"/>
      <c r="M290" s="6">
        <f t="shared" si="413"/>
        <v>1</v>
      </c>
      <c r="N290" s="7">
        <f t="shared" si="414"/>
        <v>1</v>
      </c>
      <c r="O290" s="70">
        <v>45967</v>
      </c>
      <c r="P290" s="47"/>
      <c r="Q290" s="16"/>
      <c r="R290" s="35"/>
      <c r="S290" s="9"/>
      <c r="T290" s="6">
        <f t="shared" si="415"/>
        <v>0</v>
      </c>
      <c r="U290" s="16"/>
      <c r="V290" s="35"/>
      <c r="W290" s="9"/>
      <c r="X290" s="6">
        <f t="shared" si="416"/>
        <v>0</v>
      </c>
      <c r="Y290" s="16"/>
      <c r="Z290" s="35"/>
      <c r="AA290" s="9"/>
      <c r="AB290" s="6">
        <f t="shared" si="417"/>
        <v>0</v>
      </c>
      <c r="AC290" s="7">
        <f t="shared" si="418"/>
        <v>0</v>
      </c>
    </row>
    <row r="291" spans="1:31" x14ac:dyDescent="0.15">
      <c r="A291" s="47" t="s">
        <v>205</v>
      </c>
      <c r="B291" s="16"/>
      <c r="C291" s="35">
        <v>1</v>
      </c>
      <c r="D291" s="9"/>
      <c r="E291" s="6">
        <f t="shared" si="411"/>
        <v>1</v>
      </c>
      <c r="F291" s="16"/>
      <c r="G291" s="35">
        <v>1</v>
      </c>
      <c r="H291" s="9"/>
      <c r="I291" s="6">
        <f t="shared" si="412"/>
        <v>1</v>
      </c>
      <c r="J291" s="16"/>
      <c r="K291" s="35">
        <v>1</v>
      </c>
      <c r="L291" s="9"/>
      <c r="M291" s="6">
        <f t="shared" si="413"/>
        <v>1</v>
      </c>
      <c r="N291" s="7">
        <f t="shared" si="414"/>
        <v>3</v>
      </c>
      <c r="O291" s="30">
        <v>45973</v>
      </c>
      <c r="P291" s="47"/>
      <c r="Q291" s="16"/>
      <c r="R291" s="35"/>
      <c r="S291" s="9"/>
      <c r="T291" s="6">
        <f t="shared" si="415"/>
        <v>0</v>
      </c>
      <c r="U291" s="16"/>
      <c r="V291" s="35"/>
      <c r="W291" s="9"/>
      <c r="X291" s="6">
        <f t="shared" si="416"/>
        <v>0</v>
      </c>
      <c r="Y291" s="16"/>
      <c r="Z291" s="35"/>
      <c r="AA291" s="9"/>
      <c r="AB291" s="6">
        <f t="shared" si="417"/>
        <v>0</v>
      </c>
      <c r="AC291" s="7">
        <f t="shared" si="418"/>
        <v>0</v>
      </c>
    </row>
    <row r="292" spans="1:31" x14ac:dyDescent="0.15">
      <c r="A292" s="47" t="s">
        <v>205</v>
      </c>
      <c r="B292" s="16"/>
      <c r="C292" s="35"/>
      <c r="D292" s="9">
        <v>1</v>
      </c>
      <c r="E292" s="6">
        <f t="shared" si="411"/>
        <v>1</v>
      </c>
      <c r="F292" s="16"/>
      <c r="G292" s="35"/>
      <c r="H292" s="9">
        <v>1</v>
      </c>
      <c r="I292" s="6">
        <f t="shared" si="412"/>
        <v>1</v>
      </c>
      <c r="J292" s="16"/>
      <c r="K292" s="35"/>
      <c r="L292" s="9">
        <v>1</v>
      </c>
      <c r="M292" s="6">
        <f t="shared" si="413"/>
        <v>1</v>
      </c>
      <c r="N292" s="7">
        <f t="shared" si="414"/>
        <v>3</v>
      </c>
      <c r="O292" s="30">
        <v>45974</v>
      </c>
      <c r="P292" s="47"/>
      <c r="Q292" s="16"/>
      <c r="R292" s="35"/>
      <c r="S292" s="9"/>
      <c r="T292" s="6">
        <f t="shared" ref="T292:T294" si="423">SUM(Q292:S292)</f>
        <v>0</v>
      </c>
      <c r="U292" s="16"/>
      <c r="V292" s="35"/>
      <c r="W292" s="9"/>
      <c r="X292" s="6">
        <f t="shared" ref="X292:X294" si="424">SUM(U292:W292)</f>
        <v>0</v>
      </c>
      <c r="Y292" s="16"/>
      <c r="Z292" s="35"/>
      <c r="AA292" s="9"/>
      <c r="AB292" s="6">
        <f t="shared" ref="AB292:AB294" si="425">SUM(Y292:AA292)</f>
        <v>0</v>
      </c>
      <c r="AC292" s="7">
        <f t="shared" ref="AC292:AC294" si="426">T292+X292+AB292</f>
        <v>0</v>
      </c>
    </row>
    <row r="293" spans="1:31" x14ac:dyDescent="0.15">
      <c r="A293" s="47" t="s">
        <v>205</v>
      </c>
      <c r="B293" s="16"/>
      <c r="C293" s="35">
        <v>1</v>
      </c>
      <c r="D293" s="9"/>
      <c r="E293" s="6">
        <f t="shared" si="411"/>
        <v>1</v>
      </c>
      <c r="F293" s="16"/>
      <c r="G293" s="35">
        <v>1</v>
      </c>
      <c r="H293" s="9"/>
      <c r="I293" s="6">
        <f t="shared" si="412"/>
        <v>1</v>
      </c>
      <c r="J293" s="16"/>
      <c r="K293" s="35">
        <v>1</v>
      </c>
      <c r="L293" s="9"/>
      <c r="M293" s="6">
        <f t="shared" si="413"/>
        <v>1</v>
      </c>
      <c r="N293" s="7">
        <f t="shared" si="414"/>
        <v>3</v>
      </c>
      <c r="O293" s="30">
        <v>45975</v>
      </c>
      <c r="P293" s="47"/>
      <c r="Q293" s="16"/>
      <c r="R293" s="35"/>
      <c r="S293" s="9"/>
      <c r="T293" s="6">
        <f t="shared" si="423"/>
        <v>0</v>
      </c>
      <c r="U293" s="16"/>
      <c r="V293" s="35"/>
      <c r="W293" s="9"/>
      <c r="X293" s="6">
        <f t="shared" si="424"/>
        <v>0</v>
      </c>
      <c r="Y293" s="16"/>
      <c r="Z293" s="35"/>
      <c r="AA293" s="9"/>
      <c r="AB293" s="6">
        <f t="shared" si="425"/>
        <v>0</v>
      </c>
      <c r="AC293" s="7">
        <f t="shared" si="426"/>
        <v>0</v>
      </c>
    </row>
    <row r="294" spans="1:31" x14ac:dyDescent="0.15">
      <c r="A294" s="47" t="s">
        <v>205</v>
      </c>
      <c r="B294" s="16">
        <v>2</v>
      </c>
      <c r="C294" s="35">
        <v>4</v>
      </c>
      <c r="D294" s="9">
        <v>2</v>
      </c>
      <c r="E294" s="6">
        <f t="shared" si="411"/>
        <v>8</v>
      </c>
      <c r="F294" s="16">
        <v>2</v>
      </c>
      <c r="G294" s="35">
        <v>4</v>
      </c>
      <c r="H294" s="9">
        <v>2</v>
      </c>
      <c r="I294" s="6">
        <f t="shared" si="412"/>
        <v>8</v>
      </c>
      <c r="J294" s="16">
        <v>2</v>
      </c>
      <c r="K294" s="35">
        <v>4</v>
      </c>
      <c r="L294" s="9">
        <v>2</v>
      </c>
      <c r="M294" s="6">
        <f t="shared" si="413"/>
        <v>8</v>
      </c>
      <c r="N294" s="7">
        <f t="shared" si="414"/>
        <v>24</v>
      </c>
      <c r="O294" s="30">
        <v>45981</v>
      </c>
      <c r="P294" s="47"/>
      <c r="Q294" s="16"/>
      <c r="R294" s="35"/>
      <c r="S294" s="9"/>
      <c r="T294" s="6">
        <f t="shared" si="423"/>
        <v>0</v>
      </c>
      <c r="U294" s="16"/>
      <c r="V294" s="35"/>
      <c r="W294" s="9"/>
      <c r="X294" s="6">
        <f t="shared" si="424"/>
        <v>0</v>
      </c>
      <c r="Y294" s="16"/>
      <c r="Z294" s="35"/>
      <c r="AA294" s="9"/>
      <c r="AB294" s="6">
        <f t="shared" si="425"/>
        <v>0</v>
      </c>
      <c r="AC294" s="7">
        <f t="shared" si="426"/>
        <v>0</v>
      </c>
    </row>
    <row r="295" spans="1:31" x14ac:dyDescent="0.15">
      <c r="A295" s="47" t="s">
        <v>205</v>
      </c>
      <c r="B295" s="16"/>
      <c r="C295" s="35">
        <v>3</v>
      </c>
      <c r="D295" s="9"/>
      <c r="E295" s="6">
        <f t="shared" si="411"/>
        <v>3</v>
      </c>
      <c r="F295" s="16"/>
      <c r="G295" s="35">
        <v>3</v>
      </c>
      <c r="H295" s="9"/>
      <c r="I295" s="6">
        <f t="shared" si="412"/>
        <v>3</v>
      </c>
      <c r="J295" s="16"/>
      <c r="K295" s="35">
        <v>3</v>
      </c>
      <c r="L295" s="9"/>
      <c r="M295" s="6">
        <f t="shared" si="413"/>
        <v>3</v>
      </c>
      <c r="N295" s="7">
        <f t="shared" si="414"/>
        <v>9</v>
      </c>
      <c r="O295" s="30">
        <v>45986</v>
      </c>
      <c r="P295" s="47"/>
      <c r="Q295" s="16"/>
      <c r="R295" s="35"/>
      <c r="S295" s="9"/>
      <c r="T295" s="6">
        <f t="shared" ref="T295" si="427">SUM(Q295:S295)</f>
        <v>0</v>
      </c>
      <c r="U295" s="16"/>
      <c r="V295" s="35"/>
      <c r="W295" s="9"/>
      <c r="X295" s="6">
        <f t="shared" ref="X295" si="428">SUM(U295:W295)</f>
        <v>0</v>
      </c>
      <c r="Y295" s="16"/>
      <c r="Z295" s="35"/>
      <c r="AA295" s="9"/>
      <c r="AB295" s="6">
        <f t="shared" ref="AB295" si="429">SUM(Y295:AA295)</f>
        <v>0</v>
      </c>
      <c r="AC295" s="7">
        <f t="shared" ref="AC295" si="430">T295+X295+AB295</f>
        <v>0</v>
      </c>
      <c r="AD295" s="23"/>
    </row>
    <row r="296" spans="1:31" x14ac:dyDescent="0.15">
      <c r="A296" s="47" t="s">
        <v>214</v>
      </c>
      <c r="B296" s="16"/>
      <c r="C296" s="35"/>
      <c r="D296" s="9"/>
      <c r="E296" s="6">
        <f t="shared" si="411"/>
        <v>0</v>
      </c>
      <c r="F296" s="16"/>
      <c r="G296" s="35"/>
      <c r="H296" s="9"/>
      <c r="I296" s="6">
        <f t="shared" si="412"/>
        <v>0</v>
      </c>
      <c r="J296" s="16"/>
      <c r="K296" s="35">
        <v>1</v>
      </c>
      <c r="L296" s="9"/>
      <c r="M296" s="6">
        <f t="shared" si="413"/>
        <v>1</v>
      </c>
      <c r="N296" s="7">
        <f t="shared" si="414"/>
        <v>1</v>
      </c>
      <c r="O296" s="30">
        <v>45982</v>
      </c>
      <c r="P296" s="47" t="s">
        <v>203</v>
      </c>
      <c r="Q296" s="16"/>
      <c r="R296" s="35"/>
      <c r="S296" s="9"/>
      <c r="T296" s="6">
        <f t="shared" ref="T296:T297" si="431">SUM(Q296:S296)</f>
        <v>0</v>
      </c>
      <c r="U296" s="16"/>
      <c r="V296" s="35"/>
      <c r="W296" s="9"/>
      <c r="X296" s="6">
        <f t="shared" ref="X296:X297" si="432">SUM(U296:W296)</f>
        <v>0</v>
      </c>
      <c r="Y296" s="16"/>
      <c r="Z296" s="35"/>
      <c r="AA296" s="9"/>
      <c r="AB296" s="6">
        <f t="shared" ref="AB296:AB297" si="433">SUM(Y296:AA296)</f>
        <v>0</v>
      </c>
      <c r="AC296" s="7">
        <f t="shared" ref="AC296:AC297" si="434">T296+X296+AB296</f>
        <v>0</v>
      </c>
      <c r="AD296" s="23" t="s">
        <v>204</v>
      </c>
    </row>
    <row r="297" spans="1:31" ht="14.25" thickBot="1" x14ac:dyDescent="0.2">
      <c r="A297" s="47" t="s">
        <v>205</v>
      </c>
      <c r="B297" s="16">
        <v>3</v>
      </c>
      <c r="C297" s="35"/>
      <c r="D297" s="9"/>
      <c r="E297" s="6">
        <f t="shared" si="411"/>
        <v>3</v>
      </c>
      <c r="F297" s="16">
        <v>3</v>
      </c>
      <c r="G297" s="35"/>
      <c r="H297" s="9"/>
      <c r="I297" s="6">
        <f t="shared" si="412"/>
        <v>3</v>
      </c>
      <c r="J297" s="16">
        <v>3</v>
      </c>
      <c r="K297" s="35"/>
      <c r="L297" s="9"/>
      <c r="M297" s="6">
        <f t="shared" si="413"/>
        <v>3</v>
      </c>
      <c r="N297" s="7">
        <f t="shared" si="414"/>
        <v>9</v>
      </c>
      <c r="O297" s="30">
        <v>45989</v>
      </c>
      <c r="P297" s="47" t="s">
        <v>196</v>
      </c>
      <c r="Q297" s="16"/>
      <c r="R297" s="35"/>
      <c r="S297" s="9"/>
      <c r="T297" s="6">
        <f t="shared" si="431"/>
        <v>0</v>
      </c>
      <c r="U297" s="16"/>
      <c r="V297" s="35"/>
      <c r="W297" s="9"/>
      <c r="X297" s="6">
        <f t="shared" si="432"/>
        <v>0</v>
      </c>
      <c r="Y297" s="16"/>
      <c r="Z297" s="35"/>
      <c r="AA297" s="9"/>
      <c r="AB297" s="6">
        <f t="shared" si="433"/>
        <v>0</v>
      </c>
      <c r="AC297" s="7">
        <f t="shared" si="434"/>
        <v>0</v>
      </c>
      <c r="AD297" s="23" t="s">
        <v>197</v>
      </c>
    </row>
    <row r="298" spans="1:31" ht="14.25" thickBot="1" x14ac:dyDescent="0.2">
      <c r="A298" s="3" t="s">
        <v>9</v>
      </c>
      <c r="B298" s="13">
        <f>SUM(B274:B297)</f>
        <v>11</v>
      </c>
      <c r="C298" s="37">
        <f t="shared" ref="C298:N298" si="435">SUM(C274:C297)</f>
        <v>18</v>
      </c>
      <c r="D298" s="32">
        <f t="shared" si="435"/>
        <v>9</v>
      </c>
      <c r="E298" s="17">
        <f t="shared" si="435"/>
        <v>38</v>
      </c>
      <c r="F298" s="13">
        <f t="shared" si="435"/>
        <v>11</v>
      </c>
      <c r="G298" s="37">
        <f t="shared" si="435"/>
        <v>18</v>
      </c>
      <c r="H298" s="32">
        <f t="shared" si="435"/>
        <v>9</v>
      </c>
      <c r="I298" s="17">
        <f t="shared" si="435"/>
        <v>38</v>
      </c>
      <c r="J298" s="13">
        <f t="shared" si="435"/>
        <v>11</v>
      </c>
      <c r="K298" s="37">
        <f t="shared" si="435"/>
        <v>21</v>
      </c>
      <c r="L298" s="32">
        <f t="shared" si="435"/>
        <v>9</v>
      </c>
      <c r="M298" s="17">
        <f t="shared" si="435"/>
        <v>41</v>
      </c>
      <c r="N298" s="18">
        <f t="shared" si="435"/>
        <v>117</v>
      </c>
      <c r="P298" s="3" t="s">
        <v>9</v>
      </c>
      <c r="Q298" s="13">
        <f>SUM(Q274:Q297)</f>
        <v>28</v>
      </c>
      <c r="R298" s="37">
        <f t="shared" ref="R298:AC298" si="436">SUM(R274:R297)</f>
        <v>39</v>
      </c>
      <c r="S298" s="32">
        <f t="shared" si="436"/>
        <v>22</v>
      </c>
      <c r="T298" s="17">
        <f t="shared" si="436"/>
        <v>89</v>
      </c>
      <c r="U298" s="13">
        <f t="shared" si="436"/>
        <v>28</v>
      </c>
      <c r="V298" s="37">
        <f t="shared" si="436"/>
        <v>42</v>
      </c>
      <c r="W298" s="32">
        <f t="shared" si="436"/>
        <v>21</v>
      </c>
      <c r="X298" s="17">
        <f t="shared" si="436"/>
        <v>91</v>
      </c>
      <c r="Y298" s="13">
        <f t="shared" si="436"/>
        <v>30</v>
      </c>
      <c r="Z298" s="37">
        <f t="shared" si="436"/>
        <v>47</v>
      </c>
      <c r="AA298" s="32">
        <f t="shared" si="436"/>
        <v>22</v>
      </c>
      <c r="AB298" s="17">
        <f t="shared" si="436"/>
        <v>99</v>
      </c>
      <c r="AC298" s="18">
        <f t="shared" si="436"/>
        <v>279</v>
      </c>
    </row>
    <row r="299" spans="1:31" ht="14.25" thickBot="1" x14ac:dyDescent="0.2">
      <c r="A299" s="19" t="s">
        <v>10</v>
      </c>
      <c r="B299" s="20">
        <f>B273-B298</f>
        <v>4</v>
      </c>
      <c r="C299" s="38">
        <f t="shared" ref="C299:N299" si="437">C273-C298</f>
        <v>6</v>
      </c>
      <c r="D299" s="33">
        <f t="shared" si="437"/>
        <v>8</v>
      </c>
      <c r="E299" s="20">
        <f t="shared" si="437"/>
        <v>18</v>
      </c>
      <c r="F299" s="20">
        <f t="shared" si="437"/>
        <v>4</v>
      </c>
      <c r="G299" s="38">
        <f t="shared" si="437"/>
        <v>6</v>
      </c>
      <c r="H299" s="33">
        <f t="shared" si="437"/>
        <v>8</v>
      </c>
      <c r="I299" s="20">
        <f t="shared" si="437"/>
        <v>18</v>
      </c>
      <c r="J299" s="20">
        <f t="shared" si="437"/>
        <v>4</v>
      </c>
      <c r="K299" s="38">
        <f t="shared" si="437"/>
        <v>7</v>
      </c>
      <c r="L299" s="33">
        <f t="shared" si="437"/>
        <v>8</v>
      </c>
      <c r="M299" s="20">
        <f t="shared" si="437"/>
        <v>19</v>
      </c>
      <c r="N299" s="18">
        <f t="shared" si="437"/>
        <v>55</v>
      </c>
      <c r="P299" s="19" t="s">
        <v>10</v>
      </c>
      <c r="Q299" s="20">
        <f>Q273-Q298</f>
        <v>632</v>
      </c>
      <c r="R299" s="38">
        <f t="shared" ref="R299:AC299" si="438">R273-R298</f>
        <v>611</v>
      </c>
      <c r="S299" s="33">
        <f t="shared" si="438"/>
        <v>466</v>
      </c>
      <c r="T299" s="20">
        <f t="shared" si="438"/>
        <v>1709</v>
      </c>
      <c r="U299" s="20">
        <f t="shared" si="438"/>
        <v>619</v>
      </c>
      <c r="V299" s="38">
        <f t="shared" si="438"/>
        <v>606</v>
      </c>
      <c r="W299" s="33">
        <f t="shared" si="438"/>
        <v>470</v>
      </c>
      <c r="X299" s="20">
        <f t="shared" si="438"/>
        <v>1695</v>
      </c>
      <c r="Y299" s="20">
        <f t="shared" si="438"/>
        <v>600</v>
      </c>
      <c r="Z299" s="38">
        <f t="shared" si="438"/>
        <v>576</v>
      </c>
      <c r="AA299" s="33">
        <f t="shared" si="438"/>
        <v>452</v>
      </c>
      <c r="AB299" s="20">
        <f t="shared" si="438"/>
        <v>1628</v>
      </c>
      <c r="AC299" s="18">
        <f t="shared" si="438"/>
        <v>5032</v>
      </c>
      <c r="AE299" t="s">
        <v>202</v>
      </c>
    </row>
    <row r="302" spans="1:31" ht="21.75" thickBot="1" x14ac:dyDescent="0.25">
      <c r="A302" s="27" t="s">
        <v>15</v>
      </c>
      <c r="B302" s="28"/>
      <c r="C302" s="28"/>
      <c r="D302" s="28"/>
      <c r="E302" s="29"/>
      <c r="F302" s="28"/>
      <c r="G302" s="28"/>
      <c r="H302" s="28"/>
      <c r="I302" s="28"/>
      <c r="J302" s="1"/>
      <c r="K302" s="1"/>
      <c r="L302" s="1"/>
      <c r="M302" s="1"/>
      <c r="P302" s="43" t="s">
        <v>14</v>
      </c>
      <c r="Q302" s="44"/>
      <c r="R302" s="44"/>
      <c r="S302" s="44"/>
      <c r="T302" s="45"/>
      <c r="U302" s="44"/>
      <c r="V302" s="44"/>
      <c r="W302" s="44"/>
      <c r="X302" s="44"/>
      <c r="Y302" s="44"/>
      <c r="Z302" s="44"/>
      <c r="AA302" s="44"/>
      <c r="AB302" s="1"/>
    </row>
    <row r="303" spans="1:31" ht="14.25" thickBot="1" x14ac:dyDescent="0.2">
      <c r="A303" s="2" t="s">
        <v>0</v>
      </c>
      <c r="B303" s="91" t="s">
        <v>16</v>
      </c>
      <c r="C303" s="91"/>
      <c r="D303" s="91"/>
      <c r="E303" s="92"/>
      <c r="F303" s="93" t="s">
        <v>12</v>
      </c>
      <c r="G303" s="93"/>
      <c r="H303" s="93"/>
      <c r="I303" s="94"/>
      <c r="J303" s="95" t="s">
        <v>13</v>
      </c>
      <c r="K303" s="95"/>
      <c r="L303" s="95"/>
      <c r="M303" s="95"/>
      <c r="N303" s="96" t="s">
        <v>1</v>
      </c>
      <c r="P303" s="2" t="s">
        <v>0</v>
      </c>
      <c r="Q303" s="91" t="s">
        <v>16</v>
      </c>
      <c r="R303" s="91"/>
      <c r="S303" s="91"/>
      <c r="T303" s="92"/>
      <c r="U303" s="93" t="s">
        <v>12</v>
      </c>
      <c r="V303" s="93"/>
      <c r="W303" s="93"/>
      <c r="X303" s="94"/>
      <c r="Y303" s="95" t="s">
        <v>13</v>
      </c>
      <c r="Z303" s="95"/>
      <c r="AA303" s="95"/>
      <c r="AB303" s="95"/>
      <c r="AC303" s="96" t="s">
        <v>1</v>
      </c>
    </row>
    <row r="304" spans="1:31" ht="14.25" thickBot="1" x14ac:dyDescent="0.2">
      <c r="A304" s="2" t="s">
        <v>2</v>
      </c>
      <c r="B304" s="3" t="s">
        <v>3</v>
      </c>
      <c r="C304" s="34" t="s">
        <v>4</v>
      </c>
      <c r="D304" s="4" t="s">
        <v>5</v>
      </c>
      <c r="E304" s="2" t="s">
        <v>6</v>
      </c>
      <c r="F304" s="3" t="s">
        <v>3</v>
      </c>
      <c r="G304" s="34" t="s">
        <v>4</v>
      </c>
      <c r="H304" s="4" t="s">
        <v>5</v>
      </c>
      <c r="I304" s="2" t="s">
        <v>6</v>
      </c>
      <c r="J304" s="3" t="s">
        <v>3</v>
      </c>
      <c r="K304" s="34" t="s">
        <v>4</v>
      </c>
      <c r="L304" s="4" t="s">
        <v>5</v>
      </c>
      <c r="M304" s="3" t="s">
        <v>6</v>
      </c>
      <c r="N304" s="97"/>
      <c r="P304" s="2" t="s">
        <v>2</v>
      </c>
      <c r="Q304" s="3" t="s">
        <v>3</v>
      </c>
      <c r="R304" s="34" t="s">
        <v>4</v>
      </c>
      <c r="S304" s="4" t="s">
        <v>5</v>
      </c>
      <c r="T304" s="2" t="s">
        <v>6</v>
      </c>
      <c r="U304" s="3" t="s">
        <v>3</v>
      </c>
      <c r="V304" s="34" t="s">
        <v>4</v>
      </c>
      <c r="W304" s="4" t="s">
        <v>5</v>
      </c>
      <c r="X304" s="2" t="s">
        <v>6</v>
      </c>
      <c r="Y304" s="3" t="s">
        <v>3</v>
      </c>
      <c r="Z304" s="34" t="s">
        <v>4</v>
      </c>
      <c r="AA304" s="4" t="s">
        <v>5</v>
      </c>
      <c r="AB304" s="3" t="s">
        <v>6</v>
      </c>
      <c r="AC304" s="97"/>
    </row>
    <row r="305" spans="1:30" ht="14.25" thickBot="1" x14ac:dyDescent="0.2">
      <c r="A305" s="40" t="s">
        <v>10</v>
      </c>
      <c r="B305" s="41">
        <f>B299</f>
        <v>4</v>
      </c>
      <c r="C305" s="42">
        <f t="shared" ref="C305:M305" si="439">C299</f>
        <v>6</v>
      </c>
      <c r="D305" s="41">
        <f t="shared" si="439"/>
        <v>8</v>
      </c>
      <c r="E305" s="14">
        <f t="shared" si="439"/>
        <v>18</v>
      </c>
      <c r="F305" s="41">
        <f t="shared" si="439"/>
        <v>4</v>
      </c>
      <c r="G305" s="42">
        <f t="shared" si="439"/>
        <v>6</v>
      </c>
      <c r="H305" s="41">
        <f t="shared" si="439"/>
        <v>8</v>
      </c>
      <c r="I305" s="14">
        <f t="shared" si="439"/>
        <v>18</v>
      </c>
      <c r="J305" s="41">
        <f t="shared" si="439"/>
        <v>4</v>
      </c>
      <c r="K305" s="42">
        <f t="shared" si="439"/>
        <v>7</v>
      </c>
      <c r="L305" s="41">
        <f t="shared" si="439"/>
        <v>8</v>
      </c>
      <c r="M305" s="14">
        <f t="shared" si="439"/>
        <v>19</v>
      </c>
      <c r="N305" s="15">
        <f>N299</f>
        <v>55</v>
      </c>
      <c r="P305" s="40" t="s">
        <v>10</v>
      </c>
      <c r="Q305" s="54">
        <f>Q299</f>
        <v>632</v>
      </c>
      <c r="R305" s="55">
        <f t="shared" ref="R305:AB305" si="440">R299</f>
        <v>611</v>
      </c>
      <c r="S305" s="54">
        <f t="shared" si="440"/>
        <v>466</v>
      </c>
      <c r="T305" s="14">
        <f t="shared" si="440"/>
        <v>1709</v>
      </c>
      <c r="U305" s="54">
        <f t="shared" si="440"/>
        <v>619</v>
      </c>
      <c r="V305" s="55">
        <f t="shared" si="440"/>
        <v>606</v>
      </c>
      <c r="W305" s="54">
        <f t="shared" si="440"/>
        <v>470</v>
      </c>
      <c r="X305" s="14">
        <f t="shared" si="440"/>
        <v>1695</v>
      </c>
      <c r="Y305" s="54">
        <f t="shared" si="440"/>
        <v>600</v>
      </c>
      <c r="Z305" s="55">
        <f t="shared" si="440"/>
        <v>576</v>
      </c>
      <c r="AA305" s="54">
        <f t="shared" si="440"/>
        <v>452</v>
      </c>
      <c r="AB305" s="14">
        <f t="shared" si="440"/>
        <v>1628</v>
      </c>
      <c r="AC305" s="15">
        <f>AC299</f>
        <v>5032</v>
      </c>
    </row>
    <row r="306" spans="1:30" x14ac:dyDescent="0.15">
      <c r="A306" s="5" t="s">
        <v>7</v>
      </c>
      <c r="B306" s="9">
        <v>5</v>
      </c>
      <c r="C306" s="35">
        <v>3</v>
      </c>
      <c r="D306" s="9"/>
      <c r="E306" s="6">
        <f t="shared" ref="E306:E315" si="441">SUM(B306:D306)</f>
        <v>8</v>
      </c>
      <c r="F306" s="9">
        <v>5</v>
      </c>
      <c r="G306" s="35">
        <v>3</v>
      </c>
      <c r="H306" s="9"/>
      <c r="I306" s="6">
        <f t="shared" ref="I306:I315" si="442">SUM(F306:H306)</f>
        <v>8</v>
      </c>
      <c r="J306" s="9">
        <v>5</v>
      </c>
      <c r="K306" s="35">
        <v>3</v>
      </c>
      <c r="L306" s="9"/>
      <c r="M306" s="6">
        <f t="shared" ref="M306:M315" si="443">SUM(J306:L306)</f>
        <v>8</v>
      </c>
      <c r="N306" s="7">
        <f t="shared" ref="N306:N315" si="444">E306+I306+M306</f>
        <v>24</v>
      </c>
      <c r="O306" s="30">
        <v>45990</v>
      </c>
      <c r="P306" s="39" t="s">
        <v>7</v>
      </c>
      <c r="Q306" s="56"/>
      <c r="R306" s="57"/>
      <c r="S306" s="56"/>
      <c r="T306" s="6">
        <f t="shared" ref="T306:T315" si="445">SUM(Q306:S306)</f>
        <v>0</v>
      </c>
      <c r="U306" s="56"/>
      <c r="V306" s="57"/>
      <c r="W306" s="56"/>
      <c r="X306" s="6">
        <f t="shared" ref="X306:X315" si="446">SUM(U306:W306)</f>
        <v>0</v>
      </c>
      <c r="Y306" s="56"/>
      <c r="Z306" s="57"/>
      <c r="AA306" s="56"/>
      <c r="AB306" s="6">
        <f t="shared" ref="AB306:AB315" si="447">SUM(Y306:AA306)</f>
        <v>0</v>
      </c>
      <c r="AC306" s="7">
        <f t="shared" ref="AC306:AC315" si="448">T306+X306+AB306</f>
        <v>0</v>
      </c>
    </row>
    <row r="307" spans="1:30" x14ac:dyDescent="0.15">
      <c r="A307" s="74" t="s">
        <v>7</v>
      </c>
      <c r="B307" s="75"/>
      <c r="C307" s="76">
        <v>3</v>
      </c>
      <c r="D307" s="75"/>
      <c r="E307" s="77">
        <f t="shared" si="441"/>
        <v>3</v>
      </c>
      <c r="F307" s="75"/>
      <c r="G307" s="76">
        <v>3</v>
      </c>
      <c r="H307" s="75"/>
      <c r="I307" s="77">
        <f t="shared" si="442"/>
        <v>3</v>
      </c>
      <c r="J307" s="75"/>
      <c r="K307" s="76">
        <v>3</v>
      </c>
      <c r="L307" s="75"/>
      <c r="M307" s="77">
        <f t="shared" si="443"/>
        <v>3</v>
      </c>
      <c r="N307" s="78">
        <f t="shared" si="444"/>
        <v>9</v>
      </c>
      <c r="O307" s="79">
        <v>45993</v>
      </c>
      <c r="P307" s="39" t="s">
        <v>7</v>
      </c>
      <c r="Q307" s="56"/>
      <c r="R307" s="57"/>
      <c r="S307" s="56"/>
      <c r="T307" s="6">
        <f t="shared" si="445"/>
        <v>0</v>
      </c>
      <c r="U307" s="56"/>
      <c r="V307" s="57"/>
      <c r="W307" s="56"/>
      <c r="X307" s="6">
        <f t="shared" si="446"/>
        <v>0</v>
      </c>
      <c r="Y307" s="56"/>
      <c r="Z307" s="57"/>
      <c r="AA307" s="56"/>
      <c r="AB307" s="6">
        <f t="shared" si="447"/>
        <v>0</v>
      </c>
      <c r="AC307" s="7">
        <f t="shared" si="448"/>
        <v>0</v>
      </c>
    </row>
    <row r="308" spans="1:30" x14ac:dyDescent="0.15">
      <c r="A308" s="74" t="s">
        <v>7</v>
      </c>
      <c r="B308" s="75">
        <v>5</v>
      </c>
      <c r="C308" s="76"/>
      <c r="D308" s="75"/>
      <c r="E308" s="77">
        <f t="shared" si="441"/>
        <v>5</v>
      </c>
      <c r="F308" s="75">
        <v>5</v>
      </c>
      <c r="G308" s="76"/>
      <c r="H308" s="75"/>
      <c r="I308" s="77">
        <f t="shared" si="442"/>
        <v>5</v>
      </c>
      <c r="J308" s="75">
        <v>5</v>
      </c>
      <c r="K308" s="76"/>
      <c r="L308" s="75"/>
      <c r="M308" s="77">
        <f t="shared" si="443"/>
        <v>5</v>
      </c>
      <c r="N308" s="78">
        <f t="shared" si="444"/>
        <v>15</v>
      </c>
      <c r="O308" s="79">
        <v>45995</v>
      </c>
      <c r="P308" s="39" t="s">
        <v>7</v>
      </c>
      <c r="Q308" s="56"/>
      <c r="R308" s="57"/>
      <c r="S308" s="56"/>
      <c r="T308" s="6">
        <f t="shared" si="445"/>
        <v>0</v>
      </c>
      <c r="U308" s="56"/>
      <c r="V308" s="57"/>
      <c r="W308" s="56"/>
      <c r="X308" s="6">
        <f t="shared" si="446"/>
        <v>0</v>
      </c>
      <c r="Y308" s="56"/>
      <c r="Z308" s="57"/>
      <c r="AA308" s="56"/>
      <c r="AB308" s="6">
        <f t="shared" si="447"/>
        <v>0</v>
      </c>
      <c r="AC308" s="7">
        <f t="shared" si="448"/>
        <v>0</v>
      </c>
    </row>
    <row r="309" spans="1:30" x14ac:dyDescent="0.15">
      <c r="A309" s="5" t="s">
        <v>63</v>
      </c>
      <c r="B309" s="16">
        <v>4</v>
      </c>
      <c r="C309" s="35"/>
      <c r="D309" s="9">
        <v>1</v>
      </c>
      <c r="E309" s="6">
        <f t="shared" si="441"/>
        <v>5</v>
      </c>
      <c r="F309" s="16">
        <v>4</v>
      </c>
      <c r="G309" s="35"/>
      <c r="H309" s="9">
        <v>1</v>
      </c>
      <c r="I309" s="6">
        <f t="shared" si="442"/>
        <v>5</v>
      </c>
      <c r="J309" s="16">
        <v>4</v>
      </c>
      <c r="K309" s="35"/>
      <c r="L309" s="9">
        <v>1</v>
      </c>
      <c r="M309" s="6">
        <f t="shared" si="443"/>
        <v>5</v>
      </c>
      <c r="N309" s="7">
        <f t="shared" si="444"/>
        <v>15</v>
      </c>
      <c r="O309" s="70">
        <v>45993</v>
      </c>
      <c r="P309" s="39" t="s">
        <v>7</v>
      </c>
      <c r="Q309" s="56"/>
      <c r="R309" s="57"/>
      <c r="S309" s="56"/>
      <c r="T309" s="6">
        <f t="shared" si="445"/>
        <v>0</v>
      </c>
      <c r="U309" s="56"/>
      <c r="V309" s="57"/>
      <c r="W309" s="56"/>
      <c r="X309" s="6">
        <f t="shared" si="446"/>
        <v>0</v>
      </c>
      <c r="Y309" s="56"/>
      <c r="Z309" s="57"/>
      <c r="AA309" s="56"/>
      <c r="AB309" s="6">
        <f t="shared" si="447"/>
        <v>0</v>
      </c>
      <c r="AC309" s="7">
        <f t="shared" si="448"/>
        <v>0</v>
      </c>
    </row>
    <row r="310" spans="1:30" x14ac:dyDescent="0.15">
      <c r="A310" s="5" t="s">
        <v>112</v>
      </c>
      <c r="B310" s="9">
        <v>2</v>
      </c>
      <c r="C310" s="35"/>
      <c r="D310" s="9">
        <v>2</v>
      </c>
      <c r="E310" s="6">
        <f t="shared" si="441"/>
        <v>4</v>
      </c>
      <c r="F310" s="9">
        <v>2</v>
      </c>
      <c r="G310" s="35"/>
      <c r="H310" s="9">
        <v>2</v>
      </c>
      <c r="I310" s="6">
        <f t="shared" si="442"/>
        <v>4</v>
      </c>
      <c r="J310" s="9">
        <v>2</v>
      </c>
      <c r="K310" s="35"/>
      <c r="L310" s="9">
        <v>2</v>
      </c>
      <c r="M310" s="6">
        <f t="shared" si="443"/>
        <v>4</v>
      </c>
      <c r="N310" s="7">
        <f t="shared" si="444"/>
        <v>12</v>
      </c>
      <c r="O310" s="70">
        <v>46000</v>
      </c>
      <c r="P310" s="39" t="s">
        <v>7</v>
      </c>
      <c r="Q310" s="56"/>
      <c r="R310" s="57"/>
      <c r="S310" s="56"/>
      <c r="T310" s="6">
        <f t="shared" si="445"/>
        <v>0</v>
      </c>
      <c r="U310" s="56"/>
      <c r="V310" s="57"/>
      <c r="W310" s="56"/>
      <c r="X310" s="6">
        <f t="shared" si="446"/>
        <v>0</v>
      </c>
      <c r="Y310" s="56"/>
      <c r="Z310" s="57"/>
      <c r="AA310" s="56"/>
      <c r="AB310" s="6">
        <f t="shared" si="447"/>
        <v>0</v>
      </c>
      <c r="AC310" s="7">
        <f t="shared" si="448"/>
        <v>0</v>
      </c>
    </row>
    <row r="311" spans="1:30" x14ac:dyDescent="0.15">
      <c r="A311" s="5" t="s">
        <v>7</v>
      </c>
      <c r="B311" s="9"/>
      <c r="C311" s="35"/>
      <c r="D311" s="9">
        <v>3</v>
      </c>
      <c r="E311" s="6">
        <f t="shared" si="441"/>
        <v>3</v>
      </c>
      <c r="F311" s="9"/>
      <c r="G311" s="35"/>
      <c r="H311" s="9"/>
      <c r="I311" s="6">
        <f t="shared" si="442"/>
        <v>0</v>
      </c>
      <c r="J311" s="9"/>
      <c r="K311" s="35">
        <v>3</v>
      </c>
      <c r="L311" s="9"/>
      <c r="M311" s="6">
        <f t="shared" si="443"/>
        <v>3</v>
      </c>
      <c r="N311" s="7">
        <f t="shared" si="444"/>
        <v>6</v>
      </c>
      <c r="O311" s="30">
        <v>46017</v>
      </c>
      <c r="P311" s="39" t="s">
        <v>7</v>
      </c>
      <c r="Q311" s="56"/>
      <c r="R311" s="57"/>
      <c r="S311" s="56"/>
      <c r="T311" s="6">
        <f t="shared" si="445"/>
        <v>0</v>
      </c>
      <c r="U311" s="56"/>
      <c r="V311" s="57"/>
      <c r="W311" s="56"/>
      <c r="X311" s="6">
        <f t="shared" si="446"/>
        <v>0</v>
      </c>
      <c r="Y311" s="56"/>
      <c r="Z311" s="57"/>
      <c r="AA311" s="56"/>
      <c r="AB311" s="6">
        <f t="shared" si="447"/>
        <v>0</v>
      </c>
      <c r="AC311" s="7">
        <f t="shared" si="448"/>
        <v>0</v>
      </c>
    </row>
    <row r="312" spans="1:30" x14ac:dyDescent="0.15">
      <c r="A312" s="74" t="s">
        <v>7</v>
      </c>
      <c r="B312" s="75"/>
      <c r="C312" s="76">
        <v>5</v>
      </c>
      <c r="D312" s="75"/>
      <c r="E312" s="77">
        <f t="shared" si="441"/>
        <v>5</v>
      </c>
      <c r="F312" s="75"/>
      <c r="G312" s="76">
        <v>5</v>
      </c>
      <c r="H312" s="75"/>
      <c r="I312" s="77">
        <f t="shared" si="442"/>
        <v>5</v>
      </c>
      <c r="J312" s="75"/>
      <c r="K312" s="76">
        <v>3</v>
      </c>
      <c r="L312" s="75"/>
      <c r="M312" s="77">
        <f t="shared" si="443"/>
        <v>3</v>
      </c>
      <c r="N312" s="78">
        <f t="shared" si="444"/>
        <v>13</v>
      </c>
      <c r="O312" s="79">
        <v>46028</v>
      </c>
      <c r="P312" s="39" t="s">
        <v>7</v>
      </c>
      <c r="Q312" s="56"/>
      <c r="R312" s="57"/>
      <c r="S312" s="56"/>
      <c r="T312" s="6">
        <f t="shared" si="445"/>
        <v>0</v>
      </c>
      <c r="U312" s="56"/>
      <c r="V312" s="57"/>
      <c r="W312" s="56"/>
      <c r="X312" s="6">
        <f t="shared" si="446"/>
        <v>0</v>
      </c>
      <c r="Y312" s="56"/>
      <c r="Z312" s="57"/>
      <c r="AA312" s="56"/>
      <c r="AB312" s="6">
        <f t="shared" si="447"/>
        <v>0</v>
      </c>
      <c r="AC312" s="7">
        <f t="shared" si="448"/>
        <v>0</v>
      </c>
    </row>
    <row r="313" spans="1:30" x14ac:dyDescent="0.15">
      <c r="A313" s="74" t="s">
        <v>7</v>
      </c>
      <c r="B313" s="75">
        <v>10</v>
      </c>
      <c r="C313" s="76">
        <v>5</v>
      </c>
      <c r="D313" s="75">
        <v>5</v>
      </c>
      <c r="E313" s="77">
        <f t="shared" si="441"/>
        <v>20</v>
      </c>
      <c r="F313" s="75">
        <v>10</v>
      </c>
      <c r="G313" s="76">
        <v>5</v>
      </c>
      <c r="H313" s="75">
        <v>5</v>
      </c>
      <c r="I313" s="77">
        <f t="shared" si="442"/>
        <v>20</v>
      </c>
      <c r="J313" s="75">
        <v>10</v>
      </c>
      <c r="K313" s="76">
        <v>5</v>
      </c>
      <c r="L313" s="75">
        <v>5</v>
      </c>
      <c r="M313" s="77">
        <f t="shared" si="443"/>
        <v>20</v>
      </c>
      <c r="N313" s="78">
        <f t="shared" si="444"/>
        <v>60</v>
      </c>
      <c r="O313" s="79">
        <v>46037</v>
      </c>
      <c r="P313" s="39" t="s">
        <v>7</v>
      </c>
      <c r="Q313" s="56"/>
      <c r="R313" s="57"/>
      <c r="S313" s="56"/>
      <c r="T313" s="6">
        <f t="shared" si="445"/>
        <v>0</v>
      </c>
      <c r="U313" s="56"/>
      <c r="V313" s="57"/>
      <c r="W313" s="56"/>
      <c r="X313" s="6">
        <f t="shared" si="446"/>
        <v>0</v>
      </c>
      <c r="Y313" s="56"/>
      <c r="Z313" s="57"/>
      <c r="AA313" s="56"/>
      <c r="AB313" s="6">
        <f t="shared" si="447"/>
        <v>0</v>
      </c>
      <c r="AC313" s="7">
        <f t="shared" si="448"/>
        <v>0</v>
      </c>
    </row>
    <row r="314" spans="1:30" x14ac:dyDescent="0.15">
      <c r="A314" s="5" t="s">
        <v>7</v>
      </c>
      <c r="B314" s="9"/>
      <c r="C314" s="35"/>
      <c r="D314" s="9"/>
      <c r="E314" s="6">
        <f t="shared" si="441"/>
        <v>0</v>
      </c>
      <c r="F314" s="9"/>
      <c r="G314" s="35"/>
      <c r="H314" s="9"/>
      <c r="I314" s="6">
        <f t="shared" si="442"/>
        <v>0</v>
      </c>
      <c r="J314" s="9"/>
      <c r="K314" s="35"/>
      <c r="L314" s="9"/>
      <c r="M314" s="6">
        <f t="shared" si="443"/>
        <v>0</v>
      </c>
      <c r="N314" s="7">
        <f t="shared" si="444"/>
        <v>0</v>
      </c>
      <c r="P314" s="5" t="s">
        <v>7</v>
      </c>
      <c r="Q314" s="58"/>
      <c r="R314" s="59"/>
      <c r="S314" s="58"/>
      <c r="T314" s="6">
        <f t="shared" si="445"/>
        <v>0</v>
      </c>
      <c r="U314" s="58"/>
      <c r="V314" s="59"/>
      <c r="W314" s="58"/>
      <c r="X314" s="6">
        <f t="shared" si="446"/>
        <v>0</v>
      </c>
      <c r="Y314" s="58"/>
      <c r="Z314" s="59"/>
      <c r="AA314" s="58"/>
      <c r="AB314" s="6">
        <f t="shared" si="447"/>
        <v>0</v>
      </c>
      <c r="AC314" s="7">
        <f t="shared" si="448"/>
        <v>0</v>
      </c>
    </row>
    <row r="315" spans="1:30" ht="14.25" thickBot="1" x14ac:dyDescent="0.2">
      <c r="A315" s="10" t="s">
        <v>7</v>
      </c>
      <c r="B315" s="11"/>
      <c r="C315" s="36"/>
      <c r="D315" s="11"/>
      <c r="E315" s="6">
        <f t="shared" si="441"/>
        <v>0</v>
      </c>
      <c r="F315" s="11"/>
      <c r="G315" s="36"/>
      <c r="H315" s="11"/>
      <c r="I315" s="6">
        <f t="shared" si="442"/>
        <v>0</v>
      </c>
      <c r="J315" s="11"/>
      <c r="K315" s="36"/>
      <c r="L315" s="11"/>
      <c r="M315" s="6">
        <f t="shared" si="443"/>
        <v>0</v>
      </c>
      <c r="N315" s="7">
        <f t="shared" si="444"/>
        <v>0</v>
      </c>
      <c r="P315" s="5" t="s">
        <v>7</v>
      </c>
      <c r="Q315" s="58"/>
      <c r="R315" s="59"/>
      <c r="S315" s="58"/>
      <c r="T315" s="6">
        <f t="shared" si="445"/>
        <v>0</v>
      </c>
      <c r="U315" s="58"/>
      <c r="V315" s="59"/>
      <c r="W315" s="58"/>
      <c r="X315" s="6">
        <f t="shared" si="446"/>
        <v>0</v>
      </c>
      <c r="Y315" s="58"/>
      <c r="Z315" s="59"/>
      <c r="AA315" s="58"/>
      <c r="AB315" s="6">
        <f t="shared" si="447"/>
        <v>0</v>
      </c>
      <c r="AC315" s="7">
        <f t="shared" si="448"/>
        <v>0</v>
      </c>
    </row>
    <row r="316" spans="1:30" ht="14.25" thickBot="1" x14ac:dyDescent="0.2">
      <c r="A316" s="12" t="s">
        <v>8</v>
      </c>
      <c r="B316" s="13">
        <f>SUM(B305:B315)</f>
        <v>30</v>
      </c>
      <c r="C316" s="37">
        <f t="shared" ref="C316:N316" si="449">SUM(C305:C315)</f>
        <v>22</v>
      </c>
      <c r="D316" s="31">
        <f t="shared" si="449"/>
        <v>19</v>
      </c>
      <c r="E316" s="14">
        <f t="shared" si="449"/>
        <v>71</v>
      </c>
      <c r="F316" s="13">
        <f t="shared" si="449"/>
        <v>30</v>
      </c>
      <c r="G316" s="37">
        <f t="shared" si="449"/>
        <v>22</v>
      </c>
      <c r="H316" s="31">
        <f t="shared" si="449"/>
        <v>16</v>
      </c>
      <c r="I316" s="14">
        <f t="shared" si="449"/>
        <v>68</v>
      </c>
      <c r="J316" s="13">
        <f t="shared" si="449"/>
        <v>30</v>
      </c>
      <c r="K316" s="37">
        <f t="shared" si="449"/>
        <v>24</v>
      </c>
      <c r="L316" s="31">
        <f t="shared" si="449"/>
        <v>16</v>
      </c>
      <c r="M316" s="14">
        <f t="shared" si="449"/>
        <v>70</v>
      </c>
      <c r="N316" s="15">
        <f t="shared" si="449"/>
        <v>209</v>
      </c>
      <c r="P316" s="12" t="s">
        <v>8</v>
      </c>
      <c r="Q316" s="13">
        <f>SUM(Q305:Q315)</f>
        <v>632</v>
      </c>
      <c r="R316" s="37">
        <f t="shared" ref="R316:AC316" si="450">SUM(R305:R315)</f>
        <v>611</v>
      </c>
      <c r="S316" s="31">
        <f t="shared" si="450"/>
        <v>466</v>
      </c>
      <c r="T316" s="14">
        <f t="shared" si="450"/>
        <v>1709</v>
      </c>
      <c r="U316" s="13">
        <f t="shared" si="450"/>
        <v>619</v>
      </c>
      <c r="V316" s="37">
        <f t="shared" si="450"/>
        <v>606</v>
      </c>
      <c r="W316" s="31">
        <f t="shared" si="450"/>
        <v>470</v>
      </c>
      <c r="X316" s="14">
        <f t="shared" si="450"/>
        <v>1695</v>
      </c>
      <c r="Y316" s="13">
        <f t="shared" si="450"/>
        <v>600</v>
      </c>
      <c r="Z316" s="37">
        <f t="shared" si="450"/>
        <v>576</v>
      </c>
      <c r="AA316" s="31">
        <f t="shared" si="450"/>
        <v>452</v>
      </c>
      <c r="AB316" s="14">
        <f t="shared" si="450"/>
        <v>1628</v>
      </c>
      <c r="AC316" s="15">
        <f t="shared" si="450"/>
        <v>5032</v>
      </c>
    </row>
    <row r="317" spans="1:30" x14ac:dyDescent="0.15">
      <c r="A317" s="47" t="s">
        <v>81</v>
      </c>
      <c r="B317" s="16"/>
      <c r="C317" s="35"/>
      <c r="D317" s="9"/>
      <c r="E317" s="6">
        <f t="shared" ref="E317:E318" si="451">SUM(B317:D317)</f>
        <v>0</v>
      </c>
      <c r="F317" s="16"/>
      <c r="G317" s="35"/>
      <c r="H317" s="9"/>
      <c r="I317" s="6">
        <f t="shared" ref="I317:I318" si="452">SUM(F317:H317)</f>
        <v>0</v>
      </c>
      <c r="J317" s="16"/>
      <c r="K317" s="35">
        <v>1</v>
      </c>
      <c r="L317" s="9"/>
      <c r="M317" s="6">
        <f t="shared" ref="M317:M318" si="453">SUM(J317:L317)</f>
        <v>1</v>
      </c>
      <c r="N317" s="7">
        <f t="shared" ref="N317:N318" si="454">E317+I317+M317</f>
        <v>1</v>
      </c>
      <c r="O317" s="30">
        <v>45989</v>
      </c>
      <c r="P317" s="47" t="s">
        <v>217</v>
      </c>
      <c r="Q317" s="16">
        <v>5</v>
      </c>
      <c r="R317" s="35">
        <v>3</v>
      </c>
      <c r="S317" s="9"/>
      <c r="T317" s="6">
        <f t="shared" ref="T317:T334" si="455">SUM(Q317:S317)</f>
        <v>8</v>
      </c>
      <c r="U317" s="16">
        <v>5</v>
      </c>
      <c r="V317" s="35">
        <v>3</v>
      </c>
      <c r="W317" s="9"/>
      <c r="X317" s="6">
        <f t="shared" ref="X317:X334" si="456">SUM(U317:W317)</f>
        <v>8</v>
      </c>
      <c r="Y317" s="16">
        <v>5</v>
      </c>
      <c r="Z317" s="35">
        <v>3</v>
      </c>
      <c r="AA317" s="9"/>
      <c r="AB317" s="6">
        <f t="shared" ref="AB317:AB334" si="457">SUM(Y317:AA317)</f>
        <v>8</v>
      </c>
      <c r="AC317" s="7">
        <f t="shared" ref="AC317:AC334" si="458">T317+X317+AB317</f>
        <v>24</v>
      </c>
      <c r="AD317" s="22">
        <v>45990</v>
      </c>
    </row>
    <row r="318" spans="1:30" x14ac:dyDescent="0.15">
      <c r="A318" s="47" t="s">
        <v>205</v>
      </c>
      <c r="B318" s="16">
        <v>1</v>
      </c>
      <c r="C318" s="35">
        <v>1</v>
      </c>
      <c r="D318" s="9"/>
      <c r="E318" s="6">
        <f t="shared" si="451"/>
        <v>2</v>
      </c>
      <c r="F318" s="16">
        <v>1</v>
      </c>
      <c r="G318" s="35">
        <v>1</v>
      </c>
      <c r="H318" s="9"/>
      <c r="I318" s="6">
        <f t="shared" si="452"/>
        <v>2</v>
      </c>
      <c r="J318" s="16">
        <v>1</v>
      </c>
      <c r="K318" s="35">
        <v>1</v>
      </c>
      <c r="L318" s="9"/>
      <c r="M318" s="6">
        <f t="shared" si="453"/>
        <v>2</v>
      </c>
      <c r="N318" s="7">
        <f t="shared" si="454"/>
        <v>6</v>
      </c>
      <c r="O318" s="30">
        <v>45992</v>
      </c>
      <c r="P318" s="80" t="s">
        <v>46</v>
      </c>
      <c r="Q318" s="81"/>
      <c r="R318" s="76">
        <v>3</v>
      </c>
      <c r="S318" s="75"/>
      <c r="T318" s="77">
        <f t="shared" si="455"/>
        <v>3</v>
      </c>
      <c r="U318" s="81"/>
      <c r="V318" s="76">
        <v>3</v>
      </c>
      <c r="W318" s="75"/>
      <c r="X318" s="77">
        <f t="shared" si="456"/>
        <v>3</v>
      </c>
      <c r="Y318" s="81"/>
      <c r="Z318" s="76">
        <v>3</v>
      </c>
      <c r="AA318" s="75"/>
      <c r="AB318" s="77">
        <f t="shared" si="457"/>
        <v>3</v>
      </c>
      <c r="AC318" s="78">
        <f t="shared" si="458"/>
        <v>9</v>
      </c>
      <c r="AD318" s="82">
        <v>45993</v>
      </c>
    </row>
    <row r="319" spans="1:30" x14ac:dyDescent="0.15">
      <c r="A319" s="47" t="s">
        <v>205</v>
      </c>
      <c r="B319" s="16">
        <v>3</v>
      </c>
      <c r="C319" s="35">
        <v>4</v>
      </c>
      <c r="D319" s="9"/>
      <c r="E319" s="6">
        <f t="shared" ref="E319:E340" si="459">SUM(B319:D319)</f>
        <v>7</v>
      </c>
      <c r="F319" s="16">
        <v>3</v>
      </c>
      <c r="G319" s="35">
        <v>4</v>
      </c>
      <c r="H319" s="9"/>
      <c r="I319" s="6">
        <f t="shared" ref="I319:I340" si="460">SUM(F319:H319)</f>
        <v>7</v>
      </c>
      <c r="J319" s="16">
        <v>3</v>
      </c>
      <c r="K319" s="35">
        <v>4</v>
      </c>
      <c r="L319" s="9"/>
      <c r="M319" s="6">
        <f t="shared" ref="M319:M340" si="461">SUM(J319:L319)</f>
        <v>7</v>
      </c>
      <c r="N319" s="7">
        <f t="shared" ref="N319:N340" si="462">E319+I319+M319</f>
        <v>21</v>
      </c>
      <c r="O319" s="30">
        <v>45994</v>
      </c>
      <c r="P319" s="80" t="s">
        <v>46</v>
      </c>
      <c r="Q319" s="81">
        <v>5</v>
      </c>
      <c r="R319" s="76"/>
      <c r="S319" s="75"/>
      <c r="T319" s="77">
        <f t="shared" si="455"/>
        <v>5</v>
      </c>
      <c r="U319" s="81">
        <v>5</v>
      </c>
      <c r="V319" s="76"/>
      <c r="W319" s="75"/>
      <c r="X319" s="77">
        <f t="shared" si="456"/>
        <v>5</v>
      </c>
      <c r="Y319" s="81">
        <v>5</v>
      </c>
      <c r="Z319" s="76"/>
      <c r="AA319" s="75"/>
      <c r="AB319" s="77">
        <f t="shared" si="457"/>
        <v>5</v>
      </c>
      <c r="AC319" s="78">
        <f t="shared" si="458"/>
        <v>15</v>
      </c>
      <c r="AD319" s="82">
        <v>45995</v>
      </c>
    </row>
    <row r="320" spans="1:30" x14ac:dyDescent="0.15">
      <c r="A320" s="47" t="s">
        <v>56</v>
      </c>
      <c r="B320" s="16"/>
      <c r="C320" s="35"/>
      <c r="D320" s="9">
        <v>1</v>
      </c>
      <c r="E320" s="6">
        <f t="shared" si="459"/>
        <v>1</v>
      </c>
      <c r="F320" s="16"/>
      <c r="G320" s="35"/>
      <c r="H320" s="9"/>
      <c r="I320" s="6">
        <f t="shared" si="460"/>
        <v>0</v>
      </c>
      <c r="J320" s="16"/>
      <c r="K320" s="35"/>
      <c r="L320" s="9"/>
      <c r="M320" s="6">
        <f t="shared" si="461"/>
        <v>0</v>
      </c>
      <c r="N320" s="7">
        <f t="shared" si="462"/>
        <v>1</v>
      </c>
      <c r="O320" s="30">
        <v>45992</v>
      </c>
      <c r="P320" s="47" t="s">
        <v>205</v>
      </c>
      <c r="Q320" s="16"/>
      <c r="R320" s="35">
        <v>4</v>
      </c>
      <c r="S320" s="9"/>
      <c r="T320" s="6">
        <f t="shared" si="455"/>
        <v>4</v>
      </c>
      <c r="U320" s="16"/>
      <c r="V320" s="35">
        <v>4</v>
      </c>
      <c r="W320" s="9"/>
      <c r="X320" s="6">
        <f t="shared" si="456"/>
        <v>4</v>
      </c>
      <c r="Y320" s="16"/>
      <c r="Z320" s="35">
        <v>4</v>
      </c>
      <c r="AA320" s="9"/>
      <c r="AB320" s="6">
        <f t="shared" si="457"/>
        <v>4</v>
      </c>
      <c r="AC320" s="7">
        <f t="shared" si="458"/>
        <v>12</v>
      </c>
      <c r="AD320" s="22">
        <v>46006</v>
      </c>
    </row>
    <row r="321" spans="1:30" x14ac:dyDescent="0.15">
      <c r="A321" s="47" t="s">
        <v>205</v>
      </c>
      <c r="B321" s="16">
        <v>1</v>
      </c>
      <c r="C321" s="35"/>
      <c r="D321" s="9"/>
      <c r="E321" s="6">
        <f t="shared" si="459"/>
        <v>1</v>
      </c>
      <c r="F321" s="16">
        <v>1</v>
      </c>
      <c r="G321" s="35"/>
      <c r="H321" s="9"/>
      <c r="I321" s="6">
        <f t="shared" si="460"/>
        <v>1</v>
      </c>
      <c r="J321" s="16">
        <v>1</v>
      </c>
      <c r="K321" s="35"/>
      <c r="L321" s="9"/>
      <c r="M321" s="6">
        <f t="shared" si="461"/>
        <v>1</v>
      </c>
      <c r="N321" s="7">
        <f t="shared" si="462"/>
        <v>3</v>
      </c>
      <c r="O321" s="30">
        <v>45995</v>
      </c>
      <c r="P321" s="47" t="s">
        <v>205</v>
      </c>
      <c r="Q321" s="16">
        <v>2</v>
      </c>
      <c r="R321" s="35">
        <v>4</v>
      </c>
      <c r="S321" s="9">
        <v>1</v>
      </c>
      <c r="T321" s="6">
        <f t="shared" si="455"/>
        <v>7</v>
      </c>
      <c r="U321" s="16">
        <v>2</v>
      </c>
      <c r="V321" s="35">
        <v>4</v>
      </c>
      <c r="W321" s="9">
        <v>1</v>
      </c>
      <c r="X321" s="6">
        <f t="shared" si="456"/>
        <v>7</v>
      </c>
      <c r="Y321" s="16">
        <v>2</v>
      </c>
      <c r="Z321" s="35">
        <v>4</v>
      </c>
      <c r="AA321" s="9">
        <v>1</v>
      </c>
      <c r="AB321" s="6">
        <f t="shared" si="457"/>
        <v>7</v>
      </c>
      <c r="AC321" s="7">
        <f t="shared" si="458"/>
        <v>21</v>
      </c>
      <c r="AD321" s="22">
        <v>46008</v>
      </c>
    </row>
    <row r="322" spans="1:30" x14ac:dyDescent="0.15">
      <c r="A322" s="47" t="s">
        <v>205</v>
      </c>
      <c r="B322" s="16">
        <v>1</v>
      </c>
      <c r="C322" s="35"/>
      <c r="D322" s="9"/>
      <c r="E322" s="6">
        <f t="shared" si="459"/>
        <v>1</v>
      </c>
      <c r="F322" s="16">
        <v>1</v>
      </c>
      <c r="G322" s="35"/>
      <c r="H322" s="9"/>
      <c r="I322" s="6">
        <f t="shared" si="460"/>
        <v>1</v>
      </c>
      <c r="J322" s="16">
        <v>1</v>
      </c>
      <c r="K322" s="35"/>
      <c r="L322" s="9"/>
      <c r="M322" s="6">
        <f t="shared" si="461"/>
        <v>1</v>
      </c>
      <c r="N322" s="7">
        <f t="shared" si="462"/>
        <v>3</v>
      </c>
      <c r="O322" s="30">
        <v>45996</v>
      </c>
      <c r="P322" s="47" t="s">
        <v>224</v>
      </c>
      <c r="Q322" s="16">
        <v>5</v>
      </c>
      <c r="R322" s="35"/>
      <c r="S322" s="9"/>
      <c r="T322" s="6">
        <f t="shared" si="455"/>
        <v>5</v>
      </c>
      <c r="U322" s="16">
        <v>5</v>
      </c>
      <c r="V322" s="35"/>
      <c r="W322" s="9"/>
      <c r="X322" s="6">
        <f t="shared" si="456"/>
        <v>5</v>
      </c>
      <c r="Y322" s="16">
        <v>5</v>
      </c>
      <c r="Z322" s="35"/>
      <c r="AA322" s="9"/>
      <c r="AB322" s="6">
        <f t="shared" si="457"/>
        <v>5</v>
      </c>
      <c r="AC322" s="7">
        <f t="shared" si="458"/>
        <v>15</v>
      </c>
      <c r="AD322" s="22">
        <v>45664</v>
      </c>
    </row>
    <row r="323" spans="1:30" x14ac:dyDescent="0.15">
      <c r="A323" s="47" t="s">
        <v>56</v>
      </c>
      <c r="B323" s="16"/>
      <c r="C323" s="35"/>
      <c r="D323" s="9"/>
      <c r="E323" s="6">
        <f t="shared" si="459"/>
        <v>0</v>
      </c>
      <c r="F323" s="16"/>
      <c r="G323" s="35"/>
      <c r="H323" s="9"/>
      <c r="I323" s="6">
        <f t="shared" si="460"/>
        <v>0</v>
      </c>
      <c r="J323" s="16"/>
      <c r="K323" s="35">
        <v>1</v>
      </c>
      <c r="L323" s="9"/>
      <c r="M323" s="6">
        <f t="shared" si="461"/>
        <v>1</v>
      </c>
      <c r="N323" s="7">
        <f t="shared" si="462"/>
        <v>1</v>
      </c>
      <c r="O323" s="70">
        <v>45996</v>
      </c>
      <c r="P323" s="47" t="s">
        <v>215</v>
      </c>
      <c r="Q323" s="16"/>
      <c r="R323" s="35"/>
      <c r="S323" s="9">
        <v>3</v>
      </c>
      <c r="T323" s="6">
        <f t="shared" si="455"/>
        <v>3</v>
      </c>
      <c r="U323" s="16"/>
      <c r="V323" s="35"/>
      <c r="W323" s="9"/>
      <c r="X323" s="6">
        <f t="shared" si="456"/>
        <v>0</v>
      </c>
      <c r="Y323" s="16"/>
      <c r="Z323" s="35">
        <v>3</v>
      </c>
      <c r="AA323" s="9"/>
      <c r="AB323" s="6">
        <f t="shared" si="457"/>
        <v>3</v>
      </c>
      <c r="AC323" s="7">
        <f t="shared" si="458"/>
        <v>6</v>
      </c>
      <c r="AD323" s="22">
        <v>46017</v>
      </c>
    </row>
    <row r="324" spans="1:30" x14ac:dyDescent="0.15">
      <c r="A324" s="47" t="s">
        <v>56</v>
      </c>
      <c r="B324" s="16"/>
      <c r="C324" s="35"/>
      <c r="D324" s="9">
        <v>1</v>
      </c>
      <c r="E324" s="6">
        <f t="shared" si="459"/>
        <v>1</v>
      </c>
      <c r="F324" s="16"/>
      <c r="G324" s="35"/>
      <c r="H324" s="9"/>
      <c r="I324" s="6">
        <f t="shared" si="460"/>
        <v>0</v>
      </c>
      <c r="J324" s="16"/>
      <c r="K324" s="35"/>
      <c r="L324" s="9"/>
      <c r="M324" s="6">
        <f t="shared" si="461"/>
        <v>0</v>
      </c>
      <c r="N324" s="7">
        <f t="shared" si="462"/>
        <v>1</v>
      </c>
      <c r="O324" s="70">
        <v>45999</v>
      </c>
      <c r="P324" s="80" t="s">
        <v>215</v>
      </c>
      <c r="Q324" s="81"/>
      <c r="R324" s="76">
        <v>5</v>
      </c>
      <c r="S324" s="75"/>
      <c r="T324" s="77">
        <f t="shared" ref="T324" si="463">SUM(Q324:S324)</f>
        <v>5</v>
      </c>
      <c r="U324" s="81"/>
      <c r="V324" s="76">
        <v>5</v>
      </c>
      <c r="W324" s="75"/>
      <c r="X324" s="77">
        <f t="shared" ref="X324" si="464">SUM(U324:W324)</f>
        <v>5</v>
      </c>
      <c r="Y324" s="81"/>
      <c r="Z324" s="76">
        <v>3</v>
      </c>
      <c r="AA324" s="75"/>
      <c r="AB324" s="77">
        <f t="shared" ref="AB324" si="465">SUM(Y324:AA324)</f>
        <v>3</v>
      </c>
      <c r="AC324" s="78">
        <f t="shared" ref="AC324" si="466">T324+X324+AB324</f>
        <v>13</v>
      </c>
      <c r="AD324" s="82">
        <v>46028</v>
      </c>
    </row>
    <row r="325" spans="1:30" x14ac:dyDescent="0.15">
      <c r="A325" s="47" t="s">
        <v>205</v>
      </c>
      <c r="B325" s="16"/>
      <c r="C325" s="35"/>
      <c r="D325" s="9">
        <v>1</v>
      </c>
      <c r="E325" s="6">
        <f t="shared" si="459"/>
        <v>1</v>
      </c>
      <c r="F325" s="16"/>
      <c r="G325" s="35"/>
      <c r="H325" s="9">
        <v>1</v>
      </c>
      <c r="I325" s="6">
        <f t="shared" si="460"/>
        <v>1</v>
      </c>
      <c r="J325" s="16"/>
      <c r="K325" s="35"/>
      <c r="L325" s="9">
        <v>1</v>
      </c>
      <c r="M325" s="6">
        <f t="shared" si="461"/>
        <v>1</v>
      </c>
      <c r="N325" s="7">
        <f t="shared" si="462"/>
        <v>3</v>
      </c>
      <c r="O325" s="30">
        <v>46002</v>
      </c>
      <c r="P325" s="80" t="s">
        <v>215</v>
      </c>
      <c r="Q325" s="81">
        <v>10</v>
      </c>
      <c r="R325" s="76">
        <v>5</v>
      </c>
      <c r="S325" s="75">
        <v>5</v>
      </c>
      <c r="T325" s="77">
        <f t="shared" si="455"/>
        <v>20</v>
      </c>
      <c r="U325" s="81">
        <v>10</v>
      </c>
      <c r="V325" s="76">
        <v>5</v>
      </c>
      <c r="W325" s="75">
        <v>5</v>
      </c>
      <c r="X325" s="77">
        <f t="shared" si="456"/>
        <v>20</v>
      </c>
      <c r="Y325" s="81">
        <v>10</v>
      </c>
      <c r="Z325" s="76">
        <v>5</v>
      </c>
      <c r="AA325" s="75">
        <v>5</v>
      </c>
      <c r="AB325" s="77">
        <f t="shared" si="457"/>
        <v>20</v>
      </c>
      <c r="AC325" s="78">
        <f t="shared" si="458"/>
        <v>60</v>
      </c>
      <c r="AD325" s="82">
        <v>46037</v>
      </c>
    </row>
    <row r="326" spans="1:30" x14ac:dyDescent="0.15">
      <c r="A326" s="47" t="s">
        <v>205</v>
      </c>
      <c r="B326" s="16"/>
      <c r="C326" s="35">
        <v>1</v>
      </c>
      <c r="D326" s="9"/>
      <c r="E326" s="6">
        <f t="shared" si="459"/>
        <v>1</v>
      </c>
      <c r="F326" s="16"/>
      <c r="G326" s="35">
        <v>1</v>
      </c>
      <c r="H326" s="9"/>
      <c r="I326" s="6">
        <f t="shared" si="460"/>
        <v>1</v>
      </c>
      <c r="J326" s="16"/>
      <c r="K326" s="35">
        <v>1</v>
      </c>
      <c r="L326" s="9"/>
      <c r="M326" s="6">
        <f t="shared" si="461"/>
        <v>1</v>
      </c>
      <c r="N326" s="7">
        <f t="shared" si="462"/>
        <v>3</v>
      </c>
      <c r="O326" s="30">
        <v>46003</v>
      </c>
      <c r="P326" s="80" t="s">
        <v>215</v>
      </c>
      <c r="Q326" s="81">
        <v>3</v>
      </c>
      <c r="R326" s="76">
        <v>3</v>
      </c>
      <c r="S326" s="75">
        <v>3</v>
      </c>
      <c r="T326" s="77">
        <f t="shared" si="455"/>
        <v>9</v>
      </c>
      <c r="U326" s="81">
        <v>3</v>
      </c>
      <c r="V326" s="76">
        <v>3</v>
      </c>
      <c r="W326" s="75">
        <v>3</v>
      </c>
      <c r="X326" s="77">
        <f t="shared" si="456"/>
        <v>9</v>
      </c>
      <c r="Y326" s="81">
        <v>3</v>
      </c>
      <c r="Z326" s="76">
        <v>3</v>
      </c>
      <c r="AA326" s="75">
        <v>3</v>
      </c>
      <c r="AB326" s="77">
        <f t="shared" si="457"/>
        <v>9</v>
      </c>
      <c r="AC326" s="78">
        <f t="shared" si="458"/>
        <v>27</v>
      </c>
      <c r="AD326" s="82">
        <v>46043</v>
      </c>
    </row>
    <row r="327" spans="1:30" x14ac:dyDescent="0.15">
      <c r="A327" s="47" t="s">
        <v>205</v>
      </c>
      <c r="B327" s="16"/>
      <c r="C327" s="35"/>
      <c r="D327" s="9">
        <v>2</v>
      </c>
      <c r="E327" s="6">
        <f t="shared" si="459"/>
        <v>2</v>
      </c>
      <c r="F327" s="16"/>
      <c r="G327" s="35"/>
      <c r="H327" s="9">
        <v>2</v>
      </c>
      <c r="I327" s="6">
        <f t="shared" si="460"/>
        <v>2</v>
      </c>
      <c r="J327" s="16"/>
      <c r="K327" s="35"/>
      <c r="L327" s="9">
        <v>2</v>
      </c>
      <c r="M327" s="6">
        <f t="shared" si="461"/>
        <v>2</v>
      </c>
      <c r="N327" s="7">
        <f t="shared" si="462"/>
        <v>6</v>
      </c>
      <c r="O327" s="30">
        <v>46009</v>
      </c>
      <c r="P327" s="80" t="s">
        <v>215</v>
      </c>
      <c r="Q327" s="81">
        <v>5</v>
      </c>
      <c r="R327" s="76"/>
      <c r="S327" s="75"/>
      <c r="T327" s="77">
        <f t="shared" si="455"/>
        <v>5</v>
      </c>
      <c r="U327" s="81">
        <v>5</v>
      </c>
      <c r="V327" s="76"/>
      <c r="W327" s="75"/>
      <c r="X327" s="77">
        <f t="shared" si="456"/>
        <v>5</v>
      </c>
      <c r="Y327" s="81">
        <v>5</v>
      </c>
      <c r="Z327" s="76"/>
      <c r="AA327" s="75"/>
      <c r="AB327" s="77">
        <f t="shared" si="457"/>
        <v>5</v>
      </c>
      <c r="AC327" s="78">
        <f t="shared" si="458"/>
        <v>15</v>
      </c>
      <c r="AD327" s="82">
        <v>46050</v>
      </c>
    </row>
    <row r="328" spans="1:30" x14ac:dyDescent="0.15">
      <c r="A328" s="47" t="s">
        <v>205</v>
      </c>
      <c r="B328" s="16"/>
      <c r="C328" s="35">
        <v>1</v>
      </c>
      <c r="D328" s="9"/>
      <c r="E328" s="6">
        <f t="shared" si="459"/>
        <v>1</v>
      </c>
      <c r="F328" s="16"/>
      <c r="G328" s="35">
        <v>1</v>
      </c>
      <c r="H328" s="9"/>
      <c r="I328" s="6">
        <f t="shared" si="460"/>
        <v>1</v>
      </c>
      <c r="J328" s="16"/>
      <c r="K328" s="35">
        <v>1</v>
      </c>
      <c r="L328" s="9"/>
      <c r="M328" s="6">
        <f t="shared" si="461"/>
        <v>1</v>
      </c>
      <c r="N328" s="7">
        <f t="shared" si="462"/>
        <v>3</v>
      </c>
      <c r="O328" s="30">
        <v>46010</v>
      </c>
      <c r="P328" s="47" t="s">
        <v>215</v>
      </c>
      <c r="Q328" s="16"/>
      <c r="R328" s="35">
        <v>3</v>
      </c>
      <c r="S328" s="9"/>
      <c r="T328" s="6">
        <f t="shared" si="455"/>
        <v>3</v>
      </c>
      <c r="U328" s="16"/>
      <c r="V328" s="35"/>
      <c r="W328" s="9"/>
      <c r="X328" s="6">
        <f t="shared" si="456"/>
        <v>0</v>
      </c>
      <c r="Y328" s="16"/>
      <c r="Z328" s="35">
        <v>5</v>
      </c>
      <c r="AA328" s="9"/>
      <c r="AB328" s="6">
        <f t="shared" si="457"/>
        <v>5</v>
      </c>
      <c r="AC328" s="7">
        <f t="shared" si="458"/>
        <v>8</v>
      </c>
      <c r="AD328" s="22">
        <v>46059</v>
      </c>
    </row>
    <row r="329" spans="1:30" x14ac:dyDescent="0.15">
      <c r="A329" s="47" t="s">
        <v>205</v>
      </c>
      <c r="B329" s="16">
        <v>2</v>
      </c>
      <c r="C329" s="35"/>
      <c r="D329" s="9"/>
      <c r="E329" s="6">
        <f t="shared" si="459"/>
        <v>2</v>
      </c>
      <c r="F329" s="16">
        <v>2</v>
      </c>
      <c r="G329" s="35"/>
      <c r="H329" s="9"/>
      <c r="I329" s="6">
        <f t="shared" si="460"/>
        <v>2</v>
      </c>
      <c r="J329" s="16">
        <v>2</v>
      </c>
      <c r="K329" s="35"/>
      <c r="L329" s="9"/>
      <c r="M329" s="6">
        <f t="shared" si="461"/>
        <v>2</v>
      </c>
      <c r="N329" s="7">
        <f t="shared" si="462"/>
        <v>6</v>
      </c>
      <c r="O329" s="30">
        <v>46010</v>
      </c>
      <c r="P329" s="48"/>
      <c r="Q329" s="16"/>
      <c r="R329" s="35"/>
      <c r="S329" s="9"/>
      <c r="T329" s="6">
        <f t="shared" si="455"/>
        <v>0</v>
      </c>
      <c r="U329" s="16"/>
      <c r="V329" s="35"/>
      <c r="W329" s="9"/>
      <c r="X329" s="6">
        <f t="shared" si="456"/>
        <v>0</v>
      </c>
      <c r="Y329" s="16"/>
      <c r="Z329" s="35"/>
      <c r="AA329" s="9"/>
      <c r="AB329" s="6">
        <f t="shared" si="457"/>
        <v>0</v>
      </c>
      <c r="AC329" s="7">
        <f t="shared" si="458"/>
        <v>0</v>
      </c>
    </row>
    <row r="330" spans="1:30" x14ac:dyDescent="0.15">
      <c r="A330" s="47" t="s">
        <v>205</v>
      </c>
      <c r="B330" s="16">
        <v>1</v>
      </c>
      <c r="C330" s="35"/>
      <c r="D330" s="9"/>
      <c r="E330" s="6">
        <f t="shared" si="459"/>
        <v>1</v>
      </c>
      <c r="F330" s="16">
        <v>1</v>
      </c>
      <c r="G330" s="35"/>
      <c r="H330" s="9"/>
      <c r="I330" s="6">
        <f t="shared" si="460"/>
        <v>1</v>
      </c>
      <c r="J330" s="16">
        <v>1</v>
      </c>
      <c r="K330" s="35"/>
      <c r="L330" s="9"/>
      <c r="M330" s="6">
        <f t="shared" si="461"/>
        <v>1</v>
      </c>
      <c r="N330" s="7">
        <f t="shared" si="462"/>
        <v>3</v>
      </c>
      <c r="O330" s="30">
        <v>46013</v>
      </c>
      <c r="P330" s="47"/>
      <c r="Q330" s="16"/>
      <c r="R330" s="35"/>
      <c r="S330" s="9"/>
      <c r="T330" s="6">
        <f t="shared" si="455"/>
        <v>0</v>
      </c>
      <c r="U330" s="16"/>
      <c r="V330" s="35"/>
      <c r="W330" s="9"/>
      <c r="X330" s="6">
        <f t="shared" si="456"/>
        <v>0</v>
      </c>
      <c r="Y330" s="16"/>
      <c r="Z330" s="35"/>
      <c r="AA330" s="9"/>
      <c r="AB330" s="6">
        <f t="shared" si="457"/>
        <v>0</v>
      </c>
      <c r="AC330" s="7">
        <f t="shared" si="458"/>
        <v>0</v>
      </c>
    </row>
    <row r="331" spans="1:30" x14ac:dyDescent="0.15">
      <c r="A331" s="47" t="s">
        <v>56</v>
      </c>
      <c r="B331" s="16"/>
      <c r="C331" s="35"/>
      <c r="D331" s="9">
        <v>2</v>
      </c>
      <c r="E331" s="6">
        <f t="shared" si="459"/>
        <v>2</v>
      </c>
      <c r="F331" s="16"/>
      <c r="G331" s="35"/>
      <c r="H331" s="9"/>
      <c r="I331" s="6">
        <f t="shared" si="460"/>
        <v>0</v>
      </c>
      <c r="J331" s="16"/>
      <c r="K331" s="35"/>
      <c r="L331" s="9"/>
      <c r="M331" s="6">
        <f t="shared" si="461"/>
        <v>0</v>
      </c>
      <c r="N331" s="7">
        <f t="shared" si="462"/>
        <v>2</v>
      </c>
      <c r="O331" s="70">
        <v>46011</v>
      </c>
      <c r="P331" s="47"/>
      <c r="Q331" s="16"/>
      <c r="R331" s="35"/>
      <c r="S331" s="9"/>
      <c r="T331" s="6">
        <f t="shared" si="455"/>
        <v>0</v>
      </c>
      <c r="U331" s="16"/>
      <c r="V331" s="35"/>
      <c r="W331" s="9"/>
      <c r="X331" s="6">
        <f t="shared" si="456"/>
        <v>0</v>
      </c>
      <c r="Y331" s="16"/>
      <c r="Z331" s="35"/>
      <c r="AA331" s="9"/>
      <c r="AB331" s="6">
        <f t="shared" si="457"/>
        <v>0</v>
      </c>
      <c r="AC331" s="7">
        <f t="shared" si="458"/>
        <v>0</v>
      </c>
    </row>
    <row r="332" spans="1:30" x14ac:dyDescent="0.15">
      <c r="A332" s="47" t="s">
        <v>205</v>
      </c>
      <c r="B332" s="16">
        <v>2</v>
      </c>
      <c r="C332" s="35"/>
      <c r="D332" s="9"/>
      <c r="E332" s="6">
        <f t="shared" si="459"/>
        <v>2</v>
      </c>
      <c r="F332" s="16">
        <v>2</v>
      </c>
      <c r="G332" s="35"/>
      <c r="H332" s="9"/>
      <c r="I332" s="6">
        <f t="shared" si="460"/>
        <v>2</v>
      </c>
      <c r="J332" s="16">
        <v>2</v>
      </c>
      <c r="K332" s="35"/>
      <c r="L332" s="9"/>
      <c r="M332" s="6">
        <f t="shared" si="461"/>
        <v>2</v>
      </c>
      <c r="N332" s="7">
        <f t="shared" si="462"/>
        <v>6</v>
      </c>
      <c r="O332" s="30">
        <v>46015</v>
      </c>
      <c r="P332" s="47"/>
      <c r="Q332" s="16"/>
      <c r="R332" s="35"/>
      <c r="S332" s="9"/>
      <c r="T332" s="6">
        <f t="shared" si="455"/>
        <v>0</v>
      </c>
      <c r="U332" s="16"/>
      <c r="V332" s="35"/>
      <c r="W332" s="9"/>
      <c r="X332" s="6">
        <f t="shared" si="456"/>
        <v>0</v>
      </c>
      <c r="Y332" s="16"/>
      <c r="Z332" s="35"/>
      <c r="AA332" s="9"/>
      <c r="AB332" s="6">
        <f t="shared" si="457"/>
        <v>0</v>
      </c>
      <c r="AC332" s="7">
        <f t="shared" si="458"/>
        <v>0</v>
      </c>
    </row>
    <row r="333" spans="1:30" x14ac:dyDescent="0.15">
      <c r="A333" s="47" t="s">
        <v>205</v>
      </c>
      <c r="B333" s="16">
        <v>1</v>
      </c>
      <c r="C333" s="35"/>
      <c r="D333" s="9"/>
      <c r="E333" s="6">
        <f t="shared" si="459"/>
        <v>1</v>
      </c>
      <c r="F333" s="16">
        <v>1</v>
      </c>
      <c r="G333" s="35"/>
      <c r="H333" s="9"/>
      <c r="I333" s="6">
        <f t="shared" si="460"/>
        <v>1</v>
      </c>
      <c r="J333" s="16">
        <v>1</v>
      </c>
      <c r="K333" s="35"/>
      <c r="L333" s="9"/>
      <c r="M333" s="6">
        <f t="shared" si="461"/>
        <v>1</v>
      </c>
      <c r="N333" s="7">
        <f t="shared" si="462"/>
        <v>3</v>
      </c>
      <c r="O333" s="30">
        <v>46016</v>
      </c>
      <c r="P333" s="47"/>
      <c r="Q333" s="16"/>
      <c r="R333" s="35"/>
      <c r="S333" s="9"/>
      <c r="T333" s="6">
        <f t="shared" si="455"/>
        <v>0</v>
      </c>
      <c r="U333" s="16"/>
      <c r="V333" s="35"/>
      <c r="W333" s="9"/>
      <c r="X333" s="6">
        <f t="shared" si="456"/>
        <v>0</v>
      </c>
      <c r="Y333" s="16"/>
      <c r="Z333" s="35"/>
      <c r="AA333" s="9"/>
      <c r="AB333" s="6">
        <f t="shared" si="457"/>
        <v>0</v>
      </c>
      <c r="AC333" s="7">
        <f t="shared" si="458"/>
        <v>0</v>
      </c>
    </row>
    <row r="334" spans="1:30" x14ac:dyDescent="0.15">
      <c r="A334" s="47" t="s">
        <v>205</v>
      </c>
      <c r="B334" s="16"/>
      <c r="C334" s="35"/>
      <c r="D334" s="9">
        <v>1</v>
      </c>
      <c r="E334" s="6">
        <f t="shared" si="459"/>
        <v>1</v>
      </c>
      <c r="F334" s="16"/>
      <c r="G334" s="35"/>
      <c r="H334" s="9">
        <v>1</v>
      </c>
      <c r="I334" s="6">
        <f t="shared" si="460"/>
        <v>1</v>
      </c>
      <c r="J334" s="16"/>
      <c r="K334" s="35"/>
      <c r="L334" s="9">
        <v>1</v>
      </c>
      <c r="M334" s="6">
        <f t="shared" si="461"/>
        <v>1</v>
      </c>
      <c r="N334" s="7">
        <f t="shared" si="462"/>
        <v>3</v>
      </c>
      <c r="O334" s="30">
        <v>46017</v>
      </c>
      <c r="P334" s="47"/>
      <c r="Q334" s="16"/>
      <c r="R334" s="35"/>
      <c r="S334" s="9"/>
      <c r="T334" s="6">
        <f t="shared" si="455"/>
        <v>0</v>
      </c>
      <c r="U334" s="16"/>
      <c r="V334" s="35"/>
      <c r="W334" s="9"/>
      <c r="X334" s="6">
        <f t="shared" si="456"/>
        <v>0</v>
      </c>
      <c r="Y334" s="16"/>
      <c r="Z334" s="35"/>
      <c r="AA334" s="9"/>
      <c r="AB334" s="6">
        <f t="shared" si="457"/>
        <v>0</v>
      </c>
      <c r="AC334" s="7">
        <f t="shared" si="458"/>
        <v>0</v>
      </c>
    </row>
    <row r="335" spans="1:30" x14ac:dyDescent="0.15">
      <c r="A335" s="47" t="s">
        <v>205</v>
      </c>
      <c r="B335" s="16"/>
      <c r="C335" s="35">
        <v>1</v>
      </c>
      <c r="D335" s="9"/>
      <c r="E335" s="6">
        <f t="shared" si="459"/>
        <v>1</v>
      </c>
      <c r="F335" s="16"/>
      <c r="G335" s="35">
        <v>1</v>
      </c>
      <c r="H335" s="9"/>
      <c r="I335" s="6">
        <f t="shared" si="460"/>
        <v>1</v>
      </c>
      <c r="J335" s="16"/>
      <c r="K335" s="35">
        <v>1</v>
      </c>
      <c r="L335" s="9"/>
      <c r="M335" s="6">
        <f t="shared" si="461"/>
        <v>1</v>
      </c>
      <c r="N335" s="7">
        <f t="shared" si="462"/>
        <v>3</v>
      </c>
      <c r="O335" s="30">
        <v>46017</v>
      </c>
      <c r="P335" s="47"/>
      <c r="Q335" s="16"/>
      <c r="R335" s="35"/>
      <c r="S335" s="9"/>
      <c r="T335" s="6">
        <f t="shared" ref="T335:T337" si="467">SUM(Q335:S335)</f>
        <v>0</v>
      </c>
      <c r="U335" s="16"/>
      <c r="V335" s="35"/>
      <c r="W335" s="9"/>
      <c r="X335" s="6">
        <f t="shared" ref="X335:X337" si="468">SUM(U335:W335)</f>
        <v>0</v>
      </c>
      <c r="Y335" s="16"/>
      <c r="Z335" s="35"/>
      <c r="AA335" s="9"/>
      <c r="AB335" s="6">
        <f t="shared" ref="AB335:AB337" si="469">SUM(Y335:AA335)</f>
        <v>0</v>
      </c>
      <c r="AC335" s="7">
        <f t="shared" ref="AC335:AC337" si="470">T335+X335+AB335</f>
        <v>0</v>
      </c>
    </row>
    <row r="336" spans="1:30" x14ac:dyDescent="0.15">
      <c r="A336" s="47" t="s">
        <v>205</v>
      </c>
      <c r="B336" s="16">
        <v>2</v>
      </c>
      <c r="C336" s="35">
        <v>3</v>
      </c>
      <c r="D336" s="9">
        <v>1</v>
      </c>
      <c r="E336" s="6">
        <f t="shared" si="459"/>
        <v>6</v>
      </c>
      <c r="F336" s="16">
        <v>2</v>
      </c>
      <c r="G336" s="35">
        <v>3</v>
      </c>
      <c r="H336" s="9">
        <v>1</v>
      </c>
      <c r="I336" s="6">
        <f t="shared" si="460"/>
        <v>6</v>
      </c>
      <c r="J336" s="16">
        <v>2</v>
      </c>
      <c r="K336" s="35">
        <v>3</v>
      </c>
      <c r="L336" s="9">
        <v>1</v>
      </c>
      <c r="M336" s="6">
        <f t="shared" si="461"/>
        <v>6</v>
      </c>
      <c r="N336" s="7">
        <f t="shared" si="462"/>
        <v>18</v>
      </c>
      <c r="O336" s="30">
        <v>46029</v>
      </c>
      <c r="P336" s="47"/>
      <c r="Q336" s="16"/>
      <c r="R336" s="35"/>
      <c r="S336" s="9"/>
      <c r="T336" s="6">
        <f t="shared" si="467"/>
        <v>0</v>
      </c>
      <c r="U336" s="16"/>
      <c r="V336" s="35"/>
      <c r="W336" s="9"/>
      <c r="X336" s="6">
        <f t="shared" si="468"/>
        <v>0</v>
      </c>
      <c r="Y336" s="16"/>
      <c r="Z336" s="35"/>
      <c r="AA336" s="9"/>
      <c r="AB336" s="6">
        <f t="shared" si="469"/>
        <v>0</v>
      </c>
      <c r="AC336" s="7">
        <f t="shared" si="470"/>
        <v>0</v>
      </c>
    </row>
    <row r="337" spans="1:30" x14ac:dyDescent="0.15">
      <c r="A337" s="47" t="s">
        <v>56</v>
      </c>
      <c r="B337" s="16"/>
      <c r="C337" s="35"/>
      <c r="D337" s="9">
        <v>1</v>
      </c>
      <c r="E337" s="6">
        <f t="shared" si="459"/>
        <v>1</v>
      </c>
      <c r="F337" s="16"/>
      <c r="G337" s="35"/>
      <c r="H337" s="9">
        <v>1</v>
      </c>
      <c r="I337" s="6">
        <f t="shared" si="460"/>
        <v>1</v>
      </c>
      <c r="J337" s="16"/>
      <c r="K337" s="35"/>
      <c r="L337" s="9">
        <v>1</v>
      </c>
      <c r="M337" s="6">
        <f t="shared" si="461"/>
        <v>1</v>
      </c>
      <c r="N337" s="7">
        <f t="shared" si="462"/>
        <v>3</v>
      </c>
      <c r="O337" s="70">
        <v>46027</v>
      </c>
      <c r="P337" s="47"/>
      <c r="Q337" s="16"/>
      <c r="R337" s="35"/>
      <c r="S337" s="9"/>
      <c r="T337" s="6">
        <f t="shared" si="467"/>
        <v>0</v>
      </c>
      <c r="U337" s="16"/>
      <c r="V337" s="35"/>
      <c r="W337" s="9"/>
      <c r="X337" s="6">
        <f t="shared" si="468"/>
        <v>0</v>
      </c>
      <c r="Y337" s="16"/>
      <c r="Z337" s="35"/>
      <c r="AA337" s="9"/>
      <c r="AB337" s="6">
        <f t="shared" si="469"/>
        <v>0</v>
      </c>
      <c r="AC337" s="7">
        <f t="shared" si="470"/>
        <v>0</v>
      </c>
    </row>
    <row r="338" spans="1:30" x14ac:dyDescent="0.15">
      <c r="A338" s="47" t="s">
        <v>56</v>
      </c>
      <c r="B338" s="16"/>
      <c r="C338" s="35">
        <v>1</v>
      </c>
      <c r="D338" s="9"/>
      <c r="E338" s="6">
        <f t="shared" si="459"/>
        <v>1</v>
      </c>
      <c r="F338" s="16"/>
      <c r="G338" s="35">
        <v>1</v>
      </c>
      <c r="H338" s="9"/>
      <c r="I338" s="6">
        <f t="shared" si="460"/>
        <v>1</v>
      </c>
      <c r="J338" s="16"/>
      <c r="K338" s="35">
        <v>1</v>
      </c>
      <c r="L338" s="9"/>
      <c r="M338" s="6">
        <f t="shared" si="461"/>
        <v>1</v>
      </c>
      <c r="N338" s="7">
        <f t="shared" si="462"/>
        <v>3</v>
      </c>
      <c r="O338" s="70">
        <v>46028</v>
      </c>
      <c r="P338" s="47" t="s">
        <v>206</v>
      </c>
      <c r="Q338" s="16"/>
      <c r="R338" s="35"/>
      <c r="S338" s="9"/>
      <c r="T338" s="6">
        <f t="shared" ref="T338:T340" si="471">SUM(Q338:S338)</f>
        <v>0</v>
      </c>
      <c r="U338" s="16"/>
      <c r="V338" s="35"/>
      <c r="W338" s="9"/>
      <c r="X338" s="6">
        <f t="shared" ref="X338:X340" si="472">SUM(U338:W338)</f>
        <v>0</v>
      </c>
      <c r="Y338" s="16"/>
      <c r="Z338" s="35"/>
      <c r="AA338" s="9"/>
      <c r="AB338" s="6">
        <f t="shared" ref="AB338:AB340" si="473">SUM(Y338:AA338)</f>
        <v>0</v>
      </c>
      <c r="AC338" s="7">
        <f t="shared" ref="AC338:AC340" si="474">T338+X338+AB338</f>
        <v>0</v>
      </c>
      <c r="AD338" s="23" t="s">
        <v>207</v>
      </c>
    </row>
    <row r="339" spans="1:30" x14ac:dyDescent="0.15">
      <c r="A339" s="47" t="s">
        <v>205</v>
      </c>
      <c r="B339" s="16">
        <v>2</v>
      </c>
      <c r="C339" s="35"/>
      <c r="D339" s="9"/>
      <c r="E339" s="6">
        <f t="shared" si="459"/>
        <v>2</v>
      </c>
      <c r="F339" s="16">
        <v>2</v>
      </c>
      <c r="G339" s="35"/>
      <c r="H339" s="9"/>
      <c r="I339" s="6">
        <f t="shared" si="460"/>
        <v>2</v>
      </c>
      <c r="J339" s="16">
        <v>2</v>
      </c>
      <c r="K339" s="35"/>
      <c r="L339" s="9"/>
      <c r="M339" s="6">
        <f t="shared" si="461"/>
        <v>2</v>
      </c>
      <c r="N339" s="7">
        <f t="shared" si="462"/>
        <v>6</v>
      </c>
      <c r="O339" s="30">
        <v>46037</v>
      </c>
      <c r="P339" s="47" t="s">
        <v>210</v>
      </c>
      <c r="Q339" s="16"/>
      <c r="R339" s="35"/>
      <c r="S339" s="9"/>
      <c r="T339" s="6">
        <f t="shared" si="471"/>
        <v>0</v>
      </c>
      <c r="U339" s="16"/>
      <c r="V339" s="35"/>
      <c r="W339" s="9"/>
      <c r="X339" s="6">
        <f t="shared" si="472"/>
        <v>0</v>
      </c>
      <c r="Y339" s="16"/>
      <c r="Z339" s="35"/>
      <c r="AA339" s="9"/>
      <c r="AB339" s="6">
        <f t="shared" si="473"/>
        <v>0</v>
      </c>
      <c r="AC339" s="7">
        <f t="shared" si="474"/>
        <v>0</v>
      </c>
      <c r="AD339" s="23" t="s">
        <v>211</v>
      </c>
    </row>
    <row r="340" spans="1:30" ht="14.25" thickBot="1" x14ac:dyDescent="0.2">
      <c r="A340" s="47" t="s">
        <v>205</v>
      </c>
      <c r="B340" s="16">
        <v>3</v>
      </c>
      <c r="C340" s="35">
        <v>1</v>
      </c>
      <c r="D340" s="9"/>
      <c r="E340" s="6">
        <f t="shared" si="459"/>
        <v>4</v>
      </c>
      <c r="F340" s="16">
        <v>3</v>
      </c>
      <c r="G340" s="35">
        <v>1</v>
      </c>
      <c r="H340" s="9"/>
      <c r="I340" s="6">
        <f t="shared" si="460"/>
        <v>4</v>
      </c>
      <c r="J340" s="16">
        <v>3</v>
      </c>
      <c r="K340" s="35">
        <v>1</v>
      </c>
      <c r="L340" s="9"/>
      <c r="M340" s="6">
        <f t="shared" si="461"/>
        <v>4</v>
      </c>
      <c r="N340" s="7">
        <f t="shared" si="462"/>
        <v>12</v>
      </c>
      <c r="O340" s="30">
        <v>46038</v>
      </c>
      <c r="P340" s="47" t="s">
        <v>216</v>
      </c>
      <c r="Q340" s="16"/>
      <c r="R340" s="35"/>
      <c r="S340" s="9"/>
      <c r="T340" s="6">
        <f t="shared" si="471"/>
        <v>0</v>
      </c>
      <c r="U340" s="16"/>
      <c r="V340" s="35"/>
      <c r="W340" s="9"/>
      <c r="X340" s="6">
        <f t="shared" si="472"/>
        <v>0</v>
      </c>
      <c r="Y340" s="16"/>
      <c r="Z340" s="35"/>
      <c r="AA340" s="9"/>
      <c r="AB340" s="6">
        <f t="shared" si="473"/>
        <v>0</v>
      </c>
      <c r="AC340" s="7">
        <f t="shared" si="474"/>
        <v>0</v>
      </c>
      <c r="AD340" s="23" t="s">
        <v>115</v>
      </c>
    </row>
    <row r="341" spans="1:30" ht="14.25" thickBot="1" x14ac:dyDescent="0.2">
      <c r="A341" s="3" t="s">
        <v>9</v>
      </c>
      <c r="B341" s="13">
        <f>SUM(B317:B340)</f>
        <v>19</v>
      </c>
      <c r="C341" s="37">
        <f t="shared" ref="C341:N341" si="475">SUM(C317:C340)</f>
        <v>13</v>
      </c>
      <c r="D341" s="32">
        <f t="shared" si="475"/>
        <v>10</v>
      </c>
      <c r="E341" s="17">
        <f t="shared" si="475"/>
        <v>42</v>
      </c>
      <c r="F341" s="13">
        <f t="shared" si="475"/>
        <v>19</v>
      </c>
      <c r="G341" s="37">
        <f t="shared" si="475"/>
        <v>13</v>
      </c>
      <c r="H341" s="32">
        <f t="shared" si="475"/>
        <v>6</v>
      </c>
      <c r="I341" s="17">
        <f t="shared" si="475"/>
        <v>38</v>
      </c>
      <c r="J341" s="13">
        <f t="shared" si="475"/>
        <v>19</v>
      </c>
      <c r="K341" s="37">
        <f t="shared" si="475"/>
        <v>15</v>
      </c>
      <c r="L341" s="32">
        <f t="shared" si="475"/>
        <v>6</v>
      </c>
      <c r="M341" s="17">
        <f t="shared" si="475"/>
        <v>40</v>
      </c>
      <c r="N341" s="18">
        <f t="shared" si="475"/>
        <v>120</v>
      </c>
      <c r="P341" s="3" t="s">
        <v>9</v>
      </c>
      <c r="Q341" s="13">
        <f>SUM(Q317:Q340)</f>
        <v>35</v>
      </c>
      <c r="R341" s="37">
        <f t="shared" ref="R341:AC341" si="476">SUM(R317:R340)</f>
        <v>30</v>
      </c>
      <c r="S341" s="32">
        <f t="shared" si="476"/>
        <v>12</v>
      </c>
      <c r="T341" s="17">
        <f t="shared" si="476"/>
        <v>77</v>
      </c>
      <c r="U341" s="13">
        <f t="shared" si="476"/>
        <v>35</v>
      </c>
      <c r="V341" s="37">
        <f t="shared" si="476"/>
        <v>27</v>
      </c>
      <c r="W341" s="32">
        <f t="shared" si="476"/>
        <v>9</v>
      </c>
      <c r="X341" s="17">
        <f t="shared" si="476"/>
        <v>71</v>
      </c>
      <c r="Y341" s="13">
        <f t="shared" si="476"/>
        <v>35</v>
      </c>
      <c r="Z341" s="37">
        <f t="shared" si="476"/>
        <v>33</v>
      </c>
      <c r="AA341" s="32">
        <f t="shared" si="476"/>
        <v>9</v>
      </c>
      <c r="AB341" s="17">
        <f t="shared" si="476"/>
        <v>77</v>
      </c>
      <c r="AC341" s="18">
        <f t="shared" si="476"/>
        <v>225</v>
      </c>
    </row>
    <row r="342" spans="1:30" ht="14.25" thickBot="1" x14ac:dyDescent="0.2">
      <c r="A342" s="19" t="s">
        <v>10</v>
      </c>
      <c r="B342" s="20">
        <f>B316-B341</f>
        <v>11</v>
      </c>
      <c r="C342" s="38">
        <f t="shared" ref="C342:N342" si="477">C316-C341</f>
        <v>9</v>
      </c>
      <c r="D342" s="33">
        <f t="shared" si="477"/>
        <v>9</v>
      </c>
      <c r="E342" s="20">
        <f t="shared" si="477"/>
        <v>29</v>
      </c>
      <c r="F342" s="20">
        <f t="shared" si="477"/>
        <v>11</v>
      </c>
      <c r="G342" s="38">
        <f t="shared" si="477"/>
        <v>9</v>
      </c>
      <c r="H342" s="33">
        <f t="shared" si="477"/>
        <v>10</v>
      </c>
      <c r="I342" s="20">
        <f t="shared" si="477"/>
        <v>30</v>
      </c>
      <c r="J342" s="20">
        <f t="shared" si="477"/>
        <v>11</v>
      </c>
      <c r="K342" s="38">
        <f t="shared" si="477"/>
        <v>9</v>
      </c>
      <c r="L342" s="33">
        <f t="shared" si="477"/>
        <v>10</v>
      </c>
      <c r="M342" s="20">
        <f t="shared" si="477"/>
        <v>30</v>
      </c>
      <c r="N342" s="18">
        <f t="shared" si="477"/>
        <v>89</v>
      </c>
      <c r="P342" s="19" t="s">
        <v>10</v>
      </c>
      <c r="Q342" s="20">
        <f>Q316-Q341</f>
        <v>597</v>
      </c>
      <c r="R342" s="38">
        <f t="shared" ref="R342:AC342" si="478">R316-R341</f>
        <v>581</v>
      </c>
      <c r="S342" s="33">
        <f t="shared" si="478"/>
        <v>454</v>
      </c>
      <c r="T342" s="20">
        <f t="shared" si="478"/>
        <v>1632</v>
      </c>
      <c r="U342" s="20">
        <f t="shared" si="478"/>
        <v>584</v>
      </c>
      <c r="V342" s="38">
        <f t="shared" si="478"/>
        <v>579</v>
      </c>
      <c r="W342" s="33">
        <f t="shared" si="478"/>
        <v>461</v>
      </c>
      <c r="X342" s="20">
        <f t="shared" si="478"/>
        <v>1624</v>
      </c>
      <c r="Y342" s="20">
        <f t="shared" si="478"/>
        <v>565</v>
      </c>
      <c r="Z342" s="38">
        <f t="shared" si="478"/>
        <v>543</v>
      </c>
      <c r="AA342" s="33">
        <f t="shared" si="478"/>
        <v>443</v>
      </c>
      <c r="AB342" s="20">
        <f t="shared" si="478"/>
        <v>1551</v>
      </c>
      <c r="AC342" s="18">
        <f t="shared" si="478"/>
        <v>4807</v>
      </c>
    </row>
    <row r="345" spans="1:30" ht="21.75" thickBot="1" x14ac:dyDescent="0.25">
      <c r="A345" s="27" t="s">
        <v>15</v>
      </c>
      <c r="B345" s="28"/>
      <c r="C345" s="28"/>
      <c r="D345" s="28"/>
      <c r="E345" s="29"/>
      <c r="F345" s="28"/>
      <c r="G345" s="28"/>
      <c r="H345" s="28"/>
      <c r="I345" s="28"/>
      <c r="J345" s="1"/>
      <c r="K345" s="1"/>
      <c r="L345" s="1"/>
      <c r="M345" s="1"/>
      <c r="P345" s="43" t="s">
        <v>14</v>
      </c>
      <c r="Q345" s="44"/>
      <c r="R345" s="44"/>
      <c r="S345" s="44"/>
      <c r="T345" s="45"/>
      <c r="U345" s="44"/>
      <c r="V345" s="44"/>
      <c r="W345" s="44"/>
      <c r="X345" s="44"/>
      <c r="Y345" s="44"/>
      <c r="Z345" s="44"/>
      <c r="AA345" s="44"/>
      <c r="AB345" s="1"/>
    </row>
    <row r="346" spans="1:30" ht="14.25" thickBot="1" x14ac:dyDescent="0.2">
      <c r="A346" s="2" t="s">
        <v>0</v>
      </c>
      <c r="B346" s="91" t="s">
        <v>16</v>
      </c>
      <c r="C346" s="91"/>
      <c r="D346" s="91"/>
      <c r="E346" s="92"/>
      <c r="F346" s="93" t="s">
        <v>12</v>
      </c>
      <c r="G346" s="93"/>
      <c r="H346" s="93"/>
      <c r="I346" s="94"/>
      <c r="J346" s="95" t="s">
        <v>13</v>
      </c>
      <c r="K346" s="95"/>
      <c r="L346" s="95"/>
      <c r="M346" s="95"/>
      <c r="N346" s="96" t="s">
        <v>1</v>
      </c>
      <c r="P346" s="2" t="s">
        <v>0</v>
      </c>
      <c r="Q346" s="91" t="s">
        <v>16</v>
      </c>
      <c r="R346" s="91"/>
      <c r="S346" s="91"/>
      <c r="T346" s="92"/>
      <c r="U346" s="93" t="s">
        <v>12</v>
      </c>
      <c r="V346" s="93"/>
      <c r="W346" s="93"/>
      <c r="X346" s="94"/>
      <c r="Y346" s="95" t="s">
        <v>13</v>
      </c>
      <c r="Z346" s="95"/>
      <c r="AA346" s="95"/>
      <c r="AB346" s="95"/>
      <c r="AC346" s="96" t="s">
        <v>1</v>
      </c>
    </row>
    <row r="347" spans="1:30" ht="14.25" thickBot="1" x14ac:dyDescent="0.2">
      <c r="A347" s="2" t="s">
        <v>2</v>
      </c>
      <c r="B347" s="3" t="s">
        <v>3</v>
      </c>
      <c r="C347" s="34" t="s">
        <v>4</v>
      </c>
      <c r="D347" s="4" t="s">
        <v>5</v>
      </c>
      <c r="E347" s="2" t="s">
        <v>6</v>
      </c>
      <c r="F347" s="3" t="s">
        <v>3</v>
      </c>
      <c r="G347" s="34" t="s">
        <v>4</v>
      </c>
      <c r="H347" s="4" t="s">
        <v>5</v>
      </c>
      <c r="I347" s="2" t="s">
        <v>6</v>
      </c>
      <c r="J347" s="3" t="s">
        <v>3</v>
      </c>
      <c r="K347" s="34" t="s">
        <v>4</v>
      </c>
      <c r="L347" s="4" t="s">
        <v>5</v>
      </c>
      <c r="M347" s="3" t="s">
        <v>6</v>
      </c>
      <c r="N347" s="97"/>
      <c r="P347" s="2" t="s">
        <v>2</v>
      </c>
      <c r="Q347" s="3" t="s">
        <v>3</v>
      </c>
      <c r="R347" s="34" t="s">
        <v>4</v>
      </c>
      <c r="S347" s="4" t="s">
        <v>5</v>
      </c>
      <c r="T347" s="2" t="s">
        <v>6</v>
      </c>
      <c r="U347" s="3" t="s">
        <v>3</v>
      </c>
      <c r="V347" s="34" t="s">
        <v>4</v>
      </c>
      <c r="W347" s="4" t="s">
        <v>5</v>
      </c>
      <c r="X347" s="2" t="s">
        <v>6</v>
      </c>
      <c r="Y347" s="3" t="s">
        <v>3</v>
      </c>
      <c r="Z347" s="34" t="s">
        <v>4</v>
      </c>
      <c r="AA347" s="4" t="s">
        <v>5</v>
      </c>
      <c r="AB347" s="3" t="s">
        <v>6</v>
      </c>
      <c r="AC347" s="97"/>
    </row>
    <row r="348" spans="1:30" ht="14.25" thickBot="1" x14ac:dyDescent="0.2">
      <c r="A348" s="40" t="s">
        <v>10</v>
      </c>
      <c r="B348" s="41">
        <f>B342</f>
        <v>11</v>
      </c>
      <c r="C348" s="42">
        <f t="shared" ref="C348:M348" si="479">C342</f>
        <v>9</v>
      </c>
      <c r="D348" s="41">
        <f t="shared" si="479"/>
        <v>9</v>
      </c>
      <c r="E348" s="14">
        <f t="shared" si="479"/>
        <v>29</v>
      </c>
      <c r="F348" s="41">
        <f t="shared" si="479"/>
        <v>11</v>
      </c>
      <c r="G348" s="42">
        <f t="shared" si="479"/>
        <v>9</v>
      </c>
      <c r="H348" s="41">
        <f t="shared" si="479"/>
        <v>10</v>
      </c>
      <c r="I348" s="14">
        <f t="shared" si="479"/>
        <v>30</v>
      </c>
      <c r="J348" s="41">
        <f t="shared" si="479"/>
        <v>11</v>
      </c>
      <c r="K348" s="42">
        <f t="shared" si="479"/>
        <v>9</v>
      </c>
      <c r="L348" s="41">
        <f t="shared" si="479"/>
        <v>10</v>
      </c>
      <c r="M348" s="14">
        <f t="shared" si="479"/>
        <v>30</v>
      </c>
      <c r="N348" s="15">
        <f>N342</f>
        <v>89</v>
      </c>
      <c r="P348" s="40" t="s">
        <v>10</v>
      </c>
      <c r="Q348" s="54">
        <f>Q342</f>
        <v>597</v>
      </c>
      <c r="R348" s="55">
        <f t="shared" ref="R348:AB348" si="480">R342</f>
        <v>581</v>
      </c>
      <c r="S348" s="54">
        <f t="shared" si="480"/>
        <v>454</v>
      </c>
      <c r="T348" s="14">
        <f t="shared" si="480"/>
        <v>1632</v>
      </c>
      <c r="U348" s="54">
        <f t="shared" si="480"/>
        <v>584</v>
      </c>
      <c r="V348" s="55">
        <f t="shared" si="480"/>
        <v>579</v>
      </c>
      <c r="W348" s="54">
        <f t="shared" si="480"/>
        <v>461</v>
      </c>
      <c r="X348" s="14">
        <f t="shared" si="480"/>
        <v>1624</v>
      </c>
      <c r="Y348" s="54">
        <f t="shared" si="480"/>
        <v>565</v>
      </c>
      <c r="Z348" s="55">
        <f t="shared" si="480"/>
        <v>543</v>
      </c>
      <c r="AA348" s="54">
        <f t="shared" si="480"/>
        <v>443</v>
      </c>
      <c r="AB348" s="14">
        <f t="shared" si="480"/>
        <v>1551</v>
      </c>
      <c r="AC348" s="15">
        <f>AC342</f>
        <v>4807</v>
      </c>
    </row>
    <row r="349" spans="1:30" x14ac:dyDescent="0.15">
      <c r="A349" s="74" t="s">
        <v>7</v>
      </c>
      <c r="B349" s="75">
        <v>3</v>
      </c>
      <c r="C349" s="76">
        <v>3</v>
      </c>
      <c r="D349" s="75">
        <v>3</v>
      </c>
      <c r="E349" s="77">
        <f t="shared" ref="E349:E355" si="481">SUM(B349:D349)</f>
        <v>9</v>
      </c>
      <c r="F349" s="75">
        <v>3</v>
      </c>
      <c r="G349" s="76">
        <v>3</v>
      </c>
      <c r="H349" s="75">
        <v>3</v>
      </c>
      <c r="I349" s="77">
        <f t="shared" ref="I349:I355" si="482">SUM(F349:H349)</f>
        <v>9</v>
      </c>
      <c r="J349" s="75">
        <v>3</v>
      </c>
      <c r="K349" s="76">
        <v>3</v>
      </c>
      <c r="L349" s="75">
        <v>3</v>
      </c>
      <c r="M349" s="77">
        <f t="shared" ref="M349:M355" si="483">SUM(J349:L349)</f>
        <v>9</v>
      </c>
      <c r="N349" s="78">
        <f t="shared" ref="N349:N355" si="484">E349+I349+M349</f>
        <v>27</v>
      </c>
      <c r="O349" s="79">
        <v>46043</v>
      </c>
      <c r="P349" s="39" t="s">
        <v>7</v>
      </c>
      <c r="Q349" s="56"/>
      <c r="R349" s="57"/>
      <c r="S349" s="56"/>
      <c r="T349" s="6">
        <f t="shared" ref="T349:T358" si="485">SUM(Q349:S349)</f>
        <v>0</v>
      </c>
      <c r="U349" s="56"/>
      <c r="V349" s="57"/>
      <c r="W349" s="56"/>
      <c r="X349" s="6">
        <f t="shared" ref="X349:X358" si="486">SUM(U349:W349)</f>
        <v>0</v>
      </c>
      <c r="Y349" s="56"/>
      <c r="Z349" s="57"/>
      <c r="AA349" s="56"/>
      <c r="AB349" s="6">
        <f t="shared" ref="AB349:AB358" si="487">SUM(Y349:AA349)</f>
        <v>0</v>
      </c>
      <c r="AC349" s="7">
        <f t="shared" ref="AC349:AC358" si="488">T349+X349+AB349</f>
        <v>0</v>
      </c>
    </row>
    <row r="350" spans="1:30" x14ac:dyDescent="0.15">
      <c r="A350" s="74" t="s">
        <v>7</v>
      </c>
      <c r="B350" s="75">
        <v>5</v>
      </c>
      <c r="C350" s="76"/>
      <c r="D350" s="75"/>
      <c r="E350" s="77">
        <f t="shared" si="481"/>
        <v>5</v>
      </c>
      <c r="F350" s="75">
        <v>5</v>
      </c>
      <c r="G350" s="76"/>
      <c r="H350" s="75"/>
      <c r="I350" s="77">
        <f t="shared" si="482"/>
        <v>5</v>
      </c>
      <c r="J350" s="75">
        <v>5</v>
      </c>
      <c r="K350" s="76"/>
      <c r="L350" s="75"/>
      <c r="M350" s="77">
        <f t="shared" si="483"/>
        <v>5</v>
      </c>
      <c r="N350" s="78">
        <f t="shared" si="484"/>
        <v>15</v>
      </c>
      <c r="O350" s="79">
        <v>46050</v>
      </c>
      <c r="P350" s="39" t="s">
        <v>7</v>
      </c>
      <c r="Q350" s="56"/>
      <c r="R350" s="57"/>
      <c r="S350" s="56"/>
      <c r="T350" s="6">
        <f t="shared" si="485"/>
        <v>0</v>
      </c>
      <c r="U350" s="56"/>
      <c r="V350" s="57"/>
      <c r="W350" s="56"/>
      <c r="X350" s="6">
        <f t="shared" si="486"/>
        <v>0</v>
      </c>
      <c r="Y350" s="56"/>
      <c r="Z350" s="57"/>
      <c r="AA350" s="56"/>
      <c r="AB350" s="6">
        <f t="shared" si="487"/>
        <v>0</v>
      </c>
      <c r="AC350" s="7">
        <f t="shared" si="488"/>
        <v>0</v>
      </c>
    </row>
    <row r="351" spans="1:30" x14ac:dyDescent="0.15">
      <c r="A351" s="5" t="s">
        <v>226</v>
      </c>
      <c r="B351" s="9"/>
      <c r="C351" s="35"/>
      <c r="D351" s="9"/>
      <c r="E351" s="6">
        <f t="shared" si="481"/>
        <v>0</v>
      </c>
      <c r="F351" s="9">
        <v>1</v>
      </c>
      <c r="G351" s="35">
        <v>2</v>
      </c>
      <c r="H351" s="9">
        <v>1</v>
      </c>
      <c r="I351" s="6">
        <f t="shared" si="482"/>
        <v>4</v>
      </c>
      <c r="J351" s="9">
        <v>3</v>
      </c>
      <c r="K351" s="35">
        <v>1</v>
      </c>
      <c r="L351" s="9">
        <v>2</v>
      </c>
      <c r="M351" s="6">
        <f t="shared" si="483"/>
        <v>6</v>
      </c>
      <c r="N351" s="7">
        <f t="shared" si="484"/>
        <v>10</v>
      </c>
      <c r="O351" s="70">
        <v>46056</v>
      </c>
      <c r="P351" s="39" t="s">
        <v>7</v>
      </c>
      <c r="Q351" s="56"/>
      <c r="R351" s="57"/>
      <c r="S351" s="56"/>
      <c r="T351" s="6">
        <f t="shared" si="485"/>
        <v>0</v>
      </c>
      <c r="U351" s="56"/>
      <c r="V351" s="57"/>
      <c r="W351" s="56"/>
      <c r="X351" s="6">
        <f t="shared" si="486"/>
        <v>0</v>
      </c>
      <c r="Y351" s="56"/>
      <c r="Z351" s="57"/>
      <c r="AA351" s="56"/>
      <c r="AB351" s="6">
        <f t="shared" si="487"/>
        <v>0</v>
      </c>
      <c r="AC351" s="7">
        <f t="shared" si="488"/>
        <v>0</v>
      </c>
    </row>
    <row r="352" spans="1:30" x14ac:dyDescent="0.15">
      <c r="A352" s="5" t="s">
        <v>7</v>
      </c>
      <c r="B352" s="9"/>
      <c r="C352" s="35">
        <v>3</v>
      </c>
      <c r="D352" s="9"/>
      <c r="E352" s="6">
        <f t="shared" si="481"/>
        <v>3</v>
      </c>
      <c r="F352" s="9"/>
      <c r="G352" s="35"/>
      <c r="H352" s="9"/>
      <c r="I352" s="6">
        <f t="shared" si="482"/>
        <v>0</v>
      </c>
      <c r="J352" s="9"/>
      <c r="K352" s="35">
        <v>5</v>
      </c>
      <c r="L352" s="9"/>
      <c r="M352" s="6">
        <f t="shared" si="483"/>
        <v>5</v>
      </c>
      <c r="N352" s="7">
        <f t="shared" si="484"/>
        <v>8</v>
      </c>
      <c r="O352" s="30">
        <v>46059</v>
      </c>
      <c r="P352" s="39" t="s">
        <v>7</v>
      </c>
      <c r="Q352" s="56"/>
      <c r="R352" s="57"/>
      <c r="S352" s="56"/>
      <c r="T352" s="6">
        <f t="shared" si="485"/>
        <v>0</v>
      </c>
      <c r="U352" s="56"/>
      <c r="V352" s="57"/>
      <c r="W352" s="56"/>
      <c r="X352" s="6">
        <f t="shared" si="486"/>
        <v>0</v>
      </c>
      <c r="Y352" s="56"/>
      <c r="Z352" s="57"/>
      <c r="AA352" s="56"/>
      <c r="AB352" s="6">
        <f t="shared" si="487"/>
        <v>0</v>
      </c>
      <c r="AC352" s="7">
        <f t="shared" si="488"/>
        <v>0</v>
      </c>
    </row>
    <row r="353" spans="1:30" x14ac:dyDescent="0.15">
      <c r="A353" s="5" t="s">
        <v>7</v>
      </c>
      <c r="B353" s="9"/>
      <c r="C353" s="35">
        <v>3</v>
      </c>
      <c r="D353" s="9">
        <v>5</v>
      </c>
      <c r="E353" s="6">
        <f t="shared" si="481"/>
        <v>8</v>
      </c>
      <c r="F353" s="9"/>
      <c r="G353" s="35">
        <v>3</v>
      </c>
      <c r="H353" s="9">
        <v>5</v>
      </c>
      <c r="I353" s="6">
        <f t="shared" si="482"/>
        <v>8</v>
      </c>
      <c r="J353" s="9"/>
      <c r="K353" s="35">
        <v>3</v>
      </c>
      <c r="L353" s="9"/>
      <c r="M353" s="6">
        <f t="shared" si="483"/>
        <v>3</v>
      </c>
      <c r="N353" s="7">
        <f t="shared" si="484"/>
        <v>19</v>
      </c>
      <c r="O353" s="30">
        <v>46066</v>
      </c>
      <c r="P353" s="39" t="s">
        <v>7</v>
      </c>
      <c r="Q353" s="56"/>
      <c r="R353" s="57"/>
      <c r="S353" s="56"/>
      <c r="T353" s="6">
        <f t="shared" si="485"/>
        <v>0</v>
      </c>
      <c r="U353" s="56"/>
      <c r="V353" s="57"/>
      <c r="W353" s="56"/>
      <c r="X353" s="6">
        <f t="shared" si="486"/>
        <v>0</v>
      </c>
      <c r="Y353" s="56"/>
      <c r="Z353" s="57"/>
      <c r="AA353" s="56"/>
      <c r="AB353" s="6">
        <f t="shared" si="487"/>
        <v>0</v>
      </c>
      <c r="AC353" s="7">
        <f t="shared" si="488"/>
        <v>0</v>
      </c>
    </row>
    <row r="354" spans="1:30" x14ac:dyDescent="0.15">
      <c r="A354" s="5" t="s">
        <v>48</v>
      </c>
      <c r="B354" s="9">
        <v>0</v>
      </c>
      <c r="C354" s="35">
        <v>0</v>
      </c>
      <c r="D354" s="9">
        <v>0</v>
      </c>
      <c r="E354" s="6">
        <f t="shared" si="481"/>
        <v>0</v>
      </c>
      <c r="F354" s="9">
        <v>0</v>
      </c>
      <c r="G354" s="35">
        <v>0</v>
      </c>
      <c r="H354" s="9">
        <v>0</v>
      </c>
      <c r="I354" s="6">
        <f t="shared" si="482"/>
        <v>0</v>
      </c>
      <c r="J354" s="9">
        <v>0</v>
      </c>
      <c r="K354" s="35">
        <v>1</v>
      </c>
      <c r="L354" s="9">
        <v>-1</v>
      </c>
      <c r="M354" s="6">
        <f t="shared" si="483"/>
        <v>0</v>
      </c>
      <c r="N354" s="7">
        <f t="shared" si="484"/>
        <v>0</v>
      </c>
      <c r="O354" s="70">
        <v>46073</v>
      </c>
      <c r="P354" s="39" t="s">
        <v>7</v>
      </c>
      <c r="Q354" s="56"/>
      <c r="R354" s="57"/>
      <c r="S354" s="56"/>
      <c r="T354" s="6">
        <f t="shared" si="485"/>
        <v>0</v>
      </c>
      <c r="U354" s="56"/>
      <c r="V354" s="57"/>
      <c r="W354" s="56"/>
      <c r="X354" s="6">
        <f t="shared" si="486"/>
        <v>0</v>
      </c>
      <c r="Y354" s="56"/>
      <c r="Z354" s="57"/>
      <c r="AA354" s="56"/>
      <c r="AB354" s="6">
        <f t="shared" si="487"/>
        <v>0</v>
      </c>
      <c r="AC354" s="7">
        <f t="shared" si="488"/>
        <v>0</v>
      </c>
    </row>
    <row r="355" spans="1:30" x14ac:dyDescent="0.15">
      <c r="A355" s="74" t="s">
        <v>7</v>
      </c>
      <c r="B355" s="75"/>
      <c r="C355" s="76"/>
      <c r="D355" s="75"/>
      <c r="E355" s="77">
        <f t="shared" si="481"/>
        <v>0</v>
      </c>
      <c r="F355" s="75"/>
      <c r="G355" s="76"/>
      <c r="H355" s="75"/>
      <c r="I355" s="77">
        <f t="shared" si="482"/>
        <v>0</v>
      </c>
      <c r="J355" s="75"/>
      <c r="K355" s="76"/>
      <c r="L355" s="75">
        <v>3</v>
      </c>
      <c r="M355" s="77">
        <f t="shared" si="483"/>
        <v>3</v>
      </c>
      <c r="N355" s="78">
        <f t="shared" si="484"/>
        <v>3</v>
      </c>
      <c r="O355" s="79">
        <v>46078</v>
      </c>
      <c r="P355" s="39" t="s">
        <v>7</v>
      </c>
      <c r="Q355" s="56"/>
      <c r="R355" s="57"/>
      <c r="S355" s="56"/>
      <c r="T355" s="6">
        <f t="shared" si="485"/>
        <v>0</v>
      </c>
      <c r="U355" s="56"/>
      <c r="V355" s="57"/>
      <c r="W355" s="56"/>
      <c r="X355" s="6">
        <f t="shared" si="486"/>
        <v>0</v>
      </c>
      <c r="Y355" s="56"/>
      <c r="Z355" s="57"/>
      <c r="AA355" s="56"/>
      <c r="AB355" s="6">
        <f t="shared" si="487"/>
        <v>0</v>
      </c>
      <c r="AC355" s="7">
        <f t="shared" si="488"/>
        <v>0</v>
      </c>
    </row>
    <row r="356" spans="1:30" x14ac:dyDescent="0.15">
      <c r="A356" s="5" t="s">
        <v>7</v>
      </c>
      <c r="B356" s="9"/>
      <c r="C356" s="35"/>
      <c r="D356" s="9">
        <v>3</v>
      </c>
      <c r="E356" s="6">
        <f t="shared" ref="E356:E358" si="489">SUM(B356:D356)</f>
        <v>3</v>
      </c>
      <c r="F356" s="9"/>
      <c r="G356" s="35"/>
      <c r="H356" s="9">
        <v>3</v>
      </c>
      <c r="I356" s="6">
        <f t="shared" ref="I356:I358" si="490">SUM(F356:H356)</f>
        <v>3</v>
      </c>
      <c r="J356" s="9"/>
      <c r="K356" s="35"/>
      <c r="L356" s="9">
        <v>3</v>
      </c>
      <c r="M356" s="6">
        <f t="shared" ref="M356:M358" si="491">SUM(J356:L356)</f>
        <v>3</v>
      </c>
      <c r="N356" s="7">
        <f t="shared" ref="N356:N358" si="492">E356+I356+M356</f>
        <v>9</v>
      </c>
      <c r="O356" s="30">
        <v>46086</v>
      </c>
      <c r="P356" s="39" t="s">
        <v>7</v>
      </c>
      <c r="Q356" s="56"/>
      <c r="R356" s="57"/>
      <c r="S356" s="56"/>
      <c r="T356" s="6">
        <f t="shared" si="485"/>
        <v>0</v>
      </c>
      <c r="U356" s="56"/>
      <c r="V356" s="57"/>
      <c r="W356" s="56"/>
      <c r="X356" s="6">
        <f t="shared" si="486"/>
        <v>0</v>
      </c>
      <c r="Y356" s="56"/>
      <c r="Z356" s="57"/>
      <c r="AA356" s="56"/>
      <c r="AB356" s="6">
        <f t="shared" si="487"/>
        <v>0</v>
      </c>
      <c r="AC356" s="7">
        <f t="shared" si="488"/>
        <v>0</v>
      </c>
    </row>
    <row r="357" spans="1:30" x14ac:dyDescent="0.15">
      <c r="A357" s="5" t="s">
        <v>7</v>
      </c>
      <c r="B357" s="9"/>
      <c r="C357" s="35"/>
      <c r="D357" s="9"/>
      <c r="E357" s="6">
        <f t="shared" si="489"/>
        <v>0</v>
      </c>
      <c r="F357" s="9"/>
      <c r="G357" s="35"/>
      <c r="H357" s="9"/>
      <c r="I357" s="6">
        <f t="shared" si="490"/>
        <v>0</v>
      </c>
      <c r="J357" s="9"/>
      <c r="K357" s="35"/>
      <c r="L357" s="9"/>
      <c r="M357" s="6">
        <f t="shared" si="491"/>
        <v>0</v>
      </c>
      <c r="N357" s="7">
        <f t="shared" si="492"/>
        <v>0</v>
      </c>
      <c r="P357" s="5" t="s">
        <v>7</v>
      </c>
      <c r="Q357" s="58"/>
      <c r="R357" s="59"/>
      <c r="S357" s="58"/>
      <c r="T357" s="6">
        <f t="shared" si="485"/>
        <v>0</v>
      </c>
      <c r="U357" s="58"/>
      <c r="V357" s="59"/>
      <c r="W357" s="58"/>
      <c r="X357" s="6">
        <f t="shared" si="486"/>
        <v>0</v>
      </c>
      <c r="Y357" s="58"/>
      <c r="Z357" s="59"/>
      <c r="AA357" s="58"/>
      <c r="AB357" s="6">
        <f t="shared" si="487"/>
        <v>0</v>
      </c>
      <c r="AC357" s="7">
        <f t="shared" si="488"/>
        <v>0</v>
      </c>
    </row>
    <row r="358" spans="1:30" ht="14.25" thickBot="1" x14ac:dyDescent="0.2">
      <c r="A358" s="10" t="s">
        <v>7</v>
      </c>
      <c r="B358" s="11"/>
      <c r="C358" s="36"/>
      <c r="D358" s="11"/>
      <c r="E358" s="6">
        <f t="shared" si="489"/>
        <v>0</v>
      </c>
      <c r="F358" s="11"/>
      <c r="G358" s="36"/>
      <c r="H358" s="11"/>
      <c r="I358" s="6">
        <f t="shared" si="490"/>
        <v>0</v>
      </c>
      <c r="J358" s="11"/>
      <c r="K358" s="36"/>
      <c r="L358" s="11"/>
      <c r="M358" s="6">
        <f t="shared" si="491"/>
        <v>0</v>
      </c>
      <c r="N358" s="7">
        <f t="shared" si="492"/>
        <v>0</v>
      </c>
      <c r="P358" s="5" t="s">
        <v>7</v>
      </c>
      <c r="Q358" s="58"/>
      <c r="R358" s="59"/>
      <c r="S358" s="58"/>
      <c r="T358" s="6">
        <f t="shared" si="485"/>
        <v>0</v>
      </c>
      <c r="U358" s="58"/>
      <c r="V358" s="59"/>
      <c r="W358" s="58"/>
      <c r="X358" s="6">
        <f t="shared" si="486"/>
        <v>0</v>
      </c>
      <c r="Y358" s="58"/>
      <c r="Z358" s="59"/>
      <c r="AA358" s="58"/>
      <c r="AB358" s="6">
        <f t="shared" si="487"/>
        <v>0</v>
      </c>
      <c r="AC358" s="7">
        <f t="shared" si="488"/>
        <v>0</v>
      </c>
    </row>
    <row r="359" spans="1:30" ht="14.25" thickBot="1" x14ac:dyDescent="0.2">
      <c r="A359" s="12" t="s">
        <v>8</v>
      </c>
      <c r="B359" s="13">
        <f>SUM(B348:B358)</f>
        <v>19</v>
      </c>
      <c r="C359" s="37">
        <f t="shared" ref="C359:N359" si="493">SUM(C348:C358)</f>
        <v>18</v>
      </c>
      <c r="D359" s="31">
        <f t="shared" si="493"/>
        <v>20</v>
      </c>
      <c r="E359" s="14">
        <f t="shared" si="493"/>
        <v>57</v>
      </c>
      <c r="F359" s="13">
        <f t="shared" si="493"/>
        <v>20</v>
      </c>
      <c r="G359" s="37">
        <f t="shared" si="493"/>
        <v>17</v>
      </c>
      <c r="H359" s="31">
        <f t="shared" si="493"/>
        <v>22</v>
      </c>
      <c r="I359" s="14">
        <f t="shared" si="493"/>
        <v>59</v>
      </c>
      <c r="J359" s="13">
        <f t="shared" si="493"/>
        <v>22</v>
      </c>
      <c r="K359" s="37">
        <f t="shared" si="493"/>
        <v>22</v>
      </c>
      <c r="L359" s="31">
        <f t="shared" si="493"/>
        <v>20</v>
      </c>
      <c r="M359" s="14">
        <f t="shared" si="493"/>
        <v>64</v>
      </c>
      <c r="N359" s="15">
        <f t="shared" si="493"/>
        <v>180</v>
      </c>
      <c r="P359" s="12" t="s">
        <v>8</v>
      </c>
      <c r="Q359" s="13">
        <f>SUM(Q348:Q358)</f>
        <v>597</v>
      </c>
      <c r="R359" s="37">
        <f t="shared" ref="R359:AC359" si="494">SUM(R348:R358)</f>
        <v>581</v>
      </c>
      <c r="S359" s="31">
        <f t="shared" si="494"/>
        <v>454</v>
      </c>
      <c r="T359" s="14">
        <f t="shared" si="494"/>
        <v>1632</v>
      </c>
      <c r="U359" s="13">
        <f t="shared" si="494"/>
        <v>584</v>
      </c>
      <c r="V359" s="37">
        <f t="shared" si="494"/>
        <v>579</v>
      </c>
      <c r="W359" s="31">
        <f t="shared" si="494"/>
        <v>461</v>
      </c>
      <c r="X359" s="14">
        <f t="shared" si="494"/>
        <v>1624</v>
      </c>
      <c r="Y359" s="13">
        <f t="shared" si="494"/>
        <v>565</v>
      </c>
      <c r="Z359" s="37">
        <f t="shared" si="494"/>
        <v>543</v>
      </c>
      <c r="AA359" s="31">
        <f t="shared" si="494"/>
        <v>443</v>
      </c>
      <c r="AB359" s="14">
        <f t="shared" si="494"/>
        <v>1551</v>
      </c>
      <c r="AC359" s="15">
        <f t="shared" si="494"/>
        <v>4807</v>
      </c>
    </row>
    <row r="360" spans="1:30" x14ac:dyDescent="0.15">
      <c r="A360" s="47" t="s">
        <v>205</v>
      </c>
      <c r="B360" s="16">
        <v>1</v>
      </c>
      <c r="C360" s="35"/>
      <c r="D360" s="9"/>
      <c r="E360" s="6">
        <f t="shared" ref="E360:E381" si="495">SUM(B360:D360)</f>
        <v>1</v>
      </c>
      <c r="F360" s="16">
        <v>1</v>
      </c>
      <c r="G360" s="35"/>
      <c r="H360" s="9"/>
      <c r="I360" s="6">
        <f t="shared" ref="I360:I381" si="496">SUM(F360:H360)</f>
        <v>1</v>
      </c>
      <c r="J360" s="16">
        <v>1</v>
      </c>
      <c r="K360" s="35"/>
      <c r="L360" s="9"/>
      <c r="M360" s="6">
        <f t="shared" ref="M360:M381" si="497">SUM(J360:L360)</f>
        <v>1</v>
      </c>
      <c r="N360" s="7">
        <f t="shared" ref="N360:N381" si="498">E360+I360+M360</f>
        <v>3</v>
      </c>
      <c r="O360" s="30">
        <v>46041</v>
      </c>
      <c r="P360" s="47" t="s">
        <v>205</v>
      </c>
      <c r="Q360" s="16"/>
      <c r="R360" s="35">
        <v>7</v>
      </c>
      <c r="S360" s="9"/>
      <c r="T360" s="6">
        <f t="shared" ref="T360:T367" si="499">SUM(Q360:S360)</f>
        <v>7</v>
      </c>
      <c r="U360" s="16"/>
      <c r="V360" s="35">
        <v>7</v>
      </c>
      <c r="W360" s="9"/>
      <c r="X360" s="6">
        <f t="shared" ref="X360:X367" si="500">SUM(U360:W360)</f>
        <v>7</v>
      </c>
      <c r="Y360" s="16"/>
      <c r="Z360" s="35">
        <v>7</v>
      </c>
      <c r="AA360" s="9"/>
      <c r="AB360" s="6">
        <f t="shared" ref="AB360:AB367" si="501">SUM(Y360:AA360)</f>
        <v>7</v>
      </c>
      <c r="AC360" s="7">
        <f t="shared" ref="AC360:AC367" si="502">T360+X360+AB360</f>
        <v>21</v>
      </c>
      <c r="AD360" s="22">
        <v>46063</v>
      </c>
    </row>
    <row r="361" spans="1:30" x14ac:dyDescent="0.15">
      <c r="A361" s="47" t="s">
        <v>225</v>
      </c>
      <c r="B361" s="16"/>
      <c r="C361" s="35"/>
      <c r="D361" s="9"/>
      <c r="E361" s="6">
        <f t="shared" si="495"/>
        <v>0</v>
      </c>
      <c r="F361" s="16"/>
      <c r="G361" s="35"/>
      <c r="H361" s="9">
        <v>2</v>
      </c>
      <c r="I361" s="6">
        <f t="shared" si="496"/>
        <v>2</v>
      </c>
      <c r="J361" s="16"/>
      <c r="K361" s="35"/>
      <c r="L361" s="9"/>
      <c r="M361" s="6">
        <f t="shared" si="497"/>
        <v>0</v>
      </c>
      <c r="N361" s="7">
        <f t="shared" si="498"/>
        <v>2</v>
      </c>
      <c r="O361" s="30">
        <v>46041</v>
      </c>
      <c r="P361" s="47" t="s">
        <v>227</v>
      </c>
      <c r="Q361" s="16">
        <v>10</v>
      </c>
      <c r="R361" s="35">
        <v>10</v>
      </c>
      <c r="S361" s="9">
        <v>10</v>
      </c>
      <c r="T361" s="6">
        <f t="shared" si="499"/>
        <v>30</v>
      </c>
      <c r="U361" s="16">
        <v>10</v>
      </c>
      <c r="V361" s="35">
        <v>10</v>
      </c>
      <c r="W361" s="9">
        <v>10</v>
      </c>
      <c r="X361" s="6">
        <f t="shared" si="500"/>
        <v>30</v>
      </c>
      <c r="Y361" s="16">
        <v>10</v>
      </c>
      <c r="Z361" s="35">
        <v>10</v>
      </c>
      <c r="AA361" s="9">
        <v>10</v>
      </c>
      <c r="AB361" s="6">
        <f t="shared" si="501"/>
        <v>30</v>
      </c>
      <c r="AC361" s="7">
        <f t="shared" si="502"/>
        <v>90</v>
      </c>
      <c r="AD361" s="22">
        <v>46069</v>
      </c>
    </row>
    <row r="362" spans="1:30" x14ac:dyDescent="0.15">
      <c r="A362" s="47" t="s">
        <v>205</v>
      </c>
      <c r="B362" s="16">
        <v>1</v>
      </c>
      <c r="C362" s="35">
        <v>1</v>
      </c>
      <c r="D362" s="9">
        <v>1</v>
      </c>
      <c r="E362" s="6">
        <f t="shared" si="495"/>
        <v>3</v>
      </c>
      <c r="F362" s="16">
        <v>1</v>
      </c>
      <c r="G362" s="35">
        <v>1</v>
      </c>
      <c r="H362" s="9">
        <v>1</v>
      </c>
      <c r="I362" s="6">
        <f t="shared" si="496"/>
        <v>3</v>
      </c>
      <c r="J362" s="16">
        <v>1</v>
      </c>
      <c r="K362" s="35">
        <v>1</v>
      </c>
      <c r="L362" s="9">
        <v>1</v>
      </c>
      <c r="M362" s="6">
        <f t="shared" si="497"/>
        <v>3</v>
      </c>
      <c r="N362" s="7">
        <f t="shared" si="498"/>
        <v>9</v>
      </c>
      <c r="O362" s="30">
        <v>46043</v>
      </c>
      <c r="P362" s="47" t="s">
        <v>215</v>
      </c>
      <c r="Q362" s="16"/>
      <c r="R362" s="35">
        <v>3</v>
      </c>
      <c r="S362" s="9">
        <v>5</v>
      </c>
      <c r="T362" s="6">
        <f t="shared" si="499"/>
        <v>8</v>
      </c>
      <c r="U362" s="16"/>
      <c r="V362" s="35">
        <v>3</v>
      </c>
      <c r="W362" s="9">
        <v>5</v>
      </c>
      <c r="X362" s="6">
        <f t="shared" si="500"/>
        <v>8</v>
      </c>
      <c r="Y362" s="16"/>
      <c r="Z362" s="35">
        <v>3</v>
      </c>
      <c r="AA362" s="9"/>
      <c r="AB362" s="6">
        <f t="shared" si="501"/>
        <v>3</v>
      </c>
      <c r="AC362" s="7">
        <f t="shared" si="502"/>
        <v>19</v>
      </c>
      <c r="AD362" s="22">
        <v>46066</v>
      </c>
    </row>
    <row r="363" spans="1:30" x14ac:dyDescent="0.15">
      <c r="A363" s="47" t="s">
        <v>56</v>
      </c>
      <c r="B363" s="16"/>
      <c r="C363" s="35"/>
      <c r="D363" s="9">
        <v>1</v>
      </c>
      <c r="E363" s="6">
        <f t="shared" si="495"/>
        <v>1</v>
      </c>
      <c r="F363" s="16"/>
      <c r="G363" s="35"/>
      <c r="H363" s="9">
        <v>1</v>
      </c>
      <c r="I363" s="6">
        <f t="shared" si="496"/>
        <v>1</v>
      </c>
      <c r="J363" s="16"/>
      <c r="K363" s="35"/>
      <c r="L363" s="9">
        <v>1</v>
      </c>
      <c r="M363" s="6">
        <f t="shared" si="497"/>
        <v>1</v>
      </c>
      <c r="N363" s="7">
        <f t="shared" si="498"/>
        <v>3</v>
      </c>
      <c r="O363" s="70">
        <v>46041</v>
      </c>
      <c r="P363" s="47" t="s">
        <v>228</v>
      </c>
      <c r="Q363" s="16">
        <v>10</v>
      </c>
      <c r="R363" s="35">
        <v>20</v>
      </c>
      <c r="S363" s="9">
        <v>10</v>
      </c>
      <c r="T363" s="6">
        <f t="shared" si="499"/>
        <v>40</v>
      </c>
      <c r="U363" s="16">
        <v>10</v>
      </c>
      <c r="V363" s="35">
        <v>20</v>
      </c>
      <c r="W363" s="9">
        <v>10</v>
      </c>
      <c r="X363" s="6">
        <f t="shared" si="500"/>
        <v>40</v>
      </c>
      <c r="Y363" s="16">
        <v>10</v>
      </c>
      <c r="Z363" s="35">
        <v>20</v>
      </c>
      <c r="AA363" s="9">
        <v>10</v>
      </c>
      <c r="AB363" s="6">
        <f t="shared" si="501"/>
        <v>40</v>
      </c>
      <c r="AC363" s="7">
        <f t="shared" si="502"/>
        <v>120</v>
      </c>
      <c r="AD363" s="22">
        <v>46073</v>
      </c>
    </row>
    <row r="364" spans="1:30" x14ac:dyDescent="0.15">
      <c r="A364" s="47" t="s">
        <v>205</v>
      </c>
      <c r="B364" s="16">
        <v>2</v>
      </c>
      <c r="C364" s="35">
        <v>1</v>
      </c>
      <c r="D364" s="9"/>
      <c r="E364" s="6">
        <f t="shared" si="495"/>
        <v>3</v>
      </c>
      <c r="F364" s="16">
        <v>2</v>
      </c>
      <c r="G364" s="35">
        <v>1</v>
      </c>
      <c r="H364" s="9"/>
      <c r="I364" s="6">
        <f t="shared" si="496"/>
        <v>3</v>
      </c>
      <c r="J364" s="16">
        <v>2</v>
      </c>
      <c r="K364" s="35">
        <v>1</v>
      </c>
      <c r="L364" s="9"/>
      <c r="M364" s="6">
        <f t="shared" si="497"/>
        <v>3</v>
      </c>
      <c r="N364" s="7">
        <f t="shared" si="498"/>
        <v>9</v>
      </c>
      <c r="O364" s="30">
        <v>46044</v>
      </c>
      <c r="P364" s="80" t="s">
        <v>215</v>
      </c>
      <c r="Q364" s="81"/>
      <c r="R364" s="76"/>
      <c r="S364" s="75"/>
      <c r="T364" s="77">
        <f t="shared" si="499"/>
        <v>0</v>
      </c>
      <c r="U364" s="81"/>
      <c r="V364" s="76"/>
      <c r="W364" s="75"/>
      <c r="X364" s="77">
        <f t="shared" si="500"/>
        <v>0</v>
      </c>
      <c r="Y364" s="81"/>
      <c r="Z364" s="76"/>
      <c r="AA364" s="75">
        <v>3</v>
      </c>
      <c r="AB364" s="77">
        <f t="shared" si="501"/>
        <v>3</v>
      </c>
      <c r="AC364" s="78">
        <f t="shared" si="502"/>
        <v>3</v>
      </c>
      <c r="AD364" s="82">
        <v>46078</v>
      </c>
    </row>
    <row r="365" spans="1:30" x14ac:dyDescent="0.15">
      <c r="A365" s="47" t="s">
        <v>205</v>
      </c>
      <c r="B365" s="16">
        <v>2</v>
      </c>
      <c r="C365" s="35"/>
      <c r="D365" s="9"/>
      <c r="E365" s="6">
        <f t="shared" si="495"/>
        <v>2</v>
      </c>
      <c r="F365" s="16">
        <v>2</v>
      </c>
      <c r="G365" s="35"/>
      <c r="H365" s="9"/>
      <c r="I365" s="6">
        <f t="shared" si="496"/>
        <v>2</v>
      </c>
      <c r="J365" s="16">
        <v>2</v>
      </c>
      <c r="K365" s="35"/>
      <c r="L365" s="9"/>
      <c r="M365" s="6">
        <f t="shared" si="497"/>
        <v>2</v>
      </c>
      <c r="N365" s="7">
        <f t="shared" si="498"/>
        <v>6</v>
      </c>
      <c r="O365" s="30">
        <v>46045</v>
      </c>
      <c r="P365" s="47" t="s">
        <v>215</v>
      </c>
      <c r="Q365" s="16"/>
      <c r="R365" s="35"/>
      <c r="S365" s="9">
        <v>3</v>
      </c>
      <c r="T365" s="6">
        <f t="shared" si="499"/>
        <v>3</v>
      </c>
      <c r="U365" s="16"/>
      <c r="V365" s="35"/>
      <c r="W365" s="9">
        <v>3</v>
      </c>
      <c r="X365" s="6">
        <f t="shared" si="500"/>
        <v>3</v>
      </c>
      <c r="Y365" s="16"/>
      <c r="Z365" s="35"/>
      <c r="AA365" s="9">
        <v>3</v>
      </c>
      <c r="AB365" s="6">
        <f t="shared" si="501"/>
        <v>3</v>
      </c>
      <c r="AC365" s="7">
        <f t="shared" si="502"/>
        <v>9</v>
      </c>
      <c r="AD365" s="22">
        <v>46086</v>
      </c>
    </row>
    <row r="366" spans="1:30" x14ac:dyDescent="0.15">
      <c r="A366" s="47" t="s">
        <v>205</v>
      </c>
      <c r="B366" s="16">
        <v>1</v>
      </c>
      <c r="C366" s="35"/>
      <c r="D366" s="9"/>
      <c r="E366" s="6">
        <f t="shared" si="495"/>
        <v>1</v>
      </c>
      <c r="F366" s="16">
        <v>1</v>
      </c>
      <c r="G366" s="35"/>
      <c r="H366" s="9"/>
      <c r="I366" s="6">
        <f t="shared" si="496"/>
        <v>1</v>
      </c>
      <c r="J366" s="16">
        <v>1</v>
      </c>
      <c r="K366" s="35"/>
      <c r="L366" s="9"/>
      <c r="M366" s="6">
        <f t="shared" si="497"/>
        <v>1</v>
      </c>
      <c r="N366" s="7">
        <f t="shared" si="498"/>
        <v>3</v>
      </c>
      <c r="O366" s="30">
        <v>46048</v>
      </c>
      <c r="P366" s="47"/>
      <c r="Q366" s="16"/>
      <c r="R366" s="35"/>
      <c r="S366" s="9"/>
      <c r="T366" s="6">
        <f t="shared" si="499"/>
        <v>0</v>
      </c>
      <c r="U366" s="16"/>
      <c r="V366" s="35"/>
      <c r="W366" s="9"/>
      <c r="X366" s="6">
        <f t="shared" si="500"/>
        <v>0</v>
      </c>
      <c r="Y366" s="16"/>
      <c r="Z366" s="35"/>
      <c r="AA366" s="9"/>
      <c r="AB366" s="6">
        <f t="shared" si="501"/>
        <v>0</v>
      </c>
      <c r="AC366" s="7">
        <f t="shared" si="502"/>
        <v>0</v>
      </c>
      <c r="AD366" s="23"/>
    </row>
    <row r="367" spans="1:30" x14ac:dyDescent="0.15">
      <c r="A367" s="47" t="s">
        <v>205</v>
      </c>
      <c r="B367" s="16">
        <v>2</v>
      </c>
      <c r="C367" s="35"/>
      <c r="D367" s="9"/>
      <c r="E367" s="6">
        <f t="shared" si="495"/>
        <v>2</v>
      </c>
      <c r="F367" s="16">
        <v>2</v>
      </c>
      <c r="G367" s="35"/>
      <c r="H367" s="9"/>
      <c r="I367" s="6">
        <f t="shared" si="496"/>
        <v>2</v>
      </c>
      <c r="J367" s="16">
        <v>2</v>
      </c>
      <c r="K367" s="35"/>
      <c r="L367" s="9"/>
      <c r="M367" s="6">
        <f t="shared" si="497"/>
        <v>2</v>
      </c>
      <c r="N367" s="7">
        <f t="shared" si="498"/>
        <v>6</v>
      </c>
      <c r="O367" s="30">
        <v>46050</v>
      </c>
      <c r="P367" s="47"/>
      <c r="Q367" s="16"/>
      <c r="R367" s="35"/>
      <c r="S367" s="9"/>
      <c r="T367" s="6">
        <f t="shared" si="499"/>
        <v>0</v>
      </c>
      <c r="U367" s="16"/>
      <c r="V367" s="35"/>
      <c r="W367" s="9"/>
      <c r="X367" s="6">
        <f t="shared" si="500"/>
        <v>0</v>
      </c>
      <c r="Y367" s="16"/>
      <c r="Z367" s="35"/>
      <c r="AA367" s="9"/>
      <c r="AB367" s="6">
        <f t="shared" si="501"/>
        <v>0</v>
      </c>
      <c r="AC367" s="7">
        <f t="shared" si="502"/>
        <v>0</v>
      </c>
      <c r="AD367" s="23"/>
    </row>
    <row r="368" spans="1:30" x14ac:dyDescent="0.15">
      <c r="A368" s="47" t="s">
        <v>205</v>
      </c>
      <c r="B368" s="16"/>
      <c r="C368" s="35">
        <v>1</v>
      </c>
      <c r="D368" s="9"/>
      <c r="E368" s="6">
        <f t="shared" si="495"/>
        <v>1</v>
      </c>
      <c r="F368" s="16"/>
      <c r="G368" s="35">
        <v>1</v>
      </c>
      <c r="H368" s="9"/>
      <c r="I368" s="6">
        <f t="shared" si="496"/>
        <v>1</v>
      </c>
      <c r="J368" s="16"/>
      <c r="K368" s="35">
        <v>1</v>
      </c>
      <c r="L368" s="9"/>
      <c r="M368" s="6">
        <f t="shared" si="497"/>
        <v>1</v>
      </c>
      <c r="N368" s="7">
        <f t="shared" si="498"/>
        <v>3</v>
      </c>
      <c r="O368" s="30">
        <v>46052</v>
      </c>
      <c r="P368" s="47"/>
      <c r="Q368" s="16"/>
      <c r="R368" s="35"/>
      <c r="S368" s="9"/>
      <c r="T368" s="6">
        <f t="shared" ref="T368:T383" si="503">SUM(Q368:S368)</f>
        <v>0</v>
      </c>
      <c r="U368" s="16"/>
      <c r="V368" s="35"/>
      <c r="W368" s="9"/>
      <c r="X368" s="6">
        <f t="shared" ref="X368:X383" si="504">SUM(U368:W368)</f>
        <v>0</v>
      </c>
      <c r="Y368" s="16"/>
      <c r="Z368" s="35"/>
      <c r="AA368" s="9"/>
      <c r="AB368" s="6">
        <f t="shared" ref="AB368:AB383" si="505">SUM(Y368:AA368)</f>
        <v>0</v>
      </c>
      <c r="AC368" s="7">
        <f t="shared" ref="AC368:AC383" si="506">T368+X368+AB368</f>
        <v>0</v>
      </c>
      <c r="AD368" s="23"/>
    </row>
    <row r="369" spans="1:30" x14ac:dyDescent="0.15">
      <c r="A369" s="47" t="s">
        <v>56</v>
      </c>
      <c r="B369" s="16"/>
      <c r="C369" s="35"/>
      <c r="D369" s="9"/>
      <c r="E369" s="6">
        <f t="shared" si="495"/>
        <v>0</v>
      </c>
      <c r="F369" s="16"/>
      <c r="G369" s="35"/>
      <c r="H369" s="9"/>
      <c r="I369" s="6">
        <f t="shared" si="496"/>
        <v>0</v>
      </c>
      <c r="J369" s="16"/>
      <c r="K369" s="35">
        <v>4</v>
      </c>
      <c r="L369" s="9"/>
      <c r="M369" s="6">
        <f t="shared" si="497"/>
        <v>4</v>
      </c>
      <c r="N369" s="7">
        <f t="shared" si="498"/>
        <v>4</v>
      </c>
      <c r="O369" s="70">
        <v>46053</v>
      </c>
      <c r="P369" s="47"/>
      <c r="Q369" s="16"/>
      <c r="R369" s="35"/>
      <c r="S369" s="9"/>
      <c r="T369" s="6">
        <f t="shared" si="503"/>
        <v>0</v>
      </c>
      <c r="U369" s="16"/>
      <c r="V369" s="35"/>
      <c r="W369" s="9"/>
      <c r="X369" s="6">
        <f t="shared" si="504"/>
        <v>0</v>
      </c>
      <c r="Y369" s="16"/>
      <c r="Z369" s="35"/>
      <c r="AA369" s="9"/>
      <c r="AB369" s="6">
        <f t="shared" si="505"/>
        <v>0</v>
      </c>
      <c r="AC369" s="7">
        <f t="shared" si="506"/>
        <v>0</v>
      </c>
      <c r="AD369" s="23"/>
    </row>
    <row r="370" spans="1:30" x14ac:dyDescent="0.15">
      <c r="A370" s="47" t="s">
        <v>205</v>
      </c>
      <c r="B370" s="16"/>
      <c r="C370" s="35"/>
      <c r="D370" s="9">
        <v>1</v>
      </c>
      <c r="E370" s="6">
        <f t="shared" si="495"/>
        <v>1</v>
      </c>
      <c r="F370" s="16"/>
      <c r="G370" s="35"/>
      <c r="H370" s="9">
        <v>1</v>
      </c>
      <c r="I370" s="6">
        <f t="shared" si="496"/>
        <v>1</v>
      </c>
      <c r="J370" s="16"/>
      <c r="K370" s="35"/>
      <c r="L370" s="9">
        <v>1</v>
      </c>
      <c r="M370" s="6">
        <f t="shared" si="497"/>
        <v>1</v>
      </c>
      <c r="N370" s="7">
        <f t="shared" si="498"/>
        <v>3</v>
      </c>
      <c r="O370" s="30">
        <v>46057</v>
      </c>
      <c r="P370" s="47"/>
      <c r="Q370" s="16"/>
      <c r="R370" s="35"/>
      <c r="S370" s="9"/>
      <c r="T370" s="6">
        <f t="shared" si="503"/>
        <v>0</v>
      </c>
      <c r="U370" s="16"/>
      <c r="V370" s="35"/>
      <c r="W370" s="9"/>
      <c r="X370" s="6">
        <f t="shared" si="504"/>
        <v>0</v>
      </c>
      <c r="Y370" s="16"/>
      <c r="Z370" s="35"/>
      <c r="AA370" s="9"/>
      <c r="AB370" s="6">
        <f t="shared" si="505"/>
        <v>0</v>
      </c>
      <c r="AC370" s="7">
        <f t="shared" si="506"/>
        <v>0</v>
      </c>
      <c r="AD370" s="23"/>
    </row>
    <row r="371" spans="1:30" x14ac:dyDescent="0.15">
      <c r="A371" s="47" t="s">
        <v>56</v>
      </c>
      <c r="B371" s="16"/>
      <c r="C371" s="35"/>
      <c r="D371" s="9">
        <v>1</v>
      </c>
      <c r="E371" s="6">
        <f t="shared" si="495"/>
        <v>1</v>
      </c>
      <c r="F371" s="16"/>
      <c r="G371" s="35"/>
      <c r="H371" s="9">
        <v>1</v>
      </c>
      <c r="I371" s="6">
        <f t="shared" si="496"/>
        <v>1</v>
      </c>
      <c r="J371" s="16"/>
      <c r="K371" s="35"/>
      <c r="L371" s="9">
        <v>1</v>
      </c>
      <c r="M371" s="6">
        <f t="shared" si="497"/>
        <v>1</v>
      </c>
      <c r="N371" s="7">
        <f t="shared" si="498"/>
        <v>3</v>
      </c>
      <c r="O371" s="30">
        <v>46055</v>
      </c>
      <c r="P371" s="47"/>
      <c r="Q371" s="16"/>
      <c r="R371" s="35"/>
      <c r="S371" s="9"/>
      <c r="T371" s="6">
        <f t="shared" si="503"/>
        <v>0</v>
      </c>
      <c r="U371" s="16"/>
      <c r="V371" s="35"/>
      <c r="W371" s="9"/>
      <c r="X371" s="6">
        <f t="shared" si="504"/>
        <v>0</v>
      </c>
      <c r="Y371" s="16"/>
      <c r="Z371" s="35"/>
      <c r="AA371" s="9"/>
      <c r="AB371" s="6">
        <f t="shared" si="505"/>
        <v>0</v>
      </c>
      <c r="AC371" s="7">
        <f t="shared" si="506"/>
        <v>0</v>
      </c>
      <c r="AD371" s="23"/>
    </row>
    <row r="372" spans="1:30" x14ac:dyDescent="0.15">
      <c r="A372" s="47" t="s">
        <v>205</v>
      </c>
      <c r="B372" s="16">
        <v>1</v>
      </c>
      <c r="C372" s="35"/>
      <c r="D372" s="9"/>
      <c r="E372" s="6">
        <f t="shared" si="495"/>
        <v>1</v>
      </c>
      <c r="F372" s="16">
        <v>1</v>
      </c>
      <c r="G372" s="35"/>
      <c r="H372" s="9"/>
      <c r="I372" s="6">
        <f t="shared" si="496"/>
        <v>1</v>
      </c>
      <c r="J372" s="16">
        <v>1</v>
      </c>
      <c r="K372" s="35"/>
      <c r="L372" s="9"/>
      <c r="M372" s="6">
        <f t="shared" si="497"/>
        <v>1</v>
      </c>
      <c r="N372" s="7">
        <f t="shared" si="498"/>
        <v>3</v>
      </c>
      <c r="O372" s="30">
        <v>46058</v>
      </c>
      <c r="P372" s="48"/>
      <c r="Q372" s="16"/>
      <c r="R372" s="35"/>
      <c r="S372" s="9"/>
      <c r="T372" s="6">
        <f t="shared" si="503"/>
        <v>0</v>
      </c>
      <c r="U372" s="16"/>
      <c r="V372" s="35"/>
      <c r="W372" s="9"/>
      <c r="X372" s="6">
        <f t="shared" si="504"/>
        <v>0</v>
      </c>
      <c r="Y372" s="16"/>
      <c r="Z372" s="35"/>
      <c r="AA372" s="9"/>
      <c r="AB372" s="6">
        <f t="shared" si="505"/>
        <v>0</v>
      </c>
      <c r="AC372" s="7">
        <f t="shared" si="506"/>
        <v>0</v>
      </c>
      <c r="AD372" s="23"/>
    </row>
    <row r="373" spans="1:30" x14ac:dyDescent="0.15">
      <c r="A373" s="47" t="s">
        <v>205</v>
      </c>
      <c r="B373" s="16"/>
      <c r="C373" s="35">
        <v>2</v>
      </c>
      <c r="D373" s="9"/>
      <c r="E373" s="6">
        <f t="shared" si="495"/>
        <v>2</v>
      </c>
      <c r="F373" s="16"/>
      <c r="G373" s="35">
        <v>2</v>
      </c>
      <c r="H373" s="9"/>
      <c r="I373" s="6">
        <f t="shared" si="496"/>
        <v>2</v>
      </c>
      <c r="J373" s="16"/>
      <c r="K373" s="35">
        <v>2</v>
      </c>
      <c r="L373" s="9"/>
      <c r="M373" s="6">
        <f t="shared" si="497"/>
        <v>2</v>
      </c>
      <c r="N373" s="7">
        <f t="shared" si="498"/>
        <v>6</v>
      </c>
      <c r="O373" s="30">
        <v>46059</v>
      </c>
      <c r="P373" s="47"/>
      <c r="Q373" s="16"/>
      <c r="R373" s="35"/>
      <c r="S373" s="9"/>
      <c r="T373" s="6">
        <f t="shared" si="503"/>
        <v>0</v>
      </c>
      <c r="U373" s="16"/>
      <c r="V373" s="35"/>
      <c r="W373" s="9"/>
      <c r="X373" s="6">
        <f t="shared" si="504"/>
        <v>0</v>
      </c>
      <c r="Y373" s="16"/>
      <c r="Z373" s="35"/>
      <c r="AA373" s="9"/>
      <c r="AB373" s="6">
        <f t="shared" si="505"/>
        <v>0</v>
      </c>
      <c r="AC373" s="7">
        <f t="shared" si="506"/>
        <v>0</v>
      </c>
      <c r="AD373" s="23"/>
    </row>
    <row r="374" spans="1:30" x14ac:dyDescent="0.15">
      <c r="A374" s="47" t="s">
        <v>205</v>
      </c>
      <c r="B374" s="16"/>
      <c r="C374" s="35">
        <v>3</v>
      </c>
      <c r="D374" s="9"/>
      <c r="E374" s="6">
        <f t="shared" si="495"/>
        <v>3</v>
      </c>
      <c r="F374" s="16"/>
      <c r="G374" s="35">
        <v>3</v>
      </c>
      <c r="H374" s="9"/>
      <c r="I374" s="6">
        <f t="shared" si="496"/>
        <v>3</v>
      </c>
      <c r="J374" s="16"/>
      <c r="K374" s="35">
        <v>3</v>
      </c>
      <c r="L374" s="9"/>
      <c r="M374" s="6">
        <f t="shared" si="497"/>
        <v>3</v>
      </c>
      <c r="N374" s="7">
        <f t="shared" si="498"/>
        <v>9</v>
      </c>
      <c r="O374" s="30">
        <v>46059</v>
      </c>
      <c r="P374" s="47"/>
      <c r="Q374" s="16"/>
      <c r="R374" s="35"/>
      <c r="S374" s="9"/>
      <c r="T374" s="6">
        <f t="shared" si="503"/>
        <v>0</v>
      </c>
      <c r="U374" s="16"/>
      <c r="V374" s="35"/>
      <c r="W374" s="9"/>
      <c r="X374" s="6">
        <f t="shared" si="504"/>
        <v>0</v>
      </c>
      <c r="Y374" s="16"/>
      <c r="Z374" s="35"/>
      <c r="AA374" s="9"/>
      <c r="AB374" s="6">
        <f t="shared" si="505"/>
        <v>0</v>
      </c>
      <c r="AC374" s="7">
        <f t="shared" si="506"/>
        <v>0</v>
      </c>
    </row>
    <row r="375" spans="1:30" x14ac:dyDescent="0.15">
      <c r="A375" s="47" t="s">
        <v>205</v>
      </c>
      <c r="B375" s="16"/>
      <c r="C375" s="35">
        <v>1</v>
      </c>
      <c r="D375" s="9"/>
      <c r="E375" s="6">
        <f t="shared" si="495"/>
        <v>1</v>
      </c>
      <c r="F375" s="16"/>
      <c r="G375" s="35">
        <v>1</v>
      </c>
      <c r="H375" s="9"/>
      <c r="I375" s="6">
        <f t="shared" si="496"/>
        <v>1</v>
      </c>
      <c r="J375" s="16"/>
      <c r="K375" s="35">
        <v>1</v>
      </c>
      <c r="L375" s="9"/>
      <c r="M375" s="6">
        <f t="shared" si="497"/>
        <v>1</v>
      </c>
      <c r="N375" s="7">
        <f t="shared" si="498"/>
        <v>3</v>
      </c>
      <c r="O375" s="30">
        <v>46062</v>
      </c>
      <c r="P375" s="47"/>
      <c r="Q375" s="16"/>
      <c r="R375" s="35"/>
      <c r="S375" s="9"/>
      <c r="T375" s="6">
        <f t="shared" si="503"/>
        <v>0</v>
      </c>
      <c r="U375" s="16"/>
      <c r="V375" s="35"/>
      <c r="W375" s="9"/>
      <c r="X375" s="6">
        <f t="shared" si="504"/>
        <v>0</v>
      </c>
      <c r="Y375" s="16"/>
      <c r="Z375" s="35"/>
      <c r="AA375" s="9"/>
      <c r="AB375" s="6">
        <f t="shared" si="505"/>
        <v>0</v>
      </c>
      <c r="AC375" s="7">
        <f t="shared" si="506"/>
        <v>0</v>
      </c>
    </row>
    <row r="376" spans="1:30" x14ac:dyDescent="0.15">
      <c r="A376" s="47" t="s">
        <v>205</v>
      </c>
      <c r="B376" s="16">
        <v>1</v>
      </c>
      <c r="C376" s="35"/>
      <c r="D376" s="9">
        <v>5</v>
      </c>
      <c r="E376" s="6">
        <f t="shared" si="495"/>
        <v>6</v>
      </c>
      <c r="F376" s="16">
        <v>1</v>
      </c>
      <c r="G376" s="35"/>
      <c r="H376" s="9">
        <v>5</v>
      </c>
      <c r="I376" s="6">
        <f t="shared" si="496"/>
        <v>6</v>
      </c>
      <c r="J376" s="16">
        <v>1</v>
      </c>
      <c r="K376" s="35"/>
      <c r="L376" s="9">
        <v>5</v>
      </c>
      <c r="M376" s="6">
        <f t="shared" si="497"/>
        <v>6</v>
      </c>
      <c r="N376" s="7">
        <f t="shared" si="498"/>
        <v>18</v>
      </c>
      <c r="O376" s="30">
        <v>46065</v>
      </c>
      <c r="P376" s="47"/>
      <c r="Q376" s="16"/>
      <c r="R376" s="35"/>
      <c r="S376" s="9"/>
      <c r="T376" s="6">
        <f t="shared" si="503"/>
        <v>0</v>
      </c>
      <c r="U376" s="16"/>
      <c r="V376" s="35"/>
      <c r="W376" s="9"/>
      <c r="X376" s="6">
        <f t="shared" si="504"/>
        <v>0</v>
      </c>
      <c r="Y376" s="16"/>
      <c r="Z376" s="35"/>
      <c r="AA376" s="9"/>
      <c r="AB376" s="6">
        <f t="shared" si="505"/>
        <v>0</v>
      </c>
      <c r="AC376" s="7">
        <f t="shared" si="506"/>
        <v>0</v>
      </c>
    </row>
    <row r="377" spans="1:30" x14ac:dyDescent="0.15">
      <c r="A377" s="47" t="s">
        <v>205</v>
      </c>
      <c r="B377" s="16"/>
      <c r="C377" s="35"/>
      <c r="D377" s="9">
        <v>1</v>
      </c>
      <c r="E377" s="6">
        <f t="shared" si="495"/>
        <v>1</v>
      </c>
      <c r="F377" s="16"/>
      <c r="G377" s="35"/>
      <c r="H377" s="9">
        <v>1</v>
      </c>
      <c r="I377" s="6">
        <f t="shared" si="496"/>
        <v>1</v>
      </c>
      <c r="J377" s="16"/>
      <c r="K377" s="35"/>
      <c r="L377" s="9">
        <v>1</v>
      </c>
      <c r="M377" s="6">
        <f t="shared" si="497"/>
        <v>1</v>
      </c>
      <c r="N377" s="7">
        <f t="shared" si="498"/>
        <v>3</v>
      </c>
      <c r="O377" s="30">
        <v>46069</v>
      </c>
      <c r="P377" s="47"/>
      <c r="Q377" s="16"/>
      <c r="R377" s="35"/>
      <c r="S377" s="9"/>
      <c r="T377" s="6">
        <f t="shared" ref="T377:T380" si="507">SUM(Q377:S377)</f>
        <v>0</v>
      </c>
      <c r="U377" s="16"/>
      <c r="V377" s="35"/>
      <c r="W377" s="9"/>
      <c r="X377" s="6">
        <f t="shared" ref="X377:X380" si="508">SUM(U377:W377)</f>
        <v>0</v>
      </c>
      <c r="Y377" s="16"/>
      <c r="Z377" s="35"/>
      <c r="AA377" s="9"/>
      <c r="AB377" s="6">
        <f t="shared" ref="AB377:AB380" si="509">SUM(Y377:AA377)</f>
        <v>0</v>
      </c>
      <c r="AC377" s="7">
        <f t="shared" ref="AC377:AC380" si="510">T377+X377+AB377</f>
        <v>0</v>
      </c>
    </row>
    <row r="378" spans="1:30" x14ac:dyDescent="0.15">
      <c r="A378" s="47" t="s">
        <v>205</v>
      </c>
      <c r="B378" s="16"/>
      <c r="C378" s="35">
        <v>1</v>
      </c>
      <c r="D378" s="9"/>
      <c r="E378" s="6">
        <f t="shared" si="495"/>
        <v>1</v>
      </c>
      <c r="F378" s="16"/>
      <c r="G378" s="35">
        <v>1</v>
      </c>
      <c r="H378" s="9"/>
      <c r="I378" s="6">
        <f t="shared" si="496"/>
        <v>1</v>
      </c>
      <c r="J378" s="16"/>
      <c r="K378" s="35">
        <v>1</v>
      </c>
      <c r="L378" s="9"/>
      <c r="M378" s="6">
        <f t="shared" si="497"/>
        <v>1</v>
      </c>
      <c r="N378" s="7">
        <f t="shared" si="498"/>
        <v>3</v>
      </c>
      <c r="O378" s="30">
        <v>46071</v>
      </c>
      <c r="P378" s="47"/>
      <c r="Q378" s="16"/>
      <c r="R378" s="35"/>
      <c r="S378" s="9"/>
      <c r="T378" s="6">
        <f t="shared" si="507"/>
        <v>0</v>
      </c>
      <c r="U378" s="16"/>
      <c r="V378" s="35"/>
      <c r="W378" s="9"/>
      <c r="X378" s="6">
        <f t="shared" si="508"/>
        <v>0</v>
      </c>
      <c r="Y378" s="16"/>
      <c r="Z378" s="35"/>
      <c r="AA378" s="9"/>
      <c r="AB378" s="6">
        <f t="shared" si="509"/>
        <v>0</v>
      </c>
      <c r="AC378" s="7">
        <f t="shared" si="510"/>
        <v>0</v>
      </c>
    </row>
    <row r="379" spans="1:30" x14ac:dyDescent="0.15">
      <c r="A379" s="47" t="s">
        <v>205</v>
      </c>
      <c r="B379" s="16">
        <v>1</v>
      </c>
      <c r="C379" s="35"/>
      <c r="D379" s="9"/>
      <c r="E379" s="6">
        <f t="shared" si="495"/>
        <v>1</v>
      </c>
      <c r="F379" s="16">
        <v>1</v>
      </c>
      <c r="G379" s="35"/>
      <c r="H379" s="9"/>
      <c r="I379" s="6">
        <f t="shared" si="496"/>
        <v>1</v>
      </c>
      <c r="J379" s="16">
        <v>1</v>
      </c>
      <c r="K379" s="35"/>
      <c r="L379" s="9"/>
      <c r="M379" s="6">
        <f t="shared" si="497"/>
        <v>1</v>
      </c>
      <c r="N379" s="7">
        <f t="shared" si="498"/>
        <v>3</v>
      </c>
      <c r="O379" s="30">
        <v>46073</v>
      </c>
      <c r="P379" s="47"/>
      <c r="Q379" s="16"/>
      <c r="R379" s="35"/>
      <c r="S379" s="9"/>
      <c r="T379" s="6">
        <f t="shared" si="507"/>
        <v>0</v>
      </c>
      <c r="U379" s="16"/>
      <c r="V379" s="35"/>
      <c r="W379" s="9"/>
      <c r="X379" s="6">
        <f t="shared" si="508"/>
        <v>0</v>
      </c>
      <c r="Y379" s="16"/>
      <c r="Z379" s="35"/>
      <c r="AA379" s="9"/>
      <c r="AB379" s="6">
        <f t="shared" si="509"/>
        <v>0</v>
      </c>
      <c r="AC379" s="7">
        <f t="shared" si="510"/>
        <v>0</v>
      </c>
    </row>
    <row r="380" spans="1:30" x14ac:dyDescent="0.15">
      <c r="A380" s="47" t="s">
        <v>205</v>
      </c>
      <c r="B380" s="16">
        <v>1</v>
      </c>
      <c r="C380" s="35"/>
      <c r="D380" s="9"/>
      <c r="E380" s="6">
        <f t="shared" si="495"/>
        <v>1</v>
      </c>
      <c r="F380" s="16">
        <v>1</v>
      </c>
      <c r="G380" s="35"/>
      <c r="H380" s="9"/>
      <c r="I380" s="6">
        <f t="shared" si="496"/>
        <v>1</v>
      </c>
      <c r="J380" s="16">
        <v>1</v>
      </c>
      <c r="K380" s="35"/>
      <c r="L380" s="9"/>
      <c r="M380" s="6">
        <f t="shared" si="497"/>
        <v>1</v>
      </c>
      <c r="N380" s="7">
        <f t="shared" si="498"/>
        <v>3</v>
      </c>
      <c r="O380" s="30">
        <v>46079</v>
      </c>
      <c r="P380" s="47"/>
      <c r="Q380" s="16"/>
      <c r="R380" s="35"/>
      <c r="S380" s="9"/>
      <c r="T380" s="6">
        <f t="shared" si="507"/>
        <v>0</v>
      </c>
      <c r="U380" s="16"/>
      <c r="V380" s="35"/>
      <c r="W380" s="9"/>
      <c r="X380" s="6">
        <f t="shared" si="508"/>
        <v>0</v>
      </c>
      <c r="Y380" s="16"/>
      <c r="Z380" s="35"/>
      <c r="AA380" s="9"/>
      <c r="AB380" s="6">
        <f t="shared" si="509"/>
        <v>0</v>
      </c>
      <c r="AC380" s="7">
        <f t="shared" si="510"/>
        <v>0</v>
      </c>
    </row>
    <row r="381" spans="1:30" x14ac:dyDescent="0.15">
      <c r="A381" s="47" t="s">
        <v>56</v>
      </c>
      <c r="B381" s="16"/>
      <c r="C381" s="35"/>
      <c r="D381" s="9">
        <v>2</v>
      </c>
      <c r="E381" s="6">
        <f t="shared" si="495"/>
        <v>2</v>
      </c>
      <c r="F381" s="16"/>
      <c r="G381" s="35"/>
      <c r="H381" s="9">
        <v>2</v>
      </c>
      <c r="I381" s="6">
        <f t="shared" si="496"/>
        <v>2</v>
      </c>
      <c r="J381" s="16"/>
      <c r="K381" s="35"/>
      <c r="L381" s="9">
        <v>3</v>
      </c>
      <c r="M381" s="6">
        <f t="shared" si="497"/>
        <v>3</v>
      </c>
      <c r="N381" s="7">
        <f t="shared" si="498"/>
        <v>7</v>
      </c>
      <c r="O381" s="70">
        <v>46077</v>
      </c>
      <c r="P381" s="47" t="s">
        <v>220</v>
      </c>
      <c r="Q381" s="16"/>
      <c r="R381" s="35"/>
      <c r="S381" s="9"/>
      <c r="T381" s="6">
        <f t="shared" si="503"/>
        <v>0</v>
      </c>
      <c r="U381" s="16"/>
      <c r="V381" s="35"/>
      <c r="W381" s="9"/>
      <c r="X381" s="6">
        <f t="shared" si="504"/>
        <v>0</v>
      </c>
      <c r="Y381" s="16"/>
      <c r="Z381" s="35"/>
      <c r="AA381" s="9"/>
      <c r="AB381" s="6">
        <f t="shared" si="505"/>
        <v>0</v>
      </c>
      <c r="AC381" s="7">
        <f t="shared" si="506"/>
        <v>0</v>
      </c>
      <c r="AD381" s="23" t="s">
        <v>221</v>
      </c>
    </row>
    <row r="382" spans="1:30" x14ac:dyDescent="0.15">
      <c r="A382" s="47" t="s">
        <v>205</v>
      </c>
      <c r="B382" s="16">
        <v>1</v>
      </c>
      <c r="C382" s="35"/>
      <c r="D382" s="9"/>
      <c r="E382" s="6">
        <f t="shared" ref="E382:E383" si="511">SUM(B382:D382)</f>
        <v>1</v>
      </c>
      <c r="F382" s="16">
        <v>1</v>
      </c>
      <c r="G382" s="35"/>
      <c r="H382" s="9"/>
      <c r="I382" s="6">
        <f t="shared" ref="I382:I383" si="512">SUM(F382:H382)</f>
        <v>1</v>
      </c>
      <c r="J382" s="16">
        <v>1</v>
      </c>
      <c r="K382" s="35"/>
      <c r="L382" s="9"/>
      <c r="M382" s="6">
        <f t="shared" ref="M382:M383" si="513">SUM(J382:L382)</f>
        <v>1</v>
      </c>
      <c r="N382" s="7">
        <f t="shared" ref="N382:N383" si="514">E382+I382+M382</f>
        <v>3</v>
      </c>
      <c r="O382" s="30">
        <v>46085</v>
      </c>
      <c r="P382" s="47" t="s">
        <v>223</v>
      </c>
      <c r="Q382" s="16"/>
      <c r="R382" s="35"/>
      <c r="S382" s="9"/>
      <c r="T382" s="6">
        <f t="shared" si="503"/>
        <v>0</v>
      </c>
      <c r="U382" s="16"/>
      <c r="V382" s="35"/>
      <c r="W382" s="9"/>
      <c r="X382" s="6">
        <f t="shared" si="504"/>
        <v>0</v>
      </c>
      <c r="Y382" s="16"/>
      <c r="Z382" s="35"/>
      <c r="AA382" s="9"/>
      <c r="AB382" s="6">
        <f t="shared" si="505"/>
        <v>0</v>
      </c>
      <c r="AC382" s="7">
        <f t="shared" si="506"/>
        <v>0</v>
      </c>
      <c r="AD382" s="23" t="s">
        <v>222</v>
      </c>
    </row>
    <row r="383" spans="1:30" ht="14.25" thickBot="1" x14ac:dyDescent="0.2">
      <c r="A383" s="47" t="s">
        <v>56</v>
      </c>
      <c r="B383" s="16"/>
      <c r="C383" s="35"/>
      <c r="D383" s="9">
        <v>2</v>
      </c>
      <c r="E383" s="6">
        <f t="shared" si="511"/>
        <v>2</v>
      </c>
      <c r="F383" s="16"/>
      <c r="G383" s="35"/>
      <c r="H383" s="9"/>
      <c r="I383" s="6">
        <f t="shared" si="512"/>
        <v>0</v>
      </c>
      <c r="J383" s="16"/>
      <c r="K383" s="35"/>
      <c r="L383" s="9"/>
      <c r="M383" s="6">
        <f t="shared" si="513"/>
        <v>0</v>
      </c>
      <c r="N383" s="7">
        <f t="shared" si="514"/>
        <v>2</v>
      </c>
      <c r="O383" s="30">
        <v>46084</v>
      </c>
      <c r="P383" s="47" t="s">
        <v>219</v>
      </c>
      <c r="Q383" s="16"/>
      <c r="R383" s="35"/>
      <c r="S383" s="9"/>
      <c r="T383" s="6">
        <f t="shared" si="503"/>
        <v>0</v>
      </c>
      <c r="U383" s="16"/>
      <c r="V383" s="35"/>
      <c r="W383" s="9"/>
      <c r="X383" s="6">
        <f t="shared" si="504"/>
        <v>0</v>
      </c>
      <c r="Y383" s="16"/>
      <c r="Z383" s="35"/>
      <c r="AA383" s="9"/>
      <c r="AB383" s="6">
        <f t="shared" si="505"/>
        <v>0</v>
      </c>
      <c r="AC383" s="7">
        <f t="shared" si="506"/>
        <v>0</v>
      </c>
      <c r="AD383" s="23" t="s">
        <v>218</v>
      </c>
    </row>
    <row r="384" spans="1:30" ht="14.25" thickBot="1" x14ac:dyDescent="0.2">
      <c r="A384" s="3" t="s">
        <v>9</v>
      </c>
      <c r="B384" s="13">
        <f>SUM(B360:B383)</f>
        <v>14</v>
      </c>
      <c r="C384" s="37">
        <f t="shared" ref="C384:N384" si="515">SUM(C360:C383)</f>
        <v>10</v>
      </c>
      <c r="D384" s="32">
        <f t="shared" si="515"/>
        <v>14</v>
      </c>
      <c r="E384" s="17">
        <f t="shared" si="515"/>
        <v>38</v>
      </c>
      <c r="F384" s="13">
        <f t="shared" si="515"/>
        <v>14</v>
      </c>
      <c r="G384" s="37">
        <f t="shared" si="515"/>
        <v>10</v>
      </c>
      <c r="H384" s="32">
        <f t="shared" si="515"/>
        <v>14</v>
      </c>
      <c r="I384" s="17">
        <f t="shared" si="515"/>
        <v>38</v>
      </c>
      <c r="J384" s="13">
        <f t="shared" si="515"/>
        <v>14</v>
      </c>
      <c r="K384" s="37">
        <f t="shared" si="515"/>
        <v>14</v>
      </c>
      <c r="L384" s="32">
        <f t="shared" si="515"/>
        <v>13</v>
      </c>
      <c r="M384" s="17">
        <f t="shared" si="515"/>
        <v>41</v>
      </c>
      <c r="N384" s="18">
        <f t="shared" si="515"/>
        <v>117</v>
      </c>
      <c r="P384" s="3" t="s">
        <v>9</v>
      </c>
      <c r="Q384" s="13">
        <f>SUM(Q360:Q383)</f>
        <v>20</v>
      </c>
      <c r="R384" s="37">
        <f t="shared" ref="R384:AC384" si="516">SUM(R360:R383)</f>
        <v>40</v>
      </c>
      <c r="S384" s="32">
        <f t="shared" si="516"/>
        <v>28</v>
      </c>
      <c r="T384" s="17">
        <f t="shared" si="516"/>
        <v>88</v>
      </c>
      <c r="U384" s="13">
        <f t="shared" si="516"/>
        <v>20</v>
      </c>
      <c r="V384" s="37">
        <f t="shared" si="516"/>
        <v>40</v>
      </c>
      <c r="W384" s="32">
        <f t="shared" si="516"/>
        <v>28</v>
      </c>
      <c r="X384" s="17">
        <f t="shared" si="516"/>
        <v>88</v>
      </c>
      <c r="Y384" s="13">
        <f t="shared" si="516"/>
        <v>20</v>
      </c>
      <c r="Z384" s="37">
        <f t="shared" si="516"/>
        <v>40</v>
      </c>
      <c r="AA384" s="32">
        <f t="shared" si="516"/>
        <v>26</v>
      </c>
      <c r="AB384" s="17">
        <f t="shared" si="516"/>
        <v>86</v>
      </c>
      <c r="AC384" s="18">
        <f t="shared" si="516"/>
        <v>262</v>
      </c>
    </row>
    <row r="385" spans="1:30" ht="14.25" thickBot="1" x14ac:dyDescent="0.2">
      <c r="A385" s="19" t="s">
        <v>10</v>
      </c>
      <c r="B385" s="20">
        <f>B359-B384</f>
        <v>5</v>
      </c>
      <c r="C385" s="38">
        <f t="shared" ref="C385:N385" si="517">C359-C384</f>
        <v>8</v>
      </c>
      <c r="D385" s="33">
        <f t="shared" si="517"/>
        <v>6</v>
      </c>
      <c r="E385" s="20">
        <f t="shared" si="517"/>
        <v>19</v>
      </c>
      <c r="F385" s="20">
        <f t="shared" si="517"/>
        <v>6</v>
      </c>
      <c r="G385" s="38">
        <f t="shared" si="517"/>
        <v>7</v>
      </c>
      <c r="H385" s="33">
        <f t="shared" si="517"/>
        <v>8</v>
      </c>
      <c r="I385" s="20">
        <f t="shared" si="517"/>
        <v>21</v>
      </c>
      <c r="J385" s="20">
        <f t="shared" si="517"/>
        <v>8</v>
      </c>
      <c r="K385" s="38">
        <f t="shared" si="517"/>
        <v>8</v>
      </c>
      <c r="L385" s="33">
        <f t="shared" si="517"/>
        <v>7</v>
      </c>
      <c r="M385" s="20">
        <f t="shared" si="517"/>
        <v>23</v>
      </c>
      <c r="N385" s="18">
        <f t="shared" si="517"/>
        <v>63</v>
      </c>
      <c r="P385" s="19" t="s">
        <v>10</v>
      </c>
      <c r="Q385" s="20">
        <f>Q359-Q384</f>
        <v>577</v>
      </c>
      <c r="R385" s="38">
        <f t="shared" ref="R385:AC385" si="518">R359-R384</f>
        <v>541</v>
      </c>
      <c r="S385" s="33">
        <f t="shared" si="518"/>
        <v>426</v>
      </c>
      <c r="T385" s="20">
        <f t="shared" si="518"/>
        <v>1544</v>
      </c>
      <c r="U385" s="20">
        <f t="shared" si="518"/>
        <v>564</v>
      </c>
      <c r="V385" s="38">
        <f t="shared" si="518"/>
        <v>539</v>
      </c>
      <c r="W385" s="33">
        <f t="shared" si="518"/>
        <v>433</v>
      </c>
      <c r="X385" s="20">
        <f t="shared" si="518"/>
        <v>1536</v>
      </c>
      <c r="Y385" s="20">
        <f t="shared" si="518"/>
        <v>545</v>
      </c>
      <c r="Z385" s="38">
        <f t="shared" si="518"/>
        <v>503</v>
      </c>
      <c r="AA385" s="33">
        <f t="shared" si="518"/>
        <v>417</v>
      </c>
      <c r="AB385" s="20">
        <f t="shared" si="518"/>
        <v>1465</v>
      </c>
      <c r="AC385" s="18">
        <f t="shared" si="518"/>
        <v>4545</v>
      </c>
    </row>
    <row r="388" spans="1:30" ht="21.75" thickBot="1" x14ac:dyDescent="0.25">
      <c r="A388" s="27" t="s">
        <v>15</v>
      </c>
      <c r="B388" s="28"/>
      <c r="C388" s="28"/>
      <c r="D388" s="28"/>
      <c r="E388" s="29"/>
      <c r="F388" s="28"/>
      <c r="G388" s="28"/>
      <c r="H388" s="28"/>
      <c r="I388" s="28"/>
      <c r="J388" s="1"/>
      <c r="K388" s="1"/>
      <c r="L388" s="1"/>
      <c r="M388" s="1"/>
      <c r="P388" s="43" t="s">
        <v>14</v>
      </c>
      <c r="Q388" s="44"/>
      <c r="R388" s="44"/>
      <c r="S388" s="44"/>
      <c r="T388" s="45"/>
      <c r="U388" s="44"/>
      <c r="V388" s="44"/>
      <c r="W388" s="44"/>
      <c r="X388" s="44"/>
      <c r="Y388" s="44"/>
      <c r="Z388" s="44"/>
      <c r="AA388" s="44"/>
      <c r="AB388" s="1"/>
    </row>
    <row r="389" spans="1:30" ht="14.25" thickBot="1" x14ac:dyDescent="0.2">
      <c r="A389" s="2" t="s">
        <v>0</v>
      </c>
      <c r="B389" s="91" t="s">
        <v>16</v>
      </c>
      <c r="C389" s="91"/>
      <c r="D389" s="91"/>
      <c r="E389" s="92"/>
      <c r="F389" s="93" t="s">
        <v>12</v>
      </c>
      <c r="G389" s="93"/>
      <c r="H389" s="93"/>
      <c r="I389" s="94"/>
      <c r="J389" s="95" t="s">
        <v>13</v>
      </c>
      <c r="K389" s="95"/>
      <c r="L389" s="95"/>
      <c r="M389" s="95"/>
      <c r="N389" s="96" t="s">
        <v>1</v>
      </c>
      <c r="P389" s="2" t="s">
        <v>0</v>
      </c>
      <c r="Q389" s="91" t="s">
        <v>16</v>
      </c>
      <c r="R389" s="91"/>
      <c r="S389" s="91"/>
      <c r="T389" s="92"/>
      <c r="U389" s="93" t="s">
        <v>12</v>
      </c>
      <c r="V389" s="93"/>
      <c r="W389" s="93"/>
      <c r="X389" s="94"/>
      <c r="Y389" s="95" t="s">
        <v>13</v>
      </c>
      <c r="Z389" s="95"/>
      <c r="AA389" s="95"/>
      <c r="AB389" s="95"/>
      <c r="AC389" s="96" t="s">
        <v>1</v>
      </c>
    </row>
    <row r="390" spans="1:30" ht="14.25" thickBot="1" x14ac:dyDescent="0.2">
      <c r="A390" s="2" t="s">
        <v>2</v>
      </c>
      <c r="B390" s="3" t="s">
        <v>3</v>
      </c>
      <c r="C390" s="34" t="s">
        <v>4</v>
      </c>
      <c r="D390" s="4" t="s">
        <v>5</v>
      </c>
      <c r="E390" s="2" t="s">
        <v>6</v>
      </c>
      <c r="F390" s="3" t="s">
        <v>3</v>
      </c>
      <c r="G390" s="34" t="s">
        <v>4</v>
      </c>
      <c r="H390" s="4" t="s">
        <v>5</v>
      </c>
      <c r="I390" s="2" t="s">
        <v>6</v>
      </c>
      <c r="J390" s="3" t="s">
        <v>3</v>
      </c>
      <c r="K390" s="34" t="s">
        <v>4</v>
      </c>
      <c r="L390" s="4" t="s">
        <v>5</v>
      </c>
      <c r="M390" s="3" t="s">
        <v>6</v>
      </c>
      <c r="N390" s="97"/>
      <c r="P390" s="2" t="s">
        <v>2</v>
      </c>
      <c r="Q390" s="3" t="s">
        <v>3</v>
      </c>
      <c r="R390" s="34" t="s">
        <v>4</v>
      </c>
      <c r="S390" s="4" t="s">
        <v>5</v>
      </c>
      <c r="T390" s="2" t="s">
        <v>6</v>
      </c>
      <c r="U390" s="3" t="s">
        <v>3</v>
      </c>
      <c r="V390" s="34" t="s">
        <v>4</v>
      </c>
      <c r="W390" s="4" t="s">
        <v>5</v>
      </c>
      <c r="X390" s="2" t="s">
        <v>6</v>
      </c>
      <c r="Y390" s="3" t="s">
        <v>3</v>
      </c>
      <c r="Z390" s="34" t="s">
        <v>4</v>
      </c>
      <c r="AA390" s="4" t="s">
        <v>5</v>
      </c>
      <c r="AB390" s="3" t="s">
        <v>6</v>
      </c>
      <c r="AC390" s="97"/>
    </row>
    <row r="391" spans="1:30" ht="14.25" thickBot="1" x14ac:dyDescent="0.2">
      <c r="A391" s="40" t="s">
        <v>10</v>
      </c>
      <c r="B391" s="41">
        <f>B385</f>
        <v>5</v>
      </c>
      <c r="C391" s="42">
        <f t="shared" ref="C391:M391" si="519">C385</f>
        <v>8</v>
      </c>
      <c r="D391" s="41">
        <f t="shared" si="519"/>
        <v>6</v>
      </c>
      <c r="E391" s="14">
        <f t="shared" si="519"/>
        <v>19</v>
      </c>
      <c r="F391" s="41">
        <f t="shared" si="519"/>
        <v>6</v>
      </c>
      <c r="G391" s="42">
        <f t="shared" si="519"/>
        <v>7</v>
      </c>
      <c r="H391" s="41">
        <f t="shared" si="519"/>
        <v>8</v>
      </c>
      <c r="I391" s="14">
        <f t="shared" si="519"/>
        <v>21</v>
      </c>
      <c r="J391" s="41">
        <f t="shared" si="519"/>
        <v>8</v>
      </c>
      <c r="K391" s="42">
        <f t="shared" si="519"/>
        <v>8</v>
      </c>
      <c r="L391" s="41">
        <f t="shared" si="519"/>
        <v>7</v>
      </c>
      <c r="M391" s="14">
        <f t="shared" si="519"/>
        <v>23</v>
      </c>
      <c r="N391" s="15">
        <f>N385</f>
        <v>63</v>
      </c>
      <c r="P391" s="40" t="s">
        <v>10</v>
      </c>
      <c r="Q391" s="54">
        <f>Q385</f>
        <v>577</v>
      </c>
      <c r="R391" s="55">
        <f t="shared" ref="R391:AB391" si="520">R385</f>
        <v>541</v>
      </c>
      <c r="S391" s="54">
        <f t="shared" si="520"/>
        <v>426</v>
      </c>
      <c r="T391" s="14">
        <f t="shared" si="520"/>
        <v>1544</v>
      </c>
      <c r="U391" s="54">
        <f t="shared" si="520"/>
        <v>564</v>
      </c>
      <c r="V391" s="55">
        <f t="shared" si="520"/>
        <v>539</v>
      </c>
      <c r="W391" s="54">
        <f t="shared" si="520"/>
        <v>433</v>
      </c>
      <c r="X391" s="14">
        <f t="shared" si="520"/>
        <v>1536</v>
      </c>
      <c r="Y391" s="54">
        <f t="shared" si="520"/>
        <v>545</v>
      </c>
      <c r="Z391" s="55">
        <f t="shared" si="520"/>
        <v>503</v>
      </c>
      <c r="AA391" s="54">
        <f t="shared" si="520"/>
        <v>417</v>
      </c>
      <c r="AB391" s="14">
        <f t="shared" si="520"/>
        <v>1465</v>
      </c>
      <c r="AC391" s="15">
        <f>AC385</f>
        <v>4545</v>
      </c>
    </row>
    <row r="392" spans="1:30" x14ac:dyDescent="0.15">
      <c r="A392" s="5" t="s">
        <v>212</v>
      </c>
      <c r="B392" s="9"/>
      <c r="C392" s="35"/>
      <c r="D392" s="9">
        <v>2</v>
      </c>
      <c r="E392" s="6">
        <f t="shared" ref="E392:E396" si="521">SUM(B392:D392)</f>
        <v>2</v>
      </c>
      <c r="F392" s="9"/>
      <c r="G392" s="35"/>
      <c r="H392" s="9">
        <v>2</v>
      </c>
      <c r="I392" s="6">
        <f t="shared" ref="I392:I396" si="522">SUM(F392:H392)</f>
        <v>2</v>
      </c>
      <c r="J392" s="9"/>
      <c r="K392" s="35"/>
      <c r="L392" s="9">
        <v>2</v>
      </c>
      <c r="M392" s="6">
        <f t="shared" ref="M392:M396" si="523">SUM(J392:L392)</f>
        <v>2</v>
      </c>
      <c r="N392" s="7">
        <f t="shared" ref="N392:N396" si="524">E392+I392+M392</f>
        <v>6</v>
      </c>
      <c r="O392" s="70">
        <v>46090</v>
      </c>
      <c r="P392" s="39" t="s">
        <v>234</v>
      </c>
      <c r="Q392" s="56">
        <v>8</v>
      </c>
      <c r="R392" s="57">
        <v>10</v>
      </c>
      <c r="S392" s="56">
        <v>8</v>
      </c>
      <c r="T392" s="6">
        <f t="shared" ref="T392:T401" si="525">SUM(Q392:S392)</f>
        <v>26</v>
      </c>
      <c r="U392" s="56">
        <v>8</v>
      </c>
      <c r="V392" s="57">
        <v>10</v>
      </c>
      <c r="W392" s="56">
        <v>8</v>
      </c>
      <c r="X392" s="6">
        <f t="shared" ref="X392:X401" si="526">SUM(U392:W392)</f>
        <v>26</v>
      </c>
      <c r="Y392" s="56">
        <v>8</v>
      </c>
      <c r="Z392" s="57">
        <v>10</v>
      </c>
      <c r="AA392" s="56">
        <v>8</v>
      </c>
      <c r="AB392" s="6">
        <f t="shared" ref="AB392:AB401" si="527">SUM(Y392:AA392)</f>
        <v>26</v>
      </c>
      <c r="AC392" s="7">
        <f t="shared" ref="AC392:AC401" si="528">T392+X392+AB392</f>
        <v>78</v>
      </c>
      <c r="AD392" s="71">
        <v>46116</v>
      </c>
    </row>
    <row r="393" spans="1:30" x14ac:dyDescent="0.15">
      <c r="A393" s="5" t="s">
        <v>231</v>
      </c>
      <c r="B393" s="9">
        <v>8</v>
      </c>
      <c r="C393" s="35">
        <v>10</v>
      </c>
      <c r="D393" s="9">
        <v>8</v>
      </c>
      <c r="E393" s="6">
        <f t="shared" si="521"/>
        <v>26</v>
      </c>
      <c r="F393" s="9">
        <v>8</v>
      </c>
      <c r="G393" s="35">
        <v>10</v>
      </c>
      <c r="H393" s="9">
        <v>8</v>
      </c>
      <c r="I393" s="6">
        <f t="shared" si="522"/>
        <v>26</v>
      </c>
      <c r="J393" s="9">
        <v>8</v>
      </c>
      <c r="K393" s="35">
        <v>10</v>
      </c>
      <c r="L393" s="9">
        <v>8</v>
      </c>
      <c r="M393" s="6">
        <f t="shared" si="523"/>
        <v>26</v>
      </c>
      <c r="N393" s="7">
        <f t="shared" si="524"/>
        <v>78</v>
      </c>
      <c r="O393" s="70">
        <v>46104</v>
      </c>
      <c r="P393" s="39" t="s">
        <v>7</v>
      </c>
      <c r="Q393" s="56"/>
      <c r="R393" s="57"/>
      <c r="S393" s="56"/>
      <c r="T393" s="6">
        <f t="shared" si="525"/>
        <v>0</v>
      </c>
      <c r="U393" s="56"/>
      <c r="V393" s="57"/>
      <c r="W393" s="56"/>
      <c r="X393" s="6">
        <f t="shared" si="526"/>
        <v>0</v>
      </c>
      <c r="Y393" s="56"/>
      <c r="Z393" s="57"/>
      <c r="AA393" s="56"/>
      <c r="AB393" s="6">
        <f t="shared" si="527"/>
        <v>0</v>
      </c>
      <c r="AC393" s="7">
        <f t="shared" si="528"/>
        <v>0</v>
      </c>
    </row>
    <row r="394" spans="1:30" x14ac:dyDescent="0.15">
      <c r="A394" s="5" t="s">
        <v>231</v>
      </c>
      <c r="B394" s="9">
        <v>1</v>
      </c>
      <c r="C394" s="35">
        <v>1</v>
      </c>
      <c r="D394" s="9"/>
      <c r="E394" s="6">
        <f t="shared" si="521"/>
        <v>2</v>
      </c>
      <c r="F394" s="9">
        <v>1</v>
      </c>
      <c r="G394" s="35">
        <v>1</v>
      </c>
      <c r="H394" s="9"/>
      <c r="I394" s="6">
        <f t="shared" si="522"/>
        <v>2</v>
      </c>
      <c r="J394" s="9">
        <v>1</v>
      </c>
      <c r="K394" s="35">
        <v>1</v>
      </c>
      <c r="L394" s="9"/>
      <c r="M394" s="6">
        <f t="shared" si="523"/>
        <v>2</v>
      </c>
      <c r="N394" s="7">
        <f t="shared" si="524"/>
        <v>6</v>
      </c>
      <c r="O394" s="70">
        <v>46168</v>
      </c>
      <c r="P394" s="39" t="s">
        <v>7</v>
      </c>
      <c r="Q394" s="56"/>
      <c r="R394" s="57"/>
      <c r="S394" s="56"/>
      <c r="T394" s="6">
        <f t="shared" si="525"/>
        <v>0</v>
      </c>
      <c r="U394" s="56"/>
      <c r="V394" s="57"/>
      <c r="W394" s="56"/>
      <c r="X394" s="6">
        <f t="shared" si="526"/>
        <v>0</v>
      </c>
      <c r="Y394" s="56"/>
      <c r="Z394" s="57"/>
      <c r="AA394" s="56"/>
      <c r="AB394" s="6">
        <f t="shared" si="527"/>
        <v>0</v>
      </c>
      <c r="AC394" s="7">
        <f t="shared" si="528"/>
        <v>0</v>
      </c>
    </row>
    <row r="395" spans="1:30" x14ac:dyDescent="0.15">
      <c r="A395" s="5" t="s">
        <v>7</v>
      </c>
      <c r="B395" s="9"/>
      <c r="C395" s="35"/>
      <c r="D395" s="9"/>
      <c r="E395" s="6">
        <f t="shared" si="521"/>
        <v>0</v>
      </c>
      <c r="F395" s="9"/>
      <c r="G395" s="35"/>
      <c r="H395" s="9"/>
      <c r="I395" s="6">
        <f t="shared" si="522"/>
        <v>0</v>
      </c>
      <c r="J395" s="9"/>
      <c r="K395" s="35"/>
      <c r="L395" s="9"/>
      <c r="M395" s="6">
        <f t="shared" si="523"/>
        <v>0</v>
      </c>
      <c r="N395" s="7">
        <f t="shared" si="524"/>
        <v>0</v>
      </c>
      <c r="P395" s="39" t="s">
        <v>7</v>
      </c>
      <c r="Q395" s="56"/>
      <c r="R395" s="57"/>
      <c r="S395" s="56"/>
      <c r="T395" s="6">
        <f t="shared" si="525"/>
        <v>0</v>
      </c>
      <c r="U395" s="56"/>
      <c r="V395" s="57"/>
      <c r="W395" s="56"/>
      <c r="X395" s="6">
        <f t="shared" si="526"/>
        <v>0</v>
      </c>
      <c r="Y395" s="56"/>
      <c r="Z395" s="57"/>
      <c r="AA395" s="56"/>
      <c r="AB395" s="6">
        <f t="shared" si="527"/>
        <v>0</v>
      </c>
      <c r="AC395" s="7">
        <f t="shared" si="528"/>
        <v>0</v>
      </c>
    </row>
    <row r="396" spans="1:30" x14ac:dyDescent="0.15">
      <c r="A396" s="5" t="s">
        <v>7</v>
      </c>
      <c r="B396" s="9"/>
      <c r="C396" s="35"/>
      <c r="D396" s="9"/>
      <c r="E396" s="6">
        <f t="shared" si="521"/>
        <v>0</v>
      </c>
      <c r="F396" s="9"/>
      <c r="G396" s="35"/>
      <c r="H396" s="9"/>
      <c r="I396" s="6">
        <f t="shared" si="522"/>
        <v>0</v>
      </c>
      <c r="J396" s="9"/>
      <c r="K396" s="35"/>
      <c r="L396" s="9"/>
      <c r="M396" s="6">
        <f t="shared" si="523"/>
        <v>0</v>
      </c>
      <c r="N396" s="7">
        <f t="shared" si="524"/>
        <v>0</v>
      </c>
      <c r="P396" s="39" t="s">
        <v>7</v>
      </c>
      <c r="Q396" s="56"/>
      <c r="R396" s="57"/>
      <c r="S396" s="56"/>
      <c r="T396" s="6">
        <f t="shared" si="525"/>
        <v>0</v>
      </c>
      <c r="U396" s="56"/>
      <c r="V396" s="57"/>
      <c r="W396" s="56"/>
      <c r="X396" s="6">
        <f t="shared" si="526"/>
        <v>0</v>
      </c>
      <c r="Y396" s="56"/>
      <c r="Z396" s="57"/>
      <c r="AA396" s="56"/>
      <c r="AB396" s="6">
        <f t="shared" si="527"/>
        <v>0</v>
      </c>
      <c r="AC396" s="7">
        <f t="shared" si="528"/>
        <v>0</v>
      </c>
    </row>
    <row r="397" spans="1:30" x14ac:dyDescent="0.15">
      <c r="A397" s="5" t="s">
        <v>7</v>
      </c>
      <c r="B397" s="9"/>
      <c r="C397" s="35"/>
      <c r="D397" s="9"/>
      <c r="E397" s="6">
        <f t="shared" ref="E397:E401" si="529">SUM(B397:D397)</f>
        <v>0</v>
      </c>
      <c r="F397" s="9"/>
      <c r="G397" s="35"/>
      <c r="H397" s="9"/>
      <c r="I397" s="6">
        <f t="shared" ref="I397:I401" si="530">SUM(F397:H397)</f>
        <v>0</v>
      </c>
      <c r="J397" s="9"/>
      <c r="K397" s="35"/>
      <c r="L397" s="9"/>
      <c r="M397" s="6">
        <f t="shared" ref="M397:M401" si="531">SUM(J397:L397)</f>
        <v>0</v>
      </c>
      <c r="N397" s="7">
        <f t="shared" ref="N397:N401" si="532">E397+I397+M397</f>
        <v>0</v>
      </c>
      <c r="P397" s="39" t="s">
        <v>7</v>
      </c>
      <c r="Q397" s="56"/>
      <c r="R397" s="57"/>
      <c r="S397" s="56"/>
      <c r="T397" s="6">
        <f t="shared" si="525"/>
        <v>0</v>
      </c>
      <c r="U397" s="56"/>
      <c r="V397" s="57"/>
      <c r="W397" s="56"/>
      <c r="X397" s="6">
        <f t="shared" si="526"/>
        <v>0</v>
      </c>
      <c r="Y397" s="56"/>
      <c r="Z397" s="57"/>
      <c r="AA397" s="56"/>
      <c r="AB397" s="6">
        <f t="shared" si="527"/>
        <v>0</v>
      </c>
      <c r="AC397" s="7">
        <f t="shared" si="528"/>
        <v>0</v>
      </c>
    </row>
    <row r="398" spans="1:30" x14ac:dyDescent="0.15">
      <c r="A398" s="5" t="s">
        <v>7</v>
      </c>
      <c r="B398" s="9"/>
      <c r="C398" s="35"/>
      <c r="D398" s="9"/>
      <c r="E398" s="6">
        <f t="shared" si="529"/>
        <v>0</v>
      </c>
      <c r="F398" s="9"/>
      <c r="G398" s="35"/>
      <c r="H398" s="9"/>
      <c r="I398" s="6">
        <f t="shared" si="530"/>
        <v>0</v>
      </c>
      <c r="J398" s="9"/>
      <c r="K398" s="35"/>
      <c r="L398" s="9"/>
      <c r="M398" s="6">
        <f t="shared" si="531"/>
        <v>0</v>
      </c>
      <c r="N398" s="7">
        <f t="shared" si="532"/>
        <v>0</v>
      </c>
      <c r="P398" s="39" t="s">
        <v>7</v>
      </c>
      <c r="Q398" s="56"/>
      <c r="R398" s="57"/>
      <c r="S398" s="56"/>
      <c r="T398" s="6">
        <f t="shared" si="525"/>
        <v>0</v>
      </c>
      <c r="U398" s="56"/>
      <c r="V398" s="57"/>
      <c r="W398" s="56"/>
      <c r="X398" s="6">
        <f t="shared" si="526"/>
        <v>0</v>
      </c>
      <c r="Y398" s="56"/>
      <c r="Z398" s="57"/>
      <c r="AA398" s="56"/>
      <c r="AB398" s="6">
        <f t="shared" si="527"/>
        <v>0</v>
      </c>
      <c r="AC398" s="7">
        <f t="shared" si="528"/>
        <v>0</v>
      </c>
    </row>
    <row r="399" spans="1:30" x14ac:dyDescent="0.15">
      <c r="A399" s="5" t="s">
        <v>7</v>
      </c>
      <c r="B399" s="9"/>
      <c r="C399" s="35"/>
      <c r="D399" s="9"/>
      <c r="E399" s="6">
        <f t="shared" si="529"/>
        <v>0</v>
      </c>
      <c r="F399" s="9"/>
      <c r="G399" s="35"/>
      <c r="H399" s="9"/>
      <c r="I399" s="6">
        <f t="shared" si="530"/>
        <v>0</v>
      </c>
      <c r="J399" s="9"/>
      <c r="K399" s="35"/>
      <c r="L399" s="9"/>
      <c r="M399" s="6">
        <f t="shared" si="531"/>
        <v>0</v>
      </c>
      <c r="N399" s="7">
        <f t="shared" si="532"/>
        <v>0</v>
      </c>
      <c r="P399" s="39" t="s">
        <v>7</v>
      </c>
      <c r="Q399" s="56"/>
      <c r="R399" s="57"/>
      <c r="S399" s="56"/>
      <c r="T399" s="6">
        <f t="shared" si="525"/>
        <v>0</v>
      </c>
      <c r="U399" s="56"/>
      <c r="V399" s="57"/>
      <c r="W399" s="56"/>
      <c r="X399" s="6">
        <f t="shared" si="526"/>
        <v>0</v>
      </c>
      <c r="Y399" s="56"/>
      <c r="Z399" s="57"/>
      <c r="AA399" s="56"/>
      <c r="AB399" s="6">
        <f t="shared" si="527"/>
        <v>0</v>
      </c>
      <c r="AC399" s="7">
        <f t="shared" si="528"/>
        <v>0</v>
      </c>
    </row>
    <row r="400" spans="1:30" x14ac:dyDescent="0.15">
      <c r="A400" s="5" t="s">
        <v>7</v>
      </c>
      <c r="B400" s="9"/>
      <c r="C400" s="35"/>
      <c r="D400" s="9"/>
      <c r="E400" s="6">
        <f t="shared" si="529"/>
        <v>0</v>
      </c>
      <c r="F400" s="9"/>
      <c r="G400" s="35"/>
      <c r="H400" s="9"/>
      <c r="I400" s="6">
        <f t="shared" si="530"/>
        <v>0</v>
      </c>
      <c r="J400" s="9"/>
      <c r="K400" s="35"/>
      <c r="L400" s="9"/>
      <c r="M400" s="6">
        <f t="shared" si="531"/>
        <v>0</v>
      </c>
      <c r="N400" s="7">
        <f t="shared" si="532"/>
        <v>0</v>
      </c>
      <c r="P400" s="5" t="s">
        <v>7</v>
      </c>
      <c r="Q400" s="58"/>
      <c r="R400" s="59"/>
      <c r="S400" s="58"/>
      <c r="T400" s="6">
        <f t="shared" si="525"/>
        <v>0</v>
      </c>
      <c r="U400" s="58"/>
      <c r="V400" s="59"/>
      <c r="W400" s="58"/>
      <c r="X400" s="6">
        <f t="shared" si="526"/>
        <v>0</v>
      </c>
      <c r="Y400" s="58"/>
      <c r="Z400" s="59"/>
      <c r="AA400" s="58"/>
      <c r="AB400" s="6">
        <f t="shared" si="527"/>
        <v>0</v>
      </c>
      <c r="AC400" s="7">
        <f t="shared" si="528"/>
        <v>0</v>
      </c>
    </row>
    <row r="401" spans="1:31" ht="14.25" thickBot="1" x14ac:dyDescent="0.2">
      <c r="A401" s="10" t="s">
        <v>7</v>
      </c>
      <c r="B401" s="11"/>
      <c r="C401" s="36"/>
      <c r="D401" s="11"/>
      <c r="E401" s="6">
        <f t="shared" si="529"/>
        <v>0</v>
      </c>
      <c r="F401" s="11"/>
      <c r="G401" s="36"/>
      <c r="H401" s="11"/>
      <c r="I401" s="6">
        <f t="shared" si="530"/>
        <v>0</v>
      </c>
      <c r="J401" s="11"/>
      <c r="K401" s="36"/>
      <c r="L401" s="11"/>
      <c r="M401" s="6">
        <f t="shared" si="531"/>
        <v>0</v>
      </c>
      <c r="N401" s="7">
        <f t="shared" si="532"/>
        <v>0</v>
      </c>
      <c r="P401" s="5" t="s">
        <v>7</v>
      </c>
      <c r="Q401" s="58"/>
      <c r="R401" s="59"/>
      <c r="S401" s="58"/>
      <c r="T401" s="6">
        <f t="shared" si="525"/>
        <v>0</v>
      </c>
      <c r="U401" s="58"/>
      <c r="V401" s="59"/>
      <c r="W401" s="58"/>
      <c r="X401" s="6">
        <f t="shared" si="526"/>
        <v>0</v>
      </c>
      <c r="Y401" s="58"/>
      <c r="Z401" s="59"/>
      <c r="AA401" s="58"/>
      <c r="AB401" s="6">
        <f t="shared" si="527"/>
        <v>0</v>
      </c>
      <c r="AC401" s="7">
        <f t="shared" si="528"/>
        <v>0</v>
      </c>
    </row>
    <row r="402" spans="1:31" ht="14.25" thickBot="1" x14ac:dyDescent="0.2">
      <c r="A402" s="12" t="s">
        <v>8</v>
      </c>
      <c r="B402" s="13">
        <f>SUM(B391:B401)</f>
        <v>14</v>
      </c>
      <c r="C402" s="37">
        <f t="shared" ref="C402:N402" si="533">SUM(C391:C401)</f>
        <v>19</v>
      </c>
      <c r="D402" s="31">
        <f t="shared" si="533"/>
        <v>16</v>
      </c>
      <c r="E402" s="14">
        <f t="shared" si="533"/>
        <v>49</v>
      </c>
      <c r="F402" s="13">
        <f t="shared" si="533"/>
        <v>15</v>
      </c>
      <c r="G402" s="37">
        <f t="shared" si="533"/>
        <v>18</v>
      </c>
      <c r="H402" s="31">
        <f t="shared" si="533"/>
        <v>18</v>
      </c>
      <c r="I402" s="14">
        <f t="shared" si="533"/>
        <v>51</v>
      </c>
      <c r="J402" s="13">
        <f t="shared" si="533"/>
        <v>17</v>
      </c>
      <c r="K402" s="37">
        <f t="shared" si="533"/>
        <v>19</v>
      </c>
      <c r="L402" s="31">
        <f t="shared" si="533"/>
        <v>17</v>
      </c>
      <c r="M402" s="14">
        <f t="shared" si="533"/>
        <v>53</v>
      </c>
      <c r="N402" s="15">
        <f t="shared" si="533"/>
        <v>153</v>
      </c>
      <c r="P402" s="12" t="s">
        <v>8</v>
      </c>
      <c r="Q402" s="13">
        <f>SUM(Q391:Q401)</f>
        <v>585</v>
      </c>
      <c r="R402" s="37">
        <f t="shared" ref="R402:AC402" si="534">SUM(R391:R401)</f>
        <v>551</v>
      </c>
      <c r="S402" s="31">
        <f t="shared" si="534"/>
        <v>434</v>
      </c>
      <c r="T402" s="14">
        <f t="shared" si="534"/>
        <v>1570</v>
      </c>
      <c r="U402" s="13">
        <f t="shared" si="534"/>
        <v>572</v>
      </c>
      <c r="V402" s="37">
        <f t="shared" si="534"/>
        <v>549</v>
      </c>
      <c r="W402" s="31">
        <f t="shared" si="534"/>
        <v>441</v>
      </c>
      <c r="X402" s="14">
        <f t="shared" si="534"/>
        <v>1562</v>
      </c>
      <c r="Y402" s="13">
        <f t="shared" si="534"/>
        <v>553</v>
      </c>
      <c r="Z402" s="37">
        <f t="shared" si="534"/>
        <v>513</v>
      </c>
      <c r="AA402" s="31">
        <f t="shared" si="534"/>
        <v>425</v>
      </c>
      <c r="AB402" s="14">
        <f t="shared" si="534"/>
        <v>1491</v>
      </c>
      <c r="AC402" s="15">
        <f t="shared" si="534"/>
        <v>4623</v>
      </c>
    </row>
    <row r="403" spans="1:31" x14ac:dyDescent="0.15">
      <c r="A403" s="47" t="s">
        <v>230</v>
      </c>
      <c r="B403" s="16">
        <v>1</v>
      </c>
      <c r="C403" s="35"/>
      <c r="D403" s="9"/>
      <c r="E403" s="6">
        <f t="shared" ref="E403:E421" si="535">SUM(B403:D403)</f>
        <v>1</v>
      </c>
      <c r="F403" s="16">
        <v>1</v>
      </c>
      <c r="G403" s="35"/>
      <c r="H403" s="9"/>
      <c r="I403" s="6">
        <f t="shared" ref="I403:I421" si="536">SUM(F403:H403)</f>
        <v>1</v>
      </c>
      <c r="J403" s="16">
        <v>1</v>
      </c>
      <c r="K403" s="35"/>
      <c r="L403" s="9"/>
      <c r="M403" s="6">
        <f t="shared" ref="M403:M421" si="537">SUM(J403:L403)</f>
        <v>1</v>
      </c>
      <c r="N403" s="7">
        <f t="shared" ref="N403:N421" si="538">E403+I403+M403</f>
        <v>3</v>
      </c>
      <c r="O403" s="70">
        <v>46087</v>
      </c>
      <c r="P403" s="47"/>
      <c r="Q403" s="16"/>
      <c r="R403" s="35"/>
      <c r="S403" s="9"/>
      <c r="T403" s="6">
        <f t="shared" ref="T403:T405" si="539">SUM(Q403:S403)</f>
        <v>0</v>
      </c>
      <c r="U403" s="16"/>
      <c r="V403" s="35"/>
      <c r="W403" s="9"/>
      <c r="X403" s="6">
        <f t="shared" ref="X403:X405" si="540">SUM(U403:W403)</f>
        <v>0</v>
      </c>
      <c r="Y403" s="16"/>
      <c r="Z403" s="35"/>
      <c r="AA403" s="9"/>
      <c r="AB403" s="6">
        <f t="shared" ref="AB403:AB405" si="541">SUM(Y403:AA403)</f>
        <v>0</v>
      </c>
      <c r="AC403" s="7">
        <f t="shared" ref="AC403:AC405" si="542">T403+X403+AB403</f>
        <v>0</v>
      </c>
      <c r="AD403" s="23"/>
      <c r="AE403" s="8"/>
    </row>
    <row r="404" spans="1:31" x14ac:dyDescent="0.15">
      <c r="A404" s="47" t="s">
        <v>56</v>
      </c>
      <c r="B404" s="16"/>
      <c r="C404" s="35">
        <v>1</v>
      </c>
      <c r="D404" s="9"/>
      <c r="E404" s="6">
        <f t="shared" si="535"/>
        <v>1</v>
      </c>
      <c r="F404" s="16"/>
      <c r="G404" s="35">
        <v>1</v>
      </c>
      <c r="H404" s="9"/>
      <c r="I404" s="6">
        <f t="shared" si="536"/>
        <v>1</v>
      </c>
      <c r="J404" s="16"/>
      <c r="K404" s="35">
        <v>1</v>
      </c>
      <c r="L404" s="9"/>
      <c r="M404" s="6">
        <f t="shared" si="537"/>
        <v>1</v>
      </c>
      <c r="N404" s="7">
        <f t="shared" si="538"/>
        <v>3</v>
      </c>
      <c r="O404" s="70">
        <v>46090</v>
      </c>
      <c r="P404" s="47"/>
      <c r="Q404" s="16"/>
      <c r="R404" s="35"/>
      <c r="S404" s="9"/>
      <c r="T404" s="6">
        <f t="shared" si="539"/>
        <v>0</v>
      </c>
      <c r="U404" s="16"/>
      <c r="V404" s="35"/>
      <c r="W404" s="9"/>
      <c r="X404" s="6">
        <f t="shared" si="540"/>
        <v>0</v>
      </c>
      <c r="Y404" s="16"/>
      <c r="Z404" s="35"/>
      <c r="AA404" s="9"/>
      <c r="AB404" s="6">
        <f t="shared" si="541"/>
        <v>0</v>
      </c>
      <c r="AC404" s="7">
        <f t="shared" si="542"/>
        <v>0</v>
      </c>
      <c r="AD404" s="23"/>
      <c r="AE404" s="8"/>
    </row>
    <row r="405" spans="1:31" x14ac:dyDescent="0.15">
      <c r="A405" s="47" t="s">
        <v>205</v>
      </c>
      <c r="B405" s="16"/>
      <c r="C405" s="35"/>
      <c r="D405" s="9">
        <v>1</v>
      </c>
      <c r="E405" s="6">
        <f t="shared" si="535"/>
        <v>1</v>
      </c>
      <c r="F405" s="16"/>
      <c r="G405" s="35"/>
      <c r="H405" s="9">
        <v>1</v>
      </c>
      <c r="I405" s="6">
        <f t="shared" si="536"/>
        <v>1</v>
      </c>
      <c r="J405" s="16"/>
      <c r="K405" s="35"/>
      <c r="L405" s="9">
        <v>1</v>
      </c>
      <c r="M405" s="6">
        <f t="shared" si="537"/>
        <v>1</v>
      </c>
      <c r="N405" s="7">
        <f t="shared" si="538"/>
        <v>3</v>
      </c>
      <c r="O405" s="30">
        <v>46106</v>
      </c>
      <c r="P405" s="47"/>
      <c r="Q405" s="16"/>
      <c r="R405" s="35"/>
      <c r="S405" s="9"/>
      <c r="T405" s="6">
        <f t="shared" si="539"/>
        <v>0</v>
      </c>
      <c r="U405" s="16"/>
      <c r="V405" s="35"/>
      <c r="W405" s="9"/>
      <c r="X405" s="6">
        <f t="shared" si="540"/>
        <v>0</v>
      </c>
      <c r="Y405" s="16"/>
      <c r="Z405" s="35"/>
      <c r="AA405" s="9"/>
      <c r="AB405" s="6">
        <f t="shared" si="541"/>
        <v>0</v>
      </c>
      <c r="AC405" s="7">
        <f t="shared" si="542"/>
        <v>0</v>
      </c>
      <c r="AD405" s="23"/>
      <c r="AE405" s="8"/>
    </row>
    <row r="406" spans="1:31" x14ac:dyDescent="0.15">
      <c r="A406" s="47" t="s">
        <v>56</v>
      </c>
      <c r="B406" s="16"/>
      <c r="C406" s="35">
        <v>1</v>
      </c>
      <c r="D406" s="9"/>
      <c r="E406" s="6">
        <f t="shared" si="535"/>
        <v>1</v>
      </c>
      <c r="F406" s="16"/>
      <c r="G406" s="35"/>
      <c r="H406" s="9"/>
      <c r="I406" s="6">
        <f t="shared" si="536"/>
        <v>0</v>
      </c>
      <c r="J406" s="16"/>
      <c r="K406" s="35"/>
      <c r="L406" s="9"/>
      <c r="M406" s="6">
        <f t="shared" si="537"/>
        <v>0</v>
      </c>
      <c r="N406" s="7">
        <f t="shared" si="538"/>
        <v>1</v>
      </c>
      <c r="O406" s="70">
        <v>46105</v>
      </c>
      <c r="P406" s="47"/>
      <c r="Q406" s="16"/>
      <c r="R406" s="35"/>
      <c r="S406" s="9"/>
      <c r="T406" s="6">
        <f t="shared" ref="T406:T423" si="543">SUM(Q406:S406)</f>
        <v>0</v>
      </c>
      <c r="U406" s="16"/>
      <c r="V406" s="35"/>
      <c r="W406" s="9"/>
      <c r="X406" s="6">
        <f t="shared" ref="X406:X423" si="544">SUM(U406:W406)</f>
        <v>0</v>
      </c>
      <c r="Y406" s="16"/>
      <c r="Z406" s="35"/>
      <c r="AA406" s="9"/>
      <c r="AB406" s="6">
        <f t="shared" ref="AB406:AB423" si="545">SUM(Y406:AA406)</f>
        <v>0</v>
      </c>
      <c r="AC406" s="7">
        <f t="shared" ref="AC406:AC423" si="546">T406+X406+AB406</f>
        <v>0</v>
      </c>
      <c r="AD406" s="23"/>
      <c r="AE406" s="8"/>
    </row>
    <row r="407" spans="1:31" x14ac:dyDescent="0.15">
      <c r="A407" s="47" t="s">
        <v>56</v>
      </c>
      <c r="B407" s="16"/>
      <c r="C407" s="35"/>
      <c r="D407" s="9"/>
      <c r="E407" s="6">
        <f t="shared" si="535"/>
        <v>0</v>
      </c>
      <c r="F407" s="16"/>
      <c r="G407" s="35"/>
      <c r="H407" s="9"/>
      <c r="I407" s="6">
        <f t="shared" si="536"/>
        <v>0</v>
      </c>
      <c r="J407" s="16">
        <v>1</v>
      </c>
      <c r="K407" s="35"/>
      <c r="L407" s="9"/>
      <c r="M407" s="6">
        <f t="shared" si="537"/>
        <v>1</v>
      </c>
      <c r="N407" s="7">
        <f t="shared" si="538"/>
        <v>1</v>
      </c>
      <c r="O407" s="70">
        <v>46112</v>
      </c>
      <c r="P407" s="47"/>
      <c r="Q407" s="16"/>
      <c r="R407" s="35"/>
      <c r="S407" s="9"/>
      <c r="T407" s="6">
        <f t="shared" si="543"/>
        <v>0</v>
      </c>
      <c r="U407" s="16"/>
      <c r="V407" s="35"/>
      <c r="W407" s="9"/>
      <c r="X407" s="6">
        <f t="shared" si="544"/>
        <v>0</v>
      </c>
      <c r="Y407" s="16"/>
      <c r="Z407" s="35"/>
      <c r="AA407" s="9"/>
      <c r="AB407" s="6">
        <f t="shared" si="545"/>
        <v>0</v>
      </c>
      <c r="AC407" s="7">
        <f t="shared" si="546"/>
        <v>0</v>
      </c>
      <c r="AD407" s="23"/>
      <c r="AE407" s="8"/>
    </row>
    <row r="408" spans="1:31" x14ac:dyDescent="0.15">
      <c r="A408" s="47" t="s">
        <v>232</v>
      </c>
      <c r="B408" s="16">
        <v>1</v>
      </c>
      <c r="C408" s="35"/>
      <c r="D408" s="9"/>
      <c r="E408" s="6">
        <f t="shared" si="535"/>
        <v>1</v>
      </c>
      <c r="F408" s="16">
        <v>1</v>
      </c>
      <c r="G408" s="35"/>
      <c r="H408" s="9"/>
      <c r="I408" s="6">
        <f t="shared" si="536"/>
        <v>1</v>
      </c>
      <c r="J408" s="16">
        <v>1</v>
      </c>
      <c r="K408" s="35"/>
      <c r="L408" s="9"/>
      <c r="M408" s="6">
        <f t="shared" si="537"/>
        <v>1</v>
      </c>
      <c r="N408" s="7">
        <f t="shared" si="538"/>
        <v>3</v>
      </c>
      <c r="O408" s="70">
        <v>46115</v>
      </c>
      <c r="P408" s="47"/>
      <c r="Q408" s="16"/>
      <c r="R408" s="35"/>
      <c r="S408" s="9"/>
      <c r="T408" s="6">
        <f t="shared" si="543"/>
        <v>0</v>
      </c>
      <c r="U408" s="16"/>
      <c r="V408" s="35"/>
      <c r="W408" s="9"/>
      <c r="X408" s="6">
        <f t="shared" si="544"/>
        <v>0</v>
      </c>
      <c r="Y408" s="16"/>
      <c r="Z408" s="35"/>
      <c r="AA408" s="9"/>
      <c r="AB408" s="6">
        <f t="shared" si="545"/>
        <v>0</v>
      </c>
      <c r="AC408" s="7">
        <f t="shared" si="546"/>
        <v>0</v>
      </c>
      <c r="AD408" s="23"/>
      <c r="AE408" s="8"/>
    </row>
    <row r="409" spans="1:31" x14ac:dyDescent="0.15">
      <c r="A409" s="47" t="s">
        <v>233</v>
      </c>
      <c r="B409" s="16">
        <v>8</v>
      </c>
      <c r="C409" s="35">
        <v>10</v>
      </c>
      <c r="D409" s="9">
        <v>8</v>
      </c>
      <c r="E409" s="6">
        <f t="shared" si="535"/>
        <v>26</v>
      </c>
      <c r="F409" s="16">
        <v>8</v>
      </c>
      <c r="G409" s="35">
        <v>10</v>
      </c>
      <c r="H409" s="9">
        <v>8</v>
      </c>
      <c r="I409" s="6">
        <f t="shared" si="536"/>
        <v>26</v>
      </c>
      <c r="J409" s="16">
        <v>8</v>
      </c>
      <c r="K409" s="35">
        <v>10</v>
      </c>
      <c r="L409" s="9">
        <v>8</v>
      </c>
      <c r="M409" s="6">
        <f t="shared" si="537"/>
        <v>26</v>
      </c>
      <c r="N409" s="7">
        <f t="shared" si="538"/>
        <v>78</v>
      </c>
      <c r="O409" s="70">
        <v>46116</v>
      </c>
      <c r="P409" s="47"/>
      <c r="Q409" s="16"/>
      <c r="R409" s="35"/>
      <c r="S409" s="9"/>
      <c r="T409" s="6">
        <f t="shared" si="543"/>
        <v>0</v>
      </c>
      <c r="U409" s="16"/>
      <c r="V409" s="35"/>
      <c r="W409" s="9"/>
      <c r="X409" s="6">
        <f t="shared" si="544"/>
        <v>0</v>
      </c>
      <c r="Y409" s="16"/>
      <c r="Z409" s="35"/>
      <c r="AA409" s="9"/>
      <c r="AB409" s="6">
        <f t="shared" si="545"/>
        <v>0</v>
      </c>
      <c r="AC409" s="7">
        <f t="shared" si="546"/>
        <v>0</v>
      </c>
      <c r="AD409" s="23"/>
      <c r="AE409" s="8"/>
    </row>
    <row r="410" spans="1:31" x14ac:dyDescent="0.15">
      <c r="A410" s="47" t="s">
        <v>56</v>
      </c>
      <c r="B410" s="16"/>
      <c r="C410" s="35"/>
      <c r="D410" s="9"/>
      <c r="E410" s="6">
        <f t="shared" si="535"/>
        <v>0</v>
      </c>
      <c r="F410" s="16"/>
      <c r="G410" s="35"/>
      <c r="H410" s="9"/>
      <c r="I410" s="6">
        <f t="shared" si="536"/>
        <v>0</v>
      </c>
      <c r="J410" s="16"/>
      <c r="K410" s="35"/>
      <c r="L410" s="9">
        <v>1</v>
      </c>
      <c r="M410" s="6">
        <f t="shared" si="537"/>
        <v>1</v>
      </c>
      <c r="N410" s="7">
        <f t="shared" si="538"/>
        <v>1</v>
      </c>
      <c r="O410" s="70">
        <v>46118</v>
      </c>
      <c r="P410" s="47"/>
      <c r="Q410" s="16"/>
      <c r="R410" s="35"/>
      <c r="S410" s="9"/>
      <c r="T410" s="6">
        <f t="shared" si="543"/>
        <v>0</v>
      </c>
      <c r="U410" s="16"/>
      <c r="V410" s="35"/>
      <c r="W410" s="9"/>
      <c r="X410" s="6">
        <f t="shared" si="544"/>
        <v>0</v>
      </c>
      <c r="Y410" s="16"/>
      <c r="Z410" s="35"/>
      <c r="AA410" s="9"/>
      <c r="AB410" s="6">
        <f t="shared" si="545"/>
        <v>0</v>
      </c>
      <c r="AC410" s="7">
        <f t="shared" si="546"/>
        <v>0</v>
      </c>
      <c r="AD410" s="23"/>
      <c r="AE410" s="8"/>
    </row>
    <row r="411" spans="1:31" x14ac:dyDescent="0.15">
      <c r="A411" s="47" t="s">
        <v>56</v>
      </c>
      <c r="B411" s="16"/>
      <c r="C411" s="35"/>
      <c r="D411" s="9"/>
      <c r="E411" s="6">
        <f t="shared" si="535"/>
        <v>0</v>
      </c>
      <c r="F411" s="16"/>
      <c r="G411" s="35"/>
      <c r="H411" s="9"/>
      <c r="I411" s="6">
        <f t="shared" si="536"/>
        <v>0</v>
      </c>
      <c r="J411" s="16"/>
      <c r="K411" s="35">
        <v>1</v>
      </c>
      <c r="L411" s="9"/>
      <c r="M411" s="6">
        <f t="shared" si="537"/>
        <v>1</v>
      </c>
      <c r="N411" s="7">
        <f t="shared" si="538"/>
        <v>1</v>
      </c>
      <c r="O411" s="70">
        <v>46126</v>
      </c>
      <c r="P411" s="47"/>
      <c r="Q411" s="16"/>
      <c r="R411" s="35"/>
      <c r="S411" s="9"/>
      <c r="T411" s="6">
        <f t="shared" si="543"/>
        <v>0</v>
      </c>
      <c r="U411" s="16"/>
      <c r="V411" s="35"/>
      <c r="W411" s="9"/>
      <c r="X411" s="6">
        <f t="shared" si="544"/>
        <v>0</v>
      </c>
      <c r="Y411" s="16"/>
      <c r="Z411" s="35"/>
      <c r="AA411" s="9"/>
      <c r="AB411" s="6">
        <f t="shared" si="545"/>
        <v>0</v>
      </c>
      <c r="AC411" s="7">
        <f t="shared" si="546"/>
        <v>0</v>
      </c>
      <c r="AD411" s="23"/>
      <c r="AE411" s="8"/>
    </row>
    <row r="412" spans="1:31" x14ac:dyDescent="0.15">
      <c r="A412" s="47" t="s">
        <v>235</v>
      </c>
      <c r="B412" s="16">
        <v>1</v>
      </c>
      <c r="C412" s="35"/>
      <c r="D412" s="9"/>
      <c r="E412" s="6">
        <f t="shared" si="535"/>
        <v>1</v>
      </c>
      <c r="F412" s="16">
        <v>1</v>
      </c>
      <c r="G412" s="35"/>
      <c r="H412" s="9"/>
      <c r="I412" s="6">
        <f t="shared" si="536"/>
        <v>1</v>
      </c>
      <c r="J412" s="16">
        <v>1</v>
      </c>
      <c r="K412" s="35"/>
      <c r="L412" s="9"/>
      <c r="M412" s="6">
        <f t="shared" si="537"/>
        <v>1</v>
      </c>
      <c r="N412" s="7">
        <f t="shared" si="538"/>
        <v>3</v>
      </c>
      <c r="O412" s="70">
        <v>46128</v>
      </c>
      <c r="P412" s="47"/>
      <c r="Q412" s="16"/>
      <c r="R412" s="35"/>
      <c r="S412" s="9"/>
      <c r="T412" s="6">
        <f t="shared" si="543"/>
        <v>0</v>
      </c>
      <c r="U412" s="16"/>
      <c r="V412" s="35"/>
      <c r="W412" s="9"/>
      <c r="X412" s="6">
        <f t="shared" si="544"/>
        <v>0</v>
      </c>
      <c r="Y412" s="16"/>
      <c r="Z412" s="35"/>
      <c r="AA412" s="9"/>
      <c r="AB412" s="6">
        <f t="shared" si="545"/>
        <v>0</v>
      </c>
      <c r="AC412" s="7">
        <f t="shared" si="546"/>
        <v>0</v>
      </c>
      <c r="AD412" s="23"/>
      <c r="AE412" s="8"/>
    </row>
    <row r="413" spans="1:31" x14ac:dyDescent="0.15">
      <c r="A413" s="47" t="s">
        <v>238</v>
      </c>
      <c r="B413" s="16"/>
      <c r="C413" s="35">
        <v>1</v>
      </c>
      <c r="D413" s="9"/>
      <c r="E413" s="6">
        <f t="shared" si="535"/>
        <v>1</v>
      </c>
      <c r="F413" s="16"/>
      <c r="G413" s="35">
        <v>1</v>
      </c>
      <c r="H413" s="9"/>
      <c r="I413" s="6">
        <f t="shared" si="536"/>
        <v>1</v>
      </c>
      <c r="J413" s="16"/>
      <c r="K413" s="35"/>
      <c r="L413" s="9"/>
      <c r="M413" s="6">
        <f t="shared" si="537"/>
        <v>0</v>
      </c>
      <c r="N413" s="7">
        <f t="shared" si="538"/>
        <v>2</v>
      </c>
      <c r="O413" s="30">
        <v>46149</v>
      </c>
      <c r="P413" s="47"/>
      <c r="Q413" s="16"/>
      <c r="R413" s="35"/>
      <c r="S413" s="9"/>
      <c r="T413" s="6">
        <f t="shared" si="543"/>
        <v>0</v>
      </c>
      <c r="U413" s="16"/>
      <c r="V413" s="35"/>
      <c r="W413" s="9"/>
      <c r="X413" s="6">
        <f t="shared" si="544"/>
        <v>0</v>
      </c>
      <c r="Y413" s="16"/>
      <c r="Z413" s="35"/>
      <c r="AA413" s="9"/>
      <c r="AB413" s="6">
        <f t="shared" si="545"/>
        <v>0</v>
      </c>
      <c r="AC413" s="7">
        <f t="shared" si="546"/>
        <v>0</v>
      </c>
      <c r="AD413" s="23"/>
      <c r="AE413" s="8"/>
    </row>
    <row r="414" spans="1:31" x14ac:dyDescent="0.15">
      <c r="A414" s="47" t="s">
        <v>199</v>
      </c>
      <c r="B414" s="16"/>
      <c r="C414" s="35">
        <v>1</v>
      </c>
      <c r="D414" s="9"/>
      <c r="E414" s="6">
        <f t="shared" si="535"/>
        <v>1</v>
      </c>
      <c r="F414" s="16"/>
      <c r="G414" s="35">
        <v>1</v>
      </c>
      <c r="H414" s="9"/>
      <c r="I414" s="6">
        <f t="shared" si="536"/>
        <v>1</v>
      </c>
      <c r="J414" s="16"/>
      <c r="K414" s="35">
        <v>1</v>
      </c>
      <c r="L414" s="9"/>
      <c r="M414" s="6">
        <f t="shared" si="537"/>
        <v>1</v>
      </c>
      <c r="N414" s="7">
        <f t="shared" si="538"/>
        <v>3</v>
      </c>
      <c r="O414" s="70">
        <v>46185</v>
      </c>
      <c r="P414" s="47"/>
      <c r="Q414" s="16"/>
      <c r="R414" s="35"/>
      <c r="S414" s="9"/>
      <c r="T414" s="6">
        <f t="shared" si="543"/>
        <v>0</v>
      </c>
      <c r="U414" s="16"/>
      <c r="V414" s="35"/>
      <c r="W414" s="9"/>
      <c r="X414" s="6">
        <f t="shared" si="544"/>
        <v>0</v>
      </c>
      <c r="Y414" s="16"/>
      <c r="Z414" s="35"/>
      <c r="AA414" s="9"/>
      <c r="AB414" s="6">
        <f t="shared" si="545"/>
        <v>0</v>
      </c>
      <c r="AC414" s="7">
        <f t="shared" si="546"/>
        <v>0</v>
      </c>
      <c r="AD414" s="23"/>
      <c r="AE414" s="8"/>
    </row>
    <row r="415" spans="1:31" x14ac:dyDescent="0.15">
      <c r="A415" s="47"/>
      <c r="B415" s="16"/>
      <c r="C415" s="35"/>
      <c r="D415" s="9"/>
      <c r="E415" s="6">
        <f t="shared" si="535"/>
        <v>0</v>
      </c>
      <c r="F415" s="16"/>
      <c r="G415" s="35"/>
      <c r="H415" s="9"/>
      <c r="I415" s="6">
        <f t="shared" si="536"/>
        <v>0</v>
      </c>
      <c r="J415" s="16"/>
      <c r="K415" s="35"/>
      <c r="L415" s="9"/>
      <c r="M415" s="6">
        <f t="shared" si="537"/>
        <v>0</v>
      </c>
      <c r="N415" s="7">
        <f t="shared" si="538"/>
        <v>0</v>
      </c>
      <c r="P415" s="48"/>
      <c r="Q415" s="16"/>
      <c r="R415" s="35"/>
      <c r="S415" s="9"/>
      <c r="T415" s="6">
        <f t="shared" si="543"/>
        <v>0</v>
      </c>
      <c r="U415" s="16"/>
      <c r="V415" s="35"/>
      <c r="W415" s="9"/>
      <c r="X415" s="6">
        <f t="shared" si="544"/>
        <v>0</v>
      </c>
      <c r="Y415" s="16"/>
      <c r="Z415" s="35"/>
      <c r="AA415" s="9"/>
      <c r="AB415" s="6">
        <f t="shared" si="545"/>
        <v>0</v>
      </c>
      <c r="AC415" s="7">
        <f t="shared" si="546"/>
        <v>0</v>
      </c>
    </row>
    <row r="416" spans="1:31" x14ac:dyDescent="0.15">
      <c r="A416" s="47"/>
      <c r="B416" s="16"/>
      <c r="C416" s="35"/>
      <c r="D416" s="9"/>
      <c r="E416" s="6">
        <f t="shared" si="535"/>
        <v>0</v>
      </c>
      <c r="F416" s="16"/>
      <c r="G416" s="35"/>
      <c r="H416" s="9"/>
      <c r="I416" s="6">
        <f t="shared" si="536"/>
        <v>0</v>
      </c>
      <c r="J416" s="16"/>
      <c r="K416" s="35"/>
      <c r="L416" s="9"/>
      <c r="M416" s="6">
        <f t="shared" si="537"/>
        <v>0</v>
      </c>
      <c r="N416" s="7">
        <f t="shared" si="538"/>
        <v>0</v>
      </c>
      <c r="P416" s="47"/>
      <c r="Q416" s="16"/>
      <c r="R416" s="35"/>
      <c r="S416" s="9"/>
      <c r="T416" s="6">
        <f t="shared" si="543"/>
        <v>0</v>
      </c>
      <c r="U416" s="16"/>
      <c r="V416" s="35"/>
      <c r="W416" s="9"/>
      <c r="X416" s="6">
        <f t="shared" si="544"/>
        <v>0</v>
      </c>
      <c r="Y416" s="16"/>
      <c r="Z416" s="35"/>
      <c r="AA416" s="9"/>
      <c r="AB416" s="6">
        <f t="shared" si="545"/>
        <v>0</v>
      </c>
      <c r="AC416" s="7">
        <f t="shared" si="546"/>
        <v>0</v>
      </c>
    </row>
    <row r="417" spans="1:30" x14ac:dyDescent="0.15">
      <c r="A417" s="47"/>
      <c r="B417" s="16"/>
      <c r="C417" s="35"/>
      <c r="D417" s="9"/>
      <c r="E417" s="6">
        <f t="shared" si="535"/>
        <v>0</v>
      </c>
      <c r="F417" s="16"/>
      <c r="G417" s="35"/>
      <c r="H417" s="9"/>
      <c r="I417" s="6">
        <f t="shared" si="536"/>
        <v>0</v>
      </c>
      <c r="J417" s="16"/>
      <c r="K417" s="35"/>
      <c r="L417" s="9"/>
      <c r="M417" s="6">
        <f t="shared" si="537"/>
        <v>0</v>
      </c>
      <c r="N417" s="7">
        <f t="shared" si="538"/>
        <v>0</v>
      </c>
      <c r="P417" s="47"/>
      <c r="Q417" s="16"/>
      <c r="R417" s="35"/>
      <c r="S417" s="9"/>
      <c r="T417" s="6">
        <f t="shared" si="543"/>
        <v>0</v>
      </c>
      <c r="U417" s="16"/>
      <c r="V417" s="35"/>
      <c r="W417" s="9"/>
      <c r="X417" s="6">
        <f t="shared" si="544"/>
        <v>0</v>
      </c>
      <c r="Y417" s="16"/>
      <c r="Z417" s="35"/>
      <c r="AA417" s="9"/>
      <c r="AB417" s="6">
        <f t="shared" si="545"/>
        <v>0</v>
      </c>
      <c r="AC417" s="7">
        <f t="shared" si="546"/>
        <v>0</v>
      </c>
    </row>
    <row r="418" spans="1:30" x14ac:dyDescent="0.15">
      <c r="A418" s="47"/>
      <c r="B418" s="16"/>
      <c r="C418" s="35"/>
      <c r="D418" s="9"/>
      <c r="E418" s="6">
        <f t="shared" si="535"/>
        <v>0</v>
      </c>
      <c r="F418" s="16"/>
      <c r="G418" s="35"/>
      <c r="H418" s="9"/>
      <c r="I418" s="6">
        <f t="shared" si="536"/>
        <v>0</v>
      </c>
      <c r="J418" s="16"/>
      <c r="K418" s="35"/>
      <c r="L418" s="9"/>
      <c r="M418" s="6">
        <f t="shared" si="537"/>
        <v>0</v>
      </c>
      <c r="N418" s="7">
        <f t="shared" si="538"/>
        <v>0</v>
      </c>
      <c r="P418" s="47"/>
      <c r="Q418" s="16"/>
      <c r="R418" s="35"/>
      <c r="S418" s="9"/>
      <c r="T418" s="6">
        <f t="shared" si="543"/>
        <v>0</v>
      </c>
      <c r="U418" s="16"/>
      <c r="V418" s="35"/>
      <c r="W418" s="9"/>
      <c r="X418" s="6">
        <f t="shared" si="544"/>
        <v>0</v>
      </c>
      <c r="Y418" s="16"/>
      <c r="Z418" s="35"/>
      <c r="AA418" s="9"/>
      <c r="AB418" s="6">
        <f t="shared" si="545"/>
        <v>0</v>
      </c>
      <c r="AC418" s="7">
        <f t="shared" si="546"/>
        <v>0</v>
      </c>
    </row>
    <row r="419" spans="1:30" x14ac:dyDescent="0.15">
      <c r="A419" s="47"/>
      <c r="B419" s="16"/>
      <c r="C419" s="35"/>
      <c r="D419" s="9"/>
      <c r="E419" s="6">
        <f t="shared" si="535"/>
        <v>0</v>
      </c>
      <c r="F419" s="16"/>
      <c r="G419" s="35"/>
      <c r="H419" s="9"/>
      <c r="I419" s="6">
        <f t="shared" si="536"/>
        <v>0</v>
      </c>
      <c r="J419" s="16"/>
      <c r="K419" s="35"/>
      <c r="L419" s="9"/>
      <c r="M419" s="6">
        <f t="shared" si="537"/>
        <v>0</v>
      </c>
      <c r="N419" s="7">
        <f t="shared" si="538"/>
        <v>0</v>
      </c>
      <c r="P419" s="47"/>
      <c r="Q419" s="16"/>
      <c r="R419" s="35"/>
      <c r="S419" s="9"/>
      <c r="T419" s="6">
        <f t="shared" si="543"/>
        <v>0</v>
      </c>
      <c r="U419" s="16"/>
      <c r="V419" s="35"/>
      <c r="W419" s="9"/>
      <c r="X419" s="6">
        <f t="shared" si="544"/>
        <v>0</v>
      </c>
      <c r="Y419" s="16"/>
      <c r="Z419" s="35"/>
      <c r="AA419" s="9"/>
      <c r="AB419" s="6">
        <f t="shared" si="545"/>
        <v>0</v>
      </c>
      <c r="AC419" s="7">
        <f t="shared" si="546"/>
        <v>0</v>
      </c>
    </row>
    <row r="420" spans="1:30" x14ac:dyDescent="0.15">
      <c r="A420" s="47"/>
      <c r="B420" s="16"/>
      <c r="C420" s="35"/>
      <c r="D420" s="9"/>
      <c r="E420" s="6">
        <f t="shared" si="535"/>
        <v>0</v>
      </c>
      <c r="F420" s="16"/>
      <c r="G420" s="35"/>
      <c r="H420" s="9"/>
      <c r="I420" s="6">
        <f t="shared" si="536"/>
        <v>0</v>
      </c>
      <c r="J420" s="16"/>
      <c r="K420" s="35"/>
      <c r="L420" s="9"/>
      <c r="M420" s="6">
        <f t="shared" si="537"/>
        <v>0</v>
      </c>
      <c r="N420" s="7">
        <f t="shared" si="538"/>
        <v>0</v>
      </c>
      <c r="P420" s="47"/>
      <c r="Q420" s="16"/>
      <c r="R420" s="35"/>
      <c r="S420" s="9"/>
      <c r="T420" s="6">
        <f t="shared" si="543"/>
        <v>0</v>
      </c>
      <c r="U420" s="16"/>
      <c r="V420" s="35"/>
      <c r="W420" s="9"/>
      <c r="X420" s="6">
        <f t="shared" si="544"/>
        <v>0</v>
      </c>
      <c r="Y420" s="16"/>
      <c r="Z420" s="35"/>
      <c r="AA420" s="9"/>
      <c r="AB420" s="6">
        <f t="shared" si="545"/>
        <v>0</v>
      </c>
      <c r="AC420" s="7">
        <f t="shared" si="546"/>
        <v>0</v>
      </c>
    </row>
    <row r="421" spans="1:30" x14ac:dyDescent="0.15">
      <c r="A421" s="47"/>
      <c r="B421" s="16"/>
      <c r="C421" s="35"/>
      <c r="D421" s="9"/>
      <c r="E421" s="6">
        <f t="shared" si="535"/>
        <v>0</v>
      </c>
      <c r="F421" s="16"/>
      <c r="G421" s="35"/>
      <c r="H421" s="9"/>
      <c r="I421" s="6">
        <f t="shared" si="536"/>
        <v>0</v>
      </c>
      <c r="J421" s="16"/>
      <c r="K421" s="35"/>
      <c r="L421" s="9"/>
      <c r="M421" s="6">
        <f t="shared" si="537"/>
        <v>0</v>
      </c>
      <c r="N421" s="7">
        <f t="shared" si="538"/>
        <v>0</v>
      </c>
      <c r="P421" s="47"/>
      <c r="Q421" s="16"/>
      <c r="R421" s="35"/>
      <c r="S421" s="9"/>
      <c r="T421" s="6">
        <f t="shared" si="543"/>
        <v>0</v>
      </c>
      <c r="U421" s="16"/>
      <c r="V421" s="35"/>
      <c r="W421" s="9"/>
      <c r="X421" s="6">
        <f t="shared" si="544"/>
        <v>0</v>
      </c>
      <c r="Y421" s="16"/>
      <c r="Z421" s="35"/>
      <c r="AA421" s="9"/>
      <c r="AB421" s="6">
        <f t="shared" si="545"/>
        <v>0</v>
      </c>
      <c r="AC421" s="7">
        <f t="shared" si="546"/>
        <v>0</v>
      </c>
    </row>
    <row r="422" spans="1:30" x14ac:dyDescent="0.15">
      <c r="A422" s="47"/>
      <c r="B422" s="16"/>
      <c r="C422" s="35"/>
      <c r="D422" s="9"/>
      <c r="E422" s="6">
        <f t="shared" ref="E422:E426" si="547">SUM(B422:D422)</f>
        <v>0</v>
      </c>
      <c r="F422" s="16"/>
      <c r="G422" s="35"/>
      <c r="H422" s="9"/>
      <c r="I422" s="6">
        <f t="shared" ref="I422:I426" si="548">SUM(F422:H422)</f>
        <v>0</v>
      </c>
      <c r="J422" s="16"/>
      <c r="K422" s="35"/>
      <c r="L422" s="9"/>
      <c r="M422" s="6">
        <f t="shared" ref="M422:M426" si="549">SUM(J422:L422)</f>
        <v>0</v>
      </c>
      <c r="N422" s="7">
        <f t="shared" ref="N422:N426" si="550">E422+I422+M422</f>
        <v>0</v>
      </c>
      <c r="P422" s="47"/>
      <c r="Q422" s="16"/>
      <c r="R422" s="35"/>
      <c r="S422" s="9"/>
      <c r="T422" s="6">
        <f t="shared" si="543"/>
        <v>0</v>
      </c>
      <c r="U422" s="16"/>
      <c r="V422" s="35"/>
      <c r="W422" s="9"/>
      <c r="X422" s="6">
        <f t="shared" si="544"/>
        <v>0</v>
      </c>
      <c r="Y422" s="16"/>
      <c r="Z422" s="35"/>
      <c r="AA422" s="9"/>
      <c r="AB422" s="6">
        <f t="shared" si="545"/>
        <v>0</v>
      </c>
      <c r="AC422" s="7">
        <f t="shared" si="546"/>
        <v>0</v>
      </c>
    </row>
    <row r="423" spans="1:30" x14ac:dyDescent="0.15">
      <c r="A423" s="47"/>
      <c r="B423" s="16"/>
      <c r="C423" s="35"/>
      <c r="D423" s="9"/>
      <c r="E423" s="6">
        <f t="shared" si="547"/>
        <v>0</v>
      </c>
      <c r="F423" s="16"/>
      <c r="G423" s="35"/>
      <c r="H423" s="9"/>
      <c r="I423" s="6">
        <f t="shared" si="548"/>
        <v>0</v>
      </c>
      <c r="J423" s="16"/>
      <c r="K423" s="35"/>
      <c r="L423" s="9"/>
      <c r="M423" s="6">
        <f t="shared" si="549"/>
        <v>0</v>
      </c>
      <c r="N423" s="7">
        <f t="shared" si="550"/>
        <v>0</v>
      </c>
      <c r="P423" s="47"/>
      <c r="Q423" s="16"/>
      <c r="R423" s="35"/>
      <c r="S423" s="9"/>
      <c r="T423" s="6">
        <f t="shared" si="543"/>
        <v>0</v>
      </c>
      <c r="U423" s="16"/>
      <c r="V423" s="35"/>
      <c r="W423" s="9"/>
      <c r="X423" s="6">
        <f t="shared" si="544"/>
        <v>0</v>
      </c>
      <c r="Y423" s="16"/>
      <c r="Z423" s="35"/>
      <c r="AA423" s="9"/>
      <c r="AB423" s="6">
        <f t="shared" si="545"/>
        <v>0</v>
      </c>
      <c r="AC423" s="7">
        <f t="shared" si="546"/>
        <v>0</v>
      </c>
    </row>
    <row r="424" spans="1:30" x14ac:dyDescent="0.15">
      <c r="A424" s="47"/>
      <c r="B424" s="16"/>
      <c r="C424" s="35"/>
      <c r="D424" s="9"/>
      <c r="E424" s="6">
        <f t="shared" si="547"/>
        <v>0</v>
      </c>
      <c r="F424" s="16"/>
      <c r="G424" s="35"/>
      <c r="H424" s="9"/>
      <c r="I424" s="6">
        <f t="shared" si="548"/>
        <v>0</v>
      </c>
      <c r="J424" s="16"/>
      <c r="K424" s="35"/>
      <c r="L424" s="9"/>
      <c r="M424" s="6">
        <f t="shared" si="549"/>
        <v>0</v>
      </c>
      <c r="N424" s="7">
        <f t="shared" si="550"/>
        <v>0</v>
      </c>
      <c r="P424" s="47"/>
      <c r="Q424" s="16"/>
      <c r="R424" s="35"/>
      <c r="S424" s="9"/>
      <c r="T424" s="6">
        <f t="shared" ref="T424:T426" si="551">SUM(Q424:S424)</f>
        <v>0</v>
      </c>
      <c r="U424" s="16"/>
      <c r="V424" s="35"/>
      <c r="W424" s="9"/>
      <c r="X424" s="6">
        <f t="shared" ref="X424:X426" si="552">SUM(U424:W424)</f>
        <v>0</v>
      </c>
      <c r="Y424" s="16"/>
      <c r="Z424" s="35"/>
      <c r="AA424" s="9"/>
      <c r="AB424" s="6">
        <f t="shared" ref="AB424:AB426" si="553">SUM(Y424:AA424)</f>
        <v>0</v>
      </c>
      <c r="AC424" s="7">
        <f t="shared" ref="AC424:AC426" si="554">T424+X424+AB424</f>
        <v>0</v>
      </c>
    </row>
    <row r="425" spans="1:30" x14ac:dyDescent="0.15">
      <c r="A425" s="47"/>
      <c r="B425" s="16"/>
      <c r="C425" s="35"/>
      <c r="D425" s="9"/>
      <c r="E425" s="6">
        <f t="shared" si="547"/>
        <v>0</v>
      </c>
      <c r="F425" s="16"/>
      <c r="G425" s="35"/>
      <c r="H425" s="9"/>
      <c r="I425" s="6">
        <f t="shared" si="548"/>
        <v>0</v>
      </c>
      <c r="J425" s="16"/>
      <c r="K425" s="35"/>
      <c r="L425" s="9"/>
      <c r="M425" s="6">
        <f t="shared" si="549"/>
        <v>0</v>
      </c>
      <c r="N425" s="7">
        <f t="shared" si="550"/>
        <v>0</v>
      </c>
      <c r="P425" s="47"/>
      <c r="Q425" s="16"/>
      <c r="R425" s="35"/>
      <c r="S425" s="9"/>
      <c r="T425" s="6">
        <f t="shared" si="551"/>
        <v>0</v>
      </c>
      <c r="U425" s="16"/>
      <c r="V425" s="35"/>
      <c r="W425" s="9"/>
      <c r="X425" s="6">
        <f t="shared" si="552"/>
        <v>0</v>
      </c>
      <c r="Y425" s="16"/>
      <c r="Z425" s="35"/>
      <c r="AA425" s="9"/>
      <c r="AB425" s="6">
        <f t="shared" si="553"/>
        <v>0</v>
      </c>
      <c r="AC425" s="7">
        <f t="shared" si="554"/>
        <v>0</v>
      </c>
    </row>
    <row r="426" spans="1:30" ht="14.25" thickBot="1" x14ac:dyDescent="0.2">
      <c r="A426" s="47"/>
      <c r="B426" s="16"/>
      <c r="C426" s="35"/>
      <c r="D426" s="9"/>
      <c r="E426" s="6">
        <f t="shared" si="547"/>
        <v>0</v>
      </c>
      <c r="F426" s="16"/>
      <c r="G426" s="35"/>
      <c r="H426" s="9"/>
      <c r="I426" s="6">
        <f t="shared" si="548"/>
        <v>0</v>
      </c>
      <c r="J426" s="16"/>
      <c r="K426" s="35"/>
      <c r="L426" s="9"/>
      <c r="M426" s="6">
        <f t="shared" si="549"/>
        <v>0</v>
      </c>
      <c r="N426" s="7">
        <f t="shared" si="550"/>
        <v>0</v>
      </c>
      <c r="P426" s="84" t="s">
        <v>236</v>
      </c>
      <c r="Q426" s="85"/>
      <c r="R426" s="86"/>
      <c r="S426" s="87"/>
      <c r="T426" s="88">
        <f t="shared" si="551"/>
        <v>0</v>
      </c>
      <c r="U426" s="85"/>
      <c r="V426" s="86"/>
      <c r="W426" s="87"/>
      <c r="X426" s="88">
        <f t="shared" si="552"/>
        <v>0</v>
      </c>
      <c r="Y426" s="85"/>
      <c r="Z426" s="86"/>
      <c r="AA426" s="87"/>
      <c r="AB426" s="88">
        <f t="shared" si="553"/>
        <v>0</v>
      </c>
      <c r="AC426" s="89">
        <f t="shared" si="554"/>
        <v>0</v>
      </c>
      <c r="AD426" s="90" t="s">
        <v>237</v>
      </c>
    </row>
    <row r="427" spans="1:30" ht="14.25" thickBot="1" x14ac:dyDescent="0.2">
      <c r="A427" s="3" t="s">
        <v>9</v>
      </c>
      <c r="B427" s="13">
        <f>SUM(B403:B426)</f>
        <v>11</v>
      </c>
      <c r="C427" s="37">
        <f t="shared" ref="C427:N427" si="555">SUM(C403:C426)</f>
        <v>14</v>
      </c>
      <c r="D427" s="32">
        <f t="shared" si="555"/>
        <v>9</v>
      </c>
      <c r="E427" s="17">
        <f t="shared" si="555"/>
        <v>34</v>
      </c>
      <c r="F427" s="13">
        <f t="shared" si="555"/>
        <v>11</v>
      </c>
      <c r="G427" s="37">
        <f t="shared" si="555"/>
        <v>13</v>
      </c>
      <c r="H427" s="32">
        <f t="shared" si="555"/>
        <v>9</v>
      </c>
      <c r="I427" s="17">
        <f t="shared" si="555"/>
        <v>33</v>
      </c>
      <c r="J427" s="13">
        <f t="shared" si="555"/>
        <v>12</v>
      </c>
      <c r="K427" s="37">
        <f t="shared" si="555"/>
        <v>13</v>
      </c>
      <c r="L427" s="32">
        <f t="shared" si="555"/>
        <v>10</v>
      </c>
      <c r="M427" s="17">
        <f t="shared" si="555"/>
        <v>35</v>
      </c>
      <c r="N427" s="18">
        <f t="shared" si="555"/>
        <v>102</v>
      </c>
      <c r="P427" s="3" t="s">
        <v>9</v>
      </c>
      <c r="Q427" s="13">
        <f>SUM(Q403:Q426)</f>
        <v>0</v>
      </c>
      <c r="R427" s="37">
        <f t="shared" ref="R427:AC427" si="556">SUM(R403:R426)</f>
        <v>0</v>
      </c>
      <c r="S427" s="32">
        <f t="shared" si="556"/>
        <v>0</v>
      </c>
      <c r="T427" s="17">
        <f t="shared" si="556"/>
        <v>0</v>
      </c>
      <c r="U427" s="13">
        <f t="shared" si="556"/>
        <v>0</v>
      </c>
      <c r="V427" s="37">
        <f t="shared" si="556"/>
        <v>0</v>
      </c>
      <c r="W427" s="32">
        <f t="shared" si="556"/>
        <v>0</v>
      </c>
      <c r="X427" s="17">
        <f t="shared" si="556"/>
        <v>0</v>
      </c>
      <c r="Y427" s="13">
        <f t="shared" si="556"/>
        <v>0</v>
      </c>
      <c r="Z427" s="37">
        <f t="shared" si="556"/>
        <v>0</v>
      </c>
      <c r="AA427" s="32">
        <f t="shared" si="556"/>
        <v>0</v>
      </c>
      <c r="AB427" s="17">
        <f t="shared" si="556"/>
        <v>0</v>
      </c>
      <c r="AC427" s="18">
        <f t="shared" si="556"/>
        <v>0</v>
      </c>
    </row>
    <row r="428" spans="1:30" ht="14.25" thickBot="1" x14ac:dyDescent="0.2">
      <c r="A428" s="19" t="s">
        <v>10</v>
      </c>
      <c r="B428" s="20">
        <f>B402-B427</f>
        <v>3</v>
      </c>
      <c r="C428" s="38">
        <f t="shared" ref="C428:N428" si="557">C402-C427</f>
        <v>5</v>
      </c>
      <c r="D428" s="33">
        <f t="shared" si="557"/>
        <v>7</v>
      </c>
      <c r="E428" s="20">
        <f t="shared" si="557"/>
        <v>15</v>
      </c>
      <c r="F428" s="20">
        <f t="shared" si="557"/>
        <v>4</v>
      </c>
      <c r="G428" s="38">
        <f t="shared" si="557"/>
        <v>5</v>
      </c>
      <c r="H428" s="33">
        <f t="shared" si="557"/>
        <v>9</v>
      </c>
      <c r="I428" s="20">
        <f t="shared" si="557"/>
        <v>18</v>
      </c>
      <c r="J428" s="20">
        <f t="shared" si="557"/>
        <v>5</v>
      </c>
      <c r="K428" s="38">
        <f t="shared" si="557"/>
        <v>6</v>
      </c>
      <c r="L428" s="33">
        <f t="shared" si="557"/>
        <v>7</v>
      </c>
      <c r="M428" s="20">
        <f t="shared" si="557"/>
        <v>18</v>
      </c>
      <c r="N428" s="18">
        <f t="shared" si="557"/>
        <v>51</v>
      </c>
      <c r="P428" s="19" t="s">
        <v>10</v>
      </c>
      <c r="Q428" s="20">
        <f>Q402-Q427</f>
        <v>585</v>
      </c>
      <c r="R428" s="38">
        <f t="shared" ref="R428:AC428" si="558">R402-R427</f>
        <v>551</v>
      </c>
      <c r="S428" s="33">
        <f t="shared" si="558"/>
        <v>434</v>
      </c>
      <c r="T428" s="20">
        <f t="shared" si="558"/>
        <v>1570</v>
      </c>
      <c r="U428" s="20">
        <f t="shared" si="558"/>
        <v>572</v>
      </c>
      <c r="V428" s="38">
        <f t="shared" si="558"/>
        <v>549</v>
      </c>
      <c r="W428" s="33">
        <f t="shared" si="558"/>
        <v>441</v>
      </c>
      <c r="X428" s="20">
        <f t="shared" si="558"/>
        <v>1562</v>
      </c>
      <c r="Y428" s="20">
        <f t="shared" si="558"/>
        <v>553</v>
      </c>
      <c r="Z428" s="38">
        <f t="shared" si="558"/>
        <v>513</v>
      </c>
      <c r="AA428" s="33">
        <f t="shared" si="558"/>
        <v>425</v>
      </c>
      <c r="AB428" s="20">
        <f t="shared" si="558"/>
        <v>1491</v>
      </c>
      <c r="AC428" s="18">
        <f t="shared" si="558"/>
        <v>4623</v>
      </c>
      <c r="AD428" s="83" t="s">
        <v>229</v>
      </c>
    </row>
  </sheetData>
  <mergeCells count="80">
    <mergeCell ref="Y2:AB2"/>
    <mergeCell ref="AC2:AC3"/>
    <mergeCell ref="U45:X45"/>
    <mergeCell ref="Y45:AB45"/>
    <mergeCell ref="AC45:AC46"/>
    <mergeCell ref="U2:X2"/>
    <mergeCell ref="B45:E45"/>
    <mergeCell ref="F45:I45"/>
    <mergeCell ref="J45:M45"/>
    <mergeCell ref="N45:N46"/>
    <mergeCell ref="Q45:T45"/>
    <mergeCell ref="B2:E2"/>
    <mergeCell ref="F2:I2"/>
    <mergeCell ref="J2:M2"/>
    <mergeCell ref="N2:N3"/>
    <mergeCell ref="Q2:T2"/>
    <mergeCell ref="Q88:T88"/>
    <mergeCell ref="U88:X88"/>
    <mergeCell ref="Y88:AB88"/>
    <mergeCell ref="AC88:AC89"/>
    <mergeCell ref="B88:E88"/>
    <mergeCell ref="F88:I88"/>
    <mergeCell ref="J88:M88"/>
    <mergeCell ref="N88:N89"/>
    <mergeCell ref="Q131:T131"/>
    <mergeCell ref="U131:X131"/>
    <mergeCell ref="Y131:AB131"/>
    <mergeCell ref="AC131:AC132"/>
    <mergeCell ref="B131:E131"/>
    <mergeCell ref="F131:I131"/>
    <mergeCell ref="J131:M131"/>
    <mergeCell ref="N131:N132"/>
    <mergeCell ref="Q174:T174"/>
    <mergeCell ref="U174:X174"/>
    <mergeCell ref="Y174:AB174"/>
    <mergeCell ref="AC174:AC175"/>
    <mergeCell ref="B174:E174"/>
    <mergeCell ref="F174:I174"/>
    <mergeCell ref="J174:M174"/>
    <mergeCell ref="N174:N175"/>
    <mergeCell ref="Q217:T217"/>
    <mergeCell ref="U217:X217"/>
    <mergeCell ref="Y217:AB217"/>
    <mergeCell ref="AC217:AC218"/>
    <mergeCell ref="B217:E217"/>
    <mergeCell ref="F217:I217"/>
    <mergeCell ref="J217:M217"/>
    <mergeCell ref="N217:N218"/>
    <mergeCell ref="Q260:T260"/>
    <mergeCell ref="U260:X260"/>
    <mergeCell ref="Y260:AB260"/>
    <mergeCell ref="AC260:AC261"/>
    <mergeCell ref="B260:E260"/>
    <mergeCell ref="F260:I260"/>
    <mergeCell ref="J260:M260"/>
    <mergeCell ref="N260:N261"/>
    <mergeCell ref="U303:X303"/>
    <mergeCell ref="Y303:AB303"/>
    <mergeCell ref="AC303:AC304"/>
    <mergeCell ref="B303:E303"/>
    <mergeCell ref="F303:I303"/>
    <mergeCell ref="J303:M303"/>
    <mergeCell ref="N303:N304"/>
    <mergeCell ref="Q303:T303"/>
    <mergeCell ref="U346:X346"/>
    <mergeCell ref="Y346:AB346"/>
    <mergeCell ref="AC346:AC347"/>
    <mergeCell ref="B346:E346"/>
    <mergeCell ref="F346:I346"/>
    <mergeCell ref="J346:M346"/>
    <mergeCell ref="N346:N347"/>
    <mergeCell ref="Q346:T346"/>
    <mergeCell ref="Q389:T389"/>
    <mergeCell ref="U389:X389"/>
    <mergeCell ref="Y389:AB389"/>
    <mergeCell ref="AC389:AC390"/>
    <mergeCell ref="B389:E389"/>
    <mergeCell ref="F389:I389"/>
    <mergeCell ref="J389:M389"/>
    <mergeCell ref="N389:N390"/>
  </mergeCells>
  <phoneticPr fontId="1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1分丈ショーツ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2026-06-09T08:52:21Z</dcterms:modified>
</cp:coreProperties>
</file>