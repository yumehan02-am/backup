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クライム\"/>
    </mc:Choice>
  </mc:AlternateContent>
  <xr:revisionPtr revIDLastSave="0" documentId="13_ncr:1_{B1671DAD-D8B7-468C-BF2F-B16B76167185}" xr6:coauthVersionLast="47" xr6:coauthVersionMax="47" xr10:uidLastSave="{00000000-0000-0000-0000-000000000000}"/>
  <bookViews>
    <workbookView xWindow="14580" yWindow="1305" windowWidth="13335" windowHeight="12450" xr2:uid="{00000000-000D-0000-FFFF-FFFF00000000}"/>
  </bookViews>
  <sheets>
    <sheet name="カットソー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3" i="4" l="1"/>
  <c r="E144" i="4"/>
  <c r="E145" i="4"/>
  <c r="E134" i="4"/>
  <c r="D169" i="4"/>
  <c r="C169" i="4"/>
  <c r="B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1" i="4"/>
  <c r="E140" i="4"/>
  <c r="E139" i="4"/>
  <c r="E138" i="4"/>
  <c r="E137" i="4"/>
  <c r="E136" i="4"/>
  <c r="E135" i="4"/>
  <c r="L123" i="4"/>
  <c r="L166" i="4"/>
  <c r="L167" i="4"/>
  <c r="L169" i="4" s="1"/>
  <c r="L168" i="4"/>
  <c r="L135" i="4"/>
  <c r="L136" i="4"/>
  <c r="L143" i="4"/>
  <c r="L144" i="4"/>
  <c r="K169" i="4"/>
  <c r="J169" i="4"/>
  <c r="I169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1" i="4"/>
  <c r="L140" i="4"/>
  <c r="L139" i="4"/>
  <c r="L138" i="4"/>
  <c r="L137" i="4"/>
  <c r="L134" i="4"/>
  <c r="K126" i="4"/>
  <c r="J126" i="4"/>
  <c r="I126" i="4"/>
  <c r="E91" i="4"/>
  <c r="E92" i="4"/>
  <c r="E93" i="4"/>
  <c r="E94" i="4"/>
  <c r="E95" i="4"/>
  <c r="E96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L100" i="4"/>
  <c r="L101" i="4"/>
  <c r="L93" i="4"/>
  <c r="L94" i="4"/>
  <c r="L95" i="4"/>
  <c r="L96" i="4"/>
  <c r="D126" i="4"/>
  <c r="C126" i="4"/>
  <c r="B126" i="4"/>
  <c r="E125" i="4"/>
  <c r="L124" i="4"/>
  <c r="E124" i="4"/>
  <c r="E123" i="4"/>
  <c r="L122" i="4"/>
  <c r="E122" i="4"/>
  <c r="L121" i="4"/>
  <c r="E121" i="4"/>
  <c r="L120" i="4"/>
  <c r="E120" i="4"/>
  <c r="L119" i="4"/>
  <c r="E119" i="4"/>
  <c r="L118" i="4"/>
  <c r="E118" i="4"/>
  <c r="L117" i="4"/>
  <c r="E117" i="4"/>
  <c r="L116" i="4"/>
  <c r="E116" i="4"/>
  <c r="L115" i="4"/>
  <c r="E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98" i="4"/>
  <c r="E98" i="4"/>
  <c r="L97" i="4"/>
  <c r="E97" i="4"/>
  <c r="L92" i="4"/>
  <c r="L91" i="4"/>
  <c r="K90" i="4"/>
  <c r="K99" i="4" s="1"/>
  <c r="I90" i="4"/>
  <c r="I99" i="4" s="1"/>
  <c r="D90" i="4"/>
  <c r="D99" i="4" s="1"/>
  <c r="L58" i="4"/>
  <c r="K83" i="4"/>
  <c r="K84" i="4" s="1"/>
  <c r="J83" i="4"/>
  <c r="J84" i="4" s="1"/>
  <c r="J90" i="4" s="1"/>
  <c r="J99" i="4" s="1"/>
  <c r="I83" i="4"/>
  <c r="I84" i="4" s="1"/>
  <c r="J40" i="4"/>
  <c r="K40" i="4"/>
  <c r="K41" i="4" s="1"/>
  <c r="L40" i="4"/>
  <c r="L41" i="4" s="1"/>
  <c r="J41" i="4"/>
  <c r="J47" i="4" s="1"/>
  <c r="I41" i="4"/>
  <c r="I40" i="4"/>
  <c r="J13" i="4"/>
  <c r="K13" i="4"/>
  <c r="L13" i="4"/>
  <c r="I13" i="4"/>
  <c r="L57" i="4"/>
  <c r="L81" i="4"/>
  <c r="S14" i="4"/>
  <c r="L82" i="4"/>
  <c r="R40" i="4"/>
  <c r="Q40" i="4"/>
  <c r="P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R13" i="4"/>
  <c r="R41" i="4" s="1"/>
  <c r="Q13" i="4"/>
  <c r="P13" i="4"/>
  <c r="S12" i="4"/>
  <c r="S11" i="4"/>
  <c r="S10" i="4"/>
  <c r="S9" i="4"/>
  <c r="S8" i="4"/>
  <c r="S7" i="4"/>
  <c r="S6" i="4"/>
  <c r="S5" i="4"/>
  <c r="S4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L75" i="4"/>
  <c r="L76" i="4"/>
  <c r="L77" i="4"/>
  <c r="L78" i="4"/>
  <c r="L79" i="4"/>
  <c r="L80" i="4"/>
  <c r="L59" i="4"/>
  <c r="L60" i="4"/>
  <c r="L61" i="4"/>
  <c r="L62" i="4"/>
  <c r="L63" i="4"/>
  <c r="L49" i="4"/>
  <c r="L50" i="4"/>
  <c r="L51" i="4"/>
  <c r="L52" i="4"/>
  <c r="L34" i="4"/>
  <c r="L35" i="4"/>
  <c r="L36" i="4"/>
  <c r="L37" i="4"/>
  <c r="L38" i="4"/>
  <c r="L5" i="4"/>
  <c r="L6" i="4"/>
  <c r="L7" i="4"/>
  <c r="L8" i="4"/>
  <c r="E34" i="4"/>
  <c r="L33" i="4"/>
  <c r="L31" i="4"/>
  <c r="L26" i="4"/>
  <c r="L25" i="4"/>
  <c r="L22" i="4"/>
  <c r="D40" i="4"/>
  <c r="L17" i="4"/>
  <c r="L39" i="4"/>
  <c r="L53" i="4"/>
  <c r="L15" i="4"/>
  <c r="L55" i="4"/>
  <c r="L9" i="4"/>
  <c r="L48" i="4"/>
  <c r="L54" i="4"/>
  <c r="L64" i="4"/>
  <c r="L65" i="4"/>
  <c r="L66" i="4"/>
  <c r="L67" i="4"/>
  <c r="L68" i="4"/>
  <c r="L69" i="4"/>
  <c r="L70" i="4"/>
  <c r="L71" i="4"/>
  <c r="L72" i="4"/>
  <c r="L73" i="4"/>
  <c r="L74" i="4"/>
  <c r="E48" i="4"/>
  <c r="E49" i="4"/>
  <c r="E50" i="4"/>
  <c r="E51" i="4"/>
  <c r="E52" i="4"/>
  <c r="E53" i="4"/>
  <c r="E54" i="4"/>
  <c r="E55" i="4"/>
  <c r="E76" i="4"/>
  <c r="E77" i="4"/>
  <c r="E78" i="4"/>
  <c r="E79" i="4"/>
  <c r="E80" i="4"/>
  <c r="E81" i="4"/>
  <c r="E82" i="4"/>
  <c r="B83" i="4"/>
  <c r="C83" i="4"/>
  <c r="D83" i="4"/>
  <c r="L4" i="4"/>
  <c r="L10" i="4"/>
  <c r="L11" i="4"/>
  <c r="L12" i="4"/>
  <c r="L14" i="4"/>
  <c r="L16" i="4"/>
  <c r="L18" i="4"/>
  <c r="L19" i="4"/>
  <c r="L20" i="4"/>
  <c r="L21" i="4"/>
  <c r="L23" i="4"/>
  <c r="L24" i="4"/>
  <c r="L27" i="4"/>
  <c r="L28" i="4"/>
  <c r="L29" i="4"/>
  <c r="L30" i="4"/>
  <c r="L32" i="4"/>
  <c r="B13" i="4"/>
  <c r="B40" i="4"/>
  <c r="C13" i="4"/>
  <c r="C40" i="4"/>
  <c r="D13" i="4"/>
  <c r="E39" i="4"/>
  <c r="E38" i="4"/>
  <c r="E37" i="4"/>
  <c r="E36" i="4"/>
  <c r="E35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2" i="4"/>
  <c r="E11" i="4"/>
  <c r="E10" i="4"/>
  <c r="E9" i="4"/>
  <c r="E8" i="4"/>
  <c r="E7" i="4"/>
  <c r="E6" i="4"/>
  <c r="E5" i="4"/>
  <c r="E4" i="4"/>
  <c r="E169" i="4" l="1"/>
  <c r="K127" i="4"/>
  <c r="K133" i="4" s="1"/>
  <c r="K142" i="4" s="1"/>
  <c r="K170" i="4" s="1"/>
  <c r="J127" i="4"/>
  <c r="J133" i="4" s="1"/>
  <c r="J142" i="4" s="1"/>
  <c r="J170" i="4" s="1"/>
  <c r="L125" i="4"/>
  <c r="L126" i="4"/>
  <c r="D127" i="4"/>
  <c r="D133" i="4" s="1"/>
  <c r="D142" i="4" s="1"/>
  <c r="D170" i="4" s="1"/>
  <c r="E126" i="4"/>
  <c r="I127" i="4"/>
  <c r="I133" i="4" s="1"/>
  <c r="I142" i="4" s="1"/>
  <c r="I170" i="4" s="1"/>
  <c r="L83" i="4"/>
  <c r="L84" i="4" s="1"/>
  <c r="L90" i="4" s="1"/>
  <c r="L99" i="4" s="1"/>
  <c r="K47" i="4"/>
  <c r="K56" i="4" s="1"/>
  <c r="J56" i="4"/>
  <c r="E83" i="4"/>
  <c r="S13" i="4"/>
  <c r="Q41" i="4"/>
  <c r="S40" i="4"/>
  <c r="P41" i="4"/>
  <c r="B41" i="4"/>
  <c r="B47" i="4" s="1"/>
  <c r="D41" i="4"/>
  <c r="D47" i="4" s="1"/>
  <c r="D56" i="4" s="1"/>
  <c r="D84" i="4" s="1"/>
  <c r="E13" i="4"/>
  <c r="I47" i="4"/>
  <c r="I56" i="4" s="1"/>
  <c r="E40" i="4"/>
  <c r="C41" i="4"/>
  <c r="C47" i="4" s="1"/>
  <c r="C56" i="4" s="1"/>
  <c r="C84" i="4" s="1"/>
  <c r="C90" i="4" s="1"/>
  <c r="C99" i="4" s="1"/>
  <c r="C127" i="4" s="1"/>
  <c r="C133" i="4" s="1"/>
  <c r="C142" i="4" s="1"/>
  <c r="C170" i="4" s="1"/>
  <c r="L127" i="4" l="1"/>
  <c r="L133" i="4" s="1"/>
  <c r="L142" i="4" s="1"/>
  <c r="L170" i="4" s="1"/>
  <c r="B127" i="4"/>
  <c r="S41" i="4"/>
  <c r="E47" i="4"/>
  <c r="B56" i="4"/>
  <c r="B84" i="4" s="1"/>
  <c r="B90" i="4" s="1"/>
  <c r="B99" i="4" s="1"/>
  <c r="E99" i="4" s="1"/>
  <c r="L47" i="4"/>
  <c r="L56" i="4" s="1"/>
  <c r="E41" i="4"/>
  <c r="E127" i="4" l="1"/>
  <c r="B133" i="4"/>
  <c r="E90" i="4"/>
  <c r="E56" i="4"/>
  <c r="E84" i="4"/>
  <c r="B142" i="4" l="1"/>
  <c r="E133" i="4"/>
  <c r="E142" i="4" l="1"/>
  <c r="B170" i="4"/>
  <c r="E170" i="4" s="1"/>
</calcChain>
</file>

<file path=xl/sharedStrings.xml><?xml version="1.0" encoding="utf-8"?>
<sst xmlns="http://schemas.openxmlformats.org/spreadsheetml/2006/main" count="263" uniqueCount="75">
  <si>
    <t>カラー</t>
  </si>
  <si>
    <t>サイズ</t>
  </si>
  <si>
    <t>M</t>
  </si>
  <si>
    <t>L</t>
  </si>
  <si>
    <t>LL</t>
  </si>
  <si>
    <t>計</t>
    <rPh sb="0" eb="1">
      <t>ケイ</t>
    </rPh>
    <phoneticPr fontId="2"/>
  </si>
  <si>
    <t>初回</t>
    <rPh sb="0" eb="2">
      <t>ショカイ</t>
    </rPh>
    <phoneticPr fontId="2"/>
  </si>
  <si>
    <t>追加１</t>
    <rPh sb="0" eb="2">
      <t>ツイカ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</si>
  <si>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</si>
  <si>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</si>
  <si>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</si>
  <si>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</si>
  <si>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追加６</t>
    <rPh sb="0" eb="2">
      <t>ツイカ</t>
    </rPh>
    <phoneticPr fontId="2"/>
  </si>
  <si>
    <t>追加７</t>
    <rPh sb="0" eb="2">
      <t>ツイカ</t>
    </rPh>
    <phoneticPr fontId="2"/>
  </si>
  <si>
    <t>追加８</t>
    <rPh sb="0" eb="2">
      <t>ツイカ</t>
    </rPh>
    <phoneticPr fontId="2"/>
  </si>
  <si>
    <t>総在庫</t>
    <rPh sb="0" eb="1">
      <t>ソウ</t>
    </rPh>
    <rPh sb="1" eb="3">
      <t>ザイコ</t>
    </rPh>
    <phoneticPr fontId="2"/>
  </si>
  <si>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</si>
  <si>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6"/>
  </si>
  <si>
    <t>残在庫</t>
    <rPh sb="0" eb="1">
      <t>ザン</t>
    </rPh>
    <rPh sb="1" eb="3">
      <t>ザイコ</t>
    </rPh>
    <phoneticPr fontId="2"/>
  </si>
  <si>
    <t>　</t>
    <phoneticPr fontId="6"/>
  </si>
  <si>
    <t xml:space="preserve">初回 </t>
    <rPh sb="0" eb="2">
      <t>ショカイ</t>
    </rPh>
    <phoneticPr fontId="2"/>
  </si>
  <si>
    <t>カットソー（夢販在庫）</t>
    <rPh sb="6" eb="8">
      <t>ユメハン</t>
    </rPh>
    <rPh sb="8" eb="10">
      <t>ザイコ</t>
    </rPh>
    <phoneticPr fontId="2"/>
  </si>
  <si>
    <t>カットソー</t>
  </si>
  <si>
    <t>カットソー（K-PORT在庫）</t>
    <rPh sb="12" eb="14">
      <t>ザイコ</t>
    </rPh>
    <phoneticPr fontId="2"/>
  </si>
  <si>
    <t>カットソー（ジーエフ倉庫在庫）</t>
    <rPh sb="10" eb="12">
      <t>ソウコ</t>
    </rPh>
    <rPh sb="12" eb="14">
      <t>ザイコ</t>
    </rPh>
    <phoneticPr fontId="2"/>
  </si>
  <si>
    <t>アテニア5月号</t>
    <rPh sb="5" eb="7">
      <t>ガツゴウ</t>
    </rPh>
    <phoneticPr fontId="6"/>
  </si>
  <si>
    <t>4月納品</t>
    <rPh sb="1" eb="4">
      <t>ガツノウヒン</t>
    </rPh>
    <phoneticPr fontId="6"/>
  </si>
  <si>
    <t>追加２　　アテニア分</t>
  </si>
  <si>
    <t>パルシステム（コトコト）6月2回</t>
    <rPh sb="13" eb="14">
      <t>ガツ</t>
    </rPh>
    <rPh sb="15" eb="16">
      <t>カイ</t>
    </rPh>
    <phoneticPr fontId="6"/>
  </si>
  <si>
    <t>点5/22、アバウト・初回6/3、最終6/9</t>
    <rPh sb="0" eb="1">
      <t>テン</t>
    </rPh>
    <rPh sb="11" eb="13">
      <t>ショカイ</t>
    </rPh>
    <rPh sb="17" eb="19">
      <t>サイシュウ</t>
    </rPh>
    <phoneticPr fontId="6"/>
  </si>
  <si>
    <t>パルシステム（コトコト）6月2回差分予測</t>
    <rPh sb="13" eb="14">
      <t>ガツ</t>
    </rPh>
    <rPh sb="15" eb="16">
      <t>カイ</t>
    </rPh>
    <rPh sb="16" eb="20">
      <t>サブンヨソク</t>
    </rPh>
    <phoneticPr fontId="6"/>
  </si>
  <si>
    <t>3/29ship</t>
    <phoneticPr fontId="6"/>
  </si>
  <si>
    <t>4/5ship</t>
    <phoneticPr fontId="6"/>
  </si>
  <si>
    <t>GF倉庫より出荷予定</t>
    <rPh sb="2" eb="4">
      <t>ソウコ</t>
    </rPh>
    <rPh sb="6" eb="10">
      <t>シュッカヨテイ</t>
    </rPh>
    <phoneticPr fontId="6"/>
  </si>
  <si>
    <t>過入荷分</t>
    <rPh sb="0" eb="4">
      <t>カニュウカブン</t>
    </rPh>
    <phoneticPr fontId="2"/>
  </si>
  <si>
    <t>3613-143～145</t>
    <phoneticPr fontId="6"/>
  </si>
  <si>
    <t>2025/4/7数伝</t>
    <rPh sb="8" eb="10">
      <t>スウデン</t>
    </rPh>
    <phoneticPr fontId="6"/>
  </si>
  <si>
    <t>夢販</t>
    <rPh sb="0" eb="2">
      <t>ユメハン</t>
    </rPh>
    <phoneticPr fontId="6"/>
  </si>
  <si>
    <t>2025/4/14数伝</t>
    <rPh sb="9" eb="10">
      <t>スウ</t>
    </rPh>
    <rPh sb="10" eb="11">
      <t>デン</t>
    </rPh>
    <phoneticPr fontId="6"/>
  </si>
  <si>
    <t>パルシステム（コトコト）6月2回①</t>
    <rPh sb="13" eb="14">
      <t>ガツ</t>
    </rPh>
    <rPh sb="15" eb="16">
      <t>カイ</t>
    </rPh>
    <phoneticPr fontId="6"/>
  </si>
  <si>
    <t>JODメルシー0624/3点セット</t>
    <rPh sb="13" eb="14">
      <t>テン</t>
    </rPh>
    <phoneticPr fontId="6"/>
  </si>
  <si>
    <t>6/24～</t>
    <phoneticPr fontId="6"/>
  </si>
  <si>
    <t>パルシステム（コトコト）6月2回②</t>
    <rPh sb="13" eb="14">
      <t>ガツ</t>
    </rPh>
    <rPh sb="15" eb="16">
      <t>カイ</t>
    </rPh>
    <phoneticPr fontId="6"/>
  </si>
  <si>
    <t>ネット</t>
    <phoneticPr fontId="6"/>
  </si>
  <si>
    <t>パルシステム（コトコト）6月2回③</t>
    <rPh sb="13" eb="14">
      <t>ガツ</t>
    </rPh>
    <rPh sb="15" eb="16">
      <t>カイ</t>
    </rPh>
    <phoneticPr fontId="6"/>
  </si>
  <si>
    <t>不足分</t>
    <rPh sb="0" eb="3">
      <t>フソクブン</t>
    </rPh>
    <phoneticPr fontId="2"/>
  </si>
  <si>
    <t>くらし返品</t>
    <rPh sb="3" eb="5">
      <t>ヘンピン</t>
    </rPh>
    <phoneticPr fontId="2"/>
  </si>
  <si>
    <t>JODアクセス7011/3点セット</t>
    <rPh sb="13" eb="14">
      <t>テン</t>
    </rPh>
    <phoneticPr fontId="6"/>
  </si>
  <si>
    <t>8/18～</t>
    <phoneticPr fontId="6"/>
  </si>
  <si>
    <t>JOD</t>
    <phoneticPr fontId="6"/>
  </si>
  <si>
    <t>夢販</t>
    <rPh sb="0" eb="2">
      <t>ユメハン</t>
    </rPh>
    <phoneticPr fontId="6"/>
  </si>
  <si>
    <t>2025/7/1数伝</t>
    <rPh sb="8" eb="9">
      <t>スウ</t>
    </rPh>
    <rPh sb="9" eb="10">
      <t>デン</t>
    </rPh>
    <phoneticPr fontId="6"/>
  </si>
  <si>
    <t>2025/7/12数伝</t>
    <rPh sb="9" eb="11">
      <t>スウデン</t>
    </rPh>
    <phoneticPr fontId="6"/>
  </si>
  <si>
    <t>製品化</t>
    <rPh sb="0" eb="3">
      <t>セイヒンカ</t>
    </rPh>
    <phoneticPr fontId="2"/>
  </si>
  <si>
    <t>在庫確認</t>
    <rPh sb="0" eb="4">
      <t>ザイコカクニン</t>
    </rPh>
    <phoneticPr fontId="2"/>
  </si>
  <si>
    <t>←式確認ここまで　2025/8/9</t>
    <rPh sb="1" eb="4">
      <t>シキカクニン</t>
    </rPh>
    <phoneticPr fontId="6"/>
  </si>
  <si>
    <t>JOD返品</t>
    <rPh sb="3" eb="5">
      <t>ヘンピン</t>
    </rPh>
    <phoneticPr fontId="2"/>
  </si>
  <si>
    <t>ネット</t>
    <phoneticPr fontId="6"/>
  </si>
  <si>
    <t>サクラマチsample</t>
    <phoneticPr fontId="6"/>
  </si>
  <si>
    <t>3/4～3/18</t>
    <phoneticPr fontId="6"/>
  </si>
  <si>
    <t>ユーコープ3月3回</t>
    <rPh sb="6" eb="7">
      <t>ガツ</t>
    </rPh>
    <rPh sb="8" eb="9">
      <t>カイ</t>
    </rPh>
    <phoneticPr fontId="6"/>
  </si>
  <si>
    <t>ユーコープ3月3回差分予測</t>
    <rPh sb="6" eb="7">
      <t>ガツ</t>
    </rPh>
    <rPh sb="8" eb="9">
      <t>カイ</t>
    </rPh>
    <rPh sb="9" eb="13">
      <t>サブンヨソク</t>
    </rPh>
    <phoneticPr fontId="6"/>
  </si>
  <si>
    <t>ユーコープ3月3回①</t>
    <rPh sb="6" eb="7">
      <t>ガツ</t>
    </rPh>
    <rPh sb="8" eb="9">
      <t>カイ</t>
    </rPh>
    <phoneticPr fontId="6"/>
  </si>
  <si>
    <t>ユーコープ3月3回②</t>
    <rPh sb="6" eb="7">
      <t>ガツ</t>
    </rPh>
    <rPh sb="8" eb="9">
      <t>カイ</t>
    </rPh>
    <phoneticPr fontId="6"/>
  </si>
  <si>
    <t>サクラマチ返品</t>
    <rPh sb="5" eb="7">
      <t>ヘンピン</t>
    </rPh>
    <phoneticPr fontId="2"/>
  </si>
  <si>
    <t>KPORT</t>
    <phoneticPr fontId="6"/>
  </si>
  <si>
    <t>夢販移動</t>
    <rPh sb="0" eb="4">
      <t>ユメハンイドウ</t>
    </rPh>
    <phoneticPr fontId="2"/>
  </si>
  <si>
    <t>オバタsample</t>
    <phoneticPr fontId="6"/>
  </si>
  <si>
    <t>アテニア　９月</t>
    <rPh sb="6" eb="7">
      <t>ガツ</t>
    </rPh>
    <phoneticPr fontId="6"/>
  </si>
  <si>
    <t>夢販</t>
    <rPh sb="0" eb="2">
      <t>ｙ</t>
    </rPh>
    <phoneticPr fontId="2"/>
  </si>
  <si>
    <t>9/3 関西物流着　＠750</t>
    <rPh sb="4" eb="6">
      <t>カンサイ</t>
    </rPh>
    <rPh sb="6" eb="8">
      <t>モノリュウ</t>
    </rPh>
    <rPh sb="8" eb="9">
      <t>チャク</t>
    </rPh>
    <phoneticPr fontId="6"/>
  </si>
  <si>
    <t>はぴねすくらぶsample</t>
    <phoneticPr fontId="6"/>
  </si>
  <si>
    <t>さっぽろ8月2回３点セット　￥2480</t>
    <rPh sb="5" eb="6">
      <t>ガツ</t>
    </rPh>
    <rPh sb="7" eb="8">
      <t>カイ</t>
    </rPh>
    <rPh sb="9" eb="10">
      <t>テン</t>
    </rPh>
    <phoneticPr fontId="6"/>
  </si>
  <si>
    <t>8/5、8/10</t>
    <phoneticPr fontId="6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</si>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</sst>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7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28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15" xfId="1" applyBorder="1"/>
    <xf numFmtId="0" fontId="1" fillId="0" borderId="16" xfId="1" applyBorder="1"/>
    <xf numFmtId="0" fontId="1" fillId="0" borderId="17" xfId="1" applyBorder="1"/>
    <xf numFmtId="0" fontId="1" fillId="0" borderId="19" xfId="1" applyBorder="1"/>
    <xf numFmtId="0" fontId="4" fillId="0" borderId="22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56" fontId="1" fillId="0" borderId="21" xfId="1" applyNumberFormat="1" applyBorder="1" applyAlignment="1">
      <alignment horizontal="center" vertical="center"/>
    </xf>
    <xf numFmtId="0" fontId="1" fillId="0" borderId="9" xfId="1" applyBorder="1" applyAlignment="1">
      <alignment horizontal="center" vertical="center" shrinkToFit="1"/>
    </xf>
    <xf numFmtId="56" fontId="5" fillId="0" borderId="22" xfId="1" applyNumberFormat="1" applyFont="1" applyBorder="1" applyAlignment="1">
      <alignment horizontal="center" vertical="center"/>
    </xf>
    <xf numFmtId="0" fontId="5" fillId="0" borderId="1" xfId="1" applyFont="1" applyBorder="1"/>
    <xf numFmtId="0" fontId="5" fillId="0" borderId="2" xfId="1" applyFont="1" applyBorder="1"/>
    <xf numFmtId="0" fontId="5" fillId="0" borderId="4" xfId="1" applyFont="1" applyBorder="1"/>
    <xf numFmtId="0" fontId="1" fillId="0" borderId="23" xfId="1" applyBorder="1"/>
    <xf numFmtId="0" fontId="1" fillId="0" borderId="24" xfId="1" applyBorder="1"/>
    <xf numFmtId="0" fontId="5" fillId="0" borderId="22" xfId="1" applyFont="1" applyBorder="1" applyAlignment="1">
      <alignment horizontal="center" vertical="center"/>
    </xf>
    <xf numFmtId="0" fontId="7" fillId="0" borderId="0" xfId="0" applyFont="1">
      <alignment vertical="center"/>
    </xf>
    <xf numFmtId="0" fontId="1" fillId="0" borderId="22" xfId="1" applyBorder="1" applyAlignment="1">
      <alignment horizontal="center" vertical="center"/>
    </xf>
    <xf numFmtId="0" fontId="1" fillId="0" borderId="11" xfId="1" applyBorder="1"/>
    <xf numFmtId="0" fontId="1" fillId="0" borderId="12" xfId="1" applyBorder="1"/>
    <xf numFmtId="0" fontId="1" fillId="0" borderId="1" xfId="1" applyBorder="1"/>
    <xf numFmtId="0" fontId="1" fillId="0" borderId="2" xfId="1" applyBorder="1"/>
    <xf numFmtId="0" fontId="1" fillId="0" borderId="31" xfId="1" applyBorder="1"/>
    <xf numFmtId="0" fontId="1" fillId="0" borderId="32" xfId="1" applyBorder="1"/>
    <xf numFmtId="0" fontId="1" fillId="0" borderId="33" xfId="1" applyBorder="1"/>
    <xf numFmtId="0" fontId="1" fillId="0" borderId="3" xfId="1" applyBorder="1"/>
    <xf numFmtId="0" fontId="1" fillId="0" borderId="13" xfId="1" applyBorder="1"/>
    <xf numFmtId="56" fontId="8" fillId="0" borderId="0" xfId="0" applyNumberFormat="1" applyFont="1">
      <alignment vertical="center"/>
    </xf>
    <xf numFmtId="56" fontId="0" fillId="0" borderId="0" xfId="0" applyNumberFormat="1">
      <alignment vertical="center"/>
    </xf>
    <xf numFmtId="56" fontId="1" fillId="0" borderId="22" xfId="1" applyNumberFormat="1" applyBorder="1" applyAlignment="1">
      <alignment horizontal="center" vertical="center"/>
    </xf>
    <xf numFmtId="0" fontId="1" fillId="0" borderId="35" xfId="1" applyBorder="1"/>
    <xf numFmtId="0" fontId="8" fillId="0" borderId="0" xfId="0" applyFont="1">
      <alignment vertical="center"/>
    </xf>
    <xf numFmtId="0" fontId="5" fillId="0" borderId="0" xfId="1" applyFont="1"/>
    <xf numFmtId="0" fontId="1" fillId="2" borderId="14" xfId="1" applyFill="1" applyBorder="1"/>
    <xf numFmtId="0" fontId="1" fillId="2" borderId="20" xfId="1" applyFill="1" applyBorder="1"/>
    <xf numFmtId="0" fontId="1" fillId="2" borderId="5" xfId="1" applyFill="1" applyBorder="1"/>
    <xf numFmtId="0" fontId="1" fillId="2" borderId="9" xfId="1" applyFill="1" applyBorder="1"/>
    <xf numFmtId="0" fontId="1" fillId="2" borderId="28" xfId="1" applyFill="1" applyBorder="1"/>
    <xf numFmtId="0" fontId="5" fillId="2" borderId="10" xfId="1" applyFont="1" applyFill="1" applyBorder="1"/>
    <xf numFmtId="0" fontId="1" fillId="2" borderId="30" xfId="1" applyFill="1" applyBorder="1"/>
    <xf numFmtId="0" fontId="1" fillId="2" borderId="10" xfId="1" applyFill="1" applyBorder="1"/>
    <xf numFmtId="0" fontId="4" fillId="2" borderId="25" xfId="1" applyFont="1" applyFill="1" applyBorder="1"/>
    <xf numFmtId="0" fontId="4" fillId="2" borderId="27" xfId="1" applyFont="1" applyFill="1" applyBorder="1"/>
    <xf numFmtId="0" fontId="4" fillId="2" borderId="29" xfId="1" applyFont="1" applyFill="1" applyBorder="1"/>
    <xf numFmtId="0" fontId="4" fillId="2" borderId="34" xfId="1" applyFont="1" applyFill="1" applyBorder="1"/>
    <xf numFmtId="0" fontId="5" fillId="2" borderId="14" xfId="1" applyFont="1" applyFill="1" applyBorder="1"/>
    <xf numFmtId="0" fontId="5" fillId="0" borderId="11" xfId="1" applyFont="1" applyBorder="1" applyAlignment="1">
      <alignment horizontal="center"/>
    </xf>
    <xf numFmtId="0" fontId="5" fillId="0" borderId="12" xfId="1" applyFont="1" applyBorder="1" applyAlignment="1">
      <alignment horizontal="center"/>
    </xf>
    <xf numFmtId="0" fontId="5" fillId="0" borderId="13" xfId="1" applyFont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35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31" xfId="1" applyBorder="1" applyAlignment="1">
      <alignment horizontal="center"/>
    </xf>
    <xf numFmtId="0" fontId="1" fillId="0" borderId="15" xfId="1" applyBorder="1" applyAlignment="1">
      <alignment horizontal="center"/>
    </xf>
    <xf numFmtId="0" fontId="1" fillId="0" borderId="16" xfId="1" applyBorder="1" applyAlignment="1">
      <alignment horizontal="center"/>
    </xf>
    <xf numFmtId="0" fontId="1" fillId="0" borderId="32" xfId="1" applyBorder="1" applyAlignment="1">
      <alignment horizontal="center"/>
    </xf>
    <xf numFmtId="0" fontId="1" fillId="0" borderId="23" xfId="1" applyBorder="1" applyAlignment="1">
      <alignment horizontal="center"/>
    </xf>
    <xf numFmtId="0" fontId="1" fillId="0" borderId="24" xfId="1" applyBorder="1" applyAlignment="1">
      <alignment horizontal="center"/>
    </xf>
    <xf numFmtId="0" fontId="1" fillId="0" borderId="33" xfId="1" applyBorder="1" applyAlignment="1">
      <alignment horizontal="center"/>
    </xf>
    <xf numFmtId="0" fontId="1" fillId="0" borderId="18" xfId="1" applyBorder="1" applyAlignment="1">
      <alignment horizontal="center"/>
    </xf>
    <xf numFmtId="0" fontId="0" fillId="0" borderId="0" xfId="0" applyAlignment="1">
      <alignment horizontal="left" vertical="center"/>
    </xf>
    <xf numFmtId="56" fontId="8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0" fontId="1" fillId="0" borderId="36" xfId="1" applyBorder="1" applyAlignment="1">
      <alignment horizontal="center"/>
    </xf>
    <xf numFmtId="0" fontId="1" fillId="0" borderId="37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4" xfId="1" applyBorder="1" applyAlignment="1">
      <alignment horizontal="center"/>
    </xf>
    <xf numFmtId="0" fontId="3" fillId="3" borderId="0" xfId="1" applyFont="1" applyFill="1"/>
    <xf numFmtId="0" fontId="1" fillId="3" borderId="0" xfId="1" applyFill="1"/>
    <xf numFmtId="0" fontId="3" fillId="4" borderId="0" xfId="1" applyFont="1" applyFill="1"/>
    <xf numFmtId="0" fontId="10" fillId="4" borderId="0" xfId="1" applyFont="1" applyFill="1"/>
    <xf numFmtId="0" fontId="1" fillId="4" borderId="0" xfId="1" applyFill="1"/>
    <xf numFmtId="0" fontId="3" fillId="6" borderId="0" xfId="1" applyFont="1" applyFill="1"/>
    <xf numFmtId="0" fontId="10" fillId="6" borderId="0" xfId="1" applyFont="1" applyFill="1"/>
    <xf numFmtId="56" fontId="11" fillId="0" borderId="21" xfId="1" applyNumberFormat="1" applyFont="1" applyBorder="1" applyAlignment="1">
      <alignment horizontal="center" vertical="center"/>
    </xf>
    <xf numFmtId="0" fontId="11" fillId="0" borderId="6" xfId="1" applyFont="1" applyBorder="1" applyAlignment="1">
      <alignment horizontal="center"/>
    </xf>
    <xf numFmtId="0" fontId="11" fillId="0" borderId="7" xfId="1" applyFont="1" applyBorder="1" applyAlignment="1">
      <alignment horizontal="center"/>
    </xf>
    <xf numFmtId="0" fontId="11" fillId="0" borderId="31" xfId="1" applyFont="1" applyBorder="1" applyAlignment="1">
      <alignment horizontal="center"/>
    </xf>
    <xf numFmtId="0" fontId="11" fillId="2" borderId="9" xfId="1" applyFont="1" applyFill="1" applyBorder="1"/>
    <xf numFmtId="0" fontId="11" fillId="0" borderId="9" xfId="1" applyFont="1" applyBorder="1" applyAlignment="1">
      <alignment horizontal="center" vertical="center" shrinkToFit="1"/>
    </xf>
    <xf numFmtId="0" fontId="11" fillId="0" borderId="6" xfId="1" applyFont="1" applyBorder="1"/>
    <xf numFmtId="0" fontId="11" fillId="0" borderId="7" xfId="1" applyFont="1" applyBorder="1"/>
    <xf numFmtId="0" fontId="11" fillId="0" borderId="8" xfId="1" applyFont="1" applyBorder="1"/>
    <xf numFmtId="0" fontId="11" fillId="2" borderId="5" xfId="1" applyFont="1" applyFill="1" applyBorder="1"/>
    <xf numFmtId="56" fontId="12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56" fontId="1" fillId="0" borderId="9" xfId="1" applyNumberFormat="1" applyBorder="1" applyAlignment="1">
      <alignment horizontal="center" vertical="center"/>
    </xf>
    <xf numFmtId="6" fontId="13" fillId="4" borderId="0" xfId="1" applyNumberFormat="1" applyFont="1" applyFill="1"/>
    <xf numFmtId="56" fontId="14" fillId="0" borderId="9" xfId="1" applyNumberFormat="1" applyFont="1" applyBorder="1" applyAlignment="1">
      <alignment horizontal="center" vertical="center"/>
    </xf>
    <xf numFmtId="0" fontId="14" fillId="0" borderId="6" xfId="1" applyFont="1" applyBorder="1"/>
    <xf numFmtId="0" fontId="14" fillId="0" borderId="7" xfId="1" applyFont="1" applyBorder="1"/>
    <xf numFmtId="0" fontId="14" fillId="0" borderId="8" xfId="1" applyFont="1" applyBorder="1"/>
    <xf numFmtId="0" fontId="14" fillId="2" borderId="5" xfId="1" applyFont="1" applyFill="1" applyBorder="1"/>
    <xf numFmtId="56" fontId="15" fillId="0" borderId="0" xfId="0" applyNumberFormat="1" applyFont="1" applyAlignment="1">
      <alignment horizontal="left" vertical="center"/>
    </xf>
    <xf numFmtId="56" fontId="14" fillId="0" borderId="21" xfId="1" applyNumberFormat="1" applyFont="1" applyBorder="1" applyAlignment="1">
      <alignment horizontal="center" vertical="center"/>
    </xf>
    <xf numFmtId="0" fontId="14" fillId="0" borderId="15" xfId="1" applyFont="1" applyBorder="1"/>
    <xf numFmtId="0" fontId="14" fillId="0" borderId="16" xfId="1" applyFont="1" applyBorder="1"/>
    <xf numFmtId="0" fontId="14" fillId="0" borderId="32" xfId="1" applyFont="1" applyBorder="1"/>
    <xf numFmtId="0" fontId="14" fillId="2" borderId="9" xfId="1" applyFont="1" applyFill="1" applyBorder="1"/>
    <xf numFmtId="56" fontId="16" fillId="0" borderId="0" xfId="0" applyNumberFormat="1" applyFont="1">
      <alignment vertical="center"/>
    </xf>
    <xf numFmtId="0" fontId="12" fillId="0" borderId="0" xfId="0" applyFont="1" applyAlignment="1">
      <alignment horizontal="left" vertical="center"/>
    </xf>
    <xf numFmtId="0" fontId="1" fillId="0" borderId="38" xfId="1" applyBorder="1"/>
    <xf numFmtId="0" fontId="1" fillId="0" borderId="39" xfId="1" applyBorder="1"/>
    <xf numFmtId="0" fontId="1" fillId="0" borderId="40" xfId="1" applyBorder="1"/>
    <xf numFmtId="0" fontId="1" fillId="0" borderId="4" xfId="1" applyBorder="1"/>
    <xf numFmtId="56" fontId="0" fillId="0" borderId="0" xfId="0" applyNumberFormat="1" applyAlignment="1">
      <alignment horizontal="left" vertical="center"/>
    </xf>
    <xf numFmtId="0" fontId="5" fillId="0" borderId="9" xfId="1" applyFont="1" applyBorder="1" applyAlignment="1">
      <alignment horizontal="center" vertical="center" shrinkToFit="1"/>
    </xf>
    <xf numFmtId="0" fontId="5" fillId="0" borderId="6" xfId="1" applyFont="1" applyBorder="1"/>
    <xf numFmtId="0" fontId="5" fillId="0" borderId="7" xfId="1" applyFont="1" applyBorder="1"/>
    <xf numFmtId="0" fontId="5" fillId="0" borderId="8" xfId="1" applyFont="1" applyBorder="1"/>
    <xf numFmtId="0" fontId="5" fillId="2" borderId="5" xfId="1" applyFont="1" applyFill="1" applyBorder="1"/>
    <xf numFmtId="0" fontId="14" fillId="0" borderId="9" xfId="1" applyFont="1" applyBorder="1" applyAlignment="1">
      <alignment horizontal="center" vertical="center"/>
    </xf>
    <xf numFmtId="56" fontId="16" fillId="0" borderId="0" xfId="0" applyNumberFormat="1" applyFont="1" applyAlignment="1">
      <alignment horizontal="left" vertical="center"/>
    </xf>
    <xf numFmtId="0" fontId="11" fillId="5" borderId="11" xfId="1" applyFont="1" applyFill="1" applyBorder="1" applyAlignment="1">
      <alignment horizontal="center" vertical="center"/>
    </xf>
    <xf numFmtId="0" fontId="11" fillId="5" borderId="12" xfId="1" applyFont="1" applyFill="1" applyBorder="1" applyAlignment="1">
      <alignment horizontal="center" vertical="center"/>
    </xf>
    <xf numFmtId="0" fontId="11" fillId="5" borderId="26" xfId="1" applyFont="1" applyFill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0"/>
  <sheetViews>
    <sheetView tabSelected="1" topLeftCell="A98" zoomScaleNormal="100" workbookViewId="0">
      <selection activeCell="A106" sqref="A106"/>
    </sheetView>
  </sheetViews>
  <sheetFormatPr defaultRowHeight="13.5" x14ac:dyDescent="0.15"/>
  <cols>
    <col min="1" max="1" width="21" customWidth="1"/>
    <col min="2" max="5" width="8.75" customWidth="1"/>
    <col min="6" max="6" width="9.25" bestFit="1" customWidth="1"/>
    <col min="7" max="7" width="5.625" customWidth="1"/>
    <col min="8" max="8" width="32.375" customWidth="1"/>
    <col min="9" max="12" width="8.75" customWidth="1"/>
    <col min="13" max="13" width="29.75" style="70" customWidth="1"/>
    <col min="14" max="14" width="5.625" customWidth="1"/>
    <col min="15" max="15" width="26.375" customWidth="1"/>
    <col min="16" max="24" width="7.5" customWidth="1"/>
  </cols>
  <sheetData>
    <row r="1" spans="1:34" ht="19.5" thickBot="1" x14ac:dyDescent="0.25">
      <c r="A1" s="79" t="s">
        <v>21</v>
      </c>
      <c r="B1" s="80"/>
      <c r="C1" s="80"/>
      <c r="D1" s="80"/>
      <c r="E1" s="80"/>
      <c r="H1" s="81" t="s">
        <v>23</v>
      </c>
      <c r="I1" s="82"/>
      <c r="J1" s="81">
        <v>560</v>
      </c>
      <c r="K1" s="82"/>
      <c r="L1" s="83" t="s">
        <v>35</v>
      </c>
      <c r="O1" s="84" t="s">
        <v>24</v>
      </c>
      <c r="P1" s="85"/>
      <c r="Q1" s="85"/>
      <c r="R1" s="84">
        <v>560</v>
      </c>
      <c r="S1" s="85"/>
    </row>
    <row r="2" spans="1:34" ht="14.25" thickBot="1" x14ac:dyDescent="0.2">
      <c r="A2" s="4"/>
      <c r="B2" s="125" t="s">
        <v>22</v>
      </c>
      <c r="C2" s="126"/>
      <c r="D2" s="126"/>
      <c r="E2" s="127"/>
      <c r="H2" s="4"/>
      <c r="I2" s="125" t="s">
        <v>22</v>
      </c>
      <c r="J2" s="126"/>
      <c r="K2" s="126"/>
      <c r="L2" s="127"/>
      <c r="O2" s="4"/>
      <c r="P2" s="125" t="s">
        <v>22</v>
      </c>
      <c r="Q2" s="126"/>
      <c r="R2" s="126"/>
      <c r="S2" s="127"/>
    </row>
    <row r="3" spans="1:34" ht="14.25" thickBot="1" x14ac:dyDescent="0.2">
      <c r="A3" s="4" t="s">
        <v>1</v>
      </c>
      <c r="B3" s="1" t="s">
        <v>2</v>
      </c>
      <c r="C3" s="2" t="s">
        <v>3</v>
      </c>
      <c r="D3" s="3" t="s">
        <v>4</v>
      </c>
      <c r="E3" s="4" t="s">
        <v>5</v>
      </c>
      <c r="H3" s="4" t="s">
        <v>1</v>
      </c>
      <c r="I3" s="1" t="s">
        <v>2</v>
      </c>
      <c r="J3" s="2" t="s">
        <v>3</v>
      </c>
      <c r="K3" s="3" t="s">
        <v>4</v>
      </c>
      <c r="L3" s="4" t="s">
        <v>5</v>
      </c>
      <c r="O3" s="4" t="s">
        <v>1</v>
      </c>
      <c r="P3" s="1" t="s">
        <v>2</v>
      </c>
      <c r="Q3" s="2" t="s">
        <v>3</v>
      </c>
      <c r="R3" s="3" t="s">
        <v>4</v>
      </c>
      <c r="S3" s="4" t="s">
        <v>5</v>
      </c>
    </row>
    <row r="4" spans="1:34" ht="14.25" thickBot="1" x14ac:dyDescent="0.2">
      <c r="A4" s="37" t="s">
        <v>6</v>
      </c>
      <c r="B4" s="26">
        <v>5</v>
      </c>
      <c r="C4" s="27">
        <v>5</v>
      </c>
      <c r="D4" s="34">
        <v>5</v>
      </c>
      <c r="E4" s="41">
        <f>SUM(B4:D4)</f>
        <v>15</v>
      </c>
      <c r="F4" s="35">
        <v>45762</v>
      </c>
      <c r="H4" s="37" t="s">
        <v>20</v>
      </c>
      <c r="I4" s="76"/>
      <c r="J4" s="77"/>
      <c r="K4" s="78"/>
      <c r="L4" s="48">
        <f>SUM(I4:K4)</f>
        <v>0</v>
      </c>
      <c r="M4" s="71"/>
      <c r="O4" s="37" t="s">
        <v>20</v>
      </c>
      <c r="P4" s="76"/>
      <c r="Q4" s="77"/>
      <c r="R4" s="78"/>
      <c r="S4" s="48">
        <f>SUM(P4:R4)</f>
        <v>0</v>
      </c>
    </row>
    <row r="5" spans="1:34" x14ac:dyDescent="0.15">
      <c r="A5" s="15" t="s">
        <v>7</v>
      </c>
      <c r="B5" s="26"/>
      <c r="C5" s="27"/>
      <c r="D5" s="38"/>
      <c r="E5" s="42">
        <f>SUM(B5:D5)</f>
        <v>0</v>
      </c>
      <c r="F5" s="35"/>
      <c r="H5" s="15" t="s">
        <v>7</v>
      </c>
      <c r="I5" s="74"/>
      <c r="J5" s="69"/>
      <c r="K5" s="75"/>
      <c r="L5" s="43">
        <f t="shared" ref="L5:L8" si="0">SUM(I5:K5)</f>
        <v>0</v>
      </c>
      <c r="M5" s="71"/>
      <c r="O5" s="15" t="s">
        <v>7</v>
      </c>
      <c r="P5" s="74"/>
      <c r="Q5" s="69"/>
      <c r="R5" s="75"/>
      <c r="S5" s="43">
        <f t="shared" ref="S5:S8" si="1">SUM(P5:R5)</f>
        <v>0</v>
      </c>
    </row>
    <row r="6" spans="1:34" x14ac:dyDescent="0.15">
      <c r="A6" s="15" t="s">
        <v>8</v>
      </c>
      <c r="B6" s="5"/>
      <c r="C6" s="6"/>
      <c r="D6" s="11"/>
      <c r="E6" s="43">
        <f t="shared" ref="E6:E12" si="2">SUM(B6:D6)</f>
        <v>0</v>
      </c>
      <c r="F6" s="35"/>
      <c r="H6" s="15" t="s">
        <v>8</v>
      </c>
      <c r="I6" s="60">
        <v>350</v>
      </c>
      <c r="J6" s="61">
        <v>400</v>
      </c>
      <c r="K6" s="62">
        <v>250</v>
      </c>
      <c r="L6" s="44">
        <f t="shared" si="0"/>
        <v>1000</v>
      </c>
      <c r="M6" s="71" t="s">
        <v>38</v>
      </c>
      <c r="O6" s="15" t="s">
        <v>27</v>
      </c>
      <c r="P6" s="60">
        <v>400</v>
      </c>
      <c r="Q6" s="61">
        <v>400</v>
      </c>
      <c r="R6" s="62">
        <v>200</v>
      </c>
      <c r="S6" s="44">
        <f t="shared" si="1"/>
        <v>1000</v>
      </c>
      <c r="T6" s="35" t="s">
        <v>36</v>
      </c>
    </row>
    <row r="7" spans="1:34" x14ac:dyDescent="0.15">
      <c r="A7" s="15" t="s">
        <v>9</v>
      </c>
      <c r="B7" s="5"/>
      <c r="C7" s="6"/>
      <c r="D7" s="7"/>
      <c r="E7" s="43">
        <f t="shared" si="2"/>
        <v>0</v>
      </c>
      <c r="F7" s="35"/>
      <c r="H7" s="15" t="s">
        <v>34</v>
      </c>
      <c r="I7" s="60">
        <v>1</v>
      </c>
      <c r="J7" s="61">
        <v>4</v>
      </c>
      <c r="K7" s="62">
        <v>5</v>
      </c>
      <c r="L7" s="44">
        <f t="shared" si="0"/>
        <v>10</v>
      </c>
      <c r="M7" s="71" t="s">
        <v>32</v>
      </c>
      <c r="O7" s="86" t="s">
        <v>9</v>
      </c>
      <c r="P7" s="87">
        <v>-10</v>
      </c>
      <c r="Q7" s="88">
        <v>1</v>
      </c>
      <c r="R7" s="89">
        <v>5</v>
      </c>
      <c r="S7" s="90">
        <f t="shared" si="1"/>
        <v>-4</v>
      </c>
      <c r="T7" s="39" t="s">
        <v>31</v>
      </c>
      <c r="Z7" s="39"/>
    </row>
    <row r="8" spans="1:34" x14ac:dyDescent="0.15">
      <c r="A8" s="15" t="s">
        <v>10</v>
      </c>
      <c r="B8" s="5"/>
      <c r="C8" s="6"/>
      <c r="D8" s="30"/>
      <c r="E8" s="44">
        <f t="shared" si="2"/>
        <v>0</v>
      </c>
      <c r="F8" s="35"/>
      <c r="G8" s="39"/>
      <c r="H8" s="15" t="s">
        <v>10</v>
      </c>
      <c r="I8" s="60"/>
      <c r="J8" s="61"/>
      <c r="K8" s="62"/>
      <c r="L8" s="44">
        <f t="shared" si="0"/>
        <v>0</v>
      </c>
      <c r="M8" s="71"/>
      <c r="O8" s="15" t="s">
        <v>10</v>
      </c>
      <c r="P8" s="60"/>
      <c r="Q8" s="61"/>
      <c r="R8" s="62"/>
      <c r="S8" s="44">
        <f t="shared" si="1"/>
        <v>0</v>
      </c>
      <c r="T8" t="s">
        <v>33</v>
      </c>
      <c r="Z8" s="40"/>
      <c r="AA8" s="40"/>
      <c r="AB8" s="40"/>
      <c r="AC8" s="40"/>
      <c r="AD8" s="40"/>
      <c r="AE8" s="40"/>
      <c r="AF8" s="40"/>
      <c r="AG8" s="40"/>
      <c r="AH8" s="40"/>
    </row>
    <row r="9" spans="1:34" x14ac:dyDescent="0.15">
      <c r="A9" s="15" t="s">
        <v>11</v>
      </c>
      <c r="B9" s="5"/>
      <c r="C9" s="6"/>
      <c r="D9" s="30"/>
      <c r="E9" s="44">
        <f t="shared" si="2"/>
        <v>0</v>
      </c>
      <c r="F9" s="35"/>
      <c r="H9" s="15" t="s">
        <v>11</v>
      </c>
      <c r="I9" s="60"/>
      <c r="J9" s="61"/>
      <c r="K9" s="62"/>
      <c r="L9" s="44">
        <f>SUM(I9:K9)</f>
        <v>0</v>
      </c>
      <c r="M9" s="71"/>
      <c r="O9" s="15" t="s">
        <v>11</v>
      </c>
      <c r="P9" s="60"/>
      <c r="Q9" s="61"/>
      <c r="R9" s="62"/>
      <c r="S9" s="44">
        <f>SUM(P9:R9)</f>
        <v>0</v>
      </c>
    </row>
    <row r="10" spans="1:34" x14ac:dyDescent="0.15">
      <c r="A10" s="15" t="s">
        <v>12</v>
      </c>
      <c r="B10" s="5"/>
      <c r="C10" s="6"/>
      <c r="D10" s="30"/>
      <c r="E10" s="44">
        <f t="shared" si="2"/>
        <v>0</v>
      </c>
      <c r="F10" s="35"/>
      <c r="H10" s="15" t="s">
        <v>12</v>
      </c>
      <c r="I10" s="60"/>
      <c r="J10" s="61"/>
      <c r="K10" s="62"/>
      <c r="L10" s="44">
        <f t="shared" ref="L10:L12" si="3">SUM(I10:K10)</f>
        <v>0</v>
      </c>
      <c r="M10" s="71"/>
      <c r="O10" s="15" t="s">
        <v>12</v>
      </c>
      <c r="P10" s="60"/>
      <c r="Q10" s="61"/>
      <c r="R10" s="62"/>
      <c r="S10" s="44">
        <f t="shared" ref="S10:S12" si="4">SUM(P10:R10)</f>
        <v>0</v>
      </c>
    </row>
    <row r="11" spans="1:34" x14ac:dyDescent="0.15">
      <c r="A11" s="15" t="s">
        <v>13</v>
      </c>
      <c r="B11" s="8"/>
      <c r="C11" s="9"/>
      <c r="D11" s="31"/>
      <c r="E11" s="44">
        <f t="shared" si="2"/>
        <v>0</v>
      </c>
      <c r="F11" s="35"/>
      <c r="H11" s="15" t="s">
        <v>13</v>
      </c>
      <c r="I11" s="63"/>
      <c r="J11" s="64"/>
      <c r="K11" s="65"/>
      <c r="L11" s="44">
        <f t="shared" si="3"/>
        <v>0</v>
      </c>
      <c r="O11" s="15" t="s">
        <v>13</v>
      </c>
      <c r="P11" s="63"/>
      <c r="Q11" s="64"/>
      <c r="R11" s="65"/>
      <c r="S11" s="44">
        <f t="shared" si="4"/>
        <v>0</v>
      </c>
    </row>
    <row r="12" spans="1:34" ht="14.25" thickBot="1" x14ac:dyDescent="0.2">
      <c r="A12" s="15" t="s">
        <v>14</v>
      </c>
      <c r="B12" s="21"/>
      <c r="C12" s="22"/>
      <c r="D12" s="32"/>
      <c r="E12" s="45">
        <f t="shared" si="2"/>
        <v>0</v>
      </c>
      <c r="F12" s="35"/>
      <c r="H12" s="15" t="s">
        <v>14</v>
      </c>
      <c r="I12" s="66"/>
      <c r="J12" s="67"/>
      <c r="K12" s="68"/>
      <c r="L12" s="45">
        <f t="shared" si="3"/>
        <v>0</v>
      </c>
      <c r="O12" s="15" t="s">
        <v>14</v>
      </c>
      <c r="P12" s="66"/>
      <c r="Q12" s="67"/>
      <c r="R12" s="68"/>
      <c r="S12" s="45">
        <f t="shared" si="4"/>
        <v>0</v>
      </c>
    </row>
    <row r="13" spans="1:34" ht="14.25" thickBot="1" x14ac:dyDescent="0.2">
      <c r="A13" s="23" t="s">
        <v>15</v>
      </c>
      <c r="B13" s="18">
        <f>SUM(B4:B12)</f>
        <v>5</v>
      </c>
      <c r="C13" s="19">
        <f>SUM(C4:C12)</f>
        <v>5</v>
      </c>
      <c r="D13" s="20">
        <f>SUM(D4:D12)</f>
        <v>5</v>
      </c>
      <c r="E13" s="46">
        <f>SUM(B13:D13)</f>
        <v>15</v>
      </c>
      <c r="H13" s="23" t="s">
        <v>15</v>
      </c>
      <c r="I13" s="18">
        <f>SUM(I4:I12)</f>
        <v>351</v>
      </c>
      <c r="J13" s="19">
        <f t="shared" ref="J13:L13" si="5">SUM(J4:J12)</f>
        <v>404</v>
      </c>
      <c r="K13" s="20">
        <f t="shared" si="5"/>
        <v>255</v>
      </c>
      <c r="L13" s="46">
        <f t="shared" si="5"/>
        <v>1010</v>
      </c>
      <c r="O13" s="23" t="s">
        <v>15</v>
      </c>
      <c r="P13" s="18">
        <f>SUM(P4:P12)</f>
        <v>390</v>
      </c>
      <c r="Q13" s="19">
        <f>SUM(Q4:Q12)</f>
        <v>401</v>
      </c>
      <c r="R13" s="20">
        <f>SUM(R4:R12)</f>
        <v>205</v>
      </c>
      <c r="S13" s="46">
        <f>SUM(P13:R13)</f>
        <v>996</v>
      </c>
    </row>
    <row r="14" spans="1:34" x14ac:dyDescent="0.15">
      <c r="A14" s="13" t="s">
        <v>43</v>
      </c>
      <c r="B14" s="8"/>
      <c r="C14" s="9"/>
      <c r="D14" s="10">
        <v>1</v>
      </c>
      <c r="E14" s="43">
        <f>SUM(B14:D14)</f>
        <v>1</v>
      </c>
      <c r="F14" s="35">
        <v>45815</v>
      </c>
      <c r="H14" s="16" t="s">
        <v>37</v>
      </c>
      <c r="I14" s="8">
        <v>5</v>
      </c>
      <c r="J14" s="9">
        <v>5</v>
      </c>
      <c r="K14" s="10">
        <v>5</v>
      </c>
      <c r="L14" s="43">
        <f>SUM(I14:K14)</f>
        <v>15</v>
      </c>
      <c r="M14" s="71">
        <v>45762</v>
      </c>
      <c r="O14" s="16" t="s">
        <v>25</v>
      </c>
      <c r="P14" s="8">
        <v>390</v>
      </c>
      <c r="Q14" s="9">
        <v>401</v>
      </c>
      <c r="R14" s="10">
        <v>205</v>
      </c>
      <c r="S14" s="44">
        <f t="shared" ref="S14" si="6">SUM(P14:R14)</f>
        <v>996</v>
      </c>
      <c r="T14" s="35">
        <v>45757</v>
      </c>
      <c r="U14" s="39"/>
    </row>
    <row r="15" spans="1:34" x14ac:dyDescent="0.15">
      <c r="A15" s="13"/>
      <c r="B15" s="5"/>
      <c r="C15" s="6"/>
      <c r="D15" s="7"/>
      <c r="E15" s="43">
        <f t="shared" ref="E15:E40" si="7">SUM(B15:D15)</f>
        <v>0</v>
      </c>
      <c r="F15" s="35"/>
      <c r="H15" s="16" t="s">
        <v>39</v>
      </c>
      <c r="I15" s="5">
        <v>10</v>
      </c>
      <c r="J15" s="6">
        <v>10</v>
      </c>
      <c r="K15" s="7">
        <v>10</v>
      </c>
      <c r="L15" s="43">
        <f t="shared" ref="L15" si="8">SUM(I15:K15)</f>
        <v>30</v>
      </c>
      <c r="M15" s="71">
        <v>45799</v>
      </c>
      <c r="N15" s="39"/>
      <c r="O15" s="16"/>
      <c r="P15" s="5"/>
      <c r="Q15" s="6"/>
      <c r="R15" s="7"/>
      <c r="S15" s="43">
        <f t="shared" ref="S15:S23" si="9">SUM(P15:R15)</f>
        <v>0</v>
      </c>
    </row>
    <row r="16" spans="1:34" x14ac:dyDescent="0.15">
      <c r="A16" s="13"/>
      <c r="B16" s="5"/>
      <c r="C16" s="6"/>
      <c r="D16" s="7"/>
      <c r="E16" s="43">
        <f t="shared" si="7"/>
        <v>0</v>
      </c>
      <c r="F16" s="35"/>
      <c r="H16" s="16" t="s">
        <v>42</v>
      </c>
      <c r="I16" s="5">
        <v>10</v>
      </c>
      <c r="J16" s="6">
        <v>50</v>
      </c>
      <c r="K16" s="7">
        <v>25</v>
      </c>
      <c r="L16" s="43">
        <f t="shared" ref="L16:L39" si="10">SUM(I16:K16)</f>
        <v>85</v>
      </c>
      <c r="M16" s="71">
        <v>45813</v>
      </c>
      <c r="N16" s="39"/>
      <c r="O16" s="16"/>
      <c r="P16" s="5"/>
      <c r="Q16" s="6"/>
      <c r="R16" s="7"/>
      <c r="S16" s="43">
        <f t="shared" si="9"/>
        <v>0</v>
      </c>
      <c r="Z16" s="39"/>
    </row>
    <row r="17" spans="1:26" x14ac:dyDescent="0.15">
      <c r="A17" s="13"/>
      <c r="B17" s="5"/>
      <c r="C17" s="6"/>
      <c r="D17" s="7"/>
      <c r="E17" s="43">
        <f t="shared" si="7"/>
        <v>0</v>
      </c>
      <c r="F17" s="35"/>
      <c r="H17" s="16" t="s">
        <v>44</v>
      </c>
      <c r="I17" s="5">
        <v>16</v>
      </c>
      <c r="J17" s="6"/>
      <c r="K17" s="7">
        <v>23</v>
      </c>
      <c r="L17" s="43">
        <f t="shared" si="10"/>
        <v>39</v>
      </c>
      <c r="M17" s="71">
        <v>45819</v>
      </c>
      <c r="N17" s="39"/>
      <c r="O17" s="16"/>
      <c r="P17" s="5"/>
      <c r="Q17" s="6"/>
      <c r="R17" s="7"/>
      <c r="S17" s="43">
        <f t="shared" si="9"/>
        <v>0</v>
      </c>
      <c r="Z17" s="39"/>
    </row>
    <row r="18" spans="1:26" x14ac:dyDescent="0.15">
      <c r="A18" s="13"/>
      <c r="B18" s="5"/>
      <c r="C18" s="6"/>
      <c r="D18" s="7"/>
      <c r="E18" s="43">
        <f t="shared" si="7"/>
        <v>0</v>
      </c>
      <c r="F18" s="35"/>
      <c r="H18" s="14"/>
      <c r="I18" s="5"/>
      <c r="J18" s="6"/>
      <c r="K18" s="7"/>
      <c r="L18" s="43">
        <f t="shared" ref="L18:L20" si="11">SUM(I18:K18)</f>
        <v>0</v>
      </c>
      <c r="M18" s="71"/>
      <c r="O18" s="14"/>
      <c r="P18" s="5"/>
      <c r="Q18" s="6"/>
      <c r="R18" s="7"/>
      <c r="S18" s="43">
        <f t="shared" si="9"/>
        <v>0</v>
      </c>
      <c r="Z18" s="39"/>
    </row>
    <row r="19" spans="1:26" x14ac:dyDescent="0.15">
      <c r="A19" s="13"/>
      <c r="B19" s="5"/>
      <c r="C19" s="6"/>
      <c r="D19" s="11"/>
      <c r="E19" s="43">
        <f t="shared" si="7"/>
        <v>0</v>
      </c>
      <c r="F19" s="35"/>
      <c r="H19" s="16"/>
      <c r="I19" s="5"/>
      <c r="J19" s="6"/>
      <c r="K19" s="11"/>
      <c r="L19" s="43">
        <f t="shared" si="11"/>
        <v>0</v>
      </c>
      <c r="M19" s="71"/>
      <c r="N19" s="39"/>
      <c r="O19" s="16"/>
      <c r="P19" s="5"/>
      <c r="Q19" s="6"/>
      <c r="R19" s="11"/>
      <c r="S19" s="43">
        <f t="shared" si="9"/>
        <v>0</v>
      </c>
      <c r="Z19" s="39"/>
    </row>
    <row r="20" spans="1:26" x14ac:dyDescent="0.15">
      <c r="A20" s="13"/>
      <c r="B20" s="5"/>
      <c r="C20" s="6"/>
      <c r="D20" s="7"/>
      <c r="E20" s="43">
        <f t="shared" si="7"/>
        <v>0</v>
      </c>
      <c r="F20" s="35"/>
      <c r="H20" s="16"/>
      <c r="I20" s="5"/>
      <c r="J20" s="6"/>
      <c r="K20" s="7"/>
      <c r="L20" s="43">
        <f t="shared" si="11"/>
        <v>0</v>
      </c>
      <c r="M20" s="71"/>
      <c r="N20" s="39"/>
      <c r="O20" s="16"/>
      <c r="P20" s="5"/>
      <c r="Q20" s="6"/>
      <c r="R20" s="7"/>
      <c r="S20" s="43">
        <f t="shared" si="9"/>
        <v>0</v>
      </c>
      <c r="Z20" s="39"/>
    </row>
    <row r="21" spans="1:26" x14ac:dyDescent="0.15">
      <c r="A21" s="13"/>
      <c r="B21" s="5"/>
      <c r="C21" s="6"/>
      <c r="D21" s="7"/>
      <c r="E21" s="43">
        <f t="shared" si="7"/>
        <v>0</v>
      </c>
      <c r="F21" s="35"/>
      <c r="H21" s="16"/>
      <c r="I21" s="5"/>
      <c r="J21" s="6"/>
      <c r="K21" s="7"/>
      <c r="L21" s="43">
        <f t="shared" si="10"/>
        <v>0</v>
      </c>
      <c r="M21" s="71"/>
      <c r="O21" s="16"/>
      <c r="P21" s="5"/>
      <c r="Q21" s="6"/>
      <c r="R21" s="7"/>
      <c r="S21" s="43">
        <f t="shared" si="9"/>
        <v>0</v>
      </c>
      <c r="Z21" s="39"/>
    </row>
    <row r="22" spans="1:26" x14ac:dyDescent="0.15">
      <c r="A22" s="13"/>
      <c r="B22" s="5"/>
      <c r="C22" s="6"/>
      <c r="D22" s="7"/>
      <c r="E22" s="43">
        <f t="shared" si="7"/>
        <v>0</v>
      </c>
      <c r="F22" s="35"/>
      <c r="H22" s="16"/>
      <c r="I22" s="5"/>
      <c r="J22" s="6"/>
      <c r="K22" s="7"/>
      <c r="L22" s="43">
        <f t="shared" si="10"/>
        <v>0</v>
      </c>
      <c r="M22" s="71"/>
      <c r="O22" s="16"/>
      <c r="P22" s="5"/>
      <c r="Q22" s="6"/>
      <c r="R22" s="7"/>
      <c r="S22" s="43">
        <f t="shared" si="9"/>
        <v>0</v>
      </c>
    </row>
    <row r="23" spans="1:26" x14ac:dyDescent="0.15">
      <c r="A23" s="13"/>
      <c r="B23" s="8"/>
      <c r="C23" s="9"/>
      <c r="D23" s="10"/>
      <c r="E23" s="43">
        <f t="shared" si="7"/>
        <v>0</v>
      </c>
      <c r="F23" s="35"/>
      <c r="H23" s="14"/>
      <c r="I23" s="8"/>
      <c r="J23" s="9"/>
      <c r="K23" s="10"/>
      <c r="L23" s="43">
        <f t="shared" si="10"/>
        <v>0</v>
      </c>
      <c r="M23" s="71"/>
      <c r="N23" s="39"/>
      <c r="O23" s="14"/>
      <c r="P23" s="8"/>
      <c r="Q23" s="9"/>
      <c r="R23" s="10"/>
      <c r="S23" s="43">
        <f t="shared" si="9"/>
        <v>0</v>
      </c>
    </row>
    <row r="24" spans="1:26" x14ac:dyDescent="0.15">
      <c r="A24" s="13"/>
      <c r="B24" s="5"/>
      <c r="C24" s="6"/>
      <c r="D24" s="7"/>
      <c r="E24" s="43">
        <f t="shared" si="7"/>
        <v>0</v>
      </c>
      <c r="F24" s="35"/>
      <c r="H24" s="14"/>
      <c r="I24" s="5"/>
      <c r="J24" s="6"/>
      <c r="K24" s="7"/>
      <c r="L24" s="43">
        <f>SUM(I24:K24)</f>
        <v>0</v>
      </c>
      <c r="M24" s="71"/>
      <c r="N24" s="39"/>
      <c r="O24" s="14"/>
      <c r="P24" s="5"/>
      <c r="Q24" s="6"/>
      <c r="R24" s="7"/>
      <c r="S24" s="43">
        <f>SUM(P24:R24)</f>
        <v>0</v>
      </c>
    </row>
    <row r="25" spans="1:26" x14ac:dyDescent="0.15">
      <c r="A25" s="13"/>
      <c r="B25" s="5"/>
      <c r="C25" s="6"/>
      <c r="D25" s="7"/>
      <c r="E25" s="43">
        <f t="shared" si="7"/>
        <v>0</v>
      </c>
      <c r="F25" s="35"/>
      <c r="H25" s="16"/>
      <c r="I25" s="5"/>
      <c r="J25" s="6"/>
      <c r="K25" s="7"/>
      <c r="L25" s="43">
        <f t="shared" ref="L25:L26" si="12">SUM(I25:K25)</f>
        <v>0</v>
      </c>
      <c r="M25" s="71"/>
      <c r="N25" s="39"/>
      <c r="O25" s="16"/>
      <c r="P25" s="5"/>
      <c r="Q25" s="6"/>
      <c r="R25" s="7"/>
      <c r="S25" s="43">
        <f t="shared" ref="S25:S40" si="13">SUM(P25:R25)</f>
        <v>0</v>
      </c>
    </row>
    <row r="26" spans="1:26" x14ac:dyDescent="0.15">
      <c r="A26" s="13"/>
      <c r="B26" s="5"/>
      <c r="C26" s="6"/>
      <c r="D26" s="7"/>
      <c r="E26" s="43">
        <f t="shared" si="7"/>
        <v>0</v>
      </c>
      <c r="F26" s="35"/>
      <c r="H26" s="16"/>
      <c r="I26" s="5"/>
      <c r="J26" s="6"/>
      <c r="K26" s="7"/>
      <c r="L26" s="43">
        <f t="shared" si="12"/>
        <v>0</v>
      </c>
      <c r="M26" s="71"/>
      <c r="O26" s="16"/>
      <c r="P26" s="5"/>
      <c r="Q26" s="6"/>
      <c r="R26" s="7"/>
      <c r="S26" s="43">
        <f t="shared" si="13"/>
        <v>0</v>
      </c>
    </row>
    <row r="27" spans="1:26" x14ac:dyDescent="0.15">
      <c r="A27" s="13"/>
      <c r="B27" s="5"/>
      <c r="C27" s="6"/>
      <c r="D27" s="7"/>
      <c r="E27" s="43">
        <f t="shared" si="7"/>
        <v>0</v>
      </c>
      <c r="F27" s="35"/>
      <c r="H27" s="16"/>
      <c r="I27" s="5"/>
      <c r="J27" s="6"/>
      <c r="K27" s="7"/>
      <c r="L27" s="43">
        <f t="shared" si="10"/>
        <v>0</v>
      </c>
      <c r="M27" s="71"/>
      <c r="O27" s="16"/>
      <c r="P27" s="5"/>
      <c r="Q27" s="6"/>
      <c r="R27" s="7"/>
      <c r="S27" s="43">
        <f t="shared" si="13"/>
        <v>0</v>
      </c>
    </row>
    <row r="28" spans="1:26" x14ac:dyDescent="0.15">
      <c r="A28" s="13"/>
      <c r="B28" s="5"/>
      <c r="C28" s="6"/>
      <c r="D28" s="7"/>
      <c r="E28" s="43">
        <f t="shared" si="7"/>
        <v>0</v>
      </c>
      <c r="F28" s="35"/>
      <c r="H28" s="14"/>
      <c r="I28" s="5"/>
      <c r="J28" s="6"/>
      <c r="K28" s="7"/>
      <c r="L28" s="43">
        <f t="shared" si="10"/>
        <v>0</v>
      </c>
      <c r="M28" s="71"/>
      <c r="N28" s="39"/>
      <c r="O28" s="14"/>
      <c r="P28" s="5"/>
      <c r="Q28" s="6"/>
      <c r="R28" s="7"/>
      <c r="S28" s="43">
        <f t="shared" si="13"/>
        <v>0</v>
      </c>
    </row>
    <row r="29" spans="1:26" x14ac:dyDescent="0.15">
      <c r="A29" s="13"/>
      <c r="B29" s="5"/>
      <c r="C29" s="6"/>
      <c r="D29" s="7"/>
      <c r="E29" s="43">
        <f t="shared" si="7"/>
        <v>0</v>
      </c>
      <c r="F29" s="35"/>
      <c r="H29" s="14"/>
      <c r="I29" s="5"/>
      <c r="J29" s="6"/>
      <c r="K29" s="7"/>
      <c r="L29" s="43">
        <f t="shared" si="10"/>
        <v>0</v>
      </c>
      <c r="M29" s="71"/>
      <c r="N29" s="39"/>
      <c r="O29" s="14"/>
      <c r="P29" s="5"/>
      <c r="Q29" s="6"/>
      <c r="R29" s="7"/>
      <c r="S29" s="43">
        <f t="shared" si="13"/>
        <v>0</v>
      </c>
    </row>
    <row r="30" spans="1:26" x14ac:dyDescent="0.15">
      <c r="A30" s="13"/>
      <c r="B30" s="5"/>
      <c r="C30" s="6"/>
      <c r="D30" s="7"/>
      <c r="E30" s="43">
        <f t="shared" si="7"/>
        <v>0</v>
      </c>
      <c r="F30" s="35"/>
      <c r="H30" s="16"/>
      <c r="I30" s="5"/>
      <c r="J30" s="6"/>
      <c r="K30" s="7"/>
      <c r="L30" s="43">
        <f t="shared" si="10"/>
        <v>0</v>
      </c>
      <c r="M30" s="71"/>
      <c r="N30" s="39"/>
      <c r="O30" s="16"/>
      <c r="P30" s="5"/>
      <c r="Q30" s="6"/>
      <c r="R30" s="7"/>
      <c r="S30" s="43">
        <f t="shared" si="13"/>
        <v>0</v>
      </c>
    </row>
    <row r="31" spans="1:26" x14ac:dyDescent="0.15">
      <c r="A31" s="13"/>
      <c r="B31" s="5"/>
      <c r="C31" s="6"/>
      <c r="D31" s="7"/>
      <c r="E31" s="43">
        <f t="shared" si="7"/>
        <v>0</v>
      </c>
      <c r="F31" s="35"/>
      <c r="G31" s="39"/>
      <c r="H31" s="16"/>
      <c r="I31" s="5"/>
      <c r="J31" s="6"/>
      <c r="K31" s="7"/>
      <c r="L31" s="43">
        <f t="shared" si="10"/>
        <v>0</v>
      </c>
      <c r="M31" s="71"/>
      <c r="N31" s="39"/>
      <c r="O31" s="16"/>
      <c r="P31" s="5"/>
      <c r="Q31" s="6"/>
      <c r="R31" s="7"/>
      <c r="S31" s="43">
        <f t="shared" si="13"/>
        <v>0</v>
      </c>
    </row>
    <row r="32" spans="1:26" x14ac:dyDescent="0.15">
      <c r="A32" s="13"/>
      <c r="B32" s="5"/>
      <c r="C32" s="6"/>
      <c r="D32" s="7"/>
      <c r="E32" s="43">
        <f t="shared" si="7"/>
        <v>0</v>
      </c>
      <c r="F32" s="35"/>
      <c r="H32" s="14"/>
      <c r="I32" s="5"/>
      <c r="J32" s="6"/>
      <c r="K32" s="7"/>
      <c r="L32" s="43">
        <f t="shared" si="10"/>
        <v>0</v>
      </c>
      <c r="M32" s="71"/>
      <c r="O32" s="14"/>
      <c r="P32" s="5"/>
      <c r="Q32" s="6"/>
      <c r="R32" s="7"/>
      <c r="S32" s="43">
        <f t="shared" si="13"/>
        <v>0</v>
      </c>
    </row>
    <row r="33" spans="1:20" x14ac:dyDescent="0.15">
      <c r="A33" s="13"/>
      <c r="B33" s="5"/>
      <c r="C33" s="6"/>
      <c r="D33" s="7"/>
      <c r="E33" s="43">
        <f t="shared" si="7"/>
        <v>0</v>
      </c>
      <c r="F33" s="35"/>
      <c r="H33" s="13"/>
      <c r="I33" s="5"/>
      <c r="J33" s="6"/>
      <c r="K33" s="7"/>
      <c r="L33" s="43">
        <f t="shared" si="10"/>
        <v>0</v>
      </c>
      <c r="M33" s="71"/>
      <c r="O33" s="13"/>
      <c r="P33" s="5"/>
      <c r="Q33" s="6"/>
      <c r="R33" s="7"/>
      <c r="S33" s="43">
        <f t="shared" si="13"/>
        <v>0</v>
      </c>
    </row>
    <row r="34" spans="1:20" x14ac:dyDescent="0.15">
      <c r="A34" s="13"/>
      <c r="B34" s="8"/>
      <c r="C34" s="9"/>
      <c r="D34" s="10"/>
      <c r="E34" s="43">
        <f t="shared" ref="E34" si="14">SUM(B34:D34)</f>
        <v>0</v>
      </c>
      <c r="F34" s="35"/>
      <c r="H34" s="13"/>
      <c r="I34" s="5"/>
      <c r="J34" s="6"/>
      <c r="K34" s="7"/>
      <c r="L34" s="43">
        <f t="shared" ref="L34:L38" si="15">SUM(I34:K34)</f>
        <v>0</v>
      </c>
      <c r="M34" s="71"/>
      <c r="O34" s="13"/>
      <c r="P34" s="5"/>
      <c r="Q34" s="6"/>
      <c r="R34" s="7"/>
      <c r="S34" s="43">
        <f t="shared" si="13"/>
        <v>0</v>
      </c>
    </row>
    <row r="35" spans="1:20" x14ac:dyDescent="0.15">
      <c r="A35" s="13"/>
      <c r="B35" s="8"/>
      <c r="C35" s="9"/>
      <c r="D35" s="10"/>
      <c r="E35" s="43">
        <f t="shared" si="7"/>
        <v>0</v>
      </c>
      <c r="F35" s="35"/>
      <c r="H35" s="13"/>
      <c r="I35" s="5"/>
      <c r="J35" s="6"/>
      <c r="K35" s="7"/>
      <c r="L35" s="43">
        <f t="shared" si="15"/>
        <v>0</v>
      </c>
      <c r="M35" s="71"/>
      <c r="O35" s="13"/>
      <c r="P35" s="5"/>
      <c r="Q35" s="6"/>
      <c r="R35" s="7"/>
      <c r="S35" s="43">
        <f t="shared" si="13"/>
        <v>0</v>
      </c>
    </row>
    <row r="36" spans="1:20" x14ac:dyDescent="0.15">
      <c r="A36" s="13"/>
      <c r="B36" s="5"/>
      <c r="C36" s="6"/>
      <c r="D36" s="7"/>
      <c r="E36" s="43">
        <f t="shared" si="7"/>
        <v>0</v>
      </c>
      <c r="F36" s="35"/>
      <c r="H36" s="13"/>
      <c r="I36" s="5"/>
      <c r="J36" s="6"/>
      <c r="K36" s="7"/>
      <c r="L36" s="43">
        <f t="shared" si="15"/>
        <v>0</v>
      </c>
      <c r="M36" s="71"/>
      <c r="O36" s="13"/>
      <c r="P36" s="5"/>
      <c r="Q36" s="6"/>
      <c r="R36" s="7"/>
      <c r="S36" s="43">
        <f t="shared" si="13"/>
        <v>0</v>
      </c>
    </row>
    <row r="37" spans="1:20" x14ac:dyDescent="0.15">
      <c r="A37" s="14"/>
      <c r="B37" s="8"/>
      <c r="C37" s="9"/>
      <c r="D37" s="10"/>
      <c r="E37" s="44">
        <f t="shared" si="7"/>
        <v>0</v>
      </c>
      <c r="F37" s="35"/>
      <c r="H37" s="13"/>
      <c r="I37" s="5"/>
      <c r="J37" s="6"/>
      <c r="K37" s="7"/>
      <c r="L37" s="43">
        <f t="shared" si="15"/>
        <v>0</v>
      </c>
      <c r="M37" s="71"/>
      <c r="O37" s="13"/>
      <c r="P37" s="5"/>
      <c r="Q37" s="6"/>
      <c r="R37" s="7"/>
      <c r="S37" s="43">
        <f t="shared" si="13"/>
        <v>0</v>
      </c>
    </row>
    <row r="38" spans="1:20" x14ac:dyDescent="0.15">
      <c r="A38" s="13"/>
      <c r="B38" s="5"/>
      <c r="C38" s="6"/>
      <c r="D38" s="7"/>
      <c r="E38" s="43">
        <f t="shared" si="7"/>
        <v>0</v>
      </c>
      <c r="F38" s="35"/>
      <c r="H38" s="91" t="s">
        <v>30</v>
      </c>
      <c r="I38" s="92"/>
      <c r="J38" s="93"/>
      <c r="K38" s="94"/>
      <c r="L38" s="95">
        <f t="shared" si="15"/>
        <v>0</v>
      </c>
      <c r="M38" s="96"/>
      <c r="O38" s="13"/>
      <c r="P38" s="5"/>
      <c r="Q38" s="6"/>
      <c r="R38" s="7"/>
      <c r="S38" s="43">
        <f t="shared" si="13"/>
        <v>0</v>
      </c>
    </row>
    <row r="39" spans="1:20" ht="14.25" thickBot="1" x14ac:dyDescent="0.2">
      <c r="A39" s="13"/>
      <c r="B39" s="8"/>
      <c r="C39" s="9"/>
      <c r="D39" s="10"/>
      <c r="E39" s="47">
        <f t="shared" si="7"/>
        <v>0</v>
      </c>
      <c r="F39" s="35"/>
      <c r="H39" s="16" t="s">
        <v>28</v>
      </c>
      <c r="I39" s="8"/>
      <c r="J39" s="9"/>
      <c r="K39" s="10"/>
      <c r="L39" s="44">
        <f t="shared" si="10"/>
        <v>0</v>
      </c>
      <c r="M39" s="71" t="s">
        <v>29</v>
      </c>
      <c r="O39" s="16" t="s">
        <v>25</v>
      </c>
      <c r="P39" s="8"/>
      <c r="Q39" s="9"/>
      <c r="R39" s="10"/>
      <c r="S39" s="44">
        <f t="shared" si="13"/>
        <v>0</v>
      </c>
      <c r="T39" t="s">
        <v>26</v>
      </c>
    </row>
    <row r="40" spans="1:20" ht="14.25" thickBot="1" x14ac:dyDescent="0.2">
      <c r="A40" s="25" t="s">
        <v>17</v>
      </c>
      <c r="B40" s="28">
        <f>SUM(B14:B39)</f>
        <v>0</v>
      </c>
      <c r="C40" s="29">
        <f t="shared" ref="C40:D40" si="16">SUM(C14:C39)</f>
        <v>0</v>
      </c>
      <c r="D40" s="33">
        <f t="shared" si="16"/>
        <v>1</v>
      </c>
      <c r="E40" s="48">
        <f t="shared" si="7"/>
        <v>1</v>
      </c>
      <c r="F40" s="24"/>
      <c r="H40" s="25" t="s">
        <v>17</v>
      </c>
      <c r="I40" s="28">
        <f>SUM(I14:I39)</f>
        <v>41</v>
      </c>
      <c r="J40" s="29">
        <f t="shared" ref="J40:L40" si="17">SUM(J14:J39)</f>
        <v>65</v>
      </c>
      <c r="K40" s="33">
        <f t="shared" si="17"/>
        <v>63</v>
      </c>
      <c r="L40" s="48">
        <f t="shared" si="17"/>
        <v>169</v>
      </c>
      <c r="M40" s="72"/>
      <c r="O40" s="25" t="s">
        <v>17</v>
      </c>
      <c r="P40" s="28">
        <f>SUM(P14:P39)</f>
        <v>390</v>
      </c>
      <c r="Q40" s="29">
        <f t="shared" ref="Q40:R40" si="18">SUM(Q14:Q39)</f>
        <v>401</v>
      </c>
      <c r="R40" s="33">
        <f t="shared" si="18"/>
        <v>205</v>
      </c>
      <c r="S40" s="48">
        <f t="shared" si="13"/>
        <v>996</v>
      </c>
    </row>
    <row r="41" spans="1:20" ht="14.25" thickBot="1" x14ac:dyDescent="0.2">
      <c r="A41" s="12" t="s">
        <v>16</v>
      </c>
      <c r="B41" s="50">
        <f>B13-B40</f>
        <v>5</v>
      </c>
      <c r="C41" s="51">
        <f t="shared" ref="C41:D41" si="19">C13-C40</f>
        <v>5</v>
      </c>
      <c r="D41" s="52">
        <f t="shared" si="19"/>
        <v>4</v>
      </c>
      <c r="E41" s="49">
        <f>SUM(B41:D41)</f>
        <v>14</v>
      </c>
      <c r="H41" s="12" t="s">
        <v>16</v>
      </c>
      <c r="I41" s="50">
        <f>I13-I40</f>
        <v>310</v>
      </c>
      <c r="J41" s="51">
        <f t="shared" ref="J41:L41" si="20">J13-J40</f>
        <v>339</v>
      </c>
      <c r="K41" s="52">
        <f t="shared" si="20"/>
        <v>192</v>
      </c>
      <c r="L41" s="49">
        <f t="shared" si="20"/>
        <v>841</v>
      </c>
      <c r="O41" s="12" t="s">
        <v>16</v>
      </c>
      <c r="P41" s="50">
        <f>P13-P40</f>
        <v>0</v>
      </c>
      <c r="Q41" s="51">
        <f t="shared" ref="Q41:R41" si="21">Q13-Q40</f>
        <v>0</v>
      </c>
      <c r="R41" s="52">
        <f t="shared" si="21"/>
        <v>0</v>
      </c>
      <c r="S41" s="49">
        <f>SUM(P41:R41)</f>
        <v>0</v>
      </c>
    </row>
    <row r="44" spans="1:20" ht="19.5" thickBot="1" x14ac:dyDescent="0.25">
      <c r="A44" s="79" t="s">
        <v>21</v>
      </c>
      <c r="B44" s="80"/>
      <c r="C44" s="80"/>
      <c r="D44" s="80"/>
      <c r="E44" s="80"/>
      <c r="H44" s="81" t="s">
        <v>23</v>
      </c>
      <c r="I44" s="83"/>
      <c r="J44" s="81">
        <v>560</v>
      </c>
      <c r="K44" s="99">
        <v>1780</v>
      </c>
      <c r="L44" s="83" t="s">
        <v>35</v>
      </c>
    </row>
    <row r="45" spans="1:20" ht="14.25" thickBot="1" x14ac:dyDescent="0.2">
      <c r="A45" s="4" t="s">
        <v>0</v>
      </c>
      <c r="B45" s="125" t="s">
        <v>22</v>
      </c>
      <c r="C45" s="126"/>
      <c r="D45" s="126"/>
      <c r="E45" s="127"/>
      <c r="H45" s="4" t="s">
        <v>0</v>
      </c>
      <c r="I45" s="125" t="s">
        <v>22</v>
      </c>
      <c r="J45" s="126"/>
      <c r="K45" s="126"/>
      <c r="L45" s="127"/>
    </row>
    <row r="46" spans="1:20" ht="14.25" thickBot="1" x14ac:dyDescent="0.2">
      <c r="A46" s="4" t="s">
        <v>1</v>
      </c>
      <c r="B46" s="1" t="s">
        <v>2</v>
      </c>
      <c r="C46" s="2" t="s">
        <v>3</v>
      </c>
      <c r="D46" s="3" t="s">
        <v>4</v>
      </c>
      <c r="E46" s="4" t="s">
        <v>5</v>
      </c>
      <c r="H46" s="4" t="s">
        <v>1</v>
      </c>
      <c r="I46" s="1" t="s">
        <v>2</v>
      </c>
      <c r="J46" s="2" t="s">
        <v>3</v>
      </c>
      <c r="K46" s="3" t="s">
        <v>4</v>
      </c>
      <c r="L46" s="4" t="s">
        <v>5</v>
      </c>
    </row>
    <row r="47" spans="1:20" ht="14.25" thickBot="1" x14ac:dyDescent="0.2">
      <c r="A47" s="17" t="s">
        <v>18</v>
      </c>
      <c r="B47" s="26">
        <f>B41</f>
        <v>5</v>
      </c>
      <c r="C47" s="27">
        <f>C41</f>
        <v>5</v>
      </c>
      <c r="D47" s="34">
        <f>D41</f>
        <v>4</v>
      </c>
      <c r="E47" s="41">
        <f>SUM(B47:D47)</f>
        <v>14</v>
      </c>
      <c r="H47" s="17" t="s">
        <v>18</v>
      </c>
      <c r="I47" s="54">
        <f>I41</f>
        <v>310</v>
      </c>
      <c r="J47" s="55">
        <f t="shared" ref="J47:L47" si="22">J41</f>
        <v>339</v>
      </c>
      <c r="K47" s="56">
        <f t="shared" si="22"/>
        <v>192</v>
      </c>
      <c r="L47" s="53">
        <f t="shared" si="22"/>
        <v>841</v>
      </c>
    </row>
    <row r="48" spans="1:20" x14ac:dyDescent="0.15">
      <c r="A48" s="15" t="s">
        <v>7</v>
      </c>
      <c r="B48" s="26">
        <v>3</v>
      </c>
      <c r="C48" s="27">
        <v>3</v>
      </c>
      <c r="D48" s="38">
        <v>3</v>
      </c>
      <c r="E48" s="42">
        <f>SUM(B48:D48)</f>
        <v>9</v>
      </c>
      <c r="F48" s="35">
        <v>45840</v>
      </c>
      <c r="H48" s="15" t="s">
        <v>7</v>
      </c>
      <c r="I48" s="57"/>
      <c r="J48" s="58"/>
      <c r="K48" s="59"/>
      <c r="L48" s="42">
        <f>SUM(I48:K48)</f>
        <v>0</v>
      </c>
      <c r="M48" s="71"/>
    </row>
    <row r="49" spans="1:15" x14ac:dyDescent="0.15">
      <c r="A49" s="15" t="s">
        <v>53</v>
      </c>
      <c r="B49" s="5"/>
      <c r="C49" s="6">
        <v>1</v>
      </c>
      <c r="D49" s="11"/>
      <c r="E49" s="43">
        <f>SUM(B49:D49)</f>
        <v>1</v>
      </c>
      <c r="F49" s="35">
        <v>45874</v>
      </c>
      <c r="H49" s="15" t="s">
        <v>8</v>
      </c>
      <c r="I49" s="63"/>
      <c r="J49" s="64"/>
      <c r="K49" s="65"/>
      <c r="L49" s="44">
        <f t="shared" ref="L49:L52" si="23">SUM(I49:K49)</f>
        <v>0</v>
      </c>
    </row>
    <row r="50" spans="1:15" x14ac:dyDescent="0.15">
      <c r="A50" s="15" t="s">
        <v>54</v>
      </c>
      <c r="B50" s="5">
        <v>0</v>
      </c>
      <c r="C50" s="6">
        <v>0</v>
      </c>
      <c r="D50" s="7">
        <v>0</v>
      </c>
      <c r="E50" s="43">
        <f t="shared" ref="E50:E55" si="24">SUM(B50:D50)</f>
        <v>0</v>
      </c>
      <c r="F50" s="35">
        <v>45878</v>
      </c>
      <c r="H50" s="15" t="s">
        <v>9</v>
      </c>
      <c r="I50" s="63">
        <v>200</v>
      </c>
      <c r="J50" s="64">
        <v>100</v>
      </c>
      <c r="K50" s="65">
        <v>120</v>
      </c>
      <c r="L50" s="44">
        <f t="shared" si="23"/>
        <v>420</v>
      </c>
      <c r="M50" s="71" t="s">
        <v>51</v>
      </c>
    </row>
    <row r="51" spans="1:15" x14ac:dyDescent="0.15">
      <c r="A51" s="15" t="s">
        <v>10</v>
      </c>
      <c r="B51" s="5">
        <v>5</v>
      </c>
      <c r="C51" s="6"/>
      <c r="D51" s="30">
        <v>5</v>
      </c>
      <c r="E51" s="44">
        <f t="shared" si="24"/>
        <v>10</v>
      </c>
      <c r="F51" s="35">
        <v>45911</v>
      </c>
      <c r="H51" s="15" t="s">
        <v>45</v>
      </c>
      <c r="I51" s="63">
        <v>-53</v>
      </c>
      <c r="J51" s="64">
        <v>-4</v>
      </c>
      <c r="K51" s="65">
        <v>-20</v>
      </c>
      <c r="L51" s="44">
        <f t="shared" si="23"/>
        <v>-77</v>
      </c>
      <c r="M51" s="97"/>
    </row>
    <row r="52" spans="1:15" x14ac:dyDescent="0.15">
      <c r="A52" s="15" t="s">
        <v>56</v>
      </c>
      <c r="B52" s="5">
        <v>1</v>
      </c>
      <c r="C52" s="6"/>
      <c r="D52" s="30">
        <v>1</v>
      </c>
      <c r="E52" s="44">
        <f t="shared" si="24"/>
        <v>2</v>
      </c>
      <c r="F52" s="35">
        <v>45924</v>
      </c>
      <c r="G52" s="39"/>
      <c r="H52" s="15" t="s">
        <v>11</v>
      </c>
      <c r="I52" s="63">
        <v>62</v>
      </c>
      <c r="J52" s="64">
        <v>8</v>
      </c>
      <c r="K52" s="65">
        <v>18</v>
      </c>
      <c r="L52" s="44">
        <f t="shared" si="23"/>
        <v>88</v>
      </c>
      <c r="M52" s="71" t="s">
        <v>52</v>
      </c>
    </row>
    <row r="53" spans="1:15" x14ac:dyDescent="0.15">
      <c r="A53" s="15" t="s">
        <v>56</v>
      </c>
      <c r="B53" s="5"/>
      <c r="C53" s="6">
        <v>1</v>
      </c>
      <c r="D53" s="30"/>
      <c r="E53" s="44">
        <f t="shared" si="24"/>
        <v>1</v>
      </c>
      <c r="F53" s="35">
        <v>45936</v>
      </c>
      <c r="H53" s="15" t="s">
        <v>46</v>
      </c>
      <c r="I53" s="63"/>
      <c r="J53" s="64">
        <v>10</v>
      </c>
      <c r="K53" s="65"/>
      <c r="L53" s="44">
        <f t="shared" ref="L53" si="25">SUM(I53:K53)</f>
        <v>10</v>
      </c>
      <c r="M53" s="71">
        <v>45856</v>
      </c>
    </row>
    <row r="54" spans="1:15" x14ac:dyDescent="0.15">
      <c r="A54" s="106" t="s">
        <v>13</v>
      </c>
      <c r="B54" s="107"/>
      <c r="C54" s="108">
        <v>2</v>
      </c>
      <c r="D54" s="109"/>
      <c r="E54" s="110">
        <f t="shared" si="24"/>
        <v>2</v>
      </c>
      <c r="F54" s="111">
        <v>46057</v>
      </c>
      <c r="H54" s="15" t="s">
        <v>13</v>
      </c>
      <c r="I54" s="63"/>
      <c r="J54" s="64"/>
      <c r="K54" s="65"/>
      <c r="L54" s="44">
        <f t="shared" ref="L54" si="26">SUM(I54:K54)</f>
        <v>0</v>
      </c>
    </row>
    <row r="55" spans="1:15" ht="14.25" thickBot="1" x14ac:dyDescent="0.2">
      <c r="A55" s="15" t="s">
        <v>14</v>
      </c>
      <c r="B55" s="21"/>
      <c r="C55" s="22"/>
      <c r="D55" s="32"/>
      <c r="E55" s="45">
        <f t="shared" si="24"/>
        <v>0</v>
      </c>
      <c r="F55" s="35"/>
      <c r="H55" s="15" t="s">
        <v>14</v>
      </c>
      <c r="I55" s="63"/>
      <c r="J55" s="64"/>
      <c r="K55" s="65"/>
      <c r="L55" s="44">
        <f t="shared" ref="L55" si="27">SUM(I55:K55)</f>
        <v>0</v>
      </c>
    </row>
    <row r="56" spans="1:15" ht="14.25" thickBot="1" x14ac:dyDescent="0.2">
      <c r="A56" s="23" t="s">
        <v>15</v>
      </c>
      <c r="B56" s="18">
        <f>SUM(B47:B55)</f>
        <v>14</v>
      </c>
      <c r="C56" s="19">
        <f t="shared" ref="C56:D56" si="28">SUM(C47:C55)</f>
        <v>12</v>
      </c>
      <c r="D56" s="20">
        <f t="shared" si="28"/>
        <v>13</v>
      </c>
      <c r="E56" s="46">
        <f>SUM(B56:D56)</f>
        <v>39</v>
      </c>
      <c r="H56" s="23" t="s">
        <v>15</v>
      </c>
      <c r="I56" s="18">
        <f>SUM(I47:I55)</f>
        <v>519</v>
      </c>
      <c r="J56" s="19">
        <f t="shared" ref="J56" si="29">SUM(J47:J55)</f>
        <v>453</v>
      </c>
      <c r="K56" s="20">
        <f t="shared" ref="K56" si="30">SUM(K47:K55)</f>
        <v>310</v>
      </c>
      <c r="L56" s="46">
        <f t="shared" ref="L56" si="31">SUM(L47:L55)</f>
        <v>1282</v>
      </c>
    </row>
    <row r="57" spans="1:15" ht="14.25" x14ac:dyDescent="0.15">
      <c r="A57" s="13" t="s">
        <v>49</v>
      </c>
      <c r="B57" s="5">
        <v>2</v>
      </c>
      <c r="C57" s="6">
        <v>2</v>
      </c>
      <c r="D57" s="7">
        <v>2</v>
      </c>
      <c r="E57" s="43">
        <f t="shared" ref="E57:E75" si="32">SUM(B57:D57)</f>
        <v>6</v>
      </c>
      <c r="F57" s="35">
        <v>45841</v>
      </c>
      <c r="H57" s="98" t="s">
        <v>50</v>
      </c>
      <c r="I57" s="5">
        <v>3</v>
      </c>
      <c r="J57" s="6">
        <v>3</v>
      </c>
      <c r="K57" s="7">
        <v>3</v>
      </c>
      <c r="L57" s="43">
        <f>SUM(I57:K57)</f>
        <v>9</v>
      </c>
      <c r="M57" s="73">
        <v>45840</v>
      </c>
      <c r="N57" s="39"/>
      <c r="O57" s="39"/>
    </row>
    <row r="58" spans="1:15" ht="14.25" x14ac:dyDescent="0.15">
      <c r="A58" s="13" t="s">
        <v>49</v>
      </c>
      <c r="B58" s="5">
        <v>2</v>
      </c>
      <c r="C58" s="6"/>
      <c r="D58" s="7"/>
      <c r="E58" s="43">
        <f t="shared" si="32"/>
        <v>2</v>
      </c>
      <c r="F58" s="35">
        <v>45856</v>
      </c>
      <c r="H58" s="98" t="s">
        <v>37</v>
      </c>
      <c r="I58" s="5">
        <v>5</v>
      </c>
      <c r="J58" s="6"/>
      <c r="K58" s="7">
        <v>5</v>
      </c>
      <c r="L58" s="43">
        <f t="shared" ref="L58" si="33">SUM(I58:K58)</f>
        <v>10</v>
      </c>
      <c r="M58" s="73">
        <v>45911</v>
      </c>
      <c r="N58" s="39"/>
      <c r="O58" s="39"/>
    </row>
    <row r="59" spans="1:15" ht="14.25" x14ac:dyDescent="0.15">
      <c r="A59" s="13" t="s">
        <v>49</v>
      </c>
      <c r="B59" s="5"/>
      <c r="C59" s="6">
        <v>1</v>
      </c>
      <c r="D59" s="7"/>
      <c r="E59" s="43">
        <f t="shared" si="32"/>
        <v>1</v>
      </c>
      <c r="F59" s="35">
        <v>45873</v>
      </c>
      <c r="H59" s="100" t="s">
        <v>37</v>
      </c>
      <c r="I59" s="101" t="s">
        <v>19</v>
      </c>
      <c r="J59" s="102">
        <v>2</v>
      </c>
      <c r="K59" s="103"/>
      <c r="L59" s="104">
        <f t="shared" ref="L59:L63" si="34">SUM(I59:K59)</f>
        <v>2</v>
      </c>
      <c r="M59" s="105">
        <v>46057</v>
      </c>
      <c r="N59" s="39"/>
      <c r="O59" s="39"/>
    </row>
    <row r="60" spans="1:15" ht="14.25" x14ac:dyDescent="0.15">
      <c r="A60" s="13" t="s">
        <v>49</v>
      </c>
      <c r="B60" s="5"/>
      <c r="C60" s="6"/>
      <c r="D60" s="7">
        <v>1</v>
      </c>
      <c r="E60" s="43">
        <f t="shared" si="32"/>
        <v>1</v>
      </c>
      <c r="F60" s="35">
        <v>45890</v>
      </c>
      <c r="G60" s="39"/>
      <c r="H60" s="14"/>
      <c r="I60" s="5" t="s">
        <v>19</v>
      </c>
      <c r="J60" s="6"/>
      <c r="K60" s="7"/>
      <c r="L60" s="43">
        <f t="shared" si="34"/>
        <v>0</v>
      </c>
      <c r="M60" s="73"/>
    </row>
    <row r="61" spans="1:15" ht="14.25" x14ac:dyDescent="0.15">
      <c r="A61" s="13" t="s">
        <v>49</v>
      </c>
      <c r="B61" s="5">
        <v>1</v>
      </c>
      <c r="C61" s="6">
        <v>1</v>
      </c>
      <c r="D61" s="7">
        <v>1</v>
      </c>
      <c r="E61" s="43">
        <f t="shared" si="32"/>
        <v>3</v>
      </c>
      <c r="F61" s="35">
        <v>45891</v>
      </c>
      <c r="G61" s="39"/>
      <c r="H61" s="14"/>
      <c r="I61" s="5" t="s">
        <v>19</v>
      </c>
      <c r="J61" s="6"/>
      <c r="K61" s="7"/>
      <c r="L61" s="43">
        <f t="shared" si="34"/>
        <v>0</v>
      </c>
      <c r="M61" s="73"/>
    </row>
    <row r="62" spans="1:15" ht="14.25" x14ac:dyDescent="0.15">
      <c r="A62" s="13" t="s">
        <v>49</v>
      </c>
      <c r="B62" s="5"/>
      <c r="C62" s="6"/>
      <c r="D62" s="7">
        <v>1</v>
      </c>
      <c r="E62" s="43">
        <f t="shared" si="32"/>
        <v>1</v>
      </c>
      <c r="F62" s="35">
        <v>45903</v>
      </c>
      <c r="H62" s="14"/>
      <c r="I62" s="5" t="s">
        <v>19</v>
      </c>
      <c r="J62" s="6"/>
      <c r="K62" s="7"/>
      <c r="L62" s="43">
        <f t="shared" si="34"/>
        <v>0</v>
      </c>
      <c r="M62" s="73"/>
      <c r="N62" s="39"/>
    </row>
    <row r="63" spans="1:15" ht="14.25" x14ac:dyDescent="0.15">
      <c r="A63" s="13" t="s">
        <v>49</v>
      </c>
      <c r="B63" s="5"/>
      <c r="C63" s="6">
        <v>1</v>
      </c>
      <c r="D63" s="7"/>
      <c r="E63" s="43">
        <f t="shared" si="32"/>
        <v>1</v>
      </c>
      <c r="F63" s="35">
        <v>45904</v>
      </c>
      <c r="H63" s="14"/>
      <c r="I63" s="5" t="s">
        <v>19</v>
      </c>
      <c r="J63" s="6"/>
      <c r="K63" s="7"/>
      <c r="L63" s="43">
        <f t="shared" si="34"/>
        <v>0</v>
      </c>
      <c r="M63" s="73"/>
    </row>
    <row r="64" spans="1:15" ht="14.25" x14ac:dyDescent="0.15">
      <c r="A64" s="13" t="s">
        <v>49</v>
      </c>
      <c r="B64" s="5">
        <v>1</v>
      </c>
      <c r="C64" s="6"/>
      <c r="D64" s="7"/>
      <c r="E64" s="43">
        <f t="shared" si="32"/>
        <v>1</v>
      </c>
      <c r="F64" s="35">
        <v>45905</v>
      </c>
      <c r="G64" s="39"/>
      <c r="H64" s="14"/>
      <c r="I64" s="5" t="s">
        <v>19</v>
      </c>
      <c r="J64" s="6"/>
      <c r="K64" s="7"/>
      <c r="L64" s="43">
        <f t="shared" ref="L64:L74" si="35">SUM(I64:K64)</f>
        <v>0</v>
      </c>
      <c r="M64" s="73"/>
    </row>
    <row r="65" spans="1:13" x14ac:dyDescent="0.15">
      <c r="A65" s="13" t="s">
        <v>49</v>
      </c>
      <c r="B65" s="5">
        <v>1</v>
      </c>
      <c r="C65" s="6"/>
      <c r="D65" s="7"/>
      <c r="E65" s="43">
        <f t="shared" si="32"/>
        <v>1</v>
      </c>
      <c r="F65" s="35">
        <v>45911</v>
      </c>
      <c r="G65" s="39"/>
      <c r="H65" s="16"/>
      <c r="I65" s="5"/>
      <c r="J65" s="6"/>
      <c r="K65" s="7"/>
      <c r="L65" s="43">
        <f t="shared" si="35"/>
        <v>0</v>
      </c>
      <c r="M65" s="71"/>
    </row>
    <row r="66" spans="1:13" x14ac:dyDescent="0.15">
      <c r="A66" s="13" t="s">
        <v>49</v>
      </c>
      <c r="B66" s="5"/>
      <c r="C66" s="6">
        <v>1</v>
      </c>
      <c r="D66" s="7"/>
      <c r="E66" s="43">
        <f t="shared" si="32"/>
        <v>1</v>
      </c>
      <c r="F66" s="35">
        <v>45926</v>
      </c>
      <c r="G66" s="39"/>
      <c r="H66" s="14"/>
      <c r="I66" s="8"/>
      <c r="J66" s="9"/>
      <c r="K66" s="10"/>
      <c r="L66" s="43">
        <f t="shared" si="35"/>
        <v>0</v>
      </c>
      <c r="M66" s="71"/>
    </row>
    <row r="67" spans="1:13" x14ac:dyDescent="0.15">
      <c r="A67" s="13" t="s">
        <v>49</v>
      </c>
      <c r="B67" s="5">
        <v>1</v>
      </c>
      <c r="C67" s="6"/>
      <c r="D67" s="7"/>
      <c r="E67" s="43">
        <f t="shared" si="32"/>
        <v>1</v>
      </c>
      <c r="F67" s="35">
        <v>45932</v>
      </c>
      <c r="G67" s="39"/>
      <c r="H67" s="16"/>
      <c r="I67" s="5"/>
      <c r="J67" s="6"/>
      <c r="K67" s="7"/>
      <c r="L67" s="43">
        <f t="shared" si="35"/>
        <v>0</v>
      </c>
      <c r="M67" s="71"/>
    </row>
    <row r="68" spans="1:13" x14ac:dyDescent="0.15">
      <c r="A68" s="13" t="s">
        <v>49</v>
      </c>
      <c r="B68" s="5"/>
      <c r="C68" s="6"/>
      <c r="D68" s="7">
        <v>2</v>
      </c>
      <c r="E68" s="43">
        <f t="shared" si="32"/>
        <v>2</v>
      </c>
      <c r="F68" s="35">
        <v>45933</v>
      </c>
      <c r="G68" s="39"/>
      <c r="H68" s="16"/>
      <c r="I68" s="5"/>
      <c r="J68" s="6"/>
      <c r="K68" s="7"/>
      <c r="L68" s="43">
        <f t="shared" si="35"/>
        <v>0</v>
      </c>
      <c r="M68" s="71"/>
    </row>
    <row r="69" spans="1:13" x14ac:dyDescent="0.15">
      <c r="A69" s="13" t="s">
        <v>49</v>
      </c>
      <c r="B69" s="5"/>
      <c r="C69" s="6">
        <v>1</v>
      </c>
      <c r="D69" s="7"/>
      <c r="E69" s="43">
        <f t="shared" si="32"/>
        <v>1</v>
      </c>
      <c r="F69" s="35">
        <v>45954</v>
      </c>
      <c r="G69" s="39"/>
      <c r="H69" s="14"/>
      <c r="I69" s="5"/>
      <c r="J69" s="6"/>
      <c r="K69" s="7"/>
      <c r="L69" s="43">
        <f t="shared" si="35"/>
        <v>0</v>
      </c>
      <c r="M69" s="71"/>
    </row>
    <row r="70" spans="1:13" x14ac:dyDescent="0.15">
      <c r="A70" s="13" t="s">
        <v>57</v>
      </c>
      <c r="B70" s="5"/>
      <c r="C70" s="6"/>
      <c r="D70" s="7">
        <v>1</v>
      </c>
      <c r="E70" s="43">
        <f t="shared" si="32"/>
        <v>1</v>
      </c>
      <c r="F70" s="35">
        <v>45960</v>
      </c>
      <c r="G70" s="39"/>
      <c r="H70" s="14"/>
      <c r="I70" s="5"/>
      <c r="J70" s="6"/>
      <c r="K70" s="7"/>
      <c r="L70" s="43">
        <f t="shared" si="35"/>
        <v>0</v>
      </c>
      <c r="M70" s="71"/>
    </row>
    <row r="71" spans="1:13" x14ac:dyDescent="0.15">
      <c r="A71" s="13" t="s">
        <v>58</v>
      </c>
      <c r="B71" s="5"/>
      <c r="C71" s="6">
        <v>1</v>
      </c>
      <c r="D71" s="7"/>
      <c r="E71" s="43">
        <f t="shared" si="32"/>
        <v>1</v>
      </c>
      <c r="F71" s="35">
        <v>45999</v>
      </c>
      <c r="G71" s="39"/>
      <c r="H71" s="16"/>
      <c r="I71" s="5"/>
      <c r="J71" s="6"/>
      <c r="K71" s="7"/>
      <c r="L71" s="43">
        <f t="shared" si="35"/>
        <v>0</v>
      </c>
      <c r="M71" s="71"/>
    </row>
    <row r="72" spans="1:13" x14ac:dyDescent="0.15">
      <c r="A72" s="13" t="s">
        <v>43</v>
      </c>
      <c r="B72" s="5"/>
      <c r="C72" s="6">
        <v>1</v>
      </c>
      <c r="D72" s="7"/>
      <c r="E72" s="43">
        <f t="shared" si="32"/>
        <v>1</v>
      </c>
      <c r="F72" s="35">
        <v>46037</v>
      </c>
      <c r="H72" s="16"/>
      <c r="I72" s="5"/>
      <c r="J72" s="6"/>
      <c r="K72" s="7"/>
      <c r="L72" s="43">
        <f t="shared" si="35"/>
        <v>0</v>
      </c>
      <c r="M72" s="71"/>
    </row>
    <row r="73" spans="1:13" x14ac:dyDescent="0.15">
      <c r="A73" s="13" t="s">
        <v>43</v>
      </c>
      <c r="B73" s="5"/>
      <c r="C73" s="6">
        <v>1</v>
      </c>
      <c r="D73" s="7"/>
      <c r="E73" s="43">
        <f t="shared" si="32"/>
        <v>1</v>
      </c>
      <c r="F73" s="35">
        <v>46111</v>
      </c>
      <c r="H73" s="14"/>
      <c r="I73" s="5"/>
      <c r="J73" s="6"/>
      <c r="K73" s="7"/>
      <c r="L73" s="43">
        <f t="shared" si="35"/>
        <v>0</v>
      </c>
      <c r="M73" s="71"/>
    </row>
    <row r="74" spans="1:13" x14ac:dyDescent="0.15">
      <c r="A74" s="13" t="s">
        <v>43</v>
      </c>
      <c r="B74" s="5">
        <v>1</v>
      </c>
      <c r="C74" s="6"/>
      <c r="D74" s="7"/>
      <c r="E74" s="43">
        <f t="shared" si="32"/>
        <v>1</v>
      </c>
      <c r="F74" s="35">
        <v>46128</v>
      </c>
      <c r="H74" s="16"/>
      <c r="I74" s="5"/>
      <c r="J74" s="6"/>
      <c r="K74" s="7"/>
      <c r="L74" s="43">
        <f t="shared" si="35"/>
        <v>0</v>
      </c>
      <c r="M74" s="71"/>
    </row>
    <row r="75" spans="1:13" x14ac:dyDescent="0.15">
      <c r="A75" s="13"/>
      <c r="B75" s="5"/>
      <c r="C75" s="6"/>
      <c r="D75" s="7"/>
      <c r="E75" s="43">
        <f t="shared" si="32"/>
        <v>0</v>
      </c>
      <c r="F75" s="35"/>
      <c r="H75" s="16"/>
      <c r="I75" s="5"/>
      <c r="J75" s="6"/>
      <c r="K75" s="7"/>
      <c r="L75" s="43">
        <f t="shared" ref="L75:L81" si="36">SUM(I75:K75)</f>
        <v>0</v>
      </c>
      <c r="M75" s="71"/>
    </row>
    <row r="76" spans="1:13" x14ac:dyDescent="0.15">
      <c r="A76" s="13"/>
      <c r="B76" s="5"/>
      <c r="C76" s="6"/>
      <c r="D76" s="7"/>
      <c r="E76" s="43">
        <f t="shared" ref="E76:E83" si="37">SUM(B76:D76)</f>
        <v>0</v>
      </c>
      <c r="F76" s="35"/>
      <c r="H76" s="16"/>
      <c r="I76" s="5"/>
      <c r="J76" s="6"/>
      <c r="K76" s="7"/>
      <c r="L76" s="43">
        <f t="shared" si="36"/>
        <v>0</v>
      </c>
      <c r="M76" s="71"/>
    </row>
    <row r="77" spans="1:13" x14ac:dyDescent="0.15">
      <c r="A77" s="14"/>
      <c r="B77" s="5"/>
      <c r="C77" s="6"/>
      <c r="D77" s="7"/>
      <c r="E77" s="43">
        <f t="shared" si="37"/>
        <v>0</v>
      </c>
      <c r="F77" s="35"/>
      <c r="H77" s="16"/>
      <c r="I77" s="5"/>
      <c r="J77" s="6"/>
      <c r="K77" s="7"/>
      <c r="L77" s="43">
        <f t="shared" si="36"/>
        <v>0</v>
      </c>
      <c r="M77" s="71"/>
    </row>
    <row r="78" spans="1:13" x14ac:dyDescent="0.15">
      <c r="A78" s="13"/>
      <c r="B78" s="8"/>
      <c r="C78" s="9"/>
      <c r="D78" s="10"/>
      <c r="E78" s="43">
        <f t="shared" si="37"/>
        <v>0</v>
      </c>
      <c r="F78" s="35"/>
      <c r="H78" s="16"/>
      <c r="I78" s="5"/>
      <c r="J78" s="6"/>
      <c r="K78" s="7"/>
      <c r="L78" s="43">
        <f t="shared" si="36"/>
        <v>0</v>
      </c>
      <c r="M78" s="71"/>
    </row>
    <row r="79" spans="1:13" x14ac:dyDescent="0.15">
      <c r="A79" s="13"/>
      <c r="B79" s="5"/>
      <c r="C79" s="6"/>
      <c r="D79" s="7"/>
      <c r="E79" s="43">
        <f t="shared" si="37"/>
        <v>0</v>
      </c>
      <c r="F79" s="35"/>
      <c r="H79" s="16"/>
      <c r="I79" s="5"/>
      <c r="J79" s="6"/>
      <c r="K79" s="7"/>
      <c r="L79" s="43">
        <f t="shared" si="36"/>
        <v>0</v>
      </c>
      <c r="M79" s="71"/>
    </row>
    <row r="80" spans="1:13" x14ac:dyDescent="0.15">
      <c r="A80" s="13"/>
      <c r="B80" s="8"/>
      <c r="C80" s="9"/>
      <c r="D80" s="10"/>
      <c r="E80" s="44">
        <f t="shared" si="37"/>
        <v>0</v>
      </c>
      <c r="F80" s="35"/>
      <c r="H80" s="16"/>
      <c r="I80" s="5"/>
      <c r="J80" s="6"/>
      <c r="K80" s="7"/>
      <c r="L80" s="43">
        <f t="shared" si="36"/>
        <v>0</v>
      </c>
      <c r="M80" s="71"/>
    </row>
    <row r="81" spans="1:15" x14ac:dyDescent="0.15">
      <c r="A81" s="13"/>
      <c r="B81" s="5"/>
      <c r="C81" s="6"/>
      <c r="D81" s="7"/>
      <c r="E81" s="43">
        <f t="shared" si="37"/>
        <v>0</v>
      </c>
      <c r="F81" s="35"/>
      <c r="H81" s="16" t="s">
        <v>40</v>
      </c>
      <c r="I81" s="5"/>
      <c r="J81" s="6"/>
      <c r="K81" s="7"/>
      <c r="L81" s="43">
        <f t="shared" si="36"/>
        <v>0</v>
      </c>
      <c r="M81" s="71" t="s">
        <v>41</v>
      </c>
    </row>
    <row r="82" spans="1:15" ht="14.25" thickBot="1" x14ac:dyDescent="0.2">
      <c r="A82" s="13"/>
      <c r="B82" s="8"/>
      <c r="C82" s="9"/>
      <c r="D82" s="10"/>
      <c r="E82" s="47">
        <f t="shared" si="37"/>
        <v>0</v>
      </c>
      <c r="F82" s="35"/>
      <c r="H82" s="16" t="s">
        <v>47</v>
      </c>
      <c r="I82" s="5"/>
      <c r="J82" s="6"/>
      <c r="K82" s="7"/>
      <c r="L82" s="43">
        <f t="shared" ref="L82" si="38">SUM(I82:K82)</f>
        <v>0</v>
      </c>
      <c r="M82" s="71" t="s">
        <v>48</v>
      </c>
    </row>
    <row r="83" spans="1:15" ht="14.25" thickBot="1" x14ac:dyDescent="0.2">
      <c r="A83" s="25" t="s">
        <v>17</v>
      </c>
      <c r="B83" s="28">
        <f>SUM(B57:B82)</f>
        <v>9</v>
      </c>
      <c r="C83" s="29">
        <f t="shared" ref="C83:D83" si="39">SUM(C57:C82)</f>
        <v>10</v>
      </c>
      <c r="D83" s="33">
        <f t="shared" si="39"/>
        <v>8</v>
      </c>
      <c r="E83" s="48">
        <f t="shared" si="37"/>
        <v>27</v>
      </c>
      <c r="H83" s="25" t="s">
        <v>17</v>
      </c>
      <c r="I83" s="28">
        <f>SUM(I57:I82)</f>
        <v>8</v>
      </c>
      <c r="J83" s="29">
        <f t="shared" ref="J83" si="40">SUM(J57:J82)</f>
        <v>5</v>
      </c>
      <c r="K83" s="33">
        <f t="shared" ref="K83" si="41">SUM(K57:K82)</f>
        <v>8</v>
      </c>
      <c r="L83" s="48">
        <f t="shared" ref="L83" si="42">SUM(L57:L82)</f>
        <v>21</v>
      </c>
    </row>
    <row r="84" spans="1:15" ht="14.25" thickBot="1" x14ac:dyDescent="0.2">
      <c r="A84" s="12" t="s">
        <v>16</v>
      </c>
      <c r="B84" s="50">
        <f>B56-B83</f>
        <v>5</v>
      </c>
      <c r="C84" s="51">
        <f t="shared" ref="C84:D84" si="43">C56-C83</f>
        <v>2</v>
      </c>
      <c r="D84" s="52">
        <f t="shared" si="43"/>
        <v>5</v>
      </c>
      <c r="E84" s="49">
        <f>SUM(B84:D84)</f>
        <v>12</v>
      </c>
      <c r="H84" s="12" t="s">
        <v>16</v>
      </c>
      <c r="I84" s="50">
        <f>I56-I83</f>
        <v>511</v>
      </c>
      <c r="J84" s="51">
        <f t="shared" ref="J84" si="44">J56-J83</f>
        <v>448</v>
      </c>
      <c r="K84" s="52">
        <f t="shared" ref="K84" si="45">K56-K83</f>
        <v>302</v>
      </c>
      <c r="L84" s="49">
        <f t="shared" ref="L84" si="46">L56-L83</f>
        <v>1261</v>
      </c>
      <c r="O84" t="s">
        <v>55</v>
      </c>
    </row>
    <row r="87" spans="1:15" ht="19.5" thickBot="1" x14ac:dyDescent="0.25">
      <c r="A87" s="79" t="s">
        <v>21</v>
      </c>
      <c r="B87" s="80"/>
      <c r="C87" s="80"/>
      <c r="D87" s="80"/>
      <c r="E87" s="80"/>
      <c r="H87" s="81" t="s">
        <v>23</v>
      </c>
      <c r="I87" s="83"/>
      <c r="J87" s="81">
        <v>560</v>
      </c>
      <c r="K87" s="99">
        <v>1780</v>
      </c>
      <c r="L87" s="83" t="s">
        <v>35</v>
      </c>
    </row>
    <row r="88" spans="1:15" ht="14.25" thickBot="1" x14ac:dyDescent="0.2">
      <c r="A88" s="4" t="s">
        <v>0</v>
      </c>
      <c r="B88" s="125" t="s">
        <v>22</v>
      </c>
      <c r="C88" s="126"/>
      <c r="D88" s="126"/>
      <c r="E88" s="127"/>
      <c r="H88" s="4" t="s">
        <v>0</v>
      </c>
      <c r="I88" s="125" t="s">
        <v>22</v>
      </c>
      <c r="J88" s="126"/>
      <c r="K88" s="126"/>
      <c r="L88" s="127"/>
    </row>
    <row r="89" spans="1:15" ht="14.25" thickBot="1" x14ac:dyDescent="0.2">
      <c r="A89" s="4" t="s">
        <v>1</v>
      </c>
      <c r="B89" s="1" t="s">
        <v>2</v>
      </c>
      <c r="C89" s="2" t="s">
        <v>3</v>
      </c>
      <c r="D89" s="3" t="s">
        <v>4</v>
      </c>
      <c r="E89" s="4" t="s">
        <v>5</v>
      </c>
      <c r="H89" s="4" t="s">
        <v>1</v>
      </c>
      <c r="I89" s="1" t="s">
        <v>2</v>
      </c>
      <c r="J89" s="2" t="s">
        <v>3</v>
      </c>
      <c r="K89" s="3" t="s">
        <v>4</v>
      </c>
      <c r="L89" s="4" t="s">
        <v>5</v>
      </c>
    </row>
    <row r="90" spans="1:15" ht="14.25" thickBot="1" x14ac:dyDescent="0.2">
      <c r="A90" s="17" t="s">
        <v>18</v>
      </c>
      <c r="B90" s="28">
        <f>B84</f>
        <v>5</v>
      </c>
      <c r="C90" s="29">
        <f>C84</f>
        <v>2</v>
      </c>
      <c r="D90" s="116">
        <f>D84</f>
        <v>5</v>
      </c>
      <c r="E90" s="48">
        <f>SUM(B90:D90)</f>
        <v>12</v>
      </c>
      <c r="H90" s="17" t="s">
        <v>18</v>
      </c>
      <c r="I90" s="54">
        <f>I84</f>
        <v>511</v>
      </c>
      <c r="J90" s="55">
        <f t="shared" ref="J90:L90" si="47">J84</f>
        <v>448</v>
      </c>
      <c r="K90" s="56">
        <f t="shared" si="47"/>
        <v>302</v>
      </c>
      <c r="L90" s="53">
        <f t="shared" si="47"/>
        <v>1261</v>
      </c>
    </row>
    <row r="91" spans="1:15" x14ac:dyDescent="0.15">
      <c r="A91" s="15" t="s">
        <v>64</v>
      </c>
      <c r="B91" s="113">
        <v>3</v>
      </c>
      <c r="C91" s="114">
        <v>2</v>
      </c>
      <c r="D91" s="115">
        <v>2</v>
      </c>
      <c r="E91" s="43">
        <f t="shared" ref="E91:E96" si="48">SUM(B91:D91)</f>
        <v>7</v>
      </c>
      <c r="F91" s="36">
        <v>46129</v>
      </c>
      <c r="H91" s="15" t="s">
        <v>7</v>
      </c>
      <c r="I91" s="57"/>
      <c r="J91" s="58"/>
      <c r="K91" s="59"/>
      <c r="L91" s="42">
        <f>SUM(I91:K91)</f>
        <v>0</v>
      </c>
    </row>
    <row r="92" spans="1:15" x14ac:dyDescent="0.15">
      <c r="A92" s="106" t="s">
        <v>8</v>
      </c>
      <c r="B92" s="107"/>
      <c r="C92" s="108">
        <v>5</v>
      </c>
      <c r="D92" s="109"/>
      <c r="E92" s="110">
        <f t="shared" si="48"/>
        <v>5</v>
      </c>
      <c r="F92" s="111">
        <v>46162</v>
      </c>
      <c r="H92" s="15" t="s">
        <v>64</v>
      </c>
      <c r="I92" s="63">
        <v>10</v>
      </c>
      <c r="J92" s="64">
        <v>20</v>
      </c>
      <c r="K92" s="65">
        <v>3</v>
      </c>
      <c r="L92" s="44">
        <f t="shared" ref="L92:L98" si="49">SUM(I92:K92)</f>
        <v>33</v>
      </c>
      <c r="M92" s="71">
        <v>46129</v>
      </c>
    </row>
    <row r="93" spans="1:15" x14ac:dyDescent="0.15">
      <c r="A93" s="15" t="s">
        <v>9</v>
      </c>
      <c r="B93" s="8"/>
      <c r="C93" s="9"/>
      <c r="D93" s="31"/>
      <c r="E93" s="44">
        <f t="shared" si="48"/>
        <v>0</v>
      </c>
      <c r="F93" s="36"/>
      <c r="H93" s="15" t="s">
        <v>66</v>
      </c>
      <c r="I93" s="63">
        <v>3</v>
      </c>
      <c r="J93" s="64">
        <v>2</v>
      </c>
      <c r="K93" s="65">
        <v>2</v>
      </c>
      <c r="L93" s="44">
        <f t="shared" ref="L93:L96" si="50">SUM(I93:K93)</f>
        <v>7</v>
      </c>
      <c r="M93" s="117">
        <v>46130</v>
      </c>
    </row>
    <row r="94" spans="1:15" x14ac:dyDescent="0.15">
      <c r="A94" s="15" t="s">
        <v>10</v>
      </c>
      <c r="B94" s="8"/>
      <c r="C94" s="9"/>
      <c r="D94" s="31"/>
      <c r="E94" s="44">
        <f t="shared" si="48"/>
        <v>0</v>
      </c>
      <c r="F94" s="36"/>
      <c r="H94" s="15" t="s">
        <v>10</v>
      </c>
      <c r="I94" s="63"/>
      <c r="J94" s="64"/>
      <c r="K94" s="65"/>
      <c r="L94" s="44">
        <f t="shared" si="50"/>
        <v>0</v>
      </c>
    </row>
    <row r="95" spans="1:15" x14ac:dyDescent="0.15">
      <c r="A95" s="15" t="s">
        <v>11</v>
      </c>
      <c r="B95" s="8"/>
      <c r="C95" s="9"/>
      <c r="D95" s="31"/>
      <c r="E95" s="44">
        <f t="shared" si="48"/>
        <v>0</v>
      </c>
      <c r="F95" s="36"/>
      <c r="G95" s="39"/>
      <c r="H95" s="15" t="s">
        <v>11</v>
      </c>
      <c r="I95" s="63"/>
      <c r="J95" s="64"/>
      <c r="K95" s="65"/>
      <c r="L95" s="44">
        <f t="shared" si="50"/>
        <v>0</v>
      </c>
    </row>
    <row r="96" spans="1:15" x14ac:dyDescent="0.15">
      <c r="A96" s="15" t="s">
        <v>12</v>
      </c>
      <c r="B96" s="8"/>
      <c r="C96" s="9"/>
      <c r="D96" s="31"/>
      <c r="E96" s="44">
        <f t="shared" si="48"/>
        <v>0</v>
      </c>
      <c r="F96" s="36"/>
      <c r="H96" s="15" t="s">
        <v>12</v>
      </c>
      <c r="I96" s="63"/>
      <c r="J96" s="64"/>
      <c r="K96" s="65"/>
      <c r="L96" s="44">
        <f t="shared" si="50"/>
        <v>0</v>
      </c>
    </row>
    <row r="97" spans="1:13" x14ac:dyDescent="0.15">
      <c r="A97" s="15" t="s">
        <v>13</v>
      </c>
      <c r="B97" s="8"/>
      <c r="C97" s="9"/>
      <c r="D97" s="31"/>
      <c r="E97" s="44">
        <f t="shared" ref="E97:E98" si="51">SUM(B97:D97)</f>
        <v>0</v>
      </c>
      <c r="F97" s="36"/>
      <c r="H97" s="15" t="s">
        <v>13</v>
      </c>
      <c r="I97" s="63"/>
      <c r="J97" s="64"/>
      <c r="K97" s="65"/>
      <c r="L97" s="44">
        <f t="shared" si="49"/>
        <v>0</v>
      </c>
    </row>
    <row r="98" spans="1:13" ht="14.25" thickBot="1" x14ac:dyDescent="0.2">
      <c r="A98" s="15" t="s">
        <v>14</v>
      </c>
      <c r="B98" s="21"/>
      <c r="C98" s="22"/>
      <c r="D98" s="32"/>
      <c r="E98" s="45">
        <f t="shared" si="51"/>
        <v>0</v>
      </c>
      <c r="F98" s="35"/>
      <c r="H98" s="15" t="s">
        <v>14</v>
      </c>
      <c r="I98" s="63"/>
      <c r="J98" s="64"/>
      <c r="K98" s="65"/>
      <c r="L98" s="44">
        <f t="shared" si="49"/>
        <v>0</v>
      </c>
    </row>
    <row r="99" spans="1:13" ht="14.25" thickBot="1" x14ac:dyDescent="0.2">
      <c r="A99" s="23" t="s">
        <v>15</v>
      </c>
      <c r="B99" s="18">
        <f>SUM(B90:B98)</f>
        <v>8</v>
      </c>
      <c r="C99" s="19">
        <f t="shared" ref="C99:D99" si="52">SUM(C90:C98)</f>
        <v>9</v>
      </c>
      <c r="D99" s="20">
        <f t="shared" si="52"/>
        <v>7</v>
      </c>
      <c r="E99" s="46">
        <f>SUM(B99:D99)</f>
        <v>24</v>
      </c>
      <c r="H99" s="23" t="s">
        <v>15</v>
      </c>
      <c r="I99" s="18">
        <f>SUM(I90:I98)</f>
        <v>524</v>
      </c>
      <c r="J99" s="19">
        <f t="shared" ref="J99:L99" si="53">SUM(J90:J98)</f>
        <v>470</v>
      </c>
      <c r="K99" s="20">
        <f t="shared" si="53"/>
        <v>307</v>
      </c>
      <c r="L99" s="46">
        <f t="shared" si="53"/>
        <v>1301</v>
      </c>
    </row>
    <row r="100" spans="1:13" x14ac:dyDescent="0.15">
      <c r="A100" s="13" t="s">
        <v>65</v>
      </c>
      <c r="B100" s="5">
        <v>3</v>
      </c>
      <c r="C100" s="6">
        <v>2</v>
      </c>
      <c r="D100" s="7">
        <v>2</v>
      </c>
      <c r="E100" s="43">
        <f t="shared" ref="E100:E114" si="54">SUM(B100:D100)</f>
        <v>7</v>
      </c>
      <c r="F100" s="35">
        <v>46130</v>
      </c>
      <c r="H100" s="16" t="s">
        <v>62</v>
      </c>
      <c r="I100" s="5">
        <v>22</v>
      </c>
      <c r="J100" s="6">
        <v>24</v>
      </c>
      <c r="K100" s="7">
        <v>20</v>
      </c>
      <c r="L100" s="43">
        <f t="shared" ref="L100:L101" si="55">SUM(I100:K100)</f>
        <v>66</v>
      </c>
      <c r="M100" s="71">
        <v>46087</v>
      </c>
    </row>
    <row r="101" spans="1:13" x14ac:dyDescent="0.15">
      <c r="A101" s="13" t="s">
        <v>43</v>
      </c>
      <c r="B101" s="5"/>
      <c r="C101" s="6"/>
      <c r="D101" s="7">
        <v>1</v>
      </c>
      <c r="E101" s="43">
        <f t="shared" si="54"/>
        <v>1</v>
      </c>
      <c r="F101" s="35">
        <v>46133</v>
      </c>
      <c r="H101" s="16" t="s">
        <v>63</v>
      </c>
      <c r="I101" s="5" t="s">
        <v>19</v>
      </c>
      <c r="J101" s="6">
        <v>10</v>
      </c>
      <c r="K101" s="7"/>
      <c r="L101" s="43">
        <f t="shared" si="55"/>
        <v>10</v>
      </c>
      <c r="M101" s="71">
        <v>46094</v>
      </c>
    </row>
    <row r="102" spans="1:13" x14ac:dyDescent="0.15">
      <c r="A102" s="13" t="s">
        <v>67</v>
      </c>
      <c r="B102" s="5"/>
      <c r="C102" s="6">
        <v>1</v>
      </c>
      <c r="D102" s="7"/>
      <c r="E102" s="43">
        <f t="shared" si="54"/>
        <v>1</v>
      </c>
      <c r="F102" s="35">
        <v>46150</v>
      </c>
      <c r="H102" s="123" t="s">
        <v>69</v>
      </c>
      <c r="I102" s="101" t="s">
        <v>19</v>
      </c>
      <c r="J102" s="102">
        <v>5</v>
      </c>
      <c r="K102" s="103"/>
      <c r="L102" s="104">
        <f t="shared" ref="L102:L125" si="56">SUM(I102:K102)</f>
        <v>5</v>
      </c>
      <c r="M102" s="124">
        <v>46162</v>
      </c>
    </row>
    <row r="103" spans="1:13" x14ac:dyDescent="0.15">
      <c r="A103" s="13" t="s">
        <v>43</v>
      </c>
      <c r="B103" s="5">
        <v>1</v>
      </c>
      <c r="C103" s="6"/>
      <c r="D103" s="7"/>
      <c r="E103" s="43">
        <f t="shared" si="54"/>
        <v>1</v>
      </c>
      <c r="F103" s="35">
        <v>46160</v>
      </c>
      <c r="G103" s="39"/>
      <c r="H103" s="14"/>
      <c r="I103" s="5" t="s">
        <v>19</v>
      </c>
      <c r="J103" s="6"/>
      <c r="K103" s="7"/>
      <c r="L103" s="43">
        <f t="shared" si="56"/>
        <v>0</v>
      </c>
    </row>
    <row r="104" spans="1:13" x14ac:dyDescent="0.15">
      <c r="A104" s="13" t="s">
        <v>71</v>
      </c>
      <c r="B104" s="5"/>
      <c r="C104" s="6">
        <v>1</v>
      </c>
      <c r="D104" s="7"/>
      <c r="E104" s="43">
        <f t="shared" si="54"/>
        <v>1</v>
      </c>
      <c r="F104" s="35">
        <v>46176</v>
      </c>
      <c r="G104" s="39"/>
      <c r="H104" s="14"/>
      <c r="I104" s="5" t="s">
        <v>19</v>
      </c>
      <c r="J104" s="6"/>
      <c r="K104" s="7"/>
      <c r="L104" s="43">
        <f t="shared" si="56"/>
        <v>0</v>
      </c>
    </row>
    <row r="105" spans="1:13" x14ac:dyDescent="0.15">
      <c r="A105" s="13" t="s">
        <v>43</v>
      </c>
      <c r="B105" s="5"/>
      <c r="C105" s="6"/>
      <c r="D105" s="7">
        <v>1</v>
      </c>
      <c r="E105" s="43">
        <f t="shared" si="54"/>
        <v>1</v>
      </c>
      <c r="F105" s="35">
        <v>46181</v>
      </c>
      <c r="H105" s="14"/>
      <c r="I105" s="5" t="s">
        <v>19</v>
      </c>
      <c r="J105" s="6"/>
      <c r="K105" s="7"/>
      <c r="L105" s="43">
        <f t="shared" si="56"/>
        <v>0</v>
      </c>
    </row>
    <row r="106" spans="1:13" x14ac:dyDescent="0.15">
      <c r="A106" s="13" t="s">
        <v>74</v>
      </c>
      <c r="B106" s="5"/>
      <c r="C106" s="6">
        <v>2</v>
      </c>
      <c r="D106" s="7"/>
      <c r="E106" s="43">
        <f t="shared" si="54"/>
        <v>2</v>
      </c>
      <c r="F106" s="35">
        <v>46217</v>
      </c>
      <c r="H106" s="14"/>
      <c r="I106" s="5" t="s">
        <v>19</v>
      </c>
      <c r="J106" s="6"/>
      <c r="K106" s="7"/>
      <c r="L106" s="43">
        <f t="shared" si="56"/>
        <v>0</v>
      </c>
    </row>
    <row r="107" spans="1:13" x14ac:dyDescent="0.15">
      <c r="A107" s="13"/>
      <c r="B107" s="5"/>
      <c r="C107" s="6"/>
      <c r="D107" s="7"/>
      <c r="E107" s="43">
        <f t="shared" si="54"/>
        <v>0</v>
      </c>
      <c r="F107" s="35"/>
      <c r="G107" s="39"/>
      <c r="H107" s="14"/>
      <c r="I107" s="5" t="s">
        <v>19</v>
      </c>
      <c r="J107" s="6"/>
      <c r="K107" s="7"/>
      <c r="L107" s="43">
        <f t="shared" si="56"/>
        <v>0</v>
      </c>
    </row>
    <row r="108" spans="1:13" x14ac:dyDescent="0.15">
      <c r="A108" s="13"/>
      <c r="B108" s="5"/>
      <c r="C108" s="6"/>
      <c r="D108" s="7"/>
      <c r="E108" s="43">
        <f t="shared" si="54"/>
        <v>0</v>
      </c>
      <c r="F108" s="35"/>
      <c r="G108" s="39"/>
      <c r="H108" s="16"/>
      <c r="I108" s="5"/>
      <c r="J108" s="6"/>
      <c r="K108" s="7"/>
      <c r="L108" s="43">
        <f t="shared" si="56"/>
        <v>0</v>
      </c>
    </row>
    <row r="109" spans="1:13" x14ac:dyDescent="0.15">
      <c r="A109" s="13"/>
      <c r="B109" s="5"/>
      <c r="C109" s="6"/>
      <c r="D109" s="7"/>
      <c r="E109" s="43">
        <f t="shared" si="54"/>
        <v>0</v>
      </c>
      <c r="F109" s="35"/>
      <c r="G109" s="39"/>
      <c r="H109" s="14"/>
      <c r="I109" s="8"/>
      <c r="J109" s="9"/>
      <c r="K109" s="10"/>
      <c r="L109" s="43">
        <f t="shared" si="56"/>
        <v>0</v>
      </c>
    </row>
    <row r="110" spans="1:13" x14ac:dyDescent="0.15">
      <c r="A110" s="13"/>
      <c r="B110" s="5"/>
      <c r="C110" s="6"/>
      <c r="D110" s="7"/>
      <c r="E110" s="43">
        <f t="shared" si="54"/>
        <v>0</v>
      </c>
      <c r="F110" s="35"/>
      <c r="G110" s="39"/>
      <c r="H110" s="16"/>
      <c r="I110" s="5"/>
      <c r="J110" s="6"/>
      <c r="K110" s="7"/>
      <c r="L110" s="43">
        <f t="shared" si="56"/>
        <v>0</v>
      </c>
    </row>
    <row r="111" spans="1:13" x14ac:dyDescent="0.15">
      <c r="A111" s="13"/>
      <c r="B111" s="5"/>
      <c r="C111" s="6"/>
      <c r="D111" s="7"/>
      <c r="E111" s="43">
        <f t="shared" si="54"/>
        <v>0</v>
      </c>
      <c r="F111" s="35"/>
      <c r="G111" s="39"/>
      <c r="H111" s="16"/>
      <c r="I111" s="5"/>
      <c r="J111" s="6"/>
      <c r="K111" s="7"/>
      <c r="L111" s="43">
        <f t="shared" si="56"/>
        <v>0</v>
      </c>
    </row>
    <row r="112" spans="1:13" x14ac:dyDescent="0.15">
      <c r="A112" s="13"/>
      <c r="B112" s="5"/>
      <c r="C112" s="6"/>
      <c r="D112" s="7"/>
      <c r="E112" s="43">
        <f t="shared" si="54"/>
        <v>0</v>
      </c>
      <c r="F112" s="35"/>
      <c r="G112" s="39"/>
      <c r="H112" s="14"/>
      <c r="I112" s="5"/>
      <c r="J112" s="6"/>
      <c r="K112" s="7"/>
      <c r="L112" s="43">
        <f t="shared" si="56"/>
        <v>0</v>
      </c>
    </row>
    <row r="113" spans="1:13" x14ac:dyDescent="0.15">
      <c r="A113" s="13"/>
      <c r="B113" s="5"/>
      <c r="C113" s="6"/>
      <c r="D113" s="7"/>
      <c r="E113" s="43">
        <f t="shared" si="54"/>
        <v>0</v>
      </c>
      <c r="F113" s="35"/>
      <c r="G113" s="39"/>
      <c r="H113" s="14"/>
      <c r="I113" s="5"/>
      <c r="J113" s="6"/>
      <c r="K113" s="7"/>
      <c r="L113" s="43">
        <f t="shared" si="56"/>
        <v>0</v>
      </c>
    </row>
    <row r="114" spans="1:13" x14ac:dyDescent="0.15">
      <c r="A114" s="13"/>
      <c r="B114" s="5"/>
      <c r="C114" s="6"/>
      <c r="D114" s="7"/>
      <c r="E114" s="43">
        <f t="shared" si="54"/>
        <v>0</v>
      </c>
      <c r="F114" s="35"/>
      <c r="G114" s="39"/>
      <c r="H114" s="16"/>
      <c r="I114" s="5"/>
      <c r="J114" s="6"/>
      <c r="K114" s="7"/>
      <c r="L114" s="43">
        <f t="shared" si="56"/>
        <v>0</v>
      </c>
    </row>
    <row r="115" spans="1:13" x14ac:dyDescent="0.15">
      <c r="A115" s="13"/>
      <c r="B115" s="5"/>
      <c r="C115" s="6"/>
      <c r="D115" s="7"/>
      <c r="E115" s="43">
        <f t="shared" ref="E115:E126" si="57">SUM(B115:D115)</f>
        <v>0</v>
      </c>
      <c r="F115" s="35"/>
      <c r="H115" s="16"/>
      <c r="I115" s="5"/>
      <c r="J115" s="6"/>
      <c r="K115" s="7"/>
      <c r="L115" s="43">
        <f t="shared" si="56"/>
        <v>0</v>
      </c>
    </row>
    <row r="116" spans="1:13" x14ac:dyDescent="0.15">
      <c r="A116" s="13"/>
      <c r="B116" s="5"/>
      <c r="C116" s="6"/>
      <c r="D116" s="7"/>
      <c r="E116" s="43">
        <f t="shared" si="57"/>
        <v>0</v>
      </c>
      <c r="F116" s="35"/>
      <c r="H116" s="14"/>
      <c r="I116" s="5"/>
      <c r="J116" s="6"/>
      <c r="K116" s="7"/>
      <c r="L116" s="43">
        <f t="shared" si="56"/>
        <v>0</v>
      </c>
    </row>
    <row r="117" spans="1:13" x14ac:dyDescent="0.15">
      <c r="A117" s="13"/>
      <c r="B117" s="5"/>
      <c r="C117" s="6"/>
      <c r="D117" s="7"/>
      <c r="E117" s="43">
        <f t="shared" si="57"/>
        <v>0</v>
      </c>
      <c r="F117" s="35"/>
      <c r="H117" s="16"/>
      <c r="I117" s="5"/>
      <c r="J117" s="6"/>
      <c r="K117" s="7"/>
      <c r="L117" s="43">
        <f t="shared" si="56"/>
        <v>0</v>
      </c>
    </row>
    <row r="118" spans="1:13" x14ac:dyDescent="0.15">
      <c r="A118" s="13"/>
      <c r="B118" s="5"/>
      <c r="C118" s="6"/>
      <c r="D118" s="7"/>
      <c r="E118" s="43">
        <f t="shared" si="57"/>
        <v>0</v>
      </c>
      <c r="F118" s="35"/>
      <c r="H118" s="16"/>
      <c r="I118" s="5"/>
      <c r="J118" s="6"/>
      <c r="K118" s="7"/>
      <c r="L118" s="43">
        <f t="shared" si="56"/>
        <v>0</v>
      </c>
    </row>
    <row r="119" spans="1:13" x14ac:dyDescent="0.15">
      <c r="A119" s="13"/>
      <c r="B119" s="5"/>
      <c r="C119" s="6"/>
      <c r="D119" s="7"/>
      <c r="E119" s="43">
        <f t="shared" si="57"/>
        <v>0</v>
      </c>
      <c r="F119" s="35"/>
      <c r="H119" s="16"/>
      <c r="I119" s="5"/>
      <c r="J119" s="6"/>
      <c r="K119" s="7"/>
      <c r="L119" s="43">
        <f t="shared" si="56"/>
        <v>0</v>
      </c>
    </row>
    <row r="120" spans="1:13" x14ac:dyDescent="0.15">
      <c r="A120" s="14"/>
      <c r="B120" s="5"/>
      <c r="C120" s="6"/>
      <c r="D120" s="7"/>
      <c r="E120" s="43">
        <f t="shared" si="57"/>
        <v>0</v>
      </c>
      <c r="F120" s="35"/>
      <c r="H120" s="16"/>
      <c r="I120" s="5"/>
      <c r="J120" s="6"/>
      <c r="K120" s="7"/>
      <c r="L120" s="43">
        <f t="shared" si="56"/>
        <v>0</v>
      </c>
    </row>
    <row r="121" spans="1:13" x14ac:dyDescent="0.15">
      <c r="A121" s="13"/>
      <c r="B121" s="8"/>
      <c r="C121" s="9"/>
      <c r="D121" s="10"/>
      <c r="E121" s="43">
        <f t="shared" si="57"/>
        <v>0</v>
      </c>
      <c r="F121" s="35"/>
      <c r="H121" s="16"/>
      <c r="I121" s="5"/>
      <c r="J121" s="6"/>
      <c r="K121" s="7"/>
      <c r="L121" s="43">
        <f t="shared" si="56"/>
        <v>0</v>
      </c>
    </row>
    <row r="122" spans="1:13" x14ac:dyDescent="0.15">
      <c r="A122" s="13"/>
      <c r="B122" s="5"/>
      <c r="C122" s="6"/>
      <c r="D122" s="7"/>
      <c r="E122" s="43">
        <f t="shared" si="57"/>
        <v>0</v>
      </c>
      <c r="F122" s="35"/>
      <c r="H122" s="16"/>
      <c r="I122" s="5"/>
      <c r="J122" s="6"/>
      <c r="K122" s="7"/>
      <c r="L122" s="43">
        <f t="shared" si="56"/>
        <v>0</v>
      </c>
    </row>
    <row r="123" spans="1:13" x14ac:dyDescent="0.15">
      <c r="A123" s="13"/>
      <c r="B123" s="8"/>
      <c r="C123" s="9"/>
      <c r="D123" s="10"/>
      <c r="E123" s="44">
        <f t="shared" si="57"/>
        <v>0</v>
      </c>
      <c r="F123" s="35"/>
      <c r="H123" s="16"/>
      <c r="I123" s="5"/>
      <c r="J123" s="6"/>
      <c r="K123" s="7"/>
      <c r="L123" s="43">
        <f t="shared" ref="L123" si="58">SUM(I123:K123)</f>
        <v>0</v>
      </c>
    </row>
    <row r="124" spans="1:13" x14ac:dyDescent="0.15">
      <c r="A124" s="13"/>
      <c r="B124" s="5"/>
      <c r="C124" s="6"/>
      <c r="D124" s="7"/>
      <c r="E124" s="43">
        <f t="shared" si="57"/>
        <v>0</v>
      </c>
      <c r="F124" s="35"/>
      <c r="H124" s="91" t="s">
        <v>61</v>
      </c>
      <c r="I124" s="92"/>
      <c r="J124" s="93"/>
      <c r="K124" s="94"/>
      <c r="L124" s="95">
        <f t="shared" si="56"/>
        <v>0</v>
      </c>
      <c r="M124" s="112"/>
    </row>
    <row r="125" spans="1:13" ht="14.25" thickBot="1" x14ac:dyDescent="0.2">
      <c r="A125" s="13"/>
      <c r="B125" s="8"/>
      <c r="C125" s="9"/>
      <c r="D125" s="10"/>
      <c r="E125" s="47">
        <f t="shared" si="57"/>
        <v>0</v>
      </c>
      <c r="F125" s="35"/>
      <c r="H125" s="16" t="s">
        <v>60</v>
      </c>
      <c r="I125" s="5"/>
      <c r="J125" s="6"/>
      <c r="K125" s="7"/>
      <c r="L125" s="43">
        <f t="shared" si="56"/>
        <v>0</v>
      </c>
      <c r="M125" s="97" t="s">
        <v>59</v>
      </c>
    </row>
    <row r="126" spans="1:13" ht="14.25" thickBot="1" x14ac:dyDescent="0.2">
      <c r="A126" s="25" t="s">
        <v>17</v>
      </c>
      <c r="B126" s="28">
        <f>SUM(B100:B125)</f>
        <v>4</v>
      </c>
      <c r="C126" s="29">
        <f t="shared" ref="C126:D126" si="59">SUM(C100:C125)</f>
        <v>6</v>
      </c>
      <c r="D126" s="33">
        <f t="shared" si="59"/>
        <v>4</v>
      </c>
      <c r="E126" s="48">
        <f t="shared" si="57"/>
        <v>14</v>
      </c>
      <c r="H126" s="25" t="s">
        <v>17</v>
      </c>
      <c r="I126" s="28">
        <f>SUM(I100:I125)</f>
        <v>22</v>
      </c>
      <c r="J126" s="29">
        <f t="shared" ref="J126:L126" si="60">SUM(J100:J125)</f>
        <v>39</v>
      </c>
      <c r="K126" s="33">
        <f t="shared" si="60"/>
        <v>20</v>
      </c>
      <c r="L126" s="48">
        <f t="shared" si="60"/>
        <v>81</v>
      </c>
    </row>
    <row r="127" spans="1:13" ht="14.25" thickBot="1" x14ac:dyDescent="0.2">
      <c r="A127" s="12" t="s">
        <v>16</v>
      </c>
      <c r="B127" s="50">
        <f>B99-B126</f>
        <v>4</v>
      </c>
      <c r="C127" s="51">
        <f t="shared" ref="C127:D127" si="61">C99-C126</f>
        <v>3</v>
      </c>
      <c r="D127" s="52">
        <f t="shared" si="61"/>
        <v>3</v>
      </c>
      <c r="E127" s="49">
        <f>SUM(B127:D127)</f>
        <v>10</v>
      </c>
      <c r="H127" s="12" t="s">
        <v>16</v>
      </c>
      <c r="I127" s="50">
        <f>I99-I126</f>
        <v>502</v>
      </c>
      <c r="J127" s="51">
        <f t="shared" ref="J127:L127" si="62">J99-J126</f>
        <v>431</v>
      </c>
      <c r="K127" s="52">
        <f t="shared" si="62"/>
        <v>287</v>
      </c>
      <c r="L127" s="49">
        <f t="shared" si="62"/>
        <v>1220</v>
      </c>
    </row>
    <row r="130" spans="1:13" ht="19.5" thickBot="1" x14ac:dyDescent="0.25">
      <c r="A130" s="79" t="s">
        <v>21</v>
      </c>
      <c r="B130" s="80"/>
      <c r="C130" s="80"/>
      <c r="D130" s="80"/>
      <c r="E130" s="80"/>
      <c r="H130" s="81" t="s">
        <v>23</v>
      </c>
      <c r="I130" s="83"/>
      <c r="J130" s="81">
        <v>560</v>
      </c>
      <c r="K130" s="99">
        <v>1780</v>
      </c>
      <c r="L130" s="83" t="s">
        <v>35</v>
      </c>
    </row>
    <row r="131" spans="1:13" ht="14.25" thickBot="1" x14ac:dyDescent="0.2">
      <c r="A131" s="4" t="s">
        <v>0</v>
      </c>
      <c r="B131" s="125" t="s">
        <v>22</v>
      </c>
      <c r="C131" s="126"/>
      <c r="D131" s="126"/>
      <c r="E131" s="127"/>
      <c r="H131" s="4" t="s">
        <v>0</v>
      </c>
      <c r="I131" s="125" t="s">
        <v>22</v>
      </c>
      <c r="J131" s="126"/>
      <c r="K131" s="126"/>
      <c r="L131" s="127"/>
    </row>
    <row r="132" spans="1:13" ht="14.25" thickBot="1" x14ac:dyDescent="0.2">
      <c r="A132" s="4" t="s">
        <v>1</v>
      </c>
      <c r="B132" s="1" t="s">
        <v>2</v>
      </c>
      <c r="C132" s="2" t="s">
        <v>3</v>
      </c>
      <c r="D132" s="3" t="s">
        <v>4</v>
      </c>
      <c r="E132" s="4" t="s">
        <v>5</v>
      </c>
      <c r="H132" s="4" t="s">
        <v>1</v>
      </c>
      <c r="I132" s="1" t="s">
        <v>2</v>
      </c>
      <c r="J132" s="2" t="s">
        <v>3</v>
      </c>
      <c r="K132" s="3" t="s">
        <v>4</v>
      </c>
      <c r="L132" s="4" t="s">
        <v>5</v>
      </c>
    </row>
    <row r="133" spans="1:13" ht="14.25" thickBot="1" x14ac:dyDescent="0.2">
      <c r="A133" s="17" t="s">
        <v>18</v>
      </c>
      <c r="B133" s="28">
        <f>B127</f>
        <v>4</v>
      </c>
      <c r="C133" s="29">
        <f>C127</f>
        <v>3</v>
      </c>
      <c r="D133" s="116">
        <f>D127</f>
        <v>3</v>
      </c>
      <c r="E133" s="48">
        <f>SUM(B133:D133)</f>
        <v>10</v>
      </c>
      <c r="H133" s="17" t="s">
        <v>18</v>
      </c>
      <c r="I133" s="54">
        <f>I127</f>
        <v>502</v>
      </c>
      <c r="J133" s="55">
        <f t="shared" ref="J133:L133" si="63">J127</f>
        <v>431</v>
      </c>
      <c r="K133" s="56">
        <f t="shared" si="63"/>
        <v>287</v>
      </c>
      <c r="L133" s="53">
        <f t="shared" si="63"/>
        <v>1220</v>
      </c>
    </row>
    <row r="134" spans="1:13" x14ac:dyDescent="0.15">
      <c r="A134" s="15" t="s">
        <v>7</v>
      </c>
      <c r="B134" s="8"/>
      <c r="C134" s="9"/>
      <c r="D134" s="31"/>
      <c r="E134" s="44">
        <f t="shared" ref="E134" si="64">SUM(B134:D134)</f>
        <v>0</v>
      </c>
      <c r="H134" s="15" t="s">
        <v>7</v>
      </c>
      <c r="I134" s="57"/>
      <c r="J134" s="58"/>
      <c r="K134" s="59"/>
      <c r="L134" s="42">
        <f>SUM(I134:K134)</f>
        <v>0</v>
      </c>
    </row>
    <row r="135" spans="1:13" x14ac:dyDescent="0.15">
      <c r="A135" s="15" t="s">
        <v>8</v>
      </c>
      <c r="B135" s="8"/>
      <c r="C135" s="9"/>
      <c r="D135" s="31"/>
      <c r="E135" s="44">
        <f t="shared" ref="E135:E141" si="65">SUM(B135:D135)</f>
        <v>0</v>
      </c>
      <c r="H135" s="15" t="s">
        <v>8</v>
      </c>
      <c r="I135" s="63"/>
      <c r="J135" s="64"/>
      <c r="K135" s="65"/>
      <c r="L135" s="44">
        <f t="shared" ref="L135:L136" si="66">SUM(I135:K135)</f>
        <v>0</v>
      </c>
    </row>
    <row r="136" spans="1:13" x14ac:dyDescent="0.15">
      <c r="A136" s="15" t="s">
        <v>9</v>
      </c>
      <c r="B136" s="8"/>
      <c r="C136" s="9"/>
      <c r="D136" s="31"/>
      <c r="E136" s="44">
        <f t="shared" si="65"/>
        <v>0</v>
      </c>
      <c r="H136" s="15" t="s">
        <v>9</v>
      </c>
      <c r="I136" s="63"/>
      <c r="J136" s="64"/>
      <c r="K136" s="65"/>
      <c r="L136" s="44">
        <f t="shared" si="66"/>
        <v>0</v>
      </c>
    </row>
    <row r="137" spans="1:13" x14ac:dyDescent="0.15">
      <c r="A137" s="15" t="s">
        <v>10</v>
      </c>
      <c r="B137" s="8"/>
      <c r="C137" s="9"/>
      <c r="D137" s="31"/>
      <c r="E137" s="44">
        <f t="shared" si="65"/>
        <v>0</v>
      </c>
      <c r="H137" s="15" t="s">
        <v>10</v>
      </c>
      <c r="I137" s="63"/>
      <c r="J137" s="64"/>
      <c r="K137" s="65"/>
      <c r="L137" s="44">
        <f t="shared" ref="L137:L141" si="67">SUM(I137:K137)</f>
        <v>0</v>
      </c>
    </row>
    <row r="138" spans="1:13" x14ac:dyDescent="0.15">
      <c r="A138" s="15" t="s">
        <v>11</v>
      </c>
      <c r="B138" s="8"/>
      <c r="C138" s="9"/>
      <c r="D138" s="31"/>
      <c r="E138" s="44">
        <f t="shared" si="65"/>
        <v>0</v>
      </c>
      <c r="H138" s="15" t="s">
        <v>11</v>
      </c>
      <c r="I138" s="63"/>
      <c r="J138" s="64"/>
      <c r="K138" s="65"/>
      <c r="L138" s="44">
        <f t="shared" si="67"/>
        <v>0</v>
      </c>
    </row>
    <row r="139" spans="1:13" x14ac:dyDescent="0.15">
      <c r="A139" s="15" t="s">
        <v>12</v>
      </c>
      <c r="B139" s="8"/>
      <c r="C139" s="9"/>
      <c r="D139" s="31"/>
      <c r="E139" s="44">
        <f t="shared" si="65"/>
        <v>0</v>
      </c>
      <c r="H139" s="15" t="s">
        <v>12</v>
      </c>
      <c r="I139" s="63"/>
      <c r="J139" s="64"/>
      <c r="K139" s="65"/>
      <c r="L139" s="44">
        <f t="shared" si="67"/>
        <v>0</v>
      </c>
    </row>
    <row r="140" spans="1:13" x14ac:dyDescent="0.15">
      <c r="A140" s="15" t="s">
        <v>13</v>
      </c>
      <c r="B140" s="8"/>
      <c r="C140" s="9"/>
      <c r="D140" s="31"/>
      <c r="E140" s="44">
        <f t="shared" si="65"/>
        <v>0</v>
      </c>
      <c r="H140" s="15" t="s">
        <v>13</v>
      </c>
      <c r="I140" s="63"/>
      <c r="J140" s="64"/>
      <c r="K140" s="65"/>
      <c r="L140" s="44">
        <f t="shared" si="67"/>
        <v>0</v>
      </c>
    </row>
    <row r="141" spans="1:13" ht="14.25" thickBot="1" x14ac:dyDescent="0.2">
      <c r="A141" s="15" t="s">
        <v>14</v>
      </c>
      <c r="B141" s="21"/>
      <c r="C141" s="22"/>
      <c r="D141" s="32"/>
      <c r="E141" s="45">
        <f t="shared" si="65"/>
        <v>0</v>
      </c>
      <c r="H141" s="15" t="s">
        <v>14</v>
      </c>
      <c r="I141" s="63"/>
      <c r="J141" s="64"/>
      <c r="K141" s="65"/>
      <c r="L141" s="44">
        <f t="shared" si="67"/>
        <v>0</v>
      </c>
    </row>
    <row r="142" spans="1:13" ht="14.25" thickBot="1" x14ac:dyDescent="0.2">
      <c r="A142" s="23" t="s">
        <v>15</v>
      </c>
      <c r="B142" s="18">
        <f>SUM(B133:B141)</f>
        <v>4</v>
      </c>
      <c r="C142" s="19">
        <f t="shared" ref="C142:D142" si="68">SUM(C133:C141)</f>
        <v>3</v>
      </c>
      <c r="D142" s="20">
        <f t="shared" si="68"/>
        <v>3</v>
      </c>
      <c r="E142" s="46">
        <f>SUM(B142:D142)</f>
        <v>10</v>
      </c>
      <c r="H142" s="23" t="s">
        <v>15</v>
      </c>
      <c r="I142" s="18">
        <f>SUM(I133:I141)</f>
        <v>502</v>
      </c>
      <c r="J142" s="19">
        <f t="shared" ref="J142:L142" si="69">SUM(J133:J141)</f>
        <v>431</v>
      </c>
      <c r="K142" s="20">
        <f t="shared" si="69"/>
        <v>287</v>
      </c>
      <c r="L142" s="46">
        <f t="shared" si="69"/>
        <v>1220</v>
      </c>
    </row>
    <row r="143" spans="1:13" x14ac:dyDescent="0.15">
      <c r="A143" s="13"/>
      <c r="B143" s="5"/>
      <c r="C143" s="6"/>
      <c r="D143" s="7"/>
      <c r="E143" s="43">
        <f t="shared" ref="E143:E145" si="70">SUM(B143:D143)</f>
        <v>0</v>
      </c>
      <c r="H143" s="14"/>
      <c r="I143" s="5" t="s">
        <v>19</v>
      </c>
      <c r="J143" s="6"/>
      <c r="K143" s="7"/>
      <c r="L143" s="43">
        <f t="shared" ref="L143:L144" si="71">SUM(I143:K143)</f>
        <v>0</v>
      </c>
      <c r="M143" s="97"/>
    </row>
    <row r="144" spans="1:13" x14ac:dyDescent="0.15">
      <c r="A144" s="13"/>
      <c r="B144" s="5"/>
      <c r="C144" s="6"/>
      <c r="D144" s="7"/>
      <c r="E144" s="43">
        <f t="shared" si="70"/>
        <v>0</v>
      </c>
      <c r="H144" s="14"/>
      <c r="I144" s="5" t="s">
        <v>19</v>
      </c>
      <c r="J144" s="6"/>
      <c r="K144" s="7"/>
      <c r="L144" s="43">
        <f t="shared" si="71"/>
        <v>0</v>
      </c>
      <c r="M144" s="97"/>
    </row>
    <row r="145" spans="1:13" x14ac:dyDescent="0.15">
      <c r="A145" s="13"/>
      <c r="B145" s="5"/>
      <c r="C145" s="6"/>
      <c r="D145" s="7"/>
      <c r="E145" s="43">
        <f t="shared" si="70"/>
        <v>0</v>
      </c>
      <c r="H145" s="14"/>
      <c r="I145" s="5" t="s">
        <v>19</v>
      </c>
      <c r="J145" s="6"/>
      <c r="K145" s="7"/>
      <c r="L145" s="43">
        <f t="shared" ref="L145:L165" si="72">SUM(I145:K145)</f>
        <v>0</v>
      </c>
      <c r="M145" s="97"/>
    </row>
    <row r="146" spans="1:13" x14ac:dyDescent="0.15">
      <c r="A146" s="13"/>
      <c r="B146" s="5"/>
      <c r="C146" s="6"/>
      <c r="D146" s="7"/>
      <c r="E146" s="43">
        <f t="shared" ref="E146:E169" si="73">SUM(B146:D146)</f>
        <v>0</v>
      </c>
      <c r="H146" s="14"/>
      <c r="I146" s="5" t="s">
        <v>19</v>
      </c>
      <c r="J146" s="6"/>
      <c r="K146" s="7"/>
      <c r="L146" s="43">
        <f t="shared" si="72"/>
        <v>0</v>
      </c>
    </row>
    <row r="147" spans="1:13" x14ac:dyDescent="0.15">
      <c r="A147" s="13"/>
      <c r="B147" s="5"/>
      <c r="C147" s="6"/>
      <c r="D147" s="7"/>
      <c r="E147" s="43">
        <f t="shared" si="73"/>
        <v>0</v>
      </c>
      <c r="H147" s="14"/>
      <c r="I147" s="5" t="s">
        <v>19</v>
      </c>
      <c r="J147" s="6"/>
      <c r="K147" s="7"/>
      <c r="L147" s="43">
        <f t="shared" si="72"/>
        <v>0</v>
      </c>
    </row>
    <row r="148" spans="1:13" x14ac:dyDescent="0.15">
      <c r="A148" s="13"/>
      <c r="B148" s="5"/>
      <c r="C148" s="6"/>
      <c r="D148" s="7"/>
      <c r="E148" s="43">
        <f t="shared" si="73"/>
        <v>0</v>
      </c>
      <c r="H148" s="14"/>
      <c r="I148" s="5" t="s">
        <v>19</v>
      </c>
      <c r="J148" s="6"/>
      <c r="K148" s="7"/>
      <c r="L148" s="43">
        <f t="shared" si="72"/>
        <v>0</v>
      </c>
    </row>
    <row r="149" spans="1:13" x14ac:dyDescent="0.15">
      <c r="A149" s="13"/>
      <c r="B149" s="5"/>
      <c r="C149" s="6"/>
      <c r="D149" s="7"/>
      <c r="E149" s="43">
        <f t="shared" si="73"/>
        <v>0</v>
      </c>
      <c r="H149" s="14"/>
      <c r="I149" s="5" t="s">
        <v>19</v>
      </c>
      <c r="J149" s="6"/>
      <c r="K149" s="7"/>
      <c r="L149" s="43">
        <f t="shared" si="72"/>
        <v>0</v>
      </c>
    </row>
    <row r="150" spans="1:13" x14ac:dyDescent="0.15">
      <c r="A150" s="13"/>
      <c r="B150" s="5"/>
      <c r="C150" s="6"/>
      <c r="D150" s="7"/>
      <c r="E150" s="43">
        <f t="shared" si="73"/>
        <v>0</v>
      </c>
      <c r="H150" s="14"/>
      <c r="I150" s="5" t="s">
        <v>19</v>
      </c>
      <c r="J150" s="6"/>
      <c r="K150" s="7"/>
      <c r="L150" s="43">
        <f t="shared" si="72"/>
        <v>0</v>
      </c>
    </row>
    <row r="151" spans="1:13" x14ac:dyDescent="0.15">
      <c r="A151" s="13"/>
      <c r="B151" s="5"/>
      <c r="C151" s="6"/>
      <c r="D151" s="7"/>
      <c r="E151" s="43">
        <f t="shared" si="73"/>
        <v>0</v>
      </c>
      <c r="H151" s="16"/>
      <c r="I151" s="5"/>
      <c r="J151" s="6"/>
      <c r="K151" s="7"/>
      <c r="L151" s="43">
        <f t="shared" si="72"/>
        <v>0</v>
      </c>
    </row>
    <row r="152" spans="1:13" x14ac:dyDescent="0.15">
      <c r="A152" s="13"/>
      <c r="B152" s="5"/>
      <c r="C152" s="6"/>
      <c r="D152" s="7"/>
      <c r="E152" s="43">
        <f t="shared" si="73"/>
        <v>0</v>
      </c>
      <c r="H152" s="14"/>
      <c r="I152" s="8"/>
      <c r="J152" s="9"/>
      <c r="K152" s="10"/>
      <c r="L152" s="43">
        <f t="shared" si="72"/>
        <v>0</v>
      </c>
    </row>
    <row r="153" spans="1:13" x14ac:dyDescent="0.15">
      <c r="A153" s="13"/>
      <c r="B153" s="5"/>
      <c r="C153" s="6"/>
      <c r="D153" s="7"/>
      <c r="E153" s="43">
        <f t="shared" si="73"/>
        <v>0</v>
      </c>
      <c r="H153" s="16"/>
      <c r="I153" s="5"/>
      <c r="J153" s="6"/>
      <c r="K153" s="7"/>
      <c r="L153" s="43">
        <f t="shared" si="72"/>
        <v>0</v>
      </c>
    </row>
    <row r="154" spans="1:13" x14ac:dyDescent="0.15">
      <c r="A154" s="13"/>
      <c r="B154" s="5"/>
      <c r="C154" s="6"/>
      <c r="D154" s="7"/>
      <c r="E154" s="43">
        <f t="shared" si="73"/>
        <v>0</v>
      </c>
      <c r="H154" s="16"/>
      <c r="I154" s="5"/>
      <c r="J154" s="6"/>
      <c r="K154" s="7"/>
      <c r="L154" s="43">
        <f t="shared" si="72"/>
        <v>0</v>
      </c>
    </row>
    <row r="155" spans="1:13" x14ac:dyDescent="0.15">
      <c r="A155" s="13"/>
      <c r="B155" s="5"/>
      <c r="C155" s="6"/>
      <c r="D155" s="7"/>
      <c r="E155" s="43">
        <f t="shared" si="73"/>
        <v>0</v>
      </c>
      <c r="H155" s="14"/>
      <c r="I155" s="5"/>
      <c r="J155" s="6"/>
      <c r="K155" s="7"/>
      <c r="L155" s="43">
        <f t="shared" si="72"/>
        <v>0</v>
      </c>
    </row>
    <row r="156" spans="1:13" x14ac:dyDescent="0.15">
      <c r="A156" s="13"/>
      <c r="B156" s="5"/>
      <c r="C156" s="6"/>
      <c r="D156" s="7"/>
      <c r="E156" s="43">
        <f t="shared" si="73"/>
        <v>0</v>
      </c>
      <c r="H156" s="14"/>
      <c r="I156" s="5"/>
      <c r="J156" s="6"/>
      <c r="K156" s="7"/>
      <c r="L156" s="43">
        <f t="shared" si="72"/>
        <v>0</v>
      </c>
    </row>
    <row r="157" spans="1:13" x14ac:dyDescent="0.15">
      <c r="A157" s="13"/>
      <c r="B157" s="5"/>
      <c r="C157" s="6"/>
      <c r="D157" s="7"/>
      <c r="E157" s="43">
        <f t="shared" si="73"/>
        <v>0</v>
      </c>
      <c r="H157" s="16"/>
      <c r="I157" s="5"/>
      <c r="J157" s="6"/>
      <c r="K157" s="7"/>
      <c r="L157" s="43">
        <f t="shared" si="72"/>
        <v>0</v>
      </c>
    </row>
    <row r="158" spans="1:13" x14ac:dyDescent="0.15">
      <c r="A158" s="13"/>
      <c r="B158" s="5"/>
      <c r="C158" s="6"/>
      <c r="D158" s="7"/>
      <c r="E158" s="43">
        <f t="shared" si="73"/>
        <v>0</v>
      </c>
      <c r="H158" s="16"/>
      <c r="I158" s="5"/>
      <c r="J158" s="6"/>
      <c r="K158" s="7"/>
      <c r="L158" s="43">
        <f t="shared" si="72"/>
        <v>0</v>
      </c>
    </row>
    <row r="159" spans="1:13" x14ac:dyDescent="0.15">
      <c r="A159" s="13"/>
      <c r="B159" s="5"/>
      <c r="C159" s="6"/>
      <c r="D159" s="7"/>
      <c r="E159" s="43">
        <f t="shared" si="73"/>
        <v>0</v>
      </c>
      <c r="H159" s="14"/>
      <c r="I159" s="5"/>
      <c r="J159" s="6"/>
      <c r="K159" s="7"/>
      <c r="L159" s="43">
        <f t="shared" si="72"/>
        <v>0</v>
      </c>
    </row>
    <row r="160" spans="1:13" x14ac:dyDescent="0.15">
      <c r="A160" s="13"/>
      <c r="B160" s="5"/>
      <c r="C160" s="6"/>
      <c r="D160" s="7"/>
      <c r="E160" s="43">
        <f t="shared" si="73"/>
        <v>0</v>
      </c>
      <c r="H160" s="16"/>
      <c r="I160" s="5"/>
      <c r="J160" s="6"/>
      <c r="K160" s="7"/>
      <c r="L160" s="43">
        <f t="shared" si="72"/>
        <v>0</v>
      </c>
    </row>
    <row r="161" spans="1:13" x14ac:dyDescent="0.15">
      <c r="A161" s="13"/>
      <c r="B161" s="5"/>
      <c r="C161" s="6"/>
      <c r="D161" s="7"/>
      <c r="E161" s="43">
        <f t="shared" si="73"/>
        <v>0</v>
      </c>
      <c r="H161" s="16"/>
      <c r="I161" s="5"/>
      <c r="J161" s="6"/>
      <c r="K161" s="7"/>
      <c r="L161" s="43">
        <f t="shared" si="72"/>
        <v>0</v>
      </c>
    </row>
    <row r="162" spans="1:13" x14ac:dyDescent="0.15">
      <c r="A162" s="13"/>
      <c r="B162" s="5"/>
      <c r="C162" s="6"/>
      <c r="D162" s="7"/>
      <c r="E162" s="43">
        <f t="shared" si="73"/>
        <v>0</v>
      </c>
      <c r="H162" s="16"/>
      <c r="I162" s="5"/>
      <c r="J162" s="6"/>
      <c r="K162" s="7"/>
      <c r="L162" s="43">
        <f t="shared" si="72"/>
        <v>0</v>
      </c>
    </row>
    <row r="163" spans="1:13" x14ac:dyDescent="0.15">
      <c r="A163" s="14"/>
      <c r="B163" s="5"/>
      <c r="C163" s="6"/>
      <c r="D163" s="7"/>
      <c r="E163" s="43">
        <f t="shared" si="73"/>
        <v>0</v>
      </c>
      <c r="H163" s="16"/>
      <c r="I163" s="5"/>
      <c r="J163" s="6"/>
      <c r="K163" s="7"/>
      <c r="L163" s="43">
        <f t="shared" si="72"/>
        <v>0</v>
      </c>
    </row>
    <row r="164" spans="1:13" x14ac:dyDescent="0.15">
      <c r="A164" s="13"/>
      <c r="B164" s="8"/>
      <c r="C164" s="9"/>
      <c r="D164" s="10"/>
      <c r="E164" s="43">
        <f t="shared" si="73"/>
        <v>0</v>
      </c>
      <c r="H164" s="16"/>
      <c r="I164" s="5"/>
      <c r="J164" s="6"/>
      <c r="K164" s="7"/>
      <c r="L164" s="43">
        <f t="shared" si="72"/>
        <v>0</v>
      </c>
    </row>
    <row r="165" spans="1:13" x14ac:dyDescent="0.15">
      <c r="A165" s="13"/>
      <c r="B165" s="5"/>
      <c r="C165" s="6"/>
      <c r="D165" s="7"/>
      <c r="E165" s="43">
        <f t="shared" si="73"/>
        <v>0</v>
      </c>
      <c r="H165" s="16"/>
      <c r="I165" s="5"/>
      <c r="J165" s="6"/>
      <c r="K165" s="7"/>
      <c r="L165" s="43">
        <f t="shared" si="72"/>
        <v>0</v>
      </c>
    </row>
    <row r="166" spans="1:13" x14ac:dyDescent="0.15">
      <c r="A166" s="13"/>
      <c r="B166" s="8"/>
      <c r="C166" s="9"/>
      <c r="D166" s="10"/>
      <c r="E166" s="44">
        <f t="shared" si="73"/>
        <v>0</v>
      </c>
      <c r="H166" s="16"/>
      <c r="I166" s="5"/>
      <c r="J166" s="6"/>
      <c r="K166" s="7"/>
      <c r="L166" s="43">
        <f t="shared" ref="L166:L167" si="74">SUM(I166:K166)</f>
        <v>0</v>
      </c>
    </row>
    <row r="167" spans="1:13" x14ac:dyDescent="0.15">
      <c r="A167" s="13"/>
      <c r="B167" s="5"/>
      <c r="C167" s="6"/>
      <c r="D167" s="7"/>
      <c r="E167" s="43">
        <f t="shared" si="73"/>
        <v>0</v>
      </c>
      <c r="H167" s="118" t="s">
        <v>72</v>
      </c>
      <c r="I167" s="119">
        <v>70</v>
      </c>
      <c r="J167" s="120">
        <v>70</v>
      </c>
      <c r="K167" s="121">
        <v>40</v>
      </c>
      <c r="L167" s="122">
        <f t="shared" si="74"/>
        <v>180</v>
      </c>
      <c r="M167" s="72" t="s">
        <v>73</v>
      </c>
    </row>
    <row r="168" spans="1:13" ht="14.25" thickBot="1" x14ac:dyDescent="0.2">
      <c r="A168" s="13"/>
      <c r="B168" s="8"/>
      <c r="C168" s="9"/>
      <c r="D168" s="10"/>
      <c r="E168" s="47">
        <f t="shared" si="73"/>
        <v>0</v>
      </c>
      <c r="H168" s="118" t="s">
        <v>68</v>
      </c>
      <c r="I168" s="119">
        <v>75</v>
      </c>
      <c r="J168" s="120">
        <v>15</v>
      </c>
      <c r="K168" s="121">
        <v>20</v>
      </c>
      <c r="L168" s="122">
        <f t="shared" ref="L168" si="75">SUM(I168:K168)</f>
        <v>110</v>
      </c>
      <c r="M168" s="72" t="s">
        <v>70</v>
      </c>
    </row>
    <row r="169" spans="1:13" ht="14.25" thickBot="1" x14ac:dyDescent="0.2">
      <c r="A169" s="25" t="s">
        <v>17</v>
      </c>
      <c r="B169" s="28">
        <f>SUM(B143:B168)</f>
        <v>0</v>
      </c>
      <c r="C169" s="29">
        <f t="shared" ref="C169:D169" si="76">SUM(C143:C168)</f>
        <v>0</v>
      </c>
      <c r="D169" s="33">
        <f t="shared" si="76"/>
        <v>0</v>
      </c>
      <c r="E169" s="48">
        <f t="shared" si="73"/>
        <v>0</v>
      </c>
      <c r="H169" s="25" t="s">
        <v>17</v>
      </c>
      <c r="I169" s="28">
        <f>SUM(I143:I168)</f>
        <v>145</v>
      </c>
      <c r="J169" s="29">
        <f t="shared" ref="J169:L169" si="77">SUM(J143:J168)</f>
        <v>85</v>
      </c>
      <c r="K169" s="33">
        <f t="shared" si="77"/>
        <v>60</v>
      </c>
      <c r="L169" s="48">
        <f t="shared" si="77"/>
        <v>290</v>
      </c>
    </row>
    <row r="170" spans="1:13" ht="14.25" thickBot="1" x14ac:dyDescent="0.2">
      <c r="A170" s="12" t="s">
        <v>16</v>
      </c>
      <c r="B170" s="50">
        <f>B142-B169</f>
        <v>4</v>
      </c>
      <c r="C170" s="51">
        <f t="shared" ref="C170:D170" si="78">C142-C169</f>
        <v>3</v>
      </c>
      <c r="D170" s="52">
        <f t="shared" si="78"/>
        <v>3</v>
      </c>
      <c r="E170" s="49">
        <f>SUM(B170:D170)</f>
        <v>10</v>
      </c>
      <c r="H170" s="12" t="s">
        <v>16</v>
      </c>
      <c r="I170" s="50">
        <f>I142-I169</f>
        <v>357</v>
      </c>
      <c r="J170" s="51">
        <f t="shared" ref="J170:L170" si="79">J142-J169</f>
        <v>346</v>
      </c>
      <c r="K170" s="52">
        <f t="shared" si="79"/>
        <v>227</v>
      </c>
      <c r="L170" s="49">
        <f t="shared" si="79"/>
        <v>930</v>
      </c>
    </row>
  </sheetData>
  <mergeCells count="9">
    <mergeCell ref="I131:L131"/>
    <mergeCell ref="B131:E131"/>
    <mergeCell ref="P2:S2"/>
    <mergeCell ref="B88:E88"/>
    <mergeCell ref="I88:L88"/>
    <mergeCell ref="B45:E45"/>
    <mergeCell ref="I45:L45"/>
    <mergeCell ref="B2:E2"/>
    <mergeCell ref="I2:L2"/>
  </mergeCells>
  <phoneticPr fontId="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カットソー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聡祐 松島</cp:lastModifiedBy>
  <cp:lastPrinted>2018-05-21T08:37:08Z</cp:lastPrinted>
  <dcterms:created xsi:type="dcterms:W3CDTF">2017-08-26T01:27:44Z</dcterms:created>
  <dcterms:modified xsi:type="dcterms:W3CDTF">2026-07-14T09:43:49Z</dcterms:modified>
</cp:coreProperties>
</file>