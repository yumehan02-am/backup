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2D8FA32F-699E-4CA8-A92B-9952AF07ABD9}" xr6:coauthVersionLast="47" xr6:coauthVersionMax="47" xr10:uidLastSave="{00000000-0000-0000-0000-000000000000}"/>
  <bookViews>
    <workbookView xWindow="11670" yWindow="1170" windowWidth="16065" windowHeight="124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00" i="1" l="1"/>
  <c r="R1200" i="1"/>
  <c r="T1200" i="1" s="1"/>
  <c r="Q1200" i="1"/>
  <c r="O1200" i="1"/>
  <c r="N1200" i="1"/>
  <c r="M1200" i="1"/>
  <c r="P1238" i="1"/>
  <c r="T1238" i="1"/>
  <c r="U1238" i="1"/>
  <c r="P1239" i="1"/>
  <c r="U1239" i="1" s="1"/>
  <c r="T1239" i="1"/>
  <c r="P1240" i="1"/>
  <c r="T1240" i="1"/>
  <c r="U1240" i="1"/>
  <c r="P1241" i="1"/>
  <c r="U1241" i="1" s="1"/>
  <c r="T1241" i="1"/>
  <c r="P1242" i="1"/>
  <c r="U1242" i="1" s="1"/>
  <c r="T1242" i="1"/>
  <c r="P1243" i="1"/>
  <c r="T1243" i="1"/>
  <c r="U1243" i="1"/>
  <c r="T1284" i="1"/>
  <c r="P1284" i="1"/>
  <c r="T1283" i="1"/>
  <c r="P1283" i="1"/>
  <c r="P1157" i="1"/>
  <c r="O1158" i="1"/>
  <c r="P1286" i="1"/>
  <c r="T1286" i="1"/>
  <c r="P1285" i="1"/>
  <c r="T1285" i="1"/>
  <c r="R1115" i="1"/>
  <c r="T1290" i="1"/>
  <c r="P1290" i="1"/>
  <c r="P1246" i="1"/>
  <c r="P1108" i="1"/>
  <c r="U1108" i="1" s="1"/>
  <c r="T1108" i="1"/>
  <c r="P1152" i="1"/>
  <c r="T1152" i="1"/>
  <c r="P1195" i="1"/>
  <c r="U1195" i="1" s="1"/>
  <c r="T1195" i="1"/>
  <c r="H1287" i="1"/>
  <c r="G1287" i="1"/>
  <c r="F1287" i="1"/>
  <c r="I1287" i="1" s="1"/>
  <c r="D1287" i="1"/>
  <c r="C1287" i="1"/>
  <c r="B1287" i="1"/>
  <c r="E1287" i="1" s="1"/>
  <c r="J1287" i="1" s="1"/>
  <c r="I1286" i="1"/>
  <c r="E1286" i="1"/>
  <c r="J1286" i="1" s="1"/>
  <c r="I1285" i="1"/>
  <c r="E1285" i="1"/>
  <c r="J1285" i="1" s="1"/>
  <c r="I1284" i="1"/>
  <c r="J1284" i="1" s="1"/>
  <c r="E1284" i="1"/>
  <c r="J1283" i="1"/>
  <c r="I1283" i="1"/>
  <c r="E1283" i="1"/>
  <c r="I1282" i="1"/>
  <c r="E1282" i="1"/>
  <c r="J1282" i="1" s="1"/>
  <c r="I1281" i="1"/>
  <c r="E1281" i="1"/>
  <c r="J1281" i="1" s="1"/>
  <c r="I1280" i="1"/>
  <c r="J1280" i="1" s="1"/>
  <c r="E1280" i="1"/>
  <c r="J1279" i="1"/>
  <c r="I1279" i="1"/>
  <c r="E1279" i="1"/>
  <c r="I1278" i="1"/>
  <c r="E1278" i="1"/>
  <c r="J1278" i="1" s="1"/>
  <c r="I1277" i="1"/>
  <c r="E1277" i="1"/>
  <c r="J1277" i="1" s="1"/>
  <c r="I1276" i="1"/>
  <c r="J1276" i="1" s="1"/>
  <c r="E1276" i="1"/>
  <c r="J1275" i="1"/>
  <c r="I1275" i="1"/>
  <c r="E1275" i="1"/>
  <c r="I1274" i="1"/>
  <c r="E1274" i="1"/>
  <c r="J1274" i="1" s="1"/>
  <c r="I1273" i="1"/>
  <c r="E1273" i="1"/>
  <c r="J1273" i="1" s="1"/>
  <c r="I1272" i="1"/>
  <c r="J1272" i="1" s="1"/>
  <c r="E1272" i="1"/>
  <c r="J1271" i="1"/>
  <c r="I1271" i="1"/>
  <c r="E1271" i="1"/>
  <c r="I1270" i="1"/>
  <c r="E1270" i="1"/>
  <c r="J1270" i="1" s="1"/>
  <c r="I1269" i="1"/>
  <c r="E1269" i="1"/>
  <c r="J1269" i="1" s="1"/>
  <c r="I1268" i="1"/>
  <c r="J1268" i="1" s="1"/>
  <c r="E1268" i="1"/>
  <c r="J1267" i="1"/>
  <c r="I1267" i="1"/>
  <c r="E1267" i="1"/>
  <c r="I1266" i="1"/>
  <c r="E1266" i="1"/>
  <c r="J1266" i="1" s="1"/>
  <c r="I1265" i="1"/>
  <c r="E1265" i="1"/>
  <c r="J1265" i="1" s="1"/>
  <c r="I1264" i="1"/>
  <c r="J1264" i="1" s="1"/>
  <c r="E1264" i="1"/>
  <c r="J1263" i="1"/>
  <c r="I1263" i="1"/>
  <c r="E1263" i="1"/>
  <c r="I1262" i="1"/>
  <c r="E1262" i="1"/>
  <c r="J1262" i="1" s="1"/>
  <c r="I1261" i="1"/>
  <c r="E1261" i="1"/>
  <c r="J1261" i="1" s="1"/>
  <c r="I1259" i="1"/>
  <c r="E1259" i="1"/>
  <c r="J1259" i="1" s="1"/>
  <c r="I1258" i="1"/>
  <c r="J1258" i="1" s="1"/>
  <c r="E1258" i="1"/>
  <c r="J1257" i="1"/>
  <c r="I1257" i="1"/>
  <c r="E1257" i="1"/>
  <c r="I1256" i="1"/>
  <c r="E1256" i="1"/>
  <c r="J1256" i="1" s="1"/>
  <c r="I1255" i="1"/>
  <c r="E1255" i="1"/>
  <c r="J1255" i="1" s="1"/>
  <c r="I1254" i="1"/>
  <c r="J1254" i="1" s="1"/>
  <c r="E1254" i="1"/>
  <c r="J1253" i="1"/>
  <c r="I1253" i="1"/>
  <c r="E1253" i="1"/>
  <c r="I1252" i="1"/>
  <c r="E1252" i="1"/>
  <c r="J1252" i="1" s="1"/>
  <c r="P1212" i="1"/>
  <c r="T1212" i="1"/>
  <c r="P1254" i="1"/>
  <c r="U1254" i="1" s="1"/>
  <c r="T1254" i="1"/>
  <c r="S1287" i="1"/>
  <c r="R1287" i="1"/>
  <c r="Q1287" i="1"/>
  <c r="O1287" i="1"/>
  <c r="N1287" i="1"/>
  <c r="M1287" i="1"/>
  <c r="T1282" i="1"/>
  <c r="U1282" i="1" s="1"/>
  <c r="P1282" i="1"/>
  <c r="T1281" i="1"/>
  <c r="P1281" i="1"/>
  <c r="U1281" i="1" s="1"/>
  <c r="T1280" i="1"/>
  <c r="P1280" i="1"/>
  <c r="U1280" i="1" s="1"/>
  <c r="U1279" i="1"/>
  <c r="T1279" i="1"/>
  <c r="P1279" i="1"/>
  <c r="T1278" i="1"/>
  <c r="U1278" i="1" s="1"/>
  <c r="P1278" i="1"/>
  <c r="T1277" i="1"/>
  <c r="P1277" i="1"/>
  <c r="U1277" i="1" s="1"/>
  <c r="T1276" i="1"/>
  <c r="P1276" i="1"/>
  <c r="U1276" i="1" s="1"/>
  <c r="U1275" i="1"/>
  <c r="T1275" i="1"/>
  <c r="P1275" i="1"/>
  <c r="T1274" i="1"/>
  <c r="U1274" i="1" s="1"/>
  <c r="P1274" i="1"/>
  <c r="T1273" i="1"/>
  <c r="P1273" i="1"/>
  <c r="U1273" i="1" s="1"/>
  <c r="T1272" i="1"/>
  <c r="P1272" i="1"/>
  <c r="U1272" i="1" s="1"/>
  <c r="U1271" i="1"/>
  <c r="T1271" i="1"/>
  <c r="P1271" i="1"/>
  <c r="T1270" i="1"/>
  <c r="U1270" i="1" s="1"/>
  <c r="P1270" i="1"/>
  <c r="T1269" i="1"/>
  <c r="P1269" i="1"/>
  <c r="U1269" i="1" s="1"/>
  <c r="T1268" i="1"/>
  <c r="P1268" i="1"/>
  <c r="U1268" i="1" s="1"/>
  <c r="U1267" i="1"/>
  <c r="T1267" i="1"/>
  <c r="P1267" i="1"/>
  <c r="T1266" i="1"/>
  <c r="U1266" i="1" s="1"/>
  <c r="P1266" i="1"/>
  <c r="T1265" i="1"/>
  <c r="P1265" i="1"/>
  <c r="U1265" i="1" s="1"/>
  <c r="T1264" i="1"/>
  <c r="P1264" i="1"/>
  <c r="U1264" i="1" s="1"/>
  <c r="U1263" i="1"/>
  <c r="T1263" i="1"/>
  <c r="P1263" i="1"/>
  <c r="T1262" i="1"/>
  <c r="U1262" i="1" s="1"/>
  <c r="P1262" i="1"/>
  <c r="T1261" i="1"/>
  <c r="P1261" i="1"/>
  <c r="U1261" i="1" s="1"/>
  <c r="T1259" i="1"/>
  <c r="P1259" i="1"/>
  <c r="U1259" i="1" s="1"/>
  <c r="T1258" i="1"/>
  <c r="P1258" i="1"/>
  <c r="U1258" i="1" s="1"/>
  <c r="U1257" i="1"/>
  <c r="T1257" i="1"/>
  <c r="P1257" i="1"/>
  <c r="T1256" i="1"/>
  <c r="P1256" i="1"/>
  <c r="T1255" i="1"/>
  <c r="P1255" i="1"/>
  <c r="U1253" i="1"/>
  <c r="T1253" i="1"/>
  <c r="P1253" i="1"/>
  <c r="T1252" i="1"/>
  <c r="U1252" i="1" s="1"/>
  <c r="P1252" i="1"/>
  <c r="T646" i="1"/>
  <c r="P646" i="1"/>
  <c r="U644" i="1"/>
  <c r="H1244" i="1"/>
  <c r="I1244" i="1" s="1"/>
  <c r="G1244" i="1"/>
  <c r="F1244" i="1"/>
  <c r="D1244" i="1"/>
  <c r="E1244" i="1" s="1"/>
  <c r="J1244" i="1" s="1"/>
  <c r="C1244" i="1"/>
  <c r="B1244" i="1"/>
  <c r="I1243" i="1"/>
  <c r="J1243" i="1" s="1"/>
  <c r="E1243" i="1"/>
  <c r="I1242" i="1"/>
  <c r="E1242" i="1"/>
  <c r="J1242" i="1" s="1"/>
  <c r="I1241" i="1"/>
  <c r="E1241" i="1"/>
  <c r="J1241" i="1" s="1"/>
  <c r="J1240" i="1"/>
  <c r="I1240" i="1"/>
  <c r="E1240" i="1"/>
  <c r="I1239" i="1"/>
  <c r="J1239" i="1" s="1"/>
  <c r="E1239" i="1"/>
  <c r="I1238" i="1"/>
  <c r="E1238" i="1"/>
  <c r="J1238" i="1" s="1"/>
  <c r="I1237" i="1"/>
  <c r="E1237" i="1"/>
  <c r="J1237" i="1" s="1"/>
  <c r="J1236" i="1"/>
  <c r="I1236" i="1"/>
  <c r="E1236" i="1"/>
  <c r="I1235" i="1"/>
  <c r="J1235" i="1" s="1"/>
  <c r="E1235" i="1"/>
  <c r="I1234" i="1"/>
  <c r="E1234" i="1"/>
  <c r="J1234" i="1" s="1"/>
  <c r="I1233" i="1"/>
  <c r="E1233" i="1"/>
  <c r="J1233" i="1" s="1"/>
  <c r="J1232" i="1"/>
  <c r="I1232" i="1"/>
  <c r="E1232" i="1"/>
  <c r="I1231" i="1"/>
  <c r="J1231" i="1" s="1"/>
  <c r="E1231" i="1"/>
  <c r="I1230" i="1"/>
  <c r="E1230" i="1"/>
  <c r="J1230" i="1" s="1"/>
  <c r="I1229" i="1"/>
  <c r="E1229" i="1"/>
  <c r="J1229" i="1" s="1"/>
  <c r="J1228" i="1"/>
  <c r="I1228" i="1"/>
  <c r="E1228" i="1"/>
  <c r="I1227" i="1"/>
  <c r="J1227" i="1" s="1"/>
  <c r="E1227" i="1"/>
  <c r="I1226" i="1"/>
  <c r="E1226" i="1"/>
  <c r="J1226" i="1" s="1"/>
  <c r="I1225" i="1"/>
  <c r="E1225" i="1"/>
  <c r="J1225" i="1" s="1"/>
  <c r="J1224" i="1"/>
  <c r="I1224" i="1"/>
  <c r="E1224" i="1"/>
  <c r="I1223" i="1"/>
  <c r="J1223" i="1" s="1"/>
  <c r="E1223" i="1"/>
  <c r="I1222" i="1"/>
  <c r="E1222" i="1"/>
  <c r="J1222" i="1" s="1"/>
  <c r="I1221" i="1"/>
  <c r="E1221" i="1"/>
  <c r="J1221" i="1" s="1"/>
  <c r="J1220" i="1"/>
  <c r="I1220" i="1"/>
  <c r="E1220" i="1"/>
  <c r="I1219" i="1"/>
  <c r="J1219" i="1" s="1"/>
  <c r="E1219" i="1"/>
  <c r="I1218" i="1"/>
  <c r="E1218" i="1"/>
  <c r="J1218" i="1" s="1"/>
  <c r="I1216" i="1"/>
  <c r="E1216" i="1"/>
  <c r="J1216" i="1" s="1"/>
  <c r="I1215" i="1"/>
  <c r="E1215" i="1"/>
  <c r="J1215" i="1" s="1"/>
  <c r="J1214" i="1"/>
  <c r="I1214" i="1"/>
  <c r="E1214" i="1"/>
  <c r="I1213" i="1"/>
  <c r="J1213" i="1" s="1"/>
  <c r="E1213" i="1"/>
  <c r="I1212" i="1"/>
  <c r="E1212" i="1"/>
  <c r="J1212" i="1" s="1"/>
  <c r="I1211" i="1"/>
  <c r="E1211" i="1"/>
  <c r="J1211" i="1" s="1"/>
  <c r="J1210" i="1"/>
  <c r="I1210" i="1"/>
  <c r="E1210" i="1"/>
  <c r="I1209" i="1"/>
  <c r="J1209" i="1" s="1"/>
  <c r="E1209" i="1"/>
  <c r="S1244" i="1"/>
  <c r="R1244" i="1"/>
  <c r="O1244" i="1"/>
  <c r="N1244" i="1"/>
  <c r="P1213" i="1"/>
  <c r="U1213" i="1" s="1"/>
  <c r="T1213" i="1"/>
  <c r="Q1244" i="1"/>
  <c r="M1244" i="1"/>
  <c r="U1237" i="1"/>
  <c r="T1237" i="1"/>
  <c r="P1237" i="1"/>
  <c r="U1236" i="1"/>
  <c r="T1236" i="1"/>
  <c r="P1236" i="1"/>
  <c r="T1235" i="1"/>
  <c r="P1235" i="1"/>
  <c r="U1235" i="1" s="1"/>
  <c r="T1234" i="1"/>
  <c r="P1234" i="1"/>
  <c r="U1234" i="1" s="1"/>
  <c r="U1233" i="1"/>
  <c r="T1233" i="1"/>
  <c r="P1233" i="1"/>
  <c r="U1232" i="1"/>
  <c r="T1232" i="1"/>
  <c r="P1232" i="1"/>
  <c r="T1231" i="1"/>
  <c r="P1231" i="1"/>
  <c r="U1231" i="1" s="1"/>
  <c r="T1230" i="1"/>
  <c r="P1230" i="1"/>
  <c r="U1230" i="1" s="1"/>
  <c r="U1229" i="1"/>
  <c r="T1229" i="1"/>
  <c r="P1229" i="1"/>
  <c r="U1228" i="1"/>
  <c r="T1228" i="1"/>
  <c r="P1228" i="1"/>
  <c r="T1227" i="1"/>
  <c r="P1227" i="1"/>
  <c r="U1227" i="1" s="1"/>
  <c r="T1226" i="1"/>
  <c r="P1226" i="1"/>
  <c r="U1226" i="1" s="1"/>
  <c r="U1225" i="1"/>
  <c r="T1225" i="1"/>
  <c r="P1225" i="1"/>
  <c r="U1224" i="1"/>
  <c r="T1224" i="1"/>
  <c r="P1224" i="1"/>
  <c r="T1223" i="1"/>
  <c r="P1223" i="1"/>
  <c r="U1223" i="1" s="1"/>
  <c r="T1222" i="1"/>
  <c r="P1222" i="1"/>
  <c r="U1222" i="1" s="1"/>
  <c r="U1221" i="1"/>
  <c r="T1221" i="1"/>
  <c r="P1221" i="1"/>
  <c r="U1220" i="1"/>
  <c r="T1220" i="1"/>
  <c r="P1220" i="1"/>
  <c r="T1219" i="1"/>
  <c r="P1219" i="1"/>
  <c r="U1219" i="1" s="1"/>
  <c r="T1218" i="1"/>
  <c r="P1218" i="1"/>
  <c r="U1218" i="1" s="1"/>
  <c r="T1216" i="1"/>
  <c r="P1216" i="1"/>
  <c r="U1216" i="1" s="1"/>
  <c r="U1215" i="1"/>
  <c r="T1215" i="1"/>
  <c r="P1215" i="1"/>
  <c r="U1214" i="1"/>
  <c r="T1214" i="1"/>
  <c r="P1214" i="1"/>
  <c r="T1211" i="1"/>
  <c r="P1211" i="1"/>
  <c r="T1210" i="1"/>
  <c r="P1210" i="1"/>
  <c r="T1209" i="1"/>
  <c r="P1209" i="1"/>
  <c r="U1209" i="1" s="1"/>
  <c r="P1151" i="1"/>
  <c r="U1151" i="1" s="1"/>
  <c r="T1151" i="1"/>
  <c r="P1153" i="1"/>
  <c r="U1153" i="1" s="1"/>
  <c r="T1153" i="1"/>
  <c r="T1112" i="1"/>
  <c r="P1112" i="1"/>
  <c r="T1111" i="1"/>
  <c r="P1111" i="1"/>
  <c r="T1110" i="1"/>
  <c r="P1110" i="1"/>
  <c r="T1157" i="1"/>
  <c r="T1156" i="1"/>
  <c r="P1156" i="1"/>
  <c r="T1155" i="1"/>
  <c r="P1155" i="1"/>
  <c r="T1154" i="1"/>
  <c r="P1154" i="1"/>
  <c r="H1201" i="1"/>
  <c r="I1201" i="1" s="1"/>
  <c r="G1201" i="1"/>
  <c r="F1201" i="1"/>
  <c r="D1201" i="1"/>
  <c r="E1201" i="1" s="1"/>
  <c r="J1201" i="1" s="1"/>
  <c r="C1201" i="1"/>
  <c r="B1201" i="1"/>
  <c r="I1200" i="1"/>
  <c r="J1200" i="1" s="1"/>
  <c r="E1200" i="1"/>
  <c r="I1199" i="1"/>
  <c r="E1199" i="1"/>
  <c r="J1199" i="1" s="1"/>
  <c r="I1198" i="1"/>
  <c r="E1198" i="1"/>
  <c r="J1198" i="1" s="1"/>
  <c r="J1197" i="1"/>
  <c r="I1197" i="1"/>
  <c r="E1197" i="1"/>
  <c r="I1196" i="1"/>
  <c r="J1196" i="1" s="1"/>
  <c r="E1196" i="1"/>
  <c r="I1195" i="1"/>
  <c r="E1195" i="1"/>
  <c r="J1195" i="1" s="1"/>
  <c r="I1194" i="1"/>
  <c r="E1194" i="1"/>
  <c r="J1194" i="1" s="1"/>
  <c r="J1193" i="1"/>
  <c r="I1193" i="1"/>
  <c r="E1193" i="1"/>
  <c r="I1192" i="1"/>
  <c r="J1192" i="1" s="1"/>
  <c r="E1192" i="1"/>
  <c r="I1191" i="1"/>
  <c r="E1191" i="1"/>
  <c r="J1191" i="1" s="1"/>
  <c r="I1190" i="1"/>
  <c r="E1190" i="1"/>
  <c r="J1190" i="1" s="1"/>
  <c r="J1189" i="1"/>
  <c r="I1189" i="1"/>
  <c r="E1189" i="1"/>
  <c r="I1188" i="1"/>
  <c r="J1188" i="1" s="1"/>
  <c r="E1188" i="1"/>
  <c r="I1187" i="1"/>
  <c r="E1187" i="1"/>
  <c r="J1187" i="1" s="1"/>
  <c r="I1186" i="1"/>
  <c r="E1186" i="1"/>
  <c r="J1186" i="1" s="1"/>
  <c r="J1185" i="1"/>
  <c r="I1185" i="1"/>
  <c r="E1185" i="1"/>
  <c r="I1184" i="1"/>
  <c r="J1184" i="1" s="1"/>
  <c r="E1184" i="1"/>
  <c r="I1183" i="1"/>
  <c r="E1183" i="1"/>
  <c r="J1183" i="1" s="1"/>
  <c r="I1182" i="1"/>
  <c r="E1182" i="1"/>
  <c r="J1182" i="1" s="1"/>
  <c r="J1181" i="1"/>
  <c r="I1181" i="1"/>
  <c r="E1181" i="1"/>
  <c r="I1180" i="1"/>
  <c r="J1180" i="1" s="1"/>
  <c r="E1180" i="1"/>
  <c r="I1179" i="1"/>
  <c r="E1179" i="1"/>
  <c r="J1179" i="1" s="1"/>
  <c r="I1178" i="1"/>
  <c r="E1178" i="1"/>
  <c r="J1178" i="1" s="1"/>
  <c r="J1177" i="1"/>
  <c r="I1177" i="1"/>
  <c r="E1177" i="1"/>
  <c r="I1176" i="1"/>
  <c r="J1176" i="1" s="1"/>
  <c r="E1176" i="1"/>
  <c r="I1175" i="1"/>
  <c r="E1175" i="1"/>
  <c r="J1175" i="1" s="1"/>
  <c r="I1173" i="1"/>
  <c r="E1173" i="1"/>
  <c r="J1173" i="1" s="1"/>
  <c r="I1172" i="1"/>
  <c r="E1172" i="1"/>
  <c r="J1172" i="1" s="1"/>
  <c r="J1171" i="1"/>
  <c r="I1171" i="1"/>
  <c r="E1171" i="1"/>
  <c r="I1170" i="1"/>
  <c r="J1170" i="1" s="1"/>
  <c r="E1170" i="1"/>
  <c r="I1169" i="1"/>
  <c r="E1169" i="1"/>
  <c r="J1169" i="1" s="1"/>
  <c r="I1168" i="1"/>
  <c r="E1168" i="1"/>
  <c r="J1168" i="1" s="1"/>
  <c r="J1167" i="1"/>
  <c r="I1167" i="1"/>
  <c r="E1167" i="1"/>
  <c r="I1166" i="1"/>
  <c r="J1166" i="1" s="1"/>
  <c r="E1166" i="1"/>
  <c r="P1126" i="1"/>
  <c r="U1126" i="1" s="1"/>
  <c r="T1126" i="1"/>
  <c r="P1127" i="1"/>
  <c r="U1127" i="1" s="1"/>
  <c r="T1127" i="1"/>
  <c r="P1194" i="1"/>
  <c r="U1194" i="1" s="1"/>
  <c r="T1194" i="1"/>
  <c r="P1196" i="1"/>
  <c r="T1196" i="1"/>
  <c r="P1197" i="1"/>
  <c r="T1197" i="1"/>
  <c r="P1198" i="1"/>
  <c r="T1198" i="1"/>
  <c r="T1203" i="1"/>
  <c r="P1203" i="1"/>
  <c r="S1201" i="1"/>
  <c r="R1201" i="1"/>
  <c r="Q1201" i="1"/>
  <c r="O1201" i="1"/>
  <c r="N1201" i="1"/>
  <c r="M1201" i="1"/>
  <c r="P1200" i="1"/>
  <c r="T1199" i="1"/>
  <c r="P1199" i="1"/>
  <c r="U1199" i="1" s="1"/>
  <c r="U1193" i="1"/>
  <c r="T1193" i="1"/>
  <c r="P1193" i="1"/>
  <c r="T1192" i="1"/>
  <c r="U1192" i="1" s="1"/>
  <c r="P1192" i="1"/>
  <c r="T1191" i="1"/>
  <c r="P1191" i="1"/>
  <c r="U1191" i="1" s="1"/>
  <c r="T1190" i="1"/>
  <c r="P1190" i="1"/>
  <c r="U1190" i="1" s="1"/>
  <c r="U1189" i="1"/>
  <c r="T1189" i="1"/>
  <c r="P1189" i="1"/>
  <c r="T1188" i="1"/>
  <c r="U1188" i="1" s="1"/>
  <c r="P1188" i="1"/>
  <c r="T1187" i="1"/>
  <c r="P1187" i="1"/>
  <c r="U1187" i="1" s="1"/>
  <c r="T1186" i="1"/>
  <c r="P1186" i="1"/>
  <c r="U1186" i="1" s="1"/>
  <c r="U1185" i="1"/>
  <c r="T1185" i="1"/>
  <c r="P1185" i="1"/>
  <c r="T1184" i="1"/>
  <c r="P1184" i="1"/>
  <c r="U1184" i="1" s="1"/>
  <c r="T1183" i="1"/>
  <c r="P1183" i="1"/>
  <c r="U1183" i="1" s="1"/>
  <c r="T1182" i="1"/>
  <c r="P1182" i="1"/>
  <c r="U1182" i="1" s="1"/>
  <c r="U1181" i="1"/>
  <c r="T1181" i="1"/>
  <c r="P1181" i="1"/>
  <c r="T1180" i="1"/>
  <c r="U1180" i="1" s="1"/>
  <c r="P1180" i="1"/>
  <c r="T1179" i="1"/>
  <c r="P1179" i="1"/>
  <c r="U1179" i="1" s="1"/>
  <c r="T1178" i="1"/>
  <c r="P1178" i="1"/>
  <c r="U1178" i="1" s="1"/>
  <c r="U1177" i="1"/>
  <c r="T1177" i="1"/>
  <c r="P1177" i="1"/>
  <c r="T1176" i="1"/>
  <c r="U1176" i="1" s="1"/>
  <c r="P1176" i="1"/>
  <c r="T1175" i="1"/>
  <c r="P1175" i="1"/>
  <c r="T1173" i="1"/>
  <c r="P1173" i="1"/>
  <c r="U1173" i="1" s="1"/>
  <c r="T1172" i="1"/>
  <c r="P1172" i="1"/>
  <c r="U1172" i="1" s="1"/>
  <c r="U1171" i="1"/>
  <c r="T1171" i="1"/>
  <c r="P1171" i="1"/>
  <c r="T1170" i="1"/>
  <c r="P1170" i="1"/>
  <c r="T1169" i="1"/>
  <c r="P1169" i="1"/>
  <c r="U1169" i="1" s="1"/>
  <c r="T1168" i="1"/>
  <c r="P1168" i="1"/>
  <c r="U1168" i="1" s="1"/>
  <c r="U1167" i="1"/>
  <c r="T1167" i="1"/>
  <c r="P1167" i="1"/>
  <c r="T1166" i="1"/>
  <c r="U1166" i="1" s="1"/>
  <c r="P1166" i="1"/>
  <c r="P1109" i="1"/>
  <c r="T1109" i="1"/>
  <c r="T1070" i="1"/>
  <c r="P1070" i="1"/>
  <c r="T1069" i="1"/>
  <c r="P1069" i="1"/>
  <c r="P1071" i="1"/>
  <c r="T1071" i="1"/>
  <c r="R1072" i="1"/>
  <c r="S1072" i="1"/>
  <c r="P935" i="1"/>
  <c r="T935" i="1"/>
  <c r="U935" i="1" s="1"/>
  <c r="T964" i="1"/>
  <c r="P964" i="1"/>
  <c r="U964" i="1" s="1"/>
  <c r="Q986" i="1"/>
  <c r="P1125" i="1"/>
  <c r="T1125" i="1"/>
  <c r="U1125" i="1"/>
  <c r="U1082" i="1"/>
  <c r="T1082" i="1"/>
  <c r="P1082" i="1"/>
  <c r="T1032" i="1"/>
  <c r="P1032" i="1"/>
  <c r="T1031" i="1"/>
  <c r="P1031" i="1"/>
  <c r="T988" i="1"/>
  <c r="P988" i="1"/>
  <c r="T1118" i="1"/>
  <c r="P1118" i="1"/>
  <c r="T1117" i="1"/>
  <c r="P1117" i="1"/>
  <c r="T1161" i="1"/>
  <c r="P1161" i="1"/>
  <c r="H1158" i="1"/>
  <c r="G1158" i="1"/>
  <c r="F1158" i="1"/>
  <c r="D1158" i="1"/>
  <c r="C1158" i="1"/>
  <c r="B1158" i="1"/>
  <c r="I1157" i="1"/>
  <c r="E1157" i="1"/>
  <c r="J1157" i="1" s="1"/>
  <c r="I1156" i="1"/>
  <c r="E1156" i="1"/>
  <c r="J1156" i="1" s="1"/>
  <c r="I1155" i="1"/>
  <c r="J1155" i="1" s="1"/>
  <c r="E1155" i="1"/>
  <c r="J1154" i="1"/>
  <c r="I1154" i="1"/>
  <c r="E1154" i="1"/>
  <c r="I1153" i="1"/>
  <c r="E1153" i="1"/>
  <c r="J1153" i="1" s="1"/>
  <c r="I1152" i="1"/>
  <c r="E1152" i="1"/>
  <c r="J1152" i="1" s="1"/>
  <c r="I1151" i="1"/>
  <c r="J1151" i="1" s="1"/>
  <c r="E1151" i="1"/>
  <c r="J1150" i="1"/>
  <c r="I1150" i="1"/>
  <c r="E1150" i="1"/>
  <c r="I1149" i="1"/>
  <c r="E1149" i="1"/>
  <c r="J1149" i="1" s="1"/>
  <c r="I1148" i="1"/>
  <c r="E1148" i="1"/>
  <c r="J1148" i="1" s="1"/>
  <c r="I1147" i="1"/>
  <c r="J1147" i="1" s="1"/>
  <c r="E1147" i="1"/>
  <c r="J1146" i="1"/>
  <c r="I1146" i="1"/>
  <c r="E1146" i="1"/>
  <c r="I1145" i="1"/>
  <c r="E1145" i="1"/>
  <c r="J1145" i="1" s="1"/>
  <c r="I1144" i="1"/>
  <c r="E1144" i="1"/>
  <c r="J1144" i="1" s="1"/>
  <c r="I1143" i="1"/>
  <c r="J1143" i="1" s="1"/>
  <c r="E1143" i="1"/>
  <c r="J1142" i="1"/>
  <c r="I1142" i="1"/>
  <c r="E1142" i="1"/>
  <c r="I1141" i="1"/>
  <c r="E1141" i="1"/>
  <c r="J1141" i="1" s="1"/>
  <c r="I1140" i="1"/>
  <c r="E1140" i="1"/>
  <c r="J1140" i="1" s="1"/>
  <c r="I1139" i="1"/>
  <c r="E1139" i="1"/>
  <c r="J1138" i="1"/>
  <c r="I1138" i="1"/>
  <c r="E1138" i="1"/>
  <c r="I1137" i="1"/>
  <c r="E1137" i="1"/>
  <c r="J1137" i="1" s="1"/>
  <c r="I1136" i="1"/>
  <c r="E1136" i="1"/>
  <c r="I1135" i="1"/>
  <c r="J1135" i="1" s="1"/>
  <c r="E1135" i="1"/>
  <c r="J1134" i="1"/>
  <c r="I1134" i="1"/>
  <c r="E1134" i="1"/>
  <c r="I1133" i="1"/>
  <c r="E1133" i="1"/>
  <c r="J1133" i="1" s="1"/>
  <c r="I1132" i="1"/>
  <c r="E1132" i="1"/>
  <c r="J1132" i="1" s="1"/>
  <c r="I1130" i="1"/>
  <c r="E1130" i="1"/>
  <c r="J1130" i="1" s="1"/>
  <c r="I1129" i="1"/>
  <c r="J1129" i="1" s="1"/>
  <c r="E1129" i="1"/>
  <c r="J1128" i="1"/>
  <c r="I1128" i="1"/>
  <c r="E1128" i="1"/>
  <c r="I1127" i="1"/>
  <c r="E1127" i="1"/>
  <c r="J1127" i="1" s="1"/>
  <c r="I1126" i="1"/>
  <c r="E1126" i="1"/>
  <c r="I1125" i="1"/>
  <c r="J1125" i="1" s="1"/>
  <c r="E1125" i="1"/>
  <c r="J1124" i="1"/>
  <c r="I1124" i="1"/>
  <c r="E1124" i="1"/>
  <c r="I1123" i="1"/>
  <c r="E1123" i="1"/>
  <c r="J1123" i="1" s="1"/>
  <c r="S1158" i="1"/>
  <c r="R1158" i="1"/>
  <c r="Q1158" i="1"/>
  <c r="N1158" i="1"/>
  <c r="M1158" i="1"/>
  <c r="U1150" i="1"/>
  <c r="T1150" i="1"/>
  <c r="P1150" i="1"/>
  <c r="T1149" i="1"/>
  <c r="P1149" i="1"/>
  <c r="U1149" i="1" s="1"/>
  <c r="T1148" i="1"/>
  <c r="P1148" i="1"/>
  <c r="U1148" i="1" s="1"/>
  <c r="U1147" i="1"/>
  <c r="T1147" i="1"/>
  <c r="P1147" i="1"/>
  <c r="U1146" i="1"/>
  <c r="T1146" i="1"/>
  <c r="P1146" i="1"/>
  <c r="T1145" i="1"/>
  <c r="P1145" i="1"/>
  <c r="U1145" i="1" s="1"/>
  <c r="T1144" i="1"/>
  <c r="P1144" i="1"/>
  <c r="U1144" i="1" s="1"/>
  <c r="U1143" i="1"/>
  <c r="T1143" i="1"/>
  <c r="P1143" i="1"/>
  <c r="U1142" i="1"/>
  <c r="T1142" i="1"/>
  <c r="P1142" i="1"/>
  <c r="T1141" i="1"/>
  <c r="P1141" i="1"/>
  <c r="U1141" i="1" s="1"/>
  <c r="T1140" i="1"/>
  <c r="P1140" i="1"/>
  <c r="U1140" i="1" s="1"/>
  <c r="U1139" i="1"/>
  <c r="T1139" i="1"/>
  <c r="P1139" i="1"/>
  <c r="U1138" i="1"/>
  <c r="T1138" i="1"/>
  <c r="P1138" i="1"/>
  <c r="T1137" i="1"/>
  <c r="P1137" i="1"/>
  <c r="U1137" i="1" s="1"/>
  <c r="T1136" i="1"/>
  <c r="P1136" i="1"/>
  <c r="T1135" i="1"/>
  <c r="U1135" i="1" s="1"/>
  <c r="P1135" i="1"/>
  <c r="T1134" i="1"/>
  <c r="P1134" i="1"/>
  <c r="U1134" i="1" s="1"/>
  <c r="T1133" i="1"/>
  <c r="P1133" i="1"/>
  <c r="T1132" i="1"/>
  <c r="P1132" i="1"/>
  <c r="U1132" i="1" s="1"/>
  <c r="T1130" i="1"/>
  <c r="P1130" i="1"/>
  <c r="U1130" i="1" s="1"/>
  <c r="U1129" i="1"/>
  <c r="T1129" i="1"/>
  <c r="P1129" i="1"/>
  <c r="U1128" i="1"/>
  <c r="T1128" i="1"/>
  <c r="P1128" i="1"/>
  <c r="U1124" i="1"/>
  <c r="T1124" i="1"/>
  <c r="P1124" i="1"/>
  <c r="T1123" i="1"/>
  <c r="P1123" i="1"/>
  <c r="U1123" i="1" s="1"/>
  <c r="T1028" i="1"/>
  <c r="P1028" i="1"/>
  <c r="T1027" i="1"/>
  <c r="P1027" i="1"/>
  <c r="U1027" i="1" s="1"/>
  <c r="T1026" i="1"/>
  <c r="P1026" i="1"/>
  <c r="T1025" i="1"/>
  <c r="P1025" i="1"/>
  <c r="T1113" i="1"/>
  <c r="P1113" i="1"/>
  <c r="T985" i="1"/>
  <c r="P985" i="1"/>
  <c r="T984" i="1"/>
  <c r="P984" i="1"/>
  <c r="P996" i="1"/>
  <c r="T996" i="1"/>
  <c r="U996" i="1"/>
  <c r="P997" i="1"/>
  <c r="U997" i="1" s="1"/>
  <c r="T997" i="1"/>
  <c r="T954" i="1"/>
  <c r="P954" i="1"/>
  <c r="U954" i="1" s="1"/>
  <c r="T953" i="1"/>
  <c r="P953" i="1"/>
  <c r="U953" i="1" s="1"/>
  <c r="E934" i="1"/>
  <c r="I934" i="1"/>
  <c r="J934" i="1" s="1"/>
  <c r="I933" i="1"/>
  <c r="E933" i="1"/>
  <c r="J933" i="1" s="1"/>
  <c r="I932" i="1"/>
  <c r="E932" i="1"/>
  <c r="J932" i="1" s="1"/>
  <c r="I931" i="1"/>
  <c r="E931" i="1"/>
  <c r="J931" i="1" s="1"/>
  <c r="I930" i="1"/>
  <c r="E930" i="1"/>
  <c r="J930" i="1" s="1"/>
  <c r="I913" i="1"/>
  <c r="E913" i="1"/>
  <c r="J913" i="1" s="1"/>
  <c r="I912" i="1"/>
  <c r="E912" i="1"/>
  <c r="J912" i="1" s="1"/>
  <c r="I911" i="1"/>
  <c r="E911" i="1"/>
  <c r="J911" i="1" s="1"/>
  <c r="I910" i="1"/>
  <c r="E910" i="1"/>
  <c r="J910" i="1" s="1"/>
  <c r="I909" i="1"/>
  <c r="E909" i="1"/>
  <c r="J909" i="1" s="1"/>
  <c r="I908" i="1"/>
  <c r="E908" i="1"/>
  <c r="J908" i="1" s="1"/>
  <c r="I868" i="1"/>
  <c r="E868" i="1"/>
  <c r="J868" i="1" s="1"/>
  <c r="I867" i="1"/>
  <c r="E867" i="1"/>
  <c r="J867" i="1" s="1"/>
  <c r="S1115" i="1"/>
  <c r="Q1115" i="1"/>
  <c r="O1115" i="1"/>
  <c r="N1115" i="1"/>
  <c r="M1115" i="1"/>
  <c r="H1115" i="1"/>
  <c r="G1115" i="1"/>
  <c r="F1115" i="1"/>
  <c r="D1115" i="1"/>
  <c r="C1115" i="1"/>
  <c r="B1115" i="1"/>
  <c r="T1114" i="1"/>
  <c r="P1114" i="1"/>
  <c r="J1114" i="1"/>
  <c r="I1114" i="1"/>
  <c r="E1114" i="1"/>
  <c r="I1113" i="1"/>
  <c r="E1113" i="1"/>
  <c r="J1113" i="1" s="1"/>
  <c r="I1112" i="1"/>
  <c r="E1112" i="1"/>
  <c r="J1112" i="1" s="1"/>
  <c r="J1111" i="1"/>
  <c r="I1111" i="1"/>
  <c r="E1111" i="1"/>
  <c r="J1110" i="1"/>
  <c r="I1110" i="1"/>
  <c r="E1110" i="1"/>
  <c r="I1109" i="1"/>
  <c r="E1109" i="1"/>
  <c r="J1109" i="1" s="1"/>
  <c r="I1108" i="1"/>
  <c r="E1108" i="1"/>
  <c r="J1108" i="1" s="1"/>
  <c r="T1107" i="1"/>
  <c r="U1107" i="1" s="1"/>
  <c r="P1107" i="1"/>
  <c r="J1107" i="1"/>
  <c r="I1107" i="1"/>
  <c r="E1107" i="1"/>
  <c r="T1106" i="1"/>
  <c r="P1106" i="1"/>
  <c r="U1106" i="1" s="1"/>
  <c r="J1106" i="1"/>
  <c r="I1106" i="1"/>
  <c r="E1106" i="1"/>
  <c r="T1105" i="1"/>
  <c r="P1105" i="1"/>
  <c r="U1105" i="1" s="1"/>
  <c r="I1105" i="1"/>
  <c r="E1105" i="1"/>
  <c r="J1105" i="1" s="1"/>
  <c r="T1104" i="1"/>
  <c r="P1104" i="1"/>
  <c r="U1104" i="1" s="1"/>
  <c r="I1104" i="1"/>
  <c r="E1104" i="1"/>
  <c r="J1104" i="1" s="1"/>
  <c r="T1103" i="1"/>
  <c r="U1103" i="1" s="1"/>
  <c r="P1103" i="1"/>
  <c r="J1103" i="1"/>
  <c r="I1103" i="1"/>
  <c r="E1103" i="1"/>
  <c r="T1102" i="1"/>
  <c r="P1102" i="1"/>
  <c r="U1102" i="1" s="1"/>
  <c r="J1102" i="1"/>
  <c r="I1102" i="1"/>
  <c r="E1102" i="1"/>
  <c r="T1101" i="1"/>
  <c r="P1101" i="1"/>
  <c r="U1101" i="1" s="1"/>
  <c r="I1101" i="1"/>
  <c r="E1101" i="1"/>
  <c r="J1101" i="1" s="1"/>
  <c r="T1100" i="1"/>
  <c r="P1100" i="1"/>
  <c r="U1100" i="1" s="1"/>
  <c r="I1100" i="1"/>
  <c r="E1100" i="1"/>
  <c r="J1100" i="1" s="1"/>
  <c r="T1099" i="1"/>
  <c r="P1099" i="1"/>
  <c r="U1099" i="1" s="1"/>
  <c r="J1099" i="1"/>
  <c r="I1099" i="1"/>
  <c r="E1099" i="1"/>
  <c r="T1098" i="1"/>
  <c r="P1098" i="1"/>
  <c r="U1098" i="1" s="1"/>
  <c r="J1098" i="1"/>
  <c r="I1098" i="1"/>
  <c r="E1098" i="1"/>
  <c r="T1097" i="1"/>
  <c r="U1097" i="1" s="1"/>
  <c r="P1097" i="1"/>
  <c r="I1097" i="1"/>
  <c r="E1097" i="1"/>
  <c r="J1097" i="1" s="1"/>
  <c r="T1096" i="1"/>
  <c r="P1096" i="1"/>
  <c r="U1096" i="1" s="1"/>
  <c r="I1096" i="1"/>
  <c r="E1096" i="1"/>
  <c r="J1096" i="1" s="1"/>
  <c r="T1095" i="1"/>
  <c r="P1095" i="1"/>
  <c r="U1095" i="1" s="1"/>
  <c r="I1095" i="1"/>
  <c r="E1095" i="1"/>
  <c r="T1094" i="1"/>
  <c r="P1094" i="1"/>
  <c r="I1094" i="1"/>
  <c r="E1094" i="1"/>
  <c r="T1093" i="1"/>
  <c r="P1093" i="1"/>
  <c r="I1093" i="1"/>
  <c r="E1093" i="1"/>
  <c r="T1092" i="1"/>
  <c r="P1092" i="1"/>
  <c r="U1092" i="1" s="1"/>
  <c r="I1092" i="1"/>
  <c r="E1092" i="1"/>
  <c r="J1092" i="1" s="1"/>
  <c r="T1091" i="1"/>
  <c r="P1091" i="1"/>
  <c r="I1091" i="1"/>
  <c r="E1091" i="1"/>
  <c r="T1090" i="1"/>
  <c r="P1090" i="1"/>
  <c r="I1090" i="1"/>
  <c r="E1090" i="1"/>
  <c r="J1090" i="1" s="1"/>
  <c r="T1089" i="1"/>
  <c r="P1089" i="1"/>
  <c r="I1089" i="1"/>
  <c r="E1089" i="1"/>
  <c r="J1089" i="1" s="1"/>
  <c r="T1087" i="1"/>
  <c r="U1087" i="1" s="1"/>
  <c r="P1087" i="1"/>
  <c r="I1087" i="1"/>
  <c r="E1087" i="1"/>
  <c r="J1087" i="1" s="1"/>
  <c r="T1086" i="1"/>
  <c r="P1086" i="1"/>
  <c r="U1086" i="1" s="1"/>
  <c r="I1086" i="1"/>
  <c r="E1086" i="1"/>
  <c r="J1086" i="1" s="1"/>
  <c r="T1085" i="1"/>
  <c r="P1085" i="1"/>
  <c r="U1085" i="1" s="1"/>
  <c r="J1085" i="1"/>
  <c r="I1085" i="1"/>
  <c r="E1085" i="1"/>
  <c r="T1084" i="1"/>
  <c r="P1084" i="1"/>
  <c r="U1084" i="1" s="1"/>
  <c r="I1084" i="1"/>
  <c r="E1084" i="1"/>
  <c r="J1084" i="1" s="1"/>
  <c r="U1083" i="1"/>
  <c r="T1083" i="1"/>
  <c r="P1083" i="1"/>
  <c r="I1083" i="1"/>
  <c r="E1083" i="1"/>
  <c r="I1082" i="1"/>
  <c r="E1082" i="1"/>
  <c r="J1082" i="1" s="1"/>
  <c r="T1081" i="1"/>
  <c r="P1081" i="1"/>
  <c r="U1081" i="1" s="1"/>
  <c r="I1081" i="1"/>
  <c r="J1081" i="1" s="1"/>
  <c r="E1081" i="1"/>
  <c r="T1080" i="1"/>
  <c r="P1080" i="1"/>
  <c r="U1080" i="1" s="1"/>
  <c r="I1080" i="1"/>
  <c r="E1080" i="1"/>
  <c r="P923" i="1"/>
  <c r="T923" i="1"/>
  <c r="U923" i="1" s="1"/>
  <c r="T922" i="1"/>
  <c r="P922" i="1"/>
  <c r="U922" i="1" s="1"/>
  <c r="I918" i="1"/>
  <c r="E918" i="1"/>
  <c r="J918" i="1" s="1"/>
  <c r="H1072" i="1"/>
  <c r="G1072" i="1"/>
  <c r="F1072" i="1"/>
  <c r="D1072" i="1"/>
  <c r="C1072" i="1"/>
  <c r="B1072" i="1"/>
  <c r="I1071" i="1"/>
  <c r="E1071" i="1"/>
  <c r="J1071" i="1" s="1"/>
  <c r="I1070" i="1"/>
  <c r="E1070" i="1"/>
  <c r="J1070" i="1" s="1"/>
  <c r="I1069" i="1"/>
  <c r="E1069" i="1"/>
  <c r="J1069" i="1" s="1"/>
  <c r="J1068" i="1"/>
  <c r="I1068" i="1"/>
  <c r="E1068" i="1"/>
  <c r="I1067" i="1"/>
  <c r="J1067" i="1" s="1"/>
  <c r="E1067" i="1"/>
  <c r="I1066" i="1"/>
  <c r="E1066" i="1"/>
  <c r="J1066" i="1" s="1"/>
  <c r="I1065" i="1"/>
  <c r="E1065" i="1"/>
  <c r="J1065" i="1" s="1"/>
  <c r="J1064" i="1"/>
  <c r="I1064" i="1"/>
  <c r="E1064" i="1"/>
  <c r="I1063" i="1"/>
  <c r="J1063" i="1" s="1"/>
  <c r="E1063" i="1"/>
  <c r="I1062" i="1"/>
  <c r="E1062" i="1"/>
  <c r="J1062" i="1" s="1"/>
  <c r="I1061" i="1"/>
  <c r="E1061" i="1"/>
  <c r="J1061" i="1" s="1"/>
  <c r="J1060" i="1"/>
  <c r="I1060" i="1"/>
  <c r="E1060" i="1"/>
  <c r="I1059" i="1"/>
  <c r="J1059" i="1" s="1"/>
  <c r="E1059" i="1"/>
  <c r="I1058" i="1"/>
  <c r="E1058" i="1"/>
  <c r="J1058" i="1" s="1"/>
  <c r="I1057" i="1"/>
  <c r="E1057" i="1"/>
  <c r="J1057" i="1" s="1"/>
  <c r="J1056" i="1"/>
  <c r="I1056" i="1"/>
  <c r="E1056" i="1"/>
  <c r="I1055" i="1"/>
  <c r="J1055" i="1" s="1"/>
  <c r="E1055" i="1"/>
  <c r="I1054" i="1"/>
  <c r="E1054" i="1"/>
  <c r="J1054" i="1" s="1"/>
  <c r="I1053" i="1"/>
  <c r="E1053" i="1"/>
  <c r="J1053" i="1" s="1"/>
  <c r="I1052" i="1"/>
  <c r="E1052" i="1"/>
  <c r="I1051" i="1"/>
  <c r="J1051" i="1" s="1"/>
  <c r="E1051" i="1"/>
  <c r="I1050" i="1"/>
  <c r="E1050" i="1"/>
  <c r="J1050" i="1" s="1"/>
  <c r="I1049" i="1"/>
  <c r="E1049" i="1"/>
  <c r="J1049" i="1" s="1"/>
  <c r="I1048" i="1"/>
  <c r="E1048" i="1"/>
  <c r="J1048" i="1" s="1"/>
  <c r="I1047" i="1"/>
  <c r="J1047" i="1" s="1"/>
  <c r="E1047" i="1"/>
  <c r="I1046" i="1"/>
  <c r="E1046" i="1"/>
  <c r="J1046" i="1" s="1"/>
  <c r="I1044" i="1"/>
  <c r="E1044" i="1"/>
  <c r="J1044" i="1" s="1"/>
  <c r="I1043" i="1"/>
  <c r="E1043" i="1"/>
  <c r="J1043" i="1" s="1"/>
  <c r="J1042" i="1"/>
  <c r="I1042" i="1"/>
  <c r="E1042" i="1"/>
  <c r="I1041" i="1"/>
  <c r="E1041" i="1"/>
  <c r="J1041" i="1" s="1"/>
  <c r="I1040" i="1"/>
  <c r="E1040" i="1"/>
  <c r="J1040" i="1" s="1"/>
  <c r="I1039" i="1"/>
  <c r="E1039" i="1"/>
  <c r="I1038" i="1"/>
  <c r="J1038" i="1" s="1"/>
  <c r="E1038" i="1"/>
  <c r="I1037" i="1"/>
  <c r="E1037" i="1"/>
  <c r="J1037" i="1" s="1"/>
  <c r="Q1072" i="1"/>
  <c r="O1072" i="1"/>
  <c r="T1068" i="1"/>
  <c r="U1068" i="1" s="1"/>
  <c r="P1068" i="1"/>
  <c r="T1067" i="1"/>
  <c r="P1067" i="1"/>
  <c r="T1066" i="1"/>
  <c r="P1066" i="1"/>
  <c r="T1065" i="1"/>
  <c r="P1065" i="1"/>
  <c r="U1065" i="1" s="1"/>
  <c r="U1064" i="1"/>
  <c r="T1064" i="1"/>
  <c r="P1064" i="1"/>
  <c r="T1063" i="1"/>
  <c r="U1063" i="1" s="1"/>
  <c r="P1063" i="1"/>
  <c r="T1062" i="1"/>
  <c r="P1062" i="1"/>
  <c r="U1062" i="1" s="1"/>
  <c r="T1061" i="1"/>
  <c r="P1061" i="1"/>
  <c r="U1061" i="1" s="1"/>
  <c r="U1060" i="1"/>
  <c r="T1060" i="1"/>
  <c r="P1060" i="1"/>
  <c r="T1059" i="1"/>
  <c r="U1059" i="1" s="1"/>
  <c r="P1059" i="1"/>
  <c r="T1058" i="1"/>
  <c r="P1058" i="1"/>
  <c r="U1058" i="1" s="1"/>
  <c r="T1057" i="1"/>
  <c r="P1057" i="1"/>
  <c r="U1057" i="1" s="1"/>
  <c r="T1056" i="1"/>
  <c r="P1056" i="1"/>
  <c r="U1056" i="1" s="1"/>
  <c r="T1055" i="1"/>
  <c r="U1055" i="1" s="1"/>
  <c r="P1055" i="1"/>
  <c r="T1054" i="1"/>
  <c r="P1054" i="1"/>
  <c r="U1054" i="1" s="1"/>
  <c r="T1053" i="1"/>
  <c r="P1053" i="1"/>
  <c r="U1053" i="1" s="1"/>
  <c r="T1052" i="1"/>
  <c r="P1052" i="1"/>
  <c r="U1052" i="1" s="1"/>
  <c r="T1051" i="1"/>
  <c r="U1051" i="1" s="1"/>
  <c r="P1051" i="1"/>
  <c r="T1050" i="1"/>
  <c r="P1050" i="1"/>
  <c r="U1050" i="1" s="1"/>
  <c r="T1049" i="1"/>
  <c r="P1049" i="1"/>
  <c r="U1049" i="1" s="1"/>
  <c r="T1048" i="1"/>
  <c r="P1048" i="1"/>
  <c r="U1048" i="1" s="1"/>
  <c r="T1047" i="1"/>
  <c r="P1047" i="1"/>
  <c r="T1046" i="1"/>
  <c r="P1046" i="1"/>
  <c r="U1046" i="1" s="1"/>
  <c r="T1044" i="1"/>
  <c r="P1044" i="1"/>
  <c r="U1044" i="1" s="1"/>
  <c r="T1043" i="1"/>
  <c r="P1043" i="1"/>
  <c r="U1043" i="1" s="1"/>
  <c r="U1042" i="1"/>
  <c r="T1042" i="1"/>
  <c r="P1042" i="1"/>
  <c r="T1041" i="1"/>
  <c r="U1041" i="1" s="1"/>
  <c r="P1041" i="1"/>
  <c r="T1040" i="1"/>
  <c r="P1040" i="1"/>
  <c r="U1040" i="1" s="1"/>
  <c r="T1039" i="1"/>
  <c r="P1039" i="1"/>
  <c r="U1039" i="1" s="1"/>
  <c r="U1038" i="1"/>
  <c r="T1038" i="1"/>
  <c r="P1038" i="1"/>
  <c r="T1037" i="1"/>
  <c r="U1037" i="1" s="1"/>
  <c r="P1037" i="1"/>
  <c r="E880" i="1"/>
  <c r="I880" i="1"/>
  <c r="J880" i="1" s="1"/>
  <c r="I917" i="1"/>
  <c r="E917" i="1"/>
  <c r="J917" i="1" s="1"/>
  <c r="T891" i="1"/>
  <c r="P891" i="1"/>
  <c r="U891" i="1" s="1"/>
  <c r="S1029" i="1"/>
  <c r="R1029" i="1"/>
  <c r="Q1029" i="1"/>
  <c r="O1029" i="1"/>
  <c r="N1029" i="1"/>
  <c r="M1029" i="1"/>
  <c r="H1029" i="1"/>
  <c r="G1029" i="1"/>
  <c r="F1029" i="1"/>
  <c r="D1029" i="1"/>
  <c r="C1029" i="1"/>
  <c r="B1029" i="1"/>
  <c r="I1028" i="1"/>
  <c r="J1028" i="1" s="1"/>
  <c r="E1028" i="1"/>
  <c r="I1027" i="1"/>
  <c r="E1027" i="1"/>
  <c r="J1027" i="1" s="1"/>
  <c r="I1026" i="1"/>
  <c r="J1026" i="1" s="1"/>
  <c r="E1026" i="1"/>
  <c r="I1025" i="1"/>
  <c r="E1025" i="1"/>
  <c r="J1025" i="1" s="1"/>
  <c r="T1024" i="1"/>
  <c r="P1024" i="1"/>
  <c r="I1024" i="1"/>
  <c r="J1024" i="1" s="1"/>
  <c r="E1024" i="1"/>
  <c r="T1023" i="1"/>
  <c r="P1023" i="1"/>
  <c r="U1023" i="1" s="1"/>
  <c r="I1023" i="1"/>
  <c r="E1023" i="1"/>
  <c r="J1023" i="1" s="1"/>
  <c r="U1022" i="1"/>
  <c r="T1022" i="1"/>
  <c r="P1022" i="1"/>
  <c r="I1022" i="1"/>
  <c r="J1022" i="1" s="1"/>
  <c r="E1022" i="1"/>
  <c r="T1021" i="1"/>
  <c r="P1021" i="1"/>
  <c r="U1021" i="1" s="1"/>
  <c r="I1021" i="1"/>
  <c r="E1021" i="1"/>
  <c r="J1021" i="1" s="1"/>
  <c r="U1020" i="1"/>
  <c r="T1020" i="1"/>
  <c r="P1020" i="1"/>
  <c r="I1020" i="1"/>
  <c r="J1020" i="1" s="1"/>
  <c r="E1020" i="1"/>
  <c r="T1019" i="1"/>
  <c r="P1019" i="1"/>
  <c r="U1019" i="1" s="1"/>
  <c r="I1019" i="1"/>
  <c r="E1019" i="1"/>
  <c r="J1019" i="1" s="1"/>
  <c r="U1018" i="1"/>
  <c r="T1018" i="1"/>
  <c r="P1018" i="1"/>
  <c r="I1018" i="1"/>
  <c r="J1018" i="1" s="1"/>
  <c r="E1018" i="1"/>
  <c r="T1017" i="1"/>
  <c r="P1017" i="1"/>
  <c r="U1017" i="1" s="1"/>
  <c r="I1017" i="1"/>
  <c r="E1017" i="1"/>
  <c r="J1017" i="1" s="1"/>
  <c r="U1016" i="1"/>
  <c r="T1016" i="1"/>
  <c r="P1016" i="1"/>
  <c r="I1016" i="1"/>
  <c r="J1016" i="1" s="1"/>
  <c r="E1016" i="1"/>
  <c r="T1015" i="1"/>
  <c r="P1015" i="1"/>
  <c r="U1015" i="1" s="1"/>
  <c r="I1015" i="1"/>
  <c r="E1015" i="1"/>
  <c r="J1015" i="1" s="1"/>
  <c r="U1014" i="1"/>
  <c r="T1014" i="1"/>
  <c r="P1014" i="1"/>
  <c r="I1014" i="1"/>
  <c r="E1014" i="1"/>
  <c r="T1013" i="1"/>
  <c r="P1013" i="1"/>
  <c r="U1013" i="1" s="1"/>
  <c r="I1013" i="1"/>
  <c r="E1013" i="1"/>
  <c r="J1013" i="1" s="1"/>
  <c r="U1012" i="1"/>
  <c r="T1012" i="1"/>
  <c r="P1012" i="1"/>
  <c r="I1012" i="1"/>
  <c r="J1012" i="1" s="1"/>
  <c r="E1012" i="1"/>
  <c r="T1011" i="1"/>
  <c r="P1011" i="1"/>
  <c r="U1011" i="1" s="1"/>
  <c r="I1011" i="1"/>
  <c r="E1011" i="1"/>
  <c r="J1011" i="1" s="1"/>
  <c r="T1010" i="1"/>
  <c r="P1010" i="1"/>
  <c r="I1010" i="1"/>
  <c r="J1010" i="1" s="1"/>
  <c r="E1010" i="1"/>
  <c r="T1009" i="1"/>
  <c r="P1009" i="1"/>
  <c r="I1009" i="1"/>
  <c r="E1009" i="1"/>
  <c r="T1008" i="1"/>
  <c r="P1008" i="1"/>
  <c r="I1008" i="1"/>
  <c r="E1008" i="1"/>
  <c r="T1007" i="1"/>
  <c r="P1007" i="1"/>
  <c r="U1007" i="1" s="1"/>
  <c r="I1007" i="1"/>
  <c r="E1007" i="1"/>
  <c r="J1007" i="1" s="1"/>
  <c r="T1006" i="1"/>
  <c r="P1006" i="1"/>
  <c r="U1006" i="1" s="1"/>
  <c r="I1006" i="1"/>
  <c r="J1006" i="1" s="1"/>
  <c r="E1006" i="1"/>
  <c r="T1005" i="1"/>
  <c r="P1005" i="1"/>
  <c r="U1005" i="1" s="1"/>
  <c r="I1005" i="1"/>
  <c r="E1005" i="1"/>
  <c r="J1005" i="1" s="1"/>
  <c r="T1004" i="1"/>
  <c r="P1004" i="1"/>
  <c r="I1004" i="1"/>
  <c r="J1004" i="1" s="1"/>
  <c r="E1004" i="1"/>
  <c r="T1003" i="1"/>
  <c r="P1003" i="1"/>
  <c r="U1003" i="1" s="1"/>
  <c r="I1003" i="1"/>
  <c r="E1003" i="1"/>
  <c r="T1001" i="1"/>
  <c r="P1001" i="1"/>
  <c r="U1001" i="1" s="1"/>
  <c r="I1001" i="1"/>
  <c r="E1001" i="1"/>
  <c r="J1001" i="1" s="1"/>
  <c r="U1000" i="1"/>
  <c r="T1000" i="1"/>
  <c r="P1000" i="1"/>
  <c r="I1000" i="1"/>
  <c r="E1000" i="1"/>
  <c r="J1000" i="1" s="1"/>
  <c r="T999" i="1"/>
  <c r="P999" i="1"/>
  <c r="U999" i="1" s="1"/>
  <c r="I999" i="1"/>
  <c r="E999" i="1"/>
  <c r="J999" i="1" s="1"/>
  <c r="U998" i="1"/>
  <c r="T998" i="1"/>
  <c r="P998" i="1"/>
  <c r="I998" i="1"/>
  <c r="E998" i="1"/>
  <c r="I997" i="1"/>
  <c r="E997" i="1"/>
  <c r="I996" i="1"/>
  <c r="E996" i="1"/>
  <c r="T995" i="1"/>
  <c r="P995" i="1"/>
  <c r="U995" i="1" s="1"/>
  <c r="I995" i="1"/>
  <c r="E995" i="1"/>
  <c r="J995" i="1" s="1"/>
  <c r="U994" i="1"/>
  <c r="T994" i="1"/>
  <c r="P994" i="1"/>
  <c r="I994" i="1"/>
  <c r="J994" i="1" s="1"/>
  <c r="E994" i="1"/>
  <c r="P842" i="1"/>
  <c r="T842" i="1"/>
  <c r="U842" i="1" s="1"/>
  <c r="T876" i="1"/>
  <c r="P876" i="1"/>
  <c r="U876" i="1" s="1"/>
  <c r="U841" i="1"/>
  <c r="T841" i="1"/>
  <c r="P841" i="1"/>
  <c r="S869" i="1"/>
  <c r="S867" i="1"/>
  <c r="R869" i="1"/>
  <c r="R867" i="1"/>
  <c r="Q869" i="1"/>
  <c r="Q867" i="1"/>
  <c r="T939" i="1"/>
  <c r="P939" i="1"/>
  <c r="T808" i="1"/>
  <c r="P808" i="1"/>
  <c r="U808" i="1" s="1"/>
  <c r="E795" i="1"/>
  <c r="F795" i="1"/>
  <c r="I795" i="1" s="1"/>
  <c r="J795" i="1" s="1"/>
  <c r="E796" i="1"/>
  <c r="I796" i="1"/>
  <c r="J796" i="1" s="1"/>
  <c r="E797" i="1"/>
  <c r="I797" i="1"/>
  <c r="J797" i="1"/>
  <c r="E798" i="1"/>
  <c r="I798" i="1"/>
  <c r="J798" i="1" s="1"/>
  <c r="E799" i="1"/>
  <c r="I799" i="1"/>
  <c r="J799" i="1"/>
  <c r="E800" i="1"/>
  <c r="I800" i="1"/>
  <c r="J800" i="1" s="1"/>
  <c r="E801" i="1"/>
  <c r="I801" i="1"/>
  <c r="J801" i="1"/>
  <c r="E802" i="1"/>
  <c r="I802" i="1"/>
  <c r="J802" i="1" s="1"/>
  <c r="E803" i="1"/>
  <c r="I803" i="1"/>
  <c r="J803" i="1"/>
  <c r="E804" i="1"/>
  <c r="I804" i="1"/>
  <c r="J804" i="1" s="1"/>
  <c r="E805" i="1"/>
  <c r="I805" i="1"/>
  <c r="J805" i="1"/>
  <c r="T856" i="1"/>
  <c r="T806" i="1"/>
  <c r="P806" i="1"/>
  <c r="U806" i="1" s="1"/>
  <c r="I785" i="1"/>
  <c r="P853" i="1"/>
  <c r="T800" i="1"/>
  <c r="P800" i="1"/>
  <c r="U800" i="1" s="1"/>
  <c r="U799" i="1"/>
  <c r="T799" i="1"/>
  <c r="P799" i="1"/>
  <c r="T798" i="1"/>
  <c r="P798" i="1"/>
  <c r="U798" i="1" s="1"/>
  <c r="T797" i="1"/>
  <c r="P797" i="1"/>
  <c r="U797" i="1" s="1"/>
  <c r="H986" i="1"/>
  <c r="G986" i="1"/>
  <c r="F986" i="1"/>
  <c r="D986" i="1"/>
  <c r="C986" i="1"/>
  <c r="B986" i="1"/>
  <c r="I985" i="1"/>
  <c r="J985" i="1" s="1"/>
  <c r="E985" i="1"/>
  <c r="I984" i="1"/>
  <c r="E984" i="1"/>
  <c r="J984" i="1" s="1"/>
  <c r="I983" i="1"/>
  <c r="E983" i="1"/>
  <c r="J983" i="1" s="1"/>
  <c r="I982" i="1"/>
  <c r="J982" i="1" s="1"/>
  <c r="E982" i="1"/>
  <c r="I981" i="1"/>
  <c r="E981" i="1"/>
  <c r="J981" i="1" s="1"/>
  <c r="I980" i="1"/>
  <c r="E980" i="1"/>
  <c r="J980" i="1" s="1"/>
  <c r="J979" i="1"/>
  <c r="I979" i="1"/>
  <c r="E979" i="1"/>
  <c r="I978" i="1"/>
  <c r="J978" i="1" s="1"/>
  <c r="E978" i="1"/>
  <c r="I977" i="1"/>
  <c r="E977" i="1"/>
  <c r="J977" i="1" s="1"/>
  <c r="I976" i="1"/>
  <c r="E976" i="1"/>
  <c r="J976" i="1" s="1"/>
  <c r="J975" i="1"/>
  <c r="I975" i="1"/>
  <c r="E975" i="1"/>
  <c r="I974" i="1"/>
  <c r="J974" i="1" s="1"/>
  <c r="E974" i="1"/>
  <c r="I973" i="1"/>
  <c r="E973" i="1"/>
  <c r="J973" i="1" s="1"/>
  <c r="I972" i="1"/>
  <c r="E972" i="1"/>
  <c r="J972" i="1" s="1"/>
  <c r="J971" i="1"/>
  <c r="I971" i="1"/>
  <c r="E971" i="1"/>
  <c r="I970" i="1"/>
  <c r="E970" i="1"/>
  <c r="I969" i="1"/>
  <c r="E969" i="1"/>
  <c r="J969" i="1" s="1"/>
  <c r="I968" i="1"/>
  <c r="E968" i="1"/>
  <c r="J968" i="1" s="1"/>
  <c r="I967" i="1"/>
  <c r="E967" i="1"/>
  <c r="I965" i="1"/>
  <c r="E965" i="1"/>
  <c r="J965" i="1" s="1"/>
  <c r="I964" i="1"/>
  <c r="E964" i="1"/>
  <c r="I963" i="1"/>
  <c r="E963" i="1"/>
  <c r="J963" i="1" s="1"/>
  <c r="I962" i="1"/>
  <c r="J962" i="1" s="1"/>
  <c r="E962" i="1"/>
  <c r="I961" i="1"/>
  <c r="E961" i="1"/>
  <c r="J961" i="1" s="1"/>
  <c r="I960" i="1"/>
  <c r="E960" i="1"/>
  <c r="J960" i="1" s="1"/>
  <c r="I958" i="1"/>
  <c r="E958" i="1"/>
  <c r="J958" i="1" s="1"/>
  <c r="J957" i="1"/>
  <c r="I957" i="1"/>
  <c r="E957" i="1"/>
  <c r="I956" i="1"/>
  <c r="J956" i="1" s="1"/>
  <c r="E956" i="1"/>
  <c r="I955" i="1"/>
  <c r="E955" i="1"/>
  <c r="J955" i="1" s="1"/>
  <c r="I954" i="1"/>
  <c r="E954" i="1"/>
  <c r="J953" i="1"/>
  <c r="I953" i="1"/>
  <c r="E953" i="1"/>
  <c r="I952" i="1"/>
  <c r="E952" i="1"/>
  <c r="I951" i="1"/>
  <c r="E951" i="1"/>
  <c r="P911" i="1"/>
  <c r="U911" i="1" s="1"/>
  <c r="T911" i="1"/>
  <c r="P910" i="1"/>
  <c r="T910" i="1"/>
  <c r="U910" i="1"/>
  <c r="T869" i="1"/>
  <c r="P869" i="1"/>
  <c r="S986" i="1"/>
  <c r="R986" i="1"/>
  <c r="O986" i="1"/>
  <c r="N986" i="1"/>
  <c r="M986" i="1"/>
  <c r="T983" i="1"/>
  <c r="P983" i="1"/>
  <c r="U983" i="1" s="1"/>
  <c r="U982" i="1"/>
  <c r="T982" i="1"/>
  <c r="P982" i="1"/>
  <c r="T981" i="1"/>
  <c r="U981" i="1" s="1"/>
  <c r="P981" i="1"/>
  <c r="T980" i="1"/>
  <c r="P980" i="1"/>
  <c r="U980" i="1" s="1"/>
  <c r="T979" i="1"/>
  <c r="P979" i="1"/>
  <c r="U979" i="1" s="1"/>
  <c r="U978" i="1"/>
  <c r="T978" i="1"/>
  <c r="P978" i="1"/>
  <c r="T977" i="1"/>
  <c r="U977" i="1" s="1"/>
  <c r="P977" i="1"/>
  <c r="T976" i="1"/>
  <c r="P976" i="1"/>
  <c r="U976" i="1" s="1"/>
  <c r="T975" i="1"/>
  <c r="P975" i="1"/>
  <c r="U975" i="1" s="1"/>
  <c r="U974" i="1"/>
  <c r="T974" i="1"/>
  <c r="P974" i="1"/>
  <c r="T973" i="1"/>
  <c r="U973" i="1" s="1"/>
  <c r="P973" i="1"/>
  <c r="T972" i="1"/>
  <c r="P972" i="1"/>
  <c r="U972" i="1" s="1"/>
  <c r="T971" i="1"/>
  <c r="P971" i="1"/>
  <c r="U971" i="1" s="1"/>
  <c r="U970" i="1"/>
  <c r="T970" i="1"/>
  <c r="P970" i="1"/>
  <c r="T969" i="1"/>
  <c r="U969" i="1" s="1"/>
  <c r="P969" i="1"/>
  <c r="T968" i="1"/>
  <c r="P968" i="1"/>
  <c r="U968" i="1" s="1"/>
  <c r="T967" i="1"/>
  <c r="P967" i="1"/>
  <c r="U967" i="1" s="1"/>
  <c r="T966" i="1"/>
  <c r="P966" i="1"/>
  <c r="U966" i="1" s="1"/>
  <c r="T965" i="1"/>
  <c r="U965" i="1" s="1"/>
  <c r="P965" i="1"/>
  <c r="T963" i="1"/>
  <c r="P963" i="1"/>
  <c r="U963" i="1" s="1"/>
  <c r="T962" i="1"/>
  <c r="U962" i="1" s="1"/>
  <c r="P962" i="1"/>
  <c r="T961" i="1"/>
  <c r="U961" i="1" s="1"/>
  <c r="P961" i="1"/>
  <c r="T960" i="1"/>
  <c r="P960" i="1"/>
  <c r="T958" i="1"/>
  <c r="P958" i="1"/>
  <c r="U958" i="1" s="1"/>
  <c r="T957" i="1"/>
  <c r="P957" i="1"/>
  <c r="U957" i="1" s="1"/>
  <c r="U956" i="1"/>
  <c r="T956" i="1"/>
  <c r="P956" i="1"/>
  <c r="T955" i="1"/>
  <c r="P955" i="1"/>
  <c r="U952" i="1"/>
  <c r="T952" i="1"/>
  <c r="P952" i="1"/>
  <c r="T951" i="1"/>
  <c r="U951" i="1" s="1"/>
  <c r="P951" i="1"/>
  <c r="P859" i="1"/>
  <c r="P852" i="1"/>
  <c r="U852" i="1" s="1"/>
  <c r="T852" i="1"/>
  <c r="T853" i="1"/>
  <c r="P854" i="1"/>
  <c r="T854" i="1"/>
  <c r="T894" i="1"/>
  <c r="P894" i="1"/>
  <c r="E793" i="1"/>
  <c r="I793" i="1"/>
  <c r="J793" i="1" s="1"/>
  <c r="I791" i="1"/>
  <c r="E791" i="1"/>
  <c r="J791" i="1" s="1"/>
  <c r="I790" i="1"/>
  <c r="E790" i="1"/>
  <c r="J790" i="1" s="1"/>
  <c r="H943" i="1"/>
  <c r="G943" i="1"/>
  <c r="F943" i="1"/>
  <c r="D943" i="1"/>
  <c r="C943" i="1"/>
  <c r="B943" i="1"/>
  <c r="I942" i="1"/>
  <c r="J942" i="1" s="1"/>
  <c r="E942" i="1"/>
  <c r="I941" i="1"/>
  <c r="E941" i="1"/>
  <c r="J941" i="1" s="1"/>
  <c r="I940" i="1"/>
  <c r="E940" i="1"/>
  <c r="J940" i="1" s="1"/>
  <c r="I939" i="1"/>
  <c r="E939" i="1"/>
  <c r="J939" i="1" s="1"/>
  <c r="I938" i="1"/>
  <c r="E938" i="1"/>
  <c r="I937" i="1"/>
  <c r="E937" i="1"/>
  <c r="J937" i="1" s="1"/>
  <c r="I936" i="1"/>
  <c r="E936" i="1"/>
  <c r="J935" i="1"/>
  <c r="I935" i="1"/>
  <c r="E935" i="1"/>
  <c r="I929" i="1"/>
  <c r="E929" i="1"/>
  <c r="I928" i="1"/>
  <c r="E928" i="1"/>
  <c r="J928" i="1" s="1"/>
  <c r="I927" i="1"/>
  <c r="J927" i="1" s="1"/>
  <c r="E927" i="1"/>
  <c r="I926" i="1"/>
  <c r="E926" i="1"/>
  <c r="I925" i="1"/>
  <c r="E925" i="1"/>
  <c r="J925" i="1" s="1"/>
  <c r="I924" i="1"/>
  <c r="E924" i="1"/>
  <c r="J924" i="1" s="1"/>
  <c r="I923" i="1"/>
  <c r="J923" i="1" s="1"/>
  <c r="E923" i="1"/>
  <c r="I922" i="1"/>
  <c r="J922" i="1" s="1"/>
  <c r="E922" i="1"/>
  <c r="I921" i="1"/>
  <c r="E921" i="1"/>
  <c r="I920" i="1"/>
  <c r="E920" i="1"/>
  <c r="I919" i="1"/>
  <c r="E919" i="1"/>
  <c r="J919" i="1" s="1"/>
  <c r="I915" i="1"/>
  <c r="E915" i="1"/>
  <c r="I914" i="1"/>
  <c r="E914" i="1"/>
  <c r="P895" i="1"/>
  <c r="T895" i="1"/>
  <c r="P937" i="1"/>
  <c r="U937" i="1" s="1"/>
  <c r="T937" i="1"/>
  <c r="P938" i="1"/>
  <c r="U938" i="1" s="1"/>
  <c r="T938" i="1"/>
  <c r="P940" i="1"/>
  <c r="T940" i="1"/>
  <c r="T942" i="1"/>
  <c r="P942" i="1"/>
  <c r="T941" i="1"/>
  <c r="P941" i="1"/>
  <c r="P912" i="1"/>
  <c r="T912" i="1"/>
  <c r="S943" i="1"/>
  <c r="R943" i="1"/>
  <c r="Q943" i="1"/>
  <c r="O943" i="1"/>
  <c r="N943" i="1"/>
  <c r="M943" i="1"/>
  <c r="T936" i="1"/>
  <c r="P936" i="1"/>
  <c r="U936" i="1" s="1"/>
  <c r="T934" i="1"/>
  <c r="P934" i="1"/>
  <c r="U934" i="1" s="1"/>
  <c r="T933" i="1"/>
  <c r="P933" i="1"/>
  <c r="T932" i="1"/>
  <c r="P932" i="1"/>
  <c r="U932" i="1" s="1"/>
  <c r="U931" i="1"/>
  <c r="T931" i="1"/>
  <c r="P931" i="1"/>
  <c r="T930" i="1"/>
  <c r="P930" i="1"/>
  <c r="T929" i="1"/>
  <c r="P929" i="1"/>
  <c r="U929" i="1" s="1"/>
  <c r="T928" i="1"/>
  <c r="P928" i="1"/>
  <c r="U928" i="1" s="1"/>
  <c r="U927" i="1"/>
  <c r="P927" i="1"/>
  <c r="T926" i="1"/>
  <c r="P926" i="1"/>
  <c r="T925" i="1"/>
  <c r="P925" i="1"/>
  <c r="T924" i="1"/>
  <c r="P924" i="1"/>
  <c r="T921" i="1"/>
  <c r="P921" i="1"/>
  <c r="U921" i="1" s="1"/>
  <c r="T920" i="1"/>
  <c r="P920" i="1"/>
  <c r="U920" i="1" s="1"/>
  <c r="T919" i="1"/>
  <c r="P919" i="1"/>
  <c r="T918" i="1"/>
  <c r="P918" i="1"/>
  <c r="T917" i="1"/>
  <c r="P917" i="1"/>
  <c r="U917" i="1" s="1"/>
  <c r="T915" i="1"/>
  <c r="P915" i="1"/>
  <c r="U915" i="1" s="1"/>
  <c r="T914" i="1"/>
  <c r="P914" i="1"/>
  <c r="U914" i="1" s="1"/>
  <c r="U913" i="1"/>
  <c r="T913" i="1"/>
  <c r="P913" i="1"/>
  <c r="T909" i="1"/>
  <c r="P909" i="1"/>
  <c r="U909" i="1" s="1"/>
  <c r="T908" i="1"/>
  <c r="U908" i="1" s="1"/>
  <c r="P908" i="1"/>
  <c r="T788" i="1"/>
  <c r="P788" i="1"/>
  <c r="U788" i="1" s="1"/>
  <c r="T898" i="1"/>
  <c r="T899" i="1"/>
  <c r="P899" i="1"/>
  <c r="P898" i="1"/>
  <c r="P825" i="1"/>
  <c r="T825" i="1"/>
  <c r="P867" i="1"/>
  <c r="T867" i="1"/>
  <c r="P868" i="1"/>
  <c r="T868" i="1"/>
  <c r="U868" i="1"/>
  <c r="T749" i="1"/>
  <c r="P749" i="1"/>
  <c r="U749" i="1" s="1"/>
  <c r="P748" i="1"/>
  <c r="T748" i="1"/>
  <c r="U748" i="1" s="1"/>
  <c r="I747" i="1"/>
  <c r="E747" i="1"/>
  <c r="J747" i="1" s="1"/>
  <c r="P747" i="1"/>
  <c r="T747" i="1"/>
  <c r="U747" i="1" s="1"/>
  <c r="I745" i="1"/>
  <c r="E745" i="1"/>
  <c r="J745" i="1" s="1"/>
  <c r="P897" i="1"/>
  <c r="T897" i="1"/>
  <c r="P774" i="1"/>
  <c r="P855" i="1"/>
  <c r="T855" i="1"/>
  <c r="H900" i="1"/>
  <c r="G900" i="1"/>
  <c r="F900" i="1"/>
  <c r="D900" i="1"/>
  <c r="C900" i="1"/>
  <c r="B900" i="1"/>
  <c r="I899" i="1"/>
  <c r="J899" i="1" s="1"/>
  <c r="E899" i="1"/>
  <c r="I898" i="1"/>
  <c r="E898" i="1"/>
  <c r="J898" i="1" s="1"/>
  <c r="I897" i="1"/>
  <c r="E897" i="1"/>
  <c r="J897" i="1" s="1"/>
  <c r="J896" i="1"/>
  <c r="I896" i="1"/>
  <c r="E896" i="1"/>
  <c r="I895" i="1"/>
  <c r="J895" i="1" s="1"/>
  <c r="E895" i="1"/>
  <c r="I894" i="1"/>
  <c r="E894" i="1"/>
  <c r="J894" i="1" s="1"/>
  <c r="I893" i="1"/>
  <c r="E893" i="1"/>
  <c r="J893" i="1" s="1"/>
  <c r="J892" i="1"/>
  <c r="I892" i="1"/>
  <c r="E892" i="1"/>
  <c r="I891" i="1"/>
  <c r="J891" i="1" s="1"/>
  <c r="E891" i="1"/>
  <c r="I890" i="1"/>
  <c r="E890" i="1"/>
  <c r="J890" i="1" s="1"/>
  <c r="I889" i="1"/>
  <c r="E889" i="1"/>
  <c r="J889" i="1" s="1"/>
  <c r="J888" i="1"/>
  <c r="I888" i="1"/>
  <c r="E888" i="1"/>
  <c r="I887" i="1"/>
  <c r="J887" i="1" s="1"/>
  <c r="E887" i="1"/>
  <c r="I886" i="1"/>
  <c r="E886" i="1"/>
  <c r="J886" i="1" s="1"/>
  <c r="I885" i="1"/>
  <c r="E885" i="1"/>
  <c r="J885" i="1" s="1"/>
  <c r="J884" i="1"/>
  <c r="I884" i="1"/>
  <c r="E884" i="1"/>
  <c r="I883" i="1"/>
  <c r="J883" i="1" s="1"/>
  <c r="E883" i="1"/>
  <c r="I882" i="1"/>
  <c r="E882" i="1"/>
  <c r="J882" i="1" s="1"/>
  <c r="I881" i="1"/>
  <c r="E881" i="1"/>
  <c r="J881" i="1" s="1"/>
  <c r="I879" i="1"/>
  <c r="E879" i="1"/>
  <c r="I878" i="1"/>
  <c r="E878" i="1"/>
  <c r="J878" i="1" s="1"/>
  <c r="I877" i="1"/>
  <c r="E877" i="1"/>
  <c r="J877" i="1" s="1"/>
  <c r="I876" i="1"/>
  <c r="E876" i="1"/>
  <c r="J876" i="1" s="1"/>
  <c r="I875" i="1"/>
  <c r="J875" i="1" s="1"/>
  <c r="E875" i="1"/>
  <c r="I874" i="1"/>
  <c r="E874" i="1"/>
  <c r="J874" i="1" s="1"/>
  <c r="I872" i="1"/>
  <c r="E872" i="1"/>
  <c r="J872" i="1" s="1"/>
  <c r="I871" i="1"/>
  <c r="E871" i="1"/>
  <c r="J871" i="1" s="1"/>
  <c r="J870" i="1"/>
  <c r="I870" i="1"/>
  <c r="E870" i="1"/>
  <c r="I869" i="1"/>
  <c r="J869" i="1" s="1"/>
  <c r="E869" i="1"/>
  <c r="I866" i="1"/>
  <c r="E866" i="1"/>
  <c r="J866" i="1" s="1"/>
  <c r="I865" i="1"/>
  <c r="E865" i="1"/>
  <c r="S900" i="1"/>
  <c r="R900" i="1"/>
  <c r="Q900" i="1"/>
  <c r="O900" i="1"/>
  <c r="N900" i="1"/>
  <c r="M900" i="1"/>
  <c r="T896" i="1"/>
  <c r="P896" i="1"/>
  <c r="T893" i="1"/>
  <c r="P893" i="1"/>
  <c r="U893" i="1" s="1"/>
  <c r="T892" i="1"/>
  <c r="P892" i="1"/>
  <c r="T890" i="1"/>
  <c r="P890" i="1"/>
  <c r="U890" i="1" s="1"/>
  <c r="T889" i="1"/>
  <c r="P889" i="1"/>
  <c r="U889" i="1" s="1"/>
  <c r="T888" i="1"/>
  <c r="P888" i="1"/>
  <c r="U888" i="1" s="1"/>
  <c r="T887" i="1"/>
  <c r="U887" i="1" s="1"/>
  <c r="P887" i="1"/>
  <c r="T886" i="1"/>
  <c r="P886" i="1"/>
  <c r="T885" i="1"/>
  <c r="P885" i="1"/>
  <c r="T884" i="1"/>
  <c r="P884" i="1"/>
  <c r="U884" i="1" s="1"/>
  <c r="T883" i="1"/>
  <c r="U883" i="1" s="1"/>
  <c r="P883" i="1"/>
  <c r="T882" i="1"/>
  <c r="P882" i="1"/>
  <c r="U882" i="1" s="1"/>
  <c r="T881" i="1"/>
  <c r="P881" i="1"/>
  <c r="U881" i="1" s="1"/>
  <c r="T880" i="1"/>
  <c r="U880" i="1" s="1"/>
  <c r="P880" i="1"/>
  <c r="T879" i="1"/>
  <c r="P879" i="1"/>
  <c r="T878" i="1"/>
  <c r="P878" i="1"/>
  <c r="U878" i="1" s="1"/>
  <c r="T877" i="1"/>
  <c r="P877" i="1"/>
  <c r="U877" i="1" s="1"/>
  <c r="T875" i="1"/>
  <c r="P875" i="1"/>
  <c r="T874" i="1"/>
  <c r="P874" i="1"/>
  <c r="U874" i="1" s="1"/>
  <c r="T872" i="1"/>
  <c r="P872" i="1"/>
  <c r="U872" i="1" s="1"/>
  <c r="T871" i="1"/>
  <c r="P871" i="1"/>
  <c r="U871" i="1" s="1"/>
  <c r="T870" i="1"/>
  <c r="P870" i="1"/>
  <c r="U866" i="1"/>
  <c r="T866" i="1"/>
  <c r="P866" i="1"/>
  <c r="T865" i="1"/>
  <c r="U865" i="1" s="1"/>
  <c r="P865" i="1"/>
  <c r="N817" i="1"/>
  <c r="O817" i="1"/>
  <c r="M817" i="1"/>
  <c r="U710" i="1"/>
  <c r="T710" i="1"/>
  <c r="P710" i="1"/>
  <c r="T707" i="1"/>
  <c r="P707" i="1"/>
  <c r="U707" i="1" s="1"/>
  <c r="T672" i="1"/>
  <c r="P672" i="1"/>
  <c r="U672" i="1" s="1"/>
  <c r="T824" i="1"/>
  <c r="P824" i="1"/>
  <c r="P856" i="1"/>
  <c r="E1158" i="1" l="1"/>
  <c r="U1200" i="1"/>
  <c r="U1175" i="1"/>
  <c r="J1126" i="1"/>
  <c r="J1139" i="1"/>
  <c r="U1196" i="1"/>
  <c r="U1283" i="1"/>
  <c r="U1284" i="1"/>
  <c r="U1136" i="1"/>
  <c r="J1136" i="1"/>
  <c r="U1170" i="1"/>
  <c r="I1158" i="1"/>
  <c r="J1158" i="1" s="1"/>
  <c r="U1133" i="1"/>
  <c r="J1083" i="1"/>
  <c r="U1285" i="1"/>
  <c r="U1286" i="1"/>
  <c r="U1156" i="1"/>
  <c r="U1155" i="1"/>
  <c r="J1095" i="1"/>
  <c r="E1115" i="1"/>
  <c r="J1094" i="1"/>
  <c r="J1093" i="1"/>
  <c r="U1109" i="1"/>
  <c r="U1112" i="1"/>
  <c r="J1091" i="1"/>
  <c r="U1094" i="1"/>
  <c r="J1080" i="1"/>
  <c r="I1115" i="1"/>
  <c r="J1115" i="1" s="1"/>
  <c r="U1157" i="1"/>
  <c r="U1093" i="1"/>
  <c r="U1154" i="1"/>
  <c r="U1111" i="1"/>
  <c r="U1091" i="1"/>
  <c r="U1090" i="1"/>
  <c r="J1052" i="1"/>
  <c r="I1072" i="1"/>
  <c r="U1089" i="1"/>
  <c r="U1152" i="1"/>
  <c r="T1287" i="1"/>
  <c r="P1287" i="1"/>
  <c r="U1255" i="1"/>
  <c r="U1256" i="1"/>
  <c r="U1212" i="1"/>
  <c r="U1066" i="1"/>
  <c r="U1067" i="1"/>
  <c r="U1210" i="1"/>
  <c r="U1211" i="1"/>
  <c r="T1244" i="1"/>
  <c r="P1244" i="1"/>
  <c r="U1110" i="1"/>
  <c r="U1069" i="1"/>
  <c r="J1039" i="1"/>
  <c r="E1072" i="1"/>
  <c r="J1072" i="1" s="1"/>
  <c r="U1070" i="1"/>
  <c r="U1197" i="1"/>
  <c r="T1201" i="1"/>
  <c r="U1198" i="1"/>
  <c r="U1047" i="1"/>
  <c r="J1014" i="1"/>
  <c r="P1201" i="1"/>
  <c r="U1010" i="1"/>
  <c r="J998" i="1"/>
  <c r="J997" i="1"/>
  <c r="U1009" i="1"/>
  <c r="J996" i="1"/>
  <c r="M1072" i="1"/>
  <c r="U1071" i="1"/>
  <c r="N1072" i="1"/>
  <c r="P1072" i="1" s="1"/>
  <c r="U1008" i="1"/>
  <c r="J1009" i="1"/>
  <c r="J1008" i="1"/>
  <c r="U1028" i="1"/>
  <c r="I1029" i="1"/>
  <c r="J1003" i="1"/>
  <c r="E1029" i="1"/>
  <c r="U1004" i="1"/>
  <c r="J970" i="1"/>
  <c r="J954" i="1"/>
  <c r="J967" i="1"/>
  <c r="J952" i="1"/>
  <c r="U1026" i="1"/>
  <c r="J964" i="1"/>
  <c r="U955" i="1"/>
  <c r="I986" i="1"/>
  <c r="E986" i="1"/>
  <c r="J951" i="1"/>
  <c r="J938" i="1"/>
  <c r="U985" i="1"/>
  <c r="U960" i="1"/>
  <c r="U1024" i="1"/>
  <c r="U1025" i="1"/>
  <c r="T1158" i="1"/>
  <c r="P1158" i="1"/>
  <c r="U1113" i="1"/>
  <c r="U984" i="1"/>
  <c r="U1114" i="1"/>
  <c r="U933" i="1"/>
  <c r="J936" i="1"/>
  <c r="J914" i="1"/>
  <c r="J915" i="1"/>
  <c r="J929" i="1"/>
  <c r="U930" i="1"/>
  <c r="J926" i="1"/>
  <c r="P1115" i="1"/>
  <c r="T1115" i="1"/>
  <c r="J921" i="1"/>
  <c r="U926" i="1"/>
  <c r="J920" i="1"/>
  <c r="U925" i="1"/>
  <c r="U924" i="1"/>
  <c r="T1072" i="1"/>
  <c r="P1029" i="1"/>
  <c r="U919" i="1"/>
  <c r="I943" i="1"/>
  <c r="E943" i="1"/>
  <c r="J879" i="1"/>
  <c r="U918" i="1"/>
  <c r="U892" i="1"/>
  <c r="U886" i="1"/>
  <c r="U885" i="1"/>
  <c r="T1029" i="1"/>
  <c r="U879" i="1"/>
  <c r="J865" i="1"/>
  <c r="E900" i="1"/>
  <c r="I900" i="1"/>
  <c r="U939" i="1"/>
  <c r="U875" i="1"/>
  <c r="T986" i="1"/>
  <c r="P986" i="1"/>
  <c r="U894" i="1"/>
  <c r="U941" i="1"/>
  <c r="U942" i="1"/>
  <c r="U854" i="1"/>
  <c r="U940" i="1"/>
  <c r="U853" i="1"/>
  <c r="U869" i="1"/>
  <c r="U870" i="1"/>
  <c r="U912" i="1"/>
  <c r="U895" i="1"/>
  <c r="P943" i="1"/>
  <c r="T943" i="1"/>
  <c r="U898" i="1"/>
  <c r="U896" i="1"/>
  <c r="U867" i="1"/>
  <c r="U897" i="1"/>
  <c r="U899" i="1"/>
  <c r="U825" i="1"/>
  <c r="T900" i="1"/>
  <c r="U855" i="1"/>
  <c r="P900" i="1"/>
  <c r="U856" i="1"/>
  <c r="U824" i="1"/>
  <c r="R645" i="1"/>
  <c r="S645" i="1"/>
  <c r="T645" i="1"/>
  <c r="Q645" i="1"/>
  <c r="N645" i="1"/>
  <c r="O645" i="1"/>
  <c r="P645" i="1"/>
  <c r="M645" i="1"/>
  <c r="R644" i="1"/>
  <c r="S644" i="1"/>
  <c r="T644" i="1"/>
  <c r="Q644" i="1"/>
  <c r="N644" i="1"/>
  <c r="O644" i="1"/>
  <c r="P644" i="1"/>
  <c r="M644" i="1"/>
  <c r="H857" i="1"/>
  <c r="G857" i="1"/>
  <c r="F857" i="1"/>
  <c r="D857" i="1"/>
  <c r="C857" i="1"/>
  <c r="B857" i="1"/>
  <c r="I856" i="1"/>
  <c r="E856" i="1"/>
  <c r="J856" i="1" s="1"/>
  <c r="I855" i="1"/>
  <c r="E855" i="1"/>
  <c r="J855" i="1" s="1"/>
  <c r="I854" i="1"/>
  <c r="E854" i="1"/>
  <c r="J854" i="1" s="1"/>
  <c r="I853" i="1"/>
  <c r="E853" i="1"/>
  <c r="J853" i="1" s="1"/>
  <c r="I852" i="1"/>
  <c r="E852" i="1"/>
  <c r="J852" i="1" s="1"/>
  <c r="I851" i="1"/>
  <c r="E851" i="1"/>
  <c r="J851" i="1" s="1"/>
  <c r="I850" i="1"/>
  <c r="E850" i="1"/>
  <c r="J850" i="1" s="1"/>
  <c r="I849" i="1"/>
  <c r="E849" i="1"/>
  <c r="J849" i="1" s="1"/>
  <c r="I848" i="1"/>
  <c r="E848" i="1"/>
  <c r="J848" i="1" s="1"/>
  <c r="I847" i="1"/>
  <c r="E847" i="1"/>
  <c r="J847" i="1" s="1"/>
  <c r="I846" i="1"/>
  <c r="E846" i="1"/>
  <c r="J846" i="1" s="1"/>
  <c r="I845" i="1"/>
  <c r="E845" i="1"/>
  <c r="J845" i="1" s="1"/>
  <c r="I844" i="1"/>
  <c r="E844" i="1"/>
  <c r="J844" i="1" s="1"/>
  <c r="I843" i="1"/>
  <c r="E843" i="1"/>
  <c r="J843" i="1" s="1"/>
  <c r="I842" i="1"/>
  <c r="E842" i="1"/>
  <c r="J842" i="1" s="1"/>
  <c r="I841" i="1"/>
  <c r="E841" i="1"/>
  <c r="J841" i="1" s="1"/>
  <c r="I840" i="1"/>
  <c r="E840" i="1"/>
  <c r="J840" i="1" s="1"/>
  <c r="I839" i="1"/>
  <c r="E839" i="1"/>
  <c r="J839" i="1" s="1"/>
  <c r="I838" i="1"/>
  <c r="E838" i="1"/>
  <c r="J838" i="1" s="1"/>
  <c r="I837" i="1"/>
  <c r="E837" i="1"/>
  <c r="J837" i="1" s="1"/>
  <c r="I836" i="1"/>
  <c r="E836" i="1"/>
  <c r="J836" i="1" s="1"/>
  <c r="I835" i="1"/>
  <c r="E835" i="1"/>
  <c r="J835" i="1" s="1"/>
  <c r="I834" i="1"/>
  <c r="E834" i="1"/>
  <c r="I833" i="1"/>
  <c r="E833" i="1"/>
  <c r="I832" i="1"/>
  <c r="E832" i="1"/>
  <c r="J832" i="1" s="1"/>
  <c r="I831" i="1"/>
  <c r="E831" i="1"/>
  <c r="I829" i="1"/>
  <c r="E829" i="1"/>
  <c r="J829" i="1" s="1"/>
  <c r="I828" i="1"/>
  <c r="E828" i="1"/>
  <c r="J828" i="1" s="1"/>
  <c r="I827" i="1"/>
  <c r="E827" i="1"/>
  <c r="I826" i="1"/>
  <c r="E826" i="1"/>
  <c r="J826" i="1" s="1"/>
  <c r="I825" i="1"/>
  <c r="E825" i="1"/>
  <c r="J825" i="1" s="1"/>
  <c r="I824" i="1"/>
  <c r="E824" i="1"/>
  <c r="I823" i="1"/>
  <c r="E823" i="1"/>
  <c r="I822" i="1"/>
  <c r="E822" i="1"/>
  <c r="S857" i="1"/>
  <c r="R857" i="1"/>
  <c r="Q857" i="1"/>
  <c r="O857" i="1"/>
  <c r="N857" i="1"/>
  <c r="M857" i="1"/>
  <c r="T851" i="1"/>
  <c r="P851" i="1"/>
  <c r="U851" i="1" s="1"/>
  <c r="T850" i="1"/>
  <c r="P850" i="1"/>
  <c r="U850" i="1" s="1"/>
  <c r="T849" i="1"/>
  <c r="P849" i="1"/>
  <c r="T848" i="1"/>
  <c r="P848" i="1"/>
  <c r="T847" i="1"/>
  <c r="P847" i="1"/>
  <c r="U847" i="1" s="1"/>
  <c r="T846" i="1"/>
  <c r="P846" i="1"/>
  <c r="T845" i="1"/>
  <c r="P845" i="1"/>
  <c r="U845" i="1" s="1"/>
  <c r="T844" i="1"/>
  <c r="P844" i="1"/>
  <c r="U844" i="1" s="1"/>
  <c r="T843" i="1"/>
  <c r="P843" i="1"/>
  <c r="U843" i="1" s="1"/>
  <c r="T840" i="1"/>
  <c r="P840" i="1"/>
  <c r="U840" i="1" s="1"/>
  <c r="T839" i="1"/>
  <c r="P839" i="1"/>
  <c r="T838" i="1"/>
  <c r="P838" i="1"/>
  <c r="T837" i="1"/>
  <c r="P837" i="1"/>
  <c r="T836" i="1"/>
  <c r="P836" i="1"/>
  <c r="U836" i="1" s="1"/>
  <c r="T835" i="1"/>
  <c r="P835" i="1"/>
  <c r="T834" i="1"/>
  <c r="P834" i="1"/>
  <c r="T833" i="1"/>
  <c r="P833" i="1"/>
  <c r="U833" i="1" s="1"/>
  <c r="T832" i="1"/>
  <c r="P832" i="1"/>
  <c r="U832" i="1" s="1"/>
  <c r="T831" i="1"/>
  <c r="P831" i="1"/>
  <c r="T829" i="1"/>
  <c r="P829" i="1"/>
  <c r="U829" i="1" s="1"/>
  <c r="T828" i="1"/>
  <c r="P828" i="1"/>
  <c r="U828" i="1" s="1"/>
  <c r="T827" i="1"/>
  <c r="P827" i="1"/>
  <c r="U827" i="1" s="1"/>
  <c r="T826" i="1"/>
  <c r="P826" i="1"/>
  <c r="T823" i="1"/>
  <c r="P823" i="1"/>
  <c r="U823" i="1" s="1"/>
  <c r="T822" i="1"/>
  <c r="P822" i="1"/>
  <c r="U822" i="1" s="1"/>
  <c r="T687" i="1"/>
  <c r="U687" i="1" s="1"/>
  <c r="P687" i="1"/>
  <c r="T667" i="1"/>
  <c r="P667" i="1"/>
  <c r="U667" i="1" s="1"/>
  <c r="E693" i="1"/>
  <c r="I693" i="1"/>
  <c r="J693" i="1" s="1"/>
  <c r="I653" i="1"/>
  <c r="E653" i="1"/>
  <c r="J653" i="1" s="1"/>
  <c r="E652" i="1"/>
  <c r="I652" i="1"/>
  <c r="E650" i="1"/>
  <c r="I650" i="1"/>
  <c r="J650" i="1" s="1"/>
  <c r="P741" i="1"/>
  <c r="U741" i="1" s="1"/>
  <c r="T741" i="1"/>
  <c r="T781" i="1"/>
  <c r="P781" i="1"/>
  <c r="U781" i="1" s="1"/>
  <c r="U816" i="1"/>
  <c r="T816" i="1"/>
  <c r="P816" i="1"/>
  <c r="U773" i="1"/>
  <c r="T773" i="1"/>
  <c r="P773" i="1"/>
  <c r="T660" i="1"/>
  <c r="P660" i="1"/>
  <c r="U660" i="1" s="1"/>
  <c r="P779" i="1"/>
  <c r="U779" i="1" s="1"/>
  <c r="T779" i="1"/>
  <c r="P780" i="1"/>
  <c r="T780" i="1"/>
  <c r="T737" i="1"/>
  <c r="P737" i="1"/>
  <c r="U737" i="1" s="1"/>
  <c r="P769" i="1"/>
  <c r="T769" i="1"/>
  <c r="P770" i="1"/>
  <c r="T770" i="1"/>
  <c r="P725" i="1"/>
  <c r="T725" i="1"/>
  <c r="U725" i="1"/>
  <c r="T727" i="1"/>
  <c r="P727" i="1"/>
  <c r="T726" i="1"/>
  <c r="P726" i="1"/>
  <c r="T684" i="1"/>
  <c r="P684" i="1"/>
  <c r="T683" i="1"/>
  <c r="P683" i="1"/>
  <c r="U683" i="1" s="1"/>
  <c r="T682" i="1"/>
  <c r="P682" i="1"/>
  <c r="H814" i="1"/>
  <c r="G814" i="1"/>
  <c r="F814" i="1"/>
  <c r="D814" i="1"/>
  <c r="C814" i="1"/>
  <c r="B814" i="1"/>
  <c r="I813" i="1"/>
  <c r="J813" i="1" s="1"/>
  <c r="E813" i="1"/>
  <c r="I812" i="1"/>
  <c r="E812" i="1"/>
  <c r="J812" i="1" s="1"/>
  <c r="I811" i="1"/>
  <c r="E811" i="1"/>
  <c r="J811" i="1" s="1"/>
  <c r="J810" i="1"/>
  <c r="I810" i="1"/>
  <c r="E810" i="1"/>
  <c r="I809" i="1"/>
  <c r="E809" i="1"/>
  <c r="I808" i="1"/>
  <c r="E808" i="1"/>
  <c r="I807" i="1"/>
  <c r="E807" i="1"/>
  <c r="J807" i="1" s="1"/>
  <c r="I806" i="1"/>
  <c r="E806" i="1"/>
  <c r="J806" i="1" s="1"/>
  <c r="I794" i="1"/>
  <c r="E794" i="1"/>
  <c r="I792" i="1"/>
  <c r="E792" i="1"/>
  <c r="J792" i="1" s="1"/>
  <c r="I789" i="1"/>
  <c r="E789" i="1"/>
  <c r="I788" i="1"/>
  <c r="E788" i="1"/>
  <c r="J788" i="1" s="1"/>
  <c r="I786" i="1"/>
  <c r="E786" i="1"/>
  <c r="E785" i="1"/>
  <c r="J785" i="1" s="1"/>
  <c r="I784" i="1"/>
  <c r="J784" i="1" s="1"/>
  <c r="E784" i="1"/>
  <c r="I783" i="1"/>
  <c r="J783" i="1" s="1"/>
  <c r="E783" i="1"/>
  <c r="I782" i="1"/>
  <c r="E782" i="1"/>
  <c r="J782" i="1" s="1"/>
  <c r="I781" i="1"/>
  <c r="E781" i="1"/>
  <c r="J781" i="1" s="1"/>
  <c r="I780" i="1"/>
  <c r="E780" i="1"/>
  <c r="J780" i="1" s="1"/>
  <c r="I779" i="1"/>
  <c r="E779" i="1"/>
  <c r="P812" i="1"/>
  <c r="T812" i="1"/>
  <c r="P813" i="1"/>
  <c r="T813" i="1"/>
  <c r="S814" i="1"/>
  <c r="R814" i="1"/>
  <c r="Q814" i="1"/>
  <c r="O814" i="1"/>
  <c r="N814" i="1"/>
  <c r="M814" i="1"/>
  <c r="T811" i="1"/>
  <c r="P811" i="1"/>
  <c r="T810" i="1"/>
  <c r="P810" i="1"/>
  <c r="U810" i="1" s="1"/>
  <c r="T809" i="1"/>
  <c r="P809" i="1"/>
  <c r="T807" i="1"/>
  <c r="P807" i="1"/>
  <c r="T805" i="1"/>
  <c r="P805" i="1"/>
  <c r="T804" i="1"/>
  <c r="P804" i="1"/>
  <c r="T803" i="1"/>
  <c r="P803" i="1"/>
  <c r="T802" i="1"/>
  <c r="P802" i="1"/>
  <c r="T801" i="1"/>
  <c r="P801" i="1"/>
  <c r="U801" i="1" s="1"/>
  <c r="T796" i="1"/>
  <c r="P796" i="1"/>
  <c r="T795" i="1"/>
  <c r="U795" i="1" s="1"/>
  <c r="P795" i="1"/>
  <c r="T794" i="1"/>
  <c r="P794" i="1"/>
  <c r="U794" i="1" s="1"/>
  <c r="T793" i="1"/>
  <c r="P793" i="1"/>
  <c r="T792" i="1"/>
  <c r="P792" i="1"/>
  <c r="T791" i="1"/>
  <c r="P791" i="1"/>
  <c r="T790" i="1"/>
  <c r="P790" i="1"/>
  <c r="T789" i="1"/>
  <c r="P789" i="1"/>
  <c r="T786" i="1"/>
  <c r="P786" i="1"/>
  <c r="U786" i="1" s="1"/>
  <c r="T785" i="1"/>
  <c r="P785" i="1"/>
  <c r="U785" i="1" s="1"/>
  <c r="U784" i="1"/>
  <c r="T784" i="1"/>
  <c r="P784" i="1"/>
  <c r="T783" i="1"/>
  <c r="P783" i="1"/>
  <c r="U783" i="1" s="1"/>
  <c r="T782" i="1"/>
  <c r="P782" i="1"/>
  <c r="U782" i="1" s="1"/>
  <c r="H771" i="1"/>
  <c r="G771" i="1"/>
  <c r="F771" i="1"/>
  <c r="D771" i="1"/>
  <c r="C771" i="1"/>
  <c r="B771" i="1"/>
  <c r="I770" i="1"/>
  <c r="E770" i="1"/>
  <c r="J770" i="1" s="1"/>
  <c r="I769" i="1"/>
  <c r="E769" i="1"/>
  <c r="J769" i="1" s="1"/>
  <c r="I768" i="1"/>
  <c r="J768" i="1" s="1"/>
  <c r="E768" i="1"/>
  <c r="J767" i="1"/>
  <c r="I767" i="1"/>
  <c r="E767" i="1"/>
  <c r="I766" i="1"/>
  <c r="E766" i="1"/>
  <c r="J766" i="1" s="1"/>
  <c r="I765" i="1"/>
  <c r="E765" i="1"/>
  <c r="J765" i="1" s="1"/>
  <c r="I764" i="1"/>
  <c r="J764" i="1" s="1"/>
  <c r="E764" i="1"/>
  <c r="J763" i="1"/>
  <c r="I763" i="1"/>
  <c r="E763" i="1"/>
  <c r="I762" i="1"/>
  <c r="E762" i="1"/>
  <c r="J762" i="1" s="1"/>
  <c r="I761" i="1"/>
  <c r="E761" i="1"/>
  <c r="J761" i="1" s="1"/>
  <c r="I760" i="1"/>
  <c r="J760" i="1" s="1"/>
  <c r="E760" i="1"/>
  <c r="I759" i="1"/>
  <c r="E759" i="1"/>
  <c r="J759" i="1" s="1"/>
  <c r="I758" i="1"/>
  <c r="E758" i="1"/>
  <c r="J758" i="1" s="1"/>
  <c r="I757" i="1"/>
  <c r="E757" i="1"/>
  <c r="I756" i="1"/>
  <c r="J756" i="1" s="1"/>
  <c r="E756" i="1"/>
  <c r="I755" i="1"/>
  <c r="E755" i="1"/>
  <c r="J755" i="1" s="1"/>
  <c r="I754" i="1"/>
  <c r="E754" i="1"/>
  <c r="J754" i="1" s="1"/>
  <c r="I753" i="1"/>
  <c r="E753" i="1"/>
  <c r="J753" i="1" s="1"/>
  <c r="I752" i="1"/>
  <c r="E752" i="1"/>
  <c r="I751" i="1"/>
  <c r="E751" i="1"/>
  <c r="J751" i="1" s="1"/>
  <c r="I750" i="1"/>
  <c r="E750" i="1"/>
  <c r="I749" i="1"/>
  <c r="E749" i="1"/>
  <c r="I748" i="1"/>
  <c r="J748" i="1" s="1"/>
  <c r="E748" i="1"/>
  <c r="I746" i="1"/>
  <c r="E746" i="1"/>
  <c r="J746" i="1" s="1"/>
  <c r="I743" i="1"/>
  <c r="E743" i="1"/>
  <c r="J743" i="1" s="1"/>
  <c r="I742" i="1"/>
  <c r="J742" i="1" s="1"/>
  <c r="E742" i="1"/>
  <c r="I741" i="1"/>
  <c r="E741" i="1"/>
  <c r="I740" i="1"/>
  <c r="E740" i="1"/>
  <c r="I739" i="1"/>
  <c r="E739" i="1"/>
  <c r="J739" i="1" s="1"/>
  <c r="I738" i="1"/>
  <c r="E738" i="1"/>
  <c r="I737" i="1"/>
  <c r="J737" i="1" s="1"/>
  <c r="E737" i="1"/>
  <c r="I736" i="1"/>
  <c r="E736" i="1"/>
  <c r="P724" i="1"/>
  <c r="T724" i="1"/>
  <c r="U724" i="1"/>
  <c r="P767" i="1"/>
  <c r="T767" i="1"/>
  <c r="P768" i="1"/>
  <c r="T768" i="1"/>
  <c r="P693" i="1"/>
  <c r="T693" i="1"/>
  <c r="U693" i="1"/>
  <c r="P694" i="1"/>
  <c r="U694" i="1" s="1"/>
  <c r="T694" i="1"/>
  <c r="S771" i="1"/>
  <c r="R771" i="1"/>
  <c r="Q771" i="1"/>
  <c r="O771" i="1"/>
  <c r="N771" i="1"/>
  <c r="M771" i="1"/>
  <c r="T766" i="1"/>
  <c r="P766" i="1"/>
  <c r="T765" i="1"/>
  <c r="P765" i="1"/>
  <c r="T764" i="1"/>
  <c r="P764" i="1"/>
  <c r="T763" i="1"/>
  <c r="U763" i="1" s="1"/>
  <c r="P763" i="1"/>
  <c r="T762" i="1"/>
  <c r="P762" i="1"/>
  <c r="T761" i="1"/>
  <c r="P761" i="1"/>
  <c r="T760" i="1"/>
  <c r="P760" i="1"/>
  <c r="T759" i="1"/>
  <c r="P759" i="1"/>
  <c r="T758" i="1"/>
  <c r="P758" i="1"/>
  <c r="U758" i="1" s="1"/>
  <c r="T757" i="1"/>
  <c r="P757" i="1"/>
  <c r="U757" i="1" s="1"/>
  <c r="T756" i="1"/>
  <c r="P756" i="1"/>
  <c r="T755" i="1"/>
  <c r="P755" i="1"/>
  <c r="T754" i="1"/>
  <c r="P754" i="1"/>
  <c r="T753" i="1"/>
  <c r="P753" i="1"/>
  <c r="T752" i="1"/>
  <c r="P752" i="1"/>
  <c r="T751" i="1"/>
  <c r="P751" i="1"/>
  <c r="T750" i="1"/>
  <c r="P750" i="1"/>
  <c r="U750" i="1" s="1"/>
  <c r="T746" i="1"/>
  <c r="P746" i="1"/>
  <c r="T745" i="1"/>
  <c r="P745" i="1"/>
  <c r="T743" i="1"/>
  <c r="P743" i="1"/>
  <c r="U743" i="1" s="1"/>
  <c r="U742" i="1"/>
  <c r="T742" i="1"/>
  <c r="P742" i="1"/>
  <c r="T740" i="1"/>
  <c r="P740" i="1"/>
  <c r="T739" i="1"/>
  <c r="P739" i="1"/>
  <c r="U739" i="1" s="1"/>
  <c r="T738" i="1"/>
  <c r="P738" i="1"/>
  <c r="T736" i="1"/>
  <c r="P736" i="1"/>
  <c r="U736" i="1" s="1"/>
  <c r="E609" i="1"/>
  <c r="E610" i="1"/>
  <c r="E611" i="1"/>
  <c r="J611" i="1" s="1"/>
  <c r="E612" i="1"/>
  <c r="E613" i="1"/>
  <c r="I609" i="1"/>
  <c r="J609" i="1" s="1"/>
  <c r="I610" i="1"/>
  <c r="I611" i="1"/>
  <c r="I612" i="1"/>
  <c r="J612" i="1" s="1"/>
  <c r="I613" i="1"/>
  <c r="I614" i="1"/>
  <c r="E654" i="1"/>
  <c r="E655" i="1"/>
  <c r="E656" i="1"/>
  <c r="J610" i="1"/>
  <c r="B615" i="1"/>
  <c r="C615" i="1"/>
  <c r="D615" i="1"/>
  <c r="B606" i="1"/>
  <c r="C606" i="1"/>
  <c r="D606" i="1"/>
  <c r="T607" i="1"/>
  <c r="P607" i="1"/>
  <c r="U607" i="1" s="1"/>
  <c r="T628" i="1"/>
  <c r="P628" i="1"/>
  <c r="U628" i="1" s="1"/>
  <c r="P641" i="1"/>
  <c r="T637" i="1"/>
  <c r="H728" i="1"/>
  <c r="G728" i="1"/>
  <c r="F728" i="1"/>
  <c r="D728" i="1"/>
  <c r="C728" i="1"/>
  <c r="B728" i="1"/>
  <c r="I727" i="1"/>
  <c r="J727" i="1" s="1"/>
  <c r="E727" i="1"/>
  <c r="I726" i="1"/>
  <c r="E726" i="1"/>
  <c r="I725" i="1"/>
  <c r="E725" i="1"/>
  <c r="J725" i="1" s="1"/>
  <c r="I724" i="1"/>
  <c r="E724" i="1"/>
  <c r="J724" i="1" s="1"/>
  <c r="I723" i="1"/>
  <c r="E723" i="1"/>
  <c r="I722" i="1"/>
  <c r="E722" i="1"/>
  <c r="I721" i="1"/>
  <c r="E721" i="1"/>
  <c r="J720" i="1"/>
  <c r="I720" i="1"/>
  <c r="E720" i="1"/>
  <c r="I719" i="1"/>
  <c r="J719" i="1" s="1"/>
  <c r="E719" i="1"/>
  <c r="I718" i="1"/>
  <c r="E718" i="1"/>
  <c r="J718" i="1" s="1"/>
  <c r="I717" i="1"/>
  <c r="E717" i="1"/>
  <c r="J717" i="1" s="1"/>
  <c r="I716" i="1"/>
  <c r="E716" i="1"/>
  <c r="J716" i="1" s="1"/>
  <c r="I715" i="1"/>
  <c r="J715" i="1" s="1"/>
  <c r="E715" i="1"/>
  <c r="I714" i="1"/>
  <c r="E714" i="1"/>
  <c r="I713" i="1"/>
  <c r="E713" i="1"/>
  <c r="I712" i="1"/>
  <c r="E712" i="1"/>
  <c r="J712" i="1" s="1"/>
  <c r="I711" i="1"/>
  <c r="E711" i="1"/>
  <c r="I710" i="1"/>
  <c r="E710" i="1"/>
  <c r="J710" i="1" s="1"/>
  <c r="I709" i="1"/>
  <c r="E709" i="1"/>
  <c r="J708" i="1"/>
  <c r="I708" i="1"/>
  <c r="E708" i="1"/>
  <c r="I707" i="1"/>
  <c r="E707" i="1"/>
  <c r="I706" i="1"/>
  <c r="E706" i="1"/>
  <c r="I705" i="1"/>
  <c r="E705" i="1"/>
  <c r="I704" i="1"/>
  <c r="E704" i="1"/>
  <c r="I703" i="1"/>
  <c r="E703" i="1"/>
  <c r="I702" i="1"/>
  <c r="E702" i="1"/>
  <c r="I700" i="1"/>
  <c r="E700" i="1"/>
  <c r="I699" i="1"/>
  <c r="E699" i="1"/>
  <c r="J699" i="1" s="1"/>
  <c r="I698" i="1"/>
  <c r="E698" i="1"/>
  <c r="J698" i="1" s="1"/>
  <c r="I697" i="1"/>
  <c r="E697" i="1"/>
  <c r="I696" i="1"/>
  <c r="E696" i="1"/>
  <c r="I695" i="1"/>
  <c r="E695" i="1"/>
  <c r="I694" i="1"/>
  <c r="E694" i="1"/>
  <c r="J694" i="1" s="1"/>
  <c r="P651" i="1"/>
  <c r="T651" i="1"/>
  <c r="S728" i="1"/>
  <c r="R728" i="1"/>
  <c r="Q728" i="1"/>
  <c r="O728" i="1"/>
  <c r="N728" i="1"/>
  <c r="M728" i="1"/>
  <c r="T723" i="1"/>
  <c r="P723" i="1"/>
  <c r="T722" i="1"/>
  <c r="P722" i="1"/>
  <c r="T721" i="1"/>
  <c r="P721" i="1"/>
  <c r="T720" i="1"/>
  <c r="P720" i="1"/>
  <c r="U720" i="1" s="1"/>
  <c r="T719" i="1"/>
  <c r="P719" i="1"/>
  <c r="T718" i="1"/>
  <c r="P718" i="1"/>
  <c r="T717" i="1"/>
  <c r="P717" i="1"/>
  <c r="T716" i="1"/>
  <c r="P716" i="1"/>
  <c r="T715" i="1"/>
  <c r="P715" i="1"/>
  <c r="T714" i="1"/>
  <c r="P714" i="1"/>
  <c r="T713" i="1"/>
  <c r="P713" i="1"/>
  <c r="T712" i="1"/>
  <c r="P712" i="1"/>
  <c r="U712" i="1" s="1"/>
  <c r="T711" i="1"/>
  <c r="P711" i="1"/>
  <c r="T709" i="1"/>
  <c r="P709" i="1"/>
  <c r="T708" i="1"/>
  <c r="P708" i="1"/>
  <c r="T706" i="1"/>
  <c r="P706" i="1"/>
  <c r="T705" i="1"/>
  <c r="P705" i="1"/>
  <c r="T704" i="1"/>
  <c r="P704" i="1"/>
  <c r="U704" i="1" s="1"/>
  <c r="T703" i="1"/>
  <c r="P703" i="1"/>
  <c r="T702" i="1"/>
  <c r="P702" i="1"/>
  <c r="T700" i="1"/>
  <c r="P700" i="1"/>
  <c r="T699" i="1"/>
  <c r="P699" i="1"/>
  <c r="U699" i="1" s="1"/>
  <c r="T698" i="1"/>
  <c r="P698" i="1"/>
  <c r="U698" i="1" s="1"/>
  <c r="T697" i="1"/>
  <c r="P697" i="1"/>
  <c r="T696" i="1"/>
  <c r="P696" i="1"/>
  <c r="T695" i="1"/>
  <c r="P695" i="1"/>
  <c r="P639" i="1"/>
  <c r="P636" i="1"/>
  <c r="T641" i="1"/>
  <c r="T598" i="1"/>
  <c r="T544" i="1"/>
  <c r="P544" i="1"/>
  <c r="T573" i="1"/>
  <c r="P573" i="1"/>
  <c r="P635" i="1"/>
  <c r="T635" i="1"/>
  <c r="T636" i="1"/>
  <c r="P637" i="1"/>
  <c r="P638" i="1"/>
  <c r="T638" i="1"/>
  <c r="T639" i="1"/>
  <c r="T541" i="1"/>
  <c r="P541" i="1"/>
  <c r="E530" i="1"/>
  <c r="I530" i="1"/>
  <c r="I493" i="1"/>
  <c r="E493" i="1"/>
  <c r="J493" i="1" s="1"/>
  <c r="P540" i="1"/>
  <c r="T540" i="1"/>
  <c r="T483" i="1"/>
  <c r="P483" i="1"/>
  <c r="P566" i="1"/>
  <c r="U566" i="1" s="1"/>
  <c r="T566" i="1"/>
  <c r="T609" i="1"/>
  <c r="P609" i="1"/>
  <c r="P610" i="1"/>
  <c r="T610" i="1"/>
  <c r="T495" i="1"/>
  <c r="P495" i="1"/>
  <c r="T482" i="1"/>
  <c r="P482" i="1"/>
  <c r="P612" i="1"/>
  <c r="T612" i="1"/>
  <c r="T525" i="1"/>
  <c r="P525" i="1"/>
  <c r="P524" i="1"/>
  <c r="T524" i="1"/>
  <c r="T640" i="1"/>
  <c r="P597" i="1"/>
  <c r="T597" i="1"/>
  <c r="P598" i="1"/>
  <c r="T555" i="1"/>
  <c r="P555" i="1"/>
  <c r="T554" i="1"/>
  <c r="P554" i="1"/>
  <c r="P567" i="1"/>
  <c r="T567" i="1"/>
  <c r="P568" i="1"/>
  <c r="T568" i="1"/>
  <c r="T523" i="1"/>
  <c r="P523" i="1"/>
  <c r="T481" i="1"/>
  <c r="P481" i="1"/>
  <c r="T480" i="1"/>
  <c r="P480" i="1"/>
  <c r="P553" i="1"/>
  <c r="T553" i="1"/>
  <c r="T512" i="1"/>
  <c r="P512" i="1"/>
  <c r="T511" i="1"/>
  <c r="P511" i="1"/>
  <c r="P510" i="1"/>
  <c r="T449" i="1"/>
  <c r="P449" i="1"/>
  <c r="T448" i="1"/>
  <c r="P448" i="1"/>
  <c r="P640" i="1"/>
  <c r="T447" i="1"/>
  <c r="P447" i="1"/>
  <c r="T469" i="1"/>
  <c r="P611" i="1"/>
  <c r="T611" i="1"/>
  <c r="T608" i="1"/>
  <c r="P608" i="1"/>
  <c r="P681" i="1"/>
  <c r="T681" i="1"/>
  <c r="P652" i="1"/>
  <c r="T652" i="1"/>
  <c r="P653" i="1"/>
  <c r="U653" i="1" s="1"/>
  <c r="T653" i="1"/>
  <c r="S685" i="1"/>
  <c r="R685" i="1"/>
  <c r="Q685" i="1"/>
  <c r="O685" i="1"/>
  <c r="N685" i="1"/>
  <c r="M685" i="1"/>
  <c r="H685" i="1"/>
  <c r="G685" i="1"/>
  <c r="F685" i="1"/>
  <c r="D685" i="1"/>
  <c r="C685" i="1"/>
  <c r="B685" i="1"/>
  <c r="I684" i="1"/>
  <c r="E684" i="1"/>
  <c r="I683" i="1"/>
  <c r="E683" i="1"/>
  <c r="I682" i="1"/>
  <c r="E682" i="1"/>
  <c r="I681" i="1"/>
  <c r="E681" i="1"/>
  <c r="J681" i="1" s="1"/>
  <c r="T680" i="1"/>
  <c r="P680" i="1"/>
  <c r="U680" i="1" s="1"/>
  <c r="I680" i="1"/>
  <c r="E680" i="1"/>
  <c r="T679" i="1"/>
  <c r="P679" i="1"/>
  <c r="I679" i="1"/>
  <c r="E679" i="1"/>
  <c r="J679" i="1" s="1"/>
  <c r="T678" i="1"/>
  <c r="P678" i="1"/>
  <c r="U678" i="1" s="1"/>
  <c r="I678" i="1"/>
  <c r="E678" i="1"/>
  <c r="T677" i="1"/>
  <c r="P677" i="1"/>
  <c r="I677" i="1"/>
  <c r="E677" i="1"/>
  <c r="J677" i="1" s="1"/>
  <c r="T676" i="1"/>
  <c r="P676" i="1"/>
  <c r="U676" i="1" s="1"/>
  <c r="I676" i="1"/>
  <c r="E676" i="1"/>
  <c r="T675" i="1"/>
  <c r="P675" i="1"/>
  <c r="I675" i="1"/>
  <c r="E675" i="1"/>
  <c r="J675" i="1" s="1"/>
  <c r="T674" i="1"/>
  <c r="P674" i="1"/>
  <c r="U674" i="1" s="1"/>
  <c r="I674" i="1"/>
  <c r="E674" i="1"/>
  <c r="T673" i="1"/>
  <c r="P673" i="1"/>
  <c r="I673" i="1"/>
  <c r="E673" i="1"/>
  <c r="J673" i="1" s="1"/>
  <c r="I672" i="1"/>
  <c r="E672" i="1"/>
  <c r="T671" i="1"/>
  <c r="P671" i="1"/>
  <c r="I671" i="1"/>
  <c r="E671" i="1"/>
  <c r="J671" i="1" s="1"/>
  <c r="T670" i="1"/>
  <c r="P670" i="1"/>
  <c r="U670" i="1" s="1"/>
  <c r="I670" i="1"/>
  <c r="E670" i="1"/>
  <c r="T669" i="1"/>
  <c r="P669" i="1"/>
  <c r="I669" i="1"/>
  <c r="E669" i="1"/>
  <c r="J669" i="1" s="1"/>
  <c r="T668" i="1"/>
  <c r="P668" i="1"/>
  <c r="I668" i="1"/>
  <c r="E668" i="1"/>
  <c r="I667" i="1"/>
  <c r="E667" i="1"/>
  <c r="T666" i="1"/>
  <c r="P666" i="1"/>
  <c r="I666" i="1"/>
  <c r="E666" i="1"/>
  <c r="T665" i="1"/>
  <c r="P665" i="1"/>
  <c r="I665" i="1"/>
  <c r="E665" i="1"/>
  <c r="T664" i="1"/>
  <c r="P664" i="1"/>
  <c r="I664" i="1"/>
  <c r="E664" i="1"/>
  <c r="T663" i="1"/>
  <c r="P663" i="1"/>
  <c r="I663" i="1"/>
  <c r="E663" i="1"/>
  <c r="J663" i="1" s="1"/>
  <c r="T662" i="1"/>
  <c r="P662" i="1"/>
  <c r="I662" i="1"/>
  <c r="E662" i="1"/>
  <c r="T661" i="1"/>
  <c r="P661" i="1"/>
  <c r="I661" i="1"/>
  <c r="E661" i="1"/>
  <c r="J661" i="1" s="1"/>
  <c r="I660" i="1"/>
  <c r="E660" i="1"/>
  <c r="T659" i="1"/>
  <c r="P659" i="1"/>
  <c r="I659" i="1"/>
  <c r="E659" i="1"/>
  <c r="J659" i="1" s="1"/>
  <c r="T657" i="1"/>
  <c r="P657" i="1"/>
  <c r="U657" i="1" s="1"/>
  <c r="I657" i="1"/>
  <c r="E657" i="1"/>
  <c r="T656" i="1"/>
  <c r="P656" i="1"/>
  <c r="I656" i="1"/>
  <c r="J656" i="1"/>
  <c r="T655" i="1"/>
  <c r="P655" i="1"/>
  <c r="U655" i="1" s="1"/>
  <c r="I655" i="1"/>
  <c r="T654" i="1"/>
  <c r="P654" i="1"/>
  <c r="I654" i="1"/>
  <c r="I651" i="1"/>
  <c r="E651" i="1"/>
  <c r="J651" i="1" s="1"/>
  <c r="T650" i="1"/>
  <c r="P650" i="1"/>
  <c r="P469" i="1"/>
  <c r="T406" i="1"/>
  <c r="P406" i="1"/>
  <c r="U406" i="1" s="1"/>
  <c r="H642" i="1"/>
  <c r="G642" i="1"/>
  <c r="F642" i="1"/>
  <c r="D642" i="1"/>
  <c r="C642" i="1"/>
  <c r="B642" i="1"/>
  <c r="I641" i="1"/>
  <c r="E641" i="1"/>
  <c r="J641" i="1" s="1"/>
  <c r="I640" i="1"/>
  <c r="E640" i="1"/>
  <c r="I639" i="1"/>
  <c r="J639" i="1" s="1"/>
  <c r="E639" i="1"/>
  <c r="I638" i="1"/>
  <c r="E638" i="1"/>
  <c r="I637" i="1"/>
  <c r="E637" i="1"/>
  <c r="I636" i="1"/>
  <c r="E636" i="1"/>
  <c r="I635" i="1"/>
  <c r="E635" i="1"/>
  <c r="I634" i="1"/>
  <c r="E634" i="1"/>
  <c r="I633" i="1"/>
  <c r="E633" i="1"/>
  <c r="I632" i="1"/>
  <c r="E632" i="1"/>
  <c r="J632" i="1" s="1"/>
  <c r="I631" i="1"/>
  <c r="E631" i="1"/>
  <c r="I630" i="1"/>
  <c r="E630" i="1"/>
  <c r="I629" i="1"/>
  <c r="E629" i="1"/>
  <c r="I628" i="1"/>
  <c r="E628" i="1"/>
  <c r="I627" i="1"/>
  <c r="E627" i="1"/>
  <c r="I626" i="1"/>
  <c r="E626" i="1"/>
  <c r="I625" i="1"/>
  <c r="E625" i="1"/>
  <c r="I624" i="1"/>
  <c r="E624" i="1"/>
  <c r="I623" i="1"/>
  <c r="E623" i="1"/>
  <c r="I622" i="1"/>
  <c r="E622" i="1"/>
  <c r="I621" i="1"/>
  <c r="E621" i="1"/>
  <c r="I620" i="1"/>
  <c r="E620" i="1"/>
  <c r="I619" i="1"/>
  <c r="E619" i="1"/>
  <c r="I618" i="1"/>
  <c r="E618" i="1"/>
  <c r="I617" i="1"/>
  <c r="E617" i="1"/>
  <c r="I616" i="1"/>
  <c r="J616" i="1" s="1"/>
  <c r="E616" i="1"/>
  <c r="E614" i="1"/>
  <c r="J613" i="1"/>
  <c r="I608" i="1"/>
  <c r="E608" i="1"/>
  <c r="I607" i="1"/>
  <c r="E607" i="1"/>
  <c r="S642" i="1"/>
  <c r="R642" i="1"/>
  <c r="Q642" i="1"/>
  <c r="O642" i="1"/>
  <c r="M642" i="1"/>
  <c r="T634" i="1"/>
  <c r="P634" i="1"/>
  <c r="T633" i="1"/>
  <c r="P633" i="1"/>
  <c r="T632" i="1"/>
  <c r="P632" i="1"/>
  <c r="T631" i="1"/>
  <c r="P631" i="1"/>
  <c r="T630" i="1"/>
  <c r="P630" i="1"/>
  <c r="T629" i="1"/>
  <c r="P629" i="1"/>
  <c r="T627" i="1"/>
  <c r="P627" i="1"/>
  <c r="T626" i="1"/>
  <c r="P626" i="1"/>
  <c r="T625" i="1"/>
  <c r="P625" i="1"/>
  <c r="T624" i="1"/>
  <c r="P624" i="1"/>
  <c r="T623" i="1"/>
  <c r="P623" i="1"/>
  <c r="T622" i="1"/>
  <c r="P622" i="1"/>
  <c r="T621" i="1"/>
  <c r="P621" i="1"/>
  <c r="T620" i="1"/>
  <c r="P620" i="1"/>
  <c r="T619" i="1"/>
  <c r="P619" i="1"/>
  <c r="T618" i="1"/>
  <c r="P618" i="1"/>
  <c r="T617" i="1"/>
  <c r="P617" i="1"/>
  <c r="T616" i="1"/>
  <c r="P616" i="1"/>
  <c r="U616" i="1" s="1"/>
  <c r="T614" i="1"/>
  <c r="P614" i="1"/>
  <c r="T613" i="1"/>
  <c r="P613" i="1"/>
  <c r="H599" i="1"/>
  <c r="G599" i="1"/>
  <c r="F599" i="1"/>
  <c r="D599" i="1"/>
  <c r="C599" i="1"/>
  <c r="B599" i="1"/>
  <c r="I598" i="1"/>
  <c r="E598" i="1"/>
  <c r="I597" i="1"/>
  <c r="E597" i="1"/>
  <c r="J597" i="1" s="1"/>
  <c r="I596" i="1"/>
  <c r="E596" i="1"/>
  <c r="I595" i="1"/>
  <c r="E595" i="1"/>
  <c r="J595" i="1" s="1"/>
  <c r="I594" i="1"/>
  <c r="E594" i="1"/>
  <c r="I593" i="1"/>
  <c r="E593" i="1"/>
  <c r="I592" i="1"/>
  <c r="E592" i="1"/>
  <c r="I591" i="1"/>
  <c r="E591" i="1"/>
  <c r="J591" i="1" s="1"/>
  <c r="I590" i="1"/>
  <c r="E590" i="1"/>
  <c r="I589" i="1"/>
  <c r="E589" i="1"/>
  <c r="J589" i="1" s="1"/>
  <c r="I588" i="1"/>
  <c r="E588" i="1"/>
  <c r="I587" i="1"/>
  <c r="E587" i="1"/>
  <c r="I586" i="1"/>
  <c r="E586" i="1"/>
  <c r="I585" i="1"/>
  <c r="E585" i="1"/>
  <c r="I584" i="1"/>
  <c r="E584" i="1"/>
  <c r="I583" i="1"/>
  <c r="J583" i="1" s="1"/>
  <c r="E583" i="1"/>
  <c r="I582" i="1"/>
  <c r="E582" i="1"/>
  <c r="I581" i="1"/>
  <c r="E581" i="1"/>
  <c r="J581" i="1" s="1"/>
  <c r="I580" i="1"/>
  <c r="E580" i="1"/>
  <c r="J580" i="1" s="1"/>
  <c r="I579" i="1"/>
  <c r="E579" i="1"/>
  <c r="I578" i="1"/>
  <c r="J578" i="1" s="1"/>
  <c r="E578" i="1"/>
  <c r="I577" i="1"/>
  <c r="E577" i="1"/>
  <c r="I576" i="1"/>
  <c r="E576" i="1"/>
  <c r="I575" i="1"/>
  <c r="E575" i="1"/>
  <c r="I574" i="1"/>
  <c r="E574" i="1"/>
  <c r="I573" i="1"/>
  <c r="E573" i="1"/>
  <c r="I571" i="1"/>
  <c r="E571" i="1"/>
  <c r="J571" i="1" s="1"/>
  <c r="I570" i="1"/>
  <c r="E570" i="1"/>
  <c r="I569" i="1"/>
  <c r="E569" i="1"/>
  <c r="I568" i="1"/>
  <c r="E568" i="1"/>
  <c r="I567" i="1"/>
  <c r="E567" i="1"/>
  <c r="I566" i="1"/>
  <c r="E566" i="1"/>
  <c r="I565" i="1"/>
  <c r="E565" i="1"/>
  <c r="I564" i="1"/>
  <c r="E564" i="1"/>
  <c r="S599" i="1"/>
  <c r="R599" i="1"/>
  <c r="Q599" i="1"/>
  <c r="O599" i="1"/>
  <c r="N599" i="1"/>
  <c r="M599" i="1"/>
  <c r="T596" i="1"/>
  <c r="P596" i="1"/>
  <c r="U596" i="1" s="1"/>
  <c r="T595" i="1"/>
  <c r="P595" i="1"/>
  <c r="T594" i="1"/>
  <c r="U594" i="1" s="1"/>
  <c r="P594" i="1"/>
  <c r="T593" i="1"/>
  <c r="P593" i="1"/>
  <c r="T592" i="1"/>
  <c r="P592" i="1"/>
  <c r="T591" i="1"/>
  <c r="P591" i="1"/>
  <c r="U591" i="1" s="1"/>
  <c r="T590" i="1"/>
  <c r="P590" i="1"/>
  <c r="T589" i="1"/>
  <c r="P589" i="1"/>
  <c r="T588" i="1"/>
  <c r="P588" i="1"/>
  <c r="T587" i="1"/>
  <c r="P587" i="1"/>
  <c r="U587" i="1" s="1"/>
  <c r="T586" i="1"/>
  <c r="P586" i="1"/>
  <c r="T585" i="1"/>
  <c r="P585" i="1"/>
  <c r="T584" i="1"/>
  <c r="P584" i="1"/>
  <c r="T583" i="1"/>
  <c r="P583" i="1"/>
  <c r="U583" i="1" s="1"/>
  <c r="T582" i="1"/>
  <c r="P582" i="1"/>
  <c r="T581" i="1"/>
  <c r="P581" i="1"/>
  <c r="T580" i="1"/>
  <c r="P580" i="1"/>
  <c r="T579" i="1"/>
  <c r="P579" i="1"/>
  <c r="T578" i="1"/>
  <c r="P578" i="1"/>
  <c r="T577" i="1"/>
  <c r="P577" i="1"/>
  <c r="T576" i="1"/>
  <c r="P576" i="1"/>
  <c r="T575" i="1"/>
  <c r="P575" i="1"/>
  <c r="T574" i="1"/>
  <c r="P574" i="1"/>
  <c r="T571" i="1"/>
  <c r="P571" i="1"/>
  <c r="T570" i="1"/>
  <c r="P570" i="1"/>
  <c r="T569" i="1"/>
  <c r="U569" i="1" s="1"/>
  <c r="P569" i="1"/>
  <c r="T565" i="1"/>
  <c r="P565" i="1"/>
  <c r="T564" i="1"/>
  <c r="P564" i="1"/>
  <c r="P436" i="1"/>
  <c r="T436" i="1"/>
  <c r="U436" i="1" s="1"/>
  <c r="T394" i="1"/>
  <c r="P394" i="1"/>
  <c r="T392" i="1"/>
  <c r="P392" i="1"/>
  <c r="T472" i="1"/>
  <c r="P472" i="1"/>
  <c r="T468" i="1"/>
  <c r="P468" i="1"/>
  <c r="T438" i="1"/>
  <c r="P438" i="1"/>
  <c r="I356" i="1"/>
  <c r="J356" i="1" s="1"/>
  <c r="E356" i="1"/>
  <c r="U1287" i="1" l="1"/>
  <c r="U1244" i="1"/>
  <c r="U1201" i="1"/>
  <c r="J1029" i="1"/>
  <c r="U1158" i="1"/>
  <c r="J986" i="1"/>
  <c r="U1115" i="1"/>
  <c r="U1072" i="1"/>
  <c r="U1029" i="1"/>
  <c r="J943" i="1"/>
  <c r="J900" i="1"/>
  <c r="J827" i="1"/>
  <c r="U986" i="1"/>
  <c r="U839" i="1"/>
  <c r="U838" i="1"/>
  <c r="U837" i="1"/>
  <c r="J834" i="1"/>
  <c r="E857" i="1"/>
  <c r="U835" i="1"/>
  <c r="J823" i="1"/>
  <c r="J833" i="1"/>
  <c r="J824" i="1"/>
  <c r="I857" i="1"/>
  <c r="J809" i="1"/>
  <c r="J831" i="1"/>
  <c r="J822" i="1"/>
  <c r="U834" i="1"/>
  <c r="J808" i="1"/>
  <c r="J738" i="1"/>
  <c r="J794" i="1"/>
  <c r="U831" i="1"/>
  <c r="U807" i="1"/>
  <c r="U805" i="1"/>
  <c r="U943" i="1"/>
  <c r="J786" i="1"/>
  <c r="U804" i="1"/>
  <c r="U803" i="1"/>
  <c r="U802" i="1"/>
  <c r="I814" i="1"/>
  <c r="U796" i="1"/>
  <c r="E814" i="1"/>
  <c r="J789" i="1"/>
  <c r="U792" i="1"/>
  <c r="J779" i="1"/>
  <c r="U793" i="1"/>
  <c r="U791" i="1"/>
  <c r="U790" i="1"/>
  <c r="U789" i="1"/>
  <c r="J741" i="1"/>
  <c r="J757" i="1"/>
  <c r="U780" i="1"/>
  <c r="U811" i="1"/>
  <c r="U764" i="1"/>
  <c r="J752" i="1"/>
  <c r="U759" i="1"/>
  <c r="J740" i="1"/>
  <c r="J750" i="1"/>
  <c r="U752" i="1"/>
  <c r="J749" i="1"/>
  <c r="U756" i="1"/>
  <c r="U755" i="1"/>
  <c r="U754" i="1"/>
  <c r="U753" i="1"/>
  <c r="U751" i="1"/>
  <c r="E771" i="1"/>
  <c r="I771" i="1"/>
  <c r="U770" i="1"/>
  <c r="U746" i="1"/>
  <c r="J736" i="1"/>
  <c r="U900" i="1"/>
  <c r="U713" i="1"/>
  <c r="U745" i="1"/>
  <c r="U738" i="1"/>
  <c r="U769" i="1"/>
  <c r="J707" i="1"/>
  <c r="J705" i="1"/>
  <c r="J704" i="1"/>
  <c r="U726" i="1"/>
  <c r="U727" i="1"/>
  <c r="E728" i="1"/>
  <c r="I728" i="1"/>
  <c r="U826" i="1"/>
  <c r="U762" i="1"/>
  <c r="U849" i="1"/>
  <c r="U760" i="1"/>
  <c r="U809" i="1"/>
  <c r="U846" i="1"/>
  <c r="U848" i="1"/>
  <c r="U761" i="1"/>
  <c r="T857" i="1"/>
  <c r="P857" i="1"/>
  <c r="J665" i="1"/>
  <c r="U765" i="1"/>
  <c r="U766" i="1"/>
  <c r="U812" i="1"/>
  <c r="U682" i="1"/>
  <c r="J654" i="1"/>
  <c r="J652" i="1"/>
  <c r="U684" i="1"/>
  <c r="U740" i="1"/>
  <c r="U813" i="1"/>
  <c r="P814" i="1"/>
  <c r="U767" i="1"/>
  <c r="U768" i="1"/>
  <c r="T814" i="1"/>
  <c r="T771" i="1"/>
  <c r="P771" i="1"/>
  <c r="U719" i="1"/>
  <c r="U723" i="1"/>
  <c r="U697" i="1"/>
  <c r="U634" i="1"/>
  <c r="E642" i="1"/>
  <c r="J628" i="1"/>
  <c r="E615" i="1"/>
  <c r="J667" i="1"/>
  <c r="J627" i="1"/>
  <c r="J624" i="1"/>
  <c r="P728" i="1"/>
  <c r="U581" i="1"/>
  <c r="U589" i="1"/>
  <c r="J568" i="1"/>
  <c r="J614" i="1"/>
  <c r="J623" i="1"/>
  <c r="J684" i="1"/>
  <c r="U568" i="1"/>
  <c r="U597" i="1"/>
  <c r="U612" i="1"/>
  <c r="U573" i="1"/>
  <c r="U702" i="1"/>
  <c r="U706" i="1"/>
  <c r="J696" i="1"/>
  <c r="J711" i="1"/>
  <c r="J722" i="1"/>
  <c r="U392" i="1"/>
  <c r="J565" i="1"/>
  <c r="J569" i="1"/>
  <c r="U633" i="1"/>
  <c r="J631" i="1"/>
  <c r="J635" i="1"/>
  <c r="U480" i="1"/>
  <c r="U718" i="1"/>
  <c r="U722" i="1"/>
  <c r="J700" i="1"/>
  <c r="J726" i="1"/>
  <c r="U394" i="1"/>
  <c r="U586" i="1"/>
  <c r="J570" i="1"/>
  <c r="J575" i="1"/>
  <c r="J579" i="1"/>
  <c r="J586" i="1"/>
  <c r="J594" i="1"/>
  <c r="J636" i="1"/>
  <c r="J640" i="1"/>
  <c r="U495" i="1"/>
  <c r="U483" i="1"/>
  <c r="U541" i="1"/>
  <c r="U635" i="1"/>
  <c r="U703" i="1"/>
  <c r="J697" i="1"/>
  <c r="J702" i="1"/>
  <c r="J709" i="1"/>
  <c r="J723" i="1"/>
  <c r="U613" i="1"/>
  <c r="U622" i="1"/>
  <c r="U659" i="1"/>
  <c r="U661" i="1"/>
  <c r="U663" i="1"/>
  <c r="U665" i="1"/>
  <c r="U669" i="1"/>
  <c r="U671" i="1"/>
  <c r="U673" i="1"/>
  <c r="U675" i="1"/>
  <c r="U677" i="1"/>
  <c r="U679" i="1"/>
  <c r="J682" i="1"/>
  <c r="U708" i="1"/>
  <c r="J706" i="1"/>
  <c r="J713" i="1"/>
  <c r="I685" i="1"/>
  <c r="U579" i="1"/>
  <c r="J587" i="1"/>
  <c r="U580" i="1"/>
  <c r="U588" i="1"/>
  <c r="U595" i="1"/>
  <c r="J588" i="1"/>
  <c r="J596" i="1"/>
  <c r="E599" i="1"/>
  <c r="U614" i="1"/>
  <c r="U627" i="1"/>
  <c r="J655" i="1"/>
  <c r="J657" i="1"/>
  <c r="J660" i="1"/>
  <c r="J662" i="1"/>
  <c r="J664" i="1"/>
  <c r="J666" i="1"/>
  <c r="J668" i="1"/>
  <c r="J670" i="1"/>
  <c r="J672" i="1"/>
  <c r="J674" i="1"/>
  <c r="J676" i="1"/>
  <c r="J678" i="1"/>
  <c r="J680" i="1"/>
  <c r="J683" i="1"/>
  <c r="U525" i="1"/>
  <c r="U610" i="1"/>
  <c r="U696" i="1"/>
  <c r="U709" i="1"/>
  <c r="U716" i="1"/>
  <c r="J695" i="1"/>
  <c r="J703" i="1"/>
  <c r="J714" i="1"/>
  <c r="J721" i="1"/>
  <c r="U630" i="1"/>
  <c r="J620" i="1"/>
  <c r="J619" i="1"/>
  <c r="J608" i="1"/>
  <c r="U626" i="1"/>
  <c r="N642" i="1"/>
  <c r="P642" i="1" s="1"/>
  <c r="U625" i="1"/>
  <c r="J607" i="1"/>
  <c r="U637" i="1"/>
  <c r="E685" i="1"/>
  <c r="U447" i="1"/>
  <c r="U481" i="1"/>
  <c r="U482" i="1"/>
  <c r="U700" i="1"/>
  <c r="U715" i="1"/>
  <c r="U717" i="1"/>
  <c r="U438" i="1"/>
  <c r="U564" i="1"/>
  <c r="U571" i="1"/>
  <c r="U577" i="1"/>
  <c r="U582" i="1"/>
  <c r="U584" i="1"/>
  <c r="U593" i="1"/>
  <c r="J564" i="1"/>
  <c r="J566" i="1"/>
  <c r="J574" i="1"/>
  <c r="J576" i="1"/>
  <c r="J585" i="1"/>
  <c r="J590" i="1"/>
  <c r="J592" i="1"/>
  <c r="I599" i="1"/>
  <c r="U618" i="1"/>
  <c r="U624" i="1"/>
  <c r="U629" i="1"/>
  <c r="U631" i="1"/>
  <c r="J618" i="1"/>
  <c r="J621" i="1"/>
  <c r="J626" i="1"/>
  <c r="J629" i="1"/>
  <c r="J634" i="1"/>
  <c r="J637" i="1"/>
  <c r="U681" i="1"/>
  <c r="U611" i="1"/>
  <c r="U448" i="1"/>
  <c r="U449" i="1"/>
  <c r="U695" i="1"/>
  <c r="U705" i="1"/>
  <c r="U714" i="1"/>
  <c r="U721" i="1"/>
  <c r="T728" i="1"/>
  <c r="U570" i="1"/>
  <c r="U585" i="1"/>
  <c r="U590" i="1"/>
  <c r="U592" i="1"/>
  <c r="J567" i="1"/>
  <c r="J577" i="1"/>
  <c r="J582" i="1"/>
  <c r="J584" i="1"/>
  <c r="J593" i="1"/>
  <c r="J598" i="1"/>
  <c r="U621" i="1"/>
  <c r="U623" i="1"/>
  <c r="U632" i="1"/>
  <c r="J617" i="1"/>
  <c r="J622" i="1"/>
  <c r="J625" i="1"/>
  <c r="J630" i="1"/>
  <c r="J633" i="1"/>
  <c r="J638" i="1"/>
  <c r="I642" i="1"/>
  <c r="U567" i="1"/>
  <c r="J530" i="1"/>
  <c r="U711" i="1"/>
  <c r="U651" i="1"/>
  <c r="U620" i="1"/>
  <c r="U636" i="1"/>
  <c r="U619" i="1"/>
  <c r="U638" i="1"/>
  <c r="U639" i="1"/>
  <c r="U617" i="1"/>
  <c r="U578" i="1"/>
  <c r="J573" i="1"/>
  <c r="U576" i="1"/>
  <c r="U575" i="1"/>
  <c r="U574" i="1"/>
  <c r="U544" i="1"/>
  <c r="U609" i="1"/>
  <c r="U565" i="1"/>
  <c r="U540" i="1"/>
  <c r="U554" i="1"/>
  <c r="U598" i="1"/>
  <c r="U555" i="1"/>
  <c r="U524" i="1"/>
  <c r="U608" i="1"/>
  <c r="U523" i="1"/>
  <c r="U511" i="1"/>
  <c r="U553" i="1"/>
  <c r="U640" i="1"/>
  <c r="U641" i="1"/>
  <c r="T510" i="1"/>
  <c r="U510" i="1" s="1"/>
  <c r="U512" i="1"/>
  <c r="U652" i="1"/>
  <c r="T685" i="1"/>
  <c r="P685" i="1"/>
  <c r="U650" i="1"/>
  <c r="U654" i="1"/>
  <c r="U656" i="1"/>
  <c r="U662" i="1"/>
  <c r="U664" i="1"/>
  <c r="U666" i="1"/>
  <c r="U668" i="1"/>
  <c r="U469" i="1"/>
  <c r="T642" i="1"/>
  <c r="T599" i="1"/>
  <c r="U468" i="1"/>
  <c r="P599" i="1"/>
  <c r="T367" i="1"/>
  <c r="P367" i="1"/>
  <c r="T366" i="1"/>
  <c r="P366" i="1"/>
  <c r="T429" i="1"/>
  <c r="P429" i="1"/>
  <c r="J857" i="1" l="1"/>
  <c r="J814" i="1"/>
  <c r="J771" i="1"/>
  <c r="J728" i="1"/>
  <c r="U857" i="1"/>
  <c r="U814" i="1"/>
  <c r="U771" i="1"/>
  <c r="U728" i="1"/>
  <c r="J599" i="1"/>
  <c r="J685" i="1"/>
  <c r="J642" i="1"/>
  <c r="U685" i="1"/>
  <c r="U642" i="1"/>
  <c r="U599" i="1"/>
  <c r="U367" i="1"/>
  <c r="U366" i="1"/>
  <c r="T426" i="1"/>
  <c r="P426" i="1"/>
  <c r="T425" i="1"/>
  <c r="P425" i="1"/>
  <c r="U426" i="1" l="1"/>
  <c r="U425" i="1"/>
  <c r="T365" i="1"/>
  <c r="P365" i="1"/>
  <c r="T364" i="1"/>
  <c r="P364" i="1"/>
  <c r="T363" i="1"/>
  <c r="P363" i="1"/>
  <c r="T361" i="1"/>
  <c r="P361" i="1"/>
  <c r="U361" i="1" s="1"/>
  <c r="U363" i="1" l="1"/>
  <c r="U364" i="1"/>
  <c r="U365" i="1"/>
  <c r="H556" i="1"/>
  <c r="G556" i="1"/>
  <c r="F556" i="1"/>
  <c r="D556" i="1"/>
  <c r="C556" i="1"/>
  <c r="B556" i="1"/>
  <c r="I555" i="1"/>
  <c r="E555" i="1"/>
  <c r="J555" i="1" s="1"/>
  <c r="I554" i="1"/>
  <c r="E554" i="1"/>
  <c r="I553" i="1"/>
  <c r="E553" i="1"/>
  <c r="I552" i="1"/>
  <c r="E552" i="1"/>
  <c r="I551" i="1"/>
  <c r="E551" i="1"/>
  <c r="I550" i="1"/>
  <c r="E550" i="1"/>
  <c r="I549" i="1"/>
  <c r="E549" i="1"/>
  <c r="I548" i="1"/>
  <c r="E548" i="1"/>
  <c r="I547" i="1"/>
  <c r="E547" i="1"/>
  <c r="I546" i="1"/>
  <c r="E546" i="1"/>
  <c r="I545" i="1"/>
  <c r="E545" i="1"/>
  <c r="I544" i="1"/>
  <c r="E544" i="1"/>
  <c r="I543" i="1"/>
  <c r="E543" i="1"/>
  <c r="J543" i="1" s="1"/>
  <c r="I542" i="1"/>
  <c r="E542" i="1"/>
  <c r="I541" i="1"/>
  <c r="E541" i="1"/>
  <c r="I540" i="1"/>
  <c r="E540" i="1"/>
  <c r="I539" i="1"/>
  <c r="E539" i="1"/>
  <c r="I538" i="1"/>
  <c r="E538" i="1"/>
  <c r="I537" i="1"/>
  <c r="E537" i="1"/>
  <c r="I536" i="1"/>
  <c r="E536" i="1"/>
  <c r="I535" i="1"/>
  <c r="E535" i="1"/>
  <c r="I534" i="1"/>
  <c r="E534" i="1"/>
  <c r="I533" i="1"/>
  <c r="E533" i="1"/>
  <c r="I532" i="1"/>
  <c r="E532" i="1"/>
  <c r="I531" i="1"/>
  <c r="E531" i="1"/>
  <c r="I528" i="1"/>
  <c r="E528" i="1"/>
  <c r="I527" i="1"/>
  <c r="E527" i="1"/>
  <c r="I526" i="1"/>
  <c r="E526" i="1"/>
  <c r="I525" i="1"/>
  <c r="E525" i="1"/>
  <c r="I524" i="1"/>
  <c r="E524" i="1"/>
  <c r="I523" i="1"/>
  <c r="E523" i="1"/>
  <c r="I522" i="1"/>
  <c r="E522" i="1"/>
  <c r="I521" i="1"/>
  <c r="E521" i="1"/>
  <c r="J537" i="1" l="1"/>
  <c r="J549" i="1"/>
  <c r="J521" i="1"/>
  <c r="J531" i="1"/>
  <c r="J527" i="1"/>
  <c r="J525" i="1"/>
  <c r="J535" i="1"/>
  <c r="J541" i="1"/>
  <c r="J547" i="1"/>
  <c r="J553" i="1"/>
  <c r="I556" i="1"/>
  <c r="J523" i="1"/>
  <c r="J533" i="1"/>
  <c r="J539" i="1"/>
  <c r="J545" i="1"/>
  <c r="J551" i="1"/>
  <c r="J524" i="1"/>
  <c r="J528" i="1"/>
  <c r="E556" i="1"/>
  <c r="J532" i="1"/>
  <c r="J536" i="1"/>
  <c r="J540" i="1"/>
  <c r="J544" i="1"/>
  <c r="J548" i="1"/>
  <c r="J552" i="1"/>
  <c r="J522" i="1"/>
  <c r="J526" i="1"/>
  <c r="J534" i="1"/>
  <c r="J538" i="1"/>
  <c r="J542" i="1"/>
  <c r="J546" i="1"/>
  <c r="J550" i="1"/>
  <c r="J554" i="1"/>
  <c r="P437" i="1"/>
  <c r="T437" i="1"/>
  <c r="S556" i="1"/>
  <c r="R556" i="1"/>
  <c r="Q556" i="1"/>
  <c r="O556" i="1"/>
  <c r="N556" i="1"/>
  <c r="M556" i="1"/>
  <c r="T552" i="1"/>
  <c r="P552" i="1"/>
  <c r="T551" i="1"/>
  <c r="P551" i="1"/>
  <c r="T550" i="1"/>
  <c r="P550" i="1"/>
  <c r="T549" i="1"/>
  <c r="P549" i="1"/>
  <c r="T548" i="1"/>
  <c r="P548" i="1"/>
  <c r="T547" i="1"/>
  <c r="P547" i="1"/>
  <c r="U547" i="1" s="1"/>
  <c r="T546" i="1"/>
  <c r="P546" i="1"/>
  <c r="T545" i="1"/>
  <c r="P545" i="1"/>
  <c r="T543" i="1"/>
  <c r="P543" i="1"/>
  <c r="T542" i="1"/>
  <c r="P542" i="1"/>
  <c r="T539" i="1"/>
  <c r="P539" i="1"/>
  <c r="T538" i="1"/>
  <c r="P538" i="1"/>
  <c r="T537" i="1"/>
  <c r="P537" i="1"/>
  <c r="T536" i="1"/>
  <c r="P536" i="1"/>
  <c r="T535" i="1"/>
  <c r="P535" i="1"/>
  <c r="T534" i="1"/>
  <c r="P534" i="1"/>
  <c r="T533" i="1"/>
  <c r="P533" i="1"/>
  <c r="T532" i="1"/>
  <c r="P532" i="1"/>
  <c r="T531" i="1"/>
  <c r="P531" i="1"/>
  <c r="T530" i="1"/>
  <c r="P530" i="1"/>
  <c r="T528" i="1"/>
  <c r="P528" i="1"/>
  <c r="T527" i="1"/>
  <c r="P527" i="1"/>
  <c r="T526" i="1"/>
  <c r="P526" i="1"/>
  <c r="T522" i="1"/>
  <c r="P522" i="1"/>
  <c r="T521" i="1"/>
  <c r="P521" i="1"/>
  <c r="U535" i="1" l="1"/>
  <c r="J556" i="1"/>
  <c r="U536" i="1"/>
  <c r="U548" i="1"/>
  <c r="U437" i="1"/>
  <c r="T556" i="1"/>
  <c r="U521" i="1"/>
  <c r="U531" i="1"/>
  <c r="U543" i="1"/>
  <c r="U542" i="1"/>
  <c r="U546" i="1"/>
  <c r="U530" i="1"/>
  <c r="U526" i="1"/>
  <c r="U527" i="1"/>
  <c r="U537" i="1"/>
  <c r="U549" i="1"/>
  <c r="U534" i="1"/>
  <c r="U552" i="1"/>
  <c r="U522" i="1"/>
  <c r="U528" i="1"/>
  <c r="U532" i="1"/>
  <c r="U538" i="1"/>
  <c r="U550" i="1"/>
  <c r="P556" i="1"/>
  <c r="U533" i="1"/>
  <c r="U539" i="1"/>
  <c r="U545" i="1"/>
  <c r="U551" i="1"/>
  <c r="T359" i="1"/>
  <c r="P359" i="1"/>
  <c r="E426" i="1"/>
  <c r="I426" i="1"/>
  <c r="P399" i="1"/>
  <c r="T399" i="1"/>
  <c r="U399" i="1" l="1"/>
  <c r="U556" i="1"/>
  <c r="J426" i="1"/>
  <c r="U359" i="1"/>
  <c r="P439" i="1"/>
  <c r="T439" i="1"/>
  <c r="P440" i="1"/>
  <c r="T440" i="1"/>
  <c r="U439" i="1" l="1"/>
  <c r="U440" i="1"/>
  <c r="H513" i="1"/>
  <c r="G513" i="1"/>
  <c r="F513" i="1"/>
  <c r="D513" i="1"/>
  <c r="C513" i="1"/>
  <c r="B513" i="1"/>
  <c r="I512" i="1"/>
  <c r="E512" i="1"/>
  <c r="I511" i="1"/>
  <c r="E511" i="1"/>
  <c r="I510" i="1"/>
  <c r="E510" i="1"/>
  <c r="I509" i="1"/>
  <c r="E509" i="1"/>
  <c r="I508" i="1"/>
  <c r="E508" i="1"/>
  <c r="I507" i="1"/>
  <c r="E507" i="1"/>
  <c r="I506" i="1"/>
  <c r="E506" i="1"/>
  <c r="I505" i="1"/>
  <c r="E505" i="1"/>
  <c r="I504" i="1"/>
  <c r="E504" i="1"/>
  <c r="I503" i="1"/>
  <c r="E503" i="1"/>
  <c r="I502" i="1"/>
  <c r="E502" i="1"/>
  <c r="I501" i="1"/>
  <c r="E501" i="1"/>
  <c r="I500" i="1"/>
  <c r="E500" i="1"/>
  <c r="I499" i="1"/>
  <c r="E499" i="1"/>
  <c r="I498" i="1"/>
  <c r="E498" i="1"/>
  <c r="I497" i="1"/>
  <c r="E497" i="1"/>
  <c r="I496" i="1"/>
  <c r="E496" i="1"/>
  <c r="I495" i="1"/>
  <c r="E495" i="1"/>
  <c r="I494" i="1"/>
  <c r="E494" i="1"/>
  <c r="I492" i="1"/>
  <c r="E492" i="1"/>
  <c r="I491" i="1"/>
  <c r="E491" i="1"/>
  <c r="I490" i="1"/>
  <c r="E490" i="1"/>
  <c r="I489" i="1"/>
  <c r="E489" i="1"/>
  <c r="I488" i="1"/>
  <c r="E488" i="1"/>
  <c r="I487" i="1"/>
  <c r="E487" i="1"/>
  <c r="I485" i="1"/>
  <c r="E485" i="1"/>
  <c r="I484" i="1"/>
  <c r="E484" i="1"/>
  <c r="I483" i="1"/>
  <c r="E483" i="1"/>
  <c r="I482" i="1"/>
  <c r="E482" i="1"/>
  <c r="I481" i="1"/>
  <c r="E481" i="1"/>
  <c r="I480" i="1"/>
  <c r="E480" i="1"/>
  <c r="I479" i="1"/>
  <c r="E479" i="1"/>
  <c r="I478" i="1"/>
  <c r="E478" i="1"/>
  <c r="S513" i="1"/>
  <c r="R513" i="1"/>
  <c r="Q513" i="1"/>
  <c r="O513" i="1"/>
  <c r="N513" i="1"/>
  <c r="M513" i="1"/>
  <c r="T509" i="1"/>
  <c r="P509" i="1"/>
  <c r="T508" i="1"/>
  <c r="P508" i="1"/>
  <c r="T507" i="1"/>
  <c r="P507" i="1"/>
  <c r="T506" i="1"/>
  <c r="P506" i="1"/>
  <c r="T505" i="1"/>
  <c r="P505" i="1"/>
  <c r="T504" i="1"/>
  <c r="P504" i="1"/>
  <c r="T503" i="1"/>
  <c r="P503" i="1"/>
  <c r="T502" i="1"/>
  <c r="P502" i="1"/>
  <c r="T501" i="1"/>
  <c r="P501" i="1"/>
  <c r="T500" i="1"/>
  <c r="P500" i="1"/>
  <c r="T499" i="1"/>
  <c r="P499" i="1"/>
  <c r="T498" i="1"/>
  <c r="P498" i="1"/>
  <c r="T497" i="1"/>
  <c r="P497" i="1"/>
  <c r="T496" i="1"/>
  <c r="P496" i="1"/>
  <c r="T494" i="1"/>
  <c r="P494" i="1"/>
  <c r="T493" i="1"/>
  <c r="P493" i="1"/>
  <c r="T492" i="1"/>
  <c r="P492" i="1"/>
  <c r="T491" i="1"/>
  <c r="P491" i="1"/>
  <c r="T490" i="1"/>
  <c r="P490" i="1"/>
  <c r="T489" i="1"/>
  <c r="P489" i="1"/>
  <c r="T488" i="1"/>
  <c r="P488" i="1"/>
  <c r="T487" i="1"/>
  <c r="P487" i="1"/>
  <c r="T485" i="1"/>
  <c r="P485" i="1"/>
  <c r="T484" i="1"/>
  <c r="P484" i="1"/>
  <c r="T479" i="1"/>
  <c r="P479" i="1"/>
  <c r="T478" i="1"/>
  <c r="P478" i="1"/>
  <c r="U492" i="1" l="1"/>
  <c r="U498" i="1"/>
  <c r="U504" i="1"/>
  <c r="U484" i="1"/>
  <c r="U488" i="1"/>
  <c r="U494" i="1"/>
  <c r="U500" i="1"/>
  <c r="U506" i="1"/>
  <c r="J492" i="1"/>
  <c r="J498" i="1"/>
  <c r="J504" i="1"/>
  <c r="J510" i="1"/>
  <c r="J505" i="1"/>
  <c r="J487" i="1"/>
  <c r="J511" i="1"/>
  <c r="J499" i="1"/>
  <c r="U478" i="1"/>
  <c r="U490" i="1"/>
  <c r="U496" i="1"/>
  <c r="U502" i="1"/>
  <c r="U508" i="1"/>
  <c r="J479" i="1"/>
  <c r="J485" i="1"/>
  <c r="J480" i="1"/>
  <c r="I513" i="1"/>
  <c r="J478" i="1"/>
  <c r="J484" i="1"/>
  <c r="J488" i="1"/>
  <c r="J494" i="1"/>
  <c r="J500" i="1"/>
  <c r="J506" i="1"/>
  <c r="J512" i="1"/>
  <c r="U479" i="1"/>
  <c r="U487" i="1"/>
  <c r="U493" i="1"/>
  <c r="U499" i="1"/>
  <c r="U505" i="1"/>
  <c r="J483" i="1"/>
  <c r="J491" i="1"/>
  <c r="J497" i="1"/>
  <c r="J503" i="1"/>
  <c r="J509" i="1"/>
  <c r="U491" i="1"/>
  <c r="U497" i="1"/>
  <c r="U503" i="1"/>
  <c r="U509" i="1"/>
  <c r="J481" i="1"/>
  <c r="J489" i="1"/>
  <c r="J495" i="1"/>
  <c r="J501" i="1"/>
  <c r="J507" i="1"/>
  <c r="E513" i="1"/>
  <c r="U485" i="1"/>
  <c r="U489" i="1"/>
  <c r="U501" i="1"/>
  <c r="U507" i="1"/>
  <c r="T513" i="1"/>
  <c r="J482" i="1"/>
  <c r="J490" i="1"/>
  <c r="J496" i="1"/>
  <c r="J502" i="1"/>
  <c r="J508" i="1"/>
  <c r="P513" i="1"/>
  <c r="P442" i="1"/>
  <c r="T442" i="1"/>
  <c r="E469" i="1"/>
  <c r="I469" i="1"/>
  <c r="H470" i="1"/>
  <c r="G470" i="1"/>
  <c r="F470" i="1"/>
  <c r="D470" i="1"/>
  <c r="C470" i="1"/>
  <c r="B470" i="1"/>
  <c r="I468" i="1"/>
  <c r="E468" i="1"/>
  <c r="I467" i="1"/>
  <c r="E467" i="1"/>
  <c r="I466" i="1"/>
  <c r="E466" i="1"/>
  <c r="I465" i="1"/>
  <c r="E465" i="1"/>
  <c r="I464" i="1"/>
  <c r="E464" i="1"/>
  <c r="I463" i="1"/>
  <c r="E463" i="1"/>
  <c r="I462" i="1"/>
  <c r="E462" i="1"/>
  <c r="I461" i="1"/>
  <c r="E461" i="1"/>
  <c r="I460" i="1"/>
  <c r="E460" i="1"/>
  <c r="I459" i="1"/>
  <c r="E459" i="1"/>
  <c r="I458" i="1"/>
  <c r="E458" i="1"/>
  <c r="I457" i="1"/>
  <c r="E457" i="1"/>
  <c r="I456" i="1"/>
  <c r="E456" i="1"/>
  <c r="I455" i="1"/>
  <c r="E455" i="1"/>
  <c r="I454" i="1"/>
  <c r="E454" i="1"/>
  <c r="I453" i="1"/>
  <c r="E453" i="1"/>
  <c r="I452" i="1"/>
  <c r="E452" i="1"/>
  <c r="I451" i="1"/>
  <c r="E451" i="1"/>
  <c r="I450" i="1"/>
  <c r="E450" i="1"/>
  <c r="I449" i="1"/>
  <c r="E449" i="1"/>
  <c r="I448" i="1"/>
  <c r="E448" i="1"/>
  <c r="I447" i="1"/>
  <c r="E447" i="1"/>
  <c r="I446" i="1"/>
  <c r="E446" i="1"/>
  <c r="I445" i="1"/>
  <c r="E445" i="1"/>
  <c r="I444" i="1"/>
  <c r="E444" i="1"/>
  <c r="I442" i="1"/>
  <c r="E442" i="1"/>
  <c r="I441" i="1"/>
  <c r="E441" i="1"/>
  <c r="I440" i="1"/>
  <c r="E440" i="1"/>
  <c r="I439" i="1"/>
  <c r="E439" i="1"/>
  <c r="I438" i="1"/>
  <c r="E438" i="1"/>
  <c r="I437" i="1"/>
  <c r="E437" i="1"/>
  <c r="I436" i="1"/>
  <c r="E436" i="1"/>
  <c r="I435" i="1"/>
  <c r="E435" i="1"/>
  <c r="S470" i="1"/>
  <c r="R470" i="1"/>
  <c r="Q470" i="1"/>
  <c r="O470" i="1"/>
  <c r="N470" i="1"/>
  <c r="M470" i="1"/>
  <c r="T467" i="1"/>
  <c r="P467" i="1"/>
  <c r="T466" i="1"/>
  <c r="P466" i="1"/>
  <c r="T465" i="1"/>
  <c r="P465" i="1"/>
  <c r="T464" i="1"/>
  <c r="P464" i="1"/>
  <c r="T463" i="1"/>
  <c r="P463" i="1"/>
  <c r="T462" i="1"/>
  <c r="P462" i="1"/>
  <c r="T461" i="1"/>
  <c r="P461" i="1"/>
  <c r="T460" i="1"/>
  <c r="P460" i="1"/>
  <c r="T459" i="1"/>
  <c r="P459" i="1"/>
  <c r="T458" i="1"/>
  <c r="P458" i="1"/>
  <c r="T457" i="1"/>
  <c r="P457" i="1"/>
  <c r="T456" i="1"/>
  <c r="P456" i="1"/>
  <c r="T455" i="1"/>
  <c r="P455" i="1"/>
  <c r="T454" i="1"/>
  <c r="P454" i="1"/>
  <c r="T453" i="1"/>
  <c r="P453" i="1"/>
  <c r="T452" i="1"/>
  <c r="P452" i="1"/>
  <c r="T451" i="1"/>
  <c r="P451" i="1"/>
  <c r="T450" i="1"/>
  <c r="P450" i="1"/>
  <c r="T446" i="1"/>
  <c r="P446" i="1"/>
  <c r="T445" i="1"/>
  <c r="P445" i="1"/>
  <c r="T444" i="1"/>
  <c r="P444" i="1"/>
  <c r="T441" i="1"/>
  <c r="P441" i="1"/>
  <c r="T435" i="1"/>
  <c r="P435" i="1"/>
  <c r="U513" i="1" l="1"/>
  <c r="T470" i="1"/>
  <c r="J513" i="1"/>
  <c r="U458" i="1"/>
  <c r="U464" i="1"/>
  <c r="J454" i="1"/>
  <c r="J460" i="1"/>
  <c r="J466" i="1"/>
  <c r="J469" i="1"/>
  <c r="U446" i="1"/>
  <c r="U453" i="1"/>
  <c r="U459" i="1"/>
  <c r="U465" i="1"/>
  <c r="J449" i="1"/>
  <c r="J455" i="1"/>
  <c r="J461" i="1"/>
  <c r="J467" i="1"/>
  <c r="J448" i="1"/>
  <c r="U452" i="1"/>
  <c r="J436" i="1"/>
  <c r="J442" i="1"/>
  <c r="U454" i="1"/>
  <c r="U460" i="1"/>
  <c r="U466" i="1"/>
  <c r="J440" i="1"/>
  <c r="J444" i="1"/>
  <c r="J450" i="1"/>
  <c r="J456" i="1"/>
  <c r="J462" i="1"/>
  <c r="J468" i="1"/>
  <c r="J435" i="1"/>
  <c r="J441" i="1"/>
  <c r="P470" i="1"/>
  <c r="U442" i="1"/>
  <c r="U444" i="1"/>
  <c r="U450" i="1"/>
  <c r="U456" i="1"/>
  <c r="U462" i="1"/>
  <c r="J438" i="1"/>
  <c r="J446" i="1"/>
  <c r="J452" i="1"/>
  <c r="J458" i="1"/>
  <c r="J464" i="1"/>
  <c r="U445" i="1"/>
  <c r="U451" i="1"/>
  <c r="U457" i="1"/>
  <c r="U463" i="1"/>
  <c r="J439" i="1"/>
  <c r="J447" i="1"/>
  <c r="J453" i="1"/>
  <c r="J459" i="1"/>
  <c r="J465" i="1"/>
  <c r="I470" i="1"/>
  <c r="U435" i="1"/>
  <c r="U441" i="1"/>
  <c r="U455" i="1"/>
  <c r="U461" i="1"/>
  <c r="U467" i="1"/>
  <c r="J437" i="1"/>
  <c r="J445" i="1"/>
  <c r="J451" i="1"/>
  <c r="J457" i="1"/>
  <c r="J463" i="1"/>
  <c r="E470" i="1"/>
  <c r="O427" i="1"/>
  <c r="H427" i="1"/>
  <c r="G427" i="1"/>
  <c r="F427" i="1"/>
  <c r="D427" i="1"/>
  <c r="C427" i="1"/>
  <c r="B427" i="1"/>
  <c r="S427" i="1"/>
  <c r="R427" i="1"/>
  <c r="N427" i="1"/>
  <c r="M427" i="1"/>
  <c r="I425" i="1"/>
  <c r="E425" i="1"/>
  <c r="T424" i="1"/>
  <c r="P424" i="1"/>
  <c r="I424" i="1"/>
  <c r="E424" i="1"/>
  <c r="T423" i="1"/>
  <c r="P423" i="1"/>
  <c r="I423" i="1"/>
  <c r="E423" i="1"/>
  <c r="T422" i="1"/>
  <c r="P422" i="1"/>
  <c r="I422" i="1"/>
  <c r="E422" i="1"/>
  <c r="T421" i="1"/>
  <c r="P421" i="1"/>
  <c r="I421" i="1"/>
  <c r="E421" i="1"/>
  <c r="T420" i="1"/>
  <c r="P420" i="1"/>
  <c r="I420" i="1"/>
  <c r="E420" i="1"/>
  <c r="T419" i="1"/>
  <c r="P419" i="1"/>
  <c r="I419" i="1"/>
  <c r="E419" i="1"/>
  <c r="T418" i="1"/>
  <c r="P418" i="1"/>
  <c r="I418" i="1"/>
  <c r="E418" i="1"/>
  <c r="T417" i="1"/>
  <c r="P417" i="1"/>
  <c r="I417" i="1"/>
  <c r="E417" i="1"/>
  <c r="T416" i="1"/>
  <c r="P416" i="1"/>
  <c r="I416" i="1"/>
  <c r="E416" i="1"/>
  <c r="T415" i="1"/>
  <c r="P415" i="1"/>
  <c r="I415" i="1"/>
  <c r="E415" i="1"/>
  <c r="T414" i="1"/>
  <c r="P414" i="1"/>
  <c r="I414" i="1"/>
  <c r="E414" i="1"/>
  <c r="T413" i="1"/>
  <c r="P413" i="1"/>
  <c r="I413" i="1"/>
  <c r="E413" i="1"/>
  <c r="T412" i="1"/>
  <c r="P412" i="1"/>
  <c r="I412" i="1"/>
  <c r="E412" i="1"/>
  <c r="T411" i="1"/>
  <c r="P411" i="1"/>
  <c r="I411" i="1"/>
  <c r="E411" i="1"/>
  <c r="T410" i="1"/>
  <c r="P410" i="1"/>
  <c r="I410" i="1"/>
  <c r="E410" i="1"/>
  <c r="T409" i="1"/>
  <c r="P409" i="1"/>
  <c r="I409" i="1"/>
  <c r="E409" i="1"/>
  <c r="T408" i="1"/>
  <c r="P408" i="1"/>
  <c r="I408" i="1"/>
  <c r="E408" i="1"/>
  <c r="T407" i="1"/>
  <c r="P407" i="1"/>
  <c r="I407" i="1"/>
  <c r="E407" i="1"/>
  <c r="I406" i="1"/>
  <c r="E406" i="1"/>
  <c r="T405" i="1"/>
  <c r="P405" i="1"/>
  <c r="I405" i="1"/>
  <c r="E405" i="1"/>
  <c r="T404" i="1"/>
  <c r="P404" i="1"/>
  <c r="I404" i="1"/>
  <c r="E404" i="1"/>
  <c r="T403" i="1"/>
  <c r="P403" i="1"/>
  <c r="I403" i="1"/>
  <c r="E403" i="1"/>
  <c r="T402" i="1"/>
  <c r="P402" i="1"/>
  <c r="I402" i="1"/>
  <c r="E402" i="1"/>
  <c r="T401" i="1"/>
  <c r="P401" i="1"/>
  <c r="I401" i="1"/>
  <c r="E401" i="1"/>
  <c r="I399" i="1"/>
  <c r="E399" i="1"/>
  <c r="T398" i="1"/>
  <c r="P398" i="1"/>
  <c r="I398" i="1"/>
  <c r="E398" i="1"/>
  <c r="T397" i="1"/>
  <c r="P397" i="1"/>
  <c r="I397" i="1"/>
  <c r="E397" i="1"/>
  <c r="T396" i="1"/>
  <c r="P396" i="1"/>
  <c r="I396" i="1"/>
  <c r="E396" i="1"/>
  <c r="T395" i="1"/>
  <c r="P395" i="1"/>
  <c r="I395" i="1"/>
  <c r="E395" i="1"/>
  <c r="I394" i="1"/>
  <c r="E394" i="1"/>
  <c r="T393" i="1"/>
  <c r="P393" i="1"/>
  <c r="I393" i="1"/>
  <c r="E393" i="1"/>
  <c r="I392" i="1"/>
  <c r="E392" i="1"/>
  <c r="T320" i="1"/>
  <c r="P320" i="1"/>
  <c r="J402" i="1" l="1"/>
  <c r="J408" i="1"/>
  <c r="J470" i="1"/>
  <c r="J392" i="1"/>
  <c r="U393" i="1"/>
  <c r="U395" i="1"/>
  <c r="J403" i="1"/>
  <c r="U407" i="1"/>
  <c r="J409" i="1"/>
  <c r="U410" i="1"/>
  <c r="U470" i="1"/>
  <c r="J411" i="1"/>
  <c r="J398" i="1"/>
  <c r="U402" i="1"/>
  <c r="J404" i="1"/>
  <c r="U405" i="1"/>
  <c r="U408" i="1"/>
  <c r="J410" i="1"/>
  <c r="U411" i="1"/>
  <c r="J413" i="1"/>
  <c r="J416" i="1"/>
  <c r="J419" i="1"/>
  <c r="U420" i="1"/>
  <c r="U423" i="1"/>
  <c r="J425" i="1"/>
  <c r="U413" i="1"/>
  <c r="U416" i="1"/>
  <c r="J418" i="1"/>
  <c r="J424" i="1"/>
  <c r="J414" i="1"/>
  <c r="U415" i="1"/>
  <c r="J417" i="1"/>
  <c r="U418" i="1"/>
  <c r="U421" i="1"/>
  <c r="J423" i="1"/>
  <c r="U424" i="1"/>
  <c r="J393" i="1"/>
  <c r="J395" i="1"/>
  <c r="J401" i="1"/>
  <c r="J407" i="1"/>
  <c r="J397" i="1"/>
  <c r="U417" i="1"/>
  <c r="J399" i="1"/>
  <c r="J405" i="1"/>
  <c r="U409" i="1"/>
  <c r="J415" i="1"/>
  <c r="J421" i="1"/>
  <c r="U396" i="1"/>
  <c r="I427" i="1"/>
  <c r="J394" i="1"/>
  <c r="U398" i="1"/>
  <c r="U404" i="1"/>
  <c r="J412" i="1"/>
  <c r="U414" i="1"/>
  <c r="U419" i="1"/>
  <c r="J422" i="1"/>
  <c r="U320" i="1"/>
  <c r="J396" i="1"/>
  <c r="U397" i="1"/>
  <c r="U403" i="1"/>
  <c r="J406" i="1"/>
  <c r="U412" i="1"/>
  <c r="J420" i="1"/>
  <c r="U422" i="1"/>
  <c r="E427" i="1"/>
  <c r="U401" i="1"/>
  <c r="P427" i="1"/>
  <c r="Q427" i="1"/>
  <c r="T427" i="1" s="1"/>
  <c r="T319" i="1"/>
  <c r="P319" i="1"/>
  <c r="T317" i="1"/>
  <c r="P317" i="1"/>
  <c r="T315" i="1"/>
  <c r="P315" i="1"/>
  <c r="T286" i="1"/>
  <c r="P286" i="1"/>
  <c r="P340" i="1"/>
  <c r="T340" i="1"/>
  <c r="T295" i="1"/>
  <c r="P295" i="1"/>
  <c r="J427" i="1" l="1"/>
  <c r="U319" i="1"/>
  <c r="U427" i="1"/>
  <c r="U317" i="1"/>
  <c r="U315" i="1"/>
  <c r="U340" i="1"/>
  <c r="U286" i="1"/>
  <c r="U295" i="1"/>
  <c r="T284" i="1"/>
  <c r="P284" i="1"/>
  <c r="T283" i="1"/>
  <c r="P283" i="1"/>
  <c r="T282" i="1"/>
  <c r="P282" i="1"/>
  <c r="S384" i="1"/>
  <c r="R384" i="1"/>
  <c r="Q384" i="1"/>
  <c r="O384" i="1"/>
  <c r="N384" i="1"/>
  <c r="M384" i="1"/>
  <c r="H384" i="1"/>
  <c r="G384" i="1"/>
  <c r="F384" i="1"/>
  <c r="D384" i="1"/>
  <c r="C384" i="1"/>
  <c r="B384" i="1"/>
  <c r="T383" i="1"/>
  <c r="P383" i="1"/>
  <c r="I383" i="1"/>
  <c r="E383" i="1"/>
  <c r="T382" i="1"/>
  <c r="P382" i="1"/>
  <c r="I382" i="1"/>
  <c r="E382" i="1"/>
  <c r="T381" i="1"/>
  <c r="P381" i="1"/>
  <c r="I381" i="1"/>
  <c r="E381" i="1"/>
  <c r="T380" i="1"/>
  <c r="P380" i="1"/>
  <c r="I380" i="1"/>
  <c r="E380" i="1"/>
  <c r="T379" i="1"/>
  <c r="P379" i="1"/>
  <c r="I379" i="1"/>
  <c r="E379" i="1"/>
  <c r="T378" i="1"/>
  <c r="P378" i="1"/>
  <c r="I378" i="1"/>
  <c r="E378" i="1"/>
  <c r="T377" i="1"/>
  <c r="P377" i="1"/>
  <c r="I377" i="1"/>
  <c r="E377" i="1"/>
  <c r="T376" i="1"/>
  <c r="P376" i="1"/>
  <c r="I376" i="1"/>
  <c r="E376" i="1"/>
  <c r="T375" i="1"/>
  <c r="P375" i="1"/>
  <c r="I375" i="1"/>
  <c r="E375" i="1"/>
  <c r="T374" i="1"/>
  <c r="P374" i="1"/>
  <c r="I374" i="1"/>
  <c r="E374" i="1"/>
  <c r="T373" i="1"/>
  <c r="P373" i="1"/>
  <c r="I373" i="1"/>
  <c r="E373" i="1"/>
  <c r="T372" i="1"/>
  <c r="P372" i="1"/>
  <c r="I372" i="1"/>
  <c r="E372" i="1"/>
  <c r="T371" i="1"/>
  <c r="P371" i="1"/>
  <c r="I371" i="1"/>
  <c r="E371" i="1"/>
  <c r="T370" i="1"/>
  <c r="P370" i="1"/>
  <c r="I370" i="1"/>
  <c r="E370" i="1"/>
  <c r="T369" i="1"/>
  <c r="P369" i="1"/>
  <c r="I369" i="1"/>
  <c r="E369" i="1"/>
  <c r="T368" i="1"/>
  <c r="P368" i="1"/>
  <c r="I368" i="1"/>
  <c r="E368" i="1"/>
  <c r="I367" i="1"/>
  <c r="E367" i="1"/>
  <c r="I366" i="1"/>
  <c r="E366" i="1"/>
  <c r="I365" i="1"/>
  <c r="E365" i="1"/>
  <c r="I364" i="1"/>
  <c r="E364" i="1"/>
  <c r="I363" i="1"/>
  <c r="E363" i="1"/>
  <c r="T362" i="1"/>
  <c r="P362" i="1"/>
  <c r="I362" i="1"/>
  <c r="E362" i="1"/>
  <c r="I361" i="1"/>
  <c r="E361" i="1"/>
  <c r="T360" i="1"/>
  <c r="P360" i="1"/>
  <c r="I360" i="1"/>
  <c r="E360" i="1"/>
  <c r="I359" i="1"/>
  <c r="E359" i="1"/>
  <c r="T358" i="1"/>
  <c r="P358" i="1"/>
  <c r="I358" i="1"/>
  <c r="E358" i="1"/>
  <c r="T356" i="1"/>
  <c r="P356" i="1"/>
  <c r="T355" i="1"/>
  <c r="P355" i="1"/>
  <c r="I355" i="1"/>
  <c r="E355" i="1"/>
  <c r="T354" i="1"/>
  <c r="P354" i="1"/>
  <c r="I354" i="1"/>
  <c r="E354" i="1"/>
  <c r="T353" i="1"/>
  <c r="P353" i="1"/>
  <c r="I353" i="1"/>
  <c r="E353" i="1"/>
  <c r="T352" i="1"/>
  <c r="P352" i="1"/>
  <c r="I352" i="1"/>
  <c r="E352" i="1"/>
  <c r="T351" i="1"/>
  <c r="P351" i="1"/>
  <c r="I351" i="1"/>
  <c r="E351" i="1"/>
  <c r="T350" i="1"/>
  <c r="P350" i="1"/>
  <c r="I350" i="1"/>
  <c r="E350" i="1"/>
  <c r="T349" i="1"/>
  <c r="P349" i="1"/>
  <c r="I349" i="1"/>
  <c r="E349" i="1"/>
  <c r="T281" i="1"/>
  <c r="P281" i="1"/>
  <c r="T276" i="1"/>
  <c r="P276" i="1"/>
  <c r="U376" i="1" l="1"/>
  <c r="U379" i="1"/>
  <c r="U368" i="1"/>
  <c r="U371" i="1"/>
  <c r="U380" i="1"/>
  <c r="U284" i="1"/>
  <c r="U283" i="1"/>
  <c r="U282" i="1"/>
  <c r="J383" i="1"/>
  <c r="E384" i="1"/>
  <c r="P384" i="1"/>
  <c r="U360" i="1"/>
  <c r="U372" i="1"/>
  <c r="J380" i="1"/>
  <c r="J373" i="1"/>
  <c r="J379" i="1"/>
  <c r="J352" i="1"/>
  <c r="J375" i="1"/>
  <c r="J364" i="1"/>
  <c r="J365" i="1"/>
  <c r="J369" i="1"/>
  <c r="J350" i="1"/>
  <c r="U354" i="1"/>
  <c r="J360" i="1"/>
  <c r="J361" i="1"/>
  <c r="J371" i="1"/>
  <c r="U375" i="1"/>
  <c r="J381" i="1"/>
  <c r="U350" i="1"/>
  <c r="J355" i="1"/>
  <c r="J376" i="1"/>
  <c r="J377" i="1"/>
  <c r="J372" i="1"/>
  <c r="U276" i="1"/>
  <c r="J351" i="1"/>
  <c r="J354" i="1"/>
  <c r="J368" i="1"/>
  <c r="U383" i="1"/>
  <c r="U374" i="1"/>
  <c r="U352" i="1"/>
  <c r="U356" i="1"/>
  <c r="J359" i="1"/>
  <c r="J363" i="1"/>
  <c r="J367" i="1"/>
  <c r="U369" i="1"/>
  <c r="U373" i="1"/>
  <c r="U377" i="1"/>
  <c r="U381" i="1"/>
  <c r="U358" i="1"/>
  <c r="U362" i="1"/>
  <c r="U370" i="1"/>
  <c r="U378" i="1"/>
  <c r="U382" i="1"/>
  <c r="U281" i="1"/>
  <c r="J349" i="1"/>
  <c r="U351" i="1"/>
  <c r="J353" i="1"/>
  <c r="U355" i="1"/>
  <c r="I384" i="1"/>
  <c r="T384" i="1"/>
  <c r="U349" i="1"/>
  <c r="U353" i="1"/>
  <c r="J358" i="1"/>
  <c r="J362" i="1"/>
  <c r="J366" i="1"/>
  <c r="J370" i="1"/>
  <c r="J374" i="1"/>
  <c r="J378" i="1"/>
  <c r="J382" i="1"/>
  <c r="I222" i="1"/>
  <c r="E222" i="1"/>
  <c r="E221" i="1"/>
  <c r="I221" i="1"/>
  <c r="T244" i="1"/>
  <c r="P244" i="1"/>
  <c r="J384" i="1" l="1"/>
  <c r="U384" i="1"/>
  <c r="U244" i="1"/>
  <c r="J222" i="1"/>
  <c r="J221" i="1"/>
  <c r="S254" i="1"/>
  <c r="R254" i="1"/>
  <c r="Q254" i="1"/>
  <c r="O254" i="1"/>
  <c r="N254" i="1"/>
  <c r="M254" i="1"/>
  <c r="T237" i="1" l="1"/>
  <c r="P237" i="1"/>
  <c r="T235" i="1"/>
  <c r="P235" i="1"/>
  <c r="P233" i="1"/>
  <c r="T233" i="1"/>
  <c r="I229" i="1"/>
  <c r="E229" i="1"/>
  <c r="J229" i="1" l="1"/>
  <c r="U237" i="1"/>
  <c r="U235" i="1"/>
  <c r="U233" i="1"/>
  <c r="P196" i="1"/>
  <c r="T196" i="1"/>
  <c r="T230" i="1"/>
  <c r="P230" i="1"/>
  <c r="U230" i="1" l="1"/>
  <c r="U196" i="1"/>
  <c r="P265" i="1"/>
  <c r="T265" i="1"/>
  <c r="T222" i="1"/>
  <c r="P222" i="1"/>
  <c r="U222" i="1" l="1"/>
  <c r="U265" i="1"/>
  <c r="T250" i="1"/>
  <c r="P250" i="1"/>
  <c r="T177" i="1"/>
  <c r="P177" i="1"/>
  <c r="P293" i="1"/>
  <c r="T293" i="1"/>
  <c r="P294" i="1"/>
  <c r="T294" i="1"/>
  <c r="T251" i="1"/>
  <c r="P251" i="1"/>
  <c r="T252" i="1"/>
  <c r="P252" i="1"/>
  <c r="T209" i="1"/>
  <c r="P209" i="1"/>
  <c r="U252" i="1" l="1"/>
  <c r="U294" i="1"/>
  <c r="U250" i="1"/>
  <c r="U209" i="1"/>
  <c r="U293" i="1"/>
  <c r="U251" i="1"/>
  <c r="U177" i="1"/>
  <c r="T194" i="1"/>
  <c r="P194" i="1"/>
  <c r="T193" i="1"/>
  <c r="P193" i="1"/>
  <c r="T297" i="1"/>
  <c r="P297" i="1"/>
  <c r="T296" i="1"/>
  <c r="P296" i="1"/>
  <c r="U193" i="1" l="1"/>
  <c r="U194" i="1"/>
  <c r="U296" i="1"/>
  <c r="U297" i="1"/>
  <c r="T179" i="1" l="1"/>
  <c r="P179" i="1"/>
  <c r="U179" i="1" l="1"/>
  <c r="T189" i="1"/>
  <c r="P189" i="1"/>
  <c r="U189" i="1" l="1"/>
  <c r="P225" i="1"/>
  <c r="T225" i="1"/>
  <c r="U225" i="1" l="1"/>
  <c r="T188" i="1"/>
  <c r="P188" i="1"/>
  <c r="U188" i="1" l="1"/>
  <c r="T211" i="1"/>
  <c r="P211" i="1"/>
  <c r="P253" i="1"/>
  <c r="T253" i="1"/>
  <c r="P254" i="1"/>
  <c r="T254" i="1"/>
  <c r="T210" i="1"/>
  <c r="P210" i="1"/>
  <c r="T168" i="1"/>
  <c r="P168" i="1"/>
  <c r="T167" i="1"/>
  <c r="P167" i="1"/>
  <c r="T166" i="1"/>
  <c r="P166" i="1"/>
  <c r="T165" i="1"/>
  <c r="P165" i="1"/>
  <c r="U165" i="1" l="1"/>
  <c r="U166" i="1"/>
  <c r="U210" i="1"/>
  <c r="U167" i="1"/>
  <c r="U253" i="1"/>
  <c r="U254" i="1"/>
  <c r="U211" i="1"/>
  <c r="U168" i="1"/>
  <c r="T160" i="1"/>
  <c r="P160" i="1"/>
  <c r="P310" i="1"/>
  <c r="T310" i="1"/>
  <c r="T308" i="1"/>
  <c r="P308" i="1"/>
  <c r="P267" i="1"/>
  <c r="T267" i="1"/>
  <c r="S341" i="1"/>
  <c r="R341" i="1"/>
  <c r="Q341" i="1"/>
  <c r="O341" i="1"/>
  <c r="N341" i="1"/>
  <c r="M341" i="1"/>
  <c r="H341" i="1"/>
  <c r="G341" i="1"/>
  <c r="F341" i="1"/>
  <c r="D341" i="1"/>
  <c r="C341" i="1"/>
  <c r="B341" i="1"/>
  <c r="I340" i="1"/>
  <c r="E340" i="1"/>
  <c r="T339" i="1"/>
  <c r="P339" i="1"/>
  <c r="I339" i="1"/>
  <c r="E339" i="1"/>
  <c r="T338" i="1"/>
  <c r="P338" i="1"/>
  <c r="I338" i="1"/>
  <c r="E338" i="1"/>
  <c r="T337" i="1"/>
  <c r="P337" i="1"/>
  <c r="I337" i="1"/>
  <c r="E337" i="1"/>
  <c r="T336" i="1"/>
  <c r="P336" i="1"/>
  <c r="I336" i="1"/>
  <c r="E336" i="1"/>
  <c r="T335" i="1"/>
  <c r="P335" i="1"/>
  <c r="I335" i="1"/>
  <c r="E335" i="1"/>
  <c r="T334" i="1"/>
  <c r="P334" i="1"/>
  <c r="I334" i="1"/>
  <c r="E334" i="1"/>
  <c r="T333" i="1"/>
  <c r="P333" i="1"/>
  <c r="I333" i="1"/>
  <c r="E333" i="1"/>
  <c r="T332" i="1"/>
  <c r="P332" i="1"/>
  <c r="I332" i="1"/>
  <c r="E332" i="1"/>
  <c r="T331" i="1"/>
  <c r="P331" i="1"/>
  <c r="I331" i="1"/>
  <c r="E331" i="1"/>
  <c r="T330" i="1"/>
  <c r="P330" i="1"/>
  <c r="I330" i="1"/>
  <c r="E330" i="1"/>
  <c r="T329" i="1"/>
  <c r="P329" i="1"/>
  <c r="I329" i="1"/>
  <c r="E329" i="1"/>
  <c r="T328" i="1"/>
  <c r="P328" i="1"/>
  <c r="I328" i="1"/>
  <c r="E328" i="1"/>
  <c r="T327" i="1"/>
  <c r="P327" i="1"/>
  <c r="I327" i="1"/>
  <c r="E327" i="1"/>
  <c r="T326" i="1"/>
  <c r="P326" i="1"/>
  <c r="I326" i="1"/>
  <c r="E326" i="1"/>
  <c r="T325" i="1"/>
  <c r="P325" i="1"/>
  <c r="I325" i="1"/>
  <c r="E325" i="1"/>
  <c r="T324" i="1"/>
  <c r="P324" i="1"/>
  <c r="I324" i="1"/>
  <c r="E324" i="1"/>
  <c r="T323" i="1"/>
  <c r="P323" i="1"/>
  <c r="I323" i="1"/>
  <c r="E323" i="1"/>
  <c r="T322" i="1"/>
  <c r="P322" i="1"/>
  <c r="I322" i="1"/>
  <c r="E322" i="1"/>
  <c r="T321" i="1"/>
  <c r="P321" i="1"/>
  <c r="I321" i="1"/>
  <c r="E321" i="1"/>
  <c r="I320" i="1"/>
  <c r="E320" i="1"/>
  <c r="I319" i="1"/>
  <c r="E319" i="1"/>
  <c r="T318" i="1"/>
  <c r="P318" i="1"/>
  <c r="I318" i="1"/>
  <c r="E318" i="1"/>
  <c r="I317" i="1"/>
  <c r="E317" i="1"/>
  <c r="T316" i="1"/>
  <c r="P316" i="1"/>
  <c r="I316" i="1"/>
  <c r="E316" i="1"/>
  <c r="I315" i="1"/>
  <c r="E315" i="1"/>
  <c r="T313" i="1"/>
  <c r="P313" i="1"/>
  <c r="I313" i="1"/>
  <c r="E313" i="1"/>
  <c r="T312" i="1"/>
  <c r="P312" i="1"/>
  <c r="I312" i="1"/>
  <c r="E312" i="1"/>
  <c r="T311" i="1"/>
  <c r="P311" i="1"/>
  <c r="I311" i="1"/>
  <c r="E311" i="1"/>
  <c r="I310" i="1"/>
  <c r="E310" i="1"/>
  <c r="T309" i="1"/>
  <c r="P309" i="1"/>
  <c r="I309" i="1"/>
  <c r="E309" i="1"/>
  <c r="I308" i="1"/>
  <c r="E308" i="1"/>
  <c r="T307" i="1"/>
  <c r="P307" i="1"/>
  <c r="I307" i="1"/>
  <c r="E307" i="1"/>
  <c r="T306" i="1"/>
  <c r="P306" i="1"/>
  <c r="I306" i="1"/>
  <c r="E306" i="1"/>
  <c r="J306" i="1" l="1"/>
  <c r="U307" i="1"/>
  <c r="U309" i="1"/>
  <c r="U311" i="1"/>
  <c r="U160" i="1"/>
  <c r="I341" i="1"/>
  <c r="U267" i="1"/>
  <c r="T341" i="1"/>
  <c r="J307" i="1"/>
  <c r="J309" i="1"/>
  <c r="J311" i="1"/>
  <c r="U312" i="1"/>
  <c r="J315" i="1"/>
  <c r="U316" i="1"/>
  <c r="J318" i="1"/>
  <c r="J321" i="1"/>
  <c r="U322" i="1"/>
  <c r="J324" i="1"/>
  <c r="U325" i="1"/>
  <c r="J327" i="1"/>
  <c r="U328" i="1"/>
  <c r="J330" i="1"/>
  <c r="U331" i="1"/>
  <c r="J333" i="1"/>
  <c r="U334" i="1"/>
  <c r="J336" i="1"/>
  <c r="U337" i="1"/>
  <c r="J339" i="1"/>
  <c r="J313" i="1"/>
  <c r="J317" i="1"/>
  <c r="U318" i="1"/>
  <c r="J320" i="1"/>
  <c r="U321" i="1"/>
  <c r="J323" i="1"/>
  <c r="U324" i="1"/>
  <c r="J326" i="1"/>
  <c r="U327" i="1"/>
  <c r="J329" i="1"/>
  <c r="U330" i="1"/>
  <c r="J332" i="1"/>
  <c r="U333" i="1"/>
  <c r="U306" i="1"/>
  <c r="J308" i="1"/>
  <c r="J310" i="1"/>
  <c r="J312" i="1"/>
  <c r="U313" i="1"/>
  <c r="J316" i="1"/>
  <c r="J319" i="1"/>
  <c r="J322" i="1"/>
  <c r="U323" i="1"/>
  <c r="J325" i="1"/>
  <c r="U326" i="1"/>
  <c r="J328" i="1"/>
  <c r="U329" i="1"/>
  <c r="J331" i="1"/>
  <c r="U332" i="1"/>
  <c r="J334" i="1"/>
  <c r="U335" i="1"/>
  <c r="J337" i="1"/>
  <c r="U338" i="1"/>
  <c r="J340" i="1"/>
  <c r="U308" i="1"/>
  <c r="U310" i="1"/>
  <c r="J335" i="1"/>
  <c r="U336" i="1"/>
  <c r="J338" i="1"/>
  <c r="U339" i="1"/>
  <c r="E341" i="1"/>
  <c r="P341" i="1"/>
  <c r="T155" i="1"/>
  <c r="P155" i="1"/>
  <c r="E177" i="1"/>
  <c r="I177" i="1"/>
  <c r="I135" i="1"/>
  <c r="E135" i="1"/>
  <c r="E266" i="1"/>
  <c r="I266" i="1"/>
  <c r="E220" i="1"/>
  <c r="I220" i="1"/>
  <c r="E223" i="1"/>
  <c r="I223" i="1"/>
  <c r="E224" i="1"/>
  <c r="I224" i="1"/>
  <c r="E225" i="1"/>
  <c r="I225" i="1"/>
  <c r="E226" i="1"/>
  <c r="I226" i="1"/>
  <c r="E227" i="1"/>
  <c r="I227" i="1"/>
  <c r="H298" i="1"/>
  <c r="G298" i="1"/>
  <c r="F298" i="1"/>
  <c r="D298" i="1"/>
  <c r="C298" i="1"/>
  <c r="B298" i="1"/>
  <c r="I297" i="1"/>
  <c r="E297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E290" i="1"/>
  <c r="I289" i="1"/>
  <c r="E289" i="1"/>
  <c r="I288" i="1"/>
  <c r="E288" i="1"/>
  <c r="I287" i="1"/>
  <c r="E287" i="1"/>
  <c r="I286" i="1"/>
  <c r="E286" i="1"/>
  <c r="I285" i="1"/>
  <c r="E285" i="1"/>
  <c r="I284" i="1"/>
  <c r="E284" i="1"/>
  <c r="I283" i="1"/>
  <c r="E283" i="1"/>
  <c r="I282" i="1"/>
  <c r="E282" i="1"/>
  <c r="I281" i="1"/>
  <c r="E281" i="1"/>
  <c r="I280" i="1"/>
  <c r="E280" i="1"/>
  <c r="I279" i="1"/>
  <c r="E279" i="1"/>
  <c r="I278" i="1"/>
  <c r="E278" i="1"/>
  <c r="I277" i="1"/>
  <c r="E277" i="1"/>
  <c r="I276" i="1"/>
  <c r="E276" i="1"/>
  <c r="I275" i="1"/>
  <c r="E275" i="1"/>
  <c r="I274" i="1"/>
  <c r="E274" i="1"/>
  <c r="I273" i="1"/>
  <c r="E273" i="1"/>
  <c r="I272" i="1"/>
  <c r="E272" i="1"/>
  <c r="I270" i="1"/>
  <c r="E270" i="1"/>
  <c r="I269" i="1"/>
  <c r="E269" i="1"/>
  <c r="I268" i="1"/>
  <c r="E268" i="1"/>
  <c r="I267" i="1"/>
  <c r="E267" i="1"/>
  <c r="I265" i="1"/>
  <c r="E265" i="1"/>
  <c r="I264" i="1"/>
  <c r="E264" i="1"/>
  <c r="I263" i="1"/>
  <c r="E263" i="1"/>
  <c r="S298" i="1"/>
  <c r="R298" i="1"/>
  <c r="Q298" i="1"/>
  <c r="O298" i="1"/>
  <c r="N298" i="1"/>
  <c r="M298" i="1"/>
  <c r="T292" i="1"/>
  <c r="P292" i="1"/>
  <c r="T291" i="1"/>
  <c r="P291" i="1"/>
  <c r="T290" i="1"/>
  <c r="P290" i="1"/>
  <c r="T289" i="1"/>
  <c r="P289" i="1"/>
  <c r="T288" i="1"/>
  <c r="P288" i="1"/>
  <c r="T287" i="1"/>
  <c r="P287" i="1"/>
  <c r="T285" i="1"/>
  <c r="P285" i="1"/>
  <c r="T280" i="1"/>
  <c r="P280" i="1"/>
  <c r="T279" i="1"/>
  <c r="P279" i="1"/>
  <c r="T278" i="1"/>
  <c r="P278" i="1"/>
  <c r="T277" i="1"/>
  <c r="P277" i="1"/>
  <c r="T275" i="1"/>
  <c r="P275" i="1"/>
  <c r="T274" i="1"/>
  <c r="P274" i="1"/>
  <c r="T273" i="1"/>
  <c r="P273" i="1"/>
  <c r="T272" i="1"/>
  <c r="P272" i="1"/>
  <c r="T270" i="1"/>
  <c r="P270" i="1"/>
  <c r="T269" i="1"/>
  <c r="P269" i="1"/>
  <c r="T268" i="1"/>
  <c r="P268" i="1"/>
  <c r="T266" i="1"/>
  <c r="P266" i="1"/>
  <c r="T264" i="1"/>
  <c r="P264" i="1"/>
  <c r="T263" i="1"/>
  <c r="P263" i="1"/>
  <c r="U341" i="1" l="1"/>
  <c r="J266" i="1"/>
  <c r="J269" i="1"/>
  <c r="J273" i="1"/>
  <c r="J276" i="1"/>
  <c r="J279" i="1"/>
  <c r="J282" i="1"/>
  <c r="J285" i="1"/>
  <c r="J288" i="1"/>
  <c r="J291" i="1"/>
  <c r="J294" i="1"/>
  <c r="J297" i="1"/>
  <c r="J226" i="1"/>
  <c r="J220" i="1"/>
  <c r="U155" i="1"/>
  <c r="J341" i="1"/>
  <c r="J135" i="1"/>
  <c r="J177" i="1"/>
  <c r="J224" i="1"/>
  <c r="I298" i="1"/>
  <c r="J223" i="1"/>
  <c r="J225" i="1"/>
  <c r="J227" i="1"/>
  <c r="J263" i="1"/>
  <c r="U272" i="1"/>
  <c r="U278" i="1"/>
  <c r="U266" i="1"/>
  <c r="U288" i="1"/>
  <c r="T298" i="1"/>
  <c r="U290" i="1"/>
  <c r="U277" i="1"/>
  <c r="U289" i="1"/>
  <c r="J265" i="1"/>
  <c r="J268" i="1"/>
  <c r="J272" i="1"/>
  <c r="J275" i="1"/>
  <c r="J278" i="1"/>
  <c r="J281" i="1"/>
  <c r="J284" i="1"/>
  <c r="J287" i="1"/>
  <c r="J290" i="1"/>
  <c r="J293" i="1"/>
  <c r="J296" i="1"/>
  <c r="U263" i="1"/>
  <c r="U269" i="1"/>
  <c r="U274" i="1"/>
  <c r="U280" i="1"/>
  <c r="U292" i="1"/>
  <c r="U268" i="1"/>
  <c r="U275" i="1"/>
  <c r="U287" i="1"/>
  <c r="E298" i="1"/>
  <c r="U264" i="1"/>
  <c r="U270" i="1"/>
  <c r="U273" i="1"/>
  <c r="U279" i="1"/>
  <c r="U285" i="1"/>
  <c r="U291" i="1"/>
  <c r="J264" i="1"/>
  <c r="J267" i="1"/>
  <c r="J270" i="1"/>
  <c r="J274" i="1"/>
  <c r="J277" i="1"/>
  <c r="J280" i="1"/>
  <c r="J283" i="1"/>
  <c r="J286" i="1"/>
  <c r="J289" i="1"/>
  <c r="J292" i="1"/>
  <c r="J295" i="1"/>
  <c r="P298" i="1"/>
  <c r="T152" i="1"/>
  <c r="P152" i="1"/>
  <c r="J298" i="1" l="1"/>
  <c r="U298" i="1"/>
  <c r="U152" i="1"/>
  <c r="I143" i="1"/>
  <c r="E143" i="1"/>
  <c r="S169" i="1"/>
  <c r="R169" i="1"/>
  <c r="Q169" i="1"/>
  <c r="O169" i="1"/>
  <c r="N169" i="1"/>
  <c r="M169" i="1"/>
  <c r="T164" i="1"/>
  <c r="P164" i="1"/>
  <c r="T163" i="1"/>
  <c r="P163" i="1"/>
  <c r="T162" i="1"/>
  <c r="P162" i="1"/>
  <c r="T161" i="1"/>
  <c r="P161" i="1"/>
  <c r="T159" i="1"/>
  <c r="P159" i="1"/>
  <c r="T158" i="1"/>
  <c r="P158" i="1"/>
  <c r="T157" i="1"/>
  <c r="P157" i="1"/>
  <c r="T156" i="1"/>
  <c r="P156" i="1"/>
  <c r="T154" i="1"/>
  <c r="P154" i="1"/>
  <c r="T153" i="1"/>
  <c r="P153" i="1"/>
  <c r="T151" i="1"/>
  <c r="P151" i="1"/>
  <c r="T150" i="1"/>
  <c r="P150" i="1"/>
  <c r="T149" i="1"/>
  <c r="P149" i="1"/>
  <c r="T148" i="1"/>
  <c r="P148" i="1"/>
  <c r="T147" i="1"/>
  <c r="P147" i="1"/>
  <c r="T146" i="1"/>
  <c r="P146" i="1"/>
  <c r="T145" i="1"/>
  <c r="P145" i="1"/>
  <c r="T144" i="1"/>
  <c r="P144" i="1"/>
  <c r="T143" i="1"/>
  <c r="P143" i="1"/>
  <c r="T141" i="1"/>
  <c r="P141" i="1"/>
  <c r="T140" i="1"/>
  <c r="P140" i="1"/>
  <c r="T139" i="1"/>
  <c r="P139" i="1"/>
  <c r="T138" i="1"/>
  <c r="P138" i="1"/>
  <c r="T137" i="1"/>
  <c r="P137" i="1"/>
  <c r="T136" i="1"/>
  <c r="P136" i="1"/>
  <c r="T135" i="1"/>
  <c r="P135" i="1"/>
  <c r="T134" i="1"/>
  <c r="P134" i="1"/>
  <c r="U136" i="1" l="1"/>
  <c r="U162" i="1"/>
  <c r="U156" i="1"/>
  <c r="U146" i="1"/>
  <c r="U134" i="1"/>
  <c r="U140" i="1"/>
  <c r="U150" i="1"/>
  <c r="U138" i="1"/>
  <c r="U154" i="1"/>
  <c r="U148" i="1"/>
  <c r="U158" i="1"/>
  <c r="U164" i="1"/>
  <c r="U144" i="1"/>
  <c r="J143" i="1"/>
  <c r="U149" i="1"/>
  <c r="U161" i="1"/>
  <c r="U135" i="1"/>
  <c r="U139" i="1"/>
  <c r="T169" i="1"/>
  <c r="U143" i="1"/>
  <c r="U147" i="1"/>
  <c r="U151" i="1"/>
  <c r="U159" i="1"/>
  <c r="U163" i="1"/>
  <c r="U145" i="1"/>
  <c r="U157" i="1"/>
  <c r="P169" i="1"/>
  <c r="U153" i="1"/>
  <c r="U137" i="1"/>
  <c r="U141" i="1"/>
  <c r="U169" i="1" l="1"/>
  <c r="I122" i="1"/>
  <c r="E122" i="1"/>
  <c r="H255" i="1"/>
  <c r="G255" i="1"/>
  <c r="F255" i="1"/>
  <c r="D255" i="1"/>
  <c r="C255" i="1"/>
  <c r="B255" i="1"/>
  <c r="I254" i="1"/>
  <c r="E254" i="1"/>
  <c r="I253" i="1"/>
  <c r="E253" i="1"/>
  <c r="I252" i="1"/>
  <c r="E252" i="1"/>
  <c r="I251" i="1"/>
  <c r="E251" i="1"/>
  <c r="I250" i="1"/>
  <c r="E250" i="1"/>
  <c r="I249" i="1"/>
  <c r="E249" i="1"/>
  <c r="I248" i="1"/>
  <c r="E248" i="1"/>
  <c r="I247" i="1"/>
  <c r="E247" i="1"/>
  <c r="I246" i="1"/>
  <c r="E246" i="1"/>
  <c r="I245" i="1"/>
  <c r="E245" i="1"/>
  <c r="I244" i="1"/>
  <c r="E244" i="1"/>
  <c r="I243" i="1"/>
  <c r="E243" i="1"/>
  <c r="I242" i="1"/>
  <c r="E242" i="1"/>
  <c r="I241" i="1"/>
  <c r="E241" i="1"/>
  <c r="I240" i="1"/>
  <c r="E240" i="1"/>
  <c r="I239" i="1"/>
  <c r="E239" i="1"/>
  <c r="I238" i="1"/>
  <c r="E238" i="1"/>
  <c r="I237" i="1"/>
  <c r="E237" i="1"/>
  <c r="I236" i="1"/>
  <c r="E236" i="1"/>
  <c r="I235" i="1"/>
  <c r="E235" i="1"/>
  <c r="I234" i="1"/>
  <c r="E234" i="1"/>
  <c r="I233" i="1"/>
  <c r="E233" i="1"/>
  <c r="I232" i="1"/>
  <c r="E232" i="1"/>
  <c r="I231" i="1"/>
  <c r="E231" i="1"/>
  <c r="I230" i="1"/>
  <c r="E230" i="1"/>
  <c r="S255" i="1"/>
  <c r="R255" i="1"/>
  <c r="Q255" i="1"/>
  <c r="O255" i="1"/>
  <c r="N255" i="1"/>
  <c r="M255" i="1"/>
  <c r="T249" i="1"/>
  <c r="P249" i="1"/>
  <c r="T248" i="1"/>
  <c r="P248" i="1"/>
  <c r="T247" i="1"/>
  <c r="P247" i="1"/>
  <c r="T246" i="1"/>
  <c r="P246" i="1"/>
  <c r="T245" i="1"/>
  <c r="P245" i="1"/>
  <c r="T243" i="1"/>
  <c r="P243" i="1"/>
  <c r="T242" i="1"/>
  <c r="P242" i="1"/>
  <c r="T241" i="1"/>
  <c r="P241" i="1"/>
  <c r="T240" i="1"/>
  <c r="P240" i="1"/>
  <c r="T239" i="1"/>
  <c r="P239" i="1"/>
  <c r="T238" i="1"/>
  <c r="P238" i="1"/>
  <c r="T236" i="1"/>
  <c r="P236" i="1"/>
  <c r="T234" i="1"/>
  <c r="P234" i="1"/>
  <c r="T232" i="1"/>
  <c r="P232" i="1"/>
  <c r="T231" i="1"/>
  <c r="P231" i="1"/>
  <c r="T229" i="1"/>
  <c r="P229" i="1"/>
  <c r="T227" i="1"/>
  <c r="P227" i="1"/>
  <c r="T226" i="1"/>
  <c r="P226" i="1"/>
  <c r="T224" i="1"/>
  <c r="P224" i="1"/>
  <c r="T223" i="1"/>
  <c r="P223" i="1"/>
  <c r="T221" i="1"/>
  <c r="P221" i="1"/>
  <c r="T220" i="1"/>
  <c r="P220" i="1"/>
  <c r="U238" i="1" l="1"/>
  <c r="J122" i="1"/>
  <c r="J230" i="1"/>
  <c r="J242" i="1"/>
  <c r="J245" i="1"/>
  <c r="U246" i="1"/>
  <c r="J241" i="1"/>
  <c r="J251" i="1"/>
  <c r="U226" i="1"/>
  <c r="U242" i="1"/>
  <c r="J231" i="1"/>
  <c r="J234" i="1"/>
  <c r="I255" i="1"/>
  <c r="U227" i="1"/>
  <c r="J247" i="1"/>
  <c r="J235" i="1"/>
  <c r="U249" i="1"/>
  <c r="J232" i="1"/>
  <c r="J249" i="1"/>
  <c r="J252" i="1"/>
  <c r="U229" i="1"/>
  <c r="U241" i="1"/>
  <c r="J233" i="1"/>
  <c r="J236" i="1"/>
  <c r="J239" i="1"/>
  <c r="J250" i="1"/>
  <c r="J253" i="1"/>
  <c r="U223" i="1"/>
  <c r="U245" i="1"/>
  <c r="J237" i="1"/>
  <c r="J248" i="1"/>
  <c r="U220" i="1"/>
  <c r="U234" i="1"/>
  <c r="J243" i="1"/>
  <c r="J246" i="1"/>
  <c r="J238" i="1"/>
  <c r="J254" i="1"/>
  <c r="U221" i="1"/>
  <c r="U231" i="1"/>
  <c r="U239" i="1"/>
  <c r="U247" i="1"/>
  <c r="E255" i="1"/>
  <c r="U243" i="1"/>
  <c r="U232" i="1"/>
  <c r="U236" i="1"/>
  <c r="U240" i="1"/>
  <c r="U248" i="1"/>
  <c r="J240" i="1"/>
  <c r="T255" i="1"/>
  <c r="U224" i="1"/>
  <c r="J244" i="1"/>
  <c r="P255" i="1"/>
  <c r="T108" i="1"/>
  <c r="P108" i="1"/>
  <c r="T92" i="1"/>
  <c r="P92" i="1"/>
  <c r="D96" i="1"/>
  <c r="T103" i="1"/>
  <c r="P103" i="1"/>
  <c r="T91" i="1"/>
  <c r="P91" i="1"/>
  <c r="T100" i="1"/>
  <c r="P100" i="1"/>
  <c r="T71" i="1"/>
  <c r="P71" i="1"/>
  <c r="J255" i="1" l="1"/>
  <c r="U255" i="1"/>
  <c r="U92" i="1"/>
  <c r="U108" i="1"/>
  <c r="U91" i="1"/>
  <c r="U103" i="1"/>
  <c r="U100" i="1"/>
  <c r="U71" i="1"/>
  <c r="P36" i="1"/>
  <c r="T36" i="1"/>
  <c r="P37" i="1"/>
  <c r="T37" i="1"/>
  <c r="U37" i="1" l="1"/>
  <c r="P81" i="1"/>
  <c r="U36" i="1"/>
  <c r="P38" i="1"/>
  <c r="T38" i="1"/>
  <c r="T81" i="1"/>
  <c r="U81" i="1" l="1"/>
  <c r="U38" i="1"/>
  <c r="T25" i="1"/>
  <c r="P25" i="1"/>
  <c r="U25" i="1" l="1"/>
  <c r="T93" i="1"/>
  <c r="P93" i="1"/>
  <c r="U93" i="1" l="1"/>
  <c r="Q40" i="1"/>
  <c r="N40" i="1"/>
  <c r="M40" i="1"/>
  <c r="P15" i="1"/>
  <c r="T15" i="1"/>
  <c r="H212" i="1"/>
  <c r="G212" i="1"/>
  <c r="F212" i="1"/>
  <c r="D212" i="1"/>
  <c r="C212" i="1"/>
  <c r="B212" i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7" i="1"/>
  <c r="E187" i="1"/>
  <c r="I186" i="1"/>
  <c r="E186" i="1"/>
  <c r="I184" i="1"/>
  <c r="E184" i="1"/>
  <c r="I183" i="1"/>
  <c r="E183" i="1"/>
  <c r="I182" i="1"/>
  <c r="E182" i="1"/>
  <c r="I181" i="1"/>
  <c r="E181" i="1"/>
  <c r="J181" i="1" s="1"/>
  <c r="I180" i="1"/>
  <c r="E180" i="1"/>
  <c r="I179" i="1"/>
  <c r="E179" i="1"/>
  <c r="I178" i="1"/>
  <c r="E178" i="1"/>
  <c r="H169" i="1"/>
  <c r="G169" i="1"/>
  <c r="F169" i="1"/>
  <c r="D169" i="1"/>
  <c r="C169" i="1"/>
  <c r="B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5" i="1"/>
  <c r="E145" i="1"/>
  <c r="I144" i="1"/>
  <c r="E144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4" i="1"/>
  <c r="E134" i="1"/>
  <c r="H126" i="1"/>
  <c r="G126" i="1"/>
  <c r="F126" i="1"/>
  <c r="D126" i="1"/>
  <c r="C126" i="1"/>
  <c r="B126" i="1"/>
  <c r="I125" i="1"/>
  <c r="E125" i="1"/>
  <c r="I124" i="1"/>
  <c r="E124" i="1"/>
  <c r="I123" i="1"/>
  <c r="E123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1" i="1"/>
  <c r="E101" i="1"/>
  <c r="I100" i="1"/>
  <c r="E100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S212" i="1"/>
  <c r="R212" i="1"/>
  <c r="Q212" i="1"/>
  <c r="O212" i="1"/>
  <c r="N212" i="1"/>
  <c r="M212" i="1"/>
  <c r="T208" i="1"/>
  <c r="P208" i="1"/>
  <c r="T207" i="1"/>
  <c r="P207" i="1"/>
  <c r="T206" i="1"/>
  <c r="P206" i="1"/>
  <c r="T205" i="1"/>
  <c r="P205" i="1"/>
  <c r="T204" i="1"/>
  <c r="P204" i="1"/>
  <c r="T203" i="1"/>
  <c r="P203" i="1"/>
  <c r="T202" i="1"/>
  <c r="P202" i="1"/>
  <c r="T201" i="1"/>
  <c r="P201" i="1"/>
  <c r="T200" i="1"/>
  <c r="P200" i="1"/>
  <c r="T199" i="1"/>
  <c r="P199" i="1"/>
  <c r="T198" i="1"/>
  <c r="P198" i="1"/>
  <c r="T197" i="1"/>
  <c r="P197" i="1"/>
  <c r="T195" i="1"/>
  <c r="P195" i="1"/>
  <c r="T192" i="1"/>
  <c r="P192" i="1"/>
  <c r="T191" i="1"/>
  <c r="P191" i="1"/>
  <c r="T190" i="1"/>
  <c r="P190" i="1"/>
  <c r="T187" i="1"/>
  <c r="P187" i="1"/>
  <c r="T186" i="1"/>
  <c r="P186" i="1"/>
  <c r="T184" i="1"/>
  <c r="P184" i="1"/>
  <c r="T183" i="1"/>
  <c r="P183" i="1"/>
  <c r="T182" i="1"/>
  <c r="P182" i="1"/>
  <c r="T181" i="1"/>
  <c r="P181" i="1"/>
  <c r="T180" i="1"/>
  <c r="P180" i="1"/>
  <c r="T178" i="1"/>
  <c r="P178" i="1"/>
  <c r="S126" i="1"/>
  <c r="R126" i="1"/>
  <c r="Q126" i="1"/>
  <c r="O126" i="1"/>
  <c r="N126" i="1"/>
  <c r="M126" i="1"/>
  <c r="T125" i="1"/>
  <c r="P125" i="1"/>
  <c r="T124" i="1"/>
  <c r="P124" i="1"/>
  <c r="T123" i="1"/>
  <c r="P123" i="1"/>
  <c r="T122" i="1"/>
  <c r="P122" i="1"/>
  <c r="T121" i="1"/>
  <c r="P121" i="1"/>
  <c r="T120" i="1"/>
  <c r="P120" i="1"/>
  <c r="T119" i="1"/>
  <c r="P119" i="1"/>
  <c r="T118" i="1"/>
  <c r="P118" i="1"/>
  <c r="T117" i="1"/>
  <c r="P117" i="1"/>
  <c r="T116" i="1"/>
  <c r="P116" i="1"/>
  <c r="T115" i="1"/>
  <c r="P115" i="1"/>
  <c r="T114" i="1"/>
  <c r="P114" i="1"/>
  <c r="T113" i="1"/>
  <c r="P113" i="1"/>
  <c r="T112" i="1"/>
  <c r="P112" i="1"/>
  <c r="T111" i="1"/>
  <c r="P111" i="1"/>
  <c r="T110" i="1"/>
  <c r="P110" i="1"/>
  <c r="T109" i="1"/>
  <c r="P109" i="1"/>
  <c r="T107" i="1"/>
  <c r="P107" i="1"/>
  <c r="T106" i="1"/>
  <c r="P106" i="1"/>
  <c r="T105" i="1"/>
  <c r="P105" i="1"/>
  <c r="T104" i="1"/>
  <c r="P104" i="1"/>
  <c r="T102" i="1"/>
  <c r="P102" i="1"/>
  <c r="T101" i="1"/>
  <c r="P101" i="1"/>
  <c r="T98" i="1"/>
  <c r="P98" i="1"/>
  <c r="T97" i="1"/>
  <c r="P97" i="1"/>
  <c r="T96" i="1"/>
  <c r="P96" i="1"/>
  <c r="T95" i="1"/>
  <c r="P95" i="1"/>
  <c r="T94" i="1"/>
  <c r="P94" i="1"/>
  <c r="N13" i="1"/>
  <c r="O13" i="1"/>
  <c r="Q13" i="1"/>
  <c r="R13" i="1"/>
  <c r="S13" i="1"/>
  <c r="M13" i="1"/>
  <c r="T4" i="1"/>
  <c r="S83" i="1"/>
  <c r="R83" i="1"/>
  <c r="Q83" i="1"/>
  <c r="O83" i="1"/>
  <c r="N83" i="1"/>
  <c r="M83" i="1"/>
  <c r="H83" i="1"/>
  <c r="G83" i="1"/>
  <c r="F83" i="1"/>
  <c r="D83" i="1"/>
  <c r="C83" i="1"/>
  <c r="B83" i="1"/>
  <c r="T82" i="1"/>
  <c r="P82" i="1"/>
  <c r="I82" i="1"/>
  <c r="E82" i="1"/>
  <c r="I81" i="1"/>
  <c r="E81" i="1"/>
  <c r="T80" i="1"/>
  <c r="P80" i="1"/>
  <c r="I80" i="1"/>
  <c r="E80" i="1"/>
  <c r="T79" i="1"/>
  <c r="P79" i="1"/>
  <c r="I79" i="1"/>
  <c r="E79" i="1"/>
  <c r="T78" i="1"/>
  <c r="P78" i="1"/>
  <c r="I78" i="1"/>
  <c r="E78" i="1"/>
  <c r="T77" i="1"/>
  <c r="P77" i="1"/>
  <c r="I77" i="1"/>
  <c r="E77" i="1"/>
  <c r="T76" i="1"/>
  <c r="P76" i="1"/>
  <c r="I76" i="1"/>
  <c r="E76" i="1"/>
  <c r="T75" i="1"/>
  <c r="P75" i="1"/>
  <c r="I75" i="1"/>
  <c r="E75" i="1"/>
  <c r="T74" i="1"/>
  <c r="P74" i="1"/>
  <c r="I74" i="1"/>
  <c r="E74" i="1"/>
  <c r="T73" i="1"/>
  <c r="P73" i="1"/>
  <c r="I73" i="1"/>
  <c r="E73" i="1"/>
  <c r="T72" i="1"/>
  <c r="P72" i="1"/>
  <c r="I72" i="1"/>
  <c r="E72" i="1"/>
  <c r="I71" i="1"/>
  <c r="E71" i="1"/>
  <c r="T70" i="1"/>
  <c r="P70" i="1"/>
  <c r="I70" i="1"/>
  <c r="E70" i="1"/>
  <c r="T69" i="1"/>
  <c r="P69" i="1"/>
  <c r="I69" i="1"/>
  <c r="E69" i="1"/>
  <c r="T68" i="1"/>
  <c r="P68" i="1"/>
  <c r="I68" i="1"/>
  <c r="E68" i="1"/>
  <c r="T67" i="1"/>
  <c r="P67" i="1"/>
  <c r="I67" i="1"/>
  <c r="E67" i="1"/>
  <c r="T66" i="1"/>
  <c r="P66" i="1"/>
  <c r="I66" i="1"/>
  <c r="E66" i="1"/>
  <c r="T65" i="1"/>
  <c r="P65" i="1"/>
  <c r="I65" i="1"/>
  <c r="E65" i="1"/>
  <c r="T64" i="1"/>
  <c r="P64" i="1"/>
  <c r="I64" i="1"/>
  <c r="E64" i="1"/>
  <c r="T63" i="1"/>
  <c r="P63" i="1"/>
  <c r="I63" i="1"/>
  <c r="E63" i="1"/>
  <c r="T62" i="1"/>
  <c r="P62" i="1"/>
  <c r="I62" i="1"/>
  <c r="E62" i="1"/>
  <c r="T61" i="1"/>
  <c r="P61" i="1"/>
  <c r="I61" i="1"/>
  <c r="E61" i="1"/>
  <c r="T60" i="1"/>
  <c r="P60" i="1"/>
  <c r="I60" i="1"/>
  <c r="E60" i="1"/>
  <c r="T59" i="1"/>
  <c r="P59" i="1"/>
  <c r="I59" i="1"/>
  <c r="E59" i="1"/>
  <c r="T58" i="1"/>
  <c r="P58" i="1"/>
  <c r="I58" i="1"/>
  <c r="E58" i="1"/>
  <c r="T57" i="1"/>
  <c r="P57" i="1"/>
  <c r="I57" i="1"/>
  <c r="E57" i="1"/>
  <c r="T55" i="1"/>
  <c r="P55" i="1"/>
  <c r="I55" i="1"/>
  <c r="E55" i="1"/>
  <c r="T54" i="1"/>
  <c r="P54" i="1"/>
  <c r="I54" i="1"/>
  <c r="E54" i="1"/>
  <c r="T53" i="1"/>
  <c r="P53" i="1"/>
  <c r="I53" i="1"/>
  <c r="E53" i="1"/>
  <c r="T52" i="1"/>
  <c r="P52" i="1"/>
  <c r="I52" i="1"/>
  <c r="E52" i="1"/>
  <c r="T51" i="1"/>
  <c r="P51" i="1"/>
  <c r="I51" i="1"/>
  <c r="E51" i="1"/>
  <c r="T50" i="1"/>
  <c r="P50" i="1"/>
  <c r="I50" i="1"/>
  <c r="E50" i="1"/>
  <c r="T49" i="1"/>
  <c r="P49" i="1"/>
  <c r="I49" i="1"/>
  <c r="E49" i="1"/>
  <c r="T48" i="1"/>
  <c r="P48" i="1"/>
  <c r="I48" i="1"/>
  <c r="E48" i="1"/>
  <c r="T7" i="1"/>
  <c r="T6" i="1"/>
  <c r="E4" i="1"/>
  <c r="H40" i="1"/>
  <c r="G40" i="1"/>
  <c r="F40" i="1"/>
  <c r="D40" i="1"/>
  <c r="C40" i="1"/>
  <c r="B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6" i="1"/>
  <c r="E16" i="1"/>
  <c r="I15" i="1"/>
  <c r="E15" i="1"/>
  <c r="I14" i="1"/>
  <c r="E14" i="1"/>
  <c r="H13" i="1"/>
  <c r="G13" i="1"/>
  <c r="F13" i="1"/>
  <c r="D13" i="1"/>
  <c r="C13" i="1"/>
  <c r="B13" i="1"/>
  <c r="I12" i="1"/>
  <c r="E12" i="1"/>
  <c r="I11" i="1"/>
  <c r="E11" i="1"/>
  <c r="I10" i="1"/>
  <c r="E10" i="1"/>
  <c r="I9" i="1"/>
  <c r="E9" i="1"/>
  <c r="I8" i="1"/>
  <c r="E8" i="1"/>
  <c r="I7" i="1"/>
  <c r="E7" i="1"/>
  <c r="I6" i="1"/>
  <c r="E6" i="1"/>
  <c r="I5" i="1"/>
  <c r="E5" i="1"/>
  <c r="I4" i="1"/>
  <c r="S40" i="1"/>
  <c r="R40" i="1"/>
  <c r="T39" i="1"/>
  <c r="T35" i="1"/>
  <c r="T34" i="1"/>
  <c r="T33" i="1"/>
  <c r="T32" i="1"/>
  <c r="T31" i="1"/>
  <c r="T30" i="1"/>
  <c r="T29" i="1"/>
  <c r="T28" i="1"/>
  <c r="T27" i="1"/>
  <c r="T26" i="1"/>
  <c r="T24" i="1"/>
  <c r="T23" i="1"/>
  <c r="T22" i="1"/>
  <c r="T21" i="1"/>
  <c r="T20" i="1"/>
  <c r="T19" i="1"/>
  <c r="T18" i="1"/>
  <c r="T17" i="1"/>
  <c r="T16" i="1"/>
  <c r="T14" i="1"/>
  <c r="T12" i="1"/>
  <c r="T11" i="1"/>
  <c r="T10" i="1"/>
  <c r="T9" i="1"/>
  <c r="T8" i="1"/>
  <c r="T5" i="1"/>
  <c r="O40" i="1"/>
  <c r="P22" i="1"/>
  <c r="P23" i="1"/>
  <c r="P24" i="1"/>
  <c r="P26" i="1"/>
  <c r="P27" i="1"/>
  <c r="P28" i="1"/>
  <c r="P29" i="1"/>
  <c r="P30" i="1"/>
  <c r="P31" i="1"/>
  <c r="P32" i="1"/>
  <c r="P33" i="1"/>
  <c r="P34" i="1"/>
  <c r="P35" i="1"/>
  <c r="P21" i="1"/>
  <c r="P20" i="1"/>
  <c r="P19" i="1"/>
  <c r="P18" i="1"/>
  <c r="P17" i="1"/>
  <c r="P16" i="1"/>
  <c r="P14" i="1"/>
  <c r="P11" i="1"/>
  <c r="P12" i="1"/>
  <c r="P5" i="1"/>
  <c r="P6" i="1"/>
  <c r="P7" i="1"/>
  <c r="P8" i="1"/>
  <c r="P9" i="1"/>
  <c r="P10" i="1"/>
  <c r="P4" i="1"/>
  <c r="J180" i="1" l="1"/>
  <c r="Q85" i="1"/>
  <c r="Q128" i="1" s="1"/>
  <c r="M85" i="1"/>
  <c r="M128" i="1" s="1"/>
  <c r="N85" i="1"/>
  <c r="N128" i="1" s="1"/>
  <c r="S85" i="1"/>
  <c r="S128" i="1" s="1"/>
  <c r="O85" i="1"/>
  <c r="O128" i="1" s="1"/>
  <c r="R85" i="1"/>
  <c r="R128" i="1" s="1"/>
  <c r="J7" i="1"/>
  <c r="J8" i="1"/>
  <c r="J15" i="1"/>
  <c r="J18" i="1"/>
  <c r="U50" i="1"/>
  <c r="J62" i="1"/>
  <c r="U192" i="1"/>
  <c r="U195" i="1"/>
  <c r="U204" i="1"/>
  <c r="J92" i="1"/>
  <c r="J95" i="1"/>
  <c r="J102" i="1"/>
  <c r="J105" i="1"/>
  <c r="J108" i="1"/>
  <c r="J111" i="1"/>
  <c r="J114" i="1"/>
  <c r="J117" i="1"/>
  <c r="J120" i="1"/>
  <c r="J137" i="1"/>
  <c r="J140" i="1"/>
  <c r="J144" i="1"/>
  <c r="J147" i="1"/>
  <c r="J159" i="1"/>
  <c r="J162" i="1"/>
  <c r="J165" i="1"/>
  <c r="J179" i="1"/>
  <c r="J192" i="1"/>
  <c r="J195" i="1"/>
  <c r="J201" i="1"/>
  <c r="J204" i="1"/>
  <c r="U17" i="1"/>
  <c r="U190" i="1"/>
  <c r="U205" i="1"/>
  <c r="J100" i="1"/>
  <c r="J103" i="1"/>
  <c r="J138" i="1"/>
  <c r="J150" i="1"/>
  <c r="H41" i="1"/>
  <c r="H47" i="1" s="1"/>
  <c r="H56" i="1" s="1"/>
  <c r="H84" i="1" s="1"/>
  <c r="H90" i="1" s="1"/>
  <c r="H99" i="1" s="1"/>
  <c r="H127" i="1" s="1"/>
  <c r="H133" i="1" s="1"/>
  <c r="H142" i="1" s="1"/>
  <c r="H170" i="1" s="1"/>
  <c r="H176" i="1" s="1"/>
  <c r="H185" i="1" s="1"/>
  <c r="H213" i="1" s="1"/>
  <c r="H219" i="1" s="1"/>
  <c r="H228" i="1" s="1"/>
  <c r="H256" i="1" s="1"/>
  <c r="H262" i="1" s="1"/>
  <c r="H271" i="1" s="1"/>
  <c r="H299" i="1" s="1"/>
  <c r="H305" i="1" s="1"/>
  <c r="H314" i="1" s="1"/>
  <c r="H342" i="1" s="1"/>
  <c r="H348" i="1" s="1"/>
  <c r="H357" i="1" s="1"/>
  <c r="H385" i="1" s="1"/>
  <c r="H391" i="1" s="1"/>
  <c r="H400" i="1" s="1"/>
  <c r="H428" i="1" s="1"/>
  <c r="H434" i="1" s="1"/>
  <c r="H443" i="1" s="1"/>
  <c r="H471" i="1" s="1"/>
  <c r="H477" i="1" s="1"/>
  <c r="H486" i="1" s="1"/>
  <c r="H514" i="1" s="1"/>
  <c r="H520" i="1" s="1"/>
  <c r="H529" i="1" s="1"/>
  <c r="H557" i="1" s="1"/>
  <c r="H563" i="1" s="1"/>
  <c r="H572" i="1" s="1"/>
  <c r="H600" i="1" s="1"/>
  <c r="H606" i="1" s="1"/>
  <c r="H615" i="1" s="1"/>
  <c r="H643" i="1" s="1"/>
  <c r="H649" i="1" s="1"/>
  <c r="H658" i="1" s="1"/>
  <c r="H686" i="1" s="1"/>
  <c r="H692" i="1" s="1"/>
  <c r="H701" i="1" s="1"/>
  <c r="H729" i="1" s="1"/>
  <c r="H735" i="1" s="1"/>
  <c r="H744" i="1" s="1"/>
  <c r="H772" i="1" s="1"/>
  <c r="H778" i="1" s="1"/>
  <c r="H787" i="1" s="1"/>
  <c r="H815" i="1" s="1"/>
  <c r="H821" i="1" s="1"/>
  <c r="U63" i="1"/>
  <c r="U20" i="1"/>
  <c r="J66" i="1"/>
  <c r="U49" i="1"/>
  <c r="U203" i="1"/>
  <c r="J113" i="1"/>
  <c r="J119" i="1"/>
  <c r="J188" i="1"/>
  <c r="J200" i="1"/>
  <c r="U10" i="1"/>
  <c r="U35" i="1"/>
  <c r="U31" i="1"/>
  <c r="U109" i="1"/>
  <c r="U112" i="1"/>
  <c r="U115" i="1"/>
  <c r="U118" i="1"/>
  <c r="U32" i="1"/>
  <c r="U29" i="1"/>
  <c r="J22" i="1"/>
  <c r="U6" i="1"/>
  <c r="J21" i="1"/>
  <c r="J141" i="1"/>
  <c r="U101" i="1"/>
  <c r="U104" i="1"/>
  <c r="U107" i="1"/>
  <c r="U110" i="1"/>
  <c r="U119" i="1"/>
  <c r="U122" i="1"/>
  <c r="U178" i="1"/>
  <c r="U184" i="1"/>
  <c r="U26" i="1"/>
  <c r="U102" i="1"/>
  <c r="U30" i="1"/>
  <c r="S41" i="1"/>
  <c r="S47" i="1" s="1"/>
  <c r="S56" i="1" s="1"/>
  <c r="S84" i="1" s="1"/>
  <c r="S90" i="1" s="1"/>
  <c r="S99" i="1" s="1"/>
  <c r="S127" i="1" s="1"/>
  <c r="U98" i="1"/>
  <c r="U114" i="1"/>
  <c r="U123" i="1"/>
  <c r="U34" i="1"/>
  <c r="J24" i="1"/>
  <c r="J27" i="1"/>
  <c r="J30" i="1"/>
  <c r="J33" i="1"/>
  <c r="J36" i="1"/>
  <c r="J39" i="1"/>
  <c r="U120" i="1"/>
  <c r="U186" i="1"/>
  <c r="J106" i="1"/>
  <c r="J109" i="1"/>
  <c r="J112" i="1"/>
  <c r="J151" i="1"/>
  <c r="J157" i="1"/>
  <c r="J190" i="1"/>
  <c r="J193" i="1"/>
  <c r="J196" i="1"/>
  <c r="J211" i="1"/>
  <c r="Q41" i="1"/>
  <c r="Q47" i="1" s="1"/>
  <c r="Q56" i="1" s="1"/>
  <c r="Q84" i="1" s="1"/>
  <c r="Q90" i="1" s="1"/>
  <c r="J19" i="1"/>
  <c r="J25" i="1"/>
  <c r="U48" i="1"/>
  <c r="J57" i="1"/>
  <c r="U58" i="1"/>
  <c r="J60" i="1"/>
  <c r="J63" i="1"/>
  <c r="U64" i="1"/>
  <c r="U67" i="1"/>
  <c r="U70" i="1"/>
  <c r="J72" i="1"/>
  <c r="J75" i="1"/>
  <c r="U76" i="1"/>
  <c r="J81" i="1"/>
  <c r="I83" i="1"/>
  <c r="U191" i="1"/>
  <c r="U197" i="1"/>
  <c r="J101" i="1"/>
  <c r="J104" i="1"/>
  <c r="J110" i="1"/>
  <c r="J116" i="1"/>
  <c r="J146" i="1"/>
  <c r="J149" i="1"/>
  <c r="J152" i="1"/>
  <c r="J155" i="1"/>
  <c r="J158" i="1"/>
  <c r="J164" i="1"/>
  <c r="J184" i="1"/>
  <c r="J209" i="1"/>
  <c r="J16" i="1"/>
  <c r="J31" i="1"/>
  <c r="J37" i="1"/>
  <c r="I212" i="1"/>
  <c r="J28" i="1"/>
  <c r="J34" i="1"/>
  <c r="J10" i="1"/>
  <c r="B41" i="1"/>
  <c r="B47" i="1" s="1"/>
  <c r="B56" i="1" s="1"/>
  <c r="B84" i="1" s="1"/>
  <c r="B90" i="1" s="1"/>
  <c r="B99" i="1" s="1"/>
  <c r="B127" i="1" s="1"/>
  <c r="B133" i="1" s="1"/>
  <c r="J124" i="1"/>
  <c r="J183" i="1"/>
  <c r="J187" i="1"/>
  <c r="G41" i="1"/>
  <c r="G47" i="1" s="1"/>
  <c r="G56" i="1" s="1"/>
  <c r="G84" i="1" s="1"/>
  <c r="G90" i="1" s="1"/>
  <c r="G99" i="1" s="1"/>
  <c r="G127" i="1" s="1"/>
  <c r="G133" i="1" s="1"/>
  <c r="G142" i="1" s="1"/>
  <c r="G170" i="1" s="1"/>
  <c r="G176" i="1" s="1"/>
  <c r="G185" i="1" s="1"/>
  <c r="G213" i="1" s="1"/>
  <c r="G219" i="1" s="1"/>
  <c r="G228" i="1" s="1"/>
  <c r="G256" i="1" s="1"/>
  <c r="G262" i="1" s="1"/>
  <c r="G271" i="1" s="1"/>
  <c r="G299" i="1" s="1"/>
  <c r="G305" i="1" s="1"/>
  <c r="G314" i="1" s="1"/>
  <c r="G342" i="1" s="1"/>
  <c r="G348" i="1" s="1"/>
  <c r="G357" i="1" s="1"/>
  <c r="G385" i="1" s="1"/>
  <c r="G391" i="1" s="1"/>
  <c r="G400" i="1" s="1"/>
  <c r="G428" i="1" s="1"/>
  <c r="G434" i="1" s="1"/>
  <c r="G443" i="1" s="1"/>
  <c r="G471" i="1" s="1"/>
  <c r="G477" i="1" s="1"/>
  <c r="G486" i="1" s="1"/>
  <c r="G514" i="1" s="1"/>
  <c r="G520" i="1" s="1"/>
  <c r="G529" i="1" s="1"/>
  <c r="G557" i="1" s="1"/>
  <c r="G563" i="1" s="1"/>
  <c r="U68" i="1"/>
  <c r="I126" i="1"/>
  <c r="J4" i="1"/>
  <c r="E13" i="1"/>
  <c r="U8" i="1"/>
  <c r="O41" i="1"/>
  <c r="O47" i="1" s="1"/>
  <c r="O56" i="1" s="1"/>
  <c r="O84" i="1" s="1"/>
  <c r="O90" i="1" s="1"/>
  <c r="O99" i="1" s="1"/>
  <c r="O127" i="1" s="1"/>
  <c r="J50" i="1"/>
  <c r="U51" i="1"/>
  <c r="J53" i="1"/>
  <c r="U54" i="1"/>
  <c r="U61" i="1"/>
  <c r="J69" i="1"/>
  <c r="U73" i="1"/>
  <c r="J78" i="1"/>
  <c r="U79" i="1"/>
  <c r="U95" i="1"/>
  <c r="J125" i="1"/>
  <c r="J167" i="1"/>
  <c r="J178" i="1"/>
  <c r="R41" i="1"/>
  <c r="R47" i="1" s="1"/>
  <c r="R56" i="1" s="1"/>
  <c r="R84" i="1" s="1"/>
  <c r="R90" i="1" s="1"/>
  <c r="R99" i="1" s="1"/>
  <c r="R127" i="1" s="1"/>
  <c r="I13" i="1"/>
  <c r="U113" i="1"/>
  <c r="U116" i="1"/>
  <c r="U125" i="1"/>
  <c r="U12" i="1"/>
  <c r="U9" i="1"/>
  <c r="U24" i="1"/>
  <c r="E40" i="1"/>
  <c r="J49" i="1"/>
  <c r="U53" i="1"/>
  <c r="U57" i="1"/>
  <c r="U60" i="1"/>
  <c r="J65" i="1"/>
  <c r="J68" i="1"/>
  <c r="U72" i="1"/>
  <c r="U75" i="1"/>
  <c r="J80" i="1"/>
  <c r="U96" i="1"/>
  <c r="U198" i="1"/>
  <c r="U23" i="1"/>
  <c r="T13" i="1"/>
  <c r="J52" i="1"/>
  <c r="J55" i="1"/>
  <c r="J59" i="1"/>
  <c r="U66" i="1"/>
  <c r="U69" i="1"/>
  <c r="J71" i="1"/>
  <c r="J74" i="1"/>
  <c r="J77" i="1"/>
  <c r="U78" i="1"/>
  <c r="P83" i="1"/>
  <c r="U21" i="1"/>
  <c r="U27" i="1"/>
  <c r="U11" i="1"/>
  <c r="U19" i="1"/>
  <c r="C41" i="1"/>
  <c r="C47" i="1" s="1"/>
  <c r="C56" i="1" s="1"/>
  <c r="C84" i="1" s="1"/>
  <c r="C90" i="1" s="1"/>
  <c r="C99" i="1" s="1"/>
  <c r="C127" i="1" s="1"/>
  <c r="C133" i="1" s="1"/>
  <c r="C142" i="1" s="1"/>
  <c r="C170" i="1" s="1"/>
  <c r="C176" i="1" s="1"/>
  <c r="C185" i="1" s="1"/>
  <c r="C213" i="1" s="1"/>
  <c r="C219" i="1" s="1"/>
  <c r="C228" i="1" s="1"/>
  <c r="C256" i="1" s="1"/>
  <c r="C262" i="1" s="1"/>
  <c r="C271" i="1" s="1"/>
  <c r="C299" i="1" s="1"/>
  <c r="C305" i="1" s="1"/>
  <c r="C314" i="1" s="1"/>
  <c r="C342" i="1" s="1"/>
  <c r="C348" i="1" s="1"/>
  <c r="C357" i="1" s="1"/>
  <c r="C385" i="1" s="1"/>
  <c r="C391" i="1" s="1"/>
  <c r="C400" i="1" s="1"/>
  <c r="C428" i="1" s="1"/>
  <c r="C434" i="1" s="1"/>
  <c r="C443" i="1" s="1"/>
  <c r="C471" i="1" s="1"/>
  <c r="C477" i="1" s="1"/>
  <c r="C486" i="1" s="1"/>
  <c r="C514" i="1" s="1"/>
  <c r="C520" i="1" s="1"/>
  <c r="C529" i="1" s="1"/>
  <c r="C557" i="1" s="1"/>
  <c r="C563" i="1" s="1"/>
  <c r="C572" i="1" s="1"/>
  <c r="C600" i="1" s="1"/>
  <c r="C643" i="1" s="1"/>
  <c r="I40" i="1"/>
  <c r="J48" i="1"/>
  <c r="J51" i="1"/>
  <c r="U52" i="1"/>
  <c r="J54" i="1"/>
  <c r="U55" i="1"/>
  <c r="J58" i="1"/>
  <c r="U59" i="1"/>
  <c r="J61" i="1"/>
  <c r="U62" i="1"/>
  <c r="J64" i="1"/>
  <c r="U65" i="1"/>
  <c r="J67" i="1"/>
  <c r="J70" i="1"/>
  <c r="J73" i="1"/>
  <c r="U74" i="1"/>
  <c r="J76" i="1"/>
  <c r="U77" i="1"/>
  <c r="J79" i="1"/>
  <c r="U80" i="1"/>
  <c r="J82" i="1"/>
  <c r="U94" i="1"/>
  <c r="U97" i="1"/>
  <c r="U180" i="1"/>
  <c r="U183" i="1"/>
  <c r="U187" i="1"/>
  <c r="U199" i="1"/>
  <c r="U202" i="1"/>
  <c r="U208" i="1"/>
  <c r="J96" i="1"/>
  <c r="J115" i="1"/>
  <c r="J123" i="1"/>
  <c r="J136" i="1"/>
  <c r="J202" i="1"/>
  <c r="J205" i="1"/>
  <c r="J153" i="1"/>
  <c r="U4" i="1"/>
  <c r="P13" i="1"/>
  <c r="U18" i="1"/>
  <c r="U117" i="1"/>
  <c r="P212" i="1"/>
  <c r="J94" i="1"/>
  <c r="J97" i="1"/>
  <c r="J148" i="1"/>
  <c r="J160" i="1"/>
  <c r="J166" i="1"/>
  <c r="J168" i="1"/>
  <c r="I169" i="1"/>
  <c r="J182" i="1"/>
  <c r="J191" i="1"/>
  <c r="J203" i="1"/>
  <c r="J206" i="1"/>
  <c r="E212" i="1"/>
  <c r="U22" i="1"/>
  <c r="U181" i="1"/>
  <c r="J107" i="1"/>
  <c r="E169" i="1"/>
  <c r="J198" i="1"/>
  <c r="J207" i="1"/>
  <c r="J210" i="1"/>
  <c r="N41" i="1"/>
  <c r="N47" i="1" s="1"/>
  <c r="N56" i="1" s="1"/>
  <c r="N84" i="1" s="1"/>
  <c r="N90" i="1" s="1"/>
  <c r="N99" i="1" s="1"/>
  <c r="N127" i="1" s="1"/>
  <c r="M41" i="1"/>
  <c r="M47" i="1" s="1"/>
  <c r="M56" i="1" s="1"/>
  <c r="M84" i="1" s="1"/>
  <c r="M90" i="1" s="1"/>
  <c r="M99" i="1" s="1"/>
  <c r="M127" i="1" s="1"/>
  <c r="M133" i="1" s="1"/>
  <c r="U14" i="1"/>
  <c r="U33" i="1"/>
  <c r="J5" i="1"/>
  <c r="J11" i="1"/>
  <c r="U121" i="1"/>
  <c r="U124" i="1"/>
  <c r="P126" i="1"/>
  <c r="U182" i="1"/>
  <c r="U200" i="1"/>
  <c r="J93" i="1"/>
  <c r="J98" i="1"/>
  <c r="J156" i="1"/>
  <c r="J161" i="1"/>
  <c r="J208" i="1"/>
  <c r="U7" i="1"/>
  <c r="U16" i="1"/>
  <c r="U28" i="1"/>
  <c r="T40" i="1"/>
  <c r="J6" i="1"/>
  <c r="J9" i="1"/>
  <c r="J12" i="1"/>
  <c r="T126" i="1"/>
  <c r="T212" i="1"/>
  <c r="J199" i="1"/>
  <c r="U105" i="1"/>
  <c r="U111" i="1"/>
  <c r="U201" i="1"/>
  <c r="U206" i="1"/>
  <c r="J91" i="1"/>
  <c r="J139" i="1"/>
  <c r="J145" i="1"/>
  <c r="J154" i="1"/>
  <c r="J194" i="1"/>
  <c r="J197" i="1"/>
  <c r="U15" i="1"/>
  <c r="U5" i="1"/>
  <c r="J14" i="1"/>
  <c r="J17" i="1"/>
  <c r="J20" i="1"/>
  <c r="J23" i="1"/>
  <c r="J26" i="1"/>
  <c r="J29" i="1"/>
  <c r="J32" i="1"/>
  <c r="J35" i="1"/>
  <c r="J38" i="1"/>
  <c r="E83" i="1"/>
  <c r="U106" i="1"/>
  <c r="U207" i="1"/>
  <c r="J118" i="1"/>
  <c r="J121" i="1"/>
  <c r="E126" i="1"/>
  <c r="J134" i="1"/>
  <c r="J163" i="1"/>
  <c r="J186" i="1"/>
  <c r="J189" i="1"/>
  <c r="D41" i="1"/>
  <c r="D47" i="1" s="1"/>
  <c r="P39" i="1"/>
  <c r="U39" i="1" s="1"/>
  <c r="F41" i="1"/>
  <c r="F47" i="1" s="1"/>
  <c r="U82" i="1"/>
  <c r="T83" i="1"/>
  <c r="P40" i="1"/>
  <c r="H830" i="1" l="1"/>
  <c r="H858" i="1" s="1"/>
  <c r="H864" i="1" s="1"/>
  <c r="H873" i="1" s="1"/>
  <c r="H901" i="1" s="1"/>
  <c r="H907" i="1" s="1"/>
  <c r="H916" i="1" s="1"/>
  <c r="H944" i="1" s="1"/>
  <c r="H950" i="1" s="1"/>
  <c r="H959" i="1" s="1"/>
  <c r="H987" i="1" s="1"/>
  <c r="H993" i="1" s="1"/>
  <c r="H1002" i="1" s="1"/>
  <c r="H1030" i="1" s="1"/>
  <c r="H1036" i="1" s="1"/>
  <c r="H1045" i="1" s="1"/>
  <c r="H1073" i="1" s="1"/>
  <c r="H1079" i="1" s="1"/>
  <c r="H1088" i="1" s="1"/>
  <c r="H1116" i="1" s="1"/>
  <c r="H1122" i="1" s="1"/>
  <c r="H1131" i="1" s="1"/>
  <c r="H1159" i="1" s="1"/>
  <c r="H1165" i="1" s="1"/>
  <c r="H1174" i="1" s="1"/>
  <c r="H1202" i="1" s="1"/>
  <c r="H1208" i="1" s="1"/>
  <c r="H1217" i="1" s="1"/>
  <c r="H1245" i="1" s="1"/>
  <c r="H1251" i="1" s="1"/>
  <c r="H1260" i="1" s="1"/>
  <c r="H1288" i="1" s="1"/>
  <c r="C649" i="1"/>
  <c r="C658" i="1" s="1"/>
  <c r="C686" i="1" s="1"/>
  <c r="C692" i="1" s="1"/>
  <c r="C701" i="1" s="1"/>
  <c r="C729" i="1" s="1"/>
  <c r="C735" i="1" s="1"/>
  <c r="G572" i="1"/>
  <c r="G600" i="1" s="1"/>
  <c r="G606" i="1" s="1"/>
  <c r="M142" i="1"/>
  <c r="M170" i="1" s="1"/>
  <c r="M176" i="1" s="1"/>
  <c r="S133" i="1"/>
  <c r="S142" i="1" s="1"/>
  <c r="S170" i="1" s="1"/>
  <c r="S176" i="1" s="1"/>
  <c r="S185" i="1" s="1"/>
  <c r="S213" i="1" s="1"/>
  <c r="O133" i="1"/>
  <c r="O142" i="1" s="1"/>
  <c r="O170" i="1" s="1"/>
  <c r="O176" i="1" s="1"/>
  <c r="O185" i="1" s="1"/>
  <c r="O213" i="1" s="1"/>
  <c r="N133" i="1"/>
  <c r="N142" i="1" s="1"/>
  <c r="N170" i="1" s="1"/>
  <c r="N176" i="1" s="1"/>
  <c r="N185" i="1" s="1"/>
  <c r="N213" i="1" s="1"/>
  <c r="R133" i="1"/>
  <c r="R142" i="1" s="1"/>
  <c r="R170" i="1" s="1"/>
  <c r="R176" i="1" s="1"/>
  <c r="R185" i="1" s="1"/>
  <c r="R213" i="1" s="1"/>
  <c r="P85" i="1"/>
  <c r="P128" i="1" s="1"/>
  <c r="T85" i="1"/>
  <c r="T128" i="1" s="1"/>
  <c r="J13" i="1"/>
  <c r="J212" i="1"/>
  <c r="J169" i="1"/>
  <c r="J126" i="1"/>
  <c r="U13" i="1"/>
  <c r="U83" i="1"/>
  <c r="E41" i="1"/>
  <c r="J83" i="1"/>
  <c r="U212" i="1"/>
  <c r="T47" i="1"/>
  <c r="T56" i="1" s="1"/>
  <c r="T84" i="1" s="1"/>
  <c r="U126" i="1"/>
  <c r="I41" i="1"/>
  <c r="T41" i="1"/>
  <c r="P90" i="1"/>
  <c r="P99" i="1" s="1"/>
  <c r="P127" i="1" s="1"/>
  <c r="J40" i="1"/>
  <c r="P47" i="1"/>
  <c r="P56" i="1" s="1"/>
  <c r="P84" i="1" s="1"/>
  <c r="B142" i="1"/>
  <c r="B170" i="1" s="1"/>
  <c r="B176" i="1" s="1"/>
  <c r="F56" i="1"/>
  <c r="F84" i="1" s="1"/>
  <c r="F90" i="1" s="1"/>
  <c r="I47" i="1"/>
  <c r="I56" i="1" s="1"/>
  <c r="I84" i="1" s="1"/>
  <c r="D56" i="1"/>
  <c r="D84" i="1" s="1"/>
  <c r="D90" i="1" s="1"/>
  <c r="E47" i="1"/>
  <c r="Q99" i="1"/>
  <c r="Q127" i="1" s="1"/>
  <c r="Q133" i="1" s="1"/>
  <c r="T90" i="1"/>
  <c r="T99" i="1" s="1"/>
  <c r="T127" i="1" s="1"/>
  <c r="P41" i="1"/>
  <c r="U40" i="1"/>
  <c r="C744" i="1" l="1"/>
  <c r="C772" i="1" s="1"/>
  <c r="C778" i="1" s="1"/>
  <c r="G615" i="1"/>
  <c r="G643" i="1" s="1"/>
  <c r="G649" i="1" s="1"/>
  <c r="G658" i="1" s="1"/>
  <c r="G686" i="1" s="1"/>
  <c r="G692" i="1" s="1"/>
  <c r="G701" i="1" s="1"/>
  <c r="G729" i="1" s="1"/>
  <c r="G735" i="1" s="1"/>
  <c r="O219" i="1"/>
  <c r="O228" i="1" s="1"/>
  <c r="O256" i="1" s="1"/>
  <c r="O262" i="1" s="1"/>
  <c r="O271" i="1" s="1"/>
  <c r="O299" i="1" s="1"/>
  <c r="O305" i="1" s="1"/>
  <c r="O314" i="1" s="1"/>
  <c r="O342" i="1" s="1"/>
  <c r="O348" i="1" s="1"/>
  <c r="O357" i="1" s="1"/>
  <c r="O385" i="1" s="1"/>
  <c r="O391" i="1" s="1"/>
  <c r="O400" i="1" s="1"/>
  <c r="O428" i="1" s="1"/>
  <c r="O434" i="1" s="1"/>
  <c r="O443" i="1" s="1"/>
  <c r="O471" i="1" s="1"/>
  <c r="O477" i="1" s="1"/>
  <c r="O486" i="1" s="1"/>
  <c r="O514" i="1" s="1"/>
  <c r="O520" i="1" s="1"/>
  <c r="O529" i="1" s="1"/>
  <c r="O557" i="1" s="1"/>
  <c r="O563" i="1" s="1"/>
  <c r="O572" i="1" s="1"/>
  <c r="O600" i="1" s="1"/>
  <c r="O606" i="1" s="1"/>
  <c r="O615" i="1" s="1"/>
  <c r="O643" i="1" s="1"/>
  <c r="O649" i="1" s="1"/>
  <c r="O658" i="1" s="1"/>
  <c r="O686" i="1" s="1"/>
  <c r="O692" i="1" s="1"/>
  <c r="O701" i="1" s="1"/>
  <c r="O729" i="1" s="1"/>
  <c r="O735" i="1" s="1"/>
  <c r="O744" i="1" s="1"/>
  <c r="O772" i="1" s="1"/>
  <c r="O778" i="1" s="1"/>
  <c r="O787" i="1" s="1"/>
  <c r="O815" i="1" s="1"/>
  <c r="O821" i="1" s="1"/>
  <c r="O830" i="1" s="1"/>
  <c r="O858" i="1" s="1"/>
  <c r="O864" i="1" s="1"/>
  <c r="O873" i="1" s="1"/>
  <c r="O901" i="1" s="1"/>
  <c r="O907" i="1" s="1"/>
  <c r="O916" i="1" s="1"/>
  <c r="O944" i="1" s="1"/>
  <c r="O950" i="1" s="1"/>
  <c r="O959" i="1" s="1"/>
  <c r="O987" i="1" s="1"/>
  <c r="O993" i="1" s="1"/>
  <c r="O1002" i="1" s="1"/>
  <c r="O1030" i="1" s="1"/>
  <c r="O1036" i="1" s="1"/>
  <c r="O1045" i="1" s="1"/>
  <c r="O1073" i="1" s="1"/>
  <c r="O1079" i="1" s="1"/>
  <c r="O1088" i="1" s="1"/>
  <c r="O1116" i="1" s="1"/>
  <c r="O1122" i="1" s="1"/>
  <c r="O1131" i="1" s="1"/>
  <c r="O1159" i="1" s="1"/>
  <c r="O1165" i="1" s="1"/>
  <c r="O1174" i="1" s="1"/>
  <c r="O1202" i="1" s="1"/>
  <c r="O1208" i="1" s="1"/>
  <c r="O1217" i="1" s="1"/>
  <c r="O1245" i="1" s="1"/>
  <c r="O1251" i="1" s="1"/>
  <c r="O1260" i="1" s="1"/>
  <c r="O1288" i="1" s="1"/>
  <c r="R219" i="1"/>
  <c r="R228" i="1" s="1"/>
  <c r="R256" i="1" s="1"/>
  <c r="R262" i="1" s="1"/>
  <c r="R271" i="1" s="1"/>
  <c r="R299" i="1" s="1"/>
  <c r="R305" i="1" s="1"/>
  <c r="R314" i="1" s="1"/>
  <c r="R342" i="1" s="1"/>
  <c r="R348" i="1" s="1"/>
  <c r="R357" i="1" s="1"/>
  <c r="R385" i="1" s="1"/>
  <c r="R391" i="1" s="1"/>
  <c r="R400" i="1" s="1"/>
  <c r="R428" i="1" s="1"/>
  <c r="R434" i="1" s="1"/>
  <c r="R443" i="1" s="1"/>
  <c r="R471" i="1" s="1"/>
  <c r="R477" i="1" s="1"/>
  <c r="R486" i="1" s="1"/>
  <c r="R514" i="1" s="1"/>
  <c r="R520" i="1" s="1"/>
  <c r="R529" i="1" s="1"/>
  <c r="R557" i="1" s="1"/>
  <c r="R563" i="1" s="1"/>
  <c r="N219" i="1"/>
  <c r="N228" i="1" s="1"/>
  <c r="N256" i="1" s="1"/>
  <c r="N262" i="1" s="1"/>
  <c r="N271" i="1" s="1"/>
  <c r="N299" i="1" s="1"/>
  <c r="N305" i="1" s="1"/>
  <c r="N314" i="1" s="1"/>
  <c r="N342" i="1" s="1"/>
  <c r="N348" i="1" s="1"/>
  <c r="N357" i="1" s="1"/>
  <c r="N385" i="1" s="1"/>
  <c r="N391" i="1" s="1"/>
  <c r="N400" i="1" s="1"/>
  <c r="N428" i="1" s="1"/>
  <c r="N434" i="1" s="1"/>
  <c r="N443" i="1" s="1"/>
  <c r="N471" i="1" s="1"/>
  <c r="N477" i="1" s="1"/>
  <c r="N486" i="1" s="1"/>
  <c r="N514" i="1" s="1"/>
  <c r="N520" i="1" s="1"/>
  <c r="N529" i="1" s="1"/>
  <c r="N557" i="1" s="1"/>
  <c r="N563" i="1" s="1"/>
  <c r="N572" i="1" s="1"/>
  <c r="N600" i="1" s="1"/>
  <c r="N606" i="1" s="1"/>
  <c r="N615" i="1" s="1"/>
  <c r="N643" i="1" s="1"/>
  <c r="N649" i="1" s="1"/>
  <c r="N658" i="1" s="1"/>
  <c r="N686" i="1" s="1"/>
  <c r="N692" i="1" s="1"/>
  <c r="N701" i="1" s="1"/>
  <c r="N729" i="1" s="1"/>
  <c r="N735" i="1" s="1"/>
  <c r="N744" i="1" s="1"/>
  <c r="N772" i="1" s="1"/>
  <c r="N778" i="1" s="1"/>
  <c r="N787" i="1" s="1"/>
  <c r="N815" i="1" s="1"/>
  <c r="N821" i="1" s="1"/>
  <c r="N830" i="1" s="1"/>
  <c r="N858" i="1" s="1"/>
  <c r="N864" i="1" s="1"/>
  <c r="N873" i="1" s="1"/>
  <c r="N901" i="1" s="1"/>
  <c r="N907" i="1" s="1"/>
  <c r="N916" i="1" s="1"/>
  <c r="N944" i="1" s="1"/>
  <c r="N950" i="1" s="1"/>
  <c r="N959" i="1" s="1"/>
  <c r="N987" i="1" s="1"/>
  <c r="N993" i="1" s="1"/>
  <c r="N1002" i="1" s="1"/>
  <c r="N1030" i="1" s="1"/>
  <c r="N1036" i="1" s="1"/>
  <c r="N1045" i="1" s="1"/>
  <c r="N1073" i="1" s="1"/>
  <c r="N1079" i="1" s="1"/>
  <c r="N1088" i="1" s="1"/>
  <c r="N1116" i="1" s="1"/>
  <c r="N1122" i="1" s="1"/>
  <c r="N1131" i="1" s="1"/>
  <c r="N1159" i="1" s="1"/>
  <c r="N1165" i="1" s="1"/>
  <c r="N1174" i="1" s="1"/>
  <c r="N1202" i="1" s="1"/>
  <c r="N1208" i="1" s="1"/>
  <c r="N1217" i="1" s="1"/>
  <c r="N1245" i="1" s="1"/>
  <c r="N1251" i="1" s="1"/>
  <c r="N1260" i="1" s="1"/>
  <c r="N1288" i="1" s="1"/>
  <c r="S219" i="1"/>
  <c r="S228" i="1" s="1"/>
  <c r="S256" i="1" s="1"/>
  <c r="S262" i="1" s="1"/>
  <c r="S271" i="1" s="1"/>
  <c r="S299" i="1" s="1"/>
  <c r="S305" i="1" s="1"/>
  <c r="S314" i="1" s="1"/>
  <c r="S342" i="1" s="1"/>
  <c r="S348" i="1" s="1"/>
  <c r="S357" i="1" s="1"/>
  <c r="S385" i="1" s="1"/>
  <c r="S391" i="1" s="1"/>
  <c r="S400" i="1" s="1"/>
  <c r="S428" i="1" s="1"/>
  <c r="S434" i="1" s="1"/>
  <c r="S443" i="1" s="1"/>
  <c r="S471" i="1" s="1"/>
  <c r="S477" i="1" s="1"/>
  <c r="S486" i="1" s="1"/>
  <c r="S514" i="1" s="1"/>
  <c r="S520" i="1" s="1"/>
  <c r="S529" i="1" s="1"/>
  <c r="S557" i="1" s="1"/>
  <c r="S563" i="1" s="1"/>
  <c r="S572" i="1" s="1"/>
  <c r="S600" i="1" s="1"/>
  <c r="S606" i="1" s="1"/>
  <c r="S615" i="1" s="1"/>
  <c r="S643" i="1" s="1"/>
  <c r="S649" i="1" s="1"/>
  <c r="S658" i="1" s="1"/>
  <c r="S686" i="1" s="1"/>
  <c r="S692" i="1" s="1"/>
  <c r="S701" i="1" s="1"/>
  <c r="S729" i="1" s="1"/>
  <c r="S735" i="1" s="1"/>
  <c r="S744" i="1" s="1"/>
  <c r="S772" i="1" s="1"/>
  <c r="S778" i="1" s="1"/>
  <c r="S787" i="1" s="1"/>
  <c r="S815" i="1" s="1"/>
  <c r="S821" i="1" s="1"/>
  <c r="S830" i="1" s="1"/>
  <c r="S858" i="1" s="1"/>
  <c r="S864" i="1" s="1"/>
  <c r="S873" i="1" s="1"/>
  <c r="S901" i="1" s="1"/>
  <c r="S907" i="1" s="1"/>
  <c r="S916" i="1" s="1"/>
  <c r="S944" i="1" s="1"/>
  <c r="S950" i="1" s="1"/>
  <c r="S959" i="1" s="1"/>
  <c r="S987" i="1" s="1"/>
  <c r="S993" i="1" s="1"/>
  <c r="S1002" i="1" s="1"/>
  <c r="S1030" i="1" s="1"/>
  <c r="S1036" i="1" s="1"/>
  <c r="S1045" i="1" s="1"/>
  <c r="S1073" i="1" s="1"/>
  <c r="S1079" i="1" s="1"/>
  <c r="S1088" i="1" s="1"/>
  <c r="S1116" i="1" s="1"/>
  <c r="S1122" i="1" s="1"/>
  <c r="S1131" i="1" s="1"/>
  <c r="S1159" i="1" s="1"/>
  <c r="S1165" i="1" s="1"/>
  <c r="S1174" i="1" s="1"/>
  <c r="S1202" i="1" s="1"/>
  <c r="S1208" i="1" s="1"/>
  <c r="S1217" i="1" s="1"/>
  <c r="S1245" i="1" s="1"/>
  <c r="S1251" i="1" s="1"/>
  <c r="S1260" i="1" s="1"/>
  <c r="S1288" i="1" s="1"/>
  <c r="T133" i="1"/>
  <c r="T142" i="1" s="1"/>
  <c r="T170" i="1" s="1"/>
  <c r="Q142" i="1"/>
  <c r="Q170" i="1" s="1"/>
  <c r="Q176" i="1" s="1"/>
  <c r="P133" i="1"/>
  <c r="P129" i="1"/>
  <c r="M129" i="1"/>
  <c r="O129" i="1"/>
  <c r="N129" i="1"/>
  <c r="T129" i="1"/>
  <c r="Q129" i="1"/>
  <c r="R129" i="1"/>
  <c r="S129" i="1"/>
  <c r="U85" i="1"/>
  <c r="U128" i="1" s="1"/>
  <c r="J41" i="1"/>
  <c r="U47" i="1"/>
  <c r="U56" i="1" s="1"/>
  <c r="U84" i="1"/>
  <c r="U41" i="1"/>
  <c r="F99" i="1"/>
  <c r="F127" i="1" s="1"/>
  <c r="F133" i="1" s="1"/>
  <c r="I90" i="1"/>
  <c r="I99" i="1" s="1"/>
  <c r="I127" i="1" s="1"/>
  <c r="E56" i="1"/>
  <c r="E84" i="1" s="1"/>
  <c r="J84" i="1" s="1"/>
  <c r="J47" i="1"/>
  <c r="J56" i="1" s="1"/>
  <c r="D99" i="1"/>
  <c r="D127" i="1" s="1"/>
  <c r="D133" i="1" s="1"/>
  <c r="E90" i="1"/>
  <c r="U90" i="1"/>
  <c r="U99" i="1" s="1"/>
  <c r="B185" i="1"/>
  <c r="B213" i="1" s="1"/>
  <c r="B219" i="1" s="1"/>
  <c r="U127" i="1"/>
  <c r="M185" i="1"/>
  <c r="M213" i="1" s="1"/>
  <c r="P176" i="1"/>
  <c r="G744" i="1" l="1"/>
  <c r="G772" i="1" s="1"/>
  <c r="G778" i="1" s="1"/>
  <c r="C787" i="1"/>
  <c r="C815" i="1" s="1"/>
  <c r="C821" i="1" s="1"/>
  <c r="R572" i="1"/>
  <c r="R600" i="1" s="1"/>
  <c r="R606" i="1" s="1"/>
  <c r="P142" i="1"/>
  <c r="P170" i="1" s="1"/>
  <c r="U170" i="1" s="1"/>
  <c r="U133" i="1"/>
  <c r="U142" i="1" s="1"/>
  <c r="B228" i="1"/>
  <c r="B256" i="1" s="1"/>
  <c r="B262" i="1" s="1"/>
  <c r="M219" i="1"/>
  <c r="F142" i="1"/>
  <c r="F170" i="1" s="1"/>
  <c r="F176" i="1" s="1"/>
  <c r="I133" i="1"/>
  <c r="I142" i="1" s="1"/>
  <c r="I170" i="1" s="1"/>
  <c r="D142" i="1"/>
  <c r="D170" i="1" s="1"/>
  <c r="D176" i="1" s="1"/>
  <c r="E133" i="1"/>
  <c r="E99" i="1"/>
  <c r="E127" i="1" s="1"/>
  <c r="J127" i="1" s="1"/>
  <c r="J90" i="1"/>
  <c r="J99" i="1" s="1"/>
  <c r="Q185" i="1"/>
  <c r="Q213" i="1" s="1"/>
  <c r="T176" i="1"/>
  <c r="T185" i="1" s="1"/>
  <c r="T213" i="1" s="1"/>
  <c r="P185" i="1"/>
  <c r="P213" i="1" s="1"/>
  <c r="C830" i="1" l="1"/>
  <c r="C858" i="1" s="1"/>
  <c r="C864" i="1" s="1"/>
  <c r="C873" i="1" s="1"/>
  <c r="C901" i="1" s="1"/>
  <c r="C907" i="1" s="1"/>
  <c r="G787" i="1"/>
  <c r="G815" i="1" s="1"/>
  <c r="G821" i="1" s="1"/>
  <c r="R615" i="1"/>
  <c r="R643" i="1" s="1"/>
  <c r="R649" i="1" s="1"/>
  <c r="R658" i="1" s="1"/>
  <c r="R686" i="1" s="1"/>
  <c r="R692" i="1" s="1"/>
  <c r="R701" i="1" s="1"/>
  <c r="R729" i="1" s="1"/>
  <c r="R735" i="1" s="1"/>
  <c r="R744" i="1" s="1"/>
  <c r="R772" i="1" s="1"/>
  <c r="R778" i="1" s="1"/>
  <c r="R787" i="1" s="1"/>
  <c r="R815" i="1" s="1"/>
  <c r="R821" i="1" s="1"/>
  <c r="R830" i="1" s="1"/>
  <c r="R858" i="1" s="1"/>
  <c r="R864" i="1" s="1"/>
  <c r="R873" i="1" s="1"/>
  <c r="R901" i="1" s="1"/>
  <c r="R907" i="1" s="1"/>
  <c r="R916" i="1" s="1"/>
  <c r="R944" i="1" s="1"/>
  <c r="R950" i="1" s="1"/>
  <c r="R959" i="1" s="1"/>
  <c r="R987" i="1" s="1"/>
  <c r="R993" i="1" s="1"/>
  <c r="R1002" i="1" s="1"/>
  <c r="R1030" i="1" s="1"/>
  <c r="R1036" i="1" s="1"/>
  <c r="R1045" i="1" s="1"/>
  <c r="R1073" i="1" s="1"/>
  <c r="R1079" i="1" s="1"/>
  <c r="R1088" i="1" s="1"/>
  <c r="R1116" i="1" s="1"/>
  <c r="R1122" i="1" s="1"/>
  <c r="R1131" i="1" s="1"/>
  <c r="R1159" i="1" s="1"/>
  <c r="R1165" i="1" s="1"/>
  <c r="R1174" i="1" s="1"/>
  <c r="R1202" i="1" s="1"/>
  <c r="R1208" i="1" s="1"/>
  <c r="R1217" i="1" s="1"/>
  <c r="R1245" i="1" s="1"/>
  <c r="R1251" i="1" s="1"/>
  <c r="R1260" i="1" s="1"/>
  <c r="R1288" i="1" s="1"/>
  <c r="B271" i="1"/>
  <c r="B299" i="1" s="1"/>
  <c r="B305" i="1" s="1"/>
  <c r="Q219" i="1"/>
  <c r="M228" i="1"/>
  <c r="M256" i="1" s="1"/>
  <c r="M262" i="1" s="1"/>
  <c r="P219" i="1"/>
  <c r="U176" i="1"/>
  <c r="U185" i="1" s="1"/>
  <c r="I176" i="1"/>
  <c r="I185" i="1" s="1"/>
  <c r="I213" i="1" s="1"/>
  <c r="F185" i="1"/>
  <c r="F213" i="1" s="1"/>
  <c r="F219" i="1" s="1"/>
  <c r="E142" i="1"/>
  <c r="E170" i="1" s="1"/>
  <c r="J170" i="1" s="1"/>
  <c r="J133" i="1"/>
  <c r="J142" i="1" s="1"/>
  <c r="D185" i="1"/>
  <c r="D213" i="1" s="1"/>
  <c r="D219" i="1" s="1"/>
  <c r="E176" i="1"/>
  <c r="U213" i="1"/>
  <c r="C916" i="1" l="1"/>
  <c r="C944" i="1" s="1"/>
  <c r="C950" i="1" s="1"/>
  <c r="C959" i="1" s="1"/>
  <c r="C987" i="1" s="1"/>
  <c r="C993" i="1" s="1"/>
  <c r="C1002" i="1" s="1"/>
  <c r="C1030" i="1" s="1"/>
  <c r="C1036" i="1" s="1"/>
  <c r="G830" i="1"/>
  <c r="G858" i="1" s="1"/>
  <c r="G864" i="1" s="1"/>
  <c r="G873" i="1" s="1"/>
  <c r="G901" i="1" s="1"/>
  <c r="G907" i="1" s="1"/>
  <c r="G916" i="1" s="1"/>
  <c r="G944" i="1" s="1"/>
  <c r="G950" i="1" s="1"/>
  <c r="G959" i="1" s="1"/>
  <c r="G987" i="1" s="1"/>
  <c r="G993" i="1" s="1"/>
  <c r="G1002" i="1" s="1"/>
  <c r="G1030" i="1" s="1"/>
  <c r="G1036" i="1" s="1"/>
  <c r="G1045" i="1" s="1"/>
  <c r="G1073" i="1" s="1"/>
  <c r="G1079" i="1" s="1"/>
  <c r="G1088" i="1" s="1"/>
  <c r="G1116" i="1" s="1"/>
  <c r="G1122" i="1" s="1"/>
  <c r="G1131" i="1" s="1"/>
  <c r="G1159" i="1" s="1"/>
  <c r="G1165" i="1" s="1"/>
  <c r="B314" i="1"/>
  <c r="B342" i="1" s="1"/>
  <c r="B348" i="1" s="1"/>
  <c r="M271" i="1"/>
  <c r="M299" i="1" s="1"/>
  <c r="M305" i="1" s="1"/>
  <c r="P262" i="1"/>
  <c r="F228" i="1"/>
  <c r="F256" i="1" s="1"/>
  <c r="F262" i="1" s="1"/>
  <c r="I219" i="1"/>
  <c r="I228" i="1" s="1"/>
  <c r="I256" i="1" s="1"/>
  <c r="D228" i="1"/>
  <c r="D256" i="1" s="1"/>
  <c r="D262" i="1" s="1"/>
  <c r="E219" i="1"/>
  <c r="T219" i="1"/>
  <c r="T228" i="1" s="1"/>
  <c r="T256" i="1" s="1"/>
  <c r="Q228" i="1"/>
  <c r="Q256" i="1" s="1"/>
  <c r="Q262" i="1" s="1"/>
  <c r="P228" i="1"/>
  <c r="P256" i="1" s="1"/>
  <c r="E185" i="1"/>
  <c r="E213" i="1" s="1"/>
  <c r="J213" i="1" s="1"/>
  <c r="J176" i="1"/>
  <c r="J185" i="1" s="1"/>
  <c r="G1174" i="1" l="1"/>
  <c r="G1202" i="1" s="1"/>
  <c r="G1208" i="1" s="1"/>
  <c r="G1217" i="1" s="1"/>
  <c r="G1245" i="1" s="1"/>
  <c r="G1251" i="1" s="1"/>
  <c r="G1260" i="1" s="1"/>
  <c r="G1288" i="1" s="1"/>
  <c r="C1045" i="1"/>
  <c r="C1073" i="1" s="1"/>
  <c r="C1079" i="1" s="1"/>
  <c r="C1088" i="1" s="1"/>
  <c r="C1116" i="1" s="1"/>
  <c r="C1122" i="1" s="1"/>
  <c r="C1131" i="1" s="1"/>
  <c r="C1159" i="1" s="1"/>
  <c r="C1165" i="1" s="1"/>
  <c r="C1174" i="1" s="1"/>
  <c r="C1202" i="1" s="1"/>
  <c r="C1208" i="1" s="1"/>
  <c r="B357" i="1"/>
  <c r="B385" i="1" s="1"/>
  <c r="B391" i="1" s="1"/>
  <c r="M314" i="1"/>
  <c r="M342" i="1" s="1"/>
  <c r="M348" i="1" s="1"/>
  <c r="P305" i="1"/>
  <c r="F271" i="1"/>
  <c r="F299" i="1" s="1"/>
  <c r="F305" i="1" s="1"/>
  <c r="I262" i="1"/>
  <c r="I271" i="1" s="1"/>
  <c r="I299" i="1" s="1"/>
  <c r="D271" i="1"/>
  <c r="D299" i="1" s="1"/>
  <c r="D305" i="1" s="1"/>
  <c r="E262" i="1"/>
  <c r="T262" i="1"/>
  <c r="T271" i="1" s="1"/>
  <c r="T299" i="1" s="1"/>
  <c r="Q271" i="1"/>
  <c r="Q299" i="1" s="1"/>
  <c r="Q305" i="1" s="1"/>
  <c r="P271" i="1"/>
  <c r="P299" i="1" s="1"/>
  <c r="U219" i="1"/>
  <c r="U228" i="1" s="1"/>
  <c r="J219" i="1"/>
  <c r="J228" i="1" s="1"/>
  <c r="E228" i="1"/>
  <c r="E256" i="1" s="1"/>
  <c r="J256" i="1" s="1"/>
  <c r="U256" i="1"/>
  <c r="C1217" i="1" l="1"/>
  <c r="C1245" i="1" s="1"/>
  <c r="C1251" i="1" s="1"/>
  <c r="B400" i="1"/>
  <c r="B428" i="1" s="1"/>
  <c r="B434" i="1" s="1"/>
  <c r="M357" i="1"/>
  <c r="M385" i="1" s="1"/>
  <c r="M391" i="1" s="1"/>
  <c r="P348" i="1"/>
  <c r="P357" i="1" s="1"/>
  <c r="P385" i="1" s="1"/>
  <c r="I305" i="1"/>
  <c r="I314" i="1" s="1"/>
  <c r="I342" i="1" s="1"/>
  <c r="F314" i="1"/>
  <c r="F342" i="1" s="1"/>
  <c r="F348" i="1" s="1"/>
  <c r="D314" i="1"/>
  <c r="D342" i="1" s="1"/>
  <c r="D348" i="1" s="1"/>
  <c r="E305" i="1"/>
  <c r="Q314" i="1"/>
  <c r="Q342" i="1" s="1"/>
  <c r="Q348" i="1" s="1"/>
  <c r="T305" i="1"/>
  <c r="T314" i="1" s="1"/>
  <c r="T342" i="1" s="1"/>
  <c r="P314" i="1"/>
  <c r="P342" i="1" s="1"/>
  <c r="U262" i="1"/>
  <c r="U271" i="1" s="1"/>
  <c r="J262" i="1"/>
  <c r="J271" i="1" s="1"/>
  <c r="E271" i="1"/>
  <c r="E299" i="1" s="1"/>
  <c r="J299" i="1" s="1"/>
  <c r="U299" i="1"/>
  <c r="C1260" i="1" l="1"/>
  <c r="C1288" i="1" s="1"/>
  <c r="B443" i="1"/>
  <c r="B471" i="1" s="1"/>
  <c r="B477" i="1" s="1"/>
  <c r="P391" i="1"/>
  <c r="M400" i="1"/>
  <c r="M428" i="1" s="1"/>
  <c r="M434" i="1" s="1"/>
  <c r="D357" i="1"/>
  <c r="D385" i="1" s="1"/>
  <c r="D391" i="1" s="1"/>
  <c r="E348" i="1"/>
  <c r="E357" i="1" s="1"/>
  <c r="E385" i="1" s="1"/>
  <c r="F357" i="1"/>
  <c r="F385" i="1" s="1"/>
  <c r="F391" i="1" s="1"/>
  <c r="I348" i="1"/>
  <c r="T348" i="1"/>
  <c r="Q357" i="1"/>
  <c r="Q385" i="1" s="1"/>
  <c r="Q391" i="1" s="1"/>
  <c r="J305" i="1"/>
  <c r="J314" i="1" s="1"/>
  <c r="E314" i="1"/>
  <c r="E342" i="1" s="1"/>
  <c r="J342" i="1" s="1"/>
  <c r="U305" i="1"/>
  <c r="U314" i="1" s="1"/>
  <c r="U342" i="1"/>
  <c r="B486" i="1" l="1"/>
  <c r="B514" i="1" s="1"/>
  <c r="B520" i="1" s="1"/>
  <c r="M443" i="1"/>
  <c r="M471" i="1" s="1"/>
  <c r="M477" i="1" s="1"/>
  <c r="P434" i="1"/>
  <c r="F400" i="1"/>
  <c r="F428" i="1" s="1"/>
  <c r="F434" i="1" s="1"/>
  <c r="I391" i="1"/>
  <c r="I400" i="1" s="1"/>
  <c r="I428" i="1" s="1"/>
  <c r="D400" i="1"/>
  <c r="D428" i="1" s="1"/>
  <c r="D434" i="1" s="1"/>
  <c r="E391" i="1"/>
  <c r="T391" i="1"/>
  <c r="T400" i="1" s="1"/>
  <c r="T428" i="1" s="1"/>
  <c r="Q400" i="1"/>
  <c r="Q428" i="1" s="1"/>
  <c r="Q434" i="1" s="1"/>
  <c r="P400" i="1"/>
  <c r="P428" i="1" s="1"/>
  <c r="I357" i="1"/>
  <c r="I385" i="1" s="1"/>
  <c r="J385" i="1" s="1"/>
  <c r="J348" i="1"/>
  <c r="J357" i="1" s="1"/>
  <c r="T357" i="1"/>
  <c r="T385" i="1" s="1"/>
  <c r="U385" i="1" s="1"/>
  <c r="U348" i="1"/>
  <c r="U357" i="1" s="1"/>
  <c r="B529" i="1" l="1"/>
  <c r="B557" i="1" s="1"/>
  <c r="B563" i="1" s="1"/>
  <c r="M486" i="1"/>
  <c r="M514" i="1" s="1"/>
  <c r="M520" i="1" s="1"/>
  <c r="P477" i="1"/>
  <c r="F443" i="1"/>
  <c r="F471" i="1" s="1"/>
  <c r="F477" i="1" s="1"/>
  <c r="I434" i="1"/>
  <c r="I443" i="1" s="1"/>
  <c r="I471" i="1" s="1"/>
  <c r="D443" i="1"/>
  <c r="D471" i="1" s="1"/>
  <c r="D477" i="1" s="1"/>
  <c r="E434" i="1"/>
  <c r="P443" i="1"/>
  <c r="P471" i="1" s="1"/>
  <c r="Q443" i="1"/>
  <c r="Q471" i="1" s="1"/>
  <c r="Q477" i="1" s="1"/>
  <c r="T434" i="1"/>
  <c r="T443" i="1" s="1"/>
  <c r="T471" i="1" s="1"/>
  <c r="J391" i="1"/>
  <c r="J400" i="1" s="1"/>
  <c r="E400" i="1"/>
  <c r="E428" i="1" s="1"/>
  <c r="J428" i="1" s="1"/>
  <c r="U428" i="1"/>
  <c r="U391" i="1"/>
  <c r="U400" i="1" s="1"/>
  <c r="B572" i="1" l="1"/>
  <c r="B600" i="1" s="1"/>
  <c r="M529" i="1"/>
  <c r="M557" i="1" s="1"/>
  <c r="M563" i="1" s="1"/>
  <c r="P520" i="1"/>
  <c r="D486" i="1"/>
  <c r="D514" i="1" s="1"/>
  <c r="D520" i="1" s="1"/>
  <c r="E477" i="1"/>
  <c r="F486" i="1"/>
  <c r="F514" i="1" s="1"/>
  <c r="F520" i="1" s="1"/>
  <c r="I477" i="1"/>
  <c r="I486" i="1" s="1"/>
  <c r="I514" i="1" s="1"/>
  <c r="T477" i="1"/>
  <c r="T486" i="1" s="1"/>
  <c r="T514" i="1" s="1"/>
  <c r="Q486" i="1"/>
  <c r="Q514" i="1" s="1"/>
  <c r="Q520" i="1" s="1"/>
  <c r="P486" i="1"/>
  <c r="P514" i="1" s="1"/>
  <c r="J434" i="1"/>
  <c r="J443" i="1" s="1"/>
  <c r="E443" i="1"/>
  <c r="E471" i="1" s="1"/>
  <c r="J471" i="1" s="1"/>
  <c r="U471" i="1"/>
  <c r="U434" i="1"/>
  <c r="U443" i="1" s="1"/>
  <c r="B643" i="1" l="1"/>
  <c r="B649" i="1" s="1"/>
  <c r="M572" i="1"/>
  <c r="M600" i="1" s="1"/>
  <c r="M606" i="1" s="1"/>
  <c r="P563" i="1"/>
  <c r="F529" i="1"/>
  <c r="F557" i="1" s="1"/>
  <c r="F563" i="1" s="1"/>
  <c r="I520" i="1"/>
  <c r="I529" i="1" s="1"/>
  <c r="I557" i="1" s="1"/>
  <c r="D529" i="1"/>
  <c r="D557" i="1" s="1"/>
  <c r="D563" i="1" s="1"/>
  <c r="E520" i="1"/>
  <c r="P529" i="1"/>
  <c r="P557" i="1" s="1"/>
  <c r="Q529" i="1"/>
  <c r="Q557" i="1" s="1"/>
  <c r="Q563" i="1" s="1"/>
  <c r="T520" i="1"/>
  <c r="T529" i="1" s="1"/>
  <c r="T557" i="1" s="1"/>
  <c r="U514" i="1"/>
  <c r="U477" i="1"/>
  <c r="U486" i="1" s="1"/>
  <c r="E486" i="1"/>
  <c r="E514" i="1" s="1"/>
  <c r="J514" i="1" s="1"/>
  <c r="J477" i="1"/>
  <c r="J486" i="1" s="1"/>
  <c r="D572" i="1" l="1"/>
  <c r="D600" i="1" s="1"/>
  <c r="E563" i="1"/>
  <c r="E572" i="1" s="1"/>
  <c r="E600" i="1" s="1"/>
  <c r="B658" i="1"/>
  <c r="B686" i="1" s="1"/>
  <c r="B692" i="1" s="1"/>
  <c r="B701" i="1" s="1"/>
  <c r="B729" i="1" s="1"/>
  <c r="B735" i="1" s="1"/>
  <c r="F572" i="1"/>
  <c r="F600" i="1" s="1"/>
  <c r="F606" i="1" s="1"/>
  <c r="I563" i="1"/>
  <c r="Q572" i="1"/>
  <c r="Q600" i="1" s="1"/>
  <c r="Q606" i="1" s="1"/>
  <c r="T563" i="1"/>
  <c r="T572" i="1" s="1"/>
  <c r="T600" i="1" s="1"/>
  <c r="M615" i="1"/>
  <c r="M643" i="1" s="1"/>
  <c r="M649" i="1" s="1"/>
  <c r="P606" i="1"/>
  <c r="P572" i="1"/>
  <c r="P600" i="1" s="1"/>
  <c r="E529" i="1"/>
  <c r="E557" i="1" s="1"/>
  <c r="J557" i="1" s="1"/>
  <c r="J520" i="1"/>
  <c r="J529" i="1" s="1"/>
  <c r="U520" i="1"/>
  <c r="U529" i="1" s="1"/>
  <c r="U557" i="1"/>
  <c r="B744" i="1" l="1"/>
  <c r="B772" i="1" s="1"/>
  <c r="B778" i="1" s="1"/>
  <c r="D643" i="1"/>
  <c r="D649" i="1" s="1"/>
  <c r="E649" i="1" s="1"/>
  <c r="E658" i="1" s="1"/>
  <c r="E606" i="1"/>
  <c r="U563" i="1"/>
  <c r="U572" i="1" s="1"/>
  <c r="M658" i="1"/>
  <c r="M686" i="1" s="1"/>
  <c r="M692" i="1" s="1"/>
  <c r="P649" i="1"/>
  <c r="F615" i="1"/>
  <c r="F643" i="1" s="1"/>
  <c r="F649" i="1" s="1"/>
  <c r="I606" i="1"/>
  <c r="I572" i="1"/>
  <c r="I600" i="1" s="1"/>
  <c r="J600" i="1" s="1"/>
  <c r="J563" i="1"/>
  <c r="J572" i="1" s="1"/>
  <c r="U600" i="1"/>
  <c r="Q615" i="1"/>
  <c r="Q643" i="1" s="1"/>
  <c r="Q649" i="1" s="1"/>
  <c r="T606" i="1"/>
  <c r="T615" i="1" s="1"/>
  <c r="T643" i="1" s="1"/>
  <c r="P615" i="1"/>
  <c r="P643" i="1" s="1"/>
  <c r="B787" i="1" l="1"/>
  <c r="B815" i="1" s="1"/>
  <c r="B821" i="1" s="1"/>
  <c r="B830" i="1" s="1"/>
  <c r="B858" i="1" s="1"/>
  <c r="B864" i="1" s="1"/>
  <c r="E643" i="1"/>
  <c r="M701" i="1"/>
  <c r="M729" i="1" s="1"/>
  <c r="M735" i="1" s="1"/>
  <c r="P692" i="1"/>
  <c r="D658" i="1"/>
  <c r="D686" i="1" s="1"/>
  <c r="D692" i="1" s="1"/>
  <c r="E686" i="1"/>
  <c r="I649" i="1"/>
  <c r="F658" i="1"/>
  <c r="F686" i="1" s="1"/>
  <c r="F692" i="1" s="1"/>
  <c r="Q658" i="1"/>
  <c r="Q686" i="1" s="1"/>
  <c r="Q692" i="1" s="1"/>
  <c r="T649" i="1"/>
  <c r="T658" i="1" s="1"/>
  <c r="T686" i="1" s="1"/>
  <c r="P658" i="1"/>
  <c r="P686" i="1" s="1"/>
  <c r="I615" i="1"/>
  <c r="I643" i="1" s="1"/>
  <c r="J606" i="1"/>
  <c r="J615" i="1" s="1"/>
  <c r="U606" i="1"/>
  <c r="U615" i="1" s="1"/>
  <c r="U643" i="1"/>
  <c r="B873" i="1" l="1"/>
  <c r="B901" i="1" s="1"/>
  <c r="B907" i="1" s="1"/>
  <c r="B916" i="1" s="1"/>
  <c r="B944" i="1" s="1"/>
  <c r="B950" i="1" s="1"/>
  <c r="B959" i="1" s="1"/>
  <c r="B987" i="1" s="1"/>
  <c r="B993" i="1" s="1"/>
  <c r="P735" i="1"/>
  <c r="M744" i="1"/>
  <c r="M772" i="1" s="1"/>
  <c r="M778" i="1" s="1"/>
  <c r="J643" i="1"/>
  <c r="D701" i="1"/>
  <c r="D729" i="1" s="1"/>
  <c r="D735" i="1" s="1"/>
  <c r="E692" i="1"/>
  <c r="E701" i="1" s="1"/>
  <c r="E729" i="1" s="1"/>
  <c r="F701" i="1"/>
  <c r="F729" i="1" s="1"/>
  <c r="F735" i="1" s="1"/>
  <c r="I692" i="1"/>
  <c r="Q701" i="1"/>
  <c r="Q729" i="1" s="1"/>
  <c r="Q735" i="1" s="1"/>
  <c r="T692" i="1"/>
  <c r="T701" i="1" s="1"/>
  <c r="T729" i="1" s="1"/>
  <c r="P701" i="1"/>
  <c r="P729" i="1" s="1"/>
  <c r="I658" i="1"/>
  <c r="I686" i="1" s="1"/>
  <c r="J686" i="1" s="1"/>
  <c r="J649" i="1"/>
  <c r="J658" i="1" s="1"/>
  <c r="U686" i="1"/>
  <c r="U649" i="1"/>
  <c r="U658" i="1" s="1"/>
  <c r="B1002" i="1" l="1"/>
  <c r="B1030" i="1" s="1"/>
  <c r="B1036" i="1" s="1"/>
  <c r="B1045" i="1" s="1"/>
  <c r="B1073" i="1" s="1"/>
  <c r="B1079" i="1" s="1"/>
  <c r="F744" i="1"/>
  <c r="F772" i="1" s="1"/>
  <c r="F778" i="1" s="1"/>
  <c r="I735" i="1"/>
  <c r="I744" i="1" s="1"/>
  <c r="I772" i="1" s="1"/>
  <c r="D744" i="1"/>
  <c r="D772" i="1" s="1"/>
  <c r="D778" i="1" s="1"/>
  <c r="E735" i="1"/>
  <c r="M787" i="1"/>
  <c r="M815" i="1" s="1"/>
  <c r="M821" i="1" s="1"/>
  <c r="P778" i="1"/>
  <c r="T735" i="1"/>
  <c r="T744" i="1" s="1"/>
  <c r="T772" i="1" s="1"/>
  <c r="Q744" i="1"/>
  <c r="Q772" i="1" s="1"/>
  <c r="Q778" i="1" s="1"/>
  <c r="P744" i="1"/>
  <c r="P772" i="1" s="1"/>
  <c r="U692" i="1"/>
  <c r="U701" i="1" s="1"/>
  <c r="I701" i="1"/>
  <c r="I729" i="1" s="1"/>
  <c r="J729" i="1" s="1"/>
  <c r="J692" i="1"/>
  <c r="J701" i="1" s="1"/>
  <c r="U729" i="1"/>
  <c r="B1088" i="1" l="1"/>
  <c r="B1116" i="1" s="1"/>
  <c r="B1122" i="1" s="1"/>
  <c r="M830" i="1"/>
  <c r="M858" i="1" s="1"/>
  <c r="M864" i="1" s="1"/>
  <c r="P821" i="1"/>
  <c r="F787" i="1"/>
  <c r="F815" i="1" s="1"/>
  <c r="F821" i="1" s="1"/>
  <c r="I778" i="1"/>
  <c r="I787" i="1" s="1"/>
  <c r="I815" i="1" s="1"/>
  <c r="E744" i="1"/>
  <c r="E772" i="1" s="1"/>
  <c r="J772" i="1" s="1"/>
  <c r="J735" i="1"/>
  <c r="J744" i="1" s="1"/>
  <c r="D787" i="1"/>
  <c r="D815" i="1" s="1"/>
  <c r="D821" i="1" s="1"/>
  <c r="E778" i="1"/>
  <c r="Q787" i="1"/>
  <c r="Q815" i="1" s="1"/>
  <c r="Q821" i="1" s="1"/>
  <c r="T778" i="1"/>
  <c r="T787" i="1" s="1"/>
  <c r="T815" i="1" s="1"/>
  <c r="P787" i="1"/>
  <c r="P815" i="1" s="1"/>
  <c r="U735" i="1"/>
  <c r="U744" i="1" s="1"/>
  <c r="U772" i="1"/>
  <c r="B1131" i="1" l="1"/>
  <c r="B1159" i="1" s="1"/>
  <c r="B1165" i="1" s="1"/>
  <c r="M873" i="1"/>
  <c r="M901" i="1" s="1"/>
  <c r="M907" i="1" s="1"/>
  <c r="P864" i="1"/>
  <c r="F830" i="1"/>
  <c r="F858" i="1" s="1"/>
  <c r="F864" i="1" s="1"/>
  <c r="I821" i="1"/>
  <c r="I830" i="1" s="1"/>
  <c r="I858" i="1" s="1"/>
  <c r="D830" i="1"/>
  <c r="D858" i="1" s="1"/>
  <c r="D864" i="1" s="1"/>
  <c r="E821" i="1"/>
  <c r="Q830" i="1"/>
  <c r="Q858" i="1" s="1"/>
  <c r="Q864" i="1" s="1"/>
  <c r="T821" i="1"/>
  <c r="T830" i="1" s="1"/>
  <c r="T858" i="1" s="1"/>
  <c r="P830" i="1"/>
  <c r="P858" i="1" s="1"/>
  <c r="E787" i="1"/>
  <c r="E815" i="1" s="1"/>
  <c r="J815" i="1" s="1"/>
  <c r="J778" i="1"/>
  <c r="J787" i="1" s="1"/>
  <c r="U778" i="1"/>
  <c r="U787" i="1" s="1"/>
  <c r="U815" i="1"/>
  <c r="B1174" i="1" l="1"/>
  <c r="B1202" i="1" s="1"/>
  <c r="B1208" i="1" s="1"/>
  <c r="M916" i="1"/>
  <c r="M944" i="1" s="1"/>
  <c r="M950" i="1" s="1"/>
  <c r="P907" i="1"/>
  <c r="F873" i="1"/>
  <c r="F901" i="1" s="1"/>
  <c r="F907" i="1" s="1"/>
  <c r="I864" i="1"/>
  <c r="I873" i="1" s="1"/>
  <c r="I901" i="1" s="1"/>
  <c r="D873" i="1"/>
  <c r="D901" i="1" s="1"/>
  <c r="D907" i="1" s="1"/>
  <c r="E864" i="1"/>
  <c r="Q873" i="1"/>
  <c r="Q901" i="1" s="1"/>
  <c r="Q907" i="1" s="1"/>
  <c r="T864" i="1"/>
  <c r="T873" i="1" s="1"/>
  <c r="T901" i="1" s="1"/>
  <c r="P873" i="1"/>
  <c r="P901" i="1" s="1"/>
  <c r="E830" i="1"/>
  <c r="E858" i="1" s="1"/>
  <c r="J858" i="1" s="1"/>
  <c r="J821" i="1"/>
  <c r="J830" i="1" s="1"/>
  <c r="U821" i="1"/>
  <c r="U830" i="1" s="1"/>
  <c r="U858" i="1"/>
  <c r="B1217" i="1" l="1"/>
  <c r="B1245" i="1" s="1"/>
  <c r="B1251" i="1" s="1"/>
  <c r="M959" i="1"/>
  <c r="M987" i="1" s="1"/>
  <c r="M993" i="1" s="1"/>
  <c r="P950" i="1"/>
  <c r="F916" i="1"/>
  <c r="F944" i="1" s="1"/>
  <c r="F950" i="1" s="1"/>
  <c r="I907" i="1"/>
  <c r="I916" i="1" s="1"/>
  <c r="I944" i="1" s="1"/>
  <c r="D916" i="1"/>
  <c r="D944" i="1" s="1"/>
  <c r="D950" i="1" s="1"/>
  <c r="E907" i="1"/>
  <c r="Q916" i="1"/>
  <c r="Q944" i="1" s="1"/>
  <c r="Q950" i="1" s="1"/>
  <c r="T907" i="1"/>
  <c r="T916" i="1" s="1"/>
  <c r="T944" i="1" s="1"/>
  <c r="P916" i="1"/>
  <c r="P944" i="1" s="1"/>
  <c r="J864" i="1"/>
  <c r="J873" i="1" s="1"/>
  <c r="E873" i="1"/>
  <c r="E901" i="1" s="1"/>
  <c r="J901" i="1" s="1"/>
  <c r="U864" i="1"/>
  <c r="U873" i="1" s="1"/>
  <c r="U901" i="1"/>
  <c r="B1260" i="1" l="1"/>
  <c r="B1288" i="1" s="1"/>
  <c r="M1002" i="1"/>
  <c r="M1030" i="1" s="1"/>
  <c r="M1036" i="1" s="1"/>
  <c r="P993" i="1"/>
  <c r="P1002" i="1" s="1"/>
  <c r="P1030" i="1" s="1"/>
  <c r="D959" i="1"/>
  <c r="D987" i="1" s="1"/>
  <c r="D993" i="1" s="1"/>
  <c r="E950" i="1"/>
  <c r="E959" i="1" s="1"/>
  <c r="E987" i="1" s="1"/>
  <c r="F959" i="1"/>
  <c r="F987" i="1" s="1"/>
  <c r="F993" i="1" s="1"/>
  <c r="I950" i="1"/>
  <c r="Q959" i="1"/>
  <c r="Q987" i="1" s="1"/>
  <c r="Q993" i="1" s="1"/>
  <c r="T950" i="1"/>
  <c r="T959" i="1" s="1"/>
  <c r="T987" i="1" s="1"/>
  <c r="P959" i="1"/>
  <c r="P987" i="1" s="1"/>
  <c r="J907" i="1"/>
  <c r="J916" i="1" s="1"/>
  <c r="E916" i="1"/>
  <c r="E944" i="1" s="1"/>
  <c r="J944" i="1" s="1"/>
  <c r="U944" i="1"/>
  <c r="U907" i="1"/>
  <c r="U916" i="1" s="1"/>
  <c r="M1045" i="1" l="1"/>
  <c r="M1073" i="1" s="1"/>
  <c r="M1079" i="1" s="1"/>
  <c r="P1036" i="1"/>
  <c r="D1002" i="1"/>
  <c r="D1030" i="1" s="1"/>
  <c r="D1036" i="1" s="1"/>
  <c r="E993" i="1"/>
  <c r="E1002" i="1" s="1"/>
  <c r="E1030" i="1" s="1"/>
  <c r="F1002" i="1"/>
  <c r="F1030" i="1" s="1"/>
  <c r="F1036" i="1" s="1"/>
  <c r="I993" i="1"/>
  <c r="T993" i="1"/>
  <c r="Q1002" i="1"/>
  <c r="Q1030" i="1" s="1"/>
  <c r="Q1036" i="1" s="1"/>
  <c r="U950" i="1"/>
  <c r="U959" i="1" s="1"/>
  <c r="I959" i="1"/>
  <c r="I987" i="1" s="1"/>
  <c r="J987" i="1" s="1"/>
  <c r="J950" i="1"/>
  <c r="J959" i="1" s="1"/>
  <c r="U987" i="1"/>
  <c r="M1088" i="1" l="1"/>
  <c r="M1116" i="1" s="1"/>
  <c r="M1122" i="1" s="1"/>
  <c r="P1079" i="1"/>
  <c r="F1045" i="1"/>
  <c r="F1073" i="1" s="1"/>
  <c r="F1079" i="1" s="1"/>
  <c r="I1036" i="1"/>
  <c r="I1045" i="1" s="1"/>
  <c r="I1073" i="1" s="1"/>
  <c r="D1045" i="1"/>
  <c r="D1073" i="1" s="1"/>
  <c r="D1079" i="1" s="1"/>
  <c r="E1036" i="1"/>
  <c r="Q1045" i="1"/>
  <c r="Q1073" i="1" s="1"/>
  <c r="Q1079" i="1" s="1"/>
  <c r="T1036" i="1"/>
  <c r="T1045" i="1" s="1"/>
  <c r="T1073" i="1" s="1"/>
  <c r="P1045" i="1"/>
  <c r="P1073" i="1" s="1"/>
  <c r="I1002" i="1"/>
  <c r="I1030" i="1" s="1"/>
  <c r="J1030" i="1" s="1"/>
  <c r="J993" i="1"/>
  <c r="J1002" i="1" s="1"/>
  <c r="T1002" i="1"/>
  <c r="T1030" i="1" s="1"/>
  <c r="U1030" i="1" s="1"/>
  <c r="U993" i="1"/>
  <c r="U1002" i="1" s="1"/>
  <c r="M1131" i="1" l="1"/>
  <c r="M1159" i="1" s="1"/>
  <c r="M1165" i="1" s="1"/>
  <c r="P1122" i="1"/>
  <c r="D1088" i="1"/>
  <c r="D1116" i="1" s="1"/>
  <c r="D1122" i="1" s="1"/>
  <c r="E1079" i="1"/>
  <c r="E1088" i="1" s="1"/>
  <c r="E1116" i="1" s="1"/>
  <c r="T1079" i="1"/>
  <c r="T1088" i="1" s="1"/>
  <c r="T1116" i="1" s="1"/>
  <c r="Q1088" i="1"/>
  <c r="Q1116" i="1" s="1"/>
  <c r="Q1122" i="1" s="1"/>
  <c r="P1088" i="1"/>
  <c r="P1116" i="1" s="1"/>
  <c r="I1079" i="1"/>
  <c r="F1088" i="1"/>
  <c r="F1116" i="1" s="1"/>
  <c r="F1122" i="1" s="1"/>
  <c r="U1036" i="1"/>
  <c r="U1045" i="1" s="1"/>
  <c r="E1045" i="1"/>
  <c r="E1073" i="1" s="1"/>
  <c r="J1073" i="1" s="1"/>
  <c r="J1036" i="1"/>
  <c r="J1045" i="1" s="1"/>
  <c r="U1073" i="1"/>
  <c r="M1174" i="1" l="1"/>
  <c r="M1202" i="1" s="1"/>
  <c r="M1208" i="1" s="1"/>
  <c r="P1165" i="1"/>
  <c r="D1131" i="1"/>
  <c r="D1159" i="1" s="1"/>
  <c r="D1165" i="1" s="1"/>
  <c r="E1122" i="1"/>
  <c r="E1131" i="1" s="1"/>
  <c r="E1159" i="1" s="1"/>
  <c r="F1131" i="1"/>
  <c r="F1159" i="1" s="1"/>
  <c r="F1165" i="1" s="1"/>
  <c r="I1122" i="1"/>
  <c r="Q1131" i="1"/>
  <c r="Q1159" i="1" s="1"/>
  <c r="Q1165" i="1" s="1"/>
  <c r="T1122" i="1"/>
  <c r="T1131" i="1" s="1"/>
  <c r="T1159" i="1" s="1"/>
  <c r="P1131" i="1"/>
  <c r="P1159" i="1" s="1"/>
  <c r="U1079" i="1"/>
  <c r="U1088" i="1" s="1"/>
  <c r="U1116" i="1"/>
  <c r="I1088" i="1"/>
  <c r="I1116" i="1" s="1"/>
  <c r="J1116" i="1" s="1"/>
  <c r="J1079" i="1"/>
  <c r="J1088" i="1" s="1"/>
  <c r="F1174" i="1" l="1"/>
  <c r="F1202" i="1" s="1"/>
  <c r="F1208" i="1" s="1"/>
  <c r="I1165" i="1"/>
  <c r="I1174" i="1" s="1"/>
  <c r="I1202" i="1" s="1"/>
  <c r="P1208" i="1"/>
  <c r="M1217" i="1"/>
  <c r="M1245" i="1" s="1"/>
  <c r="M1251" i="1" s="1"/>
  <c r="D1174" i="1"/>
  <c r="D1202" i="1" s="1"/>
  <c r="D1208" i="1" s="1"/>
  <c r="E1165" i="1"/>
  <c r="Q1174" i="1"/>
  <c r="Q1202" i="1" s="1"/>
  <c r="Q1208" i="1" s="1"/>
  <c r="T1165" i="1"/>
  <c r="T1174" i="1" s="1"/>
  <c r="T1202" i="1" s="1"/>
  <c r="P1174" i="1"/>
  <c r="P1202" i="1" s="1"/>
  <c r="I1131" i="1"/>
  <c r="I1159" i="1" s="1"/>
  <c r="J1159" i="1" s="1"/>
  <c r="J1122" i="1"/>
  <c r="J1131" i="1" s="1"/>
  <c r="Q1160" i="1"/>
  <c r="T1160" i="1"/>
  <c r="S1160" i="1"/>
  <c r="R1160" i="1"/>
  <c r="U1122" i="1"/>
  <c r="U1131" i="1" s="1"/>
  <c r="O1160" i="1"/>
  <c r="P1160" i="1"/>
  <c r="N1160" i="1"/>
  <c r="M1160" i="1"/>
  <c r="U1159" i="1"/>
  <c r="D1217" i="1" l="1"/>
  <c r="D1245" i="1" s="1"/>
  <c r="D1251" i="1" s="1"/>
  <c r="E1208" i="1"/>
  <c r="E1217" i="1" s="1"/>
  <c r="E1245" i="1" s="1"/>
  <c r="F1217" i="1"/>
  <c r="F1245" i="1" s="1"/>
  <c r="F1251" i="1" s="1"/>
  <c r="I1208" i="1"/>
  <c r="M1260" i="1"/>
  <c r="M1288" i="1" s="1"/>
  <c r="P1251" i="1"/>
  <c r="T1208" i="1"/>
  <c r="T1217" i="1" s="1"/>
  <c r="T1245" i="1" s="1"/>
  <c r="Q1217" i="1"/>
  <c r="Q1245" i="1" s="1"/>
  <c r="Q1251" i="1" s="1"/>
  <c r="P1217" i="1"/>
  <c r="P1245" i="1" s="1"/>
  <c r="U1165" i="1"/>
  <c r="U1174" i="1" s="1"/>
  <c r="E1174" i="1"/>
  <c r="E1202" i="1" s="1"/>
  <c r="J1202" i="1" s="1"/>
  <c r="J1165" i="1"/>
  <c r="J1174" i="1" s="1"/>
  <c r="U1202" i="1"/>
  <c r="D1260" i="1" l="1"/>
  <c r="D1288" i="1" s="1"/>
  <c r="E1251" i="1"/>
  <c r="E1260" i="1" s="1"/>
  <c r="E1288" i="1" s="1"/>
  <c r="I1217" i="1"/>
  <c r="I1245" i="1" s="1"/>
  <c r="J1245" i="1" s="1"/>
  <c r="J1208" i="1"/>
  <c r="J1217" i="1" s="1"/>
  <c r="F1260" i="1"/>
  <c r="F1288" i="1" s="1"/>
  <c r="I1251" i="1"/>
  <c r="U1208" i="1"/>
  <c r="U1217" i="1" s="1"/>
  <c r="Q1260" i="1"/>
  <c r="Q1288" i="1" s="1"/>
  <c r="T1251" i="1"/>
  <c r="T1260" i="1" s="1"/>
  <c r="T1288" i="1" s="1"/>
  <c r="P1260" i="1"/>
  <c r="P1288" i="1" s="1"/>
  <c r="U1245" i="1"/>
  <c r="I1260" i="1" l="1"/>
  <c r="I1288" i="1" s="1"/>
  <c r="J1288" i="1" s="1"/>
  <c r="J1251" i="1"/>
  <c r="J1260" i="1" s="1"/>
  <c r="Q1289" i="1"/>
  <c r="R1289" i="1"/>
  <c r="S1289" i="1"/>
  <c r="T1289" i="1"/>
  <c r="N1289" i="1"/>
  <c r="O1289" i="1"/>
  <c r="P1289" i="1"/>
  <c r="M1289" i="1"/>
  <c r="U1251" i="1"/>
  <c r="U1260" i="1" s="1"/>
  <c r="U1288" i="1"/>
</calcChain>
</file>

<file path=xl/sharedStrings.xml><?xml version="1.0" encoding="utf-8"?>
<sst xmlns="http://schemas.openxmlformats.org/spreadsheetml/2006/main" count="2471" uniqueCount="644">
  <si>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</si>
  <si>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</si>
  <si>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</si>
  <si>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</si>
  <si>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</si>
  <si>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</si>
  <si>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</si>
  <si>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</si>
  <si>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</si>
  <si>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</si>
  <si>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</si>
  <si>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</si>
  <si>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</si>
  <si>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</si>
  <si>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</si>
  <si>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</si>
  <si>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</si>
  <si>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出荷数</t>
    <rPh sb="0" eb="2">
      <t>シュッカ</t>
    </rPh>
    <rPh sb="2" eb="3">
      <t>スウ</t>
    </rPh>
    <phoneticPr fontId="8"/>
  </si>
  <si>
    <t>残数</t>
    <rPh sb="0" eb="2">
      <t>ザンスウ</t>
    </rPh>
    <phoneticPr fontId="2"/>
  </si>
  <si>
    <t>ホワイトミント</t>
    <phoneticPr fontId="8"/>
  </si>
  <si>
    <t>ブラックミックス</t>
    <phoneticPr fontId="8"/>
  </si>
  <si>
    <t>美・キュート/スポーツブラ　（夢販在庫）</t>
    <rPh sb="0" eb="1">
      <t>ビ</t>
    </rPh>
    <rPh sb="15" eb="16">
      <t>ユメ</t>
    </rPh>
    <rPh sb="16" eb="17">
      <t>ハン</t>
    </rPh>
    <rPh sb="17" eb="19">
      <t>ザイコ</t>
    </rPh>
    <phoneticPr fontId="2"/>
  </si>
  <si>
    <t>美・キュート/スポーツブラ　（Ｋｐｏｒｔ在庫）</t>
    <rPh sb="0" eb="1">
      <t>ビ</t>
    </rPh>
    <rPh sb="20" eb="22">
      <t>ザイコ</t>
    </rPh>
    <phoneticPr fontId="2"/>
  </si>
  <si>
    <t>追加２ 2-1</t>
    <rPh sb="0" eb="2">
      <t>ツイカ</t>
    </rPh>
    <phoneticPr fontId="2"/>
  </si>
  <si>
    <t>追加３ 2-2</t>
    <rPh sb="0" eb="2">
      <t>ツイカ</t>
    </rPh>
    <phoneticPr fontId="2"/>
  </si>
  <si>
    <t>初回3/22、アバウト3/22、最終3/28</t>
    <rPh sb="0" eb="2">
      <t>ショカイ</t>
    </rPh>
    <rPh sb="16" eb="18">
      <t>サイシュウ</t>
    </rPh>
    <phoneticPr fontId="8"/>
  </si>
  <si>
    <t>日生協3月2号（2色組）</t>
    <rPh sb="0" eb="3">
      <t>ニッセイキョウ</t>
    </rPh>
    <rPh sb="4" eb="5">
      <t>ガツ</t>
    </rPh>
    <rPh sb="6" eb="7">
      <t>ゴウ</t>
    </rPh>
    <rPh sb="9" eb="11">
      <t>ショククミ</t>
    </rPh>
    <phoneticPr fontId="8"/>
  </si>
  <si>
    <t>点3/4、アバウト3/15、22、最終3/30</t>
    <rPh sb="0" eb="1">
      <t>テン</t>
    </rPh>
    <rPh sb="17" eb="19">
      <t>サイシュウ</t>
    </rPh>
    <phoneticPr fontId="8"/>
  </si>
  <si>
    <t>追加４ 2-3</t>
    <rPh sb="0" eb="2">
      <t>ツイカ</t>
    </rPh>
    <phoneticPr fontId="2"/>
  </si>
  <si>
    <t>コープきんき4月2回（単品）</t>
    <rPh sb="7" eb="8">
      <t>ガツ</t>
    </rPh>
    <rPh sb="9" eb="10">
      <t>カイ</t>
    </rPh>
    <rPh sb="11" eb="13">
      <t>タンピン</t>
    </rPh>
    <phoneticPr fontId="8"/>
  </si>
  <si>
    <t>JODメルシー0303</t>
    <phoneticPr fontId="8"/>
  </si>
  <si>
    <t>JOD封筒裏0303</t>
    <rPh sb="3" eb="5">
      <t>フウトウ</t>
    </rPh>
    <rPh sb="5" eb="6">
      <t>ウラ</t>
    </rPh>
    <phoneticPr fontId="8"/>
  </si>
  <si>
    <t>3/3～</t>
    <phoneticPr fontId="8"/>
  </si>
  <si>
    <t>過不足</t>
    <rPh sb="0" eb="3">
      <t>カブソク</t>
    </rPh>
    <phoneticPr fontId="2"/>
  </si>
  <si>
    <t>2/9（3/伝）</t>
    <rPh sb="6" eb="7">
      <t>デン</t>
    </rPh>
    <phoneticPr fontId="8"/>
  </si>
  <si>
    <t>点3/17、アバウト4/5、本4/6～16</t>
    <rPh sb="0" eb="1">
      <t>テン</t>
    </rPh>
    <rPh sb="14" eb="15">
      <t>ホン</t>
    </rPh>
    <phoneticPr fontId="8"/>
  </si>
  <si>
    <t>伝数</t>
    <rPh sb="0" eb="1">
      <t>デン</t>
    </rPh>
    <rPh sb="1" eb="2">
      <t>スウ</t>
    </rPh>
    <phoneticPr fontId="8"/>
  </si>
  <si>
    <t>2/9（2/伝）伝数</t>
    <rPh sb="6" eb="7">
      <t>デン</t>
    </rPh>
    <rPh sb="8" eb="9">
      <t>デン</t>
    </rPh>
    <rPh sb="9" eb="10">
      <t>スウ</t>
    </rPh>
    <phoneticPr fontId="8"/>
  </si>
  <si>
    <t>夢販</t>
    <rPh sb="0" eb="2">
      <t>ユメハン</t>
    </rPh>
    <phoneticPr fontId="8"/>
  </si>
  <si>
    <t>丸藤（九州）sample</t>
    <rPh sb="0" eb="2">
      <t>マルフジ</t>
    </rPh>
    <rPh sb="3" eb="5">
      <t>キュウシュウ</t>
    </rPh>
    <phoneticPr fontId="8"/>
  </si>
  <si>
    <t>日生協3月2号（2色組）東日本①</t>
    <rPh sb="0" eb="3">
      <t>ニッセイキョウ</t>
    </rPh>
    <rPh sb="4" eb="5">
      <t>ガツ</t>
    </rPh>
    <rPh sb="6" eb="7">
      <t>ゴウ</t>
    </rPh>
    <rPh sb="9" eb="11">
      <t>ショククミ</t>
    </rPh>
    <rPh sb="12" eb="15">
      <t>ヒガシニホン</t>
    </rPh>
    <phoneticPr fontId="8"/>
  </si>
  <si>
    <t>日生協3月2号（2色組）西日本①</t>
    <rPh sb="0" eb="3">
      <t>ニッセイキョウ</t>
    </rPh>
    <rPh sb="4" eb="5">
      <t>ガツ</t>
    </rPh>
    <rPh sb="6" eb="7">
      <t>ゴウ</t>
    </rPh>
    <rPh sb="9" eb="11">
      <t>ショククミ</t>
    </rPh>
    <rPh sb="12" eb="13">
      <t>ニシ</t>
    </rPh>
    <rPh sb="13" eb="15">
      <t>ニホン</t>
    </rPh>
    <phoneticPr fontId="8"/>
  </si>
  <si>
    <t>日生協3月2号（2色組）東日本②</t>
    <rPh sb="0" eb="3">
      <t>ニッセイキョウ</t>
    </rPh>
    <rPh sb="4" eb="5">
      <t>ガツ</t>
    </rPh>
    <rPh sb="6" eb="7">
      <t>ゴウ</t>
    </rPh>
    <rPh sb="9" eb="11">
      <t>ショククミ</t>
    </rPh>
    <rPh sb="12" eb="15">
      <t>ヒガシニホン</t>
    </rPh>
    <phoneticPr fontId="8"/>
  </si>
  <si>
    <t>JOD①</t>
    <phoneticPr fontId="8"/>
  </si>
  <si>
    <t>JOD②</t>
    <phoneticPr fontId="8"/>
  </si>
  <si>
    <t>ネット</t>
    <phoneticPr fontId="8"/>
  </si>
  <si>
    <t>JOD③</t>
    <phoneticPr fontId="8"/>
  </si>
  <si>
    <t>JODアクセス7084</t>
    <phoneticPr fontId="8"/>
  </si>
  <si>
    <t>4/25～</t>
    <phoneticPr fontId="8"/>
  </si>
  <si>
    <t>JOD④</t>
    <phoneticPr fontId="8"/>
  </si>
  <si>
    <t>JOD⑤</t>
    <phoneticPr fontId="8"/>
  </si>
  <si>
    <t>JOD⑥</t>
    <phoneticPr fontId="8"/>
  </si>
  <si>
    <t>JOD⑦</t>
    <phoneticPr fontId="8"/>
  </si>
  <si>
    <t>日生協3月2号（2色組）東日本③</t>
    <rPh sb="0" eb="3">
      <t>ニッセイキョウ</t>
    </rPh>
    <rPh sb="4" eb="5">
      <t>ガツ</t>
    </rPh>
    <rPh sb="6" eb="7">
      <t>ゴウ</t>
    </rPh>
    <rPh sb="9" eb="11">
      <t>ショククミ</t>
    </rPh>
    <rPh sb="12" eb="15">
      <t>ヒガシニホン</t>
    </rPh>
    <phoneticPr fontId="8"/>
  </si>
  <si>
    <t>JOD⑧</t>
    <phoneticPr fontId="8"/>
  </si>
  <si>
    <t>コープきんき4月2回（単品）①</t>
    <rPh sb="7" eb="8">
      <t>ガツ</t>
    </rPh>
    <rPh sb="9" eb="10">
      <t>カイ</t>
    </rPh>
    <rPh sb="11" eb="13">
      <t>タンピン</t>
    </rPh>
    <phoneticPr fontId="8"/>
  </si>
  <si>
    <t>JOD⑨</t>
    <phoneticPr fontId="8"/>
  </si>
  <si>
    <t>日生協3月2号（2色組）西日本②</t>
    <rPh sb="0" eb="3">
      <t>ニッセイキョウ</t>
    </rPh>
    <rPh sb="4" eb="5">
      <t>ガツ</t>
    </rPh>
    <rPh sb="6" eb="7">
      <t>ゴウ</t>
    </rPh>
    <rPh sb="9" eb="11">
      <t>ショククミ</t>
    </rPh>
    <rPh sb="12" eb="13">
      <t>ニシ</t>
    </rPh>
    <rPh sb="13" eb="15">
      <t>ニホン</t>
    </rPh>
    <phoneticPr fontId="8"/>
  </si>
  <si>
    <t>日生協3月2号（2色組）西日本③</t>
    <rPh sb="0" eb="3">
      <t>ニッセイキョウ</t>
    </rPh>
    <rPh sb="4" eb="5">
      <t>ガツ</t>
    </rPh>
    <rPh sb="6" eb="7">
      <t>ゴウ</t>
    </rPh>
    <rPh sb="9" eb="11">
      <t>ショククミ</t>
    </rPh>
    <rPh sb="12" eb="13">
      <t>ニシ</t>
    </rPh>
    <rPh sb="13" eb="15">
      <t>ニホン</t>
    </rPh>
    <phoneticPr fontId="8"/>
  </si>
  <si>
    <t>日生協3月2号（2色組）東日本④</t>
    <rPh sb="0" eb="3">
      <t>ニッセイキョウ</t>
    </rPh>
    <rPh sb="4" eb="5">
      <t>ガツ</t>
    </rPh>
    <rPh sb="6" eb="7">
      <t>ゴウ</t>
    </rPh>
    <rPh sb="9" eb="11">
      <t>ショククミ</t>
    </rPh>
    <rPh sb="12" eb="15">
      <t>ヒガシニホン</t>
    </rPh>
    <phoneticPr fontId="8"/>
  </si>
  <si>
    <t>JOD⑩</t>
    <phoneticPr fontId="8"/>
  </si>
  <si>
    <t>日生協3月2号（2色組）東日本⑤</t>
    <rPh sb="0" eb="3">
      <t>ニッセイキョウ</t>
    </rPh>
    <rPh sb="4" eb="5">
      <t>ガツ</t>
    </rPh>
    <rPh sb="6" eb="7">
      <t>ゴウ</t>
    </rPh>
    <rPh sb="9" eb="11">
      <t>ショククミ</t>
    </rPh>
    <rPh sb="12" eb="15">
      <t>ヒガシニホン</t>
    </rPh>
    <phoneticPr fontId="8"/>
  </si>
  <si>
    <t>日生協3月2号（2色組）東日本⑥</t>
    <rPh sb="0" eb="3">
      <t>ニッセイキョウ</t>
    </rPh>
    <rPh sb="4" eb="5">
      <t>ガツ</t>
    </rPh>
    <rPh sb="6" eb="7">
      <t>ゴウ</t>
    </rPh>
    <rPh sb="9" eb="11">
      <t>ショククミ</t>
    </rPh>
    <rPh sb="12" eb="15">
      <t>ヒガシニホン</t>
    </rPh>
    <phoneticPr fontId="8"/>
  </si>
  <si>
    <r>
      <t>くらしのおと3月5回</t>
    </r>
    <r>
      <rPr>
        <b/>
        <sz val="10"/>
        <rFont val="ＭＳ Ｐゴシック"/>
        <family val="3"/>
        <charset val="128"/>
      </rPr>
      <t>(デメリットシール)①</t>
    </r>
    <rPh sb="7" eb="8">
      <t>ガツ</t>
    </rPh>
    <rPh sb="9" eb="10">
      <t>カイ</t>
    </rPh>
    <phoneticPr fontId="8"/>
  </si>
  <si>
    <t>JOD⑪</t>
    <phoneticPr fontId="8"/>
  </si>
  <si>
    <t>日生協3月2号（2色組）東日本⑦</t>
    <rPh sb="0" eb="3">
      <t>ニッセイキョウ</t>
    </rPh>
    <rPh sb="4" eb="5">
      <t>ガツ</t>
    </rPh>
    <rPh sb="6" eb="7">
      <t>ゴウ</t>
    </rPh>
    <rPh sb="9" eb="11">
      <t>ショククミ</t>
    </rPh>
    <rPh sb="12" eb="15">
      <t>ヒガシニホン</t>
    </rPh>
    <phoneticPr fontId="8"/>
  </si>
  <si>
    <t>日生協3月2号（2色組）東日本⑧</t>
    <rPh sb="0" eb="3">
      <t>ニッセイキョウ</t>
    </rPh>
    <rPh sb="4" eb="5">
      <t>ガツ</t>
    </rPh>
    <rPh sb="6" eb="7">
      <t>ゴウ</t>
    </rPh>
    <rPh sb="9" eb="11">
      <t>ショククミ</t>
    </rPh>
    <rPh sb="12" eb="15">
      <t>ヒガシニホン</t>
    </rPh>
    <phoneticPr fontId="8"/>
  </si>
  <si>
    <t>JOD⑫</t>
    <phoneticPr fontId="8"/>
  </si>
  <si>
    <t>日生協3月2号（2色組）東日本⑨直送</t>
    <rPh sb="0" eb="3">
      <t>ニッセイキョウ</t>
    </rPh>
    <rPh sb="4" eb="5">
      <t>ガツ</t>
    </rPh>
    <rPh sb="6" eb="7">
      <t>ゴウ</t>
    </rPh>
    <rPh sb="9" eb="11">
      <t>ショククミ</t>
    </rPh>
    <rPh sb="12" eb="15">
      <t>ヒガシニホン</t>
    </rPh>
    <rPh sb="16" eb="18">
      <t>チョクソウ</t>
    </rPh>
    <phoneticPr fontId="8"/>
  </si>
  <si>
    <t>夢販</t>
    <rPh sb="0" eb="2">
      <t>ユメハン</t>
    </rPh>
    <phoneticPr fontId="8"/>
  </si>
  <si>
    <t>日生協3月2号（2色組）東日本⑩直送</t>
    <rPh sb="0" eb="3">
      <t>ニッセイキョウ</t>
    </rPh>
    <rPh sb="4" eb="5">
      <t>ガツ</t>
    </rPh>
    <rPh sb="6" eb="7">
      <t>ゴウ</t>
    </rPh>
    <rPh sb="9" eb="11">
      <t>ショククミ</t>
    </rPh>
    <rPh sb="12" eb="15">
      <t>ヒガシニホン</t>
    </rPh>
    <rPh sb="16" eb="18">
      <t>チョクソウ</t>
    </rPh>
    <phoneticPr fontId="8"/>
  </si>
  <si>
    <r>
      <t>くらしのおと3月5回</t>
    </r>
    <r>
      <rPr>
        <b/>
        <sz val="10"/>
        <rFont val="ＭＳ Ｐゴシック"/>
        <family val="3"/>
        <charset val="128"/>
      </rPr>
      <t>(デメリットシール)</t>
    </r>
    <rPh sb="7" eb="8">
      <t>ガツ</t>
    </rPh>
    <rPh sb="9" eb="10">
      <t>カイ</t>
    </rPh>
    <phoneticPr fontId="8"/>
  </si>
  <si>
    <r>
      <t>くらしのおと3月5回</t>
    </r>
    <r>
      <rPr>
        <b/>
        <sz val="10"/>
        <rFont val="ＭＳ Ｐゴシック"/>
        <family val="3"/>
        <charset val="128"/>
      </rPr>
      <t>(デメリットシール)②</t>
    </r>
    <rPh sb="7" eb="8">
      <t>ガツ</t>
    </rPh>
    <rPh sb="9" eb="10">
      <t>カイ</t>
    </rPh>
    <phoneticPr fontId="8"/>
  </si>
  <si>
    <t>JOD⑬</t>
    <phoneticPr fontId="8"/>
  </si>
  <si>
    <t>JOD⑭</t>
    <phoneticPr fontId="8"/>
  </si>
  <si>
    <t>電話注文</t>
    <rPh sb="0" eb="4">
      <t>デンワチュウモン</t>
    </rPh>
    <phoneticPr fontId="8"/>
  </si>
  <si>
    <t>JOD⑮</t>
    <phoneticPr fontId="8"/>
  </si>
  <si>
    <t>JOD⑯</t>
    <phoneticPr fontId="8"/>
  </si>
  <si>
    <t>コープきんき4月2回（単品）②</t>
    <rPh sb="7" eb="8">
      <t>ガツ</t>
    </rPh>
    <rPh sb="9" eb="10">
      <t>カイ</t>
    </rPh>
    <rPh sb="11" eb="13">
      <t>タンピン</t>
    </rPh>
    <phoneticPr fontId="8"/>
  </si>
  <si>
    <t>JOD⑰</t>
    <phoneticPr fontId="8"/>
  </si>
  <si>
    <t>コープきんき4月2回（単品）③</t>
    <rPh sb="7" eb="8">
      <t>ガツ</t>
    </rPh>
    <rPh sb="9" eb="10">
      <t>カイ</t>
    </rPh>
    <rPh sb="11" eb="13">
      <t>タンピン</t>
    </rPh>
    <phoneticPr fontId="8"/>
  </si>
  <si>
    <t>コープきんき4月2回（単品）④直送</t>
    <rPh sb="7" eb="8">
      <t>ガツ</t>
    </rPh>
    <rPh sb="9" eb="10">
      <t>カイ</t>
    </rPh>
    <rPh sb="11" eb="13">
      <t>タンピン</t>
    </rPh>
    <rPh sb="15" eb="17">
      <t>チョクソウ</t>
    </rPh>
    <phoneticPr fontId="8"/>
  </si>
  <si>
    <t>コープきんき4月2回（単品）⑤直送</t>
    <rPh sb="7" eb="8">
      <t>ガツ</t>
    </rPh>
    <rPh sb="9" eb="10">
      <t>カイ</t>
    </rPh>
    <rPh sb="11" eb="13">
      <t>タンピン</t>
    </rPh>
    <rPh sb="15" eb="17">
      <t>チョクソウ</t>
    </rPh>
    <phoneticPr fontId="8"/>
  </si>
  <si>
    <t>ネット</t>
    <phoneticPr fontId="8"/>
  </si>
  <si>
    <t>JOD⑱</t>
    <phoneticPr fontId="8"/>
  </si>
  <si>
    <t>JOD⑲</t>
    <phoneticPr fontId="8"/>
  </si>
  <si>
    <t>JOD⑳</t>
    <phoneticPr fontId="8"/>
  </si>
  <si>
    <t>JOD㉑</t>
    <phoneticPr fontId="8"/>
  </si>
  <si>
    <t>JOD返品</t>
    <rPh sb="3" eb="5">
      <t>ヘンピン</t>
    </rPh>
    <phoneticPr fontId="2"/>
  </si>
  <si>
    <t>JOD㉒(西濃）</t>
    <rPh sb="5" eb="7">
      <t>セイノウ</t>
    </rPh>
    <phoneticPr fontId="8"/>
  </si>
  <si>
    <t>JOD㉒</t>
    <phoneticPr fontId="8"/>
  </si>
  <si>
    <t>JOD㉓</t>
    <phoneticPr fontId="8"/>
  </si>
  <si>
    <t>くらし返品</t>
    <rPh sb="3" eb="5">
      <t>ヘンピン</t>
    </rPh>
    <phoneticPr fontId="2"/>
  </si>
  <si>
    <t>JOD㉔</t>
    <phoneticPr fontId="8"/>
  </si>
  <si>
    <t>JOD㉕</t>
    <phoneticPr fontId="8"/>
  </si>
  <si>
    <t>JOD㉖</t>
    <phoneticPr fontId="8"/>
  </si>
  <si>
    <t>夢販</t>
    <rPh sb="0" eb="2">
      <t>ユメハン</t>
    </rPh>
    <phoneticPr fontId="8"/>
  </si>
  <si>
    <t>JOD㉗</t>
    <phoneticPr fontId="8"/>
  </si>
  <si>
    <t>JOD㉘</t>
    <phoneticPr fontId="8"/>
  </si>
  <si>
    <t>JOD㉙</t>
    <phoneticPr fontId="8"/>
  </si>
  <si>
    <t>くらし企画返品</t>
    <rPh sb="3" eb="7">
      <t>キカクヘンピン</t>
    </rPh>
    <phoneticPr fontId="2"/>
  </si>
  <si>
    <t>K-PORT</t>
    <phoneticPr fontId="8"/>
  </si>
  <si>
    <t>JOD㉚</t>
    <phoneticPr fontId="8"/>
  </si>
  <si>
    <t>JOD㉛</t>
    <phoneticPr fontId="8"/>
  </si>
  <si>
    <t>JOD㉜</t>
    <phoneticPr fontId="8"/>
  </si>
  <si>
    <t>JOD㉝</t>
    <phoneticPr fontId="8"/>
  </si>
  <si>
    <t>JOD㉞</t>
    <phoneticPr fontId="8"/>
  </si>
  <si>
    <t>JOD㉟</t>
    <phoneticPr fontId="8"/>
  </si>
  <si>
    <t>パルシステム１０月１回　差分予測</t>
    <rPh sb="8" eb="9">
      <t>ガツ</t>
    </rPh>
    <rPh sb="10" eb="11">
      <t>カイ</t>
    </rPh>
    <rPh sb="12" eb="16">
      <t>サブンヨソク</t>
    </rPh>
    <phoneticPr fontId="8"/>
  </si>
  <si>
    <t>追加３  2-1</t>
    <rPh sb="0" eb="2">
      <t>ツイカ</t>
    </rPh>
    <phoneticPr fontId="2"/>
  </si>
  <si>
    <t>アバウト・初回9/27、最終10/3</t>
    <rPh sb="5" eb="7">
      <t>ショカイ</t>
    </rPh>
    <rPh sb="12" eb="14">
      <t>サイシュウ</t>
    </rPh>
    <phoneticPr fontId="8"/>
  </si>
  <si>
    <t>JOD㊱</t>
    <phoneticPr fontId="8"/>
  </si>
  <si>
    <t>千趣会①</t>
    <rPh sb="0" eb="3">
      <t>センシュカイ</t>
    </rPh>
    <phoneticPr fontId="8"/>
  </si>
  <si>
    <t>千趣会②</t>
    <rPh sb="0" eb="3">
      <t>センシュカイ</t>
    </rPh>
    <phoneticPr fontId="8"/>
  </si>
  <si>
    <t>JOD㊲</t>
    <phoneticPr fontId="8"/>
  </si>
  <si>
    <t>千趣会③</t>
    <rPh sb="0" eb="3">
      <t>センシュカイ</t>
    </rPh>
    <phoneticPr fontId="8"/>
  </si>
  <si>
    <t>千趣会④</t>
    <rPh sb="0" eb="3">
      <t>センシュカイ</t>
    </rPh>
    <phoneticPr fontId="8"/>
  </si>
  <si>
    <t>JOD㊳</t>
    <phoneticPr fontId="8"/>
  </si>
  <si>
    <t>JODメルシー0912/2色組</t>
    <rPh sb="13" eb="15">
      <t>ショククミ</t>
    </rPh>
    <phoneticPr fontId="8"/>
  </si>
  <si>
    <t>9/12～</t>
    <phoneticPr fontId="8"/>
  </si>
  <si>
    <t>9/3ship</t>
    <phoneticPr fontId="8"/>
  </si>
  <si>
    <t>棚卸</t>
    <rPh sb="0" eb="2">
      <t>タナオロシ</t>
    </rPh>
    <phoneticPr fontId="2"/>
  </si>
  <si>
    <t>M</t>
    <phoneticPr fontId="8"/>
  </si>
  <si>
    <t>L</t>
    <phoneticPr fontId="8"/>
  </si>
  <si>
    <t>LL</t>
    <phoneticPr fontId="8"/>
  </si>
  <si>
    <t>くらしの音3月実績</t>
    <rPh sb="4" eb="5">
      <t>オト</t>
    </rPh>
    <rPh sb="6" eb="7">
      <t>ガツ</t>
    </rPh>
    <rPh sb="7" eb="9">
      <t>ジッセキ</t>
    </rPh>
    <phoneticPr fontId="8"/>
  </si>
  <si>
    <t>丸藤（九州）sample返却</t>
    <rPh sb="0" eb="2">
      <t>マルフジ</t>
    </rPh>
    <rPh sb="3" eb="5">
      <t>キュウシュウ</t>
    </rPh>
    <rPh sb="12" eb="14">
      <t>ヘンキャク</t>
    </rPh>
    <phoneticPr fontId="8"/>
  </si>
  <si>
    <t>KPORT</t>
    <phoneticPr fontId="8"/>
  </si>
  <si>
    <t>JOD㊴</t>
    <phoneticPr fontId="8"/>
  </si>
  <si>
    <r>
      <t>パルシステム１０月１回</t>
    </r>
    <r>
      <rPr>
        <b/>
        <sz val="11"/>
        <rFont val="ＭＳ Ｐゴシック"/>
        <family val="3"/>
        <charset val="128"/>
      </rPr>
      <t>２色組（デメリット表記）①</t>
    </r>
    <rPh sb="8" eb="9">
      <t>ガツ</t>
    </rPh>
    <rPh sb="10" eb="11">
      <t>カイ</t>
    </rPh>
    <rPh sb="12" eb="13">
      <t>ショク</t>
    </rPh>
    <rPh sb="13" eb="14">
      <t>グミ</t>
    </rPh>
    <rPh sb="20" eb="22">
      <t>ヒョウキ</t>
    </rPh>
    <phoneticPr fontId="8"/>
  </si>
  <si>
    <t>JODアクセス7089/2色組</t>
    <rPh sb="13" eb="15">
      <t>ショククミ</t>
    </rPh>
    <phoneticPr fontId="8"/>
  </si>
  <si>
    <t>11/15～</t>
    <phoneticPr fontId="8"/>
  </si>
  <si>
    <t>JOD㊵</t>
    <phoneticPr fontId="8"/>
  </si>
  <si>
    <t>点12/30、前取1/6、アバウト1/17、最終1/25</t>
    <rPh sb="0" eb="1">
      <t>テン</t>
    </rPh>
    <rPh sb="7" eb="8">
      <t>マエ</t>
    </rPh>
    <rPh sb="8" eb="9">
      <t>ト</t>
    </rPh>
    <rPh sb="22" eb="24">
      <t>サイシュウ</t>
    </rPh>
    <phoneticPr fontId="8"/>
  </si>
  <si>
    <t>JOD㊶</t>
    <phoneticPr fontId="8"/>
  </si>
  <si>
    <t>JOD㊷</t>
    <phoneticPr fontId="8"/>
  </si>
  <si>
    <t>JOD㊸</t>
    <phoneticPr fontId="8"/>
  </si>
  <si>
    <t>2022/9/14伝</t>
    <rPh sb="9" eb="10">
      <t>デン</t>
    </rPh>
    <phoneticPr fontId="8"/>
  </si>
  <si>
    <t>JOD㊹</t>
    <phoneticPr fontId="8"/>
  </si>
  <si>
    <t>JOD㊺</t>
    <phoneticPr fontId="8"/>
  </si>
  <si>
    <r>
      <t>パルシステム１０月１回</t>
    </r>
    <r>
      <rPr>
        <b/>
        <sz val="11"/>
        <rFont val="ＭＳ Ｐゴシック"/>
        <family val="3"/>
        <charset val="128"/>
      </rPr>
      <t>２色組（デメリット表記）②</t>
    </r>
    <rPh sb="8" eb="9">
      <t>ガツ</t>
    </rPh>
    <rPh sb="10" eb="11">
      <t>カイ</t>
    </rPh>
    <rPh sb="12" eb="13">
      <t>ショク</t>
    </rPh>
    <rPh sb="13" eb="14">
      <t>グミ</t>
    </rPh>
    <rPh sb="20" eb="22">
      <t>ヒョウキ</t>
    </rPh>
    <phoneticPr fontId="8"/>
  </si>
  <si>
    <t>JOD㊻</t>
    <phoneticPr fontId="8"/>
  </si>
  <si>
    <r>
      <t>パルシステム１０月１回</t>
    </r>
    <r>
      <rPr>
        <b/>
        <sz val="11"/>
        <rFont val="ＭＳ Ｐゴシック"/>
        <family val="3"/>
        <charset val="128"/>
      </rPr>
      <t>２色組（デメリット表記）③</t>
    </r>
    <rPh sb="8" eb="9">
      <t>ガツ</t>
    </rPh>
    <rPh sb="10" eb="11">
      <t>カイ</t>
    </rPh>
    <rPh sb="12" eb="13">
      <t>ショク</t>
    </rPh>
    <rPh sb="13" eb="14">
      <t>グミ</t>
    </rPh>
    <rPh sb="20" eb="22">
      <t>ヒョウキ</t>
    </rPh>
    <phoneticPr fontId="8"/>
  </si>
  <si>
    <r>
      <t>パルシステム１０月１回</t>
    </r>
    <r>
      <rPr>
        <b/>
        <sz val="11"/>
        <rFont val="ＭＳ Ｐゴシック"/>
        <family val="3"/>
        <charset val="128"/>
      </rPr>
      <t>２色組（デメリット表記）</t>
    </r>
    <rPh sb="8" eb="9">
      <t>ガツ</t>
    </rPh>
    <rPh sb="10" eb="11">
      <t>カイ</t>
    </rPh>
    <rPh sb="12" eb="13">
      <t>ショク</t>
    </rPh>
    <rPh sb="13" eb="14">
      <t>グミ</t>
    </rPh>
    <rPh sb="20" eb="22">
      <t>ヒョウキ</t>
    </rPh>
    <phoneticPr fontId="8"/>
  </si>
  <si>
    <t>夢販</t>
    <rPh sb="0" eb="2">
      <t>ユメハン</t>
    </rPh>
    <phoneticPr fontId="8"/>
  </si>
  <si>
    <t>JOD㊼</t>
    <phoneticPr fontId="8"/>
  </si>
  <si>
    <r>
      <t>パルシステム１０月１回</t>
    </r>
    <r>
      <rPr>
        <b/>
        <sz val="11"/>
        <rFont val="ＭＳ Ｐゴシック"/>
        <family val="3"/>
        <charset val="128"/>
      </rPr>
      <t>２色組（デメリット表記）④</t>
    </r>
    <rPh sb="8" eb="9">
      <t>ガツ</t>
    </rPh>
    <rPh sb="10" eb="11">
      <t>カイ</t>
    </rPh>
    <rPh sb="12" eb="13">
      <t>ショク</t>
    </rPh>
    <rPh sb="13" eb="14">
      <t>グミ</t>
    </rPh>
    <rPh sb="20" eb="22">
      <t>ヒョウキ</t>
    </rPh>
    <phoneticPr fontId="8"/>
  </si>
  <si>
    <t>JOD㊽</t>
    <phoneticPr fontId="8"/>
  </si>
  <si>
    <r>
      <t>パルシステム１０月１回</t>
    </r>
    <r>
      <rPr>
        <b/>
        <sz val="11"/>
        <rFont val="ＭＳ Ｐゴシック"/>
        <family val="3"/>
        <charset val="128"/>
      </rPr>
      <t>２色組（デメリット表記）⑤直送</t>
    </r>
    <rPh sb="8" eb="9">
      <t>ガツ</t>
    </rPh>
    <rPh sb="10" eb="11">
      <t>カイ</t>
    </rPh>
    <rPh sb="12" eb="13">
      <t>ショク</t>
    </rPh>
    <rPh sb="13" eb="14">
      <t>グミ</t>
    </rPh>
    <rPh sb="20" eb="22">
      <t>ヒョウキ</t>
    </rPh>
    <rPh sb="24" eb="26">
      <t>チョクソウ</t>
    </rPh>
    <phoneticPr fontId="8"/>
  </si>
  <si>
    <t>追加３　2-1</t>
    <rPh sb="0" eb="2">
      <t>ツイカ</t>
    </rPh>
    <phoneticPr fontId="2"/>
  </si>
  <si>
    <t>追加３　2-2</t>
    <rPh sb="0" eb="2">
      <t>ツイカ</t>
    </rPh>
    <phoneticPr fontId="2"/>
  </si>
  <si>
    <t>JOD㊾</t>
    <phoneticPr fontId="8"/>
  </si>
  <si>
    <t>JOD㊿</t>
    <phoneticPr fontId="8"/>
  </si>
  <si>
    <t>JOD51</t>
    <phoneticPr fontId="8"/>
  </si>
  <si>
    <t>JOD52</t>
  </si>
  <si>
    <t>JOD53</t>
    <phoneticPr fontId="8"/>
  </si>
  <si>
    <t>JOD54</t>
    <phoneticPr fontId="8"/>
  </si>
  <si>
    <t>JOD55</t>
    <phoneticPr fontId="8"/>
  </si>
  <si>
    <t>JOD56</t>
    <phoneticPr fontId="8"/>
  </si>
  <si>
    <t>JOD57</t>
    <phoneticPr fontId="8"/>
  </si>
  <si>
    <t>JOD58</t>
  </si>
  <si>
    <t>くらし企画（棚橋さん）sample</t>
    <rPh sb="6" eb="8">
      <t>タナハシ</t>
    </rPh>
    <phoneticPr fontId="2"/>
  </si>
  <si>
    <t>JOD59</t>
    <phoneticPr fontId="8"/>
  </si>
  <si>
    <t>くらし企画（西山さん）</t>
    <rPh sb="6" eb="8">
      <t>ニシヤマ</t>
    </rPh>
    <phoneticPr fontId="2"/>
  </si>
  <si>
    <r>
      <t>日生協キャロット45号</t>
    </r>
    <r>
      <rPr>
        <b/>
        <sz val="11"/>
        <rFont val="ＭＳ Ｐゴシック"/>
        <family val="3"/>
        <charset val="128"/>
      </rPr>
      <t>単品①</t>
    </r>
    <rPh sb="0" eb="3">
      <t>ニッセイキョウ</t>
    </rPh>
    <rPh sb="10" eb="11">
      <t>ゴウ</t>
    </rPh>
    <rPh sb="11" eb="13">
      <t>タンピン</t>
    </rPh>
    <phoneticPr fontId="8"/>
  </si>
  <si>
    <t>アバウト4/18、初4/18、最終4/24</t>
    <rPh sb="9" eb="10">
      <t>ショ</t>
    </rPh>
    <rPh sb="15" eb="17">
      <t>サイシュウ</t>
    </rPh>
    <phoneticPr fontId="8"/>
  </si>
  <si>
    <t>パルシステム（きなり）4月4回差分予測</t>
    <rPh sb="15" eb="19">
      <t>サブンヨソク</t>
    </rPh>
    <phoneticPr fontId="8"/>
  </si>
  <si>
    <t>JOD</t>
    <phoneticPr fontId="8"/>
  </si>
  <si>
    <t>2022/1/7数伝</t>
    <rPh sb="8" eb="9">
      <t>スウ</t>
    </rPh>
    <rPh sb="9" eb="10">
      <t>デン</t>
    </rPh>
    <phoneticPr fontId="8"/>
  </si>
  <si>
    <t>追加3 2-2</t>
    <rPh sb="0" eb="2">
      <t>ツイカ</t>
    </rPh>
    <phoneticPr fontId="2"/>
  </si>
  <si>
    <r>
      <t>日生協キャロット45号</t>
    </r>
    <r>
      <rPr>
        <b/>
        <sz val="11"/>
        <rFont val="ＭＳ Ｐゴシック"/>
        <family val="3"/>
        <charset val="128"/>
      </rPr>
      <t>単品②</t>
    </r>
    <rPh sb="0" eb="3">
      <t>ニッセイキョウ</t>
    </rPh>
    <rPh sb="10" eb="11">
      <t>ゴウ</t>
    </rPh>
    <rPh sb="11" eb="13">
      <t>タンピン</t>
    </rPh>
    <phoneticPr fontId="8"/>
  </si>
  <si>
    <t>パルシステム（くらしのおと）5月1回（デメリット表記）</t>
    <rPh sb="15" eb="16">
      <t>ガツ</t>
    </rPh>
    <rPh sb="17" eb="18">
      <t>カイ</t>
    </rPh>
    <phoneticPr fontId="8"/>
  </si>
  <si>
    <t>パルシステム（くらしのおと）5月1回差分予測</t>
    <rPh sb="18" eb="22">
      <t>サブンヨソク</t>
    </rPh>
    <phoneticPr fontId="8"/>
  </si>
  <si>
    <t>初回・アバウト4/25、最終5/3</t>
    <rPh sb="0" eb="2">
      <t>ショカイ</t>
    </rPh>
    <rPh sb="12" eb="14">
      <t>サイシュウ</t>
    </rPh>
    <phoneticPr fontId="8"/>
  </si>
  <si>
    <t>くらしの音10月1回実績</t>
    <rPh sb="4" eb="5">
      <t>オト</t>
    </rPh>
    <rPh sb="7" eb="8">
      <t>ガツ</t>
    </rPh>
    <rPh sb="9" eb="10">
      <t>カイ</t>
    </rPh>
    <rPh sb="10" eb="12">
      <t>ジッセキ</t>
    </rPh>
    <phoneticPr fontId="8"/>
  </si>
  <si>
    <r>
      <t>日生協キャロット45号</t>
    </r>
    <r>
      <rPr>
        <b/>
        <sz val="11"/>
        <rFont val="ＭＳ Ｐゴシック"/>
        <family val="3"/>
        <charset val="128"/>
      </rPr>
      <t>単品③</t>
    </r>
    <rPh sb="0" eb="3">
      <t>ニッセイキョウ</t>
    </rPh>
    <rPh sb="10" eb="11">
      <t>ゴウ</t>
    </rPh>
    <rPh sb="11" eb="13">
      <t>タンピン</t>
    </rPh>
    <phoneticPr fontId="8"/>
  </si>
  <si>
    <t>電話注文</t>
    <rPh sb="0" eb="4">
      <t>デンワチュウモン</t>
    </rPh>
    <phoneticPr fontId="8"/>
  </si>
  <si>
    <r>
      <t>日生協キャロット45号</t>
    </r>
    <r>
      <rPr>
        <b/>
        <sz val="11"/>
        <rFont val="ＭＳ Ｐゴシック"/>
        <family val="3"/>
        <charset val="128"/>
      </rPr>
      <t>単品差分予測</t>
    </r>
    <rPh sb="0" eb="3">
      <t>ニッセイキョウ</t>
    </rPh>
    <rPh sb="10" eb="11">
      <t>ゴウ</t>
    </rPh>
    <rPh sb="11" eb="13">
      <t>タンピン</t>
    </rPh>
    <rPh sb="13" eb="17">
      <t>サブンヨソク</t>
    </rPh>
    <phoneticPr fontId="8"/>
  </si>
  <si>
    <r>
      <t>日生協キャロット45号</t>
    </r>
    <r>
      <rPr>
        <b/>
        <sz val="11"/>
        <rFont val="ＭＳ Ｐゴシック"/>
        <family val="3"/>
        <charset val="128"/>
      </rPr>
      <t>単品</t>
    </r>
    <rPh sb="0" eb="3">
      <t>ニッセイキョウ</t>
    </rPh>
    <rPh sb="10" eb="11">
      <t>ゴウ</t>
    </rPh>
    <rPh sb="11" eb="13">
      <t>タンピン</t>
    </rPh>
    <phoneticPr fontId="8"/>
  </si>
  <si>
    <t>JOD特別版0326/2色組</t>
    <rPh sb="3" eb="6">
      <t>トクベツバン</t>
    </rPh>
    <rPh sb="12" eb="14">
      <t>ショククミ</t>
    </rPh>
    <phoneticPr fontId="8"/>
  </si>
  <si>
    <t>3/25～</t>
    <phoneticPr fontId="8"/>
  </si>
  <si>
    <t>JODメルシー0406/2色組</t>
    <rPh sb="13" eb="15">
      <t>ショククミ</t>
    </rPh>
    <phoneticPr fontId="8"/>
  </si>
  <si>
    <t>4/6～</t>
    <phoneticPr fontId="8"/>
  </si>
  <si>
    <t>JOD特別号9565/2色組</t>
    <rPh sb="3" eb="5">
      <t>トクベツ</t>
    </rPh>
    <rPh sb="5" eb="6">
      <t>ゴウ</t>
    </rPh>
    <rPh sb="12" eb="14">
      <t>ショククミ</t>
    </rPh>
    <phoneticPr fontId="8"/>
  </si>
  <si>
    <t>4/20～</t>
    <phoneticPr fontId="8"/>
  </si>
  <si>
    <t>K-PORT</t>
    <phoneticPr fontId="8"/>
  </si>
  <si>
    <t>JODダイエット7422/2色組</t>
    <rPh sb="14" eb="16">
      <t>ショククミ</t>
    </rPh>
    <phoneticPr fontId="8"/>
  </si>
  <si>
    <r>
      <t>パルシステム（きなり）4月4回</t>
    </r>
    <r>
      <rPr>
        <b/>
        <sz val="11"/>
        <rFont val="ＭＳ Ｐゴシック"/>
        <family val="3"/>
        <charset val="128"/>
      </rPr>
      <t>（デメリット表記）①</t>
    </r>
    <rPh sb="12" eb="13">
      <t>ガツ</t>
    </rPh>
    <rPh sb="14" eb="15">
      <t>カイ</t>
    </rPh>
    <phoneticPr fontId="8"/>
  </si>
  <si>
    <t>2023/4/3数伝</t>
    <rPh sb="8" eb="9">
      <t>スウ</t>
    </rPh>
    <rPh sb="9" eb="10">
      <t>デン</t>
    </rPh>
    <phoneticPr fontId="8"/>
  </si>
  <si>
    <t>サクラマチsample</t>
    <phoneticPr fontId="8"/>
  </si>
  <si>
    <t>西夢</t>
    <rPh sb="0" eb="2">
      <t>ニシユメ</t>
    </rPh>
    <phoneticPr fontId="8"/>
  </si>
  <si>
    <t>西夢</t>
    <rPh sb="0" eb="2">
      <t>ニシユメ</t>
    </rPh>
    <phoneticPr fontId="8"/>
  </si>
  <si>
    <r>
      <t>パルシステム（きなり）4月4回</t>
    </r>
    <r>
      <rPr>
        <b/>
        <sz val="11"/>
        <rFont val="ＭＳ Ｐゴシック"/>
        <family val="3"/>
        <charset val="128"/>
      </rPr>
      <t>（デメリット表記）②</t>
    </r>
    <rPh sb="12" eb="13">
      <t>ガツ</t>
    </rPh>
    <rPh sb="14" eb="15">
      <t>カイ</t>
    </rPh>
    <phoneticPr fontId="8"/>
  </si>
  <si>
    <r>
      <t>パルシステム（きなり）4月4回</t>
    </r>
    <r>
      <rPr>
        <b/>
        <sz val="11"/>
        <rFont val="ＭＳ Ｐゴシック"/>
        <family val="3"/>
        <charset val="128"/>
      </rPr>
      <t>（デメリット表記）③</t>
    </r>
    <rPh sb="12" eb="13">
      <t>ガツ</t>
    </rPh>
    <rPh sb="14" eb="15">
      <t>カイ</t>
    </rPh>
    <phoneticPr fontId="8"/>
  </si>
  <si>
    <r>
      <t>パルシステム（きなり）4月4回</t>
    </r>
    <r>
      <rPr>
        <b/>
        <sz val="11"/>
        <rFont val="ＭＳ Ｐゴシック"/>
        <family val="3"/>
        <charset val="128"/>
      </rPr>
      <t>（デメリット表記）</t>
    </r>
    <rPh sb="12" eb="13">
      <t>ガツ</t>
    </rPh>
    <rPh sb="14" eb="15">
      <t>カイ</t>
    </rPh>
    <phoneticPr fontId="8"/>
  </si>
  <si>
    <t>パルシステム（くらしのおと）5月1回（デメリット表記）①</t>
    <rPh sb="15" eb="16">
      <t>ガツ</t>
    </rPh>
    <rPh sb="17" eb="18">
      <t>カイ</t>
    </rPh>
    <phoneticPr fontId="8"/>
  </si>
  <si>
    <r>
      <t>パルシステム（きなり）4月4回</t>
    </r>
    <r>
      <rPr>
        <b/>
        <sz val="11"/>
        <rFont val="ＭＳ Ｐゴシック"/>
        <family val="3"/>
        <charset val="128"/>
      </rPr>
      <t>（デメリット表記）④</t>
    </r>
    <rPh sb="12" eb="13">
      <t>ガツ</t>
    </rPh>
    <rPh sb="14" eb="15">
      <t>カイ</t>
    </rPh>
    <phoneticPr fontId="8"/>
  </si>
  <si>
    <t>ネット</t>
    <phoneticPr fontId="8"/>
  </si>
  <si>
    <t>パルシステム（くらしのおと）5月1回（デメリット表記）②</t>
    <rPh sb="15" eb="16">
      <t>ガツ</t>
    </rPh>
    <rPh sb="17" eb="18">
      <t>カイ</t>
    </rPh>
    <phoneticPr fontId="8"/>
  </si>
  <si>
    <t>西夢</t>
    <rPh sb="0" eb="2">
      <t>ニシユメ</t>
    </rPh>
    <phoneticPr fontId="8"/>
  </si>
  <si>
    <t>パルシステム直送</t>
    <rPh sb="6" eb="8">
      <t>チョクソウ</t>
    </rPh>
    <phoneticPr fontId="8"/>
  </si>
  <si>
    <t>JOD特別号9572/2色組</t>
    <rPh sb="3" eb="6">
      <t>トクベツゴウ</t>
    </rPh>
    <rPh sb="12" eb="14">
      <t>ショククミ</t>
    </rPh>
    <phoneticPr fontId="8"/>
  </si>
  <si>
    <t>6/21～</t>
    <phoneticPr fontId="8"/>
  </si>
  <si>
    <t>JOD</t>
    <phoneticPr fontId="8"/>
  </si>
  <si>
    <t>西夢</t>
    <rPh sb="0" eb="2">
      <t>ニシユメ</t>
    </rPh>
    <phoneticPr fontId="8"/>
  </si>
  <si>
    <t>点9/14、アバウト9/26、本9/28～10/2</t>
    <rPh sb="0" eb="1">
      <t>テン</t>
    </rPh>
    <rPh sb="15" eb="16">
      <t>ホン</t>
    </rPh>
    <phoneticPr fontId="8"/>
  </si>
  <si>
    <t>パルシステム10月1回（くらしのおと）差分予測</t>
    <rPh sb="8" eb="9">
      <t>ガツ</t>
    </rPh>
    <rPh sb="10" eb="11">
      <t>カイ</t>
    </rPh>
    <rPh sb="19" eb="23">
      <t>サブンヨソク</t>
    </rPh>
    <phoneticPr fontId="8"/>
  </si>
  <si>
    <t>くらしの音10月1回\1980実績</t>
    <rPh sb="4" eb="5">
      <t>オト</t>
    </rPh>
    <rPh sb="7" eb="8">
      <t>ガツ</t>
    </rPh>
    <rPh sb="9" eb="10">
      <t>カイ</t>
    </rPh>
    <rPh sb="15" eb="17">
      <t>ジッセキ</t>
    </rPh>
    <phoneticPr fontId="8"/>
  </si>
  <si>
    <t>美・キュート/スポーツブラ 　@420 （Ｋｐｏｒｔ在庫）</t>
    <rPh sb="0" eb="1">
      <t>ビ</t>
    </rPh>
    <rPh sb="26" eb="28">
      <t>ザイコ</t>
    </rPh>
    <phoneticPr fontId="2"/>
  </si>
  <si>
    <t>美・キュート/スポーツブラ@420　（夢販在庫）</t>
    <rPh sb="0" eb="1">
      <t>ビ</t>
    </rPh>
    <rPh sb="19" eb="20">
      <t>ユメ</t>
    </rPh>
    <rPh sb="20" eb="21">
      <t>ハン</t>
    </rPh>
    <rPh sb="21" eb="23">
      <t>ザイコ</t>
    </rPh>
    <phoneticPr fontId="2"/>
  </si>
  <si>
    <t>8/26ship</t>
    <phoneticPr fontId="8"/>
  </si>
  <si>
    <t>ネット</t>
    <phoneticPr fontId="8"/>
  </si>
  <si>
    <t>在庫確認</t>
    <rPh sb="0" eb="4">
      <t>ザイコカクニン</t>
    </rPh>
    <phoneticPr fontId="2"/>
  </si>
  <si>
    <t>2023/9/6数伝</t>
    <rPh sb="8" eb="10">
      <t>スウデン</t>
    </rPh>
    <phoneticPr fontId="8"/>
  </si>
  <si>
    <t>日生協2024年1月単品差分予測</t>
    <rPh sb="0" eb="3">
      <t>ニッセイキョウ</t>
    </rPh>
    <rPh sb="7" eb="8">
      <t>ネン</t>
    </rPh>
    <rPh sb="9" eb="10">
      <t>ガツ</t>
    </rPh>
    <rPh sb="10" eb="12">
      <t>タンピン</t>
    </rPh>
    <rPh sb="12" eb="16">
      <t>サブンヨソク</t>
    </rPh>
    <phoneticPr fontId="8"/>
  </si>
  <si>
    <t>西夢</t>
    <rPh sb="0" eb="1">
      <t>ニシ</t>
    </rPh>
    <rPh sb="1" eb="2">
      <t>ユメ</t>
    </rPh>
    <phoneticPr fontId="8"/>
  </si>
  <si>
    <r>
      <t>パルシステム10月1回（くらしのおと）2色組</t>
    </r>
    <r>
      <rPr>
        <b/>
        <sz val="10"/>
        <rFont val="ＭＳ Ｐゴシック"/>
        <family val="3"/>
        <charset val="128"/>
      </rPr>
      <t>（デメリット表記）①</t>
    </r>
    <rPh sb="8" eb="9">
      <t>ガツ</t>
    </rPh>
    <rPh sb="10" eb="11">
      <t>カイ</t>
    </rPh>
    <rPh sb="20" eb="22">
      <t>ショククミ</t>
    </rPh>
    <phoneticPr fontId="8"/>
  </si>
  <si>
    <t>牧野</t>
    <rPh sb="0" eb="2">
      <t>マキノ</t>
    </rPh>
    <phoneticPr fontId="8"/>
  </si>
  <si>
    <t>ベルーナsample</t>
    <phoneticPr fontId="8"/>
  </si>
  <si>
    <t>日生協2024年1月45号単品</t>
    <rPh sb="0" eb="3">
      <t>ニッセイキョウ</t>
    </rPh>
    <rPh sb="7" eb="8">
      <t>ネン</t>
    </rPh>
    <rPh sb="9" eb="10">
      <t>ガツ</t>
    </rPh>
    <rPh sb="12" eb="13">
      <t>ゴウ</t>
    </rPh>
    <rPh sb="13" eb="15">
      <t>タンピン</t>
    </rPh>
    <phoneticPr fontId="8"/>
  </si>
  <si>
    <t>点12/29、前取1/5、アバウト1/16、最終1/24</t>
    <rPh sb="0" eb="1">
      <t>テン</t>
    </rPh>
    <rPh sb="7" eb="9">
      <t>マエトリ</t>
    </rPh>
    <rPh sb="22" eb="24">
      <t>サイシュウ</t>
    </rPh>
    <phoneticPr fontId="8"/>
  </si>
  <si>
    <r>
      <t>パルシステム10月1回（くらしのおと）2色組</t>
    </r>
    <r>
      <rPr>
        <b/>
        <sz val="10"/>
        <rFont val="ＭＳ Ｐゴシック"/>
        <family val="3"/>
        <charset val="128"/>
      </rPr>
      <t>（デメリット表記）②</t>
    </r>
    <rPh sb="8" eb="9">
      <t>ガツ</t>
    </rPh>
    <rPh sb="10" eb="11">
      <t>カイ</t>
    </rPh>
    <rPh sb="20" eb="22">
      <t>ショククミ</t>
    </rPh>
    <phoneticPr fontId="8"/>
  </si>
  <si>
    <r>
      <t>パルシステム10月1回（くらしのおと）2色組</t>
    </r>
    <r>
      <rPr>
        <b/>
        <sz val="10"/>
        <rFont val="ＭＳ Ｐゴシック"/>
        <family val="3"/>
        <charset val="128"/>
      </rPr>
      <t>（デメリット表記）</t>
    </r>
    <rPh sb="8" eb="9">
      <t>ガツ</t>
    </rPh>
    <rPh sb="10" eb="11">
      <t>カイ</t>
    </rPh>
    <rPh sb="20" eb="22">
      <t>ショククミ</t>
    </rPh>
    <phoneticPr fontId="8"/>
  </si>
  <si>
    <r>
      <t>パルシステム10月1回（くらしのおと）2色組</t>
    </r>
    <r>
      <rPr>
        <b/>
        <sz val="10"/>
        <rFont val="ＭＳ Ｐゴシック"/>
        <family val="3"/>
        <charset val="128"/>
      </rPr>
      <t>（デメリット表記）③</t>
    </r>
    <rPh sb="8" eb="9">
      <t>ガツ</t>
    </rPh>
    <rPh sb="10" eb="11">
      <t>カイ</t>
    </rPh>
    <rPh sb="20" eb="22">
      <t>ショククミ</t>
    </rPh>
    <phoneticPr fontId="8"/>
  </si>
  <si>
    <t>パルシステム　キナリ４月４回　特価　２色組¥２１８０差分予測</t>
    <rPh sb="11" eb="12">
      <t>ガツ</t>
    </rPh>
    <rPh sb="13" eb="14">
      <t>カイ</t>
    </rPh>
    <rPh sb="15" eb="17">
      <t>トッカ</t>
    </rPh>
    <rPh sb="19" eb="21">
      <t>ショクグミ</t>
    </rPh>
    <rPh sb="26" eb="30">
      <t>サブンヨソク</t>
    </rPh>
    <phoneticPr fontId="8"/>
  </si>
  <si>
    <r>
      <t>パルシステム（きなり）4月4回</t>
    </r>
    <r>
      <rPr>
        <b/>
        <sz val="11"/>
        <rFont val="ＭＳ Ｐゴシック"/>
        <family val="3"/>
        <charset val="128"/>
      </rPr>
      <t>（デメリット表記）実績</t>
    </r>
    <rPh sb="12" eb="13">
      <t>ガツ</t>
    </rPh>
    <rPh sb="14" eb="15">
      <t>カイ</t>
    </rPh>
    <rPh sb="24" eb="26">
      <t>ジッセキ</t>
    </rPh>
    <phoneticPr fontId="8"/>
  </si>
  <si>
    <r>
      <t>２０２２年日生協キャロット45号</t>
    </r>
    <r>
      <rPr>
        <b/>
        <sz val="11"/>
        <rFont val="ＭＳ Ｐゴシック"/>
        <family val="3"/>
        <charset val="128"/>
      </rPr>
      <t>単品</t>
    </r>
    <r>
      <rPr>
        <sz val="11"/>
        <rFont val="ＭＳ Ｐゴシック"/>
        <family val="3"/>
        <charset val="128"/>
      </rPr>
      <t>　実績</t>
    </r>
    <rPh sb="4" eb="5">
      <t>ネン</t>
    </rPh>
    <rPh sb="5" eb="8">
      <t>ニッセイキョウ</t>
    </rPh>
    <rPh sb="15" eb="16">
      <t>ゴウ</t>
    </rPh>
    <rPh sb="16" eb="18">
      <t>タンピン</t>
    </rPh>
    <rPh sb="19" eb="21">
      <t>ジッセキ</t>
    </rPh>
    <phoneticPr fontId="8"/>
  </si>
  <si>
    <t>パルシステム　キナリ４月４回（デメリット表記）　特価　２色組¥２１８０</t>
    <rPh sb="11" eb="12">
      <t>ガツ</t>
    </rPh>
    <rPh sb="13" eb="14">
      <t>カイ</t>
    </rPh>
    <rPh sb="24" eb="26">
      <t>トッカ</t>
    </rPh>
    <rPh sb="28" eb="30">
      <t>ショクグミ</t>
    </rPh>
    <phoneticPr fontId="8"/>
  </si>
  <si>
    <t>点4/4、アバ4/16、本4/18～22</t>
    <rPh sb="0" eb="1">
      <t>テン</t>
    </rPh>
    <rPh sb="12" eb="13">
      <t>ホン</t>
    </rPh>
    <phoneticPr fontId="8"/>
  </si>
  <si>
    <t>日生協2024年1月45号単品①</t>
    <rPh sb="0" eb="3">
      <t>ニッセイキョウ</t>
    </rPh>
    <rPh sb="7" eb="8">
      <t>ネン</t>
    </rPh>
    <rPh sb="9" eb="10">
      <t>ガツ</t>
    </rPh>
    <rPh sb="12" eb="13">
      <t>ゴウ</t>
    </rPh>
    <rPh sb="13" eb="15">
      <t>タンピン</t>
    </rPh>
    <phoneticPr fontId="8"/>
  </si>
  <si>
    <t>日生協2024年1月45号単品②</t>
    <rPh sb="0" eb="3">
      <t>ニッセイキョウ</t>
    </rPh>
    <rPh sb="7" eb="8">
      <t>ネン</t>
    </rPh>
    <rPh sb="9" eb="10">
      <t>ガツ</t>
    </rPh>
    <rPh sb="12" eb="13">
      <t>ゴウ</t>
    </rPh>
    <rPh sb="13" eb="15">
      <t>タンピン</t>
    </rPh>
    <phoneticPr fontId="8"/>
  </si>
  <si>
    <t>日生協2024年1月45号単品③</t>
    <rPh sb="0" eb="3">
      <t>ニッセイキョウ</t>
    </rPh>
    <rPh sb="7" eb="8">
      <t>ネン</t>
    </rPh>
    <rPh sb="9" eb="10">
      <t>ガツ</t>
    </rPh>
    <rPh sb="12" eb="13">
      <t>ゴウ</t>
    </rPh>
    <rPh sb="13" eb="15">
      <t>タンピン</t>
    </rPh>
    <phoneticPr fontId="8"/>
  </si>
  <si>
    <t>パルシステム6月1回（くらしのおと）差分予測</t>
    <rPh sb="7" eb="8">
      <t>ガツ</t>
    </rPh>
    <rPh sb="9" eb="10">
      <t>カイ</t>
    </rPh>
    <rPh sb="18" eb="22">
      <t>サブンヨソク</t>
    </rPh>
    <phoneticPr fontId="8"/>
  </si>
  <si>
    <t>点5/16、アバウト、初回5/28、最終6/3</t>
    <rPh sb="0" eb="1">
      <t>テン</t>
    </rPh>
    <rPh sb="11" eb="13">
      <t>ショカイ</t>
    </rPh>
    <rPh sb="18" eb="20">
      <t>サイシュウ</t>
    </rPh>
    <phoneticPr fontId="8"/>
  </si>
  <si>
    <t>10-1ｗの実績　305/297/216</t>
    <rPh sb="6" eb="8">
      <t>ジッセキ</t>
    </rPh>
    <phoneticPr fontId="8"/>
  </si>
  <si>
    <t>ベルーナsample返却</t>
    <rPh sb="10" eb="12">
      <t>ヘンキャク</t>
    </rPh>
    <phoneticPr fontId="8"/>
  </si>
  <si>
    <t>電話注文</t>
    <rPh sb="0" eb="4">
      <t>デンワチュウモン</t>
    </rPh>
    <phoneticPr fontId="8"/>
  </si>
  <si>
    <t>追加４ 2-1</t>
    <rPh sb="0" eb="2">
      <t>ツイカ</t>
    </rPh>
    <phoneticPr fontId="2"/>
  </si>
  <si>
    <t>シンエイsample</t>
    <phoneticPr fontId="8"/>
  </si>
  <si>
    <t>3/23ship</t>
    <phoneticPr fontId="8"/>
  </si>
  <si>
    <t>K-PORT</t>
    <phoneticPr fontId="8"/>
  </si>
  <si>
    <t>パルシステム　キナリ８月１回　特価　２色組¥２１８０差分予測</t>
    <rPh sb="11" eb="12">
      <t>ガツ</t>
    </rPh>
    <rPh sb="13" eb="14">
      <t>カイ</t>
    </rPh>
    <rPh sb="15" eb="17">
      <t>トッカ</t>
    </rPh>
    <rPh sb="19" eb="21">
      <t>ショクグミ</t>
    </rPh>
    <rPh sb="26" eb="30">
      <t>サブンヨソク</t>
    </rPh>
    <phoneticPr fontId="8"/>
  </si>
  <si>
    <t>パルシステム　キナリ８月１回（デメリット表記）　特価　２色組¥２１８０</t>
    <rPh sb="11" eb="12">
      <t>ガツ</t>
    </rPh>
    <rPh sb="13" eb="14">
      <t>カイ</t>
    </rPh>
    <rPh sb="24" eb="26">
      <t>トッカ</t>
    </rPh>
    <rPh sb="28" eb="30">
      <t>ショクグミ</t>
    </rPh>
    <phoneticPr fontId="8"/>
  </si>
  <si>
    <t>パルシステム　キナリ４月４回（デメリット表記）　特価　２色組¥２１８０①</t>
    <rPh sb="11" eb="12">
      <t>ガツ</t>
    </rPh>
    <rPh sb="13" eb="14">
      <t>カイ</t>
    </rPh>
    <rPh sb="24" eb="26">
      <t>トッカ</t>
    </rPh>
    <rPh sb="28" eb="30">
      <t>ショクグミ</t>
    </rPh>
    <phoneticPr fontId="8"/>
  </si>
  <si>
    <t>点7/18、アバウト・初回7/30、最終8/5</t>
    <rPh sb="0" eb="1">
      <t>テン</t>
    </rPh>
    <rPh sb="11" eb="13">
      <t>ショカイ</t>
    </rPh>
    <rPh sb="18" eb="20">
      <t>サイシュウ</t>
    </rPh>
    <phoneticPr fontId="8"/>
  </si>
  <si>
    <t>2024/4/3伝済</t>
    <rPh sb="8" eb="9">
      <t>デン</t>
    </rPh>
    <rPh sb="9" eb="10">
      <t>スミ</t>
    </rPh>
    <phoneticPr fontId="8"/>
  </si>
  <si>
    <t>追加３  2-2</t>
    <rPh sb="0" eb="2">
      <t>ツイカ</t>
    </rPh>
    <phoneticPr fontId="2"/>
  </si>
  <si>
    <t>コープ北陸5月5回</t>
    <rPh sb="3" eb="5">
      <t>ホクリク</t>
    </rPh>
    <rPh sb="6" eb="7">
      <t>ガツ</t>
    </rPh>
    <rPh sb="8" eb="9">
      <t>カイ</t>
    </rPh>
    <phoneticPr fontId="8"/>
  </si>
  <si>
    <t>パルシステム　キナリ４月４回（デメリット表記）　特価　２色組¥２１８０②</t>
    <rPh sb="11" eb="12">
      <t>ガツ</t>
    </rPh>
    <rPh sb="13" eb="14">
      <t>カイ</t>
    </rPh>
    <rPh sb="24" eb="26">
      <t>トッカ</t>
    </rPh>
    <rPh sb="28" eb="30">
      <t>ショクグミ</t>
    </rPh>
    <phoneticPr fontId="8"/>
  </si>
  <si>
    <t>ネット</t>
    <phoneticPr fontId="8"/>
  </si>
  <si>
    <t>伝票6月</t>
    <rPh sb="0" eb="1">
      <t>デン</t>
    </rPh>
    <rPh sb="1" eb="2">
      <t>ピョウ</t>
    </rPh>
    <rPh sb="3" eb="4">
      <t>ガツ</t>
    </rPh>
    <phoneticPr fontId="8"/>
  </si>
  <si>
    <t>昨年実績　日生協2024年1月45号単品</t>
    <rPh sb="0" eb="2">
      <t>サクネン</t>
    </rPh>
    <rPh sb="2" eb="4">
      <t>ジッセキ</t>
    </rPh>
    <rPh sb="5" eb="8">
      <t>ニッセイキョウ</t>
    </rPh>
    <rPh sb="12" eb="13">
      <t>ネン</t>
    </rPh>
    <rPh sb="14" eb="15">
      <t>ガツ</t>
    </rPh>
    <rPh sb="17" eb="18">
      <t>ゴウ</t>
    </rPh>
    <rPh sb="18" eb="20">
      <t>タンピン</t>
    </rPh>
    <phoneticPr fontId="8"/>
  </si>
  <si>
    <t>パルシステム　キナリ４月４回（デメリット表記）　特価　２色組¥２１８０③</t>
    <rPh sb="11" eb="12">
      <t>ガツ</t>
    </rPh>
    <rPh sb="13" eb="14">
      <t>カイ</t>
    </rPh>
    <rPh sb="24" eb="26">
      <t>トッカ</t>
    </rPh>
    <rPh sb="28" eb="30">
      <t>ショクグミ</t>
    </rPh>
    <phoneticPr fontId="8"/>
  </si>
  <si>
    <t>.</t>
    <phoneticPr fontId="8"/>
  </si>
  <si>
    <t>追加　2-1</t>
    <rPh sb="0" eb="2">
      <t>ツイカ</t>
    </rPh>
    <phoneticPr fontId="2"/>
  </si>
  <si>
    <t>くらし企画（パル）sample</t>
    <rPh sb="3" eb="5">
      <t>キカク</t>
    </rPh>
    <phoneticPr fontId="8"/>
  </si>
  <si>
    <t>コープ北陸5月5回①</t>
    <rPh sb="3" eb="5">
      <t>ホクリク</t>
    </rPh>
    <rPh sb="6" eb="7">
      <t>ガツ</t>
    </rPh>
    <rPh sb="8" eb="9">
      <t>カイ</t>
    </rPh>
    <phoneticPr fontId="8"/>
  </si>
  <si>
    <r>
      <t>パルシステム6月1回（くらしのおと）2色組</t>
    </r>
    <r>
      <rPr>
        <b/>
        <sz val="10"/>
        <rFont val="ＭＳ Ｐゴシック"/>
        <family val="3"/>
        <charset val="128"/>
      </rPr>
      <t>（デメリット表記）</t>
    </r>
    <r>
      <rPr>
        <sz val="10"/>
        <rFont val="ＭＳ Ｐゴシック"/>
        <family val="3"/>
        <charset val="128"/>
      </rPr>
      <t>①</t>
    </r>
    <rPh sb="7" eb="8">
      <t>ガツ</t>
    </rPh>
    <rPh sb="9" eb="10">
      <t>カイ</t>
    </rPh>
    <rPh sb="19" eb="21">
      <t>ショククミ</t>
    </rPh>
    <phoneticPr fontId="8"/>
  </si>
  <si>
    <t>日生協2024年1月45号単品④</t>
    <rPh sb="0" eb="3">
      <t>ニッセイキョウ</t>
    </rPh>
    <rPh sb="7" eb="8">
      <t>ネン</t>
    </rPh>
    <rPh sb="9" eb="10">
      <t>ガツ</t>
    </rPh>
    <rPh sb="12" eb="13">
      <t>ゴウ</t>
    </rPh>
    <rPh sb="13" eb="15">
      <t>タンピン</t>
    </rPh>
    <phoneticPr fontId="8"/>
  </si>
  <si>
    <t>日生協2024年1月45号単品⑤直送</t>
    <rPh sb="0" eb="3">
      <t>ニッセイキョウ</t>
    </rPh>
    <rPh sb="7" eb="8">
      <t>ネン</t>
    </rPh>
    <rPh sb="9" eb="10">
      <t>ガツ</t>
    </rPh>
    <rPh sb="12" eb="13">
      <t>ゴウ</t>
    </rPh>
    <rPh sb="13" eb="15">
      <t>タンピン</t>
    </rPh>
    <rPh sb="16" eb="18">
      <t>チョクソウ</t>
    </rPh>
    <phoneticPr fontId="8"/>
  </si>
  <si>
    <t>過入荷分</t>
    <rPh sb="0" eb="1">
      <t>カ</t>
    </rPh>
    <rPh sb="1" eb="3">
      <t>ニュウカ</t>
    </rPh>
    <rPh sb="3" eb="4">
      <t>ブン</t>
    </rPh>
    <phoneticPr fontId="2"/>
  </si>
  <si>
    <t>コープ北陸5月5回②</t>
    <rPh sb="3" eb="5">
      <t>ホクリク</t>
    </rPh>
    <rPh sb="6" eb="7">
      <t>ガツ</t>
    </rPh>
    <rPh sb="8" eb="9">
      <t>カイ</t>
    </rPh>
    <phoneticPr fontId="8"/>
  </si>
  <si>
    <t>サクラマチsample（グリーンコープ分）</t>
    <rPh sb="19" eb="20">
      <t>ブン</t>
    </rPh>
    <phoneticPr fontId="8"/>
  </si>
  <si>
    <t>サクラマチsample（コープ九州分）</t>
    <rPh sb="15" eb="17">
      <t>キュウシュウ</t>
    </rPh>
    <rPh sb="17" eb="18">
      <t>ブン</t>
    </rPh>
    <phoneticPr fontId="8"/>
  </si>
  <si>
    <t>コープ北陸5月5回③</t>
    <rPh sb="3" eb="5">
      <t>ホクリク</t>
    </rPh>
    <rPh sb="6" eb="7">
      <t>ガツ</t>
    </rPh>
    <rPh sb="8" eb="9">
      <t>カイ</t>
    </rPh>
    <phoneticPr fontId="8"/>
  </si>
  <si>
    <t>点9/20、前取9/27、アバウト（デリ）10/8、最終10/16</t>
    <rPh sb="0" eb="1">
      <t>テン</t>
    </rPh>
    <rPh sb="6" eb="8">
      <t>マエトリ</t>
    </rPh>
    <rPh sb="26" eb="28">
      <t>サイシュウ</t>
    </rPh>
    <phoneticPr fontId="8"/>
  </si>
  <si>
    <t>日生協9月31号差分予測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8"/>
  </si>
  <si>
    <t>2024/5/25伝</t>
    <rPh sb="9" eb="10">
      <t>デン</t>
    </rPh>
    <phoneticPr fontId="8"/>
  </si>
  <si>
    <t>コープしが7月3回</t>
    <rPh sb="6" eb="7">
      <t>ガツ</t>
    </rPh>
    <rPh sb="8" eb="9">
      <t>カイ</t>
    </rPh>
    <phoneticPr fontId="8"/>
  </si>
  <si>
    <t>7/16、22</t>
    <phoneticPr fontId="8"/>
  </si>
  <si>
    <t>コープ北陸5月5回④直送</t>
    <rPh sb="3" eb="5">
      <t>ホクリク</t>
    </rPh>
    <rPh sb="6" eb="7">
      <t>ガツ</t>
    </rPh>
    <rPh sb="8" eb="9">
      <t>カイ</t>
    </rPh>
    <rPh sb="10" eb="12">
      <t>チョクソウ</t>
    </rPh>
    <phoneticPr fontId="8"/>
  </si>
  <si>
    <t>シンエイ返品</t>
    <rPh sb="4" eb="6">
      <t>ヘンピン</t>
    </rPh>
    <phoneticPr fontId="2"/>
  </si>
  <si>
    <t>千趣会同色2枚組①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</si>
  <si>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r>
      <t>パルシステム6月1回（くらしのおと）2色組</t>
    </r>
    <r>
      <rPr>
        <b/>
        <sz val="10"/>
        <rFont val="ＭＳ Ｐゴシック"/>
        <family val="3"/>
        <charset val="128"/>
      </rPr>
      <t>（デメリット表記）②</t>
    </r>
    <rPh sb="7" eb="8">
      <t>ガツ</t>
    </rPh>
    <rPh sb="9" eb="10">
      <t>カイ</t>
    </rPh>
    <rPh sb="19" eb="21">
      <t>ショククミ</t>
    </rPh>
    <phoneticPr fontId="8"/>
  </si>
  <si>
    <r>
      <t>パルシステム6月1回（くらしのおと）2色組</t>
    </r>
    <r>
      <rPr>
        <b/>
        <sz val="10"/>
        <rFont val="ＭＳ Ｐゴシック"/>
        <family val="3"/>
        <charset val="128"/>
      </rPr>
      <t>（デメリット表記）③</t>
    </r>
    <rPh sb="7" eb="8">
      <t>ガツ</t>
    </rPh>
    <rPh sb="9" eb="10">
      <t>カイ</t>
    </rPh>
    <rPh sb="19" eb="21">
      <t>ショククミ</t>
    </rPh>
    <phoneticPr fontId="8"/>
  </si>
  <si>
    <r>
      <t>パルシステム6月1回（くらしのおと）2色組</t>
    </r>
    <r>
      <rPr>
        <b/>
        <sz val="10"/>
        <rFont val="ＭＳ Ｐゴシック"/>
        <family val="3"/>
        <charset val="128"/>
      </rPr>
      <t>（デメリット表記）④</t>
    </r>
    <rPh sb="7" eb="8">
      <t>ガツ</t>
    </rPh>
    <rPh sb="9" eb="10">
      <t>カイ</t>
    </rPh>
    <rPh sb="19" eb="21">
      <t>ショククミ</t>
    </rPh>
    <phoneticPr fontId="8"/>
  </si>
  <si>
    <r>
      <t>パルシステム6月1回（くらしのおと）2色組</t>
    </r>
    <r>
      <rPr>
        <b/>
        <sz val="10"/>
        <rFont val="ＭＳ Ｐゴシック"/>
        <family val="3"/>
        <charset val="128"/>
      </rPr>
      <t>（デメリット表記）</t>
    </r>
    <rPh sb="7" eb="8">
      <t>ガツ</t>
    </rPh>
    <rPh sb="9" eb="10">
      <t>カイ</t>
    </rPh>
    <rPh sb="19" eb="21">
      <t>ショククミ</t>
    </rPh>
    <phoneticPr fontId="8"/>
  </si>
  <si>
    <t>Ｋ－ＰＯＲＴ</t>
    <phoneticPr fontId="8"/>
  </si>
  <si>
    <t>過入荷分</t>
    <rPh sb="0" eb="4">
      <t>カニュウカブン</t>
    </rPh>
    <phoneticPr fontId="2"/>
  </si>
  <si>
    <t>2024/7/6伝数</t>
    <rPh sb="8" eb="9">
      <t>デン</t>
    </rPh>
    <rPh sb="9" eb="10">
      <t>スウ</t>
    </rPh>
    <phoneticPr fontId="8"/>
  </si>
  <si>
    <t>2024/7/6伝数</t>
    <rPh sb="8" eb="10">
      <t>デンスウ</t>
    </rPh>
    <phoneticPr fontId="8"/>
  </si>
  <si>
    <t>千趣会同色2枚組②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</si>
  <si>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パルシステム　キナリ８月１回（デメリット表記）　特価　２色組¥２１８０①</t>
    <rPh sb="11" eb="12">
      <t>ガツ</t>
    </rPh>
    <rPh sb="13" eb="14">
      <t>カイ</t>
    </rPh>
    <rPh sb="24" eb="26">
      <t>トッカ</t>
    </rPh>
    <rPh sb="28" eb="30">
      <t>ショクグミ</t>
    </rPh>
    <phoneticPr fontId="8"/>
  </si>
  <si>
    <t>コープしが7月3回①</t>
    <rPh sb="6" eb="7">
      <t>ガツ</t>
    </rPh>
    <rPh sb="8" eb="9">
      <t>カイ</t>
    </rPh>
    <phoneticPr fontId="8"/>
  </si>
  <si>
    <t>千趣会同色2枚組③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</si>
  <si>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コープしが9月3回2色組</t>
    <rPh sb="6" eb="7">
      <t>ガツ</t>
    </rPh>
    <rPh sb="8" eb="9">
      <t>カイ</t>
    </rPh>
    <rPh sb="10" eb="12">
      <t>ショククミ</t>
    </rPh>
    <phoneticPr fontId="8"/>
  </si>
  <si>
    <t>パルシステム　キナリ８月１回（デメリット表記）　特価　２色組¥２１８０②</t>
    <rPh sb="11" eb="12">
      <t>ガツ</t>
    </rPh>
    <rPh sb="13" eb="14">
      <t>カイ</t>
    </rPh>
    <rPh sb="24" eb="26">
      <t>トッカ</t>
    </rPh>
    <rPh sb="28" eb="30">
      <t>ショクグミ</t>
    </rPh>
    <phoneticPr fontId="8"/>
  </si>
  <si>
    <t>千趣会同色2枚組④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</si>
  <si>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パルシステム　キナリ８月１回（デメリット表記）　特価　２色組¥２１８０③</t>
    <rPh sb="11" eb="12">
      <t>ガツ</t>
    </rPh>
    <rPh sb="13" eb="14">
      <t>カイ</t>
    </rPh>
    <rPh sb="24" eb="26">
      <t>トッカ</t>
    </rPh>
    <rPh sb="28" eb="30">
      <t>ショクグミ</t>
    </rPh>
    <phoneticPr fontId="8"/>
  </si>
  <si>
    <t>コープきんき10月2回差分予測</t>
    <rPh sb="8" eb="9">
      <t>ガツ</t>
    </rPh>
    <rPh sb="10" eb="11">
      <t>カイ</t>
    </rPh>
    <rPh sb="11" eb="15">
      <t>サブンヨソク</t>
    </rPh>
    <phoneticPr fontId="8"/>
  </si>
  <si>
    <t>コープきんき10月2回</t>
    <rPh sb="8" eb="9">
      <t>ガツ</t>
    </rPh>
    <rPh sb="10" eb="11">
      <t>カイ</t>
    </rPh>
    <phoneticPr fontId="8"/>
  </si>
  <si>
    <t>点9/12、アバウト10/1、本10/2～12</t>
    <rPh sb="0" eb="1">
      <t>テン</t>
    </rPh>
    <rPh sb="15" eb="16">
      <t>ホン</t>
    </rPh>
    <phoneticPr fontId="8"/>
  </si>
  <si>
    <t>パルシステム　キナリ８月１回（デメリット表記）　特価　２色組¥２１８０④</t>
    <rPh sb="11" eb="12">
      <t>ガツ</t>
    </rPh>
    <rPh sb="13" eb="14">
      <t>カイ</t>
    </rPh>
    <rPh sb="24" eb="26">
      <t>トッカ</t>
    </rPh>
    <rPh sb="28" eb="30">
      <t>ショクグミ</t>
    </rPh>
    <phoneticPr fontId="8"/>
  </si>
  <si>
    <t>京都生協10月2回2色組</t>
    <rPh sb="0" eb="4">
      <t>キョウトセイキョウ</t>
    </rPh>
    <rPh sb="6" eb="7">
      <t>ガツ</t>
    </rPh>
    <rPh sb="8" eb="9">
      <t>カイ</t>
    </rPh>
    <rPh sb="10" eb="12">
      <t>ショククミ</t>
    </rPh>
    <phoneticPr fontId="8"/>
  </si>
  <si>
    <t>パルシステム　キナリ８月１回（デメリット表記）　特価　２色組¥２１８０⑤</t>
    <rPh sb="11" eb="12">
      <t>ガツ</t>
    </rPh>
    <rPh sb="13" eb="14">
      <t>カイ</t>
    </rPh>
    <rPh sb="24" eb="26">
      <t>トッカ</t>
    </rPh>
    <rPh sb="28" eb="30">
      <t>ショクグミ</t>
    </rPh>
    <phoneticPr fontId="8"/>
  </si>
  <si>
    <t>千趣会同色2枚組⑤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</si>
  <si>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コープしが7月3回②</t>
    <rPh sb="6" eb="7">
      <t>ガツ</t>
    </rPh>
    <rPh sb="8" eb="9">
      <t>カイ</t>
    </rPh>
    <phoneticPr fontId="8"/>
  </si>
  <si>
    <t>クライム様</t>
    <rPh sb="4" eb="5">
      <t>サマ</t>
    </rPh>
    <phoneticPr fontId="2"/>
  </si>
  <si>
    <t>千趣会同色2枚組⑥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</si>
  <si>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千趣会同色2枚組⑦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</si>
  <si>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日生協9月31号 \1180</t>
    <rPh sb="0" eb="3">
      <t>ニッセイキョウ</t>
    </rPh>
    <rPh sb="4" eb="5">
      <t>ガツ</t>
    </rPh>
    <rPh sb="7" eb="8">
      <t>ゴウ</t>
    </rPh>
    <phoneticPr fontId="8"/>
  </si>
  <si>
    <t>追加　2-2 　8/27済</t>
    <rPh sb="0" eb="2">
      <t>ツイカ</t>
    </rPh>
    <rPh sb="12" eb="13">
      <t>スミ</t>
    </rPh>
    <phoneticPr fontId="2"/>
  </si>
  <si>
    <t>千趣会同色2枚組⑧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</si>
  <si>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千趣会同色2枚組⑨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</si>
  <si>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コープきんき10月2回①</t>
    <rPh sb="8" eb="9">
      <t>ガツ</t>
    </rPh>
    <rPh sb="10" eb="11">
      <t>カイ</t>
    </rPh>
    <phoneticPr fontId="8"/>
  </si>
  <si>
    <t>日生協9月31号 \1180東日本①</t>
    <rPh sb="0" eb="3">
      <t>ニッセイキョウ</t>
    </rPh>
    <rPh sb="4" eb="5">
      <t>ガツ</t>
    </rPh>
    <rPh sb="7" eb="8">
      <t>ゴウ</t>
    </rPh>
    <rPh sb="14" eb="17">
      <t>ヒガシニホン</t>
    </rPh>
    <phoneticPr fontId="8"/>
  </si>
  <si>
    <t>コープしが9月3回2色組①</t>
    <rPh sb="6" eb="7">
      <t>ガツ</t>
    </rPh>
    <rPh sb="8" eb="9">
      <t>カイ</t>
    </rPh>
    <rPh sb="10" eb="12">
      <t>ショククミ</t>
    </rPh>
    <phoneticPr fontId="8"/>
  </si>
  <si>
    <t>千趣会同色2枚組⑩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</si>
  <si>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コープしが9月3回2色組②</t>
    <rPh sb="6" eb="7">
      <t>ガツ</t>
    </rPh>
    <rPh sb="8" eb="9">
      <t>カイ</t>
    </rPh>
    <rPh sb="10" eb="12">
      <t>ショククミ</t>
    </rPh>
    <phoneticPr fontId="8"/>
  </si>
  <si>
    <t>千趣会同色2枚組⑪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</si>
  <si>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日生協9月31号 \1180東日本②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8"/>
  </si>
  <si>
    <t>日生協2025年1月45号</t>
    <rPh sb="0" eb="3">
      <t>ニッセイキョウ</t>
    </rPh>
    <rPh sb="7" eb="8">
      <t>ネン</t>
    </rPh>
    <rPh sb="9" eb="10">
      <t>ガツ</t>
    </rPh>
    <rPh sb="12" eb="13">
      <t>ゴウ</t>
    </rPh>
    <phoneticPr fontId="8"/>
  </si>
  <si>
    <t>点12/27、前取1/3、デリ1/14、最終1/22</t>
    <rPh sb="0" eb="1">
      <t>テン</t>
    </rPh>
    <rPh sb="7" eb="9">
      <t>マエトリ</t>
    </rPh>
    <rPh sb="20" eb="22">
      <t>サイシュウ</t>
    </rPh>
    <phoneticPr fontId="8"/>
  </si>
  <si>
    <t>日生協2025年1月45号差分予測</t>
    <rPh sb="0" eb="3">
      <t>ニッセイキョウ</t>
    </rPh>
    <rPh sb="7" eb="8">
      <t>ネン</t>
    </rPh>
    <rPh sb="9" eb="10">
      <t>ガツ</t>
    </rPh>
    <rPh sb="12" eb="13">
      <t>ゴウ</t>
    </rPh>
    <rPh sb="13" eb="17">
      <t>サブンヨソク</t>
    </rPh>
    <phoneticPr fontId="8"/>
  </si>
  <si>
    <t>千趣会同色2枚組⑫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</si>
  <si>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コープきんき10月2回②</t>
    <rPh sb="8" eb="9">
      <t>ガツ</t>
    </rPh>
    <rPh sb="10" eb="11">
      <t>カイ</t>
    </rPh>
    <phoneticPr fontId="8"/>
  </si>
  <si>
    <t>コープきんき10月2回③</t>
    <rPh sb="8" eb="9">
      <t>ガツ</t>
    </rPh>
    <rPh sb="10" eb="11">
      <t>カイ</t>
    </rPh>
    <phoneticPr fontId="8"/>
  </si>
  <si>
    <r>
      <t>コープ北陸10月3回</t>
    </r>
    <r>
      <rPr>
        <b/>
        <sz val="11"/>
        <rFont val="ＭＳ Ｐゴシック"/>
        <family val="3"/>
        <charset val="128"/>
      </rPr>
      <t>単品</t>
    </r>
    <r>
      <rPr>
        <sz val="11"/>
        <rFont val="ＭＳ Ｐゴシック"/>
        <family val="3"/>
        <charset val="128"/>
      </rPr>
      <t>①</t>
    </r>
    <rPh sb="3" eb="5">
      <t>ホクリク</t>
    </rPh>
    <rPh sb="7" eb="8">
      <t>ガツ</t>
    </rPh>
    <rPh sb="9" eb="10">
      <t>カイ</t>
    </rPh>
    <rPh sb="10" eb="12">
      <t>タンピン</t>
    </rPh>
    <phoneticPr fontId="8"/>
  </si>
  <si>
    <t>コープきんき10月2回直送③</t>
    <rPh sb="8" eb="9">
      <t>ガツ</t>
    </rPh>
    <rPh sb="10" eb="11">
      <t>カイ</t>
    </rPh>
    <rPh sb="11" eb="13">
      <t>チョクソウ</t>
    </rPh>
    <phoneticPr fontId="8"/>
  </si>
  <si>
    <t>京都生協10月2回2色組①</t>
    <rPh sb="0" eb="4">
      <t>キョウトセイキョウ</t>
    </rPh>
    <rPh sb="6" eb="7">
      <t>ガツ</t>
    </rPh>
    <rPh sb="8" eb="9">
      <t>カイ</t>
    </rPh>
    <rPh sb="10" eb="12">
      <t>ショククミ</t>
    </rPh>
    <phoneticPr fontId="8"/>
  </si>
  <si>
    <t>千趣会同色2枚組⑬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</si>
  <si>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夢販</t>
    <rPh sb="0" eb="2">
      <t>ユメハン</t>
    </rPh>
    <phoneticPr fontId="8"/>
  </si>
  <si>
    <r>
      <t>コープ北陸10月3回</t>
    </r>
    <r>
      <rPr>
        <b/>
        <sz val="11"/>
        <rFont val="ＭＳ Ｐゴシック"/>
        <family val="3"/>
        <charset val="128"/>
      </rPr>
      <t>単品</t>
    </r>
    <rPh sb="3" eb="5">
      <t>ホクリク</t>
    </rPh>
    <rPh sb="7" eb="8">
      <t>ガツ</t>
    </rPh>
    <rPh sb="9" eb="10">
      <t>カイ</t>
    </rPh>
    <rPh sb="10" eb="12">
      <t>タンピン</t>
    </rPh>
    <phoneticPr fontId="8"/>
  </si>
  <si>
    <t>日生協9月31号 \1180東日本③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8"/>
  </si>
  <si>
    <r>
      <t>コープ北陸10月3回</t>
    </r>
    <r>
      <rPr>
        <b/>
        <sz val="11"/>
        <rFont val="ＭＳ Ｐゴシック"/>
        <family val="3"/>
        <charset val="128"/>
      </rPr>
      <t>単品②</t>
    </r>
    <rPh sb="3" eb="5">
      <t>ホクリク</t>
    </rPh>
    <rPh sb="7" eb="8">
      <t>ガツ</t>
    </rPh>
    <rPh sb="9" eb="10">
      <t>カイ</t>
    </rPh>
    <rPh sb="10" eb="12">
      <t>タンピン</t>
    </rPh>
    <phoneticPr fontId="8"/>
  </si>
  <si>
    <t>日生協9月31号 \1180東日本④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8"/>
  </si>
  <si>
    <t>日生協9月31号 \1180東日本⑤</t>
    <rPh sb="0" eb="3">
      <t>ニッセイキョウ</t>
    </rPh>
    <rPh sb="4" eb="5">
      <t>ガツ</t>
    </rPh>
    <rPh sb="7" eb="8">
      <t>ゴウ</t>
    </rPh>
    <rPh sb="14" eb="15">
      <t>ヒガシ</t>
    </rPh>
    <rPh sb="15" eb="17">
      <t>ニホン</t>
    </rPh>
    <phoneticPr fontId="8"/>
  </si>
  <si>
    <t>電話注文</t>
    <rPh sb="0" eb="4">
      <t>デンワチュウモン</t>
    </rPh>
    <phoneticPr fontId="8"/>
  </si>
  <si>
    <t>千趣会同色2枚組⑭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</si>
  <si>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2024/10/12数伝</t>
    <rPh sb="10" eb="11">
      <t>スウ</t>
    </rPh>
    <rPh sb="11" eb="12">
      <t>デン</t>
    </rPh>
    <phoneticPr fontId="8"/>
  </si>
  <si>
    <t>千趣会同色2枚組⑮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</si>
  <si>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パルくらす2月2回（単品）</t>
    <rPh sb="6" eb="7">
      <t>ガツ</t>
    </rPh>
    <rPh sb="8" eb="9">
      <t>カイ</t>
    </rPh>
    <rPh sb="10" eb="12">
      <t>タンピン</t>
    </rPh>
    <phoneticPr fontId="8"/>
  </si>
  <si>
    <t>パルくらす2月2回（単品）差分予測</t>
    <rPh sb="6" eb="7">
      <t>ガツ</t>
    </rPh>
    <rPh sb="8" eb="9">
      <t>カイ</t>
    </rPh>
    <rPh sb="10" eb="12">
      <t>タンピン</t>
    </rPh>
    <rPh sb="13" eb="17">
      <t>サブンヨソク</t>
    </rPh>
    <phoneticPr fontId="8"/>
  </si>
  <si>
    <t>点1/23、アバウト・初回2/4、最終2/10</t>
    <rPh sb="0" eb="1">
      <t>テン</t>
    </rPh>
    <rPh sb="11" eb="13">
      <t>ショカイ</t>
    </rPh>
    <rPh sb="17" eb="19">
      <t>サイシュウ</t>
    </rPh>
    <phoneticPr fontId="8"/>
  </si>
  <si>
    <t>千趣会同色2枚組⑯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</si>
  <si>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K-PORT</t>
    <phoneticPr fontId="8"/>
  </si>
  <si>
    <t>千趣会同色2枚組⑰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</si>
  <si>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千趣会同色2枚組⑱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</si>
  <si>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千趣会同色2枚組⑲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</si>
  <si>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千趣会同色2枚組⑳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</si>
  <si>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日生協4月7号</t>
    <rPh sb="0" eb="3">
      <t>ニッセイキョウ</t>
    </rPh>
    <rPh sb="4" eb="5">
      <t>ガツ</t>
    </rPh>
    <rPh sb="6" eb="7">
      <t>ゴウ</t>
    </rPh>
    <phoneticPr fontId="8"/>
  </si>
  <si>
    <t>点4/11、前取4/18、アバウト4/29、最終5/7</t>
    <rPh sb="0" eb="1">
      <t>テン</t>
    </rPh>
    <rPh sb="6" eb="8">
      <t>マエトリ</t>
    </rPh>
    <rPh sb="22" eb="24">
      <t>サイシュウ</t>
    </rPh>
    <phoneticPr fontId="8"/>
  </si>
  <si>
    <t>日生協4月7号差分予測</t>
    <rPh sb="0" eb="3">
      <t>ニッセイキョウ</t>
    </rPh>
    <rPh sb="4" eb="5">
      <t>ガツ</t>
    </rPh>
    <rPh sb="6" eb="7">
      <t>ゴウ</t>
    </rPh>
    <rPh sb="7" eb="11">
      <t>サブンヨソク</t>
    </rPh>
    <phoneticPr fontId="8"/>
  </si>
  <si>
    <t>パルシステム　キナリ4月4回（デメリット表記）　特価2色組¥2180</t>
    <rPh sb="11" eb="12">
      <t>ガツ</t>
    </rPh>
    <rPh sb="13" eb="14">
      <t>カイ</t>
    </rPh>
    <rPh sb="24" eb="26">
      <t>トッカ</t>
    </rPh>
    <rPh sb="27" eb="29">
      <t>ショクグミ</t>
    </rPh>
    <phoneticPr fontId="8"/>
  </si>
  <si>
    <t>パルシステム　キナリ4月4回　特価2色組¥2180差分予測</t>
    <rPh sb="11" eb="12">
      <t>ガツ</t>
    </rPh>
    <rPh sb="13" eb="14">
      <t>カイ</t>
    </rPh>
    <rPh sb="15" eb="17">
      <t>トッカ</t>
    </rPh>
    <rPh sb="18" eb="20">
      <t>ショクグミ</t>
    </rPh>
    <rPh sb="25" eb="29">
      <t>サブンヨソク</t>
    </rPh>
    <phoneticPr fontId="8"/>
  </si>
  <si>
    <t>点4/3、アバウト・初回4/15、最終4/21</t>
    <rPh sb="0" eb="1">
      <t>テン</t>
    </rPh>
    <rPh sb="10" eb="12">
      <t>ショカイ</t>
    </rPh>
    <rPh sb="17" eb="19">
      <t>サイシュウ</t>
    </rPh>
    <phoneticPr fontId="8"/>
  </si>
  <si>
    <t>追加５ 2-1</t>
    <rPh sb="0" eb="2">
      <t>ツイカ</t>
    </rPh>
    <phoneticPr fontId="2"/>
  </si>
  <si>
    <t>追加６ 2-2</t>
    <rPh sb="0" eb="2">
      <t>ツイカ</t>
    </rPh>
    <phoneticPr fontId="2"/>
  </si>
  <si>
    <t>千趣会同色2枚組㉑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</si>
  <si>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日生協2025年1月45号東日本①</t>
    <rPh sb="0" eb="3">
      <t>ニッセイキョウ</t>
    </rPh>
    <rPh sb="7" eb="8">
      <t>ネン</t>
    </rPh>
    <rPh sb="9" eb="10">
      <t>ガツ</t>
    </rPh>
    <rPh sb="12" eb="13">
      <t>ゴウ</t>
    </rPh>
    <rPh sb="13" eb="16">
      <t>ヒガシニホン</t>
    </rPh>
    <phoneticPr fontId="8"/>
  </si>
  <si>
    <t>日生協2025年1月45号東日本②</t>
    <rPh sb="0" eb="3">
      <t>ニッセイキョウ</t>
    </rPh>
    <rPh sb="7" eb="8">
      <t>ネン</t>
    </rPh>
    <rPh sb="9" eb="10">
      <t>ガツ</t>
    </rPh>
    <rPh sb="12" eb="13">
      <t>ゴウ</t>
    </rPh>
    <rPh sb="13" eb="16">
      <t>ヒガシニホン</t>
    </rPh>
    <phoneticPr fontId="8"/>
  </si>
  <si>
    <t>千趣会同色2枚組㉒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</si>
  <si>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千趣会同色2枚組㉓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</si>
  <si>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千趣会同色2枚組㉔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</si>
  <si>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日生協2025年1月45号東日本③</t>
    <rPh sb="0" eb="3">
      <t>ニッセイキョウ</t>
    </rPh>
    <rPh sb="7" eb="8">
      <t>ネン</t>
    </rPh>
    <rPh sb="9" eb="10">
      <t>ガツ</t>
    </rPh>
    <rPh sb="12" eb="13">
      <t>ゴウ</t>
    </rPh>
    <rPh sb="13" eb="16">
      <t>ヒガシニホン</t>
    </rPh>
    <phoneticPr fontId="8"/>
  </si>
  <si>
    <t>日生協2025年1月45号東日本④</t>
    <rPh sb="0" eb="3">
      <t>ニッセイキョウ</t>
    </rPh>
    <rPh sb="7" eb="8">
      <t>ネン</t>
    </rPh>
    <rPh sb="9" eb="10">
      <t>ガツ</t>
    </rPh>
    <rPh sb="12" eb="13">
      <t>ゴウ</t>
    </rPh>
    <rPh sb="13" eb="16">
      <t>ヒガシニホン</t>
    </rPh>
    <phoneticPr fontId="8"/>
  </si>
  <si>
    <t>点5/22、アバウト・初回6/3、最終6/9</t>
    <rPh sb="0" eb="1">
      <t>テン</t>
    </rPh>
    <rPh sb="11" eb="13">
      <t>ショカイ</t>
    </rPh>
    <rPh sb="17" eb="19">
      <t>サイシュウ</t>
    </rPh>
    <phoneticPr fontId="8"/>
  </si>
  <si>
    <t>パルシステム（コトコト）6月2回2色組￥2180</t>
    <rPh sb="13" eb="14">
      <t>ガツ</t>
    </rPh>
    <rPh sb="15" eb="16">
      <t>カイ</t>
    </rPh>
    <rPh sb="17" eb="19">
      <t>ショククミ</t>
    </rPh>
    <phoneticPr fontId="8"/>
  </si>
  <si>
    <t>パルシステム（コトコト）6月2回差分予測</t>
    <rPh sb="13" eb="14">
      <t>ガツ</t>
    </rPh>
    <rPh sb="15" eb="16">
      <t>カイ</t>
    </rPh>
    <rPh sb="16" eb="20">
      <t>サブンヨソク</t>
    </rPh>
    <phoneticPr fontId="8"/>
  </si>
  <si>
    <t>パルシステムくらしのおと２０２４年６月１回</t>
    <rPh sb="16" eb="17">
      <t>ネン</t>
    </rPh>
    <rPh sb="18" eb="19">
      <t>ガツ</t>
    </rPh>
    <rPh sb="20" eb="21">
      <t>カイ</t>
    </rPh>
    <phoneticPr fontId="8"/>
  </si>
  <si>
    <t>日生協2025年1月45号東日本⑤</t>
    <rPh sb="0" eb="3">
      <t>ニッセイキョウ</t>
    </rPh>
    <rPh sb="7" eb="8">
      <t>ネン</t>
    </rPh>
    <rPh sb="9" eb="10">
      <t>ガツ</t>
    </rPh>
    <rPh sb="12" eb="13">
      <t>ゴウ</t>
    </rPh>
    <rPh sb="13" eb="16">
      <t>ヒガシニホン</t>
    </rPh>
    <phoneticPr fontId="8"/>
  </si>
  <si>
    <t>コープしが1月3回2色組①</t>
    <rPh sb="6" eb="7">
      <t>ガツ</t>
    </rPh>
    <rPh sb="8" eb="9">
      <t>カイ</t>
    </rPh>
    <rPh sb="10" eb="12">
      <t>ショククミ</t>
    </rPh>
    <phoneticPr fontId="8"/>
  </si>
  <si>
    <t>千趣会同色2枚組㉕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</si>
  <si>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パルくらす4月5回（単品）差分予測</t>
    <rPh sb="6" eb="7">
      <t>ガツ</t>
    </rPh>
    <rPh sb="8" eb="9">
      <t>カイ</t>
    </rPh>
    <rPh sb="10" eb="12">
      <t>タンピン</t>
    </rPh>
    <rPh sb="13" eb="17">
      <t>サブンヨソク</t>
    </rPh>
    <phoneticPr fontId="8"/>
  </si>
  <si>
    <t>点4/10、アバウト・初回4/22、最終4/28</t>
    <rPh sb="0" eb="1">
      <t>テン</t>
    </rPh>
    <rPh sb="11" eb="13">
      <t>ショカイ</t>
    </rPh>
    <rPh sb="18" eb="20">
      <t>サイシュウ</t>
    </rPh>
    <phoneticPr fontId="8"/>
  </si>
  <si>
    <t>千趣会同色2枚組㉖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</si>
  <si>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パルくらす2月2回（単品）①</t>
    <rPh sb="6" eb="7">
      <t>ガツ</t>
    </rPh>
    <rPh sb="8" eb="9">
      <t>カイ</t>
    </rPh>
    <rPh sb="10" eb="12">
      <t>タンピン</t>
    </rPh>
    <phoneticPr fontId="8"/>
  </si>
  <si>
    <t>千趣会同色2枚組㉗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</si>
  <si>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夢販</t>
    <rPh sb="0" eb="2">
      <t>ユメハン</t>
    </rPh>
    <phoneticPr fontId="8"/>
  </si>
  <si>
    <t>パルくらす2月2回（単品）②</t>
    <rPh sb="6" eb="7">
      <t>ガツ</t>
    </rPh>
    <rPh sb="8" eb="9">
      <t>カイ</t>
    </rPh>
    <rPh sb="10" eb="12">
      <t>タンピン</t>
    </rPh>
    <phoneticPr fontId="8"/>
  </si>
  <si>
    <t>パルくらす2月2回（単品）③</t>
    <rPh sb="6" eb="7">
      <t>ガツ</t>
    </rPh>
    <rPh sb="8" eb="9">
      <t>カイ</t>
    </rPh>
    <rPh sb="10" eb="12">
      <t>タンピン</t>
    </rPh>
    <phoneticPr fontId="8"/>
  </si>
  <si>
    <t>パルくらす2月2回（単品）④</t>
    <rPh sb="6" eb="7">
      <t>ガツ</t>
    </rPh>
    <rPh sb="8" eb="9">
      <t>カイ</t>
    </rPh>
    <rPh sb="10" eb="12">
      <t>タンピン</t>
    </rPh>
    <phoneticPr fontId="8"/>
  </si>
  <si>
    <t>電話注文</t>
    <rPh sb="0" eb="4">
      <t>デンワチュウモン</t>
    </rPh>
    <phoneticPr fontId="8"/>
  </si>
  <si>
    <t>千趣会同色2枚組㉘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</si>
  <si>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JODアクセス7008/2色組</t>
    <rPh sb="13" eb="15">
      <t>ショククミ</t>
    </rPh>
    <phoneticPr fontId="8"/>
  </si>
  <si>
    <t>千趣会同色2枚組㉙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</si>
  <si>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千趣会同色2枚組㉚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</si>
  <si>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過入荷分</t>
    <rPh sb="0" eb="3">
      <t>カニュウカ</t>
    </rPh>
    <rPh sb="3" eb="4">
      <t>ブン</t>
    </rPh>
    <phoneticPr fontId="2"/>
  </si>
  <si>
    <t>千趣会同色2枚組㉛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</si>
  <si>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3/29ship</t>
    <phoneticPr fontId="8"/>
  </si>
  <si>
    <t>4/5ship</t>
    <phoneticPr fontId="8"/>
  </si>
  <si>
    <t>パルシステム　キナリ4月4回（デメリット表記）　特価2色組¥2180①</t>
    <rPh sb="11" eb="12">
      <t>ガツ</t>
    </rPh>
    <rPh sb="13" eb="14">
      <t>カイ</t>
    </rPh>
    <rPh sb="24" eb="26">
      <t>トッカ</t>
    </rPh>
    <rPh sb="27" eb="29">
      <t>ショクグミ</t>
    </rPh>
    <phoneticPr fontId="8"/>
  </si>
  <si>
    <t>千趣会同色2枚組㉜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</si>
  <si>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パルシステムキナリ流２０２４年８月1回実績</t>
    <rPh sb="9" eb="10">
      <t>リュウ</t>
    </rPh>
    <rPh sb="14" eb="15">
      <t>ネン</t>
    </rPh>
    <rPh sb="16" eb="17">
      <t>ガツ</t>
    </rPh>
    <rPh sb="18" eb="19">
      <t>カイ</t>
    </rPh>
    <rPh sb="19" eb="21">
      <t>ジッセキ</t>
    </rPh>
    <phoneticPr fontId="8"/>
  </si>
  <si>
    <t>パルシステム　キナリ8月1回　２色組差分予測</t>
    <rPh sb="11" eb="12">
      <t>ガツ</t>
    </rPh>
    <rPh sb="13" eb="14">
      <t>カイ</t>
    </rPh>
    <rPh sb="16" eb="18">
      <t>ショクグミ</t>
    </rPh>
    <rPh sb="18" eb="22">
      <t>サブンヨソク</t>
    </rPh>
    <phoneticPr fontId="8"/>
  </si>
  <si>
    <t>点7/17、アバウト・初回7/29、最終発注8/4</t>
    <rPh sb="0" eb="1">
      <t>テン</t>
    </rPh>
    <rPh sb="11" eb="13">
      <t>ショカイ</t>
    </rPh>
    <rPh sb="18" eb="20">
      <t>サイシュウ</t>
    </rPh>
    <rPh sb="20" eb="22">
      <t>ハッチュウ</t>
    </rPh>
    <phoneticPr fontId="8"/>
  </si>
  <si>
    <t>パルシステム　キナリ8月1回　２色組\2180</t>
    <rPh sb="11" eb="12">
      <t>ガツ</t>
    </rPh>
    <rPh sb="13" eb="14">
      <t>カイ</t>
    </rPh>
    <rPh sb="16" eb="18">
      <t>ショクグミ</t>
    </rPh>
    <phoneticPr fontId="8"/>
  </si>
  <si>
    <t>コープきんき10月2回　実績\1180</t>
    <rPh sb="8" eb="9">
      <t>ガツ</t>
    </rPh>
    <rPh sb="10" eb="11">
      <t>カイ</t>
    </rPh>
    <rPh sb="12" eb="14">
      <t>ジッセキ</t>
    </rPh>
    <phoneticPr fontId="8"/>
  </si>
  <si>
    <t>日生協9月31号 \1180 実績\1180</t>
    <rPh sb="0" eb="3">
      <t>ニッセイキョウ</t>
    </rPh>
    <rPh sb="4" eb="5">
      <t>ガツ</t>
    </rPh>
    <rPh sb="7" eb="8">
      <t>ゴウ</t>
    </rPh>
    <rPh sb="15" eb="17">
      <t>ジッセキ</t>
    </rPh>
    <phoneticPr fontId="8"/>
  </si>
  <si>
    <t>クライムより</t>
    <phoneticPr fontId="2"/>
  </si>
  <si>
    <t>日生協4月7号東日本①</t>
    <rPh sb="0" eb="3">
      <t>ニッセイキョウ</t>
    </rPh>
    <rPh sb="4" eb="5">
      <t>ガツ</t>
    </rPh>
    <rPh sb="6" eb="7">
      <t>ゴウ</t>
    </rPh>
    <rPh sb="7" eb="10">
      <t>ヒガシニホン</t>
    </rPh>
    <phoneticPr fontId="8"/>
  </si>
  <si>
    <t>2025/4/7数伝</t>
    <rPh sb="8" eb="9">
      <t>スウ</t>
    </rPh>
    <rPh sb="9" eb="10">
      <t>デン</t>
    </rPh>
    <phoneticPr fontId="8"/>
  </si>
  <si>
    <t>千趣会同色2枚組㉝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</si>
  <si>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パルシステム　キナリ4月4回（デメリット表記）　特価2色組¥2180②</t>
    <rPh sb="11" eb="12">
      <t>ガツ</t>
    </rPh>
    <rPh sb="13" eb="14">
      <t>カイ</t>
    </rPh>
    <rPh sb="24" eb="26">
      <t>トッカ</t>
    </rPh>
    <rPh sb="27" eb="29">
      <t>ショクグミ</t>
    </rPh>
    <phoneticPr fontId="8"/>
  </si>
  <si>
    <t>千趣会同色2枚組㉞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</si>
  <si>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パルシステム　キナリ4月4回（デメリット表記）　特価2色組¥2180③</t>
    <rPh sb="11" eb="12">
      <t>ガツ</t>
    </rPh>
    <rPh sb="13" eb="14">
      <t>カイ</t>
    </rPh>
    <rPh sb="24" eb="26">
      <t>トッカ</t>
    </rPh>
    <rPh sb="27" eb="29">
      <t>ショクグミ</t>
    </rPh>
    <phoneticPr fontId="8"/>
  </si>
  <si>
    <t>2025/4/14数伝</t>
    <rPh sb="9" eb="10">
      <t>スウ</t>
    </rPh>
    <rPh sb="10" eb="11">
      <t>デン</t>
    </rPh>
    <phoneticPr fontId="8"/>
  </si>
  <si>
    <t>パルシステム　キナリ4月4回（デメリット表記）　特価2色組¥2180④</t>
    <rPh sb="11" eb="12">
      <t>ガツ</t>
    </rPh>
    <rPh sb="13" eb="14">
      <t>カイ</t>
    </rPh>
    <rPh sb="24" eb="26">
      <t>トッカ</t>
    </rPh>
    <rPh sb="27" eb="29">
      <t>ショクグミ</t>
    </rPh>
    <phoneticPr fontId="8"/>
  </si>
  <si>
    <r>
      <t>パルくらす4月5回（単品）</t>
    </r>
    <r>
      <rPr>
        <b/>
        <sz val="11"/>
        <rFont val="ＭＳ Ｐゴシック"/>
        <family val="3"/>
        <charset val="128"/>
      </rPr>
      <t>￥1090</t>
    </r>
    <r>
      <rPr>
        <sz val="11"/>
        <rFont val="ＭＳ Ｐゴシック"/>
        <family val="3"/>
        <charset val="128"/>
      </rPr>
      <t>①</t>
    </r>
    <rPh sb="6" eb="7">
      <t>ガツ</t>
    </rPh>
    <rPh sb="8" eb="9">
      <t>カイ</t>
    </rPh>
    <rPh sb="10" eb="12">
      <t>タンピン</t>
    </rPh>
    <phoneticPr fontId="8"/>
  </si>
  <si>
    <t>千趣会同色2枚組㉟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</si>
  <si>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r>
      <t>パルくらす4月5回（単品）</t>
    </r>
    <r>
      <rPr>
        <b/>
        <sz val="11"/>
        <rFont val="ＭＳ Ｐゴシック"/>
        <family val="3"/>
        <charset val="128"/>
      </rPr>
      <t>￥1090②</t>
    </r>
    <rPh sb="6" eb="7">
      <t>ガツ</t>
    </rPh>
    <rPh sb="8" eb="9">
      <t>カイ</t>
    </rPh>
    <rPh sb="10" eb="12">
      <t>タンピン</t>
    </rPh>
    <phoneticPr fontId="8"/>
  </si>
  <si>
    <r>
      <t>パルくらす4月5回（単品）</t>
    </r>
    <r>
      <rPr>
        <b/>
        <sz val="11"/>
        <rFont val="ＭＳ Ｐゴシック"/>
        <family val="3"/>
        <charset val="128"/>
      </rPr>
      <t>￥1090③</t>
    </r>
    <rPh sb="6" eb="7">
      <t>ガツ</t>
    </rPh>
    <rPh sb="8" eb="9">
      <t>カイ</t>
    </rPh>
    <rPh sb="10" eb="12">
      <t>タンピン</t>
    </rPh>
    <phoneticPr fontId="8"/>
  </si>
  <si>
    <r>
      <t>パルくらす4月5回（単品）</t>
    </r>
    <r>
      <rPr>
        <b/>
        <sz val="11"/>
        <rFont val="ＭＳ Ｐゴシック"/>
        <family val="3"/>
        <charset val="128"/>
      </rPr>
      <t>￥1090④</t>
    </r>
    <rPh sb="6" eb="7">
      <t>ガツ</t>
    </rPh>
    <rPh sb="8" eb="9">
      <t>カイ</t>
    </rPh>
    <rPh sb="10" eb="12">
      <t>タンピン</t>
    </rPh>
    <phoneticPr fontId="8"/>
  </si>
  <si>
    <t>日生協4月7号東日本②</t>
    <rPh sb="0" eb="3">
      <t>ニッセイキョウ</t>
    </rPh>
    <rPh sb="4" eb="5">
      <t>ガツ</t>
    </rPh>
    <rPh sb="6" eb="7">
      <t>ゴウ</t>
    </rPh>
    <rPh sb="7" eb="10">
      <t>ヒガシニホン</t>
    </rPh>
    <phoneticPr fontId="8"/>
  </si>
  <si>
    <t>千趣会同色2枚組㊱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</si>
  <si>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夢販</t>
    <rPh sb="0" eb="2">
      <t>ユメハン</t>
    </rPh>
    <phoneticPr fontId="8"/>
  </si>
  <si>
    <r>
      <t>パルくらす4月5回（単品）</t>
    </r>
    <r>
      <rPr>
        <b/>
        <sz val="11"/>
        <rFont val="ＭＳ Ｐゴシック"/>
        <family val="3"/>
        <charset val="128"/>
      </rPr>
      <t>￥1090</t>
    </r>
    <rPh sb="6" eb="7">
      <t>ガツ</t>
    </rPh>
    <rPh sb="8" eb="9">
      <t>カイ</t>
    </rPh>
    <rPh sb="10" eb="12">
      <t>タンピン</t>
    </rPh>
    <phoneticPr fontId="8"/>
  </si>
  <si>
    <t>追加３ 2-1</t>
    <rPh sb="0" eb="2">
      <t>ツイカ</t>
    </rPh>
    <phoneticPr fontId="2"/>
  </si>
  <si>
    <t>JOD2色組①</t>
    <rPh sb="4" eb="6">
      <t>ショクグミ</t>
    </rPh>
    <phoneticPr fontId="8"/>
  </si>
  <si>
    <t>JOD2色組②</t>
    <rPh sb="4" eb="6">
      <t>ショクグミ</t>
    </rPh>
    <phoneticPr fontId="8"/>
  </si>
  <si>
    <t>あいコープみやぎ7月3回</t>
    <rPh sb="9" eb="10">
      <t>ガツ</t>
    </rPh>
    <rPh sb="11" eb="12">
      <t>カイ</t>
    </rPh>
    <phoneticPr fontId="8"/>
  </si>
  <si>
    <t>確定発注7/9</t>
    <rPh sb="0" eb="2">
      <t>カクテイ</t>
    </rPh>
    <rPh sb="2" eb="4">
      <t>ハッチュウ</t>
    </rPh>
    <phoneticPr fontId="8"/>
  </si>
  <si>
    <t>千趣会同色2枚組㊲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</si>
  <si>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千趣会同色2枚組㊳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</si>
  <si>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パルシステムキナリ流2024年4月4回実績</t>
    <rPh sb="9" eb="10">
      <t>リュウ</t>
    </rPh>
    <rPh sb="14" eb="15">
      <t>ネン</t>
    </rPh>
    <rPh sb="16" eb="17">
      <t>ガツ</t>
    </rPh>
    <rPh sb="18" eb="19">
      <t>カイ</t>
    </rPh>
    <rPh sb="19" eb="21">
      <t>ジッセキ</t>
    </rPh>
    <phoneticPr fontId="8"/>
  </si>
  <si>
    <t>パルシステムキナリ流2024年8月1回実績</t>
    <rPh sb="9" eb="10">
      <t>リュウ</t>
    </rPh>
    <rPh sb="14" eb="15">
      <t>ネン</t>
    </rPh>
    <rPh sb="16" eb="17">
      <t>ガツ</t>
    </rPh>
    <rPh sb="18" eb="19">
      <t>カイ</t>
    </rPh>
    <rPh sb="19" eb="21">
      <t>ジッセキ</t>
    </rPh>
    <phoneticPr fontId="8"/>
  </si>
  <si>
    <t>パルくらす9月3回単品￥1280</t>
    <rPh sb="6" eb="7">
      <t>ガツ</t>
    </rPh>
    <rPh sb="8" eb="9">
      <t>カイ</t>
    </rPh>
    <rPh sb="9" eb="11">
      <t>タンピン</t>
    </rPh>
    <phoneticPr fontId="8"/>
  </si>
  <si>
    <t>あいコープみやぎ7月5回</t>
    <rPh sb="9" eb="10">
      <t>ガツ</t>
    </rPh>
    <rPh sb="11" eb="12">
      <t>カイ</t>
    </rPh>
    <phoneticPr fontId="8"/>
  </si>
  <si>
    <t>確定発注7/23</t>
    <rPh sb="0" eb="2">
      <t>カクテイ</t>
    </rPh>
    <rPh sb="2" eb="4">
      <t>ハッチュウ</t>
    </rPh>
    <phoneticPr fontId="8"/>
  </si>
  <si>
    <t>点8/28、アバウト・初回9/9、最終発注日9/15</t>
    <rPh sb="0" eb="1">
      <t>テン</t>
    </rPh>
    <rPh sb="11" eb="13">
      <t>ショカイ</t>
    </rPh>
    <rPh sb="17" eb="19">
      <t>サイシュウ</t>
    </rPh>
    <rPh sb="19" eb="21">
      <t>ハッチュウ</t>
    </rPh>
    <rPh sb="21" eb="22">
      <t>ニチ</t>
    </rPh>
    <phoneticPr fontId="8"/>
  </si>
  <si>
    <t>パルくらす9月3回単品￥1280差分予測</t>
    <rPh sb="6" eb="7">
      <t>ガツ</t>
    </rPh>
    <rPh sb="8" eb="9">
      <t>カイ</t>
    </rPh>
    <rPh sb="9" eb="11">
      <t>タンピン</t>
    </rPh>
    <rPh sb="16" eb="20">
      <t>サブンヨソク</t>
    </rPh>
    <phoneticPr fontId="8"/>
  </si>
  <si>
    <t>千趣会同色2枚組㊴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</si>
  <si>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3612-100-105</t>
    <phoneticPr fontId="8"/>
  </si>
  <si>
    <t>千趣会同色2枚組㊵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</si>
  <si>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日生協9月27号 差分予測</t>
    <rPh sb="0" eb="3">
      <t>ニッセイキョウ</t>
    </rPh>
    <rPh sb="4" eb="5">
      <t>ガツ</t>
    </rPh>
    <rPh sb="7" eb="8">
      <t>ゴウ</t>
    </rPh>
    <rPh sb="9" eb="13">
      <t>サブンヨソク</t>
    </rPh>
    <phoneticPr fontId="8"/>
  </si>
  <si>
    <t>日生協2025年9月27号￥1180</t>
    <rPh sb="0" eb="3">
      <t>ニッセイキョウ</t>
    </rPh>
    <rPh sb="7" eb="8">
      <t>ネン</t>
    </rPh>
    <rPh sb="9" eb="10">
      <t>ガツ</t>
    </rPh>
    <rPh sb="12" eb="13">
      <t>ゴウ</t>
    </rPh>
    <phoneticPr fontId="8"/>
  </si>
  <si>
    <t>パルシステム（コトコト）6月2回2色組￥2180①</t>
    <rPh sb="13" eb="14">
      <t>ガツ</t>
    </rPh>
    <rPh sb="15" eb="16">
      <t>カイ</t>
    </rPh>
    <rPh sb="17" eb="19">
      <t>ショククミ</t>
    </rPh>
    <phoneticPr fontId="8"/>
  </si>
  <si>
    <t>2025/6/4数伝</t>
    <rPh sb="8" eb="10">
      <t>スウデン</t>
    </rPh>
    <phoneticPr fontId="8"/>
  </si>
  <si>
    <t>パルシステム（コトコト）6月2回2色組￥2180②</t>
    <rPh sb="13" eb="14">
      <t>ガツ</t>
    </rPh>
    <rPh sb="15" eb="16">
      <t>カイ</t>
    </rPh>
    <rPh sb="17" eb="19">
      <t>ショククミ</t>
    </rPh>
    <phoneticPr fontId="8"/>
  </si>
  <si>
    <t>パルシステム依頼（寸法変化実証）</t>
    <rPh sb="6" eb="8">
      <t>イライ</t>
    </rPh>
    <rPh sb="9" eb="11">
      <t>スンポウ</t>
    </rPh>
    <rPh sb="11" eb="13">
      <t>ヘンカ</t>
    </rPh>
    <rPh sb="13" eb="15">
      <t>ジッショウ</t>
    </rPh>
    <phoneticPr fontId="8"/>
  </si>
  <si>
    <t>コープきんき10月3回差分予測</t>
    <rPh sb="8" eb="9">
      <t>ガツ</t>
    </rPh>
    <rPh sb="10" eb="11">
      <t>カイ</t>
    </rPh>
    <rPh sb="11" eb="15">
      <t>サブンヨソク</t>
    </rPh>
    <phoneticPr fontId="8"/>
  </si>
  <si>
    <t>コープきんき10月3回単品￥1180</t>
    <rPh sb="8" eb="9">
      <t>ガツ</t>
    </rPh>
    <rPh sb="10" eb="11">
      <t>カイ</t>
    </rPh>
    <rPh sb="11" eb="13">
      <t>タンピン</t>
    </rPh>
    <phoneticPr fontId="8"/>
  </si>
  <si>
    <t>千趣会同色2枚組㊶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</si>
  <si>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サイズ不良K-PORTより</t>
    <rPh sb="3" eb="5">
      <t>フリョウ</t>
    </rPh>
    <phoneticPr fontId="2"/>
  </si>
  <si>
    <t>夢販</t>
    <rPh sb="0" eb="2">
      <t>ユメハン</t>
    </rPh>
    <phoneticPr fontId="8"/>
  </si>
  <si>
    <t>パルシステム不良品交換分</t>
    <rPh sb="6" eb="9">
      <t>フリョウヒン</t>
    </rPh>
    <rPh sb="9" eb="12">
      <t>コウカンブン</t>
    </rPh>
    <phoneticPr fontId="8"/>
  </si>
  <si>
    <t xml:space="preserve"> 旧在庫よりＬＬ45枚、新入荷分よりＬ24枚、ＬＬ76枚</t>
    <rPh sb="1" eb="4">
      <t>キュウザイコ</t>
    </rPh>
    <rPh sb="10" eb="11">
      <t>マイ</t>
    </rPh>
    <rPh sb="12" eb="16">
      <t>シンニュウカブン</t>
    </rPh>
    <rPh sb="21" eb="22">
      <t>マイ</t>
    </rPh>
    <rPh sb="27" eb="28">
      <t>マイ</t>
    </rPh>
    <phoneticPr fontId="8"/>
  </si>
  <si>
    <t>検品不良品持ち帰り分含む</t>
    <rPh sb="0" eb="2">
      <t>ケンピン</t>
    </rPh>
    <rPh sb="2" eb="5">
      <t>フリョウヒン</t>
    </rPh>
    <rPh sb="5" eb="6">
      <t>モ</t>
    </rPh>
    <rPh sb="7" eb="8">
      <t>カエ</t>
    </rPh>
    <rPh sb="9" eb="10">
      <t>ブン</t>
    </rPh>
    <rPh sb="10" eb="11">
      <t>フク</t>
    </rPh>
    <phoneticPr fontId="8"/>
  </si>
  <si>
    <t>千趣会同色2枚組㊷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</si>
  <si>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クライム返品</t>
    <rPh sb="4" eb="6">
      <t>ヘンピン</t>
    </rPh>
    <phoneticPr fontId="2"/>
  </si>
  <si>
    <t>あいコープみやぎ8月4回</t>
    <rPh sb="9" eb="10">
      <t>ガツ</t>
    </rPh>
    <rPh sb="11" eb="12">
      <t>カイ</t>
    </rPh>
    <phoneticPr fontId="8"/>
  </si>
  <si>
    <t>確定発注8/20</t>
    <rPh sb="0" eb="2">
      <t>カクテイ</t>
    </rPh>
    <rPh sb="2" eb="4">
      <t>ハッチュウ</t>
    </rPh>
    <phoneticPr fontId="8"/>
  </si>
  <si>
    <t>千趣会同色2枚組㊸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</si>
  <si>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8/27、9/1</t>
    <phoneticPr fontId="8"/>
  </si>
  <si>
    <t>コープさっぽろ9月1回単品￥1000</t>
    <rPh sb="8" eb="9">
      <t>ガツ</t>
    </rPh>
    <rPh sb="10" eb="11">
      <t>カイ</t>
    </rPh>
    <rPh sb="11" eb="13">
      <t>タンピン</t>
    </rPh>
    <phoneticPr fontId="8"/>
  </si>
  <si>
    <t>点8/29　アバ9/9、9/16　最終9/24</t>
    <rPh sb="0" eb="1">
      <t>テン</t>
    </rPh>
    <rPh sb="17" eb="19">
      <t>サイシュウ</t>
    </rPh>
    <phoneticPr fontId="8"/>
  </si>
  <si>
    <t>千趣会同色2枚組㊹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</si>
  <si>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７/19shipまで</t>
    <phoneticPr fontId="8"/>
  </si>
  <si>
    <t xml:space="preserve">くらし企画在庫7/1現在 </t>
    <rPh sb="3" eb="5">
      <t>キカク</t>
    </rPh>
    <rPh sb="5" eb="7">
      <t>ザイコ</t>
    </rPh>
    <rPh sb="10" eb="12">
      <t>ゲンザイ</t>
    </rPh>
    <phoneticPr fontId="8"/>
  </si>
  <si>
    <t>千趣会同色2枚組㊺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</si>
  <si>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あいコープみやぎ7月3回①</t>
    <rPh sb="9" eb="10">
      <t>ガツ</t>
    </rPh>
    <rPh sb="11" eb="12">
      <t>カイ</t>
    </rPh>
    <phoneticPr fontId="8"/>
  </si>
  <si>
    <t>パルシステム　キナリ8月1回　２色組\2180①</t>
    <rPh sb="11" eb="12">
      <t>ガツ</t>
    </rPh>
    <rPh sb="13" eb="14">
      <t>カイ</t>
    </rPh>
    <rPh sb="16" eb="18">
      <t>ショクグミ</t>
    </rPh>
    <phoneticPr fontId="8"/>
  </si>
  <si>
    <t>千趣会同色2枚組㊻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</si>
  <si>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←ここまで式確認2025/7/17</t>
    <rPh sb="0" eb="8">
      <t>&lt;-ココマデシキカクニン</t>
    </rPh>
    <phoneticPr fontId="8"/>
  </si>
  <si>
    <t>あいコープみやぎ9月2回￥1280</t>
    <rPh sb="9" eb="10">
      <t>ガツ</t>
    </rPh>
    <rPh sb="11" eb="12">
      <t>カイ</t>
    </rPh>
    <phoneticPr fontId="8"/>
  </si>
  <si>
    <t>確定発注9/3</t>
    <rPh sb="0" eb="4">
      <t>カクテイハッチュウ</t>
    </rPh>
    <phoneticPr fontId="8"/>
  </si>
  <si>
    <t>JOD</t>
    <phoneticPr fontId="2"/>
  </si>
  <si>
    <t>あいコープみやぎ7月5回①</t>
    <rPh sb="9" eb="10">
      <t>ガツ</t>
    </rPh>
    <rPh sb="11" eb="12">
      <t>カイ</t>
    </rPh>
    <phoneticPr fontId="8"/>
  </si>
  <si>
    <t>追加</t>
    <rPh sb="0" eb="2">
      <t>ツイカ</t>
    </rPh>
    <phoneticPr fontId="8"/>
  </si>
  <si>
    <t>パルシステム　キナリ8月1回　２色組\2180②</t>
    <rPh sb="11" eb="12">
      <t>ガツ</t>
    </rPh>
    <rPh sb="13" eb="14">
      <t>カイ</t>
    </rPh>
    <rPh sb="16" eb="18">
      <t>ショクグミ</t>
    </rPh>
    <phoneticPr fontId="8"/>
  </si>
  <si>
    <t>2025/7/28数伝</t>
    <rPh sb="9" eb="10">
      <t>スウ</t>
    </rPh>
    <rPh sb="10" eb="11">
      <t>デン</t>
    </rPh>
    <phoneticPr fontId="8"/>
  </si>
  <si>
    <t>パルシステム　キナリ8月1回　２色組\2180③</t>
    <rPh sb="11" eb="12">
      <t>ガツ</t>
    </rPh>
    <rPh sb="13" eb="14">
      <t>カイ</t>
    </rPh>
    <rPh sb="16" eb="18">
      <t>ショクグミ</t>
    </rPh>
    <phoneticPr fontId="8"/>
  </si>
  <si>
    <t>パルシステム　キナリ8月1回　２色組\2180④</t>
    <rPh sb="11" eb="12">
      <t>ガツ</t>
    </rPh>
    <rPh sb="13" eb="14">
      <t>カイ</t>
    </rPh>
    <rPh sb="16" eb="18">
      <t>ショクグミ</t>
    </rPh>
    <phoneticPr fontId="8"/>
  </si>
  <si>
    <t>パルシステム　キナリ8月1回　２色組\2180⑤</t>
    <rPh sb="11" eb="12">
      <t>ガツ</t>
    </rPh>
    <rPh sb="13" eb="14">
      <t>カイ</t>
    </rPh>
    <rPh sb="16" eb="18">
      <t>ショクグミ</t>
    </rPh>
    <phoneticPr fontId="8"/>
  </si>
  <si>
    <t>クライム</t>
    <phoneticPr fontId="2"/>
  </si>
  <si>
    <t>点9/19、アバウト10/7、本10/7～13</t>
    <rPh sb="0" eb="1">
      <t>テン</t>
    </rPh>
    <rPh sb="15" eb="16">
      <t>ホン</t>
    </rPh>
    <phoneticPr fontId="8"/>
  </si>
  <si>
    <t>確定発注10/1</t>
    <rPh sb="0" eb="4">
      <t>カクテイハッチュウ</t>
    </rPh>
    <phoneticPr fontId="8"/>
  </si>
  <si>
    <t>あいコープみやぎ10月2回￥1280</t>
    <rPh sb="10" eb="11">
      <t>ガツ</t>
    </rPh>
    <rPh sb="12" eb="13">
      <t>カイ</t>
    </rPh>
    <phoneticPr fontId="8"/>
  </si>
  <si>
    <t>千趣会同色2枚組㊼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</si>
  <si>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夢販</t>
    <rPh sb="0" eb="2">
      <t>ユメハン</t>
    </rPh>
    <phoneticPr fontId="8"/>
  </si>
  <si>
    <t>あいコープみやぎ8月4回①</t>
    <rPh sb="9" eb="10">
      <t>ガツ</t>
    </rPh>
    <rPh sb="11" eb="12">
      <t>カイ</t>
    </rPh>
    <phoneticPr fontId="8"/>
  </si>
  <si>
    <t>千趣会同色2枚組㊽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</si>
  <si>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パルくらす9月3回単品￥1280①</t>
    <rPh sb="6" eb="7">
      <t>ガツ</t>
    </rPh>
    <rPh sb="8" eb="9">
      <t>カイ</t>
    </rPh>
    <rPh sb="9" eb="11">
      <t>タンピン</t>
    </rPh>
    <phoneticPr fontId="8"/>
  </si>
  <si>
    <t>迎井さん</t>
    <rPh sb="0" eb="2">
      <t>ムカイ</t>
    </rPh>
    <phoneticPr fontId="8"/>
  </si>
  <si>
    <t>千趣会同色2枚組㊾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</si>
  <si>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コープさっぽろ9月1回単品￥1000①</t>
    <rPh sb="8" eb="9">
      <t>ガツ</t>
    </rPh>
    <rPh sb="10" eb="11">
      <t>カイ</t>
    </rPh>
    <rPh sb="11" eb="13">
      <t>タンピン</t>
    </rPh>
    <phoneticPr fontId="8"/>
  </si>
  <si>
    <t>パルくらす12月4回単品￥1090</t>
    <rPh sb="7" eb="8">
      <t>ガツ</t>
    </rPh>
    <rPh sb="9" eb="10">
      <t>カイ</t>
    </rPh>
    <rPh sb="10" eb="12">
      <t>タンピン</t>
    </rPh>
    <phoneticPr fontId="8"/>
  </si>
  <si>
    <t>パルくらす12月4回単品￥1090差分予測</t>
    <rPh sb="7" eb="8">
      <t>ガツ</t>
    </rPh>
    <rPh sb="9" eb="10">
      <t>カイ</t>
    </rPh>
    <rPh sb="10" eb="12">
      <t>タンピン</t>
    </rPh>
    <rPh sb="17" eb="21">
      <t>サブンヨソク</t>
    </rPh>
    <phoneticPr fontId="8"/>
  </si>
  <si>
    <t>点12/4、アバウト・初回12/16、最終発注日12/22</t>
    <rPh sb="0" eb="1">
      <t>テン</t>
    </rPh>
    <rPh sb="11" eb="13">
      <t>ショカイ</t>
    </rPh>
    <rPh sb="19" eb="24">
      <t>サイシュウハッチュウビ</t>
    </rPh>
    <phoneticPr fontId="8"/>
  </si>
  <si>
    <t>8/30ship</t>
    <phoneticPr fontId="8"/>
  </si>
  <si>
    <t>日生協2025年9月27号￥1180西日本①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ニシニホン</t>
    </rPh>
    <phoneticPr fontId="8"/>
  </si>
  <si>
    <t>日生協2025年9月27号￥1180東日本①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8"/>
  </si>
  <si>
    <t>コープさっぽろ9月1回単品￥1000②</t>
    <rPh sb="8" eb="9">
      <t>ガツ</t>
    </rPh>
    <rPh sb="10" eb="11">
      <t>カイ</t>
    </rPh>
    <rPh sb="11" eb="13">
      <t>タンピン</t>
    </rPh>
    <phoneticPr fontId="8"/>
  </si>
  <si>
    <t>2025/9/1数伝</t>
    <rPh sb="8" eb="10">
      <t>スウデン</t>
    </rPh>
    <phoneticPr fontId="8"/>
  </si>
  <si>
    <t>あいコープみやぎ9月2回￥1280①</t>
    <rPh sb="9" eb="10">
      <t>ガツ</t>
    </rPh>
    <rPh sb="11" eb="12">
      <t>カイ</t>
    </rPh>
    <phoneticPr fontId="8"/>
  </si>
  <si>
    <t>パルくらす9月3回単品￥1280②</t>
    <rPh sb="6" eb="7">
      <t>ガツ</t>
    </rPh>
    <rPh sb="8" eb="9">
      <t>カイ</t>
    </rPh>
    <rPh sb="9" eb="11">
      <t>タンピン</t>
    </rPh>
    <phoneticPr fontId="8"/>
  </si>
  <si>
    <t>千趣会同色2枚組㊿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</si>
  <si>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夢販</t>
    <rPh sb="0" eb="2">
      <t>ユメハン</t>
    </rPh>
    <phoneticPr fontId="8"/>
  </si>
  <si>
    <t>パルくらす9月3回単品￥1280③</t>
    <rPh sb="6" eb="7">
      <t>ガツ</t>
    </rPh>
    <rPh sb="8" eb="9">
      <t>カイ</t>
    </rPh>
    <rPh sb="9" eb="11">
      <t>タンピン</t>
    </rPh>
    <phoneticPr fontId="8"/>
  </si>
  <si>
    <t>2025/9/9数伝</t>
    <rPh sb="8" eb="10">
      <t>スウデン</t>
    </rPh>
    <phoneticPr fontId="8"/>
  </si>
  <si>
    <t>日生協2025年9月27号￥1180西日本②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ニシニホン</t>
    </rPh>
    <phoneticPr fontId="8"/>
  </si>
  <si>
    <t>日生協2025年9月27号￥1180東日本②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8"/>
  </si>
  <si>
    <t>パルくらす9月3回単品￥1280④</t>
    <rPh sb="6" eb="7">
      <t>ガツ</t>
    </rPh>
    <rPh sb="8" eb="9">
      <t>カイ</t>
    </rPh>
    <rPh sb="9" eb="11">
      <t>タンピン</t>
    </rPh>
    <phoneticPr fontId="8"/>
  </si>
  <si>
    <t>パルくらす9月3回単品￥1280⑤</t>
    <rPh sb="6" eb="7">
      <t>ガツ</t>
    </rPh>
    <rPh sb="8" eb="9">
      <t>カイ</t>
    </rPh>
    <rPh sb="9" eb="11">
      <t>タンピン</t>
    </rPh>
    <phoneticPr fontId="8"/>
  </si>
  <si>
    <t>日生協2025年9月27号￥1180西日本③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ニシニホン</t>
    </rPh>
    <phoneticPr fontId="8"/>
  </si>
  <si>
    <t>パルくらす9月3回単品￥1280⑥</t>
    <rPh sb="6" eb="7">
      <t>ガツ</t>
    </rPh>
    <rPh sb="8" eb="9">
      <t>カイ</t>
    </rPh>
    <rPh sb="9" eb="11">
      <t>タンピン</t>
    </rPh>
    <phoneticPr fontId="8"/>
  </si>
  <si>
    <t>日生協2025年9月27号￥1180西日本④</t>
    <rPh sb="0" eb="3">
      <t>ニッセイキョウ</t>
    </rPh>
    <rPh sb="7" eb="8">
      <t>ネン</t>
    </rPh>
    <rPh sb="9" eb="10">
      <t>ガツ</t>
    </rPh>
    <rPh sb="12" eb="13">
      <t>ゴウ</t>
    </rPh>
    <rPh sb="18" eb="21">
      <t>ニシニホン</t>
    </rPh>
    <phoneticPr fontId="8"/>
  </si>
  <si>
    <t>日生協2025年9月27号￥1180東日本③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8"/>
  </si>
  <si>
    <t>日生協2025年9月27号￥1180東日本④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8"/>
  </si>
  <si>
    <t>千趣会同色2枚組51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</si>
  <si>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日生協2025年9月27号￥1180東日本⑤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8"/>
  </si>
  <si>
    <t>コープきんき10月3回単品￥1180①</t>
    <rPh sb="8" eb="9">
      <t>ガツ</t>
    </rPh>
    <rPh sb="10" eb="11">
      <t>カイ</t>
    </rPh>
    <rPh sb="11" eb="13">
      <t>タンピン</t>
    </rPh>
    <phoneticPr fontId="8"/>
  </si>
  <si>
    <t>日生協2025年9月27号￥1180東日本⑥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8"/>
  </si>
  <si>
    <t>日生協2025年9月27号￥1180東日本⑦</t>
    <rPh sb="0" eb="3">
      <t>ニッセイキョウ</t>
    </rPh>
    <rPh sb="7" eb="8">
      <t>ネン</t>
    </rPh>
    <rPh sb="9" eb="10">
      <t>ガツ</t>
    </rPh>
    <rPh sb="12" eb="13">
      <t>ゴウ</t>
    </rPh>
    <rPh sb="18" eb="19">
      <t>ヒガシ</t>
    </rPh>
    <rPh sb="19" eb="21">
      <t>ニホン</t>
    </rPh>
    <phoneticPr fontId="8"/>
  </si>
  <si>
    <t>千趣会同色2枚組52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</si>
  <si>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夢販</t>
    <rPh sb="0" eb="2">
      <t>ユメハン</t>
    </rPh>
    <phoneticPr fontId="8"/>
  </si>
  <si>
    <t>あいコープみやぎ10月2回￥1280①</t>
    <rPh sb="10" eb="11">
      <t>ガツ</t>
    </rPh>
    <rPh sb="12" eb="13">
      <t>カイ</t>
    </rPh>
    <phoneticPr fontId="8"/>
  </si>
  <si>
    <t>日生協2025年44号差分予測</t>
    <rPh sb="0" eb="3">
      <t>ニッセイキョウ</t>
    </rPh>
    <rPh sb="7" eb="8">
      <t>ネン</t>
    </rPh>
    <rPh sb="10" eb="11">
      <t>ゴウ</t>
    </rPh>
    <rPh sb="11" eb="15">
      <t>サブンヨソク</t>
    </rPh>
    <phoneticPr fontId="8"/>
  </si>
  <si>
    <t>点12/26　前1/2　アバ1/13～21（コープデリ）</t>
    <rPh sb="0" eb="1">
      <t>テン</t>
    </rPh>
    <rPh sb="7" eb="8">
      <t>ゼン</t>
    </rPh>
    <phoneticPr fontId="8"/>
  </si>
  <si>
    <t>点1/2　前1/9　アバ1/15～28（キャロット）</t>
    <rPh sb="0" eb="1">
      <t>テン</t>
    </rPh>
    <rPh sb="5" eb="6">
      <t>ゼン</t>
    </rPh>
    <phoneticPr fontId="8"/>
  </si>
  <si>
    <t>千趣会同色2枚組53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</si>
  <si>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コープきんき10月3回単品￥1180②</t>
    <rPh sb="8" eb="9">
      <t>ガツ</t>
    </rPh>
    <rPh sb="10" eb="11">
      <t>カイ</t>
    </rPh>
    <rPh sb="11" eb="13">
      <t>タンピン</t>
    </rPh>
    <phoneticPr fontId="8"/>
  </si>
  <si>
    <t>夢販</t>
    <rPh sb="0" eb="2">
      <t>ユメハン</t>
    </rPh>
    <phoneticPr fontId="8"/>
  </si>
  <si>
    <t>コープきんき10月3回単品￥1180③</t>
    <rPh sb="8" eb="9">
      <t>ガツ</t>
    </rPh>
    <rPh sb="10" eb="11">
      <t>カイ</t>
    </rPh>
    <rPh sb="11" eb="13">
      <t>タンピン</t>
    </rPh>
    <phoneticPr fontId="8"/>
  </si>
  <si>
    <t>コープきんき10月3回単品￥1180④</t>
    <rPh sb="8" eb="9">
      <t>ガツ</t>
    </rPh>
    <rPh sb="10" eb="11">
      <t>カイ</t>
    </rPh>
    <rPh sb="11" eb="13">
      <t>タンピン</t>
    </rPh>
    <phoneticPr fontId="8"/>
  </si>
  <si>
    <t>夢販</t>
    <rPh sb="0" eb="2">
      <t>ユメハン</t>
    </rPh>
    <phoneticPr fontId="8"/>
  </si>
  <si>
    <t>千趣会同色2枚組54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</si>
  <si>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千趣会同色2枚組55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</si>
  <si>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学校生協2026年3月企画</t>
    <rPh sb="0" eb="4">
      <t>ガッコウセイキョウ</t>
    </rPh>
    <rPh sb="8" eb="9">
      <t>ネン</t>
    </rPh>
    <rPh sb="10" eb="13">
      <t>ガツキカク</t>
    </rPh>
    <phoneticPr fontId="8"/>
  </si>
  <si>
    <t>2/中旬～3/17頃まで</t>
    <rPh sb="2" eb="10">
      <t>チュウジュンカラ3/17コロ</t>
    </rPh>
    <phoneticPr fontId="8"/>
  </si>
  <si>
    <t>くらし企画（学校生協）sample</t>
    <rPh sb="3" eb="5">
      <t>キカク</t>
    </rPh>
    <rPh sb="6" eb="10">
      <t>ガッコウセイキョウ</t>
    </rPh>
    <phoneticPr fontId="8"/>
  </si>
  <si>
    <t>千趣会同色2枚組56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</si>
  <si>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11/22ship</t>
    <phoneticPr fontId="8"/>
  </si>
  <si>
    <t>千趣会同色2枚組57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</si>
  <si>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千趣会同色2枚組58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</si>
  <si>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オバタ返品</t>
    <rPh sb="3" eb="5">
      <t>ヘンピン</t>
    </rPh>
    <phoneticPr fontId="2"/>
  </si>
  <si>
    <t>千趣会同色2枚組59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</si>
  <si>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追加</t>
    <rPh sb="0" eb="2">
      <t>ツイカ</t>
    </rPh>
    <phoneticPr fontId="8"/>
  </si>
  <si>
    <t>KPORT</t>
    <phoneticPr fontId="8"/>
  </si>
  <si>
    <t>夢販移動</t>
    <rPh sb="0" eb="4">
      <t>ユメハンイドウ</t>
    </rPh>
    <phoneticPr fontId="2"/>
  </si>
  <si>
    <t>追加５2-1</t>
    <rPh sb="0" eb="2">
      <t>ツイカ</t>
    </rPh>
    <phoneticPr fontId="2"/>
  </si>
  <si>
    <t>追加４  2-2</t>
    <rPh sb="0" eb="2">
      <t>ツイカ</t>
    </rPh>
    <phoneticPr fontId="2"/>
  </si>
  <si>
    <t>パルシステム　キナリ２０２５年４月　実績</t>
    <rPh sb="14" eb="15">
      <t>ネン</t>
    </rPh>
    <rPh sb="16" eb="17">
      <t>ガツ</t>
    </rPh>
    <rPh sb="18" eb="20">
      <t>ジッセキ</t>
    </rPh>
    <phoneticPr fontId="8"/>
  </si>
  <si>
    <t>日生協2025年１月実績</t>
    <rPh sb="0" eb="3">
      <t>ニッセイキョウ</t>
    </rPh>
    <rPh sb="7" eb="8">
      <t>ネン</t>
    </rPh>
    <rPh sb="9" eb="10">
      <t>ガツ</t>
    </rPh>
    <rPh sb="10" eb="12">
      <t>ジッセキ</t>
    </rPh>
    <phoneticPr fontId="8"/>
  </si>
  <si>
    <t>パルクラス２０２５年２月実績</t>
    <rPh sb="9" eb="10">
      <t>ネン</t>
    </rPh>
    <rPh sb="11" eb="12">
      <t>ガツ</t>
    </rPh>
    <rPh sb="12" eb="14">
      <t>ジッセキ</t>
    </rPh>
    <phoneticPr fontId="8"/>
  </si>
  <si>
    <t>日生協キャロット４月実績</t>
    <rPh sb="0" eb="3">
      <t>ニッセイキョウ</t>
    </rPh>
    <rPh sb="9" eb="10">
      <t>ガツ</t>
    </rPh>
    <rPh sb="10" eb="12">
      <t>ジッセキ</t>
    </rPh>
    <phoneticPr fontId="8"/>
  </si>
  <si>
    <t>パルシステム　きなり流４月３回差分予測</t>
    <rPh sb="10" eb="11">
      <t>リュウ</t>
    </rPh>
    <rPh sb="12" eb="13">
      <t>ガツ</t>
    </rPh>
    <rPh sb="14" eb="15">
      <t>カイ</t>
    </rPh>
    <rPh sb="15" eb="19">
      <t>サブンヨソク</t>
    </rPh>
    <phoneticPr fontId="8"/>
  </si>
  <si>
    <t>パルシステム　きなり流４月３回</t>
    <rPh sb="10" eb="11">
      <t>リュウ</t>
    </rPh>
    <rPh sb="12" eb="13">
      <t>ガツ</t>
    </rPh>
    <rPh sb="14" eb="15">
      <t>カイ</t>
    </rPh>
    <phoneticPr fontId="8"/>
  </si>
  <si>
    <t>※コープデリのみ</t>
    <phoneticPr fontId="8"/>
  </si>
  <si>
    <t>点3/26　アバウト・初回4/7、最終発注日4/13</t>
    <rPh sb="0" eb="1">
      <t>テン</t>
    </rPh>
    <rPh sb="11" eb="13">
      <t>ショカイ</t>
    </rPh>
    <rPh sb="17" eb="22">
      <t>サイシュウハッチュウビ</t>
    </rPh>
    <phoneticPr fontId="8"/>
  </si>
  <si>
    <t>2025/12/8数伝</t>
    <rPh sb="9" eb="11">
      <t>スウデン</t>
    </rPh>
    <phoneticPr fontId="8"/>
  </si>
  <si>
    <t>パルくらす12月4回単品￥1090①</t>
    <rPh sb="7" eb="8">
      <t>ガツ</t>
    </rPh>
    <rPh sb="9" eb="10">
      <t>カイ</t>
    </rPh>
    <rPh sb="10" eb="12">
      <t>タンピン</t>
    </rPh>
    <phoneticPr fontId="8"/>
  </si>
  <si>
    <t>千趣会同色2枚組60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</si>
  <si>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パルくらす12月4回単品￥1090②</t>
    <rPh sb="7" eb="8">
      <t>ガツ</t>
    </rPh>
    <rPh sb="9" eb="10">
      <t>カイ</t>
    </rPh>
    <rPh sb="10" eb="12">
      <t>タンピン</t>
    </rPh>
    <phoneticPr fontId="8"/>
  </si>
  <si>
    <t>りすぺーる（パル）4月2回単品￥1280差分予測</t>
    <rPh sb="10" eb="11">
      <t>ガツ</t>
    </rPh>
    <rPh sb="12" eb="13">
      <t>カイ</t>
    </rPh>
    <rPh sb="13" eb="15">
      <t>タンピン</t>
    </rPh>
    <rPh sb="20" eb="24">
      <t>サブンヨソク</t>
    </rPh>
    <phoneticPr fontId="8"/>
  </si>
  <si>
    <t>りすぺーる（パル）4月2回単品￥1280</t>
    <phoneticPr fontId="8"/>
  </si>
  <si>
    <t>点3/19、アバウト・初回3/31、最終発注日4/6</t>
    <rPh sb="0" eb="1">
      <t>テン</t>
    </rPh>
    <rPh sb="11" eb="13">
      <t>ショカイ</t>
    </rPh>
    <rPh sb="18" eb="23">
      <t>サイシュウハッチュウビ</t>
    </rPh>
    <phoneticPr fontId="8"/>
  </si>
  <si>
    <t>日生協2025年44号￥1180</t>
    <rPh sb="0" eb="3">
      <t>ニッセイキョウ</t>
    </rPh>
    <rPh sb="7" eb="8">
      <t>ネン</t>
    </rPh>
    <rPh sb="10" eb="11">
      <t>ゴウ</t>
    </rPh>
    <phoneticPr fontId="8"/>
  </si>
  <si>
    <t>日生協2025年45号差分予測</t>
    <rPh sb="0" eb="3">
      <t>ニッセイキョウ</t>
    </rPh>
    <rPh sb="7" eb="8">
      <t>ネン</t>
    </rPh>
    <rPh sb="10" eb="11">
      <t>ゴウ</t>
    </rPh>
    <rPh sb="11" eb="15">
      <t>サブンヨソク</t>
    </rPh>
    <phoneticPr fontId="8"/>
  </si>
  <si>
    <t>日生協2025年45号￥1180</t>
    <rPh sb="0" eb="3">
      <t>ニッセイキョウ</t>
    </rPh>
    <rPh sb="7" eb="8">
      <t>ネン</t>
    </rPh>
    <rPh sb="10" eb="11">
      <t>ゴウ</t>
    </rPh>
    <phoneticPr fontId="8"/>
  </si>
  <si>
    <t>パルくらす12月4回単品￥1090③</t>
    <rPh sb="7" eb="8">
      <t>ガツ</t>
    </rPh>
    <rPh sb="9" eb="10">
      <t>カイ</t>
    </rPh>
    <rPh sb="10" eb="12">
      <t>タンピン</t>
    </rPh>
    <phoneticPr fontId="8"/>
  </si>
  <si>
    <t>パルくらす12月4回単品￥1090④</t>
    <rPh sb="7" eb="8">
      <t>ガツ</t>
    </rPh>
    <rPh sb="9" eb="10">
      <t>カイ</t>
    </rPh>
    <rPh sb="10" eb="12">
      <t>タンピン</t>
    </rPh>
    <phoneticPr fontId="8"/>
  </si>
  <si>
    <t>KPORT</t>
    <phoneticPr fontId="8"/>
  </si>
  <si>
    <t>ゆめはん移動</t>
    <rPh sb="4" eb="6">
      <t>イドウ</t>
    </rPh>
    <phoneticPr fontId="2"/>
  </si>
  <si>
    <t>点4/10、前取4/17、デリ4/28、最終5/6</t>
    <rPh sb="0" eb="1">
      <t>テン</t>
    </rPh>
    <rPh sb="6" eb="8">
      <t>マエトリ</t>
    </rPh>
    <rPh sb="20" eb="22">
      <t>サイシュウ</t>
    </rPh>
    <phoneticPr fontId="8"/>
  </si>
  <si>
    <t>ネット</t>
    <phoneticPr fontId="8"/>
  </si>
  <si>
    <t>千趣会同色2枚組61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</si>
  <si>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学校生協2026年5月初夏号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phoneticPr fontId="8"/>
  </si>
  <si>
    <t>学校生協2026年5月初夏号差分予測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rPh sb="14" eb="18">
      <t>サブンヨソク</t>
    </rPh>
    <phoneticPr fontId="8"/>
  </si>
  <si>
    <t>4/15頃～5/19頃</t>
    <rPh sb="4" eb="5">
      <t>コロ</t>
    </rPh>
    <rPh sb="10" eb="11">
      <t>コロ</t>
    </rPh>
    <phoneticPr fontId="8"/>
  </si>
  <si>
    <t>千趣会同色2枚組62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</si>
  <si>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千趣会同色2枚組63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</si>
  <si>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日生協2025年44号￥1180③直送</t>
    <rPh sb="0" eb="3">
      <t>ニッセイキョウ</t>
    </rPh>
    <rPh sb="7" eb="8">
      <t>ネン</t>
    </rPh>
    <rPh sb="10" eb="11">
      <t>ゴウ</t>
    </rPh>
    <rPh sb="17" eb="19">
      <t>チョクソウ</t>
    </rPh>
    <phoneticPr fontId="8"/>
  </si>
  <si>
    <t>日生協2025年44号￥1180（東日本）①</t>
    <rPh sb="0" eb="3">
      <t>ニッセイキョウ</t>
    </rPh>
    <rPh sb="7" eb="8">
      <t>ネン</t>
    </rPh>
    <rPh sb="10" eb="11">
      <t>ゴウ</t>
    </rPh>
    <rPh sb="17" eb="20">
      <t>ヒガシニホン</t>
    </rPh>
    <phoneticPr fontId="8"/>
  </si>
  <si>
    <t>日生協2025年44号￥1180（東日本）②</t>
    <rPh sb="0" eb="3">
      <t>ニッセイキョウ</t>
    </rPh>
    <rPh sb="7" eb="8">
      <t>ネン</t>
    </rPh>
    <rPh sb="10" eb="11">
      <t>ゴウ</t>
    </rPh>
    <rPh sb="17" eb="20">
      <t>ヒガシニホン</t>
    </rPh>
    <phoneticPr fontId="8"/>
  </si>
  <si>
    <t>日生協2025年45号￥1180（西日本）①</t>
    <rPh sb="0" eb="3">
      <t>ニッセイキョウ</t>
    </rPh>
    <rPh sb="7" eb="8">
      <t>ネン</t>
    </rPh>
    <rPh sb="10" eb="11">
      <t>ゴウ</t>
    </rPh>
    <rPh sb="17" eb="20">
      <t>ニシニホン</t>
    </rPh>
    <phoneticPr fontId="8"/>
  </si>
  <si>
    <t>千趣会同色2枚組64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</si>
  <si>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電話注文</t>
    <rPh sb="0" eb="4">
      <t>デンワチュウモン</t>
    </rPh>
    <phoneticPr fontId="8"/>
  </si>
  <si>
    <t>KPORT</t>
    <phoneticPr fontId="8"/>
  </si>
  <si>
    <t>KPORT</t>
    <phoneticPr fontId="2"/>
  </si>
  <si>
    <t>点6/4、アバウト・初回発注6/16、最終発注日6/22</t>
    <rPh sb="0" eb="1">
      <t>テン</t>
    </rPh>
    <rPh sb="10" eb="12">
      <t>ショカイ</t>
    </rPh>
    <rPh sb="12" eb="14">
      <t>ハッチュウ</t>
    </rPh>
    <rPh sb="19" eb="24">
      <t>サイシュウハッチュウビ</t>
    </rPh>
    <phoneticPr fontId="8"/>
  </si>
  <si>
    <t>パルシステム　コトコト6月4回差分予測</t>
    <rPh sb="12" eb="13">
      <t>ガツ</t>
    </rPh>
    <rPh sb="14" eb="15">
      <t>カイ</t>
    </rPh>
    <rPh sb="15" eb="19">
      <t>サブンヨソク</t>
    </rPh>
    <phoneticPr fontId="8"/>
  </si>
  <si>
    <t>パルシステム　コトコト6月4回2180円</t>
    <rPh sb="12" eb="13">
      <t>ガツ</t>
    </rPh>
    <rPh sb="14" eb="15">
      <t>カイ</t>
    </rPh>
    <rPh sb="19" eb="20">
      <t>エン</t>
    </rPh>
    <phoneticPr fontId="8"/>
  </si>
  <si>
    <t>千趣会同色2枚組65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</si>
  <si>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ゆめはん</t>
    <phoneticPr fontId="8"/>
  </si>
  <si>
    <t>千趣会同色2枚組66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</si>
  <si>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学校生協2026年3月企画①</t>
    <rPh sb="0" eb="4">
      <t>ガッコウセイキョウ</t>
    </rPh>
    <rPh sb="8" eb="9">
      <t>ネン</t>
    </rPh>
    <rPh sb="10" eb="13">
      <t>ガツキカク</t>
    </rPh>
    <phoneticPr fontId="8"/>
  </si>
  <si>
    <t>千趣会同色2枚組67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</si>
  <si>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あいコープみやぎ4月3回</t>
    <rPh sb="9" eb="10">
      <t>ガツ</t>
    </rPh>
    <rPh sb="11" eb="12">
      <t>カイ</t>
    </rPh>
    <phoneticPr fontId="8"/>
  </si>
  <si>
    <t>あいコープみやぎ4月5回</t>
    <rPh sb="9" eb="10">
      <t>ガツ</t>
    </rPh>
    <rPh sb="11" eb="12">
      <t>カイ</t>
    </rPh>
    <phoneticPr fontId="8"/>
  </si>
  <si>
    <t>あいコープみやぎ差分予測</t>
    <rPh sb="8" eb="12">
      <t>サブンヨソク</t>
    </rPh>
    <phoneticPr fontId="8"/>
  </si>
  <si>
    <t>千趣会同色2枚組68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</si>
  <si>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←ここまで在庫管理済2026/2/25</t>
    <rPh sb="5" eb="10">
      <t>ザイコカンリスミ</t>
    </rPh>
    <phoneticPr fontId="8"/>
  </si>
  <si>
    <t>←ここまで在庫管理済2026/2/26</t>
    <rPh sb="5" eb="10">
      <t>ザイコカンリスミ</t>
    </rPh>
    <phoneticPr fontId="8"/>
  </si>
  <si>
    <t>千趣会同色2枚組69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</si>
  <si>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学校生協2026年3月企画②</t>
    <rPh sb="0" eb="4">
      <t>ガッコウセイキョウ</t>
    </rPh>
    <rPh sb="8" eb="9">
      <t>ネン</t>
    </rPh>
    <rPh sb="10" eb="13">
      <t>ガツキカク</t>
    </rPh>
    <phoneticPr fontId="8"/>
  </si>
  <si>
    <t>あいコープみやぎ6月2回</t>
    <rPh sb="9" eb="10">
      <t>ガツ</t>
    </rPh>
    <rPh sb="11" eb="12">
      <t>カイ</t>
    </rPh>
    <phoneticPr fontId="8"/>
  </si>
  <si>
    <t>あいコープみやぎ6月2回差分予測</t>
    <rPh sb="12" eb="16">
      <t>サブンヨソク</t>
    </rPh>
    <phoneticPr fontId="8"/>
  </si>
  <si>
    <t>学校生協2026年3月企画③</t>
    <rPh sb="0" eb="4">
      <t>ガッコウセイキョウ</t>
    </rPh>
    <rPh sb="8" eb="9">
      <t>ネン</t>
    </rPh>
    <rPh sb="10" eb="13">
      <t>ガツキカク</t>
    </rPh>
    <phoneticPr fontId="8"/>
  </si>
  <si>
    <t>パルシステム　きなり流４月３回①</t>
    <rPh sb="10" eb="11">
      <t>リュウ</t>
    </rPh>
    <rPh sb="12" eb="13">
      <t>ガツ</t>
    </rPh>
    <rPh sb="14" eb="15">
      <t>カイ</t>
    </rPh>
    <phoneticPr fontId="8"/>
  </si>
  <si>
    <t>夢販</t>
    <rPh sb="0" eb="2">
      <t>y</t>
    </rPh>
    <phoneticPr fontId="8"/>
  </si>
  <si>
    <t>6/3～6/5</t>
    <phoneticPr fontId="8"/>
  </si>
  <si>
    <t>りすぺーる（パル）4月2回単品￥1280①</t>
    <phoneticPr fontId="8"/>
  </si>
  <si>
    <t>千趣会同色2枚組70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</si>
  <si>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ゆめはん</t>
    <phoneticPr fontId="8"/>
  </si>
  <si>
    <t>りすぺーる（パル）4月2回単品￥1280②</t>
    <phoneticPr fontId="8"/>
  </si>
  <si>
    <t>りすぺーる（パル）4月2回単品￥1280③</t>
    <phoneticPr fontId="8"/>
  </si>
  <si>
    <t>りすぺーる（パル）4月2回単品￥1280④</t>
    <phoneticPr fontId="8"/>
  </si>
  <si>
    <t>2025年6月2回　コトコト実績</t>
    <rPh sb="4" eb="5">
      <t>ネン</t>
    </rPh>
    <rPh sb="6" eb="7">
      <t>ガツ</t>
    </rPh>
    <rPh sb="8" eb="9">
      <t>カイ</t>
    </rPh>
    <rPh sb="14" eb="16">
      <t>ジッセキ</t>
    </rPh>
    <phoneticPr fontId="8"/>
  </si>
  <si>
    <t>パルシステム　キナリ　2025年8月1回　２色組\2180</t>
    <rPh sb="15" eb="16">
      <t>ネン</t>
    </rPh>
    <rPh sb="17" eb="18">
      <t>ガツ</t>
    </rPh>
    <rPh sb="19" eb="20">
      <t>カイ</t>
    </rPh>
    <rPh sb="22" eb="24">
      <t>ショクグミ</t>
    </rPh>
    <phoneticPr fontId="8"/>
  </si>
  <si>
    <t>パルシステムきなり流8月1回2色組￥2180差分予測</t>
    <rPh sb="9" eb="10">
      <t>リュウ</t>
    </rPh>
    <rPh sb="11" eb="12">
      <t>ガツ</t>
    </rPh>
    <rPh sb="13" eb="14">
      <t>カイ</t>
    </rPh>
    <rPh sb="15" eb="16">
      <t>ショク</t>
    </rPh>
    <rPh sb="16" eb="17">
      <t>グミ</t>
    </rPh>
    <rPh sb="22" eb="26">
      <t>サブンヨソク</t>
    </rPh>
    <phoneticPr fontId="8"/>
  </si>
  <si>
    <t>りすぺーる（パル）4月2回単品￥1280⑤</t>
    <phoneticPr fontId="8"/>
  </si>
  <si>
    <t>点7/16　アバウト・初回7/28、最終発注日8/3</t>
    <rPh sb="0" eb="1">
      <t>テン</t>
    </rPh>
    <rPh sb="11" eb="13">
      <t>ショカイ</t>
    </rPh>
    <rPh sb="18" eb="23">
      <t>サイシュウハッチュウビ</t>
    </rPh>
    <phoneticPr fontId="8"/>
  </si>
  <si>
    <t>追加４ 2-2</t>
    <rPh sb="0" eb="2">
      <t>ツイカ</t>
    </rPh>
    <phoneticPr fontId="2"/>
  </si>
  <si>
    <t>2026/4/1数伝</t>
    <rPh sb="8" eb="9">
      <t>スウ</t>
    </rPh>
    <rPh sb="9" eb="10">
      <t>デン</t>
    </rPh>
    <phoneticPr fontId="8"/>
  </si>
  <si>
    <t>パルシステム　きなり流４月３回②</t>
    <rPh sb="10" eb="11">
      <t>リュウ</t>
    </rPh>
    <rPh sb="12" eb="13">
      <t>ガツ</t>
    </rPh>
    <rPh sb="14" eb="15">
      <t>カイ</t>
    </rPh>
    <phoneticPr fontId="8"/>
  </si>
  <si>
    <t>ネット返品</t>
    <rPh sb="3" eb="5">
      <t>ヘンピン</t>
    </rPh>
    <phoneticPr fontId="8"/>
  </si>
  <si>
    <t>パルシステム　きなり流４月３回③</t>
    <rPh sb="10" eb="11">
      <t>リュウ</t>
    </rPh>
    <rPh sb="12" eb="13">
      <t>ガツ</t>
    </rPh>
    <rPh sb="14" eb="15">
      <t>カイ</t>
    </rPh>
    <phoneticPr fontId="8"/>
  </si>
  <si>
    <t>あいコープみやぎ4月3回①</t>
    <rPh sb="9" eb="10">
      <t>ガツ</t>
    </rPh>
    <rPh sb="11" eb="12">
      <t>カイ</t>
    </rPh>
    <phoneticPr fontId="8"/>
  </si>
  <si>
    <t>学校生協2026年5月初夏号①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phoneticPr fontId="8"/>
  </si>
  <si>
    <t>日生協2026年4月7号￥1180①</t>
    <rPh sb="0" eb="3">
      <t>ニッセイキョウ</t>
    </rPh>
    <rPh sb="7" eb="8">
      <t>ネン</t>
    </rPh>
    <rPh sb="9" eb="10">
      <t>ガツ</t>
    </rPh>
    <rPh sb="11" eb="12">
      <t>ゴウ</t>
    </rPh>
    <phoneticPr fontId="8"/>
  </si>
  <si>
    <t>千趣会同色2枚組71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</si>
  <si>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ゆめはん</t>
    <phoneticPr fontId="8"/>
  </si>
  <si>
    <t>あいコープみやぎ4月5回①</t>
    <rPh sb="9" eb="10">
      <t>ガツ</t>
    </rPh>
    <rPh sb="11" eb="12">
      <t>カイ</t>
    </rPh>
    <phoneticPr fontId="8"/>
  </si>
  <si>
    <t>千趣会同色2枚組72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</si>
  <si>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日生協2026年4月7号￥1180②</t>
    <rPh sb="0" eb="3">
      <t>ニッセイキョウ</t>
    </rPh>
    <rPh sb="7" eb="8">
      <t>ネン</t>
    </rPh>
    <rPh sb="9" eb="10">
      <t>ガツ</t>
    </rPh>
    <rPh sb="11" eb="12">
      <t>ゴウ</t>
    </rPh>
    <phoneticPr fontId="8"/>
  </si>
  <si>
    <t>りすぺーる（パル）9月1回単品￥1280差分予測</t>
    <rPh sb="10" eb="11">
      <t>ガツ</t>
    </rPh>
    <rPh sb="12" eb="13">
      <t>カイ</t>
    </rPh>
    <rPh sb="13" eb="15">
      <t>タンピン</t>
    </rPh>
    <rPh sb="20" eb="24">
      <t>サブンヨソク</t>
    </rPh>
    <phoneticPr fontId="8"/>
  </si>
  <si>
    <t>りすぺーる（パル）9月1回単品￥1280</t>
    <phoneticPr fontId="8"/>
  </si>
  <si>
    <t>学校生協2026年5月初夏号②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phoneticPr fontId="8"/>
  </si>
  <si>
    <t>点8/6、アバウト・初回8/25、最終発注日8/31</t>
    <rPh sb="0" eb="1">
      <t>テン</t>
    </rPh>
    <rPh sb="10" eb="12">
      <t>ショカイ</t>
    </rPh>
    <rPh sb="17" eb="19">
      <t>サイシュウ</t>
    </rPh>
    <rPh sb="19" eb="22">
      <t>ハッチュウビ</t>
    </rPh>
    <phoneticPr fontId="8"/>
  </si>
  <si>
    <t>日生協キャロット2026年4月7号￥1180</t>
    <rPh sb="0" eb="3">
      <t>ニッセイキョウ</t>
    </rPh>
    <rPh sb="12" eb="13">
      <t>ネン</t>
    </rPh>
    <rPh sb="14" eb="15">
      <t>ガツ</t>
    </rPh>
    <rPh sb="16" eb="17">
      <t>ゴウ</t>
    </rPh>
    <phoneticPr fontId="8"/>
  </si>
  <si>
    <t>日生協キャロット2026年4月7号差分予測</t>
    <rPh sb="0" eb="3">
      <t>ニッセイキョウ</t>
    </rPh>
    <rPh sb="12" eb="13">
      <t>ネン</t>
    </rPh>
    <rPh sb="14" eb="15">
      <t>ガツ</t>
    </rPh>
    <rPh sb="16" eb="17">
      <t>ゴウ</t>
    </rPh>
    <rPh sb="17" eb="21">
      <t>サブンヨソク</t>
    </rPh>
    <phoneticPr fontId="8"/>
  </si>
  <si>
    <t>あいコープみやぎ9月5回差分予測</t>
    <rPh sb="9" eb="10">
      <t>ガツ</t>
    </rPh>
    <rPh sb="11" eb="12">
      <t>カイ</t>
    </rPh>
    <rPh sb="12" eb="16">
      <t>サブンヨソク</t>
    </rPh>
    <phoneticPr fontId="8"/>
  </si>
  <si>
    <t>あいコープみやぎ9月5回</t>
    <rPh sb="9" eb="10">
      <t>ガツ</t>
    </rPh>
    <rPh sb="11" eb="12">
      <t>カイ</t>
    </rPh>
    <phoneticPr fontId="8"/>
  </si>
  <si>
    <t>内定</t>
    <rPh sb="0" eb="2">
      <t>ナイテイ</t>
    </rPh>
    <phoneticPr fontId="8"/>
  </si>
  <si>
    <t>千趣会同色2枚組73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</si>
  <si>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2026/10/1 →９月初旬へ依頼？？？</t>
    <rPh sb="12" eb="13">
      <t>ガツ</t>
    </rPh>
    <rPh sb="13" eb="15">
      <t>ショジュン</t>
    </rPh>
    <rPh sb="16" eb="18">
      <t>イライ</t>
    </rPh>
    <phoneticPr fontId="8"/>
  </si>
  <si>
    <t>学校生協2026年5月初夏号③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phoneticPr fontId="8"/>
  </si>
  <si>
    <t>5/23ship</t>
    <phoneticPr fontId="8"/>
  </si>
  <si>
    <t>KPORT</t>
    <phoneticPr fontId="8"/>
  </si>
  <si>
    <t>千趣会同色2枚組74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</si>
  <si>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ゆめはん</t>
    <phoneticPr fontId="8"/>
  </si>
  <si>
    <t>千趣会同色2枚組75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</si>
  <si>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過不足分</t>
    <rPh sb="0" eb="4">
      <t>カブソクブン</t>
    </rPh>
    <phoneticPr fontId="2"/>
  </si>
  <si>
    <t>千趣会同色2枚組76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</si>
  <si>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日生協キャロット2026年9月27号￥1180</t>
    <rPh sb="0" eb="3">
      <t>ニッセイキョウ</t>
    </rPh>
    <rPh sb="12" eb="13">
      <t>ネン</t>
    </rPh>
    <rPh sb="14" eb="15">
      <t>ガツ</t>
    </rPh>
    <rPh sb="17" eb="18">
      <t>ゴウ</t>
    </rPh>
    <phoneticPr fontId="8"/>
  </si>
  <si>
    <t>日生協キャロット2026年9月27号差分予測</t>
    <rPh sb="0" eb="2">
      <t>ニッセイ</t>
    </rPh>
    <rPh sb="2" eb="3">
      <t>キョウ</t>
    </rPh>
    <rPh sb="12" eb="13">
      <t>ネン</t>
    </rPh>
    <rPh sb="14" eb="15">
      <t>ガツ</t>
    </rPh>
    <rPh sb="17" eb="18">
      <t>ゴウ</t>
    </rPh>
    <rPh sb="18" eb="22">
      <t>サブンヨソク</t>
    </rPh>
    <phoneticPr fontId="8"/>
  </si>
  <si>
    <t>点8/28、前取9/4、アバウト9/8・15、最終9/23</t>
    <rPh sb="0" eb="1">
      <t>テン</t>
    </rPh>
    <rPh sb="6" eb="8">
      <t>マエトリ</t>
    </rPh>
    <rPh sb="23" eb="25">
      <t>サイシュウ</t>
    </rPh>
    <phoneticPr fontId="8"/>
  </si>
  <si>
    <t>２０２６年７月～→6/3数伝</t>
    <rPh sb="4" eb="5">
      <t>ネン</t>
    </rPh>
    <rPh sb="6" eb="7">
      <t>ガツ</t>
    </rPh>
    <rPh sb="12" eb="14">
      <t>スウデン</t>
    </rPh>
    <phoneticPr fontId="8"/>
  </si>
  <si>
    <t>千趣会同色2枚組77</t>
    <rPh sb="0" eb="3">
      <t>センシュカイ</t>
    </rPh>
    <rPh sb="3" eb="5">
      <t>ドウショク</t>
    </rPh>
    <rPh sb="6" eb="7">
      <t>マイ</t>
    </rPh>
    <rPh sb="7" eb="8">
      <t>グミ</t>
    </rPh>
    <phoneticPr fontId="8"/>
  </si>
  <si>
    <t>7/4ship</t>
    <phoneticPr fontId="8"/>
  </si>
  <si>
    <t>パルシステム　きなり流8月1回2色組￥2180</t>
    <rPh sb="10" eb="11">
      <t>リュウ</t>
    </rPh>
    <rPh sb="12" eb="13">
      <t>ガツ</t>
    </rPh>
    <rPh sb="14" eb="15">
      <t>カイ</t>
    </rPh>
    <rPh sb="16" eb="18">
      <t>ショクグミ</t>
    </rPh>
    <phoneticPr fontId="8"/>
  </si>
  <si>
    <t>パルシステム　コトコト6月4回2180円①</t>
    <rPh sb="12" eb="13">
      <t>ガツ</t>
    </rPh>
    <rPh sb="14" eb="15">
      <t>カイ</t>
    </rPh>
    <rPh sb="19" eb="20">
      <t>エン</t>
    </rPh>
    <phoneticPr fontId="8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</si>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</sst>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6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</font>
    <font>
      <sz val="11"/>
      <color rgb="FF0070C0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41">
    <xf numFmtId="0" fontId="0" fillId="0" borderId="0" xfId="0">
      <alignment vertical="center"/>
    </xf>
    <xf numFmtId="0" fontId="1" fillId="0" borderId="0" xfId="1"/>
    <xf numFmtId="0" fontId="7" fillId="0" borderId="13" xfId="1" applyFont="1" applyBorder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2" xfId="1" applyBorder="1"/>
    <xf numFmtId="0" fontId="6" fillId="0" borderId="24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56" fontId="1" fillId="0" borderId="23" xfId="1" applyNumberFormat="1" applyBorder="1" applyAlignment="1">
      <alignment horizontal="center" vertical="center"/>
    </xf>
    <xf numFmtId="0" fontId="1" fillId="0" borderId="9" xfId="1" applyBorder="1" applyAlignment="1">
      <alignment horizontal="center" vertical="center" shrinkToFit="1"/>
    </xf>
    <xf numFmtId="56" fontId="7" fillId="0" borderId="24" xfId="1" applyNumberFormat="1" applyFont="1" applyBorder="1" applyAlignment="1">
      <alignment horizontal="center" vertical="center"/>
    </xf>
    <xf numFmtId="0" fontId="7" fillId="0" borderId="1" xfId="1" applyFont="1" applyBorder="1"/>
    <xf numFmtId="0" fontId="7" fillId="0" borderId="2" xfId="1" applyFont="1" applyBorder="1"/>
    <xf numFmtId="0" fontId="7" fillId="0" borderId="4" xfId="1" applyFont="1" applyBorder="1"/>
    <xf numFmtId="0" fontId="7" fillId="0" borderId="10" xfId="1" applyFont="1" applyBorder="1"/>
    <xf numFmtId="0" fontId="1" fillId="0" borderId="25" xfId="1" applyBorder="1"/>
    <xf numFmtId="0" fontId="1" fillId="0" borderId="26" xfId="1" applyBorder="1"/>
    <xf numFmtId="0" fontId="7" fillId="0" borderId="24" xfId="1" applyFont="1" applyBorder="1" applyAlignment="1">
      <alignment horizontal="center" vertical="center"/>
    </xf>
    <xf numFmtId="0" fontId="7" fillId="0" borderId="14" xfId="1" applyFont="1" applyBorder="1"/>
    <xf numFmtId="0" fontId="7" fillId="0" borderId="11" xfId="1" applyFont="1" applyBorder="1"/>
    <xf numFmtId="0" fontId="7" fillId="0" borderId="12" xfId="1" applyFont="1" applyBorder="1"/>
    <xf numFmtId="0" fontId="9" fillId="0" borderId="0" xfId="0" applyFont="1">
      <alignment vertical="center"/>
    </xf>
    <xf numFmtId="0" fontId="1" fillId="0" borderId="24" xfId="1" applyBorder="1" applyAlignment="1">
      <alignment horizontal="center" vertical="center"/>
    </xf>
    <xf numFmtId="0" fontId="1" fillId="0" borderId="11" xfId="1" applyBorder="1"/>
    <xf numFmtId="0" fontId="1" fillId="0" borderId="12" xfId="1" applyBorder="1"/>
    <xf numFmtId="0" fontId="1" fillId="0" borderId="27" xfId="1" applyBorder="1"/>
    <xf numFmtId="0" fontId="1" fillId="0" borderId="10" xfId="1" applyBorder="1"/>
    <xf numFmtId="0" fontId="1" fillId="0" borderId="14" xfId="1" applyBorder="1"/>
    <xf numFmtId="0" fontId="1" fillId="0" borderId="30" xfId="1" applyBorder="1"/>
    <xf numFmtId="0" fontId="1" fillId="0" borderId="29" xfId="1" applyBorder="1"/>
    <xf numFmtId="0" fontId="1" fillId="0" borderId="31" xfId="1" applyBorder="1"/>
    <xf numFmtId="0" fontId="1" fillId="0" borderId="32" xfId="1" applyBorder="1"/>
    <xf numFmtId="0" fontId="1" fillId="0" borderId="33" xfId="1" applyBorder="1"/>
    <xf numFmtId="0" fontId="1" fillId="0" borderId="34" xfId="1" applyBorder="1"/>
    <xf numFmtId="0" fontId="7" fillId="0" borderId="3" xfId="1" applyFont="1" applyBorder="1"/>
    <xf numFmtId="0" fontId="10" fillId="0" borderId="0" xfId="0" applyFont="1">
      <alignment vertical="center"/>
    </xf>
    <xf numFmtId="0" fontId="7" fillId="0" borderId="6" xfId="1" applyFont="1" applyBorder="1"/>
    <xf numFmtId="0" fontId="7" fillId="0" borderId="7" xfId="1" applyFont="1" applyBorder="1"/>
    <xf numFmtId="0" fontId="7" fillId="0" borderId="9" xfId="1" applyFont="1" applyBorder="1"/>
    <xf numFmtId="0" fontId="1" fillId="0" borderId="35" xfId="1" applyBorder="1"/>
    <xf numFmtId="0" fontId="1" fillId="0" borderId="36" xfId="1" applyBorder="1"/>
    <xf numFmtId="0" fontId="1" fillId="0" borderId="37" xfId="1" applyBorder="1"/>
    <xf numFmtId="0" fontId="1" fillId="0" borderId="21" xfId="1" applyBorder="1"/>
    <xf numFmtId="56" fontId="0" fillId="0" borderId="0" xfId="0" applyNumberFormat="1">
      <alignment vertical="center"/>
    </xf>
    <xf numFmtId="0" fontId="1" fillId="0" borderId="5" xfId="1" applyBorder="1" applyAlignment="1">
      <alignment horizontal="center" vertical="center" shrinkToFit="1"/>
    </xf>
    <xf numFmtId="56" fontId="7" fillId="0" borderId="23" xfId="1" applyNumberFormat="1" applyFont="1" applyBorder="1" applyAlignment="1">
      <alignment horizontal="center" vertical="center"/>
    </xf>
    <xf numFmtId="0" fontId="7" fillId="0" borderId="29" xfId="1" applyFont="1" applyBorder="1"/>
    <xf numFmtId="176" fontId="0" fillId="0" borderId="0" xfId="0" applyNumberFormat="1">
      <alignment vertical="center"/>
    </xf>
    <xf numFmtId="0" fontId="6" fillId="0" borderId="1" xfId="1" applyFont="1" applyBorder="1"/>
    <xf numFmtId="0" fontId="6" fillId="0" borderId="2" xfId="1" applyFont="1" applyBorder="1"/>
    <xf numFmtId="0" fontId="6" fillId="0" borderId="3" xfId="1" applyFont="1" applyBorder="1"/>
    <xf numFmtId="0" fontId="1" fillId="0" borderId="38" xfId="1" applyBorder="1"/>
    <xf numFmtId="0" fontId="1" fillId="0" borderId="39" xfId="1" applyBorder="1"/>
    <xf numFmtId="0" fontId="7" fillId="0" borderId="40" xfId="1" applyFont="1" applyBorder="1"/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41" xfId="1" applyBorder="1"/>
    <xf numFmtId="0" fontId="7" fillId="0" borderId="39" xfId="1" applyFont="1" applyBorder="1"/>
    <xf numFmtId="0" fontId="7" fillId="0" borderId="42" xfId="1" applyFont="1" applyBorder="1"/>
    <xf numFmtId="0" fontId="7" fillId="0" borderId="43" xfId="1" applyFont="1" applyBorder="1"/>
    <xf numFmtId="0" fontId="11" fillId="0" borderId="9" xfId="1" applyFont="1" applyBorder="1" applyAlignment="1">
      <alignment horizontal="center" vertical="center" shrinkToFit="1"/>
    </xf>
    <xf numFmtId="0" fontId="13" fillId="0" borderId="0" xfId="0" applyFont="1">
      <alignment vertical="center"/>
    </xf>
    <xf numFmtId="176" fontId="14" fillId="0" borderId="0" xfId="0" applyNumberFormat="1" applyFont="1">
      <alignment vertical="center"/>
    </xf>
    <xf numFmtId="176" fontId="13" fillId="0" borderId="0" xfId="0" applyNumberFormat="1" applyFont="1">
      <alignment vertical="center"/>
    </xf>
    <xf numFmtId="0" fontId="15" fillId="0" borderId="9" xfId="1" applyFont="1" applyBorder="1"/>
    <xf numFmtId="0" fontId="15" fillId="0" borderId="39" xfId="1" applyFont="1" applyBorder="1"/>
    <xf numFmtId="56" fontId="15" fillId="0" borderId="23" xfId="1" applyNumberFormat="1" applyFont="1" applyBorder="1" applyAlignment="1">
      <alignment horizontal="center" vertical="center"/>
    </xf>
    <xf numFmtId="0" fontId="15" fillId="0" borderId="25" xfId="1" applyFont="1" applyBorder="1"/>
    <xf numFmtId="0" fontId="15" fillId="0" borderId="26" xfId="1" applyFont="1" applyBorder="1"/>
    <xf numFmtId="0" fontId="15" fillId="0" borderId="32" xfId="1" applyFont="1" applyBorder="1"/>
    <xf numFmtId="0" fontId="15" fillId="0" borderId="22" xfId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56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28" xfId="1" applyBorder="1"/>
    <xf numFmtId="0" fontId="1" fillId="0" borderId="44" xfId="1" applyBorder="1"/>
    <xf numFmtId="0" fontId="1" fillId="0" borderId="5" xfId="1" applyBorder="1"/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9" xfId="1" applyFont="1" applyBorder="1" applyAlignment="1">
      <alignment horizontal="center" vertical="center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39" xfId="1" applyFont="1" applyBorder="1"/>
    <xf numFmtId="0" fontId="17" fillId="0" borderId="0" xfId="0" applyFont="1" applyAlignment="1">
      <alignment horizontal="left" vertical="center"/>
    </xf>
    <xf numFmtId="56" fontId="1" fillId="0" borderId="9" xfId="1" applyNumberFormat="1" applyBorder="1" applyAlignment="1">
      <alignment horizontal="center" vertical="center" shrinkToFit="1"/>
    </xf>
    <xf numFmtId="0" fontId="1" fillId="0" borderId="45" xfId="1" applyBorder="1"/>
    <xf numFmtId="1" fontId="13" fillId="0" borderId="0" xfId="0" applyNumberFormat="1" applyFont="1">
      <alignment vertical="center"/>
    </xf>
    <xf numFmtId="0" fontId="7" fillId="0" borderId="46" xfId="1" applyFont="1" applyBorder="1"/>
    <xf numFmtId="56" fontId="0" fillId="0" borderId="0" xfId="0" applyNumberFormat="1" applyAlignment="1">
      <alignment horizontal="left" vertical="center"/>
    </xf>
    <xf numFmtId="1" fontId="16" fillId="0" borderId="0" xfId="0" applyNumberFormat="1" applyFont="1">
      <alignment vertical="center"/>
    </xf>
    <xf numFmtId="0" fontId="11" fillId="0" borderId="9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" fillId="0" borderId="47" xfId="1" applyBorder="1"/>
    <xf numFmtId="0" fontId="1" fillId="0" borderId="48" xfId="1" applyBorder="1"/>
    <xf numFmtId="0" fontId="1" fillId="0" borderId="23" xfId="1" applyBorder="1"/>
    <xf numFmtId="0" fontId="5" fillId="0" borderId="9" xfId="1" applyFont="1" applyBorder="1" applyAlignment="1">
      <alignment horizontal="center" vertical="center" shrinkToFit="1"/>
    </xf>
    <xf numFmtId="0" fontId="1" fillId="0" borderId="21" xfId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1" fillId="0" borderId="38" xfId="1" applyBorder="1" applyAlignment="1">
      <alignment horizontal="center" vertical="center"/>
    </xf>
    <xf numFmtId="0" fontId="7" fillId="0" borderId="0" xfId="1" applyFont="1"/>
    <xf numFmtId="0" fontId="18" fillId="0" borderId="22" xfId="1" applyFont="1" applyBorder="1" applyAlignment="1">
      <alignment horizontal="center" vertical="center" shrinkToFit="1"/>
    </xf>
    <xf numFmtId="0" fontId="10" fillId="0" borderId="44" xfId="0" applyFont="1" applyBorder="1" applyAlignment="1">
      <alignment horizontal="center" vertical="center"/>
    </xf>
    <xf numFmtId="56" fontId="20" fillId="0" borderId="23" xfId="1" applyNumberFormat="1" applyFont="1" applyBorder="1" applyAlignment="1">
      <alignment horizontal="center" vertical="center"/>
    </xf>
    <xf numFmtId="0" fontId="20" fillId="0" borderId="6" xfId="1" applyFont="1" applyBorder="1"/>
    <xf numFmtId="0" fontId="20" fillId="0" borderId="7" xfId="1" applyFont="1" applyBorder="1"/>
    <xf numFmtId="0" fontId="20" fillId="0" borderId="29" xfId="1" applyFont="1" applyBorder="1"/>
    <xf numFmtId="0" fontId="20" fillId="0" borderId="9" xfId="1" applyFont="1" applyBorder="1"/>
    <xf numFmtId="56" fontId="21" fillId="0" borderId="0" xfId="0" applyNumberFormat="1" applyFont="1" applyAlignment="1">
      <alignment horizontal="left" vertical="center"/>
    </xf>
    <xf numFmtId="0" fontId="20" fillId="0" borderId="39" xfId="1" applyFont="1" applyBorder="1"/>
    <xf numFmtId="0" fontId="21" fillId="0" borderId="0" xfId="0" applyFont="1" applyAlignment="1">
      <alignment horizontal="left" vertical="center"/>
    </xf>
    <xf numFmtId="0" fontId="20" fillId="0" borderId="23" xfId="1" applyFont="1" applyBorder="1" applyAlignment="1">
      <alignment horizontal="center" vertical="center"/>
    </xf>
    <xf numFmtId="56" fontId="10" fillId="0" borderId="44" xfId="0" applyNumberFormat="1" applyFont="1" applyBorder="1" applyAlignment="1">
      <alignment horizontal="left" vertical="center"/>
    </xf>
    <xf numFmtId="0" fontId="4" fillId="0" borderId="5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7" fillId="0" borderId="0" xfId="1" applyNumberFormat="1" applyFont="1"/>
    <xf numFmtId="0" fontId="7" fillId="0" borderId="28" xfId="1" applyFont="1" applyBorder="1"/>
    <xf numFmtId="0" fontId="13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9" xfId="0" applyFont="1" applyBorder="1" applyAlignment="1">
      <alignment horizontal="center" vertical="center"/>
    </xf>
    <xf numFmtId="56" fontId="1" fillId="0" borderId="39" xfId="1" applyNumberForma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4" fillId="0" borderId="15" xfId="1" applyFont="1" applyBorder="1"/>
    <xf numFmtId="0" fontId="4" fillId="0" borderId="16" xfId="1" applyFont="1" applyBorder="1"/>
    <xf numFmtId="0" fontId="4" fillId="0" borderId="17" xfId="1" applyFont="1" applyBorder="1"/>
    <xf numFmtId="0" fontId="10" fillId="0" borderId="49" xfId="0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>
      <alignment vertical="center"/>
    </xf>
    <xf numFmtId="0" fontId="7" fillId="0" borderId="44" xfId="1" applyFont="1" applyBorder="1"/>
    <xf numFmtId="0" fontId="1" fillId="0" borderId="52" xfId="1" applyBorder="1"/>
    <xf numFmtId="0" fontId="1" fillId="0" borderId="53" xfId="1" applyBorder="1"/>
    <xf numFmtId="0" fontId="1" fillId="0" borderId="54" xfId="1" applyBorder="1"/>
    <xf numFmtId="0" fontId="4" fillId="0" borderId="9" xfId="1" applyFont="1" applyBorder="1" applyAlignment="1">
      <alignment horizontal="center" vertical="center" shrinkToFit="1"/>
    </xf>
    <xf numFmtId="0" fontId="7" fillId="0" borderId="8" xfId="1" applyFont="1" applyBorder="1"/>
    <xf numFmtId="0" fontId="7" fillId="0" borderId="45" xfId="1" applyFont="1" applyBorder="1"/>
    <xf numFmtId="0" fontId="15" fillId="0" borderId="6" xfId="1" applyFont="1" applyBorder="1"/>
    <xf numFmtId="0" fontId="15" fillId="0" borderId="7" xfId="1" applyFont="1" applyBorder="1"/>
    <xf numFmtId="0" fontId="15" fillId="0" borderId="8" xfId="1" applyFont="1" applyBorder="1"/>
    <xf numFmtId="0" fontId="15" fillId="0" borderId="45" xfId="1" applyFont="1" applyBorder="1"/>
    <xf numFmtId="56" fontId="14" fillId="0" borderId="0" xfId="0" applyNumberFormat="1" applyFont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176" fontId="9" fillId="0" borderId="0" xfId="0" applyNumberFormat="1" applyFont="1">
      <alignment vertical="center"/>
    </xf>
    <xf numFmtId="0" fontId="1" fillId="0" borderId="59" xfId="1" applyBorder="1"/>
    <xf numFmtId="0" fontId="4" fillId="0" borderId="30" xfId="1" applyFont="1" applyBorder="1"/>
    <xf numFmtId="0" fontId="4" fillId="0" borderId="33" xfId="1" applyFont="1" applyBorder="1"/>
    <xf numFmtId="0" fontId="4" fillId="0" borderId="34" xfId="1" applyFont="1" applyBorder="1"/>
    <xf numFmtId="0" fontId="4" fillId="0" borderId="55" xfId="1" applyFont="1" applyBorder="1"/>
    <xf numFmtId="0" fontId="4" fillId="0" borderId="5" xfId="1" applyFont="1" applyBorder="1"/>
    <xf numFmtId="0" fontId="4" fillId="0" borderId="56" xfId="1" applyFont="1" applyBorder="1"/>
    <xf numFmtId="0" fontId="17" fillId="0" borderId="23" xfId="0" applyFont="1" applyBorder="1">
      <alignment vertical="center"/>
    </xf>
    <xf numFmtId="0" fontId="17" fillId="0" borderId="7" xfId="0" applyFont="1" applyBorder="1">
      <alignment vertical="center"/>
    </xf>
    <xf numFmtId="0" fontId="17" fillId="0" borderId="50" xfId="0" applyFont="1" applyBorder="1">
      <alignment vertical="center"/>
    </xf>
    <xf numFmtId="0" fontId="1" fillId="0" borderId="51" xfId="1" applyBorder="1"/>
    <xf numFmtId="0" fontId="20" fillId="0" borderId="18" xfId="1" applyFont="1" applyBorder="1"/>
    <xf numFmtId="0" fontId="20" fillId="0" borderId="19" xfId="1" applyFont="1" applyBorder="1"/>
    <xf numFmtId="0" fontId="20" fillId="0" borderId="30" xfId="1" applyFont="1" applyBorder="1"/>
    <xf numFmtId="0" fontId="20" fillId="0" borderId="9" xfId="1" applyFont="1" applyBorder="1" applyAlignment="1">
      <alignment horizontal="center" vertical="center" shrinkToFit="1"/>
    </xf>
    <xf numFmtId="0" fontId="20" fillId="0" borderId="15" xfId="1" applyFont="1" applyBorder="1"/>
    <xf numFmtId="0" fontId="20" fillId="0" borderId="16" xfId="1" applyFont="1" applyBorder="1"/>
    <xf numFmtId="0" fontId="20" fillId="0" borderId="17" xfId="1" applyFont="1" applyBorder="1"/>
    <xf numFmtId="0" fontId="20" fillId="0" borderId="54" xfId="1" applyFont="1" applyBorder="1"/>
    <xf numFmtId="0" fontId="4" fillId="0" borderId="45" xfId="1" applyFont="1" applyBorder="1"/>
    <xf numFmtId="0" fontId="1" fillId="0" borderId="57" xfId="1" applyBorder="1"/>
    <xf numFmtId="0" fontId="20" fillId="0" borderId="8" xfId="1" applyFont="1" applyBorder="1"/>
    <xf numFmtId="0" fontId="20" fillId="0" borderId="45" xfId="1" applyFont="1" applyBorder="1"/>
    <xf numFmtId="0" fontId="20" fillId="0" borderId="5" xfId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9" fillId="0" borderId="7" xfId="0" applyFont="1" applyBorder="1">
      <alignment vertical="center"/>
    </xf>
    <xf numFmtId="0" fontId="9" fillId="0" borderId="19" xfId="0" applyFont="1" applyBorder="1">
      <alignment vertical="center"/>
    </xf>
    <xf numFmtId="0" fontId="13" fillId="0" borderId="60" xfId="0" applyFont="1" applyBorder="1">
      <alignment vertical="center"/>
    </xf>
    <xf numFmtId="0" fontId="22" fillId="0" borderId="36" xfId="1" applyFont="1" applyBorder="1" applyAlignment="1">
      <alignment horizontal="center" vertical="center"/>
    </xf>
    <xf numFmtId="0" fontId="23" fillId="0" borderId="36" xfId="0" applyFont="1" applyBorder="1">
      <alignment vertical="center"/>
    </xf>
    <xf numFmtId="0" fontId="24" fillId="0" borderId="36" xfId="1" applyFont="1" applyBorder="1"/>
    <xf numFmtId="0" fontId="23" fillId="0" borderId="0" xfId="0" applyFont="1" applyAlignment="1">
      <alignment horizontal="left" vertical="center"/>
    </xf>
    <xf numFmtId="0" fontId="25" fillId="0" borderId="7" xfId="0" applyFont="1" applyBorder="1" applyAlignment="1">
      <alignment horizontal="center" vertical="center"/>
    </xf>
    <xf numFmtId="0" fontId="23" fillId="0" borderId="7" xfId="0" applyFont="1" applyBorder="1">
      <alignment vertical="center"/>
    </xf>
    <xf numFmtId="0" fontId="23" fillId="0" borderId="19" xfId="0" applyFont="1" applyBorder="1">
      <alignment vertical="center"/>
    </xf>
    <xf numFmtId="0" fontId="20" fillId="0" borderId="33" xfId="1" applyFont="1" applyBorder="1"/>
    <xf numFmtId="0" fontId="20" fillId="0" borderId="34" xfId="1" applyFont="1" applyBorder="1"/>
    <xf numFmtId="0" fontId="20" fillId="0" borderId="41" xfId="1" applyFont="1" applyBorder="1"/>
    <xf numFmtId="0" fontId="20" fillId="0" borderId="14" xfId="1" applyFont="1" applyBorder="1"/>
    <xf numFmtId="0" fontId="20" fillId="0" borderId="11" xfId="1" applyFont="1" applyBorder="1"/>
    <xf numFmtId="0" fontId="20" fillId="0" borderId="12" xfId="1" applyFont="1" applyBorder="1"/>
    <xf numFmtId="0" fontId="20" fillId="0" borderId="27" xfId="1" applyFont="1" applyBorder="1"/>
    <xf numFmtId="0" fontId="20" fillId="0" borderId="38" xfId="1" applyFont="1" applyBorder="1"/>
    <xf numFmtId="0" fontId="20" fillId="0" borderId="21" xfId="1" applyFont="1" applyBorder="1"/>
    <xf numFmtId="56" fontId="9" fillId="0" borderId="0" xfId="0" applyNumberFormat="1" applyFont="1" applyAlignment="1">
      <alignment horizontal="left" vertical="center"/>
    </xf>
    <xf numFmtId="0" fontId="15" fillId="0" borderId="5" xfId="1" applyFont="1" applyBorder="1" applyAlignment="1">
      <alignment horizontal="center" vertical="center"/>
    </xf>
    <xf numFmtId="176" fontId="1" fillId="0" borderId="0" xfId="1" applyNumberFormat="1"/>
    <xf numFmtId="0" fontId="15" fillId="0" borderId="0" xfId="1" applyFont="1" applyAlignment="1">
      <alignment horizontal="center" vertical="center"/>
    </xf>
    <xf numFmtId="0" fontId="15" fillId="0" borderId="9" xfId="1" applyFont="1" applyBorder="1" applyAlignment="1">
      <alignment horizontal="center" vertical="center" shrinkToFit="1"/>
    </xf>
    <xf numFmtId="0" fontId="7" fillId="0" borderId="9" xfId="1" applyFont="1" applyBorder="1" applyAlignment="1">
      <alignment horizontal="center" vertical="center" shrinkToFit="1"/>
    </xf>
    <xf numFmtId="0" fontId="20" fillId="0" borderId="9" xfId="1" applyFont="1" applyBorder="1" applyAlignment="1">
      <alignment horizontal="center" vertical="center"/>
    </xf>
    <xf numFmtId="0" fontId="7" fillId="0" borderId="35" xfId="1" applyFont="1" applyBorder="1"/>
    <xf numFmtId="0" fontId="7" fillId="0" borderId="36" xfId="1" applyFont="1" applyBorder="1"/>
    <xf numFmtId="0" fontId="7" fillId="0" borderId="37" xfId="1" applyFont="1" applyBorder="1"/>
    <xf numFmtId="0" fontId="7" fillId="0" borderId="52" xfId="1" applyFont="1" applyBorder="1"/>
    <xf numFmtId="0" fontId="7" fillId="0" borderId="21" xfId="1" applyFont="1" applyBorder="1"/>
    <xf numFmtId="0" fontId="1" fillId="0" borderId="14" xfId="1" applyBorder="1" applyAlignment="1">
      <alignment horizontal="center" vertical="center"/>
    </xf>
    <xf numFmtId="0" fontId="1" fillId="0" borderId="49" xfId="1" applyBorder="1" applyAlignment="1">
      <alignment horizontal="center" vertical="center"/>
    </xf>
    <xf numFmtId="0" fontId="3" fillId="0" borderId="58" xfId="1" applyFont="1" applyBorder="1" applyAlignment="1">
      <alignment horizont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/>
    </xf>
    <xf numFmtId="0" fontId="4" fillId="2" borderId="43" xfId="1" applyFont="1" applyFill="1" applyBorder="1" applyAlignment="1">
      <alignment horizontal="center" vertical="center"/>
    </xf>
    <xf numFmtId="0" fontId="4" fillId="2" borderId="46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90"/>
  <sheetViews>
    <sheetView tabSelected="1" topLeftCell="A1132" zoomScaleNormal="100" workbookViewId="0">
      <selection activeCell="A1140" sqref="A1140"/>
    </sheetView>
  </sheetViews>
  <sheetFormatPr defaultRowHeight="13.5" x14ac:dyDescent="0.15"/>
  <cols>
    <col min="1" max="1" width="38.875" customWidth="1"/>
    <col min="2" max="10" width="8" customWidth="1"/>
    <col min="11" max="11" width="9.25" style="88" bestFit="1" customWidth="1"/>
    <col min="12" max="12" width="47.25" customWidth="1"/>
    <col min="13" max="21" width="8" customWidth="1"/>
    <col min="22" max="22" width="17.875" style="88" customWidth="1"/>
  </cols>
  <sheetData>
    <row r="1" spans="1:23" ht="19.5" thickBot="1" x14ac:dyDescent="0.25">
      <c r="A1" s="3" t="s">
        <v>21</v>
      </c>
      <c r="B1" s="1"/>
      <c r="C1" s="1"/>
      <c r="D1" s="1"/>
      <c r="E1" s="1"/>
      <c r="F1" s="1"/>
      <c r="G1" s="1"/>
      <c r="H1" s="1"/>
      <c r="I1" s="1"/>
      <c r="J1" s="1"/>
      <c r="L1" s="3" t="s">
        <v>22</v>
      </c>
      <c r="M1" s="1"/>
      <c r="N1" s="1"/>
      <c r="O1" s="1"/>
      <c r="P1" s="1"/>
      <c r="Q1" s="1"/>
      <c r="R1" s="1"/>
      <c r="S1" s="1"/>
      <c r="T1" s="1"/>
      <c r="U1" s="1"/>
    </row>
    <row r="2" spans="1:23" ht="14.25" thickBot="1" x14ac:dyDescent="0.2">
      <c r="A2" s="8" t="s">
        <v>0</v>
      </c>
      <c r="B2" s="227" t="s">
        <v>19</v>
      </c>
      <c r="C2" s="228"/>
      <c r="D2" s="228"/>
      <c r="E2" s="229"/>
      <c r="F2" s="230" t="s">
        <v>20</v>
      </c>
      <c r="G2" s="231"/>
      <c r="H2" s="231"/>
      <c r="I2" s="232"/>
      <c r="J2" s="233" t="s">
        <v>1</v>
      </c>
      <c r="L2" s="8" t="s">
        <v>0</v>
      </c>
      <c r="M2" s="227" t="s">
        <v>19</v>
      </c>
      <c r="N2" s="228"/>
      <c r="O2" s="228"/>
      <c r="P2" s="229"/>
      <c r="Q2" s="230" t="s">
        <v>20</v>
      </c>
      <c r="R2" s="231"/>
      <c r="S2" s="231"/>
      <c r="T2" s="232"/>
      <c r="U2" s="233" t="s">
        <v>1</v>
      </c>
    </row>
    <row r="3" spans="1:23" ht="14.25" thickBot="1" x14ac:dyDescent="0.2">
      <c r="A3" s="8" t="s">
        <v>2</v>
      </c>
      <c r="B3" s="4" t="s">
        <v>3</v>
      </c>
      <c r="C3" s="5" t="s">
        <v>4</v>
      </c>
      <c r="D3" s="6" t="s">
        <v>5</v>
      </c>
      <c r="E3" s="8" t="s">
        <v>6</v>
      </c>
      <c r="F3" s="4" t="s">
        <v>3</v>
      </c>
      <c r="G3" s="5" t="s">
        <v>4</v>
      </c>
      <c r="H3" s="6" t="s">
        <v>5</v>
      </c>
      <c r="I3" s="8" t="s">
        <v>6</v>
      </c>
      <c r="J3" s="234"/>
      <c r="L3" s="8" t="s">
        <v>2</v>
      </c>
      <c r="M3" s="4" t="s">
        <v>3</v>
      </c>
      <c r="N3" s="5" t="s">
        <v>4</v>
      </c>
      <c r="O3" s="6" t="s">
        <v>5</v>
      </c>
      <c r="P3" s="8" t="s">
        <v>6</v>
      </c>
      <c r="Q3" s="4" t="s">
        <v>3</v>
      </c>
      <c r="R3" s="5" t="s">
        <v>4</v>
      </c>
      <c r="S3" s="6" t="s">
        <v>5</v>
      </c>
      <c r="T3" s="8" t="s">
        <v>6</v>
      </c>
      <c r="U3" s="234"/>
    </row>
    <row r="4" spans="1:23" ht="14.25" thickBot="1" x14ac:dyDescent="0.2">
      <c r="A4" s="25" t="s">
        <v>7</v>
      </c>
      <c r="B4" s="34">
        <v>0</v>
      </c>
      <c r="C4" s="35">
        <v>0</v>
      </c>
      <c r="D4" s="2">
        <v>0</v>
      </c>
      <c r="E4" s="33">
        <f t="shared" ref="E4:E10" si="0">SUM(B4:D4)</f>
        <v>0</v>
      </c>
      <c r="F4" s="34">
        <v>0</v>
      </c>
      <c r="G4" s="35">
        <v>0</v>
      </c>
      <c r="H4" s="2">
        <v>0</v>
      </c>
      <c r="I4" s="33">
        <f t="shared" ref="I4:I10" si="1">SUM(F4:H4)</f>
        <v>0</v>
      </c>
      <c r="J4" s="33">
        <f>E4+I4</f>
        <v>0</v>
      </c>
      <c r="K4" s="90"/>
      <c r="L4" s="25" t="s">
        <v>7</v>
      </c>
      <c r="M4" s="34">
        <v>0</v>
      </c>
      <c r="N4" s="35">
        <v>0</v>
      </c>
      <c r="O4" s="2">
        <v>0</v>
      </c>
      <c r="P4" s="33">
        <f t="shared" ref="P4:P10" si="2">SUM(M4:O4)</f>
        <v>0</v>
      </c>
      <c r="Q4" s="34">
        <v>0</v>
      </c>
      <c r="R4" s="35">
        <v>0</v>
      </c>
      <c r="S4" s="2">
        <v>0</v>
      </c>
      <c r="T4" s="33">
        <f t="shared" ref="T4:T10" si="3">SUM(Q4:S4)</f>
        <v>0</v>
      </c>
      <c r="U4" s="33">
        <f>P4+T4</f>
        <v>0</v>
      </c>
    </row>
    <row r="5" spans="1:23" x14ac:dyDescent="0.15">
      <c r="A5" s="23" t="s">
        <v>8</v>
      </c>
      <c r="B5" s="38">
        <v>5</v>
      </c>
      <c r="C5" s="39">
        <v>5</v>
      </c>
      <c r="D5" s="40">
        <v>5</v>
      </c>
      <c r="E5" s="42">
        <f t="shared" si="0"/>
        <v>15</v>
      </c>
      <c r="F5" s="38">
        <v>5</v>
      </c>
      <c r="G5" s="39">
        <v>5</v>
      </c>
      <c r="H5" s="40">
        <v>5</v>
      </c>
      <c r="I5" s="66">
        <f t="shared" si="1"/>
        <v>15</v>
      </c>
      <c r="J5" s="57">
        <f t="shared" ref="J5:J41" si="4">E5+I5</f>
        <v>30</v>
      </c>
      <c r="K5" s="90">
        <v>44606</v>
      </c>
      <c r="L5" s="23" t="s">
        <v>8</v>
      </c>
      <c r="M5" s="38"/>
      <c r="N5" s="39"/>
      <c r="O5" s="40"/>
      <c r="P5" s="42">
        <f t="shared" si="2"/>
        <v>0</v>
      </c>
      <c r="Q5" s="38"/>
      <c r="R5" s="39"/>
      <c r="S5" s="40"/>
      <c r="T5" s="66">
        <f t="shared" si="3"/>
        <v>0</v>
      </c>
      <c r="U5" s="57">
        <f t="shared" ref="U5:U41" si="5">P5+T5</f>
        <v>0</v>
      </c>
      <c r="V5" s="89"/>
    </row>
    <row r="6" spans="1:23" x14ac:dyDescent="0.15">
      <c r="A6" s="23" t="s">
        <v>9</v>
      </c>
      <c r="B6" s="9">
        <v>3</v>
      </c>
      <c r="C6" s="10">
        <v>5</v>
      </c>
      <c r="D6" s="44"/>
      <c r="E6" s="12">
        <f t="shared" si="0"/>
        <v>8</v>
      </c>
      <c r="F6" s="9">
        <v>5</v>
      </c>
      <c r="G6" s="10">
        <v>5</v>
      </c>
      <c r="H6" s="44"/>
      <c r="I6" s="67">
        <f t="shared" si="1"/>
        <v>10</v>
      </c>
      <c r="J6" s="12">
        <f t="shared" si="4"/>
        <v>18</v>
      </c>
      <c r="K6" s="90">
        <v>44638</v>
      </c>
      <c r="L6" s="23" t="s">
        <v>23</v>
      </c>
      <c r="M6" s="9">
        <v>500</v>
      </c>
      <c r="N6" s="10">
        <v>600</v>
      </c>
      <c r="O6" s="44">
        <v>400</v>
      </c>
      <c r="P6" s="12">
        <f t="shared" si="2"/>
        <v>1500</v>
      </c>
      <c r="Q6" s="9">
        <v>500</v>
      </c>
      <c r="R6" s="10">
        <v>600</v>
      </c>
      <c r="S6" s="44">
        <v>400</v>
      </c>
      <c r="T6" s="12">
        <f t="shared" si="3"/>
        <v>1500</v>
      </c>
      <c r="U6" s="12">
        <f t="shared" si="5"/>
        <v>3000</v>
      </c>
      <c r="V6" s="89" t="s">
        <v>37</v>
      </c>
      <c r="W6" s="50"/>
    </row>
    <row r="7" spans="1:23" x14ac:dyDescent="0.15">
      <c r="A7" s="23" t="s">
        <v>10</v>
      </c>
      <c r="B7" s="16"/>
      <c r="C7" s="17"/>
      <c r="D7" s="43"/>
      <c r="E7" s="12">
        <f t="shared" si="0"/>
        <v>0</v>
      </c>
      <c r="F7" s="16"/>
      <c r="G7" s="17"/>
      <c r="H7" s="43"/>
      <c r="I7" s="67">
        <f t="shared" si="1"/>
        <v>0</v>
      </c>
      <c r="J7" s="12">
        <f t="shared" si="4"/>
        <v>0</v>
      </c>
      <c r="K7" s="90"/>
      <c r="L7" s="23" t="s">
        <v>24</v>
      </c>
      <c r="M7" s="16">
        <v>300</v>
      </c>
      <c r="N7" s="17">
        <v>400</v>
      </c>
      <c r="O7" s="43">
        <v>300</v>
      </c>
      <c r="P7" s="12">
        <f t="shared" si="2"/>
        <v>1000</v>
      </c>
      <c r="Q7" s="16">
        <v>300</v>
      </c>
      <c r="R7" s="17">
        <v>400</v>
      </c>
      <c r="S7" s="43">
        <v>300</v>
      </c>
      <c r="T7" s="12">
        <f t="shared" si="3"/>
        <v>1000</v>
      </c>
      <c r="U7" s="12">
        <f t="shared" si="5"/>
        <v>2000</v>
      </c>
      <c r="V7" s="89" t="s">
        <v>34</v>
      </c>
      <c r="W7" s="50" t="s">
        <v>36</v>
      </c>
    </row>
    <row r="8" spans="1:23" x14ac:dyDescent="0.15">
      <c r="A8" s="23" t="s">
        <v>11</v>
      </c>
      <c r="B8" s="9"/>
      <c r="C8" s="10"/>
      <c r="D8" s="44"/>
      <c r="E8" s="12">
        <f t="shared" si="0"/>
        <v>0</v>
      </c>
      <c r="F8" s="9"/>
      <c r="G8" s="10"/>
      <c r="H8" s="44"/>
      <c r="I8" s="67">
        <f t="shared" si="1"/>
        <v>0</v>
      </c>
      <c r="J8" s="12">
        <f t="shared" si="4"/>
        <v>0</v>
      </c>
      <c r="K8" s="90"/>
      <c r="L8" s="23" t="s">
        <v>28</v>
      </c>
      <c r="M8" s="9">
        <v>200</v>
      </c>
      <c r="N8" s="10">
        <v>250</v>
      </c>
      <c r="O8" s="44">
        <v>50</v>
      </c>
      <c r="P8" s="12">
        <f t="shared" si="2"/>
        <v>500</v>
      </c>
      <c r="Q8" s="9">
        <v>200</v>
      </c>
      <c r="R8" s="10">
        <v>300</v>
      </c>
      <c r="S8" s="44">
        <v>100</v>
      </c>
      <c r="T8" s="67">
        <f t="shared" si="3"/>
        <v>600</v>
      </c>
      <c r="U8" s="12">
        <f t="shared" si="5"/>
        <v>1100</v>
      </c>
      <c r="V8" s="89" t="s">
        <v>34</v>
      </c>
      <c r="W8" s="50" t="s">
        <v>36</v>
      </c>
    </row>
    <row r="9" spans="1:23" x14ac:dyDescent="0.15">
      <c r="A9" s="23" t="s">
        <v>12</v>
      </c>
      <c r="B9" s="9"/>
      <c r="C9" s="10"/>
      <c r="D9" s="44"/>
      <c r="E9" s="12">
        <f t="shared" si="0"/>
        <v>0</v>
      </c>
      <c r="F9" s="9"/>
      <c r="G9" s="10"/>
      <c r="H9" s="44"/>
      <c r="I9" s="67">
        <f t="shared" si="1"/>
        <v>0</v>
      </c>
      <c r="J9" s="12">
        <f t="shared" si="4"/>
        <v>0</v>
      </c>
      <c r="K9" s="90"/>
      <c r="L9" s="60" t="s">
        <v>33</v>
      </c>
      <c r="M9" s="51">
        <v>16</v>
      </c>
      <c r="N9" s="52">
        <v>-2</v>
      </c>
      <c r="O9" s="61">
        <v>4</v>
      </c>
      <c r="P9" s="53">
        <f t="shared" si="2"/>
        <v>18</v>
      </c>
      <c r="Q9" s="51">
        <v>37</v>
      </c>
      <c r="R9" s="52">
        <v>21</v>
      </c>
      <c r="S9" s="61">
        <v>7</v>
      </c>
      <c r="T9" s="73">
        <f t="shared" si="3"/>
        <v>65</v>
      </c>
      <c r="U9" s="53">
        <f t="shared" si="5"/>
        <v>83</v>
      </c>
      <c r="V9" s="89" t="s">
        <v>34</v>
      </c>
    </row>
    <row r="10" spans="1:23" x14ac:dyDescent="0.15">
      <c r="A10" s="23" t="s">
        <v>13</v>
      </c>
      <c r="B10" s="9"/>
      <c r="C10" s="10"/>
      <c r="D10" s="44"/>
      <c r="E10" s="12">
        <f t="shared" si="0"/>
        <v>0</v>
      </c>
      <c r="F10" s="9"/>
      <c r="G10" s="10"/>
      <c r="H10" s="44"/>
      <c r="I10" s="67">
        <f t="shared" si="1"/>
        <v>0</v>
      </c>
      <c r="J10" s="12">
        <f t="shared" si="4"/>
        <v>0</v>
      </c>
      <c r="K10" s="90"/>
      <c r="L10" s="23" t="s">
        <v>13</v>
      </c>
      <c r="M10" s="9"/>
      <c r="N10" s="10"/>
      <c r="O10" s="44"/>
      <c r="P10" s="12">
        <f t="shared" si="2"/>
        <v>0</v>
      </c>
      <c r="Q10" s="9"/>
      <c r="R10" s="10"/>
      <c r="S10" s="44"/>
      <c r="T10" s="67">
        <f t="shared" si="3"/>
        <v>0</v>
      </c>
      <c r="U10" s="12">
        <f t="shared" si="5"/>
        <v>0</v>
      </c>
      <c r="V10" s="89"/>
    </row>
    <row r="11" spans="1:23" x14ac:dyDescent="0.15">
      <c r="A11" s="23" t="s">
        <v>14</v>
      </c>
      <c r="B11" s="13"/>
      <c r="C11" s="14"/>
      <c r="D11" s="45"/>
      <c r="E11" s="12">
        <f t="shared" ref="E11:E12" si="6">SUM(B11:D11)</f>
        <v>0</v>
      </c>
      <c r="F11" s="13"/>
      <c r="G11" s="14"/>
      <c r="H11" s="45"/>
      <c r="I11" s="67">
        <f t="shared" ref="I11:I12" si="7">SUM(F11:H11)</f>
        <v>0</v>
      </c>
      <c r="J11" s="12">
        <f t="shared" si="4"/>
        <v>0</v>
      </c>
      <c r="K11" s="89"/>
      <c r="L11" s="23" t="s">
        <v>14</v>
      </c>
      <c r="M11" s="13"/>
      <c r="N11" s="14"/>
      <c r="O11" s="45"/>
      <c r="P11" s="12">
        <f t="shared" ref="P11:P12" si="8">SUM(M11:O11)</f>
        <v>0</v>
      </c>
      <c r="Q11" s="13"/>
      <c r="R11" s="14"/>
      <c r="S11" s="45"/>
      <c r="T11" s="67">
        <f t="shared" ref="T11:T12" si="9">SUM(Q11:S11)</f>
        <v>0</v>
      </c>
      <c r="U11" s="12">
        <f t="shared" si="5"/>
        <v>0</v>
      </c>
      <c r="V11" s="89"/>
    </row>
    <row r="12" spans="1:23" ht="14.25" thickBot="1" x14ac:dyDescent="0.2">
      <c r="A12" s="23" t="s">
        <v>15</v>
      </c>
      <c r="B12" s="30"/>
      <c r="C12" s="31"/>
      <c r="D12" s="46"/>
      <c r="E12" s="12">
        <f t="shared" si="6"/>
        <v>0</v>
      </c>
      <c r="F12" s="30"/>
      <c r="G12" s="31"/>
      <c r="H12" s="46"/>
      <c r="I12" s="67">
        <f t="shared" si="7"/>
        <v>0</v>
      </c>
      <c r="J12" s="19">
        <f t="shared" si="4"/>
        <v>0</v>
      </c>
      <c r="K12" s="89"/>
      <c r="L12" s="23" t="s">
        <v>15</v>
      </c>
      <c r="M12" s="13"/>
      <c r="N12" s="14"/>
      <c r="O12" s="45"/>
      <c r="P12" s="12">
        <f t="shared" si="8"/>
        <v>0</v>
      </c>
      <c r="Q12" s="13"/>
      <c r="R12" s="14"/>
      <c r="S12" s="45"/>
      <c r="T12" s="67">
        <f t="shared" si="9"/>
        <v>0</v>
      </c>
      <c r="U12" s="19">
        <f t="shared" si="5"/>
        <v>0</v>
      </c>
      <c r="V12" s="89"/>
    </row>
    <row r="13" spans="1:23" ht="14.25" thickBot="1" x14ac:dyDescent="0.2">
      <c r="A13" s="32" t="s">
        <v>16</v>
      </c>
      <c r="B13" s="26">
        <f>SUM(B5:B12)</f>
        <v>8</v>
      </c>
      <c r="C13" s="27">
        <f>SUM(C5:C12)</f>
        <v>10</v>
      </c>
      <c r="D13" s="28">
        <f>SUM(D5:D12)</f>
        <v>5</v>
      </c>
      <c r="E13" s="29">
        <f t="shared" ref="E13:E19" si="10">SUM(B13:D13)</f>
        <v>23</v>
      </c>
      <c r="F13" s="26">
        <f>SUM(F5:F12)</f>
        <v>10</v>
      </c>
      <c r="G13" s="27">
        <f>SUM(G5:G12)</f>
        <v>10</v>
      </c>
      <c r="H13" s="28">
        <f>SUM(H5:H12)</f>
        <v>5</v>
      </c>
      <c r="I13" s="29">
        <f t="shared" ref="I13:I19" si="11">SUM(F13:H13)</f>
        <v>25</v>
      </c>
      <c r="J13" s="29">
        <f t="shared" si="4"/>
        <v>48</v>
      </c>
      <c r="L13" s="32" t="s">
        <v>16</v>
      </c>
      <c r="M13" s="26">
        <f>SUM(M4:M12)</f>
        <v>1016</v>
      </c>
      <c r="N13" s="27">
        <f t="shared" ref="N13:U13" si="12">SUM(N4:N12)</f>
        <v>1248</v>
      </c>
      <c r="O13" s="49">
        <f t="shared" si="12"/>
        <v>754</v>
      </c>
      <c r="P13" s="75">
        <f t="shared" si="12"/>
        <v>3018</v>
      </c>
      <c r="Q13" s="26">
        <f t="shared" si="12"/>
        <v>1037</v>
      </c>
      <c r="R13" s="27">
        <f t="shared" si="12"/>
        <v>1321</v>
      </c>
      <c r="S13" s="49">
        <f t="shared" si="12"/>
        <v>807</v>
      </c>
      <c r="T13" s="74">
        <f t="shared" si="12"/>
        <v>3165</v>
      </c>
      <c r="U13" s="29">
        <f t="shared" si="12"/>
        <v>6183</v>
      </c>
    </row>
    <row r="14" spans="1:23" x14ac:dyDescent="0.15">
      <c r="A14" s="22" t="s">
        <v>39</v>
      </c>
      <c r="B14" s="54"/>
      <c r="C14" s="55"/>
      <c r="D14" s="56"/>
      <c r="E14" s="42">
        <f t="shared" si="10"/>
        <v>0</v>
      </c>
      <c r="F14" s="54">
        <v>1</v>
      </c>
      <c r="G14" s="55"/>
      <c r="H14" s="56"/>
      <c r="I14" s="66">
        <f t="shared" si="11"/>
        <v>1</v>
      </c>
      <c r="J14" s="57">
        <f t="shared" si="4"/>
        <v>1</v>
      </c>
      <c r="K14" s="90">
        <v>44608</v>
      </c>
      <c r="L14" s="22" t="s">
        <v>38</v>
      </c>
      <c r="M14" s="16">
        <v>5</v>
      </c>
      <c r="N14" s="17">
        <v>5</v>
      </c>
      <c r="O14" s="18">
        <v>5</v>
      </c>
      <c r="P14" s="42">
        <f t="shared" ref="P14:P19" si="13">SUM(M14:O14)</f>
        <v>15</v>
      </c>
      <c r="Q14" s="16">
        <v>5</v>
      </c>
      <c r="R14" s="17">
        <v>5</v>
      </c>
      <c r="S14" s="18">
        <v>5</v>
      </c>
      <c r="T14" s="66">
        <f t="shared" ref="T14:T19" si="14">SUM(Q14:S14)</f>
        <v>15</v>
      </c>
      <c r="U14" s="57">
        <f t="shared" si="5"/>
        <v>30</v>
      </c>
      <c r="V14" s="90">
        <v>44606</v>
      </c>
    </row>
    <row r="15" spans="1:23" x14ac:dyDescent="0.15">
      <c r="A15" s="24" t="s">
        <v>45</v>
      </c>
      <c r="B15" s="16"/>
      <c r="C15" s="17"/>
      <c r="D15" s="18"/>
      <c r="E15" s="12">
        <f t="shared" si="10"/>
        <v>0</v>
      </c>
      <c r="F15" s="16"/>
      <c r="G15" s="17">
        <v>1</v>
      </c>
      <c r="H15" s="18"/>
      <c r="I15" s="67">
        <f t="shared" si="11"/>
        <v>1</v>
      </c>
      <c r="J15" s="12">
        <f t="shared" si="4"/>
        <v>1</v>
      </c>
      <c r="K15" s="90">
        <v>44630</v>
      </c>
      <c r="L15" s="24" t="s">
        <v>40</v>
      </c>
      <c r="M15" s="9">
        <v>10</v>
      </c>
      <c r="N15" s="10">
        <v>10</v>
      </c>
      <c r="O15" s="11">
        <v>10</v>
      </c>
      <c r="P15" s="12">
        <f t="shared" ref="P15" si="15">SUM(M15:O15)</f>
        <v>30</v>
      </c>
      <c r="Q15" s="9">
        <v>10</v>
      </c>
      <c r="R15" s="10">
        <v>10</v>
      </c>
      <c r="S15" s="11">
        <v>10</v>
      </c>
      <c r="T15" s="67">
        <f t="shared" ref="T15" si="16">SUM(Q15:S15)</f>
        <v>30</v>
      </c>
      <c r="U15" s="12">
        <f t="shared" ref="U15" si="17">P15+T15</f>
        <v>60</v>
      </c>
      <c r="V15" s="90">
        <v>44624</v>
      </c>
    </row>
    <row r="16" spans="1:23" x14ac:dyDescent="0.15">
      <c r="A16" s="24" t="s">
        <v>52</v>
      </c>
      <c r="B16" s="9">
        <v>3</v>
      </c>
      <c r="C16" s="10">
        <v>4</v>
      </c>
      <c r="D16" s="11">
        <v>1</v>
      </c>
      <c r="E16" s="12">
        <f t="shared" si="10"/>
        <v>8</v>
      </c>
      <c r="F16" s="9">
        <v>3</v>
      </c>
      <c r="G16" s="10">
        <v>4</v>
      </c>
      <c r="H16" s="11">
        <v>1</v>
      </c>
      <c r="I16" s="67">
        <f t="shared" si="11"/>
        <v>8</v>
      </c>
      <c r="J16" s="12">
        <f t="shared" si="4"/>
        <v>16</v>
      </c>
      <c r="K16" s="90">
        <v>44638</v>
      </c>
      <c r="L16" s="24" t="s">
        <v>41</v>
      </c>
      <c r="M16" s="9">
        <v>30</v>
      </c>
      <c r="N16" s="10">
        <v>50</v>
      </c>
      <c r="O16" s="11">
        <v>30</v>
      </c>
      <c r="P16" s="12">
        <f t="shared" si="13"/>
        <v>110</v>
      </c>
      <c r="Q16" s="9">
        <v>30</v>
      </c>
      <c r="R16" s="10">
        <v>50</v>
      </c>
      <c r="S16" s="11">
        <v>30</v>
      </c>
      <c r="T16" s="67">
        <f t="shared" si="14"/>
        <v>110</v>
      </c>
      <c r="U16" s="12">
        <f t="shared" si="5"/>
        <v>220</v>
      </c>
      <c r="V16" s="90">
        <v>44631</v>
      </c>
    </row>
    <row r="17" spans="1:23" x14ac:dyDescent="0.15">
      <c r="A17" s="24" t="s">
        <v>60</v>
      </c>
      <c r="B17" s="9">
        <v>1</v>
      </c>
      <c r="C17" s="10">
        <v>3</v>
      </c>
      <c r="D17" s="11">
        <v>1</v>
      </c>
      <c r="E17" s="12">
        <f t="shared" si="10"/>
        <v>5</v>
      </c>
      <c r="F17" s="9">
        <v>1</v>
      </c>
      <c r="G17" s="10">
        <v>3</v>
      </c>
      <c r="H17" s="11">
        <v>1</v>
      </c>
      <c r="I17" s="67">
        <f t="shared" si="11"/>
        <v>5</v>
      </c>
      <c r="J17" s="12">
        <f t="shared" si="4"/>
        <v>10</v>
      </c>
      <c r="K17" s="90">
        <v>44644</v>
      </c>
      <c r="L17" s="24" t="s">
        <v>42</v>
      </c>
      <c r="M17" s="9">
        <v>30</v>
      </c>
      <c r="N17" s="10">
        <v>40</v>
      </c>
      <c r="O17" s="11">
        <v>30</v>
      </c>
      <c r="P17" s="12">
        <f t="shared" si="13"/>
        <v>100</v>
      </c>
      <c r="Q17" s="9">
        <v>30</v>
      </c>
      <c r="R17" s="10">
        <v>40</v>
      </c>
      <c r="S17" s="11">
        <v>30</v>
      </c>
      <c r="T17" s="67">
        <f t="shared" si="14"/>
        <v>100</v>
      </c>
      <c r="U17" s="12">
        <f t="shared" si="5"/>
        <v>200</v>
      </c>
      <c r="V17" s="90">
        <v>44631</v>
      </c>
    </row>
    <row r="18" spans="1:23" x14ac:dyDescent="0.15">
      <c r="A18" s="24"/>
      <c r="B18" s="9"/>
      <c r="C18" s="10"/>
      <c r="D18" s="11"/>
      <c r="E18" s="12">
        <f t="shared" si="10"/>
        <v>0</v>
      </c>
      <c r="F18" s="9"/>
      <c r="G18" s="10"/>
      <c r="H18" s="11"/>
      <c r="I18" s="67">
        <f t="shared" si="11"/>
        <v>0</v>
      </c>
      <c r="J18" s="12">
        <f t="shared" si="4"/>
        <v>0</v>
      </c>
      <c r="K18" s="90"/>
      <c r="L18" s="24" t="s">
        <v>43</v>
      </c>
      <c r="M18" s="9">
        <v>2</v>
      </c>
      <c r="N18" s="10">
        <v>2</v>
      </c>
      <c r="O18" s="11">
        <v>2</v>
      </c>
      <c r="P18" s="12">
        <f t="shared" si="13"/>
        <v>6</v>
      </c>
      <c r="Q18" s="9">
        <v>2</v>
      </c>
      <c r="R18" s="10">
        <v>2</v>
      </c>
      <c r="S18" s="11">
        <v>2</v>
      </c>
      <c r="T18" s="67">
        <f t="shared" si="14"/>
        <v>6</v>
      </c>
      <c r="U18" s="12">
        <f t="shared" si="5"/>
        <v>12</v>
      </c>
      <c r="V18" s="90">
        <v>44624</v>
      </c>
    </row>
    <row r="19" spans="1:23" x14ac:dyDescent="0.15">
      <c r="A19" s="24"/>
      <c r="B19" s="9"/>
      <c r="C19" s="10"/>
      <c r="D19" s="11"/>
      <c r="E19" s="12">
        <f t="shared" si="10"/>
        <v>0</v>
      </c>
      <c r="F19" s="9"/>
      <c r="G19" s="10"/>
      <c r="H19" s="11"/>
      <c r="I19" s="67">
        <f t="shared" si="11"/>
        <v>0</v>
      </c>
      <c r="J19" s="12">
        <f t="shared" si="4"/>
        <v>0</v>
      </c>
      <c r="K19" s="108"/>
      <c r="L19" s="24" t="s">
        <v>44</v>
      </c>
      <c r="M19" s="9"/>
      <c r="N19" s="10">
        <v>3</v>
      </c>
      <c r="O19" s="11"/>
      <c r="P19" s="12">
        <f t="shared" si="13"/>
        <v>3</v>
      </c>
      <c r="Q19" s="9"/>
      <c r="R19" s="10">
        <v>3</v>
      </c>
      <c r="S19" s="11"/>
      <c r="T19" s="67">
        <f t="shared" si="14"/>
        <v>3</v>
      </c>
      <c r="U19" s="12">
        <f t="shared" si="5"/>
        <v>6</v>
      </c>
      <c r="V19" s="90">
        <v>44631</v>
      </c>
      <c r="W19" s="50"/>
    </row>
    <row r="20" spans="1:23" x14ac:dyDescent="0.15">
      <c r="A20" s="24"/>
      <c r="B20" s="9"/>
      <c r="C20" s="10"/>
      <c r="D20" s="11"/>
      <c r="E20" s="12">
        <f t="shared" ref="E20:E39" si="18">SUM(B20:D20)</f>
        <v>0</v>
      </c>
      <c r="F20" s="9"/>
      <c r="G20" s="10"/>
      <c r="H20" s="11"/>
      <c r="I20" s="67">
        <f t="shared" ref="I20:I39" si="19">SUM(F20:H20)</f>
        <v>0</v>
      </c>
      <c r="J20" s="12">
        <f t="shared" si="4"/>
        <v>0</v>
      </c>
      <c r="K20" s="90"/>
      <c r="L20" s="24" t="s">
        <v>46</v>
      </c>
      <c r="M20" s="9">
        <v>1</v>
      </c>
      <c r="N20" s="10">
        <v>3</v>
      </c>
      <c r="O20" s="11"/>
      <c r="P20" s="12">
        <f t="shared" ref="P20:P39" si="20">SUM(M20:O20)</f>
        <v>4</v>
      </c>
      <c r="Q20" s="9">
        <v>1</v>
      </c>
      <c r="R20" s="10">
        <v>3</v>
      </c>
      <c r="S20" s="11"/>
      <c r="T20" s="67">
        <f t="shared" ref="T20:T39" si="21">SUM(Q20:S20)</f>
        <v>4</v>
      </c>
      <c r="U20" s="12">
        <f t="shared" si="5"/>
        <v>8</v>
      </c>
      <c r="V20" s="90">
        <v>44634</v>
      </c>
    </row>
    <row r="21" spans="1:23" x14ac:dyDescent="0.15">
      <c r="A21" s="24"/>
      <c r="B21" s="9"/>
      <c r="C21" s="10"/>
      <c r="D21" s="11"/>
      <c r="E21" s="12">
        <f t="shared" si="18"/>
        <v>0</v>
      </c>
      <c r="F21" s="9"/>
      <c r="G21" s="10"/>
      <c r="H21" s="11"/>
      <c r="I21" s="67">
        <f t="shared" si="19"/>
        <v>0</v>
      </c>
      <c r="J21" s="12">
        <f t="shared" si="4"/>
        <v>0</v>
      </c>
      <c r="K21" s="90"/>
      <c r="L21" s="24" t="s">
        <v>49</v>
      </c>
      <c r="M21" s="9">
        <v>2</v>
      </c>
      <c r="N21" s="10">
        <v>5</v>
      </c>
      <c r="O21" s="11">
        <v>7</v>
      </c>
      <c r="P21" s="12">
        <f t="shared" si="20"/>
        <v>14</v>
      </c>
      <c r="Q21" s="9">
        <v>2</v>
      </c>
      <c r="R21" s="10">
        <v>5</v>
      </c>
      <c r="S21" s="11">
        <v>7</v>
      </c>
      <c r="T21" s="67">
        <f t="shared" si="21"/>
        <v>14</v>
      </c>
      <c r="U21" s="12">
        <f t="shared" si="5"/>
        <v>28</v>
      </c>
      <c r="V21" s="90">
        <v>44635</v>
      </c>
    </row>
    <row r="22" spans="1:23" x14ac:dyDescent="0.15">
      <c r="A22" s="22"/>
      <c r="B22" s="9"/>
      <c r="C22" s="10"/>
      <c r="D22" s="11"/>
      <c r="E22" s="12">
        <f t="shared" si="18"/>
        <v>0</v>
      </c>
      <c r="F22" s="9"/>
      <c r="G22" s="10"/>
      <c r="H22" s="11"/>
      <c r="I22" s="67">
        <f t="shared" si="19"/>
        <v>0</v>
      </c>
      <c r="J22" s="12">
        <f t="shared" si="4"/>
        <v>0</v>
      </c>
      <c r="K22" s="90"/>
      <c r="L22" s="24" t="s">
        <v>50</v>
      </c>
      <c r="M22" s="9">
        <v>2</v>
      </c>
      <c r="N22" s="10">
        <v>1</v>
      </c>
      <c r="O22" s="11">
        <v>4</v>
      </c>
      <c r="P22" s="12">
        <f t="shared" si="20"/>
        <v>7</v>
      </c>
      <c r="Q22" s="9">
        <v>2</v>
      </c>
      <c r="R22" s="10">
        <v>1</v>
      </c>
      <c r="S22" s="11">
        <v>4</v>
      </c>
      <c r="T22" s="67">
        <f t="shared" si="21"/>
        <v>7</v>
      </c>
      <c r="U22" s="12">
        <f t="shared" si="5"/>
        <v>14</v>
      </c>
      <c r="V22" s="90">
        <v>44636</v>
      </c>
    </row>
    <row r="23" spans="1:23" x14ac:dyDescent="0.15">
      <c r="A23" s="24"/>
      <c r="B23" s="13"/>
      <c r="C23" s="14"/>
      <c r="D23" s="15"/>
      <c r="E23" s="12">
        <f t="shared" si="18"/>
        <v>0</v>
      </c>
      <c r="F23" s="13"/>
      <c r="G23" s="14"/>
      <c r="H23" s="15"/>
      <c r="I23" s="67">
        <f t="shared" si="19"/>
        <v>0</v>
      </c>
      <c r="J23" s="12">
        <f t="shared" si="4"/>
        <v>0</v>
      </c>
      <c r="K23" s="90"/>
      <c r="L23" s="24" t="s">
        <v>51</v>
      </c>
      <c r="M23" s="13"/>
      <c r="N23" s="14">
        <v>3</v>
      </c>
      <c r="O23" s="15">
        <v>2</v>
      </c>
      <c r="P23" s="12">
        <f t="shared" si="20"/>
        <v>5</v>
      </c>
      <c r="Q23" s="13"/>
      <c r="R23" s="14">
        <v>3</v>
      </c>
      <c r="S23" s="15">
        <v>2</v>
      </c>
      <c r="T23" s="67">
        <f t="shared" si="21"/>
        <v>5</v>
      </c>
      <c r="U23" s="12">
        <f t="shared" si="5"/>
        <v>10</v>
      </c>
      <c r="V23" s="90">
        <v>44637</v>
      </c>
    </row>
    <row r="24" spans="1:23" x14ac:dyDescent="0.15">
      <c r="A24" s="24"/>
      <c r="B24" s="9"/>
      <c r="C24" s="10"/>
      <c r="D24" s="11"/>
      <c r="E24" s="12">
        <f t="shared" si="18"/>
        <v>0</v>
      </c>
      <c r="F24" s="9"/>
      <c r="G24" s="10"/>
      <c r="H24" s="11"/>
      <c r="I24" s="67">
        <f t="shared" si="19"/>
        <v>0</v>
      </c>
      <c r="J24" s="12">
        <f t="shared" si="4"/>
        <v>0</v>
      </c>
      <c r="K24" s="108"/>
      <c r="L24" s="24" t="s">
        <v>53</v>
      </c>
      <c r="M24" s="9"/>
      <c r="N24" s="10">
        <v>10</v>
      </c>
      <c r="O24" s="11"/>
      <c r="P24" s="12">
        <f t="shared" si="20"/>
        <v>10</v>
      </c>
      <c r="Q24" s="9"/>
      <c r="R24" s="10">
        <v>10</v>
      </c>
      <c r="S24" s="11"/>
      <c r="T24" s="67">
        <f t="shared" si="21"/>
        <v>10</v>
      </c>
      <c r="U24" s="12">
        <f t="shared" si="5"/>
        <v>20</v>
      </c>
      <c r="V24" s="90">
        <v>44639</v>
      </c>
    </row>
    <row r="25" spans="1:23" x14ac:dyDescent="0.15">
      <c r="A25" s="24"/>
      <c r="B25" s="9"/>
      <c r="C25" s="10"/>
      <c r="D25" s="11"/>
      <c r="E25" s="12">
        <f t="shared" si="18"/>
        <v>0</v>
      </c>
      <c r="F25" s="9"/>
      <c r="G25" s="10"/>
      <c r="H25" s="11"/>
      <c r="I25" s="67">
        <f t="shared" si="19"/>
        <v>0</v>
      </c>
      <c r="J25" s="12">
        <f t="shared" si="4"/>
        <v>0</v>
      </c>
      <c r="K25" s="108"/>
      <c r="L25" s="22" t="s">
        <v>38</v>
      </c>
      <c r="M25" s="9">
        <v>3</v>
      </c>
      <c r="N25" s="10">
        <v>5</v>
      </c>
      <c r="O25" s="11"/>
      <c r="P25" s="12">
        <f t="shared" si="20"/>
        <v>8</v>
      </c>
      <c r="Q25" s="9">
        <v>5</v>
      </c>
      <c r="R25" s="10">
        <v>5</v>
      </c>
      <c r="S25" s="11"/>
      <c r="T25" s="67">
        <f t="shared" si="21"/>
        <v>10</v>
      </c>
      <c r="U25" s="12">
        <f t="shared" si="5"/>
        <v>18</v>
      </c>
      <c r="V25" s="90">
        <v>44638</v>
      </c>
    </row>
    <row r="26" spans="1:23" x14ac:dyDescent="0.15">
      <c r="A26" s="22"/>
      <c r="B26" s="9"/>
      <c r="C26" s="10"/>
      <c r="D26" s="11"/>
      <c r="E26" s="12">
        <f t="shared" si="18"/>
        <v>0</v>
      </c>
      <c r="F26" s="9"/>
      <c r="G26" s="10"/>
      <c r="H26" s="11"/>
      <c r="I26" s="67">
        <f t="shared" si="19"/>
        <v>0</v>
      </c>
      <c r="J26" s="12">
        <f t="shared" si="4"/>
        <v>0</v>
      </c>
      <c r="K26" s="90"/>
      <c r="L26" s="24" t="s">
        <v>54</v>
      </c>
      <c r="M26" s="9">
        <v>1</v>
      </c>
      <c r="N26" s="10"/>
      <c r="O26" s="11">
        <v>1</v>
      </c>
      <c r="P26" s="12">
        <f t="shared" si="20"/>
        <v>2</v>
      </c>
      <c r="Q26" s="9">
        <v>1</v>
      </c>
      <c r="R26" s="10"/>
      <c r="S26" s="11">
        <v>1</v>
      </c>
      <c r="T26" s="67">
        <f t="shared" si="21"/>
        <v>2</v>
      </c>
      <c r="U26" s="12">
        <f t="shared" si="5"/>
        <v>4</v>
      </c>
      <c r="V26" s="90">
        <v>44642</v>
      </c>
    </row>
    <row r="27" spans="1:23" x14ac:dyDescent="0.15">
      <c r="A27" s="24"/>
      <c r="B27" s="9"/>
      <c r="C27" s="10"/>
      <c r="D27" s="11"/>
      <c r="E27" s="12">
        <f t="shared" si="18"/>
        <v>0</v>
      </c>
      <c r="F27" s="9"/>
      <c r="G27" s="10"/>
      <c r="H27" s="11"/>
      <c r="I27" s="67">
        <f t="shared" si="19"/>
        <v>0</v>
      </c>
      <c r="J27" s="12">
        <f t="shared" si="4"/>
        <v>0</v>
      </c>
      <c r="K27" s="90"/>
      <c r="L27" s="59" t="s">
        <v>55</v>
      </c>
      <c r="M27" s="9">
        <v>10</v>
      </c>
      <c r="N27" s="10">
        <v>10</v>
      </c>
      <c r="O27" s="11">
        <v>10</v>
      </c>
      <c r="P27" s="12">
        <f t="shared" si="20"/>
        <v>30</v>
      </c>
      <c r="Q27" s="9">
        <v>10</v>
      </c>
      <c r="R27" s="10">
        <v>10</v>
      </c>
      <c r="S27" s="11">
        <v>10</v>
      </c>
      <c r="T27" s="67">
        <f t="shared" si="21"/>
        <v>30</v>
      </c>
      <c r="U27" s="12">
        <f t="shared" si="5"/>
        <v>60</v>
      </c>
      <c r="V27" s="90">
        <v>44644</v>
      </c>
    </row>
    <row r="28" spans="1:23" x14ac:dyDescent="0.15">
      <c r="A28" s="24"/>
      <c r="B28" s="9"/>
      <c r="C28" s="10"/>
      <c r="D28" s="11"/>
      <c r="E28" s="12">
        <f t="shared" si="18"/>
        <v>0</v>
      </c>
      <c r="F28" s="9"/>
      <c r="G28" s="10"/>
      <c r="H28" s="11"/>
      <c r="I28" s="67">
        <f t="shared" si="19"/>
        <v>0</v>
      </c>
      <c r="J28" s="12">
        <f t="shared" si="4"/>
        <v>0</v>
      </c>
      <c r="K28" s="90"/>
      <c r="L28" s="24" t="s">
        <v>56</v>
      </c>
      <c r="M28" s="9"/>
      <c r="N28" s="10">
        <v>2</v>
      </c>
      <c r="O28" s="11">
        <v>2</v>
      </c>
      <c r="P28" s="12">
        <f t="shared" si="20"/>
        <v>4</v>
      </c>
      <c r="Q28" s="9"/>
      <c r="R28" s="10">
        <v>2</v>
      </c>
      <c r="S28" s="11">
        <v>2</v>
      </c>
      <c r="T28" s="67">
        <f t="shared" si="21"/>
        <v>4</v>
      </c>
      <c r="U28" s="12">
        <f t="shared" si="5"/>
        <v>8</v>
      </c>
      <c r="V28" s="90">
        <v>44643</v>
      </c>
    </row>
    <row r="29" spans="1:23" x14ac:dyDescent="0.15">
      <c r="A29" s="22"/>
      <c r="B29" s="9"/>
      <c r="C29" s="10"/>
      <c r="D29" s="11"/>
      <c r="E29" s="12">
        <f t="shared" si="18"/>
        <v>0</v>
      </c>
      <c r="F29" s="9"/>
      <c r="G29" s="10"/>
      <c r="H29" s="11"/>
      <c r="I29" s="67">
        <f t="shared" si="19"/>
        <v>0</v>
      </c>
      <c r="J29" s="12">
        <f t="shared" si="4"/>
        <v>0</v>
      </c>
      <c r="K29" s="90"/>
      <c r="L29" s="24" t="s">
        <v>57</v>
      </c>
      <c r="M29" s="9"/>
      <c r="N29" s="10"/>
      <c r="O29" s="11">
        <v>5</v>
      </c>
      <c r="P29" s="12">
        <f t="shared" si="20"/>
        <v>5</v>
      </c>
      <c r="Q29" s="9"/>
      <c r="R29" s="10"/>
      <c r="S29" s="11">
        <v>5</v>
      </c>
      <c r="T29" s="67">
        <f t="shared" si="21"/>
        <v>5</v>
      </c>
      <c r="U29" s="12">
        <f t="shared" si="5"/>
        <v>10</v>
      </c>
      <c r="V29" s="90">
        <v>44643</v>
      </c>
    </row>
    <row r="30" spans="1:23" x14ac:dyDescent="0.15">
      <c r="A30" s="24"/>
      <c r="B30" s="9"/>
      <c r="C30" s="10"/>
      <c r="D30" s="11"/>
      <c r="E30" s="12">
        <f t="shared" si="18"/>
        <v>0</v>
      </c>
      <c r="F30" s="9"/>
      <c r="G30" s="10"/>
      <c r="H30" s="11"/>
      <c r="I30" s="67">
        <f t="shared" si="19"/>
        <v>0</v>
      </c>
      <c r="J30" s="12">
        <f t="shared" si="4"/>
        <v>0</v>
      </c>
      <c r="K30" s="108"/>
      <c r="L30" s="24" t="s">
        <v>58</v>
      </c>
      <c r="M30" s="9"/>
      <c r="N30" s="10"/>
      <c r="O30" s="11">
        <v>10</v>
      </c>
      <c r="P30" s="12">
        <f t="shared" si="20"/>
        <v>10</v>
      </c>
      <c r="Q30" s="9"/>
      <c r="R30" s="10"/>
      <c r="S30" s="11">
        <v>10</v>
      </c>
      <c r="T30" s="67">
        <f t="shared" si="21"/>
        <v>10</v>
      </c>
      <c r="U30" s="12">
        <f t="shared" si="5"/>
        <v>20</v>
      </c>
      <c r="V30" s="90">
        <v>44643</v>
      </c>
    </row>
    <row r="31" spans="1:23" x14ac:dyDescent="0.15">
      <c r="A31" s="24"/>
      <c r="B31" s="9"/>
      <c r="C31" s="10"/>
      <c r="D31" s="11"/>
      <c r="E31" s="12">
        <f t="shared" si="18"/>
        <v>0</v>
      </c>
      <c r="F31" s="9"/>
      <c r="G31" s="10"/>
      <c r="H31" s="11"/>
      <c r="I31" s="67">
        <f t="shared" si="19"/>
        <v>0</v>
      </c>
      <c r="J31" s="12">
        <f t="shared" si="4"/>
        <v>0</v>
      </c>
      <c r="K31" s="90"/>
      <c r="L31" s="24" t="s">
        <v>59</v>
      </c>
      <c r="M31" s="9">
        <v>25</v>
      </c>
      <c r="N31" s="10">
        <v>20</v>
      </c>
      <c r="O31" s="11">
        <v>25</v>
      </c>
      <c r="P31" s="12">
        <f t="shared" si="20"/>
        <v>70</v>
      </c>
      <c r="Q31" s="9">
        <v>25</v>
      </c>
      <c r="R31" s="10">
        <v>20</v>
      </c>
      <c r="S31" s="11">
        <v>25</v>
      </c>
      <c r="T31" s="67">
        <f t="shared" si="21"/>
        <v>70</v>
      </c>
      <c r="U31" s="12">
        <f t="shared" si="5"/>
        <v>140</v>
      </c>
      <c r="V31" s="90">
        <v>44643</v>
      </c>
    </row>
    <row r="32" spans="1:23" x14ac:dyDescent="0.15">
      <c r="A32" s="21"/>
      <c r="B32" s="9"/>
      <c r="C32" s="10"/>
      <c r="D32" s="11"/>
      <c r="E32" s="12">
        <f t="shared" si="18"/>
        <v>0</v>
      </c>
      <c r="F32" s="9"/>
      <c r="G32" s="10"/>
      <c r="H32" s="11"/>
      <c r="I32" s="67">
        <f t="shared" si="19"/>
        <v>0</v>
      </c>
      <c r="J32" s="12">
        <f t="shared" si="4"/>
        <v>0</v>
      </c>
      <c r="K32" s="108"/>
      <c r="L32" s="76" t="s">
        <v>63</v>
      </c>
      <c r="M32" s="9">
        <v>180</v>
      </c>
      <c r="N32" s="10">
        <v>180</v>
      </c>
      <c r="O32" s="11">
        <v>90</v>
      </c>
      <c r="P32" s="12">
        <f t="shared" si="20"/>
        <v>450</v>
      </c>
      <c r="Q32" s="9">
        <v>180</v>
      </c>
      <c r="R32" s="10">
        <v>180</v>
      </c>
      <c r="S32" s="11">
        <v>90</v>
      </c>
      <c r="T32" s="67">
        <f t="shared" si="21"/>
        <v>450</v>
      </c>
      <c r="U32" s="12">
        <f t="shared" si="5"/>
        <v>900</v>
      </c>
      <c r="V32" s="90">
        <v>44644</v>
      </c>
    </row>
    <row r="33" spans="1:22" x14ac:dyDescent="0.15">
      <c r="A33" s="21"/>
      <c r="B33" s="9"/>
      <c r="C33" s="10"/>
      <c r="D33" s="11"/>
      <c r="E33" s="12">
        <f t="shared" si="18"/>
        <v>0</v>
      </c>
      <c r="F33" s="9"/>
      <c r="G33" s="10"/>
      <c r="H33" s="11"/>
      <c r="I33" s="67">
        <f t="shared" si="19"/>
        <v>0</v>
      </c>
      <c r="J33" s="12">
        <f t="shared" si="4"/>
        <v>0</v>
      </c>
      <c r="K33" s="90"/>
      <c r="L33" s="24" t="s">
        <v>61</v>
      </c>
      <c r="M33" s="9">
        <v>10</v>
      </c>
      <c r="N33" s="10"/>
      <c r="O33" s="11"/>
      <c r="P33" s="12">
        <f t="shared" si="20"/>
        <v>10</v>
      </c>
      <c r="Q33" s="9">
        <v>10</v>
      </c>
      <c r="R33" s="10"/>
      <c r="S33" s="11"/>
      <c r="T33" s="67">
        <f t="shared" si="21"/>
        <v>10</v>
      </c>
      <c r="U33" s="12">
        <f t="shared" si="5"/>
        <v>20</v>
      </c>
      <c r="V33" s="90">
        <v>44644</v>
      </c>
    </row>
    <row r="34" spans="1:22" x14ac:dyDescent="0.15">
      <c r="A34" s="21"/>
      <c r="B34" s="9"/>
      <c r="C34" s="10"/>
      <c r="D34" s="11"/>
      <c r="E34" s="12">
        <f t="shared" si="18"/>
        <v>0</v>
      </c>
      <c r="F34" s="9"/>
      <c r="G34" s="10"/>
      <c r="H34" s="11"/>
      <c r="I34" s="67">
        <f t="shared" si="19"/>
        <v>0</v>
      </c>
      <c r="J34" s="12">
        <f t="shared" si="4"/>
        <v>0</v>
      </c>
      <c r="K34" s="90"/>
      <c r="L34" s="24" t="s">
        <v>62</v>
      </c>
      <c r="M34" s="9">
        <v>50</v>
      </c>
      <c r="N34" s="10">
        <v>45</v>
      </c>
      <c r="O34" s="11">
        <v>15</v>
      </c>
      <c r="P34" s="12">
        <f t="shared" si="20"/>
        <v>110</v>
      </c>
      <c r="Q34" s="9">
        <v>50</v>
      </c>
      <c r="R34" s="10">
        <v>45</v>
      </c>
      <c r="S34" s="11">
        <v>15</v>
      </c>
      <c r="T34" s="67">
        <f t="shared" si="21"/>
        <v>110</v>
      </c>
      <c r="U34" s="12">
        <f t="shared" si="5"/>
        <v>220</v>
      </c>
      <c r="V34" s="90">
        <v>44645</v>
      </c>
    </row>
    <row r="35" spans="1:22" x14ac:dyDescent="0.15">
      <c r="A35" s="24"/>
      <c r="B35" s="13"/>
      <c r="C35" s="14"/>
      <c r="D35" s="15"/>
      <c r="E35" s="12">
        <f t="shared" si="18"/>
        <v>0</v>
      </c>
      <c r="F35" s="13"/>
      <c r="G35" s="14"/>
      <c r="H35" s="15"/>
      <c r="I35" s="67">
        <f t="shared" si="19"/>
        <v>0</v>
      </c>
      <c r="J35" s="12">
        <f t="shared" si="4"/>
        <v>0</v>
      </c>
      <c r="K35" s="90"/>
      <c r="L35" s="24"/>
      <c r="M35" s="13"/>
      <c r="N35" s="14"/>
      <c r="O35" s="15"/>
      <c r="P35" s="12">
        <f t="shared" si="20"/>
        <v>0</v>
      </c>
      <c r="Q35" s="13"/>
      <c r="R35" s="14"/>
      <c r="S35" s="15"/>
      <c r="T35" s="67">
        <f t="shared" si="21"/>
        <v>0</v>
      </c>
      <c r="U35" s="12">
        <f t="shared" si="5"/>
        <v>0</v>
      </c>
      <c r="V35" s="89"/>
    </row>
    <row r="36" spans="1:22" x14ac:dyDescent="0.15">
      <c r="A36" s="24"/>
      <c r="B36" s="9"/>
      <c r="C36" s="10"/>
      <c r="D36" s="11"/>
      <c r="E36" s="12">
        <f t="shared" si="18"/>
        <v>0</v>
      </c>
      <c r="F36" s="9"/>
      <c r="G36" s="10"/>
      <c r="H36" s="11"/>
      <c r="I36" s="67">
        <f t="shared" si="19"/>
        <v>0</v>
      </c>
      <c r="J36" s="12">
        <f t="shared" si="4"/>
        <v>0</v>
      </c>
      <c r="K36" s="90"/>
      <c r="L36" s="24" t="s">
        <v>31</v>
      </c>
      <c r="M36" s="13"/>
      <c r="N36" s="14"/>
      <c r="O36" s="15"/>
      <c r="P36" s="12">
        <f t="shared" ref="P36:P38" si="22">SUM(M36:O36)</f>
        <v>0</v>
      </c>
      <c r="Q36" s="13"/>
      <c r="R36" s="14"/>
      <c r="S36" s="15"/>
      <c r="T36" s="67">
        <f t="shared" ref="T36:T38" si="23">SUM(Q36:S36)</f>
        <v>0</v>
      </c>
      <c r="U36" s="12">
        <f t="shared" ref="U36:U38" si="24">P36+T36</f>
        <v>0</v>
      </c>
      <c r="V36" s="89" t="s">
        <v>32</v>
      </c>
    </row>
    <row r="37" spans="1:22" x14ac:dyDescent="0.15">
      <c r="A37" s="7"/>
      <c r="B37" s="9"/>
      <c r="C37" s="10"/>
      <c r="D37" s="11"/>
      <c r="E37" s="12">
        <f t="shared" si="18"/>
        <v>0</v>
      </c>
      <c r="F37" s="9"/>
      <c r="G37" s="10"/>
      <c r="H37" s="11"/>
      <c r="I37" s="67">
        <f t="shared" si="19"/>
        <v>0</v>
      </c>
      <c r="J37" s="12">
        <f t="shared" si="4"/>
        <v>0</v>
      </c>
      <c r="K37" s="90"/>
      <c r="L37" s="24" t="s">
        <v>30</v>
      </c>
      <c r="M37" s="9"/>
      <c r="N37" s="10"/>
      <c r="O37" s="11"/>
      <c r="P37" s="12">
        <f t="shared" si="22"/>
        <v>0</v>
      </c>
      <c r="Q37" s="9"/>
      <c r="R37" s="10"/>
      <c r="S37" s="11"/>
      <c r="T37" s="67">
        <f t="shared" si="23"/>
        <v>0</v>
      </c>
      <c r="U37" s="12">
        <f t="shared" si="24"/>
        <v>0</v>
      </c>
      <c r="V37" s="89" t="s">
        <v>32</v>
      </c>
    </row>
    <row r="38" spans="1:22" x14ac:dyDescent="0.15">
      <c r="A38" s="59"/>
      <c r="B38" s="9"/>
      <c r="C38" s="10"/>
      <c r="D38" s="11"/>
      <c r="E38" s="12">
        <f t="shared" si="18"/>
        <v>0</v>
      </c>
      <c r="F38" s="9"/>
      <c r="G38" s="10"/>
      <c r="H38" s="11"/>
      <c r="I38" s="67">
        <f t="shared" si="19"/>
        <v>0</v>
      </c>
      <c r="J38" s="12">
        <f t="shared" si="4"/>
        <v>0</v>
      </c>
      <c r="K38" s="90"/>
      <c r="L38" s="76" t="s">
        <v>71</v>
      </c>
      <c r="M38" s="9"/>
      <c r="N38" s="10"/>
      <c r="O38" s="11"/>
      <c r="P38" s="12">
        <f t="shared" si="22"/>
        <v>0</v>
      </c>
      <c r="Q38" s="9"/>
      <c r="R38" s="10"/>
      <c r="S38" s="11"/>
      <c r="T38" s="67">
        <f t="shared" si="23"/>
        <v>0</v>
      </c>
      <c r="U38" s="12">
        <f t="shared" si="24"/>
        <v>0</v>
      </c>
      <c r="V38" s="89" t="s">
        <v>25</v>
      </c>
    </row>
    <row r="39" spans="1:22" ht="14.25" thickBot="1" x14ac:dyDescent="0.2">
      <c r="A39" s="22"/>
      <c r="B39" s="9"/>
      <c r="C39" s="10"/>
      <c r="D39" s="11"/>
      <c r="E39" s="12">
        <f t="shared" si="18"/>
        <v>0</v>
      </c>
      <c r="F39" s="9"/>
      <c r="G39" s="10"/>
      <c r="H39" s="11"/>
      <c r="I39" s="67">
        <f t="shared" si="19"/>
        <v>0</v>
      </c>
      <c r="J39" s="19">
        <f t="shared" si="4"/>
        <v>0</v>
      </c>
      <c r="K39" s="108"/>
      <c r="L39" s="22" t="s">
        <v>26</v>
      </c>
      <c r="M39" s="9"/>
      <c r="N39" s="10"/>
      <c r="O39" s="11"/>
      <c r="P39" s="12">
        <f t="shared" si="20"/>
        <v>0</v>
      </c>
      <c r="Q39" s="9"/>
      <c r="R39" s="10"/>
      <c r="S39" s="11"/>
      <c r="T39" s="67">
        <f t="shared" si="21"/>
        <v>0</v>
      </c>
      <c r="U39" s="19">
        <f t="shared" si="5"/>
        <v>0</v>
      </c>
      <c r="V39" s="89" t="s">
        <v>27</v>
      </c>
    </row>
    <row r="40" spans="1:22" ht="14.25" thickBot="1" x14ac:dyDescent="0.2">
      <c r="A40" s="37" t="s">
        <v>17</v>
      </c>
      <c r="B40" s="38">
        <f>SUM(B14:B39)</f>
        <v>4</v>
      </c>
      <c r="C40" s="39">
        <f>SUM(C14:C39)</f>
        <v>7</v>
      </c>
      <c r="D40" s="40">
        <f>SUM(D14:D39)</f>
        <v>2</v>
      </c>
      <c r="E40" s="41">
        <f>SUM(B40:D40)</f>
        <v>13</v>
      </c>
      <c r="F40" s="38">
        <f>SUM(F14:F39)</f>
        <v>5</v>
      </c>
      <c r="G40" s="39">
        <f>SUM(G14:G39)</f>
        <v>8</v>
      </c>
      <c r="H40" s="40">
        <f>SUM(H14:H39)</f>
        <v>2</v>
      </c>
      <c r="I40" s="41">
        <f>SUM(F40:H40)</f>
        <v>15</v>
      </c>
      <c r="J40" s="42">
        <f t="shared" si="4"/>
        <v>28</v>
      </c>
      <c r="K40" s="91"/>
      <c r="L40" s="37" t="s">
        <v>17</v>
      </c>
      <c r="M40" s="38">
        <f>SUM(M14:M39)</f>
        <v>361</v>
      </c>
      <c r="N40" s="39">
        <f>SUM(N14:N39)</f>
        <v>394</v>
      </c>
      <c r="O40" s="40">
        <f>SUM(O14:O39)</f>
        <v>248</v>
      </c>
      <c r="P40" s="41">
        <f>SUM(M40:O40)</f>
        <v>1003</v>
      </c>
      <c r="Q40" s="38">
        <f>SUM(Q14:Q39)</f>
        <v>363</v>
      </c>
      <c r="R40" s="39">
        <f>SUM(R14:R39)</f>
        <v>394</v>
      </c>
      <c r="S40" s="40">
        <f>SUM(S14:S39)</f>
        <v>248</v>
      </c>
      <c r="T40" s="41">
        <f>SUM(Q40:S40)</f>
        <v>1005</v>
      </c>
      <c r="U40" s="42">
        <f t="shared" si="5"/>
        <v>2008</v>
      </c>
    </row>
    <row r="41" spans="1:22" ht="14.25" thickBot="1" x14ac:dyDescent="0.2">
      <c r="A41" s="20" t="s">
        <v>18</v>
      </c>
      <c r="B41" s="63">
        <f>B13-B40</f>
        <v>4</v>
      </c>
      <c r="C41" s="64">
        <f t="shared" ref="C41" si="25">C13-C40</f>
        <v>3</v>
      </c>
      <c r="D41" s="65">
        <f t="shared" ref="D41" si="26">D13-D40</f>
        <v>3</v>
      </c>
      <c r="E41" s="65">
        <f t="shared" ref="E41" si="27">E13-E40</f>
        <v>10</v>
      </c>
      <c r="F41" s="63">
        <f>F13-F40</f>
        <v>5</v>
      </c>
      <c r="G41" s="64">
        <f t="shared" ref="G41" si="28">G13-G40</f>
        <v>2</v>
      </c>
      <c r="H41" s="65">
        <f t="shared" ref="H41" si="29">H13-H40</f>
        <v>3</v>
      </c>
      <c r="I41" s="65">
        <f t="shared" ref="I41" si="30">I13-I40</f>
        <v>10</v>
      </c>
      <c r="J41" s="29">
        <f t="shared" si="4"/>
        <v>20</v>
      </c>
      <c r="L41" s="20" t="s">
        <v>18</v>
      </c>
      <c r="M41" s="63">
        <f>M13-M40</f>
        <v>655</v>
      </c>
      <c r="N41" s="64">
        <f t="shared" ref="N41:P41" si="31">N13-N40</f>
        <v>854</v>
      </c>
      <c r="O41" s="65">
        <f t="shared" si="31"/>
        <v>506</v>
      </c>
      <c r="P41" s="65">
        <f t="shared" si="31"/>
        <v>2015</v>
      </c>
      <c r="Q41" s="63">
        <f>Q13-Q40</f>
        <v>674</v>
      </c>
      <c r="R41" s="64">
        <f t="shared" ref="R41" si="32">R13-R40</f>
        <v>927</v>
      </c>
      <c r="S41" s="65">
        <f t="shared" ref="S41" si="33">S13-S40</f>
        <v>559</v>
      </c>
      <c r="T41" s="65">
        <f t="shared" ref="T41" si="34">T13-T40</f>
        <v>2160</v>
      </c>
      <c r="U41" s="29">
        <f t="shared" si="5"/>
        <v>4175</v>
      </c>
    </row>
    <row r="42" spans="1:22" x14ac:dyDescent="0.15">
      <c r="M42" s="62"/>
      <c r="N42" s="62"/>
      <c r="O42" s="62"/>
      <c r="P42" s="62"/>
    </row>
    <row r="44" spans="1:22" ht="19.5" thickBot="1" x14ac:dyDescent="0.25">
      <c r="A44" s="3" t="s">
        <v>21</v>
      </c>
      <c r="B44" s="1"/>
      <c r="C44" s="1"/>
      <c r="D44" s="1"/>
      <c r="E44" s="1"/>
      <c r="F44" s="1"/>
      <c r="G44" s="1"/>
      <c r="H44" s="1"/>
      <c r="I44" s="1"/>
      <c r="J44" s="1"/>
      <c r="L44" s="3" t="s">
        <v>22</v>
      </c>
      <c r="M44" s="1"/>
      <c r="N44" s="1"/>
      <c r="O44" s="1"/>
      <c r="P44" s="1"/>
      <c r="Q44" s="1"/>
      <c r="R44" s="1"/>
      <c r="S44" s="1"/>
      <c r="T44" s="1"/>
      <c r="U44" s="1"/>
    </row>
    <row r="45" spans="1:22" ht="14.25" thickBot="1" x14ac:dyDescent="0.2">
      <c r="A45" s="8" t="s">
        <v>0</v>
      </c>
      <c r="B45" s="227" t="s">
        <v>19</v>
      </c>
      <c r="C45" s="228"/>
      <c r="D45" s="228"/>
      <c r="E45" s="229"/>
      <c r="F45" s="230" t="s">
        <v>20</v>
      </c>
      <c r="G45" s="231"/>
      <c r="H45" s="231"/>
      <c r="I45" s="232"/>
      <c r="J45" s="233" t="s">
        <v>1</v>
      </c>
      <c r="L45" s="8" t="s">
        <v>0</v>
      </c>
      <c r="M45" s="227" t="s">
        <v>19</v>
      </c>
      <c r="N45" s="228"/>
      <c r="O45" s="228"/>
      <c r="P45" s="229"/>
      <c r="Q45" s="230" t="s">
        <v>20</v>
      </c>
      <c r="R45" s="231"/>
      <c r="S45" s="231"/>
      <c r="T45" s="232"/>
      <c r="U45" s="233" t="s">
        <v>1</v>
      </c>
    </row>
    <row r="46" spans="1:22" ht="14.25" thickBot="1" x14ac:dyDescent="0.2">
      <c r="A46" s="8" t="s">
        <v>2</v>
      </c>
      <c r="B46" s="4" t="s">
        <v>3</v>
      </c>
      <c r="C46" s="5" t="s">
        <v>4</v>
      </c>
      <c r="D46" s="6" t="s">
        <v>5</v>
      </c>
      <c r="E46" s="8" t="s">
        <v>6</v>
      </c>
      <c r="F46" s="4" t="s">
        <v>3</v>
      </c>
      <c r="G46" s="5" t="s">
        <v>4</v>
      </c>
      <c r="H46" s="6" t="s">
        <v>5</v>
      </c>
      <c r="I46" s="8" t="s">
        <v>6</v>
      </c>
      <c r="J46" s="234"/>
      <c r="L46" s="8" t="s">
        <v>2</v>
      </c>
      <c r="M46" s="69" t="s">
        <v>3</v>
      </c>
      <c r="N46" s="70" t="s">
        <v>4</v>
      </c>
      <c r="O46" s="71" t="s">
        <v>5</v>
      </c>
      <c r="P46" s="8" t="s">
        <v>6</v>
      </c>
      <c r="Q46" s="4" t="s">
        <v>3</v>
      </c>
      <c r="R46" s="5" t="s">
        <v>4</v>
      </c>
      <c r="S46" s="6" t="s">
        <v>5</v>
      </c>
      <c r="T46" s="8" t="s">
        <v>6</v>
      </c>
      <c r="U46" s="234"/>
    </row>
    <row r="47" spans="1:22" ht="14.25" thickBot="1" x14ac:dyDescent="0.2">
      <c r="A47" s="25" t="s">
        <v>18</v>
      </c>
      <c r="B47" s="26">
        <f>B41</f>
        <v>4</v>
      </c>
      <c r="C47" s="27">
        <f t="shared" ref="C47:D47" si="35">C41</f>
        <v>3</v>
      </c>
      <c r="D47" s="49">
        <f t="shared" si="35"/>
        <v>3</v>
      </c>
      <c r="E47" s="33">
        <f t="shared" ref="E47:E53" si="36">SUM(B47:D47)</f>
        <v>10</v>
      </c>
      <c r="F47" s="26">
        <f>F41</f>
        <v>5</v>
      </c>
      <c r="G47" s="27">
        <f t="shared" ref="G47:H47" si="37">G41</f>
        <v>2</v>
      </c>
      <c r="H47" s="49">
        <f t="shared" si="37"/>
        <v>3</v>
      </c>
      <c r="I47" s="33">
        <f t="shared" ref="I47:I53" si="38">SUM(F47:H47)</f>
        <v>10</v>
      </c>
      <c r="J47" s="33">
        <f>E47+I47</f>
        <v>20</v>
      </c>
      <c r="K47" s="90"/>
      <c r="L47" s="25" t="s">
        <v>18</v>
      </c>
      <c r="M47" s="26">
        <f>M41</f>
        <v>655</v>
      </c>
      <c r="N47" s="27">
        <f t="shared" ref="N47:O47" si="39">N41</f>
        <v>854</v>
      </c>
      <c r="O47" s="49">
        <f t="shared" si="39"/>
        <v>506</v>
      </c>
      <c r="P47" s="68">
        <f t="shared" ref="P47:P53" si="40">SUM(M47:O47)</f>
        <v>2015</v>
      </c>
      <c r="Q47" s="26">
        <f>Q41</f>
        <v>674</v>
      </c>
      <c r="R47" s="27">
        <f t="shared" ref="R47:S47" si="41">R41</f>
        <v>927</v>
      </c>
      <c r="S47" s="49">
        <f t="shared" si="41"/>
        <v>559</v>
      </c>
      <c r="T47" s="33">
        <f t="shared" ref="T47:T53" si="42">SUM(Q47:S47)</f>
        <v>2160</v>
      </c>
      <c r="U47" s="33">
        <f>P47+T47</f>
        <v>4175</v>
      </c>
    </row>
    <row r="48" spans="1:22" x14ac:dyDescent="0.15">
      <c r="A48" s="23" t="s">
        <v>8</v>
      </c>
      <c r="B48" s="38"/>
      <c r="C48" s="39">
        <v>3</v>
      </c>
      <c r="D48" s="40">
        <v>3</v>
      </c>
      <c r="E48" s="42">
        <f t="shared" si="36"/>
        <v>6</v>
      </c>
      <c r="F48" s="38"/>
      <c r="G48" s="39">
        <v>3</v>
      </c>
      <c r="H48" s="40">
        <v>3</v>
      </c>
      <c r="I48" s="66">
        <f t="shared" si="38"/>
        <v>6</v>
      </c>
      <c r="J48" s="57">
        <f t="shared" ref="J48:J84" si="43">E48+I48</f>
        <v>12</v>
      </c>
      <c r="K48" s="90">
        <v>44649</v>
      </c>
      <c r="L48" s="23" t="s">
        <v>8</v>
      </c>
      <c r="M48" s="47"/>
      <c r="N48" s="48"/>
      <c r="O48" s="72"/>
      <c r="P48" s="42">
        <f t="shared" si="40"/>
        <v>0</v>
      </c>
      <c r="Q48" s="38"/>
      <c r="R48" s="39"/>
      <c r="S48" s="40"/>
      <c r="T48" s="66">
        <f t="shared" si="42"/>
        <v>0</v>
      </c>
      <c r="U48" s="57">
        <f t="shared" ref="U48:U84" si="44">P48+T48</f>
        <v>0</v>
      </c>
    </row>
    <row r="49" spans="1:23" x14ac:dyDescent="0.15">
      <c r="A49" s="23" t="s">
        <v>9</v>
      </c>
      <c r="B49" s="9"/>
      <c r="C49" s="10">
        <v>3</v>
      </c>
      <c r="D49" s="44"/>
      <c r="E49" s="12">
        <f t="shared" si="36"/>
        <v>3</v>
      </c>
      <c r="F49" s="9"/>
      <c r="G49" s="10">
        <v>3</v>
      </c>
      <c r="H49" s="44"/>
      <c r="I49" s="67">
        <f t="shared" si="38"/>
        <v>3</v>
      </c>
      <c r="J49" s="12">
        <f t="shared" si="43"/>
        <v>6</v>
      </c>
      <c r="K49" s="90">
        <v>44664</v>
      </c>
      <c r="L49" s="23" t="s">
        <v>92</v>
      </c>
      <c r="M49" s="9">
        <v>26</v>
      </c>
      <c r="N49" s="10">
        <v>11</v>
      </c>
      <c r="O49" s="44"/>
      <c r="P49" s="12">
        <f t="shared" si="40"/>
        <v>37</v>
      </c>
      <c r="Q49" s="9">
        <v>26</v>
      </c>
      <c r="R49" s="10">
        <v>11</v>
      </c>
      <c r="S49" s="44"/>
      <c r="T49" s="12">
        <f t="shared" si="42"/>
        <v>37</v>
      </c>
      <c r="U49" s="12">
        <f t="shared" si="44"/>
        <v>74</v>
      </c>
      <c r="V49" s="90">
        <v>44687</v>
      </c>
    </row>
    <row r="50" spans="1:23" x14ac:dyDescent="0.15">
      <c r="A50" s="23" t="s">
        <v>88</v>
      </c>
      <c r="B50" s="16"/>
      <c r="C50" s="17">
        <v>1</v>
      </c>
      <c r="D50" s="43">
        <v>1</v>
      </c>
      <c r="E50" s="12">
        <f t="shared" si="36"/>
        <v>2</v>
      </c>
      <c r="F50" s="16"/>
      <c r="G50" s="17">
        <v>1</v>
      </c>
      <c r="H50" s="43">
        <v>1</v>
      </c>
      <c r="I50" s="67">
        <f t="shared" si="38"/>
        <v>2</v>
      </c>
      <c r="J50" s="12">
        <f t="shared" si="43"/>
        <v>4</v>
      </c>
      <c r="K50" s="90">
        <v>44677</v>
      </c>
      <c r="L50" s="23" t="s">
        <v>10</v>
      </c>
      <c r="M50" s="16"/>
      <c r="N50" s="17"/>
      <c r="O50" s="43"/>
      <c r="P50" s="12">
        <f t="shared" si="40"/>
        <v>0</v>
      </c>
      <c r="Q50" s="16"/>
      <c r="R50" s="17"/>
      <c r="S50" s="43"/>
      <c r="T50" s="12">
        <f t="shared" si="42"/>
        <v>0</v>
      </c>
      <c r="U50" s="12">
        <f t="shared" si="44"/>
        <v>0</v>
      </c>
      <c r="V50" s="89"/>
    </row>
    <row r="51" spans="1:23" x14ac:dyDescent="0.15">
      <c r="A51" s="23" t="s">
        <v>11</v>
      </c>
      <c r="B51" s="9"/>
      <c r="C51" s="10">
        <v>5</v>
      </c>
      <c r="D51" s="44"/>
      <c r="E51" s="12">
        <f t="shared" si="36"/>
        <v>5</v>
      </c>
      <c r="F51" s="9"/>
      <c r="G51" s="10">
        <v>5</v>
      </c>
      <c r="H51" s="44"/>
      <c r="I51" s="67">
        <f t="shared" si="38"/>
        <v>5</v>
      </c>
      <c r="J51" s="12">
        <f t="shared" si="43"/>
        <v>10</v>
      </c>
      <c r="K51" s="90">
        <v>44681</v>
      </c>
      <c r="L51" s="23" t="s">
        <v>11</v>
      </c>
      <c r="M51" s="9"/>
      <c r="N51" s="10"/>
      <c r="O51" s="44"/>
      <c r="P51" s="12">
        <f t="shared" si="40"/>
        <v>0</v>
      </c>
      <c r="Q51" s="9"/>
      <c r="R51" s="10"/>
      <c r="S51" s="44"/>
      <c r="T51" s="67">
        <f t="shared" si="42"/>
        <v>0</v>
      </c>
      <c r="U51" s="12">
        <f t="shared" si="44"/>
        <v>0</v>
      </c>
      <c r="V51" s="89"/>
    </row>
    <row r="52" spans="1:23" x14ac:dyDescent="0.15">
      <c r="A52" s="23" t="s">
        <v>12</v>
      </c>
      <c r="B52" s="9"/>
      <c r="C52" s="10"/>
      <c r="D52" s="44"/>
      <c r="E52" s="12">
        <f t="shared" si="36"/>
        <v>0</v>
      </c>
      <c r="F52" s="9"/>
      <c r="G52" s="10"/>
      <c r="H52" s="44"/>
      <c r="I52" s="67">
        <f t="shared" si="38"/>
        <v>0</v>
      </c>
      <c r="J52" s="12">
        <f t="shared" si="43"/>
        <v>0</v>
      </c>
      <c r="K52" s="90"/>
      <c r="L52" s="23" t="s">
        <v>12</v>
      </c>
      <c r="M52" s="9"/>
      <c r="N52" s="10"/>
      <c r="O52" s="44"/>
      <c r="P52" s="12">
        <f t="shared" si="40"/>
        <v>0</v>
      </c>
      <c r="Q52" s="9"/>
      <c r="R52" s="10"/>
      <c r="S52" s="44"/>
      <c r="T52" s="67">
        <f t="shared" si="42"/>
        <v>0</v>
      </c>
      <c r="U52" s="12">
        <f t="shared" si="44"/>
        <v>0</v>
      </c>
    </row>
    <row r="53" spans="1:23" x14ac:dyDescent="0.15">
      <c r="A53" s="23" t="s">
        <v>13</v>
      </c>
      <c r="B53" s="9"/>
      <c r="C53" s="10"/>
      <c r="D53" s="44"/>
      <c r="E53" s="12">
        <f t="shared" si="36"/>
        <v>0</v>
      </c>
      <c r="F53" s="9"/>
      <c r="G53" s="10"/>
      <c r="H53" s="44"/>
      <c r="I53" s="67">
        <f t="shared" si="38"/>
        <v>0</v>
      </c>
      <c r="J53" s="12">
        <f t="shared" si="43"/>
        <v>0</v>
      </c>
      <c r="K53" s="90"/>
      <c r="L53" s="23" t="s">
        <v>13</v>
      </c>
      <c r="M53" s="9"/>
      <c r="N53" s="10"/>
      <c r="O53" s="44"/>
      <c r="P53" s="12">
        <f t="shared" si="40"/>
        <v>0</v>
      </c>
      <c r="Q53" s="9"/>
      <c r="R53" s="10"/>
      <c r="S53" s="44"/>
      <c r="T53" s="67">
        <f t="shared" si="42"/>
        <v>0</v>
      </c>
      <c r="U53" s="12">
        <f t="shared" si="44"/>
        <v>0</v>
      </c>
    </row>
    <row r="54" spans="1:23" x14ac:dyDescent="0.15">
      <c r="A54" s="23" t="s">
        <v>14</v>
      </c>
      <c r="B54" s="13"/>
      <c r="C54" s="14"/>
      <c r="D54" s="45"/>
      <c r="E54" s="12">
        <f t="shared" ref="E54:E55" si="45">SUM(B54:D54)</f>
        <v>0</v>
      </c>
      <c r="F54" s="13"/>
      <c r="G54" s="14"/>
      <c r="H54" s="45"/>
      <c r="I54" s="67">
        <f t="shared" ref="I54:I55" si="46">SUM(F54:H54)</f>
        <v>0</v>
      </c>
      <c r="J54" s="12">
        <f t="shared" si="43"/>
        <v>0</v>
      </c>
      <c r="K54" s="89"/>
      <c r="L54" s="23" t="s">
        <v>14</v>
      </c>
      <c r="M54" s="13"/>
      <c r="N54" s="14"/>
      <c r="O54" s="45"/>
      <c r="P54" s="12">
        <f t="shared" ref="P54:P55" si="47">SUM(M54:O54)</f>
        <v>0</v>
      </c>
      <c r="Q54" s="13"/>
      <c r="R54" s="14"/>
      <c r="S54" s="45"/>
      <c r="T54" s="67">
        <f t="shared" ref="T54:T55" si="48">SUM(Q54:S54)</f>
        <v>0</v>
      </c>
      <c r="U54" s="12">
        <f t="shared" si="44"/>
        <v>0</v>
      </c>
    </row>
    <row r="55" spans="1:23" ht="14.25" thickBot="1" x14ac:dyDescent="0.2">
      <c r="A55" s="23" t="s">
        <v>15</v>
      </c>
      <c r="B55" s="30"/>
      <c r="C55" s="31"/>
      <c r="D55" s="46"/>
      <c r="E55" s="12">
        <f t="shared" si="45"/>
        <v>0</v>
      </c>
      <c r="F55" s="30"/>
      <c r="G55" s="31"/>
      <c r="H55" s="46"/>
      <c r="I55" s="67">
        <f t="shared" si="46"/>
        <v>0</v>
      </c>
      <c r="J55" s="19">
        <f t="shared" si="43"/>
        <v>0</v>
      </c>
      <c r="K55" s="89"/>
      <c r="L55" s="23" t="s">
        <v>15</v>
      </c>
      <c r="M55" s="30"/>
      <c r="N55" s="31"/>
      <c r="O55" s="46"/>
      <c r="P55" s="12">
        <f t="shared" si="47"/>
        <v>0</v>
      </c>
      <c r="Q55" s="30"/>
      <c r="R55" s="31"/>
      <c r="S55" s="46"/>
      <c r="T55" s="67">
        <f t="shared" si="48"/>
        <v>0</v>
      </c>
      <c r="U55" s="19">
        <f t="shared" si="44"/>
        <v>0</v>
      </c>
    </row>
    <row r="56" spans="1:23" ht="14.25" thickBot="1" x14ac:dyDescent="0.2">
      <c r="A56" s="32" t="s">
        <v>16</v>
      </c>
      <c r="B56" s="26">
        <f>SUM(B47:B55)</f>
        <v>4</v>
      </c>
      <c r="C56" s="27">
        <f t="shared" ref="C56" si="49">SUM(C47:C55)</f>
        <v>15</v>
      </c>
      <c r="D56" s="49">
        <f t="shared" ref="D56" si="50">SUM(D47:D55)</f>
        <v>7</v>
      </c>
      <c r="E56" s="75">
        <f t="shared" ref="E56" si="51">SUM(E47:E55)</f>
        <v>26</v>
      </c>
      <c r="F56" s="26">
        <f t="shared" ref="F56" si="52">SUM(F47:F55)</f>
        <v>5</v>
      </c>
      <c r="G56" s="27">
        <f t="shared" ref="G56" si="53">SUM(G47:G55)</f>
        <v>14</v>
      </c>
      <c r="H56" s="49">
        <f t="shared" ref="H56" si="54">SUM(H47:H55)</f>
        <v>7</v>
      </c>
      <c r="I56" s="74">
        <f t="shared" ref="I56" si="55">SUM(I47:I55)</f>
        <v>26</v>
      </c>
      <c r="J56" s="29">
        <f t="shared" ref="J56" si="56">SUM(J47:J55)</f>
        <v>52</v>
      </c>
      <c r="L56" s="32" t="s">
        <v>16</v>
      </c>
      <c r="M56" s="26">
        <f>SUM(M47:M55)</f>
        <v>681</v>
      </c>
      <c r="N56" s="27">
        <f t="shared" ref="N56" si="57">SUM(N47:N55)</f>
        <v>865</v>
      </c>
      <c r="O56" s="49">
        <f t="shared" ref="O56" si="58">SUM(O47:O55)</f>
        <v>506</v>
      </c>
      <c r="P56" s="75">
        <f t="shared" ref="P56" si="59">SUM(P47:P55)</f>
        <v>2052</v>
      </c>
      <c r="Q56" s="26">
        <f t="shared" ref="Q56" si="60">SUM(Q47:Q55)</f>
        <v>700</v>
      </c>
      <c r="R56" s="27">
        <f t="shared" ref="R56" si="61">SUM(R47:R55)</f>
        <v>938</v>
      </c>
      <c r="S56" s="49">
        <f t="shared" ref="S56" si="62">SUM(S47:S55)</f>
        <v>559</v>
      </c>
      <c r="T56" s="74">
        <f t="shared" ref="T56" si="63">SUM(T47:T55)</f>
        <v>2197</v>
      </c>
      <c r="U56" s="29">
        <f t="shared" ref="U56" si="64">SUM(U47:U55)</f>
        <v>4249</v>
      </c>
    </row>
    <row r="57" spans="1:23" x14ac:dyDescent="0.15">
      <c r="A57" s="24" t="s">
        <v>67</v>
      </c>
      <c r="B57" s="54">
        <v>1</v>
      </c>
      <c r="C57" s="55">
        <v>1</v>
      </c>
      <c r="D57" s="56"/>
      <c r="E57" s="42">
        <f t="shared" ref="E57:E62" si="65">SUM(B57:D57)</f>
        <v>2</v>
      </c>
      <c r="F57" s="54">
        <v>1</v>
      </c>
      <c r="G57" s="55">
        <v>1</v>
      </c>
      <c r="H57" s="56"/>
      <c r="I57" s="66">
        <f t="shared" ref="I57:I62" si="66">SUM(F57:H57)</f>
        <v>2</v>
      </c>
      <c r="J57" s="57">
        <f t="shared" si="43"/>
        <v>4</v>
      </c>
      <c r="K57" s="90">
        <v>44649</v>
      </c>
      <c r="L57" s="24" t="s">
        <v>64</v>
      </c>
      <c r="M57" s="54">
        <v>3</v>
      </c>
      <c r="N57" s="55">
        <v>1</v>
      </c>
      <c r="O57" s="56">
        <v>2</v>
      </c>
      <c r="P57" s="42">
        <f t="shared" ref="P57:P62" si="67">SUM(M57:O57)</f>
        <v>6</v>
      </c>
      <c r="Q57" s="54">
        <v>3</v>
      </c>
      <c r="R57" s="55">
        <v>1</v>
      </c>
      <c r="S57" s="56">
        <v>2</v>
      </c>
      <c r="T57" s="66">
        <f t="shared" ref="T57:T62" si="68">SUM(Q57:S57)</f>
        <v>6</v>
      </c>
      <c r="U57" s="57">
        <f t="shared" si="44"/>
        <v>12</v>
      </c>
      <c r="V57" s="90">
        <v>44645</v>
      </c>
    </row>
    <row r="58" spans="1:23" x14ac:dyDescent="0.15">
      <c r="A58" s="24" t="s">
        <v>68</v>
      </c>
      <c r="B58" s="16"/>
      <c r="C58" s="17"/>
      <c r="D58" s="18">
        <v>1</v>
      </c>
      <c r="E58" s="12">
        <f t="shared" si="65"/>
        <v>1</v>
      </c>
      <c r="F58" s="16"/>
      <c r="G58" s="17"/>
      <c r="H58" s="18">
        <v>1</v>
      </c>
      <c r="I58" s="67">
        <f t="shared" si="66"/>
        <v>1</v>
      </c>
      <c r="J58" s="12">
        <f t="shared" si="43"/>
        <v>2</v>
      </c>
      <c r="K58" s="90">
        <v>44650</v>
      </c>
      <c r="L58" s="24" t="s">
        <v>65</v>
      </c>
      <c r="M58" s="16">
        <v>5</v>
      </c>
      <c r="N58" s="17">
        <v>5</v>
      </c>
      <c r="O58" s="18"/>
      <c r="P58" s="12">
        <f t="shared" si="67"/>
        <v>10</v>
      </c>
      <c r="Q58" s="16">
        <v>5</v>
      </c>
      <c r="R58" s="17">
        <v>5</v>
      </c>
      <c r="S58" s="18"/>
      <c r="T58" s="67">
        <f t="shared" si="68"/>
        <v>10</v>
      </c>
      <c r="U58" s="12">
        <f t="shared" si="44"/>
        <v>20</v>
      </c>
      <c r="V58" s="90">
        <v>44646</v>
      </c>
    </row>
    <row r="59" spans="1:23" x14ac:dyDescent="0.15">
      <c r="A59" s="24" t="s">
        <v>70</v>
      </c>
      <c r="B59" s="9"/>
      <c r="C59" s="10"/>
      <c r="D59" s="11">
        <v>1</v>
      </c>
      <c r="E59" s="12">
        <f t="shared" si="65"/>
        <v>1</v>
      </c>
      <c r="F59" s="9"/>
      <c r="G59" s="10"/>
      <c r="H59" s="11">
        <v>1</v>
      </c>
      <c r="I59" s="67">
        <f t="shared" si="66"/>
        <v>1</v>
      </c>
      <c r="J59" s="12">
        <f t="shared" si="43"/>
        <v>2</v>
      </c>
      <c r="K59" s="90">
        <v>44650</v>
      </c>
      <c r="L59" s="24" t="s">
        <v>66</v>
      </c>
      <c r="M59" s="9"/>
      <c r="N59" s="10"/>
      <c r="O59" s="11">
        <v>10</v>
      </c>
      <c r="P59" s="12">
        <f t="shared" si="67"/>
        <v>10</v>
      </c>
      <c r="Q59" s="9"/>
      <c r="R59" s="10"/>
      <c r="S59" s="11">
        <v>10</v>
      </c>
      <c r="T59" s="67">
        <f t="shared" si="68"/>
        <v>10</v>
      </c>
      <c r="U59" s="12">
        <f t="shared" si="44"/>
        <v>20</v>
      </c>
      <c r="V59" s="90">
        <v>44646</v>
      </c>
    </row>
    <row r="60" spans="1:23" x14ac:dyDescent="0.15">
      <c r="A60" s="24" t="s">
        <v>75</v>
      </c>
      <c r="B60" s="9"/>
      <c r="C60" s="10">
        <v>1</v>
      </c>
      <c r="D60" s="11"/>
      <c r="E60" s="12">
        <f t="shared" si="65"/>
        <v>1</v>
      </c>
      <c r="F60" s="9"/>
      <c r="G60" s="10">
        <v>1</v>
      </c>
      <c r="H60" s="11"/>
      <c r="I60" s="67">
        <f t="shared" si="66"/>
        <v>1</v>
      </c>
      <c r="J60" s="12">
        <f t="shared" si="43"/>
        <v>2</v>
      </c>
      <c r="K60" s="90">
        <v>44651</v>
      </c>
      <c r="L60" s="76" t="s">
        <v>72</v>
      </c>
      <c r="M60" s="9">
        <v>124</v>
      </c>
      <c r="N60" s="10">
        <v>107</v>
      </c>
      <c r="O60" s="11">
        <v>79</v>
      </c>
      <c r="P60" s="12">
        <f t="shared" si="67"/>
        <v>310</v>
      </c>
      <c r="Q60" s="9">
        <v>124</v>
      </c>
      <c r="R60" s="10">
        <v>107</v>
      </c>
      <c r="S60" s="11">
        <v>79</v>
      </c>
      <c r="T60" s="67">
        <f t="shared" si="68"/>
        <v>310</v>
      </c>
      <c r="U60" s="12">
        <f t="shared" si="44"/>
        <v>620</v>
      </c>
      <c r="V60" s="90">
        <v>44650</v>
      </c>
    </row>
    <row r="61" spans="1:23" x14ac:dyDescent="0.15">
      <c r="A61" s="24" t="s">
        <v>83</v>
      </c>
      <c r="B61" s="9"/>
      <c r="C61" s="10">
        <v>2</v>
      </c>
      <c r="D61" s="11"/>
      <c r="E61" s="12">
        <f t="shared" si="65"/>
        <v>2</v>
      </c>
      <c r="F61" s="9"/>
      <c r="G61" s="10">
        <v>2</v>
      </c>
      <c r="H61" s="11"/>
      <c r="I61" s="67">
        <f t="shared" si="66"/>
        <v>2</v>
      </c>
      <c r="J61" s="12">
        <f t="shared" si="43"/>
        <v>4</v>
      </c>
      <c r="K61" s="90">
        <v>44662</v>
      </c>
      <c r="L61" s="24" t="s">
        <v>69</v>
      </c>
      <c r="M61" s="9"/>
      <c r="N61" s="10">
        <v>3</v>
      </c>
      <c r="O61" s="11">
        <v>3</v>
      </c>
      <c r="P61" s="12">
        <f t="shared" si="67"/>
        <v>6</v>
      </c>
      <c r="Q61" s="9"/>
      <c r="R61" s="10">
        <v>3</v>
      </c>
      <c r="S61" s="11">
        <v>3</v>
      </c>
      <c r="T61" s="67">
        <f t="shared" si="68"/>
        <v>6</v>
      </c>
      <c r="U61" s="12">
        <f t="shared" si="44"/>
        <v>12</v>
      </c>
      <c r="V61" s="90">
        <v>44649</v>
      </c>
    </row>
    <row r="62" spans="1:23" x14ac:dyDescent="0.15">
      <c r="A62" s="24" t="s">
        <v>45</v>
      </c>
      <c r="B62" s="9">
        <v>1</v>
      </c>
      <c r="C62" s="10"/>
      <c r="D62" s="11"/>
      <c r="E62" s="12">
        <f t="shared" si="65"/>
        <v>1</v>
      </c>
      <c r="F62" s="9"/>
      <c r="G62" s="10"/>
      <c r="H62" s="11"/>
      <c r="I62" s="67">
        <f t="shared" si="66"/>
        <v>0</v>
      </c>
      <c r="J62" s="12">
        <f t="shared" si="43"/>
        <v>1</v>
      </c>
      <c r="K62" s="108">
        <v>44666</v>
      </c>
      <c r="L62" s="24" t="s">
        <v>73</v>
      </c>
      <c r="M62" s="9"/>
      <c r="N62" s="10"/>
      <c r="O62" s="11">
        <v>2</v>
      </c>
      <c r="P62" s="12">
        <f t="shared" si="67"/>
        <v>2</v>
      </c>
      <c r="Q62" s="9"/>
      <c r="R62" s="10"/>
      <c r="S62" s="11">
        <v>2</v>
      </c>
      <c r="T62" s="67">
        <f t="shared" si="68"/>
        <v>2</v>
      </c>
      <c r="U62" s="12">
        <f t="shared" si="44"/>
        <v>4</v>
      </c>
      <c r="V62" s="90">
        <v>44651</v>
      </c>
      <c r="W62" s="50"/>
    </row>
    <row r="63" spans="1:23" x14ac:dyDescent="0.15">
      <c r="A63" s="24" t="s">
        <v>45</v>
      </c>
      <c r="B63" s="9"/>
      <c r="C63" s="10"/>
      <c r="D63" s="11">
        <v>2</v>
      </c>
      <c r="E63" s="12">
        <f t="shared" ref="E63:E82" si="69">SUM(B63:D63)</f>
        <v>2</v>
      </c>
      <c r="F63" s="9"/>
      <c r="G63" s="10"/>
      <c r="H63" s="11">
        <v>1</v>
      </c>
      <c r="I63" s="67">
        <f t="shared" ref="I63:I82" si="70">SUM(F63:H63)</f>
        <v>1</v>
      </c>
      <c r="J63" s="12">
        <f t="shared" si="43"/>
        <v>3</v>
      </c>
      <c r="K63" s="90">
        <v>44669</v>
      </c>
      <c r="L63" s="24" t="s">
        <v>74</v>
      </c>
      <c r="M63" s="9"/>
      <c r="N63" s="10">
        <v>1</v>
      </c>
      <c r="O63" s="11">
        <v>1</v>
      </c>
      <c r="P63" s="12">
        <f t="shared" ref="P63:P82" si="71">SUM(M63:O63)</f>
        <v>2</v>
      </c>
      <c r="Q63" s="9"/>
      <c r="R63" s="10">
        <v>1</v>
      </c>
      <c r="S63" s="11">
        <v>1</v>
      </c>
      <c r="T63" s="67">
        <f t="shared" ref="T63:T82" si="72">SUM(Q63:S63)</f>
        <v>2</v>
      </c>
      <c r="U63" s="12">
        <f t="shared" si="44"/>
        <v>4</v>
      </c>
      <c r="V63" s="90">
        <v>44652</v>
      </c>
    </row>
    <row r="64" spans="1:23" x14ac:dyDescent="0.15">
      <c r="A64" s="24" t="s">
        <v>75</v>
      </c>
      <c r="B64" s="9"/>
      <c r="C64" s="10">
        <v>4</v>
      </c>
      <c r="D64" s="11"/>
      <c r="E64" s="12">
        <f t="shared" si="69"/>
        <v>4</v>
      </c>
      <c r="F64" s="9"/>
      <c r="G64" s="10">
        <v>4</v>
      </c>
      <c r="H64" s="11"/>
      <c r="I64" s="67">
        <f t="shared" si="70"/>
        <v>4</v>
      </c>
      <c r="J64" s="12">
        <f t="shared" si="43"/>
        <v>8</v>
      </c>
      <c r="K64" s="90">
        <v>44679</v>
      </c>
      <c r="L64" s="24" t="s">
        <v>76</v>
      </c>
      <c r="M64" s="9"/>
      <c r="N64" s="10"/>
      <c r="O64" s="11">
        <v>2</v>
      </c>
      <c r="P64" s="12">
        <f t="shared" si="71"/>
        <v>2</v>
      </c>
      <c r="Q64" s="9"/>
      <c r="R64" s="10"/>
      <c r="S64" s="11">
        <v>2</v>
      </c>
      <c r="T64" s="67">
        <f t="shared" si="72"/>
        <v>2</v>
      </c>
      <c r="U64" s="12">
        <f t="shared" si="44"/>
        <v>4</v>
      </c>
      <c r="V64" s="90">
        <v>44656</v>
      </c>
    </row>
    <row r="65" spans="1:24" x14ac:dyDescent="0.15">
      <c r="A65" s="24" t="s">
        <v>89</v>
      </c>
      <c r="B65" s="9"/>
      <c r="C65" s="10">
        <v>1</v>
      </c>
      <c r="D65" s="11"/>
      <c r="E65" s="12">
        <f t="shared" si="69"/>
        <v>1</v>
      </c>
      <c r="F65" s="9"/>
      <c r="G65" s="10">
        <v>1</v>
      </c>
      <c r="H65" s="11"/>
      <c r="I65" s="67">
        <f t="shared" si="70"/>
        <v>1</v>
      </c>
      <c r="J65" s="12">
        <f t="shared" si="43"/>
        <v>2</v>
      </c>
      <c r="K65" s="90">
        <v>44691</v>
      </c>
      <c r="L65" s="24" t="s">
        <v>77</v>
      </c>
      <c r="M65" s="9"/>
      <c r="N65" s="10">
        <v>1</v>
      </c>
      <c r="O65" s="11"/>
      <c r="P65" s="12">
        <f t="shared" si="71"/>
        <v>1</v>
      </c>
      <c r="Q65" s="9"/>
      <c r="R65" s="10">
        <v>1</v>
      </c>
      <c r="S65" s="11"/>
      <c r="T65" s="67">
        <f t="shared" si="72"/>
        <v>1</v>
      </c>
      <c r="U65" s="12">
        <f t="shared" si="44"/>
        <v>2</v>
      </c>
      <c r="V65" s="90">
        <v>44657</v>
      </c>
    </row>
    <row r="66" spans="1:24" x14ac:dyDescent="0.15">
      <c r="A66" s="24"/>
      <c r="B66" s="13"/>
      <c r="C66" s="14"/>
      <c r="D66" s="15"/>
      <c r="E66" s="12">
        <f t="shared" si="69"/>
        <v>0</v>
      </c>
      <c r="F66" s="13"/>
      <c r="G66" s="14"/>
      <c r="H66" s="15"/>
      <c r="I66" s="67">
        <f t="shared" si="70"/>
        <v>0</v>
      </c>
      <c r="J66" s="12">
        <f t="shared" si="43"/>
        <v>0</v>
      </c>
      <c r="K66" s="90"/>
      <c r="L66" s="59" t="s">
        <v>78</v>
      </c>
      <c r="M66" s="13">
        <v>30</v>
      </c>
      <c r="N66" s="14">
        <v>90</v>
      </c>
      <c r="O66" s="15">
        <v>70</v>
      </c>
      <c r="P66" s="12">
        <f t="shared" si="71"/>
        <v>190</v>
      </c>
      <c r="Q66" s="13">
        <v>60</v>
      </c>
      <c r="R66" s="14">
        <v>80</v>
      </c>
      <c r="S66" s="15">
        <v>50</v>
      </c>
      <c r="T66" s="67">
        <f t="shared" si="72"/>
        <v>190</v>
      </c>
      <c r="U66" s="12">
        <f t="shared" si="44"/>
        <v>380</v>
      </c>
      <c r="V66" s="90">
        <v>44658</v>
      </c>
    </row>
    <row r="67" spans="1:24" x14ac:dyDescent="0.15">
      <c r="A67" s="24"/>
      <c r="B67" s="9"/>
      <c r="C67" s="10"/>
      <c r="D67" s="11"/>
      <c r="E67" s="12">
        <f t="shared" si="69"/>
        <v>0</v>
      </c>
      <c r="F67" s="9"/>
      <c r="G67" s="10"/>
      <c r="H67" s="11"/>
      <c r="I67" s="67">
        <f t="shared" si="70"/>
        <v>0</v>
      </c>
      <c r="J67" s="12">
        <f t="shared" si="43"/>
        <v>0</v>
      </c>
      <c r="K67" s="108"/>
      <c r="L67" s="24" t="s">
        <v>79</v>
      </c>
      <c r="M67" s="9"/>
      <c r="N67" s="10">
        <v>1</v>
      </c>
      <c r="O67" s="11">
        <v>1</v>
      </c>
      <c r="P67" s="12">
        <f t="shared" si="71"/>
        <v>2</v>
      </c>
      <c r="Q67" s="9"/>
      <c r="R67" s="10">
        <v>1</v>
      </c>
      <c r="S67" s="11">
        <v>1</v>
      </c>
      <c r="T67" s="67">
        <f t="shared" si="72"/>
        <v>2</v>
      </c>
      <c r="U67" s="12">
        <f t="shared" si="44"/>
        <v>4</v>
      </c>
      <c r="V67" s="90">
        <v>44659</v>
      </c>
      <c r="W67" s="50"/>
    </row>
    <row r="68" spans="1:24" x14ac:dyDescent="0.15">
      <c r="A68" s="24"/>
      <c r="B68" s="9"/>
      <c r="C68" s="10"/>
      <c r="D68" s="11"/>
      <c r="E68" s="12">
        <f t="shared" si="69"/>
        <v>0</v>
      </c>
      <c r="F68" s="9"/>
      <c r="G68" s="10"/>
      <c r="H68" s="11"/>
      <c r="I68" s="67">
        <f t="shared" si="70"/>
        <v>0</v>
      </c>
      <c r="J68" s="12">
        <f t="shared" si="43"/>
        <v>0</v>
      </c>
      <c r="K68" s="108"/>
      <c r="L68" s="59" t="s">
        <v>80</v>
      </c>
      <c r="M68" s="9">
        <v>20</v>
      </c>
      <c r="N68" s="10">
        <v>10</v>
      </c>
      <c r="O68" s="11"/>
      <c r="P68" s="12">
        <f t="shared" si="71"/>
        <v>30</v>
      </c>
      <c r="Q68" s="9"/>
      <c r="R68" s="10"/>
      <c r="S68" s="11"/>
      <c r="T68" s="67">
        <f t="shared" si="72"/>
        <v>0</v>
      </c>
      <c r="U68" s="12">
        <f t="shared" si="44"/>
        <v>30</v>
      </c>
      <c r="V68" s="90">
        <v>44659</v>
      </c>
    </row>
    <row r="69" spans="1:24" x14ac:dyDescent="0.15">
      <c r="A69" s="22"/>
      <c r="B69" s="9"/>
      <c r="C69" s="10"/>
      <c r="D69" s="11"/>
      <c r="E69" s="12">
        <f t="shared" si="69"/>
        <v>0</v>
      </c>
      <c r="F69" s="9"/>
      <c r="G69" s="10"/>
      <c r="H69" s="11"/>
      <c r="I69" s="67">
        <f t="shared" si="70"/>
        <v>0</v>
      </c>
      <c r="J69" s="12">
        <f t="shared" si="43"/>
        <v>0</v>
      </c>
      <c r="K69" s="90"/>
      <c r="L69" s="59" t="s">
        <v>81</v>
      </c>
      <c r="M69" s="9">
        <v>15</v>
      </c>
      <c r="N69" s="10"/>
      <c r="O69" s="11"/>
      <c r="P69" s="12">
        <f t="shared" si="71"/>
        <v>15</v>
      </c>
      <c r="Q69" s="9"/>
      <c r="R69" s="10"/>
      <c r="S69" s="11"/>
      <c r="T69" s="67">
        <f t="shared" si="72"/>
        <v>0</v>
      </c>
      <c r="U69" s="12">
        <f t="shared" si="44"/>
        <v>15</v>
      </c>
      <c r="V69" s="90">
        <v>44663</v>
      </c>
    </row>
    <row r="70" spans="1:24" x14ac:dyDescent="0.15">
      <c r="A70" s="24"/>
      <c r="B70" s="9"/>
      <c r="C70" s="10"/>
      <c r="D70" s="11"/>
      <c r="E70" s="12">
        <f t="shared" si="69"/>
        <v>0</v>
      </c>
      <c r="F70" s="9"/>
      <c r="G70" s="10"/>
      <c r="H70" s="11"/>
      <c r="I70" s="67">
        <f t="shared" si="70"/>
        <v>0</v>
      </c>
      <c r="J70" s="12">
        <f t="shared" si="43"/>
        <v>0</v>
      </c>
      <c r="K70" s="90"/>
      <c r="L70" s="59" t="s">
        <v>82</v>
      </c>
      <c r="M70" s="9">
        <v>8</v>
      </c>
      <c r="N70" s="10"/>
      <c r="O70" s="11"/>
      <c r="P70" s="12">
        <f t="shared" si="71"/>
        <v>8</v>
      </c>
      <c r="Q70" s="9">
        <v>10</v>
      </c>
      <c r="R70" s="10"/>
      <c r="S70" s="11"/>
      <c r="T70" s="67">
        <f t="shared" si="72"/>
        <v>10</v>
      </c>
      <c r="U70" s="12">
        <f t="shared" si="44"/>
        <v>18</v>
      </c>
      <c r="V70" s="90">
        <v>44664</v>
      </c>
    </row>
    <row r="71" spans="1:24" x14ac:dyDescent="0.15">
      <c r="A71" s="24"/>
      <c r="B71" s="9"/>
      <c r="C71" s="10"/>
      <c r="D71" s="11"/>
      <c r="E71" s="12">
        <f t="shared" si="69"/>
        <v>0</v>
      </c>
      <c r="F71" s="9"/>
      <c r="G71" s="10"/>
      <c r="H71" s="11"/>
      <c r="I71" s="67">
        <f t="shared" si="70"/>
        <v>0</v>
      </c>
      <c r="J71" s="12">
        <f t="shared" si="43"/>
        <v>0</v>
      </c>
      <c r="K71" s="90"/>
      <c r="L71" s="24" t="s">
        <v>38</v>
      </c>
      <c r="M71" s="9"/>
      <c r="N71" s="10">
        <v>3</v>
      </c>
      <c r="O71" s="11"/>
      <c r="P71" s="12">
        <f t="shared" si="71"/>
        <v>3</v>
      </c>
      <c r="Q71" s="9"/>
      <c r="R71" s="10">
        <v>3</v>
      </c>
      <c r="S71" s="11"/>
      <c r="T71" s="67">
        <f t="shared" si="72"/>
        <v>3</v>
      </c>
      <c r="U71" s="12">
        <f t="shared" si="44"/>
        <v>6</v>
      </c>
      <c r="V71" s="90">
        <v>44664</v>
      </c>
      <c r="W71" s="50"/>
      <c r="X71" s="50"/>
    </row>
    <row r="72" spans="1:24" x14ac:dyDescent="0.15">
      <c r="A72" s="22"/>
      <c r="B72" s="9"/>
      <c r="C72" s="10"/>
      <c r="D72" s="11"/>
      <c r="E72" s="12">
        <f t="shared" si="69"/>
        <v>0</v>
      </c>
      <c r="F72" s="9"/>
      <c r="G72" s="10"/>
      <c r="H72" s="11"/>
      <c r="I72" s="67">
        <f t="shared" si="70"/>
        <v>0</v>
      </c>
      <c r="J72" s="12">
        <f t="shared" si="43"/>
        <v>0</v>
      </c>
      <c r="K72" s="90"/>
      <c r="L72" s="24" t="s">
        <v>84</v>
      </c>
      <c r="M72" s="9"/>
      <c r="N72" s="10">
        <v>2</v>
      </c>
      <c r="O72" s="11"/>
      <c r="P72" s="12">
        <f t="shared" si="71"/>
        <v>2</v>
      </c>
      <c r="Q72" s="9"/>
      <c r="R72" s="10">
        <v>2</v>
      </c>
      <c r="S72" s="11"/>
      <c r="T72" s="67">
        <f t="shared" si="72"/>
        <v>2</v>
      </c>
      <c r="U72" s="12">
        <f t="shared" si="44"/>
        <v>4</v>
      </c>
      <c r="V72" s="90">
        <v>44669</v>
      </c>
    </row>
    <row r="73" spans="1:24" x14ac:dyDescent="0.15">
      <c r="A73" s="24"/>
      <c r="B73" s="9"/>
      <c r="C73" s="10"/>
      <c r="D73" s="11"/>
      <c r="E73" s="12">
        <f t="shared" si="69"/>
        <v>0</v>
      </c>
      <c r="F73" s="9"/>
      <c r="G73" s="10"/>
      <c r="H73" s="11"/>
      <c r="I73" s="67">
        <f t="shared" si="70"/>
        <v>0</v>
      </c>
      <c r="J73" s="12">
        <f t="shared" si="43"/>
        <v>0</v>
      </c>
      <c r="K73" s="108"/>
      <c r="L73" s="24" t="s">
        <v>85</v>
      </c>
      <c r="M73" s="9">
        <v>1</v>
      </c>
      <c r="N73" s="10"/>
      <c r="O73" s="11"/>
      <c r="P73" s="12">
        <f t="shared" si="71"/>
        <v>1</v>
      </c>
      <c r="Q73" s="9">
        <v>1</v>
      </c>
      <c r="R73" s="10"/>
      <c r="S73" s="11"/>
      <c r="T73" s="67">
        <f t="shared" si="72"/>
        <v>1</v>
      </c>
      <c r="U73" s="12">
        <f t="shared" si="44"/>
        <v>2</v>
      </c>
      <c r="V73" s="90">
        <v>44672</v>
      </c>
    </row>
    <row r="74" spans="1:24" x14ac:dyDescent="0.15">
      <c r="A74" s="24"/>
      <c r="B74" s="9"/>
      <c r="C74" s="10"/>
      <c r="D74" s="11"/>
      <c r="E74" s="12">
        <f t="shared" si="69"/>
        <v>0</v>
      </c>
      <c r="F74" s="9"/>
      <c r="G74" s="10"/>
      <c r="H74" s="11"/>
      <c r="I74" s="67">
        <f t="shared" si="70"/>
        <v>0</v>
      </c>
      <c r="J74" s="12">
        <f t="shared" si="43"/>
        <v>0</v>
      </c>
      <c r="K74" s="90"/>
      <c r="L74" s="24" t="s">
        <v>86</v>
      </c>
      <c r="M74" s="9">
        <v>1</v>
      </c>
      <c r="N74" s="10"/>
      <c r="O74" s="11"/>
      <c r="P74" s="12">
        <f t="shared" si="71"/>
        <v>1</v>
      </c>
      <c r="Q74" s="9">
        <v>1</v>
      </c>
      <c r="R74" s="10"/>
      <c r="S74" s="11"/>
      <c r="T74" s="67">
        <f t="shared" si="72"/>
        <v>1</v>
      </c>
      <c r="U74" s="12">
        <f t="shared" si="44"/>
        <v>2</v>
      </c>
      <c r="V74" s="90">
        <v>44676</v>
      </c>
    </row>
    <row r="75" spans="1:24" x14ac:dyDescent="0.15">
      <c r="A75" s="21"/>
      <c r="B75" s="9"/>
      <c r="C75" s="10"/>
      <c r="D75" s="11"/>
      <c r="E75" s="12">
        <f t="shared" si="69"/>
        <v>0</v>
      </c>
      <c r="F75" s="9"/>
      <c r="G75" s="10"/>
      <c r="H75" s="11"/>
      <c r="I75" s="67">
        <f t="shared" si="70"/>
        <v>0</v>
      </c>
      <c r="J75" s="12">
        <f t="shared" si="43"/>
        <v>0</v>
      </c>
      <c r="K75" s="108"/>
      <c r="L75" s="24" t="s">
        <v>87</v>
      </c>
      <c r="M75" s="9">
        <v>2</v>
      </c>
      <c r="N75" s="10">
        <v>3</v>
      </c>
      <c r="O75" s="11">
        <v>3</v>
      </c>
      <c r="P75" s="12">
        <f t="shared" si="71"/>
        <v>8</v>
      </c>
      <c r="Q75" s="9">
        <v>2</v>
      </c>
      <c r="R75" s="10">
        <v>3</v>
      </c>
      <c r="S75" s="11">
        <v>3</v>
      </c>
      <c r="T75" s="67">
        <f t="shared" si="72"/>
        <v>8</v>
      </c>
      <c r="U75" s="12">
        <f t="shared" si="44"/>
        <v>16</v>
      </c>
      <c r="V75" s="90">
        <v>44677</v>
      </c>
    </row>
    <row r="76" spans="1:24" x14ac:dyDescent="0.15">
      <c r="A76" s="21"/>
      <c r="B76" s="9"/>
      <c r="C76" s="10"/>
      <c r="D76" s="11"/>
      <c r="E76" s="12">
        <f t="shared" si="69"/>
        <v>0</v>
      </c>
      <c r="F76" s="9"/>
      <c r="G76" s="10"/>
      <c r="H76" s="11"/>
      <c r="I76" s="67">
        <f t="shared" si="70"/>
        <v>0</v>
      </c>
      <c r="J76" s="12">
        <f t="shared" si="43"/>
        <v>0</v>
      </c>
      <c r="K76" s="90"/>
      <c r="L76" s="24" t="s">
        <v>38</v>
      </c>
      <c r="M76" s="9"/>
      <c r="N76" s="10">
        <v>5</v>
      </c>
      <c r="O76" s="11"/>
      <c r="P76" s="12">
        <f t="shared" si="71"/>
        <v>5</v>
      </c>
      <c r="Q76" s="9"/>
      <c r="R76" s="10">
        <v>5</v>
      </c>
      <c r="S76" s="11"/>
      <c r="T76" s="67">
        <f t="shared" si="72"/>
        <v>5</v>
      </c>
      <c r="U76" s="12">
        <f t="shared" si="44"/>
        <v>10</v>
      </c>
      <c r="V76" s="90">
        <v>44681</v>
      </c>
    </row>
    <row r="77" spans="1:24" x14ac:dyDescent="0.15">
      <c r="A77" s="21"/>
      <c r="B77" s="9"/>
      <c r="C77" s="10"/>
      <c r="D77" s="11"/>
      <c r="E77" s="12">
        <f t="shared" si="69"/>
        <v>0</v>
      </c>
      <c r="F77" s="9"/>
      <c r="G77" s="10"/>
      <c r="H77" s="11"/>
      <c r="I77" s="67">
        <f t="shared" si="70"/>
        <v>0</v>
      </c>
      <c r="J77" s="12">
        <f t="shared" si="43"/>
        <v>0</v>
      </c>
      <c r="K77" s="90"/>
      <c r="L77" s="24" t="s">
        <v>90</v>
      </c>
      <c r="M77" s="9">
        <v>1</v>
      </c>
      <c r="N77" s="10"/>
      <c r="O77" s="11"/>
      <c r="P77" s="12">
        <f t="shared" si="71"/>
        <v>1</v>
      </c>
      <c r="Q77" s="9">
        <v>1</v>
      </c>
      <c r="R77" s="10"/>
      <c r="S77" s="11"/>
      <c r="T77" s="67">
        <f t="shared" si="72"/>
        <v>1</v>
      </c>
      <c r="U77" s="12">
        <f t="shared" si="44"/>
        <v>2</v>
      </c>
      <c r="V77" s="90">
        <v>44691</v>
      </c>
    </row>
    <row r="78" spans="1:24" x14ac:dyDescent="0.15">
      <c r="A78" s="24"/>
      <c r="B78" s="13"/>
      <c r="C78" s="14"/>
      <c r="D78" s="15"/>
      <c r="E78" s="12">
        <f t="shared" si="69"/>
        <v>0</v>
      </c>
      <c r="F78" s="13"/>
      <c r="G78" s="14"/>
      <c r="H78" s="15"/>
      <c r="I78" s="67">
        <f t="shared" si="70"/>
        <v>0</v>
      </c>
      <c r="J78" s="12">
        <f t="shared" si="43"/>
        <v>0</v>
      </c>
      <c r="K78" s="90"/>
      <c r="L78" s="24" t="s">
        <v>91</v>
      </c>
      <c r="M78" s="13">
        <v>1</v>
      </c>
      <c r="N78" s="14"/>
      <c r="O78" s="15">
        <v>1</v>
      </c>
      <c r="P78" s="12">
        <f t="shared" si="71"/>
        <v>2</v>
      </c>
      <c r="Q78" s="13">
        <v>1</v>
      </c>
      <c r="R78" s="14"/>
      <c r="S78" s="15">
        <v>1</v>
      </c>
      <c r="T78" s="67">
        <f t="shared" si="72"/>
        <v>2</v>
      </c>
      <c r="U78" s="12">
        <f t="shared" si="44"/>
        <v>4</v>
      </c>
      <c r="V78" s="90">
        <v>44694</v>
      </c>
    </row>
    <row r="79" spans="1:24" x14ac:dyDescent="0.15">
      <c r="A79" s="24"/>
      <c r="B79" s="9"/>
      <c r="C79" s="10"/>
      <c r="D79" s="11"/>
      <c r="E79" s="12">
        <f t="shared" si="69"/>
        <v>0</v>
      </c>
      <c r="F79" s="9"/>
      <c r="G79" s="10"/>
      <c r="H79" s="11"/>
      <c r="I79" s="67">
        <f t="shared" si="70"/>
        <v>0</v>
      </c>
      <c r="J79" s="12">
        <f t="shared" si="43"/>
        <v>0</v>
      </c>
      <c r="K79" s="90"/>
      <c r="L79" s="24" t="s">
        <v>93</v>
      </c>
      <c r="M79" s="9"/>
      <c r="N79" s="10">
        <v>1</v>
      </c>
      <c r="O79" s="11">
        <v>1</v>
      </c>
      <c r="P79" s="12">
        <f t="shared" si="71"/>
        <v>2</v>
      </c>
      <c r="Q79" s="9"/>
      <c r="R79" s="10">
        <v>1</v>
      </c>
      <c r="S79" s="11">
        <v>1</v>
      </c>
      <c r="T79" s="67">
        <f t="shared" si="72"/>
        <v>2</v>
      </c>
      <c r="U79" s="12">
        <f t="shared" si="44"/>
        <v>4</v>
      </c>
      <c r="V79" s="90">
        <v>44694</v>
      </c>
    </row>
    <row r="80" spans="1:24" x14ac:dyDescent="0.15">
      <c r="A80" s="7"/>
      <c r="B80" s="9"/>
      <c r="C80" s="10"/>
      <c r="D80" s="11"/>
      <c r="E80" s="12">
        <f t="shared" si="69"/>
        <v>0</v>
      </c>
      <c r="F80" s="9"/>
      <c r="G80" s="10"/>
      <c r="H80" s="11"/>
      <c r="I80" s="67">
        <f t="shared" si="70"/>
        <v>0</v>
      </c>
      <c r="J80" s="12">
        <f t="shared" si="43"/>
        <v>0</v>
      </c>
      <c r="K80" s="90"/>
      <c r="L80" s="24" t="s">
        <v>94</v>
      </c>
      <c r="M80" s="9">
        <v>2</v>
      </c>
      <c r="N80" s="10"/>
      <c r="O80" s="11">
        <v>1</v>
      </c>
      <c r="P80" s="12">
        <f t="shared" si="71"/>
        <v>3</v>
      </c>
      <c r="Q80" s="9">
        <v>2</v>
      </c>
      <c r="R80" s="10"/>
      <c r="S80" s="11">
        <v>1</v>
      </c>
      <c r="T80" s="67">
        <f t="shared" si="72"/>
        <v>3</v>
      </c>
      <c r="U80" s="12">
        <f t="shared" si="44"/>
        <v>6</v>
      </c>
      <c r="V80" s="90">
        <v>44694</v>
      </c>
    </row>
    <row r="81" spans="1:23" x14ac:dyDescent="0.15">
      <c r="A81" s="59"/>
      <c r="B81" s="9"/>
      <c r="C81" s="10"/>
      <c r="D81" s="11"/>
      <c r="E81" s="12">
        <f t="shared" si="69"/>
        <v>0</v>
      </c>
      <c r="F81" s="9"/>
      <c r="G81" s="10"/>
      <c r="H81" s="11"/>
      <c r="I81" s="67">
        <f t="shared" si="70"/>
        <v>0</v>
      </c>
      <c r="J81" s="12">
        <f t="shared" si="43"/>
        <v>0</v>
      </c>
      <c r="K81" s="90"/>
      <c r="L81" s="59" t="s">
        <v>29</v>
      </c>
      <c r="M81" s="9"/>
      <c r="N81" s="10"/>
      <c r="O81" s="11"/>
      <c r="P81" s="12">
        <f t="shared" ref="P81" si="73">SUM(M81:O81)</f>
        <v>0</v>
      </c>
      <c r="Q81" s="9"/>
      <c r="R81" s="10"/>
      <c r="S81" s="11"/>
      <c r="T81" s="67">
        <f t="shared" ref="T81" si="74">SUM(Q81:S81)</f>
        <v>0</v>
      </c>
      <c r="U81" s="12">
        <f t="shared" si="44"/>
        <v>0</v>
      </c>
      <c r="V81" s="89" t="s">
        <v>35</v>
      </c>
    </row>
    <row r="82" spans="1:23" ht="14.25" thickBot="1" x14ac:dyDescent="0.2">
      <c r="A82" s="22"/>
      <c r="B82" s="9"/>
      <c r="C82" s="10"/>
      <c r="D82" s="11"/>
      <c r="E82" s="12">
        <f t="shared" si="69"/>
        <v>0</v>
      </c>
      <c r="F82" s="9"/>
      <c r="G82" s="10"/>
      <c r="H82" s="11"/>
      <c r="I82" s="67">
        <f t="shared" si="70"/>
        <v>0</v>
      </c>
      <c r="J82" s="19">
        <f t="shared" si="43"/>
        <v>0</v>
      </c>
      <c r="K82" s="108"/>
      <c r="L82" s="22" t="s">
        <v>47</v>
      </c>
      <c r="M82" s="9"/>
      <c r="N82" s="10"/>
      <c r="O82" s="11"/>
      <c r="P82" s="12">
        <f t="shared" si="71"/>
        <v>0</v>
      </c>
      <c r="Q82" s="9"/>
      <c r="R82" s="10"/>
      <c r="S82" s="11"/>
      <c r="T82" s="67">
        <f t="shared" si="72"/>
        <v>0</v>
      </c>
      <c r="U82" s="19">
        <f t="shared" si="44"/>
        <v>0</v>
      </c>
      <c r="V82" s="89" t="s">
        <v>48</v>
      </c>
    </row>
    <row r="83" spans="1:23" ht="14.25" thickBot="1" x14ac:dyDescent="0.2">
      <c r="A83" s="37" t="s">
        <v>17</v>
      </c>
      <c r="B83" s="38">
        <f>SUM(B57:B82)</f>
        <v>2</v>
      </c>
      <c r="C83" s="39">
        <f>SUM(C57:C82)</f>
        <v>9</v>
      </c>
      <c r="D83" s="40">
        <f>SUM(D57:D82)</f>
        <v>4</v>
      </c>
      <c r="E83" s="41">
        <f>SUM(B83:D83)</f>
        <v>15</v>
      </c>
      <c r="F83" s="38">
        <f>SUM(F57:F82)</f>
        <v>1</v>
      </c>
      <c r="G83" s="39">
        <f>SUM(G57:G82)</f>
        <v>9</v>
      </c>
      <c r="H83" s="40">
        <f>SUM(H57:H82)</f>
        <v>3</v>
      </c>
      <c r="I83" s="41">
        <f>SUM(F83:H83)</f>
        <v>13</v>
      </c>
      <c r="J83" s="42">
        <f t="shared" si="43"/>
        <v>28</v>
      </c>
      <c r="K83" s="91"/>
      <c r="L83" s="37" t="s">
        <v>17</v>
      </c>
      <c r="M83" s="38">
        <f>SUM(M57:M82)</f>
        <v>213</v>
      </c>
      <c r="N83" s="39">
        <f>SUM(N57:N82)</f>
        <v>233</v>
      </c>
      <c r="O83" s="40">
        <f>SUM(O57:O82)</f>
        <v>176</v>
      </c>
      <c r="P83" s="41">
        <f>SUM(M83:O83)</f>
        <v>622</v>
      </c>
      <c r="Q83" s="38">
        <f>SUM(Q57:Q82)</f>
        <v>210</v>
      </c>
      <c r="R83" s="39">
        <f>SUM(R57:R82)</f>
        <v>213</v>
      </c>
      <c r="S83" s="40">
        <f>SUM(S57:S82)</f>
        <v>156</v>
      </c>
      <c r="T83" s="41">
        <f>SUM(Q83:S83)</f>
        <v>579</v>
      </c>
      <c r="U83" s="42">
        <f t="shared" si="44"/>
        <v>1201</v>
      </c>
    </row>
    <row r="84" spans="1:23" ht="14.25" thickBot="1" x14ac:dyDescent="0.2">
      <c r="A84" s="20" t="s">
        <v>18</v>
      </c>
      <c r="B84" s="63">
        <f>B56-B83</f>
        <v>2</v>
      </c>
      <c r="C84" s="64">
        <f t="shared" ref="C84" si="75">C56-C83</f>
        <v>6</v>
      </c>
      <c r="D84" s="65">
        <f t="shared" ref="D84" si="76">D56-D83</f>
        <v>3</v>
      </c>
      <c r="E84" s="65">
        <f t="shared" ref="E84" si="77">E56-E83</f>
        <v>11</v>
      </c>
      <c r="F84" s="63">
        <f>F56-F83</f>
        <v>4</v>
      </c>
      <c r="G84" s="64">
        <f t="shared" ref="G84" si="78">G56-G83</f>
        <v>5</v>
      </c>
      <c r="H84" s="65">
        <f t="shared" ref="H84" si="79">H56-H83</f>
        <v>4</v>
      </c>
      <c r="I84" s="65">
        <f t="shared" ref="I84" si="80">I56-I83</f>
        <v>13</v>
      </c>
      <c r="J84" s="29">
        <f t="shared" si="43"/>
        <v>24</v>
      </c>
      <c r="L84" s="20" t="s">
        <v>18</v>
      </c>
      <c r="M84" s="63">
        <f>M56-M83</f>
        <v>468</v>
      </c>
      <c r="N84" s="64">
        <f t="shared" ref="N84" si="81">N56-N83</f>
        <v>632</v>
      </c>
      <c r="O84" s="65">
        <f t="shared" ref="O84" si="82">O56-O83</f>
        <v>330</v>
      </c>
      <c r="P84" s="65">
        <f t="shared" ref="P84" si="83">P56-P83</f>
        <v>1430</v>
      </c>
      <c r="Q84" s="63">
        <f>Q56-Q83</f>
        <v>490</v>
      </c>
      <c r="R84" s="64">
        <f t="shared" ref="R84" si="84">R56-R83</f>
        <v>725</v>
      </c>
      <c r="S84" s="65">
        <f t="shared" ref="S84" si="85">S56-S83</f>
        <v>403</v>
      </c>
      <c r="T84" s="65">
        <f t="shared" ref="T84" si="86">T56-T83</f>
        <v>1618</v>
      </c>
      <c r="U84" s="29">
        <f t="shared" si="44"/>
        <v>3048</v>
      </c>
    </row>
    <row r="85" spans="1:23" x14ac:dyDescent="0.15">
      <c r="M85">
        <f>M83+M40</f>
        <v>574</v>
      </c>
      <c r="N85">
        <f t="shared" ref="N85:U85" si="87">N83+N40</f>
        <v>627</v>
      </c>
      <c r="O85">
        <f t="shared" si="87"/>
        <v>424</v>
      </c>
      <c r="P85">
        <f t="shared" si="87"/>
        <v>1625</v>
      </c>
      <c r="Q85">
        <f t="shared" si="87"/>
        <v>573</v>
      </c>
      <c r="R85">
        <f t="shared" si="87"/>
        <v>607</v>
      </c>
      <c r="S85">
        <f t="shared" si="87"/>
        <v>404</v>
      </c>
      <c r="T85">
        <f t="shared" si="87"/>
        <v>1584</v>
      </c>
      <c r="U85">
        <f t="shared" si="87"/>
        <v>3209</v>
      </c>
    </row>
    <row r="86" spans="1:23" x14ac:dyDescent="0.15">
      <c r="L86" s="88"/>
      <c r="M86" s="87" t="s">
        <v>122</v>
      </c>
      <c r="N86" s="87" t="s">
        <v>123</v>
      </c>
      <c r="O86" s="87" t="s">
        <v>124</v>
      </c>
    </row>
    <row r="87" spans="1:23" ht="19.5" thickBot="1" x14ac:dyDescent="0.25">
      <c r="A87" s="3" t="s">
        <v>22</v>
      </c>
      <c r="B87" s="1"/>
      <c r="C87" s="1"/>
      <c r="D87" s="1"/>
      <c r="E87" s="1"/>
      <c r="F87" s="1"/>
      <c r="G87" s="1"/>
      <c r="H87" s="1"/>
      <c r="I87" s="1"/>
      <c r="J87" s="1"/>
      <c r="L87" s="96" t="s">
        <v>125</v>
      </c>
      <c r="M87">
        <v>304</v>
      </c>
      <c r="N87">
        <v>287</v>
      </c>
      <c r="O87">
        <v>169</v>
      </c>
      <c r="P87" s="79"/>
      <c r="Q87" s="1"/>
      <c r="R87" s="1"/>
      <c r="S87" s="1"/>
      <c r="T87" s="1"/>
      <c r="U87" s="1"/>
    </row>
    <row r="88" spans="1:23" ht="14.25" thickBot="1" x14ac:dyDescent="0.2">
      <c r="A88" s="8" t="s">
        <v>0</v>
      </c>
      <c r="B88" s="227" t="s">
        <v>19</v>
      </c>
      <c r="C88" s="228"/>
      <c r="D88" s="228"/>
      <c r="E88" s="229"/>
      <c r="F88" s="230" t="s">
        <v>20</v>
      </c>
      <c r="G88" s="231"/>
      <c r="H88" s="231"/>
      <c r="I88" s="232"/>
      <c r="J88" s="233" t="s">
        <v>1</v>
      </c>
      <c r="L88" s="8" t="s">
        <v>0</v>
      </c>
      <c r="M88" s="227" t="s">
        <v>19</v>
      </c>
      <c r="N88" s="228"/>
      <c r="O88" s="228"/>
      <c r="P88" s="229"/>
      <c r="Q88" s="230" t="s">
        <v>20</v>
      </c>
      <c r="R88" s="231"/>
      <c r="S88" s="231"/>
      <c r="T88" s="232"/>
      <c r="U88" s="233" t="s">
        <v>1</v>
      </c>
    </row>
    <row r="89" spans="1:23" ht="14.25" thickBot="1" x14ac:dyDescent="0.2">
      <c r="A89" s="8" t="s">
        <v>2</v>
      </c>
      <c r="B89" s="69" t="s">
        <v>3</v>
      </c>
      <c r="C89" s="70" t="s">
        <v>4</v>
      </c>
      <c r="D89" s="71" t="s">
        <v>5</v>
      </c>
      <c r="E89" s="8" t="s">
        <v>6</v>
      </c>
      <c r="F89" s="4" t="s">
        <v>3</v>
      </c>
      <c r="G89" s="5" t="s">
        <v>4</v>
      </c>
      <c r="H89" s="6" t="s">
        <v>5</v>
      </c>
      <c r="I89" s="8" t="s">
        <v>6</v>
      </c>
      <c r="J89" s="234"/>
      <c r="L89" s="8" t="s">
        <v>2</v>
      </c>
      <c r="M89" s="69" t="s">
        <v>3</v>
      </c>
      <c r="N89" s="70" t="s">
        <v>4</v>
      </c>
      <c r="O89" s="71" t="s">
        <v>5</v>
      </c>
      <c r="P89" s="8" t="s">
        <v>6</v>
      </c>
      <c r="Q89" s="4" t="s">
        <v>3</v>
      </c>
      <c r="R89" s="5" t="s">
        <v>4</v>
      </c>
      <c r="S89" s="6" t="s">
        <v>5</v>
      </c>
      <c r="T89" s="8" t="s">
        <v>6</v>
      </c>
      <c r="U89" s="234"/>
    </row>
    <row r="90" spans="1:23" ht="14.25" thickBot="1" x14ac:dyDescent="0.2">
      <c r="A90" s="25" t="s">
        <v>18</v>
      </c>
      <c r="B90" s="26">
        <f>B84</f>
        <v>2</v>
      </c>
      <c r="C90" s="27">
        <f t="shared" ref="C90:D90" si="88">C84</f>
        <v>6</v>
      </c>
      <c r="D90" s="49">
        <f t="shared" si="88"/>
        <v>3</v>
      </c>
      <c r="E90" s="68">
        <f t="shared" ref="E90:E98" si="89">SUM(B90:D90)</f>
        <v>11</v>
      </c>
      <c r="F90" s="26">
        <f>F84</f>
        <v>4</v>
      </c>
      <c r="G90" s="27">
        <f t="shared" ref="G90:H90" si="90">G84</f>
        <v>5</v>
      </c>
      <c r="H90" s="49">
        <f t="shared" si="90"/>
        <v>4</v>
      </c>
      <c r="I90" s="33">
        <f t="shared" ref="I90:I98" si="91">SUM(F90:H90)</f>
        <v>13</v>
      </c>
      <c r="J90" s="33">
        <f>E90+I90</f>
        <v>24</v>
      </c>
      <c r="K90" s="90"/>
      <c r="L90" s="25" t="s">
        <v>18</v>
      </c>
      <c r="M90" s="26">
        <f>M84</f>
        <v>468</v>
      </c>
      <c r="N90" s="27">
        <f t="shared" ref="N90:O90" si="92">N84</f>
        <v>632</v>
      </c>
      <c r="O90" s="49">
        <f t="shared" si="92"/>
        <v>330</v>
      </c>
      <c r="P90" s="68">
        <f t="shared" ref="P90:P98" si="93">SUM(M90:O90)</f>
        <v>1430</v>
      </c>
      <c r="Q90" s="26">
        <f>Q84</f>
        <v>490</v>
      </c>
      <c r="R90" s="27">
        <f t="shared" ref="R90:S90" si="94">R84</f>
        <v>725</v>
      </c>
      <c r="S90" s="49">
        <f t="shared" si="94"/>
        <v>403</v>
      </c>
      <c r="T90" s="33">
        <f t="shared" ref="T90:T98" si="95">SUM(Q90:S90)</f>
        <v>1618</v>
      </c>
      <c r="U90" s="33">
        <f>P90+T90</f>
        <v>3048</v>
      </c>
    </row>
    <row r="91" spans="1:23" x14ac:dyDescent="0.15">
      <c r="A91" s="23" t="s">
        <v>8</v>
      </c>
      <c r="B91" s="47">
        <v>3</v>
      </c>
      <c r="C91" s="48"/>
      <c r="D91" s="72"/>
      <c r="E91" s="42">
        <f t="shared" si="89"/>
        <v>3</v>
      </c>
      <c r="F91" s="38">
        <v>3</v>
      </c>
      <c r="G91" s="39"/>
      <c r="H91" s="40"/>
      <c r="I91" s="66">
        <f t="shared" si="91"/>
        <v>3</v>
      </c>
      <c r="J91" s="57">
        <f t="shared" ref="J91:J98" si="96">E91+I91</f>
        <v>6</v>
      </c>
      <c r="K91" s="90">
        <v>44697</v>
      </c>
      <c r="L91" s="23" t="s">
        <v>38</v>
      </c>
      <c r="M91" s="9">
        <v>2</v>
      </c>
      <c r="N91" s="10">
        <v>17</v>
      </c>
      <c r="O91" s="11">
        <v>11</v>
      </c>
      <c r="P91" s="12">
        <f t="shared" si="93"/>
        <v>30</v>
      </c>
      <c r="Q91" s="9">
        <v>11</v>
      </c>
      <c r="R91" s="10">
        <v>4</v>
      </c>
      <c r="S91" s="11">
        <v>4</v>
      </c>
      <c r="T91" s="67">
        <f t="shared" si="95"/>
        <v>19</v>
      </c>
      <c r="U91" s="12">
        <f t="shared" ref="U91:U92" si="97">P91+T91</f>
        <v>49</v>
      </c>
      <c r="V91" s="90">
        <v>44702</v>
      </c>
    </row>
    <row r="92" spans="1:23" x14ac:dyDescent="0.15">
      <c r="A92" s="23" t="s">
        <v>100</v>
      </c>
      <c r="B92" s="9">
        <v>6</v>
      </c>
      <c r="C92" s="10">
        <v>2</v>
      </c>
      <c r="D92" s="44">
        <v>1</v>
      </c>
      <c r="E92" s="12">
        <f t="shared" si="89"/>
        <v>9</v>
      </c>
      <c r="F92" s="9">
        <v>6</v>
      </c>
      <c r="G92" s="10">
        <v>2</v>
      </c>
      <c r="H92" s="44">
        <v>1</v>
      </c>
      <c r="I92" s="12">
        <f t="shared" si="91"/>
        <v>9</v>
      </c>
      <c r="J92" s="12">
        <f t="shared" si="96"/>
        <v>18</v>
      </c>
      <c r="K92" s="90">
        <v>44700</v>
      </c>
      <c r="L92" s="23" t="s">
        <v>38</v>
      </c>
      <c r="M92" s="9">
        <v>4</v>
      </c>
      <c r="N92" s="10">
        <v>6</v>
      </c>
      <c r="O92" s="11">
        <v>7</v>
      </c>
      <c r="P92" s="12">
        <f t="shared" si="93"/>
        <v>17</v>
      </c>
      <c r="Q92" s="9"/>
      <c r="R92" s="10">
        <v>3</v>
      </c>
      <c r="S92" s="11">
        <v>7</v>
      </c>
      <c r="T92" s="67">
        <f t="shared" si="95"/>
        <v>10</v>
      </c>
      <c r="U92" s="12">
        <f t="shared" si="97"/>
        <v>27</v>
      </c>
      <c r="V92" s="90">
        <v>44730</v>
      </c>
    </row>
    <row r="93" spans="1:23" x14ac:dyDescent="0.15">
      <c r="A93" s="23" t="s">
        <v>100</v>
      </c>
      <c r="B93" s="16">
        <v>2</v>
      </c>
      <c r="C93" s="17">
        <v>16</v>
      </c>
      <c r="D93" s="43">
        <v>10</v>
      </c>
      <c r="E93" s="12">
        <f t="shared" si="89"/>
        <v>28</v>
      </c>
      <c r="F93" s="16"/>
      <c r="G93" s="17">
        <v>1</v>
      </c>
      <c r="H93" s="43">
        <v>3</v>
      </c>
      <c r="I93" s="12">
        <f t="shared" si="91"/>
        <v>4</v>
      </c>
      <c r="J93" s="12">
        <f t="shared" si="96"/>
        <v>32</v>
      </c>
      <c r="K93" s="90">
        <v>44700</v>
      </c>
      <c r="L93" s="23" t="s">
        <v>10</v>
      </c>
      <c r="M93" s="16"/>
      <c r="N93" s="17"/>
      <c r="O93" s="43"/>
      <c r="P93" s="12">
        <f t="shared" si="93"/>
        <v>0</v>
      </c>
      <c r="Q93" s="16">
        <v>1</v>
      </c>
      <c r="R93" s="17"/>
      <c r="S93" s="43"/>
      <c r="T93" s="12">
        <f t="shared" si="95"/>
        <v>1</v>
      </c>
      <c r="U93" s="12">
        <f t="shared" ref="U93:U98" si="98">P93+T93</f>
        <v>1</v>
      </c>
      <c r="V93" s="90">
        <v>44812</v>
      </c>
      <c r="W93" s="50"/>
    </row>
    <row r="94" spans="1:23" x14ac:dyDescent="0.15">
      <c r="A94" s="23" t="s">
        <v>11</v>
      </c>
      <c r="B94" s="9">
        <v>5</v>
      </c>
      <c r="C94" s="10"/>
      <c r="D94" s="44">
        <v>3</v>
      </c>
      <c r="E94" s="12">
        <f t="shared" si="89"/>
        <v>8</v>
      </c>
      <c r="F94" s="9"/>
      <c r="G94" s="10">
        <v>3</v>
      </c>
      <c r="H94" s="44">
        <v>3</v>
      </c>
      <c r="I94" s="67">
        <f t="shared" si="91"/>
        <v>6</v>
      </c>
      <c r="J94" s="12">
        <f t="shared" si="96"/>
        <v>14</v>
      </c>
      <c r="K94" s="90">
        <v>44705</v>
      </c>
      <c r="L94" s="23" t="s">
        <v>11</v>
      </c>
      <c r="M94" s="9"/>
      <c r="N94" s="10"/>
      <c r="O94" s="44"/>
      <c r="P94" s="12">
        <f t="shared" si="93"/>
        <v>0</v>
      </c>
      <c r="Q94" s="9"/>
      <c r="R94" s="10"/>
      <c r="S94" s="44"/>
      <c r="T94" s="67">
        <f t="shared" si="95"/>
        <v>0</v>
      </c>
      <c r="U94" s="12">
        <f t="shared" si="98"/>
        <v>0</v>
      </c>
    </row>
    <row r="95" spans="1:23" x14ac:dyDescent="0.15">
      <c r="A95" s="23" t="s">
        <v>12</v>
      </c>
      <c r="B95" s="9"/>
      <c r="C95" s="10"/>
      <c r="D95" s="44"/>
      <c r="E95" s="12">
        <f t="shared" si="89"/>
        <v>0</v>
      </c>
      <c r="F95" s="9">
        <v>5</v>
      </c>
      <c r="G95" s="10"/>
      <c r="H95" s="44"/>
      <c r="I95" s="67">
        <f t="shared" si="91"/>
        <v>5</v>
      </c>
      <c r="J95" s="12">
        <f t="shared" si="96"/>
        <v>5</v>
      </c>
      <c r="K95" s="90">
        <v>44727</v>
      </c>
      <c r="L95" s="23" t="s">
        <v>12</v>
      </c>
      <c r="M95" s="9"/>
      <c r="N95" s="10"/>
      <c r="O95" s="44"/>
      <c r="P95" s="12">
        <f t="shared" si="93"/>
        <v>0</v>
      </c>
      <c r="Q95" s="9"/>
      <c r="R95" s="10"/>
      <c r="S95" s="44"/>
      <c r="T95" s="67">
        <f t="shared" si="95"/>
        <v>0</v>
      </c>
      <c r="U95" s="12">
        <f t="shared" si="98"/>
        <v>0</v>
      </c>
    </row>
    <row r="96" spans="1:23" x14ac:dyDescent="0.15">
      <c r="A96" s="23" t="s">
        <v>100</v>
      </c>
      <c r="B96" s="9"/>
      <c r="C96" s="10">
        <v>5</v>
      </c>
      <c r="D96" s="44">
        <f>4+3</f>
        <v>7</v>
      </c>
      <c r="E96" s="12">
        <f t="shared" si="89"/>
        <v>12</v>
      </c>
      <c r="F96" s="9"/>
      <c r="G96" s="10">
        <v>2</v>
      </c>
      <c r="H96" s="44">
        <v>5</v>
      </c>
      <c r="I96" s="67">
        <f t="shared" si="91"/>
        <v>7</v>
      </c>
      <c r="J96" s="12">
        <f t="shared" si="96"/>
        <v>19</v>
      </c>
      <c r="K96" s="90">
        <v>44728</v>
      </c>
      <c r="L96" s="23" t="s">
        <v>13</v>
      </c>
      <c r="M96" s="9"/>
      <c r="N96" s="10"/>
      <c r="O96" s="44"/>
      <c r="P96" s="12">
        <f t="shared" si="93"/>
        <v>0</v>
      </c>
      <c r="Q96" s="9"/>
      <c r="R96" s="10"/>
      <c r="S96" s="44"/>
      <c r="T96" s="67">
        <f t="shared" si="95"/>
        <v>0</v>
      </c>
      <c r="U96" s="12">
        <f t="shared" si="98"/>
        <v>0</v>
      </c>
    </row>
    <row r="97" spans="1:23" x14ac:dyDescent="0.15">
      <c r="A97" s="23" t="s">
        <v>14</v>
      </c>
      <c r="B97" s="13"/>
      <c r="C97" s="14">
        <v>5</v>
      </c>
      <c r="D97" s="45">
        <v>5</v>
      </c>
      <c r="E97" s="12">
        <f t="shared" si="89"/>
        <v>10</v>
      </c>
      <c r="F97" s="13">
        <v>5</v>
      </c>
      <c r="G97" s="14">
        <v>5</v>
      </c>
      <c r="H97" s="45">
        <v>5</v>
      </c>
      <c r="I97" s="67">
        <f t="shared" si="91"/>
        <v>15</v>
      </c>
      <c r="J97" s="12">
        <f t="shared" si="96"/>
        <v>25</v>
      </c>
      <c r="K97" s="90">
        <v>44750</v>
      </c>
      <c r="L97" s="23" t="s">
        <v>14</v>
      </c>
      <c r="M97" s="13"/>
      <c r="N97" s="14"/>
      <c r="O97" s="45"/>
      <c r="P97" s="12">
        <f t="shared" si="93"/>
        <v>0</v>
      </c>
      <c r="Q97" s="13"/>
      <c r="R97" s="14"/>
      <c r="S97" s="45"/>
      <c r="T97" s="67">
        <f t="shared" si="95"/>
        <v>0</v>
      </c>
      <c r="U97" s="12">
        <f t="shared" si="98"/>
        <v>0</v>
      </c>
    </row>
    <row r="98" spans="1:23" ht="14.25" thickBot="1" x14ac:dyDescent="0.2">
      <c r="A98" s="82" t="s">
        <v>121</v>
      </c>
      <c r="B98" s="83">
        <v>0</v>
      </c>
      <c r="C98" s="84">
        <v>0</v>
      </c>
      <c r="D98" s="85">
        <v>0</v>
      </c>
      <c r="E98" s="80">
        <f t="shared" si="89"/>
        <v>0</v>
      </c>
      <c r="F98" s="83">
        <v>0</v>
      </c>
      <c r="G98" s="84">
        <v>0</v>
      </c>
      <c r="H98" s="85">
        <v>0</v>
      </c>
      <c r="I98" s="81">
        <f t="shared" si="91"/>
        <v>0</v>
      </c>
      <c r="J98" s="86">
        <f t="shared" si="96"/>
        <v>0</v>
      </c>
      <c r="K98" s="162">
        <v>44798</v>
      </c>
      <c r="L98" s="23" t="s">
        <v>15</v>
      </c>
      <c r="M98" s="30"/>
      <c r="N98" s="31"/>
      <c r="O98" s="46"/>
      <c r="P98" s="12">
        <f t="shared" si="93"/>
        <v>0</v>
      </c>
      <c r="Q98" s="30"/>
      <c r="R98" s="31"/>
      <c r="S98" s="46"/>
      <c r="T98" s="67">
        <f t="shared" si="95"/>
        <v>0</v>
      </c>
      <c r="U98" s="19">
        <f t="shared" si="98"/>
        <v>0</v>
      </c>
    </row>
    <row r="99" spans="1:23" ht="14.25" thickBot="1" x14ac:dyDescent="0.2">
      <c r="A99" s="32" t="s">
        <v>16</v>
      </c>
      <c r="B99" s="26">
        <f>SUM(B90:B98)</f>
        <v>18</v>
      </c>
      <c r="C99" s="27">
        <f t="shared" ref="C99:J99" si="99">SUM(C90:C98)</f>
        <v>34</v>
      </c>
      <c r="D99" s="49">
        <f t="shared" si="99"/>
        <v>29</v>
      </c>
      <c r="E99" s="75">
        <f t="shared" si="99"/>
        <v>81</v>
      </c>
      <c r="F99" s="26">
        <f t="shared" si="99"/>
        <v>23</v>
      </c>
      <c r="G99" s="27">
        <f t="shared" si="99"/>
        <v>18</v>
      </c>
      <c r="H99" s="49">
        <f t="shared" si="99"/>
        <v>21</v>
      </c>
      <c r="I99" s="74">
        <f t="shared" si="99"/>
        <v>62</v>
      </c>
      <c r="J99" s="29">
        <f t="shared" si="99"/>
        <v>143</v>
      </c>
      <c r="L99" s="32" t="s">
        <v>16</v>
      </c>
      <c r="M99" s="26">
        <f>SUM(M90:M98)</f>
        <v>474</v>
      </c>
      <c r="N99" s="27">
        <f t="shared" ref="N99:U99" si="100">SUM(N90:N98)</f>
        <v>655</v>
      </c>
      <c r="O99" s="49">
        <f t="shared" si="100"/>
        <v>348</v>
      </c>
      <c r="P99" s="75">
        <f t="shared" si="100"/>
        <v>1477</v>
      </c>
      <c r="Q99" s="26">
        <f t="shared" si="100"/>
        <v>502</v>
      </c>
      <c r="R99" s="27">
        <f t="shared" si="100"/>
        <v>732</v>
      </c>
      <c r="S99" s="49">
        <f t="shared" si="100"/>
        <v>414</v>
      </c>
      <c r="T99" s="74">
        <f t="shared" si="100"/>
        <v>1648</v>
      </c>
      <c r="U99" s="29">
        <f t="shared" si="100"/>
        <v>3125</v>
      </c>
    </row>
    <row r="100" spans="1:23" x14ac:dyDescent="0.15">
      <c r="A100" s="24" t="s">
        <v>95</v>
      </c>
      <c r="B100" s="54">
        <v>1</v>
      </c>
      <c r="C100" s="55">
        <v>1</v>
      </c>
      <c r="D100" s="56"/>
      <c r="E100" s="42">
        <f t="shared" ref="E100:E125" si="101">SUM(B100:D100)</f>
        <v>2</v>
      </c>
      <c r="F100" s="54">
        <v>1</v>
      </c>
      <c r="G100" s="55">
        <v>1</v>
      </c>
      <c r="H100" s="56"/>
      <c r="I100" s="66">
        <f t="shared" ref="I100:I125" si="102">SUM(F100:H100)</f>
        <v>2</v>
      </c>
      <c r="J100" s="57">
        <f t="shared" ref="J100:J127" si="103">E100+I100</f>
        <v>4</v>
      </c>
      <c r="K100" s="90">
        <v>44697</v>
      </c>
      <c r="L100" s="22" t="s">
        <v>96</v>
      </c>
      <c r="M100" s="54">
        <v>3</v>
      </c>
      <c r="N100" s="55"/>
      <c r="O100" s="56"/>
      <c r="P100" s="42">
        <f t="shared" ref="P100" si="104">SUM(M100:O100)</f>
        <v>3</v>
      </c>
      <c r="Q100" s="54">
        <v>3</v>
      </c>
      <c r="R100" s="55"/>
      <c r="S100" s="56"/>
      <c r="T100" s="66">
        <f t="shared" ref="T100" si="105">SUM(Q100:S100)</f>
        <v>3</v>
      </c>
      <c r="U100" s="57">
        <f t="shared" ref="U100" si="106">P100+T100</f>
        <v>6</v>
      </c>
      <c r="V100" s="90">
        <v>44697</v>
      </c>
    </row>
    <row r="101" spans="1:23" x14ac:dyDescent="0.15">
      <c r="A101" s="24" t="s">
        <v>97</v>
      </c>
      <c r="B101" s="16">
        <v>2</v>
      </c>
      <c r="C101" s="17"/>
      <c r="D101" s="18"/>
      <c r="E101" s="12">
        <f t="shared" si="101"/>
        <v>2</v>
      </c>
      <c r="F101" s="16">
        <v>2</v>
      </c>
      <c r="G101" s="17"/>
      <c r="H101" s="18"/>
      <c r="I101" s="67">
        <f t="shared" si="102"/>
        <v>2</v>
      </c>
      <c r="J101" s="12">
        <f t="shared" si="103"/>
        <v>4</v>
      </c>
      <c r="K101" s="90">
        <v>44698</v>
      </c>
      <c r="L101" s="24" t="s">
        <v>99</v>
      </c>
      <c r="M101" s="16"/>
      <c r="N101" s="17"/>
      <c r="O101" s="18">
        <v>1</v>
      </c>
      <c r="P101" s="12">
        <f t="shared" ref="P101:P125" si="107">SUM(M101:O101)</f>
        <v>1</v>
      </c>
      <c r="Q101" s="16"/>
      <c r="R101" s="17"/>
      <c r="S101" s="18">
        <v>1</v>
      </c>
      <c r="T101" s="67">
        <f t="shared" ref="T101:T125" si="108">SUM(Q101:S101)</f>
        <v>1</v>
      </c>
      <c r="U101" s="12">
        <f t="shared" ref="U101:U127" si="109">P101+T101</f>
        <v>2</v>
      </c>
      <c r="V101" s="90">
        <v>44701</v>
      </c>
    </row>
    <row r="102" spans="1:23" x14ac:dyDescent="0.15">
      <c r="A102" s="24" t="s">
        <v>45</v>
      </c>
      <c r="B102" s="9"/>
      <c r="C102" s="10">
        <v>1</v>
      </c>
      <c r="D102" s="11"/>
      <c r="E102" s="12">
        <f t="shared" si="101"/>
        <v>1</v>
      </c>
      <c r="F102" s="9"/>
      <c r="G102" s="10">
        <v>1</v>
      </c>
      <c r="H102" s="11"/>
      <c r="I102" s="67">
        <f t="shared" si="102"/>
        <v>1</v>
      </c>
      <c r="J102" s="12">
        <f t="shared" si="103"/>
        <v>2</v>
      </c>
      <c r="K102" s="108">
        <v>44697</v>
      </c>
      <c r="L102" s="24" t="s">
        <v>102</v>
      </c>
      <c r="M102" s="9"/>
      <c r="N102" s="10"/>
      <c r="O102" s="11">
        <v>1</v>
      </c>
      <c r="P102" s="12">
        <f t="shared" si="107"/>
        <v>1</v>
      </c>
      <c r="Q102" s="9"/>
      <c r="R102" s="10"/>
      <c r="S102" s="11">
        <v>1</v>
      </c>
      <c r="T102" s="67">
        <f t="shared" si="108"/>
        <v>1</v>
      </c>
      <c r="U102" s="12">
        <f t="shared" si="109"/>
        <v>2</v>
      </c>
      <c r="V102" s="90">
        <v>44705</v>
      </c>
    </row>
    <row r="103" spans="1:23" x14ac:dyDescent="0.15">
      <c r="A103" s="24" t="s">
        <v>98</v>
      </c>
      <c r="B103" s="9"/>
      <c r="C103" s="10"/>
      <c r="D103" s="11">
        <v>1</v>
      </c>
      <c r="E103" s="12">
        <f t="shared" si="101"/>
        <v>1</v>
      </c>
      <c r="F103" s="9"/>
      <c r="G103" s="10"/>
      <c r="H103" s="11">
        <v>1</v>
      </c>
      <c r="I103" s="67">
        <f t="shared" si="102"/>
        <v>1</v>
      </c>
      <c r="J103" s="12">
        <f t="shared" si="103"/>
        <v>2</v>
      </c>
      <c r="K103" s="90">
        <v>44699</v>
      </c>
      <c r="L103" s="22" t="s">
        <v>38</v>
      </c>
      <c r="M103" s="9">
        <v>5</v>
      </c>
      <c r="N103" s="10"/>
      <c r="O103" s="11">
        <v>3</v>
      </c>
      <c r="P103" s="12">
        <f t="shared" si="107"/>
        <v>8</v>
      </c>
      <c r="Q103" s="9"/>
      <c r="R103" s="10">
        <v>3</v>
      </c>
      <c r="S103" s="11">
        <v>3</v>
      </c>
      <c r="T103" s="67">
        <f t="shared" si="108"/>
        <v>6</v>
      </c>
      <c r="U103" s="12">
        <f t="shared" si="109"/>
        <v>14</v>
      </c>
      <c r="V103" s="90">
        <v>44705</v>
      </c>
    </row>
    <row r="104" spans="1:23" x14ac:dyDescent="0.15">
      <c r="A104" s="24" t="s">
        <v>101</v>
      </c>
      <c r="B104" s="9">
        <v>2</v>
      </c>
      <c r="C104" s="10">
        <v>17</v>
      </c>
      <c r="D104" s="11">
        <v>11</v>
      </c>
      <c r="E104" s="12">
        <f t="shared" si="101"/>
        <v>30</v>
      </c>
      <c r="F104" s="9">
        <v>11</v>
      </c>
      <c r="G104" s="10">
        <v>4</v>
      </c>
      <c r="H104" s="11">
        <v>4</v>
      </c>
      <c r="I104" s="67">
        <f t="shared" si="102"/>
        <v>19</v>
      </c>
      <c r="J104" s="12">
        <f t="shared" si="103"/>
        <v>49</v>
      </c>
      <c r="K104" s="90">
        <v>44702</v>
      </c>
      <c r="L104" s="24" t="s">
        <v>104</v>
      </c>
      <c r="M104" s="9"/>
      <c r="N104" s="10"/>
      <c r="O104" s="11">
        <v>1</v>
      </c>
      <c r="P104" s="12">
        <f t="shared" si="107"/>
        <v>1</v>
      </c>
      <c r="Q104" s="9"/>
      <c r="R104" s="10"/>
      <c r="S104" s="11">
        <v>1</v>
      </c>
      <c r="T104" s="67">
        <f t="shared" si="108"/>
        <v>1</v>
      </c>
      <c r="U104" s="12">
        <f t="shared" si="109"/>
        <v>2</v>
      </c>
      <c r="V104" s="90">
        <v>44718</v>
      </c>
    </row>
    <row r="105" spans="1:23" x14ac:dyDescent="0.15">
      <c r="A105" s="24" t="s">
        <v>45</v>
      </c>
      <c r="B105" s="9">
        <v>2</v>
      </c>
      <c r="C105" s="10"/>
      <c r="D105" s="11">
        <v>1</v>
      </c>
      <c r="E105" s="12">
        <f t="shared" si="101"/>
        <v>3</v>
      </c>
      <c r="F105" s="9"/>
      <c r="G105" s="10"/>
      <c r="H105" s="11"/>
      <c r="I105" s="67">
        <f t="shared" si="102"/>
        <v>0</v>
      </c>
      <c r="J105" s="12">
        <f t="shared" si="103"/>
        <v>3</v>
      </c>
      <c r="K105" s="108">
        <v>44704</v>
      </c>
      <c r="L105" s="24" t="s">
        <v>105</v>
      </c>
      <c r="M105" s="9"/>
      <c r="N105" s="10">
        <v>3</v>
      </c>
      <c r="O105" s="11"/>
      <c r="P105" s="12">
        <f t="shared" si="107"/>
        <v>3</v>
      </c>
      <c r="Q105" s="9"/>
      <c r="R105" s="10">
        <v>3</v>
      </c>
      <c r="S105" s="11"/>
      <c r="T105" s="67">
        <f t="shared" si="108"/>
        <v>3</v>
      </c>
      <c r="U105" s="12">
        <f t="shared" si="109"/>
        <v>6</v>
      </c>
      <c r="V105" s="90">
        <v>44719</v>
      </c>
    </row>
    <row r="106" spans="1:23" x14ac:dyDescent="0.15">
      <c r="A106" s="24" t="s">
        <v>103</v>
      </c>
      <c r="B106" s="9"/>
      <c r="C106" s="10"/>
      <c r="D106" s="11">
        <v>1</v>
      </c>
      <c r="E106" s="12">
        <f t="shared" si="101"/>
        <v>1</v>
      </c>
      <c r="F106" s="9"/>
      <c r="G106" s="10"/>
      <c r="H106" s="11">
        <v>1</v>
      </c>
      <c r="I106" s="67">
        <f t="shared" si="102"/>
        <v>1</v>
      </c>
      <c r="J106" s="12">
        <f t="shared" si="103"/>
        <v>2</v>
      </c>
      <c r="K106" s="90">
        <v>44712</v>
      </c>
      <c r="L106" s="22" t="s">
        <v>38</v>
      </c>
      <c r="M106" s="9"/>
      <c r="N106" s="10"/>
      <c r="O106" s="11"/>
      <c r="P106" s="12">
        <f t="shared" si="107"/>
        <v>0</v>
      </c>
      <c r="Q106" s="9">
        <v>5</v>
      </c>
      <c r="R106" s="10"/>
      <c r="S106" s="11"/>
      <c r="T106" s="67">
        <f t="shared" si="108"/>
        <v>5</v>
      </c>
      <c r="U106" s="12">
        <f t="shared" si="109"/>
        <v>5</v>
      </c>
      <c r="V106" s="90">
        <v>44727</v>
      </c>
    </row>
    <row r="107" spans="1:23" x14ac:dyDescent="0.15">
      <c r="A107" s="24" t="s">
        <v>45</v>
      </c>
      <c r="B107" s="9"/>
      <c r="C107" s="10">
        <v>1</v>
      </c>
      <c r="D107" s="11"/>
      <c r="E107" s="12">
        <f t="shared" si="101"/>
        <v>1</v>
      </c>
      <c r="F107" s="9">
        <v>1</v>
      </c>
      <c r="G107" s="10"/>
      <c r="H107" s="11"/>
      <c r="I107" s="67">
        <f t="shared" si="102"/>
        <v>1</v>
      </c>
      <c r="J107" s="12">
        <f t="shared" si="103"/>
        <v>2</v>
      </c>
      <c r="K107" s="90">
        <v>44711</v>
      </c>
      <c r="L107" s="24" t="s">
        <v>112</v>
      </c>
      <c r="M107" s="9">
        <v>5</v>
      </c>
      <c r="N107" s="10">
        <v>5</v>
      </c>
      <c r="O107" s="11">
        <v>5</v>
      </c>
      <c r="P107" s="12">
        <f t="shared" si="107"/>
        <v>15</v>
      </c>
      <c r="Q107" s="9">
        <v>5</v>
      </c>
      <c r="R107" s="10">
        <v>5</v>
      </c>
      <c r="S107" s="11">
        <v>5</v>
      </c>
      <c r="T107" s="67">
        <f t="shared" si="108"/>
        <v>15</v>
      </c>
      <c r="U107" s="12">
        <f t="shared" si="109"/>
        <v>30</v>
      </c>
      <c r="V107" s="90">
        <v>44743</v>
      </c>
    </row>
    <row r="108" spans="1:23" x14ac:dyDescent="0.15">
      <c r="A108" s="24" t="s">
        <v>45</v>
      </c>
      <c r="B108" s="9"/>
      <c r="C108" s="10"/>
      <c r="D108" s="11"/>
      <c r="E108" s="12">
        <f t="shared" si="101"/>
        <v>0</v>
      </c>
      <c r="F108" s="9">
        <v>1</v>
      </c>
      <c r="G108" s="10"/>
      <c r="H108" s="11"/>
      <c r="I108" s="67">
        <f t="shared" si="102"/>
        <v>1</v>
      </c>
      <c r="J108" s="12">
        <f t="shared" si="103"/>
        <v>1</v>
      </c>
      <c r="K108" s="90">
        <v>44718</v>
      </c>
      <c r="L108" s="22" t="s">
        <v>38</v>
      </c>
      <c r="M108" s="9"/>
      <c r="N108" s="10">
        <v>5</v>
      </c>
      <c r="O108" s="11">
        <v>5</v>
      </c>
      <c r="P108" s="12">
        <f t="shared" si="107"/>
        <v>10</v>
      </c>
      <c r="Q108" s="9">
        <v>5</v>
      </c>
      <c r="R108" s="10">
        <v>5</v>
      </c>
      <c r="S108" s="11">
        <v>5</v>
      </c>
      <c r="T108" s="67">
        <f t="shared" si="108"/>
        <v>15</v>
      </c>
      <c r="U108" s="12">
        <f t="shared" si="109"/>
        <v>25</v>
      </c>
      <c r="V108" s="90">
        <v>44750</v>
      </c>
    </row>
    <row r="109" spans="1:23" x14ac:dyDescent="0.15">
      <c r="A109" s="24" t="s">
        <v>45</v>
      </c>
      <c r="B109" s="13"/>
      <c r="C109" s="14"/>
      <c r="D109" s="15"/>
      <c r="E109" s="12">
        <f t="shared" si="101"/>
        <v>0</v>
      </c>
      <c r="F109" s="13"/>
      <c r="G109" s="14"/>
      <c r="H109" s="15">
        <v>1</v>
      </c>
      <c r="I109" s="67">
        <f t="shared" si="102"/>
        <v>1</v>
      </c>
      <c r="J109" s="12">
        <f t="shared" si="103"/>
        <v>1</v>
      </c>
      <c r="K109" s="90">
        <v>44720</v>
      </c>
      <c r="L109" s="24" t="s">
        <v>113</v>
      </c>
      <c r="M109" s="13">
        <v>4</v>
      </c>
      <c r="N109" s="14"/>
      <c r="O109" s="15"/>
      <c r="P109" s="12">
        <f t="shared" si="107"/>
        <v>4</v>
      </c>
      <c r="Q109" s="13">
        <v>5</v>
      </c>
      <c r="R109" s="14"/>
      <c r="S109" s="15"/>
      <c r="T109" s="67">
        <f t="shared" si="108"/>
        <v>5</v>
      </c>
      <c r="U109" s="12">
        <f t="shared" si="109"/>
        <v>9</v>
      </c>
      <c r="V109" s="90">
        <v>44761</v>
      </c>
      <c r="W109" s="50"/>
    </row>
    <row r="110" spans="1:23" x14ac:dyDescent="0.15">
      <c r="A110" s="24" t="s">
        <v>106</v>
      </c>
      <c r="B110" s="9">
        <v>2</v>
      </c>
      <c r="C110" s="10">
        <v>1</v>
      </c>
      <c r="D110" s="11"/>
      <c r="E110" s="12">
        <f t="shared" si="101"/>
        <v>3</v>
      </c>
      <c r="F110" s="9">
        <v>2</v>
      </c>
      <c r="G110" s="10">
        <v>1</v>
      </c>
      <c r="H110" s="11"/>
      <c r="I110" s="67">
        <f t="shared" si="102"/>
        <v>3</v>
      </c>
      <c r="J110" s="12">
        <f t="shared" si="103"/>
        <v>6</v>
      </c>
      <c r="K110" s="90">
        <v>44728</v>
      </c>
      <c r="L110" s="24" t="s">
        <v>115</v>
      </c>
      <c r="M110" s="9">
        <v>5</v>
      </c>
      <c r="N110" s="10">
        <v>5</v>
      </c>
      <c r="O110" s="11">
        <v>5</v>
      </c>
      <c r="P110" s="12">
        <f t="shared" si="107"/>
        <v>15</v>
      </c>
      <c r="Q110" s="9">
        <v>5</v>
      </c>
      <c r="R110" s="10">
        <v>10</v>
      </c>
      <c r="S110" s="11"/>
      <c r="T110" s="67">
        <f t="shared" si="108"/>
        <v>15</v>
      </c>
      <c r="U110" s="12">
        <f t="shared" si="109"/>
        <v>30</v>
      </c>
      <c r="V110" s="90">
        <v>44768</v>
      </c>
    </row>
    <row r="111" spans="1:23" x14ac:dyDescent="0.15">
      <c r="A111" s="24" t="s">
        <v>107</v>
      </c>
      <c r="B111" s="9"/>
      <c r="C111" s="10"/>
      <c r="D111" s="11">
        <v>1</v>
      </c>
      <c r="E111" s="12">
        <f t="shared" si="101"/>
        <v>1</v>
      </c>
      <c r="F111" s="9"/>
      <c r="G111" s="10"/>
      <c r="H111" s="11">
        <v>1</v>
      </c>
      <c r="I111" s="67">
        <f t="shared" si="102"/>
        <v>1</v>
      </c>
      <c r="J111" s="12">
        <f t="shared" si="103"/>
        <v>2</v>
      </c>
      <c r="K111" s="90">
        <v>44729</v>
      </c>
      <c r="L111" s="24" t="s">
        <v>116</v>
      </c>
      <c r="M111" s="9">
        <v>3</v>
      </c>
      <c r="N111" s="10"/>
      <c r="O111" s="11"/>
      <c r="P111" s="12">
        <f t="shared" si="107"/>
        <v>3</v>
      </c>
      <c r="Q111" s="9">
        <v>5</v>
      </c>
      <c r="R111" s="10"/>
      <c r="S111" s="11">
        <v>3</v>
      </c>
      <c r="T111" s="67">
        <f t="shared" si="108"/>
        <v>8</v>
      </c>
      <c r="U111" s="12">
        <f t="shared" si="109"/>
        <v>11</v>
      </c>
      <c r="V111" s="90">
        <v>44781</v>
      </c>
    </row>
    <row r="112" spans="1:23" x14ac:dyDescent="0.15">
      <c r="A112" s="22" t="s">
        <v>101</v>
      </c>
      <c r="B112" s="9">
        <v>4</v>
      </c>
      <c r="C112" s="10">
        <v>6</v>
      </c>
      <c r="D112" s="11">
        <v>7</v>
      </c>
      <c r="E112" s="12">
        <f t="shared" si="101"/>
        <v>17</v>
      </c>
      <c r="F112" s="9"/>
      <c r="G112" s="10">
        <v>3</v>
      </c>
      <c r="H112" s="11">
        <v>7</v>
      </c>
      <c r="I112" s="67">
        <f t="shared" si="102"/>
        <v>10</v>
      </c>
      <c r="J112" s="12">
        <f t="shared" si="103"/>
        <v>27</v>
      </c>
      <c r="K112" s="90">
        <v>44730</v>
      </c>
      <c r="L112" s="24" t="s">
        <v>128</v>
      </c>
      <c r="M112" s="9">
        <v>2</v>
      </c>
      <c r="N112" s="10">
        <v>2</v>
      </c>
      <c r="O112" s="11">
        <v>2</v>
      </c>
      <c r="P112" s="12">
        <f t="shared" si="107"/>
        <v>6</v>
      </c>
      <c r="Q112" s="9">
        <v>2</v>
      </c>
      <c r="R112" s="10">
        <v>2</v>
      </c>
      <c r="S112" s="11">
        <v>2</v>
      </c>
      <c r="T112" s="67">
        <f t="shared" si="108"/>
        <v>6</v>
      </c>
      <c r="U112" s="12">
        <f t="shared" si="109"/>
        <v>12</v>
      </c>
      <c r="V112" s="90">
        <v>44817</v>
      </c>
    </row>
    <row r="113" spans="1:22" x14ac:dyDescent="0.15">
      <c r="A113" s="24" t="s">
        <v>111</v>
      </c>
      <c r="B113" s="9"/>
      <c r="C113" s="10">
        <v>1</v>
      </c>
      <c r="D113" s="11"/>
      <c r="E113" s="12">
        <f t="shared" si="101"/>
        <v>1</v>
      </c>
      <c r="F113" s="9"/>
      <c r="G113" s="10">
        <v>1</v>
      </c>
      <c r="H113" s="11"/>
      <c r="I113" s="67">
        <f t="shared" si="102"/>
        <v>1</v>
      </c>
      <c r="J113" s="12">
        <f t="shared" si="103"/>
        <v>2</v>
      </c>
      <c r="K113" s="90">
        <v>44733</v>
      </c>
      <c r="L113" s="24" t="s">
        <v>132</v>
      </c>
      <c r="M113" s="9">
        <v>9</v>
      </c>
      <c r="N113" s="10">
        <v>6</v>
      </c>
      <c r="O113" s="11"/>
      <c r="P113" s="12">
        <f t="shared" si="107"/>
        <v>15</v>
      </c>
      <c r="Q113" s="9">
        <v>9</v>
      </c>
      <c r="R113" s="10">
        <v>6</v>
      </c>
      <c r="S113" s="11"/>
      <c r="T113" s="67">
        <f t="shared" si="108"/>
        <v>15</v>
      </c>
      <c r="U113" s="12">
        <f t="shared" si="109"/>
        <v>30</v>
      </c>
      <c r="V113" s="90">
        <v>44825</v>
      </c>
    </row>
    <row r="114" spans="1:22" x14ac:dyDescent="0.15">
      <c r="A114" s="24" t="s">
        <v>45</v>
      </c>
      <c r="B114" s="9">
        <v>1</v>
      </c>
      <c r="C114" s="10">
        <v>1</v>
      </c>
      <c r="D114" s="11"/>
      <c r="E114" s="12">
        <f t="shared" si="101"/>
        <v>2</v>
      </c>
      <c r="F114" s="9">
        <v>1</v>
      </c>
      <c r="G114" s="10"/>
      <c r="H114" s="11"/>
      <c r="I114" s="67">
        <f t="shared" si="102"/>
        <v>1</v>
      </c>
      <c r="J114" s="12">
        <f t="shared" si="103"/>
        <v>3</v>
      </c>
      <c r="K114" s="90">
        <v>44748</v>
      </c>
      <c r="L114" s="24"/>
      <c r="M114" s="9"/>
      <c r="N114" s="10"/>
      <c r="O114" s="11"/>
      <c r="P114" s="12">
        <f t="shared" si="107"/>
        <v>0</v>
      </c>
      <c r="Q114" s="9"/>
      <c r="R114" s="10"/>
      <c r="S114" s="11"/>
      <c r="T114" s="67">
        <f t="shared" si="108"/>
        <v>0</v>
      </c>
      <c r="U114" s="12">
        <f t="shared" si="109"/>
        <v>0</v>
      </c>
    </row>
    <row r="115" spans="1:22" x14ac:dyDescent="0.15">
      <c r="A115" s="24" t="s">
        <v>45</v>
      </c>
      <c r="B115" s="9"/>
      <c r="C115" s="10"/>
      <c r="D115" s="11">
        <v>1</v>
      </c>
      <c r="E115" s="12">
        <f t="shared" si="101"/>
        <v>1</v>
      </c>
      <c r="F115" s="9"/>
      <c r="G115" s="10"/>
      <c r="H115" s="11"/>
      <c r="I115" s="67">
        <f t="shared" si="102"/>
        <v>0</v>
      </c>
      <c r="J115" s="12">
        <f t="shared" si="103"/>
        <v>1</v>
      </c>
      <c r="K115" s="90">
        <v>44754</v>
      </c>
      <c r="L115" s="22"/>
      <c r="M115" s="9"/>
      <c r="N115" s="10"/>
      <c r="O115" s="11"/>
      <c r="P115" s="12">
        <f t="shared" si="107"/>
        <v>0</v>
      </c>
      <c r="Q115" s="9"/>
      <c r="R115" s="10"/>
      <c r="S115" s="11"/>
      <c r="T115" s="67">
        <f t="shared" si="108"/>
        <v>0</v>
      </c>
      <c r="U115" s="12">
        <f t="shared" si="109"/>
        <v>0</v>
      </c>
    </row>
    <row r="116" spans="1:22" x14ac:dyDescent="0.15">
      <c r="A116" s="24" t="s">
        <v>114</v>
      </c>
      <c r="B116" s="9"/>
      <c r="C116" s="10">
        <v>1</v>
      </c>
      <c r="D116" s="11"/>
      <c r="E116" s="12">
        <f t="shared" si="101"/>
        <v>1</v>
      </c>
      <c r="F116" s="9"/>
      <c r="G116" s="10">
        <v>1</v>
      </c>
      <c r="H116" s="11"/>
      <c r="I116" s="67">
        <f t="shared" si="102"/>
        <v>1</v>
      </c>
      <c r="J116" s="12">
        <f t="shared" si="103"/>
        <v>2</v>
      </c>
      <c r="K116" s="90">
        <v>44762</v>
      </c>
      <c r="L116" s="24"/>
      <c r="M116" s="9"/>
      <c r="N116" s="10"/>
      <c r="O116" s="11"/>
      <c r="P116" s="12">
        <f t="shared" si="107"/>
        <v>0</v>
      </c>
      <c r="Q116" s="9"/>
      <c r="R116" s="10"/>
      <c r="S116" s="11"/>
      <c r="T116" s="67">
        <f t="shared" si="108"/>
        <v>0</v>
      </c>
      <c r="U116" s="12">
        <f t="shared" si="109"/>
        <v>0</v>
      </c>
    </row>
    <row r="117" spans="1:22" x14ac:dyDescent="0.15">
      <c r="A117" s="24" t="s">
        <v>45</v>
      </c>
      <c r="B117" s="9"/>
      <c r="C117" s="10"/>
      <c r="D117" s="11"/>
      <c r="E117" s="12">
        <f t="shared" si="101"/>
        <v>0</v>
      </c>
      <c r="F117" s="9"/>
      <c r="G117" s="10">
        <v>2</v>
      </c>
      <c r="H117" s="11">
        <v>1</v>
      </c>
      <c r="I117" s="67">
        <f t="shared" si="102"/>
        <v>3</v>
      </c>
      <c r="J117" s="12">
        <f t="shared" si="103"/>
        <v>3</v>
      </c>
      <c r="K117" s="90">
        <v>44761</v>
      </c>
      <c r="L117" s="24"/>
      <c r="M117" s="9"/>
      <c r="N117" s="10"/>
      <c r="O117" s="11"/>
      <c r="P117" s="12">
        <f t="shared" si="107"/>
        <v>0</v>
      </c>
      <c r="Q117" s="9"/>
      <c r="R117" s="10"/>
      <c r="S117" s="11"/>
      <c r="T117" s="67">
        <f t="shared" si="108"/>
        <v>0</v>
      </c>
      <c r="U117" s="12">
        <f t="shared" si="109"/>
        <v>0</v>
      </c>
    </row>
    <row r="118" spans="1:22" x14ac:dyDescent="0.15">
      <c r="A118" s="24" t="s">
        <v>45</v>
      </c>
      <c r="B118" s="9"/>
      <c r="C118" s="10"/>
      <c r="D118" s="11">
        <v>2</v>
      </c>
      <c r="E118" s="12">
        <f t="shared" si="101"/>
        <v>2</v>
      </c>
      <c r="F118" s="9"/>
      <c r="G118" s="10"/>
      <c r="H118" s="11"/>
      <c r="I118" s="67">
        <f t="shared" si="102"/>
        <v>0</v>
      </c>
      <c r="J118" s="12">
        <f t="shared" si="103"/>
        <v>2</v>
      </c>
      <c r="K118" s="90">
        <v>44775</v>
      </c>
      <c r="L118" s="21"/>
      <c r="M118" s="9"/>
      <c r="N118" s="10"/>
      <c r="O118" s="11"/>
      <c r="P118" s="12">
        <f t="shared" si="107"/>
        <v>0</v>
      </c>
      <c r="Q118" s="9"/>
      <c r="R118" s="10"/>
      <c r="S118" s="11"/>
      <c r="T118" s="67">
        <f t="shared" si="108"/>
        <v>0</v>
      </c>
      <c r="U118" s="12">
        <f t="shared" si="109"/>
        <v>0</v>
      </c>
    </row>
    <row r="119" spans="1:22" x14ac:dyDescent="0.15">
      <c r="A119" s="24" t="s">
        <v>117</v>
      </c>
      <c r="B119" s="9"/>
      <c r="C119" s="10"/>
      <c r="D119" s="11">
        <v>1</v>
      </c>
      <c r="E119" s="12">
        <f t="shared" si="101"/>
        <v>1</v>
      </c>
      <c r="F119" s="9"/>
      <c r="G119" s="10"/>
      <c r="H119" s="11">
        <v>1</v>
      </c>
      <c r="I119" s="67">
        <f t="shared" si="102"/>
        <v>1</v>
      </c>
      <c r="J119" s="12">
        <f t="shared" si="103"/>
        <v>2</v>
      </c>
      <c r="K119" s="90">
        <v>44782</v>
      </c>
      <c r="L119" s="21"/>
      <c r="M119" s="9"/>
      <c r="N119" s="10"/>
      <c r="O119" s="11"/>
      <c r="P119" s="12">
        <f t="shared" si="107"/>
        <v>0</v>
      </c>
      <c r="Q119" s="9"/>
      <c r="R119" s="10"/>
      <c r="S119" s="11"/>
      <c r="T119" s="67">
        <f t="shared" si="108"/>
        <v>0</v>
      </c>
      <c r="U119" s="12">
        <f t="shared" si="109"/>
        <v>0</v>
      </c>
    </row>
    <row r="120" spans="1:22" x14ac:dyDescent="0.15">
      <c r="A120" s="24" t="s">
        <v>45</v>
      </c>
      <c r="B120" s="9"/>
      <c r="C120" s="10"/>
      <c r="D120" s="11">
        <v>2</v>
      </c>
      <c r="E120" s="12">
        <f t="shared" si="101"/>
        <v>2</v>
      </c>
      <c r="F120" s="9"/>
      <c r="G120" s="10"/>
      <c r="H120" s="11"/>
      <c r="I120" s="67">
        <f t="shared" si="102"/>
        <v>0</v>
      </c>
      <c r="J120" s="12">
        <f t="shared" si="103"/>
        <v>2</v>
      </c>
      <c r="K120" s="90">
        <v>44790</v>
      </c>
      <c r="L120" s="21"/>
      <c r="M120" s="9"/>
      <c r="N120" s="10"/>
      <c r="O120" s="11"/>
      <c r="P120" s="12">
        <f t="shared" si="107"/>
        <v>0</v>
      </c>
      <c r="Q120" s="9"/>
      <c r="R120" s="10"/>
      <c r="S120" s="11"/>
      <c r="T120" s="67">
        <f t="shared" si="108"/>
        <v>0</v>
      </c>
      <c r="U120" s="12">
        <f t="shared" si="109"/>
        <v>0</v>
      </c>
    </row>
    <row r="121" spans="1:22" x14ac:dyDescent="0.15">
      <c r="A121" s="24" t="s">
        <v>45</v>
      </c>
      <c r="B121" s="9"/>
      <c r="C121" s="10"/>
      <c r="D121" s="11"/>
      <c r="E121" s="12">
        <f t="shared" si="101"/>
        <v>0</v>
      </c>
      <c r="F121" s="9"/>
      <c r="G121" s="10"/>
      <c r="H121" s="11">
        <v>1</v>
      </c>
      <c r="I121" s="67">
        <f t="shared" si="102"/>
        <v>1</v>
      </c>
      <c r="J121" s="12">
        <f t="shared" si="103"/>
        <v>1</v>
      </c>
      <c r="K121" s="90">
        <v>44797</v>
      </c>
      <c r="L121" s="24"/>
      <c r="M121" s="13"/>
      <c r="N121" s="14"/>
      <c r="O121" s="15"/>
      <c r="P121" s="12">
        <f t="shared" si="107"/>
        <v>0</v>
      </c>
      <c r="Q121" s="13"/>
      <c r="R121" s="14"/>
      <c r="S121" s="15"/>
      <c r="T121" s="67">
        <f t="shared" si="108"/>
        <v>0</v>
      </c>
      <c r="U121" s="12">
        <f t="shared" si="109"/>
        <v>0</v>
      </c>
    </row>
    <row r="122" spans="1:22" x14ac:dyDescent="0.15">
      <c r="A122" s="22" t="s">
        <v>126</v>
      </c>
      <c r="B122" s="16"/>
      <c r="C122" s="17"/>
      <c r="D122" s="18"/>
      <c r="E122" s="92">
        <f t="shared" si="101"/>
        <v>0</v>
      </c>
      <c r="F122" s="16">
        <v>-1</v>
      </c>
      <c r="G122" s="17"/>
      <c r="H122" s="18"/>
      <c r="I122" s="93">
        <f t="shared" si="102"/>
        <v>-1</v>
      </c>
      <c r="J122" s="94">
        <f t="shared" si="103"/>
        <v>-1</v>
      </c>
      <c r="K122" s="90">
        <v>44809</v>
      </c>
      <c r="L122" s="24"/>
      <c r="M122" s="9"/>
      <c r="N122" s="10"/>
      <c r="O122" s="11"/>
      <c r="P122" s="12">
        <f t="shared" si="107"/>
        <v>0</v>
      </c>
      <c r="Q122" s="9"/>
      <c r="R122" s="10"/>
      <c r="S122" s="11"/>
      <c r="T122" s="67">
        <f t="shared" si="108"/>
        <v>0</v>
      </c>
      <c r="U122" s="12">
        <f t="shared" si="109"/>
        <v>0</v>
      </c>
    </row>
    <row r="123" spans="1:22" x14ac:dyDescent="0.15">
      <c r="A123" s="7" t="s">
        <v>127</v>
      </c>
      <c r="B123" s="9"/>
      <c r="C123" s="10"/>
      <c r="D123" s="11"/>
      <c r="E123" s="12">
        <f t="shared" si="101"/>
        <v>0</v>
      </c>
      <c r="F123" s="9">
        <v>1</v>
      </c>
      <c r="G123" s="10"/>
      <c r="H123" s="11"/>
      <c r="I123" s="67">
        <f t="shared" si="102"/>
        <v>1</v>
      </c>
      <c r="J123" s="12">
        <f t="shared" si="103"/>
        <v>1</v>
      </c>
      <c r="K123" s="90">
        <v>44812</v>
      </c>
      <c r="L123" s="7"/>
      <c r="M123" s="9"/>
      <c r="N123" s="10"/>
      <c r="O123" s="11"/>
      <c r="P123" s="12">
        <f t="shared" si="107"/>
        <v>0</v>
      </c>
      <c r="Q123" s="9"/>
      <c r="R123" s="10"/>
      <c r="S123" s="11"/>
      <c r="T123" s="67">
        <f t="shared" si="108"/>
        <v>0</v>
      </c>
      <c r="U123" s="12">
        <f t="shared" si="109"/>
        <v>0</v>
      </c>
    </row>
    <row r="124" spans="1:22" x14ac:dyDescent="0.15">
      <c r="A124" s="59"/>
      <c r="B124" s="9"/>
      <c r="C124" s="10"/>
      <c r="D124" s="11"/>
      <c r="E124" s="12">
        <f t="shared" si="101"/>
        <v>0</v>
      </c>
      <c r="F124" s="9"/>
      <c r="G124" s="10"/>
      <c r="H124" s="11"/>
      <c r="I124" s="67">
        <f t="shared" si="102"/>
        <v>0</v>
      </c>
      <c r="J124" s="12">
        <f t="shared" si="103"/>
        <v>0</v>
      </c>
      <c r="K124" s="90"/>
      <c r="L124" s="59"/>
      <c r="M124" s="9"/>
      <c r="N124" s="10"/>
      <c r="O124" s="11"/>
      <c r="P124" s="12">
        <f t="shared" si="107"/>
        <v>0</v>
      </c>
      <c r="Q124" s="9"/>
      <c r="R124" s="10"/>
      <c r="S124" s="11"/>
      <c r="T124" s="67">
        <f t="shared" si="108"/>
        <v>0</v>
      </c>
      <c r="U124" s="12">
        <f t="shared" si="109"/>
        <v>0</v>
      </c>
    </row>
    <row r="125" spans="1:22" ht="14.25" thickBot="1" x14ac:dyDescent="0.2">
      <c r="A125" s="22"/>
      <c r="B125" s="9"/>
      <c r="C125" s="10"/>
      <c r="D125" s="11"/>
      <c r="E125" s="12">
        <f t="shared" si="101"/>
        <v>0</v>
      </c>
      <c r="F125" s="9"/>
      <c r="G125" s="10"/>
      <c r="H125" s="11"/>
      <c r="I125" s="67">
        <f t="shared" si="102"/>
        <v>0</v>
      </c>
      <c r="J125" s="19">
        <f t="shared" si="103"/>
        <v>0</v>
      </c>
      <c r="K125" s="108"/>
      <c r="L125" s="22"/>
      <c r="M125" s="9"/>
      <c r="N125" s="10"/>
      <c r="O125" s="11"/>
      <c r="P125" s="12">
        <f t="shared" si="107"/>
        <v>0</v>
      </c>
      <c r="Q125" s="9"/>
      <c r="R125" s="10"/>
      <c r="S125" s="11"/>
      <c r="T125" s="67">
        <f t="shared" si="108"/>
        <v>0</v>
      </c>
      <c r="U125" s="19">
        <f t="shared" si="109"/>
        <v>0</v>
      </c>
    </row>
    <row r="126" spans="1:22" ht="14.25" thickBot="1" x14ac:dyDescent="0.2">
      <c r="A126" s="37" t="s">
        <v>17</v>
      </c>
      <c r="B126" s="38">
        <f>SUM(B100:B125)</f>
        <v>14</v>
      </c>
      <c r="C126" s="39">
        <f>SUM(C100:C125)</f>
        <v>30</v>
      </c>
      <c r="D126" s="40">
        <f>SUM(D100:D125)</f>
        <v>28</v>
      </c>
      <c r="E126" s="41">
        <f>SUM(B126:D126)</f>
        <v>72</v>
      </c>
      <c r="F126" s="38">
        <f>SUM(F100:F125)</f>
        <v>19</v>
      </c>
      <c r="G126" s="39">
        <f>SUM(G100:G125)</f>
        <v>14</v>
      </c>
      <c r="H126" s="40">
        <f>SUM(H100:H125)</f>
        <v>18</v>
      </c>
      <c r="I126" s="41">
        <f>SUM(F126:H126)</f>
        <v>51</v>
      </c>
      <c r="J126" s="42">
        <f t="shared" si="103"/>
        <v>123</v>
      </c>
      <c r="K126" s="91"/>
      <c r="L126" s="37" t="s">
        <v>17</v>
      </c>
      <c r="M126" s="38">
        <f>SUM(M100:M125)</f>
        <v>36</v>
      </c>
      <c r="N126" s="39">
        <f>SUM(N100:N125)</f>
        <v>26</v>
      </c>
      <c r="O126" s="40">
        <f>SUM(O100:O125)</f>
        <v>23</v>
      </c>
      <c r="P126" s="41">
        <f>SUM(M126:O126)</f>
        <v>85</v>
      </c>
      <c r="Q126" s="38">
        <f>SUM(Q100:Q125)</f>
        <v>44</v>
      </c>
      <c r="R126" s="39">
        <f>SUM(R100:R125)</f>
        <v>34</v>
      </c>
      <c r="S126" s="40">
        <f>SUM(S100:S125)</f>
        <v>21</v>
      </c>
      <c r="T126" s="41">
        <f>SUM(Q126:S126)</f>
        <v>99</v>
      </c>
      <c r="U126" s="42">
        <f t="shared" si="109"/>
        <v>184</v>
      </c>
    </row>
    <row r="127" spans="1:22" ht="14.25" thickBot="1" x14ac:dyDescent="0.2">
      <c r="A127" s="20" t="s">
        <v>18</v>
      </c>
      <c r="B127" s="63">
        <f>B99-B126</f>
        <v>4</v>
      </c>
      <c r="C127" s="64">
        <f t="shared" ref="C127:E127" si="110">C99-C126</f>
        <v>4</v>
      </c>
      <c r="D127" s="65">
        <f t="shared" si="110"/>
        <v>1</v>
      </c>
      <c r="E127" s="65">
        <f t="shared" si="110"/>
        <v>9</v>
      </c>
      <c r="F127" s="63">
        <f>F99-F126</f>
        <v>4</v>
      </c>
      <c r="G127" s="64">
        <f t="shared" ref="G127:I127" si="111">G99-G126</f>
        <v>4</v>
      </c>
      <c r="H127" s="65">
        <f t="shared" si="111"/>
        <v>3</v>
      </c>
      <c r="I127" s="65">
        <f t="shared" si="111"/>
        <v>11</v>
      </c>
      <c r="J127" s="29">
        <f t="shared" si="103"/>
        <v>20</v>
      </c>
      <c r="L127" s="20" t="s">
        <v>18</v>
      </c>
      <c r="M127" s="63">
        <f>M99-M126</f>
        <v>438</v>
      </c>
      <c r="N127" s="64">
        <f t="shared" ref="N127:P127" si="112">N99-N126</f>
        <v>629</v>
      </c>
      <c r="O127" s="65">
        <f t="shared" si="112"/>
        <v>325</v>
      </c>
      <c r="P127" s="65">
        <f t="shared" si="112"/>
        <v>1392</v>
      </c>
      <c r="Q127" s="63">
        <f>Q99-Q126</f>
        <v>458</v>
      </c>
      <c r="R127" s="64">
        <f t="shared" ref="R127:T127" si="113">R99-R126</f>
        <v>698</v>
      </c>
      <c r="S127" s="65">
        <f t="shared" si="113"/>
        <v>393</v>
      </c>
      <c r="T127" s="65">
        <f t="shared" si="113"/>
        <v>1549</v>
      </c>
      <c r="U127" s="29">
        <f t="shared" si="109"/>
        <v>2941</v>
      </c>
    </row>
    <row r="128" spans="1:22" x14ac:dyDescent="0.15">
      <c r="M128" s="77">
        <f>M126+M85</f>
        <v>610</v>
      </c>
      <c r="N128" s="77">
        <f t="shared" ref="N128:U128" si="114">N126+N85</f>
        <v>653</v>
      </c>
      <c r="O128" s="77">
        <f t="shared" si="114"/>
        <v>447</v>
      </c>
      <c r="P128" s="77">
        <f t="shared" si="114"/>
        <v>1710</v>
      </c>
      <c r="Q128" s="77">
        <f t="shared" si="114"/>
        <v>617</v>
      </c>
      <c r="R128" s="77">
        <f t="shared" si="114"/>
        <v>641</v>
      </c>
      <c r="S128" s="77">
        <f t="shared" si="114"/>
        <v>425</v>
      </c>
      <c r="T128" s="77">
        <f t="shared" si="114"/>
        <v>1683</v>
      </c>
      <c r="U128" s="77">
        <f t="shared" si="114"/>
        <v>3393</v>
      </c>
    </row>
    <row r="129" spans="1:22" x14ac:dyDescent="0.15">
      <c r="M129" s="78">
        <f>M128/$P$128*100</f>
        <v>35.672514619883039</v>
      </c>
      <c r="N129" s="78">
        <f t="shared" ref="N129:P129" si="115">N128/$P$128*100</f>
        <v>38.187134502923975</v>
      </c>
      <c r="O129" s="78">
        <f t="shared" si="115"/>
        <v>26.140350877192979</v>
      </c>
      <c r="P129" s="78">
        <f t="shared" si="115"/>
        <v>100</v>
      </c>
      <c r="Q129" s="78">
        <f>Q128/$T$128*100</f>
        <v>36.660724896019012</v>
      </c>
      <c r="R129" s="78">
        <f t="shared" ref="R129:T129" si="116">R128/$T$128*100</f>
        <v>38.086749851455728</v>
      </c>
      <c r="S129" s="78">
        <f t="shared" si="116"/>
        <v>25.252525252525253</v>
      </c>
      <c r="T129" s="78">
        <f t="shared" si="116"/>
        <v>100</v>
      </c>
    </row>
    <row r="130" spans="1:22" ht="19.5" thickBot="1" x14ac:dyDescent="0.25">
      <c r="A130" s="3" t="s">
        <v>21</v>
      </c>
      <c r="B130" s="1"/>
      <c r="C130" s="1"/>
      <c r="D130" s="1"/>
      <c r="E130" s="1"/>
      <c r="F130" s="1"/>
      <c r="G130" s="1"/>
      <c r="H130" s="1"/>
      <c r="I130" s="1"/>
      <c r="J130" s="1"/>
      <c r="L130" s="3" t="s">
        <v>22</v>
      </c>
      <c r="M130" s="1"/>
      <c r="N130" s="1"/>
      <c r="O130" s="1"/>
      <c r="P130" s="1"/>
      <c r="Q130" s="1"/>
      <c r="R130" s="1"/>
      <c r="S130" s="1"/>
      <c r="T130" s="1"/>
      <c r="U130" s="1"/>
    </row>
    <row r="131" spans="1:22" ht="14.25" thickBot="1" x14ac:dyDescent="0.2">
      <c r="A131" s="8" t="s">
        <v>0</v>
      </c>
      <c r="B131" s="227" t="s">
        <v>19</v>
      </c>
      <c r="C131" s="228"/>
      <c r="D131" s="228"/>
      <c r="E131" s="229"/>
      <c r="F131" s="230" t="s">
        <v>20</v>
      </c>
      <c r="G131" s="231"/>
      <c r="H131" s="231"/>
      <c r="I131" s="232"/>
      <c r="J131" s="233" t="s">
        <v>1</v>
      </c>
      <c r="L131" s="8" t="s">
        <v>0</v>
      </c>
      <c r="M131" s="227" t="s">
        <v>19</v>
      </c>
      <c r="N131" s="228"/>
      <c r="O131" s="228"/>
      <c r="P131" s="229"/>
      <c r="Q131" s="230" t="s">
        <v>20</v>
      </c>
      <c r="R131" s="231"/>
      <c r="S131" s="231"/>
      <c r="T131" s="232"/>
      <c r="U131" s="233" t="s">
        <v>1</v>
      </c>
    </row>
    <row r="132" spans="1:22" ht="14.25" thickBot="1" x14ac:dyDescent="0.2">
      <c r="A132" s="8" t="s">
        <v>2</v>
      </c>
      <c r="B132" s="69" t="s">
        <v>3</v>
      </c>
      <c r="C132" s="70" t="s">
        <v>4</v>
      </c>
      <c r="D132" s="71" t="s">
        <v>5</v>
      </c>
      <c r="E132" s="8" t="s">
        <v>6</v>
      </c>
      <c r="F132" s="4" t="s">
        <v>3</v>
      </c>
      <c r="G132" s="5" t="s">
        <v>4</v>
      </c>
      <c r="H132" s="6" t="s">
        <v>5</v>
      </c>
      <c r="I132" s="8" t="s">
        <v>6</v>
      </c>
      <c r="J132" s="234"/>
      <c r="L132" s="8" t="s">
        <v>2</v>
      </c>
      <c r="M132" s="69" t="s">
        <v>3</v>
      </c>
      <c r="N132" s="70" t="s">
        <v>4</v>
      </c>
      <c r="O132" s="71" t="s">
        <v>5</v>
      </c>
      <c r="P132" s="8" t="s">
        <v>6</v>
      </c>
      <c r="Q132" s="4" t="s">
        <v>3</v>
      </c>
      <c r="R132" s="5" t="s">
        <v>4</v>
      </c>
      <c r="S132" s="6" t="s">
        <v>5</v>
      </c>
      <c r="T132" s="8" t="s">
        <v>6</v>
      </c>
      <c r="U132" s="234"/>
    </row>
    <row r="133" spans="1:22" ht="14.25" thickBot="1" x14ac:dyDescent="0.2">
      <c r="A133" s="25" t="s">
        <v>18</v>
      </c>
      <c r="B133" s="26">
        <f>B127</f>
        <v>4</v>
      </c>
      <c r="C133" s="27">
        <f t="shared" ref="C133:D133" si="117">C127</f>
        <v>4</v>
      </c>
      <c r="D133" s="49">
        <f t="shared" si="117"/>
        <v>1</v>
      </c>
      <c r="E133" s="68">
        <f t="shared" ref="E133:E141" si="118">SUM(B133:D133)</f>
        <v>9</v>
      </c>
      <c r="F133" s="26">
        <f>F127</f>
        <v>4</v>
      </c>
      <c r="G133" s="27">
        <f t="shared" ref="G133:H133" si="119">G127</f>
        <v>4</v>
      </c>
      <c r="H133" s="49">
        <f t="shared" si="119"/>
        <v>3</v>
      </c>
      <c r="I133" s="33">
        <f t="shared" ref="I133:I141" si="120">SUM(F133:H133)</f>
        <v>11</v>
      </c>
      <c r="J133" s="33">
        <f>E133+I133</f>
        <v>20</v>
      </c>
      <c r="K133" s="90"/>
      <c r="L133" s="25" t="s">
        <v>18</v>
      </c>
      <c r="M133" s="26">
        <f>M127</f>
        <v>438</v>
      </c>
      <c r="N133" s="27">
        <f t="shared" ref="N133:O133" si="121">N127</f>
        <v>629</v>
      </c>
      <c r="O133" s="49">
        <f t="shared" si="121"/>
        <v>325</v>
      </c>
      <c r="P133" s="68">
        <f t="shared" ref="P133:P141" si="122">SUM(M133:O133)</f>
        <v>1392</v>
      </c>
      <c r="Q133" s="26">
        <f>Q127</f>
        <v>458</v>
      </c>
      <c r="R133" s="27">
        <f t="shared" ref="R133:S133" si="123">R127</f>
        <v>698</v>
      </c>
      <c r="S133" s="49">
        <f t="shared" si="123"/>
        <v>393</v>
      </c>
      <c r="T133" s="33">
        <f t="shared" ref="T133:T141" si="124">SUM(Q133:S133)</f>
        <v>1549</v>
      </c>
      <c r="U133" s="33">
        <f>P133+T133</f>
        <v>2941</v>
      </c>
    </row>
    <row r="134" spans="1:22" x14ac:dyDescent="0.15">
      <c r="A134" s="23" t="s">
        <v>8</v>
      </c>
      <c r="B134" s="47"/>
      <c r="C134" s="48"/>
      <c r="D134" s="72">
        <v>3</v>
      </c>
      <c r="E134" s="42">
        <f t="shared" si="118"/>
        <v>3</v>
      </c>
      <c r="F134" s="38"/>
      <c r="G134" s="39">
        <v>3</v>
      </c>
      <c r="H134" s="40"/>
      <c r="I134" s="66">
        <f t="shared" si="120"/>
        <v>3</v>
      </c>
      <c r="J134" s="57">
        <f t="shared" ref="J134:J141" si="125">E134+I134</f>
        <v>6</v>
      </c>
      <c r="K134" s="90">
        <v>44835</v>
      </c>
      <c r="L134" s="23" t="s">
        <v>8</v>
      </c>
      <c r="M134" s="47"/>
      <c r="N134" s="48"/>
      <c r="O134" s="72"/>
      <c r="P134" s="42">
        <f t="shared" si="122"/>
        <v>0</v>
      </c>
      <c r="Q134" s="38"/>
      <c r="R134" s="39"/>
      <c r="S134" s="40"/>
      <c r="T134" s="66">
        <f t="shared" si="124"/>
        <v>0</v>
      </c>
      <c r="U134" s="57">
        <f t="shared" ref="U134:U141" si="126">P134+T134</f>
        <v>0</v>
      </c>
    </row>
    <row r="135" spans="1:22" x14ac:dyDescent="0.15">
      <c r="A135" s="23" t="s">
        <v>9</v>
      </c>
      <c r="B135" s="9">
        <v>2</v>
      </c>
      <c r="C135" s="10"/>
      <c r="D135" s="44">
        <v>2</v>
      </c>
      <c r="E135" s="12">
        <f t="shared" si="118"/>
        <v>4</v>
      </c>
      <c r="F135" s="9">
        <v>2</v>
      </c>
      <c r="G135" s="10"/>
      <c r="H135" s="44">
        <v>3</v>
      </c>
      <c r="I135" s="12">
        <f t="shared" si="120"/>
        <v>5</v>
      </c>
      <c r="J135" s="12">
        <f t="shared" si="125"/>
        <v>9</v>
      </c>
      <c r="K135" s="90">
        <v>44847</v>
      </c>
      <c r="L135" s="23" t="s">
        <v>9</v>
      </c>
      <c r="M135" s="9"/>
      <c r="N135" s="10"/>
      <c r="O135" s="44"/>
      <c r="P135" s="12">
        <f t="shared" si="122"/>
        <v>0</v>
      </c>
      <c r="Q135" s="9"/>
      <c r="R135" s="10"/>
      <c r="S135" s="44"/>
      <c r="T135" s="12">
        <f t="shared" si="124"/>
        <v>0</v>
      </c>
      <c r="U135" s="12">
        <f t="shared" si="126"/>
        <v>0</v>
      </c>
    </row>
    <row r="136" spans="1:22" x14ac:dyDescent="0.15">
      <c r="A136" s="23" t="s">
        <v>88</v>
      </c>
      <c r="B136" s="16"/>
      <c r="C136" s="17">
        <v>1</v>
      </c>
      <c r="D136" s="43"/>
      <c r="E136" s="12">
        <f t="shared" si="118"/>
        <v>1</v>
      </c>
      <c r="F136" s="16"/>
      <c r="G136" s="17">
        <v>1</v>
      </c>
      <c r="H136" s="43"/>
      <c r="I136" s="12">
        <f t="shared" si="120"/>
        <v>1</v>
      </c>
      <c r="J136" s="12">
        <f t="shared" si="125"/>
        <v>2</v>
      </c>
      <c r="K136" s="90">
        <v>44848</v>
      </c>
      <c r="L136" s="23" t="s">
        <v>109</v>
      </c>
      <c r="M136" s="16">
        <v>400</v>
      </c>
      <c r="N136" s="17">
        <v>350</v>
      </c>
      <c r="O136" s="43">
        <v>300</v>
      </c>
      <c r="P136" s="12">
        <f t="shared" si="122"/>
        <v>1050</v>
      </c>
      <c r="Q136" s="16">
        <v>400</v>
      </c>
      <c r="R136" s="17">
        <v>350</v>
      </c>
      <c r="S136" s="43">
        <v>300</v>
      </c>
      <c r="T136" s="12">
        <f t="shared" si="124"/>
        <v>1050</v>
      </c>
      <c r="U136" s="12">
        <f t="shared" si="126"/>
        <v>2100</v>
      </c>
      <c r="V136" s="90" t="s">
        <v>137</v>
      </c>
    </row>
    <row r="137" spans="1:22" x14ac:dyDescent="0.15">
      <c r="A137" s="23" t="s">
        <v>11</v>
      </c>
      <c r="B137" s="9"/>
      <c r="C137" s="10">
        <v>5</v>
      </c>
      <c r="D137" s="44"/>
      <c r="E137" s="12">
        <f t="shared" si="118"/>
        <v>5</v>
      </c>
      <c r="F137" s="9"/>
      <c r="G137" s="10">
        <v>5</v>
      </c>
      <c r="H137" s="44"/>
      <c r="I137" s="67">
        <f t="shared" si="120"/>
        <v>5</v>
      </c>
      <c r="J137" s="12">
        <f t="shared" si="125"/>
        <v>10</v>
      </c>
      <c r="K137" s="90">
        <v>44870</v>
      </c>
      <c r="L137" s="23" t="s">
        <v>11</v>
      </c>
      <c r="M137" s="9"/>
      <c r="N137" s="10"/>
      <c r="O137" s="44"/>
      <c r="P137" s="12">
        <f t="shared" si="122"/>
        <v>0</v>
      </c>
      <c r="Q137" s="9"/>
      <c r="R137" s="10"/>
      <c r="S137" s="44"/>
      <c r="T137" s="67">
        <f t="shared" si="124"/>
        <v>0</v>
      </c>
      <c r="U137" s="12">
        <f t="shared" si="126"/>
        <v>0</v>
      </c>
      <c r="V137" s="95" t="s">
        <v>120</v>
      </c>
    </row>
    <row r="138" spans="1:22" x14ac:dyDescent="0.15">
      <c r="A138" s="23" t="s">
        <v>12</v>
      </c>
      <c r="B138" s="9">
        <v>3</v>
      </c>
      <c r="C138" s="10"/>
      <c r="D138" s="44">
        <v>3</v>
      </c>
      <c r="E138" s="12">
        <f t="shared" si="118"/>
        <v>6</v>
      </c>
      <c r="F138" s="9"/>
      <c r="G138" s="10"/>
      <c r="H138" s="44">
        <v>3</v>
      </c>
      <c r="I138" s="67">
        <f t="shared" si="120"/>
        <v>3</v>
      </c>
      <c r="J138" s="12">
        <f t="shared" si="125"/>
        <v>9</v>
      </c>
      <c r="K138" s="90">
        <v>44894</v>
      </c>
      <c r="L138" s="23" t="s">
        <v>12</v>
      </c>
      <c r="M138" s="9"/>
      <c r="N138" s="10"/>
      <c r="O138" s="44"/>
      <c r="P138" s="12">
        <f t="shared" si="122"/>
        <v>0</v>
      </c>
      <c r="Q138" s="9"/>
      <c r="R138" s="10"/>
      <c r="S138" s="44"/>
      <c r="T138" s="67">
        <f t="shared" si="124"/>
        <v>0</v>
      </c>
      <c r="U138" s="12">
        <f t="shared" si="126"/>
        <v>0</v>
      </c>
      <c r="V138" s="89"/>
    </row>
    <row r="139" spans="1:22" x14ac:dyDescent="0.15">
      <c r="A139" s="23" t="s">
        <v>88</v>
      </c>
      <c r="B139" s="9"/>
      <c r="C139" s="10">
        <v>1</v>
      </c>
      <c r="D139" s="44"/>
      <c r="E139" s="12">
        <f t="shared" si="118"/>
        <v>1</v>
      </c>
      <c r="F139" s="9"/>
      <c r="G139" s="10">
        <v>1</v>
      </c>
      <c r="H139" s="44"/>
      <c r="I139" s="67">
        <f t="shared" si="120"/>
        <v>1</v>
      </c>
      <c r="J139" s="12">
        <f t="shared" si="125"/>
        <v>2</v>
      </c>
      <c r="K139" s="90">
        <v>44894</v>
      </c>
      <c r="L139" s="23" t="s">
        <v>13</v>
      </c>
      <c r="M139" s="9"/>
      <c r="N139" s="10"/>
      <c r="O139" s="44"/>
      <c r="P139" s="12">
        <f t="shared" si="122"/>
        <v>0</v>
      </c>
      <c r="Q139" s="9"/>
      <c r="R139" s="10"/>
      <c r="S139" s="44"/>
      <c r="T139" s="67">
        <f t="shared" si="124"/>
        <v>0</v>
      </c>
      <c r="U139" s="12">
        <f t="shared" si="126"/>
        <v>0</v>
      </c>
      <c r="V139" s="89"/>
    </row>
    <row r="140" spans="1:22" x14ac:dyDescent="0.15">
      <c r="A140" s="23" t="s">
        <v>14</v>
      </c>
      <c r="B140" s="13"/>
      <c r="C140" s="14"/>
      <c r="D140" s="45"/>
      <c r="E140" s="12">
        <f t="shared" si="118"/>
        <v>0</v>
      </c>
      <c r="F140" s="13"/>
      <c r="G140" s="14"/>
      <c r="H140" s="45"/>
      <c r="I140" s="67">
        <f t="shared" si="120"/>
        <v>0</v>
      </c>
      <c r="J140" s="12">
        <f t="shared" si="125"/>
        <v>0</v>
      </c>
      <c r="K140" s="89"/>
      <c r="L140" s="23" t="s">
        <v>14</v>
      </c>
      <c r="M140" s="13"/>
      <c r="N140" s="14"/>
      <c r="O140" s="45"/>
      <c r="P140" s="12">
        <f t="shared" si="122"/>
        <v>0</v>
      </c>
      <c r="Q140" s="13"/>
      <c r="R140" s="14"/>
      <c r="S140" s="45"/>
      <c r="T140" s="67">
        <f t="shared" si="124"/>
        <v>0</v>
      </c>
      <c r="U140" s="12">
        <f t="shared" si="126"/>
        <v>0</v>
      </c>
    </row>
    <row r="141" spans="1:22" ht="14.25" thickBot="1" x14ac:dyDescent="0.2">
      <c r="A141" s="23" t="s">
        <v>15</v>
      </c>
      <c r="B141" s="30"/>
      <c r="C141" s="31"/>
      <c r="D141" s="46"/>
      <c r="E141" s="12">
        <f t="shared" si="118"/>
        <v>0</v>
      </c>
      <c r="F141" s="30"/>
      <c r="G141" s="31"/>
      <c r="H141" s="46"/>
      <c r="I141" s="67">
        <f t="shared" si="120"/>
        <v>0</v>
      </c>
      <c r="J141" s="19">
        <f t="shared" si="125"/>
        <v>0</v>
      </c>
      <c r="K141" s="89"/>
      <c r="L141" s="23" t="s">
        <v>15</v>
      </c>
      <c r="M141" s="30"/>
      <c r="N141" s="31"/>
      <c r="O141" s="46"/>
      <c r="P141" s="12">
        <f t="shared" si="122"/>
        <v>0</v>
      </c>
      <c r="Q141" s="30"/>
      <c r="R141" s="31"/>
      <c r="S141" s="46"/>
      <c r="T141" s="67">
        <f t="shared" si="124"/>
        <v>0</v>
      </c>
      <c r="U141" s="19">
        <f t="shared" si="126"/>
        <v>0</v>
      </c>
    </row>
    <row r="142" spans="1:22" ht="14.25" thickBot="1" x14ac:dyDescent="0.2">
      <c r="A142" s="32" t="s">
        <v>16</v>
      </c>
      <c r="B142" s="26">
        <f>SUM(B133:B141)</f>
        <v>9</v>
      </c>
      <c r="C142" s="27">
        <f t="shared" ref="C142:J142" si="127">SUM(C133:C141)</f>
        <v>11</v>
      </c>
      <c r="D142" s="49">
        <f t="shared" si="127"/>
        <v>9</v>
      </c>
      <c r="E142" s="75">
        <f t="shared" si="127"/>
        <v>29</v>
      </c>
      <c r="F142" s="26">
        <f t="shared" si="127"/>
        <v>6</v>
      </c>
      <c r="G142" s="27">
        <f t="shared" si="127"/>
        <v>14</v>
      </c>
      <c r="H142" s="49">
        <f t="shared" si="127"/>
        <v>9</v>
      </c>
      <c r="I142" s="74">
        <f t="shared" si="127"/>
        <v>29</v>
      </c>
      <c r="J142" s="29">
        <f t="shared" si="127"/>
        <v>58</v>
      </c>
      <c r="L142" s="32" t="s">
        <v>16</v>
      </c>
      <c r="M142" s="26">
        <f>SUM(M133:M141)</f>
        <v>838</v>
      </c>
      <c r="N142" s="27">
        <f t="shared" ref="N142:U142" si="128">SUM(N133:N141)</f>
        <v>979</v>
      </c>
      <c r="O142" s="49">
        <f t="shared" si="128"/>
        <v>625</v>
      </c>
      <c r="P142" s="75">
        <f t="shared" si="128"/>
        <v>2442</v>
      </c>
      <c r="Q142" s="26">
        <f t="shared" si="128"/>
        <v>858</v>
      </c>
      <c r="R142" s="27">
        <f t="shared" si="128"/>
        <v>1048</v>
      </c>
      <c r="S142" s="49">
        <f t="shared" si="128"/>
        <v>693</v>
      </c>
      <c r="T142" s="74">
        <f t="shared" si="128"/>
        <v>2599</v>
      </c>
      <c r="U142" s="29">
        <f t="shared" si="128"/>
        <v>5041</v>
      </c>
    </row>
    <row r="143" spans="1:22" x14ac:dyDescent="0.15">
      <c r="A143" s="24" t="s">
        <v>45</v>
      </c>
      <c r="B143" s="54"/>
      <c r="C143" s="55"/>
      <c r="D143" s="56"/>
      <c r="E143" s="42">
        <f t="shared" ref="E143" si="129">SUM(B143:D143)</f>
        <v>0</v>
      </c>
      <c r="F143" s="54"/>
      <c r="G143" s="55">
        <v>1</v>
      </c>
      <c r="H143" s="56"/>
      <c r="I143" s="66">
        <f t="shared" ref="I143" si="130">SUM(F143:H143)</f>
        <v>1</v>
      </c>
      <c r="J143" s="57">
        <f t="shared" ref="J143" si="131">E143+I143</f>
        <v>1</v>
      </c>
      <c r="K143" s="90">
        <v>44811</v>
      </c>
      <c r="L143" s="22" t="s">
        <v>129</v>
      </c>
      <c r="M143" s="54">
        <v>5</v>
      </c>
      <c r="N143" s="55">
        <v>5</v>
      </c>
      <c r="O143" s="56">
        <v>5</v>
      </c>
      <c r="P143" s="42">
        <f t="shared" ref="P143:P164" si="132">SUM(M143:O143)</f>
        <v>15</v>
      </c>
      <c r="Q143" s="54">
        <v>5</v>
      </c>
      <c r="R143" s="55">
        <v>5</v>
      </c>
      <c r="S143" s="56">
        <v>5</v>
      </c>
      <c r="T143" s="66">
        <f t="shared" ref="T143:T164" si="133">SUM(Q143:S143)</f>
        <v>15</v>
      </c>
      <c r="U143" s="57">
        <f t="shared" ref="U143:U170" si="134">P143+T143</f>
        <v>30</v>
      </c>
      <c r="V143" s="90">
        <v>44819</v>
      </c>
    </row>
    <row r="144" spans="1:22" x14ac:dyDescent="0.15">
      <c r="A144" s="24" t="s">
        <v>45</v>
      </c>
      <c r="B144" s="16">
        <v>1</v>
      </c>
      <c r="C144" s="17"/>
      <c r="D144" s="18"/>
      <c r="E144" s="12">
        <f t="shared" ref="E144:E168" si="135">SUM(B144:D144)</f>
        <v>1</v>
      </c>
      <c r="F144" s="16"/>
      <c r="G144" s="17"/>
      <c r="H144" s="18"/>
      <c r="I144" s="67">
        <f t="shared" ref="I144:I168" si="136">SUM(F144:H144)</f>
        <v>0</v>
      </c>
      <c r="J144" s="12">
        <f t="shared" ref="J144:J170" si="137">E144+I144</f>
        <v>1</v>
      </c>
      <c r="K144" s="90">
        <v>44830</v>
      </c>
      <c r="L144" s="24" t="s">
        <v>134</v>
      </c>
      <c r="M144" s="16"/>
      <c r="N144" s="17">
        <v>4</v>
      </c>
      <c r="O144" s="18">
        <v>4</v>
      </c>
      <c r="P144" s="12">
        <f t="shared" si="132"/>
        <v>8</v>
      </c>
      <c r="Q144" s="16"/>
      <c r="R144" s="17">
        <v>4</v>
      </c>
      <c r="S144" s="18">
        <v>4</v>
      </c>
      <c r="T144" s="67">
        <f t="shared" si="133"/>
        <v>8</v>
      </c>
      <c r="U144" s="12">
        <f t="shared" si="134"/>
        <v>16</v>
      </c>
      <c r="V144" s="90">
        <v>44826</v>
      </c>
    </row>
    <row r="145" spans="1:22" x14ac:dyDescent="0.15">
      <c r="A145" s="24" t="s">
        <v>45</v>
      </c>
      <c r="B145" s="9"/>
      <c r="C145" s="10"/>
      <c r="D145" s="11"/>
      <c r="E145" s="12">
        <f t="shared" si="135"/>
        <v>0</v>
      </c>
      <c r="F145" s="9">
        <v>1</v>
      </c>
      <c r="G145" s="10"/>
      <c r="H145" s="11"/>
      <c r="I145" s="67">
        <f t="shared" si="136"/>
        <v>1</v>
      </c>
      <c r="J145" s="12">
        <f t="shared" si="137"/>
        <v>1</v>
      </c>
      <c r="K145" s="108">
        <v>44831</v>
      </c>
      <c r="L145" s="24" t="s">
        <v>135</v>
      </c>
      <c r="M145" s="9"/>
      <c r="N145" s="10">
        <v>2</v>
      </c>
      <c r="O145" s="11">
        <v>1</v>
      </c>
      <c r="P145" s="12">
        <f t="shared" si="132"/>
        <v>3</v>
      </c>
      <c r="Q145" s="9"/>
      <c r="R145" s="10">
        <v>2</v>
      </c>
      <c r="S145" s="11">
        <v>1</v>
      </c>
      <c r="T145" s="67">
        <f t="shared" si="133"/>
        <v>3</v>
      </c>
      <c r="U145" s="12">
        <f t="shared" si="134"/>
        <v>6</v>
      </c>
      <c r="V145" s="90">
        <v>44830</v>
      </c>
    </row>
    <row r="146" spans="1:22" x14ac:dyDescent="0.15">
      <c r="A146" s="24" t="s">
        <v>45</v>
      </c>
      <c r="B146" s="9"/>
      <c r="C146" s="10"/>
      <c r="D146" s="11"/>
      <c r="E146" s="12">
        <f t="shared" si="135"/>
        <v>0</v>
      </c>
      <c r="F146" s="9"/>
      <c r="G146" s="10">
        <v>1</v>
      </c>
      <c r="H146" s="11"/>
      <c r="I146" s="67">
        <f t="shared" si="136"/>
        <v>1</v>
      </c>
      <c r="J146" s="12">
        <f t="shared" si="137"/>
        <v>1</v>
      </c>
      <c r="K146" s="90">
        <v>44834</v>
      </c>
      <c r="L146" s="24" t="s">
        <v>136</v>
      </c>
      <c r="M146" s="9"/>
      <c r="N146" s="10">
        <v>1</v>
      </c>
      <c r="O146" s="11">
        <v>4</v>
      </c>
      <c r="P146" s="12">
        <f t="shared" si="132"/>
        <v>5</v>
      </c>
      <c r="Q146" s="9"/>
      <c r="R146" s="10">
        <v>1</v>
      </c>
      <c r="S146" s="11">
        <v>4</v>
      </c>
      <c r="T146" s="67">
        <f t="shared" si="133"/>
        <v>5</v>
      </c>
      <c r="U146" s="12">
        <f t="shared" si="134"/>
        <v>10</v>
      </c>
      <c r="V146" s="90">
        <v>44831</v>
      </c>
    </row>
    <row r="147" spans="1:22" x14ac:dyDescent="0.15">
      <c r="A147" s="24" t="s">
        <v>147</v>
      </c>
      <c r="B147" s="9"/>
      <c r="C147" s="10"/>
      <c r="D147" s="11">
        <v>2</v>
      </c>
      <c r="E147" s="12">
        <f t="shared" si="135"/>
        <v>2</v>
      </c>
      <c r="F147" s="9"/>
      <c r="G147" s="10"/>
      <c r="H147" s="11">
        <v>2</v>
      </c>
      <c r="I147" s="67">
        <f t="shared" si="136"/>
        <v>2</v>
      </c>
      <c r="J147" s="12">
        <f t="shared" si="137"/>
        <v>4</v>
      </c>
      <c r="K147" s="90">
        <v>44845</v>
      </c>
      <c r="L147" s="24" t="s">
        <v>138</v>
      </c>
      <c r="M147" s="9"/>
      <c r="N147" s="10">
        <v>3</v>
      </c>
      <c r="O147" s="11">
        <v>3</v>
      </c>
      <c r="P147" s="12">
        <f t="shared" si="132"/>
        <v>6</v>
      </c>
      <c r="Q147" s="9"/>
      <c r="R147" s="10">
        <v>3</v>
      </c>
      <c r="S147" s="11">
        <v>3</v>
      </c>
      <c r="T147" s="67">
        <f t="shared" si="133"/>
        <v>6</v>
      </c>
      <c r="U147" s="12">
        <f t="shared" si="134"/>
        <v>12</v>
      </c>
      <c r="V147" s="90">
        <v>44832</v>
      </c>
    </row>
    <row r="148" spans="1:22" x14ac:dyDescent="0.15">
      <c r="A148" s="24" t="s">
        <v>148</v>
      </c>
      <c r="B148" s="9"/>
      <c r="C148" s="10">
        <v>1</v>
      </c>
      <c r="D148" s="11"/>
      <c r="E148" s="12">
        <f t="shared" si="135"/>
        <v>1</v>
      </c>
      <c r="F148" s="9"/>
      <c r="G148" s="10">
        <v>1</v>
      </c>
      <c r="H148" s="11"/>
      <c r="I148" s="67">
        <f t="shared" si="136"/>
        <v>1</v>
      </c>
      <c r="J148" s="12">
        <f t="shared" si="137"/>
        <v>2</v>
      </c>
      <c r="K148" s="90">
        <v>44846</v>
      </c>
      <c r="L148" s="22" t="s">
        <v>140</v>
      </c>
      <c r="M148" s="9">
        <v>380</v>
      </c>
      <c r="N148" s="10">
        <v>120</v>
      </c>
      <c r="O148" s="11">
        <v>180</v>
      </c>
      <c r="P148" s="12">
        <f t="shared" si="132"/>
        <v>680</v>
      </c>
      <c r="Q148" s="9">
        <v>380</v>
      </c>
      <c r="R148" s="10">
        <v>120</v>
      </c>
      <c r="S148" s="11">
        <v>180</v>
      </c>
      <c r="T148" s="67">
        <f t="shared" si="133"/>
        <v>680</v>
      </c>
      <c r="U148" s="12">
        <f t="shared" si="134"/>
        <v>1360</v>
      </c>
      <c r="V148" s="90">
        <v>44833</v>
      </c>
    </row>
    <row r="149" spans="1:22" x14ac:dyDescent="0.15">
      <c r="A149" s="24" t="s">
        <v>45</v>
      </c>
      <c r="B149" s="9">
        <v>1</v>
      </c>
      <c r="C149" s="10"/>
      <c r="D149" s="11"/>
      <c r="E149" s="12">
        <f t="shared" si="135"/>
        <v>1</v>
      </c>
      <c r="F149" s="9">
        <v>1</v>
      </c>
      <c r="G149" s="10"/>
      <c r="H149" s="11"/>
      <c r="I149" s="67">
        <f t="shared" si="136"/>
        <v>1</v>
      </c>
      <c r="J149" s="12">
        <f t="shared" si="137"/>
        <v>2</v>
      </c>
      <c r="K149" s="90">
        <v>44845</v>
      </c>
      <c r="L149" s="24" t="s">
        <v>139</v>
      </c>
      <c r="M149" s="9"/>
      <c r="N149" s="10">
        <v>2</v>
      </c>
      <c r="O149" s="11">
        <v>2</v>
      </c>
      <c r="P149" s="12">
        <f t="shared" si="132"/>
        <v>4</v>
      </c>
      <c r="Q149" s="9"/>
      <c r="R149" s="10">
        <v>2</v>
      </c>
      <c r="S149" s="11">
        <v>2</v>
      </c>
      <c r="T149" s="67">
        <f t="shared" si="133"/>
        <v>4</v>
      </c>
      <c r="U149" s="12">
        <f t="shared" si="134"/>
        <v>8</v>
      </c>
      <c r="V149" s="90">
        <v>44833</v>
      </c>
    </row>
    <row r="150" spans="1:22" x14ac:dyDescent="0.15">
      <c r="A150" s="24" t="s">
        <v>45</v>
      </c>
      <c r="B150" s="9"/>
      <c r="C150" s="10">
        <v>1</v>
      </c>
      <c r="D150" s="11"/>
      <c r="E150" s="12">
        <f t="shared" si="135"/>
        <v>1</v>
      </c>
      <c r="F150" s="9"/>
      <c r="G150" s="10">
        <v>1</v>
      </c>
      <c r="H150" s="11"/>
      <c r="I150" s="67">
        <f t="shared" si="136"/>
        <v>1</v>
      </c>
      <c r="J150" s="12">
        <f t="shared" si="137"/>
        <v>2</v>
      </c>
      <c r="K150" s="90">
        <v>44858</v>
      </c>
      <c r="L150" s="22" t="s">
        <v>142</v>
      </c>
      <c r="M150" s="9"/>
      <c r="N150" s="10">
        <v>220</v>
      </c>
      <c r="O150" s="11"/>
      <c r="P150" s="12">
        <f t="shared" si="132"/>
        <v>220</v>
      </c>
      <c r="Q150" s="9"/>
      <c r="R150" s="10">
        <v>220</v>
      </c>
      <c r="S150" s="11"/>
      <c r="T150" s="67">
        <f t="shared" si="133"/>
        <v>220</v>
      </c>
      <c r="U150" s="12">
        <f t="shared" si="134"/>
        <v>440</v>
      </c>
      <c r="V150" s="90">
        <v>44834</v>
      </c>
    </row>
    <row r="151" spans="1:22" x14ac:dyDescent="0.15">
      <c r="A151" s="24" t="s">
        <v>153</v>
      </c>
      <c r="B151" s="9"/>
      <c r="C151" s="10">
        <v>1</v>
      </c>
      <c r="D151" s="11"/>
      <c r="E151" s="12">
        <f t="shared" si="135"/>
        <v>1</v>
      </c>
      <c r="F151" s="9"/>
      <c r="G151" s="10">
        <v>1</v>
      </c>
      <c r="H151" s="11"/>
      <c r="I151" s="67">
        <f t="shared" si="136"/>
        <v>1</v>
      </c>
      <c r="J151" s="12">
        <f t="shared" si="137"/>
        <v>2</v>
      </c>
      <c r="K151" s="90">
        <v>44862</v>
      </c>
      <c r="L151" s="24" t="s">
        <v>141</v>
      </c>
      <c r="M151" s="9"/>
      <c r="N151" s="10">
        <v>1</v>
      </c>
      <c r="O151" s="11">
        <v>2</v>
      </c>
      <c r="P151" s="12">
        <f t="shared" si="132"/>
        <v>3</v>
      </c>
      <c r="Q151" s="9"/>
      <c r="R151" s="10">
        <v>1</v>
      </c>
      <c r="S151" s="11">
        <v>2</v>
      </c>
      <c r="T151" s="67">
        <f t="shared" si="133"/>
        <v>3</v>
      </c>
      <c r="U151" s="12">
        <f t="shared" si="134"/>
        <v>6</v>
      </c>
      <c r="V151" s="90">
        <v>44834</v>
      </c>
    </row>
    <row r="152" spans="1:22" x14ac:dyDescent="0.15">
      <c r="A152" s="24" t="s">
        <v>154</v>
      </c>
      <c r="B152" s="13"/>
      <c r="C152" s="14">
        <v>1</v>
      </c>
      <c r="D152" s="15"/>
      <c r="E152" s="12">
        <f t="shared" si="135"/>
        <v>1</v>
      </c>
      <c r="F152" s="13"/>
      <c r="G152" s="14">
        <v>1</v>
      </c>
      <c r="H152" s="15"/>
      <c r="I152" s="67">
        <f t="shared" si="136"/>
        <v>1</v>
      </c>
      <c r="J152" s="12">
        <f t="shared" si="137"/>
        <v>2</v>
      </c>
      <c r="K152" s="90">
        <v>44866</v>
      </c>
      <c r="L152" s="104" t="s">
        <v>144</v>
      </c>
      <c r="M152" s="13"/>
      <c r="N152" s="14"/>
      <c r="O152" s="15">
        <v>3</v>
      </c>
      <c r="P152" s="12">
        <f t="shared" ref="P152" si="138">SUM(M152:O152)</f>
        <v>3</v>
      </c>
      <c r="Q152" s="13"/>
      <c r="R152" s="14">
        <v>3</v>
      </c>
      <c r="S152" s="15"/>
      <c r="T152" s="67">
        <f t="shared" si="133"/>
        <v>3</v>
      </c>
      <c r="U152" s="12">
        <f t="shared" si="134"/>
        <v>6</v>
      </c>
      <c r="V152" s="90">
        <v>44835</v>
      </c>
    </row>
    <row r="153" spans="1:22" x14ac:dyDescent="0.15">
      <c r="A153" s="24" t="s">
        <v>156</v>
      </c>
      <c r="B153" s="9"/>
      <c r="C153" s="10">
        <v>1</v>
      </c>
      <c r="D153" s="11"/>
      <c r="E153" s="12">
        <f t="shared" si="135"/>
        <v>1</v>
      </c>
      <c r="F153" s="9"/>
      <c r="G153" s="10">
        <v>1</v>
      </c>
      <c r="H153" s="11"/>
      <c r="I153" s="67">
        <f t="shared" si="136"/>
        <v>1</v>
      </c>
      <c r="J153" s="12">
        <f t="shared" si="137"/>
        <v>2</v>
      </c>
      <c r="K153" s="90">
        <v>44872</v>
      </c>
      <c r="L153" s="24" t="s">
        <v>145</v>
      </c>
      <c r="M153" s="9"/>
      <c r="N153" s="10"/>
      <c r="O153" s="11">
        <v>2</v>
      </c>
      <c r="P153" s="12">
        <f t="shared" si="132"/>
        <v>2</v>
      </c>
      <c r="Q153" s="9"/>
      <c r="R153" s="10"/>
      <c r="S153" s="11">
        <v>2</v>
      </c>
      <c r="T153" s="67">
        <f t="shared" si="133"/>
        <v>2</v>
      </c>
      <c r="U153" s="12">
        <f t="shared" si="134"/>
        <v>4</v>
      </c>
      <c r="V153" s="90">
        <v>44838</v>
      </c>
    </row>
    <row r="154" spans="1:22" x14ac:dyDescent="0.15">
      <c r="A154" s="24" t="s">
        <v>45</v>
      </c>
      <c r="B154" s="9"/>
      <c r="C154" s="10"/>
      <c r="D154" s="11"/>
      <c r="E154" s="12">
        <f t="shared" si="135"/>
        <v>0</v>
      </c>
      <c r="F154" s="9"/>
      <c r="G154" s="10">
        <v>1</v>
      </c>
      <c r="H154" s="11"/>
      <c r="I154" s="67">
        <f t="shared" si="136"/>
        <v>1</v>
      </c>
      <c r="J154" s="12">
        <f t="shared" si="137"/>
        <v>1</v>
      </c>
      <c r="K154" s="90">
        <v>44876</v>
      </c>
      <c r="L154" s="22" t="s">
        <v>146</v>
      </c>
      <c r="M154" s="9">
        <v>179</v>
      </c>
      <c r="N154" s="10">
        <v>194</v>
      </c>
      <c r="O154" s="11">
        <v>120</v>
      </c>
      <c r="P154" s="12">
        <f t="shared" si="132"/>
        <v>493</v>
      </c>
      <c r="Q154" s="9">
        <v>179</v>
      </c>
      <c r="R154" s="10">
        <v>194</v>
      </c>
      <c r="S154" s="11">
        <v>120</v>
      </c>
      <c r="T154" s="67">
        <f t="shared" si="133"/>
        <v>493</v>
      </c>
      <c r="U154" s="12">
        <f t="shared" si="134"/>
        <v>986</v>
      </c>
      <c r="V154" s="90">
        <v>44839</v>
      </c>
    </row>
    <row r="155" spans="1:22" x14ac:dyDescent="0.15">
      <c r="A155" s="24" t="s">
        <v>45</v>
      </c>
      <c r="B155" s="9">
        <v>2</v>
      </c>
      <c r="C155" s="10"/>
      <c r="D155" s="11"/>
      <c r="E155" s="12">
        <f t="shared" si="135"/>
        <v>2</v>
      </c>
      <c r="F155" s="9"/>
      <c r="G155" s="10"/>
      <c r="H155" s="11"/>
      <c r="I155" s="67">
        <f t="shared" si="136"/>
        <v>0</v>
      </c>
      <c r="J155" s="12">
        <f t="shared" si="137"/>
        <v>2</v>
      </c>
      <c r="K155" s="90">
        <v>44889</v>
      </c>
      <c r="L155" s="104" t="s">
        <v>38</v>
      </c>
      <c r="M155" s="9">
        <v>2</v>
      </c>
      <c r="N155" s="10"/>
      <c r="O155" s="11">
        <v>2</v>
      </c>
      <c r="P155" s="12">
        <f t="shared" ref="P155" si="139">SUM(M155:O155)</f>
        <v>4</v>
      </c>
      <c r="Q155" s="9">
        <v>2</v>
      </c>
      <c r="R155" s="10"/>
      <c r="S155" s="11">
        <v>3</v>
      </c>
      <c r="T155" s="67">
        <f t="shared" si="133"/>
        <v>5</v>
      </c>
      <c r="U155" s="12">
        <f t="shared" si="134"/>
        <v>9</v>
      </c>
      <c r="V155" s="90">
        <v>44847</v>
      </c>
    </row>
    <row r="156" spans="1:22" x14ac:dyDescent="0.15">
      <c r="A156" s="24" t="s">
        <v>158</v>
      </c>
      <c r="B156" s="9"/>
      <c r="C156" s="10"/>
      <c r="D156" s="11">
        <v>2</v>
      </c>
      <c r="E156" s="12">
        <f t="shared" si="135"/>
        <v>2</v>
      </c>
      <c r="F156" s="9"/>
      <c r="G156" s="10"/>
      <c r="H156" s="11">
        <v>2</v>
      </c>
      <c r="I156" s="67">
        <f t="shared" si="136"/>
        <v>2</v>
      </c>
      <c r="J156" s="12">
        <f t="shared" si="137"/>
        <v>4</v>
      </c>
      <c r="K156" s="90">
        <v>44894</v>
      </c>
      <c r="L156" s="24" t="s">
        <v>147</v>
      </c>
      <c r="M156" s="9"/>
      <c r="N156" s="10">
        <v>1</v>
      </c>
      <c r="O156" s="11">
        <v>2</v>
      </c>
      <c r="P156" s="12">
        <f t="shared" si="132"/>
        <v>3</v>
      </c>
      <c r="Q156" s="9"/>
      <c r="R156" s="10">
        <v>1</v>
      </c>
      <c r="S156" s="11">
        <v>2</v>
      </c>
      <c r="T156" s="67">
        <f t="shared" si="133"/>
        <v>3</v>
      </c>
      <c r="U156" s="12">
        <f t="shared" si="134"/>
        <v>6</v>
      </c>
      <c r="V156" s="90">
        <v>44852</v>
      </c>
    </row>
    <row r="157" spans="1:22" x14ac:dyDescent="0.15">
      <c r="A157" s="24" t="s">
        <v>45</v>
      </c>
      <c r="B157" s="9">
        <v>1</v>
      </c>
      <c r="C157" s="10"/>
      <c r="D157" s="11"/>
      <c r="E157" s="12">
        <f t="shared" si="135"/>
        <v>1</v>
      </c>
      <c r="F157" s="9"/>
      <c r="G157" s="10"/>
      <c r="H157" s="11"/>
      <c r="I157" s="67">
        <f t="shared" si="136"/>
        <v>0</v>
      </c>
      <c r="J157" s="12">
        <f t="shared" si="137"/>
        <v>1</v>
      </c>
      <c r="K157" s="90">
        <v>44894</v>
      </c>
      <c r="L157" s="24" t="s">
        <v>151</v>
      </c>
      <c r="M157" s="9"/>
      <c r="N157" s="10">
        <v>1</v>
      </c>
      <c r="O157" s="11"/>
      <c r="P157" s="12">
        <f t="shared" si="132"/>
        <v>1</v>
      </c>
      <c r="Q157" s="9"/>
      <c r="R157" s="10">
        <v>1</v>
      </c>
      <c r="S157" s="11"/>
      <c r="T157" s="67">
        <f t="shared" si="133"/>
        <v>1</v>
      </c>
      <c r="U157" s="12">
        <f t="shared" si="134"/>
        <v>2</v>
      </c>
      <c r="V157" s="90">
        <v>44859</v>
      </c>
    </row>
    <row r="158" spans="1:22" x14ac:dyDescent="0.15">
      <c r="A158" s="24" t="s">
        <v>159</v>
      </c>
      <c r="B158" s="9"/>
      <c r="C158" s="10"/>
      <c r="D158" s="11">
        <v>1</v>
      </c>
      <c r="E158" s="12">
        <f t="shared" si="135"/>
        <v>1</v>
      </c>
      <c r="F158" s="9"/>
      <c r="G158" s="10"/>
      <c r="H158" s="11">
        <v>1</v>
      </c>
      <c r="I158" s="67">
        <f t="shared" si="136"/>
        <v>1</v>
      </c>
      <c r="J158" s="12">
        <f t="shared" si="137"/>
        <v>2</v>
      </c>
      <c r="K158" s="90">
        <v>44896</v>
      </c>
      <c r="L158" s="24" t="s">
        <v>152</v>
      </c>
      <c r="M158" s="9"/>
      <c r="N158" s="10">
        <v>2</v>
      </c>
      <c r="O158" s="11"/>
      <c r="P158" s="12">
        <f t="shared" si="132"/>
        <v>2</v>
      </c>
      <c r="Q158" s="9"/>
      <c r="R158" s="10">
        <v>2</v>
      </c>
      <c r="S158" s="11"/>
      <c r="T158" s="67">
        <f t="shared" si="133"/>
        <v>2</v>
      </c>
      <c r="U158" s="12">
        <f t="shared" si="134"/>
        <v>4</v>
      </c>
      <c r="V158" s="90">
        <v>44861</v>
      </c>
    </row>
    <row r="159" spans="1:22" x14ac:dyDescent="0.15">
      <c r="A159" s="24" t="s">
        <v>160</v>
      </c>
      <c r="B159" s="9"/>
      <c r="C159" s="10"/>
      <c r="D159" s="11">
        <v>1</v>
      </c>
      <c r="E159" s="12">
        <f t="shared" si="135"/>
        <v>1</v>
      </c>
      <c r="F159" s="9"/>
      <c r="G159" s="10"/>
      <c r="H159" s="11">
        <v>1</v>
      </c>
      <c r="I159" s="67">
        <f t="shared" si="136"/>
        <v>1</v>
      </c>
      <c r="J159" s="12">
        <f t="shared" si="137"/>
        <v>2</v>
      </c>
      <c r="K159" s="90">
        <v>44903</v>
      </c>
      <c r="L159" s="24" t="s">
        <v>155</v>
      </c>
      <c r="M159" s="9"/>
      <c r="N159" s="10">
        <v>1</v>
      </c>
      <c r="O159" s="11"/>
      <c r="P159" s="12">
        <f t="shared" si="132"/>
        <v>1</v>
      </c>
      <c r="Q159" s="9"/>
      <c r="R159" s="10">
        <v>1</v>
      </c>
      <c r="S159" s="11"/>
      <c r="T159" s="67">
        <f t="shared" si="133"/>
        <v>1</v>
      </c>
      <c r="U159" s="12">
        <f t="shared" si="134"/>
        <v>2</v>
      </c>
      <c r="V159" s="90">
        <v>44867</v>
      </c>
    </row>
    <row r="160" spans="1:22" x14ac:dyDescent="0.15">
      <c r="A160" s="24" t="s">
        <v>161</v>
      </c>
      <c r="B160" s="9">
        <v>1</v>
      </c>
      <c r="C160" s="10"/>
      <c r="D160" s="11"/>
      <c r="E160" s="12">
        <f t="shared" si="135"/>
        <v>1</v>
      </c>
      <c r="F160" s="9">
        <v>1</v>
      </c>
      <c r="G160" s="10"/>
      <c r="H160" s="11"/>
      <c r="I160" s="67">
        <f t="shared" si="136"/>
        <v>1</v>
      </c>
      <c r="J160" s="12">
        <f t="shared" si="137"/>
        <v>2</v>
      </c>
      <c r="K160" s="90">
        <v>44908</v>
      </c>
      <c r="L160" s="104" t="s">
        <v>38</v>
      </c>
      <c r="M160" s="9"/>
      <c r="N160" s="10">
        <v>5</v>
      </c>
      <c r="O160" s="11"/>
      <c r="P160" s="12">
        <f t="shared" ref="P160" si="140">SUM(M160:O160)</f>
        <v>5</v>
      </c>
      <c r="Q160" s="9"/>
      <c r="R160" s="10">
        <v>5</v>
      </c>
      <c r="S160" s="11"/>
      <c r="T160" s="67">
        <f t="shared" si="133"/>
        <v>5</v>
      </c>
      <c r="U160" s="12">
        <f t="shared" si="134"/>
        <v>10</v>
      </c>
      <c r="V160" s="90">
        <v>44870</v>
      </c>
    </row>
    <row r="161" spans="1:25" x14ac:dyDescent="0.15">
      <c r="A161" s="24" t="s">
        <v>162</v>
      </c>
      <c r="B161" s="9"/>
      <c r="C161" s="10"/>
      <c r="D161" s="11">
        <v>1</v>
      </c>
      <c r="E161" s="12">
        <f t="shared" si="135"/>
        <v>1</v>
      </c>
      <c r="F161" s="9"/>
      <c r="G161" s="10"/>
      <c r="H161" s="11">
        <v>1</v>
      </c>
      <c r="I161" s="67">
        <f t="shared" si="136"/>
        <v>1</v>
      </c>
      <c r="J161" s="12">
        <f t="shared" si="137"/>
        <v>2</v>
      </c>
      <c r="K161" s="90">
        <v>44909</v>
      </c>
      <c r="L161" s="24" t="s">
        <v>157</v>
      </c>
      <c r="M161" s="9">
        <v>4</v>
      </c>
      <c r="N161" s="10">
        <v>3</v>
      </c>
      <c r="O161" s="11">
        <v>4</v>
      </c>
      <c r="P161" s="12">
        <f t="shared" si="132"/>
        <v>11</v>
      </c>
      <c r="Q161" s="9">
        <v>4</v>
      </c>
      <c r="R161" s="10">
        <v>3</v>
      </c>
      <c r="S161" s="11">
        <v>4</v>
      </c>
      <c r="T161" s="67">
        <f t="shared" si="133"/>
        <v>11</v>
      </c>
      <c r="U161" s="12">
        <f t="shared" si="134"/>
        <v>22</v>
      </c>
      <c r="V161" s="90">
        <v>44881</v>
      </c>
    </row>
    <row r="162" spans="1:25" x14ac:dyDescent="0.15">
      <c r="A162" s="24" t="s">
        <v>45</v>
      </c>
      <c r="B162" s="9"/>
      <c r="C162" s="10"/>
      <c r="D162" s="11"/>
      <c r="E162" s="12">
        <f t="shared" si="135"/>
        <v>0</v>
      </c>
      <c r="F162" s="9">
        <v>1</v>
      </c>
      <c r="G162" s="10"/>
      <c r="H162" s="11"/>
      <c r="I162" s="67">
        <f t="shared" si="136"/>
        <v>1</v>
      </c>
      <c r="J162" s="12">
        <f t="shared" si="137"/>
        <v>1</v>
      </c>
      <c r="K162" s="90">
        <v>44912</v>
      </c>
      <c r="L162" s="104" t="s">
        <v>38</v>
      </c>
      <c r="M162" s="9">
        <v>3</v>
      </c>
      <c r="N162" s="10"/>
      <c r="O162" s="11">
        <v>3</v>
      </c>
      <c r="P162" s="12">
        <f t="shared" si="132"/>
        <v>6</v>
      </c>
      <c r="Q162" s="9"/>
      <c r="R162" s="10"/>
      <c r="S162" s="11">
        <v>3</v>
      </c>
      <c r="T162" s="67">
        <f t="shared" si="133"/>
        <v>3</v>
      </c>
      <c r="U162" s="12">
        <f t="shared" si="134"/>
        <v>9</v>
      </c>
      <c r="V162" s="90">
        <v>44894</v>
      </c>
    </row>
    <row r="163" spans="1:25" x14ac:dyDescent="0.15">
      <c r="A163" s="21" t="s">
        <v>163</v>
      </c>
      <c r="B163" s="9">
        <v>1</v>
      </c>
      <c r="C163" s="10"/>
      <c r="D163" s="11"/>
      <c r="E163" s="12">
        <f t="shared" si="135"/>
        <v>1</v>
      </c>
      <c r="F163" s="9">
        <v>1</v>
      </c>
      <c r="G163" s="10"/>
      <c r="H163" s="11"/>
      <c r="I163" s="67">
        <f t="shared" si="136"/>
        <v>1</v>
      </c>
      <c r="J163" s="12">
        <f t="shared" si="137"/>
        <v>2</v>
      </c>
      <c r="K163" s="90">
        <v>44915</v>
      </c>
      <c r="L163" s="21"/>
      <c r="M163" s="9"/>
      <c r="N163" s="10"/>
      <c r="O163" s="11"/>
      <c r="P163" s="12">
        <f t="shared" si="132"/>
        <v>0</v>
      </c>
      <c r="Q163" s="9"/>
      <c r="R163" s="10"/>
      <c r="S163" s="11"/>
      <c r="T163" s="67">
        <f t="shared" si="133"/>
        <v>0</v>
      </c>
      <c r="U163" s="12">
        <f t="shared" si="134"/>
        <v>0</v>
      </c>
    </row>
    <row r="164" spans="1:25" x14ac:dyDescent="0.15">
      <c r="A164" s="24"/>
      <c r="B164" s="13"/>
      <c r="C164" s="14"/>
      <c r="D164" s="15"/>
      <c r="E164" s="12">
        <f t="shared" si="135"/>
        <v>0</v>
      </c>
      <c r="F164" s="13"/>
      <c r="G164" s="14"/>
      <c r="H164" s="15"/>
      <c r="I164" s="67">
        <f t="shared" si="136"/>
        <v>0</v>
      </c>
      <c r="J164" s="12">
        <f t="shared" si="137"/>
        <v>0</v>
      </c>
      <c r="K164" s="90"/>
      <c r="L164" s="24"/>
      <c r="M164" s="13"/>
      <c r="N164" s="14"/>
      <c r="O164" s="15"/>
      <c r="P164" s="12">
        <f t="shared" si="132"/>
        <v>0</v>
      </c>
      <c r="Q164" s="13"/>
      <c r="R164" s="14"/>
      <c r="S164" s="15"/>
      <c r="T164" s="67">
        <f t="shared" si="133"/>
        <v>0</v>
      </c>
      <c r="U164" s="12">
        <f t="shared" si="134"/>
        <v>0</v>
      </c>
    </row>
    <row r="165" spans="1:25" x14ac:dyDescent="0.15">
      <c r="A165" s="24"/>
      <c r="B165" s="9"/>
      <c r="C165" s="10"/>
      <c r="D165" s="11"/>
      <c r="E165" s="12">
        <f t="shared" si="135"/>
        <v>0</v>
      </c>
      <c r="F165" s="9"/>
      <c r="G165" s="10"/>
      <c r="H165" s="11"/>
      <c r="I165" s="67">
        <f t="shared" si="136"/>
        <v>0</v>
      </c>
      <c r="J165" s="12">
        <f t="shared" si="137"/>
        <v>0</v>
      </c>
      <c r="K165" s="90"/>
      <c r="L165" s="22" t="s">
        <v>118</v>
      </c>
      <c r="M165" s="9"/>
      <c r="N165" s="10"/>
      <c r="O165" s="11"/>
      <c r="P165" s="12">
        <f t="shared" ref="P165:P168" si="141">SUM(M165:O165)</f>
        <v>0</v>
      </c>
      <c r="Q165" s="9"/>
      <c r="R165" s="10"/>
      <c r="S165" s="11"/>
      <c r="T165" s="67">
        <f t="shared" ref="T165:T168" si="142">SUM(Q165:S165)</f>
        <v>0</v>
      </c>
      <c r="U165" s="12">
        <f t="shared" ref="U165:U168" si="143">P165+T165</f>
        <v>0</v>
      </c>
      <c r="V165" s="89" t="s">
        <v>119</v>
      </c>
    </row>
    <row r="166" spans="1:25" x14ac:dyDescent="0.15">
      <c r="A166" s="7"/>
      <c r="B166" s="9"/>
      <c r="C166" s="10"/>
      <c r="D166" s="11"/>
      <c r="E166" s="12">
        <f t="shared" si="135"/>
        <v>0</v>
      </c>
      <c r="F166" s="9"/>
      <c r="G166" s="10"/>
      <c r="H166" s="11"/>
      <c r="I166" s="67">
        <f t="shared" si="136"/>
        <v>0</v>
      </c>
      <c r="J166" s="12">
        <f t="shared" si="137"/>
        <v>0</v>
      </c>
      <c r="K166" s="90"/>
      <c r="L166" s="97" t="s">
        <v>108</v>
      </c>
      <c r="M166" s="98"/>
      <c r="N166" s="99"/>
      <c r="O166" s="100"/>
      <c r="P166" s="101">
        <f t="shared" si="141"/>
        <v>0</v>
      </c>
      <c r="Q166" s="98"/>
      <c r="R166" s="99"/>
      <c r="S166" s="100"/>
      <c r="T166" s="102">
        <f t="shared" si="142"/>
        <v>0</v>
      </c>
      <c r="U166" s="101">
        <f t="shared" si="143"/>
        <v>0</v>
      </c>
      <c r="V166" s="103"/>
    </row>
    <row r="167" spans="1:25" x14ac:dyDescent="0.15">
      <c r="A167" s="59"/>
      <c r="B167" s="9"/>
      <c r="C167" s="10"/>
      <c r="D167" s="11"/>
      <c r="E167" s="12">
        <f t="shared" si="135"/>
        <v>0</v>
      </c>
      <c r="F167" s="9"/>
      <c r="G167" s="10"/>
      <c r="H167" s="11"/>
      <c r="I167" s="67">
        <f t="shared" si="136"/>
        <v>0</v>
      </c>
      <c r="J167" s="12">
        <f t="shared" si="137"/>
        <v>0</v>
      </c>
      <c r="K167" s="90"/>
      <c r="L167" s="22" t="s">
        <v>143</v>
      </c>
      <c r="M167" s="9"/>
      <c r="N167" s="10"/>
      <c r="O167" s="11"/>
      <c r="P167" s="12">
        <f t="shared" si="141"/>
        <v>0</v>
      </c>
      <c r="Q167" s="9"/>
      <c r="R167" s="10"/>
      <c r="S167" s="11"/>
      <c r="T167" s="67">
        <f t="shared" si="142"/>
        <v>0</v>
      </c>
      <c r="U167" s="12">
        <f t="shared" si="143"/>
        <v>0</v>
      </c>
      <c r="V167" s="89" t="s">
        <v>110</v>
      </c>
    </row>
    <row r="168" spans="1:25" ht="14.25" thickBot="1" x14ac:dyDescent="0.2">
      <c r="A168" s="22"/>
      <c r="B168" s="9"/>
      <c r="C168" s="10"/>
      <c r="D168" s="11"/>
      <c r="E168" s="12">
        <f t="shared" si="135"/>
        <v>0</v>
      </c>
      <c r="F168" s="9"/>
      <c r="G168" s="10"/>
      <c r="H168" s="11"/>
      <c r="I168" s="67">
        <f t="shared" si="136"/>
        <v>0</v>
      </c>
      <c r="J168" s="19">
        <f t="shared" si="137"/>
        <v>0</v>
      </c>
      <c r="K168" s="108"/>
      <c r="L168" s="22" t="s">
        <v>130</v>
      </c>
      <c r="M168" s="9"/>
      <c r="N168" s="10"/>
      <c r="O168" s="11"/>
      <c r="P168" s="12">
        <f t="shared" si="141"/>
        <v>0</v>
      </c>
      <c r="Q168" s="9"/>
      <c r="R168" s="10"/>
      <c r="S168" s="11"/>
      <c r="T168" s="67">
        <f t="shared" si="142"/>
        <v>0</v>
      </c>
      <c r="U168" s="94">
        <f t="shared" si="143"/>
        <v>0</v>
      </c>
      <c r="V168" s="89" t="s">
        <v>131</v>
      </c>
    </row>
    <row r="169" spans="1:25" ht="14.25" thickBot="1" x14ac:dyDescent="0.2">
      <c r="A169" s="37" t="s">
        <v>17</v>
      </c>
      <c r="B169" s="38">
        <f>SUM(B143:B168)</f>
        <v>7</v>
      </c>
      <c r="C169" s="39">
        <f>SUM(C143:C168)</f>
        <v>5</v>
      </c>
      <c r="D169" s="40">
        <f>SUM(D143:D168)</f>
        <v>7</v>
      </c>
      <c r="E169" s="41">
        <f>SUM(B169:D169)</f>
        <v>19</v>
      </c>
      <c r="F169" s="38">
        <f>SUM(F143:F168)</f>
        <v>5</v>
      </c>
      <c r="G169" s="39">
        <f>SUM(G143:G168)</f>
        <v>8</v>
      </c>
      <c r="H169" s="40">
        <f>SUM(H143:H168)</f>
        <v>7</v>
      </c>
      <c r="I169" s="41">
        <f>SUM(F169:H169)</f>
        <v>20</v>
      </c>
      <c r="J169" s="42">
        <f t="shared" si="137"/>
        <v>39</v>
      </c>
      <c r="K169" s="91"/>
      <c r="L169" s="37" t="s">
        <v>17</v>
      </c>
      <c r="M169" s="38">
        <f>SUM(M143:M168)</f>
        <v>573</v>
      </c>
      <c r="N169" s="39">
        <f>SUM(N143:N168)</f>
        <v>565</v>
      </c>
      <c r="O169" s="40">
        <f>SUM(O143:O168)</f>
        <v>337</v>
      </c>
      <c r="P169" s="41">
        <f>SUM(M169:O169)</f>
        <v>1475</v>
      </c>
      <c r="Q169" s="38">
        <f>SUM(Q143:Q168)</f>
        <v>570</v>
      </c>
      <c r="R169" s="39">
        <f>SUM(R143:R168)</f>
        <v>568</v>
      </c>
      <c r="S169" s="40">
        <f>SUM(S143:S168)</f>
        <v>335</v>
      </c>
      <c r="T169" s="41">
        <f>SUM(Q169:S169)</f>
        <v>1473</v>
      </c>
      <c r="U169" s="42">
        <f t="shared" si="134"/>
        <v>2948</v>
      </c>
    </row>
    <row r="170" spans="1:25" ht="14.25" thickBot="1" x14ac:dyDescent="0.2">
      <c r="A170" s="20" t="s">
        <v>18</v>
      </c>
      <c r="B170" s="63">
        <f>B142-B169</f>
        <v>2</v>
      </c>
      <c r="C170" s="64">
        <f t="shared" ref="C170:E170" si="144">C142-C169</f>
        <v>6</v>
      </c>
      <c r="D170" s="65">
        <f t="shared" si="144"/>
        <v>2</v>
      </c>
      <c r="E170" s="65">
        <f t="shared" si="144"/>
        <v>10</v>
      </c>
      <c r="F170" s="63">
        <f>F142-F169</f>
        <v>1</v>
      </c>
      <c r="G170" s="64">
        <f t="shared" ref="G170:I170" si="145">G142-G169</f>
        <v>6</v>
      </c>
      <c r="H170" s="65">
        <f t="shared" si="145"/>
        <v>2</v>
      </c>
      <c r="I170" s="65">
        <f t="shared" si="145"/>
        <v>9</v>
      </c>
      <c r="J170" s="29">
        <f t="shared" si="137"/>
        <v>19</v>
      </c>
      <c r="L170" s="20" t="s">
        <v>18</v>
      </c>
      <c r="M170" s="63">
        <f>M142-M169</f>
        <v>265</v>
      </c>
      <c r="N170" s="64">
        <f t="shared" ref="N170:P170" si="146">N142-N169</f>
        <v>414</v>
      </c>
      <c r="O170" s="65">
        <f t="shared" si="146"/>
        <v>288</v>
      </c>
      <c r="P170" s="65">
        <f t="shared" si="146"/>
        <v>967</v>
      </c>
      <c r="Q170" s="63">
        <f>Q142-Q169</f>
        <v>288</v>
      </c>
      <c r="R170" s="64">
        <f t="shared" ref="R170:T170" si="147">R142-R169</f>
        <v>480</v>
      </c>
      <c r="S170" s="65">
        <f t="shared" si="147"/>
        <v>358</v>
      </c>
      <c r="T170" s="65">
        <f t="shared" si="147"/>
        <v>1126</v>
      </c>
      <c r="U170" s="29">
        <f t="shared" si="134"/>
        <v>2093</v>
      </c>
    </row>
    <row r="171" spans="1:25" x14ac:dyDescent="0.15">
      <c r="L171" s="88"/>
      <c r="M171" s="87"/>
      <c r="N171" s="87"/>
      <c r="O171" s="87"/>
      <c r="W171" s="87"/>
      <c r="X171" s="87"/>
      <c r="Y171" s="87"/>
    </row>
    <row r="172" spans="1:25" x14ac:dyDescent="0.15">
      <c r="L172" s="96"/>
    </row>
    <row r="173" spans="1:25" ht="19.5" thickBot="1" x14ac:dyDescent="0.25">
      <c r="A173" s="3" t="s">
        <v>21</v>
      </c>
      <c r="B173" s="1"/>
      <c r="C173" s="1"/>
      <c r="D173" s="1"/>
      <c r="E173" s="1"/>
      <c r="F173" s="1"/>
      <c r="G173" s="1"/>
      <c r="H173" s="1"/>
      <c r="I173" s="1"/>
      <c r="J173" s="1"/>
      <c r="L173" s="3" t="s">
        <v>22</v>
      </c>
      <c r="M173" s="1"/>
      <c r="N173" s="1"/>
      <c r="O173" s="1"/>
      <c r="P173" s="1"/>
      <c r="Q173" s="1"/>
      <c r="R173" s="1"/>
      <c r="S173" s="1"/>
      <c r="T173" s="1"/>
      <c r="U173" s="1"/>
    </row>
    <row r="174" spans="1:25" ht="14.25" thickBot="1" x14ac:dyDescent="0.2">
      <c r="A174" s="8" t="s">
        <v>0</v>
      </c>
      <c r="B174" s="227" t="s">
        <v>19</v>
      </c>
      <c r="C174" s="228"/>
      <c r="D174" s="228"/>
      <c r="E174" s="229"/>
      <c r="F174" s="230" t="s">
        <v>20</v>
      </c>
      <c r="G174" s="231"/>
      <c r="H174" s="231"/>
      <c r="I174" s="232"/>
      <c r="J174" s="233" t="s">
        <v>1</v>
      </c>
      <c r="L174" s="8" t="s">
        <v>0</v>
      </c>
      <c r="M174" s="227" t="s">
        <v>19</v>
      </c>
      <c r="N174" s="228"/>
      <c r="O174" s="228"/>
      <c r="P174" s="229"/>
      <c r="Q174" s="230" t="s">
        <v>20</v>
      </c>
      <c r="R174" s="231"/>
      <c r="S174" s="231"/>
      <c r="T174" s="232"/>
      <c r="U174" s="233" t="s">
        <v>1</v>
      </c>
    </row>
    <row r="175" spans="1:25" ht="14.25" thickBot="1" x14ac:dyDescent="0.2">
      <c r="A175" s="8" t="s">
        <v>2</v>
      </c>
      <c r="B175" s="69" t="s">
        <v>3</v>
      </c>
      <c r="C175" s="70" t="s">
        <v>4</v>
      </c>
      <c r="D175" s="71" t="s">
        <v>5</v>
      </c>
      <c r="E175" s="8" t="s">
        <v>6</v>
      </c>
      <c r="F175" s="4" t="s">
        <v>3</v>
      </c>
      <c r="G175" s="5" t="s">
        <v>4</v>
      </c>
      <c r="H175" s="6" t="s">
        <v>5</v>
      </c>
      <c r="I175" s="8" t="s">
        <v>6</v>
      </c>
      <c r="J175" s="234"/>
      <c r="L175" s="8" t="s">
        <v>2</v>
      </c>
      <c r="M175" s="69" t="s">
        <v>3</v>
      </c>
      <c r="N175" s="70" t="s">
        <v>4</v>
      </c>
      <c r="O175" s="71" t="s">
        <v>5</v>
      </c>
      <c r="P175" s="8" t="s">
        <v>6</v>
      </c>
      <c r="Q175" s="4" t="s">
        <v>3</v>
      </c>
      <c r="R175" s="5" t="s">
        <v>4</v>
      </c>
      <c r="S175" s="6" t="s">
        <v>5</v>
      </c>
      <c r="T175" s="8" t="s">
        <v>6</v>
      </c>
      <c r="U175" s="234"/>
    </row>
    <row r="176" spans="1:25" ht="14.25" thickBot="1" x14ac:dyDescent="0.2">
      <c r="A176" s="25" t="s">
        <v>18</v>
      </c>
      <c r="B176" s="26">
        <f>B170</f>
        <v>2</v>
      </c>
      <c r="C176" s="27">
        <f t="shared" ref="C176:D176" si="148">C170</f>
        <v>6</v>
      </c>
      <c r="D176" s="49">
        <f t="shared" si="148"/>
        <v>2</v>
      </c>
      <c r="E176" s="107">
        <f t="shared" ref="E176:E184" si="149">SUM(B176:D176)</f>
        <v>10</v>
      </c>
      <c r="F176" s="26">
        <f>F170</f>
        <v>1</v>
      </c>
      <c r="G176" s="27">
        <f t="shared" ref="G176:H176" si="150">G170</f>
        <v>6</v>
      </c>
      <c r="H176" s="49">
        <f t="shared" si="150"/>
        <v>2</v>
      </c>
      <c r="I176" s="29">
        <f t="shared" ref="I176:I184" si="151">SUM(F176:H176)</f>
        <v>9</v>
      </c>
      <c r="J176" s="29">
        <f>E176+I176</f>
        <v>19</v>
      </c>
      <c r="K176" s="90"/>
      <c r="L176" s="25" t="s">
        <v>18</v>
      </c>
      <c r="M176" s="26">
        <f>M170</f>
        <v>265</v>
      </c>
      <c r="N176" s="27">
        <f t="shared" ref="N176:O176" si="152">N170</f>
        <v>414</v>
      </c>
      <c r="O176" s="49">
        <f t="shared" si="152"/>
        <v>288</v>
      </c>
      <c r="P176" s="68">
        <f t="shared" ref="P176:P184" si="153">SUM(M176:O176)</f>
        <v>967</v>
      </c>
      <c r="Q176" s="26">
        <f>Q170</f>
        <v>288</v>
      </c>
      <c r="R176" s="27">
        <f t="shared" ref="R176:S176" si="154">R170</f>
        <v>480</v>
      </c>
      <c r="S176" s="49">
        <f t="shared" si="154"/>
        <v>358</v>
      </c>
      <c r="T176" s="33">
        <f t="shared" ref="T176:T184" si="155">SUM(Q176:S176)</f>
        <v>1126</v>
      </c>
      <c r="U176" s="33">
        <f>P176+T176</f>
        <v>2093</v>
      </c>
    </row>
    <row r="177" spans="1:22" x14ac:dyDescent="0.15">
      <c r="A177" s="23" t="s">
        <v>8</v>
      </c>
      <c r="B177" s="16">
        <v>3</v>
      </c>
      <c r="C177" s="17"/>
      <c r="D177" s="43">
        <v>3</v>
      </c>
      <c r="E177" s="94">
        <f t="shared" ref="E177" si="156">SUM(B177:D177)</f>
        <v>6</v>
      </c>
      <c r="F177" s="16">
        <v>5</v>
      </c>
      <c r="G177" s="17"/>
      <c r="H177" s="43">
        <v>5</v>
      </c>
      <c r="I177" s="94">
        <f t="shared" ref="I177" si="157">SUM(F177:H177)</f>
        <v>10</v>
      </c>
      <c r="J177" s="94">
        <f t="shared" ref="J177" si="158">E177+I177</f>
        <v>16</v>
      </c>
      <c r="K177" s="90">
        <v>44917</v>
      </c>
      <c r="L177" s="23" t="s">
        <v>8</v>
      </c>
      <c r="M177" s="47">
        <v>1</v>
      </c>
      <c r="N177" s="48">
        <v>2</v>
      </c>
      <c r="O177" s="72">
        <v>1</v>
      </c>
      <c r="P177" s="42">
        <f t="shared" si="153"/>
        <v>4</v>
      </c>
      <c r="Q177" s="38">
        <v>3</v>
      </c>
      <c r="R177" s="39">
        <v>2</v>
      </c>
      <c r="S177" s="40">
        <v>2</v>
      </c>
      <c r="T177" s="66">
        <f t="shared" si="155"/>
        <v>7</v>
      </c>
      <c r="U177" s="57">
        <f t="shared" ref="U177" si="159">P177+T177</f>
        <v>11</v>
      </c>
      <c r="V177" s="108">
        <v>45003</v>
      </c>
    </row>
    <row r="178" spans="1:22" x14ac:dyDescent="0.15">
      <c r="A178" s="23" t="s">
        <v>9</v>
      </c>
      <c r="B178" s="9"/>
      <c r="C178" s="10">
        <v>5</v>
      </c>
      <c r="D178" s="44"/>
      <c r="E178" s="12">
        <f t="shared" si="149"/>
        <v>5</v>
      </c>
      <c r="F178" s="9"/>
      <c r="G178" s="10">
        <v>5</v>
      </c>
      <c r="H178" s="44"/>
      <c r="I178" s="12">
        <f t="shared" si="151"/>
        <v>5</v>
      </c>
      <c r="J178" s="12">
        <f t="shared" ref="J178:J184" si="160">E178+I178</f>
        <v>10</v>
      </c>
      <c r="K178" s="90">
        <v>44967</v>
      </c>
      <c r="L178" s="23" t="s">
        <v>9</v>
      </c>
      <c r="M178" s="9"/>
      <c r="N178" s="10"/>
      <c r="O178" s="44"/>
      <c r="P178" s="12">
        <f t="shared" si="153"/>
        <v>0</v>
      </c>
      <c r="Q178" s="9"/>
      <c r="R178" s="10"/>
      <c r="S178" s="44"/>
      <c r="T178" s="12">
        <f t="shared" si="155"/>
        <v>0</v>
      </c>
      <c r="U178" s="12">
        <f t="shared" ref="U178:U184" si="161">P178+T178</f>
        <v>0</v>
      </c>
    </row>
    <row r="179" spans="1:22" x14ac:dyDescent="0.15">
      <c r="A179" s="23" t="s">
        <v>10</v>
      </c>
      <c r="B179" s="16">
        <v>2</v>
      </c>
      <c r="C179" s="17"/>
      <c r="D179" s="43">
        <v>2</v>
      </c>
      <c r="E179" s="12">
        <f t="shared" si="149"/>
        <v>4</v>
      </c>
      <c r="F179" s="16">
        <v>2</v>
      </c>
      <c r="G179" s="17"/>
      <c r="H179" s="43">
        <v>2</v>
      </c>
      <c r="I179" s="12">
        <f t="shared" si="151"/>
        <v>4</v>
      </c>
      <c r="J179" s="12">
        <f t="shared" si="160"/>
        <v>8</v>
      </c>
      <c r="K179" s="90">
        <v>44998</v>
      </c>
      <c r="L179" s="23" t="s">
        <v>169</v>
      </c>
      <c r="M179" s="9">
        <v>400</v>
      </c>
      <c r="N179" s="10">
        <v>400</v>
      </c>
      <c r="O179" s="44">
        <v>300</v>
      </c>
      <c r="P179" s="12">
        <f t="shared" si="153"/>
        <v>1100</v>
      </c>
      <c r="Q179" s="9">
        <v>400</v>
      </c>
      <c r="R179" s="10">
        <v>400</v>
      </c>
      <c r="S179" s="44">
        <v>300</v>
      </c>
      <c r="T179" s="67">
        <f t="shared" si="155"/>
        <v>1100</v>
      </c>
      <c r="U179" s="12">
        <f t="shared" si="161"/>
        <v>2200</v>
      </c>
      <c r="V179" s="90" t="s">
        <v>168</v>
      </c>
    </row>
    <row r="180" spans="1:22" x14ac:dyDescent="0.15">
      <c r="A180" s="23" t="s">
        <v>92</v>
      </c>
      <c r="B180" s="9">
        <v>1</v>
      </c>
      <c r="C180" s="10">
        <v>2</v>
      </c>
      <c r="D180" s="44">
        <v>1</v>
      </c>
      <c r="E180" s="12">
        <f t="shared" si="149"/>
        <v>4</v>
      </c>
      <c r="F180" s="9">
        <v>3</v>
      </c>
      <c r="G180" s="10">
        <v>2</v>
      </c>
      <c r="H180" s="44">
        <v>2</v>
      </c>
      <c r="I180" s="67">
        <f t="shared" si="151"/>
        <v>7</v>
      </c>
      <c r="J180" s="12">
        <f t="shared" si="160"/>
        <v>11</v>
      </c>
      <c r="K180" s="90">
        <v>45000</v>
      </c>
      <c r="L180" s="23" t="s">
        <v>11</v>
      </c>
      <c r="M180" s="9"/>
      <c r="N180" s="10"/>
      <c r="O180" s="44"/>
      <c r="P180" s="12">
        <f t="shared" si="153"/>
        <v>0</v>
      </c>
      <c r="Q180" s="9"/>
      <c r="R180" s="10"/>
      <c r="S180" s="44"/>
      <c r="T180" s="67">
        <f t="shared" si="155"/>
        <v>0</v>
      </c>
      <c r="U180" s="12">
        <f t="shared" si="161"/>
        <v>0</v>
      </c>
      <c r="V180" s="89"/>
    </row>
    <row r="181" spans="1:22" x14ac:dyDescent="0.15">
      <c r="A181" s="23" t="s">
        <v>12</v>
      </c>
      <c r="B181" s="9"/>
      <c r="C181" s="10"/>
      <c r="D181" s="44"/>
      <c r="E181" s="12">
        <f t="shared" si="149"/>
        <v>0</v>
      </c>
      <c r="F181" s="9"/>
      <c r="G181" s="10"/>
      <c r="H181" s="44"/>
      <c r="I181" s="67">
        <f t="shared" si="151"/>
        <v>0</v>
      </c>
      <c r="J181" s="12">
        <f t="shared" si="160"/>
        <v>0</v>
      </c>
      <c r="K181" s="90"/>
      <c r="L181" s="23" t="s">
        <v>92</v>
      </c>
      <c r="M181" s="9">
        <v>18</v>
      </c>
      <c r="N181" s="10">
        <v>33</v>
      </c>
      <c r="O181" s="44">
        <v>56</v>
      </c>
      <c r="P181" s="12">
        <f t="shared" si="153"/>
        <v>107</v>
      </c>
      <c r="Q181" s="9">
        <v>23</v>
      </c>
      <c r="R181" s="10">
        <v>5</v>
      </c>
      <c r="S181" s="44">
        <v>23</v>
      </c>
      <c r="T181" s="67">
        <f t="shared" si="155"/>
        <v>51</v>
      </c>
      <c r="U181" s="12">
        <f t="shared" si="161"/>
        <v>158</v>
      </c>
      <c r="V181" s="90">
        <v>44988</v>
      </c>
    </row>
    <row r="182" spans="1:22" x14ac:dyDescent="0.15">
      <c r="A182" s="23" t="s">
        <v>13</v>
      </c>
      <c r="B182" s="9"/>
      <c r="C182" s="10"/>
      <c r="D182" s="44"/>
      <c r="E182" s="12">
        <f t="shared" si="149"/>
        <v>0</v>
      </c>
      <c r="F182" s="9"/>
      <c r="G182" s="10"/>
      <c r="H182" s="44"/>
      <c r="I182" s="67">
        <f t="shared" si="151"/>
        <v>0</v>
      </c>
      <c r="J182" s="12">
        <f t="shared" si="160"/>
        <v>0</v>
      </c>
      <c r="K182" s="90"/>
      <c r="L182" s="23" t="s">
        <v>13</v>
      </c>
      <c r="M182" s="9"/>
      <c r="N182" s="10"/>
      <c r="O182" s="44"/>
      <c r="P182" s="12">
        <f t="shared" si="153"/>
        <v>0</v>
      </c>
      <c r="Q182" s="9"/>
      <c r="R182" s="10"/>
      <c r="S182" s="44"/>
      <c r="T182" s="67">
        <f t="shared" si="155"/>
        <v>0</v>
      </c>
      <c r="U182" s="12">
        <f t="shared" si="161"/>
        <v>0</v>
      </c>
      <c r="V182" s="89"/>
    </row>
    <row r="183" spans="1:22" x14ac:dyDescent="0.15">
      <c r="A183" s="23" t="s">
        <v>14</v>
      </c>
      <c r="B183" s="13"/>
      <c r="C183" s="14"/>
      <c r="D183" s="45"/>
      <c r="E183" s="12">
        <f t="shared" si="149"/>
        <v>0</v>
      </c>
      <c r="F183" s="13"/>
      <c r="G183" s="14"/>
      <c r="H183" s="45"/>
      <c r="I183" s="67">
        <f t="shared" si="151"/>
        <v>0</v>
      </c>
      <c r="J183" s="12">
        <f t="shared" si="160"/>
        <v>0</v>
      </c>
      <c r="K183" s="89"/>
      <c r="L183" s="23" t="s">
        <v>14</v>
      </c>
      <c r="M183" s="13"/>
      <c r="N183" s="14"/>
      <c r="O183" s="45"/>
      <c r="P183" s="12">
        <f t="shared" si="153"/>
        <v>0</v>
      </c>
      <c r="Q183" s="13"/>
      <c r="R183" s="14"/>
      <c r="S183" s="45"/>
      <c r="T183" s="67">
        <f t="shared" si="155"/>
        <v>0</v>
      </c>
      <c r="U183" s="12">
        <f t="shared" si="161"/>
        <v>0</v>
      </c>
    </row>
    <row r="184" spans="1:22" ht="14.25" thickBot="1" x14ac:dyDescent="0.2">
      <c r="A184" s="23" t="s">
        <v>15</v>
      </c>
      <c r="B184" s="30"/>
      <c r="C184" s="31"/>
      <c r="D184" s="46"/>
      <c r="E184" s="12">
        <f t="shared" si="149"/>
        <v>0</v>
      </c>
      <c r="F184" s="30"/>
      <c r="G184" s="31"/>
      <c r="H184" s="46"/>
      <c r="I184" s="67">
        <f t="shared" si="151"/>
        <v>0</v>
      </c>
      <c r="J184" s="19">
        <f t="shared" si="160"/>
        <v>0</v>
      </c>
      <c r="K184" s="89"/>
      <c r="L184" s="23" t="s">
        <v>15</v>
      </c>
      <c r="M184" s="30"/>
      <c r="N184" s="31"/>
      <c r="O184" s="46"/>
      <c r="P184" s="12">
        <f t="shared" si="153"/>
        <v>0</v>
      </c>
      <c r="Q184" s="30"/>
      <c r="R184" s="31"/>
      <c r="S184" s="46"/>
      <c r="T184" s="67">
        <f t="shared" si="155"/>
        <v>0</v>
      </c>
      <c r="U184" s="19">
        <f t="shared" si="161"/>
        <v>0</v>
      </c>
    </row>
    <row r="185" spans="1:22" ht="14.25" thickBot="1" x14ac:dyDescent="0.2">
      <c r="A185" s="32" t="s">
        <v>16</v>
      </c>
      <c r="B185" s="26">
        <f>SUM(B176:B184)</f>
        <v>8</v>
      </c>
      <c r="C185" s="27">
        <f t="shared" ref="C185:J185" si="162">SUM(C176:C184)</f>
        <v>13</v>
      </c>
      <c r="D185" s="49">
        <f t="shared" si="162"/>
        <v>8</v>
      </c>
      <c r="E185" s="75">
        <f t="shared" si="162"/>
        <v>29</v>
      </c>
      <c r="F185" s="26">
        <f t="shared" si="162"/>
        <v>11</v>
      </c>
      <c r="G185" s="27">
        <f t="shared" si="162"/>
        <v>13</v>
      </c>
      <c r="H185" s="49">
        <f t="shared" si="162"/>
        <v>11</v>
      </c>
      <c r="I185" s="74">
        <f t="shared" si="162"/>
        <v>35</v>
      </c>
      <c r="J185" s="29">
        <f t="shared" si="162"/>
        <v>64</v>
      </c>
      <c r="L185" s="32" t="s">
        <v>16</v>
      </c>
      <c r="M185" s="26">
        <f>SUM(M176:M184)</f>
        <v>684</v>
      </c>
      <c r="N185" s="27">
        <f t="shared" ref="N185:U185" si="163">SUM(N176:N184)</f>
        <v>849</v>
      </c>
      <c r="O185" s="49">
        <f t="shared" si="163"/>
        <v>645</v>
      </c>
      <c r="P185" s="75">
        <f t="shared" si="163"/>
        <v>2178</v>
      </c>
      <c r="Q185" s="26">
        <f t="shared" si="163"/>
        <v>714</v>
      </c>
      <c r="R185" s="27">
        <f t="shared" si="163"/>
        <v>887</v>
      </c>
      <c r="S185" s="49">
        <f t="shared" si="163"/>
        <v>683</v>
      </c>
      <c r="T185" s="74">
        <f t="shared" si="163"/>
        <v>2284</v>
      </c>
      <c r="U185" s="29">
        <f t="shared" si="163"/>
        <v>4462</v>
      </c>
    </row>
    <row r="186" spans="1:22" x14ac:dyDescent="0.15">
      <c r="A186" s="24" t="s">
        <v>167</v>
      </c>
      <c r="B186" s="54"/>
      <c r="C186" s="55">
        <v>1</v>
      </c>
      <c r="D186" s="56"/>
      <c r="E186" s="42">
        <f t="shared" ref="E186:E211" si="164">SUM(B186:D186)</f>
        <v>1</v>
      </c>
      <c r="F186" s="54"/>
      <c r="G186" s="55">
        <v>1</v>
      </c>
      <c r="H186" s="56"/>
      <c r="I186" s="66">
        <f t="shared" ref="I186:I211" si="165">SUM(F186:H186)</f>
        <v>1</v>
      </c>
      <c r="J186" s="57">
        <f t="shared" ref="J186:J213" si="166">E186+I186</f>
        <v>2</v>
      </c>
      <c r="K186" s="90">
        <v>44942</v>
      </c>
      <c r="L186" s="22" t="s">
        <v>164</v>
      </c>
      <c r="M186" s="54">
        <v>10</v>
      </c>
      <c r="N186" s="55">
        <v>10</v>
      </c>
      <c r="O186" s="56">
        <v>10</v>
      </c>
      <c r="P186" s="42">
        <f t="shared" ref="P186:P211" si="167">SUM(M186:O186)</f>
        <v>30</v>
      </c>
      <c r="Q186" s="54">
        <v>10</v>
      </c>
      <c r="R186" s="55">
        <v>10</v>
      </c>
      <c r="S186" s="56">
        <v>10</v>
      </c>
      <c r="T186" s="66">
        <f t="shared" ref="T186:T211" si="168">SUM(Q186:S186)</f>
        <v>30</v>
      </c>
      <c r="U186" s="57">
        <f t="shared" ref="U186:U213" si="169">P186+T186</f>
        <v>60</v>
      </c>
      <c r="V186" s="90">
        <v>44918</v>
      </c>
    </row>
    <row r="187" spans="1:22" x14ac:dyDescent="0.15">
      <c r="A187" s="24" t="s">
        <v>45</v>
      </c>
      <c r="B187" s="16"/>
      <c r="C187" s="17"/>
      <c r="D187" s="18"/>
      <c r="E187" s="12">
        <f t="shared" si="164"/>
        <v>0</v>
      </c>
      <c r="F187" s="16">
        <v>1</v>
      </c>
      <c r="G187" s="17"/>
      <c r="H187" s="18"/>
      <c r="I187" s="67">
        <f t="shared" si="165"/>
        <v>1</v>
      </c>
      <c r="J187" s="12">
        <f t="shared" si="166"/>
        <v>1</v>
      </c>
      <c r="K187" s="90">
        <v>44942</v>
      </c>
      <c r="L187" s="22" t="s">
        <v>170</v>
      </c>
      <c r="M187" s="16">
        <v>70</v>
      </c>
      <c r="N187" s="17">
        <v>120</v>
      </c>
      <c r="O187" s="18">
        <v>120</v>
      </c>
      <c r="P187" s="12">
        <f t="shared" si="167"/>
        <v>310</v>
      </c>
      <c r="Q187" s="16">
        <v>70</v>
      </c>
      <c r="R187" s="17">
        <v>120</v>
      </c>
      <c r="S187" s="18">
        <v>120</v>
      </c>
      <c r="T187" s="67">
        <f t="shared" si="168"/>
        <v>310</v>
      </c>
      <c r="U187" s="12">
        <f t="shared" si="169"/>
        <v>620</v>
      </c>
      <c r="V187" s="90">
        <v>44574</v>
      </c>
    </row>
    <row r="188" spans="1:22" x14ac:dyDescent="0.15">
      <c r="A188" s="24" t="s">
        <v>167</v>
      </c>
      <c r="B188" s="9"/>
      <c r="C188" s="10"/>
      <c r="D188" s="11">
        <v>1</v>
      </c>
      <c r="E188" s="12">
        <f t="shared" si="164"/>
        <v>1</v>
      </c>
      <c r="F188" s="9"/>
      <c r="G188" s="10"/>
      <c r="H188" s="11">
        <v>1</v>
      </c>
      <c r="I188" s="67">
        <f t="shared" si="165"/>
        <v>1</v>
      </c>
      <c r="J188" s="12">
        <f t="shared" si="166"/>
        <v>2</v>
      </c>
      <c r="K188" s="90">
        <v>44944</v>
      </c>
      <c r="L188" s="104" t="s">
        <v>38</v>
      </c>
      <c r="M188" s="9">
        <v>3</v>
      </c>
      <c r="N188" s="10"/>
      <c r="O188" s="11">
        <v>3</v>
      </c>
      <c r="P188" s="12">
        <f t="shared" si="167"/>
        <v>6</v>
      </c>
      <c r="Q188" s="9">
        <v>5</v>
      </c>
      <c r="R188" s="10"/>
      <c r="S188" s="11">
        <v>5</v>
      </c>
      <c r="T188" s="67">
        <f t="shared" si="168"/>
        <v>10</v>
      </c>
      <c r="U188" s="12">
        <f t="shared" si="169"/>
        <v>16</v>
      </c>
      <c r="V188" s="90">
        <v>44917</v>
      </c>
    </row>
    <row r="189" spans="1:22" x14ac:dyDescent="0.15">
      <c r="A189" s="24" t="s">
        <v>39</v>
      </c>
      <c r="B189" s="9"/>
      <c r="C189" s="10"/>
      <c r="D189" s="11"/>
      <c r="E189" s="12">
        <f t="shared" si="164"/>
        <v>0</v>
      </c>
      <c r="F189" s="9">
        <v>1</v>
      </c>
      <c r="G189" s="10"/>
      <c r="H189" s="11"/>
      <c r="I189" s="67">
        <f t="shared" si="165"/>
        <v>1</v>
      </c>
      <c r="J189" s="12">
        <f t="shared" si="166"/>
        <v>1</v>
      </c>
      <c r="K189" s="90">
        <v>44951</v>
      </c>
      <c r="L189" s="24" t="s">
        <v>167</v>
      </c>
      <c r="M189" s="9"/>
      <c r="N189" s="10"/>
      <c r="O189" s="11">
        <v>2</v>
      </c>
      <c r="P189" s="94">
        <f t="shared" si="167"/>
        <v>2</v>
      </c>
      <c r="Q189" s="105"/>
      <c r="R189" s="10"/>
      <c r="S189" s="11">
        <v>2</v>
      </c>
      <c r="T189" s="94">
        <f t="shared" si="168"/>
        <v>2</v>
      </c>
      <c r="U189" s="12">
        <f t="shared" si="169"/>
        <v>4</v>
      </c>
      <c r="V189" s="90">
        <v>44936</v>
      </c>
    </row>
    <row r="190" spans="1:22" x14ac:dyDescent="0.15">
      <c r="A190" s="24" t="s">
        <v>176</v>
      </c>
      <c r="B190" s="9"/>
      <c r="C190" s="10">
        <v>2</v>
      </c>
      <c r="D190" s="11"/>
      <c r="E190" s="12">
        <f t="shared" si="164"/>
        <v>2</v>
      </c>
      <c r="F190" s="9"/>
      <c r="G190" s="10">
        <v>2</v>
      </c>
      <c r="H190" s="11"/>
      <c r="I190" s="67">
        <f t="shared" si="165"/>
        <v>2</v>
      </c>
      <c r="J190" s="12">
        <f t="shared" si="166"/>
        <v>4</v>
      </c>
      <c r="K190" s="90">
        <v>44951</v>
      </c>
      <c r="L190" s="24" t="s">
        <v>167</v>
      </c>
      <c r="M190" s="9">
        <v>2</v>
      </c>
      <c r="N190" s="10"/>
      <c r="O190" s="11"/>
      <c r="P190" s="12">
        <f t="shared" si="167"/>
        <v>2</v>
      </c>
      <c r="Q190" s="9">
        <v>2</v>
      </c>
      <c r="R190" s="10"/>
      <c r="S190" s="11"/>
      <c r="T190" s="67">
        <f t="shared" si="168"/>
        <v>2</v>
      </c>
      <c r="U190" s="12">
        <f t="shared" si="169"/>
        <v>4</v>
      </c>
      <c r="V190" s="90">
        <v>44938</v>
      </c>
    </row>
    <row r="191" spans="1:22" x14ac:dyDescent="0.15">
      <c r="A191" s="24" t="s">
        <v>167</v>
      </c>
      <c r="B191" s="9"/>
      <c r="C191" s="10">
        <v>2</v>
      </c>
      <c r="D191" s="11"/>
      <c r="E191" s="12">
        <f t="shared" si="164"/>
        <v>2</v>
      </c>
      <c r="F191" s="9"/>
      <c r="G191" s="10">
        <v>2</v>
      </c>
      <c r="H191" s="11"/>
      <c r="I191" s="67">
        <f t="shared" si="165"/>
        <v>2</v>
      </c>
      <c r="J191" s="12">
        <f t="shared" si="166"/>
        <v>4</v>
      </c>
      <c r="K191" s="90">
        <v>44966</v>
      </c>
      <c r="L191" s="22" t="s">
        <v>175</v>
      </c>
      <c r="M191" s="9">
        <v>15</v>
      </c>
      <c r="N191" s="10">
        <v>10</v>
      </c>
      <c r="O191" s="11"/>
      <c r="P191" s="12">
        <f t="shared" si="167"/>
        <v>25</v>
      </c>
      <c r="Q191" s="9">
        <v>20</v>
      </c>
      <c r="R191" s="10">
        <v>15</v>
      </c>
      <c r="S191" s="11"/>
      <c r="T191" s="67">
        <f t="shared" si="168"/>
        <v>35</v>
      </c>
      <c r="U191" s="12">
        <f t="shared" si="169"/>
        <v>60</v>
      </c>
      <c r="V191" s="90">
        <v>44947</v>
      </c>
    </row>
    <row r="192" spans="1:22" x14ac:dyDescent="0.15">
      <c r="A192" s="24" t="s">
        <v>45</v>
      </c>
      <c r="B192" s="9">
        <v>1</v>
      </c>
      <c r="C192" s="10"/>
      <c r="D192" s="11"/>
      <c r="E192" s="12">
        <f t="shared" si="164"/>
        <v>1</v>
      </c>
      <c r="F192" s="9"/>
      <c r="G192" s="10"/>
      <c r="H192" s="11"/>
      <c r="I192" s="67">
        <f t="shared" si="165"/>
        <v>0</v>
      </c>
      <c r="J192" s="12">
        <f t="shared" si="166"/>
        <v>1</v>
      </c>
      <c r="K192" s="90">
        <v>44965</v>
      </c>
      <c r="L192" s="24" t="s">
        <v>167</v>
      </c>
      <c r="M192" s="9"/>
      <c r="N192" s="10"/>
      <c r="O192" s="11">
        <v>1</v>
      </c>
      <c r="P192" s="12">
        <f t="shared" si="167"/>
        <v>1</v>
      </c>
      <c r="Q192" s="9"/>
      <c r="R192" s="10"/>
      <c r="S192" s="11">
        <v>1</v>
      </c>
      <c r="T192" s="67">
        <f t="shared" si="168"/>
        <v>1</v>
      </c>
      <c r="U192" s="12">
        <f t="shared" si="169"/>
        <v>2</v>
      </c>
      <c r="V192" s="90">
        <v>44958</v>
      </c>
    </row>
    <row r="193" spans="1:22" x14ac:dyDescent="0.15">
      <c r="A193" s="24" t="s">
        <v>45</v>
      </c>
      <c r="B193" s="9">
        <v>1</v>
      </c>
      <c r="C193" s="10"/>
      <c r="D193" s="11"/>
      <c r="E193" s="12">
        <f t="shared" si="164"/>
        <v>1</v>
      </c>
      <c r="F193" s="9"/>
      <c r="G193" s="10"/>
      <c r="H193" s="11">
        <v>1</v>
      </c>
      <c r="I193" s="67">
        <f t="shared" si="165"/>
        <v>1</v>
      </c>
      <c r="J193" s="12">
        <f t="shared" si="166"/>
        <v>2</v>
      </c>
      <c r="K193" s="90">
        <v>44977</v>
      </c>
      <c r="L193" s="104" t="s">
        <v>38</v>
      </c>
      <c r="M193" s="9"/>
      <c r="N193" s="10">
        <v>5</v>
      </c>
      <c r="O193" s="11"/>
      <c r="P193" s="12">
        <f t="shared" si="167"/>
        <v>5</v>
      </c>
      <c r="Q193" s="9"/>
      <c r="R193" s="10">
        <v>5</v>
      </c>
      <c r="S193" s="11"/>
      <c r="T193" s="67">
        <f t="shared" si="168"/>
        <v>5</v>
      </c>
      <c r="U193" s="12">
        <f t="shared" si="169"/>
        <v>10</v>
      </c>
      <c r="V193" s="90">
        <v>44967</v>
      </c>
    </row>
    <row r="194" spans="1:22" x14ac:dyDescent="0.15">
      <c r="A194" s="24" t="s">
        <v>45</v>
      </c>
      <c r="B194" s="9"/>
      <c r="C194" s="10"/>
      <c r="D194" s="11">
        <v>1</v>
      </c>
      <c r="E194" s="12">
        <f t="shared" si="164"/>
        <v>1</v>
      </c>
      <c r="F194" s="9"/>
      <c r="G194" s="10"/>
      <c r="H194" s="11">
        <v>2</v>
      </c>
      <c r="I194" s="67">
        <f t="shared" si="165"/>
        <v>2</v>
      </c>
      <c r="J194" s="12">
        <f t="shared" si="166"/>
        <v>3</v>
      </c>
      <c r="K194" s="90">
        <v>44991</v>
      </c>
      <c r="L194" s="104" t="s">
        <v>38</v>
      </c>
      <c r="M194" s="9">
        <v>2</v>
      </c>
      <c r="N194" s="10"/>
      <c r="O194" s="11">
        <v>2</v>
      </c>
      <c r="P194" s="12">
        <f t="shared" si="167"/>
        <v>4</v>
      </c>
      <c r="Q194" s="9">
        <v>2</v>
      </c>
      <c r="R194" s="10"/>
      <c r="S194" s="11">
        <v>2</v>
      </c>
      <c r="T194" s="67">
        <f t="shared" si="168"/>
        <v>4</v>
      </c>
      <c r="U194" s="12">
        <f t="shared" si="169"/>
        <v>8</v>
      </c>
      <c r="V194" s="90">
        <v>44998</v>
      </c>
    </row>
    <row r="195" spans="1:22" x14ac:dyDescent="0.15">
      <c r="A195" s="24" t="s">
        <v>185</v>
      </c>
      <c r="B195" s="13">
        <v>1</v>
      </c>
      <c r="C195" s="14">
        <v>2</v>
      </c>
      <c r="D195" s="15">
        <v>1</v>
      </c>
      <c r="E195" s="12">
        <f t="shared" si="164"/>
        <v>4</v>
      </c>
      <c r="F195" s="13">
        <v>3</v>
      </c>
      <c r="G195" s="14">
        <v>2</v>
      </c>
      <c r="H195" s="15">
        <v>2</v>
      </c>
      <c r="I195" s="67">
        <f t="shared" si="165"/>
        <v>7</v>
      </c>
      <c r="J195" s="12">
        <f t="shared" si="166"/>
        <v>11</v>
      </c>
      <c r="K195" s="90">
        <v>45003</v>
      </c>
      <c r="L195" s="24" t="s">
        <v>167</v>
      </c>
      <c r="M195" s="13"/>
      <c r="N195" s="14"/>
      <c r="O195" s="15">
        <v>3</v>
      </c>
      <c r="P195" s="12">
        <f t="shared" si="167"/>
        <v>3</v>
      </c>
      <c r="Q195" s="13"/>
      <c r="R195" s="14"/>
      <c r="S195" s="15">
        <v>3</v>
      </c>
      <c r="T195" s="67">
        <f t="shared" si="168"/>
        <v>3</v>
      </c>
      <c r="U195" s="12">
        <f t="shared" si="169"/>
        <v>6</v>
      </c>
      <c r="V195" s="90">
        <v>45020</v>
      </c>
    </row>
    <row r="196" spans="1:22" x14ac:dyDescent="0.15">
      <c r="A196" s="24" t="s">
        <v>45</v>
      </c>
      <c r="B196" s="9"/>
      <c r="C196" s="10">
        <v>1</v>
      </c>
      <c r="D196" s="11"/>
      <c r="E196" s="12">
        <f t="shared" si="164"/>
        <v>1</v>
      </c>
      <c r="F196" s="9"/>
      <c r="G196" s="10">
        <v>1</v>
      </c>
      <c r="H196" s="11"/>
      <c r="I196" s="67">
        <f t="shared" si="165"/>
        <v>1</v>
      </c>
      <c r="J196" s="12">
        <f t="shared" si="166"/>
        <v>2</v>
      </c>
      <c r="K196" s="108">
        <v>45012</v>
      </c>
      <c r="L196" s="24"/>
      <c r="M196" s="9"/>
      <c r="N196" s="10"/>
      <c r="O196" s="11"/>
      <c r="P196" s="12">
        <f t="shared" ref="P196" si="170">SUM(M196:O196)</f>
        <v>0</v>
      </c>
      <c r="Q196" s="9"/>
      <c r="R196" s="10"/>
      <c r="S196" s="11"/>
      <c r="T196" s="67">
        <f t="shared" ref="T196" si="171">SUM(Q196:S196)</f>
        <v>0</v>
      </c>
      <c r="U196" s="12">
        <f t="shared" ref="U196" si="172">P196+T196</f>
        <v>0</v>
      </c>
    </row>
    <row r="197" spans="1:22" x14ac:dyDescent="0.15">
      <c r="A197" s="24" t="s">
        <v>167</v>
      </c>
      <c r="B197" s="9"/>
      <c r="C197" s="10"/>
      <c r="D197" s="11">
        <v>1</v>
      </c>
      <c r="E197" s="12">
        <f t="shared" si="164"/>
        <v>1</v>
      </c>
      <c r="F197" s="9"/>
      <c r="G197" s="10"/>
      <c r="H197" s="11">
        <v>1</v>
      </c>
      <c r="I197" s="67">
        <f t="shared" si="165"/>
        <v>1</v>
      </c>
      <c r="J197" s="12">
        <f t="shared" si="166"/>
        <v>2</v>
      </c>
      <c r="K197" s="90">
        <v>45014</v>
      </c>
      <c r="L197" s="24"/>
      <c r="M197" s="9"/>
      <c r="N197" s="10"/>
      <c r="O197" s="11"/>
      <c r="P197" s="12">
        <f t="shared" si="167"/>
        <v>0</v>
      </c>
      <c r="Q197" s="9"/>
      <c r="R197" s="10"/>
      <c r="S197" s="11"/>
      <c r="T197" s="67">
        <f t="shared" si="168"/>
        <v>0</v>
      </c>
      <c r="U197" s="12">
        <f t="shared" si="169"/>
        <v>0</v>
      </c>
    </row>
    <row r="198" spans="1:22" x14ac:dyDescent="0.15">
      <c r="A198" s="24" t="s">
        <v>167</v>
      </c>
      <c r="B198" s="9"/>
      <c r="C198" s="10">
        <v>1</v>
      </c>
      <c r="D198" s="11">
        <v>1</v>
      </c>
      <c r="E198" s="12">
        <f t="shared" si="164"/>
        <v>2</v>
      </c>
      <c r="F198" s="9"/>
      <c r="G198" s="10">
        <v>1</v>
      </c>
      <c r="H198" s="11">
        <v>1</v>
      </c>
      <c r="I198" s="67">
        <f t="shared" si="165"/>
        <v>2</v>
      </c>
      <c r="J198" s="12">
        <f t="shared" si="166"/>
        <v>4</v>
      </c>
      <c r="K198" s="90">
        <v>45016</v>
      </c>
      <c r="L198" s="22"/>
      <c r="M198" s="9"/>
      <c r="N198" s="10"/>
      <c r="O198" s="11"/>
      <c r="P198" s="12">
        <f t="shared" si="167"/>
        <v>0</v>
      </c>
      <c r="Q198" s="9"/>
      <c r="R198" s="10"/>
      <c r="S198" s="11"/>
      <c r="T198" s="67">
        <f t="shared" si="168"/>
        <v>0</v>
      </c>
      <c r="U198" s="12">
        <f t="shared" si="169"/>
        <v>0</v>
      </c>
    </row>
    <row r="199" spans="1:22" x14ac:dyDescent="0.15">
      <c r="A199" s="24" t="s">
        <v>189</v>
      </c>
      <c r="B199" s="9">
        <v>1</v>
      </c>
      <c r="C199" s="10"/>
      <c r="D199" s="11"/>
      <c r="E199" s="12">
        <f t="shared" si="164"/>
        <v>1</v>
      </c>
      <c r="F199" s="9">
        <v>1</v>
      </c>
      <c r="G199" s="10"/>
      <c r="H199" s="11"/>
      <c r="I199" s="67">
        <f t="shared" si="165"/>
        <v>1</v>
      </c>
      <c r="J199" s="12">
        <f t="shared" si="166"/>
        <v>2</v>
      </c>
      <c r="K199" s="90">
        <v>45022</v>
      </c>
      <c r="L199" s="24"/>
      <c r="M199" s="9"/>
      <c r="N199" s="10"/>
      <c r="O199" s="11"/>
      <c r="P199" s="12">
        <f t="shared" si="167"/>
        <v>0</v>
      </c>
      <c r="Q199" s="9"/>
      <c r="R199" s="10"/>
      <c r="S199" s="11"/>
      <c r="T199" s="67">
        <f t="shared" si="168"/>
        <v>0</v>
      </c>
      <c r="U199" s="12">
        <f t="shared" si="169"/>
        <v>0</v>
      </c>
    </row>
    <row r="200" spans="1:22" x14ac:dyDescent="0.15">
      <c r="A200" s="24" t="s">
        <v>190</v>
      </c>
      <c r="B200" s="9"/>
      <c r="C200" s="10"/>
      <c r="D200" s="11"/>
      <c r="E200" s="12">
        <f t="shared" si="164"/>
        <v>0</v>
      </c>
      <c r="F200" s="9">
        <v>1</v>
      </c>
      <c r="G200" s="10"/>
      <c r="H200" s="11"/>
      <c r="I200" s="67">
        <f t="shared" si="165"/>
        <v>1</v>
      </c>
      <c r="J200" s="12">
        <f t="shared" si="166"/>
        <v>1</v>
      </c>
      <c r="K200" s="90">
        <v>45021</v>
      </c>
      <c r="L200" s="24"/>
      <c r="M200" s="9"/>
      <c r="N200" s="10"/>
      <c r="O200" s="11"/>
      <c r="P200" s="12">
        <f t="shared" si="167"/>
        <v>0</v>
      </c>
      <c r="Q200" s="9"/>
      <c r="R200" s="10"/>
      <c r="S200" s="11"/>
      <c r="T200" s="67">
        <f t="shared" si="168"/>
        <v>0</v>
      </c>
      <c r="U200" s="12">
        <f t="shared" si="169"/>
        <v>0</v>
      </c>
    </row>
    <row r="201" spans="1:22" x14ac:dyDescent="0.15">
      <c r="A201" s="22"/>
      <c r="B201" s="9"/>
      <c r="C201" s="10"/>
      <c r="D201" s="11"/>
      <c r="E201" s="12">
        <f t="shared" si="164"/>
        <v>0</v>
      </c>
      <c r="F201" s="9"/>
      <c r="G201" s="10"/>
      <c r="H201" s="11"/>
      <c r="I201" s="67">
        <f t="shared" si="165"/>
        <v>0</v>
      </c>
      <c r="J201" s="12">
        <f t="shared" si="166"/>
        <v>0</v>
      </c>
      <c r="K201" s="90"/>
      <c r="L201" s="22"/>
      <c r="M201" s="9"/>
      <c r="N201" s="10"/>
      <c r="O201" s="11"/>
      <c r="P201" s="12">
        <f t="shared" si="167"/>
        <v>0</v>
      </c>
      <c r="Q201" s="9"/>
      <c r="R201" s="10"/>
      <c r="S201" s="11"/>
      <c r="T201" s="67">
        <f t="shared" si="168"/>
        <v>0</v>
      </c>
      <c r="U201" s="12">
        <f t="shared" si="169"/>
        <v>0</v>
      </c>
    </row>
    <row r="202" spans="1:22" x14ac:dyDescent="0.15">
      <c r="A202" s="24"/>
      <c r="B202" s="9"/>
      <c r="C202" s="10"/>
      <c r="D202" s="11"/>
      <c r="E202" s="12">
        <f t="shared" si="164"/>
        <v>0</v>
      </c>
      <c r="F202" s="9"/>
      <c r="G202" s="10"/>
      <c r="H202" s="11"/>
      <c r="I202" s="67">
        <f t="shared" si="165"/>
        <v>0</v>
      </c>
      <c r="J202" s="12">
        <f t="shared" si="166"/>
        <v>0</v>
      </c>
      <c r="K202" s="108"/>
      <c r="L202" s="24"/>
      <c r="M202" s="9"/>
      <c r="N202" s="10"/>
      <c r="O202" s="11"/>
      <c r="P202" s="12">
        <f t="shared" si="167"/>
        <v>0</v>
      </c>
      <c r="Q202" s="9"/>
      <c r="R202" s="10"/>
      <c r="S202" s="11"/>
      <c r="T202" s="67">
        <f t="shared" si="168"/>
        <v>0</v>
      </c>
      <c r="U202" s="12">
        <f t="shared" si="169"/>
        <v>0</v>
      </c>
    </row>
    <row r="203" spans="1:22" x14ac:dyDescent="0.15">
      <c r="A203" s="24"/>
      <c r="B203" s="9"/>
      <c r="C203" s="10"/>
      <c r="D203" s="11"/>
      <c r="E203" s="12">
        <f t="shared" si="164"/>
        <v>0</v>
      </c>
      <c r="F203" s="9"/>
      <c r="G203" s="10"/>
      <c r="H203" s="11"/>
      <c r="I203" s="67">
        <f t="shared" si="165"/>
        <v>0</v>
      </c>
      <c r="J203" s="12">
        <f t="shared" si="166"/>
        <v>0</v>
      </c>
      <c r="K203" s="90"/>
      <c r="L203" s="24"/>
      <c r="M203" s="9"/>
      <c r="N203" s="10"/>
      <c r="O203" s="11"/>
      <c r="P203" s="12">
        <f t="shared" si="167"/>
        <v>0</v>
      </c>
      <c r="Q203" s="9"/>
      <c r="R203" s="10"/>
      <c r="S203" s="11"/>
      <c r="T203" s="67">
        <f t="shared" si="168"/>
        <v>0</v>
      </c>
      <c r="U203" s="12">
        <f t="shared" si="169"/>
        <v>0</v>
      </c>
    </row>
    <row r="204" spans="1:22" x14ac:dyDescent="0.15">
      <c r="A204" s="21"/>
      <c r="B204" s="9"/>
      <c r="C204" s="10"/>
      <c r="D204" s="11"/>
      <c r="E204" s="12">
        <f t="shared" si="164"/>
        <v>0</v>
      </c>
      <c r="F204" s="9"/>
      <c r="G204" s="10"/>
      <c r="H204" s="11"/>
      <c r="I204" s="67">
        <f t="shared" si="165"/>
        <v>0</v>
      </c>
      <c r="J204" s="12">
        <f t="shared" si="166"/>
        <v>0</v>
      </c>
      <c r="K204" s="108"/>
      <c r="L204" s="21"/>
      <c r="M204" s="9"/>
      <c r="N204" s="10"/>
      <c r="O204" s="11"/>
      <c r="P204" s="12">
        <f t="shared" si="167"/>
        <v>0</v>
      </c>
      <c r="Q204" s="9"/>
      <c r="R204" s="10"/>
      <c r="S204" s="11"/>
      <c r="T204" s="67">
        <f t="shared" si="168"/>
        <v>0</v>
      </c>
      <c r="U204" s="12">
        <f t="shared" si="169"/>
        <v>0</v>
      </c>
    </row>
    <row r="205" spans="1:22" x14ac:dyDescent="0.15">
      <c r="A205" s="21"/>
      <c r="B205" s="9"/>
      <c r="C205" s="10"/>
      <c r="D205" s="11"/>
      <c r="E205" s="12">
        <f t="shared" si="164"/>
        <v>0</v>
      </c>
      <c r="F205" s="9"/>
      <c r="G205" s="10"/>
      <c r="H205" s="11"/>
      <c r="I205" s="67">
        <f t="shared" si="165"/>
        <v>0</v>
      </c>
      <c r="J205" s="12">
        <f t="shared" si="166"/>
        <v>0</v>
      </c>
      <c r="K205" s="90"/>
      <c r="L205" s="21"/>
      <c r="M205" s="9"/>
      <c r="N205" s="10"/>
      <c r="O205" s="11"/>
      <c r="P205" s="12">
        <f t="shared" si="167"/>
        <v>0</v>
      </c>
      <c r="Q205" s="9"/>
      <c r="R205" s="10"/>
      <c r="S205" s="11"/>
      <c r="T205" s="67">
        <f t="shared" si="168"/>
        <v>0</v>
      </c>
      <c r="U205" s="12">
        <f t="shared" si="169"/>
        <v>0</v>
      </c>
    </row>
    <row r="206" spans="1:22" x14ac:dyDescent="0.15">
      <c r="A206" s="21"/>
      <c r="B206" s="9"/>
      <c r="C206" s="10"/>
      <c r="D206" s="11"/>
      <c r="E206" s="12">
        <f t="shared" si="164"/>
        <v>0</v>
      </c>
      <c r="F206" s="9"/>
      <c r="G206" s="10"/>
      <c r="H206" s="11"/>
      <c r="I206" s="67">
        <f t="shared" si="165"/>
        <v>0</v>
      </c>
      <c r="J206" s="12">
        <f t="shared" si="166"/>
        <v>0</v>
      </c>
      <c r="K206" s="90"/>
      <c r="L206" s="21"/>
      <c r="M206" s="9"/>
      <c r="N206" s="10"/>
      <c r="O206" s="11"/>
      <c r="P206" s="12">
        <f t="shared" si="167"/>
        <v>0</v>
      </c>
      <c r="Q206" s="9"/>
      <c r="R206" s="10"/>
      <c r="S206" s="11"/>
      <c r="T206" s="67">
        <f t="shared" si="168"/>
        <v>0</v>
      </c>
      <c r="U206" s="12">
        <f t="shared" si="169"/>
        <v>0</v>
      </c>
    </row>
    <row r="207" spans="1:22" x14ac:dyDescent="0.15">
      <c r="A207" s="24"/>
      <c r="B207" s="13"/>
      <c r="C207" s="14"/>
      <c r="D207" s="15"/>
      <c r="E207" s="12">
        <f t="shared" si="164"/>
        <v>0</v>
      </c>
      <c r="F207" s="13"/>
      <c r="G207" s="14"/>
      <c r="H207" s="15"/>
      <c r="I207" s="67">
        <f t="shared" si="165"/>
        <v>0</v>
      </c>
      <c r="J207" s="12">
        <f t="shared" si="166"/>
        <v>0</v>
      </c>
      <c r="K207" s="90"/>
      <c r="L207" s="24"/>
      <c r="M207" s="13"/>
      <c r="N207" s="14"/>
      <c r="O207" s="15"/>
      <c r="P207" s="12">
        <f t="shared" si="167"/>
        <v>0</v>
      </c>
      <c r="Q207" s="13"/>
      <c r="R207" s="14"/>
      <c r="S207" s="15"/>
      <c r="T207" s="67">
        <f t="shared" si="168"/>
        <v>0</v>
      </c>
      <c r="U207" s="12">
        <f t="shared" si="169"/>
        <v>0</v>
      </c>
    </row>
    <row r="208" spans="1:22" x14ac:dyDescent="0.15">
      <c r="A208" s="24"/>
      <c r="B208" s="9"/>
      <c r="C208" s="10"/>
      <c r="D208" s="11"/>
      <c r="E208" s="12">
        <f t="shared" si="164"/>
        <v>0</v>
      </c>
      <c r="F208" s="9"/>
      <c r="G208" s="10"/>
      <c r="H208" s="11"/>
      <c r="I208" s="67">
        <f t="shared" si="165"/>
        <v>0</v>
      </c>
      <c r="J208" s="12">
        <f t="shared" si="166"/>
        <v>0</v>
      </c>
      <c r="K208" s="90"/>
      <c r="L208" s="24"/>
      <c r="M208" s="9"/>
      <c r="N208" s="10"/>
      <c r="O208" s="11"/>
      <c r="P208" s="12">
        <f t="shared" si="167"/>
        <v>0</v>
      </c>
      <c r="Q208" s="9"/>
      <c r="R208" s="10"/>
      <c r="S208" s="11"/>
      <c r="T208" s="67">
        <f t="shared" si="168"/>
        <v>0</v>
      </c>
      <c r="U208" s="12">
        <f t="shared" si="169"/>
        <v>0</v>
      </c>
    </row>
    <row r="209" spans="1:25" x14ac:dyDescent="0.15">
      <c r="A209" s="7"/>
      <c r="B209" s="9"/>
      <c r="C209" s="10"/>
      <c r="D209" s="11"/>
      <c r="E209" s="12">
        <f t="shared" si="164"/>
        <v>0</v>
      </c>
      <c r="F209" s="9"/>
      <c r="G209" s="10"/>
      <c r="H209" s="11"/>
      <c r="I209" s="67">
        <f t="shared" si="165"/>
        <v>0</v>
      </c>
      <c r="J209" s="12">
        <f t="shared" si="166"/>
        <v>0</v>
      </c>
      <c r="K209" s="90"/>
      <c r="L209" s="22" t="s">
        <v>179</v>
      </c>
      <c r="M209" s="9"/>
      <c r="N209" s="10"/>
      <c r="O209" s="11"/>
      <c r="P209" s="12">
        <f t="shared" si="167"/>
        <v>0</v>
      </c>
      <c r="Q209" s="9"/>
      <c r="R209" s="10"/>
      <c r="S209" s="11"/>
      <c r="T209" s="67">
        <f t="shared" si="168"/>
        <v>0</v>
      </c>
      <c r="U209" s="12">
        <f t="shared" si="169"/>
        <v>0</v>
      </c>
      <c r="V209" s="89" t="s">
        <v>180</v>
      </c>
    </row>
    <row r="210" spans="1:25" x14ac:dyDescent="0.15">
      <c r="A210" s="59"/>
      <c r="B210" s="9"/>
      <c r="C210" s="10"/>
      <c r="D210" s="11"/>
      <c r="E210" s="12">
        <f t="shared" si="164"/>
        <v>0</v>
      </c>
      <c r="F210" s="9"/>
      <c r="G210" s="10"/>
      <c r="H210" s="11"/>
      <c r="I210" s="67">
        <f t="shared" si="165"/>
        <v>0</v>
      </c>
      <c r="J210" s="12">
        <f t="shared" si="166"/>
        <v>0</v>
      </c>
      <c r="K210" s="90"/>
      <c r="L210" s="22" t="s">
        <v>177</v>
      </c>
      <c r="M210" s="9"/>
      <c r="N210" s="10"/>
      <c r="O210" s="11"/>
      <c r="P210" s="12">
        <f t="shared" si="167"/>
        <v>0</v>
      </c>
      <c r="Q210" s="9"/>
      <c r="R210" s="10"/>
      <c r="S210" s="11"/>
      <c r="T210" s="67">
        <f t="shared" si="168"/>
        <v>0</v>
      </c>
      <c r="U210" s="12">
        <f t="shared" si="169"/>
        <v>0</v>
      </c>
      <c r="V210" s="89"/>
    </row>
    <row r="211" spans="1:25" ht="14.25" thickBot="1" x14ac:dyDescent="0.2">
      <c r="A211" s="22"/>
      <c r="B211" s="9"/>
      <c r="C211" s="10"/>
      <c r="D211" s="11"/>
      <c r="E211" s="12">
        <f t="shared" si="164"/>
        <v>0</v>
      </c>
      <c r="F211" s="9"/>
      <c r="G211" s="10"/>
      <c r="H211" s="11"/>
      <c r="I211" s="67">
        <f t="shared" si="165"/>
        <v>0</v>
      </c>
      <c r="J211" s="19">
        <f t="shared" si="166"/>
        <v>0</v>
      </c>
      <c r="K211" s="108"/>
      <c r="L211" s="22" t="s">
        <v>178</v>
      </c>
      <c r="M211" s="9"/>
      <c r="N211" s="10"/>
      <c r="O211" s="11"/>
      <c r="P211" s="12">
        <f t="shared" si="167"/>
        <v>0</v>
      </c>
      <c r="Q211" s="9"/>
      <c r="R211" s="10"/>
      <c r="S211" s="11"/>
      <c r="T211" s="67">
        <f t="shared" si="168"/>
        <v>0</v>
      </c>
      <c r="U211" s="12">
        <f t="shared" si="169"/>
        <v>0</v>
      </c>
      <c r="V211" s="89" t="s">
        <v>133</v>
      </c>
    </row>
    <row r="212" spans="1:25" ht="14.25" thickBot="1" x14ac:dyDescent="0.2">
      <c r="A212" s="37" t="s">
        <v>17</v>
      </c>
      <c r="B212" s="38">
        <f>SUM(B186:B211)</f>
        <v>4</v>
      </c>
      <c r="C212" s="39">
        <f>SUM(C186:C211)</f>
        <v>9</v>
      </c>
      <c r="D212" s="40">
        <f>SUM(D186:D211)</f>
        <v>5</v>
      </c>
      <c r="E212" s="41">
        <f>SUM(B212:D212)</f>
        <v>18</v>
      </c>
      <c r="F212" s="38">
        <f>SUM(F186:F211)</f>
        <v>7</v>
      </c>
      <c r="G212" s="39">
        <f>SUM(G186:G211)</f>
        <v>9</v>
      </c>
      <c r="H212" s="40">
        <f>SUM(H186:H211)</f>
        <v>8</v>
      </c>
      <c r="I212" s="41">
        <f>SUM(F212:H212)</f>
        <v>24</v>
      </c>
      <c r="J212" s="42">
        <f t="shared" si="166"/>
        <v>42</v>
      </c>
      <c r="K212" s="91"/>
      <c r="L212" s="37" t="s">
        <v>17</v>
      </c>
      <c r="M212" s="38">
        <f>SUM(M186:M211)</f>
        <v>102</v>
      </c>
      <c r="N212" s="39">
        <f>SUM(N186:N211)</f>
        <v>145</v>
      </c>
      <c r="O212" s="40">
        <f>SUM(O186:O211)</f>
        <v>141</v>
      </c>
      <c r="P212" s="41">
        <f>SUM(M212:O212)</f>
        <v>388</v>
      </c>
      <c r="Q212" s="38">
        <f>SUM(Q186:Q211)</f>
        <v>109</v>
      </c>
      <c r="R212" s="39">
        <f>SUM(R186:R211)</f>
        <v>150</v>
      </c>
      <c r="S212" s="40">
        <f>SUM(S186:S211)</f>
        <v>143</v>
      </c>
      <c r="T212" s="41">
        <f>SUM(Q212:S212)</f>
        <v>402</v>
      </c>
      <c r="U212" s="42">
        <f t="shared" si="169"/>
        <v>790</v>
      </c>
    </row>
    <row r="213" spans="1:25" ht="14.25" thickBot="1" x14ac:dyDescent="0.2">
      <c r="A213" s="20" t="s">
        <v>18</v>
      </c>
      <c r="B213" s="63">
        <f>B185-B212</f>
        <v>4</v>
      </c>
      <c r="C213" s="64">
        <f t="shared" ref="C213:E213" si="173">C185-C212</f>
        <v>4</v>
      </c>
      <c r="D213" s="65">
        <f t="shared" si="173"/>
        <v>3</v>
      </c>
      <c r="E213" s="65">
        <f t="shared" si="173"/>
        <v>11</v>
      </c>
      <c r="F213" s="63">
        <f>F185-F212</f>
        <v>4</v>
      </c>
      <c r="G213" s="64">
        <f t="shared" ref="G213:I213" si="174">G185-G212</f>
        <v>4</v>
      </c>
      <c r="H213" s="65">
        <f t="shared" si="174"/>
        <v>3</v>
      </c>
      <c r="I213" s="65">
        <f t="shared" si="174"/>
        <v>11</v>
      </c>
      <c r="J213" s="29">
        <f t="shared" si="166"/>
        <v>22</v>
      </c>
      <c r="L213" s="20" t="s">
        <v>18</v>
      </c>
      <c r="M213" s="63">
        <f>M185-M212</f>
        <v>582</v>
      </c>
      <c r="N213" s="64">
        <f t="shared" ref="N213:P213" si="175">N185-N212</f>
        <v>704</v>
      </c>
      <c r="O213" s="65">
        <f t="shared" si="175"/>
        <v>504</v>
      </c>
      <c r="P213" s="65">
        <f t="shared" si="175"/>
        <v>1790</v>
      </c>
      <c r="Q213" s="63">
        <f>Q185-Q212</f>
        <v>605</v>
      </c>
      <c r="R213" s="64">
        <f t="shared" ref="R213:T213" si="176">R185-R212</f>
        <v>737</v>
      </c>
      <c r="S213" s="65">
        <f t="shared" si="176"/>
        <v>540</v>
      </c>
      <c r="T213" s="65">
        <f t="shared" si="176"/>
        <v>1882</v>
      </c>
      <c r="U213" s="29">
        <f t="shared" si="169"/>
        <v>3672</v>
      </c>
    </row>
    <row r="214" spans="1:25" x14ac:dyDescent="0.15">
      <c r="L214" s="88"/>
      <c r="M214" s="87"/>
      <c r="N214" s="87"/>
      <c r="O214" s="87"/>
    </row>
    <row r="215" spans="1:25" x14ac:dyDescent="0.15">
      <c r="L215" s="96"/>
      <c r="P215" s="106"/>
      <c r="Q215" s="79"/>
      <c r="R215" s="79"/>
      <c r="S215" s="79"/>
      <c r="T215" s="79"/>
      <c r="W215" s="87"/>
      <c r="X215" s="87"/>
      <c r="Y215" s="87"/>
    </row>
    <row r="216" spans="1:25" ht="19.5" thickBot="1" x14ac:dyDescent="0.25">
      <c r="A216" s="3" t="s">
        <v>21</v>
      </c>
      <c r="B216" s="1"/>
      <c r="C216" s="1"/>
      <c r="D216" s="1"/>
      <c r="E216" s="1"/>
      <c r="F216" s="1"/>
      <c r="G216" s="1"/>
      <c r="H216" s="1"/>
      <c r="I216" s="1"/>
      <c r="J216" s="1"/>
      <c r="L216" s="3" t="s">
        <v>22</v>
      </c>
      <c r="M216" s="1"/>
      <c r="N216" s="1"/>
      <c r="O216" s="1"/>
      <c r="P216" s="1"/>
      <c r="Q216" s="1"/>
      <c r="R216" s="1"/>
      <c r="S216" s="1"/>
      <c r="T216" s="1"/>
      <c r="U216" s="1"/>
    </row>
    <row r="217" spans="1:25" ht="14.25" thickBot="1" x14ac:dyDescent="0.2">
      <c r="A217" s="8" t="s">
        <v>0</v>
      </c>
      <c r="B217" s="227" t="s">
        <v>19</v>
      </c>
      <c r="C217" s="228"/>
      <c r="D217" s="228"/>
      <c r="E217" s="229"/>
      <c r="F217" s="230" t="s">
        <v>20</v>
      </c>
      <c r="G217" s="231"/>
      <c r="H217" s="231"/>
      <c r="I217" s="232"/>
      <c r="J217" s="233" t="s">
        <v>1</v>
      </c>
      <c r="L217" s="8" t="s">
        <v>0</v>
      </c>
      <c r="M217" s="227" t="s">
        <v>19</v>
      </c>
      <c r="N217" s="228"/>
      <c r="O217" s="228"/>
      <c r="P217" s="229"/>
      <c r="Q217" s="230" t="s">
        <v>20</v>
      </c>
      <c r="R217" s="231"/>
      <c r="S217" s="231"/>
      <c r="T217" s="232"/>
      <c r="U217" s="233" t="s">
        <v>1</v>
      </c>
    </row>
    <row r="218" spans="1:25" ht="14.25" thickBot="1" x14ac:dyDescent="0.2">
      <c r="A218" s="8" t="s">
        <v>2</v>
      </c>
      <c r="B218" s="69" t="s">
        <v>3</v>
      </c>
      <c r="C218" s="70" t="s">
        <v>4</v>
      </c>
      <c r="D218" s="71" t="s">
        <v>5</v>
      </c>
      <c r="E218" s="8" t="s">
        <v>6</v>
      </c>
      <c r="F218" s="4" t="s">
        <v>3</v>
      </c>
      <c r="G218" s="5" t="s">
        <v>4</v>
      </c>
      <c r="H218" s="6" t="s">
        <v>5</v>
      </c>
      <c r="I218" s="8" t="s">
        <v>6</v>
      </c>
      <c r="J218" s="234"/>
      <c r="L218" s="8" t="s">
        <v>2</v>
      </c>
      <c r="M218" s="69" t="s">
        <v>3</v>
      </c>
      <c r="N218" s="70" t="s">
        <v>4</v>
      </c>
      <c r="O218" s="71" t="s">
        <v>5</v>
      </c>
      <c r="P218" s="8" t="s">
        <v>6</v>
      </c>
      <c r="Q218" s="4" t="s">
        <v>3</v>
      </c>
      <c r="R218" s="5" t="s">
        <v>4</v>
      </c>
      <c r="S218" s="6" t="s">
        <v>5</v>
      </c>
      <c r="T218" s="8" t="s">
        <v>6</v>
      </c>
      <c r="U218" s="234"/>
    </row>
    <row r="219" spans="1:25" ht="14.25" thickBot="1" x14ac:dyDescent="0.2">
      <c r="A219" s="25" t="s">
        <v>18</v>
      </c>
      <c r="B219" s="26">
        <f>B213</f>
        <v>4</v>
      </c>
      <c r="C219" s="27">
        <f t="shared" ref="C219:D219" si="177">C213</f>
        <v>4</v>
      </c>
      <c r="D219" s="49">
        <f t="shared" si="177"/>
        <v>3</v>
      </c>
      <c r="E219" s="107">
        <f t="shared" ref="E219:E222" si="178">SUM(B219:D219)</f>
        <v>11</v>
      </c>
      <c r="F219" s="26">
        <f>F213</f>
        <v>4</v>
      </c>
      <c r="G219" s="27">
        <f t="shared" ref="G219:H219" si="179">G213</f>
        <v>4</v>
      </c>
      <c r="H219" s="49">
        <f t="shared" si="179"/>
        <v>3</v>
      </c>
      <c r="I219" s="29">
        <f t="shared" ref="I219:I222" si="180">SUM(F219:H219)</f>
        <v>11</v>
      </c>
      <c r="J219" s="29">
        <f>E219+I219</f>
        <v>22</v>
      </c>
      <c r="L219" s="25" t="s">
        <v>18</v>
      </c>
      <c r="M219" s="26">
        <f>M213</f>
        <v>582</v>
      </c>
      <c r="N219" s="27">
        <f t="shared" ref="N219:O219" si="181">N213</f>
        <v>704</v>
      </c>
      <c r="O219" s="49">
        <f t="shared" si="181"/>
        <v>504</v>
      </c>
      <c r="P219" s="68">
        <f t="shared" ref="P219:P227" si="182">SUM(M219:O219)</f>
        <v>1790</v>
      </c>
      <c r="Q219" s="26">
        <f>Q213</f>
        <v>605</v>
      </c>
      <c r="R219" s="27">
        <f t="shared" ref="R219:S219" si="183">R213</f>
        <v>737</v>
      </c>
      <c r="S219" s="49">
        <f t="shared" si="183"/>
        <v>540</v>
      </c>
      <c r="T219" s="33">
        <f t="shared" ref="T219:T227" si="184">SUM(Q219:S219)</f>
        <v>1882</v>
      </c>
      <c r="U219" s="33">
        <f>P219+T219</f>
        <v>3672</v>
      </c>
    </row>
    <row r="220" spans="1:25" x14ac:dyDescent="0.15">
      <c r="A220" s="23" t="s">
        <v>8</v>
      </c>
      <c r="B220" s="16">
        <v>3</v>
      </c>
      <c r="C220" s="17">
        <v>3</v>
      </c>
      <c r="D220" s="43"/>
      <c r="E220" s="94">
        <f t="shared" si="178"/>
        <v>6</v>
      </c>
      <c r="F220" s="16">
        <v>3</v>
      </c>
      <c r="G220" s="17">
        <v>3</v>
      </c>
      <c r="H220" s="43"/>
      <c r="I220" s="94">
        <f t="shared" si="180"/>
        <v>6</v>
      </c>
      <c r="J220" s="94">
        <f t="shared" ref="J220:J222" si="185">E220+I220</f>
        <v>12</v>
      </c>
      <c r="K220" s="90">
        <v>45031</v>
      </c>
      <c r="L220" s="23" t="s">
        <v>8</v>
      </c>
      <c r="M220" s="47"/>
      <c r="N220" s="48"/>
      <c r="O220" s="72"/>
      <c r="P220" s="42">
        <f t="shared" si="182"/>
        <v>0</v>
      </c>
      <c r="Q220" s="38"/>
      <c r="R220" s="39"/>
      <c r="S220" s="40"/>
      <c r="T220" s="66">
        <f t="shared" si="184"/>
        <v>0</v>
      </c>
      <c r="U220" s="57">
        <f t="shared" ref="U220:U227" si="186">P220+T220</f>
        <v>0</v>
      </c>
    </row>
    <row r="221" spans="1:25" x14ac:dyDescent="0.15">
      <c r="A221" s="23" t="s">
        <v>9</v>
      </c>
      <c r="B221" s="9"/>
      <c r="C221" s="10"/>
      <c r="D221" s="44"/>
      <c r="E221" s="12">
        <f t="shared" si="178"/>
        <v>0</v>
      </c>
      <c r="F221" s="9"/>
      <c r="G221" s="10">
        <v>3</v>
      </c>
      <c r="H221" s="44">
        <v>3</v>
      </c>
      <c r="I221" s="12">
        <f t="shared" si="180"/>
        <v>6</v>
      </c>
      <c r="J221" s="12">
        <f t="shared" si="185"/>
        <v>6</v>
      </c>
      <c r="K221" s="90">
        <v>45034</v>
      </c>
      <c r="L221" s="23" t="s">
        <v>9</v>
      </c>
      <c r="M221" s="9"/>
      <c r="N221" s="10"/>
      <c r="O221" s="44"/>
      <c r="P221" s="12">
        <f t="shared" si="182"/>
        <v>0</v>
      </c>
      <c r="Q221" s="9"/>
      <c r="R221" s="10"/>
      <c r="S221" s="44"/>
      <c r="T221" s="12">
        <f t="shared" si="184"/>
        <v>0</v>
      </c>
      <c r="U221" s="12">
        <f t="shared" si="186"/>
        <v>0</v>
      </c>
    </row>
    <row r="222" spans="1:25" x14ac:dyDescent="0.15">
      <c r="A222" s="23" t="s">
        <v>10</v>
      </c>
      <c r="B222" s="47">
        <v>3</v>
      </c>
      <c r="C222" s="48"/>
      <c r="D222" s="72">
        <v>3</v>
      </c>
      <c r="E222" s="92">
        <f t="shared" si="178"/>
        <v>6</v>
      </c>
      <c r="F222" s="47">
        <v>3</v>
      </c>
      <c r="G222" s="48"/>
      <c r="H222" s="72">
        <v>3</v>
      </c>
      <c r="I222" s="93">
        <f t="shared" si="180"/>
        <v>6</v>
      </c>
      <c r="J222" s="94">
        <f t="shared" si="185"/>
        <v>12</v>
      </c>
      <c r="K222" s="90">
        <v>45042</v>
      </c>
      <c r="L222" s="23" t="s">
        <v>149</v>
      </c>
      <c r="M222" s="9">
        <v>350</v>
      </c>
      <c r="N222" s="10">
        <v>350</v>
      </c>
      <c r="O222" s="44">
        <v>250</v>
      </c>
      <c r="P222" s="12">
        <f t="shared" si="182"/>
        <v>950</v>
      </c>
      <c r="Q222" s="9">
        <v>350</v>
      </c>
      <c r="R222" s="10">
        <v>350</v>
      </c>
      <c r="S222" s="44">
        <v>250</v>
      </c>
      <c r="T222" s="67">
        <f t="shared" si="184"/>
        <v>950</v>
      </c>
      <c r="U222" s="12">
        <f t="shared" si="186"/>
        <v>1900</v>
      </c>
      <c r="V222" s="90" t="s">
        <v>188</v>
      </c>
    </row>
    <row r="223" spans="1:25" x14ac:dyDescent="0.15">
      <c r="A223" s="23" t="s">
        <v>11</v>
      </c>
      <c r="B223" s="9"/>
      <c r="C223" s="10"/>
      <c r="D223" s="44"/>
      <c r="E223" s="12">
        <f t="shared" ref="E223:E227" si="187">SUM(B223:D223)</f>
        <v>0</v>
      </c>
      <c r="F223" s="9"/>
      <c r="G223" s="10"/>
      <c r="H223" s="44"/>
      <c r="I223" s="12">
        <f t="shared" ref="I223:I227" si="188">SUM(F223:H223)</f>
        <v>0</v>
      </c>
      <c r="J223" s="12">
        <f t="shared" ref="J223:J227" si="189">E223+I223</f>
        <v>0</v>
      </c>
      <c r="L223" s="23" t="s">
        <v>11</v>
      </c>
      <c r="M223" s="9"/>
      <c r="N223" s="10"/>
      <c r="O223" s="44"/>
      <c r="P223" s="12">
        <f t="shared" si="182"/>
        <v>0</v>
      </c>
      <c r="Q223" s="9"/>
      <c r="R223" s="10"/>
      <c r="S223" s="44"/>
      <c r="T223" s="67">
        <f t="shared" si="184"/>
        <v>0</v>
      </c>
      <c r="U223" s="12">
        <f t="shared" si="186"/>
        <v>0</v>
      </c>
    </row>
    <row r="224" spans="1:25" x14ac:dyDescent="0.15">
      <c r="A224" s="23" t="s">
        <v>12</v>
      </c>
      <c r="B224" s="9"/>
      <c r="C224" s="10"/>
      <c r="D224" s="44"/>
      <c r="E224" s="12">
        <f t="shared" si="187"/>
        <v>0</v>
      </c>
      <c r="F224" s="9"/>
      <c r="G224" s="10"/>
      <c r="H224" s="44"/>
      <c r="I224" s="12">
        <f t="shared" si="188"/>
        <v>0</v>
      </c>
      <c r="J224" s="12">
        <f t="shared" si="189"/>
        <v>0</v>
      </c>
      <c r="L224" s="23" t="s">
        <v>12</v>
      </c>
      <c r="M224" s="9"/>
      <c r="N224" s="10"/>
      <c r="O224" s="44"/>
      <c r="P224" s="12">
        <f t="shared" si="182"/>
        <v>0</v>
      </c>
      <c r="Q224" s="9"/>
      <c r="R224" s="10"/>
      <c r="S224" s="44"/>
      <c r="T224" s="67">
        <f t="shared" si="184"/>
        <v>0</v>
      </c>
      <c r="U224" s="12">
        <f t="shared" si="186"/>
        <v>0</v>
      </c>
      <c r="V224" s="89"/>
    </row>
    <row r="225" spans="1:23" x14ac:dyDescent="0.15">
      <c r="A225" s="23" t="s">
        <v>13</v>
      </c>
      <c r="B225" s="9"/>
      <c r="C225" s="10"/>
      <c r="D225" s="44"/>
      <c r="E225" s="12">
        <f t="shared" si="187"/>
        <v>0</v>
      </c>
      <c r="F225" s="9"/>
      <c r="G225" s="10"/>
      <c r="H225" s="44"/>
      <c r="I225" s="12">
        <f t="shared" si="188"/>
        <v>0</v>
      </c>
      <c r="J225" s="12">
        <f t="shared" si="189"/>
        <v>0</v>
      </c>
      <c r="L225" s="23" t="s">
        <v>13</v>
      </c>
      <c r="M225" s="13"/>
      <c r="N225" s="14"/>
      <c r="O225" s="45"/>
      <c r="P225" s="12">
        <f t="shared" ref="P225" si="190">SUM(M225:O225)</f>
        <v>0</v>
      </c>
      <c r="Q225" s="13"/>
      <c r="R225" s="14"/>
      <c r="S225" s="45"/>
      <c r="T225" s="67">
        <f t="shared" ref="T225" si="191">SUM(Q225:S225)</f>
        <v>0</v>
      </c>
      <c r="U225" s="12">
        <f t="shared" ref="U225" si="192">P225+T225</f>
        <v>0</v>
      </c>
    </row>
    <row r="226" spans="1:23" x14ac:dyDescent="0.15">
      <c r="A226" s="23" t="s">
        <v>14</v>
      </c>
      <c r="B226" s="9"/>
      <c r="C226" s="10"/>
      <c r="D226" s="44"/>
      <c r="E226" s="12">
        <f t="shared" si="187"/>
        <v>0</v>
      </c>
      <c r="F226" s="9"/>
      <c r="G226" s="10"/>
      <c r="H226" s="44"/>
      <c r="I226" s="12">
        <f t="shared" si="188"/>
        <v>0</v>
      </c>
      <c r="J226" s="12">
        <f t="shared" si="189"/>
        <v>0</v>
      </c>
      <c r="L226" s="23" t="s">
        <v>14</v>
      </c>
      <c r="M226" s="13"/>
      <c r="N226" s="14"/>
      <c r="O226" s="45"/>
      <c r="P226" s="12">
        <f t="shared" si="182"/>
        <v>0</v>
      </c>
      <c r="Q226" s="13"/>
      <c r="R226" s="14"/>
      <c r="S226" s="45"/>
      <c r="T226" s="67">
        <f t="shared" si="184"/>
        <v>0</v>
      </c>
      <c r="U226" s="12">
        <f t="shared" si="186"/>
        <v>0</v>
      </c>
    </row>
    <row r="227" spans="1:23" ht="14.25" thickBot="1" x14ac:dyDescent="0.2">
      <c r="A227" s="23" t="s">
        <v>15</v>
      </c>
      <c r="B227" s="9"/>
      <c r="C227" s="10"/>
      <c r="D227" s="44"/>
      <c r="E227" s="12">
        <f t="shared" si="187"/>
        <v>0</v>
      </c>
      <c r="F227" s="9"/>
      <c r="G227" s="10"/>
      <c r="H227" s="44"/>
      <c r="I227" s="12">
        <f t="shared" si="188"/>
        <v>0</v>
      </c>
      <c r="J227" s="12">
        <f t="shared" si="189"/>
        <v>0</v>
      </c>
      <c r="L227" s="23" t="s">
        <v>15</v>
      </c>
      <c r="M227" s="30"/>
      <c r="N227" s="31"/>
      <c r="O227" s="46"/>
      <c r="P227" s="12">
        <f t="shared" si="182"/>
        <v>0</v>
      </c>
      <c r="Q227" s="30"/>
      <c r="R227" s="31"/>
      <c r="S227" s="46"/>
      <c r="T227" s="67">
        <f t="shared" si="184"/>
        <v>0</v>
      </c>
      <c r="U227" s="19">
        <f t="shared" si="186"/>
        <v>0</v>
      </c>
    </row>
    <row r="228" spans="1:23" ht="14.25" thickBot="1" x14ac:dyDescent="0.2">
      <c r="A228" s="32" t="s">
        <v>16</v>
      </c>
      <c r="B228" s="26">
        <f>SUM(B219:B227)</f>
        <v>10</v>
      </c>
      <c r="C228" s="27">
        <f t="shared" ref="C228:J228" si="193">SUM(C219:C227)</f>
        <v>7</v>
      </c>
      <c r="D228" s="49">
        <f t="shared" si="193"/>
        <v>6</v>
      </c>
      <c r="E228" s="75">
        <f t="shared" si="193"/>
        <v>23</v>
      </c>
      <c r="F228" s="26">
        <f t="shared" si="193"/>
        <v>10</v>
      </c>
      <c r="G228" s="27">
        <f t="shared" si="193"/>
        <v>10</v>
      </c>
      <c r="H228" s="49">
        <f t="shared" si="193"/>
        <v>9</v>
      </c>
      <c r="I228" s="74">
        <f t="shared" si="193"/>
        <v>29</v>
      </c>
      <c r="J228" s="29">
        <f t="shared" si="193"/>
        <v>52</v>
      </c>
      <c r="L228" s="32" t="s">
        <v>16</v>
      </c>
      <c r="M228" s="26">
        <f>SUM(M219:M227)</f>
        <v>932</v>
      </c>
      <c r="N228" s="27">
        <f t="shared" ref="N228:U228" si="194">SUM(N219:N227)</f>
        <v>1054</v>
      </c>
      <c r="O228" s="49">
        <f t="shared" si="194"/>
        <v>754</v>
      </c>
      <c r="P228" s="75">
        <f t="shared" si="194"/>
        <v>2740</v>
      </c>
      <c r="Q228" s="26">
        <f t="shared" si="194"/>
        <v>955</v>
      </c>
      <c r="R228" s="27">
        <f t="shared" si="194"/>
        <v>1087</v>
      </c>
      <c r="S228" s="49">
        <f t="shared" si="194"/>
        <v>790</v>
      </c>
      <c r="T228" s="74">
        <f t="shared" si="194"/>
        <v>2832</v>
      </c>
      <c r="U228" s="29">
        <f t="shared" si="194"/>
        <v>5572</v>
      </c>
    </row>
    <row r="229" spans="1:23" x14ac:dyDescent="0.15">
      <c r="A229" s="24" t="s">
        <v>167</v>
      </c>
      <c r="B229" s="9">
        <v>2</v>
      </c>
      <c r="C229" s="10">
        <v>1</v>
      </c>
      <c r="D229" s="11"/>
      <c r="E229" s="12">
        <f t="shared" ref="E229" si="195">SUM(B229:D229)</f>
        <v>3</v>
      </c>
      <c r="F229" s="9">
        <v>2</v>
      </c>
      <c r="G229" s="10">
        <v>1</v>
      </c>
      <c r="H229" s="11"/>
      <c r="I229" s="67">
        <f t="shared" ref="I229" si="196">SUM(F229:H229)</f>
        <v>3</v>
      </c>
      <c r="J229" s="12">
        <f t="shared" ref="J229" si="197">E229+I229</f>
        <v>6</v>
      </c>
      <c r="K229" s="90">
        <v>45027</v>
      </c>
      <c r="L229" s="22" t="s">
        <v>187</v>
      </c>
      <c r="M229" s="54">
        <v>25</v>
      </c>
      <c r="N229" s="55">
        <v>25</v>
      </c>
      <c r="O229" s="56">
        <v>25</v>
      </c>
      <c r="P229" s="42">
        <f t="shared" ref="P229:P252" si="198">SUM(M229:O229)</f>
        <v>75</v>
      </c>
      <c r="Q229" s="54">
        <v>25</v>
      </c>
      <c r="R229" s="55">
        <v>25</v>
      </c>
      <c r="S229" s="56">
        <v>25</v>
      </c>
      <c r="T229" s="66">
        <f t="shared" ref="T229:T252" si="199">SUM(Q229:S229)</f>
        <v>75</v>
      </c>
      <c r="U229" s="57">
        <f t="shared" ref="U229:U256" si="200">P229+T229</f>
        <v>150</v>
      </c>
      <c r="V229" s="90">
        <v>45022</v>
      </c>
    </row>
    <row r="230" spans="1:23" x14ac:dyDescent="0.15">
      <c r="A230" s="24" t="s">
        <v>167</v>
      </c>
      <c r="B230" s="16">
        <v>1</v>
      </c>
      <c r="C230" s="17">
        <v>1</v>
      </c>
      <c r="D230" s="18"/>
      <c r="E230" s="12">
        <f t="shared" ref="E230:E254" si="201">SUM(B230:D230)</f>
        <v>2</v>
      </c>
      <c r="F230" s="16">
        <v>1</v>
      </c>
      <c r="G230" s="17">
        <v>1</v>
      </c>
      <c r="H230" s="18"/>
      <c r="I230" s="67">
        <f t="shared" ref="I230:I254" si="202">SUM(F230:H230)</f>
        <v>2</v>
      </c>
      <c r="J230" s="12">
        <f t="shared" ref="J230:J256" si="203">E230+I230</f>
        <v>4</v>
      </c>
      <c r="K230" s="90">
        <v>45030</v>
      </c>
      <c r="L230" s="24" t="s">
        <v>167</v>
      </c>
      <c r="M230" s="9">
        <v>1</v>
      </c>
      <c r="N230" s="10"/>
      <c r="O230" s="11">
        <v>3</v>
      </c>
      <c r="P230" s="12">
        <f t="shared" si="198"/>
        <v>4</v>
      </c>
      <c r="Q230" s="9">
        <v>1</v>
      </c>
      <c r="R230" s="10"/>
      <c r="S230" s="11">
        <v>3</v>
      </c>
      <c r="T230" s="67">
        <f t="shared" si="199"/>
        <v>4</v>
      </c>
      <c r="U230" s="12">
        <f t="shared" si="200"/>
        <v>8</v>
      </c>
      <c r="V230" s="90">
        <v>45021</v>
      </c>
    </row>
    <row r="231" spans="1:23" x14ac:dyDescent="0.15">
      <c r="A231" s="24" t="s">
        <v>167</v>
      </c>
      <c r="B231" s="9"/>
      <c r="C231" s="10">
        <v>1</v>
      </c>
      <c r="D231" s="11"/>
      <c r="E231" s="12">
        <f t="shared" si="201"/>
        <v>1</v>
      </c>
      <c r="F231" s="9"/>
      <c r="G231" s="10">
        <v>1</v>
      </c>
      <c r="H231" s="11"/>
      <c r="I231" s="67">
        <f t="shared" si="202"/>
        <v>1</v>
      </c>
      <c r="J231" s="12">
        <f t="shared" si="203"/>
        <v>2</v>
      </c>
      <c r="K231" s="90">
        <v>45033</v>
      </c>
      <c r="L231" s="24" t="s">
        <v>167</v>
      </c>
      <c r="M231" s="9">
        <v>1</v>
      </c>
      <c r="N231" s="10">
        <v>1</v>
      </c>
      <c r="O231" s="11">
        <v>7</v>
      </c>
      <c r="P231" s="12">
        <f t="shared" si="198"/>
        <v>9</v>
      </c>
      <c r="Q231" s="9">
        <v>1</v>
      </c>
      <c r="R231" s="10">
        <v>1</v>
      </c>
      <c r="S231" s="11">
        <v>7</v>
      </c>
      <c r="T231" s="67">
        <f t="shared" si="199"/>
        <v>9</v>
      </c>
      <c r="U231" s="12">
        <f t="shared" si="200"/>
        <v>18</v>
      </c>
      <c r="V231" s="90">
        <v>45023</v>
      </c>
    </row>
    <row r="232" spans="1:23" x14ac:dyDescent="0.15">
      <c r="A232" s="24" t="s">
        <v>191</v>
      </c>
      <c r="B232" s="9">
        <v>1</v>
      </c>
      <c r="C232" s="10"/>
      <c r="D232" s="11"/>
      <c r="E232" s="12">
        <f t="shared" si="201"/>
        <v>1</v>
      </c>
      <c r="F232" s="9">
        <v>1</v>
      </c>
      <c r="G232" s="10">
        <v>2</v>
      </c>
      <c r="H232" s="11">
        <v>1</v>
      </c>
      <c r="I232" s="67">
        <f t="shared" si="202"/>
        <v>4</v>
      </c>
      <c r="J232" s="12">
        <f t="shared" si="203"/>
        <v>5</v>
      </c>
      <c r="K232" s="90">
        <v>45034</v>
      </c>
      <c r="L232" s="24" t="s">
        <v>167</v>
      </c>
      <c r="M232" s="9"/>
      <c r="N232" s="10">
        <v>2</v>
      </c>
      <c r="O232" s="11"/>
      <c r="P232" s="12">
        <f t="shared" si="198"/>
        <v>2</v>
      </c>
      <c r="Q232" s="9"/>
      <c r="R232" s="10">
        <v>2</v>
      </c>
      <c r="S232" s="11"/>
      <c r="T232" s="67">
        <f t="shared" si="199"/>
        <v>2</v>
      </c>
      <c r="U232" s="12">
        <f t="shared" si="200"/>
        <v>4</v>
      </c>
      <c r="V232" s="90">
        <v>45026</v>
      </c>
    </row>
    <row r="233" spans="1:23" x14ac:dyDescent="0.15">
      <c r="A233" s="24" t="s">
        <v>45</v>
      </c>
      <c r="B233" s="9"/>
      <c r="C233" s="10"/>
      <c r="D233" s="11"/>
      <c r="E233" s="12">
        <f t="shared" si="201"/>
        <v>0</v>
      </c>
      <c r="F233" s="9"/>
      <c r="G233" s="10"/>
      <c r="H233" s="11">
        <v>1</v>
      </c>
      <c r="I233" s="67">
        <f t="shared" si="202"/>
        <v>1</v>
      </c>
      <c r="J233" s="12">
        <f t="shared" si="203"/>
        <v>1</v>
      </c>
      <c r="K233" s="108">
        <v>45033</v>
      </c>
      <c r="L233" s="24" t="s">
        <v>167</v>
      </c>
      <c r="M233" s="9"/>
      <c r="N233" s="10">
        <v>3</v>
      </c>
      <c r="O233" s="11"/>
      <c r="P233" s="12">
        <f t="shared" ref="P233" si="204">SUM(M233:O233)</f>
        <v>3</v>
      </c>
      <c r="Q233" s="9"/>
      <c r="R233" s="10">
        <v>3</v>
      </c>
      <c r="S233" s="11"/>
      <c r="T233" s="67">
        <f t="shared" ref="T233" si="205">SUM(Q233:S233)</f>
        <v>3</v>
      </c>
      <c r="U233" s="12">
        <f t="shared" ref="U233" si="206">P233+T233</f>
        <v>6</v>
      </c>
      <c r="V233" s="90">
        <v>45028</v>
      </c>
    </row>
    <row r="234" spans="1:23" x14ac:dyDescent="0.15">
      <c r="A234" s="24" t="s">
        <v>167</v>
      </c>
      <c r="B234" s="9">
        <v>1</v>
      </c>
      <c r="C234" s="10"/>
      <c r="D234" s="11">
        <v>1</v>
      </c>
      <c r="E234" s="12">
        <f t="shared" si="201"/>
        <v>2</v>
      </c>
      <c r="F234" s="9">
        <v>1</v>
      </c>
      <c r="G234" s="10"/>
      <c r="H234" s="11">
        <v>1</v>
      </c>
      <c r="I234" s="67">
        <f t="shared" si="202"/>
        <v>2</v>
      </c>
      <c r="J234" s="12">
        <f t="shared" si="203"/>
        <v>4</v>
      </c>
      <c r="K234" s="90">
        <v>45041</v>
      </c>
      <c r="L234" s="24" t="s">
        <v>167</v>
      </c>
      <c r="M234" s="9">
        <v>1</v>
      </c>
      <c r="N234" s="10">
        <v>1</v>
      </c>
      <c r="O234" s="11"/>
      <c r="P234" s="12">
        <f t="shared" si="198"/>
        <v>2</v>
      </c>
      <c r="Q234" s="9">
        <v>1</v>
      </c>
      <c r="R234" s="10">
        <v>1</v>
      </c>
      <c r="S234" s="11"/>
      <c r="T234" s="67">
        <f t="shared" si="199"/>
        <v>2</v>
      </c>
      <c r="U234" s="12">
        <f t="shared" si="200"/>
        <v>4</v>
      </c>
      <c r="V234" s="90">
        <v>45029</v>
      </c>
    </row>
    <row r="235" spans="1:23" x14ac:dyDescent="0.15">
      <c r="A235" s="24" t="s">
        <v>167</v>
      </c>
      <c r="B235" s="9"/>
      <c r="C235" s="10"/>
      <c r="D235" s="11">
        <v>1</v>
      </c>
      <c r="E235" s="12">
        <f t="shared" si="201"/>
        <v>1</v>
      </c>
      <c r="F235" s="9"/>
      <c r="G235" s="10"/>
      <c r="H235" s="11">
        <v>1</v>
      </c>
      <c r="I235" s="67">
        <f t="shared" si="202"/>
        <v>1</v>
      </c>
      <c r="J235" s="12">
        <f t="shared" si="203"/>
        <v>2</v>
      </c>
      <c r="K235" s="90">
        <v>45042</v>
      </c>
      <c r="L235" s="104" t="s">
        <v>38</v>
      </c>
      <c r="M235" s="9">
        <v>3</v>
      </c>
      <c r="N235" s="10">
        <v>3</v>
      </c>
      <c r="O235" s="11"/>
      <c r="P235" s="12">
        <f t="shared" si="198"/>
        <v>6</v>
      </c>
      <c r="Q235" s="9">
        <v>3</v>
      </c>
      <c r="R235" s="10">
        <v>3</v>
      </c>
      <c r="S235" s="11"/>
      <c r="T235" s="67">
        <f t="shared" si="199"/>
        <v>6</v>
      </c>
      <c r="U235" s="12">
        <f t="shared" si="200"/>
        <v>12</v>
      </c>
      <c r="V235" s="90">
        <v>45031</v>
      </c>
    </row>
    <row r="236" spans="1:23" x14ac:dyDescent="0.15">
      <c r="A236" s="24" t="s">
        <v>167</v>
      </c>
      <c r="B236" s="9">
        <v>1</v>
      </c>
      <c r="C236" s="10"/>
      <c r="D236" s="11">
        <v>1</v>
      </c>
      <c r="E236" s="12">
        <f t="shared" si="201"/>
        <v>2</v>
      </c>
      <c r="F236" s="9">
        <v>1</v>
      </c>
      <c r="G236" s="10"/>
      <c r="H236" s="11">
        <v>1</v>
      </c>
      <c r="I236" s="67">
        <f t="shared" si="202"/>
        <v>2</v>
      </c>
      <c r="J236" s="12">
        <f t="shared" si="203"/>
        <v>4</v>
      </c>
      <c r="K236" s="90">
        <v>45044</v>
      </c>
      <c r="L236" s="24" t="s">
        <v>167</v>
      </c>
      <c r="M236" s="9">
        <v>4</v>
      </c>
      <c r="N236" s="10">
        <v>1</v>
      </c>
      <c r="O236" s="11"/>
      <c r="P236" s="12">
        <f t="shared" si="198"/>
        <v>5</v>
      </c>
      <c r="Q236" s="9">
        <v>4</v>
      </c>
      <c r="R236" s="10">
        <v>1</v>
      </c>
      <c r="S236" s="11"/>
      <c r="T236" s="67">
        <f t="shared" si="199"/>
        <v>5</v>
      </c>
      <c r="U236" s="12">
        <f t="shared" si="200"/>
        <v>10</v>
      </c>
      <c r="V236" s="90">
        <v>45034</v>
      </c>
    </row>
    <row r="237" spans="1:23" x14ac:dyDescent="0.15">
      <c r="A237" s="22"/>
      <c r="B237" s="9"/>
      <c r="C237" s="10"/>
      <c r="D237" s="11"/>
      <c r="E237" s="12">
        <f t="shared" si="201"/>
        <v>0</v>
      </c>
      <c r="F237" s="9"/>
      <c r="G237" s="10"/>
      <c r="H237" s="11"/>
      <c r="I237" s="67">
        <f t="shared" si="202"/>
        <v>0</v>
      </c>
      <c r="J237" s="12">
        <f t="shared" si="203"/>
        <v>0</v>
      </c>
      <c r="L237" s="104" t="s">
        <v>38</v>
      </c>
      <c r="M237" s="9"/>
      <c r="N237" s="10"/>
      <c r="O237" s="11"/>
      <c r="P237" s="12">
        <f t="shared" si="198"/>
        <v>0</v>
      </c>
      <c r="Q237" s="9"/>
      <c r="R237" s="10">
        <v>3</v>
      </c>
      <c r="S237" s="11">
        <v>3</v>
      </c>
      <c r="T237" s="67">
        <f t="shared" si="199"/>
        <v>6</v>
      </c>
      <c r="U237" s="12">
        <f t="shared" si="200"/>
        <v>6</v>
      </c>
      <c r="V237" s="90">
        <v>45034</v>
      </c>
      <c r="W237" s="50"/>
    </row>
    <row r="238" spans="1:23" x14ac:dyDescent="0.15">
      <c r="A238" s="24"/>
      <c r="B238" s="13"/>
      <c r="C238" s="14"/>
      <c r="D238" s="15"/>
      <c r="E238" s="12">
        <f t="shared" si="201"/>
        <v>0</v>
      </c>
      <c r="F238" s="13"/>
      <c r="G238" s="14"/>
      <c r="H238" s="15"/>
      <c r="I238" s="67">
        <f t="shared" si="202"/>
        <v>0</v>
      </c>
      <c r="J238" s="12">
        <f t="shared" si="203"/>
        <v>0</v>
      </c>
      <c r="L238" s="24" t="s">
        <v>167</v>
      </c>
      <c r="M238" s="13">
        <v>2</v>
      </c>
      <c r="N238" s="14"/>
      <c r="O238" s="15">
        <v>3</v>
      </c>
      <c r="P238" s="12">
        <f t="shared" si="198"/>
        <v>5</v>
      </c>
      <c r="Q238" s="13">
        <v>2</v>
      </c>
      <c r="R238" s="14"/>
      <c r="S238" s="15">
        <v>3</v>
      </c>
      <c r="T238" s="67">
        <f t="shared" si="199"/>
        <v>5</v>
      </c>
      <c r="U238" s="12">
        <f t="shared" si="200"/>
        <v>10</v>
      </c>
      <c r="V238" s="90">
        <v>45035</v>
      </c>
    </row>
    <row r="239" spans="1:23" x14ac:dyDescent="0.15">
      <c r="A239" s="24"/>
      <c r="B239" s="9"/>
      <c r="C239" s="10"/>
      <c r="D239" s="11"/>
      <c r="E239" s="12">
        <f t="shared" si="201"/>
        <v>0</v>
      </c>
      <c r="F239" s="9"/>
      <c r="G239" s="10"/>
      <c r="H239" s="11"/>
      <c r="I239" s="67">
        <f t="shared" si="202"/>
        <v>0</v>
      </c>
      <c r="J239" s="12">
        <f t="shared" si="203"/>
        <v>0</v>
      </c>
      <c r="L239" s="22" t="s">
        <v>192</v>
      </c>
      <c r="M239" s="9">
        <v>200</v>
      </c>
      <c r="N239" s="10">
        <v>220</v>
      </c>
      <c r="O239" s="11">
        <v>200</v>
      </c>
      <c r="P239" s="12">
        <f t="shared" si="198"/>
        <v>620</v>
      </c>
      <c r="Q239" s="9">
        <v>200</v>
      </c>
      <c r="R239" s="10">
        <v>220</v>
      </c>
      <c r="S239" s="11">
        <v>200</v>
      </c>
      <c r="T239" s="67">
        <f t="shared" si="199"/>
        <v>620</v>
      </c>
      <c r="U239" s="12">
        <f t="shared" si="200"/>
        <v>1240</v>
      </c>
      <c r="V239" s="90">
        <v>45036</v>
      </c>
    </row>
    <row r="240" spans="1:23" x14ac:dyDescent="0.15">
      <c r="A240" s="24"/>
      <c r="B240" s="9"/>
      <c r="C240" s="10"/>
      <c r="D240" s="11"/>
      <c r="E240" s="12">
        <f t="shared" si="201"/>
        <v>0</v>
      </c>
      <c r="F240" s="9"/>
      <c r="G240" s="10"/>
      <c r="H240" s="11"/>
      <c r="I240" s="67">
        <f t="shared" si="202"/>
        <v>0</v>
      </c>
      <c r="J240" s="12">
        <f t="shared" si="203"/>
        <v>0</v>
      </c>
      <c r="L240" s="24" t="s">
        <v>167</v>
      </c>
      <c r="M240" s="9">
        <v>1</v>
      </c>
      <c r="N240" s="10">
        <v>5</v>
      </c>
      <c r="O240" s="11"/>
      <c r="P240" s="12">
        <f t="shared" si="198"/>
        <v>6</v>
      </c>
      <c r="Q240" s="9">
        <v>1</v>
      </c>
      <c r="R240" s="10">
        <v>5</v>
      </c>
      <c r="S240" s="11"/>
      <c r="T240" s="67">
        <f t="shared" si="199"/>
        <v>6</v>
      </c>
      <c r="U240" s="12">
        <f t="shared" si="200"/>
        <v>12</v>
      </c>
      <c r="V240" s="90">
        <v>45036</v>
      </c>
    </row>
    <row r="241" spans="1:22" x14ac:dyDescent="0.15">
      <c r="A241" s="22"/>
      <c r="B241" s="9"/>
      <c r="C241" s="10"/>
      <c r="D241" s="11"/>
      <c r="E241" s="12">
        <f t="shared" si="201"/>
        <v>0</v>
      </c>
      <c r="F241" s="9"/>
      <c r="G241" s="10"/>
      <c r="H241" s="11"/>
      <c r="I241" s="67">
        <f t="shared" si="202"/>
        <v>0</v>
      </c>
      <c r="J241" s="12">
        <f t="shared" si="203"/>
        <v>0</v>
      </c>
      <c r="L241" s="22" t="s">
        <v>193</v>
      </c>
      <c r="M241" s="9">
        <v>35</v>
      </c>
      <c r="N241" s="10">
        <v>20</v>
      </c>
      <c r="O241" s="11"/>
      <c r="P241" s="12">
        <f t="shared" si="198"/>
        <v>55</v>
      </c>
      <c r="Q241" s="9">
        <v>35</v>
      </c>
      <c r="R241" s="10">
        <v>20</v>
      </c>
      <c r="S241" s="11"/>
      <c r="T241" s="67">
        <f t="shared" si="199"/>
        <v>55</v>
      </c>
      <c r="U241" s="12">
        <f t="shared" si="200"/>
        <v>110</v>
      </c>
      <c r="V241" s="90">
        <v>45037</v>
      </c>
    </row>
    <row r="242" spans="1:22" x14ac:dyDescent="0.15">
      <c r="A242" s="24"/>
      <c r="B242" s="9"/>
      <c r="C242" s="10"/>
      <c r="D242" s="11"/>
      <c r="E242" s="12">
        <f t="shared" si="201"/>
        <v>0</v>
      </c>
      <c r="F242" s="9"/>
      <c r="G242" s="10"/>
      <c r="H242" s="11"/>
      <c r="I242" s="67">
        <f t="shared" si="202"/>
        <v>0</v>
      </c>
      <c r="J242" s="12">
        <f t="shared" si="203"/>
        <v>0</v>
      </c>
      <c r="L242" s="24" t="s">
        <v>167</v>
      </c>
      <c r="M242" s="9">
        <v>2</v>
      </c>
      <c r="N242" s="10">
        <v>4</v>
      </c>
      <c r="O242" s="11">
        <v>2</v>
      </c>
      <c r="P242" s="12">
        <f t="shared" si="198"/>
        <v>8</v>
      </c>
      <c r="Q242" s="9">
        <v>2</v>
      </c>
      <c r="R242" s="10">
        <v>4</v>
      </c>
      <c r="S242" s="11">
        <v>2</v>
      </c>
      <c r="T242" s="67">
        <f t="shared" si="199"/>
        <v>8</v>
      </c>
      <c r="U242" s="12">
        <f t="shared" si="200"/>
        <v>16</v>
      </c>
      <c r="V242" s="90">
        <v>45040</v>
      </c>
    </row>
    <row r="243" spans="1:22" x14ac:dyDescent="0.15">
      <c r="A243" s="24"/>
      <c r="B243" s="9"/>
      <c r="C243" s="10"/>
      <c r="D243" s="11"/>
      <c r="E243" s="12">
        <f t="shared" si="201"/>
        <v>0</v>
      </c>
      <c r="F243" s="9"/>
      <c r="G243" s="10"/>
      <c r="H243" s="11"/>
      <c r="I243" s="67">
        <f t="shared" si="202"/>
        <v>0</v>
      </c>
      <c r="J243" s="12">
        <f t="shared" si="203"/>
        <v>0</v>
      </c>
      <c r="L243" s="22" t="s">
        <v>196</v>
      </c>
      <c r="M243" s="9">
        <v>155</v>
      </c>
      <c r="N243" s="10">
        <v>190</v>
      </c>
      <c r="O243" s="11">
        <v>85</v>
      </c>
      <c r="P243" s="12">
        <f t="shared" si="198"/>
        <v>430</v>
      </c>
      <c r="Q243" s="9">
        <v>155</v>
      </c>
      <c r="R243" s="10">
        <v>190</v>
      </c>
      <c r="S243" s="11">
        <v>85</v>
      </c>
      <c r="T243" s="67">
        <f t="shared" si="199"/>
        <v>430</v>
      </c>
      <c r="U243" s="12">
        <f t="shared" si="200"/>
        <v>860</v>
      </c>
      <c r="V243" s="90">
        <v>45042</v>
      </c>
    </row>
    <row r="244" spans="1:22" x14ac:dyDescent="0.15">
      <c r="A244" s="22"/>
      <c r="B244" s="9"/>
      <c r="C244" s="10"/>
      <c r="D244" s="11"/>
      <c r="E244" s="12">
        <f t="shared" si="201"/>
        <v>0</v>
      </c>
      <c r="F244" s="9"/>
      <c r="G244" s="10"/>
      <c r="H244" s="11"/>
      <c r="I244" s="67">
        <f t="shared" si="202"/>
        <v>0</v>
      </c>
      <c r="J244" s="12">
        <f t="shared" si="203"/>
        <v>0</v>
      </c>
      <c r="L244" s="104" t="s">
        <v>38</v>
      </c>
      <c r="M244" s="9">
        <v>3</v>
      </c>
      <c r="N244" s="10"/>
      <c r="O244" s="11">
        <v>3</v>
      </c>
      <c r="P244" s="12">
        <f t="shared" si="198"/>
        <v>6</v>
      </c>
      <c r="Q244" s="9">
        <v>3</v>
      </c>
      <c r="R244" s="10"/>
      <c r="S244" s="11">
        <v>3</v>
      </c>
      <c r="T244" s="67">
        <f t="shared" si="199"/>
        <v>6</v>
      </c>
      <c r="U244" s="12">
        <f t="shared" si="200"/>
        <v>12</v>
      </c>
      <c r="V244" s="90">
        <v>45042</v>
      </c>
    </row>
    <row r="245" spans="1:22" x14ac:dyDescent="0.15">
      <c r="A245" s="24"/>
      <c r="B245" s="9"/>
      <c r="C245" s="10"/>
      <c r="D245" s="11"/>
      <c r="E245" s="12">
        <f t="shared" si="201"/>
        <v>0</v>
      </c>
      <c r="F245" s="9"/>
      <c r="G245" s="10"/>
      <c r="H245" s="11"/>
      <c r="I245" s="67">
        <f t="shared" si="202"/>
        <v>0</v>
      </c>
      <c r="J245" s="12">
        <f t="shared" si="203"/>
        <v>0</v>
      </c>
      <c r="L245" s="24" t="s">
        <v>167</v>
      </c>
      <c r="M245" s="9">
        <v>1</v>
      </c>
      <c r="N245" s="10"/>
      <c r="O245" s="11">
        <v>4</v>
      </c>
      <c r="P245" s="12">
        <f t="shared" si="198"/>
        <v>5</v>
      </c>
      <c r="Q245" s="9">
        <v>1</v>
      </c>
      <c r="R245" s="10"/>
      <c r="S245" s="11">
        <v>4</v>
      </c>
      <c r="T245" s="67">
        <f t="shared" si="199"/>
        <v>5</v>
      </c>
      <c r="U245" s="12">
        <f t="shared" si="200"/>
        <v>10</v>
      </c>
      <c r="V245" s="90">
        <v>45043</v>
      </c>
    </row>
    <row r="246" spans="1:22" x14ac:dyDescent="0.15">
      <c r="A246" s="24"/>
      <c r="B246" s="9"/>
      <c r="C246" s="10"/>
      <c r="D246" s="11"/>
      <c r="E246" s="12">
        <f t="shared" si="201"/>
        <v>0</v>
      </c>
      <c r="F246" s="9"/>
      <c r="G246" s="10"/>
      <c r="H246" s="11"/>
      <c r="I246" s="67">
        <f t="shared" si="202"/>
        <v>0</v>
      </c>
      <c r="J246" s="12">
        <f t="shared" si="203"/>
        <v>0</v>
      </c>
      <c r="L246" s="24"/>
      <c r="M246" s="9"/>
      <c r="N246" s="10"/>
      <c r="O246" s="11"/>
      <c r="P246" s="12">
        <f t="shared" si="198"/>
        <v>0</v>
      </c>
      <c r="Q246" s="9"/>
      <c r="R246" s="10"/>
      <c r="S246" s="11"/>
      <c r="T246" s="67">
        <f t="shared" si="199"/>
        <v>0</v>
      </c>
      <c r="U246" s="12">
        <f t="shared" si="200"/>
        <v>0</v>
      </c>
    </row>
    <row r="247" spans="1:22" x14ac:dyDescent="0.15">
      <c r="A247" s="21"/>
      <c r="B247" s="9"/>
      <c r="C247" s="10"/>
      <c r="D247" s="11"/>
      <c r="E247" s="12">
        <f t="shared" si="201"/>
        <v>0</v>
      </c>
      <c r="F247" s="9"/>
      <c r="G247" s="10"/>
      <c r="H247" s="11"/>
      <c r="I247" s="67">
        <f t="shared" si="202"/>
        <v>0</v>
      </c>
      <c r="J247" s="12">
        <f t="shared" si="203"/>
        <v>0</v>
      </c>
      <c r="L247" s="21"/>
      <c r="M247" s="9"/>
      <c r="N247" s="10"/>
      <c r="O247" s="11"/>
      <c r="P247" s="12">
        <f t="shared" si="198"/>
        <v>0</v>
      </c>
      <c r="Q247" s="9"/>
      <c r="R247" s="10"/>
      <c r="S247" s="11"/>
      <c r="T247" s="67">
        <f t="shared" si="199"/>
        <v>0</v>
      </c>
      <c r="U247" s="12">
        <f t="shared" si="200"/>
        <v>0</v>
      </c>
    </row>
    <row r="248" spans="1:22" x14ac:dyDescent="0.15">
      <c r="A248" s="21"/>
      <c r="B248" s="9"/>
      <c r="C248" s="10"/>
      <c r="D248" s="11"/>
      <c r="E248" s="12">
        <f t="shared" si="201"/>
        <v>0</v>
      </c>
      <c r="F248" s="9"/>
      <c r="G248" s="10"/>
      <c r="H248" s="11"/>
      <c r="I248" s="67">
        <f t="shared" si="202"/>
        <v>0</v>
      </c>
      <c r="J248" s="12">
        <f t="shared" si="203"/>
        <v>0</v>
      </c>
      <c r="L248" s="21"/>
      <c r="M248" s="9"/>
      <c r="N248" s="10"/>
      <c r="O248" s="11"/>
      <c r="P248" s="12">
        <f t="shared" si="198"/>
        <v>0</v>
      </c>
      <c r="Q248" s="9"/>
      <c r="R248" s="10"/>
      <c r="S248" s="11"/>
      <c r="T248" s="67">
        <f t="shared" si="199"/>
        <v>0</v>
      </c>
      <c r="U248" s="12">
        <f t="shared" si="200"/>
        <v>0</v>
      </c>
    </row>
    <row r="249" spans="1:22" x14ac:dyDescent="0.15">
      <c r="A249" s="21"/>
      <c r="B249" s="9"/>
      <c r="C249" s="10"/>
      <c r="D249" s="11"/>
      <c r="E249" s="12">
        <f t="shared" si="201"/>
        <v>0</v>
      </c>
      <c r="F249" s="9"/>
      <c r="G249" s="10"/>
      <c r="H249" s="11"/>
      <c r="I249" s="67">
        <f t="shared" si="202"/>
        <v>0</v>
      </c>
      <c r="J249" s="12">
        <f t="shared" si="203"/>
        <v>0</v>
      </c>
      <c r="L249" s="21"/>
      <c r="M249" s="9"/>
      <c r="N249" s="10"/>
      <c r="O249" s="11"/>
      <c r="P249" s="12">
        <f t="shared" si="198"/>
        <v>0</v>
      </c>
      <c r="Q249" s="9"/>
      <c r="R249" s="10"/>
      <c r="S249" s="11"/>
      <c r="T249" s="67">
        <f t="shared" si="199"/>
        <v>0</v>
      </c>
      <c r="U249" s="12">
        <f t="shared" si="200"/>
        <v>0</v>
      </c>
    </row>
    <row r="250" spans="1:22" x14ac:dyDescent="0.15">
      <c r="A250" s="24"/>
      <c r="B250" s="13"/>
      <c r="C250" s="14"/>
      <c r="D250" s="15"/>
      <c r="E250" s="12">
        <f t="shared" si="201"/>
        <v>0</v>
      </c>
      <c r="F250" s="13"/>
      <c r="G250" s="14"/>
      <c r="H250" s="15"/>
      <c r="I250" s="67">
        <f t="shared" si="202"/>
        <v>0</v>
      </c>
      <c r="J250" s="12">
        <f t="shared" si="203"/>
        <v>0</v>
      </c>
      <c r="L250" s="22" t="s">
        <v>186</v>
      </c>
      <c r="M250" s="9"/>
      <c r="N250" s="10"/>
      <c r="O250" s="11"/>
      <c r="P250" s="12">
        <f t="shared" ref="P250" si="207">SUM(M250:O250)</f>
        <v>0</v>
      </c>
      <c r="Q250" s="9"/>
      <c r="R250" s="10"/>
      <c r="S250" s="11"/>
      <c r="T250" s="67">
        <f t="shared" ref="T250" si="208">SUM(Q250:S250)</f>
        <v>0</v>
      </c>
      <c r="U250" s="12">
        <f t="shared" ref="U250" si="209">P250+T250</f>
        <v>0</v>
      </c>
      <c r="V250" s="89" t="s">
        <v>48</v>
      </c>
    </row>
    <row r="251" spans="1:22" x14ac:dyDescent="0.15">
      <c r="A251" s="24"/>
      <c r="B251" s="9"/>
      <c r="C251" s="10"/>
      <c r="D251" s="11"/>
      <c r="E251" s="12">
        <f t="shared" si="201"/>
        <v>0</v>
      </c>
      <c r="F251" s="9"/>
      <c r="G251" s="10"/>
      <c r="H251" s="11"/>
      <c r="I251" s="67">
        <f t="shared" si="202"/>
        <v>0</v>
      </c>
      <c r="J251" s="12">
        <f t="shared" si="203"/>
        <v>0</v>
      </c>
      <c r="L251" s="22" t="s">
        <v>181</v>
      </c>
      <c r="M251" s="9"/>
      <c r="N251" s="10"/>
      <c r="O251" s="11"/>
      <c r="P251" s="12">
        <f t="shared" si="198"/>
        <v>0</v>
      </c>
      <c r="Q251" s="9"/>
      <c r="R251" s="10"/>
      <c r="S251" s="11"/>
      <c r="T251" s="67">
        <f t="shared" si="199"/>
        <v>0</v>
      </c>
      <c r="U251" s="12">
        <f t="shared" si="200"/>
        <v>0</v>
      </c>
      <c r="V251" s="89" t="s">
        <v>182</v>
      </c>
    </row>
    <row r="252" spans="1:22" x14ac:dyDescent="0.15">
      <c r="A252" s="7"/>
      <c r="B252" s="9"/>
      <c r="C252" s="10"/>
      <c r="D252" s="11"/>
      <c r="E252" s="12">
        <f t="shared" si="201"/>
        <v>0</v>
      </c>
      <c r="F252" s="9"/>
      <c r="G252" s="52"/>
      <c r="H252" s="11"/>
      <c r="I252" s="67">
        <f t="shared" si="202"/>
        <v>0</v>
      </c>
      <c r="J252" s="12">
        <f t="shared" si="203"/>
        <v>0</v>
      </c>
      <c r="L252" s="22" t="s">
        <v>183</v>
      </c>
      <c r="M252" s="9"/>
      <c r="N252" s="10"/>
      <c r="O252" s="11"/>
      <c r="P252" s="12">
        <f t="shared" si="198"/>
        <v>0</v>
      </c>
      <c r="Q252" s="9"/>
      <c r="R252" s="10"/>
      <c r="S252" s="11"/>
      <c r="T252" s="67">
        <f t="shared" si="199"/>
        <v>0</v>
      </c>
      <c r="U252" s="12">
        <f t="shared" si="200"/>
        <v>0</v>
      </c>
      <c r="V252" s="89" t="s">
        <v>184</v>
      </c>
    </row>
    <row r="253" spans="1:22" x14ac:dyDescent="0.15">
      <c r="A253" s="59"/>
      <c r="B253" s="9"/>
      <c r="C253" s="10"/>
      <c r="D253" s="11"/>
      <c r="E253" s="12">
        <f t="shared" si="201"/>
        <v>0</v>
      </c>
      <c r="F253" s="9"/>
      <c r="G253" s="10"/>
      <c r="H253" s="11"/>
      <c r="I253" s="67">
        <f t="shared" si="202"/>
        <v>0</v>
      </c>
      <c r="J253" s="12">
        <f t="shared" si="203"/>
        <v>0</v>
      </c>
      <c r="L253" s="97" t="s">
        <v>166</v>
      </c>
      <c r="M253" s="98">
        <v>0</v>
      </c>
      <c r="N253" s="99">
        <v>0</v>
      </c>
      <c r="O253" s="100">
        <v>0</v>
      </c>
      <c r="P253" s="101">
        <f t="shared" ref="P253:P254" si="210">SUM(M253:O253)</f>
        <v>0</v>
      </c>
      <c r="Q253" s="98">
        <v>0</v>
      </c>
      <c r="R253" s="99">
        <v>0</v>
      </c>
      <c r="S253" s="100">
        <v>0</v>
      </c>
      <c r="T253" s="102">
        <f t="shared" ref="T253:T254" si="211">SUM(Q253:S253)</f>
        <v>0</v>
      </c>
      <c r="U253" s="101">
        <f t="shared" ref="U253:U254" si="212">P253+T253</f>
        <v>0</v>
      </c>
      <c r="V253" s="89"/>
    </row>
    <row r="254" spans="1:22" ht="14.25" thickBot="1" x14ac:dyDescent="0.2">
      <c r="A254" s="22"/>
      <c r="B254" s="9"/>
      <c r="C254" s="10"/>
      <c r="D254" s="11"/>
      <c r="E254" s="12">
        <f t="shared" si="201"/>
        <v>0</v>
      </c>
      <c r="F254" s="9"/>
      <c r="G254" s="10"/>
      <c r="H254" s="11"/>
      <c r="I254" s="67">
        <f t="shared" si="202"/>
        <v>0</v>
      </c>
      <c r="J254" s="19">
        <f t="shared" si="203"/>
        <v>0</v>
      </c>
      <c r="L254" s="22" t="s">
        <v>194</v>
      </c>
      <c r="M254" s="9">
        <f>390-25-200-35-130</f>
        <v>0</v>
      </c>
      <c r="N254" s="10">
        <f>375-25-220-20-110</f>
        <v>0</v>
      </c>
      <c r="O254" s="11">
        <f>240-25-200-15</f>
        <v>0</v>
      </c>
      <c r="P254" s="12">
        <f t="shared" si="210"/>
        <v>0</v>
      </c>
      <c r="Q254" s="9">
        <f>390-25-200-35-130</f>
        <v>0</v>
      </c>
      <c r="R254" s="10">
        <f>375-25-220-20-110</f>
        <v>0</v>
      </c>
      <c r="S254" s="11">
        <f>240-25-200-15</f>
        <v>0</v>
      </c>
      <c r="T254" s="67">
        <f t="shared" si="211"/>
        <v>0</v>
      </c>
      <c r="U254" s="12">
        <f t="shared" si="212"/>
        <v>0</v>
      </c>
      <c r="V254" s="89" t="s">
        <v>165</v>
      </c>
    </row>
    <row r="255" spans="1:22" ht="14.25" thickBot="1" x14ac:dyDescent="0.2">
      <c r="A255" s="37" t="s">
        <v>17</v>
      </c>
      <c r="B255" s="38">
        <f>SUM(B229:B254)</f>
        <v>6</v>
      </c>
      <c r="C255" s="39">
        <f>SUM(C229:C254)</f>
        <v>3</v>
      </c>
      <c r="D255" s="40">
        <f>SUM(D229:D254)</f>
        <v>3</v>
      </c>
      <c r="E255" s="41">
        <f>SUM(B255:D255)</f>
        <v>12</v>
      </c>
      <c r="F255" s="38">
        <f>SUM(F229:F254)</f>
        <v>6</v>
      </c>
      <c r="G255" s="39">
        <f>SUM(G229:G254)</f>
        <v>5</v>
      </c>
      <c r="H255" s="40">
        <f>SUM(H229:H254)</f>
        <v>5</v>
      </c>
      <c r="I255" s="41">
        <f>SUM(F255:H255)</f>
        <v>16</v>
      </c>
      <c r="J255" s="42">
        <f t="shared" si="203"/>
        <v>28</v>
      </c>
      <c r="L255" s="37" t="s">
        <v>17</v>
      </c>
      <c r="M255" s="38">
        <f>SUM(M229:M254)</f>
        <v>434</v>
      </c>
      <c r="N255" s="39">
        <f>SUM(N229:N254)</f>
        <v>475</v>
      </c>
      <c r="O255" s="40">
        <f>SUM(O229:O254)</f>
        <v>332</v>
      </c>
      <c r="P255" s="41">
        <f>SUM(M255:O255)</f>
        <v>1241</v>
      </c>
      <c r="Q255" s="38">
        <f>SUM(Q229:Q254)</f>
        <v>434</v>
      </c>
      <c r="R255" s="39">
        <f>SUM(R229:R254)</f>
        <v>478</v>
      </c>
      <c r="S255" s="40">
        <f>SUM(S229:S254)</f>
        <v>335</v>
      </c>
      <c r="T255" s="41">
        <f>SUM(Q255:S255)</f>
        <v>1247</v>
      </c>
      <c r="U255" s="42">
        <f t="shared" si="200"/>
        <v>2488</v>
      </c>
    </row>
    <row r="256" spans="1:22" ht="14.25" thickBot="1" x14ac:dyDescent="0.2">
      <c r="A256" s="20" t="s">
        <v>18</v>
      </c>
      <c r="B256" s="63">
        <f>B228-B255</f>
        <v>4</v>
      </c>
      <c r="C256" s="64">
        <f t="shared" ref="C256:E256" si="213">C228-C255</f>
        <v>4</v>
      </c>
      <c r="D256" s="65">
        <f t="shared" si="213"/>
        <v>3</v>
      </c>
      <c r="E256" s="65">
        <f t="shared" si="213"/>
        <v>11</v>
      </c>
      <c r="F256" s="63">
        <f>F228-F255</f>
        <v>4</v>
      </c>
      <c r="G256" s="64">
        <f t="shared" ref="G256:I256" si="214">G228-G255</f>
        <v>5</v>
      </c>
      <c r="H256" s="65">
        <f t="shared" si="214"/>
        <v>4</v>
      </c>
      <c r="I256" s="65">
        <f t="shared" si="214"/>
        <v>13</v>
      </c>
      <c r="J256" s="29">
        <f t="shared" si="203"/>
        <v>24</v>
      </c>
      <c r="L256" s="20" t="s">
        <v>18</v>
      </c>
      <c r="M256" s="63">
        <f>M228-M255</f>
        <v>498</v>
      </c>
      <c r="N256" s="64">
        <f t="shared" ref="N256:P256" si="215">N228-N255</f>
        <v>579</v>
      </c>
      <c r="O256" s="65">
        <f t="shared" si="215"/>
        <v>422</v>
      </c>
      <c r="P256" s="65">
        <f t="shared" si="215"/>
        <v>1499</v>
      </c>
      <c r="Q256" s="63">
        <f>Q228-Q255</f>
        <v>521</v>
      </c>
      <c r="R256" s="64">
        <f t="shared" ref="R256:T256" si="216">R228-R255</f>
        <v>609</v>
      </c>
      <c r="S256" s="65">
        <f t="shared" si="216"/>
        <v>455</v>
      </c>
      <c r="T256" s="65">
        <f t="shared" si="216"/>
        <v>1585</v>
      </c>
      <c r="U256" s="29">
        <f t="shared" si="200"/>
        <v>3084</v>
      </c>
    </row>
    <row r="257" spans="1:22" x14ac:dyDescent="0.15">
      <c r="L257" s="88"/>
      <c r="M257" s="87"/>
      <c r="N257" s="87"/>
      <c r="O257" s="87"/>
    </row>
    <row r="258" spans="1:22" x14ac:dyDescent="0.15">
      <c r="L258" s="96"/>
      <c r="P258" s="106"/>
    </row>
    <row r="259" spans="1:22" ht="19.5" thickBot="1" x14ac:dyDescent="0.25">
      <c r="A259" s="3" t="s">
        <v>21</v>
      </c>
      <c r="B259" s="1"/>
      <c r="C259" s="1"/>
      <c r="D259" s="1"/>
      <c r="E259" s="1"/>
      <c r="F259" s="1"/>
      <c r="G259" s="1"/>
      <c r="H259" s="1"/>
      <c r="I259" s="1"/>
      <c r="J259" s="1"/>
      <c r="L259" s="3" t="s">
        <v>22</v>
      </c>
      <c r="M259" s="1"/>
      <c r="N259" s="1"/>
      <c r="O259" s="1"/>
      <c r="P259" s="1"/>
      <c r="Q259" s="1"/>
      <c r="R259" s="1"/>
      <c r="S259" s="1"/>
      <c r="T259" s="1"/>
      <c r="U259" s="1"/>
    </row>
    <row r="260" spans="1:22" ht="14.25" thickBot="1" x14ac:dyDescent="0.2">
      <c r="A260" s="8" t="s">
        <v>0</v>
      </c>
      <c r="B260" s="227" t="s">
        <v>19</v>
      </c>
      <c r="C260" s="228"/>
      <c r="D260" s="228"/>
      <c r="E260" s="229"/>
      <c r="F260" s="230" t="s">
        <v>20</v>
      </c>
      <c r="G260" s="231"/>
      <c r="H260" s="231"/>
      <c r="I260" s="232"/>
      <c r="J260" s="233" t="s">
        <v>1</v>
      </c>
      <c r="L260" s="8" t="s">
        <v>0</v>
      </c>
      <c r="M260" s="227" t="s">
        <v>19</v>
      </c>
      <c r="N260" s="228"/>
      <c r="O260" s="228"/>
      <c r="P260" s="229"/>
      <c r="Q260" s="230" t="s">
        <v>20</v>
      </c>
      <c r="R260" s="231"/>
      <c r="S260" s="231"/>
      <c r="T260" s="232"/>
      <c r="U260" s="233" t="s">
        <v>1</v>
      </c>
    </row>
    <row r="261" spans="1:22" ht="14.25" thickBot="1" x14ac:dyDescent="0.2">
      <c r="A261" s="8" t="s">
        <v>2</v>
      </c>
      <c r="B261" s="69" t="s">
        <v>3</v>
      </c>
      <c r="C261" s="70" t="s">
        <v>4</v>
      </c>
      <c r="D261" s="71" t="s">
        <v>5</v>
      </c>
      <c r="E261" s="8" t="s">
        <v>6</v>
      </c>
      <c r="F261" s="4" t="s">
        <v>3</v>
      </c>
      <c r="G261" s="5" t="s">
        <v>4</v>
      </c>
      <c r="H261" s="6" t="s">
        <v>5</v>
      </c>
      <c r="I261" s="8" t="s">
        <v>6</v>
      </c>
      <c r="J261" s="234"/>
      <c r="L261" s="8" t="s">
        <v>2</v>
      </c>
      <c r="M261" s="69" t="s">
        <v>3</v>
      </c>
      <c r="N261" s="70" t="s">
        <v>4</v>
      </c>
      <c r="O261" s="71" t="s">
        <v>5</v>
      </c>
      <c r="P261" s="8" t="s">
        <v>6</v>
      </c>
      <c r="Q261" s="4" t="s">
        <v>3</v>
      </c>
      <c r="R261" s="5" t="s">
        <v>4</v>
      </c>
      <c r="S261" s="6" t="s">
        <v>5</v>
      </c>
      <c r="T261" s="8" t="s">
        <v>6</v>
      </c>
      <c r="U261" s="234"/>
    </row>
    <row r="262" spans="1:22" ht="14.25" thickBot="1" x14ac:dyDescent="0.2">
      <c r="A262" s="25" t="s">
        <v>18</v>
      </c>
      <c r="B262" s="26">
        <f>B256</f>
        <v>4</v>
      </c>
      <c r="C262" s="27">
        <f t="shared" ref="C262:D262" si="217">C256</f>
        <v>4</v>
      </c>
      <c r="D262" s="49">
        <f t="shared" si="217"/>
        <v>3</v>
      </c>
      <c r="E262" s="68">
        <f t="shared" ref="E262:E270" si="218">SUM(B262:D262)</f>
        <v>11</v>
      </c>
      <c r="F262" s="26">
        <f>F256</f>
        <v>4</v>
      </c>
      <c r="G262" s="27">
        <f t="shared" ref="G262:H262" si="219">G256</f>
        <v>5</v>
      </c>
      <c r="H262" s="49">
        <f t="shared" si="219"/>
        <v>4</v>
      </c>
      <c r="I262" s="33">
        <f t="shared" ref="I262:I270" si="220">SUM(F262:H262)</f>
        <v>13</v>
      </c>
      <c r="J262" s="33">
        <f>E262+I262</f>
        <v>24</v>
      </c>
      <c r="L262" s="25" t="s">
        <v>18</v>
      </c>
      <c r="M262" s="26">
        <f>M256</f>
        <v>498</v>
      </c>
      <c r="N262" s="27">
        <f t="shared" ref="N262:O262" si="221">N256</f>
        <v>579</v>
      </c>
      <c r="O262" s="49">
        <f t="shared" si="221"/>
        <v>422</v>
      </c>
      <c r="P262" s="68">
        <f t="shared" ref="P262:P270" si="222">SUM(M262:O262)</f>
        <v>1499</v>
      </c>
      <c r="Q262" s="26">
        <f>Q256</f>
        <v>521</v>
      </c>
      <c r="R262" s="27">
        <f t="shared" ref="R262:S262" si="223">R256</f>
        <v>609</v>
      </c>
      <c r="S262" s="49">
        <f t="shared" si="223"/>
        <v>455</v>
      </c>
      <c r="T262" s="33">
        <f t="shared" ref="T262:T270" si="224">SUM(Q262:S262)</f>
        <v>1585</v>
      </c>
      <c r="U262" s="33">
        <f>P262+T262</f>
        <v>3084</v>
      </c>
    </row>
    <row r="263" spans="1:22" x14ac:dyDescent="0.15">
      <c r="A263" s="23" t="s">
        <v>8</v>
      </c>
      <c r="B263" s="47"/>
      <c r="C263" s="48"/>
      <c r="D263" s="72">
        <v>5</v>
      </c>
      <c r="E263" s="42">
        <f t="shared" si="218"/>
        <v>5</v>
      </c>
      <c r="F263" s="38">
        <v>5</v>
      </c>
      <c r="G263" s="39"/>
      <c r="H263" s="40"/>
      <c r="I263" s="66">
        <f t="shared" si="220"/>
        <v>5</v>
      </c>
      <c r="J263" s="57">
        <f t="shared" ref="J263:J270" si="225">E263+I263</f>
        <v>10</v>
      </c>
      <c r="K263" s="90">
        <v>45048</v>
      </c>
      <c r="L263" s="23" t="s">
        <v>8</v>
      </c>
      <c r="M263" s="47"/>
      <c r="N263" s="48"/>
      <c r="O263" s="72"/>
      <c r="P263" s="42">
        <f t="shared" si="222"/>
        <v>0</v>
      </c>
      <c r="Q263" s="38"/>
      <c r="R263" s="39"/>
      <c r="S263" s="40"/>
      <c r="T263" s="66">
        <f t="shared" si="224"/>
        <v>0</v>
      </c>
      <c r="U263" s="57">
        <f t="shared" ref="U263:U270" si="226">P263+T263</f>
        <v>0</v>
      </c>
    </row>
    <row r="264" spans="1:22" x14ac:dyDescent="0.15">
      <c r="A264" s="23" t="s">
        <v>9</v>
      </c>
      <c r="B264" s="9">
        <v>3</v>
      </c>
      <c r="C264" s="10">
        <v>3</v>
      </c>
      <c r="D264" s="44"/>
      <c r="E264" s="12">
        <f t="shared" si="218"/>
        <v>6</v>
      </c>
      <c r="F264" s="9"/>
      <c r="G264" s="10">
        <v>3</v>
      </c>
      <c r="H264" s="44">
        <v>3</v>
      </c>
      <c r="I264" s="12">
        <f t="shared" si="220"/>
        <v>6</v>
      </c>
      <c r="J264" s="12">
        <f t="shared" si="225"/>
        <v>12</v>
      </c>
      <c r="K264" s="90">
        <v>45057</v>
      </c>
      <c r="L264" s="23" t="s">
        <v>9</v>
      </c>
      <c r="M264" s="9"/>
      <c r="N264" s="10"/>
      <c r="O264" s="44"/>
      <c r="P264" s="12">
        <f t="shared" si="222"/>
        <v>0</v>
      </c>
      <c r="Q264" s="9"/>
      <c r="R264" s="10"/>
      <c r="S264" s="44"/>
      <c r="T264" s="12">
        <f t="shared" si="224"/>
        <v>0</v>
      </c>
      <c r="U264" s="12">
        <f t="shared" si="226"/>
        <v>0</v>
      </c>
    </row>
    <row r="265" spans="1:22" x14ac:dyDescent="0.15">
      <c r="A265" s="23" t="s">
        <v>10</v>
      </c>
      <c r="B265" s="16">
        <v>3</v>
      </c>
      <c r="C265" s="17">
        <v>5</v>
      </c>
      <c r="D265" s="43"/>
      <c r="E265" s="12">
        <f t="shared" si="218"/>
        <v>8</v>
      </c>
      <c r="F265" s="16">
        <v>3</v>
      </c>
      <c r="G265" s="17">
        <v>5</v>
      </c>
      <c r="H265" s="43"/>
      <c r="I265" s="12">
        <f t="shared" si="220"/>
        <v>8</v>
      </c>
      <c r="J265" s="12">
        <f t="shared" si="225"/>
        <v>16</v>
      </c>
      <c r="K265" s="90">
        <v>45070</v>
      </c>
      <c r="L265" s="23" t="s">
        <v>10</v>
      </c>
      <c r="M265" s="9"/>
      <c r="N265" s="10"/>
      <c r="O265" s="44"/>
      <c r="P265" s="12">
        <f t="shared" ref="P265" si="227">SUM(M265:O265)</f>
        <v>0</v>
      </c>
      <c r="Q265" s="9"/>
      <c r="R265" s="10"/>
      <c r="S265" s="44"/>
      <c r="T265" s="67">
        <f t="shared" ref="T265" si="228">SUM(Q265:S265)</f>
        <v>0</v>
      </c>
      <c r="U265" s="12">
        <f t="shared" ref="U265" si="229">P265+T265</f>
        <v>0</v>
      </c>
    </row>
    <row r="266" spans="1:22" x14ac:dyDescent="0.15">
      <c r="A266" s="23" t="s">
        <v>11</v>
      </c>
      <c r="B266" s="16"/>
      <c r="C266" s="17"/>
      <c r="D266" s="43">
        <v>5</v>
      </c>
      <c r="E266" s="12">
        <f t="shared" ref="E266" si="230">SUM(B266:D266)</f>
        <v>5</v>
      </c>
      <c r="F266" s="16"/>
      <c r="G266" s="17"/>
      <c r="H266" s="43">
        <v>5</v>
      </c>
      <c r="I266" s="12">
        <f t="shared" ref="I266" si="231">SUM(F266:H266)</f>
        <v>5</v>
      </c>
      <c r="J266" s="12">
        <f t="shared" ref="J266" si="232">E266+I266</f>
        <v>10</v>
      </c>
      <c r="K266" s="90">
        <v>45076</v>
      </c>
      <c r="L266" s="23" t="s">
        <v>11</v>
      </c>
      <c r="M266" s="9"/>
      <c r="N266" s="10"/>
      <c r="O266" s="44"/>
      <c r="P266" s="12">
        <f t="shared" si="222"/>
        <v>0</v>
      </c>
      <c r="Q266" s="9"/>
      <c r="R266" s="10"/>
      <c r="S266" s="44"/>
      <c r="T266" s="67">
        <f t="shared" si="224"/>
        <v>0</v>
      </c>
      <c r="U266" s="12">
        <f t="shared" si="226"/>
        <v>0</v>
      </c>
    </row>
    <row r="267" spans="1:22" x14ac:dyDescent="0.15">
      <c r="A267" s="23" t="s">
        <v>12</v>
      </c>
      <c r="B267" s="9"/>
      <c r="C267" s="10"/>
      <c r="D267" s="44"/>
      <c r="E267" s="12">
        <f t="shared" si="218"/>
        <v>0</v>
      </c>
      <c r="F267" s="9"/>
      <c r="G267" s="10">
        <v>3</v>
      </c>
      <c r="H267" s="44">
        <v>3</v>
      </c>
      <c r="I267" s="67">
        <f t="shared" si="220"/>
        <v>6</v>
      </c>
      <c r="J267" s="12">
        <f t="shared" si="225"/>
        <v>6</v>
      </c>
      <c r="K267" s="90">
        <v>45089</v>
      </c>
      <c r="L267" s="23" t="s">
        <v>12</v>
      </c>
      <c r="M267" s="9"/>
      <c r="N267" s="10"/>
      <c r="O267" s="44"/>
      <c r="P267" s="12">
        <f t="shared" ref="P267" si="233">SUM(M267:O267)</f>
        <v>0</v>
      </c>
      <c r="Q267" s="9"/>
      <c r="R267" s="10"/>
      <c r="S267" s="44"/>
      <c r="T267" s="67">
        <f t="shared" ref="T267" si="234">SUM(Q267:S267)</f>
        <v>0</v>
      </c>
      <c r="U267" s="12">
        <f t="shared" ref="U267" si="235">P267+T267</f>
        <v>0</v>
      </c>
    </row>
    <row r="268" spans="1:22" x14ac:dyDescent="0.15">
      <c r="A268" s="23" t="s">
        <v>13</v>
      </c>
      <c r="B268" s="9"/>
      <c r="C268" s="10">
        <v>5</v>
      </c>
      <c r="D268" s="44"/>
      <c r="E268" s="12">
        <f t="shared" si="218"/>
        <v>5</v>
      </c>
      <c r="F268" s="9"/>
      <c r="G268" s="10">
        <v>5</v>
      </c>
      <c r="H268" s="44"/>
      <c r="I268" s="67">
        <f t="shared" si="220"/>
        <v>5</v>
      </c>
      <c r="J268" s="12">
        <f t="shared" si="225"/>
        <v>10</v>
      </c>
      <c r="K268" s="90">
        <v>45104</v>
      </c>
      <c r="L268" s="23" t="s">
        <v>13</v>
      </c>
      <c r="M268" s="9"/>
      <c r="N268" s="10"/>
      <c r="O268" s="44"/>
      <c r="P268" s="12">
        <f t="shared" si="222"/>
        <v>0</v>
      </c>
      <c r="Q268" s="9"/>
      <c r="R268" s="10"/>
      <c r="S268" s="44"/>
      <c r="T268" s="67">
        <f t="shared" si="224"/>
        <v>0</v>
      </c>
      <c r="U268" s="12">
        <f t="shared" si="226"/>
        <v>0</v>
      </c>
    </row>
    <row r="269" spans="1:22" x14ac:dyDescent="0.15">
      <c r="A269" s="23" t="s">
        <v>14</v>
      </c>
      <c r="B269" s="13"/>
      <c r="C269" s="14"/>
      <c r="D269" s="45"/>
      <c r="E269" s="12">
        <f t="shared" si="218"/>
        <v>0</v>
      </c>
      <c r="F269" s="13"/>
      <c r="G269" s="14"/>
      <c r="H269" s="45"/>
      <c r="I269" s="67">
        <f t="shared" si="220"/>
        <v>0</v>
      </c>
      <c r="J269" s="12">
        <f t="shared" si="225"/>
        <v>0</v>
      </c>
      <c r="L269" s="23" t="s">
        <v>14</v>
      </c>
      <c r="M269" s="13"/>
      <c r="N269" s="14"/>
      <c r="O269" s="45"/>
      <c r="P269" s="12">
        <f t="shared" si="222"/>
        <v>0</v>
      </c>
      <c r="Q269" s="13"/>
      <c r="R269" s="14"/>
      <c r="S269" s="45"/>
      <c r="T269" s="67">
        <f t="shared" si="224"/>
        <v>0</v>
      </c>
      <c r="U269" s="12">
        <f t="shared" si="226"/>
        <v>0</v>
      </c>
    </row>
    <row r="270" spans="1:22" ht="14.25" thickBot="1" x14ac:dyDescent="0.2">
      <c r="A270" s="23" t="s">
        <v>15</v>
      </c>
      <c r="B270" s="30"/>
      <c r="C270" s="31"/>
      <c r="D270" s="46"/>
      <c r="E270" s="12">
        <f t="shared" si="218"/>
        <v>0</v>
      </c>
      <c r="F270" s="30"/>
      <c r="G270" s="31"/>
      <c r="H270" s="46"/>
      <c r="I270" s="67">
        <f t="shared" si="220"/>
        <v>0</v>
      </c>
      <c r="J270" s="19">
        <f t="shared" si="225"/>
        <v>0</v>
      </c>
      <c r="L270" s="23" t="s">
        <v>15</v>
      </c>
      <c r="M270" s="30"/>
      <c r="N270" s="31"/>
      <c r="O270" s="46"/>
      <c r="P270" s="12">
        <f t="shared" si="222"/>
        <v>0</v>
      </c>
      <c r="Q270" s="30"/>
      <c r="R270" s="31"/>
      <c r="S270" s="46"/>
      <c r="T270" s="67">
        <f t="shared" si="224"/>
        <v>0</v>
      </c>
      <c r="U270" s="19">
        <f t="shared" si="226"/>
        <v>0</v>
      </c>
    </row>
    <row r="271" spans="1:22" ht="14.25" thickBot="1" x14ac:dyDescent="0.2">
      <c r="A271" s="32" t="s">
        <v>16</v>
      </c>
      <c r="B271" s="26">
        <f>SUM(B262:B270)</f>
        <v>10</v>
      </c>
      <c r="C271" s="27">
        <f t="shared" ref="C271:J271" si="236">SUM(C262:C270)</f>
        <v>17</v>
      </c>
      <c r="D271" s="49">
        <f t="shared" si="236"/>
        <v>13</v>
      </c>
      <c r="E271" s="75">
        <f t="shared" si="236"/>
        <v>40</v>
      </c>
      <c r="F271" s="26">
        <f t="shared" si="236"/>
        <v>12</v>
      </c>
      <c r="G271" s="27">
        <f t="shared" si="236"/>
        <v>21</v>
      </c>
      <c r="H271" s="49">
        <f t="shared" si="236"/>
        <v>15</v>
      </c>
      <c r="I271" s="74">
        <f t="shared" si="236"/>
        <v>48</v>
      </c>
      <c r="J271" s="29">
        <f t="shared" si="236"/>
        <v>88</v>
      </c>
      <c r="L271" s="32" t="s">
        <v>16</v>
      </c>
      <c r="M271" s="26">
        <f>SUM(M262:M270)</f>
        <v>498</v>
      </c>
      <c r="N271" s="27">
        <f t="shared" ref="N271:U271" si="237">SUM(N262:N270)</f>
        <v>579</v>
      </c>
      <c r="O271" s="49">
        <f t="shared" si="237"/>
        <v>422</v>
      </c>
      <c r="P271" s="75">
        <f t="shared" si="237"/>
        <v>1499</v>
      </c>
      <c r="Q271" s="26">
        <f t="shared" si="237"/>
        <v>521</v>
      </c>
      <c r="R271" s="27">
        <f t="shared" si="237"/>
        <v>609</v>
      </c>
      <c r="S271" s="49">
        <f t="shared" si="237"/>
        <v>455</v>
      </c>
      <c r="T271" s="74">
        <f t="shared" si="237"/>
        <v>1585</v>
      </c>
      <c r="U271" s="29">
        <f t="shared" si="237"/>
        <v>3084</v>
      </c>
    </row>
    <row r="272" spans="1:22" x14ac:dyDescent="0.15">
      <c r="A272" s="22" t="s">
        <v>197</v>
      </c>
      <c r="B272" s="54"/>
      <c r="C272" s="55"/>
      <c r="D272" s="56"/>
      <c r="E272" s="42">
        <f t="shared" ref="E272:E297" si="238">SUM(B272:D272)</f>
        <v>0</v>
      </c>
      <c r="F272" s="54"/>
      <c r="G272" s="55">
        <v>1</v>
      </c>
      <c r="H272" s="56"/>
      <c r="I272" s="66">
        <f t="shared" ref="I272:I297" si="239">SUM(F272:H272)</f>
        <v>1</v>
      </c>
      <c r="J272" s="57">
        <f t="shared" ref="J272:J299" si="240">E272+I272</f>
        <v>1</v>
      </c>
      <c r="K272" s="108">
        <v>45044</v>
      </c>
      <c r="L272" s="22" t="s">
        <v>195</v>
      </c>
      <c r="M272" s="54">
        <v>175</v>
      </c>
      <c r="N272" s="55">
        <v>185</v>
      </c>
      <c r="O272" s="56">
        <v>95</v>
      </c>
      <c r="P272" s="42">
        <f t="shared" ref="P272:P297" si="241">SUM(M272:O272)</f>
        <v>455</v>
      </c>
      <c r="Q272" s="54">
        <v>175</v>
      </c>
      <c r="R272" s="55">
        <v>185</v>
      </c>
      <c r="S272" s="56">
        <v>95</v>
      </c>
      <c r="T272" s="66">
        <f t="shared" ref="T272:T297" si="242">SUM(Q272:S272)</f>
        <v>455</v>
      </c>
      <c r="U272" s="57">
        <f t="shared" ref="U272:U299" si="243">P272+T272</f>
        <v>910</v>
      </c>
      <c r="V272" s="90">
        <v>45043</v>
      </c>
    </row>
    <row r="273" spans="1:22" x14ac:dyDescent="0.15">
      <c r="A273" s="24" t="s">
        <v>199</v>
      </c>
      <c r="B273" s="16">
        <v>1</v>
      </c>
      <c r="C273" s="17">
        <v>1</v>
      </c>
      <c r="D273" s="18">
        <v>2</v>
      </c>
      <c r="E273" s="12">
        <f t="shared" si="238"/>
        <v>4</v>
      </c>
      <c r="F273" s="16">
        <v>1</v>
      </c>
      <c r="G273" s="17">
        <v>1</v>
      </c>
      <c r="H273" s="18">
        <v>2</v>
      </c>
      <c r="I273" s="67">
        <f t="shared" si="239"/>
        <v>4</v>
      </c>
      <c r="J273" s="12">
        <f t="shared" si="240"/>
        <v>8</v>
      </c>
      <c r="K273" s="90">
        <v>45048</v>
      </c>
      <c r="L273" s="24" t="s">
        <v>167</v>
      </c>
      <c r="M273" s="16">
        <v>1</v>
      </c>
      <c r="N273" s="17">
        <v>5</v>
      </c>
      <c r="O273" s="18"/>
      <c r="P273" s="12">
        <f t="shared" si="241"/>
        <v>6</v>
      </c>
      <c r="Q273" s="16">
        <v>1</v>
      </c>
      <c r="R273" s="17">
        <v>5</v>
      </c>
      <c r="S273" s="18"/>
      <c r="T273" s="67">
        <f t="shared" si="242"/>
        <v>6</v>
      </c>
      <c r="U273" s="12">
        <f t="shared" si="243"/>
        <v>12</v>
      </c>
      <c r="V273" s="90">
        <v>45047</v>
      </c>
    </row>
    <row r="274" spans="1:22" x14ac:dyDescent="0.15">
      <c r="A274" s="22" t="s">
        <v>45</v>
      </c>
      <c r="B274" s="9">
        <v>1</v>
      </c>
      <c r="C274" s="10"/>
      <c r="D274" s="11"/>
      <c r="E274" s="12">
        <f t="shared" si="238"/>
        <v>1</v>
      </c>
      <c r="F274" s="9">
        <v>3</v>
      </c>
      <c r="G274" s="10"/>
      <c r="H274" s="11"/>
      <c r="I274" s="67">
        <f t="shared" si="239"/>
        <v>3</v>
      </c>
      <c r="J274" s="12">
        <f t="shared" si="240"/>
        <v>4</v>
      </c>
      <c r="K274" s="108">
        <v>45047</v>
      </c>
      <c r="L274" s="24" t="s">
        <v>167</v>
      </c>
      <c r="M274" s="9">
        <v>2</v>
      </c>
      <c r="N274" s="10">
        <v>2</v>
      </c>
      <c r="O274" s="11"/>
      <c r="P274" s="12">
        <f t="shared" si="241"/>
        <v>4</v>
      </c>
      <c r="Q274" s="9">
        <v>2</v>
      </c>
      <c r="R274" s="10">
        <v>2</v>
      </c>
      <c r="S274" s="11"/>
      <c r="T274" s="67">
        <f t="shared" si="242"/>
        <v>4</v>
      </c>
      <c r="U274" s="12">
        <f t="shared" si="243"/>
        <v>8</v>
      </c>
      <c r="V274" s="90">
        <v>45048</v>
      </c>
    </row>
    <row r="275" spans="1:22" x14ac:dyDescent="0.15">
      <c r="A275" s="22" t="s">
        <v>45</v>
      </c>
      <c r="B275" s="9"/>
      <c r="C275" s="10"/>
      <c r="D275" s="11"/>
      <c r="E275" s="12">
        <f t="shared" si="238"/>
        <v>0</v>
      </c>
      <c r="F275" s="9"/>
      <c r="G275" s="10">
        <v>1</v>
      </c>
      <c r="H275" s="11"/>
      <c r="I275" s="67">
        <f t="shared" si="239"/>
        <v>1</v>
      </c>
      <c r="J275" s="12">
        <f t="shared" si="240"/>
        <v>1</v>
      </c>
      <c r="K275" s="108">
        <v>45054</v>
      </c>
      <c r="L275" s="22" t="s">
        <v>198</v>
      </c>
      <c r="M275" s="9">
        <v>55</v>
      </c>
      <c r="N275" s="10">
        <v>41</v>
      </c>
      <c r="O275" s="11">
        <v>46</v>
      </c>
      <c r="P275" s="12">
        <f t="shared" si="241"/>
        <v>142</v>
      </c>
      <c r="Q275" s="9">
        <v>55</v>
      </c>
      <c r="R275" s="10">
        <v>41</v>
      </c>
      <c r="S275" s="11">
        <v>46</v>
      </c>
      <c r="T275" s="67">
        <f t="shared" si="242"/>
        <v>142</v>
      </c>
      <c r="U275" s="12">
        <f t="shared" si="243"/>
        <v>284</v>
      </c>
      <c r="V275" s="90">
        <v>45048</v>
      </c>
    </row>
    <row r="276" spans="1:22" x14ac:dyDescent="0.15">
      <c r="A276" s="22" t="s">
        <v>45</v>
      </c>
      <c r="B276" s="9"/>
      <c r="C276" s="10"/>
      <c r="D276" s="11"/>
      <c r="E276" s="12">
        <f t="shared" si="238"/>
        <v>0</v>
      </c>
      <c r="F276" s="9">
        <v>1</v>
      </c>
      <c r="G276" s="10"/>
      <c r="H276" s="11"/>
      <c r="I276" s="67">
        <f t="shared" si="239"/>
        <v>1</v>
      </c>
      <c r="J276" s="12">
        <f t="shared" si="240"/>
        <v>1</v>
      </c>
      <c r="K276" s="108">
        <v>45055</v>
      </c>
      <c r="L276" s="104" t="s">
        <v>38</v>
      </c>
      <c r="M276" s="9"/>
      <c r="N276" s="10"/>
      <c r="O276" s="11">
        <v>5</v>
      </c>
      <c r="P276" s="12">
        <f t="shared" si="241"/>
        <v>5</v>
      </c>
      <c r="Q276" s="9">
        <v>5</v>
      </c>
      <c r="R276" s="10"/>
      <c r="S276" s="11"/>
      <c r="T276" s="67">
        <f t="shared" si="242"/>
        <v>5</v>
      </c>
      <c r="U276" s="12">
        <f t="shared" si="243"/>
        <v>10</v>
      </c>
      <c r="V276" s="90">
        <v>45048</v>
      </c>
    </row>
    <row r="277" spans="1:22" x14ac:dyDescent="0.15">
      <c r="A277" s="22" t="s">
        <v>45</v>
      </c>
      <c r="B277" s="9">
        <v>1</v>
      </c>
      <c r="C277" s="10"/>
      <c r="D277" s="11"/>
      <c r="E277" s="12">
        <f t="shared" si="238"/>
        <v>1</v>
      </c>
      <c r="F277" s="9"/>
      <c r="G277" s="10"/>
      <c r="H277" s="11"/>
      <c r="I277" s="67">
        <f t="shared" si="239"/>
        <v>0</v>
      </c>
      <c r="J277" s="12">
        <f t="shared" si="240"/>
        <v>1</v>
      </c>
      <c r="K277" s="108">
        <v>45056</v>
      </c>
      <c r="L277" s="24" t="s">
        <v>167</v>
      </c>
      <c r="M277" s="9">
        <v>3</v>
      </c>
      <c r="N277" s="10">
        <v>1</v>
      </c>
      <c r="O277" s="11"/>
      <c r="P277" s="12">
        <f t="shared" si="241"/>
        <v>4</v>
      </c>
      <c r="Q277" s="9">
        <v>3</v>
      </c>
      <c r="R277" s="10">
        <v>1</v>
      </c>
      <c r="S277" s="11"/>
      <c r="T277" s="67">
        <f t="shared" si="242"/>
        <v>4</v>
      </c>
      <c r="U277" s="12">
        <f t="shared" si="243"/>
        <v>8</v>
      </c>
      <c r="V277" s="90">
        <v>45054</v>
      </c>
    </row>
    <row r="278" spans="1:22" x14ac:dyDescent="0.15">
      <c r="A278" s="24" t="s">
        <v>167</v>
      </c>
      <c r="B278" s="9"/>
      <c r="C278" s="10"/>
      <c r="D278" s="11">
        <v>1</v>
      </c>
      <c r="E278" s="12">
        <f t="shared" si="238"/>
        <v>1</v>
      </c>
      <c r="F278" s="9"/>
      <c r="G278" s="10"/>
      <c r="H278" s="11">
        <v>1</v>
      </c>
      <c r="I278" s="67">
        <f t="shared" si="239"/>
        <v>1</v>
      </c>
      <c r="J278" s="12">
        <f t="shared" si="240"/>
        <v>2</v>
      </c>
      <c r="K278" s="90">
        <v>45058</v>
      </c>
      <c r="L278" s="24" t="s">
        <v>167</v>
      </c>
      <c r="M278" s="9">
        <v>3</v>
      </c>
      <c r="N278" s="10">
        <v>2</v>
      </c>
      <c r="O278" s="11"/>
      <c r="P278" s="12">
        <f t="shared" si="241"/>
        <v>5</v>
      </c>
      <c r="Q278" s="9">
        <v>3</v>
      </c>
      <c r="R278" s="10">
        <v>2</v>
      </c>
      <c r="S278" s="11"/>
      <c r="T278" s="67">
        <f t="shared" si="242"/>
        <v>5</v>
      </c>
      <c r="U278" s="12">
        <f t="shared" si="243"/>
        <v>10</v>
      </c>
      <c r="V278" s="90">
        <v>45055</v>
      </c>
    </row>
    <row r="279" spans="1:22" x14ac:dyDescent="0.15">
      <c r="A279" s="22" t="s">
        <v>200</v>
      </c>
      <c r="B279" s="9"/>
      <c r="C279" s="10">
        <v>1</v>
      </c>
      <c r="D279" s="11"/>
      <c r="E279" s="12">
        <f t="shared" si="238"/>
        <v>1</v>
      </c>
      <c r="F279" s="9"/>
      <c r="G279" s="10">
        <v>1</v>
      </c>
      <c r="H279" s="11"/>
      <c r="I279" s="67">
        <f t="shared" si="239"/>
        <v>1</v>
      </c>
      <c r="J279" s="12">
        <f t="shared" si="240"/>
        <v>2</v>
      </c>
      <c r="K279" s="90">
        <v>45061</v>
      </c>
      <c r="L279" s="24" t="s">
        <v>167</v>
      </c>
      <c r="M279" s="9">
        <v>2</v>
      </c>
      <c r="N279" s="10">
        <v>1</v>
      </c>
      <c r="O279" s="11">
        <v>9</v>
      </c>
      <c r="P279" s="12">
        <f t="shared" si="241"/>
        <v>12</v>
      </c>
      <c r="Q279" s="9">
        <v>2</v>
      </c>
      <c r="R279" s="10">
        <v>1</v>
      </c>
      <c r="S279" s="11">
        <v>9</v>
      </c>
      <c r="T279" s="67">
        <f t="shared" si="242"/>
        <v>12</v>
      </c>
      <c r="U279" s="12">
        <f t="shared" si="243"/>
        <v>24</v>
      </c>
      <c r="V279" s="90">
        <v>45056</v>
      </c>
    </row>
    <row r="280" spans="1:22" x14ac:dyDescent="0.15">
      <c r="A280" s="24" t="s">
        <v>167</v>
      </c>
      <c r="B280" s="9">
        <v>1</v>
      </c>
      <c r="C280" s="10"/>
      <c r="D280" s="11"/>
      <c r="E280" s="12">
        <f t="shared" si="238"/>
        <v>1</v>
      </c>
      <c r="F280" s="9">
        <v>1</v>
      </c>
      <c r="G280" s="10"/>
      <c r="H280" s="11"/>
      <c r="I280" s="67">
        <f t="shared" si="239"/>
        <v>1</v>
      </c>
      <c r="J280" s="12">
        <f t="shared" si="240"/>
        <v>2</v>
      </c>
      <c r="K280" s="90">
        <v>45063</v>
      </c>
      <c r="L280" s="24" t="s">
        <v>167</v>
      </c>
      <c r="M280" s="9">
        <v>2</v>
      </c>
      <c r="N280" s="10"/>
      <c r="O280" s="11">
        <v>3</v>
      </c>
      <c r="P280" s="12">
        <f t="shared" si="241"/>
        <v>5</v>
      </c>
      <c r="Q280" s="9">
        <v>2</v>
      </c>
      <c r="R280" s="10"/>
      <c r="S280" s="11">
        <v>3</v>
      </c>
      <c r="T280" s="67">
        <f t="shared" si="242"/>
        <v>5</v>
      </c>
      <c r="U280" s="12">
        <f t="shared" si="243"/>
        <v>10</v>
      </c>
      <c r="V280" s="90">
        <v>45057</v>
      </c>
    </row>
    <row r="281" spans="1:22" x14ac:dyDescent="0.15">
      <c r="A281" s="24" t="s">
        <v>167</v>
      </c>
      <c r="B281" s="13"/>
      <c r="C281" s="14">
        <v>2</v>
      </c>
      <c r="D281" s="15"/>
      <c r="E281" s="12">
        <f t="shared" si="238"/>
        <v>2</v>
      </c>
      <c r="F281" s="13"/>
      <c r="G281" s="14">
        <v>2</v>
      </c>
      <c r="H281" s="15"/>
      <c r="I281" s="67">
        <f t="shared" si="239"/>
        <v>2</v>
      </c>
      <c r="J281" s="12">
        <f t="shared" si="240"/>
        <v>4</v>
      </c>
      <c r="K281" s="90">
        <v>45064</v>
      </c>
      <c r="L281" s="104" t="s">
        <v>38</v>
      </c>
      <c r="M281" s="13">
        <v>3</v>
      </c>
      <c r="N281" s="14">
        <v>3</v>
      </c>
      <c r="O281" s="15"/>
      <c r="P281" s="12">
        <f t="shared" si="241"/>
        <v>6</v>
      </c>
      <c r="Q281" s="13"/>
      <c r="R281" s="14">
        <v>3</v>
      </c>
      <c r="S281" s="15">
        <v>3</v>
      </c>
      <c r="T281" s="67">
        <f t="shared" si="242"/>
        <v>6</v>
      </c>
      <c r="U281" s="12">
        <f t="shared" si="243"/>
        <v>12</v>
      </c>
      <c r="V281" s="90">
        <v>45057</v>
      </c>
    </row>
    <row r="282" spans="1:22" x14ac:dyDescent="0.15">
      <c r="A282" s="22" t="s">
        <v>45</v>
      </c>
      <c r="B282" s="9"/>
      <c r="C282" s="10">
        <v>2</v>
      </c>
      <c r="D282" s="11"/>
      <c r="E282" s="12">
        <f t="shared" si="238"/>
        <v>2</v>
      </c>
      <c r="F282" s="9"/>
      <c r="G282" s="10">
        <v>2</v>
      </c>
      <c r="H282" s="11"/>
      <c r="I282" s="67">
        <f t="shared" si="239"/>
        <v>2</v>
      </c>
      <c r="J282" s="12">
        <f t="shared" si="240"/>
        <v>4</v>
      </c>
      <c r="K282" s="108">
        <v>45066</v>
      </c>
      <c r="L282" s="104" t="s">
        <v>38</v>
      </c>
      <c r="M282" s="9">
        <v>3</v>
      </c>
      <c r="N282" s="10">
        <v>5</v>
      </c>
      <c r="O282" s="11"/>
      <c r="P282" s="12">
        <f t="shared" si="241"/>
        <v>8</v>
      </c>
      <c r="Q282" s="9">
        <v>3</v>
      </c>
      <c r="R282" s="10">
        <v>5</v>
      </c>
      <c r="S282" s="11"/>
      <c r="T282" s="67">
        <f t="shared" si="242"/>
        <v>8</v>
      </c>
      <c r="U282" s="12">
        <f t="shared" si="243"/>
        <v>16</v>
      </c>
      <c r="V282" s="90">
        <v>45070</v>
      </c>
    </row>
    <row r="283" spans="1:22" x14ac:dyDescent="0.15">
      <c r="A283" s="24" t="s">
        <v>167</v>
      </c>
      <c r="B283" s="9"/>
      <c r="C283" s="10"/>
      <c r="D283" s="11">
        <v>1</v>
      </c>
      <c r="E283" s="12">
        <f t="shared" si="238"/>
        <v>1</v>
      </c>
      <c r="F283" s="9"/>
      <c r="G283" s="10"/>
      <c r="H283" s="11">
        <v>1</v>
      </c>
      <c r="I283" s="67">
        <f t="shared" si="239"/>
        <v>1</v>
      </c>
      <c r="J283" s="12">
        <f t="shared" si="240"/>
        <v>2</v>
      </c>
      <c r="K283" s="90">
        <v>45075</v>
      </c>
      <c r="L283" s="104" t="s">
        <v>38</v>
      </c>
      <c r="M283" s="9"/>
      <c r="N283" s="10"/>
      <c r="O283" s="11">
        <v>5</v>
      </c>
      <c r="P283" s="12">
        <f t="shared" si="241"/>
        <v>5</v>
      </c>
      <c r="Q283" s="9"/>
      <c r="R283" s="10"/>
      <c r="S283" s="11">
        <v>5</v>
      </c>
      <c r="T283" s="67">
        <f t="shared" si="242"/>
        <v>5</v>
      </c>
      <c r="U283" s="12">
        <f t="shared" si="243"/>
        <v>10</v>
      </c>
      <c r="V283" s="90">
        <v>45076</v>
      </c>
    </row>
    <row r="284" spans="1:22" x14ac:dyDescent="0.15">
      <c r="A284" s="22" t="s">
        <v>203</v>
      </c>
      <c r="B284" s="9"/>
      <c r="C284" s="10"/>
      <c r="D284" s="11">
        <v>1</v>
      </c>
      <c r="E284" s="12">
        <f t="shared" si="238"/>
        <v>1</v>
      </c>
      <c r="F284" s="9"/>
      <c r="G284" s="10"/>
      <c r="H284" s="11">
        <v>1</v>
      </c>
      <c r="I284" s="67">
        <f t="shared" si="239"/>
        <v>1</v>
      </c>
      <c r="J284" s="12">
        <f t="shared" si="240"/>
        <v>2</v>
      </c>
      <c r="K284" s="90">
        <v>45076</v>
      </c>
      <c r="L284" s="104" t="s">
        <v>38</v>
      </c>
      <c r="M284" s="9"/>
      <c r="N284" s="10"/>
      <c r="O284" s="11"/>
      <c r="P284" s="12">
        <f t="shared" si="241"/>
        <v>0</v>
      </c>
      <c r="Q284" s="9"/>
      <c r="R284" s="10">
        <v>3</v>
      </c>
      <c r="S284" s="11">
        <v>3</v>
      </c>
      <c r="T284" s="67">
        <f t="shared" si="242"/>
        <v>6</v>
      </c>
      <c r="U284" s="12">
        <f t="shared" si="243"/>
        <v>6</v>
      </c>
      <c r="V284" s="90">
        <v>45089</v>
      </c>
    </row>
    <row r="285" spans="1:22" x14ac:dyDescent="0.15">
      <c r="A285" s="22" t="s">
        <v>45</v>
      </c>
      <c r="B285" s="9"/>
      <c r="C285" s="10"/>
      <c r="D285" s="11"/>
      <c r="E285" s="12">
        <f t="shared" si="238"/>
        <v>0</v>
      </c>
      <c r="F285" s="9"/>
      <c r="G285" s="10"/>
      <c r="H285" s="11">
        <v>1</v>
      </c>
      <c r="I285" s="67">
        <f t="shared" si="239"/>
        <v>1</v>
      </c>
      <c r="J285" s="12">
        <f t="shared" si="240"/>
        <v>1</v>
      </c>
      <c r="K285" s="108">
        <v>45075</v>
      </c>
      <c r="L285" s="24" t="s">
        <v>167</v>
      </c>
      <c r="M285" s="9">
        <v>2</v>
      </c>
      <c r="N285" s="10">
        <v>2</v>
      </c>
      <c r="O285" s="11">
        <v>2</v>
      </c>
      <c r="P285" s="12">
        <f t="shared" si="241"/>
        <v>6</v>
      </c>
      <c r="Q285" s="9">
        <v>2</v>
      </c>
      <c r="R285" s="10">
        <v>2</v>
      </c>
      <c r="S285" s="11">
        <v>2</v>
      </c>
      <c r="T285" s="67">
        <f t="shared" si="242"/>
        <v>6</v>
      </c>
      <c r="U285" s="12">
        <f t="shared" si="243"/>
        <v>12</v>
      </c>
      <c r="V285" s="90">
        <v>45100</v>
      </c>
    </row>
    <row r="286" spans="1:22" x14ac:dyDescent="0.15">
      <c r="A286" s="22" t="s">
        <v>203</v>
      </c>
      <c r="B286" s="9"/>
      <c r="C286" s="10"/>
      <c r="D286" s="11">
        <v>1</v>
      </c>
      <c r="E286" s="12">
        <f t="shared" si="238"/>
        <v>1</v>
      </c>
      <c r="F286" s="9"/>
      <c r="G286" s="10"/>
      <c r="H286" s="11">
        <v>1</v>
      </c>
      <c r="I286" s="67">
        <f t="shared" si="239"/>
        <v>1</v>
      </c>
      <c r="J286" s="12">
        <f t="shared" si="240"/>
        <v>2</v>
      </c>
      <c r="K286" s="90">
        <v>45077</v>
      </c>
      <c r="L286" s="104" t="s">
        <v>38</v>
      </c>
      <c r="M286" s="9"/>
      <c r="N286" s="10">
        <v>5</v>
      </c>
      <c r="O286" s="11"/>
      <c r="P286" s="12">
        <f t="shared" si="241"/>
        <v>5</v>
      </c>
      <c r="Q286" s="9"/>
      <c r="R286" s="10">
        <v>5</v>
      </c>
      <c r="S286" s="11"/>
      <c r="T286" s="67">
        <f t="shared" si="242"/>
        <v>5</v>
      </c>
      <c r="U286" s="12">
        <f t="shared" si="243"/>
        <v>10</v>
      </c>
      <c r="V286" s="90">
        <v>45104</v>
      </c>
    </row>
    <row r="287" spans="1:22" x14ac:dyDescent="0.15">
      <c r="A287" s="22" t="s">
        <v>45</v>
      </c>
      <c r="B287" s="9"/>
      <c r="C287" s="10"/>
      <c r="D287" s="11"/>
      <c r="E287" s="12">
        <f t="shared" si="238"/>
        <v>0</v>
      </c>
      <c r="F287" s="9"/>
      <c r="G287" s="10">
        <v>1</v>
      </c>
      <c r="H287" s="11"/>
      <c r="I287" s="67">
        <f t="shared" si="239"/>
        <v>1</v>
      </c>
      <c r="J287" s="12">
        <f t="shared" si="240"/>
        <v>1</v>
      </c>
      <c r="K287" s="108">
        <v>45076</v>
      </c>
      <c r="L287" s="24" t="s">
        <v>167</v>
      </c>
      <c r="M287" s="9"/>
      <c r="N287" s="10">
        <v>2</v>
      </c>
      <c r="O287" s="11">
        <v>4</v>
      </c>
      <c r="P287" s="12">
        <f t="shared" si="241"/>
        <v>6</v>
      </c>
      <c r="Q287" s="9"/>
      <c r="R287" s="10">
        <v>2</v>
      </c>
      <c r="S287" s="11">
        <v>4</v>
      </c>
      <c r="T287" s="67">
        <f t="shared" si="242"/>
        <v>6</v>
      </c>
      <c r="U287" s="12">
        <f t="shared" si="243"/>
        <v>12</v>
      </c>
      <c r="V287" s="90">
        <v>45111</v>
      </c>
    </row>
    <row r="288" spans="1:22" x14ac:dyDescent="0.15">
      <c r="A288" s="22" t="s">
        <v>203</v>
      </c>
      <c r="B288" s="9"/>
      <c r="C288" s="10"/>
      <c r="D288" s="11">
        <v>1</v>
      </c>
      <c r="E288" s="12">
        <f t="shared" si="238"/>
        <v>1</v>
      </c>
      <c r="F288" s="9"/>
      <c r="G288" s="10"/>
      <c r="H288" s="11">
        <v>1</v>
      </c>
      <c r="I288" s="67">
        <f t="shared" si="239"/>
        <v>1</v>
      </c>
      <c r="J288" s="12">
        <f t="shared" si="240"/>
        <v>2</v>
      </c>
      <c r="K288" s="90">
        <v>45083</v>
      </c>
      <c r="L288" s="24"/>
      <c r="M288" s="9"/>
      <c r="N288" s="10"/>
      <c r="O288" s="11"/>
      <c r="P288" s="12">
        <f t="shared" si="241"/>
        <v>0</v>
      </c>
      <c r="Q288" s="9"/>
      <c r="R288" s="10"/>
      <c r="S288" s="11"/>
      <c r="T288" s="67">
        <f t="shared" si="242"/>
        <v>0</v>
      </c>
      <c r="U288" s="12">
        <f t="shared" si="243"/>
        <v>0</v>
      </c>
    </row>
    <row r="289" spans="1:23" x14ac:dyDescent="0.15">
      <c r="A289" s="22" t="s">
        <v>45</v>
      </c>
      <c r="B289" s="9"/>
      <c r="C289" s="10"/>
      <c r="D289" s="11">
        <v>1</v>
      </c>
      <c r="E289" s="12">
        <f t="shared" si="238"/>
        <v>1</v>
      </c>
      <c r="F289" s="9"/>
      <c r="G289" s="10">
        <v>1</v>
      </c>
      <c r="H289" s="11"/>
      <c r="I289" s="67">
        <f t="shared" si="239"/>
        <v>1</v>
      </c>
      <c r="J289" s="12">
        <f t="shared" si="240"/>
        <v>2</v>
      </c>
      <c r="K289" s="108">
        <v>45084</v>
      </c>
      <c r="L289" s="24"/>
      <c r="M289" s="9"/>
      <c r="N289" s="10"/>
      <c r="O289" s="11"/>
      <c r="P289" s="12">
        <f t="shared" si="241"/>
        <v>0</v>
      </c>
      <c r="Q289" s="9"/>
      <c r="R289" s="10"/>
      <c r="S289" s="11"/>
      <c r="T289" s="67">
        <f t="shared" si="242"/>
        <v>0</v>
      </c>
      <c r="U289" s="12">
        <f t="shared" si="243"/>
        <v>0</v>
      </c>
    </row>
    <row r="290" spans="1:23" x14ac:dyDescent="0.15">
      <c r="A290" s="22" t="s">
        <v>203</v>
      </c>
      <c r="B290" s="9"/>
      <c r="C290" s="10">
        <v>1</v>
      </c>
      <c r="D290" s="11"/>
      <c r="E290" s="12">
        <f t="shared" si="238"/>
        <v>1</v>
      </c>
      <c r="F290" s="9"/>
      <c r="G290" s="10">
        <v>1</v>
      </c>
      <c r="H290" s="11"/>
      <c r="I290" s="67">
        <f t="shared" si="239"/>
        <v>1</v>
      </c>
      <c r="J290" s="12">
        <f t="shared" si="240"/>
        <v>2</v>
      </c>
      <c r="K290" s="90">
        <v>45089</v>
      </c>
      <c r="L290" s="21"/>
      <c r="M290" s="9"/>
      <c r="N290" s="10"/>
      <c r="O290" s="11"/>
      <c r="P290" s="12">
        <f t="shared" si="241"/>
        <v>0</v>
      </c>
      <c r="Q290" s="9"/>
      <c r="R290" s="10"/>
      <c r="S290" s="11"/>
      <c r="T290" s="67">
        <f t="shared" si="242"/>
        <v>0</v>
      </c>
      <c r="U290" s="12">
        <f t="shared" si="243"/>
        <v>0</v>
      </c>
    </row>
    <row r="291" spans="1:23" x14ac:dyDescent="0.15">
      <c r="A291" s="21" t="s">
        <v>204</v>
      </c>
      <c r="B291" s="9"/>
      <c r="C291" s="10">
        <v>1</v>
      </c>
      <c r="D291" s="11"/>
      <c r="E291" s="12">
        <f t="shared" si="238"/>
        <v>1</v>
      </c>
      <c r="F291" s="9"/>
      <c r="G291" s="10"/>
      <c r="H291" s="11">
        <v>1</v>
      </c>
      <c r="I291" s="67">
        <f t="shared" si="239"/>
        <v>1</v>
      </c>
      <c r="J291" s="12">
        <f t="shared" si="240"/>
        <v>2</v>
      </c>
      <c r="K291" s="90">
        <v>45090</v>
      </c>
      <c r="L291" s="21"/>
      <c r="M291" s="9"/>
      <c r="N291" s="10"/>
      <c r="O291" s="11"/>
      <c r="P291" s="12">
        <f t="shared" si="241"/>
        <v>0</v>
      </c>
      <c r="Q291" s="9"/>
      <c r="R291" s="10"/>
      <c r="S291" s="11"/>
      <c r="T291" s="67">
        <f t="shared" si="242"/>
        <v>0</v>
      </c>
      <c r="U291" s="12">
        <f t="shared" si="243"/>
        <v>0</v>
      </c>
    </row>
    <row r="292" spans="1:23" x14ac:dyDescent="0.15">
      <c r="A292" s="22" t="s">
        <v>45</v>
      </c>
      <c r="B292" s="9"/>
      <c r="C292" s="10"/>
      <c r="D292" s="11"/>
      <c r="E292" s="12">
        <f t="shared" si="238"/>
        <v>0</v>
      </c>
      <c r="F292" s="9"/>
      <c r="G292" s="10">
        <v>1</v>
      </c>
      <c r="H292" s="11"/>
      <c r="I292" s="67">
        <f t="shared" si="239"/>
        <v>1</v>
      </c>
      <c r="J292" s="12">
        <f t="shared" si="240"/>
        <v>1</v>
      </c>
      <c r="K292" s="108">
        <v>45089</v>
      </c>
      <c r="L292" s="21"/>
      <c r="M292" s="9"/>
      <c r="N292" s="10"/>
      <c r="O292" s="11"/>
      <c r="P292" s="12">
        <f t="shared" si="241"/>
        <v>0</v>
      </c>
      <c r="Q292" s="9"/>
      <c r="R292" s="10"/>
      <c r="S292" s="11"/>
      <c r="T292" s="67">
        <f t="shared" si="242"/>
        <v>0</v>
      </c>
      <c r="U292" s="12">
        <f t="shared" si="243"/>
        <v>0</v>
      </c>
    </row>
    <row r="293" spans="1:23" x14ac:dyDescent="0.15">
      <c r="A293" s="22" t="s">
        <v>203</v>
      </c>
      <c r="B293" s="13"/>
      <c r="C293" s="14">
        <v>1</v>
      </c>
      <c r="D293" s="15"/>
      <c r="E293" s="12">
        <f t="shared" si="238"/>
        <v>1</v>
      </c>
      <c r="F293" s="13"/>
      <c r="G293" s="14">
        <v>1</v>
      </c>
      <c r="H293" s="15"/>
      <c r="I293" s="67">
        <f t="shared" si="239"/>
        <v>1</v>
      </c>
      <c r="J293" s="12">
        <f t="shared" si="240"/>
        <v>2</v>
      </c>
      <c r="K293" s="90">
        <v>45091</v>
      </c>
      <c r="L293" s="21"/>
      <c r="M293" s="9"/>
      <c r="N293" s="10"/>
      <c r="O293" s="11"/>
      <c r="P293" s="12">
        <f t="shared" ref="P293:P295" si="244">SUM(M293:O293)</f>
        <v>0</v>
      </c>
      <c r="Q293" s="9"/>
      <c r="R293" s="10"/>
      <c r="S293" s="11"/>
      <c r="T293" s="67">
        <f t="shared" ref="T293:T295" si="245">SUM(Q293:S293)</f>
        <v>0</v>
      </c>
      <c r="U293" s="12">
        <f t="shared" ref="U293:U295" si="246">P293+T293</f>
        <v>0</v>
      </c>
    </row>
    <row r="294" spans="1:23" x14ac:dyDescent="0.15">
      <c r="A294" s="22" t="s">
        <v>45</v>
      </c>
      <c r="B294" s="9"/>
      <c r="C294" s="10"/>
      <c r="D294" s="11">
        <v>1</v>
      </c>
      <c r="E294" s="12">
        <f t="shared" si="238"/>
        <v>1</v>
      </c>
      <c r="F294" s="9"/>
      <c r="G294" s="10"/>
      <c r="H294" s="11"/>
      <c r="I294" s="67">
        <f t="shared" si="239"/>
        <v>0</v>
      </c>
      <c r="J294" s="12">
        <f t="shared" si="240"/>
        <v>1</v>
      </c>
      <c r="K294" s="108">
        <v>45103</v>
      </c>
      <c r="L294" s="21"/>
      <c r="M294" s="9"/>
      <c r="N294" s="10"/>
      <c r="O294" s="11"/>
      <c r="P294" s="12">
        <f t="shared" si="244"/>
        <v>0</v>
      </c>
      <c r="Q294" s="9"/>
      <c r="R294" s="10"/>
      <c r="S294" s="11"/>
      <c r="T294" s="67">
        <f t="shared" si="245"/>
        <v>0</v>
      </c>
      <c r="U294" s="12">
        <f t="shared" si="246"/>
        <v>0</v>
      </c>
    </row>
    <row r="295" spans="1:23" x14ac:dyDescent="0.15">
      <c r="A295" s="22" t="s">
        <v>45</v>
      </c>
      <c r="B295" s="9"/>
      <c r="C295" s="10"/>
      <c r="D295" s="11"/>
      <c r="E295" s="12">
        <f t="shared" si="238"/>
        <v>0</v>
      </c>
      <c r="F295" s="9"/>
      <c r="G295" s="10">
        <v>4</v>
      </c>
      <c r="H295" s="11"/>
      <c r="I295" s="67">
        <f t="shared" si="239"/>
        <v>4</v>
      </c>
      <c r="J295" s="12">
        <f t="shared" si="240"/>
        <v>4</v>
      </c>
      <c r="K295" s="108">
        <v>45104</v>
      </c>
      <c r="L295" s="22" t="s">
        <v>201</v>
      </c>
      <c r="M295" s="9"/>
      <c r="N295" s="10"/>
      <c r="O295" s="11"/>
      <c r="P295" s="12">
        <f t="shared" si="244"/>
        <v>0</v>
      </c>
      <c r="Q295" s="9"/>
      <c r="R295" s="10"/>
      <c r="S295" s="11"/>
      <c r="T295" s="67">
        <f t="shared" si="245"/>
        <v>0</v>
      </c>
      <c r="U295" s="12">
        <f t="shared" si="246"/>
        <v>0</v>
      </c>
      <c r="V295" s="89" t="s">
        <v>202</v>
      </c>
    </row>
    <row r="296" spans="1:23" x14ac:dyDescent="0.15">
      <c r="A296" s="22" t="s">
        <v>45</v>
      </c>
      <c r="B296" s="9"/>
      <c r="C296" s="10">
        <v>1</v>
      </c>
      <c r="D296" s="11"/>
      <c r="E296" s="12">
        <f t="shared" si="238"/>
        <v>1</v>
      </c>
      <c r="F296" s="9"/>
      <c r="G296" s="10"/>
      <c r="H296" s="11"/>
      <c r="I296" s="67">
        <f t="shared" si="239"/>
        <v>0</v>
      </c>
      <c r="J296" s="12">
        <f t="shared" si="240"/>
        <v>1</v>
      </c>
      <c r="K296" s="108">
        <v>45110</v>
      </c>
      <c r="L296" s="97" t="s">
        <v>172</v>
      </c>
      <c r="M296" s="98"/>
      <c r="N296" s="99"/>
      <c r="O296" s="100"/>
      <c r="P296" s="101">
        <f t="shared" si="241"/>
        <v>0</v>
      </c>
      <c r="Q296" s="98"/>
      <c r="R296" s="99"/>
      <c r="S296" s="100"/>
      <c r="T296" s="102">
        <f t="shared" si="242"/>
        <v>0</v>
      </c>
      <c r="U296" s="101">
        <f t="shared" si="243"/>
        <v>0</v>
      </c>
      <c r="V296" s="89"/>
      <c r="W296" s="50"/>
    </row>
    <row r="297" spans="1:23" ht="14.25" thickBot="1" x14ac:dyDescent="0.2">
      <c r="A297" s="22" t="s">
        <v>203</v>
      </c>
      <c r="B297" s="9"/>
      <c r="C297" s="10">
        <v>1</v>
      </c>
      <c r="D297" s="11"/>
      <c r="E297" s="12">
        <f t="shared" si="238"/>
        <v>1</v>
      </c>
      <c r="F297" s="9"/>
      <c r="G297" s="10">
        <v>1</v>
      </c>
      <c r="H297" s="11"/>
      <c r="I297" s="67">
        <f t="shared" si="239"/>
        <v>1</v>
      </c>
      <c r="J297" s="19">
        <f t="shared" si="240"/>
        <v>2</v>
      </c>
      <c r="K297" s="90">
        <v>45113</v>
      </c>
      <c r="L297" s="22" t="s">
        <v>171</v>
      </c>
      <c r="M297" s="9"/>
      <c r="N297" s="10"/>
      <c r="O297" s="11"/>
      <c r="P297" s="12">
        <f t="shared" si="241"/>
        <v>0</v>
      </c>
      <c r="Q297" s="9"/>
      <c r="R297" s="10"/>
      <c r="S297" s="11"/>
      <c r="T297" s="67">
        <f t="shared" si="242"/>
        <v>0</v>
      </c>
      <c r="U297" s="12">
        <f t="shared" si="243"/>
        <v>0</v>
      </c>
      <c r="V297" s="89" t="s">
        <v>173</v>
      </c>
      <c r="W297" s="50"/>
    </row>
    <row r="298" spans="1:23" ht="14.25" thickBot="1" x14ac:dyDescent="0.2">
      <c r="A298" s="37" t="s">
        <v>17</v>
      </c>
      <c r="B298" s="38">
        <f>SUM(B272:B297)</f>
        <v>4</v>
      </c>
      <c r="C298" s="39">
        <f>SUM(C272:C297)</f>
        <v>11</v>
      </c>
      <c r="D298" s="40">
        <f>SUM(D272:D297)</f>
        <v>9</v>
      </c>
      <c r="E298" s="41">
        <f>SUM(B298:D298)</f>
        <v>24</v>
      </c>
      <c r="F298" s="38">
        <f>SUM(F272:F297)</f>
        <v>6</v>
      </c>
      <c r="G298" s="39">
        <f>SUM(G272:G297)</f>
        <v>18</v>
      </c>
      <c r="H298" s="40">
        <f>SUM(H272:H297)</f>
        <v>9</v>
      </c>
      <c r="I298" s="41">
        <f>SUM(F298:H298)</f>
        <v>33</v>
      </c>
      <c r="J298" s="42">
        <f t="shared" si="240"/>
        <v>57</v>
      </c>
      <c r="L298" s="37" t="s">
        <v>17</v>
      </c>
      <c r="M298" s="38">
        <f>SUM(M272:M297)</f>
        <v>251</v>
      </c>
      <c r="N298" s="39">
        <f>SUM(N272:N297)</f>
        <v>254</v>
      </c>
      <c r="O298" s="40">
        <f>SUM(O272:O297)</f>
        <v>169</v>
      </c>
      <c r="P298" s="41">
        <f>SUM(M298:O298)</f>
        <v>674</v>
      </c>
      <c r="Q298" s="38">
        <f>SUM(Q272:Q297)</f>
        <v>253</v>
      </c>
      <c r="R298" s="39">
        <f>SUM(R272:R297)</f>
        <v>257</v>
      </c>
      <c r="S298" s="40">
        <f>SUM(S272:S297)</f>
        <v>170</v>
      </c>
      <c r="T298" s="41">
        <f>SUM(Q298:S298)</f>
        <v>680</v>
      </c>
      <c r="U298" s="42">
        <f t="shared" si="243"/>
        <v>1354</v>
      </c>
    </row>
    <row r="299" spans="1:23" ht="14.25" thickBot="1" x14ac:dyDescent="0.2">
      <c r="A299" s="20" t="s">
        <v>18</v>
      </c>
      <c r="B299" s="63">
        <f>B271-B298</f>
        <v>6</v>
      </c>
      <c r="C299" s="64">
        <f t="shared" ref="C299:E299" si="247">C271-C298</f>
        <v>6</v>
      </c>
      <c r="D299" s="65">
        <f t="shared" si="247"/>
        <v>4</v>
      </c>
      <c r="E299" s="65">
        <f t="shared" si="247"/>
        <v>16</v>
      </c>
      <c r="F299" s="63">
        <f>F271-F298</f>
        <v>6</v>
      </c>
      <c r="G299" s="64">
        <f t="shared" ref="G299:I299" si="248">G271-G298</f>
        <v>3</v>
      </c>
      <c r="H299" s="65">
        <f t="shared" si="248"/>
        <v>6</v>
      </c>
      <c r="I299" s="65">
        <f t="shared" si="248"/>
        <v>15</v>
      </c>
      <c r="J299" s="29">
        <f t="shared" si="240"/>
        <v>31</v>
      </c>
      <c r="L299" s="20" t="s">
        <v>18</v>
      </c>
      <c r="M299" s="63">
        <f>M271-M298</f>
        <v>247</v>
      </c>
      <c r="N299" s="64">
        <f t="shared" ref="N299:P299" si="249">N271-N298</f>
        <v>325</v>
      </c>
      <c r="O299" s="65">
        <f t="shared" si="249"/>
        <v>253</v>
      </c>
      <c r="P299" s="65">
        <f t="shared" si="249"/>
        <v>825</v>
      </c>
      <c r="Q299" s="63">
        <f>Q271-Q298</f>
        <v>268</v>
      </c>
      <c r="R299" s="64">
        <f t="shared" ref="R299:T299" si="250">R271-R298</f>
        <v>352</v>
      </c>
      <c r="S299" s="65">
        <f t="shared" si="250"/>
        <v>285</v>
      </c>
      <c r="T299" s="65">
        <f t="shared" si="250"/>
        <v>905</v>
      </c>
      <c r="U299" s="29">
        <f t="shared" si="243"/>
        <v>1730</v>
      </c>
    </row>
    <row r="300" spans="1:23" x14ac:dyDescent="0.15">
      <c r="L300" s="88"/>
      <c r="M300" s="87"/>
      <c r="N300" s="87"/>
      <c r="O300" s="87"/>
    </row>
    <row r="301" spans="1:23" x14ac:dyDescent="0.15">
      <c r="L301" s="96"/>
      <c r="P301" s="109"/>
    </row>
    <row r="302" spans="1:23" ht="19.5" thickBot="1" x14ac:dyDescent="0.25">
      <c r="A302" s="3" t="s">
        <v>21</v>
      </c>
      <c r="B302" s="1"/>
      <c r="C302" s="1"/>
      <c r="D302" s="1"/>
      <c r="E302" s="1"/>
      <c r="F302" s="1"/>
      <c r="G302" s="1"/>
      <c r="H302" s="1"/>
      <c r="I302" s="1"/>
      <c r="J302" s="1"/>
      <c r="L302" s="3" t="s">
        <v>22</v>
      </c>
      <c r="M302" s="1"/>
      <c r="N302" s="1"/>
      <c r="O302" s="1"/>
      <c r="P302" s="1"/>
      <c r="Q302" s="1"/>
      <c r="R302" s="1"/>
      <c r="S302" s="1"/>
      <c r="T302" s="1"/>
      <c r="U302" s="1"/>
    </row>
    <row r="303" spans="1:23" ht="14.25" thickBot="1" x14ac:dyDescent="0.2">
      <c r="A303" s="8" t="s">
        <v>0</v>
      </c>
      <c r="B303" s="227" t="s">
        <v>19</v>
      </c>
      <c r="C303" s="228"/>
      <c r="D303" s="228"/>
      <c r="E303" s="229"/>
      <c r="F303" s="230" t="s">
        <v>20</v>
      </c>
      <c r="G303" s="231"/>
      <c r="H303" s="231"/>
      <c r="I303" s="232"/>
      <c r="J303" s="233" t="s">
        <v>1</v>
      </c>
      <c r="L303" s="8" t="s">
        <v>0</v>
      </c>
      <c r="M303" s="227" t="s">
        <v>19</v>
      </c>
      <c r="N303" s="228"/>
      <c r="O303" s="228"/>
      <c r="P303" s="229"/>
      <c r="Q303" s="230" t="s">
        <v>20</v>
      </c>
      <c r="R303" s="231"/>
      <c r="S303" s="231"/>
      <c r="T303" s="232"/>
      <c r="U303" s="233" t="s">
        <v>1</v>
      </c>
    </row>
    <row r="304" spans="1:23" ht="14.25" thickBot="1" x14ac:dyDescent="0.2">
      <c r="A304" s="8" t="s">
        <v>2</v>
      </c>
      <c r="B304" s="69" t="s">
        <v>3</v>
      </c>
      <c r="C304" s="70" t="s">
        <v>4</v>
      </c>
      <c r="D304" s="71" t="s">
        <v>5</v>
      </c>
      <c r="E304" s="8" t="s">
        <v>6</v>
      </c>
      <c r="F304" s="4" t="s">
        <v>3</v>
      </c>
      <c r="G304" s="5" t="s">
        <v>4</v>
      </c>
      <c r="H304" s="6" t="s">
        <v>5</v>
      </c>
      <c r="I304" s="8" t="s">
        <v>6</v>
      </c>
      <c r="J304" s="234"/>
      <c r="L304" s="8" t="s">
        <v>2</v>
      </c>
      <c r="M304" s="69" t="s">
        <v>3</v>
      </c>
      <c r="N304" s="70" t="s">
        <v>4</v>
      </c>
      <c r="O304" s="71" t="s">
        <v>5</v>
      </c>
      <c r="P304" s="8" t="s">
        <v>6</v>
      </c>
      <c r="Q304" s="4" t="s">
        <v>3</v>
      </c>
      <c r="R304" s="5" t="s">
        <v>4</v>
      </c>
      <c r="S304" s="6" t="s">
        <v>5</v>
      </c>
      <c r="T304" s="8" t="s">
        <v>6</v>
      </c>
      <c r="U304" s="234"/>
    </row>
    <row r="305" spans="1:22" ht="14.25" thickBot="1" x14ac:dyDescent="0.2">
      <c r="A305" s="25" t="s">
        <v>18</v>
      </c>
      <c r="B305" s="26">
        <f>B299</f>
        <v>6</v>
      </c>
      <c r="C305" s="27">
        <f t="shared" ref="C305:D305" si="251">C299</f>
        <v>6</v>
      </c>
      <c r="D305" s="49">
        <f t="shared" si="251"/>
        <v>4</v>
      </c>
      <c r="E305" s="68">
        <f t="shared" ref="E305:E313" si="252">SUM(B305:D305)</f>
        <v>16</v>
      </c>
      <c r="F305" s="26">
        <f>F299</f>
        <v>6</v>
      </c>
      <c r="G305" s="27">
        <f t="shared" ref="G305:H305" si="253">G299</f>
        <v>3</v>
      </c>
      <c r="H305" s="49">
        <f t="shared" si="253"/>
        <v>6</v>
      </c>
      <c r="I305" s="33">
        <f t="shared" ref="I305:I313" si="254">SUM(F305:H305)</f>
        <v>15</v>
      </c>
      <c r="J305" s="33">
        <f>E305+I305</f>
        <v>31</v>
      </c>
      <c r="L305" s="25" t="s">
        <v>18</v>
      </c>
      <c r="M305" s="26">
        <f>M299</f>
        <v>247</v>
      </c>
      <c r="N305" s="27">
        <f t="shared" ref="N305:O305" si="255">N299</f>
        <v>325</v>
      </c>
      <c r="O305" s="49">
        <f t="shared" si="255"/>
        <v>253</v>
      </c>
      <c r="P305" s="68">
        <f t="shared" ref="P305:P313" si="256">SUM(M305:O305)</f>
        <v>825</v>
      </c>
      <c r="Q305" s="26">
        <f>Q299</f>
        <v>268</v>
      </c>
      <c r="R305" s="27">
        <f t="shared" ref="R305:S305" si="257">R299</f>
        <v>352</v>
      </c>
      <c r="S305" s="49">
        <f t="shared" si="257"/>
        <v>285</v>
      </c>
      <c r="T305" s="33">
        <f t="shared" ref="T305:T313" si="258">SUM(Q305:S305)</f>
        <v>905</v>
      </c>
      <c r="U305" s="33">
        <f>P305+T305</f>
        <v>1730</v>
      </c>
    </row>
    <row r="306" spans="1:22" x14ac:dyDescent="0.15">
      <c r="A306" s="23" t="s">
        <v>8</v>
      </c>
      <c r="B306" s="47"/>
      <c r="C306" s="48"/>
      <c r="D306" s="72"/>
      <c r="E306" s="42">
        <f t="shared" si="252"/>
        <v>0</v>
      </c>
      <c r="F306" s="38"/>
      <c r="G306" s="39">
        <v>5</v>
      </c>
      <c r="H306" s="40"/>
      <c r="I306" s="66">
        <f t="shared" si="254"/>
        <v>5</v>
      </c>
      <c r="J306" s="57">
        <f t="shared" ref="J306:J313" si="259">E306+I306</f>
        <v>5</v>
      </c>
      <c r="K306" s="90">
        <v>45118</v>
      </c>
      <c r="L306" s="23" t="s">
        <v>8</v>
      </c>
      <c r="M306" s="47"/>
      <c r="N306" s="48"/>
      <c r="O306" s="72"/>
      <c r="P306" s="42">
        <f t="shared" si="256"/>
        <v>0</v>
      </c>
      <c r="Q306" s="38"/>
      <c r="R306" s="39"/>
      <c r="S306" s="40"/>
      <c r="T306" s="66">
        <f t="shared" si="258"/>
        <v>0</v>
      </c>
      <c r="U306" s="57">
        <f t="shared" ref="U306:U313" si="260">P306+T306</f>
        <v>0</v>
      </c>
    </row>
    <row r="307" spans="1:22" x14ac:dyDescent="0.15">
      <c r="A307" s="23" t="s">
        <v>9</v>
      </c>
      <c r="B307" s="9"/>
      <c r="C307" s="10">
        <v>3</v>
      </c>
      <c r="D307" s="44">
        <v>5</v>
      </c>
      <c r="E307" s="12">
        <f t="shared" si="252"/>
        <v>8</v>
      </c>
      <c r="F307" s="9"/>
      <c r="G307" s="10"/>
      <c r="H307" s="44"/>
      <c r="I307" s="12">
        <f t="shared" si="254"/>
        <v>0</v>
      </c>
      <c r="J307" s="12">
        <f t="shared" si="259"/>
        <v>8</v>
      </c>
      <c r="K307" s="90">
        <v>45157</v>
      </c>
      <c r="L307" s="23" t="s">
        <v>9</v>
      </c>
      <c r="M307" s="9"/>
      <c r="N307" s="10"/>
      <c r="O307" s="44"/>
      <c r="P307" s="12">
        <f t="shared" si="256"/>
        <v>0</v>
      </c>
      <c r="Q307" s="9"/>
      <c r="R307" s="10"/>
      <c r="S307" s="44"/>
      <c r="T307" s="12">
        <f t="shared" si="258"/>
        <v>0</v>
      </c>
      <c r="U307" s="12">
        <f t="shared" si="260"/>
        <v>0</v>
      </c>
    </row>
    <row r="308" spans="1:22" x14ac:dyDescent="0.15">
      <c r="A308" s="23" t="s">
        <v>10</v>
      </c>
      <c r="B308" s="16"/>
      <c r="C308" s="17"/>
      <c r="D308" s="43"/>
      <c r="E308" s="12">
        <f t="shared" si="252"/>
        <v>0</v>
      </c>
      <c r="F308" s="16"/>
      <c r="G308" s="17"/>
      <c r="H308" s="43">
        <v>3</v>
      </c>
      <c r="I308" s="12">
        <f t="shared" si="254"/>
        <v>3</v>
      </c>
      <c r="J308" s="12">
        <f t="shared" si="259"/>
        <v>3</v>
      </c>
      <c r="K308" s="90">
        <v>45159</v>
      </c>
      <c r="L308" s="23" t="s">
        <v>10</v>
      </c>
      <c r="M308" s="9"/>
      <c r="N308" s="10"/>
      <c r="O308" s="44"/>
      <c r="P308" s="12">
        <f t="shared" ref="P308" si="261">SUM(M308:O308)</f>
        <v>0</v>
      </c>
      <c r="Q308" s="9"/>
      <c r="R308" s="10"/>
      <c r="S308" s="44"/>
      <c r="T308" s="67">
        <f t="shared" ref="T308" si="262">SUM(Q308:S308)</f>
        <v>0</v>
      </c>
      <c r="U308" s="12">
        <f t="shared" ref="U308" si="263">P308+T308</f>
        <v>0</v>
      </c>
      <c r="V308" s="89"/>
    </row>
    <row r="309" spans="1:22" x14ac:dyDescent="0.15">
      <c r="A309" s="23" t="s">
        <v>212</v>
      </c>
      <c r="B309" s="16">
        <v>0</v>
      </c>
      <c r="C309" s="17">
        <v>0</v>
      </c>
      <c r="D309" s="43">
        <v>0</v>
      </c>
      <c r="E309" s="12">
        <f t="shared" si="252"/>
        <v>0</v>
      </c>
      <c r="F309" s="16">
        <v>0</v>
      </c>
      <c r="G309" s="17">
        <v>0</v>
      </c>
      <c r="H309" s="43">
        <v>0</v>
      </c>
      <c r="I309" s="12">
        <f t="shared" si="254"/>
        <v>0</v>
      </c>
      <c r="J309" s="12">
        <f t="shared" si="259"/>
        <v>0</v>
      </c>
      <c r="K309" s="108">
        <v>45163</v>
      </c>
      <c r="L309" s="23" t="s">
        <v>11</v>
      </c>
      <c r="M309" s="9"/>
      <c r="N309" s="10"/>
      <c r="O309" s="44"/>
      <c r="P309" s="12">
        <f t="shared" si="256"/>
        <v>0</v>
      </c>
      <c r="Q309" s="9"/>
      <c r="R309" s="10"/>
      <c r="S309" s="44"/>
      <c r="T309" s="67">
        <f t="shared" si="258"/>
        <v>0</v>
      </c>
      <c r="U309" s="12">
        <f t="shared" si="260"/>
        <v>0</v>
      </c>
    </row>
    <row r="310" spans="1:22" x14ac:dyDescent="0.15">
      <c r="A310" s="23" t="s">
        <v>12</v>
      </c>
      <c r="B310" s="9">
        <v>2</v>
      </c>
      <c r="C310" s="10"/>
      <c r="D310" s="44">
        <v>2</v>
      </c>
      <c r="E310" s="12">
        <f t="shared" si="252"/>
        <v>4</v>
      </c>
      <c r="F310" s="9">
        <v>2</v>
      </c>
      <c r="G310" s="10"/>
      <c r="H310" s="44">
        <v>2</v>
      </c>
      <c r="I310" s="67">
        <f t="shared" si="254"/>
        <v>4</v>
      </c>
      <c r="J310" s="12">
        <f t="shared" si="259"/>
        <v>8</v>
      </c>
      <c r="K310" s="90">
        <v>45168</v>
      </c>
      <c r="L310" s="23" t="s">
        <v>12</v>
      </c>
      <c r="M310" s="9"/>
      <c r="N310" s="10"/>
      <c r="O310" s="44"/>
      <c r="P310" s="12">
        <f t="shared" ref="P310" si="264">SUM(M310:O310)</f>
        <v>0</v>
      </c>
      <c r="Q310" s="9"/>
      <c r="R310" s="10"/>
      <c r="S310" s="44"/>
      <c r="T310" s="67">
        <f t="shared" ref="T310" si="265">SUM(Q310:S310)</f>
        <v>0</v>
      </c>
      <c r="U310" s="12">
        <f t="shared" ref="U310" si="266">P310+T310</f>
        <v>0</v>
      </c>
    </row>
    <row r="311" spans="1:22" x14ac:dyDescent="0.15">
      <c r="A311" s="23" t="s">
        <v>13</v>
      </c>
      <c r="B311" s="9">
        <v>1</v>
      </c>
      <c r="C311" s="10"/>
      <c r="D311" s="44"/>
      <c r="E311" s="12">
        <f t="shared" si="252"/>
        <v>1</v>
      </c>
      <c r="F311" s="9"/>
      <c r="G311" s="10">
        <v>1</v>
      </c>
      <c r="H311" s="44"/>
      <c r="I311" s="67">
        <f t="shared" si="254"/>
        <v>1</v>
      </c>
      <c r="J311" s="12">
        <f t="shared" si="259"/>
        <v>2</v>
      </c>
      <c r="K311" s="90">
        <v>45171</v>
      </c>
      <c r="L311" s="23" t="s">
        <v>13</v>
      </c>
      <c r="M311" s="9"/>
      <c r="N311" s="10"/>
      <c r="O311" s="44"/>
      <c r="P311" s="12">
        <f t="shared" si="256"/>
        <v>0</v>
      </c>
      <c r="Q311" s="9"/>
      <c r="R311" s="10"/>
      <c r="S311" s="44"/>
      <c r="T311" s="67">
        <f t="shared" si="258"/>
        <v>0</v>
      </c>
      <c r="U311" s="12">
        <f t="shared" si="260"/>
        <v>0</v>
      </c>
    </row>
    <row r="312" spans="1:22" x14ac:dyDescent="0.15">
      <c r="A312" s="23" t="s">
        <v>14</v>
      </c>
      <c r="B312" s="13"/>
      <c r="C312" s="14">
        <v>3</v>
      </c>
      <c r="D312" s="45">
        <v>3</v>
      </c>
      <c r="E312" s="12">
        <f t="shared" si="252"/>
        <v>6</v>
      </c>
      <c r="F312" s="13"/>
      <c r="G312" s="14">
        <v>3</v>
      </c>
      <c r="H312" s="45">
        <v>3</v>
      </c>
      <c r="I312" s="67">
        <f t="shared" si="254"/>
        <v>6</v>
      </c>
      <c r="J312" s="12">
        <f t="shared" si="259"/>
        <v>12</v>
      </c>
      <c r="K312" s="90">
        <v>45176</v>
      </c>
      <c r="L312" s="23" t="s">
        <v>14</v>
      </c>
      <c r="M312" s="13"/>
      <c r="N312" s="14"/>
      <c r="O312" s="45"/>
      <c r="P312" s="12">
        <f t="shared" si="256"/>
        <v>0</v>
      </c>
      <c r="Q312" s="13"/>
      <c r="R312" s="14"/>
      <c r="S312" s="45"/>
      <c r="T312" s="67">
        <f t="shared" si="258"/>
        <v>0</v>
      </c>
      <c r="U312" s="12">
        <f t="shared" si="260"/>
        <v>0</v>
      </c>
    </row>
    <row r="313" spans="1:22" ht="14.25" thickBot="1" x14ac:dyDescent="0.2">
      <c r="A313" s="23" t="s">
        <v>15</v>
      </c>
      <c r="B313" s="30"/>
      <c r="C313" s="31"/>
      <c r="D313" s="46"/>
      <c r="E313" s="12">
        <f t="shared" si="252"/>
        <v>0</v>
      </c>
      <c r="F313" s="30"/>
      <c r="G313" s="31"/>
      <c r="H313" s="46"/>
      <c r="I313" s="67">
        <f t="shared" si="254"/>
        <v>0</v>
      </c>
      <c r="J313" s="19">
        <f t="shared" si="259"/>
        <v>0</v>
      </c>
      <c r="L313" s="23" t="s">
        <v>15</v>
      </c>
      <c r="M313" s="30"/>
      <c r="N313" s="31"/>
      <c r="O313" s="46"/>
      <c r="P313" s="12">
        <f t="shared" si="256"/>
        <v>0</v>
      </c>
      <c r="Q313" s="30"/>
      <c r="R313" s="31"/>
      <c r="S313" s="46"/>
      <c r="T313" s="67">
        <f t="shared" si="258"/>
        <v>0</v>
      </c>
      <c r="U313" s="19">
        <f t="shared" si="260"/>
        <v>0</v>
      </c>
    </row>
    <row r="314" spans="1:22" ht="14.25" thickBot="1" x14ac:dyDescent="0.2">
      <c r="A314" s="32" t="s">
        <v>16</v>
      </c>
      <c r="B314" s="26">
        <f>SUM(B305:B313)</f>
        <v>9</v>
      </c>
      <c r="C314" s="27">
        <f t="shared" ref="C314:J314" si="267">SUM(C305:C313)</f>
        <v>12</v>
      </c>
      <c r="D314" s="49">
        <f t="shared" si="267"/>
        <v>14</v>
      </c>
      <c r="E314" s="75">
        <f t="shared" si="267"/>
        <v>35</v>
      </c>
      <c r="F314" s="26">
        <f t="shared" si="267"/>
        <v>8</v>
      </c>
      <c r="G314" s="27">
        <f t="shared" si="267"/>
        <v>12</v>
      </c>
      <c r="H314" s="49">
        <f t="shared" si="267"/>
        <v>14</v>
      </c>
      <c r="I314" s="74">
        <f t="shared" si="267"/>
        <v>34</v>
      </c>
      <c r="J314" s="29">
        <f t="shared" si="267"/>
        <v>69</v>
      </c>
      <c r="L314" s="32" t="s">
        <v>16</v>
      </c>
      <c r="M314" s="26">
        <f>SUM(M305:M313)</f>
        <v>247</v>
      </c>
      <c r="N314" s="27">
        <f t="shared" ref="N314:U314" si="268">SUM(N305:N313)</f>
        <v>325</v>
      </c>
      <c r="O314" s="49">
        <f t="shared" si="268"/>
        <v>253</v>
      </c>
      <c r="P314" s="75">
        <f t="shared" si="268"/>
        <v>825</v>
      </c>
      <c r="Q314" s="26">
        <f t="shared" si="268"/>
        <v>268</v>
      </c>
      <c r="R314" s="27">
        <f t="shared" si="268"/>
        <v>352</v>
      </c>
      <c r="S314" s="49">
        <f t="shared" si="268"/>
        <v>285</v>
      </c>
      <c r="T314" s="74">
        <f t="shared" si="268"/>
        <v>905</v>
      </c>
      <c r="U314" s="29">
        <f t="shared" si="268"/>
        <v>1730</v>
      </c>
    </row>
    <row r="315" spans="1:22" x14ac:dyDescent="0.15">
      <c r="A315" s="22" t="s">
        <v>203</v>
      </c>
      <c r="B315" s="54">
        <v>1</v>
      </c>
      <c r="C315" s="55"/>
      <c r="D315" s="56">
        <v>2</v>
      </c>
      <c r="E315" s="42">
        <f t="shared" ref="E315:E340" si="269">SUM(B315:D315)</f>
        <v>3</v>
      </c>
      <c r="F315" s="54">
        <v>1</v>
      </c>
      <c r="G315" s="55"/>
      <c r="H315" s="56">
        <v>2</v>
      </c>
      <c r="I315" s="66">
        <f t="shared" ref="I315:I340" si="270">SUM(F315:H315)</f>
        <v>3</v>
      </c>
      <c r="J315" s="57">
        <f t="shared" ref="J315:J342" si="271">E315+I315</f>
        <v>6</v>
      </c>
      <c r="K315" s="90">
        <v>45114</v>
      </c>
      <c r="L315" s="104" t="s">
        <v>38</v>
      </c>
      <c r="M315" s="54"/>
      <c r="N315" s="55"/>
      <c r="O315" s="56"/>
      <c r="P315" s="42">
        <f t="shared" ref="P315" si="272">SUM(M315:O315)</f>
        <v>0</v>
      </c>
      <c r="Q315" s="54"/>
      <c r="R315" s="55">
        <v>5</v>
      </c>
      <c r="S315" s="56"/>
      <c r="T315" s="66">
        <f t="shared" ref="T315" si="273">SUM(Q315:S315)</f>
        <v>5</v>
      </c>
      <c r="U315" s="57">
        <f t="shared" ref="U315" si="274">P315+T315</f>
        <v>5</v>
      </c>
      <c r="V315" s="90">
        <v>45118</v>
      </c>
    </row>
    <row r="316" spans="1:22" x14ac:dyDescent="0.15">
      <c r="A316" s="22" t="s">
        <v>203</v>
      </c>
      <c r="B316" s="16"/>
      <c r="C316" s="17">
        <v>3</v>
      </c>
      <c r="D316" s="18"/>
      <c r="E316" s="12">
        <f t="shared" si="269"/>
        <v>3</v>
      </c>
      <c r="F316" s="16"/>
      <c r="G316" s="17">
        <v>3</v>
      </c>
      <c r="H316" s="18"/>
      <c r="I316" s="67">
        <f t="shared" si="270"/>
        <v>3</v>
      </c>
      <c r="J316" s="12">
        <f t="shared" si="271"/>
        <v>6</v>
      </c>
      <c r="K316" s="90">
        <v>45118</v>
      </c>
      <c r="L316" s="104" t="s">
        <v>38</v>
      </c>
      <c r="M316" s="16"/>
      <c r="N316" s="17">
        <v>3</v>
      </c>
      <c r="O316" s="18">
        <v>5</v>
      </c>
      <c r="P316" s="12">
        <f t="shared" ref="P316:P339" si="275">SUM(M316:O316)</f>
        <v>8</v>
      </c>
      <c r="Q316" s="16"/>
      <c r="R316" s="17"/>
      <c r="S316" s="18"/>
      <c r="T316" s="67">
        <f t="shared" ref="T316:T339" si="276">SUM(Q316:S316)</f>
        <v>0</v>
      </c>
      <c r="U316" s="12">
        <f t="shared" ref="U316:U342" si="277">P316+T316</f>
        <v>8</v>
      </c>
      <c r="V316" s="90">
        <v>45157</v>
      </c>
    </row>
    <row r="317" spans="1:22" x14ac:dyDescent="0.15">
      <c r="A317" s="22" t="s">
        <v>203</v>
      </c>
      <c r="B317" s="9"/>
      <c r="C317" s="10">
        <v>1</v>
      </c>
      <c r="D317" s="11"/>
      <c r="E317" s="12">
        <f t="shared" si="269"/>
        <v>1</v>
      </c>
      <c r="F317" s="9"/>
      <c r="G317" s="10">
        <v>1</v>
      </c>
      <c r="H317" s="11"/>
      <c r="I317" s="67">
        <f t="shared" si="270"/>
        <v>1</v>
      </c>
      <c r="J317" s="12">
        <f t="shared" si="271"/>
        <v>2</v>
      </c>
      <c r="K317" s="90">
        <v>45122</v>
      </c>
      <c r="L317" s="104" t="s">
        <v>38</v>
      </c>
      <c r="M317" s="9"/>
      <c r="N317" s="10"/>
      <c r="O317" s="11"/>
      <c r="P317" s="12">
        <f t="shared" si="275"/>
        <v>0</v>
      </c>
      <c r="Q317" s="9"/>
      <c r="R317" s="10"/>
      <c r="S317" s="11">
        <v>3</v>
      </c>
      <c r="T317" s="67">
        <f t="shared" si="276"/>
        <v>3</v>
      </c>
      <c r="U317" s="12">
        <f t="shared" si="277"/>
        <v>3</v>
      </c>
      <c r="V317" s="90">
        <v>45159</v>
      </c>
    </row>
    <row r="318" spans="1:22" x14ac:dyDescent="0.15">
      <c r="A318" s="22" t="s">
        <v>203</v>
      </c>
      <c r="B318" s="9"/>
      <c r="C318" s="10"/>
      <c r="D318" s="11">
        <v>1</v>
      </c>
      <c r="E318" s="12">
        <f t="shared" si="269"/>
        <v>1</v>
      </c>
      <c r="F318" s="9"/>
      <c r="G318" s="10"/>
      <c r="H318" s="11">
        <v>1</v>
      </c>
      <c r="I318" s="67">
        <f t="shared" si="270"/>
        <v>1</v>
      </c>
      <c r="J318" s="12">
        <f t="shared" si="271"/>
        <v>2</v>
      </c>
      <c r="K318" s="90">
        <v>45127</v>
      </c>
      <c r="L318" s="104" t="s">
        <v>38</v>
      </c>
      <c r="M318" s="9">
        <v>2</v>
      </c>
      <c r="N318" s="10"/>
      <c r="O318" s="11">
        <v>2</v>
      </c>
      <c r="P318" s="12">
        <f t="shared" si="275"/>
        <v>4</v>
      </c>
      <c r="Q318" s="9">
        <v>2</v>
      </c>
      <c r="R318" s="10"/>
      <c r="S318" s="11">
        <v>2</v>
      </c>
      <c r="T318" s="67">
        <f t="shared" si="276"/>
        <v>4</v>
      </c>
      <c r="U318" s="12">
        <f t="shared" si="277"/>
        <v>8</v>
      </c>
      <c r="V318" s="90">
        <v>45168</v>
      </c>
    </row>
    <row r="319" spans="1:22" x14ac:dyDescent="0.15">
      <c r="A319" s="24" t="s">
        <v>190</v>
      </c>
      <c r="B319" s="9"/>
      <c r="C319" s="10"/>
      <c r="D319" s="11"/>
      <c r="E319" s="12">
        <f t="shared" si="269"/>
        <v>0</v>
      </c>
      <c r="F319" s="9"/>
      <c r="G319" s="10">
        <v>1</v>
      </c>
      <c r="H319" s="11"/>
      <c r="I319" s="67">
        <f t="shared" si="270"/>
        <v>1</v>
      </c>
      <c r="J319" s="12">
        <f t="shared" si="271"/>
        <v>1</v>
      </c>
      <c r="K319" s="90">
        <v>45146</v>
      </c>
      <c r="L319" s="104" t="s">
        <v>38</v>
      </c>
      <c r="M319" s="9">
        <v>1</v>
      </c>
      <c r="N319" s="10"/>
      <c r="O319" s="11"/>
      <c r="P319" s="12">
        <f t="shared" si="275"/>
        <v>1</v>
      </c>
      <c r="Q319" s="9"/>
      <c r="R319" s="10">
        <v>1</v>
      </c>
      <c r="S319" s="11"/>
      <c r="T319" s="67">
        <f t="shared" si="276"/>
        <v>1</v>
      </c>
      <c r="U319" s="12">
        <f t="shared" si="277"/>
        <v>2</v>
      </c>
      <c r="V319" s="90">
        <v>45171</v>
      </c>
    </row>
    <row r="320" spans="1:22" x14ac:dyDescent="0.15">
      <c r="A320" s="22" t="s">
        <v>203</v>
      </c>
      <c r="B320" s="9">
        <v>1</v>
      </c>
      <c r="C320" s="10"/>
      <c r="D320" s="11"/>
      <c r="E320" s="12">
        <f t="shared" si="269"/>
        <v>1</v>
      </c>
      <c r="F320" s="9">
        <v>1</v>
      </c>
      <c r="G320" s="10"/>
      <c r="H320" s="11"/>
      <c r="I320" s="67">
        <f t="shared" si="270"/>
        <v>1</v>
      </c>
      <c r="J320" s="12">
        <f t="shared" si="271"/>
        <v>2</v>
      </c>
      <c r="K320" s="90">
        <v>45156</v>
      </c>
      <c r="L320" s="104" t="s">
        <v>38</v>
      </c>
      <c r="M320" s="9"/>
      <c r="N320" s="10">
        <v>3</v>
      </c>
      <c r="O320" s="11">
        <v>3</v>
      </c>
      <c r="P320" s="12">
        <f t="shared" si="275"/>
        <v>6</v>
      </c>
      <c r="Q320" s="9"/>
      <c r="R320" s="10">
        <v>3</v>
      </c>
      <c r="S320" s="11">
        <v>3</v>
      </c>
      <c r="T320" s="67">
        <f t="shared" si="276"/>
        <v>6</v>
      </c>
      <c r="U320" s="12">
        <f t="shared" si="277"/>
        <v>12</v>
      </c>
      <c r="V320" s="90">
        <v>45176</v>
      </c>
    </row>
    <row r="321" spans="1:22" x14ac:dyDescent="0.15">
      <c r="A321" s="24" t="s">
        <v>211</v>
      </c>
      <c r="B321" s="9"/>
      <c r="C321" s="10"/>
      <c r="D321" s="11">
        <v>2</v>
      </c>
      <c r="E321" s="12">
        <f t="shared" si="269"/>
        <v>2</v>
      </c>
      <c r="F321" s="9"/>
      <c r="G321" s="10"/>
      <c r="H321" s="11">
        <v>2</v>
      </c>
      <c r="I321" s="67">
        <f t="shared" si="270"/>
        <v>2</v>
      </c>
      <c r="J321" s="12">
        <f t="shared" si="271"/>
        <v>4</v>
      </c>
      <c r="K321" s="108">
        <v>45159</v>
      </c>
      <c r="L321" s="24"/>
      <c r="M321" s="9"/>
      <c r="N321" s="10"/>
      <c r="O321" s="11"/>
      <c r="P321" s="12">
        <f t="shared" si="275"/>
        <v>0</v>
      </c>
      <c r="Q321" s="9"/>
      <c r="R321" s="10"/>
      <c r="S321" s="11"/>
      <c r="T321" s="67">
        <f t="shared" si="276"/>
        <v>0</v>
      </c>
      <c r="U321" s="12">
        <f t="shared" si="277"/>
        <v>0</v>
      </c>
      <c r="V321" s="89"/>
    </row>
    <row r="322" spans="1:22" x14ac:dyDescent="0.15">
      <c r="A322" s="22" t="s">
        <v>203</v>
      </c>
      <c r="B322" s="9"/>
      <c r="C322" s="10"/>
      <c r="D322" s="11">
        <v>1</v>
      </c>
      <c r="E322" s="12">
        <f t="shared" si="269"/>
        <v>1</v>
      </c>
      <c r="F322" s="9"/>
      <c r="G322" s="10"/>
      <c r="H322" s="11">
        <v>1</v>
      </c>
      <c r="I322" s="67">
        <f t="shared" si="270"/>
        <v>1</v>
      </c>
      <c r="J322" s="12">
        <f t="shared" si="271"/>
        <v>2</v>
      </c>
      <c r="K322" s="90">
        <v>45162</v>
      </c>
      <c r="L322" s="24"/>
      <c r="M322" s="9"/>
      <c r="N322" s="10"/>
      <c r="O322" s="11"/>
      <c r="P322" s="12">
        <f t="shared" si="275"/>
        <v>0</v>
      </c>
      <c r="Q322" s="9"/>
      <c r="R322" s="10"/>
      <c r="S322" s="11"/>
      <c r="T322" s="67">
        <f t="shared" si="276"/>
        <v>0</v>
      </c>
      <c r="U322" s="12">
        <f t="shared" si="277"/>
        <v>0</v>
      </c>
      <c r="V322" s="89"/>
    </row>
    <row r="323" spans="1:22" x14ac:dyDescent="0.15">
      <c r="A323" s="22" t="s">
        <v>203</v>
      </c>
      <c r="B323" s="9">
        <v>1</v>
      </c>
      <c r="C323" s="10"/>
      <c r="D323" s="11"/>
      <c r="E323" s="12">
        <f t="shared" si="269"/>
        <v>1</v>
      </c>
      <c r="F323" s="9">
        <v>1</v>
      </c>
      <c r="G323" s="10"/>
      <c r="H323" s="11"/>
      <c r="I323" s="67">
        <f t="shared" si="270"/>
        <v>1</v>
      </c>
      <c r="J323" s="12">
        <f t="shared" si="271"/>
        <v>2</v>
      </c>
      <c r="K323" s="90">
        <v>45163</v>
      </c>
      <c r="L323" s="22"/>
      <c r="M323" s="9"/>
      <c r="N323" s="10"/>
      <c r="O323" s="11"/>
      <c r="P323" s="12">
        <f t="shared" si="275"/>
        <v>0</v>
      </c>
      <c r="Q323" s="9"/>
      <c r="R323" s="10"/>
      <c r="S323" s="11"/>
      <c r="T323" s="67">
        <f t="shared" si="276"/>
        <v>0</v>
      </c>
      <c r="U323" s="12">
        <f t="shared" si="277"/>
        <v>0</v>
      </c>
      <c r="V323" s="89"/>
    </row>
    <row r="324" spans="1:22" x14ac:dyDescent="0.15">
      <c r="A324" s="22" t="s">
        <v>203</v>
      </c>
      <c r="B324" s="13"/>
      <c r="C324" s="14"/>
      <c r="D324" s="15">
        <v>1</v>
      </c>
      <c r="E324" s="12">
        <f t="shared" si="269"/>
        <v>1</v>
      </c>
      <c r="F324" s="13"/>
      <c r="G324" s="14"/>
      <c r="H324" s="15">
        <v>1</v>
      </c>
      <c r="I324" s="67">
        <f t="shared" si="270"/>
        <v>1</v>
      </c>
      <c r="J324" s="12">
        <f t="shared" si="271"/>
        <v>2</v>
      </c>
      <c r="K324" s="90">
        <v>45168</v>
      </c>
      <c r="L324" s="24"/>
      <c r="M324" s="13"/>
      <c r="N324" s="14"/>
      <c r="O324" s="15"/>
      <c r="P324" s="12">
        <f t="shared" si="275"/>
        <v>0</v>
      </c>
      <c r="Q324" s="13"/>
      <c r="R324" s="14"/>
      <c r="S324" s="15"/>
      <c r="T324" s="67">
        <f t="shared" si="276"/>
        <v>0</v>
      </c>
      <c r="U324" s="12">
        <f t="shared" si="277"/>
        <v>0</v>
      </c>
      <c r="V324" s="89"/>
    </row>
    <row r="325" spans="1:22" x14ac:dyDescent="0.15">
      <c r="A325" s="22" t="s">
        <v>203</v>
      </c>
      <c r="B325" s="9"/>
      <c r="C325" s="10">
        <v>1</v>
      </c>
      <c r="D325" s="11"/>
      <c r="E325" s="12">
        <f t="shared" si="269"/>
        <v>1</v>
      </c>
      <c r="F325" s="9"/>
      <c r="G325" s="10">
        <v>1</v>
      </c>
      <c r="H325" s="11"/>
      <c r="I325" s="67">
        <f t="shared" si="270"/>
        <v>1</v>
      </c>
      <c r="J325" s="12">
        <f t="shared" si="271"/>
        <v>2</v>
      </c>
      <c r="K325" s="90">
        <v>45174</v>
      </c>
      <c r="L325" s="24"/>
      <c r="M325" s="9"/>
      <c r="N325" s="10"/>
      <c r="O325" s="11"/>
      <c r="P325" s="12">
        <f t="shared" si="275"/>
        <v>0</v>
      </c>
      <c r="Q325" s="9"/>
      <c r="R325" s="10"/>
      <c r="S325" s="11"/>
      <c r="T325" s="67">
        <f t="shared" si="276"/>
        <v>0</v>
      </c>
      <c r="U325" s="12">
        <f t="shared" si="277"/>
        <v>0</v>
      </c>
      <c r="V325" s="89"/>
    </row>
    <row r="326" spans="1:22" x14ac:dyDescent="0.15">
      <c r="A326" s="22" t="s">
        <v>167</v>
      </c>
      <c r="B326" s="9"/>
      <c r="C326" s="10">
        <v>3</v>
      </c>
      <c r="D326" s="11">
        <v>2</v>
      </c>
      <c r="E326" s="12">
        <f t="shared" si="269"/>
        <v>5</v>
      </c>
      <c r="F326" s="9"/>
      <c r="G326" s="10">
        <v>3</v>
      </c>
      <c r="H326" s="11">
        <v>2</v>
      </c>
      <c r="I326" s="67">
        <f t="shared" si="270"/>
        <v>5</v>
      </c>
      <c r="J326" s="12">
        <f t="shared" si="271"/>
        <v>10</v>
      </c>
      <c r="K326" s="90">
        <v>45175</v>
      </c>
      <c r="L326" s="24"/>
      <c r="M326" s="9"/>
      <c r="N326" s="10"/>
      <c r="O326" s="11"/>
      <c r="P326" s="12">
        <f t="shared" si="275"/>
        <v>0</v>
      </c>
      <c r="Q326" s="9"/>
      <c r="R326" s="10"/>
      <c r="S326" s="11"/>
      <c r="T326" s="67">
        <f t="shared" si="276"/>
        <v>0</v>
      </c>
      <c r="U326" s="12">
        <f t="shared" si="277"/>
        <v>0</v>
      </c>
      <c r="V326" s="89"/>
    </row>
    <row r="327" spans="1:22" x14ac:dyDescent="0.15">
      <c r="A327" s="24" t="s">
        <v>45</v>
      </c>
      <c r="B327" s="9"/>
      <c r="C327" s="10"/>
      <c r="D327" s="11"/>
      <c r="E327" s="12">
        <f t="shared" si="269"/>
        <v>0</v>
      </c>
      <c r="F327" s="9"/>
      <c r="G327" s="10"/>
      <c r="H327" s="11">
        <v>1</v>
      </c>
      <c r="I327" s="67">
        <f t="shared" si="270"/>
        <v>1</v>
      </c>
      <c r="J327" s="12">
        <f t="shared" si="271"/>
        <v>1</v>
      </c>
      <c r="K327" s="108">
        <v>45175</v>
      </c>
      <c r="L327" s="22"/>
      <c r="M327" s="9"/>
      <c r="N327" s="10"/>
      <c r="O327" s="11"/>
      <c r="P327" s="12">
        <f t="shared" si="275"/>
        <v>0</v>
      </c>
      <c r="Q327" s="9"/>
      <c r="R327" s="10"/>
      <c r="S327" s="11"/>
      <c r="T327" s="67">
        <f t="shared" si="276"/>
        <v>0</v>
      </c>
      <c r="U327" s="12">
        <f t="shared" si="277"/>
        <v>0</v>
      </c>
      <c r="V327" s="89"/>
    </row>
    <row r="328" spans="1:22" x14ac:dyDescent="0.15">
      <c r="A328" s="24" t="s">
        <v>215</v>
      </c>
      <c r="B328" s="9"/>
      <c r="C328" s="10"/>
      <c r="D328" s="11">
        <v>1</v>
      </c>
      <c r="E328" s="12">
        <f t="shared" si="269"/>
        <v>1</v>
      </c>
      <c r="F328" s="9"/>
      <c r="G328" s="10"/>
      <c r="H328" s="11"/>
      <c r="I328" s="67">
        <f t="shared" si="270"/>
        <v>0</v>
      </c>
      <c r="J328" s="12">
        <f t="shared" si="271"/>
        <v>1</v>
      </c>
      <c r="K328" s="90">
        <v>45181</v>
      </c>
      <c r="L328" s="24"/>
      <c r="M328" s="9"/>
      <c r="N328" s="10"/>
      <c r="O328" s="11"/>
      <c r="P328" s="12">
        <f t="shared" si="275"/>
        <v>0</v>
      </c>
      <c r="Q328" s="9"/>
      <c r="R328" s="10"/>
      <c r="S328" s="11"/>
      <c r="T328" s="67">
        <f t="shared" si="276"/>
        <v>0</v>
      </c>
      <c r="U328" s="12">
        <f t="shared" si="277"/>
        <v>0</v>
      </c>
      <c r="V328" s="89"/>
    </row>
    <row r="329" spans="1:22" x14ac:dyDescent="0.15">
      <c r="A329" s="24" t="s">
        <v>45</v>
      </c>
      <c r="B329" s="9"/>
      <c r="C329" s="10">
        <v>1</v>
      </c>
      <c r="D329" s="11"/>
      <c r="E329" s="12">
        <f t="shared" si="269"/>
        <v>1</v>
      </c>
      <c r="F329" s="9"/>
      <c r="G329" s="10"/>
      <c r="H329" s="11"/>
      <c r="I329" s="67">
        <f t="shared" si="270"/>
        <v>0</v>
      </c>
      <c r="J329" s="12">
        <f t="shared" si="271"/>
        <v>1</v>
      </c>
      <c r="K329" s="108">
        <v>45182</v>
      </c>
      <c r="L329" s="24"/>
      <c r="M329" s="9"/>
      <c r="N329" s="10"/>
      <c r="O329" s="11"/>
      <c r="P329" s="12">
        <f t="shared" si="275"/>
        <v>0</v>
      </c>
      <c r="Q329" s="9"/>
      <c r="R329" s="10"/>
      <c r="S329" s="11"/>
      <c r="T329" s="67">
        <f t="shared" si="276"/>
        <v>0</v>
      </c>
      <c r="U329" s="12">
        <f t="shared" si="277"/>
        <v>0</v>
      </c>
      <c r="V329" s="89"/>
    </row>
    <row r="330" spans="1:22" x14ac:dyDescent="0.15">
      <c r="A330" s="22"/>
      <c r="B330" s="9"/>
      <c r="C330" s="10"/>
      <c r="D330" s="11"/>
      <c r="E330" s="12">
        <f t="shared" si="269"/>
        <v>0</v>
      </c>
      <c r="F330" s="9"/>
      <c r="G330" s="10"/>
      <c r="H330" s="11"/>
      <c r="I330" s="67">
        <f t="shared" si="270"/>
        <v>0</v>
      </c>
      <c r="J330" s="12">
        <f t="shared" si="271"/>
        <v>0</v>
      </c>
      <c r="L330" s="22"/>
      <c r="M330" s="9"/>
      <c r="N330" s="10"/>
      <c r="O330" s="11"/>
      <c r="P330" s="12">
        <f t="shared" si="275"/>
        <v>0</v>
      </c>
      <c r="Q330" s="9"/>
      <c r="R330" s="10"/>
      <c r="S330" s="11"/>
      <c r="T330" s="67">
        <f t="shared" si="276"/>
        <v>0</v>
      </c>
      <c r="U330" s="12">
        <f t="shared" si="277"/>
        <v>0</v>
      </c>
      <c r="V330" s="89"/>
    </row>
    <row r="331" spans="1:22" x14ac:dyDescent="0.15">
      <c r="A331" s="24"/>
      <c r="B331" s="9"/>
      <c r="C331" s="10"/>
      <c r="D331" s="11"/>
      <c r="E331" s="12">
        <f t="shared" si="269"/>
        <v>0</v>
      </c>
      <c r="F331" s="9"/>
      <c r="G331" s="10"/>
      <c r="H331" s="11"/>
      <c r="I331" s="67">
        <f t="shared" si="270"/>
        <v>0</v>
      </c>
      <c r="J331" s="12">
        <f t="shared" si="271"/>
        <v>0</v>
      </c>
      <c r="L331" s="24"/>
      <c r="M331" s="9"/>
      <c r="N331" s="10"/>
      <c r="O331" s="11"/>
      <c r="P331" s="12">
        <f t="shared" si="275"/>
        <v>0</v>
      </c>
      <c r="Q331" s="9"/>
      <c r="R331" s="10"/>
      <c r="S331" s="11"/>
      <c r="T331" s="67">
        <f t="shared" si="276"/>
        <v>0</v>
      </c>
      <c r="U331" s="12">
        <f t="shared" si="277"/>
        <v>0</v>
      </c>
      <c r="V331" s="89"/>
    </row>
    <row r="332" spans="1:22" x14ac:dyDescent="0.15">
      <c r="A332" s="24"/>
      <c r="B332" s="9"/>
      <c r="C332" s="10"/>
      <c r="D332" s="11"/>
      <c r="E332" s="12">
        <f t="shared" si="269"/>
        <v>0</v>
      </c>
      <c r="F332" s="9"/>
      <c r="G332" s="10"/>
      <c r="H332" s="11"/>
      <c r="I332" s="67">
        <f t="shared" si="270"/>
        <v>0</v>
      </c>
      <c r="J332" s="12">
        <f t="shared" si="271"/>
        <v>0</v>
      </c>
      <c r="L332" s="24"/>
      <c r="M332" s="9"/>
      <c r="N332" s="10"/>
      <c r="O332" s="11"/>
      <c r="P332" s="12">
        <f t="shared" si="275"/>
        <v>0</v>
      </c>
      <c r="Q332" s="9"/>
      <c r="R332" s="10"/>
      <c r="S332" s="11"/>
      <c r="T332" s="67">
        <f t="shared" si="276"/>
        <v>0</v>
      </c>
      <c r="U332" s="12">
        <f t="shared" si="277"/>
        <v>0</v>
      </c>
      <c r="V332" s="89"/>
    </row>
    <row r="333" spans="1:22" x14ac:dyDescent="0.15">
      <c r="A333" s="21"/>
      <c r="B333" s="9"/>
      <c r="C333" s="10"/>
      <c r="D333" s="11"/>
      <c r="E333" s="12">
        <f t="shared" si="269"/>
        <v>0</v>
      </c>
      <c r="F333" s="9"/>
      <c r="G333" s="10"/>
      <c r="H333" s="11"/>
      <c r="I333" s="67">
        <f t="shared" si="270"/>
        <v>0</v>
      </c>
      <c r="J333" s="12">
        <f t="shared" si="271"/>
        <v>0</v>
      </c>
      <c r="L333" s="21"/>
      <c r="M333" s="9"/>
      <c r="N333" s="10"/>
      <c r="O333" s="11"/>
      <c r="P333" s="12">
        <f t="shared" si="275"/>
        <v>0</v>
      </c>
      <c r="Q333" s="9"/>
      <c r="R333" s="10"/>
      <c r="S333" s="11"/>
      <c r="T333" s="67">
        <f t="shared" si="276"/>
        <v>0</v>
      </c>
      <c r="U333" s="12">
        <f t="shared" si="277"/>
        <v>0</v>
      </c>
      <c r="V333" s="89"/>
    </row>
    <row r="334" spans="1:22" x14ac:dyDescent="0.15">
      <c r="A334" s="21"/>
      <c r="B334" s="9"/>
      <c r="C334" s="10"/>
      <c r="D334" s="11"/>
      <c r="E334" s="12">
        <f t="shared" si="269"/>
        <v>0</v>
      </c>
      <c r="F334" s="9"/>
      <c r="G334" s="10"/>
      <c r="H334" s="11"/>
      <c r="I334" s="67">
        <f t="shared" si="270"/>
        <v>0</v>
      </c>
      <c r="J334" s="12">
        <f t="shared" si="271"/>
        <v>0</v>
      </c>
      <c r="L334" s="21"/>
      <c r="M334" s="9"/>
      <c r="N334" s="10"/>
      <c r="O334" s="11"/>
      <c r="P334" s="12">
        <f t="shared" si="275"/>
        <v>0</v>
      </c>
      <c r="Q334" s="9"/>
      <c r="R334" s="10"/>
      <c r="S334" s="11"/>
      <c r="T334" s="67">
        <f t="shared" si="276"/>
        <v>0</v>
      </c>
      <c r="U334" s="12">
        <f t="shared" si="277"/>
        <v>0</v>
      </c>
      <c r="V334" s="89"/>
    </row>
    <row r="335" spans="1:22" x14ac:dyDescent="0.15">
      <c r="A335" s="21"/>
      <c r="B335" s="9"/>
      <c r="C335" s="10"/>
      <c r="D335" s="11"/>
      <c r="E335" s="12">
        <f t="shared" si="269"/>
        <v>0</v>
      </c>
      <c r="F335" s="9"/>
      <c r="G335" s="10"/>
      <c r="H335" s="11"/>
      <c r="I335" s="67">
        <f t="shared" si="270"/>
        <v>0</v>
      </c>
      <c r="J335" s="12">
        <f t="shared" si="271"/>
        <v>0</v>
      </c>
      <c r="L335" s="21"/>
      <c r="M335" s="9"/>
      <c r="N335" s="10"/>
      <c r="O335" s="11"/>
      <c r="P335" s="12">
        <f t="shared" si="275"/>
        <v>0</v>
      </c>
      <c r="Q335" s="9"/>
      <c r="R335" s="10"/>
      <c r="S335" s="11"/>
      <c r="T335" s="67">
        <f t="shared" si="276"/>
        <v>0</v>
      </c>
      <c r="U335" s="12">
        <f t="shared" si="277"/>
        <v>0</v>
      </c>
      <c r="V335" s="89"/>
    </row>
    <row r="336" spans="1:22" x14ac:dyDescent="0.15">
      <c r="A336" s="24"/>
      <c r="B336" s="13"/>
      <c r="C336" s="14"/>
      <c r="D336" s="15"/>
      <c r="E336" s="12">
        <f t="shared" si="269"/>
        <v>0</v>
      </c>
      <c r="F336" s="13"/>
      <c r="G336" s="14"/>
      <c r="H336" s="15"/>
      <c r="I336" s="67">
        <f t="shared" si="270"/>
        <v>0</v>
      </c>
      <c r="J336" s="12">
        <f t="shared" si="271"/>
        <v>0</v>
      </c>
      <c r="L336" s="24"/>
      <c r="M336" s="13"/>
      <c r="N336" s="14"/>
      <c r="O336" s="15"/>
      <c r="P336" s="12">
        <f t="shared" si="275"/>
        <v>0</v>
      </c>
      <c r="Q336" s="13"/>
      <c r="R336" s="14"/>
      <c r="S336" s="15"/>
      <c r="T336" s="67">
        <f t="shared" si="276"/>
        <v>0</v>
      </c>
      <c r="U336" s="12">
        <f t="shared" si="277"/>
        <v>0</v>
      </c>
      <c r="V336" s="89"/>
    </row>
    <row r="337" spans="1:22" x14ac:dyDescent="0.15">
      <c r="A337" s="24"/>
      <c r="B337" s="9"/>
      <c r="C337" s="10"/>
      <c r="D337" s="11"/>
      <c r="E337" s="12">
        <f t="shared" si="269"/>
        <v>0</v>
      </c>
      <c r="F337" s="9"/>
      <c r="G337" s="10"/>
      <c r="H337" s="11"/>
      <c r="I337" s="67">
        <f t="shared" si="270"/>
        <v>0</v>
      </c>
      <c r="J337" s="12">
        <f t="shared" si="271"/>
        <v>0</v>
      </c>
      <c r="L337" s="24"/>
      <c r="M337" s="9"/>
      <c r="N337" s="10"/>
      <c r="O337" s="11"/>
      <c r="P337" s="12">
        <f t="shared" si="275"/>
        <v>0</v>
      </c>
      <c r="Q337" s="9"/>
      <c r="R337" s="10"/>
      <c r="S337" s="11"/>
      <c r="T337" s="67">
        <f t="shared" si="276"/>
        <v>0</v>
      </c>
      <c r="U337" s="12">
        <f t="shared" si="277"/>
        <v>0</v>
      </c>
      <c r="V337" s="89"/>
    </row>
    <row r="338" spans="1:22" x14ac:dyDescent="0.15">
      <c r="A338" s="7"/>
      <c r="B338" s="9"/>
      <c r="C338" s="10"/>
      <c r="D338" s="11"/>
      <c r="E338" s="12">
        <f t="shared" si="269"/>
        <v>0</v>
      </c>
      <c r="F338" s="9"/>
      <c r="G338" s="10"/>
      <c r="H338" s="11"/>
      <c r="I338" s="67">
        <f t="shared" si="270"/>
        <v>0</v>
      </c>
      <c r="J338" s="12">
        <f t="shared" si="271"/>
        <v>0</v>
      </c>
      <c r="L338" s="7"/>
      <c r="M338" s="9"/>
      <c r="N338" s="10"/>
      <c r="O338" s="11"/>
      <c r="P338" s="12">
        <f t="shared" si="275"/>
        <v>0</v>
      </c>
      <c r="Q338" s="9"/>
      <c r="R338" s="10"/>
      <c r="S338" s="11"/>
      <c r="T338" s="67">
        <f t="shared" si="276"/>
        <v>0</v>
      </c>
      <c r="U338" s="12">
        <f t="shared" si="277"/>
        <v>0</v>
      </c>
      <c r="V338" s="89"/>
    </row>
    <row r="339" spans="1:22" x14ac:dyDescent="0.15">
      <c r="A339" s="59"/>
      <c r="B339" s="9"/>
      <c r="C339" s="10"/>
      <c r="D339" s="11"/>
      <c r="E339" s="12">
        <f t="shared" si="269"/>
        <v>0</v>
      </c>
      <c r="F339" s="9"/>
      <c r="G339" s="10"/>
      <c r="H339" s="11"/>
      <c r="I339" s="67">
        <f t="shared" si="270"/>
        <v>0</v>
      </c>
      <c r="J339" s="12">
        <f t="shared" si="271"/>
        <v>0</v>
      </c>
      <c r="L339" s="22"/>
      <c r="M339" s="9"/>
      <c r="N339" s="10"/>
      <c r="O339" s="11"/>
      <c r="P339" s="12">
        <f t="shared" si="275"/>
        <v>0</v>
      </c>
      <c r="Q339" s="9"/>
      <c r="R339" s="10"/>
      <c r="S339" s="11"/>
      <c r="T339" s="67">
        <f t="shared" si="276"/>
        <v>0</v>
      </c>
      <c r="U339" s="12">
        <f t="shared" si="277"/>
        <v>0</v>
      </c>
      <c r="V339" s="89"/>
    </row>
    <row r="340" spans="1:22" ht="14.25" thickBot="1" x14ac:dyDescent="0.2">
      <c r="A340" s="22"/>
      <c r="B340" s="9"/>
      <c r="C340" s="10"/>
      <c r="D340" s="11"/>
      <c r="E340" s="12">
        <f t="shared" si="269"/>
        <v>0</v>
      </c>
      <c r="F340" s="9"/>
      <c r="G340" s="10"/>
      <c r="H340" s="11"/>
      <c r="I340" s="67">
        <f t="shared" si="270"/>
        <v>0</v>
      </c>
      <c r="J340" s="19">
        <f t="shared" si="271"/>
        <v>0</v>
      </c>
      <c r="L340" s="22"/>
      <c r="M340" s="9"/>
      <c r="N340" s="10"/>
      <c r="O340" s="11"/>
      <c r="P340" s="12">
        <f t="shared" ref="P340" si="278">SUM(M340:O340)</f>
        <v>0</v>
      </c>
      <c r="Q340" s="9"/>
      <c r="R340" s="10"/>
      <c r="S340" s="11"/>
      <c r="T340" s="67">
        <f t="shared" ref="T340" si="279">SUM(Q340:S340)</f>
        <v>0</v>
      </c>
      <c r="U340" s="12">
        <f t="shared" ref="U340" si="280">P340+T340</f>
        <v>0</v>
      </c>
      <c r="V340" s="89"/>
    </row>
    <row r="341" spans="1:22" ht="14.25" thickBot="1" x14ac:dyDescent="0.2">
      <c r="A341" s="37" t="s">
        <v>17</v>
      </c>
      <c r="B341" s="38">
        <f>SUM(B315:B340)</f>
        <v>3</v>
      </c>
      <c r="C341" s="39">
        <f>SUM(C315:C340)</f>
        <v>9</v>
      </c>
      <c r="D341" s="40">
        <f>SUM(D315:D340)</f>
        <v>10</v>
      </c>
      <c r="E341" s="41">
        <f>SUM(B341:D341)</f>
        <v>22</v>
      </c>
      <c r="F341" s="38">
        <f>SUM(F315:F340)</f>
        <v>3</v>
      </c>
      <c r="G341" s="39">
        <f>SUM(G315:G340)</f>
        <v>9</v>
      </c>
      <c r="H341" s="40">
        <f>SUM(H315:H340)</f>
        <v>10</v>
      </c>
      <c r="I341" s="41">
        <f>SUM(F341:H341)</f>
        <v>22</v>
      </c>
      <c r="J341" s="42">
        <f t="shared" si="271"/>
        <v>44</v>
      </c>
      <c r="L341" s="37" t="s">
        <v>17</v>
      </c>
      <c r="M341" s="38">
        <f>SUM(M315:M340)</f>
        <v>3</v>
      </c>
      <c r="N341" s="39">
        <f>SUM(N315:N340)</f>
        <v>6</v>
      </c>
      <c r="O341" s="40">
        <f>SUM(O315:O340)</f>
        <v>10</v>
      </c>
      <c r="P341" s="41">
        <f>SUM(M341:O341)</f>
        <v>19</v>
      </c>
      <c r="Q341" s="38">
        <f>SUM(Q315:Q340)</f>
        <v>2</v>
      </c>
      <c r="R341" s="39">
        <f>SUM(R315:R340)</f>
        <v>9</v>
      </c>
      <c r="S341" s="40">
        <f>SUM(S315:S340)</f>
        <v>8</v>
      </c>
      <c r="T341" s="41">
        <f>SUM(Q341:S341)</f>
        <v>19</v>
      </c>
      <c r="U341" s="42">
        <f t="shared" si="277"/>
        <v>38</v>
      </c>
    </row>
    <row r="342" spans="1:22" ht="14.25" thickBot="1" x14ac:dyDescent="0.2">
      <c r="A342" s="20" t="s">
        <v>18</v>
      </c>
      <c r="B342" s="63">
        <f>B314-B341</f>
        <v>6</v>
      </c>
      <c r="C342" s="64">
        <f t="shared" ref="C342:E342" si="281">C314-C341</f>
        <v>3</v>
      </c>
      <c r="D342" s="65">
        <f t="shared" si="281"/>
        <v>4</v>
      </c>
      <c r="E342" s="65">
        <f t="shared" si="281"/>
        <v>13</v>
      </c>
      <c r="F342" s="63">
        <f>F314-F341</f>
        <v>5</v>
      </c>
      <c r="G342" s="64">
        <f t="shared" ref="G342:I342" si="282">G314-G341</f>
        <v>3</v>
      </c>
      <c r="H342" s="65">
        <f t="shared" si="282"/>
        <v>4</v>
      </c>
      <c r="I342" s="65">
        <f t="shared" si="282"/>
        <v>12</v>
      </c>
      <c r="J342" s="29">
        <f t="shared" si="271"/>
        <v>25</v>
      </c>
      <c r="L342" s="20" t="s">
        <v>18</v>
      </c>
      <c r="M342" s="63">
        <f>M314-M341</f>
        <v>244</v>
      </c>
      <c r="N342" s="64">
        <f t="shared" ref="N342:P342" si="283">N314-N341</f>
        <v>319</v>
      </c>
      <c r="O342" s="65">
        <f t="shared" si="283"/>
        <v>243</v>
      </c>
      <c r="P342" s="65">
        <f t="shared" si="283"/>
        <v>806</v>
      </c>
      <c r="Q342" s="63">
        <f>Q314-Q341</f>
        <v>266</v>
      </c>
      <c r="R342" s="64">
        <f t="shared" ref="R342:T342" si="284">R314-R341</f>
        <v>343</v>
      </c>
      <c r="S342" s="65">
        <f t="shared" si="284"/>
        <v>277</v>
      </c>
      <c r="T342" s="65">
        <f t="shared" si="284"/>
        <v>886</v>
      </c>
      <c r="U342" s="29">
        <f t="shared" si="277"/>
        <v>1692</v>
      </c>
    </row>
    <row r="343" spans="1:22" x14ac:dyDescent="0.15">
      <c r="L343" s="88"/>
      <c r="M343" s="87" t="s">
        <v>122</v>
      </c>
      <c r="N343" s="87" t="s">
        <v>123</v>
      </c>
      <c r="O343" s="87" t="s">
        <v>124</v>
      </c>
    </row>
    <row r="344" spans="1:22" x14ac:dyDescent="0.15">
      <c r="L344" s="96" t="s">
        <v>174</v>
      </c>
      <c r="M344">
        <v>564</v>
      </c>
      <c r="N344">
        <v>534</v>
      </c>
      <c r="O344">
        <v>305</v>
      </c>
      <c r="P344" s="109">
        <v>1403</v>
      </c>
    </row>
    <row r="345" spans="1:22" ht="19.5" thickBot="1" x14ac:dyDescent="0.25">
      <c r="A345" s="3" t="s">
        <v>209</v>
      </c>
      <c r="B345" s="1"/>
      <c r="C345" s="1"/>
      <c r="D345" s="1"/>
      <c r="E345" s="1"/>
      <c r="F345" s="1"/>
      <c r="G345" s="1"/>
      <c r="H345" s="1"/>
      <c r="I345" s="1"/>
      <c r="J345" s="1"/>
      <c r="L345" s="3" t="s">
        <v>208</v>
      </c>
      <c r="M345" s="1"/>
      <c r="N345" s="1"/>
      <c r="O345" s="1"/>
      <c r="P345" s="1"/>
      <c r="Q345" s="1"/>
      <c r="R345" s="1"/>
      <c r="S345" s="1"/>
      <c r="T345" s="1"/>
      <c r="U345" s="1"/>
    </row>
    <row r="346" spans="1:22" ht="14.25" thickBot="1" x14ac:dyDescent="0.2">
      <c r="A346" s="8" t="s">
        <v>0</v>
      </c>
      <c r="B346" s="227" t="s">
        <v>19</v>
      </c>
      <c r="C346" s="228"/>
      <c r="D346" s="228"/>
      <c r="E346" s="229"/>
      <c r="F346" s="230" t="s">
        <v>20</v>
      </c>
      <c r="G346" s="231"/>
      <c r="H346" s="231"/>
      <c r="I346" s="232"/>
      <c r="J346" s="233" t="s">
        <v>1</v>
      </c>
      <c r="L346" s="8" t="s">
        <v>0</v>
      </c>
      <c r="M346" s="227" t="s">
        <v>19</v>
      </c>
      <c r="N346" s="228"/>
      <c r="O346" s="228"/>
      <c r="P346" s="229"/>
      <c r="Q346" s="230" t="s">
        <v>20</v>
      </c>
      <c r="R346" s="231"/>
      <c r="S346" s="231"/>
      <c r="T346" s="232"/>
      <c r="U346" s="233" t="s">
        <v>1</v>
      </c>
    </row>
    <row r="347" spans="1:22" ht="14.25" thickBot="1" x14ac:dyDescent="0.2">
      <c r="A347" s="8" t="s">
        <v>2</v>
      </c>
      <c r="B347" s="69" t="s">
        <v>3</v>
      </c>
      <c r="C347" s="70" t="s">
        <v>4</v>
      </c>
      <c r="D347" s="71" t="s">
        <v>5</v>
      </c>
      <c r="E347" s="8" t="s">
        <v>6</v>
      </c>
      <c r="F347" s="4" t="s">
        <v>3</v>
      </c>
      <c r="G347" s="5" t="s">
        <v>4</v>
      </c>
      <c r="H347" s="6" t="s">
        <v>5</v>
      </c>
      <c r="I347" s="8" t="s">
        <v>6</v>
      </c>
      <c r="J347" s="234"/>
      <c r="L347" s="8" t="s">
        <v>2</v>
      </c>
      <c r="M347" s="69" t="s">
        <v>3</v>
      </c>
      <c r="N347" s="70" t="s">
        <v>4</v>
      </c>
      <c r="O347" s="71" t="s">
        <v>5</v>
      </c>
      <c r="P347" s="8" t="s">
        <v>6</v>
      </c>
      <c r="Q347" s="4" t="s">
        <v>3</v>
      </c>
      <c r="R347" s="5" t="s">
        <v>4</v>
      </c>
      <c r="S347" s="6" t="s">
        <v>5</v>
      </c>
      <c r="T347" s="8" t="s">
        <v>6</v>
      </c>
      <c r="U347" s="234"/>
    </row>
    <row r="348" spans="1:22" ht="14.25" thickBot="1" x14ac:dyDescent="0.2">
      <c r="A348" s="25" t="s">
        <v>18</v>
      </c>
      <c r="B348" s="26">
        <f>B342</f>
        <v>6</v>
      </c>
      <c r="C348" s="27">
        <f t="shared" ref="C348:D348" si="285">C342</f>
        <v>3</v>
      </c>
      <c r="D348" s="49">
        <f t="shared" si="285"/>
        <v>4</v>
      </c>
      <c r="E348" s="68">
        <f t="shared" ref="E348:E356" si="286">SUM(B348:D348)</f>
        <v>13</v>
      </c>
      <c r="F348" s="26">
        <f>F342</f>
        <v>5</v>
      </c>
      <c r="G348" s="27">
        <f t="shared" ref="G348:H348" si="287">G342</f>
        <v>3</v>
      </c>
      <c r="H348" s="49">
        <f t="shared" si="287"/>
        <v>4</v>
      </c>
      <c r="I348" s="33">
        <f t="shared" ref="I348:I356" si="288">SUM(F348:H348)</f>
        <v>12</v>
      </c>
      <c r="J348" s="33">
        <f>E348+I348</f>
        <v>25</v>
      </c>
      <c r="L348" s="25" t="s">
        <v>18</v>
      </c>
      <c r="M348" s="26">
        <f>M342</f>
        <v>244</v>
      </c>
      <c r="N348" s="27">
        <f t="shared" ref="N348:O348" si="289">N342</f>
        <v>319</v>
      </c>
      <c r="O348" s="49">
        <f t="shared" si="289"/>
        <v>243</v>
      </c>
      <c r="P348" s="68">
        <f t="shared" ref="P348:P356" si="290">SUM(M348:O348)</f>
        <v>806</v>
      </c>
      <c r="Q348" s="26">
        <f>Q342</f>
        <v>266</v>
      </c>
      <c r="R348" s="27">
        <f t="shared" ref="R348:S348" si="291">R342</f>
        <v>343</v>
      </c>
      <c r="S348" s="49">
        <f t="shared" si="291"/>
        <v>277</v>
      </c>
      <c r="T348" s="33">
        <f t="shared" ref="T348:T356" si="292">SUM(Q348:S348)</f>
        <v>886</v>
      </c>
      <c r="U348" s="33">
        <f>P348+T348</f>
        <v>1692</v>
      </c>
    </row>
    <row r="349" spans="1:22" x14ac:dyDescent="0.15">
      <c r="A349" s="23" t="s">
        <v>8</v>
      </c>
      <c r="B349" s="47"/>
      <c r="C349" s="48">
        <v>2</v>
      </c>
      <c r="D349" s="72">
        <v>2</v>
      </c>
      <c r="E349" s="42">
        <f t="shared" si="286"/>
        <v>4</v>
      </c>
      <c r="F349" s="38"/>
      <c r="G349" s="39">
        <v>2</v>
      </c>
      <c r="H349" s="40">
        <v>2</v>
      </c>
      <c r="I349" s="66">
        <f t="shared" si="288"/>
        <v>4</v>
      </c>
      <c r="J349" s="57">
        <f t="shared" ref="J349:J356" si="293">E349+I349</f>
        <v>8</v>
      </c>
      <c r="K349" s="90">
        <v>45190</v>
      </c>
      <c r="L349" s="23" t="s">
        <v>8</v>
      </c>
      <c r="M349" s="47"/>
      <c r="N349" s="48"/>
      <c r="O349" s="72"/>
      <c r="P349" s="42">
        <f t="shared" si="290"/>
        <v>0</v>
      </c>
      <c r="Q349" s="38"/>
      <c r="R349" s="39"/>
      <c r="S349" s="40"/>
      <c r="T349" s="66">
        <f t="shared" si="292"/>
        <v>0</v>
      </c>
      <c r="U349" s="57">
        <f t="shared" ref="U349:U356" si="294">P349+T349</f>
        <v>0</v>
      </c>
    </row>
    <row r="350" spans="1:22" x14ac:dyDescent="0.15">
      <c r="A350" s="23" t="s">
        <v>9</v>
      </c>
      <c r="B350" s="9"/>
      <c r="C350" s="10"/>
      <c r="D350" s="44"/>
      <c r="E350" s="12">
        <f t="shared" si="286"/>
        <v>0</v>
      </c>
      <c r="F350" s="9"/>
      <c r="G350" s="10">
        <v>3</v>
      </c>
      <c r="H350" s="44">
        <v>3</v>
      </c>
      <c r="I350" s="12">
        <f t="shared" si="288"/>
        <v>6</v>
      </c>
      <c r="J350" s="12">
        <f t="shared" si="293"/>
        <v>6</v>
      </c>
      <c r="K350" s="90">
        <v>45197</v>
      </c>
      <c r="L350" s="23" t="s">
        <v>9</v>
      </c>
      <c r="M350" s="9"/>
      <c r="N350" s="10"/>
      <c r="O350" s="44"/>
      <c r="P350" s="12">
        <f t="shared" si="290"/>
        <v>0</v>
      </c>
      <c r="Q350" s="9"/>
      <c r="R350" s="10"/>
      <c r="S350" s="44"/>
      <c r="T350" s="12">
        <f t="shared" si="292"/>
        <v>0</v>
      </c>
      <c r="U350" s="12">
        <f t="shared" si="294"/>
        <v>0</v>
      </c>
    </row>
    <row r="351" spans="1:22" x14ac:dyDescent="0.15">
      <c r="A351" s="23" t="s">
        <v>10</v>
      </c>
      <c r="B351" s="16"/>
      <c r="C351" s="17"/>
      <c r="D351" s="43"/>
      <c r="E351" s="12">
        <f t="shared" si="286"/>
        <v>0</v>
      </c>
      <c r="F351" s="16">
        <v>3</v>
      </c>
      <c r="G351" s="17">
        <v>3</v>
      </c>
      <c r="H351" s="43"/>
      <c r="I351" s="12">
        <f t="shared" si="288"/>
        <v>6</v>
      </c>
      <c r="J351" s="12">
        <f t="shared" si="293"/>
        <v>6</v>
      </c>
      <c r="K351" s="90">
        <v>45225</v>
      </c>
      <c r="L351" s="23" t="s">
        <v>150</v>
      </c>
      <c r="M351" s="9">
        <v>343</v>
      </c>
      <c r="N351" s="10">
        <v>400</v>
      </c>
      <c r="O351" s="44">
        <v>300</v>
      </c>
      <c r="P351" s="12">
        <f t="shared" si="290"/>
        <v>1043</v>
      </c>
      <c r="Q351" s="9">
        <v>350</v>
      </c>
      <c r="R351" s="10">
        <v>400</v>
      </c>
      <c r="S351" s="44">
        <v>300</v>
      </c>
      <c r="T351" s="67">
        <f t="shared" si="292"/>
        <v>1050</v>
      </c>
      <c r="U351" s="12">
        <f t="shared" si="294"/>
        <v>2093</v>
      </c>
      <c r="V351" s="90" t="s">
        <v>213</v>
      </c>
    </row>
    <row r="352" spans="1:22" x14ac:dyDescent="0.15">
      <c r="A352" s="23" t="s">
        <v>11</v>
      </c>
      <c r="B352" s="16">
        <v>2</v>
      </c>
      <c r="C352" s="17">
        <v>2</v>
      </c>
      <c r="D352" s="43">
        <v>2</v>
      </c>
      <c r="E352" s="12">
        <f t="shared" si="286"/>
        <v>6</v>
      </c>
      <c r="F352" s="16"/>
      <c r="G352" s="17">
        <v>2</v>
      </c>
      <c r="H352" s="43"/>
      <c r="I352" s="12">
        <f t="shared" si="288"/>
        <v>2</v>
      </c>
      <c r="J352" s="12">
        <f t="shared" si="293"/>
        <v>8</v>
      </c>
      <c r="K352" s="90">
        <v>45234</v>
      </c>
      <c r="L352" s="23" t="s">
        <v>11</v>
      </c>
      <c r="M352" s="9"/>
      <c r="N352" s="10"/>
      <c r="O352" s="44"/>
      <c r="P352" s="12">
        <f t="shared" si="290"/>
        <v>0</v>
      </c>
      <c r="Q352" s="9"/>
      <c r="R352" s="10"/>
      <c r="S352" s="44"/>
      <c r="T352" s="67">
        <f t="shared" si="292"/>
        <v>0</v>
      </c>
      <c r="U352" s="12">
        <f t="shared" si="294"/>
        <v>0</v>
      </c>
      <c r="V352" s="89" t="s">
        <v>210</v>
      </c>
    </row>
    <row r="353" spans="1:23" x14ac:dyDescent="0.15">
      <c r="A353" s="23" t="s">
        <v>12</v>
      </c>
      <c r="B353" s="9"/>
      <c r="C353" s="10"/>
      <c r="D353" s="44"/>
      <c r="E353" s="12">
        <f t="shared" si="286"/>
        <v>0</v>
      </c>
      <c r="F353" s="9">
        <v>5</v>
      </c>
      <c r="G353" s="10"/>
      <c r="H353" s="44"/>
      <c r="I353" s="67">
        <f t="shared" si="288"/>
        <v>5</v>
      </c>
      <c r="J353" s="12">
        <f t="shared" si="293"/>
        <v>5</v>
      </c>
      <c r="K353" s="90">
        <v>45237</v>
      </c>
      <c r="L353" s="23" t="s">
        <v>12</v>
      </c>
      <c r="M353" s="9"/>
      <c r="N353" s="10"/>
      <c r="O353" s="44"/>
      <c r="P353" s="12">
        <f t="shared" si="290"/>
        <v>0</v>
      </c>
      <c r="Q353" s="9"/>
      <c r="R353" s="10"/>
      <c r="S353" s="44"/>
      <c r="T353" s="67">
        <f t="shared" si="292"/>
        <v>0</v>
      </c>
      <c r="U353" s="12">
        <f t="shared" si="294"/>
        <v>0</v>
      </c>
      <c r="V353" s="89"/>
    </row>
    <row r="354" spans="1:23" x14ac:dyDescent="0.15">
      <c r="A354" s="23" t="s">
        <v>13</v>
      </c>
      <c r="B354" s="9">
        <v>3</v>
      </c>
      <c r="C354" s="10"/>
      <c r="D354" s="44"/>
      <c r="E354" s="12">
        <f t="shared" si="286"/>
        <v>3</v>
      </c>
      <c r="F354" s="9">
        <v>3</v>
      </c>
      <c r="G354" s="10"/>
      <c r="H354" s="44"/>
      <c r="I354" s="67">
        <f t="shared" si="288"/>
        <v>3</v>
      </c>
      <c r="J354" s="12">
        <f t="shared" si="293"/>
        <v>6</v>
      </c>
      <c r="K354" s="90">
        <v>45273</v>
      </c>
      <c r="L354" s="23" t="s">
        <v>13</v>
      </c>
      <c r="M354" s="9"/>
      <c r="N354" s="10"/>
      <c r="O354" s="44"/>
      <c r="P354" s="12">
        <f t="shared" si="290"/>
        <v>0</v>
      </c>
      <c r="Q354" s="9"/>
      <c r="R354" s="10"/>
      <c r="S354" s="44"/>
      <c r="T354" s="67">
        <f t="shared" si="292"/>
        <v>0</v>
      </c>
      <c r="U354" s="12">
        <f t="shared" si="294"/>
        <v>0</v>
      </c>
    </row>
    <row r="355" spans="1:23" x14ac:dyDescent="0.15">
      <c r="A355" s="23" t="s">
        <v>14</v>
      </c>
      <c r="B355" s="13"/>
      <c r="C355" s="14"/>
      <c r="D355" s="45"/>
      <c r="E355" s="12">
        <f t="shared" si="286"/>
        <v>0</v>
      </c>
      <c r="F355" s="13">
        <v>3</v>
      </c>
      <c r="G355" s="14"/>
      <c r="H355" s="45"/>
      <c r="I355" s="67">
        <f t="shared" si="288"/>
        <v>3</v>
      </c>
      <c r="J355" s="12">
        <f t="shared" si="293"/>
        <v>3</v>
      </c>
      <c r="K355" s="90">
        <v>45276</v>
      </c>
      <c r="L355" s="23" t="s">
        <v>14</v>
      </c>
      <c r="M355" s="13"/>
      <c r="N355" s="14"/>
      <c r="O355" s="45"/>
      <c r="P355" s="12">
        <f t="shared" si="290"/>
        <v>0</v>
      </c>
      <c r="Q355" s="13"/>
      <c r="R355" s="14"/>
      <c r="S355" s="45"/>
      <c r="T355" s="67">
        <f t="shared" si="292"/>
        <v>0</v>
      </c>
      <c r="U355" s="12">
        <f t="shared" si="294"/>
        <v>0</v>
      </c>
    </row>
    <row r="356" spans="1:23" ht="14.25" thickBot="1" x14ac:dyDescent="0.2">
      <c r="A356" s="24" t="s">
        <v>235</v>
      </c>
      <c r="B356" s="9"/>
      <c r="C356" s="10"/>
      <c r="D356" s="11"/>
      <c r="E356" s="12">
        <f t="shared" si="286"/>
        <v>0</v>
      </c>
      <c r="F356" s="9">
        <v>1</v>
      </c>
      <c r="G356" s="10"/>
      <c r="H356" s="11"/>
      <c r="I356" s="67">
        <f t="shared" si="288"/>
        <v>1</v>
      </c>
      <c r="J356" s="12">
        <f t="shared" si="293"/>
        <v>1</v>
      </c>
      <c r="K356" s="108">
        <v>45311</v>
      </c>
      <c r="L356" s="23" t="s">
        <v>15</v>
      </c>
      <c r="M356" s="30"/>
      <c r="N356" s="31"/>
      <c r="O356" s="46"/>
      <c r="P356" s="12">
        <f t="shared" si="290"/>
        <v>0</v>
      </c>
      <c r="Q356" s="30"/>
      <c r="R356" s="31"/>
      <c r="S356" s="46"/>
      <c r="T356" s="67">
        <f t="shared" si="292"/>
        <v>0</v>
      </c>
      <c r="U356" s="19">
        <f t="shared" si="294"/>
        <v>0</v>
      </c>
    </row>
    <row r="357" spans="1:23" ht="14.25" thickBot="1" x14ac:dyDescent="0.2">
      <c r="A357" s="32" t="s">
        <v>16</v>
      </c>
      <c r="B357" s="26">
        <f>SUM(B348:B356)</f>
        <v>11</v>
      </c>
      <c r="C357" s="27">
        <f t="shared" ref="C357:J357" si="295">SUM(C348:C356)</f>
        <v>7</v>
      </c>
      <c r="D357" s="49">
        <f t="shared" si="295"/>
        <v>8</v>
      </c>
      <c r="E357" s="75">
        <f t="shared" si="295"/>
        <v>26</v>
      </c>
      <c r="F357" s="26">
        <f t="shared" si="295"/>
        <v>20</v>
      </c>
      <c r="G357" s="27">
        <f t="shared" si="295"/>
        <v>13</v>
      </c>
      <c r="H357" s="49">
        <f t="shared" si="295"/>
        <v>9</v>
      </c>
      <c r="I357" s="74">
        <f t="shared" si="295"/>
        <v>42</v>
      </c>
      <c r="J357" s="29">
        <f t="shared" si="295"/>
        <v>68</v>
      </c>
      <c r="L357" s="32" t="s">
        <v>16</v>
      </c>
      <c r="M357" s="26">
        <f>SUM(M348:M356)</f>
        <v>587</v>
      </c>
      <c r="N357" s="27">
        <f t="shared" ref="N357:U357" si="296">SUM(N348:N356)</f>
        <v>719</v>
      </c>
      <c r="O357" s="49">
        <f t="shared" si="296"/>
        <v>543</v>
      </c>
      <c r="P357" s="75">
        <f t="shared" si="296"/>
        <v>1849</v>
      </c>
      <c r="Q357" s="26">
        <f t="shared" si="296"/>
        <v>616</v>
      </c>
      <c r="R357" s="27">
        <f t="shared" si="296"/>
        <v>743</v>
      </c>
      <c r="S357" s="49">
        <f t="shared" si="296"/>
        <v>577</v>
      </c>
      <c r="T357" s="74">
        <f t="shared" si="296"/>
        <v>1936</v>
      </c>
      <c r="U357" s="29">
        <f t="shared" si="296"/>
        <v>3785</v>
      </c>
    </row>
    <row r="358" spans="1:23" x14ac:dyDescent="0.15">
      <c r="A358" s="22" t="s">
        <v>167</v>
      </c>
      <c r="B358" s="54"/>
      <c r="C358" s="55"/>
      <c r="D358" s="56">
        <v>2</v>
      </c>
      <c r="E358" s="42">
        <f t="shared" ref="E358:E383" si="297">SUM(B358:D358)</f>
        <v>2</v>
      </c>
      <c r="F358" s="54"/>
      <c r="G358" s="55"/>
      <c r="H358" s="56">
        <v>2</v>
      </c>
      <c r="I358" s="66">
        <f t="shared" ref="I358:I383" si="298">SUM(F358:H358)</f>
        <v>2</v>
      </c>
      <c r="J358" s="57">
        <f t="shared" ref="J358:J385" si="299">E358+I358</f>
        <v>4</v>
      </c>
      <c r="K358" s="90">
        <v>45190</v>
      </c>
      <c r="L358" s="110" t="s">
        <v>216</v>
      </c>
      <c r="M358" s="54">
        <v>25</v>
      </c>
      <c r="N358" s="55">
        <v>25</v>
      </c>
      <c r="O358" s="56">
        <v>25</v>
      </c>
      <c r="P358" s="42">
        <f t="shared" ref="P358:P383" si="300">SUM(M358:O358)</f>
        <v>75</v>
      </c>
      <c r="Q358" s="54">
        <v>25</v>
      </c>
      <c r="R358" s="55">
        <v>25</v>
      </c>
      <c r="S358" s="56">
        <v>25</v>
      </c>
      <c r="T358" s="66">
        <f t="shared" ref="T358:T383" si="301">SUM(Q358:S358)</f>
        <v>75</v>
      </c>
      <c r="U358" s="57">
        <f t="shared" ref="U358:U385" si="302">P358+T358</f>
        <v>150</v>
      </c>
      <c r="V358" s="90">
        <v>45183</v>
      </c>
    </row>
    <row r="359" spans="1:23" x14ac:dyDescent="0.15">
      <c r="A359" s="22" t="s">
        <v>167</v>
      </c>
      <c r="B359" s="16"/>
      <c r="C359" s="17"/>
      <c r="D359" s="18">
        <v>1</v>
      </c>
      <c r="E359" s="12">
        <f t="shared" si="297"/>
        <v>1</v>
      </c>
      <c r="F359" s="16"/>
      <c r="G359" s="17"/>
      <c r="H359" s="18">
        <v>1</v>
      </c>
      <c r="I359" s="67">
        <f t="shared" si="298"/>
        <v>1</v>
      </c>
      <c r="J359" s="12">
        <f t="shared" si="299"/>
        <v>2</v>
      </c>
      <c r="K359" s="90">
        <v>45191</v>
      </c>
      <c r="L359" s="104" t="s">
        <v>38</v>
      </c>
      <c r="M359" s="16"/>
      <c r="N359" s="17">
        <v>2</v>
      </c>
      <c r="O359" s="18">
        <v>2</v>
      </c>
      <c r="P359" s="12">
        <f t="shared" si="300"/>
        <v>4</v>
      </c>
      <c r="Q359" s="16"/>
      <c r="R359" s="17">
        <v>2</v>
      </c>
      <c r="S359" s="18">
        <v>2</v>
      </c>
      <c r="T359" s="67">
        <f t="shared" si="301"/>
        <v>4</v>
      </c>
      <c r="U359" s="12">
        <f t="shared" si="302"/>
        <v>8</v>
      </c>
      <c r="V359" s="90">
        <v>45190</v>
      </c>
    </row>
    <row r="360" spans="1:23" x14ac:dyDescent="0.15">
      <c r="A360" s="22" t="s">
        <v>217</v>
      </c>
      <c r="B360" s="9"/>
      <c r="C360" s="10"/>
      <c r="D360" s="11"/>
      <c r="E360" s="12">
        <f t="shared" si="297"/>
        <v>0</v>
      </c>
      <c r="F360" s="9"/>
      <c r="G360" s="10"/>
      <c r="H360" s="11">
        <v>1</v>
      </c>
      <c r="I360" s="67">
        <f t="shared" si="298"/>
        <v>1</v>
      </c>
      <c r="J360" s="12">
        <f t="shared" si="299"/>
        <v>1</v>
      </c>
      <c r="K360" s="108">
        <v>45194</v>
      </c>
      <c r="L360" s="110" t="s">
        <v>221</v>
      </c>
      <c r="M360" s="9">
        <v>150</v>
      </c>
      <c r="N360" s="10">
        <v>130</v>
      </c>
      <c r="O360" s="11">
        <v>90</v>
      </c>
      <c r="P360" s="12">
        <f t="shared" si="300"/>
        <v>370</v>
      </c>
      <c r="Q360" s="9">
        <v>150</v>
      </c>
      <c r="R360" s="10">
        <v>130</v>
      </c>
      <c r="S360" s="11">
        <v>90</v>
      </c>
      <c r="T360" s="67">
        <f t="shared" si="301"/>
        <v>370</v>
      </c>
      <c r="U360" s="12">
        <f t="shared" si="302"/>
        <v>740</v>
      </c>
      <c r="V360" s="90">
        <v>45197</v>
      </c>
      <c r="W360" s="50"/>
    </row>
    <row r="361" spans="1:23" x14ac:dyDescent="0.15">
      <c r="A361" s="24" t="s">
        <v>218</v>
      </c>
      <c r="B361" s="9"/>
      <c r="C361" s="10"/>
      <c r="D361" s="11"/>
      <c r="E361" s="12">
        <f t="shared" si="297"/>
        <v>0</v>
      </c>
      <c r="F361" s="9">
        <v>1</v>
      </c>
      <c r="G361" s="10"/>
      <c r="H361" s="11"/>
      <c r="I361" s="67">
        <f t="shared" si="298"/>
        <v>1</v>
      </c>
      <c r="J361" s="12">
        <f t="shared" si="299"/>
        <v>1</v>
      </c>
      <c r="K361" s="108">
        <v>45195</v>
      </c>
      <c r="L361" s="104" t="s">
        <v>38</v>
      </c>
      <c r="M361" s="9"/>
      <c r="N361" s="10"/>
      <c r="O361" s="11"/>
      <c r="P361" s="12">
        <f t="shared" si="300"/>
        <v>0</v>
      </c>
      <c r="Q361" s="9"/>
      <c r="R361" s="10">
        <v>3</v>
      </c>
      <c r="S361" s="11">
        <v>3</v>
      </c>
      <c r="T361" s="67">
        <f t="shared" si="301"/>
        <v>6</v>
      </c>
      <c r="U361" s="12">
        <f t="shared" si="302"/>
        <v>6</v>
      </c>
      <c r="V361" s="90">
        <v>45197</v>
      </c>
    </row>
    <row r="362" spans="1:23" x14ac:dyDescent="0.15">
      <c r="A362" s="22" t="s">
        <v>167</v>
      </c>
      <c r="B362" s="9"/>
      <c r="C362" s="10">
        <v>1</v>
      </c>
      <c r="D362" s="11"/>
      <c r="E362" s="12">
        <f t="shared" si="297"/>
        <v>1</v>
      </c>
      <c r="F362" s="9"/>
      <c r="G362" s="10">
        <v>1</v>
      </c>
      <c r="H362" s="11"/>
      <c r="I362" s="67">
        <f t="shared" si="298"/>
        <v>1</v>
      </c>
      <c r="J362" s="12">
        <f t="shared" si="299"/>
        <v>2</v>
      </c>
      <c r="K362" s="90">
        <v>45197</v>
      </c>
      <c r="L362" s="110" t="s">
        <v>223</v>
      </c>
      <c r="M362" s="9">
        <v>130</v>
      </c>
      <c r="N362" s="10">
        <v>142</v>
      </c>
      <c r="O362" s="11">
        <v>101</v>
      </c>
      <c r="P362" s="12">
        <f t="shared" si="300"/>
        <v>373</v>
      </c>
      <c r="Q362" s="9">
        <v>130</v>
      </c>
      <c r="R362" s="10">
        <v>142</v>
      </c>
      <c r="S362" s="11">
        <v>101</v>
      </c>
      <c r="T362" s="67">
        <f t="shared" si="301"/>
        <v>373</v>
      </c>
      <c r="U362" s="12">
        <f t="shared" si="302"/>
        <v>746</v>
      </c>
      <c r="V362" s="90">
        <v>45203</v>
      </c>
    </row>
    <row r="363" spans="1:23" x14ac:dyDescent="0.15">
      <c r="A363" s="24" t="s">
        <v>45</v>
      </c>
      <c r="B363" s="9"/>
      <c r="C363" s="10"/>
      <c r="D363" s="11"/>
      <c r="E363" s="12">
        <f t="shared" si="297"/>
        <v>0</v>
      </c>
      <c r="F363" s="9"/>
      <c r="G363" s="10">
        <v>4</v>
      </c>
      <c r="H363" s="11"/>
      <c r="I363" s="67">
        <f t="shared" si="298"/>
        <v>4</v>
      </c>
      <c r="J363" s="12">
        <f t="shared" si="299"/>
        <v>4</v>
      </c>
      <c r="K363" s="108">
        <v>45196</v>
      </c>
      <c r="L363" s="104" t="s">
        <v>38</v>
      </c>
      <c r="M363" s="9"/>
      <c r="N363" s="10"/>
      <c r="O363" s="11"/>
      <c r="P363" s="12">
        <f t="shared" si="300"/>
        <v>0</v>
      </c>
      <c r="Q363" s="9">
        <v>3</v>
      </c>
      <c r="R363" s="10">
        <v>3</v>
      </c>
      <c r="S363" s="11"/>
      <c r="T363" s="67">
        <f t="shared" si="301"/>
        <v>6</v>
      </c>
      <c r="U363" s="12">
        <f t="shared" si="302"/>
        <v>6</v>
      </c>
      <c r="V363" s="90">
        <v>45225</v>
      </c>
    </row>
    <row r="364" spans="1:23" x14ac:dyDescent="0.15">
      <c r="A364" s="24" t="s">
        <v>45</v>
      </c>
      <c r="B364" s="9"/>
      <c r="C364" s="10"/>
      <c r="D364" s="11"/>
      <c r="E364" s="12">
        <f t="shared" si="297"/>
        <v>0</v>
      </c>
      <c r="F364" s="9"/>
      <c r="G364" s="10">
        <v>1</v>
      </c>
      <c r="H364" s="11"/>
      <c r="I364" s="67">
        <f t="shared" si="298"/>
        <v>1</v>
      </c>
      <c r="J364" s="12">
        <f t="shared" si="299"/>
        <v>1</v>
      </c>
      <c r="K364" s="108">
        <v>45201</v>
      </c>
      <c r="L364" s="104" t="s">
        <v>38</v>
      </c>
      <c r="M364" s="9">
        <v>2</v>
      </c>
      <c r="N364" s="10">
        <v>2</v>
      </c>
      <c r="O364" s="11">
        <v>2</v>
      </c>
      <c r="P364" s="12">
        <f t="shared" si="300"/>
        <v>6</v>
      </c>
      <c r="Q364" s="9"/>
      <c r="R364" s="10">
        <v>2</v>
      </c>
      <c r="S364" s="11"/>
      <c r="T364" s="67">
        <f t="shared" si="301"/>
        <v>2</v>
      </c>
      <c r="U364" s="12">
        <f t="shared" si="302"/>
        <v>8</v>
      </c>
      <c r="V364" s="90">
        <v>45234</v>
      </c>
    </row>
    <row r="365" spans="1:23" x14ac:dyDescent="0.15">
      <c r="A365" s="24" t="s">
        <v>45</v>
      </c>
      <c r="B365" s="9">
        <v>2</v>
      </c>
      <c r="C365" s="10">
        <v>1</v>
      </c>
      <c r="D365" s="11"/>
      <c r="E365" s="12">
        <f t="shared" si="297"/>
        <v>3</v>
      </c>
      <c r="F365" s="9">
        <v>2</v>
      </c>
      <c r="G365" s="10">
        <v>1</v>
      </c>
      <c r="H365" s="11"/>
      <c r="I365" s="67">
        <f t="shared" si="298"/>
        <v>3</v>
      </c>
      <c r="J365" s="12">
        <f t="shared" si="299"/>
        <v>6</v>
      </c>
      <c r="K365" s="108">
        <v>45224</v>
      </c>
      <c r="L365" s="104" t="s">
        <v>38</v>
      </c>
      <c r="M365" s="9"/>
      <c r="N365" s="10"/>
      <c r="O365" s="11"/>
      <c r="P365" s="12">
        <f t="shared" si="300"/>
        <v>0</v>
      </c>
      <c r="Q365" s="9">
        <v>5</v>
      </c>
      <c r="R365" s="10"/>
      <c r="S365" s="11"/>
      <c r="T365" s="67">
        <f t="shared" si="301"/>
        <v>5</v>
      </c>
      <c r="U365" s="12">
        <f t="shared" si="302"/>
        <v>5</v>
      </c>
      <c r="V365" s="90">
        <v>45237</v>
      </c>
    </row>
    <row r="366" spans="1:23" x14ac:dyDescent="0.15">
      <c r="A366" s="24" t="s">
        <v>45</v>
      </c>
      <c r="B366" s="9">
        <v>2</v>
      </c>
      <c r="C366" s="10"/>
      <c r="D366" s="11"/>
      <c r="E366" s="12">
        <f t="shared" si="297"/>
        <v>2</v>
      </c>
      <c r="F366" s="9">
        <v>1</v>
      </c>
      <c r="G366" s="10">
        <v>1</v>
      </c>
      <c r="H366" s="11"/>
      <c r="I366" s="67">
        <f t="shared" si="298"/>
        <v>2</v>
      </c>
      <c r="J366" s="12">
        <f t="shared" si="299"/>
        <v>4</v>
      </c>
      <c r="K366" s="108">
        <v>45231</v>
      </c>
      <c r="L366" s="104" t="s">
        <v>38</v>
      </c>
      <c r="M366" s="9">
        <v>3</v>
      </c>
      <c r="N366" s="10"/>
      <c r="O366" s="11"/>
      <c r="P366" s="12">
        <f t="shared" si="300"/>
        <v>3</v>
      </c>
      <c r="Q366" s="9">
        <v>3</v>
      </c>
      <c r="R366" s="10"/>
      <c r="S366" s="11"/>
      <c r="T366" s="67">
        <f t="shared" si="301"/>
        <v>3</v>
      </c>
      <c r="U366" s="12">
        <f t="shared" si="302"/>
        <v>6</v>
      </c>
      <c r="V366" s="90">
        <v>45273</v>
      </c>
    </row>
    <row r="367" spans="1:23" x14ac:dyDescent="0.15">
      <c r="A367" s="24" t="s">
        <v>45</v>
      </c>
      <c r="B367" s="13"/>
      <c r="C367" s="14"/>
      <c r="D367" s="15"/>
      <c r="E367" s="12">
        <f t="shared" si="297"/>
        <v>0</v>
      </c>
      <c r="F367" s="13">
        <v>4</v>
      </c>
      <c r="G367" s="14"/>
      <c r="H367" s="15"/>
      <c r="I367" s="67">
        <f t="shared" si="298"/>
        <v>4</v>
      </c>
      <c r="J367" s="12">
        <f t="shared" si="299"/>
        <v>4</v>
      </c>
      <c r="K367" s="108">
        <v>45234</v>
      </c>
      <c r="L367" s="104" t="s">
        <v>38</v>
      </c>
      <c r="M367" s="13"/>
      <c r="N367" s="14"/>
      <c r="O367" s="15"/>
      <c r="P367" s="12">
        <f t="shared" si="300"/>
        <v>0</v>
      </c>
      <c r="Q367" s="13">
        <v>3</v>
      </c>
      <c r="R367" s="14"/>
      <c r="S367" s="15"/>
      <c r="T367" s="67">
        <f t="shared" si="301"/>
        <v>3</v>
      </c>
      <c r="U367" s="12">
        <f t="shared" si="302"/>
        <v>3</v>
      </c>
      <c r="V367" s="90">
        <v>45275</v>
      </c>
    </row>
    <row r="368" spans="1:23" x14ac:dyDescent="0.15">
      <c r="A368" s="24" t="s">
        <v>45</v>
      </c>
      <c r="B368" s="9">
        <v>1</v>
      </c>
      <c r="C368" s="10"/>
      <c r="D368" s="11"/>
      <c r="E368" s="12">
        <f t="shared" si="297"/>
        <v>1</v>
      </c>
      <c r="F368" s="9">
        <v>2</v>
      </c>
      <c r="G368" s="10"/>
      <c r="H368" s="11"/>
      <c r="I368" s="67">
        <f t="shared" si="298"/>
        <v>2</v>
      </c>
      <c r="J368" s="12">
        <f t="shared" si="299"/>
        <v>3</v>
      </c>
      <c r="K368" s="108">
        <v>45257</v>
      </c>
      <c r="L368" s="24"/>
      <c r="M368" s="9"/>
      <c r="N368" s="10"/>
      <c r="O368" s="11"/>
      <c r="P368" s="12">
        <f t="shared" si="300"/>
        <v>0</v>
      </c>
      <c r="Q368" s="9"/>
      <c r="R368" s="10"/>
      <c r="S368" s="11"/>
      <c r="T368" s="67">
        <f t="shared" si="301"/>
        <v>0</v>
      </c>
      <c r="U368" s="12">
        <f t="shared" si="302"/>
        <v>0</v>
      </c>
      <c r="V368" s="89"/>
    </row>
    <row r="369" spans="1:22" x14ac:dyDescent="0.15">
      <c r="A369" s="24" t="s">
        <v>45</v>
      </c>
      <c r="B369" s="9">
        <v>1</v>
      </c>
      <c r="C369" s="10"/>
      <c r="D369" s="11"/>
      <c r="E369" s="12">
        <f t="shared" si="297"/>
        <v>1</v>
      </c>
      <c r="F369" s="9">
        <v>2</v>
      </c>
      <c r="G369" s="10"/>
      <c r="H369" s="11"/>
      <c r="I369" s="67">
        <f t="shared" si="298"/>
        <v>2</v>
      </c>
      <c r="J369" s="12">
        <f t="shared" si="299"/>
        <v>3</v>
      </c>
      <c r="K369" s="108">
        <v>45271</v>
      </c>
      <c r="L369" s="24"/>
      <c r="M369" s="9"/>
      <c r="N369" s="10"/>
      <c r="O369" s="11"/>
      <c r="P369" s="12">
        <f t="shared" si="300"/>
        <v>0</v>
      </c>
      <c r="Q369" s="9"/>
      <c r="R369" s="10"/>
      <c r="S369" s="11"/>
      <c r="T369" s="67">
        <f t="shared" si="301"/>
        <v>0</v>
      </c>
      <c r="U369" s="12">
        <f t="shared" si="302"/>
        <v>0</v>
      </c>
      <c r="V369" s="89"/>
    </row>
    <row r="370" spans="1:22" x14ac:dyDescent="0.15">
      <c r="A370" s="24" t="s">
        <v>45</v>
      </c>
      <c r="B370" s="9">
        <v>1</v>
      </c>
      <c r="C370" s="10"/>
      <c r="D370" s="11"/>
      <c r="E370" s="12">
        <f t="shared" si="297"/>
        <v>1</v>
      </c>
      <c r="F370" s="9">
        <v>3</v>
      </c>
      <c r="G370" s="10"/>
      <c r="H370" s="11"/>
      <c r="I370" s="67">
        <f t="shared" si="298"/>
        <v>3</v>
      </c>
      <c r="J370" s="12">
        <f t="shared" si="299"/>
        <v>4</v>
      </c>
      <c r="K370" s="108">
        <v>45273</v>
      </c>
      <c r="L370" s="22"/>
      <c r="M370" s="9"/>
      <c r="N370" s="10"/>
      <c r="O370" s="11"/>
      <c r="P370" s="12">
        <f t="shared" si="300"/>
        <v>0</v>
      </c>
      <c r="Q370" s="9"/>
      <c r="R370" s="10"/>
      <c r="S370" s="11"/>
      <c r="T370" s="67">
        <f t="shared" si="301"/>
        <v>0</v>
      </c>
      <c r="U370" s="12">
        <f t="shared" si="302"/>
        <v>0</v>
      </c>
      <c r="V370" s="89"/>
    </row>
    <row r="371" spans="1:22" x14ac:dyDescent="0.15">
      <c r="A371" s="24" t="s">
        <v>45</v>
      </c>
      <c r="B371" s="9"/>
      <c r="C371" s="10">
        <v>1</v>
      </c>
      <c r="D371" s="11"/>
      <c r="E371" s="12">
        <f t="shared" si="297"/>
        <v>1</v>
      </c>
      <c r="F371" s="9"/>
      <c r="G371" s="10"/>
      <c r="H371" s="11"/>
      <c r="I371" s="67">
        <f t="shared" si="298"/>
        <v>0</v>
      </c>
      <c r="J371" s="12">
        <f t="shared" si="299"/>
        <v>1</v>
      </c>
      <c r="K371" s="108">
        <v>45300</v>
      </c>
      <c r="L371" s="24"/>
      <c r="M371" s="9"/>
      <c r="N371" s="10"/>
      <c r="O371" s="11"/>
      <c r="P371" s="12">
        <f t="shared" si="300"/>
        <v>0</v>
      </c>
      <c r="Q371" s="9"/>
      <c r="R371" s="10"/>
      <c r="S371" s="11"/>
      <c r="T371" s="67">
        <f t="shared" si="301"/>
        <v>0</v>
      </c>
      <c r="U371" s="12">
        <f t="shared" si="302"/>
        <v>0</v>
      </c>
      <c r="V371" s="89"/>
    </row>
    <row r="372" spans="1:22" x14ac:dyDescent="0.15">
      <c r="A372" s="24"/>
      <c r="B372" s="9"/>
      <c r="C372" s="10"/>
      <c r="D372" s="11"/>
      <c r="E372" s="12">
        <f t="shared" si="297"/>
        <v>0</v>
      </c>
      <c r="F372" s="9"/>
      <c r="G372" s="10"/>
      <c r="H372" s="11"/>
      <c r="I372" s="67">
        <f t="shared" si="298"/>
        <v>0</v>
      </c>
      <c r="J372" s="12">
        <f t="shared" si="299"/>
        <v>0</v>
      </c>
      <c r="L372" s="24"/>
      <c r="M372" s="9"/>
      <c r="N372" s="10"/>
      <c r="O372" s="11"/>
      <c r="P372" s="12">
        <f t="shared" si="300"/>
        <v>0</v>
      </c>
      <c r="Q372" s="9"/>
      <c r="R372" s="10"/>
      <c r="S372" s="11"/>
      <c r="T372" s="67">
        <f t="shared" si="301"/>
        <v>0</v>
      </c>
      <c r="U372" s="12">
        <f t="shared" si="302"/>
        <v>0</v>
      </c>
      <c r="V372" s="89"/>
    </row>
    <row r="373" spans="1:22" x14ac:dyDescent="0.15">
      <c r="A373" s="22"/>
      <c r="B373" s="9"/>
      <c r="C373" s="10"/>
      <c r="D373" s="11"/>
      <c r="E373" s="12">
        <f t="shared" si="297"/>
        <v>0</v>
      </c>
      <c r="F373" s="9"/>
      <c r="G373" s="10"/>
      <c r="H373" s="11"/>
      <c r="I373" s="67">
        <f t="shared" si="298"/>
        <v>0</v>
      </c>
      <c r="J373" s="12">
        <f t="shared" si="299"/>
        <v>0</v>
      </c>
      <c r="L373" s="22"/>
      <c r="M373" s="9"/>
      <c r="N373" s="10"/>
      <c r="O373" s="11"/>
      <c r="P373" s="12">
        <f t="shared" si="300"/>
        <v>0</v>
      </c>
      <c r="Q373" s="9"/>
      <c r="R373" s="10"/>
      <c r="S373" s="11"/>
      <c r="T373" s="67">
        <f t="shared" si="301"/>
        <v>0</v>
      </c>
      <c r="U373" s="12">
        <f t="shared" si="302"/>
        <v>0</v>
      </c>
      <c r="V373" s="89"/>
    </row>
    <row r="374" spans="1:22" x14ac:dyDescent="0.15">
      <c r="A374" s="24"/>
      <c r="B374" s="9"/>
      <c r="C374" s="10"/>
      <c r="D374" s="11"/>
      <c r="E374" s="12">
        <f t="shared" si="297"/>
        <v>0</v>
      </c>
      <c r="F374" s="9"/>
      <c r="G374" s="10"/>
      <c r="H374" s="11"/>
      <c r="I374" s="67">
        <f t="shared" si="298"/>
        <v>0</v>
      </c>
      <c r="J374" s="12">
        <f t="shared" si="299"/>
        <v>0</v>
      </c>
      <c r="L374" s="24"/>
      <c r="M374" s="9"/>
      <c r="N374" s="10"/>
      <c r="O374" s="11"/>
      <c r="P374" s="12">
        <f t="shared" si="300"/>
        <v>0</v>
      </c>
      <c r="Q374" s="9"/>
      <c r="R374" s="10"/>
      <c r="S374" s="11"/>
      <c r="T374" s="67">
        <f t="shared" si="301"/>
        <v>0</v>
      </c>
      <c r="U374" s="12">
        <f t="shared" si="302"/>
        <v>0</v>
      </c>
      <c r="V374" s="89"/>
    </row>
    <row r="375" spans="1:22" x14ac:dyDescent="0.15">
      <c r="A375" s="24"/>
      <c r="B375" s="9"/>
      <c r="C375" s="10"/>
      <c r="D375" s="11"/>
      <c r="E375" s="12">
        <f t="shared" si="297"/>
        <v>0</v>
      </c>
      <c r="F375" s="9"/>
      <c r="G375" s="10"/>
      <c r="H375" s="11"/>
      <c r="I375" s="67">
        <f t="shared" si="298"/>
        <v>0</v>
      </c>
      <c r="J375" s="12">
        <f t="shared" si="299"/>
        <v>0</v>
      </c>
      <c r="L375" s="24"/>
      <c r="M375" s="9"/>
      <c r="N375" s="10"/>
      <c r="O375" s="11"/>
      <c r="P375" s="12">
        <f t="shared" si="300"/>
        <v>0</v>
      </c>
      <c r="Q375" s="9"/>
      <c r="R375" s="10"/>
      <c r="S375" s="11"/>
      <c r="T375" s="67">
        <f t="shared" si="301"/>
        <v>0</v>
      </c>
      <c r="U375" s="12">
        <f t="shared" si="302"/>
        <v>0</v>
      </c>
      <c r="V375" s="89"/>
    </row>
    <row r="376" spans="1:22" x14ac:dyDescent="0.15">
      <c r="A376" s="21"/>
      <c r="B376" s="9"/>
      <c r="C376" s="10"/>
      <c r="D376" s="11"/>
      <c r="E376" s="12">
        <f t="shared" si="297"/>
        <v>0</v>
      </c>
      <c r="F376" s="9"/>
      <c r="G376" s="10"/>
      <c r="H376" s="11"/>
      <c r="I376" s="67">
        <f t="shared" si="298"/>
        <v>0</v>
      </c>
      <c r="J376" s="12">
        <f t="shared" si="299"/>
        <v>0</v>
      </c>
      <c r="L376" s="21"/>
      <c r="M376" s="9"/>
      <c r="N376" s="10"/>
      <c r="O376" s="11"/>
      <c r="P376" s="12">
        <f t="shared" si="300"/>
        <v>0</v>
      </c>
      <c r="Q376" s="9"/>
      <c r="R376" s="10"/>
      <c r="S376" s="11"/>
      <c r="T376" s="67">
        <f t="shared" si="301"/>
        <v>0</v>
      </c>
      <c r="U376" s="12">
        <f t="shared" si="302"/>
        <v>0</v>
      </c>
      <c r="V376" s="89"/>
    </row>
    <row r="377" spans="1:22" x14ac:dyDescent="0.15">
      <c r="A377" s="21"/>
      <c r="B377" s="9"/>
      <c r="C377" s="10"/>
      <c r="D377" s="11"/>
      <c r="E377" s="12">
        <f t="shared" si="297"/>
        <v>0</v>
      </c>
      <c r="F377" s="9"/>
      <c r="G377" s="10"/>
      <c r="H377" s="11"/>
      <c r="I377" s="67">
        <f t="shared" si="298"/>
        <v>0</v>
      </c>
      <c r="J377" s="12">
        <f t="shared" si="299"/>
        <v>0</v>
      </c>
      <c r="L377" s="21"/>
      <c r="M377" s="9"/>
      <c r="N377" s="10"/>
      <c r="O377" s="11"/>
      <c r="P377" s="12">
        <f t="shared" si="300"/>
        <v>0</v>
      </c>
      <c r="Q377" s="9"/>
      <c r="R377" s="10"/>
      <c r="S377" s="11"/>
      <c r="T377" s="67">
        <f t="shared" si="301"/>
        <v>0</v>
      </c>
      <c r="U377" s="12">
        <f t="shared" si="302"/>
        <v>0</v>
      </c>
      <c r="V377" s="89"/>
    </row>
    <row r="378" spans="1:22" x14ac:dyDescent="0.15">
      <c r="A378" s="21"/>
      <c r="B378" s="9"/>
      <c r="C378" s="10"/>
      <c r="D378" s="11"/>
      <c r="E378" s="12">
        <f t="shared" si="297"/>
        <v>0</v>
      </c>
      <c r="F378" s="9"/>
      <c r="G378" s="10"/>
      <c r="H378" s="11"/>
      <c r="I378" s="67">
        <f t="shared" si="298"/>
        <v>0</v>
      </c>
      <c r="J378" s="12">
        <f t="shared" si="299"/>
        <v>0</v>
      </c>
      <c r="L378" s="21"/>
      <c r="M378" s="9"/>
      <c r="N378" s="10"/>
      <c r="O378" s="11"/>
      <c r="P378" s="12">
        <f t="shared" si="300"/>
        <v>0</v>
      </c>
      <c r="Q378" s="9"/>
      <c r="R378" s="10"/>
      <c r="S378" s="11"/>
      <c r="T378" s="67">
        <f t="shared" si="301"/>
        <v>0</v>
      </c>
      <c r="U378" s="12">
        <f t="shared" si="302"/>
        <v>0</v>
      </c>
      <c r="V378" s="89"/>
    </row>
    <row r="379" spans="1:22" x14ac:dyDescent="0.15">
      <c r="A379" s="24"/>
      <c r="B379" s="13"/>
      <c r="C379" s="14"/>
      <c r="D379" s="15"/>
      <c r="E379" s="12">
        <f t="shared" si="297"/>
        <v>0</v>
      </c>
      <c r="F379" s="13"/>
      <c r="G379" s="14"/>
      <c r="H379" s="15"/>
      <c r="I379" s="67">
        <f t="shared" si="298"/>
        <v>0</v>
      </c>
      <c r="J379" s="12">
        <f t="shared" si="299"/>
        <v>0</v>
      </c>
      <c r="L379" s="24"/>
      <c r="M379" s="13"/>
      <c r="N379" s="14"/>
      <c r="O379" s="15"/>
      <c r="P379" s="12">
        <f t="shared" si="300"/>
        <v>0</v>
      </c>
      <c r="Q379" s="13"/>
      <c r="R379" s="14"/>
      <c r="S379" s="15"/>
      <c r="T379" s="67">
        <f t="shared" si="301"/>
        <v>0</v>
      </c>
      <c r="U379" s="12">
        <f t="shared" si="302"/>
        <v>0</v>
      </c>
      <c r="V379" s="89"/>
    </row>
    <row r="380" spans="1:22" x14ac:dyDescent="0.15">
      <c r="A380" s="24"/>
      <c r="B380" s="9"/>
      <c r="C380" s="10"/>
      <c r="D380" s="11"/>
      <c r="E380" s="12">
        <f t="shared" si="297"/>
        <v>0</v>
      </c>
      <c r="F380" s="9"/>
      <c r="G380" s="10"/>
      <c r="H380" s="11"/>
      <c r="I380" s="67">
        <f t="shared" si="298"/>
        <v>0</v>
      </c>
      <c r="J380" s="12">
        <f t="shared" si="299"/>
        <v>0</v>
      </c>
      <c r="L380" s="24"/>
      <c r="M380" s="9"/>
      <c r="N380" s="10"/>
      <c r="O380" s="11"/>
      <c r="P380" s="12">
        <f t="shared" si="300"/>
        <v>0</v>
      </c>
      <c r="Q380" s="9"/>
      <c r="R380" s="10"/>
      <c r="S380" s="11"/>
      <c r="T380" s="67">
        <f t="shared" si="301"/>
        <v>0</v>
      </c>
      <c r="U380" s="12">
        <f t="shared" si="302"/>
        <v>0</v>
      </c>
      <c r="V380" s="89"/>
    </row>
    <row r="381" spans="1:22" x14ac:dyDescent="0.15">
      <c r="A381" s="7"/>
      <c r="B381" s="9"/>
      <c r="C381" s="10"/>
      <c r="D381" s="11"/>
      <c r="E381" s="12">
        <f t="shared" si="297"/>
        <v>0</v>
      </c>
      <c r="F381" s="9"/>
      <c r="G381" s="10"/>
      <c r="H381" s="11"/>
      <c r="I381" s="67">
        <f t="shared" si="298"/>
        <v>0</v>
      </c>
      <c r="J381" s="12">
        <f t="shared" si="299"/>
        <v>0</v>
      </c>
      <c r="L381" s="7"/>
      <c r="M381" s="9"/>
      <c r="N381" s="10"/>
      <c r="O381" s="11"/>
      <c r="P381" s="12">
        <f t="shared" si="300"/>
        <v>0</v>
      </c>
      <c r="Q381" s="9"/>
      <c r="R381" s="10"/>
      <c r="S381" s="11"/>
      <c r="T381" s="67">
        <f t="shared" si="301"/>
        <v>0</v>
      </c>
      <c r="U381" s="12">
        <f t="shared" si="302"/>
        <v>0</v>
      </c>
      <c r="V381" s="89"/>
    </row>
    <row r="382" spans="1:22" x14ac:dyDescent="0.15">
      <c r="A382" s="59"/>
      <c r="B382" s="9"/>
      <c r="C382" s="10"/>
      <c r="D382" s="11"/>
      <c r="E382" s="12">
        <f t="shared" si="297"/>
        <v>0</v>
      </c>
      <c r="F382" s="9"/>
      <c r="G382" s="10"/>
      <c r="H382" s="11"/>
      <c r="I382" s="67">
        <f t="shared" si="298"/>
        <v>0</v>
      </c>
      <c r="J382" s="12">
        <f t="shared" si="299"/>
        <v>0</v>
      </c>
      <c r="L382" s="97" t="s">
        <v>206</v>
      </c>
      <c r="M382" s="98"/>
      <c r="N382" s="99"/>
      <c r="O382" s="100"/>
      <c r="P382" s="101">
        <f t="shared" si="300"/>
        <v>0</v>
      </c>
      <c r="Q382" s="98"/>
      <c r="R382" s="99"/>
      <c r="S382" s="100"/>
      <c r="T382" s="102">
        <f t="shared" si="301"/>
        <v>0</v>
      </c>
      <c r="U382" s="101">
        <f t="shared" si="302"/>
        <v>0</v>
      </c>
      <c r="V382" s="89"/>
    </row>
    <row r="383" spans="1:22" ht="14.25" thickBot="1" x14ac:dyDescent="0.2">
      <c r="A383" s="22"/>
      <c r="B383" s="9"/>
      <c r="C383" s="10"/>
      <c r="D383" s="11"/>
      <c r="E383" s="12">
        <f t="shared" si="297"/>
        <v>0</v>
      </c>
      <c r="F383" s="9"/>
      <c r="G383" s="10"/>
      <c r="H383" s="11"/>
      <c r="I383" s="67">
        <f t="shared" si="298"/>
        <v>0</v>
      </c>
      <c r="J383" s="19">
        <f t="shared" si="299"/>
        <v>0</v>
      </c>
      <c r="L383" s="110" t="s">
        <v>222</v>
      </c>
      <c r="M383" s="9"/>
      <c r="N383" s="10"/>
      <c r="O383" s="11"/>
      <c r="P383" s="12">
        <f t="shared" si="300"/>
        <v>0</v>
      </c>
      <c r="Q383" s="9"/>
      <c r="R383" s="10"/>
      <c r="S383" s="11"/>
      <c r="T383" s="67">
        <f t="shared" si="301"/>
        <v>0</v>
      </c>
      <c r="U383" s="12">
        <f t="shared" si="302"/>
        <v>0</v>
      </c>
      <c r="V383" s="89" t="s">
        <v>205</v>
      </c>
    </row>
    <row r="384" spans="1:22" ht="14.25" thickBot="1" x14ac:dyDescent="0.2">
      <c r="A384" s="37" t="s">
        <v>17</v>
      </c>
      <c r="B384" s="38">
        <f>SUM(B358:B383)</f>
        <v>7</v>
      </c>
      <c r="C384" s="39">
        <f>SUM(C358:C383)</f>
        <v>3</v>
      </c>
      <c r="D384" s="40">
        <f>SUM(D358:D383)</f>
        <v>3</v>
      </c>
      <c r="E384" s="41">
        <f>SUM(B384:D384)</f>
        <v>13</v>
      </c>
      <c r="F384" s="38">
        <f>SUM(F358:F383)</f>
        <v>15</v>
      </c>
      <c r="G384" s="39">
        <f>SUM(G358:G383)</f>
        <v>8</v>
      </c>
      <c r="H384" s="40">
        <f>SUM(H358:H383)</f>
        <v>4</v>
      </c>
      <c r="I384" s="41">
        <f>SUM(F384:H384)</f>
        <v>27</v>
      </c>
      <c r="J384" s="42">
        <f t="shared" si="299"/>
        <v>40</v>
      </c>
      <c r="L384" s="37" t="s">
        <v>17</v>
      </c>
      <c r="M384" s="38">
        <f>SUM(M358:M383)</f>
        <v>310</v>
      </c>
      <c r="N384" s="39">
        <f>SUM(N358:N383)</f>
        <v>301</v>
      </c>
      <c r="O384" s="40">
        <f>SUM(O358:O383)</f>
        <v>220</v>
      </c>
      <c r="P384" s="41">
        <f>SUM(M384:O384)</f>
        <v>831</v>
      </c>
      <c r="Q384" s="38">
        <f>SUM(Q358:Q383)</f>
        <v>319</v>
      </c>
      <c r="R384" s="39">
        <f>SUM(R358:R383)</f>
        <v>307</v>
      </c>
      <c r="S384" s="40">
        <f>SUM(S358:S383)</f>
        <v>221</v>
      </c>
      <c r="T384" s="41">
        <f>SUM(Q384:S384)</f>
        <v>847</v>
      </c>
      <c r="U384" s="42">
        <f t="shared" si="302"/>
        <v>1678</v>
      </c>
    </row>
    <row r="385" spans="1:22" ht="14.25" thickBot="1" x14ac:dyDescent="0.2">
      <c r="A385" s="20" t="s">
        <v>18</v>
      </c>
      <c r="B385" s="63">
        <f>B357-B384</f>
        <v>4</v>
      </c>
      <c r="C385" s="64">
        <f t="shared" ref="C385:E385" si="303">C357-C384</f>
        <v>4</v>
      </c>
      <c r="D385" s="65">
        <f t="shared" si="303"/>
        <v>5</v>
      </c>
      <c r="E385" s="65">
        <f t="shared" si="303"/>
        <v>13</v>
      </c>
      <c r="F385" s="63">
        <f>F357-F384</f>
        <v>5</v>
      </c>
      <c r="G385" s="64">
        <f t="shared" ref="G385:I385" si="304">G357-G384</f>
        <v>5</v>
      </c>
      <c r="H385" s="65">
        <f t="shared" si="304"/>
        <v>5</v>
      </c>
      <c r="I385" s="65">
        <f t="shared" si="304"/>
        <v>15</v>
      </c>
      <c r="J385" s="29">
        <f t="shared" si="299"/>
        <v>28</v>
      </c>
      <c r="L385" s="20" t="s">
        <v>18</v>
      </c>
      <c r="M385" s="63">
        <f>M357-M384</f>
        <v>277</v>
      </c>
      <c r="N385" s="64">
        <f t="shared" ref="N385:P385" si="305">N357-N384</f>
        <v>418</v>
      </c>
      <c r="O385" s="65">
        <f t="shared" si="305"/>
        <v>323</v>
      </c>
      <c r="P385" s="65">
        <f t="shared" si="305"/>
        <v>1018</v>
      </c>
      <c r="Q385" s="63">
        <f>Q357-Q384</f>
        <v>297</v>
      </c>
      <c r="R385" s="64">
        <f t="shared" ref="R385:T385" si="306">R357-R384</f>
        <v>436</v>
      </c>
      <c r="S385" s="65">
        <f t="shared" si="306"/>
        <v>356</v>
      </c>
      <c r="T385" s="65">
        <f t="shared" si="306"/>
        <v>1089</v>
      </c>
      <c r="U385" s="29">
        <f t="shared" si="302"/>
        <v>2107</v>
      </c>
    </row>
    <row r="386" spans="1:22" x14ac:dyDescent="0.15">
      <c r="L386" s="88"/>
      <c r="M386" s="87" t="s">
        <v>122</v>
      </c>
      <c r="N386" s="87" t="s">
        <v>123</v>
      </c>
      <c r="O386" s="87" t="s">
        <v>124</v>
      </c>
    </row>
    <row r="387" spans="1:22" x14ac:dyDescent="0.15">
      <c r="L387" s="96" t="s">
        <v>207</v>
      </c>
      <c r="M387">
        <v>564</v>
      </c>
      <c r="N387">
        <v>534</v>
      </c>
      <c r="O387">
        <v>305</v>
      </c>
      <c r="P387" s="109">
        <v>1403</v>
      </c>
    </row>
    <row r="388" spans="1:22" ht="19.5" thickBot="1" x14ac:dyDescent="0.25">
      <c r="A388" s="3" t="s">
        <v>209</v>
      </c>
      <c r="B388" s="1"/>
      <c r="C388" s="1"/>
      <c r="D388" s="1"/>
      <c r="E388" s="1"/>
      <c r="F388" s="1"/>
      <c r="G388" s="1"/>
      <c r="H388" s="1"/>
      <c r="I388" s="1"/>
      <c r="J388" s="1"/>
      <c r="L388" s="3" t="s">
        <v>208</v>
      </c>
      <c r="M388" s="1"/>
      <c r="N388" s="1"/>
      <c r="O388" s="1"/>
      <c r="P388" s="1"/>
      <c r="Q388" s="1"/>
      <c r="R388" s="1"/>
      <c r="S388" s="1"/>
      <c r="T388" s="1"/>
      <c r="U388" s="1"/>
    </row>
    <row r="389" spans="1:22" ht="14.25" thickBot="1" x14ac:dyDescent="0.2">
      <c r="A389" s="8" t="s">
        <v>0</v>
      </c>
      <c r="B389" s="227" t="s">
        <v>19</v>
      </c>
      <c r="C389" s="228"/>
      <c r="D389" s="228"/>
      <c r="E389" s="229"/>
      <c r="F389" s="230" t="s">
        <v>20</v>
      </c>
      <c r="G389" s="231"/>
      <c r="H389" s="231"/>
      <c r="I389" s="232"/>
      <c r="J389" s="233" t="s">
        <v>1</v>
      </c>
      <c r="L389" s="8" t="s">
        <v>0</v>
      </c>
      <c r="M389" s="227" t="s">
        <v>19</v>
      </c>
      <c r="N389" s="228"/>
      <c r="O389" s="228"/>
      <c r="P389" s="229"/>
      <c r="Q389" s="230" t="s">
        <v>20</v>
      </c>
      <c r="R389" s="231"/>
      <c r="S389" s="231"/>
      <c r="T389" s="232"/>
      <c r="U389" s="233" t="s">
        <v>1</v>
      </c>
    </row>
    <row r="390" spans="1:22" ht="14.25" thickBot="1" x14ac:dyDescent="0.2">
      <c r="A390" s="8" t="s">
        <v>2</v>
      </c>
      <c r="B390" s="69" t="s">
        <v>3</v>
      </c>
      <c r="C390" s="70" t="s">
        <v>4</v>
      </c>
      <c r="D390" s="71" t="s">
        <v>5</v>
      </c>
      <c r="E390" s="8" t="s">
        <v>6</v>
      </c>
      <c r="F390" s="4" t="s">
        <v>3</v>
      </c>
      <c r="G390" s="5" t="s">
        <v>4</v>
      </c>
      <c r="H390" s="6" t="s">
        <v>5</v>
      </c>
      <c r="I390" s="8" t="s">
        <v>6</v>
      </c>
      <c r="J390" s="234"/>
      <c r="L390" s="8" t="s">
        <v>2</v>
      </c>
      <c r="M390" s="69" t="s">
        <v>3</v>
      </c>
      <c r="N390" s="70" t="s">
        <v>4</v>
      </c>
      <c r="O390" s="71" t="s">
        <v>5</v>
      </c>
      <c r="P390" s="8" t="s">
        <v>6</v>
      </c>
      <c r="Q390" s="4" t="s">
        <v>3</v>
      </c>
      <c r="R390" s="5" t="s">
        <v>4</v>
      </c>
      <c r="S390" s="6" t="s">
        <v>5</v>
      </c>
      <c r="T390" s="8" t="s">
        <v>6</v>
      </c>
      <c r="U390" s="234"/>
    </row>
    <row r="391" spans="1:22" ht="14.25" thickBot="1" x14ac:dyDescent="0.2">
      <c r="A391" s="25" t="s">
        <v>18</v>
      </c>
      <c r="B391" s="26">
        <f>B385</f>
        <v>4</v>
      </c>
      <c r="C391" s="27">
        <f t="shared" ref="C391:D391" si="307">C385</f>
        <v>4</v>
      </c>
      <c r="D391" s="49">
        <f t="shared" si="307"/>
        <v>5</v>
      </c>
      <c r="E391" s="68">
        <f t="shared" ref="E391:E399" si="308">SUM(B391:D391)</f>
        <v>13</v>
      </c>
      <c r="F391" s="26">
        <f>F385</f>
        <v>5</v>
      </c>
      <c r="G391" s="27">
        <f t="shared" ref="G391:H391" si="309">G385</f>
        <v>5</v>
      </c>
      <c r="H391" s="49">
        <f t="shared" si="309"/>
        <v>5</v>
      </c>
      <c r="I391" s="33">
        <f t="shared" ref="I391:I399" si="310">SUM(F391:H391)</f>
        <v>15</v>
      </c>
      <c r="J391" s="33">
        <f>E391+I391</f>
        <v>28</v>
      </c>
      <c r="L391" s="25" t="s">
        <v>18</v>
      </c>
      <c r="M391" s="26">
        <f>M385</f>
        <v>277</v>
      </c>
      <c r="N391" s="27">
        <f t="shared" ref="N391:O391" si="311">N385</f>
        <v>418</v>
      </c>
      <c r="O391" s="49">
        <f t="shared" si="311"/>
        <v>323</v>
      </c>
      <c r="P391" s="107">
        <f t="shared" ref="P391:P398" si="312">SUM(M391:O391)</f>
        <v>1018</v>
      </c>
      <c r="Q391" s="26">
        <f>Q385</f>
        <v>297</v>
      </c>
      <c r="R391" s="27">
        <f t="shared" ref="R391:S391" si="313">R385</f>
        <v>436</v>
      </c>
      <c r="S391" s="49">
        <f t="shared" si="313"/>
        <v>356</v>
      </c>
      <c r="T391" s="29">
        <f t="shared" ref="T391:T398" si="314">SUM(Q391:S391)</f>
        <v>1089</v>
      </c>
      <c r="U391" s="29">
        <f>P391+T391</f>
        <v>2107</v>
      </c>
    </row>
    <row r="392" spans="1:22" x14ac:dyDescent="0.15">
      <c r="A392" s="23" t="s">
        <v>100</v>
      </c>
      <c r="B392" s="47">
        <v>2</v>
      </c>
      <c r="C392" s="48">
        <v>1</v>
      </c>
      <c r="D392" s="72">
        <v>4</v>
      </c>
      <c r="E392" s="42">
        <f t="shared" si="308"/>
        <v>7</v>
      </c>
      <c r="F392" s="38">
        <v>1</v>
      </c>
      <c r="G392" s="39"/>
      <c r="H392" s="40">
        <v>5</v>
      </c>
      <c r="I392" s="66">
        <f t="shared" si="310"/>
        <v>6</v>
      </c>
      <c r="J392" s="57">
        <f t="shared" ref="J392:J399" si="315">E392+I392</f>
        <v>13</v>
      </c>
      <c r="K392" s="108">
        <v>45365</v>
      </c>
      <c r="L392" s="23" t="s">
        <v>38</v>
      </c>
      <c r="M392" s="16">
        <v>2</v>
      </c>
      <c r="N392" s="17">
        <v>1</v>
      </c>
      <c r="O392" s="43">
        <v>4</v>
      </c>
      <c r="P392" s="94">
        <f t="shared" si="312"/>
        <v>7</v>
      </c>
      <c r="Q392" s="16">
        <v>1</v>
      </c>
      <c r="R392" s="17"/>
      <c r="S392" s="43">
        <v>5</v>
      </c>
      <c r="T392" s="94">
        <f t="shared" si="314"/>
        <v>6</v>
      </c>
      <c r="U392" s="94">
        <f t="shared" ref="U392" si="316">P392+T392</f>
        <v>13</v>
      </c>
      <c r="V392" s="108">
        <v>45367</v>
      </c>
    </row>
    <row r="393" spans="1:22" x14ac:dyDescent="0.15">
      <c r="A393" s="23" t="s">
        <v>9</v>
      </c>
      <c r="B393" s="9">
        <v>3</v>
      </c>
      <c r="C393" s="10"/>
      <c r="D393" s="44"/>
      <c r="E393" s="12">
        <f t="shared" si="308"/>
        <v>3</v>
      </c>
      <c r="F393" s="9"/>
      <c r="G393" s="10"/>
      <c r="H393" s="44"/>
      <c r="I393" s="12">
        <f t="shared" si="310"/>
        <v>0</v>
      </c>
      <c r="J393" s="12">
        <f t="shared" si="315"/>
        <v>3</v>
      </c>
      <c r="K393" s="90">
        <v>45373</v>
      </c>
      <c r="L393" s="23" t="s">
        <v>9</v>
      </c>
      <c r="M393" s="9"/>
      <c r="N393" s="10"/>
      <c r="O393" s="44"/>
      <c r="P393" s="12">
        <f t="shared" si="312"/>
        <v>0</v>
      </c>
      <c r="Q393" s="9"/>
      <c r="R393" s="10"/>
      <c r="S393" s="44"/>
      <c r="T393" s="12">
        <f t="shared" si="314"/>
        <v>0</v>
      </c>
      <c r="U393" s="12">
        <f t="shared" ref="U393:U398" si="317">P393+T393</f>
        <v>0</v>
      </c>
    </row>
    <row r="394" spans="1:22" x14ac:dyDescent="0.15">
      <c r="A394" s="23" t="s">
        <v>10</v>
      </c>
      <c r="B394" s="16"/>
      <c r="C394" s="17"/>
      <c r="D394" s="43"/>
      <c r="E394" s="12">
        <f t="shared" si="308"/>
        <v>0</v>
      </c>
      <c r="F394" s="16"/>
      <c r="G394" s="17"/>
      <c r="H394" s="43"/>
      <c r="I394" s="12">
        <f t="shared" si="310"/>
        <v>0</v>
      </c>
      <c r="J394" s="12">
        <f t="shared" si="315"/>
        <v>0</v>
      </c>
      <c r="K394" s="89"/>
      <c r="L394" s="23" t="s">
        <v>92</v>
      </c>
      <c r="M394" s="47">
        <v>8</v>
      </c>
      <c r="N394" s="48">
        <v>16</v>
      </c>
      <c r="O394" s="72">
        <v>1</v>
      </c>
      <c r="P394" s="92">
        <f t="shared" si="312"/>
        <v>25</v>
      </c>
      <c r="Q394" s="47">
        <v>20</v>
      </c>
      <c r="R394" s="48">
        <v>4</v>
      </c>
      <c r="S394" s="72">
        <v>3</v>
      </c>
      <c r="T394" s="93">
        <f t="shared" si="314"/>
        <v>27</v>
      </c>
      <c r="U394" s="94">
        <f t="shared" si="317"/>
        <v>52</v>
      </c>
      <c r="V394" s="90">
        <v>45366</v>
      </c>
    </row>
    <row r="395" spans="1:22" x14ac:dyDescent="0.15">
      <c r="A395" s="23" t="s">
        <v>11</v>
      </c>
      <c r="B395" s="16"/>
      <c r="C395" s="17"/>
      <c r="D395" s="43"/>
      <c r="E395" s="12">
        <f t="shared" si="308"/>
        <v>0</v>
      </c>
      <c r="F395" s="16"/>
      <c r="G395" s="17"/>
      <c r="H395" s="43"/>
      <c r="I395" s="12">
        <f t="shared" si="310"/>
        <v>0</v>
      </c>
      <c r="J395" s="12">
        <f t="shared" si="315"/>
        <v>0</v>
      </c>
      <c r="L395" s="23" t="s">
        <v>11</v>
      </c>
      <c r="M395" s="9"/>
      <c r="N395" s="10"/>
      <c r="O395" s="44"/>
      <c r="P395" s="12">
        <f t="shared" si="312"/>
        <v>0</v>
      </c>
      <c r="Q395" s="9"/>
      <c r="R395" s="10"/>
      <c r="S395" s="44"/>
      <c r="T395" s="67">
        <f t="shared" si="314"/>
        <v>0</v>
      </c>
      <c r="U395" s="12">
        <f t="shared" si="317"/>
        <v>0</v>
      </c>
    </row>
    <row r="396" spans="1:22" x14ac:dyDescent="0.15">
      <c r="A396" s="23" t="s">
        <v>12</v>
      </c>
      <c r="B396" s="9"/>
      <c r="C396" s="10"/>
      <c r="D396" s="44"/>
      <c r="E396" s="12">
        <f t="shared" si="308"/>
        <v>0</v>
      </c>
      <c r="F396" s="9"/>
      <c r="G396" s="10"/>
      <c r="H396" s="44"/>
      <c r="I396" s="67">
        <f t="shared" si="310"/>
        <v>0</v>
      </c>
      <c r="J396" s="12">
        <f t="shared" si="315"/>
        <v>0</v>
      </c>
      <c r="L396" s="23" t="s">
        <v>12</v>
      </c>
      <c r="M396" s="9"/>
      <c r="N396" s="10"/>
      <c r="O396" s="44"/>
      <c r="P396" s="12">
        <f t="shared" si="312"/>
        <v>0</v>
      </c>
      <c r="Q396" s="9"/>
      <c r="R396" s="10"/>
      <c r="S396" s="44"/>
      <c r="T396" s="67">
        <f t="shared" si="314"/>
        <v>0</v>
      </c>
      <c r="U396" s="12">
        <f t="shared" si="317"/>
        <v>0</v>
      </c>
    </row>
    <row r="397" spans="1:22" x14ac:dyDescent="0.15">
      <c r="A397" s="23" t="s">
        <v>13</v>
      </c>
      <c r="B397" s="9"/>
      <c r="C397" s="10"/>
      <c r="D397" s="44"/>
      <c r="E397" s="12">
        <f t="shared" si="308"/>
        <v>0</v>
      </c>
      <c r="F397" s="9"/>
      <c r="G397" s="10"/>
      <c r="H397" s="44"/>
      <c r="I397" s="67">
        <f t="shared" si="310"/>
        <v>0</v>
      </c>
      <c r="J397" s="12">
        <f t="shared" si="315"/>
        <v>0</v>
      </c>
      <c r="L397" s="23" t="s">
        <v>13</v>
      </c>
      <c r="M397" s="9"/>
      <c r="N397" s="10"/>
      <c r="O397" s="44"/>
      <c r="P397" s="12">
        <f t="shared" si="312"/>
        <v>0</v>
      </c>
      <c r="Q397" s="9"/>
      <c r="R397" s="10"/>
      <c r="S397" s="44"/>
      <c r="T397" s="67">
        <f t="shared" si="314"/>
        <v>0</v>
      </c>
      <c r="U397" s="12">
        <f t="shared" si="317"/>
        <v>0</v>
      </c>
    </row>
    <row r="398" spans="1:22" x14ac:dyDescent="0.15">
      <c r="A398" s="23" t="s">
        <v>14</v>
      </c>
      <c r="B398" s="13"/>
      <c r="C398" s="14"/>
      <c r="D398" s="45"/>
      <c r="E398" s="12">
        <f t="shared" si="308"/>
        <v>0</v>
      </c>
      <c r="F398" s="13"/>
      <c r="G398" s="14"/>
      <c r="H398" s="45"/>
      <c r="I398" s="67">
        <f t="shared" si="310"/>
        <v>0</v>
      </c>
      <c r="J398" s="12">
        <f t="shared" si="315"/>
        <v>0</v>
      </c>
      <c r="L398" s="23" t="s">
        <v>14</v>
      </c>
      <c r="M398" s="13"/>
      <c r="N398" s="14"/>
      <c r="O398" s="45"/>
      <c r="P398" s="12">
        <f t="shared" si="312"/>
        <v>0</v>
      </c>
      <c r="Q398" s="13"/>
      <c r="R398" s="14"/>
      <c r="S398" s="45"/>
      <c r="T398" s="67">
        <f t="shared" si="314"/>
        <v>0</v>
      </c>
      <c r="U398" s="12">
        <f t="shared" si="317"/>
        <v>0</v>
      </c>
    </row>
    <row r="399" spans="1:22" ht="14.25" thickBot="1" x14ac:dyDescent="0.2">
      <c r="A399" s="23" t="s">
        <v>15</v>
      </c>
      <c r="B399" s="30"/>
      <c r="C399" s="31"/>
      <c r="D399" s="46"/>
      <c r="E399" s="12">
        <f t="shared" si="308"/>
        <v>0</v>
      </c>
      <c r="F399" s="30"/>
      <c r="G399" s="31"/>
      <c r="H399" s="46"/>
      <c r="I399" s="67">
        <f t="shared" si="310"/>
        <v>0</v>
      </c>
      <c r="J399" s="19">
        <f t="shared" si="315"/>
        <v>0</v>
      </c>
      <c r="L399" s="23" t="s">
        <v>15</v>
      </c>
      <c r="M399" s="13"/>
      <c r="N399" s="14"/>
      <c r="O399" s="45"/>
      <c r="P399" s="12">
        <f t="shared" ref="P399" si="318">SUM(M399:O399)</f>
        <v>0</v>
      </c>
      <c r="Q399" s="13"/>
      <c r="R399" s="14"/>
      <c r="S399" s="45"/>
      <c r="T399" s="67">
        <f t="shared" ref="T399" si="319">SUM(Q399:S399)</f>
        <v>0</v>
      </c>
      <c r="U399" s="12">
        <f t="shared" ref="U399" si="320">P399+T399</f>
        <v>0</v>
      </c>
    </row>
    <row r="400" spans="1:22" ht="14.25" thickBot="1" x14ac:dyDescent="0.2">
      <c r="A400" s="32" t="s">
        <v>16</v>
      </c>
      <c r="B400" s="26">
        <f>SUM(B391:B399)</f>
        <v>9</v>
      </c>
      <c r="C400" s="27">
        <f t="shared" ref="C400:J400" si="321">SUM(C391:C399)</f>
        <v>5</v>
      </c>
      <c r="D400" s="49">
        <f t="shared" si="321"/>
        <v>9</v>
      </c>
      <c r="E400" s="75">
        <f t="shared" si="321"/>
        <v>23</v>
      </c>
      <c r="F400" s="26">
        <f t="shared" si="321"/>
        <v>6</v>
      </c>
      <c r="G400" s="27">
        <f t="shared" si="321"/>
        <v>5</v>
      </c>
      <c r="H400" s="49">
        <f t="shared" si="321"/>
        <v>10</v>
      </c>
      <c r="I400" s="74">
        <f t="shared" si="321"/>
        <v>21</v>
      </c>
      <c r="J400" s="29">
        <f t="shared" si="321"/>
        <v>44</v>
      </c>
      <c r="L400" s="32" t="s">
        <v>16</v>
      </c>
      <c r="M400" s="26">
        <f>SUM(M391:M399)</f>
        <v>287</v>
      </c>
      <c r="N400" s="27">
        <f t="shared" ref="N400:U400" si="322">SUM(N391:N399)</f>
        <v>435</v>
      </c>
      <c r="O400" s="49">
        <f t="shared" si="322"/>
        <v>328</v>
      </c>
      <c r="P400" s="75">
        <f t="shared" si="322"/>
        <v>1050</v>
      </c>
      <c r="Q400" s="26">
        <f t="shared" si="322"/>
        <v>318</v>
      </c>
      <c r="R400" s="27">
        <f t="shared" si="322"/>
        <v>440</v>
      </c>
      <c r="S400" s="49">
        <f t="shared" si="322"/>
        <v>364</v>
      </c>
      <c r="T400" s="74">
        <f t="shared" si="322"/>
        <v>1122</v>
      </c>
      <c r="U400" s="29">
        <f t="shared" si="322"/>
        <v>2172</v>
      </c>
    </row>
    <row r="401" spans="1:23" x14ac:dyDescent="0.15">
      <c r="A401" s="24" t="s">
        <v>45</v>
      </c>
      <c r="B401" s="54"/>
      <c r="C401" s="55"/>
      <c r="D401" s="56"/>
      <c r="E401" s="42">
        <f t="shared" ref="E401:E425" si="323">SUM(B401:D401)</f>
        <v>0</v>
      </c>
      <c r="F401" s="54">
        <v>1</v>
      </c>
      <c r="G401" s="55"/>
      <c r="H401" s="56"/>
      <c r="I401" s="66">
        <f t="shared" ref="I401:I425" si="324">SUM(F401:H401)</f>
        <v>1</v>
      </c>
      <c r="J401" s="57">
        <f t="shared" ref="J401:J428" si="325">E401+I401</f>
        <v>1</v>
      </c>
      <c r="K401" s="108">
        <v>45320</v>
      </c>
      <c r="L401" s="22" t="s">
        <v>229</v>
      </c>
      <c r="M401" s="54">
        <v>5</v>
      </c>
      <c r="N401" s="55">
        <v>5</v>
      </c>
      <c r="O401" s="56">
        <v>5</v>
      </c>
      <c r="P401" s="42">
        <f t="shared" ref="P401:P426" si="326">SUM(M401:O401)</f>
        <v>15</v>
      </c>
      <c r="Q401" s="54">
        <v>5</v>
      </c>
      <c r="R401" s="55">
        <v>5</v>
      </c>
      <c r="S401" s="56">
        <v>5</v>
      </c>
      <c r="T401" s="66">
        <f t="shared" ref="T401:T426" si="327">SUM(Q401:S401)</f>
        <v>15</v>
      </c>
      <c r="U401" s="57">
        <f t="shared" ref="U401:U428" si="328">P401+T401</f>
        <v>30</v>
      </c>
      <c r="V401" s="90">
        <v>45282</v>
      </c>
    </row>
    <row r="402" spans="1:23" x14ac:dyDescent="0.15">
      <c r="A402" s="24" t="s">
        <v>45</v>
      </c>
      <c r="B402" s="16"/>
      <c r="C402" s="17"/>
      <c r="D402" s="18">
        <v>1</v>
      </c>
      <c r="E402" s="12">
        <f t="shared" si="323"/>
        <v>1</v>
      </c>
      <c r="F402" s="16"/>
      <c r="G402" s="17"/>
      <c r="H402" s="18"/>
      <c r="I402" s="67">
        <f t="shared" si="324"/>
        <v>0</v>
      </c>
      <c r="J402" s="12">
        <f t="shared" si="325"/>
        <v>1</v>
      </c>
      <c r="K402" s="108">
        <v>45321</v>
      </c>
      <c r="L402" s="22" t="s">
        <v>230</v>
      </c>
      <c r="M402" s="16">
        <v>50</v>
      </c>
      <c r="N402" s="17">
        <v>100</v>
      </c>
      <c r="O402" s="18">
        <v>60</v>
      </c>
      <c r="P402" s="12">
        <f t="shared" si="326"/>
        <v>210</v>
      </c>
      <c r="Q402" s="16">
        <v>50</v>
      </c>
      <c r="R402" s="17">
        <v>100</v>
      </c>
      <c r="S402" s="18">
        <v>70</v>
      </c>
      <c r="T402" s="67">
        <f t="shared" si="327"/>
        <v>220</v>
      </c>
      <c r="U402" s="12">
        <f t="shared" si="328"/>
        <v>430</v>
      </c>
      <c r="V402" s="90">
        <v>45303</v>
      </c>
    </row>
    <row r="403" spans="1:23" x14ac:dyDescent="0.15">
      <c r="A403" s="24" t="s">
        <v>45</v>
      </c>
      <c r="B403" s="9"/>
      <c r="C403" s="10"/>
      <c r="D403" s="11"/>
      <c r="E403" s="12">
        <f t="shared" si="323"/>
        <v>0</v>
      </c>
      <c r="F403" s="9">
        <v>1</v>
      </c>
      <c r="G403" s="10"/>
      <c r="H403" s="11"/>
      <c r="I403" s="67">
        <f t="shared" si="324"/>
        <v>1</v>
      </c>
      <c r="J403" s="12">
        <f t="shared" si="325"/>
        <v>1</v>
      </c>
      <c r="K403" s="108">
        <v>45322</v>
      </c>
      <c r="L403" s="22" t="s">
        <v>231</v>
      </c>
      <c r="M403" s="9"/>
      <c r="N403" s="10"/>
      <c r="O403" s="11"/>
      <c r="P403" s="12">
        <f t="shared" si="326"/>
        <v>0</v>
      </c>
      <c r="Q403" s="9">
        <v>50</v>
      </c>
      <c r="R403" s="10"/>
      <c r="S403" s="11"/>
      <c r="T403" s="67">
        <f t="shared" si="327"/>
        <v>50</v>
      </c>
      <c r="U403" s="12">
        <f t="shared" si="328"/>
        <v>50</v>
      </c>
      <c r="V403" s="90">
        <v>45310</v>
      </c>
    </row>
    <row r="404" spans="1:23" x14ac:dyDescent="0.15">
      <c r="A404" s="24" t="s">
        <v>236</v>
      </c>
      <c r="B404" s="9"/>
      <c r="C404" s="10"/>
      <c r="D404" s="11">
        <v>2</v>
      </c>
      <c r="E404" s="12">
        <f t="shared" si="323"/>
        <v>2</v>
      </c>
      <c r="F404" s="9"/>
      <c r="G404" s="10"/>
      <c r="H404" s="11">
        <v>1</v>
      </c>
      <c r="I404" s="67">
        <f t="shared" si="324"/>
        <v>1</v>
      </c>
      <c r="J404" s="12">
        <f t="shared" si="325"/>
        <v>3</v>
      </c>
      <c r="K404" s="108">
        <v>45331</v>
      </c>
      <c r="L404" s="22" t="s">
        <v>258</v>
      </c>
      <c r="M404" s="9">
        <v>25</v>
      </c>
      <c r="N404" s="10"/>
      <c r="O404" s="11">
        <v>20</v>
      </c>
      <c r="P404" s="12">
        <f t="shared" si="326"/>
        <v>45</v>
      </c>
      <c r="Q404" s="9"/>
      <c r="R404" s="10"/>
      <c r="S404" s="11">
        <v>3</v>
      </c>
      <c r="T404" s="67">
        <f t="shared" si="327"/>
        <v>3</v>
      </c>
      <c r="U404" s="12">
        <f t="shared" si="328"/>
        <v>48</v>
      </c>
      <c r="V404" s="90">
        <v>45311</v>
      </c>
      <c r="W404" s="50"/>
    </row>
    <row r="405" spans="1:23" x14ac:dyDescent="0.15">
      <c r="A405" s="24" t="s">
        <v>45</v>
      </c>
      <c r="B405" s="9">
        <v>1</v>
      </c>
      <c r="C405" s="10"/>
      <c r="D405" s="11"/>
      <c r="E405" s="12">
        <f t="shared" si="323"/>
        <v>1</v>
      </c>
      <c r="F405" s="9"/>
      <c r="G405" s="10"/>
      <c r="H405" s="11"/>
      <c r="I405" s="67">
        <f t="shared" si="324"/>
        <v>0</v>
      </c>
      <c r="J405" s="12">
        <f t="shared" si="325"/>
        <v>1</v>
      </c>
      <c r="K405" s="108">
        <v>45344</v>
      </c>
      <c r="L405" s="22" t="s">
        <v>259</v>
      </c>
      <c r="M405" s="9"/>
      <c r="N405" s="10"/>
      <c r="O405" s="11"/>
      <c r="P405" s="12">
        <f t="shared" si="326"/>
        <v>0</v>
      </c>
      <c r="Q405" s="9"/>
      <c r="R405" s="10">
        <v>10</v>
      </c>
      <c r="S405" s="11">
        <v>10</v>
      </c>
      <c r="T405" s="67">
        <f t="shared" si="327"/>
        <v>20</v>
      </c>
      <c r="U405" s="12">
        <f t="shared" si="328"/>
        <v>20</v>
      </c>
      <c r="V405" s="90">
        <v>45314</v>
      </c>
      <c r="W405" s="50"/>
    </row>
    <row r="406" spans="1:23" x14ac:dyDescent="0.15">
      <c r="A406" s="24" t="s">
        <v>238</v>
      </c>
      <c r="B406" s="9">
        <v>1</v>
      </c>
      <c r="C406" s="10"/>
      <c r="D406" s="11"/>
      <c r="E406" s="12">
        <f t="shared" si="323"/>
        <v>1</v>
      </c>
      <c r="F406" s="9">
        <v>1</v>
      </c>
      <c r="G406" s="10"/>
      <c r="H406" s="11"/>
      <c r="I406" s="67">
        <f t="shared" si="324"/>
        <v>1</v>
      </c>
      <c r="J406" s="12">
        <f t="shared" si="325"/>
        <v>2</v>
      </c>
      <c r="K406" s="108">
        <v>45349</v>
      </c>
      <c r="L406" s="104" t="s">
        <v>38</v>
      </c>
      <c r="M406" s="9">
        <v>3</v>
      </c>
      <c r="N406" s="10"/>
      <c r="O406" s="11"/>
      <c r="P406" s="12">
        <f t="shared" si="326"/>
        <v>3</v>
      </c>
      <c r="Q406" s="9"/>
      <c r="R406" s="10"/>
      <c r="S406" s="11"/>
      <c r="T406" s="67">
        <f t="shared" si="327"/>
        <v>0</v>
      </c>
      <c r="U406" s="12">
        <f t="shared" si="328"/>
        <v>3</v>
      </c>
      <c r="V406" s="90">
        <v>45373</v>
      </c>
      <c r="W406" s="50"/>
    </row>
    <row r="407" spans="1:23" x14ac:dyDescent="0.15">
      <c r="A407" s="24" t="s">
        <v>240</v>
      </c>
      <c r="B407" s="9">
        <v>2</v>
      </c>
      <c r="C407" s="10">
        <v>1</v>
      </c>
      <c r="D407" s="11">
        <v>4</v>
      </c>
      <c r="E407" s="12">
        <f t="shared" si="323"/>
        <v>7</v>
      </c>
      <c r="F407" s="9">
        <v>1</v>
      </c>
      <c r="G407" s="10"/>
      <c r="H407" s="11">
        <v>5</v>
      </c>
      <c r="I407" s="67">
        <f t="shared" si="324"/>
        <v>6</v>
      </c>
      <c r="J407" s="12">
        <f t="shared" si="325"/>
        <v>13</v>
      </c>
      <c r="K407" s="108">
        <v>45367</v>
      </c>
      <c r="L407" s="24"/>
      <c r="M407" s="9"/>
      <c r="N407" s="10"/>
      <c r="O407" s="11"/>
      <c r="P407" s="12">
        <f t="shared" si="326"/>
        <v>0</v>
      </c>
      <c r="Q407" s="9"/>
      <c r="R407" s="10"/>
      <c r="S407" s="11"/>
      <c r="T407" s="67">
        <f t="shared" si="327"/>
        <v>0</v>
      </c>
      <c r="U407" s="12">
        <f t="shared" si="328"/>
        <v>0</v>
      </c>
      <c r="V407" s="89"/>
    </row>
    <row r="408" spans="1:23" x14ac:dyDescent="0.15">
      <c r="A408" s="24" t="s">
        <v>45</v>
      </c>
      <c r="B408" s="9">
        <v>2</v>
      </c>
      <c r="C408" s="10"/>
      <c r="D408" s="11"/>
      <c r="E408" s="12">
        <f t="shared" si="323"/>
        <v>2</v>
      </c>
      <c r="F408" s="9"/>
      <c r="G408" s="10"/>
      <c r="H408" s="11"/>
      <c r="I408" s="67">
        <f t="shared" si="324"/>
        <v>0</v>
      </c>
      <c r="J408" s="12">
        <f t="shared" si="325"/>
        <v>2</v>
      </c>
      <c r="K408" s="108">
        <v>45372</v>
      </c>
      <c r="L408" s="24"/>
      <c r="M408" s="9"/>
      <c r="N408" s="10"/>
      <c r="O408" s="11"/>
      <c r="P408" s="12">
        <f t="shared" si="326"/>
        <v>0</v>
      </c>
      <c r="Q408" s="9"/>
      <c r="R408" s="10"/>
      <c r="S408" s="11"/>
      <c r="T408" s="67">
        <f t="shared" si="327"/>
        <v>0</v>
      </c>
      <c r="U408" s="12">
        <f t="shared" si="328"/>
        <v>0</v>
      </c>
      <c r="V408" s="89"/>
    </row>
    <row r="409" spans="1:23" x14ac:dyDescent="0.15">
      <c r="A409" s="24" t="s">
        <v>45</v>
      </c>
      <c r="B409" s="9"/>
      <c r="C409" s="10">
        <v>1</v>
      </c>
      <c r="D409" s="11"/>
      <c r="E409" s="12">
        <f t="shared" si="323"/>
        <v>1</v>
      </c>
      <c r="F409" s="9"/>
      <c r="G409" s="10">
        <v>1</v>
      </c>
      <c r="H409" s="11"/>
      <c r="I409" s="67">
        <f t="shared" si="324"/>
        <v>1</v>
      </c>
      <c r="J409" s="12">
        <f t="shared" si="325"/>
        <v>2</v>
      </c>
      <c r="K409" s="108">
        <v>45397</v>
      </c>
      <c r="L409" s="22"/>
      <c r="M409" s="9"/>
      <c r="N409" s="10"/>
      <c r="O409" s="11"/>
      <c r="P409" s="12">
        <f t="shared" si="326"/>
        <v>0</v>
      </c>
      <c r="Q409" s="9"/>
      <c r="R409" s="10"/>
      <c r="S409" s="11"/>
      <c r="T409" s="67">
        <f t="shared" si="327"/>
        <v>0</v>
      </c>
      <c r="U409" s="12">
        <f t="shared" si="328"/>
        <v>0</v>
      </c>
    </row>
    <row r="410" spans="1:23" x14ac:dyDescent="0.15">
      <c r="A410" s="24"/>
      <c r="B410" s="13"/>
      <c r="C410" s="14"/>
      <c r="D410" s="15"/>
      <c r="E410" s="12">
        <f t="shared" si="323"/>
        <v>0</v>
      </c>
      <c r="F410" s="13"/>
      <c r="G410" s="14"/>
      <c r="H410" s="15"/>
      <c r="I410" s="67">
        <f t="shared" si="324"/>
        <v>0</v>
      </c>
      <c r="J410" s="12">
        <f t="shared" si="325"/>
        <v>0</v>
      </c>
      <c r="L410" s="24"/>
      <c r="M410" s="13"/>
      <c r="N410" s="14"/>
      <c r="O410" s="15"/>
      <c r="P410" s="12">
        <f t="shared" si="326"/>
        <v>0</v>
      </c>
      <c r="Q410" s="13"/>
      <c r="R410" s="14"/>
      <c r="S410" s="15"/>
      <c r="T410" s="67">
        <f t="shared" si="327"/>
        <v>0</v>
      </c>
      <c r="U410" s="12">
        <f t="shared" si="328"/>
        <v>0</v>
      </c>
    </row>
    <row r="411" spans="1:23" x14ac:dyDescent="0.15">
      <c r="A411" s="24"/>
      <c r="B411" s="9"/>
      <c r="C411" s="10"/>
      <c r="D411" s="11"/>
      <c r="E411" s="12">
        <f t="shared" si="323"/>
        <v>0</v>
      </c>
      <c r="F411" s="9"/>
      <c r="G411" s="10"/>
      <c r="H411" s="11"/>
      <c r="I411" s="67">
        <f t="shared" si="324"/>
        <v>0</v>
      </c>
      <c r="J411" s="12">
        <f t="shared" si="325"/>
        <v>0</v>
      </c>
      <c r="L411" s="24"/>
      <c r="M411" s="9"/>
      <c r="N411" s="10"/>
      <c r="O411" s="11"/>
      <c r="P411" s="12">
        <f t="shared" si="326"/>
        <v>0</v>
      </c>
      <c r="Q411" s="9"/>
      <c r="R411" s="10"/>
      <c r="S411" s="11"/>
      <c r="T411" s="67">
        <f t="shared" si="327"/>
        <v>0</v>
      </c>
      <c r="U411" s="12">
        <f t="shared" si="328"/>
        <v>0</v>
      </c>
    </row>
    <row r="412" spans="1:23" x14ac:dyDescent="0.15">
      <c r="A412" s="24"/>
      <c r="B412" s="9"/>
      <c r="C412" s="10"/>
      <c r="D412" s="11"/>
      <c r="E412" s="12">
        <f t="shared" si="323"/>
        <v>0</v>
      </c>
      <c r="F412" s="9"/>
      <c r="G412" s="10"/>
      <c r="H412" s="11"/>
      <c r="I412" s="67">
        <f t="shared" si="324"/>
        <v>0</v>
      </c>
      <c r="J412" s="12">
        <f t="shared" si="325"/>
        <v>0</v>
      </c>
      <c r="L412" s="24"/>
      <c r="M412" s="9"/>
      <c r="N412" s="10"/>
      <c r="O412" s="11"/>
      <c r="P412" s="12">
        <f t="shared" si="326"/>
        <v>0</v>
      </c>
      <c r="Q412" s="9"/>
      <c r="R412" s="10"/>
      <c r="S412" s="11"/>
      <c r="T412" s="67">
        <f t="shared" si="327"/>
        <v>0</v>
      </c>
      <c r="U412" s="12">
        <f t="shared" si="328"/>
        <v>0</v>
      </c>
    </row>
    <row r="413" spans="1:23" x14ac:dyDescent="0.15">
      <c r="A413" s="22"/>
      <c r="B413" s="9"/>
      <c r="C413" s="10"/>
      <c r="D413" s="11"/>
      <c r="E413" s="12">
        <f t="shared" si="323"/>
        <v>0</v>
      </c>
      <c r="F413" s="9"/>
      <c r="G413" s="10"/>
      <c r="H413" s="11"/>
      <c r="I413" s="67">
        <f t="shared" si="324"/>
        <v>0</v>
      </c>
      <c r="J413" s="12">
        <f t="shared" si="325"/>
        <v>0</v>
      </c>
      <c r="L413" s="22"/>
      <c r="M413" s="9"/>
      <c r="N413" s="10"/>
      <c r="O413" s="11"/>
      <c r="P413" s="12">
        <f t="shared" si="326"/>
        <v>0</v>
      </c>
      <c r="Q413" s="9"/>
      <c r="R413" s="10"/>
      <c r="S413" s="11"/>
      <c r="T413" s="67">
        <f t="shared" si="327"/>
        <v>0</v>
      </c>
      <c r="U413" s="12">
        <f t="shared" si="328"/>
        <v>0</v>
      </c>
    </row>
    <row r="414" spans="1:23" x14ac:dyDescent="0.15">
      <c r="A414" s="24"/>
      <c r="B414" s="9"/>
      <c r="C414" s="10"/>
      <c r="D414" s="11"/>
      <c r="E414" s="12">
        <f t="shared" si="323"/>
        <v>0</v>
      </c>
      <c r="F414" s="9"/>
      <c r="G414" s="10"/>
      <c r="H414" s="11"/>
      <c r="I414" s="67">
        <f t="shared" si="324"/>
        <v>0</v>
      </c>
      <c r="J414" s="12">
        <f t="shared" si="325"/>
        <v>0</v>
      </c>
      <c r="L414" s="24"/>
      <c r="M414" s="9"/>
      <c r="N414" s="10"/>
      <c r="O414" s="11"/>
      <c r="P414" s="12">
        <f t="shared" si="326"/>
        <v>0</v>
      </c>
      <c r="Q414" s="9"/>
      <c r="R414" s="10"/>
      <c r="S414" s="11"/>
      <c r="T414" s="67">
        <f t="shared" si="327"/>
        <v>0</v>
      </c>
      <c r="U414" s="12">
        <f t="shared" si="328"/>
        <v>0</v>
      </c>
    </row>
    <row r="415" spans="1:23" x14ac:dyDescent="0.15">
      <c r="A415" s="24"/>
      <c r="B415" s="9"/>
      <c r="C415" s="10"/>
      <c r="D415" s="11"/>
      <c r="E415" s="12">
        <f t="shared" si="323"/>
        <v>0</v>
      </c>
      <c r="F415" s="9"/>
      <c r="G415" s="10"/>
      <c r="H415" s="11"/>
      <c r="I415" s="67">
        <f t="shared" si="324"/>
        <v>0</v>
      </c>
      <c r="J415" s="12">
        <f t="shared" si="325"/>
        <v>0</v>
      </c>
      <c r="L415" s="24"/>
      <c r="M415" s="9"/>
      <c r="N415" s="10"/>
      <c r="O415" s="11"/>
      <c r="P415" s="12">
        <f t="shared" si="326"/>
        <v>0</v>
      </c>
      <c r="Q415" s="9"/>
      <c r="R415" s="10"/>
      <c r="S415" s="11"/>
      <c r="T415" s="67">
        <f t="shared" si="327"/>
        <v>0</v>
      </c>
      <c r="U415" s="12">
        <f t="shared" si="328"/>
        <v>0</v>
      </c>
    </row>
    <row r="416" spans="1:23" x14ac:dyDescent="0.15">
      <c r="A416" s="22"/>
      <c r="B416" s="9"/>
      <c r="C416" s="10"/>
      <c r="D416" s="11"/>
      <c r="E416" s="12">
        <f t="shared" si="323"/>
        <v>0</v>
      </c>
      <c r="F416" s="9"/>
      <c r="G416" s="10"/>
      <c r="H416" s="11"/>
      <c r="I416" s="67">
        <f t="shared" si="324"/>
        <v>0</v>
      </c>
      <c r="J416" s="12">
        <f t="shared" si="325"/>
        <v>0</v>
      </c>
      <c r="L416" s="22"/>
      <c r="M416" s="9"/>
      <c r="N416" s="10"/>
      <c r="O416" s="11"/>
      <c r="P416" s="12">
        <f t="shared" si="326"/>
        <v>0</v>
      </c>
      <c r="Q416" s="9"/>
      <c r="R416" s="10"/>
      <c r="S416" s="11"/>
      <c r="T416" s="67">
        <f t="shared" si="327"/>
        <v>0</v>
      </c>
      <c r="U416" s="12">
        <f t="shared" si="328"/>
        <v>0</v>
      </c>
    </row>
    <row r="417" spans="1:22" x14ac:dyDescent="0.15">
      <c r="A417" s="24"/>
      <c r="B417" s="9"/>
      <c r="C417" s="10"/>
      <c r="D417" s="11"/>
      <c r="E417" s="12">
        <f t="shared" si="323"/>
        <v>0</v>
      </c>
      <c r="F417" s="9"/>
      <c r="G417" s="10"/>
      <c r="H417" s="11"/>
      <c r="I417" s="67">
        <f t="shared" si="324"/>
        <v>0</v>
      </c>
      <c r="J417" s="12">
        <f t="shared" si="325"/>
        <v>0</v>
      </c>
      <c r="L417" s="24"/>
      <c r="M417" s="9"/>
      <c r="N417" s="10"/>
      <c r="O417" s="11"/>
      <c r="P417" s="12">
        <f t="shared" si="326"/>
        <v>0</v>
      </c>
      <c r="Q417" s="9"/>
      <c r="R417" s="10"/>
      <c r="S417" s="11"/>
      <c r="T417" s="67">
        <f t="shared" si="327"/>
        <v>0</v>
      </c>
      <c r="U417" s="12">
        <f t="shared" si="328"/>
        <v>0</v>
      </c>
    </row>
    <row r="418" spans="1:22" x14ac:dyDescent="0.15">
      <c r="A418" s="24"/>
      <c r="B418" s="9"/>
      <c r="C418" s="10"/>
      <c r="D418" s="11"/>
      <c r="E418" s="12">
        <f t="shared" si="323"/>
        <v>0</v>
      </c>
      <c r="F418" s="9"/>
      <c r="G418" s="10"/>
      <c r="H418" s="11"/>
      <c r="I418" s="67">
        <f t="shared" si="324"/>
        <v>0</v>
      </c>
      <c r="J418" s="12">
        <f t="shared" si="325"/>
        <v>0</v>
      </c>
      <c r="L418" s="24"/>
      <c r="M418" s="9"/>
      <c r="N418" s="10"/>
      <c r="O418" s="11"/>
      <c r="P418" s="12">
        <f t="shared" si="326"/>
        <v>0</v>
      </c>
      <c r="Q418" s="9"/>
      <c r="R418" s="10"/>
      <c r="S418" s="11"/>
      <c r="T418" s="67">
        <f t="shared" si="327"/>
        <v>0</v>
      </c>
      <c r="U418" s="12">
        <f t="shared" si="328"/>
        <v>0</v>
      </c>
    </row>
    <row r="419" spans="1:22" x14ac:dyDescent="0.15">
      <c r="A419" s="21"/>
      <c r="B419" s="9"/>
      <c r="C419" s="10"/>
      <c r="D419" s="11"/>
      <c r="E419" s="12">
        <f t="shared" si="323"/>
        <v>0</v>
      </c>
      <c r="F419" s="9"/>
      <c r="G419" s="10"/>
      <c r="H419" s="11"/>
      <c r="I419" s="67">
        <f t="shared" si="324"/>
        <v>0</v>
      </c>
      <c r="J419" s="12">
        <f t="shared" si="325"/>
        <v>0</v>
      </c>
      <c r="L419" s="21"/>
      <c r="M419" s="9"/>
      <c r="N419" s="10"/>
      <c r="O419" s="11"/>
      <c r="P419" s="12">
        <f t="shared" si="326"/>
        <v>0</v>
      </c>
      <c r="Q419" s="9"/>
      <c r="R419" s="10"/>
      <c r="S419" s="11"/>
      <c r="T419" s="67">
        <f t="shared" si="327"/>
        <v>0</v>
      </c>
      <c r="U419" s="12">
        <f t="shared" si="328"/>
        <v>0</v>
      </c>
    </row>
    <row r="420" spans="1:22" x14ac:dyDescent="0.15">
      <c r="A420" s="21"/>
      <c r="B420" s="9"/>
      <c r="C420" s="10"/>
      <c r="D420" s="11"/>
      <c r="E420" s="12">
        <f t="shared" si="323"/>
        <v>0</v>
      </c>
      <c r="F420" s="9"/>
      <c r="G420" s="10"/>
      <c r="H420" s="11"/>
      <c r="I420" s="67">
        <f t="shared" si="324"/>
        <v>0</v>
      </c>
      <c r="J420" s="12">
        <f t="shared" si="325"/>
        <v>0</v>
      </c>
      <c r="L420" s="21"/>
      <c r="M420" s="9"/>
      <c r="N420" s="10"/>
      <c r="O420" s="11"/>
      <c r="P420" s="12">
        <f t="shared" si="326"/>
        <v>0</v>
      </c>
      <c r="Q420" s="9"/>
      <c r="R420" s="10"/>
      <c r="S420" s="11"/>
      <c r="T420" s="67">
        <f t="shared" si="327"/>
        <v>0</v>
      </c>
      <c r="U420" s="12">
        <f t="shared" si="328"/>
        <v>0</v>
      </c>
    </row>
    <row r="421" spans="1:22" x14ac:dyDescent="0.15">
      <c r="A421" s="21"/>
      <c r="B421" s="9"/>
      <c r="C421" s="10"/>
      <c r="D421" s="11"/>
      <c r="E421" s="12">
        <f t="shared" si="323"/>
        <v>0</v>
      </c>
      <c r="F421" s="9"/>
      <c r="G421" s="10"/>
      <c r="H421" s="11"/>
      <c r="I421" s="67">
        <f t="shared" si="324"/>
        <v>0</v>
      </c>
      <c r="J421" s="12">
        <f t="shared" si="325"/>
        <v>0</v>
      </c>
      <c r="L421" s="21"/>
      <c r="M421" s="9"/>
      <c r="N421" s="10"/>
      <c r="O421" s="11"/>
      <c r="P421" s="12">
        <f t="shared" si="326"/>
        <v>0</v>
      </c>
      <c r="Q421" s="9"/>
      <c r="R421" s="10"/>
      <c r="S421" s="11"/>
      <c r="T421" s="67">
        <f t="shared" si="327"/>
        <v>0</v>
      </c>
      <c r="U421" s="12">
        <f t="shared" si="328"/>
        <v>0</v>
      </c>
    </row>
    <row r="422" spans="1:22" x14ac:dyDescent="0.15">
      <c r="A422" s="24"/>
      <c r="B422" s="13"/>
      <c r="C422" s="14"/>
      <c r="D422" s="15"/>
      <c r="E422" s="12">
        <f t="shared" si="323"/>
        <v>0</v>
      </c>
      <c r="F422" s="13"/>
      <c r="G422" s="14"/>
      <c r="H422" s="15"/>
      <c r="I422" s="67">
        <f t="shared" si="324"/>
        <v>0</v>
      </c>
      <c r="J422" s="12">
        <f t="shared" si="325"/>
        <v>0</v>
      </c>
      <c r="L422" s="24"/>
      <c r="M422" s="13"/>
      <c r="N422" s="14"/>
      <c r="O422" s="15"/>
      <c r="P422" s="12">
        <f t="shared" si="326"/>
        <v>0</v>
      </c>
      <c r="Q422" s="13"/>
      <c r="R422" s="14"/>
      <c r="S422" s="15"/>
      <c r="T422" s="67">
        <f t="shared" si="327"/>
        <v>0</v>
      </c>
      <c r="U422" s="12">
        <f t="shared" si="328"/>
        <v>0</v>
      </c>
    </row>
    <row r="423" spans="1:22" x14ac:dyDescent="0.15">
      <c r="A423" s="24"/>
      <c r="B423" s="9"/>
      <c r="C423" s="10"/>
      <c r="D423" s="11"/>
      <c r="E423" s="12">
        <f t="shared" si="323"/>
        <v>0</v>
      </c>
      <c r="F423" s="9"/>
      <c r="G423" s="10"/>
      <c r="H423" s="11"/>
      <c r="I423" s="67">
        <f t="shared" si="324"/>
        <v>0</v>
      </c>
      <c r="J423" s="12">
        <f t="shared" si="325"/>
        <v>0</v>
      </c>
      <c r="L423" s="24"/>
      <c r="M423" s="9"/>
      <c r="N423" s="10"/>
      <c r="O423" s="11"/>
      <c r="P423" s="12">
        <f t="shared" si="326"/>
        <v>0</v>
      </c>
      <c r="Q423" s="9"/>
      <c r="R423" s="10"/>
      <c r="S423" s="11"/>
      <c r="T423" s="67">
        <f t="shared" si="327"/>
        <v>0</v>
      </c>
      <c r="U423" s="12">
        <f t="shared" si="328"/>
        <v>0</v>
      </c>
    </row>
    <row r="424" spans="1:22" x14ac:dyDescent="0.15">
      <c r="A424" s="7"/>
      <c r="B424" s="9"/>
      <c r="C424" s="10"/>
      <c r="D424" s="11"/>
      <c r="E424" s="12">
        <f t="shared" si="323"/>
        <v>0</v>
      </c>
      <c r="F424" s="9"/>
      <c r="G424" s="10"/>
      <c r="H424" s="11"/>
      <c r="I424" s="67">
        <f t="shared" si="324"/>
        <v>0</v>
      </c>
      <c r="J424" s="12">
        <f t="shared" si="325"/>
        <v>0</v>
      </c>
      <c r="L424" s="7"/>
      <c r="M424" s="9"/>
      <c r="N424" s="10"/>
      <c r="O424" s="11"/>
      <c r="P424" s="12">
        <f t="shared" si="326"/>
        <v>0</v>
      </c>
      <c r="Q424" s="9"/>
      <c r="R424" s="10"/>
      <c r="S424" s="11"/>
      <c r="T424" s="67">
        <f t="shared" si="327"/>
        <v>0</v>
      </c>
      <c r="U424" s="12">
        <f t="shared" si="328"/>
        <v>0</v>
      </c>
    </row>
    <row r="425" spans="1:22" x14ac:dyDescent="0.15">
      <c r="A425" s="59"/>
      <c r="B425" s="9"/>
      <c r="C425" s="10"/>
      <c r="D425" s="11"/>
      <c r="E425" s="12">
        <f t="shared" si="323"/>
        <v>0</v>
      </c>
      <c r="F425" s="9"/>
      <c r="G425" s="10"/>
      <c r="H425" s="11"/>
      <c r="I425" s="67">
        <f t="shared" si="324"/>
        <v>0</v>
      </c>
      <c r="J425" s="12">
        <f t="shared" si="325"/>
        <v>0</v>
      </c>
      <c r="L425" s="97" t="s">
        <v>214</v>
      </c>
      <c r="M425" s="98"/>
      <c r="N425" s="99"/>
      <c r="O425" s="100"/>
      <c r="P425" s="101">
        <f t="shared" si="326"/>
        <v>0</v>
      </c>
      <c r="Q425" s="98"/>
      <c r="R425" s="99"/>
      <c r="S425" s="100"/>
      <c r="T425" s="102">
        <f t="shared" si="327"/>
        <v>0</v>
      </c>
      <c r="U425" s="101">
        <f t="shared" si="328"/>
        <v>0</v>
      </c>
      <c r="V425" s="89"/>
    </row>
    <row r="426" spans="1:22" ht="14.25" thickBot="1" x14ac:dyDescent="0.2">
      <c r="A426" s="59"/>
      <c r="B426" s="9"/>
      <c r="C426" s="10"/>
      <c r="D426" s="11"/>
      <c r="E426" s="12">
        <f t="shared" ref="E426" si="329">SUM(B426:D426)</f>
        <v>0</v>
      </c>
      <c r="F426" s="9"/>
      <c r="G426" s="10"/>
      <c r="H426" s="11"/>
      <c r="I426" s="67">
        <f t="shared" ref="I426" si="330">SUM(F426:H426)</f>
        <v>0</v>
      </c>
      <c r="J426" s="12">
        <f t="shared" ref="J426" si="331">E426+I426</f>
        <v>0</v>
      </c>
      <c r="L426" s="22" t="s">
        <v>219</v>
      </c>
      <c r="M426" s="9"/>
      <c r="N426" s="10"/>
      <c r="O426" s="11"/>
      <c r="P426" s="12">
        <f t="shared" si="326"/>
        <v>0</v>
      </c>
      <c r="Q426" s="9"/>
      <c r="R426" s="10"/>
      <c r="S426" s="11"/>
      <c r="T426" s="67">
        <f t="shared" si="327"/>
        <v>0</v>
      </c>
      <c r="U426" s="12">
        <f t="shared" si="328"/>
        <v>0</v>
      </c>
      <c r="V426" s="89" t="s">
        <v>220</v>
      </c>
    </row>
    <row r="427" spans="1:22" ht="14.25" thickBot="1" x14ac:dyDescent="0.2">
      <c r="A427" s="37" t="s">
        <v>17</v>
      </c>
      <c r="B427" s="38">
        <f>SUM(B401:B426)</f>
        <v>6</v>
      </c>
      <c r="C427" s="39">
        <f>SUM(C401:C426)</f>
        <v>2</v>
      </c>
      <c r="D427" s="40">
        <f>SUM(D401:D426)</f>
        <v>7</v>
      </c>
      <c r="E427" s="41">
        <f>SUM(B427:D427)</f>
        <v>15</v>
      </c>
      <c r="F427" s="38">
        <f>SUM(F401:F426)</f>
        <v>4</v>
      </c>
      <c r="G427" s="39">
        <f>SUM(G401:G426)</f>
        <v>1</v>
      </c>
      <c r="H427" s="40">
        <f>SUM(H401:H426)</f>
        <v>6</v>
      </c>
      <c r="I427" s="41">
        <f>SUM(F427:H427)</f>
        <v>11</v>
      </c>
      <c r="J427" s="42">
        <f t="shared" si="325"/>
        <v>26</v>
      </c>
      <c r="L427" s="37" t="s">
        <v>17</v>
      </c>
      <c r="M427" s="38">
        <f>SUM(M401:M426)</f>
        <v>83</v>
      </c>
      <c r="N427" s="39">
        <f>SUM(N401:N426)</f>
        <v>105</v>
      </c>
      <c r="O427" s="40">
        <f>SUM(O401:O426)</f>
        <v>85</v>
      </c>
      <c r="P427" s="41">
        <f>SUM(M427:O427)</f>
        <v>273</v>
      </c>
      <c r="Q427" s="38">
        <f>SUM(Q401:Q426)</f>
        <v>105</v>
      </c>
      <c r="R427" s="39">
        <f>SUM(R401:R426)</f>
        <v>115</v>
      </c>
      <c r="S427" s="40">
        <f>SUM(S401:S426)</f>
        <v>88</v>
      </c>
      <c r="T427" s="41">
        <f>SUM(Q427:S427)</f>
        <v>308</v>
      </c>
      <c r="U427" s="42">
        <f t="shared" si="328"/>
        <v>581</v>
      </c>
    </row>
    <row r="428" spans="1:22" ht="14.25" thickBot="1" x14ac:dyDescent="0.2">
      <c r="A428" s="20" t="s">
        <v>18</v>
      </c>
      <c r="B428" s="63">
        <f>B400-B427</f>
        <v>3</v>
      </c>
      <c r="C428" s="64">
        <f t="shared" ref="C428:E428" si="332">C400-C427</f>
        <v>3</v>
      </c>
      <c r="D428" s="65">
        <f t="shared" si="332"/>
        <v>2</v>
      </c>
      <c r="E428" s="65">
        <f t="shared" si="332"/>
        <v>8</v>
      </c>
      <c r="F428" s="63">
        <f>F400-F427</f>
        <v>2</v>
      </c>
      <c r="G428" s="64">
        <f t="shared" ref="G428:I428" si="333">G400-G427</f>
        <v>4</v>
      </c>
      <c r="H428" s="65">
        <f t="shared" si="333"/>
        <v>4</v>
      </c>
      <c r="I428" s="65">
        <f t="shared" si="333"/>
        <v>10</v>
      </c>
      <c r="J428" s="29">
        <f t="shared" si="325"/>
        <v>18</v>
      </c>
      <c r="L428" s="20" t="s">
        <v>18</v>
      </c>
      <c r="M428" s="63">
        <f>M400-M427</f>
        <v>204</v>
      </c>
      <c r="N428" s="64">
        <f t="shared" ref="N428:P428" si="334">N400-N427</f>
        <v>330</v>
      </c>
      <c r="O428" s="65">
        <f t="shared" si="334"/>
        <v>243</v>
      </c>
      <c r="P428" s="65">
        <f t="shared" si="334"/>
        <v>777</v>
      </c>
      <c r="Q428" s="63">
        <f>Q400-Q427</f>
        <v>213</v>
      </c>
      <c r="R428" s="64">
        <f t="shared" ref="R428:T428" si="335">R400-R427</f>
        <v>325</v>
      </c>
      <c r="S428" s="65">
        <f t="shared" si="335"/>
        <v>276</v>
      </c>
      <c r="T428" s="65">
        <f t="shared" si="335"/>
        <v>814</v>
      </c>
      <c r="U428" s="29">
        <f t="shared" si="328"/>
        <v>1591</v>
      </c>
    </row>
    <row r="429" spans="1:22" x14ac:dyDescent="0.15">
      <c r="L429" s="111" t="s">
        <v>226</v>
      </c>
      <c r="M429">
        <v>95</v>
      </c>
      <c r="N429">
        <v>140</v>
      </c>
      <c r="O429">
        <v>130</v>
      </c>
      <c r="P429">
        <f>SUM(M429:O429)</f>
        <v>365</v>
      </c>
      <c r="Q429">
        <v>100</v>
      </c>
      <c r="R429">
        <v>145</v>
      </c>
      <c r="S429">
        <v>130</v>
      </c>
      <c r="T429">
        <f>SUM(Q429:S429)</f>
        <v>375</v>
      </c>
    </row>
    <row r="430" spans="1:22" x14ac:dyDescent="0.15">
      <c r="L430" s="111"/>
      <c r="M430" s="78"/>
      <c r="N430" s="78"/>
      <c r="O430" s="78"/>
      <c r="P430" s="78"/>
      <c r="Q430" s="78"/>
      <c r="R430" s="78"/>
      <c r="S430" s="78"/>
      <c r="T430" s="78"/>
      <c r="U430" s="78"/>
    </row>
    <row r="431" spans="1:22" ht="19.5" thickBot="1" x14ac:dyDescent="0.25">
      <c r="A431" s="3" t="s">
        <v>209</v>
      </c>
      <c r="B431" s="1"/>
      <c r="C431" s="1"/>
      <c r="D431" s="1"/>
      <c r="E431" s="1"/>
      <c r="F431" s="1"/>
      <c r="G431" s="1"/>
      <c r="H431" s="1"/>
      <c r="I431" s="1"/>
      <c r="J431" s="1"/>
      <c r="L431" s="3" t="s">
        <v>208</v>
      </c>
      <c r="M431" s="1"/>
      <c r="N431" s="1"/>
      <c r="O431" s="1"/>
      <c r="P431" s="1"/>
      <c r="Q431" s="1"/>
      <c r="R431" s="1"/>
      <c r="S431" s="1"/>
      <c r="T431" s="1"/>
      <c r="U431" s="1"/>
      <c r="V431" s="90"/>
    </row>
    <row r="432" spans="1:22" ht="14.25" thickBot="1" x14ac:dyDescent="0.2">
      <c r="A432" s="8" t="s">
        <v>0</v>
      </c>
      <c r="B432" s="227" t="s">
        <v>19</v>
      </c>
      <c r="C432" s="228"/>
      <c r="D432" s="228"/>
      <c r="E432" s="229"/>
      <c r="F432" s="230" t="s">
        <v>20</v>
      </c>
      <c r="G432" s="231"/>
      <c r="H432" s="231"/>
      <c r="I432" s="232"/>
      <c r="J432" s="233" t="s">
        <v>1</v>
      </c>
      <c r="L432" s="8" t="s">
        <v>0</v>
      </c>
      <c r="M432" s="227" t="s">
        <v>19</v>
      </c>
      <c r="N432" s="228"/>
      <c r="O432" s="228"/>
      <c r="P432" s="229"/>
      <c r="Q432" s="230" t="s">
        <v>20</v>
      </c>
      <c r="R432" s="231"/>
      <c r="S432" s="231"/>
      <c r="T432" s="232"/>
      <c r="U432" s="233" t="s">
        <v>1</v>
      </c>
    </row>
    <row r="433" spans="1:23" ht="14.25" thickBot="1" x14ac:dyDescent="0.2">
      <c r="A433" s="8" t="s">
        <v>2</v>
      </c>
      <c r="B433" s="69" t="s">
        <v>3</v>
      </c>
      <c r="C433" s="70" t="s">
        <v>4</v>
      </c>
      <c r="D433" s="71" t="s">
        <v>5</v>
      </c>
      <c r="E433" s="8" t="s">
        <v>6</v>
      </c>
      <c r="F433" s="4" t="s">
        <v>3</v>
      </c>
      <c r="G433" s="5" t="s">
        <v>4</v>
      </c>
      <c r="H433" s="6" t="s">
        <v>5</v>
      </c>
      <c r="I433" s="8" t="s">
        <v>6</v>
      </c>
      <c r="J433" s="234"/>
      <c r="L433" s="8" t="s">
        <v>2</v>
      </c>
      <c r="M433" s="69" t="s">
        <v>3</v>
      </c>
      <c r="N433" s="70" t="s">
        <v>4</v>
      </c>
      <c r="O433" s="71" t="s">
        <v>5</v>
      </c>
      <c r="P433" s="8" t="s">
        <v>6</v>
      </c>
      <c r="Q433" s="4" t="s">
        <v>3</v>
      </c>
      <c r="R433" s="5" t="s">
        <v>4</v>
      </c>
      <c r="S433" s="6" t="s">
        <v>5</v>
      </c>
      <c r="T433" s="8" t="s">
        <v>6</v>
      </c>
      <c r="U433" s="234"/>
    </row>
    <row r="434" spans="1:23" ht="14.25" thickBot="1" x14ac:dyDescent="0.2">
      <c r="A434" s="25" t="s">
        <v>18</v>
      </c>
      <c r="B434" s="26">
        <f>B428</f>
        <v>3</v>
      </c>
      <c r="C434" s="27">
        <f t="shared" ref="C434:D434" si="336">C428</f>
        <v>3</v>
      </c>
      <c r="D434" s="49">
        <f t="shared" si="336"/>
        <v>2</v>
      </c>
      <c r="E434" s="68">
        <f t="shared" ref="E434:E442" si="337">SUM(B434:D434)</f>
        <v>8</v>
      </c>
      <c r="F434" s="26">
        <f>F428</f>
        <v>2</v>
      </c>
      <c r="G434" s="27">
        <f t="shared" ref="G434:H434" si="338">G428</f>
        <v>4</v>
      </c>
      <c r="H434" s="49">
        <f t="shared" si="338"/>
        <v>4</v>
      </c>
      <c r="I434" s="33">
        <f t="shared" ref="I434:I442" si="339">SUM(F434:H434)</f>
        <v>10</v>
      </c>
      <c r="J434" s="33">
        <f>E434+I434</f>
        <v>18</v>
      </c>
      <c r="L434" s="25" t="s">
        <v>18</v>
      </c>
      <c r="M434" s="26">
        <f>M428</f>
        <v>204</v>
      </c>
      <c r="N434" s="27">
        <f t="shared" ref="N434:O434" si="340">N428</f>
        <v>330</v>
      </c>
      <c r="O434" s="49">
        <f t="shared" si="340"/>
        <v>243</v>
      </c>
      <c r="P434" s="68">
        <f t="shared" ref="P434:P441" si="341">SUM(M434:O434)</f>
        <v>777</v>
      </c>
      <c r="Q434" s="26">
        <f>Q428</f>
        <v>213</v>
      </c>
      <c r="R434" s="27">
        <f t="shared" ref="R434:S434" si="342">R428</f>
        <v>325</v>
      </c>
      <c r="S434" s="49">
        <f t="shared" si="342"/>
        <v>276</v>
      </c>
      <c r="T434" s="33">
        <f t="shared" ref="T434:T441" si="343">SUM(Q434:S434)</f>
        <v>814</v>
      </c>
      <c r="U434" s="33">
        <f>P434+T434</f>
        <v>1591</v>
      </c>
    </row>
    <row r="435" spans="1:23" x14ac:dyDescent="0.15">
      <c r="A435" s="23" t="s">
        <v>8</v>
      </c>
      <c r="B435" s="47"/>
      <c r="C435" s="48"/>
      <c r="D435" s="72"/>
      <c r="E435" s="42">
        <f t="shared" si="337"/>
        <v>0</v>
      </c>
      <c r="F435" s="38">
        <v>3</v>
      </c>
      <c r="G435" s="39"/>
      <c r="H435" s="40"/>
      <c r="I435" s="66">
        <f t="shared" si="339"/>
        <v>3</v>
      </c>
      <c r="J435" s="57">
        <f t="shared" ref="J435:J442" si="344">E435+I435</f>
        <v>3</v>
      </c>
      <c r="K435" s="90">
        <v>45406</v>
      </c>
      <c r="L435" s="23" t="s">
        <v>8</v>
      </c>
      <c r="M435" s="54"/>
      <c r="N435" s="55"/>
      <c r="O435" s="113"/>
      <c r="P435" s="57">
        <f t="shared" si="341"/>
        <v>0</v>
      </c>
      <c r="Q435" s="54"/>
      <c r="R435" s="55"/>
      <c r="S435" s="113"/>
      <c r="T435" s="114">
        <f t="shared" si="343"/>
        <v>0</v>
      </c>
      <c r="U435" s="57">
        <f t="shared" ref="U435:U441" si="345">P435+T435</f>
        <v>0</v>
      </c>
    </row>
    <row r="436" spans="1:23" x14ac:dyDescent="0.15">
      <c r="A436" s="23" t="s">
        <v>9</v>
      </c>
      <c r="B436" s="9"/>
      <c r="C436" s="10">
        <v>5</v>
      </c>
      <c r="D436" s="44"/>
      <c r="E436" s="12">
        <f t="shared" si="337"/>
        <v>5</v>
      </c>
      <c r="F436" s="9"/>
      <c r="G436" s="10"/>
      <c r="H436" s="44"/>
      <c r="I436" s="12">
        <f t="shared" si="339"/>
        <v>0</v>
      </c>
      <c r="J436" s="12">
        <f t="shared" si="344"/>
        <v>5</v>
      </c>
      <c r="K436" s="90">
        <v>45422</v>
      </c>
      <c r="L436" s="23" t="s">
        <v>9</v>
      </c>
      <c r="M436" s="16"/>
      <c r="N436" s="17"/>
      <c r="O436" s="43"/>
      <c r="P436" s="94">
        <f t="shared" ref="P436" si="346">SUM(M436:O436)</f>
        <v>0</v>
      </c>
      <c r="Q436" s="16"/>
      <c r="R436" s="17"/>
      <c r="S436" s="43"/>
      <c r="T436" s="115">
        <f t="shared" ref="T436" si="347">SUM(Q436:S436)</f>
        <v>0</v>
      </c>
      <c r="U436" s="94">
        <f t="shared" ref="U436" si="348">P436+T436</f>
        <v>0</v>
      </c>
    </row>
    <row r="437" spans="1:23" x14ac:dyDescent="0.15">
      <c r="A437" s="23" t="s">
        <v>10</v>
      </c>
      <c r="B437" s="16">
        <v>2</v>
      </c>
      <c r="C437" s="17"/>
      <c r="D437" s="43">
        <v>2</v>
      </c>
      <c r="E437" s="12">
        <f t="shared" si="337"/>
        <v>4</v>
      </c>
      <c r="F437" s="16"/>
      <c r="G437" s="17"/>
      <c r="H437" s="43">
        <v>2</v>
      </c>
      <c r="I437" s="12">
        <f t="shared" si="339"/>
        <v>2</v>
      </c>
      <c r="J437" s="12">
        <f t="shared" si="344"/>
        <v>6</v>
      </c>
      <c r="K437" s="90">
        <v>45430</v>
      </c>
      <c r="L437" s="23" t="s">
        <v>10</v>
      </c>
      <c r="M437" s="9"/>
      <c r="N437" s="10"/>
      <c r="O437" s="44"/>
      <c r="P437" s="12">
        <f t="shared" si="341"/>
        <v>0</v>
      </c>
      <c r="Q437" s="9"/>
      <c r="R437" s="10"/>
      <c r="S437" s="44"/>
      <c r="T437" s="67">
        <f t="shared" si="343"/>
        <v>0</v>
      </c>
      <c r="U437" s="12">
        <f t="shared" si="345"/>
        <v>0</v>
      </c>
      <c r="V437" s="89"/>
    </row>
    <row r="438" spans="1:23" x14ac:dyDescent="0.15">
      <c r="A438" s="23" t="s">
        <v>11</v>
      </c>
      <c r="B438" s="16"/>
      <c r="C438" s="17"/>
      <c r="D438" s="43"/>
      <c r="E438" s="12">
        <f t="shared" si="337"/>
        <v>0</v>
      </c>
      <c r="F438" s="16"/>
      <c r="G438" s="17"/>
      <c r="H438" s="43"/>
      <c r="I438" s="12">
        <f t="shared" si="339"/>
        <v>0</v>
      </c>
      <c r="J438" s="12">
        <f t="shared" si="344"/>
        <v>0</v>
      </c>
      <c r="K438" s="89"/>
      <c r="L438" s="23" t="s">
        <v>237</v>
      </c>
      <c r="M438" s="9">
        <v>400</v>
      </c>
      <c r="N438" s="10">
        <v>400</v>
      </c>
      <c r="O438" s="44">
        <v>250</v>
      </c>
      <c r="P438" s="12">
        <f t="shared" si="341"/>
        <v>1050</v>
      </c>
      <c r="Q438" s="9">
        <v>400</v>
      </c>
      <c r="R438" s="10">
        <v>400</v>
      </c>
      <c r="S438" s="44">
        <v>250</v>
      </c>
      <c r="T438" s="12">
        <f t="shared" si="343"/>
        <v>1050</v>
      </c>
      <c r="U438" s="12">
        <f t="shared" si="345"/>
        <v>2100</v>
      </c>
      <c r="V438" s="90" t="s">
        <v>245</v>
      </c>
    </row>
    <row r="439" spans="1:23" x14ac:dyDescent="0.15">
      <c r="A439" s="23" t="s">
        <v>12</v>
      </c>
      <c r="B439" s="9"/>
      <c r="C439" s="10"/>
      <c r="D439" s="44"/>
      <c r="E439" s="12">
        <f t="shared" si="337"/>
        <v>0</v>
      </c>
      <c r="F439" s="9"/>
      <c r="G439" s="10"/>
      <c r="H439" s="44"/>
      <c r="I439" s="67">
        <f t="shared" si="339"/>
        <v>0</v>
      </c>
      <c r="J439" s="12">
        <f t="shared" si="344"/>
        <v>0</v>
      </c>
      <c r="L439" s="23" t="s">
        <v>12</v>
      </c>
      <c r="M439" s="9"/>
      <c r="N439" s="10"/>
      <c r="O439" s="44"/>
      <c r="P439" s="12">
        <f t="shared" ref="P439" si="349">SUM(M439:O439)</f>
        <v>0</v>
      </c>
      <c r="Q439" s="9"/>
      <c r="R439" s="10"/>
      <c r="S439" s="44"/>
      <c r="T439" s="67">
        <f t="shared" ref="T439" si="350">SUM(Q439:S439)</f>
        <v>0</v>
      </c>
      <c r="U439" s="12">
        <f t="shared" ref="U439" si="351">P439+T439</f>
        <v>0</v>
      </c>
      <c r="V439" s="89" t="s">
        <v>239</v>
      </c>
    </row>
    <row r="440" spans="1:23" x14ac:dyDescent="0.15">
      <c r="A440" s="23" t="s">
        <v>13</v>
      </c>
      <c r="B440" s="9"/>
      <c r="C440" s="10"/>
      <c r="D440" s="44"/>
      <c r="E440" s="12">
        <f t="shared" si="337"/>
        <v>0</v>
      </c>
      <c r="F440" s="9"/>
      <c r="G440" s="10"/>
      <c r="H440" s="44"/>
      <c r="I440" s="67">
        <f t="shared" si="339"/>
        <v>0</v>
      </c>
      <c r="J440" s="12">
        <f t="shared" si="344"/>
        <v>0</v>
      </c>
      <c r="L440" s="23" t="s">
        <v>13</v>
      </c>
      <c r="M440" s="9"/>
      <c r="N440" s="10"/>
      <c r="O440" s="44"/>
      <c r="P440" s="12">
        <f t="shared" si="341"/>
        <v>0</v>
      </c>
      <c r="Q440" s="9"/>
      <c r="R440" s="10"/>
      <c r="S440" s="44"/>
      <c r="T440" s="67">
        <f t="shared" si="343"/>
        <v>0</v>
      </c>
      <c r="U440" s="12">
        <f t="shared" si="345"/>
        <v>0</v>
      </c>
      <c r="V440" s="89"/>
    </row>
    <row r="441" spans="1:23" x14ac:dyDescent="0.15">
      <c r="A441" s="23" t="s">
        <v>14</v>
      </c>
      <c r="B441" s="13"/>
      <c r="C441" s="14"/>
      <c r="D441" s="45"/>
      <c r="E441" s="12">
        <f t="shared" si="337"/>
        <v>0</v>
      </c>
      <c r="F441" s="13"/>
      <c r="G441" s="14"/>
      <c r="H441" s="45"/>
      <c r="I441" s="67">
        <f t="shared" si="339"/>
        <v>0</v>
      </c>
      <c r="J441" s="12">
        <f t="shared" si="344"/>
        <v>0</v>
      </c>
      <c r="L441" s="23" t="s">
        <v>14</v>
      </c>
      <c r="M441" s="13"/>
      <c r="N441" s="14"/>
      <c r="O441" s="45"/>
      <c r="P441" s="12">
        <f t="shared" si="341"/>
        <v>0</v>
      </c>
      <c r="Q441" s="13"/>
      <c r="R441" s="14"/>
      <c r="S441" s="45"/>
      <c r="T441" s="67">
        <f t="shared" si="343"/>
        <v>0</v>
      </c>
      <c r="U441" s="12">
        <f t="shared" si="345"/>
        <v>0</v>
      </c>
    </row>
    <row r="442" spans="1:23" ht="14.25" thickBot="1" x14ac:dyDescent="0.2">
      <c r="A442" s="23" t="s">
        <v>15</v>
      </c>
      <c r="B442" s="30"/>
      <c r="C442" s="31"/>
      <c r="D442" s="46"/>
      <c r="E442" s="12">
        <f t="shared" si="337"/>
        <v>0</v>
      </c>
      <c r="F442" s="30"/>
      <c r="G442" s="31"/>
      <c r="H442" s="46"/>
      <c r="I442" s="67">
        <f t="shared" si="339"/>
        <v>0</v>
      </c>
      <c r="J442" s="19">
        <f t="shared" si="344"/>
        <v>0</v>
      </c>
      <c r="L442" s="23" t="s">
        <v>15</v>
      </c>
      <c r="M442" s="13"/>
      <c r="N442" s="14"/>
      <c r="O442" s="45"/>
      <c r="P442" s="12">
        <f t="shared" ref="P442" si="352">SUM(M442:O442)</f>
        <v>0</v>
      </c>
      <c r="Q442" s="13"/>
      <c r="R442" s="14"/>
      <c r="S442" s="45"/>
      <c r="T442" s="67">
        <f t="shared" ref="T442" si="353">SUM(Q442:S442)</f>
        <v>0</v>
      </c>
      <c r="U442" s="12">
        <f t="shared" ref="U442" si="354">P442+T442</f>
        <v>0</v>
      </c>
    </row>
    <row r="443" spans="1:23" ht="14.25" thickBot="1" x14ac:dyDescent="0.2">
      <c r="A443" s="32" t="s">
        <v>16</v>
      </c>
      <c r="B443" s="26">
        <f>SUM(B434:B442)</f>
        <v>5</v>
      </c>
      <c r="C443" s="27">
        <f t="shared" ref="C443:J443" si="355">SUM(C434:C442)</f>
        <v>8</v>
      </c>
      <c r="D443" s="49">
        <f t="shared" si="355"/>
        <v>4</v>
      </c>
      <c r="E443" s="75">
        <f t="shared" si="355"/>
        <v>17</v>
      </c>
      <c r="F443" s="26">
        <f t="shared" si="355"/>
        <v>5</v>
      </c>
      <c r="G443" s="27">
        <f t="shared" si="355"/>
        <v>4</v>
      </c>
      <c r="H443" s="49">
        <f t="shared" si="355"/>
        <v>6</v>
      </c>
      <c r="I443" s="74">
        <f t="shared" si="355"/>
        <v>15</v>
      </c>
      <c r="J443" s="29">
        <f t="shared" si="355"/>
        <v>32</v>
      </c>
      <c r="L443" s="32" t="s">
        <v>16</v>
      </c>
      <c r="M443" s="26">
        <f>SUM(M434:M442)</f>
        <v>604</v>
      </c>
      <c r="N443" s="27">
        <f t="shared" ref="N443:U443" si="356">SUM(N434:N442)</f>
        <v>730</v>
      </c>
      <c r="O443" s="49">
        <f t="shared" si="356"/>
        <v>493</v>
      </c>
      <c r="P443" s="75">
        <f t="shared" si="356"/>
        <v>1827</v>
      </c>
      <c r="Q443" s="26">
        <f t="shared" si="356"/>
        <v>613</v>
      </c>
      <c r="R443" s="27">
        <f t="shared" si="356"/>
        <v>725</v>
      </c>
      <c r="S443" s="49">
        <f t="shared" si="356"/>
        <v>526</v>
      </c>
      <c r="T443" s="74">
        <f t="shared" si="356"/>
        <v>1864</v>
      </c>
      <c r="U443" s="29">
        <f t="shared" si="356"/>
        <v>3691</v>
      </c>
    </row>
    <row r="444" spans="1:23" x14ac:dyDescent="0.15">
      <c r="A444" s="22" t="s">
        <v>249</v>
      </c>
      <c r="B444" s="54"/>
      <c r="C444" s="55"/>
      <c r="D444" s="56"/>
      <c r="E444" s="42">
        <f t="shared" ref="E444:E468" si="357">SUM(B444:D444)</f>
        <v>0</v>
      </c>
      <c r="F444" s="54">
        <v>1</v>
      </c>
      <c r="G444" s="55"/>
      <c r="H444" s="56"/>
      <c r="I444" s="66">
        <f t="shared" ref="I444:I468" si="358">SUM(F444:H444)</f>
        <v>1</v>
      </c>
      <c r="J444" s="57">
        <f t="shared" ref="J444:J471" si="359">E444+I444</f>
        <v>1</v>
      </c>
      <c r="K444" s="108">
        <v>45398</v>
      </c>
      <c r="L444" s="116" t="s">
        <v>243</v>
      </c>
      <c r="M444" s="54">
        <v>25</v>
      </c>
      <c r="N444" s="55">
        <v>25</v>
      </c>
      <c r="O444" s="56">
        <v>25</v>
      </c>
      <c r="P444" s="42">
        <f t="shared" ref="P444:P469" si="360">SUM(M444:O444)</f>
        <v>75</v>
      </c>
      <c r="Q444" s="54">
        <v>25</v>
      </c>
      <c r="R444" s="55">
        <v>25</v>
      </c>
      <c r="S444" s="56">
        <v>25</v>
      </c>
      <c r="T444" s="66">
        <f t="shared" ref="T444:T469" si="361">SUM(Q444:S444)</f>
        <v>75</v>
      </c>
      <c r="U444" s="57">
        <f t="shared" ref="U444:U471" si="362">P444+T444</f>
        <v>150</v>
      </c>
      <c r="V444" s="90">
        <v>45386</v>
      </c>
      <c r="W444" s="50"/>
    </row>
    <row r="445" spans="1:23" x14ac:dyDescent="0.15">
      <c r="A445" s="22" t="s">
        <v>45</v>
      </c>
      <c r="B445" s="16"/>
      <c r="C445" s="17"/>
      <c r="D445" s="18"/>
      <c r="E445" s="12">
        <f t="shared" si="357"/>
        <v>0</v>
      </c>
      <c r="F445" s="16">
        <v>1</v>
      </c>
      <c r="G445" s="17"/>
      <c r="H445" s="18"/>
      <c r="I445" s="67">
        <f t="shared" si="358"/>
        <v>1</v>
      </c>
      <c r="J445" s="12">
        <f t="shared" si="359"/>
        <v>1</v>
      </c>
      <c r="K445" s="108">
        <v>45402</v>
      </c>
      <c r="L445" s="116" t="s">
        <v>248</v>
      </c>
      <c r="M445" s="16">
        <v>300</v>
      </c>
      <c r="N445" s="17">
        <v>350</v>
      </c>
      <c r="O445" s="18">
        <v>200</v>
      </c>
      <c r="P445" s="12">
        <f t="shared" si="360"/>
        <v>850</v>
      </c>
      <c r="Q445" s="16">
        <v>300</v>
      </c>
      <c r="R445" s="17">
        <v>350</v>
      </c>
      <c r="S445" s="18">
        <v>200</v>
      </c>
      <c r="T445" s="67">
        <f t="shared" si="361"/>
        <v>850</v>
      </c>
      <c r="U445" s="12">
        <f t="shared" si="362"/>
        <v>1700</v>
      </c>
      <c r="V445" s="90">
        <v>45400</v>
      </c>
      <c r="W445" s="50"/>
    </row>
    <row r="446" spans="1:23" x14ac:dyDescent="0.15">
      <c r="A446" s="22" t="s">
        <v>45</v>
      </c>
      <c r="B446" s="9"/>
      <c r="C446" s="10"/>
      <c r="D446" s="11"/>
      <c r="E446" s="12">
        <f t="shared" si="357"/>
        <v>0</v>
      </c>
      <c r="F446" s="9"/>
      <c r="G446" s="10"/>
      <c r="H446" s="11">
        <v>2</v>
      </c>
      <c r="I446" s="67">
        <f t="shared" si="358"/>
        <v>2</v>
      </c>
      <c r="J446" s="12">
        <f t="shared" si="359"/>
        <v>2</v>
      </c>
      <c r="K446" s="108">
        <v>45404</v>
      </c>
      <c r="L446" s="116" t="s">
        <v>252</v>
      </c>
      <c r="M446" s="9">
        <v>195</v>
      </c>
      <c r="N446" s="10">
        <v>162</v>
      </c>
      <c r="O446" s="11">
        <v>76</v>
      </c>
      <c r="P446" s="12">
        <f t="shared" si="360"/>
        <v>433</v>
      </c>
      <c r="Q446" s="9">
        <v>195</v>
      </c>
      <c r="R446" s="10">
        <v>162</v>
      </c>
      <c r="S446" s="11">
        <v>76</v>
      </c>
      <c r="T446" s="67">
        <f t="shared" si="361"/>
        <v>433</v>
      </c>
      <c r="U446" s="12">
        <f t="shared" si="362"/>
        <v>866</v>
      </c>
      <c r="V446" s="90">
        <v>45406</v>
      </c>
      <c r="W446" s="50"/>
    </row>
    <row r="447" spans="1:23" x14ac:dyDescent="0.15">
      <c r="A447" s="24" t="s">
        <v>255</v>
      </c>
      <c r="B447" s="9">
        <v>1</v>
      </c>
      <c r="C447" s="10"/>
      <c r="D447" s="11"/>
      <c r="E447" s="12">
        <f t="shared" si="357"/>
        <v>1</v>
      </c>
      <c r="F447" s="9"/>
      <c r="G447" s="10"/>
      <c r="H447" s="11"/>
      <c r="I447" s="67">
        <f t="shared" si="358"/>
        <v>0</v>
      </c>
      <c r="J447" s="12">
        <f t="shared" si="359"/>
        <v>1</v>
      </c>
      <c r="K447" s="108">
        <v>45421</v>
      </c>
      <c r="L447" s="104" t="s">
        <v>38</v>
      </c>
      <c r="M447" s="9"/>
      <c r="N447" s="10"/>
      <c r="O447" s="11"/>
      <c r="P447" s="12">
        <f t="shared" si="360"/>
        <v>0</v>
      </c>
      <c r="Q447" s="9">
        <v>3</v>
      </c>
      <c r="R447" s="10"/>
      <c r="S447" s="11"/>
      <c r="T447" s="67">
        <f t="shared" si="361"/>
        <v>3</v>
      </c>
      <c r="U447" s="12">
        <f t="shared" si="362"/>
        <v>3</v>
      </c>
      <c r="V447" s="90">
        <v>45406</v>
      </c>
      <c r="W447" s="50"/>
    </row>
    <row r="448" spans="1:23" x14ac:dyDescent="0.15">
      <c r="A448" s="22" t="s">
        <v>45</v>
      </c>
      <c r="B448" s="9"/>
      <c r="C448" s="10">
        <v>5</v>
      </c>
      <c r="D448" s="11"/>
      <c r="E448" s="12">
        <f t="shared" si="357"/>
        <v>5</v>
      </c>
      <c r="F448" s="9"/>
      <c r="G448" s="10"/>
      <c r="H448" s="11"/>
      <c r="I448" s="67">
        <f t="shared" si="358"/>
        <v>0</v>
      </c>
      <c r="J448" s="12">
        <f t="shared" si="359"/>
        <v>5</v>
      </c>
      <c r="K448" s="108">
        <v>45422</v>
      </c>
      <c r="L448" s="104" t="s">
        <v>38</v>
      </c>
      <c r="M448" s="9"/>
      <c r="N448" s="10">
        <v>5</v>
      </c>
      <c r="O448" s="11"/>
      <c r="P448" s="12">
        <f t="shared" si="360"/>
        <v>5</v>
      </c>
      <c r="Q448" s="9"/>
      <c r="R448" s="10"/>
      <c r="S448" s="11"/>
      <c r="T448" s="67">
        <f t="shared" si="361"/>
        <v>0</v>
      </c>
      <c r="U448" s="12">
        <f t="shared" si="362"/>
        <v>5</v>
      </c>
      <c r="V448" s="90">
        <v>45422</v>
      </c>
    </row>
    <row r="449" spans="1:22" x14ac:dyDescent="0.15">
      <c r="A449" s="24" t="s">
        <v>262</v>
      </c>
      <c r="B449" s="9"/>
      <c r="C449" s="10"/>
      <c r="D449" s="11"/>
      <c r="E449" s="12">
        <f t="shared" si="357"/>
        <v>0</v>
      </c>
      <c r="F449" s="9"/>
      <c r="G449" s="10">
        <v>1</v>
      </c>
      <c r="H449" s="11"/>
      <c r="I449" s="67">
        <f t="shared" si="358"/>
        <v>1</v>
      </c>
      <c r="J449" s="12">
        <f t="shared" si="359"/>
        <v>1</v>
      </c>
      <c r="K449" s="108">
        <v>45425</v>
      </c>
      <c r="L449" s="104" t="s">
        <v>38</v>
      </c>
      <c r="M449" s="9">
        <v>2</v>
      </c>
      <c r="N449" s="10"/>
      <c r="O449" s="11">
        <v>2</v>
      </c>
      <c r="P449" s="12">
        <f t="shared" si="360"/>
        <v>4</v>
      </c>
      <c r="Q449" s="9"/>
      <c r="R449" s="10"/>
      <c r="S449" s="11">
        <v>2</v>
      </c>
      <c r="T449" s="67">
        <f t="shared" si="361"/>
        <v>2</v>
      </c>
      <c r="U449" s="12">
        <f t="shared" si="362"/>
        <v>6</v>
      </c>
      <c r="V449" s="90">
        <v>45430</v>
      </c>
    </row>
    <row r="450" spans="1:22" x14ac:dyDescent="0.15">
      <c r="A450" s="22" t="s">
        <v>45</v>
      </c>
      <c r="B450" s="9"/>
      <c r="C450" s="10"/>
      <c r="D450" s="11"/>
      <c r="E450" s="12">
        <f t="shared" si="357"/>
        <v>0</v>
      </c>
      <c r="F450" s="9"/>
      <c r="G450" s="10"/>
      <c r="H450" s="11">
        <v>1</v>
      </c>
      <c r="I450" s="67">
        <f t="shared" si="358"/>
        <v>1</v>
      </c>
      <c r="J450" s="12">
        <f t="shared" si="359"/>
        <v>1</v>
      </c>
      <c r="K450" s="108">
        <v>45428</v>
      </c>
      <c r="L450" s="24"/>
      <c r="M450" s="9"/>
      <c r="N450" s="10"/>
      <c r="O450" s="11"/>
      <c r="P450" s="12">
        <f t="shared" si="360"/>
        <v>0</v>
      </c>
      <c r="Q450" s="9"/>
      <c r="R450" s="10"/>
      <c r="S450" s="11"/>
      <c r="T450" s="67">
        <f t="shared" si="361"/>
        <v>0</v>
      </c>
      <c r="U450" s="12">
        <f t="shared" si="362"/>
        <v>0</v>
      </c>
    </row>
    <row r="451" spans="1:22" x14ac:dyDescent="0.15">
      <c r="A451" s="24" t="s">
        <v>263</v>
      </c>
      <c r="B451" s="9"/>
      <c r="C451" s="10"/>
      <c r="D451" s="11"/>
      <c r="E451" s="12">
        <f t="shared" si="357"/>
        <v>0</v>
      </c>
      <c r="F451" s="9"/>
      <c r="G451" s="10">
        <v>1</v>
      </c>
      <c r="H451" s="11"/>
      <c r="I451" s="67">
        <f t="shared" si="358"/>
        <v>1</v>
      </c>
      <c r="J451" s="12">
        <f t="shared" si="359"/>
        <v>1</v>
      </c>
      <c r="K451" s="108">
        <v>45432</v>
      </c>
      <c r="L451" s="24"/>
      <c r="M451" s="9"/>
      <c r="N451" s="10"/>
      <c r="O451" s="11"/>
      <c r="P451" s="12">
        <f t="shared" si="360"/>
        <v>0</v>
      </c>
      <c r="Q451" s="9"/>
      <c r="R451" s="10"/>
      <c r="S451" s="11"/>
      <c r="T451" s="67">
        <f t="shared" si="361"/>
        <v>0</v>
      </c>
      <c r="U451" s="12">
        <f t="shared" si="362"/>
        <v>0</v>
      </c>
    </row>
    <row r="452" spans="1:22" x14ac:dyDescent="0.15">
      <c r="A452" s="22"/>
      <c r="B452" s="9"/>
      <c r="C452" s="10"/>
      <c r="D452" s="11"/>
      <c r="E452" s="12">
        <f t="shared" si="357"/>
        <v>0</v>
      </c>
      <c r="F452" s="9"/>
      <c r="G452" s="10"/>
      <c r="H452" s="11"/>
      <c r="I452" s="67">
        <f t="shared" si="358"/>
        <v>0</v>
      </c>
      <c r="J452" s="12">
        <f t="shared" si="359"/>
        <v>0</v>
      </c>
      <c r="L452" s="22"/>
      <c r="M452" s="9"/>
      <c r="N452" s="10"/>
      <c r="O452" s="11"/>
      <c r="P452" s="12">
        <f t="shared" si="360"/>
        <v>0</v>
      </c>
      <c r="Q452" s="9"/>
      <c r="R452" s="10"/>
      <c r="S452" s="11"/>
      <c r="T452" s="67">
        <f t="shared" si="361"/>
        <v>0</v>
      </c>
      <c r="U452" s="12">
        <f t="shared" si="362"/>
        <v>0</v>
      </c>
    </row>
    <row r="453" spans="1:22" x14ac:dyDescent="0.15">
      <c r="A453" s="24"/>
      <c r="B453" s="13"/>
      <c r="C453" s="14"/>
      <c r="D453" s="15"/>
      <c r="E453" s="12">
        <f t="shared" si="357"/>
        <v>0</v>
      </c>
      <c r="F453" s="13"/>
      <c r="G453" s="14"/>
      <c r="H453" s="15"/>
      <c r="I453" s="67">
        <f t="shared" si="358"/>
        <v>0</v>
      </c>
      <c r="J453" s="12">
        <f t="shared" si="359"/>
        <v>0</v>
      </c>
      <c r="L453" s="24"/>
      <c r="M453" s="13"/>
      <c r="N453" s="14"/>
      <c r="O453" s="15"/>
      <c r="P453" s="12">
        <f t="shared" si="360"/>
        <v>0</v>
      </c>
      <c r="Q453" s="13"/>
      <c r="R453" s="14"/>
      <c r="S453" s="15"/>
      <c r="T453" s="67">
        <f t="shared" si="361"/>
        <v>0</v>
      </c>
      <c r="U453" s="12">
        <f t="shared" si="362"/>
        <v>0</v>
      </c>
    </row>
    <row r="454" spans="1:22" x14ac:dyDescent="0.15">
      <c r="A454" s="24"/>
      <c r="B454" s="9"/>
      <c r="C454" s="10"/>
      <c r="D454" s="11"/>
      <c r="E454" s="12">
        <f t="shared" si="357"/>
        <v>0</v>
      </c>
      <c r="F454" s="9"/>
      <c r="G454" s="10"/>
      <c r="H454" s="11"/>
      <c r="I454" s="67">
        <f t="shared" si="358"/>
        <v>0</v>
      </c>
      <c r="J454" s="12">
        <f t="shared" si="359"/>
        <v>0</v>
      </c>
      <c r="L454" s="24"/>
      <c r="M454" s="9"/>
      <c r="N454" s="10"/>
      <c r="O454" s="11"/>
      <c r="P454" s="12">
        <f t="shared" si="360"/>
        <v>0</v>
      </c>
      <c r="Q454" s="9"/>
      <c r="R454" s="10"/>
      <c r="S454" s="11"/>
      <c r="T454" s="67">
        <f t="shared" si="361"/>
        <v>0</v>
      </c>
      <c r="U454" s="12">
        <f t="shared" si="362"/>
        <v>0</v>
      </c>
    </row>
    <row r="455" spans="1:22" x14ac:dyDescent="0.15">
      <c r="A455" s="24"/>
      <c r="B455" s="9"/>
      <c r="C455" s="10"/>
      <c r="D455" s="11"/>
      <c r="E455" s="12">
        <f t="shared" si="357"/>
        <v>0</v>
      </c>
      <c r="F455" s="9"/>
      <c r="G455" s="10"/>
      <c r="H455" s="11"/>
      <c r="I455" s="67">
        <f t="shared" si="358"/>
        <v>0</v>
      </c>
      <c r="J455" s="12">
        <f t="shared" si="359"/>
        <v>0</v>
      </c>
      <c r="L455" s="24"/>
      <c r="M455" s="9"/>
      <c r="N455" s="10"/>
      <c r="O455" s="11"/>
      <c r="P455" s="12">
        <f t="shared" si="360"/>
        <v>0</v>
      </c>
      <c r="Q455" s="9"/>
      <c r="R455" s="10"/>
      <c r="S455" s="11"/>
      <c r="T455" s="67">
        <f t="shared" si="361"/>
        <v>0</v>
      </c>
      <c r="U455" s="12">
        <f t="shared" si="362"/>
        <v>0</v>
      </c>
    </row>
    <row r="456" spans="1:22" x14ac:dyDescent="0.15">
      <c r="A456" s="22"/>
      <c r="B456" s="9"/>
      <c r="C456" s="10"/>
      <c r="D456" s="11"/>
      <c r="E456" s="12">
        <f t="shared" si="357"/>
        <v>0</v>
      </c>
      <c r="F456" s="9"/>
      <c r="G456" s="10"/>
      <c r="H456" s="11"/>
      <c r="I456" s="67">
        <f t="shared" si="358"/>
        <v>0</v>
      </c>
      <c r="J456" s="12">
        <f t="shared" si="359"/>
        <v>0</v>
      </c>
      <c r="L456" s="22"/>
      <c r="M456" s="9"/>
      <c r="N456" s="10"/>
      <c r="O456" s="11"/>
      <c r="P456" s="12">
        <f t="shared" si="360"/>
        <v>0</v>
      </c>
      <c r="Q456" s="9"/>
      <c r="R456" s="10"/>
      <c r="S456" s="11"/>
      <c r="T456" s="67">
        <f t="shared" si="361"/>
        <v>0</v>
      </c>
      <c r="U456" s="12">
        <f t="shared" si="362"/>
        <v>0</v>
      </c>
    </row>
    <row r="457" spans="1:22" x14ac:dyDescent="0.15">
      <c r="A457" s="24"/>
      <c r="B457" s="9"/>
      <c r="C457" s="10"/>
      <c r="D457" s="11"/>
      <c r="E457" s="12">
        <f t="shared" si="357"/>
        <v>0</v>
      </c>
      <c r="F457" s="9"/>
      <c r="G457" s="10"/>
      <c r="H457" s="11"/>
      <c r="I457" s="67">
        <f t="shared" si="358"/>
        <v>0</v>
      </c>
      <c r="J457" s="12">
        <f t="shared" si="359"/>
        <v>0</v>
      </c>
      <c r="L457" s="24"/>
      <c r="M457" s="9"/>
      <c r="N457" s="10"/>
      <c r="O457" s="11"/>
      <c r="P457" s="12">
        <f t="shared" si="360"/>
        <v>0</v>
      </c>
      <c r="Q457" s="9"/>
      <c r="R457" s="10"/>
      <c r="S457" s="11"/>
      <c r="T457" s="67">
        <f t="shared" si="361"/>
        <v>0</v>
      </c>
      <c r="U457" s="12">
        <f t="shared" si="362"/>
        <v>0</v>
      </c>
    </row>
    <row r="458" spans="1:22" x14ac:dyDescent="0.15">
      <c r="A458" s="24"/>
      <c r="B458" s="9"/>
      <c r="C458" s="10"/>
      <c r="D458" s="11"/>
      <c r="E458" s="12">
        <f t="shared" si="357"/>
        <v>0</v>
      </c>
      <c r="F458" s="9"/>
      <c r="G458" s="10"/>
      <c r="H458" s="11"/>
      <c r="I458" s="67">
        <f t="shared" si="358"/>
        <v>0</v>
      </c>
      <c r="J458" s="12">
        <f t="shared" si="359"/>
        <v>0</v>
      </c>
      <c r="L458" s="24"/>
      <c r="M458" s="9"/>
      <c r="N458" s="10"/>
      <c r="O458" s="11"/>
      <c r="P458" s="12">
        <f t="shared" si="360"/>
        <v>0</v>
      </c>
      <c r="Q458" s="9"/>
      <c r="R458" s="10"/>
      <c r="S458" s="11"/>
      <c r="T458" s="67">
        <f t="shared" si="361"/>
        <v>0</v>
      </c>
      <c r="U458" s="12">
        <f t="shared" si="362"/>
        <v>0</v>
      </c>
    </row>
    <row r="459" spans="1:22" x14ac:dyDescent="0.15">
      <c r="A459" s="22"/>
      <c r="B459" s="9"/>
      <c r="C459" s="10"/>
      <c r="D459" s="11"/>
      <c r="E459" s="12">
        <f t="shared" si="357"/>
        <v>0</v>
      </c>
      <c r="F459" s="9"/>
      <c r="G459" s="10"/>
      <c r="H459" s="11"/>
      <c r="I459" s="67">
        <f t="shared" si="358"/>
        <v>0</v>
      </c>
      <c r="J459" s="12">
        <f t="shared" si="359"/>
        <v>0</v>
      </c>
      <c r="L459" s="22"/>
      <c r="M459" s="9"/>
      <c r="N459" s="10"/>
      <c r="O459" s="11"/>
      <c r="P459" s="12">
        <f t="shared" si="360"/>
        <v>0</v>
      </c>
      <c r="Q459" s="9"/>
      <c r="R459" s="10"/>
      <c r="S459" s="11"/>
      <c r="T459" s="67">
        <f t="shared" si="361"/>
        <v>0</v>
      </c>
      <c r="U459" s="12">
        <f t="shared" si="362"/>
        <v>0</v>
      </c>
    </row>
    <row r="460" spans="1:22" x14ac:dyDescent="0.15">
      <c r="A460" s="24"/>
      <c r="B460" s="9"/>
      <c r="C460" s="10"/>
      <c r="D460" s="11"/>
      <c r="E460" s="12">
        <f t="shared" si="357"/>
        <v>0</v>
      </c>
      <c r="F460" s="9"/>
      <c r="G460" s="10"/>
      <c r="H460" s="11"/>
      <c r="I460" s="67">
        <f t="shared" si="358"/>
        <v>0</v>
      </c>
      <c r="J460" s="12">
        <f t="shared" si="359"/>
        <v>0</v>
      </c>
      <c r="L460" s="24"/>
      <c r="M460" s="9"/>
      <c r="N460" s="10"/>
      <c r="O460" s="11"/>
      <c r="P460" s="12">
        <f t="shared" si="360"/>
        <v>0</v>
      </c>
      <c r="Q460" s="9"/>
      <c r="R460" s="10"/>
      <c r="S460" s="11"/>
      <c r="T460" s="67">
        <f t="shared" si="361"/>
        <v>0</v>
      </c>
      <c r="U460" s="12">
        <f t="shared" si="362"/>
        <v>0</v>
      </c>
    </row>
    <row r="461" spans="1:22" x14ac:dyDescent="0.15">
      <c r="A461" s="24"/>
      <c r="B461" s="9"/>
      <c r="C461" s="10"/>
      <c r="D461" s="11"/>
      <c r="E461" s="12">
        <f t="shared" si="357"/>
        <v>0</v>
      </c>
      <c r="F461" s="9"/>
      <c r="G461" s="10"/>
      <c r="H461" s="11"/>
      <c r="I461" s="67">
        <f t="shared" si="358"/>
        <v>0</v>
      </c>
      <c r="J461" s="12">
        <f t="shared" si="359"/>
        <v>0</v>
      </c>
      <c r="L461" s="24"/>
      <c r="M461" s="9"/>
      <c r="N461" s="10"/>
      <c r="O461" s="11"/>
      <c r="P461" s="12">
        <f t="shared" si="360"/>
        <v>0</v>
      </c>
      <c r="Q461" s="9"/>
      <c r="R461" s="10"/>
      <c r="S461" s="11"/>
      <c r="T461" s="67">
        <f t="shared" si="361"/>
        <v>0</v>
      </c>
      <c r="U461" s="12">
        <f t="shared" si="362"/>
        <v>0</v>
      </c>
    </row>
    <row r="462" spans="1:22" x14ac:dyDescent="0.15">
      <c r="A462" s="21"/>
      <c r="B462" s="9"/>
      <c r="C462" s="10"/>
      <c r="D462" s="11"/>
      <c r="E462" s="12">
        <f t="shared" si="357"/>
        <v>0</v>
      </c>
      <c r="F462" s="9"/>
      <c r="G462" s="10"/>
      <c r="H462" s="11"/>
      <c r="I462" s="67">
        <f t="shared" si="358"/>
        <v>0</v>
      </c>
      <c r="J462" s="12">
        <f t="shared" si="359"/>
        <v>0</v>
      </c>
      <c r="L462" s="21"/>
      <c r="M462" s="9"/>
      <c r="N462" s="10"/>
      <c r="O462" s="11"/>
      <c r="P462" s="12">
        <f t="shared" si="360"/>
        <v>0</v>
      </c>
      <c r="Q462" s="9"/>
      <c r="R462" s="10"/>
      <c r="S462" s="11"/>
      <c r="T462" s="67">
        <f t="shared" si="361"/>
        <v>0</v>
      </c>
      <c r="U462" s="12">
        <f t="shared" si="362"/>
        <v>0</v>
      </c>
    </row>
    <row r="463" spans="1:22" x14ac:dyDescent="0.15">
      <c r="A463" s="21"/>
      <c r="B463" s="9"/>
      <c r="C463" s="10"/>
      <c r="D463" s="11"/>
      <c r="E463" s="12">
        <f t="shared" si="357"/>
        <v>0</v>
      </c>
      <c r="F463" s="9"/>
      <c r="G463" s="10"/>
      <c r="H463" s="11"/>
      <c r="I463" s="67">
        <f t="shared" si="358"/>
        <v>0</v>
      </c>
      <c r="J463" s="12">
        <f t="shared" si="359"/>
        <v>0</v>
      </c>
      <c r="L463" s="21"/>
      <c r="M463" s="9"/>
      <c r="N463" s="10"/>
      <c r="O463" s="11"/>
      <c r="P463" s="12">
        <f t="shared" si="360"/>
        <v>0</v>
      </c>
      <c r="Q463" s="9"/>
      <c r="R463" s="10"/>
      <c r="S463" s="11"/>
      <c r="T463" s="67">
        <f t="shared" si="361"/>
        <v>0</v>
      </c>
      <c r="U463" s="12">
        <f t="shared" si="362"/>
        <v>0</v>
      </c>
    </row>
    <row r="464" spans="1:22" x14ac:dyDescent="0.15">
      <c r="A464" s="21"/>
      <c r="B464" s="9"/>
      <c r="C464" s="10"/>
      <c r="D464" s="11"/>
      <c r="E464" s="12">
        <f t="shared" si="357"/>
        <v>0</v>
      </c>
      <c r="F464" s="9"/>
      <c r="G464" s="10"/>
      <c r="H464" s="11"/>
      <c r="I464" s="67">
        <f t="shared" si="358"/>
        <v>0</v>
      </c>
      <c r="J464" s="12">
        <f t="shared" si="359"/>
        <v>0</v>
      </c>
      <c r="L464" s="21"/>
      <c r="M464" s="9"/>
      <c r="N464" s="10"/>
      <c r="O464" s="11"/>
      <c r="P464" s="12">
        <f t="shared" si="360"/>
        <v>0</v>
      </c>
      <c r="Q464" s="9"/>
      <c r="R464" s="10"/>
      <c r="S464" s="11"/>
      <c r="T464" s="67">
        <f t="shared" si="361"/>
        <v>0</v>
      </c>
      <c r="U464" s="12">
        <f t="shared" si="362"/>
        <v>0</v>
      </c>
    </row>
    <row r="465" spans="1:22" x14ac:dyDescent="0.15">
      <c r="A465" s="24"/>
      <c r="B465" s="13"/>
      <c r="C465" s="14"/>
      <c r="D465" s="15"/>
      <c r="E465" s="12">
        <f t="shared" si="357"/>
        <v>0</v>
      </c>
      <c r="F465" s="13"/>
      <c r="G465" s="14"/>
      <c r="H465" s="15"/>
      <c r="I465" s="67">
        <f t="shared" si="358"/>
        <v>0</v>
      </c>
      <c r="J465" s="12">
        <f t="shared" si="359"/>
        <v>0</v>
      </c>
      <c r="L465" s="24"/>
      <c r="M465" s="13"/>
      <c r="N465" s="14"/>
      <c r="O465" s="15"/>
      <c r="P465" s="12">
        <f t="shared" si="360"/>
        <v>0</v>
      </c>
      <c r="Q465" s="13"/>
      <c r="R465" s="14"/>
      <c r="S465" s="15"/>
      <c r="T465" s="67">
        <f t="shared" si="361"/>
        <v>0</v>
      </c>
      <c r="U465" s="12">
        <f t="shared" si="362"/>
        <v>0</v>
      </c>
    </row>
    <row r="466" spans="1:22" x14ac:dyDescent="0.15">
      <c r="A466" s="24"/>
      <c r="B466" s="9"/>
      <c r="C466" s="10"/>
      <c r="D466" s="11"/>
      <c r="E466" s="12">
        <f t="shared" si="357"/>
        <v>0</v>
      </c>
      <c r="F466" s="9"/>
      <c r="G466" s="10"/>
      <c r="H466" s="11"/>
      <c r="I466" s="67">
        <f t="shared" si="358"/>
        <v>0</v>
      </c>
      <c r="J466" s="12">
        <f t="shared" si="359"/>
        <v>0</v>
      </c>
      <c r="L466" s="24"/>
      <c r="M466" s="9"/>
      <c r="N466" s="10"/>
      <c r="O466" s="11"/>
      <c r="P466" s="12">
        <f t="shared" si="360"/>
        <v>0</v>
      </c>
      <c r="Q466" s="9"/>
      <c r="R466" s="10"/>
      <c r="S466" s="11"/>
      <c r="T466" s="67">
        <f t="shared" si="361"/>
        <v>0</v>
      </c>
      <c r="U466" s="12">
        <f t="shared" si="362"/>
        <v>0</v>
      </c>
    </row>
    <row r="467" spans="1:22" x14ac:dyDescent="0.15">
      <c r="A467" s="7"/>
      <c r="B467" s="9"/>
      <c r="C467" s="10"/>
      <c r="D467" s="11"/>
      <c r="E467" s="12">
        <f t="shared" si="357"/>
        <v>0</v>
      </c>
      <c r="F467" s="9"/>
      <c r="G467" s="10"/>
      <c r="H467" s="11"/>
      <c r="I467" s="67">
        <f t="shared" si="358"/>
        <v>0</v>
      </c>
      <c r="J467" s="12">
        <f t="shared" si="359"/>
        <v>0</v>
      </c>
      <c r="L467" s="7"/>
      <c r="M467" s="9"/>
      <c r="N467" s="10"/>
      <c r="O467" s="11"/>
      <c r="P467" s="12">
        <f t="shared" si="360"/>
        <v>0</v>
      </c>
      <c r="Q467" s="9"/>
      <c r="R467" s="10"/>
      <c r="S467" s="11"/>
      <c r="T467" s="67">
        <f t="shared" si="361"/>
        <v>0</v>
      </c>
      <c r="U467" s="12">
        <f t="shared" si="362"/>
        <v>0</v>
      </c>
    </row>
    <row r="468" spans="1:22" x14ac:dyDescent="0.15">
      <c r="A468" s="59"/>
      <c r="B468" s="9"/>
      <c r="C468" s="10"/>
      <c r="D468" s="11"/>
      <c r="E468" s="12">
        <f t="shared" si="357"/>
        <v>0</v>
      </c>
      <c r="F468" s="9"/>
      <c r="G468" s="10"/>
      <c r="H468" s="11"/>
      <c r="I468" s="67">
        <f t="shared" si="358"/>
        <v>0</v>
      </c>
      <c r="J468" s="12">
        <f t="shared" si="359"/>
        <v>0</v>
      </c>
      <c r="L468" s="118" t="s">
        <v>224</v>
      </c>
      <c r="M468" s="98"/>
      <c r="N468" s="99"/>
      <c r="O468" s="100"/>
      <c r="P468" s="101">
        <f t="shared" si="360"/>
        <v>0</v>
      </c>
      <c r="Q468" s="98"/>
      <c r="R468" s="99"/>
      <c r="S468" s="100"/>
      <c r="T468" s="102">
        <f t="shared" si="361"/>
        <v>0</v>
      </c>
      <c r="U468" s="101">
        <f t="shared" si="362"/>
        <v>0</v>
      </c>
      <c r="V468" s="103"/>
    </row>
    <row r="469" spans="1:22" ht="14.25" thickBot="1" x14ac:dyDescent="0.2">
      <c r="A469" s="59"/>
      <c r="B469" s="9"/>
      <c r="C469" s="10"/>
      <c r="D469" s="11"/>
      <c r="E469" s="12">
        <f t="shared" ref="E469" si="363">SUM(B469:D469)</f>
        <v>0</v>
      </c>
      <c r="F469" s="9"/>
      <c r="G469" s="10"/>
      <c r="H469" s="11"/>
      <c r="I469" s="67">
        <f t="shared" ref="I469" si="364">SUM(F469:H469)</f>
        <v>0</v>
      </c>
      <c r="J469" s="12">
        <f t="shared" ref="J469" si="365">E469+I469</f>
        <v>0</v>
      </c>
      <c r="L469" s="7" t="s">
        <v>227</v>
      </c>
      <c r="M469" s="9"/>
      <c r="N469" s="10"/>
      <c r="O469" s="11"/>
      <c r="P469" s="12">
        <f t="shared" si="360"/>
        <v>0</v>
      </c>
      <c r="Q469" s="9"/>
      <c r="R469" s="10"/>
      <c r="S469" s="11"/>
      <c r="T469" s="67">
        <f t="shared" si="361"/>
        <v>0</v>
      </c>
      <c r="U469" s="12">
        <f t="shared" si="362"/>
        <v>0</v>
      </c>
      <c r="V469" s="89" t="s">
        <v>228</v>
      </c>
    </row>
    <row r="470" spans="1:22" ht="14.25" thickBot="1" x14ac:dyDescent="0.2">
      <c r="A470" s="37" t="s">
        <v>17</v>
      </c>
      <c r="B470" s="38">
        <f>SUM(B444:B469)</f>
        <v>1</v>
      </c>
      <c r="C470" s="39">
        <f>SUM(C444:C469)</f>
        <v>5</v>
      </c>
      <c r="D470" s="40">
        <f>SUM(D444:D469)</f>
        <v>0</v>
      </c>
      <c r="E470" s="41">
        <f>SUM(B470:D470)</f>
        <v>6</v>
      </c>
      <c r="F470" s="38">
        <f>SUM(F444:F469)</f>
        <v>2</v>
      </c>
      <c r="G470" s="39">
        <f>SUM(G444:G469)</f>
        <v>2</v>
      </c>
      <c r="H470" s="40">
        <f>SUM(H444:H469)</f>
        <v>3</v>
      </c>
      <c r="I470" s="41">
        <f>SUM(F470:H470)</f>
        <v>7</v>
      </c>
      <c r="J470" s="42">
        <f t="shared" si="359"/>
        <v>13</v>
      </c>
      <c r="L470" s="119" t="s">
        <v>17</v>
      </c>
      <c r="M470" s="38">
        <f>SUM(M444:M469)</f>
        <v>522</v>
      </c>
      <c r="N470" s="39">
        <f>SUM(N444:N469)</f>
        <v>542</v>
      </c>
      <c r="O470" s="40">
        <f>SUM(O444:O469)</f>
        <v>303</v>
      </c>
      <c r="P470" s="41">
        <f>SUM(M470:O470)</f>
        <v>1367</v>
      </c>
      <c r="Q470" s="38">
        <f>SUM(Q444:Q469)</f>
        <v>523</v>
      </c>
      <c r="R470" s="39">
        <f>SUM(R444:R469)</f>
        <v>537</v>
      </c>
      <c r="S470" s="40">
        <f>SUM(S444:S469)</f>
        <v>303</v>
      </c>
      <c r="T470" s="41">
        <f>SUM(Q470:S470)</f>
        <v>1363</v>
      </c>
      <c r="U470" s="42">
        <f t="shared" si="362"/>
        <v>2730</v>
      </c>
    </row>
    <row r="471" spans="1:22" ht="14.25" thickBot="1" x14ac:dyDescent="0.2">
      <c r="A471" s="20" t="s">
        <v>18</v>
      </c>
      <c r="B471" s="63">
        <f>B443-B470</f>
        <v>4</v>
      </c>
      <c r="C471" s="64">
        <f t="shared" ref="C471:E471" si="366">C443-C470</f>
        <v>3</v>
      </c>
      <c r="D471" s="65">
        <f t="shared" si="366"/>
        <v>4</v>
      </c>
      <c r="E471" s="65">
        <f t="shared" si="366"/>
        <v>11</v>
      </c>
      <c r="F471" s="63">
        <f>F443-F470</f>
        <v>3</v>
      </c>
      <c r="G471" s="64">
        <f t="shared" ref="G471:I471" si="367">G443-G470</f>
        <v>2</v>
      </c>
      <c r="H471" s="65">
        <f t="shared" si="367"/>
        <v>3</v>
      </c>
      <c r="I471" s="65">
        <f t="shared" si="367"/>
        <v>8</v>
      </c>
      <c r="J471" s="29">
        <f t="shared" si="359"/>
        <v>19</v>
      </c>
      <c r="K471" s="163"/>
      <c r="L471" s="112" t="s">
        <v>18</v>
      </c>
      <c r="M471" s="63">
        <f>M443-M470</f>
        <v>82</v>
      </c>
      <c r="N471" s="64">
        <f t="shared" ref="N471:P471" si="368">N443-N470</f>
        <v>188</v>
      </c>
      <c r="O471" s="65">
        <f t="shared" si="368"/>
        <v>190</v>
      </c>
      <c r="P471" s="65">
        <f t="shared" si="368"/>
        <v>460</v>
      </c>
      <c r="Q471" s="63">
        <f>Q443-Q470</f>
        <v>90</v>
      </c>
      <c r="R471" s="64">
        <f t="shared" ref="R471:T471" si="369">R443-R470</f>
        <v>188</v>
      </c>
      <c r="S471" s="65">
        <f t="shared" si="369"/>
        <v>223</v>
      </c>
      <c r="T471" s="65">
        <f t="shared" si="369"/>
        <v>501</v>
      </c>
      <c r="U471" s="29">
        <f t="shared" si="362"/>
        <v>961</v>
      </c>
    </row>
    <row r="472" spans="1:22" x14ac:dyDescent="0.15">
      <c r="L472" s="117" t="s">
        <v>225</v>
      </c>
      <c r="M472">
        <v>415</v>
      </c>
      <c r="N472">
        <v>455</v>
      </c>
      <c r="O472">
        <v>310</v>
      </c>
      <c r="P472" s="1">
        <f>SUM(M472:O472)</f>
        <v>1180</v>
      </c>
      <c r="Q472">
        <v>415</v>
      </c>
      <c r="R472">
        <v>455</v>
      </c>
      <c r="S472">
        <v>310</v>
      </c>
      <c r="T472" s="1">
        <f>SUM(Q472:S472)</f>
        <v>1180</v>
      </c>
    </row>
    <row r="473" spans="1:22" ht="14.25" thickBot="1" x14ac:dyDescent="0.2">
      <c r="L473" s="121" t="s">
        <v>227</v>
      </c>
      <c r="M473" s="36">
        <v>520</v>
      </c>
      <c r="N473" s="36">
        <v>537</v>
      </c>
      <c r="O473" s="36">
        <v>301</v>
      </c>
      <c r="P473" s="120">
        <v>1358</v>
      </c>
      <c r="Q473" s="36">
        <v>520</v>
      </c>
      <c r="R473" s="36">
        <v>537</v>
      </c>
      <c r="S473" s="36">
        <v>301</v>
      </c>
      <c r="T473" s="120">
        <v>1358</v>
      </c>
    </row>
    <row r="474" spans="1:22" ht="19.5" thickBot="1" x14ac:dyDescent="0.25">
      <c r="A474" s="3" t="s">
        <v>209</v>
      </c>
      <c r="B474" s="1"/>
      <c r="C474" s="1"/>
      <c r="D474" s="1"/>
      <c r="E474" s="1"/>
      <c r="F474" s="1"/>
      <c r="G474" s="1"/>
      <c r="H474" s="1"/>
      <c r="I474" s="1"/>
      <c r="J474" s="1"/>
      <c r="L474" s="3" t="s">
        <v>208</v>
      </c>
      <c r="M474" s="1"/>
      <c r="N474" s="1"/>
      <c r="O474" s="1"/>
      <c r="P474" s="1"/>
      <c r="Q474" s="1"/>
      <c r="R474" s="1"/>
      <c r="S474" s="1"/>
      <c r="T474" s="1"/>
      <c r="U474" s="1"/>
      <c r="V474" s="90"/>
    </row>
    <row r="475" spans="1:22" ht="14.25" thickBot="1" x14ac:dyDescent="0.2">
      <c r="A475" s="8" t="s">
        <v>0</v>
      </c>
      <c r="B475" s="227" t="s">
        <v>19</v>
      </c>
      <c r="C475" s="228"/>
      <c r="D475" s="228"/>
      <c r="E475" s="229"/>
      <c r="F475" s="230" t="s">
        <v>20</v>
      </c>
      <c r="G475" s="231"/>
      <c r="H475" s="231"/>
      <c r="I475" s="232"/>
      <c r="J475" s="233" t="s">
        <v>1</v>
      </c>
      <c r="L475" s="8" t="s">
        <v>0</v>
      </c>
      <c r="M475" s="227" t="s">
        <v>19</v>
      </c>
      <c r="N475" s="228"/>
      <c r="O475" s="228"/>
      <c r="P475" s="229"/>
      <c r="Q475" s="230" t="s">
        <v>20</v>
      </c>
      <c r="R475" s="231"/>
      <c r="S475" s="231"/>
      <c r="T475" s="232"/>
      <c r="U475" s="233" t="s">
        <v>1</v>
      </c>
    </row>
    <row r="476" spans="1:22" ht="14.25" thickBot="1" x14ac:dyDescent="0.2">
      <c r="A476" s="8" t="s">
        <v>2</v>
      </c>
      <c r="B476" s="69" t="s">
        <v>3</v>
      </c>
      <c r="C476" s="70" t="s">
        <v>4</v>
      </c>
      <c r="D476" s="71" t="s">
        <v>5</v>
      </c>
      <c r="E476" s="8" t="s">
        <v>6</v>
      </c>
      <c r="F476" s="4" t="s">
        <v>3</v>
      </c>
      <c r="G476" s="5" t="s">
        <v>4</v>
      </c>
      <c r="H476" s="6" t="s">
        <v>5</v>
      </c>
      <c r="I476" s="8" t="s">
        <v>6</v>
      </c>
      <c r="J476" s="234"/>
      <c r="L476" s="8" t="s">
        <v>2</v>
      </c>
      <c r="M476" s="69" t="s">
        <v>3</v>
      </c>
      <c r="N476" s="70" t="s">
        <v>4</v>
      </c>
      <c r="O476" s="71" t="s">
        <v>5</v>
      </c>
      <c r="P476" s="8" t="s">
        <v>6</v>
      </c>
      <c r="Q476" s="4" t="s">
        <v>3</v>
      </c>
      <c r="R476" s="5" t="s">
        <v>4</v>
      </c>
      <c r="S476" s="6" t="s">
        <v>5</v>
      </c>
      <c r="T476" s="8" t="s">
        <v>6</v>
      </c>
      <c r="U476" s="234"/>
    </row>
    <row r="477" spans="1:22" ht="14.25" thickBot="1" x14ac:dyDescent="0.2">
      <c r="A477" s="25" t="s">
        <v>18</v>
      </c>
      <c r="B477" s="26">
        <f>B471</f>
        <v>4</v>
      </c>
      <c r="C477" s="27">
        <f t="shared" ref="C477:D477" si="370">C471</f>
        <v>3</v>
      </c>
      <c r="D477" s="49">
        <f t="shared" si="370"/>
        <v>4</v>
      </c>
      <c r="E477" s="68">
        <f t="shared" ref="E477:E485" si="371">SUM(B477:D477)</f>
        <v>11</v>
      </c>
      <c r="F477" s="26">
        <f>F471</f>
        <v>3</v>
      </c>
      <c r="G477" s="27">
        <f t="shared" ref="G477:H477" si="372">G471</f>
        <v>2</v>
      </c>
      <c r="H477" s="49">
        <f t="shared" si="372"/>
        <v>3</v>
      </c>
      <c r="I477" s="33">
        <f t="shared" ref="I477:I485" si="373">SUM(F477:H477)</f>
        <v>8</v>
      </c>
      <c r="J477" s="33">
        <f>E477+I477</f>
        <v>19</v>
      </c>
      <c r="L477" s="25" t="s">
        <v>18</v>
      </c>
      <c r="M477" s="26">
        <f>M471</f>
        <v>82</v>
      </c>
      <c r="N477" s="27">
        <f t="shared" ref="N477:O477" si="374">N471</f>
        <v>188</v>
      </c>
      <c r="O477" s="49">
        <f t="shared" si="374"/>
        <v>190</v>
      </c>
      <c r="P477" s="68">
        <f t="shared" ref="P477:P485" si="375">SUM(M477:O477)</f>
        <v>460</v>
      </c>
      <c r="Q477" s="26">
        <f>Q471</f>
        <v>90</v>
      </c>
      <c r="R477" s="27">
        <f t="shared" ref="R477:S477" si="376">R471</f>
        <v>188</v>
      </c>
      <c r="S477" s="49">
        <f t="shared" si="376"/>
        <v>223</v>
      </c>
      <c r="T477" s="33">
        <f t="shared" ref="T477:T485" si="377">SUM(Q477:S477)</f>
        <v>501</v>
      </c>
      <c r="U477" s="33">
        <f>P477+T477</f>
        <v>961</v>
      </c>
    </row>
    <row r="478" spans="1:22" x14ac:dyDescent="0.15">
      <c r="A478" s="23" t="s">
        <v>271</v>
      </c>
      <c r="B478" s="47">
        <v>1</v>
      </c>
      <c r="C478" s="48">
        <v>5</v>
      </c>
      <c r="D478" s="72">
        <v>4</v>
      </c>
      <c r="E478" s="42">
        <f t="shared" si="371"/>
        <v>10</v>
      </c>
      <c r="F478" s="38">
        <v>1</v>
      </c>
      <c r="G478" s="39">
        <v>7</v>
      </c>
      <c r="H478" s="40">
        <v>6</v>
      </c>
      <c r="I478" s="66">
        <f t="shared" si="373"/>
        <v>14</v>
      </c>
      <c r="J478" s="57">
        <f t="shared" ref="J478:J485" si="378">E478+I478</f>
        <v>24</v>
      </c>
      <c r="K478" s="90">
        <v>45446</v>
      </c>
      <c r="L478" s="23" t="s">
        <v>8</v>
      </c>
      <c r="M478" s="47"/>
      <c r="N478" s="48"/>
      <c r="O478" s="72"/>
      <c r="P478" s="42">
        <f t="shared" si="375"/>
        <v>0</v>
      </c>
      <c r="Q478" s="38"/>
      <c r="R478" s="39"/>
      <c r="S478" s="40"/>
      <c r="T478" s="66">
        <f t="shared" si="377"/>
        <v>0</v>
      </c>
      <c r="U478" s="57">
        <f t="shared" ref="U478:U485" si="379">P478+T478</f>
        <v>0</v>
      </c>
    </row>
    <row r="479" spans="1:22" x14ac:dyDescent="0.15">
      <c r="A479" s="23" t="s">
        <v>9</v>
      </c>
      <c r="B479" s="9">
        <v>2</v>
      </c>
      <c r="C479" s="10">
        <v>2</v>
      </c>
      <c r="D479" s="44"/>
      <c r="E479" s="12">
        <f t="shared" si="371"/>
        <v>4</v>
      </c>
      <c r="F479" s="9">
        <v>2</v>
      </c>
      <c r="G479" s="10">
        <v>2</v>
      </c>
      <c r="H479" s="44">
        <v>2</v>
      </c>
      <c r="I479" s="12">
        <f t="shared" si="373"/>
        <v>6</v>
      </c>
      <c r="J479" s="12">
        <f t="shared" si="378"/>
        <v>10</v>
      </c>
      <c r="K479" s="90">
        <v>45497</v>
      </c>
      <c r="L479" s="23" t="s">
        <v>9</v>
      </c>
      <c r="M479" s="9"/>
      <c r="N479" s="10"/>
      <c r="O479" s="44"/>
      <c r="P479" s="12">
        <f t="shared" si="375"/>
        <v>0</v>
      </c>
      <c r="Q479" s="9"/>
      <c r="R479" s="10"/>
      <c r="S479" s="44"/>
      <c r="T479" s="12">
        <f t="shared" si="377"/>
        <v>0</v>
      </c>
      <c r="U479" s="12">
        <f t="shared" si="379"/>
        <v>0</v>
      </c>
    </row>
    <row r="480" spans="1:22" x14ac:dyDescent="0.15">
      <c r="A480" s="23" t="s">
        <v>10</v>
      </c>
      <c r="B480" s="16"/>
      <c r="C480" s="17"/>
      <c r="D480" s="43"/>
      <c r="E480" s="12">
        <f t="shared" si="371"/>
        <v>0</v>
      </c>
      <c r="F480" s="16"/>
      <c r="G480" s="17"/>
      <c r="H480" s="43"/>
      <c r="I480" s="12">
        <f t="shared" si="373"/>
        <v>0</v>
      </c>
      <c r="J480" s="12">
        <f t="shared" si="378"/>
        <v>0</v>
      </c>
      <c r="K480" s="89"/>
      <c r="L480" s="123" t="s">
        <v>24</v>
      </c>
      <c r="M480" s="124">
        <v>430</v>
      </c>
      <c r="N480" s="125">
        <v>370</v>
      </c>
      <c r="O480" s="126">
        <v>200</v>
      </c>
      <c r="P480" s="127">
        <f t="shared" si="375"/>
        <v>1000</v>
      </c>
      <c r="Q480" s="124">
        <v>440</v>
      </c>
      <c r="R480" s="125">
        <v>360</v>
      </c>
      <c r="S480" s="126">
        <v>200</v>
      </c>
      <c r="T480" s="127">
        <f t="shared" si="377"/>
        <v>1000</v>
      </c>
      <c r="U480" s="127">
        <f t="shared" si="379"/>
        <v>2000</v>
      </c>
      <c r="V480" s="128" t="s">
        <v>267</v>
      </c>
    </row>
    <row r="481" spans="1:24" x14ac:dyDescent="0.15">
      <c r="A481" s="23" t="s">
        <v>11</v>
      </c>
      <c r="B481" s="16"/>
      <c r="C481" s="17"/>
      <c r="D481" s="43"/>
      <c r="E481" s="12">
        <f t="shared" si="371"/>
        <v>0</v>
      </c>
      <c r="F481" s="16"/>
      <c r="G481" s="17"/>
      <c r="H481" s="43"/>
      <c r="I481" s="12">
        <f t="shared" si="373"/>
        <v>0</v>
      </c>
      <c r="J481" s="12">
        <f t="shared" si="378"/>
        <v>0</v>
      </c>
      <c r="K481" s="89"/>
      <c r="L481" s="123" t="s">
        <v>260</v>
      </c>
      <c r="M481" s="124">
        <v>13</v>
      </c>
      <c r="N481" s="125">
        <v>25</v>
      </c>
      <c r="O481" s="126">
        <v>30</v>
      </c>
      <c r="P481" s="127">
        <f t="shared" si="375"/>
        <v>68</v>
      </c>
      <c r="Q481" s="124">
        <v>10</v>
      </c>
      <c r="R481" s="125">
        <v>40</v>
      </c>
      <c r="S481" s="126">
        <v>0</v>
      </c>
      <c r="T481" s="129">
        <f t="shared" si="377"/>
        <v>50</v>
      </c>
      <c r="U481" s="127">
        <f t="shared" si="379"/>
        <v>118</v>
      </c>
      <c r="V481" s="130" t="s">
        <v>250</v>
      </c>
    </row>
    <row r="482" spans="1:24" x14ac:dyDescent="0.15">
      <c r="A482" s="23" t="s">
        <v>12</v>
      </c>
      <c r="B482" s="9"/>
      <c r="C482" s="10"/>
      <c r="D482" s="44"/>
      <c r="E482" s="12">
        <f t="shared" si="371"/>
        <v>0</v>
      </c>
      <c r="F482" s="9"/>
      <c r="G482" s="10"/>
      <c r="H482" s="44"/>
      <c r="I482" s="67">
        <f t="shared" si="373"/>
        <v>0</v>
      </c>
      <c r="J482" s="12">
        <f t="shared" si="378"/>
        <v>0</v>
      </c>
      <c r="K482" s="89"/>
      <c r="L482" s="131" t="s">
        <v>38</v>
      </c>
      <c r="M482" s="124"/>
      <c r="N482" s="125">
        <v>5</v>
      </c>
      <c r="O482" s="126">
        <v>4</v>
      </c>
      <c r="P482" s="127">
        <f t="shared" si="375"/>
        <v>9</v>
      </c>
      <c r="Q482" s="124"/>
      <c r="R482" s="125">
        <v>7</v>
      </c>
      <c r="S482" s="126">
        <v>6</v>
      </c>
      <c r="T482" s="129">
        <f t="shared" si="377"/>
        <v>13</v>
      </c>
      <c r="U482" s="127">
        <f t="shared" si="379"/>
        <v>22</v>
      </c>
      <c r="V482" s="128">
        <v>45458</v>
      </c>
    </row>
    <row r="483" spans="1:24" x14ac:dyDescent="0.15">
      <c r="A483" s="23" t="s">
        <v>13</v>
      </c>
      <c r="B483" s="9"/>
      <c r="C483" s="10"/>
      <c r="D483" s="44"/>
      <c r="E483" s="12">
        <f t="shared" si="371"/>
        <v>0</v>
      </c>
      <c r="F483" s="9"/>
      <c r="G483" s="10"/>
      <c r="H483" s="44"/>
      <c r="I483" s="67">
        <f t="shared" si="373"/>
        <v>0</v>
      </c>
      <c r="J483" s="12">
        <f t="shared" si="378"/>
        <v>0</v>
      </c>
      <c r="K483" s="89"/>
      <c r="L483" s="131" t="s">
        <v>38</v>
      </c>
      <c r="M483" s="9">
        <v>1</v>
      </c>
      <c r="N483" s="10">
        <v>1</v>
      </c>
      <c r="O483" s="11">
        <v>2</v>
      </c>
      <c r="P483" s="12">
        <f t="shared" si="375"/>
        <v>4</v>
      </c>
      <c r="Q483" s="9">
        <v>2</v>
      </c>
      <c r="R483" s="10"/>
      <c r="S483" s="11">
        <v>3</v>
      </c>
      <c r="T483" s="67">
        <f t="shared" si="377"/>
        <v>5</v>
      </c>
      <c r="U483" s="12">
        <f t="shared" si="379"/>
        <v>9</v>
      </c>
      <c r="V483" s="58">
        <v>45514</v>
      </c>
    </row>
    <row r="484" spans="1:24" x14ac:dyDescent="0.15">
      <c r="A484" s="23" t="s">
        <v>14</v>
      </c>
      <c r="B484" s="13"/>
      <c r="C484" s="14"/>
      <c r="D484" s="45"/>
      <c r="E484" s="12">
        <f t="shared" si="371"/>
        <v>0</v>
      </c>
      <c r="F484" s="13"/>
      <c r="G484" s="14"/>
      <c r="H484" s="45"/>
      <c r="I484" s="67">
        <f t="shared" si="373"/>
        <v>0</v>
      </c>
      <c r="J484" s="12">
        <f t="shared" si="378"/>
        <v>0</v>
      </c>
      <c r="L484" s="23" t="s">
        <v>14</v>
      </c>
      <c r="M484" s="13"/>
      <c r="N484" s="14"/>
      <c r="O484" s="45"/>
      <c r="P484" s="12">
        <f t="shared" si="375"/>
        <v>0</v>
      </c>
      <c r="Q484" s="13"/>
      <c r="R484" s="14"/>
      <c r="S484" s="45"/>
      <c r="T484" s="67">
        <f t="shared" si="377"/>
        <v>0</v>
      </c>
      <c r="U484" s="12">
        <f t="shared" si="379"/>
        <v>0</v>
      </c>
    </row>
    <row r="485" spans="1:24" ht="14.25" thickBot="1" x14ac:dyDescent="0.2">
      <c r="A485" s="23" t="s">
        <v>212</v>
      </c>
      <c r="B485" s="30">
        <v>1</v>
      </c>
      <c r="C485" s="31">
        <v>1</v>
      </c>
      <c r="D485" s="46">
        <v>1</v>
      </c>
      <c r="E485" s="12">
        <f t="shared" si="371"/>
        <v>3</v>
      </c>
      <c r="F485" s="30">
        <v>1</v>
      </c>
      <c r="G485" s="31">
        <v>1</v>
      </c>
      <c r="H485" s="46">
        <v>1</v>
      </c>
      <c r="I485" s="67">
        <f t="shared" si="373"/>
        <v>3</v>
      </c>
      <c r="J485" s="19">
        <f t="shared" si="378"/>
        <v>6</v>
      </c>
      <c r="K485" s="108">
        <v>45512</v>
      </c>
      <c r="L485" s="23" t="s">
        <v>15</v>
      </c>
      <c r="M485" s="13"/>
      <c r="N485" s="14"/>
      <c r="O485" s="45"/>
      <c r="P485" s="12">
        <f t="shared" si="375"/>
        <v>0</v>
      </c>
      <c r="Q485" s="13"/>
      <c r="R485" s="14"/>
      <c r="S485" s="45"/>
      <c r="T485" s="67">
        <f t="shared" si="377"/>
        <v>0</v>
      </c>
      <c r="U485" s="12">
        <f t="shared" si="379"/>
        <v>0</v>
      </c>
    </row>
    <row r="486" spans="1:24" ht="14.25" thickBot="1" x14ac:dyDescent="0.2">
      <c r="A486" s="32" t="s">
        <v>16</v>
      </c>
      <c r="B486" s="26">
        <f>SUM(B477:B485)</f>
        <v>8</v>
      </c>
      <c r="C486" s="27">
        <f t="shared" ref="C486:J486" si="380">SUM(C477:C485)</f>
        <v>11</v>
      </c>
      <c r="D486" s="49">
        <f t="shared" si="380"/>
        <v>9</v>
      </c>
      <c r="E486" s="75">
        <f t="shared" si="380"/>
        <v>28</v>
      </c>
      <c r="F486" s="26">
        <f t="shared" si="380"/>
        <v>7</v>
      </c>
      <c r="G486" s="27">
        <f t="shared" si="380"/>
        <v>12</v>
      </c>
      <c r="H486" s="49">
        <f t="shared" si="380"/>
        <v>12</v>
      </c>
      <c r="I486" s="74">
        <f t="shared" si="380"/>
        <v>31</v>
      </c>
      <c r="J486" s="29">
        <f t="shared" si="380"/>
        <v>59</v>
      </c>
      <c r="L486" s="32" t="s">
        <v>16</v>
      </c>
      <c r="M486" s="26">
        <f>SUM(M477:M485)</f>
        <v>526</v>
      </c>
      <c r="N486" s="27">
        <f t="shared" ref="N486:U486" si="381">SUM(N477:N485)</f>
        <v>589</v>
      </c>
      <c r="O486" s="49">
        <f t="shared" si="381"/>
        <v>426</v>
      </c>
      <c r="P486" s="75">
        <f t="shared" si="381"/>
        <v>1541</v>
      </c>
      <c r="Q486" s="26">
        <f t="shared" si="381"/>
        <v>542</v>
      </c>
      <c r="R486" s="27">
        <f t="shared" si="381"/>
        <v>595</v>
      </c>
      <c r="S486" s="49">
        <f t="shared" si="381"/>
        <v>432</v>
      </c>
      <c r="T486" s="74">
        <f t="shared" si="381"/>
        <v>1569</v>
      </c>
      <c r="U486" s="29">
        <f t="shared" si="381"/>
        <v>3110</v>
      </c>
    </row>
    <row r="487" spans="1:24" x14ac:dyDescent="0.15">
      <c r="A487" s="24" t="s">
        <v>270</v>
      </c>
      <c r="B487" s="54">
        <v>2</v>
      </c>
      <c r="C487" s="55"/>
      <c r="D487" s="56"/>
      <c r="E487" s="42">
        <f t="shared" ref="E487:E512" si="382">SUM(B487:D487)</f>
        <v>2</v>
      </c>
      <c r="F487" s="54"/>
      <c r="G487" s="55"/>
      <c r="H487" s="56"/>
      <c r="I487" s="66">
        <f t="shared" ref="I487:I512" si="383">SUM(F487:H487)</f>
        <v>0</v>
      </c>
      <c r="J487" s="57">
        <f t="shared" ref="J487:J514" si="384">E487+I487</f>
        <v>2</v>
      </c>
      <c r="K487" s="90">
        <v>45440</v>
      </c>
      <c r="L487" s="110" t="s">
        <v>257</v>
      </c>
      <c r="M487" s="54">
        <v>25</v>
      </c>
      <c r="N487" s="55">
        <v>25</v>
      </c>
      <c r="O487" s="56">
        <v>25</v>
      </c>
      <c r="P487" s="42">
        <f t="shared" ref="P487:P512" si="385">SUM(M487:O487)</f>
        <v>75</v>
      </c>
      <c r="Q487" s="54">
        <v>25</v>
      </c>
      <c r="R487" s="55">
        <v>25</v>
      </c>
      <c r="S487" s="56">
        <v>25</v>
      </c>
      <c r="T487" s="66">
        <f t="shared" ref="T487:T512" si="386">SUM(Q487:S487)</f>
        <v>75</v>
      </c>
      <c r="U487" s="57">
        <f t="shared" ref="U487:U514" si="387">P487+T487</f>
        <v>150</v>
      </c>
      <c r="V487" s="90">
        <v>45428</v>
      </c>
      <c r="W487" s="50"/>
    </row>
    <row r="488" spans="1:24" x14ac:dyDescent="0.15">
      <c r="A488" s="22" t="s">
        <v>45</v>
      </c>
      <c r="B488" s="16">
        <v>1</v>
      </c>
      <c r="C488" s="17"/>
      <c r="D488" s="18"/>
      <c r="E488" s="12">
        <f t="shared" si="382"/>
        <v>1</v>
      </c>
      <c r="F488" s="16"/>
      <c r="G488" s="17"/>
      <c r="H488" s="18"/>
      <c r="I488" s="67">
        <f t="shared" si="383"/>
        <v>0</v>
      </c>
      <c r="J488" s="12">
        <f t="shared" si="384"/>
        <v>1</v>
      </c>
      <c r="K488" s="90">
        <v>45453</v>
      </c>
      <c r="L488" s="24" t="s">
        <v>256</v>
      </c>
      <c r="M488" s="16">
        <v>5</v>
      </c>
      <c r="N488" s="17">
        <v>5</v>
      </c>
      <c r="O488" s="18">
        <v>5</v>
      </c>
      <c r="P488" s="12">
        <f t="shared" si="385"/>
        <v>15</v>
      </c>
      <c r="Q488" s="16">
        <v>5</v>
      </c>
      <c r="R488" s="17">
        <v>5</v>
      </c>
      <c r="S488" s="18">
        <v>5</v>
      </c>
      <c r="T488" s="67">
        <f t="shared" si="386"/>
        <v>15</v>
      </c>
      <c r="U488" s="12">
        <f t="shared" si="387"/>
        <v>30</v>
      </c>
      <c r="V488" s="90">
        <v>45432</v>
      </c>
    </row>
    <row r="489" spans="1:24" x14ac:dyDescent="0.15">
      <c r="A489" s="22" t="s">
        <v>277</v>
      </c>
      <c r="B489" s="9"/>
      <c r="C489" s="10">
        <v>5</v>
      </c>
      <c r="D489" s="11">
        <v>4</v>
      </c>
      <c r="E489" s="12">
        <f t="shared" si="382"/>
        <v>9</v>
      </c>
      <c r="F489" s="9"/>
      <c r="G489" s="10">
        <v>7</v>
      </c>
      <c r="H489" s="11">
        <v>6</v>
      </c>
      <c r="I489" s="67">
        <f t="shared" si="383"/>
        <v>13</v>
      </c>
      <c r="J489" s="12">
        <f t="shared" si="384"/>
        <v>22</v>
      </c>
      <c r="K489" s="90">
        <v>45458</v>
      </c>
      <c r="L489" s="24" t="s">
        <v>261</v>
      </c>
      <c r="M489" s="9">
        <v>5</v>
      </c>
      <c r="N489" s="10">
        <v>5</v>
      </c>
      <c r="O489" s="11">
        <v>10</v>
      </c>
      <c r="P489" s="12">
        <f t="shared" si="385"/>
        <v>20</v>
      </c>
      <c r="Q489" s="9">
        <v>2</v>
      </c>
      <c r="R489" s="10">
        <v>10</v>
      </c>
      <c r="S489" s="11">
        <v>15</v>
      </c>
      <c r="T489" s="67">
        <f t="shared" si="386"/>
        <v>27</v>
      </c>
      <c r="U489" s="12">
        <f t="shared" si="387"/>
        <v>47</v>
      </c>
      <c r="V489" s="90">
        <v>45434</v>
      </c>
      <c r="W489" s="50"/>
      <c r="X489" s="50"/>
    </row>
    <row r="490" spans="1:24" x14ac:dyDescent="0.15">
      <c r="A490" s="22" t="s">
        <v>45</v>
      </c>
      <c r="B490" s="9">
        <v>1</v>
      </c>
      <c r="C490" s="10"/>
      <c r="D490" s="11"/>
      <c r="E490" s="12">
        <f t="shared" si="382"/>
        <v>1</v>
      </c>
      <c r="F490" s="9">
        <v>2</v>
      </c>
      <c r="G490" s="10"/>
      <c r="H490" s="11"/>
      <c r="I490" s="67">
        <f t="shared" si="383"/>
        <v>2</v>
      </c>
      <c r="J490" s="12">
        <f t="shared" si="384"/>
        <v>3</v>
      </c>
      <c r="K490" s="90">
        <v>45460</v>
      </c>
      <c r="L490" s="24" t="s">
        <v>264</v>
      </c>
      <c r="M490" s="9"/>
      <c r="N490" s="10">
        <v>10</v>
      </c>
      <c r="O490" s="11">
        <v>10</v>
      </c>
      <c r="P490" s="12">
        <f t="shared" si="385"/>
        <v>20</v>
      </c>
      <c r="Q490" s="9"/>
      <c r="R490" s="10">
        <v>5</v>
      </c>
      <c r="S490" s="11"/>
      <c r="T490" s="67">
        <f t="shared" si="386"/>
        <v>5</v>
      </c>
      <c r="U490" s="12">
        <f t="shared" si="387"/>
        <v>25</v>
      </c>
      <c r="V490" s="90">
        <v>45436</v>
      </c>
      <c r="W490" s="50"/>
      <c r="X490" s="50"/>
    </row>
    <row r="491" spans="1:24" x14ac:dyDescent="0.15">
      <c r="A491" s="22" t="s">
        <v>45</v>
      </c>
      <c r="B491" s="9"/>
      <c r="C491" s="10">
        <v>2</v>
      </c>
      <c r="D491" s="11"/>
      <c r="E491" s="12">
        <f t="shared" si="382"/>
        <v>2</v>
      </c>
      <c r="F491" s="9"/>
      <c r="G491" s="10">
        <v>1</v>
      </c>
      <c r="H491" s="11"/>
      <c r="I491" s="67">
        <f t="shared" si="383"/>
        <v>1</v>
      </c>
      <c r="J491" s="12">
        <f t="shared" si="384"/>
        <v>3</v>
      </c>
      <c r="K491" s="90">
        <v>45509</v>
      </c>
      <c r="L491" s="110" t="s">
        <v>273</v>
      </c>
      <c r="M491" s="9">
        <v>180</v>
      </c>
      <c r="N491" s="10">
        <v>210</v>
      </c>
      <c r="O491" s="11">
        <v>145</v>
      </c>
      <c r="P491" s="12">
        <f t="shared" si="385"/>
        <v>535</v>
      </c>
      <c r="Q491" s="9">
        <v>180</v>
      </c>
      <c r="R491" s="10">
        <v>210</v>
      </c>
      <c r="S491" s="11">
        <v>145</v>
      </c>
      <c r="T491" s="67">
        <f t="shared" si="386"/>
        <v>535</v>
      </c>
      <c r="U491" s="12">
        <f t="shared" si="387"/>
        <v>1070</v>
      </c>
      <c r="V491" s="90">
        <v>45443</v>
      </c>
      <c r="W491" s="50"/>
      <c r="X491" s="50"/>
    </row>
    <row r="492" spans="1:24" x14ac:dyDescent="0.15">
      <c r="A492" s="22" t="s">
        <v>277</v>
      </c>
      <c r="B492" s="9">
        <v>1</v>
      </c>
      <c r="C492" s="10"/>
      <c r="D492" s="11">
        <v>2</v>
      </c>
      <c r="E492" s="12">
        <f t="shared" si="382"/>
        <v>3</v>
      </c>
      <c r="F492" s="9">
        <v>2</v>
      </c>
      <c r="G492" s="10"/>
      <c r="H492" s="11">
        <v>3</v>
      </c>
      <c r="I492" s="67">
        <f t="shared" si="383"/>
        <v>5</v>
      </c>
      <c r="J492" s="12">
        <f t="shared" si="384"/>
        <v>8</v>
      </c>
      <c r="K492" s="90">
        <v>45514</v>
      </c>
      <c r="L492" s="110" t="s">
        <v>274</v>
      </c>
      <c r="M492" s="9">
        <v>50</v>
      </c>
      <c r="N492" s="10"/>
      <c r="O492" s="11"/>
      <c r="P492" s="12">
        <f t="shared" si="385"/>
        <v>50</v>
      </c>
      <c r="Q492" s="9">
        <v>50</v>
      </c>
      <c r="R492" s="10"/>
      <c r="S492" s="11"/>
      <c r="T492" s="67">
        <f t="shared" si="386"/>
        <v>50</v>
      </c>
      <c r="U492" s="12">
        <f t="shared" si="387"/>
        <v>100</v>
      </c>
      <c r="V492" s="90">
        <v>45444</v>
      </c>
      <c r="W492" s="50"/>
    </row>
    <row r="493" spans="1:24" x14ac:dyDescent="0.15">
      <c r="A493" s="24" t="s">
        <v>296</v>
      </c>
      <c r="B493" s="9"/>
      <c r="C493" s="10">
        <v>1</v>
      </c>
      <c r="D493" s="11"/>
      <c r="E493" s="12">
        <f t="shared" si="382"/>
        <v>1</v>
      </c>
      <c r="F493" s="9"/>
      <c r="G493" s="10">
        <v>1</v>
      </c>
      <c r="H493" s="11"/>
      <c r="I493" s="67">
        <f t="shared" si="383"/>
        <v>1</v>
      </c>
      <c r="J493" s="12">
        <f t="shared" si="384"/>
        <v>2</v>
      </c>
      <c r="K493" s="90">
        <v>45514</v>
      </c>
      <c r="L493" s="24" t="s">
        <v>272</v>
      </c>
      <c r="M493" s="9">
        <v>20</v>
      </c>
      <c r="N493" s="10">
        <v>20</v>
      </c>
      <c r="O493" s="11">
        <v>20</v>
      </c>
      <c r="P493" s="12">
        <f t="shared" si="385"/>
        <v>60</v>
      </c>
      <c r="Q493" s="9">
        <v>20</v>
      </c>
      <c r="R493" s="10">
        <v>20</v>
      </c>
      <c r="S493" s="11">
        <v>20</v>
      </c>
      <c r="T493" s="67">
        <f t="shared" si="386"/>
        <v>60</v>
      </c>
      <c r="U493" s="12">
        <f t="shared" si="387"/>
        <v>120</v>
      </c>
      <c r="V493" s="90">
        <v>45455</v>
      </c>
    </row>
    <row r="494" spans="1:24" x14ac:dyDescent="0.15">
      <c r="A494" s="24"/>
      <c r="B494" s="9"/>
      <c r="C494" s="10"/>
      <c r="D494" s="11"/>
      <c r="E494" s="12">
        <f t="shared" si="382"/>
        <v>0</v>
      </c>
      <c r="F494" s="9"/>
      <c r="G494" s="10"/>
      <c r="H494" s="11"/>
      <c r="I494" s="67">
        <f t="shared" si="383"/>
        <v>0</v>
      </c>
      <c r="J494" s="12">
        <f t="shared" si="384"/>
        <v>0</v>
      </c>
      <c r="K494" s="89"/>
      <c r="L494" s="110" t="s">
        <v>275</v>
      </c>
      <c r="M494" s="9">
        <v>140</v>
      </c>
      <c r="N494" s="10">
        <v>122</v>
      </c>
      <c r="O494" s="11">
        <v>49</v>
      </c>
      <c r="P494" s="12">
        <f t="shared" si="385"/>
        <v>311</v>
      </c>
      <c r="Q494" s="9">
        <v>140</v>
      </c>
      <c r="R494" s="10">
        <v>122</v>
      </c>
      <c r="S494" s="11">
        <v>49</v>
      </c>
      <c r="T494" s="67">
        <f t="shared" si="386"/>
        <v>311</v>
      </c>
      <c r="U494" s="12">
        <f t="shared" si="387"/>
        <v>622</v>
      </c>
      <c r="V494" s="90">
        <v>45449</v>
      </c>
    </row>
    <row r="495" spans="1:24" x14ac:dyDescent="0.15">
      <c r="A495" s="22"/>
      <c r="B495" s="9"/>
      <c r="C495" s="10"/>
      <c r="D495" s="11"/>
      <c r="E495" s="12">
        <f t="shared" si="382"/>
        <v>0</v>
      </c>
      <c r="F495" s="9"/>
      <c r="G495" s="10"/>
      <c r="H495" s="11"/>
      <c r="I495" s="67">
        <f t="shared" si="383"/>
        <v>0</v>
      </c>
      <c r="J495" s="12">
        <f t="shared" si="384"/>
        <v>0</v>
      </c>
      <c r="K495" s="89"/>
      <c r="L495" s="104" t="s">
        <v>38</v>
      </c>
      <c r="M495" s="9">
        <v>2</v>
      </c>
      <c r="N495" s="10">
        <v>2</v>
      </c>
      <c r="O495" s="11"/>
      <c r="P495" s="12">
        <f t="shared" si="385"/>
        <v>4</v>
      </c>
      <c r="Q495" s="9">
        <v>2</v>
      </c>
      <c r="R495" s="10">
        <v>2</v>
      </c>
      <c r="S495" s="11">
        <v>2</v>
      </c>
      <c r="T495" s="67">
        <f t="shared" si="386"/>
        <v>6</v>
      </c>
      <c r="U495" s="12">
        <f t="shared" si="387"/>
        <v>10</v>
      </c>
      <c r="V495" s="90">
        <v>45497</v>
      </c>
    </row>
    <row r="496" spans="1:24" x14ac:dyDescent="0.15">
      <c r="A496" s="24"/>
      <c r="B496" s="13"/>
      <c r="C496" s="14"/>
      <c r="D496" s="15"/>
      <c r="E496" s="12">
        <f t="shared" si="382"/>
        <v>0</v>
      </c>
      <c r="F496" s="13"/>
      <c r="G496" s="14"/>
      <c r="H496" s="15"/>
      <c r="I496" s="67">
        <f t="shared" si="383"/>
        <v>0</v>
      </c>
      <c r="J496" s="12">
        <f t="shared" si="384"/>
        <v>0</v>
      </c>
      <c r="L496" s="24"/>
      <c r="M496" s="13"/>
      <c r="N496" s="14"/>
      <c r="O496" s="15"/>
      <c r="P496" s="12">
        <f t="shared" si="385"/>
        <v>0</v>
      </c>
      <c r="Q496" s="13"/>
      <c r="R496" s="14"/>
      <c r="S496" s="15"/>
      <c r="T496" s="67">
        <f t="shared" si="386"/>
        <v>0</v>
      </c>
      <c r="U496" s="12">
        <f t="shared" si="387"/>
        <v>0</v>
      </c>
      <c r="V496" s="89"/>
    </row>
    <row r="497" spans="1:22" x14ac:dyDescent="0.15">
      <c r="A497" s="24"/>
      <c r="B497" s="9"/>
      <c r="C497" s="10"/>
      <c r="D497" s="11"/>
      <c r="E497" s="12">
        <f t="shared" si="382"/>
        <v>0</v>
      </c>
      <c r="F497" s="9"/>
      <c r="G497" s="10"/>
      <c r="H497" s="11"/>
      <c r="I497" s="67">
        <f t="shared" si="383"/>
        <v>0</v>
      </c>
      <c r="J497" s="12">
        <f t="shared" si="384"/>
        <v>0</v>
      </c>
      <c r="L497" s="24"/>
      <c r="M497" s="9"/>
      <c r="N497" s="10"/>
      <c r="O497" s="11"/>
      <c r="P497" s="12">
        <f t="shared" si="385"/>
        <v>0</v>
      </c>
      <c r="Q497" s="9"/>
      <c r="R497" s="10"/>
      <c r="S497" s="11"/>
      <c r="T497" s="67">
        <f t="shared" si="386"/>
        <v>0</v>
      </c>
      <c r="U497" s="12">
        <f t="shared" si="387"/>
        <v>0</v>
      </c>
    </row>
    <row r="498" spans="1:22" x14ac:dyDescent="0.15">
      <c r="A498" s="24"/>
      <c r="B498" s="9"/>
      <c r="C498" s="10"/>
      <c r="D498" s="11"/>
      <c r="E498" s="12">
        <f t="shared" si="382"/>
        <v>0</v>
      </c>
      <c r="F498" s="9"/>
      <c r="G498" s="10"/>
      <c r="H498" s="11"/>
      <c r="I498" s="67">
        <f t="shared" si="383"/>
        <v>0</v>
      </c>
      <c r="J498" s="12">
        <f t="shared" si="384"/>
        <v>0</v>
      </c>
      <c r="L498" s="24"/>
      <c r="M498" s="9"/>
      <c r="N498" s="10"/>
      <c r="O498" s="11"/>
      <c r="P498" s="12">
        <f t="shared" si="385"/>
        <v>0</v>
      </c>
      <c r="Q498" s="9"/>
      <c r="R498" s="10"/>
      <c r="S498" s="11"/>
      <c r="T498" s="67">
        <f t="shared" si="386"/>
        <v>0</v>
      </c>
      <c r="U498" s="12">
        <f t="shared" si="387"/>
        <v>0</v>
      </c>
    </row>
    <row r="499" spans="1:22" x14ac:dyDescent="0.15">
      <c r="A499" s="22"/>
      <c r="B499" s="9"/>
      <c r="C499" s="10"/>
      <c r="D499" s="11"/>
      <c r="E499" s="12">
        <f t="shared" si="382"/>
        <v>0</v>
      </c>
      <c r="F499" s="9"/>
      <c r="G499" s="10"/>
      <c r="H499" s="11"/>
      <c r="I499" s="67">
        <f t="shared" si="383"/>
        <v>0</v>
      </c>
      <c r="J499" s="12">
        <f t="shared" si="384"/>
        <v>0</v>
      </c>
      <c r="L499" s="22"/>
      <c r="M499" s="9"/>
      <c r="N499" s="10"/>
      <c r="O499" s="11"/>
      <c r="P499" s="12">
        <f t="shared" si="385"/>
        <v>0</v>
      </c>
      <c r="Q499" s="9"/>
      <c r="R499" s="10"/>
      <c r="S499" s="11"/>
      <c r="T499" s="67">
        <f t="shared" si="386"/>
        <v>0</v>
      </c>
      <c r="U499" s="12">
        <f t="shared" si="387"/>
        <v>0</v>
      </c>
    </row>
    <row r="500" spans="1:22" x14ac:dyDescent="0.15">
      <c r="A500" s="24"/>
      <c r="B500" s="9"/>
      <c r="C500" s="10"/>
      <c r="D500" s="11"/>
      <c r="E500" s="12">
        <f t="shared" si="382"/>
        <v>0</v>
      </c>
      <c r="F500" s="9"/>
      <c r="G500" s="10"/>
      <c r="H500" s="11"/>
      <c r="I500" s="67">
        <f t="shared" si="383"/>
        <v>0</v>
      </c>
      <c r="J500" s="12">
        <f t="shared" si="384"/>
        <v>0</v>
      </c>
      <c r="L500" s="24"/>
      <c r="M500" s="9"/>
      <c r="N500" s="10"/>
      <c r="O500" s="11"/>
      <c r="P500" s="12">
        <f t="shared" si="385"/>
        <v>0</v>
      </c>
      <c r="Q500" s="9"/>
      <c r="R500" s="10"/>
      <c r="S500" s="11"/>
      <c r="T500" s="67">
        <f t="shared" si="386"/>
        <v>0</v>
      </c>
      <c r="U500" s="12">
        <f t="shared" si="387"/>
        <v>0</v>
      </c>
    </row>
    <row r="501" spans="1:22" x14ac:dyDescent="0.15">
      <c r="A501" s="24"/>
      <c r="B501" s="9"/>
      <c r="C501" s="10"/>
      <c r="D501" s="11"/>
      <c r="E501" s="12">
        <f t="shared" si="382"/>
        <v>0</v>
      </c>
      <c r="F501" s="9"/>
      <c r="G501" s="10"/>
      <c r="H501" s="11"/>
      <c r="I501" s="67">
        <f t="shared" si="383"/>
        <v>0</v>
      </c>
      <c r="J501" s="12">
        <f t="shared" si="384"/>
        <v>0</v>
      </c>
      <c r="L501" s="24"/>
      <c r="M501" s="9"/>
      <c r="N501" s="10"/>
      <c r="O501" s="11"/>
      <c r="P501" s="12">
        <f t="shared" si="385"/>
        <v>0</v>
      </c>
      <c r="Q501" s="9"/>
      <c r="R501" s="10"/>
      <c r="S501" s="11"/>
      <c r="T501" s="67">
        <f t="shared" si="386"/>
        <v>0</v>
      </c>
      <c r="U501" s="12">
        <f t="shared" si="387"/>
        <v>0</v>
      </c>
    </row>
    <row r="502" spans="1:22" x14ac:dyDescent="0.15">
      <c r="A502" s="22"/>
      <c r="B502" s="9"/>
      <c r="C502" s="10"/>
      <c r="D502" s="11"/>
      <c r="E502" s="12">
        <f t="shared" si="382"/>
        <v>0</v>
      </c>
      <c r="F502" s="9"/>
      <c r="G502" s="10"/>
      <c r="H502" s="11"/>
      <c r="I502" s="67">
        <f t="shared" si="383"/>
        <v>0</v>
      </c>
      <c r="J502" s="12">
        <f t="shared" si="384"/>
        <v>0</v>
      </c>
      <c r="L502" s="22"/>
      <c r="M502" s="9"/>
      <c r="N502" s="10"/>
      <c r="O502" s="11"/>
      <c r="P502" s="12">
        <f t="shared" si="385"/>
        <v>0</v>
      </c>
      <c r="Q502" s="9"/>
      <c r="R502" s="10"/>
      <c r="S502" s="11"/>
      <c r="T502" s="67">
        <f t="shared" si="386"/>
        <v>0</v>
      </c>
      <c r="U502" s="12">
        <f t="shared" si="387"/>
        <v>0</v>
      </c>
    </row>
    <row r="503" spans="1:22" x14ac:dyDescent="0.15">
      <c r="A503" s="24"/>
      <c r="B503" s="9"/>
      <c r="C503" s="10"/>
      <c r="D503" s="11"/>
      <c r="E503" s="12">
        <f t="shared" si="382"/>
        <v>0</v>
      </c>
      <c r="F503" s="9"/>
      <c r="G503" s="10"/>
      <c r="H503" s="11"/>
      <c r="I503" s="67">
        <f t="shared" si="383"/>
        <v>0</v>
      </c>
      <c r="J503" s="12">
        <f t="shared" si="384"/>
        <v>0</v>
      </c>
      <c r="L503" s="24"/>
      <c r="M503" s="9"/>
      <c r="N503" s="10"/>
      <c r="O503" s="11"/>
      <c r="P503" s="12">
        <f t="shared" si="385"/>
        <v>0</v>
      </c>
      <c r="Q503" s="9"/>
      <c r="R503" s="10"/>
      <c r="S503" s="11"/>
      <c r="T503" s="67">
        <f t="shared" si="386"/>
        <v>0</v>
      </c>
      <c r="U503" s="12">
        <f t="shared" si="387"/>
        <v>0</v>
      </c>
    </row>
    <row r="504" spans="1:22" x14ac:dyDescent="0.15">
      <c r="A504" s="24"/>
      <c r="B504" s="9"/>
      <c r="C504" s="10"/>
      <c r="D504" s="11"/>
      <c r="E504" s="12">
        <f t="shared" si="382"/>
        <v>0</v>
      </c>
      <c r="F504" s="9"/>
      <c r="G504" s="10"/>
      <c r="H504" s="11"/>
      <c r="I504" s="67">
        <f t="shared" si="383"/>
        <v>0</v>
      </c>
      <c r="J504" s="12">
        <f t="shared" si="384"/>
        <v>0</v>
      </c>
      <c r="L504" s="24"/>
      <c r="M504" s="9"/>
      <c r="N504" s="10"/>
      <c r="O504" s="11"/>
      <c r="P504" s="12">
        <f t="shared" si="385"/>
        <v>0</v>
      </c>
      <c r="Q504" s="9"/>
      <c r="R504" s="10"/>
      <c r="S504" s="11"/>
      <c r="T504" s="67">
        <f t="shared" si="386"/>
        <v>0</v>
      </c>
      <c r="U504" s="12">
        <f t="shared" si="387"/>
        <v>0</v>
      </c>
    </row>
    <row r="505" spans="1:22" x14ac:dyDescent="0.15">
      <c r="A505" s="21"/>
      <c r="B505" s="9"/>
      <c r="C505" s="10"/>
      <c r="D505" s="11"/>
      <c r="E505" s="12">
        <f t="shared" si="382"/>
        <v>0</v>
      </c>
      <c r="F505" s="9"/>
      <c r="G505" s="10"/>
      <c r="H505" s="11"/>
      <c r="I505" s="67">
        <f t="shared" si="383"/>
        <v>0</v>
      </c>
      <c r="J505" s="12">
        <f t="shared" si="384"/>
        <v>0</v>
      </c>
      <c r="L505" s="21"/>
      <c r="M505" s="9"/>
      <c r="N505" s="10"/>
      <c r="O505" s="11"/>
      <c r="P505" s="12">
        <f t="shared" si="385"/>
        <v>0</v>
      </c>
      <c r="Q505" s="9"/>
      <c r="R505" s="10"/>
      <c r="S505" s="11"/>
      <c r="T505" s="67">
        <f t="shared" si="386"/>
        <v>0</v>
      </c>
      <c r="U505" s="12">
        <f t="shared" si="387"/>
        <v>0</v>
      </c>
    </row>
    <row r="506" spans="1:22" x14ac:dyDescent="0.15">
      <c r="A506" s="21"/>
      <c r="B506" s="9"/>
      <c r="C506" s="10"/>
      <c r="D506" s="11"/>
      <c r="E506" s="12">
        <f t="shared" si="382"/>
        <v>0</v>
      </c>
      <c r="F506" s="9"/>
      <c r="G506" s="10"/>
      <c r="H506" s="11"/>
      <c r="I506" s="67">
        <f t="shared" si="383"/>
        <v>0</v>
      </c>
      <c r="J506" s="12">
        <f t="shared" si="384"/>
        <v>0</v>
      </c>
      <c r="L506" s="21"/>
      <c r="M506" s="9"/>
      <c r="N506" s="10"/>
      <c r="O506" s="11"/>
      <c r="P506" s="12">
        <f t="shared" si="385"/>
        <v>0</v>
      </c>
      <c r="Q506" s="9"/>
      <c r="R506" s="10"/>
      <c r="S506" s="11"/>
      <c r="T506" s="67">
        <f t="shared" si="386"/>
        <v>0</v>
      </c>
      <c r="U506" s="12">
        <f t="shared" si="387"/>
        <v>0</v>
      </c>
    </row>
    <row r="507" spans="1:22" x14ac:dyDescent="0.15">
      <c r="A507" s="21"/>
      <c r="B507" s="9"/>
      <c r="C507" s="10"/>
      <c r="D507" s="11"/>
      <c r="E507" s="12">
        <f t="shared" si="382"/>
        <v>0</v>
      </c>
      <c r="F507" s="9"/>
      <c r="G507" s="10"/>
      <c r="H507" s="11"/>
      <c r="I507" s="67">
        <f t="shared" si="383"/>
        <v>0</v>
      </c>
      <c r="J507" s="12">
        <f t="shared" si="384"/>
        <v>0</v>
      </c>
      <c r="L507" s="21"/>
      <c r="M507" s="9"/>
      <c r="N507" s="10"/>
      <c r="O507" s="11"/>
      <c r="P507" s="12">
        <f t="shared" si="385"/>
        <v>0</v>
      </c>
      <c r="Q507" s="9"/>
      <c r="R507" s="10"/>
      <c r="S507" s="11"/>
      <c r="T507" s="67">
        <f t="shared" si="386"/>
        <v>0</v>
      </c>
      <c r="U507" s="12">
        <f t="shared" si="387"/>
        <v>0</v>
      </c>
    </row>
    <row r="508" spans="1:22" x14ac:dyDescent="0.15">
      <c r="A508" s="24"/>
      <c r="B508" s="13"/>
      <c r="C508" s="14"/>
      <c r="D508" s="15"/>
      <c r="E508" s="12">
        <f t="shared" si="382"/>
        <v>0</v>
      </c>
      <c r="F508" s="13"/>
      <c r="G508" s="14"/>
      <c r="H508" s="15"/>
      <c r="I508" s="67">
        <f t="shared" si="383"/>
        <v>0</v>
      </c>
      <c r="J508" s="12">
        <f t="shared" si="384"/>
        <v>0</v>
      </c>
      <c r="L508" s="24"/>
      <c r="M508" s="13"/>
      <c r="N508" s="14"/>
      <c r="O508" s="15"/>
      <c r="P508" s="12">
        <f t="shared" si="385"/>
        <v>0</v>
      </c>
      <c r="Q508" s="13"/>
      <c r="R508" s="14"/>
      <c r="S508" s="15"/>
      <c r="T508" s="67">
        <f t="shared" si="386"/>
        <v>0</v>
      </c>
      <c r="U508" s="12">
        <f t="shared" si="387"/>
        <v>0</v>
      </c>
    </row>
    <row r="509" spans="1:22" x14ac:dyDescent="0.15">
      <c r="A509" s="24"/>
      <c r="B509" s="9"/>
      <c r="C509" s="10"/>
      <c r="D509" s="11"/>
      <c r="E509" s="12">
        <f t="shared" si="382"/>
        <v>0</v>
      </c>
      <c r="F509" s="9"/>
      <c r="G509" s="10"/>
      <c r="H509" s="11"/>
      <c r="I509" s="67">
        <f t="shared" si="383"/>
        <v>0</v>
      </c>
      <c r="J509" s="12">
        <f t="shared" si="384"/>
        <v>0</v>
      </c>
      <c r="L509" s="24"/>
      <c r="M509" s="9"/>
      <c r="N509" s="10"/>
      <c r="O509" s="11"/>
      <c r="P509" s="12">
        <f t="shared" si="385"/>
        <v>0</v>
      </c>
      <c r="Q509" s="9"/>
      <c r="R509" s="10"/>
      <c r="S509" s="11"/>
      <c r="T509" s="67">
        <f t="shared" si="386"/>
        <v>0</v>
      </c>
      <c r="U509" s="12">
        <f t="shared" si="387"/>
        <v>0</v>
      </c>
      <c r="V509" s="89"/>
    </row>
    <row r="510" spans="1:22" x14ac:dyDescent="0.15">
      <c r="A510" s="7"/>
      <c r="B510" s="9"/>
      <c r="C510" s="10"/>
      <c r="D510" s="11"/>
      <c r="E510" s="12">
        <f t="shared" si="382"/>
        <v>0</v>
      </c>
      <c r="F510" s="9"/>
      <c r="G510" s="10"/>
      <c r="H510" s="11"/>
      <c r="I510" s="67">
        <f t="shared" si="383"/>
        <v>0</v>
      </c>
      <c r="J510" s="12">
        <f t="shared" si="384"/>
        <v>0</v>
      </c>
      <c r="L510" s="24" t="s">
        <v>247</v>
      </c>
      <c r="M510" s="9"/>
      <c r="N510" s="10"/>
      <c r="O510" s="11"/>
      <c r="P510" s="12">
        <f t="shared" si="385"/>
        <v>0</v>
      </c>
      <c r="Q510" s="9"/>
      <c r="R510" s="10"/>
      <c r="S510" s="11"/>
      <c r="T510" s="67">
        <f t="shared" si="386"/>
        <v>0</v>
      </c>
      <c r="U510" s="12">
        <f t="shared" si="387"/>
        <v>0</v>
      </c>
      <c r="V510" s="90">
        <v>45440</v>
      </c>
    </row>
    <row r="511" spans="1:22" x14ac:dyDescent="0.15">
      <c r="A511" s="59"/>
      <c r="B511" s="9"/>
      <c r="C511" s="10"/>
      <c r="D511" s="11"/>
      <c r="E511" s="12">
        <f t="shared" si="382"/>
        <v>0</v>
      </c>
      <c r="F511" s="9"/>
      <c r="G511" s="10"/>
      <c r="H511" s="11"/>
      <c r="I511" s="67">
        <f t="shared" si="383"/>
        <v>0</v>
      </c>
      <c r="J511" s="12">
        <f t="shared" si="384"/>
        <v>0</v>
      </c>
      <c r="L511" s="97" t="s">
        <v>232</v>
      </c>
      <c r="M511" s="98"/>
      <c r="N511" s="99"/>
      <c r="O511" s="100"/>
      <c r="P511" s="101">
        <f t="shared" si="385"/>
        <v>0</v>
      </c>
      <c r="Q511" s="98"/>
      <c r="R511" s="99"/>
      <c r="S511" s="100"/>
      <c r="T511" s="102">
        <f t="shared" si="386"/>
        <v>0</v>
      </c>
      <c r="U511" s="101">
        <f t="shared" si="387"/>
        <v>0</v>
      </c>
      <c r="V511" s="89" t="s">
        <v>234</v>
      </c>
    </row>
    <row r="512" spans="1:22" ht="14.25" thickBot="1" x14ac:dyDescent="0.2">
      <c r="A512" s="59"/>
      <c r="B512" s="9"/>
      <c r="C512" s="10"/>
      <c r="D512" s="11"/>
      <c r="E512" s="12">
        <f t="shared" si="382"/>
        <v>0</v>
      </c>
      <c r="F512" s="9"/>
      <c r="G512" s="10"/>
      <c r="H512" s="11"/>
      <c r="I512" s="67">
        <f t="shared" si="383"/>
        <v>0</v>
      </c>
      <c r="J512" s="12">
        <f t="shared" si="384"/>
        <v>0</v>
      </c>
      <c r="L512" s="110" t="s">
        <v>276</v>
      </c>
      <c r="M512" s="9"/>
      <c r="N512" s="10"/>
      <c r="O512" s="11"/>
      <c r="P512" s="12">
        <f t="shared" si="385"/>
        <v>0</v>
      </c>
      <c r="Q512" s="9"/>
      <c r="R512" s="10"/>
      <c r="S512" s="11"/>
      <c r="T512" s="67">
        <f t="shared" si="386"/>
        <v>0</v>
      </c>
      <c r="U512" s="12">
        <f t="shared" si="387"/>
        <v>0</v>
      </c>
      <c r="V512" s="89" t="s">
        <v>233</v>
      </c>
    </row>
    <row r="513" spans="1:22" ht="14.25" thickBot="1" x14ac:dyDescent="0.2">
      <c r="A513" s="37" t="s">
        <v>17</v>
      </c>
      <c r="B513" s="38">
        <f>SUM(B487:B512)</f>
        <v>5</v>
      </c>
      <c r="C513" s="39">
        <f>SUM(C487:C512)</f>
        <v>8</v>
      </c>
      <c r="D513" s="40">
        <f>SUM(D487:D512)</f>
        <v>6</v>
      </c>
      <c r="E513" s="41">
        <f>SUM(B513:D513)</f>
        <v>19</v>
      </c>
      <c r="F513" s="38">
        <f>SUM(F487:F512)</f>
        <v>4</v>
      </c>
      <c r="G513" s="39">
        <f>SUM(G487:G512)</f>
        <v>9</v>
      </c>
      <c r="H513" s="40">
        <f>SUM(H487:H512)</f>
        <v>9</v>
      </c>
      <c r="I513" s="41">
        <f>SUM(F513:H513)</f>
        <v>22</v>
      </c>
      <c r="J513" s="42">
        <f t="shared" si="384"/>
        <v>41</v>
      </c>
      <c r="L513" s="37" t="s">
        <v>17</v>
      </c>
      <c r="M513" s="38">
        <f>SUM(M487:M512)</f>
        <v>427</v>
      </c>
      <c r="N513" s="39">
        <f>SUM(N487:N512)</f>
        <v>399</v>
      </c>
      <c r="O513" s="40">
        <f>SUM(O487:O512)</f>
        <v>264</v>
      </c>
      <c r="P513" s="41">
        <f>SUM(M513:O513)</f>
        <v>1090</v>
      </c>
      <c r="Q513" s="38">
        <f>SUM(Q487:Q512)</f>
        <v>424</v>
      </c>
      <c r="R513" s="39">
        <f>SUM(R487:R512)</f>
        <v>399</v>
      </c>
      <c r="S513" s="40">
        <f>SUM(S487:S512)</f>
        <v>261</v>
      </c>
      <c r="T513" s="41">
        <f>SUM(Q513:S513)</f>
        <v>1084</v>
      </c>
      <c r="U513" s="42">
        <f t="shared" si="387"/>
        <v>2174</v>
      </c>
    </row>
    <row r="514" spans="1:22" ht="14.25" thickBot="1" x14ac:dyDescent="0.2">
      <c r="A514" s="20" t="s">
        <v>18</v>
      </c>
      <c r="B514" s="63">
        <f>B486-B513</f>
        <v>3</v>
      </c>
      <c r="C514" s="64">
        <f t="shared" ref="C514:E514" si="388">C486-C513</f>
        <v>3</v>
      </c>
      <c r="D514" s="65">
        <f t="shared" si="388"/>
        <v>3</v>
      </c>
      <c r="E514" s="65">
        <f t="shared" si="388"/>
        <v>9</v>
      </c>
      <c r="F514" s="63">
        <f>F486-F513</f>
        <v>3</v>
      </c>
      <c r="G514" s="64">
        <f t="shared" ref="G514:I514" si="389">G486-G513</f>
        <v>3</v>
      </c>
      <c r="H514" s="65">
        <f t="shared" si="389"/>
        <v>3</v>
      </c>
      <c r="I514" s="65">
        <f t="shared" si="389"/>
        <v>9</v>
      </c>
      <c r="J514" s="29">
        <f t="shared" si="384"/>
        <v>18</v>
      </c>
      <c r="L514" s="112" t="s">
        <v>18</v>
      </c>
      <c r="M514" s="63">
        <f>M486-M513</f>
        <v>99</v>
      </c>
      <c r="N514" s="64">
        <f t="shared" ref="N514:P514" si="390">N486-N513</f>
        <v>190</v>
      </c>
      <c r="O514" s="65">
        <f t="shared" si="390"/>
        <v>162</v>
      </c>
      <c r="P514" s="65">
        <f t="shared" si="390"/>
        <v>451</v>
      </c>
      <c r="Q514" s="63">
        <f>Q486-Q513</f>
        <v>118</v>
      </c>
      <c r="R514" s="64">
        <f t="shared" ref="R514:T514" si="391">R486-R513</f>
        <v>196</v>
      </c>
      <c r="S514" s="65">
        <f t="shared" si="391"/>
        <v>171</v>
      </c>
      <c r="T514" s="65">
        <f t="shared" si="391"/>
        <v>485</v>
      </c>
      <c r="U514" s="29">
        <f t="shared" si="387"/>
        <v>936</v>
      </c>
    </row>
    <row r="515" spans="1:22" x14ac:dyDescent="0.15">
      <c r="L515" s="111"/>
      <c r="P515" s="1"/>
      <c r="T515" s="1"/>
    </row>
    <row r="517" spans="1:22" ht="19.5" thickBot="1" x14ac:dyDescent="0.25">
      <c r="A517" s="3" t="s">
        <v>209</v>
      </c>
      <c r="B517" s="1"/>
      <c r="C517" s="1"/>
      <c r="D517" s="1"/>
      <c r="E517" s="1"/>
      <c r="F517" s="1"/>
      <c r="G517" s="1"/>
      <c r="H517" s="1"/>
      <c r="I517" s="1"/>
      <c r="J517" s="1"/>
      <c r="L517" s="3" t="s">
        <v>208</v>
      </c>
      <c r="M517" s="1"/>
      <c r="N517" s="1"/>
      <c r="O517" s="1"/>
      <c r="P517" s="1"/>
      <c r="Q517" s="1"/>
      <c r="R517" s="1"/>
      <c r="S517" s="1"/>
      <c r="T517" s="1"/>
      <c r="U517" s="1"/>
      <c r="V517" s="90"/>
    </row>
    <row r="518" spans="1:22" ht="14.25" thickBot="1" x14ac:dyDescent="0.2">
      <c r="A518" s="8" t="s">
        <v>0</v>
      </c>
      <c r="B518" s="227" t="s">
        <v>19</v>
      </c>
      <c r="C518" s="228"/>
      <c r="D518" s="228"/>
      <c r="E518" s="229"/>
      <c r="F518" s="230" t="s">
        <v>20</v>
      </c>
      <c r="G518" s="231"/>
      <c r="H518" s="231"/>
      <c r="I518" s="232"/>
      <c r="J518" s="233" t="s">
        <v>1</v>
      </c>
      <c r="L518" s="8" t="s">
        <v>0</v>
      </c>
      <c r="M518" s="227" t="s">
        <v>19</v>
      </c>
      <c r="N518" s="228"/>
      <c r="O518" s="228"/>
      <c r="P518" s="229"/>
      <c r="Q518" s="230" t="s">
        <v>20</v>
      </c>
      <c r="R518" s="231"/>
      <c r="S518" s="231"/>
      <c r="T518" s="232"/>
      <c r="U518" s="233" t="s">
        <v>1</v>
      </c>
    </row>
    <row r="519" spans="1:22" ht="14.25" thickBot="1" x14ac:dyDescent="0.2">
      <c r="A519" s="8" t="s">
        <v>2</v>
      </c>
      <c r="B519" s="69" t="s">
        <v>3</v>
      </c>
      <c r="C519" s="70" t="s">
        <v>4</v>
      </c>
      <c r="D519" s="71" t="s">
        <v>5</v>
      </c>
      <c r="E519" s="8" t="s">
        <v>6</v>
      </c>
      <c r="F519" s="4" t="s">
        <v>3</v>
      </c>
      <c r="G519" s="5" t="s">
        <v>4</v>
      </c>
      <c r="H519" s="6" t="s">
        <v>5</v>
      </c>
      <c r="I519" s="8" t="s">
        <v>6</v>
      </c>
      <c r="J519" s="234"/>
      <c r="L519" s="8" t="s">
        <v>2</v>
      </c>
      <c r="M519" s="69" t="s">
        <v>3</v>
      </c>
      <c r="N519" s="70" t="s">
        <v>4</v>
      </c>
      <c r="O519" s="71" t="s">
        <v>5</v>
      </c>
      <c r="P519" s="8" t="s">
        <v>6</v>
      </c>
      <c r="Q519" s="4" t="s">
        <v>3</v>
      </c>
      <c r="R519" s="5" t="s">
        <v>4</v>
      </c>
      <c r="S519" s="6" t="s">
        <v>5</v>
      </c>
      <c r="T519" s="8" t="s">
        <v>6</v>
      </c>
      <c r="U519" s="234"/>
    </row>
    <row r="520" spans="1:22" ht="14.25" thickBot="1" x14ac:dyDescent="0.2">
      <c r="A520" s="25" t="s">
        <v>18</v>
      </c>
      <c r="B520" s="26">
        <f>B514</f>
        <v>3</v>
      </c>
      <c r="C520" s="27">
        <f t="shared" ref="C520:D520" si="392">C514</f>
        <v>3</v>
      </c>
      <c r="D520" s="49">
        <f t="shared" si="392"/>
        <v>3</v>
      </c>
      <c r="E520" s="68">
        <f t="shared" ref="E520:E528" si="393">SUM(B520:D520)</f>
        <v>9</v>
      </c>
      <c r="F520" s="26">
        <f>F514</f>
        <v>3</v>
      </c>
      <c r="G520" s="27">
        <f t="shared" ref="G520:H520" si="394">G514</f>
        <v>3</v>
      </c>
      <c r="H520" s="49">
        <f t="shared" si="394"/>
        <v>3</v>
      </c>
      <c r="I520" s="33">
        <f t="shared" ref="I520:I528" si="395">SUM(F520:H520)</f>
        <v>9</v>
      </c>
      <c r="J520" s="33">
        <f>E520+I520</f>
        <v>18</v>
      </c>
      <c r="L520" s="25" t="s">
        <v>18</v>
      </c>
      <c r="M520" s="26">
        <f>M514</f>
        <v>99</v>
      </c>
      <c r="N520" s="27">
        <f t="shared" ref="N520:O520" si="396">N514</f>
        <v>190</v>
      </c>
      <c r="O520" s="49">
        <f t="shared" si="396"/>
        <v>162</v>
      </c>
      <c r="P520" s="68">
        <f t="shared" ref="P520:P528" si="397">SUM(M520:O520)</f>
        <v>451</v>
      </c>
      <c r="Q520" s="26">
        <f>Q514</f>
        <v>118</v>
      </c>
      <c r="R520" s="27">
        <f t="shared" ref="R520:S520" si="398">R514</f>
        <v>196</v>
      </c>
      <c r="S520" s="49">
        <f t="shared" si="398"/>
        <v>171</v>
      </c>
      <c r="T520" s="33">
        <f t="shared" ref="T520:T528" si="399">SUM(Q520:S520)</f>
        <v>485</v>
      </c>
      <c r="U520" s="33">
        <f>P520+T520</f>
        <v>936</v>
      </c>
    </row>
    <row r="521" spans="1:22" x14ac:dyDescent="0.15">
      <c r="A521" s="23" t="s">
        <v>297</v>
      </c>
      <c r="B521" s="47">
        <v>1</v>
      </c>
      <c r="C521" s="48"/>
      <c r="D521" s="72">
        <v>1</v>
      </c>
      <c r="E521" s="42">
        <f t="shared" si="393"/>
        <v>2</v>
      </c>
      <c r="F521" s="38"/>
      <c r="G521" s="39">
        <v>1</v>
      </c>
      <c r="H521" s="40">
        <v>1</v>
      </c>
      <c r="I521" s="66">
        <f t="shared" si="395"/>
        <v>2</v>
      </c>
      <c r="J521" s="57">
        <f t="shared" ref="J521:J528" si="400">E521+I521</f>
        <v>4</v>
      </c>
      <c r="K521" s="108">
        <v>45520</v>
      </c>
      <c r="L521" s="23" t="s">
        <v>8</v>
      </c>
      <c r="M521" s="47"/>
      <c r="N521" s="48"/>
      <c r="O521" s="72"/>
      <c r="P521" s="42">
        <f t="shared" si="397"/>
        <v>0</v>
      </c>
      <c r="Q521" s="38"/>
      <c r="R521" s="39"/>
      <c r="S521" s="40"/>
      <c r="T521" s="66">
        <f t="shared" si="399"/>
        <v>0</v>
      </c>
      <c r="U521" s="57">
        <f t="shared" ref="U521:U528" si="401">P521+T521</f>
        <v>0</v>
      </c>
    </row>
    <row r="522" spans="1:22" x14ac:dyDescent="0.15">
      <c r="A522" s="23" t="s">
        <v>212</v>
      </c>
      <c r="B522" s="9">
        <v>0</v>
      </c>
      <c r="C522" s="10">
        <v>0</v>
      </c>
      <c r="D522" s="44">
        <v>0</v>
      </c>
      <c r="E522" s="12">
        <f t="shared" si="393"/>
        <v>0</v>
      </c>
      <c r="F522" s="9">
        <v>0</v>
      </c>
      <c r="G522" s="10">
        <v>1</v>
      </c>
      <c r="H522" s="44">
        <v>0</v>
      </c>
      <c r="I522" s="12">
        <f t="shared" si="395"/>
        <v>1</v>
      </c>
      <c r="J522" s="12">
        <f t="shared" si="400"/>
        <v>1</v>
      </c>
      <c r="K522" s="108">
        <v>45527</v>
      </c>
      <c r="L522" s="23" t="s">
        <v>9</v>
      </c>
      <c r="M522" s="9"/>
      <c r="N522" s="10"/>
      <c r="O522" s="44"/>
      <c r="P522" s="12">
        <f t="shared" si="397"/>
        <v>0</v>
      </c>
      <c r="Q522" s="9"/>
      <c r="R522" s="10"/>
      <c r="S522" s="44"/>
      <c r="T522" s="12">
        <f t="shared" si="399"/>
        <v>0</v>
      </c>
      <c r="U522" s="12">
        <f t="shared" si="401"/>
        <v>0</v>
      </c>
    </row>
    <row r="523" spans="1:22" x14ac:dyDescent="0.15">
      <c r="A523" s="23" t="s">
        <v>10</v>
      </c>
      <c r="B523" s="16"/>
      <c r="C523" s="17">
        <v>2</v>
      </c>
      <c r="D523" s="43"/>
      <c r="E523" s="12">
        <f t="shared" si="393"/>
        <v>2</v>
      </c>
      <c r="F523" s="16"/>
      <c r="G523" s="17">
        <v>1</v>
      </c>
      <c r="H523" s="43"/>
      <c r="I523" s="12">
        <f t="shared" si="395"/>
        <v>1</v>
      </c>
      <c r="J523" s="12">
        <f t="shared" si="400"/>
        <v>3</v>
      </c>
      <c r="K523" s="90">
        <v>45531</v>
      </c>
      <c r="L523" s="23" t="s">
        <v>109</v>
      </c>
      <c r="M523" s="9">
        <v>550</v>
      </c>
      <c r="N523" s="10">
        <v>600</v>
      </c>
      <c r="O523" s="44">
        <v>400</v>
      </c>
      <c r="P523" s="12">
        <f t="shared" si="397"/>
        <v>1550</v>
      </c>
      <c r="Q523" s="9">
        <v>550</v>
      </c>
      <c r="R523" s="10">
        <v>600</v>
      </c>
      <c r="S523" s="44">
        <v>400</v>
      </c>
      <c r="T523" s="12">
        <f t="shared" si="399"/>
        <v>1550</v>
      </c>
      <c r="U523" s="12">
        <f t="shared" si="401"/>
        <v>3100</v>
      </c>
      <c r="V523" s="90" t="s">
        <v>279</v>
      </c>
    </row>
    <row r="524" spans="1:22" x14ac:dyDescent="0.15">
      <c r="A524" s="23" t="s">
        <v>11</v>
      </c>
      <c r="B524" s="16"/>
      <c r="C524" s="17">
        <v>3</v>
      </c>
      <c r="D524" s="43"/>
      <c r="E524" s="12">
        <f t="shared" si="393"/>
        <v>3</v>
      </c>
      <c r="F524" s="16"/>
      <c r="G524" s="17"/>
      <c r="H524" s="43"/>
      <c r="I524" s="12">
        <f t="shared" si="395"/>
        <v>0</v>
      </c>
      <c r="J524" s="12">
        <f t="shared" si="400"/>
        <v>3</v>
      </c>
      <c r="K524" s="90">
        <v>45547</v>
      </c>
      <c r="L524" s="23" t="s">
        <v>11</v>
      </c>
      <c r="M524" s="9"/>
      <c r="N524" s="10"/>
      <c r="O524" s="44"/>
      <c r="P524" s="12">
        <f t="shared" ref="P524:P525" si="402">SUM(M524:O524)</f>
        <v>0</v>
      </c>
      <c r="Q524" s="9"/>
      <c r="R524" s="10"/>
      <c r="S524" s="44"/>
      <c r="T524" s="67">
        <f t="shared" ref="T524:T525" si="403">SUM(Q524:S524)</f>
        <v>0</v>
      </c>
      <c r="U524" s="12">
        <f t="shared" ref="U524:U525" si="404">P524+T524</f>
        <v>0</v>
      </c>
      <c r="V524" s="89"/>
    </row>
    <row r="525" spans="1:22" x14ac:dyDescent="0.15">
      <c r="A525" s="23" t="s">
        <v>12</v>
      </c>
      <c r="B525" s="9"/>
      <c r="C525" s="10"/>
      <c r="D525" s="44"/>
      <c r="E525" s="12">
        <f t="shared" si="393"/>
        <v>0</v>
      </c>
      <c r="F525" s="9"/>
      <c r="G525" s="10"/>
      <c r="H525" s="44"/>
      <c r="I525" s="67">
        <f t="shared" si="395"/>
        <v>0</v>
      </c>
      <c r="J525" s="12">
        <f t="shared" si="400"/>
        <v>0</v>
      </c>
      <c r="K525" s="89"/>
      <c r="L525" s="23" t="s">
        <v>246</v>
      </c>
      <c r="M525" s="9">
        <v>150</v>
      </c>
      <c r="N525" s="10">
        <v>100</v>
      </c>
      <c r="O525" s="44">
        <v>200</v>
      </c>
      <c r="P525" s="12">
        <f t="shared" si="402"/>
        <v>450</v>
      </c>
      <c r="Q525" s="9">
        <v>150</v>
      </c>
      <c r="R525" s="10">
        <v>100</v>
      </c>
      <c r="S525" s="44">
        <v>200</v>
      </c>
      <c r="T525" s="12">
        <f t="shared" si="403"/>
        <v>450</v>
      </c>
      <c r="U525" s="12">
        <f t="shared" si="404"/>
        <v>900</v>
      </c>
      <c r="V525" s="90" t="s">
        <v>280</v>
      </c>
    </row>
    <row r="526" spans="1:22" x14ac:dyDescent="0.15">
      <c r="A526" s="23" t="s">
        <v>13</v>
      </c>
      <c r="B526" s="9"/>
      <c r="C526" s="10"/>
      <c r="D526" s="44"/>
      <c r="E526" s="12">
        <f t="shared" si="393"/>
        <v>0</v>
      </c>
      <c r="F526" s="9"/>
      <c r="G526" s="10"/>
      <c r="H526" s="44"/>
      <c r="I526" s="67">
        <f t="shared" si="395"/>
        <v>0</v>
      </c>
      <c r="J526" s="12">
        <f t="shared" si="400"/>
        <v>0</v>
      </c>
      <c r="K526" s="89"/>
      <c r="L526" s="23" t="s">
        <v>278</v>
      </c>
      <c r="M526" s="9">
        <v>2</v>
      </c>
      <c r="N526" s="10"/>
      <c r="O526" s="44">
        <v>2</v>
      </c>
      <c r="P526" s="12">
        <f t="shared" si="397"/>
        <v>4</v>
      </c>
      <c r="Q526" s="9">
        <v>20</v>
      </c>
      <c r="R526" s="10">
        <v>20</v>
      </c>
      <c r="S526" s="44">
        <v>20</v>
      </c>
      <c r="T526" s="67">
        <f t="shared" si="399"/>
        <v>60</v>
      </c>
      <c r="U526" s="12">
        <f t="shared" si="401"/>
        <v>64</v>
      </c>
      <c r="V526" s="89"/>
    </row>
    <row r="527" spans="1:22" x14ac:dyDescent="0.15">
      <c r="A527" s="23" t="s">
        <v>14</v>
      </c>
      <c r="B527" s="13"/>
      <c r="C527" s="14"/>
      <c r="D527" s="45"/>
      <c r="E527" s="12">
        <f t="shared" si="393"/>
        <v>0</v>
      </c>
      <c r="F527" s="13"/>
      <c r="G527" s="14"/>
      <c r="H527" s="45"/>
      <c r="I527" s="67">
        <f t="shared" si="395"/>
        <v>0</v>
      </c>
      <c r="J527" s="12">
        <f t="shared" si="400"/>
        <v>0</v>
      </c>
      <c r="K527" s="89"/>
      <c r="L527" s="23" t="s">
        <v>14</v>
      </c>
      <c r="M527" s="13"/>
      <c r="N527" s="14"/>
      <c r="O527" s="45"/>
      <c r="P527" s="12">
        <f t="shared" si="397"/>
        <v>0</v>
      </c>
      <c r="Q527" s="13"/>
      <c r="R527" s="14"/>
      <c r="S527" s="45"/>
      <c r="T527" s="67">
        <f t="shared" si="399"/>
        <v>0</v>
      </c>
      <c r="U527" s="12">
        <f t="shared" si="401"/>
        <v>0</v>
      </c>
    </row>
    <row r="528" spans="1:22" ht="14.25" thickBot="1" x14ac:dyDescent="0.2">
      <c r="A528" s="23" t="s">
        <v>15</v>
      </c>
      <c r="B528" s="30"/>
      <c r="C528" s="31"/>
      <c r="D528" s="46"/>
      <c r="E528" s="12">
        <f t="shared" si="393"/>
        <v>0</v>
      </c>
      <c r="F528" s="30"/>
      <c r="G528" s="31"/>
      <c r="H528" s="46"/>
      <c r="I528" s="67">
        <f t="shared" si="395"/>
        <v>0</v>
      </c>
      <c r="J528" s="19">
        <f t="shared" si="400"/>
        <v>0</v>
      </c>
      <c r="L528" s="23" t="s">
        <v>15</v>
      </c>
      <c r="M528" s="13"/>
      <c r="N528" s="14"/>
      <c r="O528" s="45"/>
      <c r="P528" s="12">
        <f t="shared" si="397"/>
        <v>0</v>
      </c>
      <c r="Q528" s="13"/>
      <c r="R528" s="14"/>
      <c r="S528" s="45"/>
      <c r="T528" s="67">
        <f t="shared" si="399"/>
        <v>0</v>
      </c>
      <c r="U528" s="12">
        <f t="shared" si="401"/>
        <v>0</v>
      </c>
    </row>
    <row r="529" spans="1:23" ht="14.25" thickBot="1" x14ac:dyDescent="0.2">
      <c r="A529" s="32" t="s">
        <v>16</v>
      </c>
      <c r="B529" s="26">
        <f>SUM(B520:B528)</f>
        <v>4</v>
      </c>
      <c r="C529" s="27">
        <f t="shared" ref="C529:J529" si="405">SUM(C520:C528)</f>
        <v>8</v>
      </c>
      <c r="D529" s="49">
        <f t="shared" si="405"/>
        <v>4</v>
      </c>
      <c r="E529" s="75">
        <f t="shared" si="405"/>
        <v>16</v>
      </c>
      <c r="F529" s="26">
        <f t="shared" si="405"/>
        <v>3</v>
      </c>
      <c r="G529" s="27">
        <f t="shared" si="405"/>
        <v>6</v>
      </c>
      <c r="H529" s="49">
        <f t="shared" si="405"/>
        <v>4</v>
      </c>
      <c r="I529" s="74">
        <f t="shared" si="405"/>
        <v>13</v>
      </c>
      <c r="J529" s="29">
        <f t="shared" si="405"/>
        <v>29</v>
      </c>
      <c r="L529" s="32" t="s">
        <v>16</v>
      </c>
      <c r="M529" s="26">
        <f>SUM(M520:M528)</f>
        <v>801</v>
      </c>
      <c r="N529" s="27">
        <f t="shared" ref="N529:U529" si="406">SUM(N520:N528)</f>
        <v>890</v>
      </c>
      <c r="O529" s="49">
        <f t="shared" si="406"/>
        <v>764</v>
      </c>
      <c r="P529" s="75">
        <f t="shared" si="406"/>
        <v>2455</v>
      </c>
      <c r="Q529" s="26">
        <f t="shared" si="406"/>
        <v>838</v>
      </c>
      <c r="R529" s="27">
        <f t="shared" si="406"/>
        <v>916</v>
      </c>
      <c r="S529" s="49">
        <f t="shared" si="406"/>
        <v>791</v>
      </c>
      <c r="T529" s="74">
        <f t="shared" si="406"/>
        <v>2545</v>
      </c>
      <c r="U529" s="29">
        <f t="shared" si="406"/>
        <v>5000</v>
      </c>
    </row>
    <row r="530" spans="1:23" x14ac:dyDescent="0.15">
      <c r="A530" s="22" t="s">
        <v>45</v>
      </c>
      <c r="B530" s="16"/>
      <c r="C530" s="17">
        <v>1</v>
      </c>
      <c r="D530" s="18"/>
      <c r="E530" s="12">
        <f t="shared" ref="E530" si="407">SUM(B530:D530)</f>
        <v>1</v>
      </c>
      <c r="F530" s="16"/>
      <c r="G530" s="17"/>
      <c r="H530" s="18"/>
      <c r="I530" s="67">
        <f t="shared" ref="I530" si="408">SUM(F530:H530)</f>
        <v>0</v>
      </c>
      <c r="J530" s="12">
        <f t="shared" ref="J530" si="409">E530+I530</f>
        <v>1</v>
      </c>
      <c r="K530" s="108">
        <v>45515</v>
      </c>
      <c r="L530" s="24" t="s">
        <v>281</v>
      </c>
      <c r="M530" s="54">
        <v>2</v>
      </c>
      <c r="N530" s="55"/>
      <c r="O530" s="56"/>
      <c r="P530" s="42">
        <f t="shared" ref="P530:P552" si="410">SUM(M530:O530)</f>
        <v>2</v>
      </c>
      <c r="Q530" s="54"/>
      <c r="R530" s="55"/>
      <c r="S530" s="56"/>
      <c r="T530" s="66">
        <f t="shared" ref="T530:T552" si="411">SUM(Q530:S530)</f>
        <v>0</v>
      </c>
      <c r="U530" s="57">
        <f t="shared" ref="U530:U557" si="412">P530+T530</f>
        <v>2</v>
      </c>
      <c r="V530" s="90">
        <v>45485</v>
      </c>
      <c r="W530" s="50"/>
    </row>
    <row r="531" spans="1:23" x14ac:dyDescent="0.15">
      <c r="A531" s="22" t="s">
        <v>45</v>
      </c>
      <c r="B531" s="16"/>
      <c r="C531" s="17"/>
      <c r="D531" s="18">
        <v>1</v>
      </c>
      <c r="E531" s="12">
        <f t="shared" ref="E531:E555" si="413">SUM(B531:D531)</f>
        <v>1</v>
      </c>
      <c r="F531" s="16"/>
      <c r="G531" s="17"/>
      <c r="H531" s="18">
        <v>1</v>
      </c>
      <c r="I531" s="67">
        <f t="shared" ref="I531:I555" si="414">SUM(F531:H531)</f>
        <v>1</v>
      </c>
      <c r="J531" s="12">
        <f t="shared" ref="J531:J557" si="415">E531+I531</f>
        <v>2</v>
      </c>
      <c r="K531" s="108">
        <v>45520</v>
      </c>
      <c r="L531" s="116" t="s">
        <v>282</v>
      </c>
      <c r="M531" s="16">
        <v>25</v>
      </c>
      <c r="N531" s="17">
        <v>25</v>
      </c>
      <c r="O531" s="18">
        <v>25</v>
      </c>
      <c r="P531" s="12">
        <f t="shared" si="410"/>
        <v>75</v>
      </c>
      <c r="Q531" s="16">
        <v>25</v>
      </c>
      <c r="R531" s="17">
        <v>25</v>
      </c>
      <c r="S531" s="18">
        <v>25</v>
      </c>
      <c r="T531" s="67">
        <f t="shared" si="411"/>
        <v>75</v>
      </c>
      <c r="U531" s="12">
        <f t="shared" si="412"/>
        <v>150</v>
      </c>
      <c r="V531" s="90">
        <v>45491</v>
      </c>
      <c r="W531" s="50"/>
    </row>
    <row r="532" spans="1:23" x14ac:dyDescent="0.15">
      <c r="A532" s="22" t="s">
        <v>45</v>
      </c>
      <c r="B532" s="9"/>
      <c r="C532" s="10">
        <v>2</v>
      </c>
      <c r="D532" s="11"/>
      <c r="E532" s="12">
        <f t="shared" si="413"/>
        <v>2</v>
      </c>
      <c r="F532" s="9"/>
      <c r="G532" s="10">
        <v>2</v>
      </c>
      <c r="H532" s="11"/>
      <c r="I532" s="67">
        <f t="shared" si="414"/>
        <v>2</v>
      </c>
      <c r="J532" s="12">
        <f t="shared" si="415"/>
        <v>4</v>
      </c>
      <c r="K532" s="108">
        <v>45525</v>
      </c>
      <c r="L532" s="24" t="s">
        <v>283</v>
      </c>
      <c r="M532" s="9">
        <v>5</v>
      </c>
      <c r="N532" s="10">
        <v>8</v>
      </c>
      <c r="O532" s="11">
        <v>5</v>
      </c>
      <c r="P532" s="12">
        <f t="shared" si="410"/>
        <v>18</v>
      </c>
      <c r="Q532" s="9">
        <v>5</v>
      </c>
      <c r="R532" s="10">
        <v>8</v>
      </c>
      <c r="S532" s="11">
        <v>5</v>
      </c>
      <c r="T532" s="67">
        <f t="shared" si="411"/>
        <v>18</v>
      </c>
      <c r="U532" s="12">
        <f t="shared" si="412"/>
        <v>36</v>
      </c>
      <c r="V532" s="90">
        <v>45490</v>
      </c>
      <c r="W532" s="50"/>
    </row>
    <row r="533" spans="1:23" x14ac:dyDescent="0.15">
      <c r="A533" s="22" t="s">
        <v>45</v>
      </c>
      <c r="B533" s="9">
        <v>1</v>
      </c>
      <c r="C533" s="10"/>
      <c r="D533" s="11"/>
      <c r="E533" s="12">
        <f t="shared" si="413"/>
        <v>1</v>
      </c>
      <c r="F533" s="9"/>
      <c r="G533" s="10"/>
      <c r="H533" s="11"/>
      <c r="I533" s="67">
        <f t="shared" si="414"/>
        <v>0</v>
      </c>
      <c r="J533" s="12">
        <f t="shared" si="415"/>
        <v>1</v>
      </c>
      <c r="K533" s="108">
        <v>45539</v>
      </c>
      <c r="L533" s="24" t="s">
        <v>284</v>
      </c>
      <c r="M533" s="9">
        <v>8</v>
      </c>
      <c r="N533" s="10"/>
      <c r="O533" s="11"/>
      <c r="P533" s="12">
        <f t="shared" si="410"/>
        <v>8</v>
      </c>
      <c r="Q533" s="9">
        <v>6</v>
      </c>
      <c r="R533" s="10"/>
      <c r="S533" s="11"/>
      <c r="T533" s="67">
        <f t="shared" si="411"/>
        <v>6</v>
      </c>
      <c r="U533" s="12">
        <f t="shared" si="412"/>
        <v>14</v>
      </c>
      <c r="V533" s="90">
        <v>45495</v>
      </c>
      <c r="W533" s="50"/>
    </row>
    <row r="534" spans="1:23" x14ac:dyDescent="0.15">
      <c r="A534" s="22" t="s">
        <v>45</v>
      </c>
      <c r="B534" s="9"/>
      <c r="C534" s="10">
        <v>1</v>
      </c>
      <c r="D534" s="11"/>
      <c r="E534" s="12">
        <f t="shared" si="413"/>
        <v>1</v>
      </c>
      <c r="F534" s="9"/>
      <c r="G534" s="10">
        <v>1</v>
      </c>
      <c r="H534" s="11"/>
      <c r="I534" s="67">
        <f t="shared" si="414"/>
        <v>1</v>
      </c>
      <c r="J534" s="12">
        <f t="shared" si="415"/>
        <v>2</v>
      </c>
      <c r="K534" s="108">
        <v>45546</v>
      </c>
      <c r="L534" s="116" t="s">
        <v>286</v>
      </c>
      <c r="M534" s="9">
        <v>200</v>
      </c>
      <c r="N534" s="10">
        <v>275</v>
      </c>
      <c r="O534" s="11">
        <v>125</v>
      </c>
      <c r="P534" s="12">
        <f t="shared" si="410"/>
        <v>600</v>
      </c>
      <c r="Q534" s="9">
        <v>200</v>
      </c>
      <c r="R534" s="10">
        <v>275</v>
      </c>
      <c r="S534" s="11">
        <v>125</v>
      </c>
      <c r="T534" s="67">
        <f t="shared" si="411"/>
        <v>600</v>
      </c>
      <c r="U534" s="12">
        <f t="shared" si="412"/>
        <v>1200</v>
      </c>
      <c r="V534" s="90">
        <v>45504</v>
      </c>
      <c r="W534" s="50"/>
    </row>
    <row r="535" spans="1:23" x14ac:dyDescent="0.15">
      <c r="A535" s="24"/>
      <c r="B535" s="9"/>
      <c r="C535" s="10"/>
      <c r="D535" s="11"/>
      <c r="E535" s="12">
        <f t="shared" si="413"/>
        <v>0</v>
      </c>
      <c r="F535" s="9"/>
      <c r="G535" s="10"/>
      <c r="H535" s="11"/>
      <c r="I535" s="67">
        <f t="shared" si="414"/>
        <v>0</v>
      </c>
      <c r="J535" s="12">
        <f t="shared" si="415"/>
        <v>0</v>
      </c>
      <c r="L535" s="24" t="s">
        <v>287</v>
      </c>
      <c r="M535" s="9"/>
      <c r="N535" s="10"/>
      <c r="O535" s="11"/>
      <c r="P535" s="12">
        <f t="shared" si="410"/>
        <v>0</v>
      </c>
      <c r="Q535" s="9">
        <v>6</v>
      </c>
      <c r="R535" s="10">
        <v>8</v>
      </c>
      <c r="S535" s="11"/>
      <c r="T535" s="67">
        <f t="shared" si="411"/>
        <v>14</v>
      </c>
      <c r="U535" s="12">
        <f t="shared" si="412"/>
        <v>14</v>
      </c>
      <c r="V535" s="90">
        <v>45509</v>
      </c>
      <c r="W535" s="50"/>
    </row>
    <row r="536" spans="1:23" x14ac:dyDescent="0.15">
      <c r="A536" s="24"/>
      <c r="B536" s="9"/>
      <c r="C536" s="10"/>
      <c r="D536" s="11"/>
      <c r="E536" s="12">
        <f t="shared" si="413"/>
        <v>0</v>
      </c>
      <c r="F536" s="9"/>
      <c r="G536" s="10"/>
      <c r="H536" s="11"/>
      <c r="I536" s="67">
        <f t="shared" si="414"/>
        <v>0</v>
      </c>
      <c r="J536" s="12">
        <f t="shared" si="415"/>
        <v>0</v>
      </c>
      <c r="L536" s="116" t="s">
        <v>288</v>
      </c>
      <c r="M536" s="9">
        <v>25</v>
      </c>
      <c r="N536" s="10">
        <v>60</v>
      </c>
      <c r="O536" s="11">
        <v>70</v>
      </c>
      <c r="P536" s="12">
        <f t="shared" si="410"/>
        <v>155</v>
      </c>
      <c r="Q536" s="9">
        <v>25</v>
      </c>
      <c r="R536" s="10">
        <v>60</v>
      </c>
      <c r="S536" s="11">
        <v>70</v>
      </c>
      <c r="T536" s="67">
        <f t="shared" si="411"/>
        <v>155</v>
      </c>
      <c r="U536" s="12">
        <f t="shared" si="412"/>
        <v>310</v>
      </c>
      <c r="V536" s="90">
        <v>45504</v>
      </c>
      <c r="W536" s="50"/>
    </row>
    <row r="537" spans="1:23" x14ac:dyDescent="0.15">
      <c r="A537" s="24"/>
      <c r="B537" s="9"/>
      <c r="C537" s="10"/>
      <c r="D537" s="11"/>
      <c r="E537" s="12">
        <f t="shared" si="413"/>
        <v>0</v>
      </c>
      <c r="F537" s="9"/>
      <c r="G537" s="10"/>
      <c r="H537" s="11"/>
      <c r="I537" s="67">
        <f t="shared" si="414"/>
        <v>0</v>
      </c>
      <c r="J537" s="12">
        <f t="shared" si="415"/>
        <v>0</v>
      </c>
      <c r="L537" s="116" t="s">
        <v>292</v>
      </c>
      <c r="M537" s="9">
        <v>40</v>
      </c>
      <c r="N537" s="10">
        <v>75</v>
      </c>
      <c r="O537" s="11">
        <v>75</v>
      </c>
      <c r="P537" s="12">
        <f t="shared" si="410"/>
        <v>190</v>
      </c>
      <c r="Q537" s="9">
        <v>40</v>
      </c>
      <c r="R537" s="10">
        <v>75</v>
      </c>
      <c r="S537" s="11">
        <v>75</v>
      </c>
      <c r="T537" s="67">
        <f t="shared" si="411"/>
        <v>190</v>
      </c>
      <c r="U537" s="12">
        <f t="shared" si="412"/>
        <v>380</v>
      </c>
      <c r="V537" s="90">
        <v>45505</v>
      </c>
      <c r="W537" s="50"/>
    </row>
    <row r="538" spans="1:23" x14ac:dyDescent="0.15">
      <c r="A538" s="22"/>
      <c r="B538" s="9"/>
      <c r="C538" s="10"/>
      <c r="D538" s="11"/>
      <c r="E538" s="12">
        <f t="shared" si="413"/>
        <v>0</v>
      </c>
      <c r="F538" s="9"/>
      <c r="G538" s="10"/>
      <c r="H538" s="11"/>
      <c r="I538" s="67">
        <f t="shared" si="414"/>
        <v>0</v>
      </c>
      <c r="J538" s="12">
        <f t="shared" si="415"/>
        <v>0</v>
      </c>
      <c r="L538" s="116" t="s">
        <v>294</v>
      </c>
      <c r="M538" s="9">
        <v>35</v>
      </c>
      <c r="N538" s="10">
        <v>75</v>
      </c>
      <c r="O538" s="11">
        <v>10</v>
      </c>
      <c r="P538" s="12">
        <f t="shared" si="410"/>
        <v>120</v>
      </c>
      <c r="Q538" s="9">
        <v>35</v>
      </c>
      <c r="R538" s="10">
        <v>75</v>
      </c>
      <c r="S538" s="11">
        <v>10</v>
      </c>
      <c r="T538" s="67">
        <f t="shared" si="411"/>
        <v>120</v>
      </c>
      <c r="U538" s="12">
        <f t="shared" si="412"/>
        <v>240</v>
      </c>
      <c r="V538" s="90">
        <v>45506</v>
      </c>
      <c r="W538" s="50"/>
    </row>
    <row r="539" spans="1:23" x14ac:dyDescent="0.15">
      <c r="A539" s="24"/>
      <c r="B539" s="13"/>
      <c r="C539" s="14"/>
      <c r="D539" s="15"/>
      <c r="E539" s="12">
        <f t="shared" si="413"/>
        <v>0</v>
      </c>
      <c r="F539" s="13"/>
      <c r="G539" s="14"/>
      <c r="H539" s="15"/>
      <c r="I539" s="67">
        <f t="shared" si="414"/>
        <v>0</v>
      </c>
      <c r="J539" s="12">
        <f t="shared" si="415"/>
        <v>0</v>
      </c>
      <c r="L539" s="24" t="s">
        <v>295</v>
      </c>
      <c r="M539" s="13">
        <v>4</v>
      </c>
      <c r="N539" s="14"/>
      <c r="O539" s="15"/>
      <c r="P539" s="12">
        <f t="shared" si="410"/>
        <v>4</v>
      </c>
      <c r="Q539" s="13">
        <v>2</v>
      </c>
      <c r="R539" s="14"/>
      <c r="S539" s="15"/>
      <c r="T539" s="67">
        <f t="shared" si="411"/>
        <v>2</v>
      </c>
      <c r="U539" s="12">
        <f t="shared" si="412"/>
        <v>6</v>
      </c>
      <c r="V539" s="90">
        <v>45513</v>
      </c>
      <c r="W539" s="50"/>
    </row>
    <row r="540" spans="1:23" x14ac:dyDescent="0.15">
      <c r="A540" s="24"/>
      <c r="B540" s="9"/>
      <c r="C540" s="10"/>
      <c r="D540" s="11"/>
      <c r="E540" s="12">
        <f t="shared" si="413"/>
        <v>0</v>
      </c>
      <c r="F540" s="9"/>
      <c r="G540" s="10"/>
      <c r="H540" s="11"/>
      <c r="I540" s="67">
        <f t="shared" si="414"/>
        <v>0</v>
      </c>
      <c r="J540" s="12">
        <f t="shared" si="415"/>
        <v>0</v>
      </c>
      <c r="L540" s="24" t="s">
        <v>298</v>
      </c>
      <c r="M540" s="9"/>
      <c r="N540" s="10"/>
      <c r="O540" s="11"/>
      <c r="P540" s="12">
        <f t="shared" ref="P540:P541" si="416">SUM(M540:O540)</f>
        <v>0</v>
      </c>
      <c r="Q540" s="9">
        <v>8</v>
      </c>
      <c r="R540" s="10"/>
      <c r="S540" s="11"/>
      <c r="T540" s="67">
        <f t="shared" ref="T540:T541" si="417">SUM(Q540:S540)</f>
        <v>8</v>
      </c>
      <c r="U540" s="12">
        <f t="shared" ref="U540:U541" si="418">P540+T540</f>
        <v>8</v>
      </c>
      <c r="V540" s="90">
        <v>45530</v>
      </c>
      <c r="W540" s="50"/>
    </row>
    <row r="541" spans="1:23" x14ac:dyDescent="0.15">
      <c r="A541" s="24"/>
      <c r="B541" s="9"/>
      <c r="C541" s="10"/>
      <c r="D541" s="11"/>
      <c r="E541" s="12">
        <f t="shared" si="413"/>
        <v>0</v>
      </c>
      <c r="F541" s="9"/>
      <c r="G541" s="10"/>
      <c r="H541" s="11"/>
      <c r="I541" s="67">
        <f t="shared" si="414"/>
        <v>0</v>
      </c>
      <c r="J541" s="12">
        <f t="shared" si="415"/>
        <v>0</v>
      </c>
      <c r="L541" s="104" t="s">
        <v>38</v>
      </c>
      <c r="M541" s="9"/>
      <c r="N541" s="10">
        <v>2</v>
      </c>
      <c r="O541" s="11"/>
      <c r="P541" s="12">
        <f t="shared" si="416"/>
        <v>2</v>
      </c>
      <c r="Q541" s="9"/>
      <c r="R541" s="10">
        <v>1</v>
      </c>
      <c r="S541" s="11"/>
      <c r="T541" s="67">
        <f t="shared" si="417"/>
        <v>1</v>
      </c>
      <c r="U541" s="12">
        <f t="shared" si="418"/>
        <v>3</v>
      </c>
      <c r="V541" s="90">
        <v>45531</v>
      </c>
      <c r="W541" s="50"/>
    </row>
    <row r="542" spans="1:23" x14ac:dyDescent="0.15">
      <c r="A542" s="22"/>
      <c r="B542" s="9"/>
      <c r="C542" s="10"/>
      <c r="D542" s="11"/>
      <c r="E542" s="12">
        <f t="shared" si="413"/>
        <v>0</v>
      </c>
      <c r="F542" s="9"/>
      <c r="G542" s="10"/>
      <c r="H542" s="11"/>
      <c r="I542" s="67">
        <f t="shared" si="414"/>
        <v>0</v>
      </c>
      <c r="J542" s="12">
        <f t="shared" si="415"/>
        <v>0</v>
      </c>
      <c r="L542" s="24" t="s">
        <v>299</v>
      </c>
      <c r="M542" s="9">
        <v>2</v>
      </c>
      <c r="N542" s="10"/>
      <c r="O542" s="11"/>
      <c r="P542" s="12">
        <f t="shared" si="410"/>
        <v>2</v>
      </c>
      <c r="Q542" s="9"/>
      <c r="R542" s="10">
        <v>2</v>
      </c>
      <c r="S542" s="11"/>
      <c r="T542" s="67">
        <f t="shared" si="411"/>
        <v>2</v>
      </c>
      <c r="U542" s="12">
        <f t="shared" si="412"/>
        <v>4</v>
      </c>
      <c r="V542" s="90">
        <v>45534</v>
      </c>
      <c r="W542" s="50"/>
    </row>
    <row r="543" spans="1:23" x14ac:dyDescent="0.15">
      <c r="A543" s="24"/>
      <c r="B543" s="9"/>
      <c r="C543" s="10"/>
      <c r="D543" s="11"/>
      <c r="E543" s="12">
        <f t="shared" si="413"/>
        <v>0</v>
      </c>
      <c r="F543" s="9"/>
      <c r="G543" s="10"/>
      <c r="H543" s="11"/>
      <c r="I543" s="67">
        <f t="shared" si="414"/>
        <v>0</v>
      </c>
      <c r="J543" s="12">
        <f t="shared" si="415"/>
        <v>0</v>
      </c>
      <c r="L543" s="24" t="s">
        <v>302</v>
      </c>
      <c r="M543" s="9"/>
      <c r="N543" s="10">
        <v>10</v>
      </c>
      <c r="O543" s="11"/>
      <c r="P543" s="12">
        <f t="shared" si="410"/>
        <v>10</v>
      </c>
      <c r="Q543" s="9">
        <v>8</v>
      </c>
      <c r="R543" s="10">
        <v>8</v>
      </c>
      <c r="S543" s="11"/>
      <c r="T543" s="67">
        <f t="shared" si="411"/>
        <v>16</v>
      </c>
      <c r="U543" s="12">
        <f t="shared" si="412"/>
        <v>26</v>
      </c>
      <c r="V543" s="90">
        <v>45544</v>
      </c>
      <c r="W543" s="50"/>
    </row>
    <row r="544" spans="1:23" x14ac:dyDescent="0.15">
      <c r="A544" s="24"/>
      <c r="B544" s="9"/>
      <c r="C544" s="10"/>
      <c r="D544" s="11"/>
      <c r="E544" s="12">
        <f t="shared" si="413"/>
        <v>0</v>
      </c>
      <c r="F544" s="9"/>
      <c r="G544" s="10"/>
      <c r="H544" s="11"/>
      <c r="I544" s="67">
        <f t="shared" si="414"/>
        <v>0</v>
      </c>
      <c r="J544" s="12">
        <f t="shared" si="415"/>
        <v>0</v>
      </c>
      <c r="L544" s="104" t="s">
        <v>38</v>
      </c>
      <c r="M544" s="9"/>
      <c r="N544" s="10">
        <v>3</v>
      </c>
      <c r="O544" s="11"/>
      <c r="P544" s="12">
        <f t="shared" si="410"/>
        <v>3</v>
      </c>
      <c r="Q544" s="9"/>
      <c r="R544" s="10"/>
      <c r="S544" s="11"/>
      <c r="T544" s="67">
        <f t="shared" si="411"/>
        <v>0</v>
      </c>
      <c r="U544" s="12">
        <f t="shared" si="412"/>
        <v>3</v>
      </c>
      <c r="V544" s="90">
        <v>45547</v>
      </c>
    </row>
    <row r="545" spans="1:24" x14ac:dyDescent="0.15">
      <c r="A545" s="22"/>
      <c r="B545" s="9"/>
      <c r="C545" s="10"/>
      <c r="D545" s="11"/>
      <c r="E545" s="12">
        <f t="shared" si="413"/>
        <v>0</v>
      </c>
      <c r="F545" s="9"/>
      <c r="G545" s="10"/>
      <c r="H545" s="11"/>
      <c r="I545" s="67">
        <f t="shared" si="414"/>
        <v>0</v>
      </c>
      <c r="J545" s="12">
        <f t="shared" si="415"/>
        <v>0</v>
      </c>
      <c r="L545" s="22"/>
      <c r="M545" s="9"/>
      <c r="N545" s="10"/>
      <c r="O545" s="11"/>
      <c r="P545" s="12">
        <f t="shared" si="410"/>
        <v>0</v>
      </c>
      <c r="Q545" s="9"/>
      <c r="R545" s="10"/>
      <c r="S545" s="11"/>
      <c r="T545" s="67">
        <f t="shared" si="411"/>
        <v>0</v>
      </c>
      <c r="U545" s="12">
        <f t="shared" si="412"/>
        <v>0</v>
      </c>
      <c r="V545" s="89"/>
    </row>
    <row r="546" spans="1:24" x14ac:dyDescent="0.15">
      <c r="A546" s="24"/>
      <c r="B546" s="9"/>
      <c r="C546" s="10"/>
      <c r="D546" s="11"/>
      <c r="E546" s="12">
        <f t="shared" si="413"/>
        <v>0</v>
      </c>
      <c r="F546" s="9"/>
      <c r="G546" s="10"/>
      <c r="H546" s="11"/>
      <c r="I546" s="67">
        <f t="shared" si="414"/>
        <v>0</v>
      </c>
      <c r="J546" s="12">
        <f t="shared" si="415"/>
        <v>0</v>
      </c>
      <c r="L546" s="24"/>
      <c r="M546" s="9"/>
      <c r="N546" s="10"/>
      <c r="O546" s="11"/>
      <c r="P546" s="12">
        <f t="shared" si="410"/>
        <v>0</v>
      </c>
      <c r="Q546" s="9"/>
      <c r="R546" s="10"/>
      <c r="S546" s="11"/>
      <c r="T546" s="67">
        <f t="shared" si="411"/>
        <v>0</v>
      </c>
      <c r="U546" s="12">
        <f t="shared" si="412"/>
        <v>0</v>
      </c>
      <c r="V546" s="89"/>
    </row>
    <row r="547" spans="1:24" x14ac:dyDescent="0.15">
      <c r="A547" s="24"/>
      <c r="B547" s="9"/>
      <c r="C547" s="10"/>
      <c r="D547" s="11"/>
      <c r="E547" s="12">
        <f t="shared" si="413"/>
        <v>0</v>
      </c>
      <c r="F547" s="9"/>
      <c r="G547" s="10"/>
      <c r="H547" s="11"/>
      <c r="I547" s="67">
        <f t="shared" si="414"/>
        <v>0</v>
      </c>
      <c r="J547" s="12">
        <f t="shared" si="415"/>
        <v>0</v>
      </c>
      <c r="L547" s="24"/>
      <c r="M547" s="9"/>
      <c r="N547" s="10"/>
      <c r="O547" s="11"/>
      <c r="P547" s="12">
        <f t="shared" si="410"/>
        <v>0</v>
      </c>
      <c r="Q547" s="9"/>
      <c r="R547" s="10"/>
      <c r="S547" s="11"/>
      <c r="T547" s="67">
        <f t="shared" si="411"/>
        <v>0</v>
      </c>
      <c r="U547" s="12">
        <f t="shared" si="412"/>
        <v>0</v>
      </c>
    </row>
    <row r="548" spans="1:24" x14ac:dyDescent="0.15">
      <c r="A548" s="21"/>
      <c r="B548" s="9"/>
      <c r="C548" s="10"/>
      <c r="D548" s="11"/>
      <c r="E548" s="12">
        <f t="shared" si="413"/>
        <v>0</v>
      </c>
      <c r="F548" s="9"/>
      <c r="G548" s="10"/>
      <c r="H548" s="11"/>
      <c r="I548" s="67">
        <f t="shared" si="414"/>
        <v>0</v>
      </c>
      <c r="J548" s="12">
        <f t="shared" si="415"/>
        <v>0</v>
      </c>
      <c r="L548" s="21"/>
      <c r="M548" s="9"/>
      <c r="N548" s="10"/>
      <c r="O548" s="11"/>
      <c r="P548" s="12">
        <f t="shared" si="410"/>
        <v>0</v>
      </c>
      <c r="Q548" s="9"/>
      <c r="R548" s="10"/>
      <c r="S548" s="11"/>
      <c r="T548" s="67">
        <f t="shared" si="411"/>
        <v>0</v>
      </c>
      <c r="U548" s="12">
        <f t="shared" si="412"/>
        <v>0</v>
      </c>
    </row>
    <row r="549" spans="1:24" x14ac:dyDescent="0.15">
      <c r="A549" s="21"/>
      <c r="B549" s="9"/>
      <c r="C549" s="10"/>
      <c r="D549" s="11"/>
      <c r="E549" s="12">
        <f t="shared" si="413"/>
        <v>0</v>
      </c>
      <c r="F549" s="9"/>
      <c r="G549" s="10"/>
      <c r="H549" s="11"/>
      <c r="I549" s="67">
        <f t="shared" si="414"/>
        <v>0</v>
      </c>
      <c r="J549" s="12">
        <f t="shared" si="415"/>
        <v>0</v>
      </c>
      <c r="L549" s="21"/>
      <c r="M549" s="9"/>
      <c r="N549" s="10"/>
      <c r="O549" s="11"/>
      <c r="P549" s="12">
        <f t="shared" si="410"/>
        <v>0</v>
      </c>
      <c r="Q549" s="9"/>
      <c r="R549" s="10"/>
      <c r="S549" s="11"/>
      <c r="T549" s="67">
        <f t="shared" si="411"/>
        <v>0</v>
      </c>
      <c r="U549" s="12">
        <f t="shared" si="412"/>
        <v>0</v>
      </c>
    </row>
    <row r="550" spans="1:24" x14ac:dyDescent="0.15">
      <c r="A550" s="21"/>
      <c r="B550" s="9"/>
      <c r="C550" s="10"/>
      <c r="D550" s="11"/>
      <c r="E550" s="12">
        <f t="shared" si="413"/>
        <v>0</v>
      </c>
      <c r="F550" s="9"/>
      <c r="G550" s="10"/>
      <c r="H550" s="11"/>
      <c r="I550" s="67">
        <f t="shared" si="414"/>
        <v>0</v>
      </c>
      <c r="J550" s="12">
        <f t="shared" si="415"/>
        <v>0</v>
      </c>
      <c r="L550" s="21"/>
      <c r="M550" s="9"/>
      <c r="N550" s="10"/>
      <c r="O550" s="11"/>
      <c r="P550" s="12">
        <f t="shared" si="410"/>
        <v>0</v>
      </c>
      <c r="Q550" s="9"/>
      <c r="R550" s="10"/>
      <c r="S550" s="11"/>
      <c r="T550" s="67">
        <f t="shared" si="411"/>
        <v>0</v>
      </c>
      <c r="U550" s="12">
        <f t="shared" si="412"/>
        <v>0</v>
      </c>
    </row>
    <row r="551" spans="1:24" x14ac:dyDescent="0.15">
      <c r="A551" s="24"/>
      <c r="B551" s="13"/>
      <c r="C551" s="14"/>
      <c r="D551" s="15"/>
      <c r="E551" s="12">
        <f t="shared" si="413"/>
        <v>0</v>
      </c>
      <c r="F551" s="13"/>
      <c r="G551" s="14"/>
      <c r="H551" s="15"/>
      <c r="I551" s="67">
        <f t="shared" si="414"/>
        <v>0</v>
      </c>
      <c r="J551" s="12">
        <f t="shared" si="415"/>
        <v>0</v>
      </c>
      <c r="L551" s="24"/>
      <c r="M551" s="13"/>
      <c r="N551" s="14"/>
      <c r="O551" s="15"/>
      <c r="P551" s="12">
        <f t="shared" si="410"/>
        <v>0</v>
      </c>
      <c r="Q551" s="13"/>
      <c r="R551" s="14"/>
      <c r="S551" s="15"/>
      <c r="T551" s="67">
        <f t="shared" si="411"/>
        <v>0</v>
      </c>
      <c r="U551" s="12">
        <f t="shared" si="412"/>
        <v>0</v>
      </c>
    </row>
    <row r="552" spans="1:24" x14ac:dyDescent="0.15">
      <c r="A552" s="24"/>
      <c r="B552" s="9"/>
      <c r="C552" s="10"/>
      <c r="D552" s="11"/>
      <c r="E552" s="12">
        <f t="shared" si="413"/>
        <v>0</v>
      </c>
      <c r="F552" s="9"/>
      <c r="G552" s="10"/>
      <c r="H552" s="11"/>
      <c r="I552" s="67">
        <f t="shared" si="414"/>
        <v>0</v>
      </c>
      <c r="J552" s="12">
        <f t="shared" si="415"/>
        <v>0</v>
      </c>
      <c r="L552" s="24"/>
      <c r="M552" s="9"/>
      <c r="N552" s="10"/>
      <c r="O552" s="11"/>
      <c r="P552" s="12">
        <f t="shared" si="410"/>
        <v>0</v>
      </c>
      <c r="Q552" s="9"/>
      <c r="R552" s="10"/>
      <c r="S552" s="11"/>
      <c r="T552" s="67">
        <f t="shared" si="411"/>
        <v>0</v>
      </c>
      <c r="U552" s="12">
        <f t="shared" si="412"/>
        <v>0</v>
      </c>
    </row>
    <row r="553" spans="1:24" x14ac:dyDescent="0.15">
      <c r="A553" s="7"/>
      <c r="B553" s="9"/>
      <c r="C553" s="10"/>
      <c r="D553" s="11"/>
      <c r="E553" s="12">
        <f t="shared" si="413"/>
        <v>0</v>
      </c>
      <c r="F553" s="9"/>
      <c r="G553" s="10"/>
      <c r="H553" s="11"/>
      <c r="I553" s="67">
        <f t="shared" si="414"/>
        <v>0</v>
      </c>
      <c r="J553" s="12">
        <f t="shared" si="415"/>
        <v>0</v>
      </c>
      <c r="L553" s="24" t="s">
        <v>268</v>
      </c>
      <c r="M553" s="9"/>
      <c r="N553" s="10"/>
      <c r="O553" s="11"/>
      <c r="P553" s="12">
        <f t="shared" ref="P553:P555" si="419">SUM(M553:O553)</f>
        <v>0</v>
      </c>
      <c r="Q553" s="9"/>
      <c r="R553" s="10"/>
      <c r="S553" s="11"/>
      <c r="T553" s="67">
        <f t="shared" ref="T553:T555" si="420">SUM(Q553:S553)</f>
        <v>0</v>
      </c>
      <c r="U553" s="12">
        <f t="shared" ref="U553:U555" si="421">P553+T553</f>
        <v>0</v>
      </c>
      <c r="V553" s="89" t="s">
        <v>269</v>
      </c>
    </row>
    <row r="554" spans="1:24" x14ac:dyDescent="0.15">
      <c r="A554" s="59"/>
      <c r="B554" s="9"/>
      <c r="C554" s="10"/>
      <c r="D554" s="11"/>
      <c r="E554" s="12">
        <f t="shared" si="413"/>
        <v>0</v>
      </c>
      <c r="F554" s="9"/>
      <c r="G554" s="10"/>
      <c r="H554" s="11"/>
      <c r="I554" s="67">
        <f t="shared" si="414"/>
        <v>0</v>
      </c>
      <c r="J554" s="12">
        <f t="shared" si="415"/>
        <v>0</v>
      </c>
      <c r="L554" s="118" t="s">
        <v>241</v>
      </c>
      <c r="M554" s="98"/>
      <c r="N554" s="99"/>
      <c r="O554" s="100"/>
      <c r="P554" s="101">
        <f t="shared" si="419"/>
        <v>0</v>
      </c>
      <c r="Q554" s="98"/>
      <c r="R554" s="99"/>
      <c r="S554" s="100"/>
      <c r="T554" s="102">
        <f t="shared" si="420"/>
        <v>0</v>
      </c>
      <c r="U554" s="101">
        <f t="shared" si="421"/>
        <v>0</v>
      </c>
      <c r="V554" s="103"/>
      <c r="W554" s="50"/>
      <c r="X554" s="50"/>
    </row>
    <row r="555" spans="1:24" ht="14.25" thickBot="1" x14ac:dyDescent="0.2">
      <c r="A555" s="59"/>
      <c r="B555" s="9"/>
      <c r="C555" s="10"/>
      <c r="D555" s="11"/>
      <c r="E555" s="12">
        <f t="shared" si="413"/>
        <v>0</v>
      </c>
      <c r="F555" s="9"/>
      <c r="G555" s="10"/>
      <c r="H555" s="11"/>
      <c r="I555" s="67">
        <f t="shared" si="414"/>
        <v>0</v>
      </c>
      <c r="J555" s="12">
        <f t="shared" si="415"/>
        <v>0</v>
      </c>
      <c r="L555" s="7" t="s">
        <v>242</v>
      </c>
      <c r="M555" s="9"/>
      <c r="N555" s="10"/>
      <c r="O555" s="11"/>
      <c r="P555" s="12">
        <f t="shared" si="419"/>
        <v>0</v>
      </c>
      <c r="Q555" s="9"/>
      <c r="R555" s="10"/>
      <c r="S555" s="11"/>
      <c r="T555" s="67">
        <f t="shared" si="420"/>
        <v>0</v>
      </c>
      <c r="U555" s="12">
        <f t="shared" si="421"/>
        <v>0</v>
      </c>
      <c r="V555" s="89" t="s">
        <v>244</v>
      </c>
      <c r="W555" s="50"/>
      <c r="X555" s="50"/>
    </row>
    <row r="556" spans="1:24" ht="14.25" thickBot="1" x14ac:dyDescent="0.2">
      <c r="A556" s="37" t="s">
        <v>17</v>
      </c>
      <c r="B556" s="38">
        <f>SUM(B530:B555)</f>
        <v>1</v>
      </c>
      <c r="C556" s="39">
        <f>SUM(C530:C555)</f>
        <v>4</v>
      </c>
      <c r="D556" s="40">
        <f>SUM(D530:D555)</f>
        <v>1</v>
      </c>
      <c r="E556" s="41">
        <f>SUM(B556:D556)</f>
        <v>6</v>
      </c>
      <c r="F556" s="38">
        <f>SUM(F530:F555)</f>
        <v>0</v>
      </c>
      <c r="G556" s="39">
        <f>SUM(G530:G555)</f>
        <v>3</v>
      </c>
      <c r="H556" s="40">
        <f>SUM(H530:H555)</f>
        <v>1</v>
      </c>
      <c r="I556" s="41">
        <f>SUM(F556:H556)</f>
        <v>4</v>
      </c>
      <c r="J556" s="42">
        <f t="shared" si="415"/>
        <v>10</v>
      </c>
      <c r="L556" s="37" t="s">
        <v>17</v>
      </c>
      <c r="M556" s="38">
        <f>SUM(M530:M555)</f>
        <v>346</v>
      </c>
      <c r="N556" s="39">
        <f>SUM(N530:N555)</f>
        <v>533</v>
      </c>
      <c r="O556" s="40">
        <f>SUM(O530:O555)</f>
        <v>310</v>
      </c>
      <c r="P556" s="41">
        <f>SUM(M556:O556)</f>
        <v>1189</v>
      </c>
      <c r="Q556" s="38">
        <f>SUM(Q530:Q555)</f>
        <v>360</v>
      </c>
      <c r="R556" s="39">
        <f>SUM(R530:R555)</f>
        <v>537</v>
      </c>
      <c r="S556" s="40">
        <f>SUM(S530:S555)</f>
        <v>310</v>
      </c>
      <c r="T556" s="41">
        <f>SUM(Q556:S556)</f>
        <v>1207</v>
      </c>
      <c r="U556" s="42">
        <f t="shared" si="412"/>
        <v>2396</v>
      </c>
    </row>
    <row r="557" spans="1:24" ht="14.25" thickBot="1" x14ac:dyDescent="0.2">
      <c r="A557" s="20" t="s">
        <v>18</v>
      </c>
      <c r="B557" s="63">
        <f>B529-B556</f>
        <v>3</v>
      </c>
      <c r="C557" s="64">
        <f t="shared" ref="C557:E557" si="422">C529-C556</f>
        <v>4</v>
      </c>
      <c r="D557" s="65">
        <f t="shared" si="422"/>
        <v>3</v>
      </c>
      <c r="E557" s="65">
        <f t="shared" si="422"/>
        <v>10</v>
      </c>
      <c r="F557" s="63">
        <f>F529-F556</f>
        <v>3</v>
      </c>
      <c r="G557" s="64">
        <f t="shared" ref="G557:I557" si="423">G529-G556</f>
        <v>3</v>
      </c>
      <c r="H557" s="65">
        <f t="shared" si="423"/>
        <v>3</v>
      </c>
      <c r="I557" s="65">
        <f t="shared" si="423"/>
        <v>9</v>
      </c>
      <c r="J557" s="29">
        <f t="shared" si="415"/>
        <v>19</v>
      </c>
      <c r="L557" s="20" t="s">
        <v>18</v>
      </c>
      <c r="M557" s="63">
        <f>M529-M556</f>
        <v>455</v>
      </c>
      <c r="N557" s="64">
        <f t="shared" ref="N557:P557" si="424">N529-N556</f>
        <v>357</v>
      </c>
      <c r="O557" s="65">
        <f t="shared" si="424"/>
        <v>454</v>
      </c>
      <c r="P557" s="65">
        <f t="shared" si="424"/>
        <v>1266</v>
      </c>
      <c r="Q557" s="63">
        <f>Q529-Q556</f>
        <v>478</v>
      </c>
      <c r="R557" s="64">
        <f t="shared" ref="R557:T557" si="425">R529-R556</f>
        <v>379</v>
      </c>
      <c r="S557" s="65">
        <f t="shared" si="425"/>
        <v>481</v>
      </c>
      <c r="T557" s="65">
        <f t="shared" si="425"/>
        <v>1338</v>
      </c>
      <c r="U557" s="29">
        <f t="shared" si="412"/>
        <v>2604</v>
      </c>
    </row>
    <row r="558" spans="1:24" x14ac:dyDescent="0.15">
      <c r="M558" s="78"/>
      <c r="N558" s="78"/>
      <c r="O558" s="78"/>
      <c r="P558" s="78"/>
      <c r="Q558" s="78"/>
      <c r="R558" s="78"/>
      <c r="S558" s="78"/>
      <c r="T558" s="78"/>
    </row>
    <row r="560" spans="1:24" ht="19.5" thickBot="1" x14ac:dyDescent="0.25">
      <c r="A560" s="3" t="s">
        <v>209</v>
      </c>
      <c r="B560" s="1"/>
      <c r="C560" s="1"/>
      <c r="D560" s="1"/>
      <c r="E560" s="1"/>
      <c r="F560" s="1"/>
      <c r="G560" s="1"/>
      <c r="H560" s="1"/>
      <c r="I560" s="1"/>
      <c r="J560" s="1"/>
      <c r="L560" s="3" t="s">
        <v>208</v>
      </c>
      <c r="M560" s="1"/>
      <c r="N560" s="1"/>
      <c r="O560" s="1"/>
      <c r="P560" s="1"/>
      <c r="Q560" s="1"/>
      <c r="R560" s="1"/>
      <c r="S560" s="1"/>
      <c r="T560" s="1"/>
      <c r="U560" s="1"/>
    </row>
    <row r="561" spans="1:25" ht="14.25" thickBot="1" x14ac:dyDescent="0.2">
      <c r="A561" s="8" t="s">
        <v>0</v>
      </c>
      <c r="B561" s="227" t="s">
        <v>19</v>
      </c>
      <c r="C561" s="228"/>
      <c r="D561" s="228"/>
      <c r="E561" s="229"/>
      <c r="F561" s="230" t="s">
        <v>20</v>
      </c>
      <c r="G561" s="231"/>
      <c r="H561" s="231"/>
      <c r="I561" s="232"/>
      <c r="J561" s="233" t="s">
        <v>1</v>
      </c>
      <c r="L561" s="8" t="s">
        <v>0</v>
      </c>
      <c r="M561" s="227" t="s">
        <v>19</v>
      </c>
      <c r="N561" s="228"/>
      <c r="O561" s="228"/>
      <c r="P561" s="229"/>
      <c r="Q561" s="230" t="s">
        <v>20</v>
      </c>
      <c r="R561" s="231"/>
      <c r="S561" s="231"/>
      <c r="T561" s="232"/>
      <c r="U561" s="233" t="s">
        <v>1</v>
      </c>
    </row>
    <row r="562" spans="1:25" ht="14.25" thickBot="1" x14ac:dyDescent="0.2">
      <c r="A562" s="8" t="s">
        <v>2</v>
      </c>
      <c r="B562" s="69" t="s">
        <v>3</v>
      </c>
      <c r="C562" s="70" t="s">
        <v>4</v>
      </c>
      <c r="D562" s="71" t="s">
        <v>5</v>
      </c>
      <c r="E562" s="8" t="s">
        <v>6</v>
      </c>
      <c r="F562" s="4" t="s">
        <v>3</v>
      </c>
      <c r="G562" s="5" t="s">
        <v>4</v>
      </c>
      <c r="H562" s="6" t="s">
        <v>5</v>
      </c>
      <c r="I562" s="8" t="s">
        <v>6</v>
      </c>
      <c r="J562" s="234"/>
      <c r="L562" s="8" t="s">
        <v>2</v>
      </c>
      <c r="M562" s="69" t="s">
        <v>3</v>
      </c>
      <c r="N562" s="70" t="s">
        <v>4</v>
      </c>
      <c r="O562" s="71" t="s">
        <v>5</v>
      </c>
      <c r="P562" s="8" t="s">
        <v>6</v>
      </c>
      <c r="Q562" s="4" t="s">
        <v>3</v>
      </c>
      <c r="R562" s="5" t="s">
        <v>4</v>
      </c>
      <c r="S562" s="6" t="s">
        <v>5</v>
      </c>
      <c r="T562" s="8" t="s">
        <v>6</v>
      </c>
      <c r="U562" s="234"/>
    </row>
    <row r="563" spans="1:25" ht="14.25" thickBot="1" x14ac:dyDescent="0.2">
      <c r="A563" s="25" t="s">
        <v>18</v>
      </c>
      <c r="B563" s="26">
        <f>B557</f>
        <v>3</v>
      </c>
      <c r="C563" s="27">
        <f t="shared" ref="C563:D563" si="426">C557</f>
        <v>4</v>
      </c>
      <c r="D563" s="49">
        <f t="shared" si="426"/>
        <v>3</v>
      </c>
      <c r="E563" s="68">
        <f t="shared" ref="E563:E571" si="427">SUM(B563:D563)</f>
        <v>10</v>
      </c>
      <c r="F563" s="26">
        <f>F557</f>
        <v>3</v>
      </c>
      <c r="G563" s="27">
        <f t="shared" ref="G563:H563" si="428">G557</f>
        <v>3</v>
      </c>
      <c r="H563" s="49">
        <f t="shared" si="428"/>
        <v>3</v>
      </c>
      <c r="I563" s="33">
        <f t="shared" ref="I563:I571" si="429">SUM(F563:H563)</f>
        <v>9</v>
      </c>
      <c r="J563" s="33">
        <f>E563+I563</f>
        <v>19</v>
      </c>
      <c r="L563" s="25" t="s">
        <v>18</v>
      </c>
      <c r="M563" s="26">
        <f>M557</f>
        <v>455</v>
      </c>
      <c r="N563" s="27">
        <f t="shared" ref="N563:O563" si="430">N557</f>
        <v>357</v>
      </c>
      <c r="O563" s="49">
        <f t="shared" si="430"/>
        <v>454</v>
      </c>
      <c r="P563" s="68">
        <f t="shared" ref="P563:P571" si="431">SUM(M563:O563)</f>
        <v>1266</v>
      </c>
      <c r="Q563" s="26">
        <f>Q557</f>
        <v>478</v>
      </c>
      <c r="R563" s="27">
        <f t="shared" ref="R563:S563" si="432">R557</f>
        <v>379</v>
      </c>
      <c r="S563" s="49">
        <f t="shared" si="432"/>
        <v>481</v>
      </c>
      <c r="T563" s="33">
        <f t="shared" ref="T563:T571" si="433">SUM(Q563:S563)</f>
        <v>1338</v>
      </c>
      <c r="U563" s="33">
        <f>P563+T563</f>
        <v>2604</v>
      </c>
    </row>
    <row r="564" spans="1:25" x14ac:dyDescent="0.15">
      <c r="A564" s="23" t="s">
        <v>8</v>
      </c>
      <c r="B564" s="47"/>
      <c r="C564" s="48"/>
      <c r="D564" s="72"/>
      <c r="E564" s="42">
        <f t="shared" si="427"/>
        <v>0</v>
      </c>
      <c r="F564" s="38"/>
      <c r="G564" s="39"/>
      <c r="H564" s="40"/>
      <c r="I564" s="66">
        <f t="shared" si="429"/>
        <v>0</v>
      </c>
      <c r="J564" s="57">
        <f t="shared" ref="J564:J571" si="434">E564+I564</f>
        <v>0</v>
      </c>
      <c r="L564" s="23" t="s">
        <v>8</v>
      </c>
      <c r="M564" s="47"/>
      <c r="N564" s="48"/>
      <c r="O564" s="72"/>
      <c r="P564" s="42">
        <f t="shared" si="431"/>
        <v>0</v>
      </c>
      <c r="Q564" s="38"/>
      <c r="R564" s="39"/>
      <c r="S564" s="40"/>
      <c r="T564" s="66">
        <f t="shared" si="433"/>
        <v>0</v>
      </c>
      <c r="U564" s="57">
        <f t="shared" ref="U564:U571" si="435">P564+T564</f>
        <v>0</v>
      </c>
    </row>
    <row r="565" spans="1:25" x14ac:dyDescent="0.15">
      <c r="A565" s="23" t="s">
        <v>9</v>
      </c>
      <c r="B565" s="9"/>
      <c r="C565" s="10"/>
      <c r="D565" s="44"/>
      <c r="E565" s="12">
        <f t="shared" si="427"/>
        <v>0</v>
      </c>
      <c r="F565" s="9"/>
      <c r="G565" s="10"/>
      <c r="H565" s="44"/>
      <c r="I565" s="12">
        <f t="shared" si="429"/>
        <v>0</v>
      </c>
      <c r="J565" s="12">
        <f t="shared" si="434"/>
        <v>0</v>
      </c>
      <c r="L565" s="23" t="s">
        <v>92</v>
      </c>
      <c r="M565" s="9">
        <v>21</v>
      </c>
      <c r="N565" s="10">
        <v>86</v>
      </c>
      <c r="O565" s="44">
        <v>22</v>
      </c>
      <c r="P565" s="12">
        <f t="shared" si="431"/>
        <v>129</v>
      </c>
      <c r="Q565" s="9">
        <v>21</v>
      </c>
      <c r="R565" s="10">
        <v>86</v>
      </c>
      <c r="S565" s="44">
        <v>22</v>
      </c>
      <c r="T565" s="12">
        <f t="shared" si="433"/>
        <v>129</v>
      </c>
      <c r="U565" s="12">
        <f t="shared" si="435"/>
        <v>258</v>
      </c>
      <c r="V565" s="90">
        <v>45541</v>
      </c>
    </row>
    <row r="566" spans="1:25" x14ac:dyDescent="0.15">
      <c r="A566" s="23" t="s">
        <v>10</v>
      </c>
      <c r="B566" s="16"/>
      <c r="C566" s="17"/>
      <c r="D566" s="43"/>
      <c r="E566" s="12">
        <f t="shared" si="427"/>
        <v>0</v>
      </c>
      <c r="F566" s="16"/>
      <c r="G566" s="17"/>
      <c r="H566" s="43"/>
      <c r="I566" s="12">
        <f t="shared" si="429"/>
        <v>0</v>
      </c>
      <c r="J566" s="12">
        <f t="shared" si="434"/>
        <v>0</v>
      </c>
      <c r="L566" s="23" t="s">
        <v>10</v>
      </c>
      <c r="M566" s="9"/>
      <c r="N566" s="10"/>
      <c r="O566" s="44"/>
      <c r="P566" s="12">
        <f t="shared" ref="P566" si="436">SUM(M566:O566)</f>
        <v>0</v>
      </c>
      <c r="Q566" s="9"/>
      <c r="R566" s="10"/>
      <c r="S566" s="44"/>
      <c r="T566" s="12">
        <f t="shared" ref="T566" si="437">SUM(Q566:S566)</f>
        <v>0</v>
      </c>
      <c r="U566" s="12">
        <f t="shared" ref="U566" si="438">P566+T566</f>
        <v>0</v>
      </c>
      <c r="V566" s="89"/>
    </row>
    <row r="567" spans="1:25" x14ac:dyDescent="0.15">
      <c r="A567" s="23" t="s">
        <v>11</v>
      </c>
      <c r="B567" s="16"/>
      <c r="C567" s="17"/>
      <c r="D567" s="43"/>
      <c r="E567" s="12">
        <f t="shared" si="427"/>
        <v>0</v>
      </c>
      <c r="F567" s="16"/>
      <c r="G567" s="17"/>
      <c r="H567" s="43"/>
      <c r="I567" s="12">
        <f t="shared" si="429"/>
        <v>0</v>
      </c>
      <c r="J567" s="12">
        <f t="shared" si="434"/>
        <v>0</v>
      </c>
      <c r="L567" s="23" t="s">
        <v>11</v>
      </c>
      <c r="M567" s="9"/>
      <c r="N567" s="10"/>
      <c r="O567" s="44"/>
      <c r="P567" s="12">
        <f t="shared" ref="P567:P568" si="439">SUM(M567:O567)</f>
        <v>0</v>
      </c>
      <c r="Q567" s="9"/>
      <c r="R567" s="10"/>
      <c r="S567" s="44"/>
      <c r="T567" s="12">
        <f t="shared" ref="T567:T568" si="440">SUM(Q567:S567)</f>
        <v>0</v>
      </c>
      <c r="U567" s="12">
        <f t="shared" ref="U567:U568" si="441">P567+T567</f>
        <v>0</v>
      </c>
    </row>
    <row r="568" spans="1:25" x14ac:dyDescent="0.15">
      <c r="A568" s="23" t="s">
        <v>12</v>
      </c>
      <c r="B568" s="9"/>
      <c r="C568" s="10"/>
      <c r="D568" s="44"/>
      <c r="E568" s="12">
        <f t="shared" si="427"/>
        <v>0</v>
      </c>
      <c r="F568" s="9"/>
      <c r="G568" s="10"/>
      <c r="H568" s="44"/>
      <c r="I568" s="67">
        <f t="shared" si="429"/>
        <v>0</v>
      </c>
      <c r="J568" s="12">
        <f t="shared" si="434"/>
        <v>0</v>
      </c>
      <c r="L568" s="23" t="s">
        <v>12</v>
      </c>
      <c r="M568" s="9"/>
      <c r="N568" s="10"/>
      <c r="O568" s="44"/>
      <c r="P568" s="12">
        <f t="shared" si="439"/>
        <v>0</v>
      </c>
      <c r="Q568" s="9"/>
      <c r="R568" s="10"/>
      <c r="S568" s="44"/>
      <c r="T568" s="12">
        <f t="shared" si="440"/>
        <v>0</v>
      </c>
      <c r="U568" s="12">
        <f t="shared" si="441"/>
        <v>0</v>
      </c>
    </row>
    <row r="569" spans="1:25" x14ac:dyDescent="0.15">
      <c r="A569" s="23" t="s">
        <v>13</v>
      </c>
      <c r="B569" s="9"/>
      <c r="C569" s="10"/>
      <c r="D569" s="44"/>
      <c r="E569" s="12">
        <f t="shared" si="427"/>
        <v>0</v>
      </c>
      <c r="F569" s="9"/>
      <c r="G569" s="10"/>
      <c r="H569" s="44"/>
      <c r="I569" s="67">
        <f t="shared" si="429"/>
        <v>0</v>
      </c>
      <c r="J569" s="12">
        <f t="shared" si="434"/>
        <v>0</v>
      </c>
      <c r="L569" s="23" t="s">
        <v>13</v>
      </c>
      <c r="M569" s="9"/>
      <c r="N569" s="10"/>
      <c r="O569" s="44"/>
      <c r="P569" s="12">
        <f t="shared" si="431"/>
        <v>0</v>
      </c>
      <c r="Q569" s="9"/>
      <c r="R569" s="10"/>
      <c r="S569" s="44"/>
      <c r="T569" s="67">
        <f t="shared" si="433"/>
        <v>0</v>
      </c>
      <c r="U569" s="12">
        <f t="shared" si="435"/>
        <v>0</v>
      </c>
    </row>
    <row r="570" spans="1:25" x14ac:dyDescent="0.15">
      <c r="A570" s="23" t="s">
        <v>14</v>
      </c>
      <c r="B570" s="13"/>
      <c r="C570" s="14"/>
      <c r="D570" s="45"/>
      <c r="E570" s="12">
        <f t="shared" si="427"/>
        <v>0</v>
      </c>
      <c r="F570" s="13"/>
      <c r="G570" s="14"/>
      <c r="H570" s="45"/>
      <c r="I570" s="67">
        <f t="shared" si="429"/>
        <v>0</v>
      </c>
      <c r="J570" s="12">
        <f t="shared" si="434"/>
        <v>0</v>
      </c>
      <c r="L570" s="23" t="s">
        <v>14</v>
      </c>
      <c r="M570" s="13"/>
      <c r="N570" s="14"/>
      <c r="O570" s="45"/>
      <c r="P570" s="12">
        <f t="shared" si="431"/>
        <v>0</v>
      </c>
      <c r="Q570" s="13"/>
      <c r="R570" s="14"/>
      <c r="S570" s="45"/>
      <c r="T570" s="67">
        <f t="shared" si="433"/>
        <v>0</v>
      </c>
      <c r="U570" s="12">
        <f t="shared" si="435"/>
        <v>0</v>
      </c>
    </row>
    <row r="571" spans="1:25" ht="14.25" thickBot="1" x14ac:dyDescent="0.2">
      <c r="A571" s="23" t="s">
        <v>15</v>
      </c>
      <c r="B571" s="30"/>
      <c r="C571" s="31"/>
      <c r="D571" s="46"/>
      <c r="E571" s="12">
        <f t="shared" si="427"/>
        <v>0</v>
      </c>
      <c r="F571" s="30"/>
      <c r="G571" s="31"/>
      <c r="H571" s="46"/>
      <c r="I571" s="67">
        <f t="shared" si="429"/>
        <v>0</v>
      </c>
      <c r="J571" s="19">
        <f t="shared" si="434"/>
        <v>0</v>
      </c>
      <c r="L571" s="23" t="s">
        <v>15</v>
      </c>
      <c r="M571" s="13"/>
      <c r="N571" s="14"/>
      <c r="O571" s="45"/>
      <c r="P571" s="12">
        <f t="shared" si="431"/>
        <v>0</v>
      </c>
      <c r="Q571" s="13"/>
      <c r="R571" s="14"/>
      <c r="S571" s="45"/>
      <c r="T571" s="67">
        <f t="shared" si="433"/>
        <v>0</v>
      </c>
      <c r="U571" s="12">
        <f t="shared" si="435"/>
        <v>0</v>
      </c>
    </row>
    <row r="572" spans="1:25" ht="14.25" thickBot="1" x14ac:dyDescent="0.2">
      <c r="A572" s="32" t="s">
        <v>16</v>
      </c>
      <c r="B572" s="26">
        <f>SUM(B563:B571)</f>
        <v>3</v>
      </c>
      <c r="C572" s="27">
        <f t="shared" ref="C572:J572" si="442">SUM(C563:C571)</f>
        <v>4</v>
      </c>
      <c r="D572" s="49">
        <f t="shared" si="442"/>
        <v>3</v>
      </c>
      <c r="E572" s="75">
        <f t="shared" si="442"/>
        <v>10</v>
      </c>
      <c r="F572" s="26">
        <f t="shared" si="442"/>
        <v>3</v>
      </c>
      <c r="G572" s="27">
        <f t="shared" si="442"/>
        <v>3</v>
      </c>
      <c r="H572" s="49">
        <f t="shared" si="442"/>
        <v>3</v>
      </c>
      <c r="I572" s="74">
        <f t="shared" si="442"/>
        <v>9</v>
      </c>
      <c r="J572" s="29">
        <f t="shared" si="442"/>
        <v>19</v>
      </c>
      <c r="L572" s="32" t="s">
        <v>16</v>
      </c>
      <c r="M572" s="26">
        <f>SUM(M563:M571)</f>
        <v>476</v>
      </c>
      <c r="N572" s="27">
        <f t="shared" ref="N572:U572" si="443">SUM(N563:N571)</f>
        <v>443</v>
      </c>
      <c r="O572" s="49">
        <f t="shared" si="443"/>
        <v>476</v>
      </c>
      <c r="P572" s="75">
        <f t="shared" si="443"/>
        <v>1395</v>
      </c>
      <c r="Q572" s="26">
        <f t="shared" si="443"/>
        <v>499</v>
      </c>
      <c r="R572" s="27">
        <f t="shared" si="443"/>
        <v>465</v>
      </c>
      <c r="S572" s="49">
        <f t="shared" si="443"/>
        <v>503</v>
      </c>
      <c r="T572" s="74">
        <f t="shared" si="443"/>
        <v>1467</v>
      </c>
      <c r="U572" s="29">
        <f t="shared" si="443"/>
        <v>2862</v>
      </c>
    </row>
    <row r="573" spans="1:25" x14ac:dyDescent="0.15">
      <c r="A573" s="22" t="s">
        <v>308</v>
      </c>
      <c r="B573" s="54"/>
      <c r="C573" s="55"/>
      <c r="D573" s="56">
        <v>1</v>
      </c>
      <c r="E573" s="42">
        <f t="shared" ref="E573:E598" si="444">SUM(B573:D573)</f>
        <v>1</v>
      </c>
      <c r="F573" s="54"/>
      <c r="G573" s="55"/>
      <c r="H573" s="56">
        <v>1</v>
      </c>
      <c r="I573" s="66">
        <f t="shared" ref="I573:I598" si="445">SUM(F573:H573)</f>
        <v>1</v>
      </c>
      <c r="J573" s="57">
        <f t="shared" ref="J573:J600" si="446">E573+I573</f>
        <v>2</v>
      </c>
      <c r="K573" s="90">
        <v>45560</v>
      </c>
      <c r="L573" s="24" t="s">
        <v>303</v>
      </c>
      <c r="M573" s="9">
        <v>2</v>
      </c>
      <c r="N573" s="10"/>
      <c r="O573" s="11"/>
      <c r="P573" s="12">
        <f t="shared" ref="P573" si="447">SUM(M573:O573)</f>
        <v>2</v>
      </c>
      <c r="Q573" s="9"/>
      <c r="R573" s="10"/>
      <c r="S573" s="11">
        <v>4</v>
      </c>
      <c r="T573" s="67">
        <f t="shared" ref="T573" si="448">SUM(Q573:S573)</f>
        <v>4</v>
      </c>
      <c r="U573" s="12">
        <f t="shared" ref="U573" si="449">P573+T573</f>
        <v>6</v>
      </c>
      <c r="V573" s="90">
        <v>45548</v>
      </c>
    </row>
    <row r="574" spans="1:25" x14ac:dyDescent="0.15">
      <c r="A574" s="24"/>
      <c r="B574" s="16"/>
      <c r="C574" s="17"/>
      <c r="D574" s="18"/>
      <c r="E574" s="12">
        <f t="shared" si="444"/>
        <v>0</v>
      </c>
      <c r="F574" s="16"/>
      <c r="G574" s="17"/>
      <c r="H574" s="18"/>
      <c r="I574" s="67">
        <f t="shared" si="445"/>
        <v>0</v>
      </c>
      <c r="J574" s="12">
        <f t="shared" si="446"/>
        <v>0</v>
      </c>
      <c r="K574" s="89"/>
      <c r="L574" s="21" t="s">
        <v>304</v>
      </c>
      <c r="M574" s="16">
        <v>35</v>
      </c>
      <c r="N574" s="17">
        <v>40</v>
      </c>
      <c r="O574" s="18">
        <v>30</v>
      </c>
      <c r="P574" s="12">
        <f t="shared" ref="P574:P596" si="450">SUM(M574:O574)</f>
        <v>105</v>
      </c>
      <c r="Q574" s="16">
        <v>30</v>
      </c>
      <c r="R574" s="17">
        <v>35</v>
      </c>
      <c r="S574" s="18">
        <v>25</v>
      </c>
      <c r="T574" s="67">
        <f t="shared" ref="T574:T596" si="451">SUM(Q574:S574)</f>
        <v>90</v>
      </c>
      <c r="U574" s="12">
        <f t="shared" ref="U574:U600" si="452">P574+T574</f>
        <v>195</v>
      </c>
      <c r="V574" s="90">
        <v>45554</v>
      </c>
    </row>
    <row r="575" spans="1:25" x14ac:dyDescent="0.15">
      <c r="A575" s="22"/>
      <c r="B575" s="9"/>
      <c r="C575" s="10"/>
      <c r="D575" s="11"/>
      <c r="E575" s="12">
        <f t="shared" si="444"/>
        <v>0</v>
      </c>
      <c r="F575" s="9"/>
      <c r="G575" s="10"/>
      <c r="H575" s="11"/>
      <c r="I575" s="67">
        <f t="shared" si="445"/>
        <v>0</v>
      </c>
      <c r="J575" s="12">
        <f t="shared" si="446"/>
        <v>0</v>
      </c>
      <c r="L575" s="22" t="s">
        <v>305</v>
      </c>
      <c r="M575" s="9">
        <v>5</v>
      </c>
      <c r="N575" s="10">
        <v>5</v>
      </c>
      <c r="O575" s="11">
        <v>5</v>
      </c>
      <c r="P575" s="12">
        <f t="shared" si="450"/>
        <v>15</v>
      </c>
      <c r="Q575" s="9">
        <v>5</v>
      </c>
      <c r="R575" s="10">
        <v>5</v>
      </c>
      <c r="S575" s="11">
        <v>5</v>
      </c>
      <c r="T575" s="67">
        <f t="shared" si="451"/>
        <v>15</v>
      </c>
      <c r="U575" s="12">
        <f t="shared" si="452"/>
        <v>30</v>
      </c>
      <c r="V575" s="90">
        <v>45555</v>
      </c>
      <c r="W575" s="50"/>
      <c r="X575" s="50"/>
    </row>
    <row r="576" spans="1:25" x14ac:dyDescent="0.15">
      <c r="A576" s="24"/>
      <c r="B576" s="9"/>
      <c r="C576" s="10"/>
      <c r="D576" s="11"/>
      <c r="E576" s="12">
        <f t="shared" si="444"/>
        <v>0</v>
      </c>
      <c r="F576" s="9"/>
      <c r="G576" s="10"/>
      <c r="H576" s="11"/>
      <c r="I576" s="67">
        <f t="shared" si="445"/>
        <v>0</v>
      </c>
      <c r="J576" s="12">
        <f t="shared" si="446"/>
        <v>0</v>
      </c>
      <c r="L576" s="22" t="s">
        <v>306</v>
      </c>
      <c r="M576" s="9">
        <v>6</v>
      </c>
      <c r="N576" s="10">
        <v>10</v>
      </c>
      <c r="O576" s="11">
        <v>4</v>
      </c>
      <c r="P576" s="12">
        <f t="shared" si="450"/>
        <v>20</v>
      </c>
      <c r="Q576" s="9">
        <v>6</v>
      </c>
      <c r="R576" s="10">
        <v>10</v>
      </c>
      <c r="S576" s="11">
        <v>4</v>
      </c>
      <c r="T576" s="67">
        <f t="shared" si="451"/>
        <v>20</v>
      </c>
      <c r="U576" s="12">
        <f t="shared" si="452"/>
        <v>40</v>
      </c>
      <c r="V576" s="90">
        <v>45553</v>
      </c>
      <c r="W576" s="50"/>
      <c r="X576" s="50"/>
      <c r="Y576" s="50"/>
    </row>
    <row r="577" spans="1:25" x14ac:dyDescent="0.15">
      <c r="A577" s="24"/>
      <c r="B577" s="9"/>
      <c r="C577" s="10"/>
      <c r="D577" s="11"/>
      <c r="E577" s="12">
        <f t="shared" si="444"/>
        <v>0</v>
      </c>
      <c r="F577" s="9"/>
      <c r="G577" s="10"/>
      <c r="H577" s="11"/>
      <c r="I577" s="67">
        <f t="shared" si="445"/>
        <v>0</v>
      </c>
      <c r="J577" s="12">
        <f t="shared" si="446"/>
        <v>0</v>
      </c>
      <c r="L577" s="24" t="s">
        <v>307</v>
      </c>
      <c r="M577" s="9">
        <v>8</v>
      </c>
      <c r="N577" s="10">
        <v>12</v>
      </c>
      <c r="O577" s="11">
        <v>4</v>
      </c>
      <c r="P577" s="12">
        <f t="shared" si="450"/>
        <v>24</v>
      </c>
      <c r="Q577" s="9">
        <v>10</v>
      </c>
      <c r="R577" s="10">
        <v>8</v>
      </c>
      <c r="S577" s="11">
        <v>4</v>
      </c>
      <c r="T577" s="67">
        <f t="shared" si="451"/>
        <v>22</v>
      </c>
      <c r="U577" s="12">
        <f t="shared" si="452"/>
        <v>46</v>
      </c>
      <c r="V577" s="90">
        <v>45560</v>
      </c>
      <c r="W577" s="50"/>
      <c r="X577" s="50"/>
      <c r="Y577" s="50"/>
    </row>
    <row r="578" spans="1:25" x14ac:dyDescent="0.15">
      <c r="A578" s="24"/>
      <c r="B578" s="9"/>
      <c r="C578" s="10"/>
      <c r="D578" s="11"/>
      <c r="E578" s="12">
        <f t="shared" si="444"/>
        <v>0</v>
      </c>
      <c r="F578" s="9"/>
      <c r="G578" s="10"/>
      <c r="H578" s="11"/>
      <c r="I578" s="67">
        <f t="shared" si="445"/>
        <v>0</v>
      </c>
      <c r="J578" s="12">
        <f t="shared" si="446"/>
        <v>0</v>
      </c>
      <c r="L578" s="24" t="s">
        <v>309</v>
      </c>
      <c r="M578" s="9"/>
      <c r="N578" s="10"/>
      <c r="O578" s="11">
        <v>4</v>
      </c>
      <c r="P578" s="12">
        <f t="shared" si="450"/>
        <v>4</v>
      </c>
      <c r="Q578" s="9"/>
      <c r="R578" s="10"/>
      <c r="S578" s="11">
        <v>2</v>
      </c>
      <c r="T578" s="67">
        <f t="shared" si="451"/>
        <v>2</v>
      </c>
      <c r="U578" s="12">
        <f t="shared" si="452"/>
        <v>6</v>
      </c>
      <c r="V578" s="90">
        <v>45565</v>
      </c>
      <c r="W578" s="50"/>
      <c r="X578" s="50"/>
      <c r="Y578" s="50"/>
    </row>
    <row r="579" spans="1:25" x14ac:dyDescent="0.15">
      <c r="A579" s="24"/>
      <c r="B579" s="9"/>
      <c r="C579" s="10"/>
      <c r="D579" s="11"/>
      <c r="E579" s="12">
        <f t="shared" si="444"/>
        <v>0</v>
      </c>
      <c r="F579" s="9"/>
      <c r="G579" s="10"/>
      <c r="H579" s="11"/>
      <c r="I579" s="67">
        <f t="shared" si="445"/>
        <v>0</v>
      </c>
      <c r="J579" s="12">
        <f t="shared" si="446"/>
        <v>0</v>
      </c>
      <c r="L579" s="24"/>
      <c r="M579" s="9"/>
      <c r="N579" s="10"/>
      <c r="O579" s="11"/>
      <c r="P579" s="12">
        <f t="shared" si="450"/>
        <v>0</v>
      </c>
      <c r="Q579" s="9"/>
      <c r="R579" s="10"/>
      <c r="S579" s="11"/>
      <c r="T579" s="67">
        <f t="shared" si="451"/>
        <v>0</v>
      </c>
      <c r="U579" s="12">
        <f t="shared" si="452"/>
        <v>0</v>
      </c>
      <c r="V579" s="89"/>
      <c r="W579" s="50"/>
      <c r="X579" s="50"/>
      <c r="Y579" s="50"/>
    </row>
    <row r="580" spans="1:25" x14ac:dyDescent="0.15">
      <c r="A580" s="24"/>
      <c r="B580" s="9"/>
      <c r="C580" s="10"/>
      <c r="D580" s="11"/>
      <c r="E580" s="12">
        <f t="shared" si="444"/>
        <v>0</v>
      </c>
      <c r="F580" s="9"/>
      <c r="G580" s="10"/>
      <c r="H580" s="11"/>
      <c r="I580" s="67">
        <f t="shared" si="445"/>
        <v>0</v>
      </c>
      <c r="J580" s="12">
        <f t="shared" si="446"/>
        <v>0</v>
      </c>
      <c r="L580" s="24"/>
      <c r="M580" s="9"/>
      <c r="N580" s="10"/>
      <c r="O580" s="11"/>
      <c r="P580" s="12">
        <f t="shared" si="450"/>
        <v>0</v>
      </c>
      <c r="Q580" s="9"/>
      <c r="R580" s="10"/>
      <c r="S580" s="11"/>
      <c r="T580" s="67">
        <f t="shared" si="451"/>
        <v>0</v>
      </c>
      <c r="U580" s="12">
        <f t="shared" si="452"/>
        <v>0</v>
      </c>
      <c r="V580" s="89"/>
      <c r="W580" s="50"/>
      <c r="X580" s="50"/>
      <c r="Y580" s="50"/>
    </row>
    <row r="581" spans="1:25" x14ac:dyDescent="0.15">
      <c r="A581" s="22"/>
      <c r="B581" s="9"/>
      <c r="C581" s="10"/>
      <c r="D581" s="11"/>
      <c r="E581" s="12">
        <f t="shared" si="444"/>
        <v>0</v>
      </c>
      <c r="F581" s="9"/>
      <c r="G581" s="10"/>
      <c r="H581" s="11"/>
      <c r="I581" s="67">
        <f t="shared" si="445"/>
        <v>0</v>
      </c>
      <c r="J581" s="12">
        <f t="shared" si="446"/>
        <v>0</v>
      </c>
      <c r="L581" s="22"/>
      <c r="M581" s="9"/>
      <c r="N581" s="10"/>
      <c r="O581" s="11"/>
      <c r="P581" s="12">
        <f t="shared" si="450"/>
        <v>0</v>
      </c>
      <c r="Q581" s="9"/>
      <c r="R581" s="10"/>
      <c r="S581" s="11"/>
      <c r="T581" s="67">
        <f t="shared" si="451"/>
        <v>0</v>
      </c>
      <c r="U581" s="12">
        <f t="shared" si="452"/>
        <v>0</v>
      </c>
      <c r="V581" s="89"/>
      <c r="W581" s="50"/>
      <c r="X581" s="50"/>
      <c r="Y581" s="50"/>
    </row>
    <row r="582" spans="1:25" x14ac:dyDescent="0.15">
      <c r="A582" s="24"/>
      <c r="B582" s="13"/>
      <c r="C582" s="14"/>
      <c r="D582" s="15"/>
      <c r="E582" s="12">
        <f t="shared" si="444"/>
        <v>0</v>
      </c>
      <c r="F582" s="13"/>
      <c r="G582" s="14"/>
      <c r="H582" s="15"/>
      <c r="I582" s="67">
        <f t="shared" si="445"/>
        <v>0</v>
      </c>
      <c r="J582" s="12">
        <f t="shared" si="446"/>
        <v>0</v>
      </c>
      <c r="L582" s="24"/>
      <c r="M582" s="13"/>
      <c r="N582" s="14"/>
      <c r="O582" s="15"/>
      <c r="P582" s="12">
        <f t="shared" si="450"/>
        <v>0</v>
      </c>
      <c r="Q582" s="13"/>
      <c r="R582" s="14"/>
      <c r="S582" s="15"/>
      <c r="T582" s="67">
        <f t="shared" si="451"/>
        <v>0</v>
      </c>
      <c r="U582" s="12">
        <f t="shared" si="452"/>
        <v>0</v>
      </c>
    </row>
    <row r="583" spans="1:25" x14ac:dyDescent="0.15">
      <c r="A583" s="24"/>
      <c r="B583" s="9"/>
      <c r="C583" s="10"/>
      <c r="D583" s="11"/>
      <c r="E583" s="12">
        <f t="shared" si="444"/>
        <v>0</v>
      </c>
      <c r="F583" s="9"/>
      <c r="G583" s="10"/>
      <c r="H583" s="11"/>
      <c r="I583" s="67">
        <f t="shared" si="445"/>
        <v>0</v>
      </c>
      <c r="J583" s="12">
        <f t="shared" si="446"/>
        <v>0</v>
      </c>
      <c r="L583" s="24"/>
      <c r="M583" s="9"/>
      <c r="N583" s="10"/>
      <c r="O583" s="11"/>
      <c r="P583" s="12">
        <f t="shared" si="450"/>
        <v>0</v>
      </c>
      <c r="Q583" s="9"/>
      <c r="R583" s="10"/>
      <c r="S583" s="11"/>
      <c r="T583" s="67">
        <f t="shared" si="451"/>
        <v>0</v>
      </c>
      <c r="U583" s="12">
        <f t="shared" si="452"/>
        <v>0</v>
      </c>
    </row>
    <row r="584" spans="1:25" x14ac:dyDescent="0.15">
      <c r="A584" s="24"/>
      <c r="B584" s="9"/>
      <c r="C584" s="10"/>
      <c r="D584" s="11"/>
      <c r="E584" s="12">
        <f t="shared" si="444"/>
        <v>0</v>
      </c>
      <c r="F584" s="9"/>
      <c r="G584" s="10"/>
      <c r="H584" s="11"/>
      <c r="I584" s="67">
        <f t="shared" si="445"/>
        <v>0</v>
      </c>
      <c r="J584" s="12">
        <f t="shared" si="446"/>
        <v>0</v>
      </c>
      <c r="L584" s="24"/>
      <c r="M584" s="9"/>
      <c r="N584" s="10"/>
      <c r="O584" s="11"/>
      <c r="P584" s="12">
        <f t="shared" si="450"/>
        <v>0</v>
      </c>
      <c r="Q584" s="9"/>
      <c r="R584" s="10"/>
      <c r="S584" s="11"/>
      <c r="T584" s="67">
        <f t="shared" si="451"/>
        <v>0</v>
      </c>
      <c r="U584" s="12">
        <f t="shared" si="452"/>
        <v>0</v>
      </c>
    </row>
    <row r="585" spans="1:25" x14ac:dyDescent="0.15">
      <c r="A585" s="22"/>
      <c r="B585" s="9"/>
      <c r="C585" s="10"/>
      <c r="D585" s="11"/>
      <c r="E585" s="12">
        <f t="shared" si="444"/>
        <v>0</v>
      </c>
      <c r="F585" s="9"/>
      <c r="G585" s="10"/>
      <c r="H585" s="11"/>
      <c r="I585" s="67">
        <f t="shared" si="445"/>
        <v>0</v>
      </c>
      <c r="J585" s="12">
        <f t="shared" si="446"/>
        <v>0</v>
      </c>
      <c r="L585" s="22"/>
      <c r="M585" s="9"/>
      <c r="N585" s="10"/>
      <c r="O585" s="11"/>
      <c r="P585" s="12">
        <f t="shared" si="450"/>
        <v>0</v>
      </c>
      <c r="Q585" s="9"/>
      <c r="R585" s="10"/>
      <c r="S585" s="11"/>
      <c r="T585" s="67">
        <f t="shared" si="451"/>
        <v>0</v>
      </c>
      <c r="U585" s="12">
        <f t="shared" si="452"/>
        <v>0</v>
      </c>
    </row>
    <row r="586" spans="1:25" x14ac:dyDescent="0.15">
      <c r="A586" s="24"/>
      <c r="B586" s="9"/>
      <c r="C586" s="10"/>
      <c r="D586" s="11"/>
      <c r="E586" s="12">
        <f t="shared" si="444"/>
        <v>0</v>
      </c>
      <c r="F586" s="9"/>
      <c r="G586" s="10"/>
      <c r="H586" s="11"/>
      <c r="I586" s="67">
        <f t="shared" si="445"/>
        <v>0</v>
      </c>
      <c r="J586" s="12">
        <f t="shared" si="446"/>
        <v>0</v>
      </c>
      <c r="L586" s="24"/>
      <c r="M586" s="9"/>
      <c r="N586" s="10"/>
      <c r="O586" s="11"/>
      <c r="P586" s="12">
        <f t="shared" si="450"/>
        <v>0</v>
      </c>
      <c r="Q586" s="9"/>
      <c r="R586" s="10"/>
      <c r="S586" s="11"/>
      <c r="T586" s="67">
        <f t="shared" si="451"/>
        <v>0</v>
      </c>
      <c r="U586" s="12">
        <f t="shared" si="452"/>
        <v>0</v>
      </c>
    </row>
    <row r="587" spans="1:25" x14ac:dyDescent="0.15">
      <c r="A587" s="24"/>
      <c r="B587" s="9"/>
      <c r="C587" s="10"/>
      <c r="D587" s="11"/>
      <c r="E587" s="12">
        <f t="shared" si="444"/>
        <v>0</v>
      </c>
      <c r="F587" s="9"/>
      <c r="G587" s="10"/>
      <c r="H587" s="11"/>
      <c r="I587" s="67">
        <f t="shared" si="445"/>
        <v>0</v>
      </c>
      <c r="J587" s="12">
        <f t="shared" si="446"/>
        <v>0</v>
      </c>
      <c r="L587" s="24"/>
      <c r="M587" s="9"/>
      <c r="N587" s="10"/>
      <c r="O587" s="11"/>
      <c r="P587" s="12">
        <f t="shared" si="450"/>
        <v>0</v>
      </c>
      <c r="Q587" s="9"/>
      <c r="R587" s="10"/>
      <c r="S587" s="11"/>
      <c r="T587" s="67">
        <f t="shared" si="451"/>
        <v>0</v>
      </c>
      <c r="U587" s="12">
        <f t="shared" si="452"/>
        <v>0</v>
      </c>
    </row>
    <row r="588" spans="1:25" x14ac:dyDescent="0.15">
      <c r="A588" s="22"/>
      <c r="B588" s="9"/>
      <c r="C588" s="10"/>
      <c r="D588" s="11"/>
      <c r="E588" s="12">
        <f t="shared" si="444"/>
        <v>0</v>
      </c>
      <c r="F588" s="9"/>
      <c r="G588" s="10"/>
      <c r="H588" s="11"/>
      <c r="I588" s="67">
        <f t="shared" si="445"/>
        <v>0</v>
      </c>
      <c r="J588" s="12">
        <f t="shared" si="446"/>
        <v>0</v>
      </c>
      <c r="L588" s="22"/>
      <c r="M588" s="9"/>
      <c r="N588" s="10"/>
      <c r="O588" s="11"/>
      <c r="P588" s="12">
        <f t="shared" si="450"/>
        <v>0</v>
      </c>
      <c r="Q588" s="9"/>
      <c r="R588" s="10"/>
      <c r="S588" s="11"/>
      <c r="T588" s="67">
        <f t="shared" si="451"/>
        <v>0</v>
      </c>
      <c r="U588" s="12">
        <f t="shared" si="452"/>
        <v>0</v>
      </c>
    </row>
    <row r="589" spans="1:25" x14ac:dyDescent="0.15">
      <c r="A589" s="24"/>
      <c r="B589" s="9"/>
      <c r="C589" s="10"/>
      <c r="D589" s="11"/>
      <c r="E589" s="12">
        <f t="shared" si="444"/>
        <v>0</v>
      </c>
      <c r="F589" s="9"/>
      <c r="G589" s="10"/>
      <c r="H589" s="11"/>
      <c r="I589" s="67">
        <f t="shared" si="445"/>
        <v>0</v>
      </c>
      <c r="J589" s="12">
        <f t="shared" si="446"/>
        <v>0</v>
      </c>
      <c r="L589" s="24"/>
      <c r="M589" s="9"/>
      <c r="N589" s="10"/>
      <c r="O589" s="11"/>
      <c r="P589" s="12">
        <f t="shared" si="450"/>
        <v>0</v>
      </c>
      <c r="Q589" s="9"/>
      <c r="R589" s="10"/>
      <c r="S589" s="11"/>
      <c r="T589" s="67">
        <f t="shared" si="451"/>
        <v>0</v>
      </c>
      <c r="U589" s="12">
        <f t="shared" si="452"/>
        <v>0</v>
      </c>
    </row>
    <row r="590" spans="1:25" x14ac:dyDescent="0.15">
      <c r="A590" s="24"/>
      <c r="B590" s="9"/>
      <c r="C590" s="10"/>
      <c r="D590" s="11"/>
      <c r="E590" s="12">
        <f t="shared" si="444"/>
        <v>0</v>
      </c>
      <c r="F590" s="9"/>
      <c r="G590" s="10"/>
      <c r="H590" s="11"/>
      <c r="I590" s="67">
        <f t="shared" si="445"/>
        <v>0</v>
      </c>
      <c r="J590" s="12">
        <f t="shared" si="446"/>
        <v>0</v>
      </c>
      <c r="L590" s="24"/>
      <c r="M590" s="9"/>
      <c r="N590" s="10"/>
      <c r="O590" s="11"/>
      <c r="P590" s="12">
        <f t="shared" si="450"/>
        <v>0</v>
      </c>
      <c r="Q590" s="9"/>
      <c r="R590" s="10"/>
      <c r="S590" s="11"/>
      <c r="T590" s="67">
        <f t="shared" si="451"/>
        <v>0</v>
      </c>
      <c r="U590" s="12">
        <f t="shared" si="452"/>
        <v>0</v>
      </c>
    </row>
    <row r="591" spans="1:25" x14ac:dyDescent="0.15">
      <c r="A591" s="21"/>
      <c r="B591" s="9"/>
      <c r="C591" s="10"/>
      <c r="D591" s="11"/>
      <c r="E591" s="12">
        <f t="shared" si="444"/>
        <v>0</v>
      </c>
      <c r="F591" s="9"/>
      <c r="G591" s="10"/>
      <c r="H591" s="11"/>
      <c r="I591" s="67">
        <f t="shared" si="445"/>
        <v>0</v>
      </c>
      <c r="J591" s="12">
        <f t="shared" si="446"/>
        <v>0</v>
      </c>
      <c r="L591" s="21"/>
      <c r="M591" s="9"/>
      <c r="N591" s="10"/>
      <c r="O591" s="11"/>
      <c r="P591" s="12">
        <f t="shared" si="450"/>
        <v>0</v>
      </c>
      <c r="Q591" s="9"/>
      <c r="R591" s="10"/>
      <c r="S591" s="11"/>
      <c r="T591" s="67">
        <f t="shared" si="451"/>
        <v>0</v>
      </c>
      <c r="U591" s="12">
        <f t="shared" si="452"/>
        <v>0</v>
      </c>
    </row>
    <row r="592" spans="1:25" x14ac:dyDescent="0.15">
      <c r="A592" s="21"/>
      <c r="B592" s="9"/>
      <c r="C592" s="10"/>
      <c r="D592" s="11"/>
      <c r="E592" s="12">
        <f t="shared" si="444"/>
        <v>0</v>
      </c>
      <c r="F592" s="9"/>
      <c r="G592" s="10"/>
      <c r="H592" s="11"/>
      <c r="I592" s="67">
        <f t="shared" si="445"/>
        <v>0</v>
      </c>
      <c r="J592" s="12">
        <f t="shared" si="446"/>
        <v>0</v>
      </c>
      <c r="L592" s="21"/>
      <c r="M592" s="9"/>
      <c r="N592" s="10"/>
      <c r="O592" s="11"/>
      <c r="P592" s="12">
        <f t="shared" si="450"/>
        <v>0</v>
      </c>
      <c r="Q592" s="9"/>
      <c r="R592" s="10"/>
      <c r="S592" s="11"/>
      <c r="T592" s="67">
        <f t="shared" si="451"/>
        <v>0</v>
      </c>
      <c r="U592" s="12">
        <f t="shared" si="452"/>
        <v>0</v>
      </c>
    </row>
    <row r="593" spans="1:22" x14ac:dyDescent="0.15">
      <c r="A593" s="21"/>
      <c r="B593" s="9"/>
      <c r="C593" s="10"/>
      <c r="D593" s="11"/>
      <c r="E593" s="12">
        <f t="shared" si="444"/>
        <v>0</v>
      </c>
      <c r="F593" s="9"/>
      <c r="G593" s="10"/>
      <c r="H593" s="11"/>
      <c r="I593" s="67">
        <f t="shared" si="445"/>
        <v>0</v>
      </c>
      <c r="J593" s="12">
        <f t="shared" si="446"/>
        <v>0</v>
      </c>
      <c r="L593" s="21"/>
      <c r="M593" s="9"/>
      <c r="N593" s="10"/>
      <c r="O593" s="11"/>
      <c r="P593" s="12">
        <f t="shared" si="450"/>
        <v>0</v>
      </c>
      <c r="Q593" s="9"/>
      <c r="R593" s="10"/>
      <c r="S593" s="11"/>
      <c r="T593" s="67">
        <f t="shared" si="451"/>
        <v>0</v>
      </c>
      <c r="U593" s="12">
        <f t="shared" si="452"/>
        <v>0</v>
      </c>
    </row>
    <row r="594" spans="1:22" x14ac:dyDescent="0.15">
      <c r="A594" s="24"/>
      <c r="B594" s="13"/>
      <c r="C594" s="14"/>
      <c r="D594" s="15"/>
      <c r="E594" s="12">
        <f t="shared" si="444"/>
        <v>0</v>
      </c>
      <c r="F594" s="13"/>
      <c r="G594" s="14"/>
      <c r="H594" s="15"/>
      <c r="I594" s="67">
        <f t="shared" si="445"/>
        <v>0</v>
      </c>
      <c r="J594" s="12">
        <f t="shared" si="446"/>
        <v>0</v>
      </c>
      <c r="L594" s="24"/>
      <c r="M594" s="13"/>
      <c r="N594" s="14"/>
      <c r="O594" s="15"/>
      <c r="P594" s="12">
        <f t="shared" si="450"/>
        <v>0</v>
      </c>
      <c r="Q594" s="13"/>
      <c r="R594" s="14"/>
      <c r="S594" s="15"/>
      <c r="T594" s="67">
        <f t="shared" si="451"/>
        <v>0</v>
      </c>
      <c r="U594" s="12">
        <f t="shared" si="452"/>
        <v>0</v>
      </c>
    </row>
    <row r="595" spans="1:22" x14ac:dyDescent="0.15">
      <c r="A595" s="24"/>
      <c r="B595" s="9"/>
      <c r="C595" s="10"/>
      <c r="D595" s="11"/>
      <c r="E595" s="12">
        <f t="shared" si="444"/>
        <v>0</v>
      </c>
      <c r="F595" s="9"/>
      <c r="G595" s="10"/>
      <c r="H595" s="11"/>
      <c r="I595" s="67">
        <f t="shared" si="445"/>
        <v>0</v>
      </c>
      <c r="J595" s="12">
        <f t="shared" si="446"/>
        <v>0</v>
      </c>
      <c r="L595" s="24"/>
      <c r="M595" s="9"/>
      <c r="N595" s="10"/>
      <c r="O595" s="11"/>
      <c r="P595" s="12">
        <f t="shared" si="450"/>
        <v>0</v>
      </c>
      <c r="Q595" s="9"/>
      <c r="R595" s="10"/>
      <c r="S595" s="11"/>
      <c r="T595" s="67">
        <f t="shared" si="451"/>
        <v>0</v>
      </c>
      <c r="U595" s="12">
        <f t="shared" si="452"/>
        <v>0</v>
      </c>
    </row>
    <row r="596" spans="1:22" x14ac:dyDescent="0.15">
      <c r="A596" s="7"/>
      <c r="B596" s="9"/>
      <c r="C596" s="10"/>
      <c r="D596" s="11"/>
      <c r="E596" s="12">
        <f t="shared" si="444"/>
        <v>0</v>
      </c>
      <c r="F596" s="9"/>
      <c r="G596" s="10"/>
      <c r="H596" s="11"/>
      <c r="I596" s="67">
        <f t="shared" si="445"/>
        <v>0</v>
      </c>
      <c r="J596" s="12">
        <f t="shared" si="446"/>
        <v>0</v>
      </c>
      <c r="L596" s="22"/>
      <c r="M596" s="9"/>
      <c r="N596" s="10"/>
      <c r="O596" s="11"/>
      <c r="P596" s="12">
        <f t="shared" si="450"/>
        <v>0</v>
      </c>
      <c r="Q596" s="9"/>
      <c r="R596" s="10"/>
      <c r="S596" s="11"/>
      <c r="T596" s="67">
        <f t="shared" si="451"/>
        <v>0</v>
      </c>
      <c r="U596" s="12">
        <f t="shared" si="452"/>
        <v>0</v>
      </c>
    </row>
    <row r="597" spans="1:22" x14ac:dyDescent="0.15">
      <c r="A597" s="59"/>
      <c r="B597" s="9"/>
      <c r="C597" s="10"/>
      <c r="D597" s="11"/>
      <c r="E597" s="12">
        <f t="shared" si="444"/>
        <v>0</v>
      </c>
      <c r="F597" s="9"/>
      <c r="G597" s="10"/>
      <c r="H597" s="11"/>
      <c r="I597" s="67">
        <f t="shared" si="445"/>
        <v>0</v>
      </c>
      <c r="J597" s="12">
        <f t="shared" si="446"/>
        <v>0</v>
      </c>
      <c r="L597" s="22"/>
      <c r="M597" s="9"/>
      <c r="N597" s="10"/>
      <c r="O597" s="11"/>
      <c r="P597" s="12">
        <f t="shared" ref="P597:P598" si="453">SUM(M597:O597)</f>
        <v>0</v>
      </c>
      <c r="Q597" s="9"/>
      <c r="R597" s="10"/>
      <c r="S597" s="11"/>
      <c r="T597" s="67">
        <f t="shared" ref="T597:T598" si="454">SUM(Q597:S597)</f>
        <v>0</v>
      </c>
      <c r="U597" s="12">
        <f t="shared" ref="U597:U598" si="455">P597+T597</f>
        <v>0</v>
      </c>
      <c r="V597" s="89"/>
    </row>
    <row r="598" spans="1:22" ht="14.25" thickBot="1" x14ac:dyDescent="0.2">
      <c r="A598" s="59"/>
      <c r="B598" s="9"/>
      <c r="C598" s="10"/>
      <c r="D598" s="11"/>
      <c r="E598" s="12">
        <f t="shared" si="444"/>
        <v>0</v>
      </c>
      <c r="F598" s="9"/>
      <c r="G598" s="10"/>
      <c r="H598" s="11"/>
      <c r="I598" s="67">
        <f t="shared" si="445"/>
        <v>0</v>
      </c>
      <c r="J598" s="12">
        <f t="shared" si="446"/>
        <v>0</v>
      </c>
      <c r="L598" s="22" t="s">
        <v>285</v>
      </c>
      <c r="M598" s="9"/>
      <c r="N598" s="10"/>
      <c r="O598" s="11"/>
      <c r="P598" s="12">
        <f t="shared" si="453"/>
        <v>0</v>
      </c>
      <c r="Q598" s="9"/>
      <c r="R598" s="10"/>
      <c r="S598" s="11"/>
      <c r="T598" s="67">
        <f t="shared" si="454"/>
        <v>0</v>
      </c>
      <c r="U598" s="12">
        <f t="shared" si="455"/>
        <v>0</v>
      </c>
      <c r="V598" s="90">
        <v>45553</v>
      </c>
    </row>
    <row r="599" spans="1:22" ht="14.25" thickBot="1" x14ac:dyDescent="0.2">
      <c r="A599" s="37" t="s">
        <v>17</v>
      </c>
      <c r="B599" s="38">
        <f>SUM(B573:B598)</f>
        <v>0</v>
      </c>
      <c r="C599" s="39">
        <f>SUM(C573:C598)</f>
        <v>0</v>
      </c>
      <c r="D599" s="40">
        <f>SUM(D573:D598)</f>
        <v>1</v>
      </c>
      <c r="E599" s="41">
        <f>SUM(B599:D599)</f>
        <v>1</v>
      </c>
      <c r="F599" s="38">
        <f>SUM(F573:F598)</f>
        <v>0</v>
      </c>
      <c r="G599" s="39">
        <f>SUM(G573:G598)</f>
        <v>0</v>
      </c>
      <c r="H599" s="40">
        <f>SUM(H573:H598)</f>
        <v>1</v>
      </c>
      <c r="I599" s="41">
        <f>SUM(F599:H599)</f>
        <v>1</v>
      </c>
      <c r="J599" s="42">
        <f t="shared" si="446"/>
        <v>2</v>
      </c>
      <c r="L599" s="37" t="s">
        <v>17</v>
      </c>
      <c r="M599" s="38">
        <f>SUM(M573:M598)</f>
        <v>56</v>
      </c>
      <c r="N599" s="39">
        <f>SUM(N573:N598)</f>
        <v>67</v>
      </c>
      <c r="O599" s="40">
        <f>SUM(O573:O598)</f>
        <v>47</v>
      </c>
      <c r="P599" s="41">
        <f>SUM(M599:O599)</f>
        <v>170</v>
      </c>
      <c r="Q599" s="38">
        <f>SUM(Q573:Q598)</f>
        <v>51</v>
      </c>
      <c r="R599" s="39">
        <f>SUM(R573:R598)</f>
        <v>58</v>
      </c>
      <c r="S599" s="40">
        <f>SUM(S573:S598)</f>
        <v>44</v>
      </c>
      <c r="T599" s="41">
        <f>SUM(Q599:S599)</f>
        <v>153</v>
      </c>
      <c r="U599" s="42">
        <f t="shared" si="452"/>
        <v>323</v>
      </c>
    </row>
    <row r="600" spans="1:22" ht="14.25" thickBot="1" x14ac:dyDescent="0.2">
      <c r="A600" s="20" t="s">
        <v>18</v>
      </c>
      <c r="B600" s="63">
        <f>B572-B599</f>
        <v>3</v>
      </c>
      <c r="C600" s="64">
        <f t="shared" ref="C600:E600" si="456">C572-C599</f>
        <v>4</v>
      </c>
      <c r="D600" s="65">
        <f t="shared" si="456"/>
        <v>2</v>
      </c>
      <c r="E600" s="65">
        <f t="shared" si="456"/>
        <v>9</v>
      </c>
      <c r="F600" s="63">
        <f>F572-F599</f>
        <v>3</v>
      </c>
      <c r="G600" s="64">
        <f t="shared" ref="G600:I600" si="457">G572-G599</f>
        <v>3</v>
      </c>
      <c r="H600" s="65">
        <f t="shared" si="457"/>
        <v>2</v>
      </c>
      <c r="I600" s="65">
        <f t="shared" si="457"/>
        <v>8</v>
      </c>
      <c r="J600" s="29">
        <f t="shared" si="446"/>
        <v>17</v>
      </c>
      <c r="L600" s="20" t="s">
        <v>18</v>
      </c>
      <c r="M600" s="63">
        <f>M572-M599</f>
        <v>420</v>
      </c>
      <c r="N600" s="64">
        <f t="shared" ref="N600:P600" si="458">N572-N599</f>
        <v>376</v>
      </c>
      <c r="O600" s="65">
        <f t="shared" si="458"/>
        <v>429</v>
      </c>
      <c r="P600" s="65">
        <f t="shared" si="458"/>
        <v>1225</v>
      </c>
      <c r="Q600" s="63">
        <f>Q572-Q599</f>
        <v>448</v>
      </c>
      <c r="R600" s="64">
        <f t="shared" ref="R600:T600" si="459">R572-R599</f>
        <v>407</v>
      </c>
      <c r="S600" s="65">
        <f t="shared" si="459"/>
        <v>459</v>
      </c>
      <c r="T600" s="65">
        <f t="shared" si="459"/>
        <v>1314</v>
      </c>
      <c r="U600" s="29">
        <f t="shared" si="452"/>
        <v>2539</v>
      </c>
    </row>
    <row r="603" spans="1:22" ht="19.5" thickBot="1" x14ac:dyDescent="0.25">
      <c r="A603" s="3" t="s">
        <v>209</v>
      </c>
      <c r="B603" s="1"/>
      <c r="C603" s="1"/>
      <c r="D603" s="1"/>
      <c r="E603" s="1"/>
      <c r="F603" s="1"/>
      <c r="G603" s="1"/>
      <c r="H603" s="1"/>
      <c r="I603" s="1"/>
      <c r="J603" s="1"/>
      <c r="L603" s="3" t="s">
        <v>208</v>
      </c>
      <c r="M603" s="1"/>
      <c r="N603" s="1"/>
      <c r="O603" s="1"/>
      <c r="P603" s="1"/>
      <c r="Q603" s="1"/>
      <c r="R603" s="1"/>
      <c r="S603" s="1"/>
      <c r="T603" s="1"/>
      <c r="U603" s="1"/>
    </row>
    <row r="604" spans="1:22" ht="14.25" thickBot="1" x14ac:dyDescent="0.2">
      <c r="A604" s="8" t="s">
        <v>0</v>
      </c>
      <c r="B604" s="227" t="s">
        <v>19</v>
      </c>
      <c r="C604" s="228"/>
      <c r="D604" s="228"/>
      <c r="E604" s="229"/>
      <c r="F604" s="230" t="s">
        <v>20</v>
      </c>
      <c r="G604" s="231"/>
      <c r="H604" s="231"/>
      <c r="I604" s="232"/>
      <c r="J604" s="233" t="s">
        <v>1</v>
      </c>
      <c r="L604" s="8" t="s">
        <v>0</v>
      </c>
      <c r="M604" s="227" t="s">
        <v>19</v>
      </c>
      <c r="N604" s="228"/>
      <c r="O604" s="228"/>
      <c r="P604" s="229"/>
      <c r="Q604" s="230" t="s">
        <v>20</v>
      </c>
      <c r="R604" s="231"/>
      <c r="S604" s="231"/>
      <c r="T604" s="232"/>
      <c r="U604" s="233" t="s">
        <v>1</v>
      </c>
    </row>
    <row r="605" spans="1:22" ht="14.25" thickBot="1" x14ac:dyDescent="0.2">
      <c r="A605" s="8" t="s">
        <v>2</v>
      </c>
      <c r="B605" s="69" t="s">
        <v>3</v>
      </c>
      <c r="C605" s="70" t="s">
        <v>4</v>
      </c>
      <c r="D605" s="71" t="s">
        <v>5</v>
      </c>
      <c r="E605" s="8" t="s">
        <v>6</v>
      </c>
      <c r="F605" s="4" t="s">
        <v>3</v>
      </c>
      <c r="G605" s="5" t="s">
        <v>4</v>
      </c>
      <c r="H605" s="6" t="s">
        <v>5</v>
      </c>
      <c r="I605" s="8" t="s">
        <v>6</v>
      </c>
      <c r="J605" s="234"/>
      <c r="L605" s="8" t="s">
        <v>2</v>
      </c>
      <c r="M605" s="69" t="s">
        <v>3</v>
      </c>
      <c r="N605" s="70" t="s">
        <v>4</v>
      </c>
      <c r="O605" s="71" t="s">
        <v>5</v>
      </c>
      <c r="P605" s="8" t="s">
        <v>6</v>
      </c>
      <c r="Q605" s="4" t="s">
        <v>3</v>
      </c>
      <c r="R605" s="5" t="s">
        <v>4</v>
      </c>
      <c r="S605" s="6" t="s">
        <v>5</v>
      </c>
      <c r="T605" s="8" t="s">
        <v>6</v>
      </c>
      <c r="U605" s="234"/>
    </row>
    <row r="606" spans="1:22" ht="14.25" thickBot="1" x14ac:dyDescent="0.2">
      <c r="A606" s="25" t="s">
        <v>18</v>
      </c>
      <c r="B606" s="26">
        <f>B600</f>
        <v>3</v>
      </c>
      <c r="C606" s="27">
        <f t="shared" ref="C606:D606" si="460">C600</f>
        <v>4</v>
      </c>
      <c r="D606" s="49">
        <f t="shared" si="460"/>
        <v>2</v>
      </c>
      <c r="E606" s="68">
        <f t="shared" ref="E606:E614" si="461">SUM(B606:D606)</f>
        <v>9</v>
      </c>
      <c r="F606" s="26">
        <f>F600</f>
        <v>3</v>
      </c>
      <c r="G606" s="27">
        <f t="shared" ref="G606:H606" si="462">G600</f>
        <v>3</v>
      </c>
      <c r="H606" s="49">
        <f t="shared" si="462"/>
        <v>2</v>
      </c>
      <c r="I606" s="33">
        <f t="shared" ref="I606:I614" si="463">SUM(F606:H606)</f>
        <v>8</v>
      </c>
      <c r="J606" s="33">
        <f>E606+I606</f>
        <v>17</v>
      </c>
      <c r="L606" s="25" t="s">
        <v>18</v>
      </c>
      <c r="M606" s="26">
        <f>M600</f>
        <v>420</v>
      </c>
      <c r="N606" s="27">
        <f t="shared" ref="N606:O606" si="464">N600</f>
        <v>376</v>
      </c>
      <c r="O606" s="49">
        <f t="shared" si="464"/>
        <v>429</v>
      </c>
      <c r="P606" s="68">
        <f t="shared" ref="P606:P614" si="465">SUM(M606:O606)</f>
        <v>1225</v>
      </c>
      <c r="Q606" s="26">
        <f>Q600</f>
        <v>448</v>
      </c>
      <c r="R606" s="27">
        <f t="shared" ref="R606:S606" si="466">R600</f>
        <v>407</v>
      </c>
      <c r="S606" s="49">
        <f t="shared" si="466"/>
        <v>459</v>
      </c>
      <c r="T606" s="33">
        <f t="shared" ref="T606:T614" si="467">SUM(Q606:S606)</f>
        <v>1314</v>
      </c>
      <c r="U606" s="33">
        <f>P606+T606</f>
        <v>2539</v>
      </c>
    </row>
    <row r="607" spans="1:22" x14ac:dyDescent="0.15">
      <c r="A607" s="23" t="s">
        <v>8</v>
      </c>
      <c r="B607" s="47"/>
      <c r="C607" s="48"/>
      <c r="D607" s="72">
        <v>3</v>
      </c>
      <c r="E607" s="42">
        <f t="shared" si="461"/>
        <v>3</v>
      </c>
      <c r="F607" s="38">
        <v>5</v>
      </c>
      <c r="G607" s="39">
        <v>5</v>
      </c>
      <c r="H607" s="40">
        <v>5</v>
      </c>
      <c r="I607" s="66">
        <f t="shared" si="463"/>
        <v>15</v>
      </c>
      <c r="J607" s="57">
        <f t="shared" ref="J607:J614" si="468">E607+I607</f>
        <v>18</v>
      </c>
      <c r="K607" s="90">
        <v>45574</v>
      </c>
      <c r="L607" s="23" t="s">
        <v>8</v>
      </c>
      <c r="M607" s="47">
        <v>9</v>
      </c>
      <c r="N607" s="48">
        <v>10</v>
      </c>
      <c r="O607" s="72">
        <v>4</v>
      </c>
      <c r="P607" s="42">
        <f t="shared" si="465"/>
        <v>23</v>
      </c>
      <c r="Q607" s="38">
        <v>7</v>
      </c>
      <c r="R607" s="39">
        <v>8</v>
      </c>
      <c r="S607" s="40">
        <v>15</v>
      </c>
      <c r="T607" s="66">
        <f t="shared" si="467"/>
        <v>30</v>
      </c>
      <c r="U607" s="57">
        <f t="shared" ref="U607" si="469">P607+T607</f>
        <v>53</v>
      </c>
      <c r="V607" s="90">
        <v>45598</v>
      </c>
    </row>
    <row r="608" spans="1:22" x14ac:dyDescent="0.15">
      <c r="A608" s="23" t="s">
        <v>9</v>
      </c>
      <c r="B608" s="9">
        <v>2</v>
      </c>
      <c r="C608" s="10">
        <v>2</v>
      </c>
      <c r="D608" s="44">
        <v>2</v>
      </c>
      <c r="E608" s="12">
        <f t="shared" si="461"/>
        <v>6</v>
      </c>
      <c r="F608" s="9">
        <v>2</v>
      </c>
      <c r="G608" s="10"/>
      <c r="H608" s="44">
        <v>2</v>
      </c>
      <c r="I608" s="12">
        <f t="shared" si="463"/>
        <v>4</v>
      </c>
      <c r="J608" s="12">
        <f t="shared" si="468"/>
        <v>10</v>
      </c>
      <c r="K608" s="90">
        <v>45581</v>
      </c>
      <c r="L608" s="23" t="s">
        <v>9</v>
      </c>
      <c r="M608" s="9"/>
      <c r="N608" s="10"/>
      <c r="O608" s="44"/>
      <c r="P608" s="12">
        <f t="shared" si="465"/>
        <v>0</v>
      </c>
      <c r="Q608" s="9"/>
      <c r="R608" s="10"/>
      <c r="S608" s="44"/>
      <c r="T608" s="12">
        <f t="shared" si="467"/>
        <v>0</v>
      </c>
      <c r="U608" s="12">
        <f t="shared" ref="U608:U614" si="470">P608+T608</f>
        <v>0</v>
      </c>
      <c r="V608" s="89"/>
    </row>
    <row r="609" spans="1:23" x14ac:dyDescent="0.15">
      <c r="A609" s="23" t="s">
        <v>10</v>
      </c>
      <c r="B609" s="16"/>
      <c r="C609" s="17">
        <v>3</v>
      </c>
      <c r="D609" s="43">
        <v>8</v>
      </c>
      <c r="E609" s="12">
        <f t="shared" si="461"/>
        <v>11</v>
      </c>
      <c r="F609" s="16"/>
      <c r="G609" s="17">
        <v>3</v>
      </c>
      <c r="H609" s="43">
        <v>5</v>
      </c>
      <c r="I609" s="12">
        <f t="shared" si="463"/>
        <v>8</v>
      </c>
      <c r="J609" s="12">
        <f t="shared" si="468"/>
        <v>19</v>
      </c>
      <c r="K609" s="90">
        <v>45581</v>
      </c>
      <c r="L609" s="23" t="s">
        <v>254</v>
      </c>
      <c r="M609" s="9">
        <v>300</v>
      </c>
      <c r="N609" s="10">
        <v>300</v>
      </c>
      <c r="O609" s="44">
        <v>100</v>
      </c>
      <c r="P609" s="12">
        <f t="shared" si="465"/>
        <v>700</v>
      </c>
      <c r="Q609" s="9">
        <v>300</v>
      </c>
      <c r="R609" s="10">
        <v>300</v>
      </c>
      <c r="S609" s="44">
        <v>100</v>
      </c>
      <c r="T609" s="67">
        <f t="shared" si="467"/>
        <v>700</v>
      </c>
      <c r="U609" s="12">
        <f t="shared" si="470"/>
        <v>1400</v>
      </c>
      <c r="V609" s="90" t="s">
        <v>329</v>
      </c>
    </row>
    <row r="610" spans="1:23" x14ac:dyDescent="0.15">
      <c r="A610" s="23" t="s">
        <v>11</v>
      </c>
      <c r="B610" s="16"/>
      <c r="C610" s="17">
        <v>5</v>
      </c>
      <c r="D610" s="43"/>
      <c r="E610" s="12">
        <f t="shared" si="461"/>
        <v>5</v>
      </c>
      <c r="F610" s="16"/>
      <c r="G610" s="17">
        <v>5</v>
      </c>
      <c r="H610" s="43"/>
      <c r="I610" s="12">
        <f t="shared" si="463"/>
        <v>5</v>
      </c>
      <c r="J610" s="12">
        <f t="shared" si="468"/>
        <v>10</v>
      </c>
      <c r="K610" s="90">
        <v>45587</v>
      </c>
      <c r="L610" s="23" t="s">
        <v>11</v>
      </c>
      <c r="M610" s="9"/>
      <c r="N610" s="10"/>
      <c r="O610" s="44"/>
      <c r="P610" s="12">
        <f t="shared" ref="P610" si="471">SUM(M610:O610)</f>
        <v>0</v>
      </c>
      <c r="Q610" s="9"/>
      <c r="R610" s="10"/>
      <c r="S610" s="44"/>
      <c r="T610" s="12">
        <f t="shared" ref="T610" si="472">SUM(Q610:S610)</f>
        <v>0</v>
      </c>
      <c r="U610" s="12">
        <f t="shared" ref="U610" si="473">P610+T610</f>
        <v>0</v>
      </c>
      <c r="V610" s="89"/>
    </row>
    <row r="611" spans="1:23" x14ac:dyDescent="0.15">
      <c r="A611" s="23" t="s">
        <v>271</v>
      </c>
      <c r="B611" s="9">
        <v>6</v>
      </c>
      <c r="C611" s="10">
        <v>11</v>
      </c>
      <c r="D611" s="44">
        <v>12</v>
      </c>
      <c r="E611" s="12">
        <f t="shared" si="461"/>
        <v>29</v>
      </c>
      <c r="F611" s="9">
        <v>7</v>
      </c>
      <c r="G611" s="10">
        <v>8</v>
      </c>
      <c r="H611" s="44">
        <v>17</v>
      </c>
      <c r="I611" s="12">
        <f t="shared" si="463"/>
        <v>32</v>
      </c>
      <c r="J611" s="12">
        <f t="shared" si="468"/>
        <v>61</v>
      </c>
      <c r="K611" s="90">
        <v>45589</v>
      </c>
      <c r="L611" s="23" t="s">
        <v>12</v>
      </c>
      <c r="M611" s="9"/>
      <c r="N611" s="10"/>
      <c r="O611" s="44"/>
      <c r="P611" s="12">
        <f t="shared" ref="P611:P612" si="474">SUM(M611:O611)</f>
        <v>0</v>
      </c>
      <c r="Q611" s="9"/>
      <c r="R611" s="10"/>
      <c r="S611" s="44"/>
      <c r="T611" s="67">
        <f t="shared" ref="T611:T612" si="475">SUM(Q611:S611)</f>
        <v>0</v>
      </c>
      <c r="U611" s="12">
        <f t="shared" ref="U611:U612" si="476">P611+T611</f>
        <v>0</v>
      </c>
    </row>
    <row r="612" spans="1:23" x14ac:dyDescent="0.15">
      <c r="A612" s="23" t="s">
        <v>13</v>
      </c>
      <c r="B612" s="9">
        <v>10</v>
      </c>
      <c r="C612" s="10"/>
      <c r="D612" s="44"/>
      <c r="E612" s="12">
        <f t="shared" si="461"/>
        <v>10</v>
      </c>
      <c r="F612" s="9"/>
      <c r="G612" s="10"/>
      <c r="H612" s="44"/>
      <c r="I612" s="12">
        <f t="shared" si="463"/>
        <v>0</v>
      </c>
      <c r="J612" s="12">
        <f t="shared" si="468"/>
        <v>10</v>
      </c>
      <c r="K612" s="90">
        <v>45594</v>
      </c>
      <c r="L612" s="23" t="s">
        <v>13</v>
      </c>
      <c r="M612" s="13"/>
      <c r="N612" s="14"/>
      <c r="O612" s="45"/>
      <c r="P612" s="12">
        <f t="shared" si="474"/>
        <v>0</v>
      </c>
      <c r="Q612" s="13"/>
      <c r="R612" s="14"/>
      <c r="S612" s="45"/>
      <c r="T612" s="67">
        <f t="shared" si="475"/>
        <v>0</v>
      </c>
      <c r="U612" s="12">
        <f t="shared" si="476"/>
        <v>0</v>
      </c>
      <c r="V612" s="88" t="s">
        <v>253</v>
      </c>
    </row>
    <row r="613" spans="1:23" x14ac:dyDescent="0.15">
      <c r="A613" s="23" t="s">
        <v>14</v>
      </c>
      <c r="B613" s="13"/>
      <c r="C613" s="14">
        <v>5</v>
      </c>
      <c r="D613" s="45"/>
      <c r="E613" s="12">
        <f t="shared" si="461"/>
        <v>5</v>
      </c>
      <c r="F613" s="13">
        <v>5</v>
      </c>
      <c r="G613" s="14"/>
      <c r="H613" s="45">
        <v>5</v>
      </c>
      <c r="I613" s="12">
        <f t="shared" si="463"/>
        <v>10</v>
      </c>
      <c r="J613" s="12">
        <f t="shared" si="468"/>
        <v>15</v>
      </c>
      <c r="K613" s="90">
        <v>45603</v>
      </c>
      <c r="L613" s="23" t="s">
        <v>14</v>
      </c>
      <c r="M613" s="13"/>
      <c r="N613" s="14"/>
      <c r="O613" s="45"/>
      <c r="P613" s="12">
        <f t="shared" si="465"/>
        <v>0</v>
      </c>
      <c r="Q613" s="13"/>
      <c r="R613" s="14"/>
      <c r="S613" s="45"/>
      <c r="T613" s="67">
        <f t="shared" si="467"/>
        <v>0</v>
      </c>
      <c r="U613" s="12">
        <f t="shared" si="470"/>
        <v>0</v>
      </c>
      <c r="V613" s="88" t="s">
        <v>253</v>
      </c>
    </row>
    <row r="614" spans="1:23" ht="14.25" thickBot="1" x14ac:dyDescent="0.2">
      <c r="A614" s="23" t="s">
        <v>15</v>
      </c>
      <c r="B614" s="30">
        <v>3</v>
      </c>
      <c r="C614" s="31">
        <v>3</v>
      </c>
      <c r="D614" s="46"/>
      <c r="E614" s="12">
        <f t="shared" si="461"/>
        <v>6</v>
      </c>
      <c r="F614" s="30"/>
      <c r="G614" s="31">
        <v>5</v>
      </c>
      <c r="H614" s="46"/>
      <c r="I614" s="12">
        <f t="shared" si="463"/>
        <v>5</v>
      </c>
      <c r="J614" s="19">
        <f t="shared" si="468"/>
        <v>11</v>
      </c>
      <c r="K614" s="90">
        <v>45636</v>
      </c>
      <c r="L614" s="23" t="s">
        <v>15</v>
      </c>
      <c r="M614" s="13"/>
      <c r="N614" s="14"/>
      <c r="O614" s="45"/>
      <c r="P614" s="12">
        <f t="shared" si="465"/>
        <v>0</v>
      </c>
      <c r="Q614" s="13"/>
      <c r="R614" s="14"/>
      <c r="S614" s="45"/>
      <c r="T614" s="67">
        <f t="shared" si="467"/>
        <v>0</v>
      </c>
      <c r="U614" s="12">
        <f t="shared" si="470"/>
        <v>0</v>
      </c>
    </row>
    <row r="615" spans="1:23" ht="14.25" thickBot="1" x14ac:dyDescent="0.2">
      <c r="A615" s="32" t="s">
        <v>16</v>
      </c>
      <c r="B615" s="26">
        <f>SUM(B606:B614)</f>
        <v>24</v>
      </c>
      <c r="C615" s="27">
        <f t="shared" ref="C615:J615" si="477">SUM(C606:C614)</f>
        <v>33</v>
      </c>
      <c r="D615" s="49">
        <f t="shared" si="477"/>
        <v>27</v>
      </c>
      <c r="E615" s="75">
        <f t="shared" si="477"/>
        <v>84</v>
      </c>
      <c r="F615" s="26">
        <f t="shared" si="477"/>
        <v>22</v>
      </c>
      <c r="G615" s="27">
        <f t="shared" si="477"/>
        <v>29</v>
      </c>
      <c r="H615" s="49">
        <f t="shared" si="477"/>
        <v>36</v>
      </c>
      <c r="I615" s="74">
        <f t="shared" si="477"/>
        <v>87</v>
      </c>
      <c r="J615" s="29">
        <f t="shared" si="477"/>
        <v>171</v>
      </c>
      <c r="L615" s="32" t="s">
        <v>16</v>
      </c>
      <c r="M615" s="26">
        <f>SUM(M606:M614)</f>
        <v>729</v>
      </c>
      <c r="N615" s="27">
        <f t="shared" ref="N615:U615" si="478">SUM(N606:N614)</f>
        <v>686</v>
      </c>
      <c r="O615" s="49">
        <f t="shared" si="478"/>
        <v>533</v>
      </c>
      <c r="P615" s="75">
        <f t="shared" si="478"/>
        <v>1948</v>
      </c>
      <c r="Q615" s="26">
        <f t="shared" si="478"/>
        <v>755</v>
      </c>
      <c r="R615" s="27">
        <f t="shared" si="478"/>
        <v>715</v>
      </c>
      <c r="S615" s="49">
        <f t="shared" si="478"/>
        <v>574</v>
      </c>
      <c r="T615" s="74">
        <f t="shared" si="478"/>
        <v>2044</v>
      </c>
      <c r="U615" s="29">
        <f t="shared" si="478"/>
        <v>3992</v>
      </c>
    </row>
    <row r="616" spans="1:23" x14ac:dyDescent="0.15">
      <c r="A616" s="24" t="s">
        <v>320</v>
      </c>
      <c r="B616" s="54"/>
      <c r="C616" s="55"/>
      <c r="D616" s="56">
        <v>2</v>
      </c>
      <c r="E616" s="42">
        <f t="shared" ref="E616:E641" si="479">SUM(B616:D616)</f>
        <v>2</v>
      </c>
      <c r="F616" s="54">
        <v>6</v>
      </c>
      <c r="G616" s="55"/>
      <c r="H616" s="56">
        <v>4</v>
      </c>
      <c r="I616" s="66">
        <f t="shared" ref="I616:I641" si="480">SUM(F616:H616)</f>
        <v>10</v>
      </c>
      <c r="J616" s="57">
        <f t="shared" ref="J616:J643" si="481">E616+I616</f>
        <v>12</v>
      </c>
      <c r="K616" s="90">
        <v>45576</v>
      </c>
      <c r="L616" s="22" t="s">
        <v>310</v>
      </c>
      <c r="M616" s="54">
        <v>35</v>
      </c>
      <c r="N616" s="55">
        <v>80</v>
      </c>
      <c r="O616" s="56">
        <v>80</v>
      </c>
      <c r="P616" s="42">
        <f t="shared" ref="P616:P634" si="482">SUM(M616:O616)</f>
        <v>195</v>
      </c>
      <c r="Q616" s="54">
        <v>60</v>
      </c>
      <c r="R616" s="55">
        <v>85</v>
      </c>
      <c r="S616" s="56">
        <v>80</v>
      </c>
      <c r="T616" s="66">
        <f t="shared" ref="T616:T634" si="483">SUM(Q616:S616)</f>
        <v>225</v>
      </c>
      <c r="U616" s="57">
        <f t="shared" ref="U616:U643" si="484">P616+T616</f>
        <v>420</v>
      </c>
      <c r="V616" s="90">
        <v>45569</v>
      </c>
    </row>
    <row r="617" spans="1:23" x14ac:dyDescent="0.15">
      <c r="A617" s="24" t="s">
        <v>327</v>
      </c>
      <c r="B617" s="16"/>
      <c r="C617" s="17">
        <v>2</v>
      </c>
      <c r="D617" s="18"/>
      <c r="E617" s="12">
        <f t="shared" si="479"/>
        <v>2</v>
      </c>
      <c r="F617" s="16"/>
      <c r="G617" s="17">
        <v>1</v>
      </c>
      <c r="H617" s="18"/>
      <c r="I617" s="67">
        <f t="shared" si="480"/>
        <v>1</v>
      </c>
      <c r="J617" s="12">
        <f t="shared" si="481"/>
        <v>3</v>
      </c>
      <c r="K617" s="90">
        <v>45580</v>
      </c>
      <c r="L617" s="24" t="s">
        <v>314</v>
      </c>
      <c r="M617" s="16"/>
      <c r="N617" s="17"/>
      <c r="O617" s="18">
        <v>2</v>
      </c>
      <c r="P617" s="12">
        <f t="shared" si="482"/>
        <v>2</v>
      </c>
      <c r="Q617" s="16">
        <v>6</v>
      </c>
      <c r="R617" s="17">
        <v>2</v>
      </c>
      <c r="S617" s="18">
        <v>2</v>
      </c>
      <c r="T617" s="67">
        <f t="shared" si="483"/>
        <v>10</v>
      </c>
      <c r="U617" s="12">
        <f t="shared" si="484"/>
        <v>12</v>
      </c>
      <c r="V617" s="90">
        <v>45569</v>
      </c>
    </row>
    <row r="618" spans="1:23" x14ac:dyDescent="0.15">
      <c r="A618" s="24" t="s">
        <v>328</v>
      </c>
      <c r="B618" s="9"/>
      <c r="C618" s="10">
        <v>2</v>
      </c>
      <c r="D618" s="11">
        <v>8</v>
      </c>
      <c r="E618" s="12">
        <f t="shared" si="479"/>
        <v>10</v>
      </c>
      <c r="F618" s="9"/>
      <c r="G618" s="10">
        <v>4</v>
      </c>
      <c r="H618" s="11">
        <v>4</v>
      </c>
      <c r="I618" s="67">
        <f t="shared" si="480"/>
        <v>8</v>
      </c>
      <c r="J618" s="12">
        <f t="shared" si="481"/>
        <v>18</v>
      </c>
      <c r="K618" s="90">
        <v>45586</v>
      </c>
      <c r="L618" s="21" t="s">
        <v>315</v>
      </c>
      <c r="M618" s="9">
        <v>10</v>
      </c>
      <c r="N618" s="10">
        <v>10</v>
      </c>
      <c r="O618" s="11">
        <v>10</v>
      </c>
      <c r="P618" s="12">
        <f t="shared" si="482"/>
        <v>30</v>
      </c>
      <c r="Q618" s="9">
        <v>5</v>
      </c>
      <c r="R618" s="10">
        <v>30</v>
      </c>
      <c r="S618" s="11">
        <v>25</v>
      </c>
      <c r="T618" s="67">
        <f t="shared" si="483"/>
        <v>60</v>
      </c>
      <c r="U618" s="12">
        <f t="shared" si="484"/>
        <v>90</v>
      </c>
      <c r="V618" s="90">
        <v>45568</v>
      </c>
    </row>
    <row r="619" spans="1:23" x14ac:dyDescent="0.15">
      <c r="A619" s="22" t="s">
        <v>45</v>
      </c>
      <c r="B619" s="9"/>
      <c r="C619" s="10"/>
      <c r="D619" s="11"/>
      <c r="E619" s="12">
        <f t="shared" si="479"/>
        <v>0</v>
      </c>
      <c r="F619" s="9"/>
      <c r="G619" s="10">
        <v>1</v>
      </c>
      <c r="H619" s="11"/>
      <c r="I619" s="67">
        <f t="shared" si="480"/>
        <v>1</v>
      </c>
      <c r="J619" s="12">
        <f t="shared" si="481"/>
        <v>1</v>
      </c>
      <c r="K619" s="90">
        <v>45581</v>
      </c>
      <c r="L619" s="22" t="s">
        <v>317</v>
      </c>
      <c r="M619" s="9">
        <v>10</v>
      </c>
      <c r="N619" s="10">
        <v>15</v>
      </c>
      <c r="O619" s="11">
        <v>15</v>
      </c>
      <c r="P619" s="12">
        <f t="shared" si="482"/>
        <v>40</v>
      </c>
      <c r="Q619" s="9">
        <v>10</v>
      </c>
      <c r="R619" s="10">
        <v>10</v>
      </c>
      <c r="S619" s="11">
        <v>10</v>
      </c>
      <c r="T619" s="67">
        <f t="shared" si="483"/>
        <v>30</v>
      </c>
      <c r="U619" s="12">
        <f t="shared" si="484"/>
        <v>70</v>
      </c>
      <c r="V619" s="90">
        <v>45572</v>
      </c>
    </row>
    <row r="620" spans="1:23" x14ac:dyDescent="0.15">
      <c r="A620" s="22" t="s">
        <v>45</v>
      </c>
      <c r="B620" s="9"/>
      <c r="C620" s="10"/>
      <c r="D620" s="11"/>
      <c r="E620" s="12">
        <f t="shared" si="479"/>
        <v>0</v>
      </c>
      <c r="F620" s="9"/>
      <c r="G620" s="10">
        <v>1</v>
      </c>
      <c r="H620" s="11"/>
      <c r="I620" s="67">
        <f t="shared" si="480"/>
        <v>1</v>
      </c>
      <c r="J620" s="12">
        <f t="shared" si="481"/>
        <v>1</v>
      </c>
      <c r="K620" s="90">
        <v>45583</v>
      </c>
      <c r="L620" s="21" t="s">
        <v>316</v>
      </c>
      <c r="M620" s="9">
        <v>5</v>
      </c>
      <c r="N620" s="10">
        <v>35</v>
      </c>
      <c r="O620" s="11">
        <v>10</v>
      </c>
      <c r="P620" s="12">
        <f t="shared" si="482"/>
        <v>50</v>
      </c>
      <c r="Q620" s="9">
        <v>10</v>
      </c>
      <c r="R620" s="10">
        <v>10</v>
      </c>
      <c r="S620" s="11"/>
      <c r="T620" s="67">
        <f t="shared" si="483"/>
        <v>20</v>
      </c>
      <c r="U620" s="12">
        <f t="shared" si="484"/>
        <v>70</v>
      </c>
      <c r="V620" s="90">
        <v>45570</v>
      </c>
      <c r="W620" s="50"/>
    </row>
    <row r="621" spans="1:23" x14ac:dyDescent="0.15">
      <c r="A621" s="24" t="s">
        <v>330</v>
      </c>
      <c r="B621" s="9"/>
      <c r="C621" s="10">
        <v>6</v>
      </c>
      <c r="D621" s="11"/>
      <c r="E621" s="12">
        <f t="shared" si="479"/>
        <v>6</v>
      </c>
      <c r="F621" s="9"/>
      <c r="G621" s="10">
        <v>2</v>
      </c>
      <c r="H621" s="11">
        <v>2</v>
      </c>
      <c r="I621" s="67">
        <f t="shared" si="480"/>
        <v>4</v>
      </c>
      <c r="J621" s="12">
        <f t="shared" si="481"/>
        <v>10</v>
      </c>
      <c r="K621" s="90">
        <v>45590</v>
      </c>
      <c r="L621" s="21" t="s">
        <v>318</v>
      </c>
      <c r="M621" s="9"/>
      <c r="N621" s="10">
        <v>18</v>
      </c>
      <c r="O621" s="11"/>
      <c r="P621" s="12">
        <f t="shared" si="482"/>
        <v>18</v>
      </c>
      <c r="Q621" s="9">
        <v>11</v>
      </c>
      <c r="R621" s="10"/>
      <c r="S621" s="11"/>
      <c r="T621" s="67">
        <f t="shared" si="483"/>
        <v>11</v>
      </c>
      <c r="U621" s="12">
        <f t="shared" si="484"/>
        <v>29</v>
      </c>
      <c r="V621" s="90">
        <v>45574</v>
      </c>
      <c r="W621" s="50"/>
    </row>
    <row r="622" spans="1:23" x14ac:dyDescent="0.15">
      <c r="A622" s="22" t="s">
        <v>45</v>
      </c>
      <c r="B622" s="9">
        <v>1</v>
      </c>
      <c r="C622" s="10"/>
      <c r="D622" s="11"/>
      <c r="E622" s="12">
        <f t="shared" si="479"/>
        <v>1</v>
      </c>
      <c r="F622" s="9"/>
      <c r="G622" s="10"/>
      <c r="H622" s="11"/>
      <c r="I622" s="67">
        <f t="shared" si="480"/>
        <v>0</v>
      </c>
      <c r="J622" s="12">
        <f t="shared" si="481"/>
        <v>1</v>
      </c>
      <c r="K622" s="90">
        <v>45590</v>
      </c>
      <c r="L622" s="21" t="s">
        <v>319</v>
      </c>
      <c r="M622" s="9">
        <v>7</v>
      </c>
      <c r="N622" s="10">
        <v>16</v>
      </c>
      <c r="O622" s="11">
        <v>2</v>
      </c>
      <c r="P622" s="12">
        <f t="shared" si="482"/>
        <v>25</v>
      </c>
      <c r="Q622" s="9">
        <v>7</v>
      </c>
      <c r="R622" s="10">
        <v>16</v>
      </c>
      <c r="S622" s="11">
        <v>2</v>
      </c>
      <c r="T622" s="67">
        <f t="shared" si="483"/>
        <v>25</v>
      </c>
      <c r="U622" s="12">
        <f t="shared" si="484"/>
        <v>50</v>
      </c>
      <c r="V622" s="90">
        <v>45573</v>
      </c>
      <c r="W622" s="50"/>
    </row>
    <row r="623" spans="1:23" x14ac:dyDescent="0.15">
      <c r="A623" s="24" t="s">
        <v>189</v>
      </c>
      <c r="B623" s="9"/>
      <c r="C623" s="10"/>
      <c r="D623" s="11">
        <v>1</v>
      </c>
      <c r="E623" s="12">
        <f t="shared" si="479"/>
        <v>1</v>
      </c>
      <c r="F623" s="9"/>
      <c r="G623" s="10"/>
      <c r="H623" s="11">
        <v>1</v>
      </c>
      <c r="I623" s="67">
        <f t="shared" si="480"/>
        <v>1</v>
      </c>
      <c r="J623" s="12">
        <f t="shared" si="481"/>
        <v>2</v>
      </c>
      <c r="K623" s="90">
        <v>45594</v>
      </c>
      <c r="L623" s="24" t="s">
        <v>321</v>
      </c>
      <c r="M623" s="9"/>
      <c r="N623" s="10"/>
      <c r="O623" s="11">
        <v>3</v>
      </c>
      <c r="P623" s="12">
        <f t="shared" si="482"/>
        <v>3</v>
      </c>
      <c r="Q623" s="9">
        <v>5</v>
      </c>
      <c r="R623" s="10">
        <v>5</v>
      </c>
      <c r="S623" s="11">
        <v>5</v>
      </c>
      <c r="T623" s="67">
        <f t="shared" si="483"/>
        <v>15</v>
      </c>
      <c r="U623" s="12">
        <f t="shared" si="484"/>
        <v>18</v>
      </c>
      <c r="V623" s="90">
        <v>45574</v>
      </c>
      <c r="W623" s="50"/>
    </row>
    <row r="624" spans="1:23" x14ac:dyDescent="0.15">
      <c r="A624" s="22" t="s">
        <v>45</v>
      </c>
      <c r="B624" s="9"/>
      <c r="C624" s="10"/>
      <c r="D624" s="11"/>
      <c r="E624" s="12">
        <f t="shared" si="479"/>
        <v>0</v>
      </c>
      <c r="F624" s="9">
        <v>1</v>
      </c>
      <c r="G624" s="10"/>
      <c r="H624" s="11"/>
      <c r="I624" s="67">
        <f t="shared" si="480"/>
        <v>1</v>
      </c>
      <c r="J624" s="12">
        <f t="shared" si="481"/>
        <v>1</v>
      </c>
      <c r="K624" s="90">
        <v>45593</v>
      </c>
      <c r="L624" s="22" t="s">
        <v>324</v>
      </c>
      <c r="M624" s="9"/>
      <c r="N624" s="10"/>
      <c r="O624" s="11"/>
      <c r="P624" s="12">
        <f t="shared" si="482"/>
        <v>0</v>
      </c>
      <c r="Q624" s="9"/>
      <c r="R624" s="10">
        <v>10</v>
      </c>
      <c r="S624" s="11">
        <v>15</v>
      </c>
      <c r="T624" s="67">
        <f t="shared" si="483"/>
        <v>25</v>
      </c>
      <c r="U624" s="12">
        <f t="shared" si="484"/>
        <v>25</v>
      </c>
      <c r="V624" s="90">
        <v>45575</v>
      </c>
      <c r="W624" s="50"/>
    </row>
    <row r="625" spans="1:25" x14ac:dyDescent="0.15">
      <c r="A625" s="24" t="s">
        <v>334</v>
      </c>
      <c r="B625" s="13">
        <v>12</v>
      </c>
      <c r="C625" s="14"/>
      <c r="D625" s="15">
        <v>8</v>
      </c>
      <c r="E625" s="12">
        <f t="shared" si="479"/>
        <v>20</v>
      </c>
      <c r="F625" s="13"/>
      <c r="G625" s="14"/>
      <c r="H625" s="15"/>
      <c r="I625" s="67">
        <f t="shared" si="480"/>
        <v>0</v>
      </c>
      <c r="J625" s="12">
        <f t="shared" si="481"/>
        <v>20</v>
      </c>
      <c r="K625" s="90">
        <v>45596</v>
      </c>
      <c r="L625" s="22" t="s">
        <v>323</v>
      </c>
      <c r="M625" s="13">
        <v>30</v>
      </c>
      <c r="N625" s="14">
        <v>60</v>
      </c>
      <c r="O625" s="15">
        <v>20</v>
      </c>
      <c r="P625" s="12">
        <f t="shared" si="482"/>
        <v>110</v>
      </c>
      <c r="Q625" s="13">
        <v>25</v>
      </c>
      <c r="R625" s="14"/>
      <c r="S625" s="15"/>
      <c r="T625" s="67">
        <f t="shared" si="483"/>
        <v>25</v>
      </c>
      <c r="U625" s="12">
        <f t="shared" si="484"/>
        <v>135</v>
      </c>
      <c r="V625" s="90">
        <v>45576</v>
      </c>
      <c r="W625" s="50"/>
      <c r="X625" s="50"/>
      <c r="Y625" s="50"/>
    </row>
    <row r="626" spans="1:25" x14ac:dyDescent="0.15">
      <c r="A626" s="22" t="s">
        <v>45</v>
      </c>
      <c r="B626" s="9"/>
      <c r="C626" s="10"/>
      <c r="D626" s="11"/>
      <c r="E626" s="12">
        <f t="shared" si="479"/>
        <v>0</v>
      </c>
      <c r="F626" s="9"/>
      <c r="G626" s="10"/>
      <c r="H626" s="11">
        <v>1</v>
      </c>
      <c r="I626" s="67">
        <f t="shared" si="480"/>
        <v>1</v>
      </c>
      <c r="J626" s="12">
        <f t="shared" si="481"/>
        <v>1</v>
      </c>
      <c r="K626" s="90">
        <v>45597</v>
      </c>
      <c r="L626" s="22" t="s">
        <v>325</v>
      </c>
      <c r="M626" s="9">
        <v>35</v>
      </c>
      <c r="N626" s="10">
        <v>20</v>
      </c>
      <c r="O626" s="11">
        <v>5</v>
      </c>
      <c r="P626" s="12">
        <f t="shared" si="482"/>
        <v>60</v>
      </c>
      <c r="Q626" s="9">
        <v>25</v>
      </c>
      <c r="R626" s="10"/>
      <c r="S626" s="11">
        <v>15</v>
      </c>
      <c r="T626" s="67">
        <f t="shared" si="483"/>
        <v>40</v>
      </c>
      <c r="U626" s="12">
        <f t="shared" si="484"/>
        <v>100</v>
      </c>
      <c r="V626" s="90">
        <v>45577</v>
      </c>
      <c r="W626" s="50"/>
      <c r="X626" s="50"/>
      <c r="Y626" s="50"/>
    </row>
    <row r="627" spans="1:25" x14ac:dyDescent="0.15">
      <c r="A627" s="24" t="s">
        <v>335</v>
      </c>
      <c r="B627" s="9">
        <v>4</v>
      </c>
      <c r="C627" s="10">
        <v>10</v>
      </c>
      <c r="D627" s="11">
        <v>4</v>
      </c>
      <c r="E627" s="12">
        <f t="shared" si="479"/>
        <v>18</v>
      </c>
      <c r="F627" s="9">
        <v>7</v>
      </c>
      <c r="G627" s="10">
        <v>8</v>
      </c>
      <c r="H627" s="11">
        <v>15</v>
      </c>
      <c r="I627" s="67">
        <f t="shared" si="480"/>
        <v>30</v>
      </c>
      <c r="J627" s="12">
        <f t="shared" si="481"/>
        <v>48</v>
      </c>
      <c r="K627" s="90">
        <v>45598</v>
      </c>
      <c r="L627" s="22" t="s">
        <v>326</v>
      </c>
      <c r="M627" s="9">
        <v>10</v>
      </c>
      <c r="N627" s="10"/>
      <c r="O627" s="11">
        <v>5</v>
      </c>
      <c r="P627" s="12">
        <f t="shared" si="482"/>
        <v>15</v>
      </c>
      <c r="Q627" s="9"/>
      <c r="R627" s="10"/>
      <c r="S627" s="11"/>
      <c r="T627" s="67">
        <f t="shared" si="483"/>
        <v>0</v>
      </c>
      <c r="U627" s="12">
        <f t="shared" si="484"/>
        <v>15</v>
      </c>
      <c r="V627" s="90">
        <v>45579</v>
      </c>
      <c r="W627" s="50"/>
      <c r="X627" s="50"/>
      <c r="Y627" s="50"/>
    </row>
    <row r="628" spans="1:25" x14ac:dyDescent="0.15">
      <c r="A628" s="24" t="s">
        <v>336</v>
      </c>
      <c r="B628" s="9"/>
      <c r="C628" s="10">
        <v>6</v>
      </c>
      <c r="D628" s="11"/>
      <c r="E628" s="12">
        <f t="shared" si="479"/>
        <v>6</v>
      </c>
      <c r="F628" s="9">
        <v>2</v>
      </c>
      <c r="G628" s="10"/>
      <c r="H628" s="11">
        <v>4</v>
      </c>
      <c r="I628" s="67">
        <f t="shared" si="480"/>
        <v>6</v>
      </c>
      <c r="J628" s="12">
        <f t="shared" si="481"/>
        <v>12</v>
      </c>
      <c r="K628" s="90">
        <v>45607</v>
      </c>
      <c r="L628" s="24" t="s">
        <v>38</v>
      </c>
      <c r="M628" s="9">
        <v>2</v>
      </c>
      <c r="N628" s="10">
        <v>2</v>
      </c>
      <c r="O628" s="11">
        <v>2</v>
      </c>
      <c r="P628" s="12">
        <f t="shared" si="482"/>
        <v>6</v>
      </c>
      <c r="Q628" s="9">
        <v>2</v>
      </c>
      <c r="R628" s="10"/>
      <c r="S628" s="11">
        <v>2</v>
      </c>
      <c r="T628" s="67">
        <f t="shared" si="483"/>
        <v>4</v>
      </c>
      <c r="U628" s="12">
        <f t="shared" si="484"/>
        <v>10</v>
      </c>
      <c r="V628" s="90">
        <v>45581</v>
      </c>
      <c r="W628" s="50"/>
      <c r="X628" s="50"/>
      <c r="Y628" s="50"/>
    </row>
    <row r="629" spans="1:25" x14ac:dyDescent="0.15">
      <c r="A629" s="22" t="s">
        <v>45</v>
      </c>
      <c r="B629" s="9">
        <v>1</v>
      </c>
      <c r="C629" s="10"/>
      <c r="D629" s="11"/>
      <c r="E629" s="12">
        <f t="shared" si="479"/>
        <v>1</v>
      </c>
      <c r="F629" s="9">
        <v>1</v>
      </c>
      <c r="G629" s="10"/>
      <c r="H629" s="11"/>
      <c r="I629" s="67">
        <f t="shared" si="480"/>
        <v>1</v>
      </c>
      <c r="J629" s="12">
        <f t="shared" si="481"/>
        <v>2</v>
      </c>
      <c r="K629" s="90">
        <v>45621</v>
      </c>
      <c r="L629" s="24" t="s">
        <v>38</v>
      </c>
      <c r="M629" s="9"/>
      <c r="N629" s="10">
        <v>3</v>
      </c>
      <c r="O629" s="11">
        <v>8</v>
      </c>
      <c r="P629" s="12">
        <f t="shared" si="482"/>
        <v>11</v>
      </c>
      <c r="Q629" s="9"/>
      <c r="R629" s="10">
        <v>3</v>
      </c>
      <c r="S629" s="11">
        <v>5</v>
      </c>
      <c r="T629" s="67">
        <f t="shared" si="483"/>
        <v>8</v>
      </c>
      <c r="U629" s="12">
        <f t="shared" si="484"/>
        <v>19</v>
      </c>
      <c r="V629" s="90">
        <v>45581</v>
      </c>
    </row>
    <row r="630" spans="1:25" x14ac:dyDescent="0.15">
      <c r="A630" s="22" t="s">
        <v>45</v>
      </c>
      <c r="B630" s="9"/>
      <c r="C630" s="10">
        <v>2</v>
      </c>
      <c r="D630" s="11"/>
      <c r="E630" s="12">
        <f t="shared" si="479"/>
        <v>2</v>
      </c>
      <c r="F630" s="9"/>
      <c r="G630" s="10">
        <v>7</v>
      </c>
      <c r="H630" s="11"/>
      <c r="I630" s="67">
        <f t="shared" si="480"/>
        <v>7</v>
      </c>
      <c r="J630" s="12">
        <f t="shared" si="481"/>
        <v>9</v>
      </c>
      <c r="K630" s="90">
        <v>45635</v>
      </c>
      <c r="L630" s="24" t="s">
        <v>38</v>
      </c>
      <c r="M630" s="9"/>
      <c r="N630" s="10">
        <v>5</v>
      </c>
      <c r="O630" s="11"/>
      <c r="P630" s="12">
        <f t="shared" si="482"/>
        <v>5</v>
      </c>
      <c r="Q630" s="9"/>
      <c r="R630" s="10">
        <v>5</v>
      </c>
      <c r="S630" s="11"/>
      <c r="T630" s="67">
        <f t="shared" si="483"/>
        <v>5</v>
      </c>
      <c r="U630" s="12">
        <f t="shared" si="484"/>
        <v>10</v>
      </c>
      <c r="V630" s="90">
        <v>45587</v>
      </c>
    </row>
    <row r="631" spans="1:25" x14ac:dyDescent="0.15">
      <c r="A631" s="22" t="s">
        <v>45</v>
      </c>
      <c r="B631" s="9"/>
      <c r="C631" s="10"/>
      <c r="D631" s="11"/>
      <c r="E631" s="12">
        <f t="shared" si="479"/>
        <v>0</v>
      </c>
      <c r="F631" s="9"/>
      <c r="G631" s="10"/>
      <c r="H631" s="11">
        <v>3</v>
      </c>
      <c r="I631" s="67">
        <f t="shared" si="480"/>
        <v>3</v>
      </c>
      <c r="J631" s="12">
        <f t="shared" si="481"/>
        <v>3</v>
      </c>
      <c r="K631" s="90">
        <v>45642</v>
      </c>
      <c r="L631" s="24" t="s">
        <v>38</v>
      </c>
      <c r="M631" s="9">
        <v>10</v>
      </c>
      <c r="N631" s="10"/>
      <c r="O631" s="11"/>
      <c r="P631" s="12">
        <f t="shared" si="482"/>
        <v>10</v>
      </c>
      <c r="Q631" s="9"/>
      <c r="R631" s="10"/>
      <c r="S631" s="11"/>
      <c r="T631" s="67">
        <f t="shared" si="483"/>
        <v>0</v>
      </c>
      <c r="U631" s="12">
        <f t="shared" si="484"/>
        <v>10</v>
      </c>
      <c r="V631" s="90">
        <v>45594</v>
      </c>
    </row>
    <row r="632" spans="1:25" x14ac:dyDescent="0.15">
      <c r="A632" s="24"/>
      <c r="B632" s="9"/>
      <c r="C632" s="10"/>
      <c r="D632" s="11"/>
      <c r="E632" s="12">
        <f t="shared" si="479"/>
        <v>0</v>
      </c>
      <c r="F632" s="9"/>
      <c r="G632" s="10"/>
      <c r="H632" s="11"/>
      <c r="I632" s="67">
        <f t="shared" si="480"/>
        <v>0</v>
      </c>
      <c r="J632" s="12">
        <f t="shared" si="481"/>
        <v>0</v>
      </c>
      <c r="K632" s="89"/>
      <c r="L632" s="24" t="s">
        <v>38</v>
      </c>
      <c r="M632" s="9"/>
      <c r="N632" s="10">
        <v>5</v>
      </c>
      <c r="O632" s="11"/>
      <c r="P632" s="12">
        <f t="shared" si="482"/>
        <v>5</v>
      </c>
      <c r="Q632" s="9">
        <v>5</v>
      </c>
      <c r="R632" s="10"/>
      <c r="S632" s="11">
        <v>5</v>
      </c>
      <c r="T632" s="67">
        <f t="shared" si="483"/>
        <v>10</v>
      </c>
      <c r="U632" s="12">
        <f t="shared" si="484"/>
        <v>15</v>
      </c>
      <c r="V632" s="90">
        <v>45603</v>
      </c>
    </row>
    <row r="633" spans="1:25" x14ac:dyDescent="0.15">
      <c r="A633" s="24"/>
      <c r="B633" s="9"/>
      <c r="C633" s="10"/>
      <c r="D633" s="11"/>
      <c r="E633" s="12">
        <f t="shared" si="479"/>
        <v>0</v>
      </c>
      <c r="F633" s="9"/>
      <c r="G633" s="10"/>
      <c r="H633" s="11"/>
      <c r="I633" s="67">
        <f t="shared" si="480"/>
        <v>0</v>
      </c>
      <c r="J633" s="12">
        <f t="shared" si="481"/>
        <v>0</v>
      </c>
      <c r="L633" s="24" t="s">
        <v>337</v>
      </c>
      <c r="M633" s="9">
        <v>6</v>
      </c>
      <c r="N633" s="10"/>
      <c r="O633" s="11"/>
      <c r="P633" s="12">
        <f t="shared" si="482"/>
        <v>6</v>
      </c>
      <c r="Q633" s="9">
        <v>4</v>
      </c>
      <c r="R633" s="10">
        <v>8</v>
      </c>
      <c r="S633" s="11">
        <v>8</v>
      </c>
      <c r="T633" s="67">
        <f t="shared" si="483"/>
        <v>20</v>
      </c>
      <c r="U633" s="12">
        <f t="shared" si="484"/>
        <v>26</v>
      </c>
      <c r="V633" s="90">
        <v>45618</v>
      </c>
      <c r="W633" s="50"/>
    </row>
    <row r="634" spans="1:25" x14ac:dyDescent="0.15">
      <c r="A634" s="21"/>
      <c r="B634" s="9"/>
      <c r="C634" s="10"/>
      <c r="D634" s="11"/>
      <c r="E634" s="12">
        <f t="shared" si="479"/>
        <v>0</v>
      </c>
      <c r="F634" s="9"/>
      <c r="G634" s="10"/>
      <c r="H634" s="11"/>
      <c r="I634" s="67">
        <f t="shared" si="480"/>
        <v>0</v>
      </c>
      <c r="J634" s="12">
        <f t="shared" si="481"/>
        <v>0</v>
      </c>
      <c r="L634" s="24" t="s">
        <v>338</v>
      </c>
      <c r="M634" s="9">
        <v>2</v>
      </c>
      <c r="N634" s="10">
        <v>8</v>
      </c>
      <c r="O634" s="11"/>
      <c r="P634" s="12">
        <f t="shared" si="482"/>
        <v>10</v>
      </c>
      <c r="Q634" s="9">
        <v>4</v>
      </c>
      <c r="R634" s="10"/>
      <c r="S634" s="11"/>
      <c r="T634" s="67">
        <f t="shared" si="483"/>
        <v>4</v>
      </c>
      <c r="U634" s="12">
        <f t="shared" si="484"/>
        <v>14</v>
      </c>
      <c r="V634" s="90">
        <v>45625</v>
      </c>
      <c r="W634" s="50"/>
    </row>
    <row r="635" spans="1:25" x14ac:dyDescent="0.15">
      <c r="A635" s="21"/>
      <c r="B635" s="9"/>
      <c r="C635" s="10"/>
      <c r="D635" s="11"/>
      <c r="E635" s="12">
        <f t="shared" si="479"/>
        <v>0</v>
      </c>
      <c r="F635" s="9"/>
      <c r="G635" s="10"/>
      <c r="H635" s="11"/>
      <c r="I635" s="67">
        <f t="shared" si="480"/>
        <v>0</v>
      </c>
      <c r="J635" s="12">
        <f t="shared" si="481"/>
        <v>0</v>
      </c>
      <c r="L635" s="21"/>
      <c r="M635" s="9"/>
      <c r="N635" s="10"/>
      <c r="O635" s="11"/>
      <c r="P635" s="12">
        <f t="shared" ref="P635" si="485">SUM(M635:O635)</f>
        <v>0</v>
      </c>
      <c r="Q635" s="9"/>
      <c r="R635" s="10"/>
      <c r="S635" s="11"/>
      <c r="T635" s="67">
        <f t="shared" ref="T635" si="486">SUM(Q635:S635)</f>
        <v>0</v>
      </c>
      <c r="U635" s="12">
        <f t="shared" ref="U635" si="487">P635+T635</f>
        <v>0</v>
      </c>
    </row>
    <row r="636" spans="1:25" x14ac:dyDescent="0.15">
      <c r="A636" s="21"/>
      <c r="B636" s="9"/>
      <c r="C636" s="10"/>
      <c r="D636" s="11"/>
      <c r="E636" s="12">
        <f t="shared" si="479"/>
        <v>0</v>
      </c>
      <c r="F636" s="9"/>
      <c r="G636" s="10"/>
      <c r="H636" s="11"/>
      <c r="I636" s="67">
        <f t="shared" si="480"/>
        <v>0</v>
      </c>
      <c r="J636" s="12">
        <f t="shared" si="481"/>
        <v>0</v>
      </c>
      <c r="L636" s="22" t="s">
        <v>322</v>
      </c>
      <c r="M636" s="9"/>
      <c r="N636" s="10"/>
      <c r="O636" s="11"/>
      <c r="P636" s="12">
        <f t="shared" ref="P636:P641" si="488">SUM(M636:O636)</f>
        <v>0</v>
      </c>
      <c r="Q636" s="9"/>
      <c r="R636" s="10"/>
      <c r="S636" s="11"/>
      <c r="T636" s="67">
        <f t="shared" ref="T636:T641" si="489">SUM(Q636:S636)</f>
        <v>0</v>
      </c>
      <c r="U636" s="12">
        <f t="shared" ref="U636:U641" si="490">P636+T636</f>
        <v>0</v>
      </c>
      <c r="V636" s="132">
        <v>45573</v>
      </c>
    </row>
    <row r="637" spans="1:25" x14ac:dyDescent="0.15">
      <c r="A637" s="24"/>
      <c r="B637" s="13"/>
      <c r="C637" s="14"/>
      <c r="D637" s="15"/>
      <c r="E637" s="12">
        <f t="shared" si="479"/>
        <v>0</v>
      </c>
      <c r="F637" s="13"/>
      <c r="G637" s="14"/>
      <c r="H637" s="15"/>
      <c r="I637" s="67">
        <f t="shared" si="480"/>
        <v>0</v>
      </c>
      <c r="J637" s="12">
        <f t="shared" si="481"/>
        <v>0</v>
      </c>
      <c r="L637" s="21" t="s">
        <v>293</v>
      </c>
      <c r="M637" s="9"/>
      <c r="N637" s="10"/>
      <c r="O637" s="11"/>
      <c r="P637" s="12">
        <f t="shared" si="488"/>
        <v>0</v>
      </c>
      <c r="Q637" s="9"/>
      <c r="R637" s="10"/>
      <c r="S637" s="11"/>
      <c r="T637" s="67">
        <f t="shared" si="489"/>
        <v>0</v>
      </c>
      <c r="U637" s="12">
        <f t="shared" si="490"/>
        <v>0</v>
      </c>
      <c r="V637" s="90">
        <v>45572</v>
      </c>
    </row>
    <row r="638" spans="1:25" x14ac:dyDescent="0.15">
      <c r="A638" s="24"/>
      <c r="B638" s="9"/>
      <c r="C638" s="10"/>
      <c r="D638" s="11"/>
      <c r="E638" s="12">
        <f t="shared" si="479"/>
        <v>0</v>
      </c>
      <c r="F638" s="9"/>
      <c r="G638" s="10"/>
      <c r="H638" s="11"/>
      <c r="I638" s="67">
        <f t="shared" si="480"/>
        <v>0</v>
      </c>
      <c r="J638" s="12">
        <f t="shared" si="481"/>
        <v>0</v>
      </c>
      <c r="L638" s="133" t="s">
        <v>289</v>
      </c>
      <c r="M638" s="98"/>
      <c r="N638" s="99"/>
      <c r="O638" s="100"/>
      <c r="P638" s="101">
        <f t="shared" si="488"/>
        <v>0</v>
      </c>
      <c r="Q638" s="98"/>
      <c r="R638" s="99"/>
      <c r="S638" s="100"/>
      <c r="T638" s="102">
        <f t="shared" si="489"/>
        <v>0</v>
      </c>
      <c r="U638" s="101">
        <f t="shared" si="490"/>
        <v>0</v>
      </c>
      <c r="V638" s="89"/>
    </row>
    <row r="639" spans="1:25" x14ac:dyDescent="0.15">
      <c r="A639" s="7"/>
      <c r="B639" s="9"/>
      <c r="C639" s="10"/>
      <c r="D639" s="11"/>
      <c r="E639" s="12">
        <f t="shared" si="479"/>
        <v>0</v>
      </c>
      <c r="F639" s="9"/>
      <c r="G639" s="10"/>
      <c r="H639" s="11"/>
      <c r="I639" s="67">
        <f t="shared" si="480"/>
        <v>0</v>
      </c>
      <c r="J639" s="12">
        <f t="shared" si="481"/>
        <v>0</v>
      </c>
      <c r="L639" s="21" t="s">
        <v>290</v>
      </c>
      <c r="M639" s="9"/>
      <c r="N639" s="10"/>
      <c r="O639" s="11"/>
      <c r="P639" s="12">
        <f t="shared" si="488"/>
        <v>0</v>
      </c>
      <c r="Q639" s="9"/>
      <c r="R639" s="10"/>
      <c r="S639" s="11"/>
      <c r="T639" s="67">
        <f t="shared" si="489"/>
        <v>0</v>
      </c>
      <c r="U639" s="12">
        <f t="shared" si="490"/>
        <v>0</v>
      </c>
      <c r="V639" s="89" t="s">
        <v>291</v>
      </c>
    </row>
    <row r="640" spans="1:25" x14ac:dyDescent="0.15">
      <c r="A640" s="59"/>
      <c r="B640" s="9"/>
      <c r="C640" s="10"/>
      <c r="D640" s="11"/>
      <c r="E640" s="12">
        <f t="shared" si="479"/>
        <v>0</v>
      </c>
      <c r="F640" s="9"/>
      <c r="G640" s="10"/>
      <c r="H640" s="11"/>
      <c r="I640" s="67">
        <f t="shared" si="480"/>
        <v>0</v>
      </c>
      <c r="J640" s="12">
        <f t="shared" si="481"/>
        <v>0</v>
      </c>
      <c r="L640" s="97" t="s">
        <v>266</v>
      </c>
      <c r="M640" s="98"/>
      <c r="N640" s="99"/>
      <c r="O640" s="100"/>
      <c r="P640" s="101">
        <f t="shared" si="488"/>
        <v>0</v>
      </c>
      <c r="Q640" s="98"/>
      <c r="R640" s="99"/>
      <c r="S640" s="100"/>
      <c r="T640" s="102">
        <f t="shared" si="489"/>
        <v>0</v>
      </c>
      <c r="U640" s="101">
        <f t="shared" si="490"/>
        <v>0</v>
      </c>
      <c r="V640" s="122"/>
    </row>
    <row r="641" spans="1:25" ht="14.25" thickBot="1" x14ac:dyDescent="0.2">
      <c r="A641" s="59"/>
      <c r="B641" s="9"/>
      <c r="C641" s="10"/>
      <c r="D641" s="11"/>
      <c r="E641" s="12">
        <f t="shared" si="479"/>
        <v>0</v>
      </c>
      <c r="F641" s="9"/>
      <c r="G641" s="10"/>
      <c r="H641" s="11"/>
      <c r="I641" s="67">
        <f t="shared" si="480"/>
        <v>0</v>
      </c>
      <c r="J641" s="12">
        <f t="shared" si="481"/>
        <v>0</v>
      </c>
      <c r="L641" s="22" t="s">
        <v>300</v>
      </c>
      <c r="M641" s="9"/>
      <c r="N641" s="10"/>
      <c r="O641" s="11"/>
      <c r="P641" s="12">
        <f t="shared" si="488"/>
        <v>0</v>
      </c>
      <c r="Q641" s="9"/>
      <c r="R641" s="10"/>
      <c r="S641" s="11"/>
      <c r="T641" s="67">
        <f t="shared" si="489"/>
        <v>0</v>
      </c>
      <c r="U641" s="12">
        <f t="shared" si="490"/>
        <v>0</v>
      </c>
      <c r="V641" s="89" t="s">
        <v>265</v>
      </c>
    </row>
    <row r="642" spans="1:25" ht="14.25" thickBot="1" x14ac:dyDescent="0.2">
      <c r="A642" s="37" t="s">
        <v>17</v>
      </c>
      <c r="B642" s="38">
        <f>SUM(B616:B641)</f>
        <v>18</v>
      </c>
      <c r="C642" s="39">
        <f>SUM(C616:C641)</f>
        <v>28</v>
      </c>
      <c r="D642" s="40">
        <f>SUM(D616:D641)</f>
        <v>23</v>
      </c>
      <c r="E642" s="41">
        <f>SUM(B642:D642)</f>
        <v>69</v>
      </c>
      <c r="F642" s="38">
        <f>SUM(F616:F641)</f>
        <v>17</v>
      </c>
      <c r="G642" s="39">
        <f>SUM(G616:G641)</f>
        <v>24</v>
      </c>
      <c r="H642" s="40">
        <f>SUM(H616:H641)</f>
        <v>34</v>
      </c>
      <c r="I642" s="41">
        <f>SUM(F642:H642)</f>
        <v>75</v>
      </c>
      <c r="J642" s="42">
        <f t="shared" si="481"/>
        <v>144</v>
      </c>
      <c r="L642" s="37" t="s">
        <v>17</v>
      </c>
      <c r="M642" s="38">
        <f>SUM(M616:M641)</f>
        <v>162</v>
      </c>
      <c r="N642" s="39">
        <f>SUM(N616:N641)</f>
        <v>277</v>
      </c>
      <c r="O642" s="40">
        <f>SUM(O616:O641)</f>
        <v>162</v>
      </c>
      <c r="P642" s="41">
        <f>SUM(M642:O642)</f>
        <v>601</v>
      </c>
      <c r="Q642" s="38">
        <f>SUM(Q616:Q641)</f>
        <v>179</v>
      </c>
      <c r="R642" s="39">
        <f>SUM(R616:R641)</f>
        <v>184</v>
      </c>
      <c r="S642" s="40">
        <f>SUM(S616:S641)</f>
        <v>174</v>
      </c>
      <c r="T642" s="41">
        <f>SUM(Q642:S642)</f>
        <v>537</v>
      </c>
      <c r="U642" s="42">
        <f t="shared" si="484"/>
        <v>1138</v>
      </c>
    </row>
    <row r="643" spans="1:25" ht="14.25" thickBot="1" x14ac:dyDescent="0.2">
      <c r="A643" s="20" t="s">
        <v>18</v>
      </c>
      <c r="B643" s="63">
        <f>B615-B642</f>
        <v>6</v>
      </c>
      <c r="C643" s="64">
        <f t="shared" ref="C643:E643" si="491">C615-C642</f>
        <v>5</v>
      </c>
      <c r="D643" s="65">
        <f t="shared" si="491"/>
        <v>4</v>
      </c>
      <c r="E643" s="65">
        <f t="shared" si="491"/>
        <v>15</v>
      </c>
      <c r="F643" s="63">
        <f>F615-F642</f>
        <v>5</v>
      </c>
      <c r="G643" s="64">
        <f t="shared" ref="G643:I643" si="492">G615-G642</f>
        <v>5</v>
      </c>
      <c r="H643" s="65">
        <f t="shared" si="492"/>
        <v>2</v>
      </c>
      <c r="I643" s="65">
        <f t="shared" si="492"/>
        <v>12</v>
      </c>
      <c r="J643" s="29">
        <f t="shared" si="481"/>
        <v>27</v>
      </c>
      <c r="L643" s="20" t="s">
        <v>18</v>
      </c>
      <c r="M643" s="63">
        <f>M615-M642</f>
        <v>567</v>
      </c>
      <c r="N643" s="64">
        <f t="shared" ref="N643:P643" si="493">N615-N642</f>
        <v>409</v>
      </c>
      <c r="O643" s="65">
        <f t="shared" si="493"/>
        <v>371</v>
      </c>
      <c r="P643" s="65">
        <f t="shared" si="493"/>
        <v>1347</v>
      </c>
      <c r="Q643" s="63">
        <f>Q615-Q642</f>
        <v>576</v>
      </c>
      <c r="R643" s="64">
        <f t="shared" ref="R643:T643" si="494">R615-R642</f>
        <v>531</v>
      </c>
      <c r="S643" s="65">
        <f t="shared" si="494"/>
        <v>400</v>
      </c>
      <c r="T643" s="65">
        <f t="shared" si="494"/>
        <v>1507</v>
      </c>
      <c r="U643" s="29">
        <f t="shared" si="484"/>
        <v>2854</v>
      </c>
    </row>
    <row r="644" spans="1:25" x14ac:dyDescent="0.15">
      <c r="M644">
        <f>M642+M599+M556+M513+M470+M427</f>
        <v>1596</v>
      </c>
      <c r="N644">
        <f t="shared" ref="N644:P644" si="495">N642+N599+N556+N513+N470+N427</f>
        <v>1923</v>
      </c>
      <c r="O644">
        <f t="shared" si="495"/>
        <v>1171</v>
      </c>
      <c r="P644">
        <f t="shared" si="495"/>
        <v>4690</v>
      </c>
      <c r="Q644">
        <f>Q642+Q599+Q556+Q513+Q470+Q427</f>
        <v>1642</v>
      </c>
      <c r="R644">
        <f t="shared" ref="R644:T644" si="496">R642+R599+R556+R513+R470+R427</f>
        <v>1830</v>
      </c>
      <c r="S644">
        <f t="shared" si="496"/>
        <v>1180</v>
      </c>
      <c r="T644">
        <f t="shared" si="496"/>
        <v>4652</v>
      </c>
      <c r="U644" s="92">
        <f>P644+T644</f>
        <v>9342</v>
      </c>
    </row>
    <row r="645" spans="1:25" x14ac:dyDescent="0.15">
      <c r="M645" s="137">
        <f>M644/$P$644*100</f>
        <v>34.029850746268657</v>
      </c>
      <c r="N645" s="137">
        <f t="shared" ref="N645:P645" si="497">N644/$P$644*100</f>
        <v>41.002132196162044</v>
      </c>
      <c r="O645" s="137">
        <f t="shared" si="497"/>
        <v>24.968017057569298</v>
      </c>
      <c r="P645" s="137">
        <f t="shared" si="497"/>
        <v>100</v>
      </c>
      <c r="Q645" s="137">
        <f>Q644/$T$644*100</f>
        <v>35.29664660361135</v>
      </c>
      <c r="R645" s="137">
        <f t="shared" ref="R645:T645" si="498">R644/$T$644*100</f>
        <v>39.337919174548581</v>
      </c>
      <c r="S645" s="137">
        <f t="shared" si="498"/>
        <v>25.365434221840065</v>
      </c>
      <c r="T645" s="137">
        <f t="shared" si="498"/>
        <v>100</v>
      </c>
    </row>
    <row r="646" spans="1:25" ht="19.5" thickBot="1" x14ac:dyDescent="0.25">
      <c r="A646" s="3" t="s">
        <v>209</v>
      </c>
      <c r="B646" s="1"/>
      <c r="C646" s="1"/>
      <c r="D646" s="1"/>
      <c r="E646" s="1"/>
      <c r="F646" s="1"/>
      <c r="G646" s="1"/>
      <c r="H646" s="1"/>
      <c r="I646" s="1"/>
      <c r="J646" s="1"/>
      <c r="L646" s="3" t="s">
        <v>208</v>
      </c>
      <c r="M646" s="1"/>
      <c r="N646" s="1"/>
      <c r="O646" s="1"/>
      <c r="P646" s="214">
        <f>P644/U644*100</f>
        <v>50.203382573324774</v>
      </c>
      <c r="Q646" s="1"/>
      <c r="R646" s="1"/>
      <c r="S646" s="1"/>
      <c r="T646" s="214">
        <f>T644/U644*100</f>
        <v>49.796617426675233</v>
      </c>
      <c r="U646" s="1"/>
      <c r="W646" s="62"/>
      <c r="X646" s="62"/>
      <c r="Y646" s="62"/>
    </row>
    <row r="647" spans="1:25" ht="14.25" thickBot="1" x14ac:dyDescent="0.2">
      <c r="A647" s="8" t="s">
        <v>0</v>
      </c>
      <c r="B647" s="227" t="s">
        <v>19</v>
      </c>
      <c r="C647" s="228"/>
      <c r="D647" s="228"/>
      <c r="E647" s="229"/>
      <c r="F647" s="230" t="s">
        <v>20</v>
      </c>
      <c r="G647" s="231"/>
      <c r="H647" s="231"/>
      <c r="I647" s="232"/>
      <c r="J647" s="233" t="s">
        <v>1</v>
      </c>
      <c r="L647" s="8" t="s">
        <v>0</v>
      </c>
      <c r="M647" s="227" t="s">
        <v>19</v>
      </c>
      <c r="N647" s="228"/>
      <c r="O647" s="228"/>
      <c r="P647" s="229"/>
      <c r="Q647" s="230" t="s">
        <v>20</v>
      </c>
      <c r="R647" s="231"/>
      <c r="S647" s="231"/>
      <c r="T647" s="232"/>
      <c r="U647" s="233" t="s">
        <v>1</v>
      </c>
    </row>
    <row r="648" spans="1:25" ht="14.25" thickBot="1" x14ac:dyDescent="0.2">
      <c r="A648" s="8" t="s">
        <v>2</v>
      </c>
      <c r="B648" s="69" t="s">
        <v>3</v>
      </c>
      <c r="C648" s="70" t="s">
        <v>4</v>
      </c>
      <c r="D648" s="71" t="s">
        <v>5</v>
      </c>
      <c r="E648" s="8" t="s">
        <v>6</v>
      </c>
      <c r="F648" s="4" t="s">
        <v>3</v>
      </c>
      <c r="G648" s="5" t="s">
        <v>4</v>
      </c>
      <c r="H648" s="6" t="s">
        <v>5</v>
      </c>
      <c r="I648" s="8" t="s">
        <v>6</v>
      </c>
      <c r="J648" s="234"/>
      <c r="L648" s="8" t="s">
        <v>2</v>
      </c>
      <c r="M648" s="69" t="s">
        <v>3</v>
      </c>
      <c r="N648" s="70" t="s">
        <v>4</v>
      </c>
      <c r="O648" s="71" t="s">
        <v>5</v>
      </c>
      <c r="P648" s="8" t="s">
        <v>6</v>
      </c>
      <c r="Q648" s="4" t="s">
        <v>3</v>
      </c>
      <c r="R648" s="5" t="s">
        <v>4</v>
      </c>
      <c r="S648" s="6" t="s">
        <v>5</v>
      </c>
      <c r="T648" s="8" t="s">
        <v>6</v>
      </c>
      <c r="U648" s="234"/>
    </row>
    <row r="649" spans="1:25" ht="14.25" thickBot="1" x14ac:dyDescent="0.2">
      <c r="A649" s="25" t="s">
        <v>18</v>
      </c>
      <c r="B649" s="26">
        <f>B643</f>
        <v>6</v>
      </c>
      <c r="C649" s="27">
        <f t="shared" ref="C649:D649" si="499">C643</f>
        <v>5</v>
      </c>
      <c r="D649" s="49">
        <f t="shared" si="499"/>
        <v>4</v>
      </c>
      <c r="E649" s="107">
        <f t="shared" ref="E649:E657" si="500">SUM(B649:D649)</f>
        <v>15</v>
      </c>
      <c r="F649" s="26">
        <f>F643</f>
        <v>5</v>
      </c>
      <c r="G649" s="27">
        <f t="shared" ref="G649:H649" si="501">G643</f>
        <v>5</v>
      </c>
      <c r="H649" s="49">
        <f t="shared" si="501"/>
        <v>2</v>
      </c>
      <c r="I649" s="29">
        <f t="shared" ref="I649:I657" si="502">SUM(F649:H649)</f>
        <v>12</v>
      </c>
      <c r="J649" s="29">
        <f>E649+I649</f>
        <v>27</v>
      </c>
      <c r="L649" s="25" t="s">
        <v>18</v>
      </c>
      <c r="M649" s="26">
        <f>M643</f>
        <v>567</v>
      </c>
      <c r="N649" s="27">
        <f t="shared" ref="N649:O649" si="503">N643</f>
        <v>409</v>
      </c>
      <c r="O649" s="49">
        <f t="shared" si="503"/>
        <v>371</v>
      </c>
      <c r="P649" s="68">
        <f t="shared" ref="P649:P657" si="504">SUM(M649:O649)</f>
        <v>1347</v>
      </c>
      <c r="Q649" s="26">
        <f>Q643</f>
        <v>576</v>
      </c>
      <c r="R649" s="27">
        <f t="shared" ref="R649:S649" si="505">R643</f>
        <v>531</v>
      </c>
      <c r="S649" s="49">
        <f t="shared" si="505"/>
        <v>400</v>
      </c>
      <c r="T649" s="33">
        <f t="shared" ref="T649:T657" si="506">SUM(Q649:S649)</f>
        <v>1507</v>
      </c>
      <c r="U649" s="33">
        <f>P649+T649</f>
        <v>2854</v>
      </c>
    </row>
    <row r="650" spans="1:25" x14ac:dyDescent="0.15">
      <c r="A650" s="23" t="s">
        <v>8</v>
      </c>
      <c r="B650" s="16">
        <v>6</v>
      </c>
      <c r="C650" s="17"/>
      <c r="D650" s="43"/>
      <c r="E650" s="94">
        <f t="shared" ref="E650" si="507">SUM(B650:D650)</f>
        <v>6</v>
      </c>
      <c r="F650" s="16">
        <v>6</v>
      </c>
      <c r="G650" s="17"/>
      <c r="H650" s="43">
        <v>4</v>
      </c>
      <c r="I650" s="94">
        <f t="shared" ref="I650" si="508">SUM(F650:H650)</f>
        <v>10</v>
      </c>
      <c r="J650" s="94">
        <f t="shared" ref="J650" si="509">E650+I650</f>
        <v>16</v>
      </c>
      <c r="K650" s="90">
        <v>45644</v>
      </c>
      <c r="L650" s="23" t="s">
        <v>8</v>
      </c>
      <c r="M650" s="47"/>
      <c r="N650" s="48"/>
      <c r="O650" s="72"/>
      <c r="P650" s="42">
        <f t="shared" si="504"/>
        <v>0</v>
      </c>
      <c r="Q650" s="38"/>
      <c r="R650" s="39"/>
      <c r="S650" s="40"/>
      <c r="T650" s="66">
        <f t="shared" si="506"/>
        <v>0</v>
      </c>
      <c r="U650" s="57">
        <f t="shared" ref="U650:U657" si="510">P650+T650</f>
        <v>0</v>
      </c>
    </row>
    <row r="651" spans="1:25" x14ac:dyDescent="0.15">
      <c r="A651" s="142" t="s">
        <v>9</v>
      </c>
      <c r="B651" s="9"/>
      <c r="C651" s="10">
        <v>2</v>
      </c>
      <c r="D651" s="44">
        <v>2</v>
      </c>
      <c r="E651" s="12">
        <f t="shared" si="500"/>
        <v>4</v>
      </c>
      <c r="F651" s="9"/>
      <c r="G651" s="10">
        <v>6</v>
      </c>
      <c r="H651" s="44">
        <v>6</v>
      </c>
      <c r="I651" s="12">
        <f t="shared" si="502"/>
        <v>12</v>
      </c>
      <c r="J651" s="12">
        <f t="shared" ref="J651:J657" si="511">E651+I651</f>
        <v>16</v>
      </c>
      <c r="K651" s="90">
        <v>45651</v>
      </c>
      <c r="L651" s="23" t="s">
        <v>9</v>
      </c>
      <c r="M651" s="9"/>
      <c r="N651" s="10"/>
      <c r="O651" s="44"/>
      <c r="P651" s="12">
        <f t="shared" si="504"/>
        <v>0</v>
      </c>
      <c r="Q651" s="9"/>
      <c r="R651" s="10"/>
      <c r="S651" s="44"/>
      <c r="T651" s="12">
        <f t="shared" si="506"/>
        <v>0</v>
      </c>
      <c r="U651" s="12">
        <f t="shared" si="510"/>
        <v>0</v>
      </c>
    </row>
    <row r="652" spans="1:25" x14ac:dyDescent="0.15">
      <c r="A652" s="23" t="s">
        <v>10</v>
      </c>
      <c r="B652" s="16">
        <v>6</v>
      </c>
      <c r="C652" s="17"/>
      <c r="D652" s="43"/>
      <c r="E652" s="94">
        <f t="shared" ref="E652:E653" si="512">SUM(B652:D652)</f>
        <v>6</v>
      </c>
      <c r="F652" s="16">
        <v>4</v>
      </c>
      <c r="G652" s="17"/>
      <c r="H652" s="43">
        <v>5</v>
      </c>
      <c r="I652" s="94">
        <f t="shared" ref="I652:I653" si="513">SUM(F652:H652)</f>
        <v>9</v>
      </c>
      <c r="J652" s="94">
        <f t="shared" ref="J652:J653" si="514">E652+I652</f>
        <v>15</v>
      </c>
      <c r="K652" s="90">
        <v>45665</v>
      </c>
      <c r="L652" s="23" t="s">
        <v>10</v>
      </c>
      <c r="M652" s="9"/>
      <c r="N652" s="10"/>
      <c r="O652" s="44"/>
      <c r="P652" s="12">
        <f t="shared" ref="P652:P653" si="515">SUM(M652:O652)</f>
        <v>0</v>
      </c>
      <c r="Q652" s="9"/>
      <c r="R652" s="10"/>
      <c r="S652" s="44"/>
      <c r="T652" s="12">
        <f t="shared" ref="T652:T653" si="516">SUM(Q652:S652)</f>
        <v>0</v>
      </c>
      <c r="U652" s="12">
        <f t="shared" ref="U652:U653" si="517">P652+T652</f>
        <v>0</v>
      </c>
    </row>
    <row r="653" spans="1:25" x14ac:dyDescent="0.15">
      <c r="A653" s="142" t="s">
        <v>100</v>
      </c>
      <c r="B653" s="16">
        <v>2</v>
      </c>
      <c r="C653" s="17">
        <v>3</v>
      </c>
      <c r="D653" s="43">
        <v>4</v>
      </c>
      <c r="E653" s="94">
        <f t="shared" si="512"/>
        <v>9</v>
      </c>
      <c r="F653" s="16"/>
      <c r="G653" s="17">
        <v>3</v>
      </c>
      <c r="H653" s="43">
        <v>1</v>
      </c>
      <c r="I653" s="115">
        <f t="shared" si="513"/>
        <v>4</v>
      </c>
      <c r="J653" s="94">
        <f t="shared" si="514"/>
        <v>13</v>
      </c>
      <c r="K653" s="90">
        <v>45300</v>
      </c>
      <c r="L653" s="23" t="s">
        <v>11</v>
      </c>
      <c r="M653" s="9"/>
      <c r="N653" s="10"/>
      <c r="O653" s="44"/>
      <c r="P653" s="12">
        <f t="shared" si="515"/>
        <v>0</v>
      </c>
      <c r="Q653" s="9"/>
      <c r="R653" s="10"/>
      <c r="S653" s="44"/>
      <c r="T653" s="12">
        <f t="shared" si="516"/>
        <v>0</v>
      </c>
      <c r="U653" s="12">
        <f t="shared" si="517"/>
        <v>0</v>
      </c>
    </row>
    <row r="654" spans="1:25" x14ac:dyDescent="0.15">
      <c r="A654" s="23" t="s">
        <v>12</v>
      </c>
      <c r="B654" s="9">
        <v>5</v>
      </c>
      <c r="C654" s="10"/>
      <c r="D654" s="44"/>
      <c r="E654" s="12">
        <f t="shared" si="500"/>
        <v>5</v>
      </c>
      <c r="F654" s="9">
        <v>5</v>
      </c>
      <c r="G654" s="10"/>
      <c r="H654" s="44"/>
      <c r="I654" s="67">
        <f t="shared" si="502"/>
        <v>5</v>
      </c>
      <c r="J654" s="12">
        <f t="shared" si="511"/>
        <v>10</v>
      </c>
      <c r="K654" s="90">
        <v>45673</v>
      </c>
      <c r="L654" s="23" t="s">
        <v>12</v>
      </c>
      <c r="M654" s="9"/>
      <c r="N654" s="10"/>
      <c r="O654" s="44"/>
      <c r="P654" s="12">
        <f t="shared" si="504"/>
        <v>0</v>
      </c>
      <c r="Q654" s="9"/>
      <c r="R654" s="10"/>
      <c r="S654" s="44"/>
      <c r="T654" s="12">
        <f t="shared" si="506"/>
        <v>0</v>
      </c>
      <c r="U654" s="12">
        <f t="shared" si="510"/>
        <v>0</v>
      </c>
    </row>
    <row r="655" spans="1:25" x14ac:dyDescent="0.15">
      <c r="A655" s="23" t="s">
        <v>13</v>
      </c>
      <c r="B655" s="9"/>
      <c r="C655" s="10"/>
      <c r="D655" s="44"/>
      <c r="E655" s="12">
        <f t="shared" si="500"/>
        <v>0</v>
      </c>
      <c r="F655" s="9"/>
      <c r="G655" s="10"/>
      <c r="H655" s="44">
        <v>3</v>
      </c>
      <c r="I655" s="67">
        <f t="shared" si="502"/>
        <v>3</v>
      </c>
      <c r="J655" s="12">
        <f t="shared" si="511"/>
        <v>3</v>
      </c>
      <c r="K655" s="90">
        <v>45684</v>
      </c>
      <c r="L655" s="23" t="s">
        <v>13</v>
      </c>
      <c r="M655" s="9"/>
      <c r="N655" s="10"/>
      <c r="O655" s="44"/>
      <c r="P655" s="12">
        <f t="shared" si="504"/>
        <v>0</v>
      </c>
      <c r="Q655" s="9"/>
      <c r="R655" s="10"/>
      <c r="S655" s="44"/>
      <c r="T655" s="67">
        <f t="shared" si="506"/>
        <v>0</v>
      </c>
      <c r="U655" s="12">
        <f t="shared" si="510"/>
        <v>0</v>
      </c>
    </row>
    <row r="656" spans="1:25" x14ac:dyDescent="0.15">
      <c r="A656" s="23" t="s">
        <v>14</v>
      </c>
      <c r="B656" s="13"/>
      <c r="C656" s="14"/>
      <c r="D656" s="45"/>
      <c r="E656" s="12">
        <f t="shared" si="500"/>
        <v>0</v>
      </c>
      <c r="F656" s="13"/>
      <c r="G656" s="14"/>
      <c r="H656" s="45"/>
      <c r="I656" s="67">
        <f t="shared" si="502"/>
        <v>0</v>
      </c>
      <c r="J656" s="12">
        <f t="shared" si="511"/>
        <v>0</v>
      </c>
      <c r="K656" s="89"/>
      <c r="L656" s="23" t="s">
        <v>14</v>
      </c>
      <c r="M656" s="13"/>
      <c r="N656" s="14"/>
      <c r="O656" s="45"/>
      <c r="P656" s="12">
        <f t="shared" si="504"/>
        <v>0</v>
      </c>
      <c r="Q656" s="13"/>
      <c r="R656" s="14"/>
      <c r="S656" s="45"/>
      <c r="T656" s="67">
        <f t="shared" si="506"/>
        <v>0</v>
      </c>
      <c r="U656" s="12">
        <f t="shared" si="510"/>
        <v>0</v>
      </c>
    </row>
    <row r="657" spans="1:24" ht="14.25" thickBot="1" x14ac:dyDescent="0.2">
      <c r="A657" s="23" t="s">
        <v>15</v>
      </c>
      <c r="B657" s="30"/>
      <c r="C657" s="31"/>
      <c r="D657" s="46"/>
      <c r="E657" s="12">
        <f t="shared" si="500"/>
        <v>0</v>
      </c>
      <c r="F657" s="30"/>
      <c r="G657" s="31"/>
      <c r="H657" s="46"/>
      <c r="I657" s="67">
        <f t="shared" si="502"/>
        <v>0</v>
      </c>
      <c r="J657" s="19">
        <f t="shared" si="511"/>
        <v>0</v>
      </c>
      <c r="K657" s="89"/>
      <c r="L657" s="23" t="s">
        <v>15</v>
      </c>
      <c r="M657" s="13"/>
      <c r="N657" s="14"/>
      <c r="O657" s="45"/>
      <c r="P657" s="12">
        <f t="shared" si="504"/>
        <v>0</v>
      </c>
      <c r="Q657" s="13"/>
      <c r="R657" s="14"/>
      <c r="S657" s="45"/>
      <c r="T657" s="67">
        <f t="shared" si="506"/>
        <v>0</v>
      </c>
      <c r="U657" s="12">
        <f t="shared" si="510"/>
        <v>0</v>
      </c>
    </row>
    <row r="658" spans="1:24" ht="14.25" thickBot="1" x14ac:dyDescent="0.2">
      <c r="A658" s="32" t="s">
        <v>16</v>
      </c>
      <c r="B658" s="26">
        <f>SUM(B649:B657)</f>
        <v>25</v>
      </c>
      <c r="C658" s="27">
        <f t="shared" ref="C658:J658" si="518">SUM(C649:C657)</f>
        <v>10</v>
      </c>
      <c r="D658" s="49">
        <f t="shared" si="518"/>
        <v>10</v>
      </c>
      <c r="E658" s="75">
        <f t="shared" si="518"/>
        <v>45</v>
      </c>
      <c r="F658" s="26">
        <f t="shared" si="518"/>
        <v>20</v>
      </c>
      <c r="G658" s="27">
        <f t="shared" si="518"/>
        <v>14</v>
      </c>
      <c r="H658" s="49">
        <f t="shared" si="518"/>
        <v>21</v>
      </c>
      <c r="I658" s="74">
        <f t="shared" si="518"/>
        <v>55</v>
      </c>
      <c r="J658" s="29">
        <f t="shared" si="518"/>
        <v>100</v>
      </c>
      <c r="L658" s="32" t="s">
        <v>16</v>
      </c>
      <c r="M658" s="26">
        <f>SUM(M649:M657)</f>
        <v>567</v>
      </c>
      <c r="N658" s="27">
        <f t="shared" ref="N658:U658" si="519">SUM(N649:N657)</f>
        <v>409</v>
      </c>
      <c r="O658" s="49">
        <f t="shared" si="519"/>
        <v>371</v>
      </c>
      <c r="P658" s="75">
        <f t="shared" si="519"/>
        <v>1347</v>
      </c>
      <c r="Q658" s="26">
        <f t="shared" si="519"/>
        <v>576</v>
      </c>
      <c r="R658" s="27">
        <f t="shared" si="519"/>
        <v>531</v>
      </c>
      <c r="S658" s="49">
        <f t="shared" si="519"/>
        <v>400</v>
      </c>
      <c r="T658" s="74">
        <f t="shared" si="519"/>
        <v>1507</v>
      </c>
      <c r="U658" s="29">
        <f t="shared" si="519"/>
        <v>2854</v>
      </c>
    </row>
    <row r="659" spans="1:24" x14ac:dyDescent="0.15">
      <c r="A659" s="24" t="s">
        <v>348</v>
      </c>
      <c r="B659" s="54">
        <v>6</v>
      </c>
      <c r="C659" s="55"/>
      <c r="D659" s="56"/>
      <c r="E659" s="42">
        <f t="shared" ref="E659:E684" si="520">SUM(B659:D659)</f>
        <v>6</v>
      </c>
      <c r="F659" s="54">
        <v>6</v>
      </c>
      <c r="G659" s="55"/>
      <c r="H659" s="56">
        <v>4</v>
      </c>
      <c r="I659" s="66">
        <f t="shared" ref="I659:I684" si="521">SUM(F659:H659)</f>
        <v>10</v>
      </c>
      <c r="J659" s="57">
        <f t="shared" ref="J659:J686" si="522">E659+I659</f>
        <v>16</v>
      </c>
      <c r="K659" s="90">
        <v>45646</v>
      </c>
      <c r="L659" s="24" t="s">
        <v>339</v>
      </c>
      <c r="M659" s="54"/>
      <c r="N659" s="55"/>
      <c r="O659" s="56"/>
      <c r="P659" s="42">
        <f t="shared" ref="P659:P680" si="523">SUM(M659:O659)</f>
        <v>0</v>
      </c>
      <c r="Q659" s="54"/>
      <c r="R659" s="55">
        <v>10</v>
      </c>
      <c r="S659" s="56">
        <v>8</v>
      </c>
      <c r="T659" s="66">
        <f t="shared" ref="T659:T680" si="524">SUM(Q659:S659)</f>
        <v>18</v>
      </c>
      <c r="U659" s="57">
        <f t="shared" ref="U659:U687" si="525">P659+T659</f>
        <v>18</v>
      </c>
      <c r="V659" s="90">
        <v>45632</v>
      </c>
    </row>
    <row r="660" spans="1:24" x14ac:dyDescent="0.15">
      <c r="A660" s="24" t="s">
        <v>351</v>
      </c>
      <c r="B660" s="16">
        <v>2</v>
      </c>
      <c r="C660" s="17">
        <v>2</v>
      </c>
      <c r="D660" s="18">
        <v>2</v>
      </c>
      <c r="E660" s="12">
        <f t="shared" si="520"/>
        <v>6</v>
      </c>
      <c r="F660" s="16"/>
      <c r="G660" s="17">
        <v>6</v>
      </c>
      <c r="H660" s="18">
        <v>6</v>
      </c>
      <c r="I660" s="67">
        <f t="shared" si="521"/>
        <v>12</v>
      </c>
      <c r="J660" s="12">
        <f t="shared" si="522"/>
        <v>18</v>
      </c>
      <c r="K660" s="90">
        <v>45653</v>
      </c>
      <c r="L660" s="24" t="s">
        <v>38</v>
      </c>
      <c r="M660" s="16">
        <v>3</v>
      </c>
      <c r="N660" s="17">
        <v>3</v>
      </c>
      <c r="O660" s="18"/>
      <c r="P660" s="12">
        <f t="shared" si="523"/>
        <v>6</v>
      </c>
      <c r="Q660" s="16"/>
      <c r="R660" s="17">
        <v>5</v>
      </c>
      <c r="S660" s="18"/>
      <c r="T660" s="67">
        <f t="shared" si="524"/>
        <v>5</v>
      </c>
      <c r="U660" s="12">
        <f t="shared" si="525"/>
        <v>11</v>
      </c>
      <c r="V660" s="90">
        <v>45636</v>
      </c>
    </row>
    <row r="661" spans="1:24" x14ac:dyDescent="0.15">
      <c r="A661" s="24" t="s">
        <v>352</v>
      </c>
      <c r="B661" s="9">
        <v>6</v>
      </c>
      <c r="C661" s="10">
        <v>2</v>
      </c>
      <c r="D661" s="11"/>
      <c r="E661" s="12">
        <f t="shared" si="520"/>
        <v>8</v>
      </c>
      <c r="F661" s="9">
        <v>4</v>
      </c>
      <c r="G661" s="10"/>
      <c r="H661" s="11">
        <v>2</v>
      </c>
      <c r="I661" s="67">
        <f t="shared" si="521"/>
        <v>6</v>
      </c>
      <c r="J661" s="12">
        <f t="shared" si="522"/>
        <v>14</v>
      </c>
      <c r="K661" s="90">
        <v>45667</v>
      </c>
      <c r="L661" s="24" t="s">
        <v>38</v>
      </c>
      <c r="M661" s="9">
        <v>6</v>
      </c>
      <c r="N661" s="10"/>
      <c r="O661" s="11"/>
      <c r="P661" s="12">
        <f t="shared" si="523"/>
        <v>6</v>
      </c>
      <c r="Q661" s="9">
        <v>6</v>
      </c>
      <c r="R661" s="10"/>
      <c r="S661" s="11">
        <v>4</v>
      </c>
      <c r="T661" s="67">
        <f t="shared" si="524"/>
        <v>10</v>
      </c>
      <c r="U661" s="12">
        <f t="shared" si="525"/>
        <v>16</v>
      </c>
      <c r="V661" s="90">
        <v>45644</v>
      </c>
    </row>
    <row r="662" spans="1:24" x14ac:dyDescent="0.15">
      <c r="A662" s="22" t="s">
        <v>45</v>
      </c>
      <c r="B662" s="9"/>
      <c r="C662" s="10"/>
      <c r="D662" s="11">
        <v>1</v>
      </c>
      <c r="E662" s="12">
        <f t="shared" si="520"/>
        <v>1</v>
      </c>
      <c r="F662" s="9"/>
      <c r="G662" s="10"/>
      <c r="H662" s="11"/>
      <c r="I662" s="67">
        <f t="shared" si="521"/>
        <v>0</v>
      </c>
      <c r="J662" s="12">
        <f t="shared" si="522"/>
        <v>1</v>
      </c>
      <c r="K662" s="90">
        <v>45666</v>
      </c>
      <c r="L662" s="141" t="s">
        <v>349</v>
      </c>
      <c r="M662" s="9">
        <v>5</v>
      </c>
      <c r="N662" s="10">
        <v>5</v>
      </c>
      <c r="O662" s="11">
        <v>5</v>
      </c>
      <c r="P662" s="12">
        <f t="shared" si="523"/>
        <v>15</v>
      </c>
      <c r="Q662" s="9">
        <v>5</v>
      </c>
      <c r="R662" s="10">
        <v>5</v>
      </c>
      <c r="S662" s="11">
        <v>6</v>
      </c>
      <c r="T662" s="67">
        <f t="shared" si="524"/>
        <v>16</v>
      </c>
      <c r="U662" s="12">
        <f t="shared" si="525"/>
        <v>31</v>
      </c>
      <c r="V662" s="90">
        <v>45652</v>
      </c>
    </row>
    <row r="663" spans="1:24" x14ac:dyDescent="0.15">
      <c r="A663" s="22" t="s">
        <v>45</v>
      </c>
      <c r="B663" s="9"/>
      <c r="C663" s="10">
        <v>1</v>
      </c>
      <c r="D663" s="11">
        <v>1</v>
      </c>
      <c r="E663" s="12">
        <f t="shared" si="520"/>
        <v>2</v>
      </c>
      <c r="F663" s="9"/>
      <c r="G663" s="10"/>
      <c r="H663" s="11"/>
      <c r="I663" s="67">
        <f t="shared" si="521"/>
        <v>0</v>
      </c>
      <c r="J663" s="12">
        <f t="shared" si="522"/>
        <v>2</v>
      </c>
      <c r="K663" s="90">
        <v>45671</v>
      </c>
      <c r="L663" s="141" t="s">
        <v>350</v>
      </c>
      <c r="M663" s="9">
        <v>40</v>
      </c>
      <c r="N663" s="10">
        <v>40</v>
      </c>
      <c r="O663" s="11">
        <v>40</v>
      </c>
      <c r="P663" s="12">
        <f t="shared" si="523"/>
        <v>120</v>
      </c>
      <c r="Q663" s="9">
        <v>40</v>
      </c>
      <c r="R663" s="10">
        <v>55</v>
      </c>
      <c r="S663" s="11">
        <v>40</v>
      </c>
      <c r="T663" s="67">
        <f t="shared" si="524"/>
        <v>135</v>
      </c>
      <c r="U663" s="12">
        <f t="shared" si="525"/>
        <v>255</v>
      </c>
      <c r="V663" s="90">
        <v>45301</v>
      </c>
    </row>
    <row r="664" spans="1:24" x14ac:dyDescent="0.15">
      <c r="A664" s="24" t="s">
        <v>353</v>
      </c>
      <c r="B664" s="9">
        <v>4</v>
      </c>
      <c r="C664" s="10"/>
      <c r="D664" s="11"/>
      <c r="E664" s="12">
        <f t="shared" si="520"/>
        <v>4</v>
      </c>
      <c r="F664" s="9">
        <v>2</v>
      </c>
      <c r="G664" s="10"/>
      <c r="H664" s="11">
        <v>2</v>
      </c>
      <c r="I664" s="67">
        <f t="shared" si="521"/>
        <v>4</v>
      </c>
      <c r="J664" s="12">
        <f t="shared" si="522"/>
        <v>8</v>
      </c>
      <c r="K664" s="90">
        <v>45674</v>
      </c>
      <c r="L664" s="24" t="s">
        <v>38</v>
      </c>
      <c r="M664" s="9"/>
      <c r="N664" s="10">
        <v>2</v>
      </c>
      <c r="O664" s="11">
        <v>2</v>
      </c>
      <c r="P664" s="12">
        <f t="shared" si="523"/>
        <v>4</v>
      </c>
      <c r="Q664" s="9"/>
      <c r="R664" s="10">
        <v>6</v>
      </c>
      <c r="S664" s="11">
        <v>6</v>
      </c>
      <c r="T664" s="67">
        <f t="shared" si="524"/>
        <v>12</v>
      </c>
      <c r="U664" s="12">
        <f t="shared" si="525"/>
        <v>16</v>
      </c>
      <c r="V664" s="90">
        <v>45651</v>
      </c>
    </row>
    <row r="665" spans="1:24" x14ac:dyDescent="0.15">
      <c r="A665" s="22" t="s">
        <v>45</v>
      </c>
      <c r="B665" s="9"/>
      <c r="C665" s="10"/>
      <c r="D665" s="11">
        <v>2</v>
      </c>
      <c r="E665" s="12">
        <f t="shared" si="520"/>
        <v>2</v>
      </c>
      <c r="F665" s="9"/>
      <c r="G665" s="10"/>
      <c r="H665" s="11">
        <v>2</v>
      </c>
      <c r="I665" s="67">
        <f t="shared" si="521"/>
        <v>2</v>
      </c>
      <c r="J665" s="12">
        <f t="shared" si="522"/>
        <v>4</v>
      </c>
      <c r="K665" s="90">
        <v>45681</v>
      </c>
      <c r="L665" s="24" t="s">
        <v>38</v>
      </c>
      <c r="M665" s="9">
        <v>6</v>
      </c>
      <c r="N665" s="10"/>
      <c r="O665" s="11"/>
      <c r="P665" s="12">
        <f t="shared" si="523"/>
        <v>6</v>
      </c>
      <c r="Q665" s="9">
        <v>4</v>
      </c>
      <c r="R665" s="10"/>
      <c r="S665" s="11">
        <v>5</v>
      </c>
      <c r="T665" s="67">
        <f t="shared" si="524"/>
        <v>9</v>
      </c>
      <c r="U665" s="12">
        <f t="shared" si="525"/>
        <v>15</v>
      </c>
      <c r="V665" s="90">
        <v>45665</v>
      </c>
    </row>
    <row r="666" spans="1:24" x14ac:dyDescent="0.15">
      <c r="A666" s="24"/>
      <c r="B666" s="9"/>
      <c r="C666" s="10"/>
      <c r="D666" s="11"/>
      <c r="E666" s="12">
        <f t="shared" si="520"/>
        <v>0</v>
      </c>
      <c r="F666" s="9"/>
      <c r="G666" s="10"/>
      <c r="H666" s="11"/>
      <c r="I666" s="67">
        <f t="shared" si="521"/>
        <v>0</v>
      </c>
      <c r="J666" s="12">
        <f t="shared" si="522"/>
        <v>0</v>
      </c>
      <c r="K666" s="89"/>
      <c r="L666" s="141" t="s">
        <v>354</v>
      </c>
      <c r="M666" s="9">
        <v>35</v>
      </c>
      <c r="N666" s="10">
        <v>40</v>
      </c>
      <c r="O666" s="11">
        <v>25</v>
      </c>
      <c r="P666" s="12">
        <f t="shared" si="523"/>
        <v>100</v>
      </c>
      <c r="Q666" s="9"/>
      <c r="R666" s="10"/>
      <c r="S666" s="11">
        <v>20</v>
      </c>
      <c r="T666" s="67">
        <f t="shared" si="524"/>
        <v>20</v>
      </c>
      <c r="U666" s="12">
        <f t="shared" si="525"/>
        <v>120</v>
      </c>
      <c r="V666" s="90">
        <v>45673</v>
      </c>
    </row>
    <row r="667" spans="1:24" x14ac:dyDescent="0.15">
      <c r="A667" s="22"/>
      <c r="B667" s="9"/>
      <c r="C667" s="10"/>
      <c r="D667" s="11"/>
      <c r="E667" s="12">
        <f t="shared" si="520"/>
        <v>0</v>
      </c>
      <c r="F667" s="9"/>
      <c r="G667" s="10"/>
      <c r="H667" s="11"/>
      <c r="I667" s="67">
        <f t="shared" si="521"/>
        <v>0</v>
      </c>
      <c r="J667" s="12">
        <f t="shared" si="522"/>
        <v>0</v>
      </c>
      <c r="L667" s="24" t="s">
        <v>38</v>
      </c>
      <c r="M667" s="9">
        <v>5</v>
      </c>
      <c r="N667" s="10"/>
      <c r="O667" s="11"/>
      <c r="P667" s="12">
        <f t="shared" ref="P667" si="526">SUM(M667:O667)</f>
        <v>5</v>
      </c>
      <c r="Q667" s="9">
        <v>5</v>
      </c>
      <c r="R667" s="10"/>
      <c r="S667" s="11"/>
      <c r="T667" s="67">
        <f t="shared" si="524"/>
        <v>5</v>
      </c>
      <c r="U667" s="12">
        <f t="shared" si="525"/>
        <v>10</v>
      </c>
      <c r="V667" s="90">
        <v>45673</v>
      </c>
    </row>
    <row r="668" spans="1:24" x14ac:dyDescent="0.15">
      <c r="A668" s="24"/>
      <c r="B668" s="13"/>
      <c r="C668" s="14"/>
      <c r="D668" s="15"/>
      <c r="E668" s="12">
        <f t="shared" si="520"/>
        <v>0</v>
      </c>
      <c r="F668" s="13"/>
      <c r="G668" s="14"/>
      <c r="H668" s="15"/>
      <c r="I668" s="67">
        <f t="shared" si="521"/>
        <v>0</v>
      </c>
      <c r="J668" s="12">
        <f t="shared" si="522"/>
        <v>0</v>
      </c>
      <c r="L668" s="141" t="s">
        <v>355</v>
      </c>
      <c r="M668" s="13">
        <v>10</v>
      </c>
      <c r="N668" s="14">
        <v>10</v>
      </c>
      <c r="O668" s="15">
        <v>15</v>
      </c>
      <c r="P668" s="12">
        <f t="shared" si="523"/>
        <v>35</v>
      </c>
      <c r="Q668" s="13">
        <v>10</v>
      </c>
      <c r="R668" s="14"/>
      <c r="S668" s="15">
        <v>10</v>
      </c>
      <c r="T668" s="67">
        <f t="shared" si="524"/>
        <v>20</v>
      </c>
      <c r="U668" s="12">
        <f t="shared" si="525"/>
        <v>55</v>
      </c>
      <c r="V668" s="90">
        <v>45675</v>
      </c>
      <c r="W668" s="50"/>
    </row>
    <row r="669" spans="1:24" x14ac:dyDescent="0.15">
      <c r="A669" s="24"/>
      <c r="B669" s="9"/>
      <c r="C669" s="10"/>
      <c r="D669" s="11"/>
      <c r="E669" s="12">
        <f t="shared" si="520"/>
        <v>0</v>
      </c>
      <c r="F669" s="9"/>
      <c r="G669" s="10"/>
      <c r="H669" s="11"/>
      <c r="I669" s="67">
        <f t="shared" si="521"/>
        <v>0</v>
      </c>
      <c r="J669" s="12">
        <f t="shared" si="522"/>
        <v>0</v>
      </c>
      <c r="L669" s="141" t="s">
        <v>360</v>
      </c>
      <c r="M669" s="9"/>
      <c r="N669" s="10"/>
      <c r="O669" s="11"/>
      <c r="P669" s="12">
        <f t="shared" si="523"/>
        <v>0</v>
      </c>
      <c r="Q669" s="9">
        <v>15</v>
      </c>
      <c r="R669" s="10">
        <v>10</v>
      </c>
      <c r="S669" s="11">
        <v>5</v>
      </c>
      <c r="T669" s="67">
        <f t="shared" si="524"/>
        <v>30</v>
      </c>
      <c r="U669" s="12">
        <f t="shared" si="525"/>
        <v>30</v>
      </c>
      <c r="V669" s="90">
        <v>45675</v>
      </c>
      <c r="W669" s="50"/>
    </row>
    <row r="670" spans="1:24" x14ac:dyDescent="0.15">
      <c r="A670" s="24"/>
      <c r="B670" s="9"/>
      <c r="C670" s="10"/>
      <c r="D670" s="11"/>
      <c r="E670" s="12">
        <f t="shared" si="520"/>
        <v>0</v>
      </c>
      <c r="F670" s="9"/>
      <c r="G670" s="10"/>
      <c r="H670" s="11"/>
      <c r="I670" s="67">
        <f t="shared" si="521"/>
        <v>0</v>
      </c>
      <c r="J670" s="12">
        <f t="shared" si="522"/>
        <v>0</v>
      </c>
      <c r="L670" s="22" t="s">
        <v>361</v>
      </c>
      <c r="M670" s="9">
        <v>4</v>
      </c>
      <c r="N670" s="10">
        <v>5</v>
      </c>
      <c r="O670" s="11">
        <v>2</v>
      </c>
      <c r="P670" s="12">
        <f t="shared" si="523"/>
        <v>11</v>
      </c>
      <c r="Q670" s="9">
        <v>4</v>
      </c>
      <c r="R670" s="10">
        <v>5</v>
      </c>
      <c r="S670" s="11">
        <v>2</v>
      </c>
      <c r="T670" s="67">
        <f t="shared" si="524"/>
        <v>11</v>
      </c>
      <c r="U670" s="12">
        <f t="shared" si="525"/>
        <v>22</v>
      </c>
      <c r="V670" s="90">
        <v>45678</v>
      </c>
      <c r="W670" s="50"/>
    </row>
    <row r="671" spans="1:24" x14ac:dyDescent="0.15">
      <c r="A671" s="22"/>
      <c r="B671" s="9"/>
      <c r="C671" s="10"/>
      <c r="D671" s="11"/>
      <c r="E671" s="12">
        <f t="shared" si="520"/>
        <v>0</v>
      </c>
      <c r="F671" s="9"/>
      <c r="G671" s="10"/>
      <c r="H671" s="11"/>
      <c r="I671" s="67">
        <f t="shared" si="521"/>
        <v>0</v>
      </c>
      <c r="J671" s="12">
        <f t="shared" si="522"/>
        <v>0</v>
      </c>
      <c r="L671" s="24" t="s">
        <v>362</v>
      </c>
      <c r="M671" s="9">
        <v>2</v>
      </c>
      <c r="N671" s="10">
        <v>4</v>
      </c>
      <c r="O671" s="11">
        <v>8</v>
      </c>
      <c r="P671" s="12">
        <f t="shared" si="523"/>
        <v>14</v>
      </c>
      <c r="Q671" s="9">
        <v>4</v>
      </c>
      <c r="R671" s="10"/>
      <c r="S671" s="11">
        <v>6</v>
      </c>
      <c r="T671" s="67">
        <f t="shared" si="524"/>
        <v>10</v>
      </c>
      <c r="U671" s="12">
        <f t="shared" si="525"/>
        <v>24</v>
      </c>
      <c r="V671" s="90">
        <v>45681</v>
      </c>
      <c r="W671" s="50"/>
      <c r="X671" s="50"/>
    </row>
    <row r="672" spans="1:24" x14ac:dyDescent="0.15">
      <c r="A672" s="24"/>
      <c r="B672" s="9"/>
      <c r="C672" s="10"/>
      <c r="D672" s="11"/>
      <c r="E672" s="12">
        <f t="shared" si="520"/>
        <v>0</v>
      </c>
      <c r="F672" s="9"/>
      <c r="G672" s="10"/>
      <c r="H672" s="11"/>
      <c r="I672" s="67">
        <f t="shared" si="521"/>
        <v>0</v>
      </c>
      <c r="J672" s="12">
        <f t="shared" si="522"/>
        <v>0</v>
      </c>
      <c r="L672" s="24" t="s">
        <v>38</v>
      </c>
      <c r="M672" s="9"/>
      <c r="N672" s="10"/>
      <c r="O672" s="11"/>
      <c r="P672" s="12">
        <f t="shared" ref="P672" si="527">SUM(M672:O672)</f>
        <v>0</v>
      </c>
      <c r="Q672" s="9"/>
      <c r="R672" s="10"/>
      <c r="S672" s="11">
        <v>3</v>
      </c>
      <c r="T672" s="67">
        <f t="shared" si="524"/>
        <v>3</v>
      </c>
      <c r="U672" s="12">
        <f t="shared" si="525"/>
        <v>3</v>
      </c>
      <c r="V672" s="90">
        <v>45684</v>
      </c>
      <c r="W672" s="50"/>
      <c r="X672" s="50"/>
    </row>
    <row r="673" spans="1:24" x14ac:dyDescent="0.15">
      <c r="A673" s="24"/>
      <c r="B673" s="9"/>
      <c r="C673" s="10"/>
      <c r="D673" s="11"/>
      <c r="E673" s="12">
        <f t="shared" si="520"/>
        <v>0</v>
      </c>
      <c r="F673" s="9"/>
      <c r="G673" s="10"/>
      <c r="H673" s="11"/>
      <c r="I673" s="67">
        <f t="shared" si="521"/>
        <v>0</v>
      </c>
      <c r="J673" s="12">
        <f t="shared" si="522"/>
        <v>0</v>
      </c>
      <c r="L673" s="24" t="s">
        <v>365</v>
      </c>
      <c r="M673" s="9">
        <v>12</v>
      </c>
      <c r="N673" s="10"/>
      <c r="O673" s="11"/>
      <c r="P673" s="12">
        <f t="shared" si="523"/>
        <v>12</v>
      </c>
      <c r="Q673" s="9">
        <v>10</v>
      </c>
      <c r="R673" s="10">
        <v>6</v>
      </c>
      <c r="S673" s="11">
        <v>2</v>
      </c>
      <c r="T673" s="67">
        <f t="shared" si="524"/>
        <v>18</v>
      </c>
      <c r="U673" s="12">
        <f t="shared" si="525"/>
        <v>30</v>
      </c>
      <c r="V673" s="90">
        <v>45688</v>
      </c>
      <c r="W673" s="50"/>
      <c r="X673" s="50"/>
    </row>
    <row r="674" spans="1:24" x14ac:dyDescent="0.15">
      <c r="A674" s="22"/>
      <c r="B674" s="9"/>
      <c r="C674" s="10"/>
      <c r="D674" s="11"/>
      <c r="E674" s="12">
        <f t="shared" si="520"/>
        <v>0</v>
      </c>
      <c r="F674" s="9"/>
      <c r="G674" s="10"/>
      <c r="H674" s="11"/>
      <c r="I674" s="67">
        <f t="shared" si="521"/>
        <v>0</v>
      </c>
      <c r="J674" s="12">
        <f t="shared" si="522"/>
        <v>0</v>
      </c>
      <c r="L674" s="22"/>
      <c r="M674" s="9"/>
      <c r="N674" s="10"/>
      <c r="O674" s="11"/>
      <c r="P674" s="12">
        <f t="shared" si="523"/>
        <v>0</v>
      </c>
      <c r="Q674" s="9"/>
      <c r="R674" s="10"/>
      <c r="S674" s="11"/>
      <c r="T674" s="67">
        <f t="shared" si="524"/>
        <v>0</v>
      </c>
      <c r="U674" s="12">
        <f t="shared" si="525"/>
        <v>0</v>
      </c>
      <c r="V674" s="89"/>
      <c r="W674" s="50"/>
      <c r="X674" s="50"/>
    </row>
    <row r="675" spans="1:24" x14ac:dyDescent="0.15">
      <c r="A675" s="24"/>
      <c r="B675" s="9"/>
      <c r="C675" s="10"/>
      <c r="D675" s="11"/>
      <c r="E675" s="12">
        <f t="shared" si="520"/>
        <v>0</v>
      </c>
      <c r="F675" s="9"/>
      <c r="G675" s="10"/>
      <c r="H675" s="11"/>
      <c r="I675" s="67">
        <f t="shared" si="521"/>
        <v>0</v>
      </c>
      <c r="J675" s="12">
        <f t="shared" si="522"/>
        <v>0</v>
      </c>
      <c r="L675" s="24"/>
      <c r="M675" s="9"/>
      <c r="N675" s="10"/>
      <c r="O675" s="11"/>
      <c r="P675" s="12">
        <f t="shared" si="523"/>
        <v>0</v>
      </c>
      <c r="Q675" s="9"/>
      <c r="R675" s="10"/>
      <c r="S675" s="11"/>
      <c r="T675" s="67">
        <f t="shared" si="524"/>
        <v>0</v>
      </c>
      <c r="U675" s="12">
        <f t="shared" si="525"/>
        <v>0</v>
      </c>
      <c r="V675" s="89"/>
      <c r="W675" s="50"/>
      <c r="X675" s="50"/>
    </row>
    <row r="676" spans="1:24" x14ac:dyDescent="0.15">
      <c r="A676" s="24"/>
      <c r="B676" s="9"/>
      <c r="C676" s="10"/>
      <c r="D676" s="11"/>
      <c r="E676" s="12">
        <f t="shared" si="520"/>
        <v>0</v>
      </c>
      <c r="F676" s="9"/>
      <c r="G676" s="10"/>
      <c r="H676" s="11"/>
      <c r="I676" s="67">
        <f t="shared" si="521"/>
        <v>0</v>
      </c>
      <c r="J676" s="12">
        <f t="shared" si="522"/>
        <v>0</v>
      </c>
      <c r="L676" s="24"/>
      <c r="M676" s="9"/>
      <c r="N676" s="10"/>
      <c r="O676" s="11"/>
      <c r="P676" s="12">
        <f t="shared" si="523"/>
        <v>0</v>
      </c>
      <c r="Q676" s="9"/>
      <c r="R676" s="10"/>
      <c r="S676" s="11"/>
      <c r="T676" s="67">
        <f t="shared" si="524"/>
        <v>0</v>
      </c>
      <c r="U676" s="12">
        <f t="shared" si="525"/>
        <v>0</v>
      </c>
      <c r="V676" s="89"/>
      <c r="W676" s="50"/>
      <c r="X676" s="50"/>
    </row>
    <row r="677" spans="1:24" x14ac:dyDescent="0.15">
      <c r="A677" s="21"/>
      <c r="B677" s="9"/>
      <c r="C677" s="10"/>
      <c r="D677" s="11"/>
      <c r="E677" s="12">
        <f t="shared" si="520"/>
        <v>0</v>
      </c>
      <c r="F677" s="9"/>
      <c r="G677" s="10"/>
      <c r="H677" s="11"/>
      <c r="I677" s="67">
        <f t="shared" si="521"/>
        <v>0</v>
      </c>
      <c r="J677" s="12">
        <f t="shared" si="522"/>
        <v>0</v>
      </c>
      <c r="L677" s="21"/>
      <c r="M677" s="9"/>
      <c r="N677" s="10"/>
      <c r="O677" s="11"/>
      <c r="P677" s="12">
        <f t="shared" si="523"/>
        <v>0</v>
      </c>
      <c r="Q677" s="9"/>
      <c r="R677" s="10"/>
      <c r="S677" s="11"/>
      <c r="T677" s="67">
        <f t="shared" si="524"/>
        <v>0</v>
      </c>
      <c r="U677" s="12">
        <f t="shared" si="525"/>
        <v>0</v>
      </c>
    </row>
    <row r="678" spans="1:24" x14ac:dyDescent="0.15">
      <c r="A678" s="21"/>
      <c r="B678" s="9"/>
      <c r="C678" s="10"/>
      <c r="D678" s="11"/>
      <c r="E678" s="12">
        <f t="shared" si="520"/>
        <v>0</v>
      </c>
      <c r="F678" s="9"/>
      <c r="G678" s="10"/>
      <c r="H678" s="11"/>
      <c r="I678" s="67">
        <f t="shared" si="521"/>
        <v>0</v>
      </c>
      <c r="J678" s="12">
        <f t="shared" si="522"/>
        <v>0</v>
      </c>
      <c r="L678" s="21"/>
      <c r="M678" s="9"/>
      <c r="N678" s="10"/>
      <c r="O678" s="11"/>
      <c r="P678" s="12">
        <f t="shared" si="523"/>
        <v>0</v>
      </c>
      <c r="Q678" s="9"/>
      <c r="R678" s="10"/>
      <c r="S678" s="11"/>
      <c r="T678" s="67">
        <f t="shared" si="524"/>
        <v>0</v>
      </c>
      <c r="U678" s="12">
        <f t="shared" si="525"/>
        <v>0</v>
      </c>
    </row>
    <row r="679" spans="1:24" x14ac:dyDescent="0.15">
      <c r="A679" s="21"/>
      <c r="B679" s="9"/>
      <c r="C679" s="10"/>
      <c r="D679" s="11"/>
      <c r="E679" s="12">
        <f t="shared" si="520"/>
        <v>0</v>
      </c>
      <c r="F679" s="9"/>
      <c r="G679" s="10"/>
      <c r="H679" s="11"/>
      <c r="I679" s="67">
        <f t="shared" si="521"/>
        <v>0</v>
      </c>
      <c r="J679" s="12">
        <f t="shared" si="522"/>
        <v>0</v>
      </c>
      <c r="L679" s="21"/>
      <c r="M679" s="9"/>
      <c r="N679" s="10"/>
      <c r="O679" s="11"/>
      <c r="P679" s="12">
        <f t="shared" si="523"/>
        <v>0</v>
      </c>
      <c r="Q679" s="9"/>
      <c r="R679" s="10"/>
      <c r="S679" s="11"/>
      <c r="T679" s="67">
        <f t="shared" si="524"/>
        <v>0</v>
      </c>
      <c r="U679" s="12">
        <f t="shared" si="525"/>
        <v>0</v>
      </c>
    </row>
    <row r="680" spans="1:24" x14ac:dyDescent="0.15">
      <c r="A680" s="24"/>
      <c r="B680" s="13"/>
      <c r="C680" s="14"/>
      <c r="D680" s="15"/>
      <c r="E680" s="12">
        <f t="shared" si="520"/>
        <v>0</v>
      </c>
      <c r="F680" s="13"/>
      <c r="G680" s="14"/>
      <c r="H680" s="15"/>
      <c r="I680" s="67">
        <f t="shared" si="521"/>
        <v>0</v>
      </c>
      <c r="J680" s="12">
        <f t="shared" si="522"/>
        <v>0</v>
      </c>
      <c r="L680" s="24"/>
      <c r="M680" s="13"/>
      <c r="N680" s="14"/>
      <c r="O680" s="15"/>
      <c r="P680" s="12">
        <f t="shared" si="523"/>
        <v>0</v>
      </c>
      <c r="Q680" s="13"/>
      <c r="R680" s="14"/>
      <c r="S680" s="15"/>
      <c r="T680" s="67">
        <f t="shared" si="524"/>
        <v>0</v>
      </c>
      <c r="U680" s="12">
        <f t="shared" si="525"/>
        <v>0</v>
      </c>
    </row>
    <row r="681" spans="1:24" x14ac:dyDescent="0.15">
      <c r="A681" s="24"/>
      <c r="B681" s="9"/>
      <c r="C681" s="10"/>
      <c r="D681" s="11"/>
      <c r="E681" s="12">
        <f t="shared" si="520"/>
        <v>0</v>
      </c>
      <c r="F681" s="9"/>
      <c r="G681" s="10"/>
      <c r="H681" s="11"/>
      <c r="I681" s="67">
        <f t="shared" si="521"/>
        <v>0</v>
      </c>
      <c r="J681" s="12">
        <f t="shared" si="522"/>
        <v>0</v>
      </c>
      <c r="L681" s="24"/>
      <c r="M681" s="13"/>
      <c r="N681" s="14"/>
      <c r="O681" s="15"/>
      <c r="P681" s="12">
        <f t="shared" ref="P681:P684" si="528">SUM(M681:O681)</f>
        <v>0</v>
      </c>
      <c r="Q681" s="13"/>
      <c r="R681" s="14"/>
      <c r="S681" s="15"/>
      <c r="T681" s="67">
        <f t="shared" ref="T681:T684" si="529">SUM(Q681:S681)</f>
        <v>0</v>
      </c>
      <c r="U681" s="12">
        <f t="shared" ref="U681:U684" si="530">P681+T681</f>
        <v>0</v>
      </c>
    </row>
    <row r="682" spans="1:24" x14ac:dyDescent="0.15">
      <c r="A682" s="7"/>
      <c r="B682" s="9"/>
      <c r="C682" s="10"/>
      <c r="D682" s="11"/>
      <c r="E682" s="12">
        <f t="shared" si="520"/>
        <v>0</v>
      </c>
      <c r="F682" s="9"/>
      <c r="G682" s="10"/>
      <c r="H682" s="11"/>
      <c r="I682" s="67">
        <f t="shared" si="521"/>
        <v>0</v>
      </c>
      <c r="J682" s="12">
        <f t="shared" si="522"/>
        <v>0</v>
      </c>
      <c r="L682" s="22"/>
      <c r="M682" s="13"/>
      <c r="N682" s="14"/>
      <c r="O682" s="15"/>
      <c r="P682" s="12">
        <f t="shared" si="528"/>
        <v>0</v>
      </c>
      <c r="Q682" s="13"/>
      <c r="R682" s="14"/>
      <c r="S682" s="15"/>
      <c r="T682" s="67">
        <f t="shared" si="529"/>
        <v>0</v>
      </c>
      <c r="U682" s="12">
        <f t="shared" si="530"/>
        <v>0</v>
      </c>
      <c r="V682" s="90">
        <v>45311</v>
      </c>
    </row>
    <row r="683" spans="1:24" x14ac:dyDescent="0.15">
      <c r="A683" s="59"/>
      <c r="B683" s="9"/>
      <c r="C683" s="10"/>
      <c r="D683" s="11"/>
      <c r="E683" s="12">
        <f t="shared" si="520"/>
        <v>0</v>
      </c>
      <c r="F683" s="9"/>
      <c r="G683" s="10"/>
      <c r="H683" s="11"/>
      <c r="I683" s="67">
        <f t="shared" si="521"/>
        <v>0</v>
      </c>
      <c r="J683" s="12">
        <f t="shared" si="522"/>
        <v>0</v>
      </c>
      <c r="L683" s="143" t="s">
        <v>313</v>
      </c>
      <c r="M683" s="144"/>
      <c r="N683" s="145"/>
      <c r="O683" s="146"/>
      <c r="P683" s="101">
        <f t="shared" si="528"/>
        <v>0</v>
      </c>
      <c r="Q683" s="144"/>
      <c r="R683" s="145"/>
      <c r="S683" s="146"/>
      <c r="T683" s="102">
        <f t="shared" si="529"/>
        <v>0</v>
      </c>
      <c r="U683" s="101">
        <f t="shared" si="530"/>
        <v>0</v>
      </c>
      <c r="V683" s="89"/>
    </row>
    <row r="684" spans="1:24" ht="14.25" thickBot="1" x14ac:dyDescent="0.2">
      <c r="A684" s="59"/>
      <c r="B684" s="9"/>
      <c r="C684" s="10"/>
      <c r="D684" s="11"/>
      <c r="E684" s="12">
        <f t="shared" si="520"/>
        <v>0</v>
      </c>
      <c r="F684" s="9"/>
      <c r="G684" s="10"/>
      <c r="H684" s="11"/>
      <c r="I684" s="67">
        <f t="shared" si="521"/>
        <v>0</v>
      </c>
      <c r="J684" s="12">
        <f t="shared" si="522"/>
        <v>0</v>
      </c>
      <c r="L684" s="147" t="s">
        <v>311</v>
      </c>
      <c r="M684" s="9"/>
      <c r="N684" s="10"/>
      <c r="O684" s="11"/>
      <c r="P684" s="12">
        <f t="shared" si="528"/>
        <v>0</v>
      </c>
      <c r="Q684" s="9"/>
      <c r="R684" s="10"/>
      <c r="S684" s="11"/>
      <c r="T684" s="67">
        <f t="shared" si="529"/>
        <v>0</v>
      </c>
      <c r="U684" s="12">
        <f t="shared" si="530"/>
        <v>0</v>
      </c>
      <c r="V684" s="89" t="s">
        <v>312</v>
      </c>
    </row>
    <row r="685" spans="1:24" ht="14.25" thickBot="1" x14ac:dyDescent="0.2">
      <c r="A685" s="37" t="s">
        <v>17</v>
      </c>
      <c r="B685" s="38">
        <f>SUM(B659:B684)</f>
        <v>18</v>
      </c>
      <c r="C685" s="39">
        <f>SUM(C659:C684)</f>
        <v>5</v>
      </c>
      <c r="D685" s="40">
        <f>SUM(D659:D684)</f>
        <v>6</v>
      </c>
      <c r="E685" s="41">
        <f>SUM(B685:D685)</f>
        <v>29</v>
      </c>
      <c r="F685" s="38">
        <f>SUM(F659:F684)</f>
        <v>12</v>
      </c>
      <c r="G685" s="39">
        <f>SUM(G659:G684)</f>
        <v>6</v>
      </c>
      <c r="H685" s="40">
        <f>SUM(H659:H684)</f>
        <v>16</v>
      </c>
      <c r="I685" s="41">
        <f>SUM(F685:H685)</f>
        <v>34</v>
      </c>
      <c r="J685" s="42">
        <f t="shared" si="522"/>
        <v>63</v>
      </c>
      <c r="L685" s="37" t="s">
        <v>17</v>
      </c>
      <c r="M685" s="38">
        <f>SUM(M659:M684)</f>
        <v>128</v>
      </c>
      <c r="N685" s="39">
        <f>SUM(N659:N684)</f>
        <v>109</v>
      </c>
      <c r="O685" s="40">
        <f>SUM(O659:O684)</f>
        <v>97</v>
      </c>
      <c r="P685" s="41">
        <f>SUM(M685:O685)</f>
        <v>334</v>
      </c>
      <c r="Q685" s="38">
        <f>SUM(Q659:Q684)</f>
        <v>103</v>
      </c>
      <c r="R685" s="39">
        <f>SUM(R659:R684)</f>
        <v>102</v>
      </c>
      <c r="S685" s="40">
        <f>SUM(S659:S684)</f>
        <v>117</v>
      </c>
      <c r="T685" s="41">
        <f>SUM(Q685:S685)</f>
        <v>322</v>
      </c>
      <c r="U685" s="42">
        <f t="shared" si="525"/>
        <v>656</v>
      </c>
    </row>
    <row r="686" spans="1:24" ht="14.25" thickBot="1" x14ac:dyDescent="0.2">
      <c r="A686" s="20" t="s">
        <v>18</v>
      </c>
      <c r="B686" s="63">
        <f>B658-B685</f>
        <v>7</v>
      </c>
      <c r="C686" s="64">
        <f t="shared" ref="C686:E686" si="531">C658-C685</f>
        <v>5</v>
      </c>
      <c r="D686" s="65">
        <f t="shared" si="531"/>
        <v>4</v>
      </c>
      <c r="E686" s="65">
        <f t="shared" si="531"/>
        <v>16</v>
      </c>
      <c r="F686" s="63">
        <f>F658-F685</f>
        <v>8</v>
      </c>
      <c r="G686" s="64">
        <f t="shared" ref="G686:I686" si="532">G658-G685</f>
        <v>8</v>
      </c>
      <c r="H686" s="65">
        <f t="shared" si="532"/>
        <v>5</v>
      </c>
      <c r="I686" s="65">
        <f t="shared" si="532"/>
        <v>21</v>
      </c>
      <c r="J686" s="29">
        <f t="shared" si="522"/>
        <v>37</v>
      </c>
      <c r="L686" s="20" t="s">
        <v>18</v>
      </c>
      <c r="M686" s="63">
        <f>M658-M685</f>
        <v>439</v>
      </c>
      <c r="N686" s="64">
        <f t="shared" ref="N686:P686" si="533">N658-N685</f>
        <v>300</v>
      </c>
      <c r="O686" s="65">
        <f t="shared" si="533"/>
        <v>274</v>
      </c>
      <c r="P686" s="65">
        <f t="shared" si="533"/>
        <v>1013</v>
      </c>
      <c r="Q686" s="63">
        <f>Q658-Q685</f>
        <v>473</v>
      </c>
      <c r="R686" s="64">
        <f t="shared" ref="R686:T686" si="534">R658-R685</f>
        <v>429</v>
      </c>
      <c r="S686" s="65">
        <f t="shared" si="534"/>
        <v>283</v>
      </c>
      <c r="T686" s="65">
        <f t="shared" si="534"/>
        <v>1185</v>
      </c>
      <c r="U686" s="29">
        <f t="shared" si="525"/>
        <v>2198</v>
      </c>
    </row>
    <row r="687" spans="1:24" x14ac:dyDescent="0.15">
      <c r="L687" s="111" t="s">
        <v>251</v>
      </c>
      <c r="M687" s="1">
        <v>80</v>
      </c>
      <c r="N687" s="1">
        <v>105</v>
      </c>
      <c r="O687" s="1">
        <v>85</v>
      </c>
      <c r="P687" s="1">
        <f t="shared" ref="P687" si="535">SUM(M687:O687)</f>
        <v>270</v>
      </c>
      <c r="Q687" s="1">
        <v>105</v>
      </c>
      <c r="R687" s="1">
        <v>105</v>
      </c>
      <c r="S687" s="1">
        <v>78</v>
      </c>
      <c r="T687" s="1">
        <f t="shared" ref="T687" si="536">SUM(Q687:S687)</f>
        <v>288</v>
      </c>
      <c r="U687" s="1">
        <f t="shared" si="525"/>
        <v>558</v>
      </c>
    </row>
    <row r="689" spans="1:22" ht="19.5" thickBot="1" x14ac:dyDescent="0.25">
      <c r="A689" s="3" t="s">
        <v>209</v>
      </c>
      <c r="B689" s="1"/>
      <c r="C689" s="1"/>
      <c r="D689" s="1"/>
      <c r="E689" s="1"/>
      <c r="F689" s="1"/>
      <c r="G689" s="1"/>
      <c r="H689" s="1"/>
      <c r="I689" s="1"/>
      <c r="J689" s="1"/>
      <c r="L689" s="3" t="s">
        <v>208</v>
      </c>
      <c r="M689" s="1"/>
      <c r="N689" s="1"/>
      <c r="O689" s="1"/>
      <c r="P689" s="1"/>
      <c r="Q689" s="1"/>
      <c r="R689" s="1"/>
      <c r="S689" s="1"/>
      <c r="T689" s="1"/>
      <c r="U689" s="1"/>
    </row>
    <row r="690" spans="1:22" ht="14.25" thickBot="1" x14ac:dyDescent="0.2">
      <c r="A690" s="8" t="s">
        <v>0</v>
      </c>
      <c r="B690" s="227" t="s">
        <v>19</v>
      </c>
      <c r="C690" s="228"/>
      <c r="D690" s="228"/>
      <c r="E690" s="229"/>
      <c r="F690" s="230" t="s">
        <v>20</v>
      </c>
      <c r="G690" s="231"/>
      <c r="H690" s="231"/>
      <c r="I690" s="232"/>
      <c r="J690" s="233" t="s">
        <v>1</v>
      </c>
      <c r="L690" s="8" t="s">
        <v>0</v>
      </c>
      <c r="M690" s="235" t="s">
        <v>19</v>
      </c>
      <c r="N690" s="236"/>
      <c r="O690" s="236"/>
      <c r="P690" s="237"/>
      <c r="Q690" s="238" t="s">
        <v>20</v>
      </c>
      <c r="R690" s="239"/>
      <c r="S690" s="239"/>
      <c r="T690" s="240"/>
      <c r="U690" s="224" t="s">
        <v>1</v>
      </c>
    </row>
    <row r="691" spans="1:22" ht="14.25" thickBot="1" x14ac:dyDescent="0.2">
      <c r="A691" s="8" t="s">
        <v>2</v>
      </c>
      <c r="B691" s="69" t="s">
        <v>3</v>
      </c>
      <c r="C691" s="70" t="s">
        <v>4</v>
      </c>
      <c r="D691" s="71" t="s">
        <v>5</v>
      </c>
      <c r="E691" s="8" t="s">
        <v>6</v>
      </c>
      <c r="F691" s="4" t="s">
        <v>3</v>
      </c>
      <c r="G691" s="5" t="s">
        <v>4</v>
      </c>
      <c r="H691" s="6" t="s">
        <v>5</v>
      </c>
      <c r="I691" s="8" t="s">
        <v>6</v>
      </c>
      <c r="J691" s="234"/>
      <c r="L691" s="8" t="s">
        <v>2</v>
      </c>
      <c r="M691" s="69" t="s">
        <v>3</v>
      </c>
      <c r="N691" s="70" t="s">
        <v>4</v>
      </c>
      <c r="O691" s="71" t="s">
        <v>5</v>
      </c>
      <c r="P691" s="8" t="s">
        <v>6</v>
      </c>
      <c r="Q691" s="4" t="s">
        <v>3</v>
      </c>
      <c r="R691" s="5" t="s">
        <v>4</v>
      </c>
      <c r="S691" s="6" t="s">
        <v>5</v>
      </c>
      <c r="T691" s="8" t="s">
        <v>6</v>
      </c>
      <c r="U691" s="225"/>
    </row>
    <row r="692" spans="1:22" ht="14.25" thickBot="1" x14ac:dyDescent="0.2">
      <c r="A692" s="25" t="s">
        <v>18</v>
      </c>
      <c r="B692" s="26">
        <f>B686</f>
        <v>7</v>
      </c>
      <c r="C692" s="27">
        <f t="shared" ref="C692:D692" si="537">C686</f>
        <v>5</v>
      </c>
      <c r="D692" s="49">
        <f t="shared" si="537"/>
        <v>4</v>
      </c>
      <c r="E692" s="107">
        <f t="shared" ref="E692:E700" si="538">SUM(B692:D692)</f>
        <v>16</v>
      </c>
      <c r="F692" s="26">
        <f>F686</f>
        <v>8</v>
      </c>
      <c r="G692" s="27">
        <f t="shared" ref="G692:H692" si="539">G686</f>
        <v>8</v>
      </c>
      <c r="H692" s="49">
        <f t="shared" si="539"/>
        <v>5</v>
      </c>
      <c r="I692" s="29">
        <f t="shared" ref="I692:I700" si="540">SUM(F692:H692)</f>
        <v>21</v>
      </c>
      <c r="J692" s="29">
        <f>E692+I692</f>
        <v>37</v>
      </c>
      <c r="L692" s="25" t="s">
        <v>18</v>
      </c>
      <c r="M692" s="26">
        <f>M686</f>
        <v>439</v>
      </c>
      <c r="N692" s="27">
        <f t="shared" ref="N692:O692" si="541">N686</f>
        <v>300</v>
      </c>
      <c r="O692" s="49">
        <f t="shared" si="541"/>
        <v>274</v>
      </c>
      <c r="P692" s="107">
        <f t="shared" ref="P692:P700" si="542">SUM(M692:O692)</f>
        <v>1013</v>
      </c>
      <c r="Q692" s="26">
        <f>Q686</f>
        <v>473</v>
      </c>
      <c r="R692" s="27">
        <f t="shared" ref="R692:S692" si="543">R686</f>
        <v>429</v>
      </c>
      <c r="S692" s="49">
        <f t="shared" si="543"/>
        <v>283</v>
      </c>
      <c r="T692" s="29">
        <f t="shared" ref="T692:T700" si="544">SUM(Q692:S692)</f>
        <v>1185</v>
      </c>
      <c r="U692" s="29">
        <f>P692+T692</f>
        <v>2198</v>
      </c>
    </row>
    <row r="693" spans="1:22" x14ac:dyDescent="0.15">
      <c r="A693" s="23" t="s">
        <v>8</v>
      </c>
      <c r="B693" s="9"/>
      <c r="C693" s="10">
        <v>10</v>
      </c>
      <c r="D693" s="44">
        <v>10</v>
      </c>
      <c r="E693" s="12">
        <f t="shared" ref="E693" si="545">SUM(B693:D693)</f>
        <v>20</v>
      </c>
      <c r="F693" s="9"/>
      <c r="G693" s="10">
        <v>6</v>
      </c>
      <c r="H693" s="44"/>
      <c r="I693" s="12">
        <f t="shared" ref="I693" si="546">SUM(F693:H693)</f>
        <v>6</v>
      </c>
      <c r="J693" s="12">
        <f t="shared" ref="J693" si="547">E693+I693</f>
        <v>26</v>
      </c>
      <c r="K693" s="90">
        <v>45693</v>
      </c>
      <c r="L693" s="23" t="s">
        <v>8</v>
      </c>
      <c r="M693" s="16"/>
      <c r="N693" s="17"/>
      <c r="O693" s="43"/>
      <c r="P693" s="94">
        <f t="shared" ref="P693:P694" si="548">SUM(M693:O693)</f>
        <v>0</v>
      </c>
      <c r="Q693" s="16"/>
      <c r="R693" s="17"/>
      <c r="S693" s="43"/>
      <c r="T693" s="94">
        <f t="shared" ref="T693:T694" si="549">SUM(Q693:S693)</f>
        <v>0</v>
      </c>
      <c r="U693" s="94">
        <f t="shared" ref="U693:U694" si="550">P693+T693</f>
        <v>0</v>
      </c>
    </row>
    <row r="694" spans="1:22" x14ac:dyDescent="0.15">
      <c r="A694" s="23" t="s">
        <v>9</v>
      </c>
      <c r="B694" s="9"/>
      <c r="C694" s="10">
        <v>10</v>
      </c>
      <c r="D694" s="44"/>
      <c r="E694" s="12">
        <f t="shared" si="538"/>
        <v>10</v>
      </c>
      <c r="F694" s="9">
        <v>5</v>
      </c>
      <c r="G694" s="10"/>
      <c r="H694" s="44"/>
      <c r="I694" s="12">
        <f t="shared" si="540"/>
        <v>5</v>
      </c>
      <c r="J694" s="12">
        <f t="shared" ref="J694:J700" si="551">E694+I694</f>
        <v>15</v>
      </c>
      <c r="K694" s="90">
        <v>45700</v>
      </c>
      <c r="L694" s="23" t="s">
        <v>9</v>
      </c>
      <c r="M694" s="9"/>
      <c r="N694" s="10"/>
      <c r="O694" s="44"/>
      <c r="P694" s="12">
        <f t="shared" si="548"/>
        <v>0</v>
      </c>
      <c r="Q694" s="9"/>
      <c r="R694" s="10"/>
      <c r="S694" s="44"/>
      <c r="T694" s="12">
        <f t="shared" si="549"/>
        <v>0</v>
      </c>
      <c r="U694" s="12">
        <f t="shared" si="550"/>
        <v>0</v>
      </c>
    </row>
    <row r="695" spans="1:22" x14ac:dyDescent="0.15">
      <c r="A695" s="23" t="s">
        <v>10</v>
      </c>
      <c r="B695" s="16"/>
      <c r="C695" s="17"/>
      <c r="D695" s="43"/>
      <c r="E695" s="12">
        <f t="shared" si="538"/>
        <v>0</v>
      </c>
      <c r="F695" s="16"/>
      <c r="G695" s="17">
        <v>1</v>
      </c>
      <c r="H695" s="43"/>
      <c r="I695" s="12">
        <f t="shared" si="540"/>
        <v>1</v>
      </c>
      <c r="J695" s="12">
        <f t="shared" si="551"/>
        <v>1</v>
      </c>
      <c r="K695" s="90">
        <v>45702</v>
      </c>
      <c r="L695" s="23" t="s">
        <v>10</v>
      </c>
      <c r="M695" s="9"/>
      <c r="N695" s="10"/>
      <c r="O695" s="44"/>
      <c r="P695" s="12">
        <f t="shared" si="542"/>
        <v>0</v>
      </c>
      <c r="Q695" s="9"/>
      <c r="R695" s="10"/>
      <c r="S695" s="44"/>
      <c r="T695" s="12">
        <f t="shared" si="544"/>
        <v>0</v>
      </c>
      <c r="U695" s="12">
        <f t="shared" ref="U695:U700" si="552">P695+T695</f>
        <v>0</v>
      </c>
    </row>
    <row r="696" spans="1:22" x14ac:dyDescent="0.15">
      <c r="A696" s="23" t="s">
        <v>11</v>
      </c>
      <c r="B696" s="16">
        <v>3</v>
      </c>
      <c r="C696" s="17"/>
      <c r="D696" s="43"/>
      <c r="E696" s="12">
        <f t="shared" si="538"/>
        <v>3</v>
      </c>
      <c r="F696" s="16"/>
      <c r="G696" s="17"/>
      <c r="H696" s="43"/>
      <c r="I696" s="12">
        <f t="shared" si="540"/>
        <v>0</v>
      </c>
      <c r="J696" s="12">
        <f t="shared" si="551"/>
        <v>3</v>
      </c>
      <c r="K696" s="90">
        <v>45708</v>
      </c>
      <c r="L696" s="23" t="s">
        <v>11</v>
      </c>
      <c r="M696" s="9"/>
      <c r="N696" s="10"/>
      <c r="O696" s="44"/>
      <c r="P696" s="12">
        <f t="shared" si="542"/>
        <v>0</v>
      </c>
      <c r="Q696" s="9"/>
      <c r="R696" s="10"/>
      <c r="S696" s="44"/>
      <c r="T696" s="12">
        <f t="shared" si="544"/>
        <v>0</v>
      </c>
      <c r="U696" s="12">
        <f t="shared" si="552"/>
        <v>0</v>
      </c>
    </row>
    <row r="697" spans="1:22" x14ac:dyDescent="0.15">
      <c r="A697" s="23" t="s">
        <v>12</v>
      </c>
      <c r="B697" s="9"/>
      <c r="C697" s="10">
        <v>5</v>
      </c>
      <c r="D697" s="44"/>
      <c r="E697" s="12">
        <f t="shared" si="538"/>
        <v>5</v>
      </c>
      <c r="F697" s="9">
        <v>5</v>
      </c>
      <c r="G697" s="10">
        <v>5</v>
      </c>
      <c r="H697" s="44"/>
      <c r="I697" s="67">
        <f t="shared" si="540"/>
        <v>10</v>
      </c>
      <c r="J697" s="12">
        <f t="shared" si="551"/>
        <v>15</v>
      </c>
      <c r="K697" s="90">
        <v>45715</v>
      </c>
      <c r="L697" s="23" t="s">
        <v>12</v>
      </c>
      <c r="M697" s="9"/>
      <c r="N697" s="10"/>
      <c r="O697" s="44"/>
      <c r="P697" s="12">
        <f t="shared" si="542"/>
        <v>0</v>
      </c>
      <c r="Q697" s="9"/>
      <c r="R697" s="10"/>
      <c r="S697" s="44"/>
      <c r="T697" s="12">
        <f t="shared" si="544"/>
        <v>0</v>
      </c>
      <c r="U697" s="12">
        <f t="shared" si="552"/>
        <v>0</v>
      </c>
    </row>
    <row r="698" spans="1:22" x14ac:dyDescent="0.15">
      <c r="A698" s="23" t="s">
        <v>92</v>
      </c>
      <c r="B698" s="9"/>
      <c r="C698" s="10"/>
      <c r="D698" s="44"/>
      <c r="E698" s="12">
        <f t="shared" si="538"/>
        <v>0</v>
      </c>
      <c r="F698" s="9">
        <v>1</v>
      </c>
      <c r="G698" s="10"/>
      <c r="H698" s="44"/>
      <c r="I698" s="67">
        <f t="shared" si="540"/>
        <v>1</v>
      </c>
      <c r="J698" s="12">
        <f t="shared" si="551"/>
        <v>1</v>
      </c>
      <c r="K698" s="90">
        <v>45727</v>
      </c>
      <c r="L698" s="23" t="s">
        <v>13</v>
      </c>
      <c r="M698" s="9"/>
      <c r="N698" s="10"/>
      <c r="O698" s="44"/>
      <c r="P698" s="12">
        <f t="shared" si="542"/>
        <v>0</v>
      </c>
      <c r="Q698" s="9"/>
      <c r="R698" s="10"/>
      <c r="S698" s="44"/>
      <c r="T698" s="67">
        <f t="shared" si="544"/>
        <v>0</v>
      </c>
      <c r="U698" s="12">
        <f t="shared" si="552"/>
        <v>0</v>
      </c>
    </row>
    <row r="699" spans="1:22" x14ac:dyDescent="0.15">
      <c r="A699" s="23" t="s">
        <v>14</v>
      </c>
      <c r="B699" s="13"/>
      <c r="C699" s="14"/>
      <c r="D699" s="45"/>
      <c r="E699" s="12">
        <f t="shared" si="538"/>
        <v>0</v>
      </c>
      <c r="F699" s="13"/>
      <c r="G699" s="14"/>
      <c r="H699" s="45"/>
      <c r="I699" s="67">
        <f t="shared" si="540"/>
        <v>0</v>
      </c>
      <c r="J699" s="12">
        <f t="shared" si="551"/>
        <v>0</v>
      </c>
      <c r="L699" s="23" t="s">
        <v>14</v>
      </c>
      <c r="M699" s="13"/>
      <c r="N699" s="14"/>
      <c r="O699" s="45"/>
      <c r="P699" s="12">
        <f t="shared" si="542"/>
        <v>0</v>
      </c>
      <c r="Q699" s="13"/>
      <c r="R699" s="14"/>
      <c r="S699" s="45"/>
      <c r="T699" s="67">
        <f t="shared" si="544"/>
        <v>0</v>
      </c>
      <c r="U699" s="12">
        <f t="shared" si="552"/>
        <v>0</v>
      </c>
    </row>
    <row r="700" spans="1:22" ht="14.25" thickBot="1" x14ac:dyDescent="0.2">
      <c r="A700" s="23" t="s">
        <v>15</v>
      </c>
      <c r="B700" s="30"/>
      <c r="C700" s="31"/>
      <c r="D700" s="46"/>
      <c r="E700" s="12">
        <f t="shared" si="538"/>
        <v>0</v>
      </c>
      <c r="F700" s="30"/>
      <c r="G700" s="31"/>
      <c r="H700" s="46"/>
      <c r="I700" s="67">
        <f t="shared" si="540"/>
        <v>0</v>
      </c>
      <c r="J700" s="19">
        <f t="shared" si="551"/>
        <v>0</v>
      </c>
      <c r="L700" s="23" t="s">
        <v>15</v>
      </c>
      <c r="M700" s="13"/>
      <c r="N700" s="14"/>
      <c r="O700" s="45"/>
      <c r="P700" s="12">
        <f t="shared" si="542"/>
        <v>0</v>
      </c>
      <c r="Q700" s="13"/>
      <c r="R700" s="14"/>
      <c r="S700" s="45"/>
      <c r="T700" s="67">
        <f t="shared" si="544"/>
        <v>0</v>
      </c>
      <c r="U700" s="12">
        <f t="shared" si="552"/>
        <v>0</v>
      </c>
    </row>
    <row r="701" spans="1:22" ht="14.25" thickBot="1" x14ac:dyDescent="0.2">
      <c r="A701" s="32" t="s">
        <v>16</v>
      </c>
      <c r="B701" s="26">
        <f>SUM(B692:B700)</f>
        <v>10</v>
      </c>
      <c r="C701" s="27">
        <f t="shared" ref="C701:J701" si="553">SUM(C692:C700)</f>
        <v>30</v>
      </c>
      <c r="D701" s="49">
        <f t="shared" si="553"/>
        <v>14</v>
      </c>
      <c r="E701" s="75">
        <f t="shared" si="553"/>
        <v>54</v>
      </c>
      <c r="F701" s="26">
        <f t="shared" si="553"/>
        <v>19</v>
      </c>
      <c r="G701" s="27">
        <f t="shared" si="553"/>
        <v>20</v>
      </c>
      <c r="H701" s="49">
        <f t="shared" si="553"/>
        <v>5</v>
      </c>
      <c r="I701" s="74">
        <f t="shared" si="553"/>
        <v>44</v>
      </c>
      <c r="J701" s="29">
        <f t="shared" si="553"/>
        <v>98</v>
      </c>
      <c r="L701" s="32" t="s">
        <v>16</v>
      </c>
      <c r="M701" s="26">
        <f>SUM(M692:M700)</f>
        <v>439</v>
      </c>
      <c r="N701" s="27">
        <f t="shared" ref="N701:U701" si="554">SUM(N692:N700)</f>
        <v>300</v>
      </c>
      <c r="O701" s="49">
        <f t="shared" si="554"/>
        <v>274</v>
      </c>
      <c r="P701" s="75">
        <f t="shared" si="554"/>
        <v>1013</v>
      </c>
      <c r="Q701" s="26">
        <f t="shared" si="554"/>
        <v>473</v>
      </c>
      <c r="R701" s="27">
        <f t="shared" si="554"/>
        <v>429</v>
      </c>
      <c r="S701" s="49">
        <f t="shared" si="554"/>
        <v>283</v>
      </c>
      <c r="T701" s="74">
        <f t="shared" si="554"/>
        <v>1185</v>
      </c>
      <c r="U701" s="29">
        <f t="shared" si="554"/>
        <v>2198</v>
      </c>
    </row>
    <row r="702" spans="1:22" x14ac:dyDescent="0.15">
      <c r="A702" s="24" t="s">
        <v>367</v>
      </c>
      <c r="B702" s="54"/>
      <c r="C702" s="55">
        <v>10</v>
      </c>
      <c r="D702" s="56">
        <v>8</v>
      </c>
      <c r="E702" s="42">
        <f t="shared" ref="E702:E727" si="555">SUM(B702:D702)</f>
        <v>18</v>
      </c>
      <c r="F702" s="54"/>
      <c r="G702" s="55">
        <v>6</v>
      </c>
      <c r="H702" s="56"/>
      <c r="I702" s="66">
        <f t="shared" ref="I702:I727" si="556">SUM(F702:H702)</f>
        <v>6</v>
      </c>
      <c r="J702" s="57">
        <f t="shared" ref="J702:J729" si="557">E702+I702</f>
        <v>24</v>
      </c>
      <c r="K702" s="90">
        <v>45695</v>
      </c>
      <c r="L702" s="22" t="s">
        <v>366</v>
      </c>
      <c r="M702" s="54">
        <v>50</v>
      </c>
      <c r="N702" s="55">
        <v>10</v>
      </c>
      <c r="O702" s="56">
        <v>10</v>
      </c>
      <c r="P702" s="42">
        <f t="shared" ref="P702:P723" si="558">SUM(M702:O702)</f>
        <v>70</v>
      </c>
      <c r="Q702" s="54">
        <v>30</v>
      </c>
      <c r="R702" s="55">
        <v>30</v>
      </c>
      <c r="S702" s="56"/>
      <c r="T702" s="66">
        <f t="shared" ref="T702:T723" si="559">SUM(Q702:S702)</f>
        <v>60</v>
      </c>
      <c r="U702" s="57">
        <f t="shared" ref="U702:U729" si="560">P702+T702</f>
        <v>130</v>
      </c>
      <c r="V702" s="90">
        <v>45693</v>
      </c>
    </row>
    <row r="703" spans="1:22" x14ac:dyDescent="0.15">
      <c r="A703" s="22" t="s">
        <v>45</v>
      </c>
      <c r="B703" s="16">
        <v>1</v>
      </c>
      <c r="C703" s="17"/>
      <c r="D703" s="18"/>
      <c r="E703" s="12">
        <f t="shared" si="555"/>
        <v>1</v>
      </c>
      <c r="F703" s="16">
        <v>1</v>
      </c>
      <c r="G703" s="17"/>
      <c r="H703" s="18"/>
      <c r="I703" s="67">
        <f t="shared" si="556"/>
        <v>1</v>
      </c>
      <c r="J703" s="12">
        <f t="shared" si="557"/>
        <v>2</v>
      </c>
      <c r="K703" s="90">
        <v>45694</v>
      </c>
      <c r="L703" s="24" t="s">
        <v>368</v>
      </c>
      <c r="M703" s="16"/>
      <c r="N703" s="17">
        <v>10</v>
      </c>
      <c r="O703" s="18">
        <v>10</v>
      </c>
      <c r="P703" s="12">
        <f t="shared" si="558"/>
        <v>20</v>
      </c>
      <c r="Q703" s="16"/>
      <c r="R703" s="17">
        <v>6</v>
      </c>
      <c r="S703" s="18"/>
      <c r="T703" s="67">
        <f t="shared" si="559"/>
        <v>6</v>
      </c>
      <c r="U703" s="12">
        <f t="shared" si="560"/>
        <v>26</v>
      </c>
      <c r="V703" s="90">
        <v>45693</v>
      </c>
    </row>
    <row r="704" spans="1:22" x14ac:dyDescent="0.15">
      <c r="A704" s="22" t="s">
        <v>372</v>
      </c>
      <c r="B704" s="9">
        <v>1</v>
      </c>
      <c r="C704" s="10">
        <v>1</v>
      </c>
      <c r="D704" s="11"/>
      <c r="E704" s="12">
        <f t="shared" si="555"/>
        <v>2</v>
      </c>
      <c r="F704" s="9"/>
      <c r="G704" s="10">
        <v>1</v>
      </c>
      <c r="H704" s="11"/>
      <c r="I704" s="67">
        <f t="shared" si="556"/>
        <v>1</v>
      </c>
      <c r="J704" s="12">
        <f t="shared" si="557"/>
        <v>3</v>
      </c>
      <c r="K704" s="90">
        <v>45695</v>
      </c>
      <c r="L704" s="22" t="s">
        <v>369</v>
      </c>
      <c r="M704" s="9">
        <v>15</v>
      </c>
      <c r="N704" s="10">
        <v>60</v>
      </c>
      <c r="O704" s="11">
        <v>15</v>
      </c>
      <c r="P704" s="12">
        <f t="shared" si="558"/>
        <v>90</v>
      </c>
      <c r="Q704" s="9"/>
      <c r="R704" s="10">
        <v>60</v>
      </c>
      <c r="S704" s="11">
        <v>20</v>
      </c>
      <c r="T704" s="67">
        <f t="shared" si="559"/>
        <v>80</v>
      </c>
      <c r="U704" s="12">
        <f t="shared" si="560"/>
        <v>170</v>
      </c>
      <c r="V704" s="90">
        <v>45693</v>
      </c>
    </row>
    <row r="705" spans="1:23" x14ac:dyDescent="0.15">
      <c r="A705" s="24" t="s">
        <v>373</v>
      </c>
      <c r="B705" s="9"/>
      <c r="C705" s="10">
        <v>6</v>
      </c>
      <c r="D705" s="11"/>
      <c r="E705" s="12">
        <f t="shared" si="555"/>
        <v>6</v>
      </c>
      <c r="F705" s="9">
        <v>6</v>
      </c>
      <c r="G705" s="10"/>
      <c r="H705" s="11"/>
      <c r="I705" s="67">
        <f t="shared" si="556"/>
        <v>6</v>
      </c>
      <c r="J705" s="12">
        <f t="shared" si="557"/>
        <v>12</v>
      </c>
      <c r="K705" s="90">
        <v>45702</v>
      </c>
      <c r="L705" s="22" t="s">
        <v>370</v>
      </c>
      <c r="M705" s="9">
        <v>50</v>
      </c>
      <c r="N705" s="10">
        <v>30</v>
      </c>
      <c r="O705" s="11">
        <v>25</v>
      </c>
      <c r="P705" s="12">
        <f t="shared" si="558"/>
        <v>105</v>
      </c>
      <c r="Q705" s="9">
        <v>40</v>
      </c>
      <c r="R705" s="10"/>
      <c r="S705" s="11">
        <v>15</v>
      </c>
      <c r="T705" s="67">
        <f t="shared" si="559"/>
        <v>55</v>
      </c>
      <c r="U705" s="12">
        <f t="shared" si="560"/>
        <v>160</v>
      </c>
      <c r="V705" s="90">
        <v>45694</v>
      </c>
    </row>
    <row r="706" spans="1:23" x14ac:dyDescent="0.15">
      <c r="A706" s="22" t="s">
        <v>45</v>
      </c>
      <c r="B706" s="9">
        <v>3</v>
      </c>
      <c r="C706" s="10"/>
      <c r="D706" s="11"/>
      <c r="E706" s="12">
        <f t="shared" si="555"/>
        <v>3</v>
      </c>
      <c r="F706" s="9">
        <v>1</v>
      </c>
      <c r="G706" s="10"/>
      <c r="H706" s="11"/>
      <c r="I706" s="67">
        <f t="shared" si="556"/>
        <v>1</v>
      </c>
      <c r="J706" s="12">
        <f t="shared" si="557"/>
        <v>4</v>
      </c>
      <c r="K706" s="90">
        <v>45708</v>
      </c>
      <c r="L706" s="22" t="s">
        <v>371</v>
      </c>
      <c r="M706" s="9">
        <v>30</v>
      </c>
      <c r="N706" s="10">
        <v>25</v>
      </c>
      <c r="O706" s="11">
        <v>15</v>
      </c>
      <c r="P706" s="12">
        <f t="shared" si="558"/>
        <v>70</v>
      </c>
      <c r="Q706" s="9">
        <v>20</v>
      </c>
      <c r="R706" s="10">
        <v>30</v>
      </c>
      <c r="S706" s="11">
        <v>20</v>
      </c>
      <c r="T706" s="67">
        <f t="shared" si="559"/>
        <v>70</v>
      </c>
      <c r="U706" s="12">
        <f t="shared" si="560"/>
        <v>140</v>
      </c>
      <c r="V706" s="90">
        <v>45695</v>
      </c>
    </row>
    <row r="707" spans="1:23" x14ac:dyDescent="0.15">
      <c r="A707" s="24" t="s">
        <v>376</v>
      </c>
      <c r="B707" s="9"/>
      <c r="C707" s="10">
        <v>6</v>
      </c>
      <c r="D707" s="11"/>
      <c r="E707" s="12">
        <f t="shared" si="555"/>
        <v>6</v>
      </c>
      <c r="F707" s="9">
        <v>6</v>
      </c>
      <c r="G707" s="10">
        <v>6</v>
      </c>
      <c r="H707" s="11"/>
      <c r="I707" s="67">
        <f t="shared" si="556"/>
        <v>12</v>
      </c>
      <c r="J707" s="12">
        <f t="shared" si="557"/>
        <v>18</v>
      </c>
      <c r="K707" s="90">
        <v>45716</v>
      </c>
      <c r="L707" s="24" t="s">
        <v>38</v>
      </c>
      <c r="M707" s="9"/>
      <c r="N707" s="10">
        <v>10</v>
      </c>
      <c r="O707" s="11"/>
      <c r="P707" s="12">
        <f t="shared" si="558"/>
        <v>10</v>
      </c>
      <c r="Q707" s="9">
        <v>5</v>
      </c>
      <c r="R707" s="10"/>
      <c r="S707" s="11"/>
      <c r="T707" s="67">
        <f t="shared" si="559"/>
        <v>5</v>
      </c>
      <c r="U707" s="12">
        <f t="shared" si="560"/>
        <v>15</v>
      </c>
      <c r="V707" s="90">
        <v>45700</v>
      </c>
    </row>
    <row r="708" spans="1:23" x14ac:dyDescent="0.15">
      <c r="A708" s="24"/>
      <c r="B708" s="9"/>
      <c r="C708" s="10"/>
      <c r="D708" s="11"/>
      <c r="E708" s="12">
        <f t="shared" si="555"/>
        <v>0</v>
      </c>
      <c r="F708" s="9"/>
      <c r="G708" s="10"/>
      <c r="H708" s="11"/>
      <c r="I708" s="67">
        <f t="shared" si="556"/>
        <v>0</v>
      </c>
      <c r="J708" s="12">
        <f t="shared" si="557"/>
        <v>0</v>
      </c>
      <c r="K708" s="89"/>
      <c r="L708" s="24" t="s">
        <v>38</v>
      </c>
      <c r="M708" s="9"/>
      <c r="N708" s="10"/>
      <c r="O708" s="11"/>
      <c r="P708" s="12">
        <f t="shared" si="558"/>
        <v>0</v>
      </c>
      <c r="Q708" s="9"/>
      <c r="R708" s="10">
        <v>1</v>
      </c>
      <c r="S708" s="11"/>
      <c r="T708" s="67">
        <f t="shared" si="559"/>
        <v>1</v>
      </c>
      <c r="U708" s="12">
        <f t="shared" si="560"/>
        <v>1</v>
      </c>
      <c r="V708" s="90">
        <v>45702</v>
      </c>
    </row>
    <row r="709" spans="1:23" x14ac:dyDescent="0.15">
      <c r="A709" s="24"/>
      <c r="B709" s="9"/>
      <c r="C709" s="10"/>
      <c r="D709" s="11"/>
      <c r="E709" s="12">
        <f t="shared" si="555"/>
        <v>0</v>
      </c>
      <c r="F709" s="9"/>
      <c r="G709" s="10"/>
      <c r="H709" s="11"/>
      <c r="I709" s="67">
        <f t="shared" si="556"/>
        <v>0</v>
      </c>
      <c r="J709" s="12">
        <f t="shared" si="557"/>
        <v>0</v>
      </c>
      <c r="K709" s="89"/>
      <c r="L709" s="24" t="s">
        <v>375</v>
      </c>
      <c r="M709" s="9"/>
      <c r="N709" s="10">
        <v>6</v>
      </c>
      <c r="O709" s="11">
        <v>20</v>
      </c>
      <c r="P709" s="12">
        <f t="shared" si="558"/>
        <v>26</v>
      </c>
      <c r="Q709" s="9"/>
      <c r="R709" s="10">
        <v>2</v>
      </c>
      <c r="S709" s="11">
        <v>12</v>
      </c>
      <c r="T709" s="67">
        <f t="shared" si="559"/>
        <v>14</v>
      </c>
      <c r="U709" s="12">
        <f t="shared" si="560"/>
        <v>40</v>
      </c>
      <c r="V709" s="90">
        <v>45709</v>
      </c>
      <c r="W709" s="50"/>
    </row>
    <row r="710" spans="1:23" x14ac:dyDescent="0.15">
      <c r="A710" s="22"/>
      <c r="B710" s="9"/>
      <c r="C710" s="10"/>
      <c r="D710" s="11"/>
      <c r="E710" s="12">
        <f t="shared" si="555"/>
        <v>0</v>
      </c>
      <c r="F710" s="9"/>
      <c r="G710" s="10"/>
      <c r="H710" s="11"/>
      <c r="I710" s="67">
        <f t="shared" si="556"/>
        <v>0</v>
      </c>
      <c r="J710" s="12">
        <f t="shared" si="557"/>
        <v>0</v>
      </c>
      <c r="L710" s="24" t="s">
        <v>38</v>
      </c>
      <c r="M710" s="9">
        <v>3</v>
      </c>
      <c r="N710" s="10"/>
      <c r="O710" s="11"/>
      <c r="P710" s="12">
        <f t="shared" si="558"/>
        <v>3</v>
      </c>
      <c r="Q710" s="9"/>
      <c r="R710" s="10"/>
      <c r="S710" s="11"/>
      <c r="T710" s="67">
        <f t="shared" si="559"/>
        <v>0</v>
      </c>
      <c r="U710" s="12">
        <f t="shared" si="560"/>
        <v>3</v>
      </c>
      <c r="V710" s="90">
        <v>45708</v>
      </c>
      <c r="W710" s="50"/>
    </row>
    <row r="711" spans="1:23" x14ac:dyDescent="0.15">
      <c r="A711" s="24"/>
      <c r="B711" s="13"/>
      <c r="C711" s="14"/>
      <c r="D711" s="15"/>
      <c r="E711" s="12">
        <f t="shared" si="555"/>
        <v>0</v>
      </c>
      <c r="F711" s="13"/>
      <c r="G711" s="14"/>
      <c r="H711" s="15"/>
      <c r="I711" s="67">
        <f t="shared" si="556"/>
        <v>0</v>
      </c>
      <c r="J711" s="12">
        <f t="shared" si="557"/>
        <v>0</v>
      </c>
      <c r="L711" s="24" t="s">
        <v>38</v>
      </c>
      <c r="M711" s="13"/>
      <c r="N711" s="14">
        <v>5</v>
      </c>
      <c r="O711" s="15"/>
      <c r="P711" s="12">
        <f t="shared" si="558"/>
        <v>5</v>
      </c>
      <c r="Q711" s="13">
        <v>5</v>
      </c>
      <c r="R711" s="14">
        <v>5</v>
      </c>
      <c r="S711" s="15"/>
      <c r="T711" s="67">
        <f t="shared" si="559"/>
        <v>10</v>
      </c>
      <c r="U711" s="12">
        <f t="shared" si="560"/>
        <v>15</v>
      </c>
      <c r="V711" s="90">
        <v>45715</v>
      </c>
      <c r="W711" s="50"/>
    </row>
    <row r="712" spans="1:23" x14ac:dyDescent="0.15">
      <c r="A712" s="24"/>
      <c r="B712" s="9"/>
      <c r="C712" s="10"/>
      <c r="D712" s="11"/>
      <c r="E712" s="12">
        <f t="shared" si="555"/>
        <v>0</v>
      </c>
      <c r="F712" s="9"/>
      <c r="G712" s="10"/>
      <c r="H712" s="11"/>
      <c r="I712" s="67">
        <f t="shared" si="556"/>
        <v>0</v>
      </c>
      <c r="J712" s="12">
        <f t="shared" si="557"/>
        <v>0</v>
      </c>
      <c r="L712" s="24" t="s">
        <v>378</v>
      </c>
      <c r="M712" s="9">
        <v>8</v>
      </c>
      <c r="N712" s="10"/>
      <c r="O712" s="11"/>
      <c r="P712" s="12">
        <f t="shared" si="558"/>
        <v>8</v>
      </c>
      <c r="Q712" s="9">
        <v>2</v>
      </c>
      <c r="R712" s="10"/>
      <c r="S712" s="11"/>
      <c r="T712" s="67">
        <f t="shared" si="559"/>
        <v>2</v>
      </c>
      <c r="U712" s="12">
        <f t="shared" si="560"/>
        <v>10</v>
      </c>
      <c r="V712" s="90">
        <v>45723</v>
      </c>
      <c r="W712" s="50"/>
    </row>
    <row r="713" spans="1:23" x14ac:dyDescent="0.15">
      <c r="A713" s="24"/>
      <c r="B713" s="9"/>
      <c r="C713" s="10"/>
      <c r="D713" s="11"/>
      <c r="E713" s="12">
        <f t="shared" si="555"/>
        <v>0</v>
      </c>
      <c r="F713" s="9"/>
      <c r="G713" s="10"/>
      <c r="H713" s="11"/>
      <c r="I713" s="67">
        <f t="shared" si="556"/>
        <v>0</v>
      </c>
      <c r="J713" s="12">
        <f t="shared" si="557"/>
        <v>0</v>
      </c>
      <c r="L713" s="24" t="s">
        <v>382</v>
      </c>
      <c r="M713" s="9">
        <v>6</v>
      </c>
      <c r="N713" s="10">
        <v>10</v>
      </c>
      <c r="O713" s="11"/>
      <c r="P713" s="12">
        <f t="shared" si="558"/>
        <v>16</v>
      </c>
      <c r="Q713" s="9">
        <v>10</v>
      </c>
      <c r="R713" s="10"/>
      <c r="S713" s="11">
        <v>4</v>
      </c>
      <c r="T713" s="67">
        <f t="shared" si="559"/>
        <v>14</v>
      </c>
      <c r="U713" s="12">
        <f t="shared" si="560"/>
        <v>30</v>
      </c>
      <c r="V713" s="90">
        <v>45744</v>
      </c>
      <c r="W713" s="50"/>
    </row>
    <row r="714" spans="1:23" x14ac:dyDescent="0.15">
      <c r="A714" s="22"/>
      <c r="B714" s="9"/>
      <c r="C714" s="10"/>
      <c r="D714" s="11"/>
      <c r="E714" s="12">
        <f t="shared" si="555"/>
        <v>0</v>
      </c>
      <c r="F714" s="9"/>
      <c r="G714" s="10"/>
      <c r="H714" s="11"/>
      <c r="I714" s="67">
        <f t="shared" si="556"/>
        <v>0</v>
      </c>
      <c r="J714" s="12">
        <f t="shared" si="557"/>
        <v>0</v>
      </c>
      <c r="L714" s="22"/>
      <c r="M714" s="9"/>
      <c r="N714" s="10"/>
      <c r="O714" s="11"/>
      <c r="P714" s="12">
        <f t="shared" si="558"/>
        <v>0</v>
      </c>
      <c r="Q714" s="9"/>
      <c r="R714" s="10"/>
      <c r="S714" s="11"/>
      <c r="T714" s="67">
        <f t="shared" si="559"/>
        <v>0</v>
      </c>
      <c r="U714" s="12">
        <f t="shared" si="560"/>
        <v>0</v>
      </c>
      <c r="V714" s="89"/>
      <c r="W714" s="50"/>
    </row>
    <row r="715" spans="1:23" x14ac:dyDescent="0.15">
      <c r="A715" s="24"/>
      <c r="B715" s="9"/>
      <c r="C715" s="10"/>
      <c r="D715" s="11"/>
      <c r="E715" s="12">
        <f t="shared" si="555"/>
        <v>0</v>
      </c>
      <c r="F715" s="9"/>
      <c r="G715" s="10"/>
      <c r="H715" s="11"/>
      <c r="I715" s="67">
        <f t="shared" si="556"/>
        <v>0</v>
      </c>
      <c r="J715" s="12">
        <f t="shared" si="557"/>
        <v>0</v>
      </c>
      <c r="L715" s="24"/>
      <c r="M715" s="9"/>
      <c r="N715" s="10"/>
      <c r="O715" s="11"/>
      <c r="P715" s="12">
        <f t="shared" si="558"/>
        <v>0</v>
      </c>
      <c r="Q715" s="9"/>
      <c r="R715" s="10"/>
      <c r="S715" s="11"/>
      <c r="T715" s="67">
        <f t="shared" si="559"/>
        <v>0</v>
      </c>
      <c r="U715" s="12">
        <f t="shared" si="560"/>
        <v>0</v>
      </c>
    </row>
    <row r="716" spans="1:23" x14ac:dyDescent="0.15">
      <c r="A716" s="24"/>
      <c r="B716" s="9"/>
      <c r="C716" s="10"/>
      <c r="D716" s="11"/>
      <c r="E716" s="12">
        <f t="shared" si="555"/>
        <v>0</v>
      </c>
      <c r="F716" s="9"/>
      <c r="G716" s="10"/>
      <c r="H716" s="11"/>
      <c r="I716" s="67">
        <f t="shared" si="556"/>
        <v>0</v>
      </c>
      <c r="J716" s="12">
        <f t="shared" si="557"/>
        <v>0</v>
      </c>
      <c r="L716" s="24"/>
      <c r="M716" s="9"/>
      <c r="N716" s="10"/>
      <c r="O716" s="11"/>
      <c r="P716" s="12">
        <f t="shared" si="558"/>
        <v>0</v>
      </c>
      <c r="Q716" s="9"/>
      <c r="R716" s="10"/>
      <c r="S716" s="11"/>
      <c r="T716" s="67">
        <f t="shared" si="559"/>
        <v>0</v>
      </c>
      <c r="U716" s="12">
        <f t="shared" si="560"/>
        <v>0</v>
      </c>
    </row>
    <row r="717" spans="1:23" x14ac:dyDescent="0.15">
      <c r="A717" s="22"/>
      <c r="B717" s="9"/>
      <c r="C717" s="10"/>
      <c r="D717" s="11"/>
      <c r="E717" s="12">
        <f t="shared" si="555"/>
        <v>0</v>
      </c>
      <c r="F717" s="9"/>
      <c r="G717" s="10"/>
      <c r="H717" s="11"/>
      <c r="I717" s="67">
        <f t="shared" si="556"/>
        <v>0</v>
      </c>
      <c r="J717" s="12">
        <f t="shared" si="557"/>
        <v>0</v>
      </c>
      <c r="L717" s="22"/>
      <c r="M717" s="9"/>
      <c r="N717" s="10"/>
      <c r="O717" s="11"/>
      <c r="P717" s="12">
        <f t="shared" si="558"/>
        <v>0</v>
      </c>
      <c r="Q717" s="9"/>
      <c r="R717" s="10"/>
      <c r="S717" s="11"/>
      <c r="T717" s="67">
        <f t="shared" si="559"/>
        <v>0</v>
      </c>
      <c r="U717" s="12">
        <f t="shared" si="560"/>
        <v>0</v>
      </c>
    </row>
    <row r="718" spans="1:23" x14ac:dyDescent="0.15">
      <c r="A718" s="24"/>
      <c r="B718" s="9"/>
      <c r="C718" s="10"/>
      <c r="D718" s="11"/>
      <c r="E718" s="12">
        <f t="shared" si="555"/>
        <v>0</v>
      </c>
      <c r="F718" s="9"/>
      <c r="G718" s="10"/>
      <c r="H718" s="11"/>
      <c r="I718" s="67">
        <f t="shared" si="556"/>
        <v>0</v>
      </c>
      <c r="J718" s="12">
        <f t="shared" si="557"/>
        <v>0</v>
      </c>
      <c r="L718" s="24"/>
      <c r="M718" s="9"/>
      <c r="N718" s="10"/>
      <c r="O718" s="11"/>
      <c r="P718" s="12">
        <f t="shared" si="558"/>
        <v>0</v>
      </c>
      <c r="Q718" s="9"/>
      <c r="R718" s="10"/>
      <c r="S718" s="11"/>
      <c r="T718" s="67">
        <f t="shared" si="559"/>
        <v>0</v>
      </c>
      <c r="U718" s="12">
        <f t="shared" si="560"/>
        <v>0</v>
      </c>
    </row>
    <row r="719" spans="1:23" x14ac:dyDescent="0.15">
      <c r="A719" s="24"/>
      <c r="B719" s="9"/>
      <c r="C719" s="10"/>
      <c r="D719" s="11"/>
      <c r="E719" s="12">
        <f t="shared" si="555"/>
        <v>0</v>
      </c>
      <c r="F719" s="9"/>
      <c r="G719" s="10"/>
      <c r="H719" s="11"/>
      <c r="I719" s="67">
        <f t="shared" si="556"/>
        <v>0</v>
      </c>
      <c r="J719" s="12">
        <f t="shared" si="557"/>
        <v>0</v>
      </c>
      <c r="L719" s="24"/>
      <c r="M719" s="9"/>
      <c r="N719" s="10"/>
      <c r="O719" s="11"/>
      <c r="P719" s="12">
        <f t="shared" si="558"/>
        <v>0</v>
      </c>
      <c r="Q719" s="9"/>
      <c r="R719" s="10"/>
      <c r="S719" s="11"/>
      <c r="T719" s="67">
        <f t="shared" si="559"/>
        <v>0</v>
      </c>
      <c r="U719" s="12">
        <f t="shared" si="560"/>
        <v>0</v>
      </c>
    </row>
    <row r="720" spans="1:23" x14ac:dyDescent="0.15">
      <c r="A720" s="21"/>
      <c r="B720" s="9"/>
      <c r="C720" s="10"/>
      <c r="D720" s="11"/>
      <c r="E720" s="12">
        <f t="shared" si="555"/>
        <v>0</v>
      </c>
      <c r="F720" s="9"/>
      <c r="G720" s="10"/>
      <c r="H720" s="11"/>
      <c r="I720" s="67">
        <f t="shared" si="556"/>
        <v>0</v>
      </c>
      <c r="J720" s="12">
        <f t="shared" si="557"/>
        <v>0</v>
      </c>
      <c r="L720" s="21"/>
      <c r="M720" s="9"/>
      <c r="N720" s="10"/>
      <c r="O720" s="11"/>
      <c r="P720" s="12">
        <f t="shared" si="558"/>
        <v>0</v>
      </c>
      <c r="Q720" s="9"/>
      <c r="R720" s="10"/>
      <c r="S720" s="11"/>
      <c r="T720" s="67">
        <f t="shared" si="559"/>
        <v>0</v>
      </c>
      <c r="U720" s="12">
        <f t="shared" si="560"/>
        <v>0</v>
      </c>
    </row>
    <row r="721" spans="1:22" x14ac:dyDescent="0.15">
      <c r="A721" s="21"/>
      <c r="B721" s="9"/>
      <c r="C721" s="10"/>
      <c r="D721" s="11"/>
      <c r="E721" s="12">
        <f t="shared" si="555"/>
        <v>0</v>
      </c>
      <c r="F721" s="9"/>
      <c r="G721" s="10"/>
      <c r="H721" s="11"/>
      <c r="I721" s="67">
        <f t="shared" si="556"/>
        <v>0</v>
      </c>
      <c r="J721" s="12">
        <f t="shared" si="557"/>
        <v>0</v>
      </c>
      <c r="L721" s="21"/>
      <c r="M721" s="9"/>
      <c r="N721" s="10"/>
      <c r="O721" s="11"/>
      <c r="P721" s="12">
        <f t="shared" si="558"/>
        <v>0</v>
      </c>
      <c r="Q721" s="9"/>
      <c r="R721" s="10"/>
      <c r="S721" s="11"/>
      <c r="T721" s="67">
        <f t="shared" si="559"/>
        <v>0</v>
      </c>
      <c r="U721" s="12">
        <f t="shared" si="560"/>
        <v>0</v>
      </c>
    </row>
    <row r="722" spans="1:22" x14ac:dyDescent="0.15">
      <c r="A722" s="21"/>
      <c r="B722" s="9"/>
      <c r="C722" s="10"/>
      <c r="D722" s="11"/>
      <c r="E722" s="12">
        <f t="shared" si="555"/>
        <v>0</v>
      </c>
      <c r="F722" s="9"/>
      <c r="G722" s="10"/>
      <c r="H722" s="11"/>
      <c r="I722" s="67">
        <f t="shared" si="556"/>
        <v>0</v>
      </c>
      <c r="J722" s="12">
        <f t="shared" si="557"/>
        <v>0</v>
      </c>
      <c r="L722" s="21"/>
      <c r="M722" s="9"/>
      <c r="N722" s="10"/>
      <c r="O722" s="11"/>
      <c r="P722" s="12">
        <f t="shared" si="558"/>
        <v>0</v>
      </c>
      <c r="Q722" s="9"/>
      <c r="R722" s="10"/>
      <c r="S722" s="11"/>
      <c r="T722" s="67">
        <f t="shared" si="559"/>
        <v>0</v>
      </c>
      <c r="U722" s="12">
        <f t="shared" si="560"/>
        <v>0</v>
      </c>
    </row>
    <row r="723" spans="1:22" x14ac:dyDescent="0.15">
      <c r="A723" s="24"/>
      <c r="B723" s="13"/>
      <c r="C723" s="14"/>
      <c r="D723" s="15"/>
      <c r="E723" s="12">
        <f t="shared" si="555"/>
        <v>0</v>
      </c>
      <c r="F723" s="13"/>
      <c r="G723" s="14"/>
      <c r="H723" s="15"/>
      <c r="I723" s="67">
        <f t="shared" si="556"/>
        <v>0</v>
      </c>
      <c r="J723" s="12">
        <f t="shared" si="557"/>
        <v>0</v>
      </c>
      <c r="L723" s="24"/>
      <c r="M723" s="13"/>
      <c r="N723" s="14"/>
      <c r="O723" s="15"/>
      <c r="P723" s="12">
        <f t="shared" si="558"/>
        <v>0</v>
      </c>
      <c r="Q723" s="13"/>
      <c r="R723" s="14"/>
      <c r="S723" s="15"/>
      <c r="T723" s="67">
        <f t="shared" si="559"/>
        <v>0</v>
      </c>
      <c r="U723" s="12">
        <f t="shared" si="560"/>
        <v>0</v>
      </c>
    </row>
    <row r="724" spans="1:22" x14ac:dyDescent="0.15">
      <c r="A724" s="24"/>
      <c r="B724" s="9"/>
      <c r="C724" s="10"/>
      <c r="D724" s="11"/>
      <c r="E724" s="12">
        <f t="shared" si="555"/>
        <v>0</v>
      </c>
      <c r="F724" s="9"/>
      <c r="G724" s="10"/>
      <c r="H724" s="11"/>
      <c r="I724" s="67">
        <f t="shared" si="556"/>
        <v>0</v>
      </c>
      <c r="J724" s="12">
        <f t="shared" si="557"/>
        <v>0</v>
      </c>
      <c r="L724" s="24"/>
      <c r="M724" s="13"/>
      <c r="N724" s="14"/>
      <c r="O724" s="15"/>
      <c r="P724" s="12">
        <f t="shared" ref="P724:P727" si="561">SUM(M724:O724)</f>
        <v>0</v>
      </c>
      <c r="Q724" s="13"/>
      <c r="R724" s="14"/>
      <c r="S724" s="15"/>
      <c r="T724" s="67">
        <f t="shared" ref="T724:T727" si="562">SUM(Q724:S724)</f>
        <v>0</v>
      </c>
      <c r="U724" s="12">
        <f t="shared" ref="U724:U727" si="563">P724+T724</f>
        <v>0</v>
      </c>
    </row>
    <row r="725" spans="1:22" x14ac:dyDescent="0.15">
      <c r="A725" s="7"/>
      <c r="B725" s="9"/>
      <c r="C725" s="10"/>
      <c r="D725" s="11"/>
      <c r="E725" s="12">
        <f t="shared" si="555"/>
        <v>0</v>
      </c>
      <c r="F725" s="9"/>
      <c r="G725" s="10"/>
      <c r="H725" s="11"/>
      <c r="I725" s="67">
        <f t="shared" si="556"/>
        <v>0</v>
      </c>
      <c r="J725" s="12">
        <f t="shared" si="557"/>
        <v>0</v>
      </c>
      <c r="L725" s="24"/>
      <c r="M725" s="13"/>
      <c r="N725" s="14"/>
      <c r="O725" s="15"/>
      <c r="P725" s="12">
        <f t="shared" ref="P725" si="564">SUM(M725:O725)</f>
        <v>0</v>
      </c>
      <c r="Q725" s="13"/>
      <c r="R725" s="14"/>
      <c r="S725" s="15"/>
      <c r="T725" s="67">
        <f t="shared" ref="T725" si="565">SUM(Q725:S725)</f>
        <v>0</v>
      </c>
      <c r="U725" s="12">
        <f t="shared" ref="U725" si="566">P725+T725</f>
        <v>0</v>
      </c>
    </row>
    <row r="726" spans="1:22" x14ac:dyDescent="0.15">
      <c r="A726" s="59"/>
      <c r="B726" s="9"/>
      <c r="C726" s="10"/>
      <c r="D726" s="11"/>
      <c r="E726" s="12">
        <f t="shared" si="555"/>
        <v>0</v>
      </c>
      <c r="F726" s="9"/>
      <c r="G726" s="10"/>
      <c r="H726" s="11"/>
      <c r="I726" s="67">
        <f t="shared" si="556"/>
        <v>0</v>
      </c>
      <c r="J726" s="12">
        <f t="shared" si="557"/>
        <v>0</v>
      </c>
      <c r="L726" s="97" t="s">
        <v>332</v>
      </c>
      <c r="M726" s="144"/>
      <c r="N726" s="145"/>
      <c r="O726" s="146"/>
      <c r="P726" s="101">
        <f t="shared" si="561"/>
        <v>0</v>
      </c>
      <c r="Q726" s="144"/>
      <c r="R726" s="145"/>
      <c r="S726" s="146"/>
      <c r="T726" s="102">
        <f t="shared" si="562"/>
        <v>0</v>
      </c>
      <c r="U726" s="101">
        <f t="shared" si="563"/>
        <v>0</v>
      </c>
      <c r="V726" s="89"/>
    </row>
    <row r="727" spans="1:22" ht="14.25" thickBot="1" x14ac:dyDescent="0.2">
      <c r="A727" s="59"/>
      <c r="B727" s="9"/>
      <c r="C727" s="10"/>
      <c r="D727" s="11"/>
      <c r="E727" s="12">
        <f t="shared" si="555"/>
        <v>0</v>
      </c>
      <c r="F727" s="9"/>
      <c r="G727" s="10"/>
      <c r="H727" s="11"/>
      <c r="I727" s="67">
        <f t="shared" si="556"/>
        <v>0</v>
      </c>
      <c r="J727" s="12">
        <f t="shared" si="557"/>
        <v>0</v>
      </c>
      <c r="L727" s="22" t="s">
        <v>331</v>
      </c>
      <c r="M727" s="13"/>
      <c r="N727" s="14"/>
      <c r="O727" s="15"/>
      <c r="P727" s="12">
        <f t="shared" si="561"/>
        <v>0</v>
      </c>
      <c r="Q727" s="13"/>
      <c r="R727" s="14"/>
      <c r="S727" s="15"/>
      <c r="T727" s="67">
        <f t="shared" si="562"/>
        <v>0</v>
      </c>
      <c r="U727" s="12">
        <f t="shared" si="563"/>
        <v>0</v>
      </c>
      <c r="V727" s="89" t="s">
        <v>333</v>
      </c>
    </row>
    <row r="728" spans="1:22" ht="14.25" thickBot="1" x14ac:dyDescent="0.2">
      <c r="A728" s="37" t="s">
        <v>17</v>
      </c>
      <c r="B728" s="38">
        <f>SUM(B702:B727)</f>
        <v>5</v>
      </c>
      <c r="C728" s="39">
        <f>SUM(C702:C727)</f>
        <v>23</v>
      </c>
      <c r="D728" s="40">
        <f>SUM(D702:D727)</f>
        <v>8</v>
      </c>
      <c r="E728" s="41">
        <f>SUM(B728:D728)</f>
        <v>36</v>
      </c>
      <c r="F728" s="38">
        <f>SUM(F702:F727)</f>
        <v>14</v>
      </c>
      <c r="G728" s="39">
        <f>SUM(G702:G727)</f>
        <v>13</v>
      </c>
      <c r="H728" s="40">
        <f>SUM(H702:H727)</f>
        <v>0</v>
      </c>
      <c r="I728" s="41">
        <f>SUM(F728:H728)</f>
        <v>27</v>
      </c>
      <c r="J728" s="42">
        <f t="shared" si="557"/>
        <v>63</v>
      </c>
      <c r="L728" s="37" t="s">
        <v>17</v>
      </c>
      <c r="M728" s="38">
        <f>SUM(M702:M727)</f>
        <v>162</v>
      </c>
      <c r="N728" s="39">
        <f>SUM(N702:N727)</f>
        <v>166</v>
      </c>
      <c r="O728" s="40">
        <f>SUM(O702:O727)</f>
        <v>95</v>
      </c>
      <c r="P728" s="41">
        <f>SUM(M728:O728)</f>
        <v>423</v>
      </c>
      <c r="Q728" s="38">
        <f>SUM(Q702:Q727)</f>
        <v>112</v>
      </c>
      <c r="R728" s="39">
        <f>SUM(R702:R727)</f>
        <v>134</v>
      </c>
      <c r="S728" s="40">
        <f>SUM(S702:S727)</f>
        <v>71</v>
      </c>
      <c r="T728" s="41">
        <f>SUM(Q728:S728)</f>
        <v>317</v>
      </c>
      <c r="U728" s="42">
        <f t="shared" si="560"/>
        <v>740</v>
      </c>
    </row>
    <row r="729" spans="1:22" ht="14.25" thickBot="1" x14ac:dyDescent="0.2">
      <c r="A729" s="20" t="s">
        <v>18</v>
      </c>
      <c r="B729" s="63">
        <f>B701-B728</f>
        <v>5</v>
      </c>
      <c r="C729" s="64">
        <f t="shared" ref="C729:E729" si="567">C701-C728</f>
        <v>7</v>
      </c>
      <c r="D729" s="65">
        <f t="shared" si="567"/>
        <v>6</v>
      </c>
      <c r="E729" s="65">
        <f t="shared" si="567"/>
        <v>18</v>
      </c>
      <c r="F729" s="63">
        <f>F701-F728</f>
        <v>5</v>
      </c>
      <c r="G729" s="64">
        <f t="shared" ref="G729:I729" si="568">G701-G728</f>
        <v>7</v>
      </c>
      <c r="H729" s="65">
        <f t="shared" si="568"/>
        <v>5</v>
      </c>
      <c r="I729" s="65">
        <f t="shared" si="568"/>
        <v>17</v>
      </c>
      <c r="J729" s="29">
        <f t="shared" si="557"/>
        <v>35</v>
      </c>
      <c r="L729" s="112" t="s">
        <v>18</v>
      </c>
      <c r="M729" s="63">
        <f>M701-M728</f>
        <v>277</v>
      </c>
      <c r="N729" s="64">
        <f t="shared" ref="N729:P729" si="569">N701-N728</f>
        <v>134</v>
      </c>
      <c r="O729" s="65">
        <f t="shared" si="569"/>
        <v>179</v>
      </c>
      <c r="P729" s="65">
        <f t="shared" si="569"/>
        <v>590</v>
      </c>
      <c r="Q729" s="63">
        <f>Q701-Q728</f>
        <v>361</v>
      </c>
      <c r="R729" s="64">
        <f t="shared" ref="R729:T729" si="570">R701-R728</f>
        <v>295</v>
      </c>
      <c r="S729" s="65">
        <f t="shared" si="570"/>
        <v>212</v>
      </c>
      <c r="T729" s="65">
        <f t="shared" si="570"/>
        <v>868</v>
      </c>
      <c r="U729" s="29">
        <f t="shared" si="560"/>
        <v>1458</v>
      </c>
    </row>
    <row r="730" spans="1:22" x14ac:dyDescent="0.15">
      <c r="L730" s="111"/>
      <c r="M730" s="1"/>
      <c r="N730" s="1"/>
      <c r="O730" s="1"/>
      <c r="P730" s="1"/>
      <c r="Q730" s="1"/>
      <c r="R730" s="1"/>
      <c r="S730" s="1"/>
      <c r="T730" s="1"/>
      <c r="U730" s="1"/>
    </row>
    <row r="731" spans="1:22" x14ac:dyDescent="0.15">
      <c r="L731" s="136"/>
      <c r="M731" s="1"/>
      <c r="N731" s="1"/>
      <c r="O731" s="1"/>
      <c r="P731" s="1"/>
      <c r="Q731" s="1"/>
      <c r="R731" s="1"/>
      <c r="S731" s="1"/>
      <c r="T731" s="1"/>
      <c r="U731" s="1"/>
    </row>
    <row r="732" spans="1:22" ht="19.5" thickBot="1" x14ac:dyDescent="0.25">
      <c r="A732" s="3" t="s">
        <v>209</v>
      </c>
      <c r="B732" s="1"/>
      <c r="C732" s="1"/>
      <c r="D732" s="1"/>
      <c r="E732" s="1"/>
      <c r="F732" s="1"/>
      <c r="G732" s="1"/>
      <c r="H732" s="1"/>
      <c r="I732" s="1"/>
      <c r="J732" s="1"/>
      <c r="L732" s="3" t="s">
        <v>208</v>
      </c>
      <c r="M732" s="1"/>
      <c r="N732" s="1"/>
      <c r="O732" s="1"/>
      <c r="P732" s="1"/>
      <c r="Q732" s="1"/>
      <c r="R732" s="1"/>
      <c r="S732" s="1"/>
      <c r="T732" s="1"/>
      <c r="U732" s="1"/>
    </row>
    <row r="733" spans="1:22" ht="14.25" thickBot="1" x14ac:dyDescent="0.2">
      <c r="A733" s="8" t="s">
        <v>0</v>
      </c>
      <c r="B733" s="227" t="s">
        <v>19</v>
      </c>
      <c r="C733" s="228"/>
      <c r="D733" s="228"/>
      <c r="E733" s="229"/>
      <c r="F733" s="230" t="s">
        <v>20</v>
      </c>
      <c r="G733" s="231"/>
      <c r="H733" s="231"/>
      <c r="I733" s="232"/>
      <c r="J733" s="233" t="s">
        <v>1</v>
      </c>
      <c r="L733" s="8" t="s">
        <v>0</v>
      </c>
      <c r="M733" s="235" t="s">
        <v>19</v>
      </c>
      <c r="N733" s="236"/>
      <c r="O733" s="236"/>
      <c r="P733" s="237"/>
      <c r="Q733" s="238" t="s">
        <v>20</v>
      </c>
      <c r="R733" s="239"/>
      <c r="S733" s="239"/>
      <c r="T733" s="240"/>
      <c r="U733" s="224" t="s">
        <v>1</v>
      </c>
    </row>
    <row r="734" spans="1:22" ht="14.25" thickBot="1" x14ac:dyDescent="0.2">
      <c r="A734" s="8" t="s">
        <v>2</v>
      </c>
      <c r="B734" s="69" t="s">
        <v>3</v>
      </c>
      <c r="C734" s="70" t="s">
        <v>4</v>
      </c>
      <c r="D734" s="71" t="s">
        <v>5</v>
      </c>
      <c r="E734" s="8" t="s">
        <v>6</v>
      </c>
      <c r="F734" s="4" t="s">
        <v>3</v>
      </c>
      <c r="G734" s="5" t="s">
        <v>4</v>
      </c>
      <c r="H734" s="6" t="s">
        <v>5</v>
      </c>
      <c r="I734" s="8" t="s">
        <v>6</v>
      </c>
      <c r="J734" s="234"/>
      <c r="L734" s="8" t="s">
        <v>2</v>
      </c>
      <c r="M734" s="69" t="s">
        <v>3</v>
      </c>
      <c r="N734" s="70" t="s">
        <v>4</v>
      </c>
      <c r="O734" s="71" t="s">
        <v>5</v>
      </c>
      <c r="P734" s="8" t="s">
        <v>6</v>
      </c>
      <c r="Q734" s="4" t="s">
        <v>3</v>
      </c>
      <c r="R734" s="5" t="s">
        <v>4</v>
      </c>
      <c r="S734" s="6" t="s">
        <v>5</v>
      </c>
      <c r="T734" s="8" t="s">
        <v>6</v>
      </c>
      <c r="U734" s="225"/>
    </row>
    <row r="735" spans="1:22" ht="14.25" thickBot="1" x14ac:dyDescent="0.2">
      <c r="A735" s="25" t="s">
        <v>18</v>
      </c>
      <c r="B735" s="26">
        <f>B729</f>
        <v>5</v>
      </c>
      <c r="C735" s="27">
        <f t="shared" ref="C735:D735" si="571">C729</f>
        <v>7</v>
      </c>
      <c r="D735" s="49">
        <f t="shared" si="571"/>
        <v>6</v>
      </c>
      <c r="E735" s="68">
        <f t="shared" ref="E735:E743" si="572">SUM(B735:D735)</f>
        <v>18</v>
      </c>
      <c r="F735" s="26">
        <f>F729</f>
        <v>5</v>
      </c>
      <c r="G735" s="27">
        <f t="shared" ref="G735:H735" si="573">G729</f>
        <v>7</v>
      </c>
      <c r="H735" s="49">
        <f t="shared" si="573"/>
        <v>5</v>
      </c>
      <c r="I735" s="33">
        <f t="shared" ref="I735:I743" si="574">SUM(F735:H735)</f>
        <v>17</v>
      </c>
      <c r="J735" s="33">
        <f>E735+I735</f>
        <v>35</v>
      </c>
      <c r="L735" s="25" t="s">
        <v>18</v>
      </c>
      <c r="M735" s="26">
        <f>M729</f>
        <v>277</v>
      </c>
      <c r="N735" s="27">
        <f t="shared" ref="N735:O735" si="575">N729</f>
        <v>134</v>
      </c>
      <c r="O735" s="49">
        <f t="shared" si="575"/>
        <v>179</v>
      </c>
      <c r="P735" s="68">
        <f t="shared" ref="P735:P743" si="576">SUM(M735:O735)</f>
        <v>590</v>
      </c>
      <c r="Q735" s="26">
        <f>Q729</f>
        <v>361</v>
      </c>
      <c r="R735" s="27">
        <f t="shared" ref="R735:S735" si="577">R729</f>
        <v>295</v>
      </c>
      <c r="S735" s="49">
        <f t="shared" si="577"/>
        <v>212</v>
      </c>
      <c r="T735" s="33">
        <f t="shared" ref="T735:T743" si="578">SUM(Q735:S735)</f>
        <v>868</v>
      </c>
      <c r="U735" s="33">
        <f>P735+T735</f>
        <v>1458</v>
      </c>
    </row>
    <row r="736" spans="1:22" x14ac:dyDescent="0.15">
      <c r="A736" s="23" t="s">
        <v>389</v>
      </c>
      <c r="B736" s="47">
        <v>1</v>
      </c>
      <c r="C736" s="48">
        <v>1</v>
      </c>
      <c r="D736" s="72">
        <v>1</v>
      </c>
      <c r="E736" s="42">
        <f t="shared" si="572"/>
        <v>3</v>
      </c>
      <c r="F736" s="38">
        <v>1</v>
      </c>
      <c r="G736" s="39">
        <v>1</v>
      </c>
      <c r="H736" s="40">
        <v>1</v>
      </c>
      <c r="I736" s="66">
        <f t="shared" si="574"/>
        <v>3</v>
      </c>
      <c r="J736" s="57">
        <f t="shared" ref="J736:J743" si="579">E736+I736</f>
        <v>6</v>
      </c>
      <c r="K736" s="108">
        <v>45748</v>
      </c>
      <c r="L736" s="23" t="s">
        <v>8</v>
      </c>
      <c r="M736" s="47"/>
      <c r="N736" s="48"/>
      <c r="O736" s="72"/>
      <c r="P736" s="42">
        <f t="shared" si="576"/>
        <v>0</v>
      </c>
      <c r="Q736" s="38"/>
      <c r="R736" s="39"/>
      <c r="S736" s="40"/>
      <c r="T736" s="66">
        <f t="shared" si="578"/>
        <v>0</v>
      </c>
      <c r="U736" s="57">
        <f t="shared" ref="U736:U743" si="580">P736+T736</f>
        <v>0</v>
      </c>
    </row>
    <row r="737" spans="1:24" x14ac:dyDescent="0.15">
      <c r="A737" s="23" t="s">
        <v>100</v>
      </c>
      <c r="B737" s="9"/>
      <c r="C737" s="10">
        <v>3</v>
      </c>
      <c r="D737" s="44">
        <v>1</v>
      </c>
      <c r="E737" s="12">
        <f t="shared" si="572"/>
        <v>4</v>
      </c>
      <c r="F737" s="9"/>
      <c r="G737" s="10">
        <v>1</v>
      </c>
      <c r="H737" s="44">
        <v>2</v>
      </c>
      <c r="I737" s="12">
        <f t="shared" si="574"/>
        <v>3</v>
      </c>
      <c r="J737" s="12">
        <f t="shared" si="579"/>
        <v>7</v>
      </c>
      <c r="K737" s="90">
        <v>45763</v>
      </c>
      <c r="L737" s="23" t="s">
        <v>301</v>
      </c>
      <c r="M737" s="9">
        <v>335</v>
      </c>
      <c r="N737" s="10">
        <v>375</v>
      </c>
      <c r="O737" s="44">
        <v>218</v>
      </c>
      <c r="P737" s="12">
        <f t="shared" si="576"/>
        <v>928</v>
      </c>
      <c r="Q737" s="9">
        <v>320</v>
      </c>
      <c r="R737" s="10">
        <v>340</v>
      </c>
      <c r="S737" s="44">
        <v>230</v>
      </c>
      <c r="T737" s="12">
        <f t="shared" si="578"/>
        <v>890</v>
      </c>
      <c r="U737" s="12">
        <f t="shared" si="580"/>
        <v>1818</v>
      </c>
      <c r="V737" s="90" t="s">
        <v>391</v>
      </c>
    </row>
    <row r="738" spans="1:24" x14ac:dyDescent="0.15">
      <c r="A738" s="23" t="s">
        <v>100</v>
      </c>
      <c r="B738" s="16">
        <v>1</v>
      </c>
      <c r="C738" s="17">
        <v>2</v>
      </c>
      <c r="D738" s="43"/>
      <c r="E738" s="12">
        <f t="shared" si="572"/>
        <v>3</v>
      </c>
      <c r="F738" s="16"/>
      <c r="G738" s="17"/>
      <c r="H738" s="43"/>
      <c r="I738" s="12">
        <f t="shared" si="574"/>
        <v>0</v>
      </c>
      <c r="J738" s="12">
        <f t="shared" si="579"/>
        <v>3</v>
      </c>
      <c r="K738" s="90">
        <v>45763</v>
      </c>
      <c r="L738" s="23" t="s">
        <v>377</v>
      </c>
      <c r="M738" s="9">
        <v>15</v>
      </c>
      <c r="N738" s="10">
        <v>25</v>
      </c>
      <c r="O738" s="44">
        <v>32</v>
      </c>
      <c r="P738" s="12">
        <f t="shared" si="576"/>
        <v>72</v>
      </c>
      <c r="Q738" s="9">
        <v>30</v>
      </c>
      <c r="R738" s="10">
        <v>60</v>
      </c>
      <c r="S738" s="44">
        <v>20</v>
      </c>
      <c r="T738" s="12">
        <f t="shared" si="578"/>
        <v>110</v>
      </c>
      <c r="U738" s="12">
        <f t="shared" si="580"/>
        <v>182</v>
      </c>
      <c r="V738" s="89" t="s">
        <v>379</v>
      </c>
    </row>
    <row r="739" spans="1:24" x14ac:dyDescent="0.15">
      <c r="A739" s="23" t="s">
        <v>11</v>
      </c>
      <c r="B739" s="16">
        <v>3</v>
      </c>
      <c r="C739" s="17"/>
      <c r="D739" s="43"/>
      <c r="E739" s="12">
        <f t="shared" si="572"/>
        <v>3</v>
      </c>
      <c r="F739" s="16"/>
      <c r="G739" s="17"/>
      <c r="H739" s="43"/>
      <c r="I739" s="12">
        <f t="shared" si="574"/>
        <v>0</v>
      </c>
      <c r="J739" s="12">
        <f t="shared" si="579"/>
        <v>3</v>
      </c>
      <c r="K739" s="90">
        <v>45764</v>
      </c>
      <c r="L739" s="23" t="s">
        <v>11</v>
      </c>
      <c r="M739" s="9"/>
      <c r="N739" s="10"/>
      <c r="O739" s="44"/>
      <c r="P739" s="12">
        <f t="shared" si="576"/>
        <v>0</v>
      </c>
      <c r="Q739" s="9"/>
      <c r="R739" s="10"/>
      <c r="S739" s="44"/>
      <c r="T739" s="12">
        <f t="shared" si="578"/>
        <v>0</v>
      </c>
      <c r="U739" s="12">
        <f t="shared" si="580"/>
        <v>0</v>
      </c>
    </row>
    <row r="740" spans="1:24" x14ac:dyDescent="0.15">
      <c r="A740" s="23" t="s">
        <v>12</v>
      </c>
      <c r="B740" s="9">
        <v>5</v>
      </c>
      <c r="C740" s="10">
        <v>10</v>
      </c>
      <c r="D740" s="44"/>
      <c r="E740" s="12">
        <f t="shared" si="572"/>
        <v>15</v>
      </c>
      <c r="F740" s="9">
        <v>5</v>
      </c>
      <c r="G740" s="10">
        <v>1</v>
      </c>
      <c r="H740" s="44"/>
      <c r="I740" s="67">
        <f t="shared" si="574"/>
        <v>6</v>
      </c>
      <c r="J740" s="12">
        <f t="shared" si="579"/>
        <v>21</v>
      </c>
      <c r="K740" s="90">
        <v>45778</v>
      </c>
      <c r="L740" s="23" t="s">
        <v>346</v>
      </c>
      <c r="M740" s="9">
        <v>300</v>
      </c>
      <c r="N740" s="10">
        <v>500</v>
      </c>
      <c r="O740" s="44">
        <v>300</v>
      </c>
      <c r="P740" s="12">
        <f t="shared" si="576"/>
        <v>1100</v>
      </c>
      <c r="Q740" s="9">
        <v>300</v>
      </c>
      <c r="R740" s="10">
        <v>500</v>
      </c>
      <c r="S740" s="44">
        <v>300</v>
      </c>
      <c r="T740" s="12">
        <f t="shared" si="578"/>
        <v>1100</v>
      </c>
      <c r="U740" s="12">
        <f t="shared" si="580"/>
        <v>2200</v>
      </c>
      <c r="V740" s="90" t="s">
        <v>396</v>
      </c>
    </row>
    <row r="741" spans="1:24" x14ac:dyDescent="0.15">
      <c r="A741" s="23" t="s">
        <v>13</v>
      </c>
      <c r="B741" s="9">
        <v>5</v>
      </c>
      <c r="C741" s="10"/>
      <c r="D741" s="44"/>
      <c r="E741" s="12">
        <f t="shared" si="572"/>
        <v>5</v>
      </c>
      <c r="F741" s="9">
        <v>3</v>
      </c>
      <c r="G741" s="10"/>
      <c r="H741" s="44">
        <v>3</v>
      </c>
      <c r="I741" s="67">
        <f t="shared" si="574"/>
        <v>6</v>
      </c>
      <c r="J741" s="12">
        <f t="shared" si="579"/>
        <v>11</v>
      </c>
      <c r="K741" s="90">
        <v>45799</v>
      </c>
      <c r="L741" s="23" t="s">
        <v>377</v>
      </c>
      <c r="M741" s="13">
        <v>50</v>
      </c>
      <c r="N741" s="14"/>
      <c r="O741" s="45"/>
      <c r="P741" s="12">
        <f t="shared" ref="P741" si="581">SUM(M741:O741)</f>
        <v>50</v>
      </c>
      <c r="Q741" s="13">
        <v>50</v>
      </c>
      <c r="R741" s="14"/>
      <c r="S741" s="45"/>
      <c r="T741" s="67">
        <f t="shared" ref="T741" si="582">SUM(Q741:S741)</f>
        <v>50</v>
      </c>
      <c r="U741" s="12">
        <f t="shared" ref="U741" si="583">P741+T741</f>
        <v>100</v>
      </c>
      <c r="V741" s="89" t="s">
        <v>380</v>
      </c>
    </row>
    <row r="742" spans="1:24" x14ac:dyDescent="0.15">
      <c r="A742" s="23" t="s">
        <v>88</v>
      </c>
      <c r="B742" s="13"/>
      <c r="C742" s="14"/>
      <c r="D742" s="45">
        <v>2</v>
      </c>
      <c r="E742" s="12">
        <f t="shared" si="572"/>
        <v>2</v>
      </c>
      <c r="F742" s="13"/>
      <c r="G742" s="14"/>
      <c r="H742" s="45">
        <v>2</v>
      </c>
      <c r="I742" s="67">
        <f t="shared" si="574"/>
        <v>2</v>
      </c>
      <c r="J742" s="12">
        <f t="shared" si="579"/>
        <v>4</v>
      </c>
      <c r="K742" s="90">
        <v>45804</v>
      </c>
      <c r="L742" s="23" t="s">
        <v>14</v>
      </c>
      <c r="M742" s="13"/>
      <c r="N742" s="14"/>
      <c r="O742" s="45"/>
      <c r="P742" s="12">
        <f t="shared" si="576"/>
        <v>0</v>
      </c>
      <c r="Q742" s="13"/>
      <c r="R742" s="14"/>
      <c r="S742" s="45"/>
      <c r="T742" s="67">
        <f t="shared" si="578"/>
        <v>0</v>
      </c>
      <c r="U742" s="12">
        <f t="shared" si="580"/>
        <v>0</v>
      </c>
    </row>
    <row r="743" spans="1:24" ht="14.25" thickBot="1" x14ac:dyDescent="0.2">
      <c r="A743" s="23" t="s">
        <v>15</v>
      </c>
      <c r="B743" s="30"/>
      <c r="C743" s="31"/>
      <c r="D743" s="46"/>
      <c r="E743" s="12">
        <f t="shared" si="572"/>
        <v>0</v>
      </c>
      <c r="F743" s="30"/>
      <c r="G743" s="31"/>
      <c r="H743" s="46"/>
      <c r="I743" s="67">
        <f t="shared" si="574"/>
        <v>0</v>
      </c>
      <c r="J743" s="19">
        <f t="shared" si="579"/>
        <v>0</v>
      </c>
      <c r="L743" s="23" t="s">
        <v>15</v>
      </c>
      <c r="M743" s="13"/>
      <c r="N743" s="14"/>
      <c r="O743" s="45"/>
      <c r="P743" s="12">
        <f t="shared" si="576"/>
        <v>0</v>
      </c>
      <c r="Q743" s="13"/>
      <c r="R743" s="14"/>
      <c r="S743" s="45"/>
      <c r="T743" s="67">
        <f t="shared" si="578"/>
        <v>0</v>
      </c>
      <c r="U743" s="12">
        <f t="shared" si="580"/>
        <v>0</v>
      </c>
    </row>
    <row r="744" spans="1:24" ht="14.25" thickBot="1" x14ac:dyDescent="0.2">
      <c r="A744" s="32" t="s">
        <v>16</v>
      </c>
      <c r="B744" s="26">
        <f>SUM(B735:B743)</f>
        <v>20</v>
      </c>
      <c r="C744" s="27">
        <f t="shared" ref="C744:J744" si="584">SUM(C735:C743)</f>
        <v>23</v>
      </c>
      <c r="D744" s="49">
        <f t="shared" si="584"/>
        <v>10</v>
      </c>
      <c r="E744" s="75">
        <f t="shared" si="584"/>
        <v>53</v>
      </c>
      <c r="F744" s="26">
        <f t="shared" si="584"/>
        <v>14</v>
      </c>
      <c r="G744" s="27">
        <f t="shared" si="584"/>
        <v>10</v>
      </c>
      <c r="H744" s="49">
        <f t="shared" si="584"/>
        <v>13</v>
      </c>
      <c r="I744" s="74">
        <f t="shared" si="584"/>
        <v>37</v>
      </c>
      <c r="J744" s="29">
        <f t="shared" si="584"/>
        <v>90</v>
      </c>
      <c r="L744" s="32" t="s">
        <v>16</v>
      </c>
      <c r="M744" s="26">
        <f>SUM(M735:M743)</f>
        <v>977</v>
      </c>
      <c r="N744" s="27">
        <f t="shared" ref="N744:U744" si="585">SUM(N735:N743)</f>
        <v>1034</v>
      </c>
      <c r="O744" s="49">
        <f t="shared" si="585"/>
        <v>729</v>
      </c>
      <c r="P744" s="75">
        <f t="shared" si="585"/>
        <v>2740</v>
      </c>
      <c r="Q744" s="26">
        <f t="shared" si="585"/>
        <v>1061</v>
      </c>
      <c r="R744" s="27">
        <f t="shared" si="585"/>
        <v>1195</v>
      </c>
      <c r="S744" s="49">
        <f t="shared" si="585"/>
        <v>762</v>
      </c>
      <c r="T744" s="74">
        <f t="shared" si="585"/>
        <v>3018</v>
      </c>
      <c r="U744" s="29">
        <f t="shared" si="585"/>
        <v>5758</v>
      </c>
    </row>
    <row r="745" spans="1:24" x14ac:dyDescent="0.15">
      <c r="A745" s="24" t="s">
        <v>392</v>
      </c>
      <c r="B745" s="9">
        <v>4</v>
      </c>
      <c r="C745" s="10">
        <v>2</v>
      </c>
      <c r="D745" s="11"/>
      <c r="E745" s="12">
        <f t="shared" ref="E745" si="586">SUM(B745:D745)</f>
        <v>6</v>
      </c>
      <c r="F745" s="9">
        <v>2</v>
      </c>
      <c r="G745" s="10"/>
      <c r="H745" s="11">
        <v>4</v>
      </c>
      <c r="I745" s="67">
        <f t="shared" ref="I745" si="587">SUM(F745:H745)</f>
        <v>6</v>
      </c>
      <c r="J745" s="12">
        <f t="shared" ref="J745" si="588">E745+I745</f>
        <v>12</v>
      </c>
      <c r="K745" s="90">
        <v>45758</v>
      </c>
      <c r="L745" s="7" t="s">
        <v>381</v>
      </c>
      <c r="M745" s="54">
        <v>25</v>
      </c>
      <c r="N745" s="55">
        <v>25</v>
      </c>
      <c r="O745" s="56">
        <v>25</v>
      </c>
      <c r="P745" s="42">
        <f t="shared" ref="P745:P766" si="589">SUM(M745:O745)</f>
        <v>75</v>
      </c>
      <c r="Q745" s="54">
        <v>25</v>
      </c>
      <c r="R745" s="55">
        <v>25</v>
      </c>
      <c r="S745" s="56">
        <v>25</v>
      </c>
      <c r="T745" s="66">
        <f t="shared" ref="T745:T766" si="590">SUM(Q745:S745)</f>
        <v>75</v>
      </c>
      <c r="U745" s="57">
        <f t="shared" ref="U745:U772" si="591">P745+T745</f>
        <v>150</v>
      </c>
      <c r="V745" s="90">
        <v>45750</v>
      </c>
    </row>
    <row r="746" spans="1:24" x14ac:dyDescent="0.15">
      <c r="A746" s="22" t="s">
        <v>45</v>
      </c>
      <c r="B746" s="16"/>
      <c r="C746" s="17"/>
      <c r="D746" s="18">
        <v>2</v>
      </c>
      <c r="E746" s="12">
        <f t="shared" ref="E746:E770" si="592">SUM(B746:D746)</f>
        <v>2</v>
      </c>
      <c r="F746" s="16"/>
      <c r="G746" s="17"/>
      <c r="H746" s="18"/>
      <c r="I746" s="67">
        <f t="shared" ref="I746:I770" si="593">SUM(F746:H746)</f>
        <v>0</v>
      </c>
      <c r="J746" s="12">
        <f t="shared" ref="J746:J772" si="594">E746+I746</f>
        <v>2</v>
      </c>
      <c r="K746" s="90">
        <v>45761</v>
      </c>
      <c r="L746" s="24" t="s">
        <v>390</v>
      </c>
      <c r="M746" s="16">
        <v>5</v>
      </c>
      <c r="N746" s="17">
        <v>5</v>
      </c>
      <c r="O746" s="18">
        <v>5</v>
      </c>
      <c r="P746" s="12">
        <f t="shared" si="589"/>
        <v>15</v>
      </c>
      <c r="Q746" s="16">
        <v>5</v>
      </c>
      <c r="R746" s="17">
        <v>5</v>
      </c>
      <c r="S746" s="18">
        <v>5</v>
      </c>
      <c r="T746" s="67">
        <f t="shared" si="590"/>
        <v>15</v>
      </c>
      <c r="U746" s="12">
        <f t="shared" si="591"/>
        <v>30</v>
      </c>
      <c r="V746" s="90">
        <v>45758</v>
      </c>
    </row>
    <row r="747" spans="1:24" x14ac:dyDescent="0.15">
      <c r="A747" s="24" t="s">
        <v>394</v>
      </c>
      <c r="B747" s="9">
        <v>2</v>
      </c>
      <c r="C747" s="10"/>
      <c r="D747" s="11"/>
      <c r="E747" s="12">
        <f t="shared" si="592"/>
        <v>2</v>
      </c>
      <c r="F747" s="9"/>
      <c r="G747" s="10">
        <v>2</v>
      </c>
      <c r="H747" s="11"/>
      <c r="I747" s="67">
        <f t="shared" si="593"/>
        <v>2</v>
      </c>
      <c r="J747" s="12">
        <f t="shared" si="594"/>
        <v>4</v>
      </c>
      <c r="K747" s="90">
        <v>45765</v>
      </c>
      <c r="L747" s="7" t="s">
        <v>393</v>
      </c>
      <c r="M747" s="9">
        <v>300</v>
      </c>
      <c r="N747" s="10">
        <v>225</v>
      </c>
      <c r="O747" s="11">
        <v>150</v>
      </c>
      <c r="P747" s="12">
        <f t="shared" ref="P747:P749" si="595">SUM(M747:O747)</f>
        <v>675</v>
      </c>
      <c r="Q747" s="9">
        <v>300</v>
      </c>
      <c r="R747" s="10">
        <v>225</v>
      </c>
      <c r="S747" s="11">
        <v>150</v>
      </c>
      <c r="T747" s="67">
        <f t="shared" ref="T747:T749" si="596">SUM(Q747:S747)</f>
        <v>675</v>
      </c>
      <c r="U747" s="12">
        <f t="shared" ref="U747:U749" si="597">P747+T747</f>
        <v>1350</v>
      </c>
      <c r="V747" s="90">
        <v>45763</v>
      </c>
    </row>
    <row r="748" spans="1:24" x14ac:dyDescent="0.15">
      <c r="A748" s="22" t="s">
        <v>45</v>
      </c>
      <c r="B748" s="9">
        <v>1</v>
      </c>
      <c r="C748" s="10">
        <v>1</v>
      </c>
      <c r="D748" s="11"/>
      <c r="E748" s="12">
        <f t="shared" si="592"/>
        <v>2</v>
      </c>
      <c r="F748" s="9"/>
      <c r="G748" s="10"/>
      <c r="H748" s="11"/>
      <c r="I748" s="67">
        <f t="shared" si="593"/>
        <v>0</v>
      </c>
      <c r="J748" s="12">
        <f t="shared" si="594"/>
        <v>2</v>
      </c>
      <c r="K748" s="90">
        <v>45768</v>
      </c>
      <c r="L748" s="7" t="s">
        <v>395</v>
      </c>
      <c r="M748" s="9">
        <v>125</v>
      </c>
      <c r="N748" s="10">
        <v>175</v>
      </c>
      <c r="O748" s="11">
        <v>100</v>
      </c>
      <c r="P748" s="12">
        <f t="shared" si="595"/>
        <v>400</v>
      </c>
      <c r="Q748" s="9">
        <v>125</v>
      </c>
      <c r="R748" s="10">
        <v>175</v>
      </c>
      <c r="S748" s="11">
        <v>100</v>
      </c>
      <c r="T748" s="67">
        <f t="shared" si="596"/>
        <v>400</v>
      </c>
      <c r="U748" s="12">
        <f t="shared" si="597"/>
        <v>800</v>
      </c>
      <c r="V748" s="90">
        <v>45763</v>
      </c>
    </row>
    <row r="749" spans="1:24" x14ac:dyDescent="0.15">
      <c r="A749" s="22" t="s">
        <v>45</v>
      </c>
      <c r="B749" s="9"/>
      <c r="C749" s="10"/>
      <c r="D749" s="11"/>
      <c r="E749" s="12">
        <f t="shared" si="592"/>
        <v>0</v>
      </c>
      <c r="F749" s="9">
        <v>1</v>
      </c>
      <c r="G749" s="10"/>
      <c r="H749" s="11"/>
      <c r="I749" s="67">
        <f t="shared" si="593"/>
        <v>1</v>
      </c>
      <c r="J749" s="12">
        <f t="shared" si="594"/>
        <v>1</v>
      </c>
      <c r="K749" s="90">
        <v>45772</v>
      </c>
      <c r="L749" s="24" t="s">
        <v>38</v>
      </c>
      <c r="M749" s="9">
        <v>3</v>
      </c>
      <c r="N749" s="10"/>
      <c r="O749" s="11"/>
      <c r="P749" s="12">
        <f t="shared" si="595"/>
        <v>3</v>
      </c>
      <c r="Q749" s="9"/>
      <c r="R749" s="10"/>
      <c r="S749" s="11"/>
      <c r="T749" s="67">
        <f t="shared" si="596"/>
        <v>0</v>
      </c>
      <c r="U749" s="12">
        <f t="shared" si="597"/>
        <v>3</v>
      </c>
      <c r="V749" s="90">
        <v>45764</v>
      </c>
    </row>
    <row r="750" spans="1:24" x14ac:dyDescent="0.15">
      <c r="A750" s="22" t="s">
        <v>45</v>
      </c>
      <c r="B750" s="9"/>
      <c r="C750" s="10"/>
      <c r="D750" s="11"/>
      <c r="E750" s="12">
        <f t="shared" si="592"/>
        <v>0</v>
      </c>
      <c r="F750" s="9"/>
      <c r="G750" s="10">
        <v>1</v>
      </c>
      <c r="H750" s="11"/>
      <c r="I750" s="67">
        <f t="shared" si="593"/>
        <v>1</v>
      </c>
      <c r="J750" s="12">
        <f t="shared" si="594"/>
        <v>1</v>
      </c>
      <c r="K750" s="90">
        <v>45775</v>
      </c>
      <c r="L750" s="7" t="s">
        <v>397</v>
      </c>
      <c r="M750" s="9"/>
      <c r="N750" s="10">
        <v>10</v>
      </c>
      <c r="O750" s="11"/>
      <c r="P750" s="12">
        <f t="shared" si="589"/>
        <v>10</v>
      </c>
      <c r="Q750" s="9"/>
      <c r="R750" s="10">
        <v>10</v>
      </c>
      <c r="S750" s="11"/>
      <c r="T750" s="67">
        <f t="shared" si="590"/>
        <v>10</v>
      </c>
      <c r="U750" s="12">
        <f t="shared" si="591"/>
        <v>20</v>
      </c>
      <c r="V750" s="90">
        <v>45770</v>
      </c>
      <c r="W750" s="50"/>
      <c r="X750" s="50"/>
    </row>
    <row r="751" spans="1:24" x14ac:dyDescent="0.15">
      <c r="A751" s="24" t="s">
        <v>404</v>
      </c>
      <c r="B751" s="9">
        <v>4</v>
      </c>
      <c r="C751" s="10">
        <v>10</v>
      </c>
      <c r="D751" s="11"/>
      <c r="E751" s="12">
        <f t="shared" si="592"/>
        <v>14</v>
      </c>
      <c r="F751" s="9">
        <v>4</v>
      </c>
      <c r="G751" s="10"/>
      <c r="H751" s="11"/>
      <c r="I751" s="67">
        <f t="shared" si="593"/>
        <v>4</v>
      </c>
      <c r="J751" s="12">
        <f t="shared" si="594"/>
        <v>18</v>
      </c>
      <c r="K751" s="90">
        <v>45779</v>
      </c>
      <c r="L751" s="22" t="s">
        <v>398</v>
      </c>
      <c r="M751" s="9">
        <v>40</v>
      </c>
      <c r="N751" s="10">
        <v>80</v>
      </c>
      <c r="O751" s="11">
        <v>60</v>
      </c>
      <c r="P751" s="12">
        <f t="shared" si="589"/>
        <v>180</v>
      </c>
      <c r="Q751" s="9">
        <v>20</v>
      </c>
      <c r="R751" s="10">
        <v>60</v>
      </c>
      <c r="S751" s="11">
        <v>20</v>
      </c>
      <c r="T751" s="67">
        <f t="shared" si="590"/>
        <v>100</v>
      </c>
      <c r="U751" s="12">
        <f t="shared" si="591"/>
        <v>280</v>
      </c>
      <c r="V751" s="90">
        <v>45770</v>
      </c>
      <c r="W751" s="50"/>
      <c r="X751" s="50"/>
    </row>
    <row r="752" spans="1:24" x14ac:dyDescent="0.15">
      <c r="A752" s="24" t="s">
        <v>45</v>
      </c>
      <c r="B752" s="9">
        <v>1</v>
      </c>
      <c r="C752" s="10"/>
      <c r="D752" s="11"/>
      <c r="E752" s="12">
        <f t="shared" si="592"/>
        <v>1</v>
      </c>
      <c r="F752" s="9">
        <v>1</v>
      </c>
      <c r="G752" s="10"/>
      <c r="H752" s="11"/>
      <c r="I752" s="67">
        <f t="shared" si="593"/>
        <v>1</v>
      </c>
      <c r="J752" s="12">
        <f t="shared" si="594"/>
        <v>2</v>
      </c>
      <c r="K752" s="90">
        <v>45778</v>
      </c>
      <c r="L752" s="24" t="s">
        <v>390</v>
      </c>
      <c r="M752" s="9">
        <v>50</v>
      </c>
      <c r="N752" s="10"/>
      <c r="O752" s="11">
        <v>50</v>
      </c>
      <c r="P752" s="12">
        <f t="shared" si="589"/>
        <v>100</v>
      </c>
      <c r="Q752" s="9">
        <v>50</v>
      </c>
      <c r="R752" s="10">
        <v>65</v>
      </c>
      <c r="S752" s="11">
        <v>60</v>
      </c>
      <c r="T752" s="67">
        <f t="shared" si="590"/>
        <v>175</v>
      </c>
      <c r="U752" s="12">
        <f t="shared" si="591"/>
        <v>275</v>
      </c>
      <c r="V752" s="90">
        <v>45772</v>
      </c>
      <c r="W752" s="50"/>
    </row>
    <row r="753" spans="1:23" x14ac:dyDescent="0.15">
      <c r="A753" s="24" t="s">
        <v>45</v>
      </c>
      <c r="B753" s="9"/>
      <c r="C753" s="10">
        <v>1</v>
      </c>
      <c r="D753" s="11"/>
      <c r="E753" s="12">
        <f t="shared" si="592"/>
        <v>1</v>
      </c>
      <c r="F753" s="9"/>
      <c r="G753" s="10"/>
      <c r="H753" s="11"/>
      <c r="I753" s="67">
        <f t="shared" si="593"/>
        <v>0</v>
      </c>
      <c r="J753" s="12">
        <f t="shared" si="594"/>
        <v>1</v>
      </c>
      <c r="K753" s="108">
        <v>45784</v>
      </c>
      <c r="L753" s="24" t="s">
        <v>399</v>
      </c>
      <c r="M753" s="9"/>
      <c r="N753" s="10"/>
      <c r="O753" s="11"/>
      <c r="P753" s="12">
        <f t="shared" si="589"/>
        <v>0</v>
      </c>
      <c r="Q753" s="9">
        <v>2</v>
      </c>
      <c r="R753" s="10">
        <v>10</v>
      </c>
      <c r="S753" s="11"/>
      <c r="T753" s="67">
        <f t="shared" si="590"/>
        <v>12</v>
      </c>
      <c r="U753" s="12">
        <f t="shared" si="591"/>
        <v>12</v>
      </c>
      <c r="V753" s="90">
        <v>45775</v>
      </c>
    </row>
    <row r="754" spans="1:23" x14ac:dyDescent="0.15">
      <c r="A754" s="24" t="s">
        <v>45</v>
      </c>
      <c r="B754" s="13"/>
      <c r="C754" s="14"/>
      <c r="D754" s="15"/>
      <c r="E754" s="12">
        <f t="shared" si="592"/>
        <v>0</v>
      </c>
      <c r="F754" s="13"/>
      <c r="G754" s="14">
        <v>1</v>
      </c>
      <c r="H754" s="15">
        <v>1</v>
      </c>
      <c r="I754" s="67">
        <f t="shared" si="593"/>
        <v>2</v>
      </c>
      <c r="J754" s="12">
        <f t="shared" si="594"/>
        <v>2</v>
      </c>
      <c r="K754" s="108">
        <v>45785</v>
      </c>
      <c r="L754" s="22" t="s">
        <v>400</v>
      </c>
      <c r="M754" s="13">
        <v>60</v>
      </c>
      <c r="N754" s="14">
        <v>50</v>
      </c>
      <c r="O754" s="15">
        <v>15</v>
      </c>
      <c r="P754" s="12">
        <f t="shared" si="589"/>
        <v>125</v>
      </c>
      <c r="Q754" s="13">
        <v>20</v>
      </c>
      <c r="R754" s="14"/>
      <c r="S754" s="15">
        <v>55</v>
      </c>
      <c r="T754" s="67">
        <f t="shared" si="590"/>
        <v>75</v>
      </c>
      <c r="U754" s="12">
        <f t="shared" si="591"/>
        <v>200</v>
      </c>
      <c r="V754" s="90">
        <v>45770</v>
      </c>
    </row>
    <row r="755" spans="1:23" x14ac:dyDescent="0.15">
      <c r="A755" s="24" t="s">
        <v>45</v>
      </c>
      <c r="B755" s="9"/>
      <c r="C755" s="10"/>
      <c r="D755" s="11">
        <v>1</v>
      </c>
      <c r="E755" s="12">
        <f t="shared" si="592"/>
        <v>1</v>
      </c>
      <c r="F755" s="9"/>
      <c r="G755" s="10">
        <v>1</v>
      </c>
      <c r="H755" s="11"/>
      <c r="I755" s="67">
        <f t="shared" si="593"/>
        <v>1</v>
      </c>
      <c r="J755" s="12">
        <f t="shared" si="594"/>
        <v>2</v>
      </c>
      <c r="K755" s="108">
        <v>45789</v>
      </c>
      <c r="L755" s="22" t="s">
        <v>401</v>
      </c>
      <c r="M755" s="9">
        <v>20</v>
      </c>
      <c r="N755" s="10">
        <v>20</v>
      </c>
      <c r="O755" s="11">
        <v>35</v>
      </c>
      <c r="P755" s="12">
        <f t="shared" si="589"/>
        <v>75</v>
      </c>
      <c r="Q755" s="9">
        <v>20</v>
      </c>
      <c r="R755" s="10">
        <v>5</v>
      </c>
      <c r="S755" s="11"/>
      <c r="T755" s="67">
        <f t="shared" si="590"/>
        <v>25</v>
      </c>
      <c r="U755" s="12">
        <f t="shared" si="591"/>
        <v>100</v>
      </c>
      <c r="V755" s="90">
        <v>45771</v>
      </c>
    </row>
    <row r="756" spans="1:23" x14ac:dyDescent="0.15">
      <c r="A756" s="24" t="s">
        <v>45</v>
      </c>
      <c r="B756" s="9"/>
      <c r="C756" s="10"/>
      <c r="D756" s="11"/>
      <c r="E756" s="12">
        <f t="shared" si="592"/>
        <v>0</v>
      </c>
      <c r="F756" s="9"/>
      <c r="G756" s="10">
        <v>1</v>
      </c>
      <c r="H756" s="11"/>
      <c r="I756" s="67">
        <f t="shared" si="593"/>
        <v>1</v>
      </c>
      <c r="J756" s="12">
        <f t="shared" si="594"/>
        <v>1</v>
      </c>
      <c r="K756" s="108">
        <v>45793</v>
      </c>
      <c r="L756" s="22" t="s">
        <v>402</v>
      </c>
      <c r="M756" s="9">
        <v>50</v>
      </c>
      <c r="N756" s="10">
        <v>50</v>
      </c>
      <c r="O756" s="11">
        <v>20</v>
      </c>
      <c r="P756" s="12">
        <f t="shared" si="589"/>
        <v>120</v>
      </c>
      <c r="Q756" s="9">
        <v>40</v>
      </c>
      <c r="R756" s="10">
        <v>30</v>
      </c>
      <c r="S756" s="11">
        <v>20</v>
      </c>
      <c r="T756" s="67">
        <f t="shared" si="590"/>
        <v>90</v>
      </c>
      <c r="U756" s="12">
        <f t="shared" si="591"/>
        <v>210</v>
      </c>
      <c r="V756" s="90">
        <v>45772</v>
      </c>
    </row>
    <row r="757" spans="1:23" x14ac:dyDescent="0.15">
      <c r="A757" s="24" t="s">
        <v>45</v>
      </c>
      <c r="B757" s="9">
        <v>2</v>
      </c>
      <c r="C757" s="10"/>
      <c r="D757" s="11"/>
      <c r="E757" s="12">
        <f t="shared" si="592"/>
        <v>2</v>
      </c>
      <c r="F757" s="9">
        <v>1</v>
      </c>
      <c r="G757" s="10"/>
      <c r="H757" s="11"/>
      <c r="I757" s="67">
        <f t="shared" si="593"/>
        <v>1</v>
      </c>
      <c r="J757" s="12">
        <f t="shared" si="594"/>
        <v>3</v>
      </c>
      <c r="K757" s="108">
        <v>45798</v>
      </c>
      <c r="L757" s="22" t="s">
        <v>408</v>
      </c>
      <c r="M757" s="9">
        <v>3</v>
      </c>
      <c r="N757" s="10">
        <v>3</v>
      </c>
      <c r="O757" s="11">
        <v>3</v>
      </c>
      <c r="P757" s="12">
        <f t="shared" si="589"/>
        <v>9</v>
      </c>
      <c r="Q757" s="9">
        <v>3</v>
      </c>
      <c r="R757" s="10">
        <v>3</v>
      </c>
      <c r="S757" s="11">
        <v>3</v>
      </c>
      <c r="T757" s="67">
        <f t="shared" si="590"/>
        <v>9</v>
      </c>
      <c r="U757" s="12">
        <f t="shared" si="591"/>
        <v>18</v>
      </c>
      <c r="V757" s="90">
        <v>45777</v>
      </c>
    </row>
    <row r="758" spans="1:23" x14ac:dyDescent="0.15">
      <c r="A758" s="24" t="s">
        <v>45</v>
      </c>
      <c r="B758" s="9"/>
      <c r="C758" s="10"/>
      <c r="D758" s="11"/>
      <c r="E758" s="12">
        <f t="shared" si="592"/>
        <v>0</v>
      </c>
      <c r="F758" s="9"/>
      <c r="G758" s="10">
        <v>1</v>
      </c>
      <c r="H758" s="11"/>
      <c r="I758" s="67">
        <f t="shared" si="593"/>
        <v>1</v>
      </c>
      <c r="J758" s="12">
        <f t="shared" si="594"/>
        <v>1</v>
      </c>
      <c r="K758" s="108">
        <v>45803</v>
      </c>
      <c r="L758" s="24" t="s">
        <v>403</v>
      </c>
      <c r="M758" s="9"/>
      <c r="N758" s="10">
        <v>50</v>
      </c>
      <c r="O758" s="11"/>
      <c r="P758" s="12">
        <f t="shared" si="589"/>
        <v>50</v>
      </c>
      <c r="Q758" s="9"/>
      <c r="R758" s="10"/>
      <c r="S758" s="11"/>
      <c r="T758" s="67">
        <f t="shared" si="590"/>
        <v>0</v>
      </c>
      <c r="U758" s="12">
        <f t="shared" si="591"/>
        <v>50</v>
      </c>
      <c r="V758" s="90">
        <v>45776</v>
      </c>
      <c r="W758" s="50"/>
    </row>
    <row r="759" spans="1:23" x14ac:dyDescent="0.15">
      <c r="A759" s="24"/>
      <c r="B759" s="9"/>
      <c r="C759" s="10">
        <v>1</v>
      </c>
      <c r="D759" s="11"/>
      <c r="E759" s="12">
        <f t="shared" si="592"/>
        <v>1</v>
      </c>
      <c r="F759" s="9"/>
      <c r="G759" s="10"/>
      <c r="H759" s="11"/>
      <c r="I759" s="67">
        <f t="shared" si="593"/>
        <v>0</v>
      </c>
      <c r="J759" s="12">
        <f t="shared" si="594"/>
        <v>1</v>
      </c>
      <c r="K759" s="108"/>
      <c r="L759" s="24" t="s">
        <v>405</v>
      </c>
      <c r="M759" s="9">
        <v>5</v>
      </c>
      <c r="N759" s="10">
        <v>10</v>
      </c>
      <c r="O759" s="11"/>
      <c r="P759" s="12">
        <f t="shared" si="589"/>
        <v>15</v>
      </c>
      <c r="Q759" s="9">
        <v>5</v>
      </c>
      <c r="R759" s="10">
        <v>1</v>
      </c>
      <c r="S759" s="11"/>
      <c r="T759" s="67">
        <f t="shared" si="590"/>
        <v>6</v>
      </c>
      <c r="U759" s="12">
        <f t="shared" si="591"/>
        <v>21</v>
      </c>
      <c r="V759" s="90">
        <v>45778</v>
      </c>
      <c r="W759" s="50"/>
    </row>
    <row r="760" spans="1:23" x14ac:dyDescent="0.15">
      <c r="A760" s="22"/>
      <c r="B760" s="9"/>
      <c r="C760" s="10"/>
      <c r="D760" s="11"/>
      <c r="E760" s="12">
        <f t="shared" si="592"/>
        <v>0</v>
      </c>
      <c r="F760" s="9"/>
      <c r="G760" s="10"/>
      <c r="H760" s="11"/>
      <c r="I760" s="67">
        <f t="shared" si="593"/>
        <v>0</v>
      </c>
      <c r="J760" s="12">
        <f t="shared" si="594"/>
        <v>0</v>
      </c>
      <c r="L760" s="22" t="s">
        <v>409</v>
      </c>
      <c r="M760" s="9"/>
      <c r="N760" s="10">
        <v>1</v>
      </c>
      <c r="O760" s="11">
        <v>6</v>
      </c>
      <c r="P760" s="12">
        <f t="shared" si="589"/>
        <v>7</v>
      </c>
      <c r="Q760" s="9"/>
      <c r="R760" s="10">
        <v>1</v>
      </c>
      <c r="S760" s="11">
        <v>6</v>
      </c>
      <c r="T760" s="67">
        <f t="shared" si="590"/>
        <v>7</v>
      </c>
      <c r="U760" s="12">
        <f t="shared" si="591"/>
        <v>14</v>
      </c>
      <c r="V760" s="90">
        <v>45791</v>
      </c>
      <c r="W760" s="50"/>
    </row>
    <row r="761" spans="1:23" x14ac:dyDescent="0.15">
      <c r="A761" s="24"/>
      <c r="B761" s="9"/>
      <c r="C761" s="10"/>
      <c r="D761" s="11"/>
      <c r="E761" s="12">
        <f t="shared" si="592"/>
        <v>0</v>
      </c>
      <c r="F761" s="9"/>
      <c r="G761" s="10"/>
      <c r="H761" s="11"/>
      <c r="I761" s="67">
        <f t="shared" si="593"/>
        <v>0</v>
      </c>
      <c r="J761" s="12">
        <f t="shared" si="594"/>
        <v>0</v>
      </c>
      <c r="L761" s="24" t="s">
        <v>412</v>
      </c>
      <c r="M761" s="9">
        <v>6</v>
      </c>
      <c r="N761" s="10"/>
      <c r="O761" s="11"/>
      <c r="P761" s="12">
        <f t="shared" si="589"/>
        <v>6</v>
      </c>
      <c r="Q761" s="9">
        <v>10</v>
      </c>
      <c r="R761" s="10"/>
      <c r="S761" s="11"/>
      <c r="T761" s="67">
        <f t="shared" si="590"/>
        <v>10</v>
      </c>
      <c r="U761" s="12">
        <f t="shared" si="591"/>
        <v>16</v>
      </c>
      <c r="V761" s="90">
        <v>45796</v>
      </c>
      <c r="W761" s="50"/>
    </row>
    <row r="762" spans="1:23" x14ac:dyDescent="0.15">
      <c r="A762" s="24"/>
      <c r="B762" s="9"/>
      <c r="C762" s="10"/>
      <c r="D762" s="11"/>
      <c r="E762" s="12">
        <f t="shared" si="592"/>
        <v>0</v>
      </c>
      <c r="F762" s="9"/>
      <c r="G762" s="10"/>
      <c r="H762" s="11"/>
      <c r="I762" s="67">
        <f t="shared" si="593"/>
        <v>0</v>
      </c>
      <c r="J762" s="12">
        <f t="shared" si="594"/>
        <v>0</v>
      </c>
      <c r="L762" s="24" t="s">
        <v>413</v>
      </c>
      <c r="M762" s="9"/>
      <c r="N762" s="10"/>
      <c r="O762" s="11"/>
      <c r="P762" s="12">
        <f t="shared" si="589"/>
        <v>0</v>
      </c>
      <c r="Q762" s="9"/>
      <c r="R762" s="10"/>
      <c r="S762" s="11">
        <v>2</v>
      </c>
      <c r="T762" s="67">
        <f t="shared" si="590"/>
        <v>2</v>
      </c>
      <c r="U762" s="12">
        <f t="shared" si="591"/>
        <v>2</v>
      </c>
      <c r="V762" s="90">
        <v>45803</v>
      </c>
      <c r="W762" s="50"/>
    </row>
    <row r="763" spans="1:23" x14ac:dyDescent="0.15">
      <c r="A763" s="21"/>
      <c r="B763" s="9"/>
      <c r="C763" s="10"/>
      <c r="D763" s="11"/>
      <c r="E763" s="12">
        <f t="shared" si="592"/>
        <v>0</v>
      </c>
      <c r="F763" s="9"/>
      <c r="G763" s="10"/>
      <c r="H763" s="11"/>
      <c r="I763" s="67">
        <f t="shared" si="593"/>
        <v>0</v>
      </c>
      <c r="J763" s="12">
        <f t="shared" si="594"/>
        <v>0</v>
      </c>
      <c r="L763" s="21"/>
      <c r="M763" s="9"/>
      <c r="N763" s="10"/>
      <c r="O763" s="11"/>
      <c r="P763" s="12">
        <f t="shared" si="589"/>
        <v>0</v>
      </c>
      <c r="Q763" s="9"/>
      <c r="R763" s="10"/>
      <c r="S763" s="11"/>
      <c r="T763" s="67">
        <f t="shared" si="590"/>
        <v>0</v>
      </c>
      <c r="U763" s="12">
        <f t="shared" si="591"/>
        <v>0</v>
      </c>
      <c r="V763" s="89"/>
      <c r="W763" s="50"/>
    </row>
    <row r="764" spans="1:23" x14ac:dyDescent="0.15">
      <c r="A764" s="21"/>
      <c r="B764" s="9"/>
      <c r="C764" s="10"/>
      <c r="D764" s="11"/>
      <c r="E764" s="12">
        <f t="shared" si="592"/>
        <v>0</v>
      </c>
      <c r="F764" s="9"/>
      <c r="G764" s="10"/>
      <c r="H764" s="11"/>
      <c r="I764" s="67">
        <f t="shared" si="593"/>
        <v>0</v>
      </c>
      <c r="J764" s="12">
        <f t="shared" si="594"/>
        <v>0</v>
      </c>
      <c r="L764" s="21" t="s">
        <v>374</v>
      </c>
      <c r="M764" s="9"/>
      <c r="N764" s="10"/>
      <c r="O764" s="11"/>
      <c r="P764" s="12">
        <f t="shared" si="589"/>
        <v>0</v>
      </c>
      <c r="Q764" s="9"/>
      <c r="R764" s="10"/>
      <c r="S764" s="11"/>
      <c r="T764" s="67">
        <f t="shared" si="590"/>
        <v>0</v>
      </c>
      <c r="U764" s="12">
        <f t="shared" si="591"/>
        <v>0</v>
      </c>
      <c r="V764" s="89" t="s">
        <v>48</v>
      </c>
    </row>
    <row r="765" spans="1:23" x14ac:dyDescent="0.15">
      <c r="A765" s="21"/>
      <c r="B765" s="9"/>
      <c r="C765" s="10"/>
      <c r="D765" s="11"/>
      <c r="E765" s="12">
        <f t="shared" si="592"/>
        <v>0</v>
      </c>
      <c r="F765" s="9"/>
      <c r="G765" s="10"/>
      <c r="H765" s="11"/>
      <c r="I765" s="67">
        <f t="shared" si="593"/>
        <v>0</v>
      </c>
      <c r="J765" s="12">
        <f t="shared" si="594"/>
        <v>0</v>
      </c>
      <c r="L765" s="97" t="s">
        <v>363</v>
      </c>
      <c r="M765" s="98"/>
      <c r="N765" s="99"/>
      <c r="O765" s="100"/>
      <c r="P765" s="101">
        <f t="shared" si="589"/>
        <v>0</v>
      </c>
      <c r="Q765" s="98"/>
      <c r="R765" s="99"/>
      <c r="S765" s="100"/>
      <c r="T765" s="102">
        <f t="shared" si="590"/>
        <v>0</v>
      </c>
      <c r="U765" s="101">
        <f t="shared" si="591"/>
        <v>0</v>
      </c>
      <c r="V765" s="89"/>
    </row>
    <row r="766" spans="1:23" x14ac:dyDescent="0.15">
      <c r="A766" s="24"/>
      <c r="B766" s="13"/>
      <c r="C766" s="14"/>
      <c r="D766" s="15"/>
      <c r="E766" s="12">
        <f t="shared" si="592"/>
        <v>0</v>
      </c>
      <c r="F766" s="13"/>
      <c r="G766" s="14"/>
      <c r="H766" s="15"/>
      <c r="I766" s="67">
        <f t="shared" si="593"/>
        <v>0</v>
      </c>
      <c r="J766" s="12">
        <f t="shared" si="594"/>
        <v>0</v>
      </c>
      <c r="L766" s="22" t="s">
        <v>406</v>
      </c>
      <c r="M766" s="13"/>
      <c r="N766" s="14"/>
      <c r="O766" s="15"/>
      <c r="P766" s="12">
        <f t="shared" si="589"/>
        <v>0</v>
      </c>
      <c r="Q766" s="13"/>
      <c r="R766" s="14"/>
      <c r="S766" s="15"/>
      <c r="T766" s="67">
        <f t="shared" si="590"/>
        <v>0</v>
      </c>
      <c r="U766" s="12">
        <f t="shared" si="591"/>
        <v>0</v>
      </c>
      <c r="V766" s="89" t="s">
        <v>364</v>
      </c>
    </row>
    <row r="767" spans="1:23" x14ac:dyDescent="0.15">
      <c r="A767" s="24"/>
      <c r="B767" s="9"/>
      <c r="C767" s="10"/>
      <c r="D767" s="11"/>
      <c r="E767" s="12">
        <f t="shared" si="592"/>
        <v>0</v>
      </c>
      <c r="F767" s="9"/>
      <c r="G767" s="10"/>
      <c r="H767" s="11"/>
      <c r="I767" s="67">
        <f t="shared" si="593"/>
        <v>0</v>
      </c>
      <c r="J767" s="12">
        <f t="shared" si="594"/>
        <v>0</v>
      </c>
      <c r="L767" s="118" t="s">
        <v>344</v>
      </c>
      <c r="M767" s="144"/>
      <c r="N767" s="145"/>
      <c r="O767" s="146"/>
      <c r="P767" s="101">
        <f t="shared" ref="P767:P768" si="598">SUM(M767:O767)</f>
        <v>0</v>
      </c>
      <c r="Q767" s="144"/>
      <c r="R767" s="145"/>
      <c r="S767" s="146"/>
      <c r="T767" s="102">
        <f t="shared" ref="T767:T768" si="599">SUM(Q767:S767)</f>
        <v>0</v>
      </c>
      <c r="U767" s="101">
        <f t="shared" ref="U767:U768" si="600">P767+T767</f>
        <v>0</v>
      </c>
      <c r="V767" s="89"/>
    </row>
    <row r="768" spans="1:23" x14ac:dyDescent="0.15">
      <c r="A768" s="7"/>
      <c r="B768" s="9"/>
      <c r="C768" s="10"/>
      <c r="D768" s="11"/>
      <c r="E768" s="12">
        <f t="shared" si="592"/>
        <v>0</v>
      </c>
      <c r="F768" s="9"/>
      <c r="G768" s="10"/>
      <c r="H768" s="11"/>
      <c r="I768" s="67">
        <f t="shared" si="593"/>
        <v>0</v>
      </c>
      <c r="J768" s="12">
        <f t="shared" si="594"/>
        <v>0</v>
      </c>
      <c r="L768" s="7" t="s">
        <v>343</v>
      </c>
      <c r="M768" s="13"/>
      <c r="N768" s="14"/>
      <c r="O768" s="15"/>
      <c r="P768" s="12">
        <f t="shared" si="598"/>
        <v>0</v>
      </c>
      <c r="Q768" s="13"/>
      <c r="R768" s="14"/>
      <c r="S768" s="15"/>
      <c r="T768" s="67">
        <f t="shared" si="599"/>
        <v>0</v>
      </c>
      <c r="U768" s="12">
        <f t="shared" si="600"/>
        <v>0</v>
      </c>
      <c r="V768" s="89" t="s">
        <v>345</v>
      </c>
    </row>
    <row r="769" spans="1:22" x14ac:dyDescent="0.15">
      <c r="A769" s="59"/>
      <c r="B769" s="9"/>
      <c r="C769" s="10"/>
      <c r="D769" s="11"/>
      <c r="E769" s="12">
        <f t="shared" si="592"/>
        <v>0</v>
      </c>
      <c r="F769" s="9"/>
      <c r="G769" s="10"/>
      <c r="H769" s="11"/>
      <c r="I769" s="67">
        <f t="shared" si="593"/>
        <v>0</v>
      </c>
      <c r="J769" s="12">
        <f t="shared" si="594"/>
        <v>0</v>
      </c>
      <c r="L769" s="155" t="s">
        <v>342</v>
      </c>
      <c r="M769" s="144"/>
      <c r="N769" s="145"/>
      <c r="O769" s="146"/>
      <c r="P769" s="101">
        <f t="shared" ref="P769:P770" si="601">SUM(M769:O769)</f>
        <v>0</v>
      </c>
      <c r="Q769" s="144"/>
      <c r="R769" s="145"/>
      <c r="S769" s="146"/>
      <c r="T769" s="102">
        <f t="shared" ref="T769:T770" si="602">SUM(Q769:S769)</f>
        <v>0</v>
      </c>
      <c r="U769" s="101">
        <f t="shared" ref="U769:U770" si="603">P769+T769</f>
        <v>0</v>
      </c>
      <c r="V769" s="89"/>
    </row>
    <row r="770" spans="1:22" ht="14.25" thickBot="1" x14ac:dyDescent="0.2">
      <c r="A770" s="59"/>
      <c r="B770" s="9"/>
      <c r="C770" s="10"/>
      <c r="D770" s="11"/>
      <c r="E770" s="12">
        <f t="shared" si="592"/>
        <v>0</v>
      </c>
      <c r="F770" s="9"/>
      <c r="G770" s="10"/>
      <c r="H770" s="11"/>
      <c r="I770" s="67">
        <f t="shared" si="593"/>
        <v>0</v>
      </c>
      <c r="J770" s="12">
        <f t="shared" si="594"/>
        <v>0</v>
      </c>
      <c r="L770" s="24" t="s">
        <v>340</v>
      </c>
      <c r="M770" s="13"/>
      <c r="N770" s="14"/>
      <c r="O770" s="15"/>
      <c r="P770" s="12">
        <f t="shared" si="601"/>
        <v>0</v>
      </c>
      <c r="Q770" s="13"/>
      <c r="R770" s="14"/>
      <c r="S770" s="15"/>
      <c r="T770" s="67">
        <f t="shared" si="602"/>
        <v>0</v>
      </c>
      <c r="U770" s="12">
        <f t="shared" si="603"/>
        <v>0</v>
      </c>
      <c r="V770" s="89" t="s">
        <v>341</v>
      </c>
    </row>
    <row r="771" spans="1:22" ht="14.25" thickBot="1" x14ac:dyDescent="0.2">
      <c r="A771" s="37" t="s">
        <v>17</v>
      </c>
      <c r="B771" s="38">
        <f>SUM(B745:B770)</f>
        <v>14</v>
      </c>
      <c r="C771" s="39">
        <f>SUM(C745:C770)</f>
        <v>15</v>
      </c>
      <c r="D771" s="40">
        <f>SUM(D745:D770)</f>
        <v>3</v>
      </c>
      <c r="E771" s="41">
        <f>SUM(B771:D771)</f>
        <v>32</v>
      </c>
      <c r="F771" s="38">
        <f>SUM(F745:F770)</f>
        <v>9</v>
      </c>
      <c r="G771" s="39">
        <f>SUM(G745:G770)</f>
        <v>7</v>
      </c>
      <c r="H771" s="40">
        <f>SUM(H745:H770)</f>
        <v>5</v>
      </c>
      <c r="I771" s="41">
        <f>SUM(F771:H771)</f>
        <v>21</v>
      </c>
      <c r="J771" s="42">
        <f t="shared" si="594"/>
        <v>53</v>
      </c>
      <c r="L771" s="37" t="s">
        <v>17</v>
      </c>
      <c r="M771" s="38">
        <f>SUM(M745:M770)</f>
        <v>692</v>
      </c>
      <c r="N771" s="39">
        <f>SUM(N745:N770)</f>
        <v>704</v>
      </c>
      <c r="O771" s="40">
        <f>SUM(O745:O770)</f>
        <v>469</v>
      </c>
      <c r="P771" s="41">
        <f>SUM(M771:O771)</f>
        <v>1865</v>
      </c>
      <c r="Q771" s="38">
        <f>SUM(Q745:Q770)</f>
        <v>625</v>
      </c>
      <c r="R771" s="39">
        <f>SUM(R745:R770)</f>
        <v>615</v>
      </c>
      <c r="S771" s="40">
        <f>SUM(S745:S770)</f>
        <v>446</v>
      </c>
      <c r="T771" s="41">
        <f>SUM(Q771:S771)</f>
        <v>1686</v>
      </c>
      <c r="U771" s="42">
        <f t="shared" si="591"/>
        <v>3551</v>
      </c>
    </row>
    <row r="772" spans="1:22" ht="14.25" thickBot="1" x14ac:dyDescent="0.2">
      <c r="A772" s="20" t="s">
        <v>18</v>
      </c>
      <c r="B772" s="63">
        <f>B744-B771</f>
        <v>6</v>
      </c>
      <c r="C772" s="64">
        <f t="shared" ref="C772:E772" si="604">C744-C771</f>
        <v>8</v>
      </c>
      <c r="D772" s="65">
        <f t="shared" si="604"/>
        <v>7</v>
      </c>
      <c r="E772" s="65">
        <f t="shared" si="604"/>
        <v>21</v>
      </c>
      <c r="F772" s="63">
        <f>F744-F771</f>
        <v>5</v>
      </c>
      <c r="G772" s="64">
        <f t="shared" ref="G772:I772" si="605">G744-G771</f>
        <v>3</v>
      </c>
      <c r="H772" s="65">
        <f t="shared" si="605"/>
        <v>8</v>
      </c>
      <c r="I772" s="65">
        <f t="shared" si="605"/>
        <v>16</v>
      </c>
      <c r="J772" s="29">
        <f t="shared" si="594"/>
        <v>37</v>
      </c>
      <c r="L772" s="112" t="s">
        <v>18</v>
      </c>
      <c r="M772" s="63">
        <f>M744-M771</f>
        <v>285</v>
      </c>
      <c r="N772" s="64">
        <f t="shared" ref="N772:P772" si="606">N744-N771</f>
        <v>330</v>
      </c>
      <c r="O772" s="65">
        <f t="shared" si="606"/>
        <v>260</v>
      </c>
      <c r="P772" s="65">
        <f t="shared" si="606"/>
        <v>875</v>
      </c>
      <c r="Q772" s="63">
        <f>Q744-Q771</f>
        <v>436</v>
      </c>
      <c r="R772" s="64">
        <f t="shared" ref="R772:T772" si="607">R744-R771</f>
        <v>580</v>
      </c>
      <c r="S772" s="65">
        <f t="shared" si="607"/>
        <v>316</v>
      </c>
      <c r="T772" s="65">
        <f t="shared" si="607"/>
        <v>1332</v>
      </c>
      <c r="U772" s="29">
        <f t="shared" si="591"/>
        <v>2207</v>
      </c>
    </row>
    <row r="773" spans="1:22" x14ac:dyDescent="0.15">
      <c r="L773" s="139" t="s">
        <v>414</v>
      </c>
      <c r="M773" s="36">
        <v>520</v>
      </c>
      <c r="N773" s="36">
        <v>537</v>
      </c>
      <c r="O773" s="36">
        <v>301</v>
      </c>
      <c r="P773" s="36">
        <f>SUM(M773:O773)</f>
        <v>1358</v>
      </c>
      <c r="Q773" s="36">
        <v>520</v>
      </c>
      <c r="R773" s="36">
        <v>537</v>
      </c>
      <c r="S773" s="36">
        <v>301</v>
      </c>
      <c r="T773" s="36">
        <f>SUM(Q773:S773)</f>
        <v>1358</v>
      </c>
      <c r="U773" s="138">
        <f>P773+T773</f>
        <v>2716</v>
      </c>
    </row>
    <row r="774" spans="1:22" x14ac:dyDescent="0.15">
      <c r="L774" s="139" t="s">
        <v>415</v>
      </c>
      <c r="M774" s="36">
        <v>325</v>
      </c>
      <c r="N774" s="36">
        <v>510</v>
      </c>
      <c r="O774" s="36">
        <v>305</v>
      </c>
      <c r="P774" s="36">
        <f>SUM(M774:O774)</f>
        <v>1140</v>
      </c>
    </row>
    <row r="775" spans="1:22" ht="19.5" thickBot="1" x14ac:dyDescent="0.25">
      <c r="A775" s="3" t="s">
        <v>209</v>
      </c>
      <c r="B775" s="1"/>
      <c r="C775" s="1"/>
      <c r="D775" s="1"/>
      <c r="E775" s="1"/>
      <c r="F775" s="1"/>
      <c r="G775" s="1"/>
      <c r="H775" s="1"/>
      <c r="I775" s="1"/>
      <c r="J775" s="1"/>
      <c r="L775" s="3" t="s">
        <v>208</v>
      </c>
      <c r="M775" s="1"/>
      <c r="N775" s="1"/>
      <c r="O775" s="1"/>
      <c r="P775" s="1"/>
      <c r="Q775" s="1"/>
      <c r="R775" s="1"/>
      <c r="S775" s="1"/>
      <c r="T775" s="1" t="s">
        <v>422</v>
      </c>
      <c r="U775" s="1"/>
    </row>
    <row r="776" spans="1:22" ht="14.25" thickBot="1" x14ac:dyDescent="0.2">
      <c r="A776" s="8" t="s">
        <v>0</v>
      </c>
      <c r="B776" s="227" t="s">
        <v>19</v>
      </c>
      <c r="C776" s="228"/>
      <c r="D776" s="228"/>
      <c r="E776" s="229"/>
      <c r="F776" s="230" t="s">
        <v>20</v>
      </c>
      <c r="G776" s="231"/>
      <c r="H776" s="231"/>
      <c r="I776" s="232"/>
      <c r="J776" s="233" t="s">
        <v>1</v>
      </c>
      <c r="L776" s="8" t="s">
        <v>0</v>
      </c>
      <c r="M776" s="235" t="s">
        <v>19</v>
      </c>
      <c r="N776" s="236"/>
      <c r="O776" s="236"/>
      <c r="P776" s="237"/>
      <c r="Q776" s="238" t="s">
        <v>20</v>
      </c>
      <c r="R776" s="239"/>
      <c r="S776" s="239"/>
      <c r="T776" s="240"/>
      <c r="U776" s="224" t="s">
        <v>1</v>
      </c>
    </row>
    <row r="777" spans="1:22" ht="14.25" thickBot="1" x14ac:dyDescent="0.2">
      <c r="A777" s="8" t="s">
        <v>2</v>
      </c>
      <c r="B777" s="69" t="s">
        <v>3</v>
      </c>
      <c r="C777" s="70" t="s">
        <v>4</v>
      </c>
      <c r="D777" s="71" t="s">
        <v>5</v>
      </c>
      <c r="E777" s="8" t="s">
        <v>6</v>
      </c>
      <c r="F777" s="4" t="s">
        <v>3</v>
      </c>
      <c r="G777" s="5" t="s">
        <v>4</v>
      </c>
      <c r="H777" s="6" t="s">
        <v>5</v>
      </c>
      <c r="I777" s="8" t="s">
        <v>6</v>
      </c>
      <c r="J777" s="234"/>
      <c r="L777" s="8" t="s">
        <v>2</v>
      </c>
      <c r="M777" s="69" t="s">
        <v>3</v>
      </c>
      <c r="N777" s="70" t="s">
        <v>4</v>
      </c>
      <c r="O777" s="71" t="s">
        <v>5</v>
      </c>
      <c r="P777" s="8" t="s">
        <v>6</v>
      </c>
      <c r="Q777" s="4" t="s">
        <v>3</v>
      </c>
      <c r="R777" s="5" t="s">
        <v>4</v>
      </c>
      <c r="S777" s="6" t="s">
        <v>5</v>
      </c>
      <c r="T777" s="8" t="s">
        <v>6</v>
      </c>
      <c r="U777" s="225"/>
    </row>
    <row r="778" spans="1:22" ht="14.25" thickBot="1" x14ac:dyDescent="0.2">
      <c r="A778" s="25" t="s">
        <v>18</v>
      </c>
      <c r="B778" s="26">
        <f>B772</f>
        <v>6</v>
      </c>
      <c r="C778" s="27">
        <f t="shared" ref="C778:D778" si="608">C772</f>
        <v>8</v>
      </c>
      <c r="D778" s="49">
        <f t="shared" si="608"/>
        <v>7</v>
      </c>
      <c r="E778" s="68">
        <f t="shared" ref="E778:E786" si="609">SUM(B778:D778)</f>
        <v>21</v>
      </c>
      <c r="F778" s="26">
        <f>F772</f>
        <v>5</v>
      </c>
      <c r="G778" s="27">
        <f t="shared" ref="G778:H778" si="610">G772</f>
        <v>3</v>
      </c>
      <c r="H778" s="49">
        <f t="shared" si="610"/>
        <v>8</v>
      </c>
      <c r="I778" s="33">
        <f t="shared" ref="I778:I786" si="611">SUM(F778:H778)</f>
        <v>16</v>
      </c>
      <c r="J778" s="33">
        <f>E778+I778</f>
        <v>37</v>
      </c>
      <c r="L778" s="25" t="s">
        <v>18</v>
      </c>
      <c r="M778" s="26">
        <f>M772</f>
        <v>285</v>
      </c>
      <c r="N778" s="27">
        <f t="shared" ref="N778:O778" si="612">N772</f>
        <v>330</v>
      </c>
      <c r="O778" s="49">
        <f t="shared" si="612"/>
        <v>260</v>
      </c>
      <c r="P778" s="107">
        <f t="shared" ref="P778:P786" si="613">SUM(M778:O778)</f>
        <v>875</v>
      </c>
      <c r="Q778" s="26">
        <f>Q772</f>
        <v>436</v>
      </c>
      <c r="R778" s="27">
        <f t="shared" ref="R778:S778" si="614">R772</f>
        <v>580</v>
      </c>
      <c r="S778" s="49">
        <f t="shared" si="614"/>
        <v>316</v>
      </c>
      <c r="T778" s="29">
        <f t="shared" ref="T778:T786" si="615">SUM(Q778:S778)</f>
        <v>1332</v>
      </c>
      <c r="U778" s="29">
        <f>P778+T778</f>
        <v>2207</v>
      </c>
    </row>
    <row r="779" spans="1:22" x14ac:dyDescent="0.15">
      <c r="A779" s="23" t="s">
        <v>100</v>
      </c>
      <c r="B779" s="47"/>
      <c r="C779" s="48">
        <v>3</v>
      </c>
      <c r="D779" s="72">
        <v>1</v>
      </c>
      <c r="E779" s="42">
        <f t="shared" si="609"/>
        <v>4</v>
      </c>
      <c r="F779" s="38"/>
      <c r="G779" s="39">
        <v>1</v>
      </c>
      <c r="H779" s="40"/>
      <c r="I779" s="66">
        <f t="shared" si="611"/>
        <v>1</v>
      </c>
      <c r="J779" s="57">
        <f t="shared" ref="J779:J786" si="616">E779+I779</f>
        <v>5</v>
      </c>
      <c r="K779" s="90">
        <v>45826</v>
      </c>
      <c r="L779" s="23" t="s">
        <v>8</v>
      </c>
      <c r="M779" s="16"/>
      <c r="N779" s="17"/>
      <c r="O779" s="43"/>
      <c r="P779" s="94">
        <f t="shared" ref="P779:P781" si="617">SUM(M779:O779)</f>
        <v>0</v>
      </c>
      <c r="Q779" s="16"/>
      <c r="R779" s="17"/>
      <c r="S779" s="43"/>
      <c r="T779" s="94">
        <f t="shared" ref="T779:T781" si="618">SUM(Q779:S779)</f>
        <v>0</v>
      </c>
      <c r="U779" s="94">
        <f t="shared" ref="U779:U781" si="619">P779+T779</f>
        <v>0</v>
      </c>
    </row>
    <row r="780" spans="1:22" x14ac:dyDescent="0.15">
      <c r="A780" s="23" t="s">
        <v>9</v>
      </c>
      <c r="B780" s="9"/>
      <c r="C780" s="10">
        <v>3</v>
      </c>
      <c r="D780" s="44"/>
      <c r="E780" s="12">
        <f t="shared" si="609"/>
        <v>3</v>
      </c>
      <c r="F780" s="9"/>
      <c r="G780" s="10"/>
      <c r="H780" s="44"/>
      <c r="I780" s="12">
        <f t="shared" si="611"/>
        <v>0</v>
      </c>
      <c r="J780" s="12">
        <f t="shared" si="616"/>
        <v>3</v>
      </c>
      <c r="K780" s="90">
        <v>45869</v>
      </c>
      <c r="L780" s="23" t="s">
        <v>9</v>
      </c>
      <c r="M780" s="9">
        <v>-50</v>
      </c>
      <c r="N780" s="10"/>
      <c r="O780" s="44"/>
      <c r="P780" s="12">
        <f t="shared" si="617"/>
        <v>-50</v>
      </c>
      <c r="Q780" s="9">
        <v>-50</v>
      </c>
      <c r="R780" s="10"/>
      <c r="S780" s="44"/>
      <c r="T780" s="12">
        <f t="shared" si="618"/>
        <v>-50</v>
      </c>
      <c r="U780" s="12">
        <f t="shared" si="619"/>
        <v>-100</v>
      </c>
    </row>
    <row r="781" spans="1:22" x14ac:dyDescent="0.15">
      <c r="A781" s="23" t="s">
        <v>433</v>
      </c>
      <c r="B781" s="16"/>
      <c r="C781" s="17"/>
      <c r="D781" s="43"/>
      <c r="E781" s="12">
        <f t="shared" si="609"/>
        <v>0</v>
      </c>
      <c r="F781" s="16"/>
      <c r="G781" s="17"/>
      <c r="H781" s="43"/>
      <c r="I781" s="12">
        <f t="shared" si="611"/>
        <v>0</v>
      </c>
      <c r="J781" s="12">
        <f t="shared" si="616"/>
        <v>0</v>
      </c>
      <c r="K781" s="90">
        <v>45818</v>
      </c>
      <c r="L781" s="23" t="s">
        <v>347</v>
      </c>
      <c r="M781" s="9">
        <v>400</v>
      </c>
      <c r="N781" s="10">
        <v>400</v>
      </c>
      <c r="O781" s="44">
        <v>200</v>
      </c>
      <c r="P781" s="12">
        <f t="shared" si="617"/>
        <v>1000</v>
      </c>
      <c r="Q781" s="9">
        <v>400</v>
      </c>
      <c r="R781" s="10">
        <v>400</v>
      </c>
      <c r="S781" s="44">
        <v>200</v>
      </c>
      <c r="T781" s="67">
        <f t="shared" si="618"/>
        <v>1000</v>
      </c>
      <c r="U781" s="12">
        <f t="shared" si="619"/>
        <v>2000</v>
      </c>
      <c r="V781" s="90" t="s">
        <v>427</v>
      </c>
    </row>
    <row r="782" spans="1:22" x14ac:dyDescent="0.15">
      <c r="A782" s="23" t="s">
        <v>11</v>
      </c>
      <c r="B782" s="16"/>
      <c r="C782" s="17">
        <v>5</v>
      </c>
      <c r="D782" s="43"/>
      <c r="E782" s="12">
        <f t="shared" si="609"/>
        <v>5</v>
      </c>
      <c r="F782" s="16"/>
      <c r="G782" s="17"/>
      <c r="H782" s="43"/>
      <c r="I782" s="12">
        <f t="shared" si="611"/>
        <v>0</v>
      </c>
      <c r="J782" s="12">
        <f t="shared" si="616"/>
        <v>5</v>
      </c>
      <c r="K782" s="90">
        <v>45820</v>
      </c>
      <c r="L782" s="23" t="s">
        <v>11</v>
      </c>
      <c r="M782" s="9"/>
      <c r="N782" s="10"/>
      <c r="O782" s="44"/>
      <c r="P782" s="12">
        <f t="shared" si="613"/>
        <v>0</v>
      </c>
      <c r="Q782" s="9"/>
      <c r="R782" s="10"/>
      <c r="S782" s="44"/>
      <c r="T782" s="12">
        <f t="shared" si="615"/>
        <v>0</v>
      </c>
      <c r="U782" s="12">
        <f t="shared" ref="U782:U786" si="620">P782+T782</f>
        <v>0</v>
      </c>
    </row>
    <row r="783" spans="1:22" x14ac:dyDescent="0.15">
      <c r="A783" s="23" t="s">
        <v>12</v>
      </c>
      <c r="B783" s="9"/>
      <c r="C783" s="10">
        <v>24</v>
      </c>
      <c r="D783" s="44">
        <v>128</v>
      </c>
      <c r="E783" s="12">
        <f t="shared" si="609"/>
        <v>152</v>
      </c>
      <c r="F783" s="9"/>
      <c r="G783" s="10"/>
      <c r="H783" s="44"/>
      <c r="I783" s="67">
        <f t="shared" si="611"/>
        <v>0</v>
      </c>
      <c r="J783" s="12">
        <f t="shared" si="616"/>
        <v>152</v>
      </c>
      <c r="K783" s="90">
        <v>45825</v>
      </c>
      <c r="L783" s="23" t="s">
        <v>12</v>
      </c>
      <c r="M783" s="9"/>
      <c r="N783" s="10"/>
      <c r="O783" s="44"/>
      <c r="P783" s="12">
        <f t="shared" si="613"/>
        <v>0</v>
      </c>
      <c r="Q783" s="9"/>
      <c r="R783" s="10"/>
      <c r="S783" s="44"/>
      <c r="T783" s="12">
        <f t="shared" si="615"/>
        <v>0</v>
      </c>
      <c r="U783" s="12">
        <f t="shared" si="620"/>
        <v>0</v>
      </c>
    </row>
    <row r="784" spans="1:22" x14ac:dyDescent="0.15">
      <c r="A784" s="23" t="s">
        <v>13</v>
      </c>
      <c r="B784" s="9"/>
      <c r="C784" s="10"/>
      <c r="D784" s="44"/>
      <c r="E784" s="12">
        <f t="shared" si="609"/>
        <v>0</v>
      </c>
      <c r="F784" s="9">
        <v>10</v>
      </c>
      <c r="G784" s="10"/>
      <c r="H784" s="44">
        <v>3</v>
      </c>
      <c r="I784" s="67">
        <f t="shared" si="611"/>
        <v>13</v>
      </c>
      <c r="J784" s="12">
        <f t="shared" si="616"/>
        <v>13</v>
      </c>
      <c r="K784" s="90">
        <v>45841</v>
      </c>
      <c r="L784" s="23" t="s">
        <v>13</v>
      </c>
      <c r="M784" s="9"/>
      <c r="N784" s="10"/>
      <c r="O784" s="44"/>
      <c r="P784" s="12">
        <f t="shared" si="613"/>
        <v>0</v>
      </c>
      <c r="Q784" s="9"/>
      <c r="R784" s="10"/>
      <c r="S784" s="44"/>
      <c r="T784" s="67">
        <f t="shared" si="615"/>
        <v>0</v>
      </c>
      <c r="U784" s="12">
        <f t="shared" si="620"/>
        <v>0</v>
      </c>
    </row>
    <row r="785" spans="1:24" x14ac:dyDescent="0.15">
      <c r="A785" s="23" t="s">
        <v>88</v>
      </c>
      <c r="B785" s="13"/>
      <c r="C785" s="14"/>
      <c r="D785" s="45">
        <v>2</v>
      </c>
      <c r="E785" s="12">
        <f t="shared" si="609"/>
        <v>2</v>
      </c>
      <c r="F785" s="13"/>
      <c r="G785" s="14"/>
      <c r="H785" s="45">
        <v>2</v>
      </c>
      <c r="I785" s="67">
        <f t="shared" si="611"/>
        <v>2</v>
      </c>
      <c r="J785" s="12">
        <f t="shared" si="616"/>
        <v>4</v>
      </c>
      <c r="K785" s="90">
        <v>45845</v>
      </c>
      <c r="L785" s="23" t="s">
        <v>14</v>
      </c>
      <c r="M785" s="13"/>
      <c r="N785" s="14"/>
      <c r="O785" s="45"/>
      <c r="P785" s="12">
        <f t="shared" si="613"/>
        <v>0</v>
      </c>
      <c r="Q785" s="13"/>
      <c r="R785" s="14"/>
      <c r="S785" s="45"/>
      <c r="T785" s="67">
        <f t="shared" si="615"/>
        <v>0</v>
      </c>
      <c r="U785" s="12">
        <f t="shared" si="620"/>
        <v>0</v>
      </c>
    </row>
    <row r="786" spans="1:24" ht="14.25" thickBot="1" x14ac:dyDescent="0.2">
      <c r="A786" s="23" t="s">
        <v>100</v>
      </c>
      <c r="B786" s="30">
        <v>1</v>
      </c>
      <c r="C786" s="31">
        <v>2</v>
      </c>
      <c r="D786" s="46">
        <v>1</v>
      </c>
      <c r="E786" s="12">
        <f t="shared" si="609"/>
        <v>4</v>
      </c>
      <c r="F786" s="30">
        <v>1</v>
      </c>
      <c r="G786" s="31"/>
      <c r="H786" s="46"/>
      <c r="I786" s="67">
        <f t="shared" si="611"/>
        <v>1</v>
      </c>
      <c r="J786" s="19">
        <f t="shared" si="616"/>
        <v>5</v>
      </c>
      <c r="K786" s="90">
        <v>45854</v>
      </c>
      <c r="L786" s="23" t="s">
        <v>15</v>
      </c>
      <c r="M786" s="13"/>
      <c r="N786" s="14"/>
      <c r="O786" s="45"/>
      <c r="P786" s="12">
        <f t="shared" si="613"/>
        <v>0</v>
      </c>
      <c r="Q786" s="13"/>
      <c r="R786" s="14"/>
      <c r="S786" s="45"/>
      <c r="T786" s="67">
        <f t="shared" si="615"/>
        <v>0</v>
      </c>
      <c r="U786" s="12">
        <f t="shared" si="620"/>
        <v>0</v>
      </c>
    </row>
    <row r="787" spans="1:24" ht="14.25" thickBot="1" x14ac:dyDescent="0.2">
      <c r="A787" s="32" t="s">
        <v>16</v>
      </c>
      <c r="B787" s="26">
        <f>SUM(B778:B786)</f>
        <v>7</v>
      </c>
      <c r="C787" s="27">
        <f t="shared" ref="C787:J787" si="621">SUM(C778:C786)</f>
        <v>45</v>
      </c>
      <c r="D787" s="49">
        <f t="shared" si="621"/>
        <v>139</v>
      </c>
      <c r="E787" s="75">
        <f t="shared" si="621"/>
        <v>191</v>
      </c>
      <c r="F787" s="26">
        <f t="shared" si="621"/>
        <v>16</v>
      </c>
      <c r="G787" s="27">
        <f t="shared" si="621"/>
        <v>4</v>
      </c>
      <c r="H787" s="49">
        <f t="shared" si="621"/>
        <v>13</v>
      </c>
      <c r="I787" s="74">
        <f t="shared" si="621"/>
        <v>33</v>
      </c>
      <c r="J787" s="29">
        <f t="shared" si="621"/>
        <v>224</v>
      </c>
      <c r="L787" s="32" t="s">
        <v>16</v>
      </c>
      <c r="M787" s="26">
        <f>SUM(M778:M786)</f>
        <v>635</v>
      </c>
      <c r="N787" s="27">
        <f t="shared" ref="N787:U787" si="622">SUM(N778:N786)</f>
        <v>730</v>
      </c>
      <c r="O787" s="49">
        <f t="shared" si="622"/>
        <v>460</v>
      </c>
      <c r="P787" s="75">
        <f t="shared" si="622"/>
        <v>1825</v>
      </c>
      <c r="Q787" s="26">
        <f t="shared" si="622"/>
        <v>786</v>
      </c>
      <c r="R787" s="27">
        <f t="shared" si="622"/>
        <v>980</v>
      </c>
      <c r="S787" s="49">
        <f t="shared" si="622"/>
        <v>516</v>
      </c>
      <c r="T787" s="74">
        <f t="shared" si="622"/>
        <v>2282</v>
      </c>
      <c r="U787" s="29">
        <f t="shared" si="622"/>
        <v>4107</v>
      </c>
    </row>
    <row r="788" spans="1:24" x14ac:dyDescent="0.15">
      <c r="A788" s="24" t="s">
        <v>45</v>
      </c>
      <c r="B788" s="54">
        <v>1</v>
      </c>
      <c r="C788" s="55"/>
      <c r="D788" s="56"/>
      <c r="E788" s="42">
        <f t="shared" ref="E788:E813" si="623">SUM(B788:D788)</f>
        <v>1</v>
      </c>
      <c r="F788" s="54"/>
      <c r="G788" s="55"/>
      <c r="H788" s="56"/>
      <c r="I788" s="66">
        <f t="shared" ref="I788:I813" si="624">SUM(F788:H788)</f>
        <v>0</v>
      </c>
      <c r="J788" s="57">
        <f t="shared" ref="J788:J815" si="625">E788+I788</f>
        <v>1</v>
      </c>
      <c r="K788" s="108">
        <v>45817</v>
      </c>
      <c r="L788" s="24" t="s">
        <v>38</v>
      </c>
      <c r="M788" s="54">
        <v>5</v>
      </c>
      <c r="N788" s="55"/>
      <c r="O788" s="56"/>
      <c r="P788" s="42">
        <f t="shared" ref="P788" si="626">SUM(M788:O788)</f>
        <v>5</v>
      </c>
      <c r="Q788" s="54">
        <v>3</v>
      </c>
      <c r="R788" s="55"/>
      <c r="S788" s="56">
        <v>3</v>
      </c>
      <c r="T788" s="66">
        <f t="shared" ref="T788" si="627">SUM(Q788:S788)</f>
        <v>6</v>
      </c>
      <c r="U788" s="57">
        <f t="shared" ref="U788" si="628">P788+T788</f>
        <v>11</v>
      </c>
      <c r="V788" s="90">
        <v>45799</v>
      </c>
    </row>
    <row r="789" spans="1:24" x14ac:dyDescent="0.15">
      <c r="A789" s="24" t="s">
        <v>429</v>
      </c>
      <c r="B789" s="9"/>
      <c r="C789" s="10">
        <v>1</v>
      </c>
      <c r="D789" s="18"/>
      <c r="E789" s="12">
        <f t="shared" si="623"/>
        <v>1</v>
      </c>
      <c r="F789" s="16"/>
      <c r="G789" s="17"/>
      <c r="H789" s="18"/>
      <c r="I789" s="67">
        <f t="shared" si="624"/>
        <v>0</v>
      </c>
      <c r="J789" s="12">
        <f t="shared" si="625"/>
        <v>1</v>
      </c>
      <c r="K789" s="108">
        <v>45817</v>
      </c>
      <c r="L789" s="24" t="s">
        <v>421</v>
      </c>
      <c r="M789" s="16">
        <v>6</v>
      </c>
      <c r="N789" s="17">
        <v>2</v>
      </c>
      <c r="O789" s="18">
        <v>2</v>
      </c>
      <c r="P789" s="12">
        <f t="shared" ref="P789:P811" si="629">SUM(M789:O789)</f>
        <v>10</v>
      </c>
      <c r="Q789" s="16">
        <v>6</v>
      </c>
      <c r="R789" s="17"/>
      <c r="S789" s="18">
        <v>2</v>
      </c>
      <c r="T789" s="67">
        <f t="shared" ref="T789:T811" si="630">SUM(Q789:S789)</f>
        <v>8</v>
      </c>
      <c r="U789" s="12">
        <f t="shared" ref="U789:U815" si="631">P789+T789</f>
        <v>18</v>
      </c>
      <c r="V789" s="90">
        <v>45807</v>
      </c>
    </row>
    <row r="790" spans="1:24" x14ac:dyDescent="0.15">
      <c r="A790" s="24" t="s">
        <v>435</v>
      </c>
      <c r="B790" s="9"/>
      <c r="C790" s="10">
        <v>1</v>
      </c>
      <c r="D790" s="11"/>
      <c r="E790" s="12">
        <f t="shared" ref="E790:E791" si="632">SUM(B790:D790)</f>
        <v>1</v>
      </c>
      <c r="F790" s="9"/>
      <c r="G790" s="10"/>
      <c r="H790" s="11"/>
      <c r="I790" s="67">
        <f t="shared" ref="I790:I791" si="633">SUM(F790:H790)</f>
        <v>0</v>
      </c>
      <c r="J790" s="12">
        <f t="shared" ref="J790:J791" si="634">E790+I790</f>
        <v>1</v>
      </c>
      <c r="K790" s="108">
        <v>45821</v>
      </c>
      <c r="L790" s="24" t="s">
        <v>423</v>
      </c>
      <c r="M790" s="9"/>
      <c r="N790" s="10">
        <v>4</v>
      </c>
      <c r="O790" s="11">
        <v>4</v>
      </c>
      <c r="P790" s="12">
        <f t="shared" si="629"/>
        <v>8</v>
      </c>
      <c r="Q790" s="9">
        <v>4</v>
      </c>
      <c r="R790" s="10">
        <v>4</v>
      </c>
      <c r="S790" s="11">
        <v>2</v>
      </c>
      <c r="T790" s="67">
        <f t="shared" si="630"/>
        <v>10</v>
      </c>
      <c r="U790" s="12">
        <f t="shared" si="631"/>
        <v>18</v>
      </c>
      <c r="V790" s="90">
        <v>45814</v>
      </c>
      <c r="W790" s="50"/>
      <c r="X790" s="50"/>
    </row>
    <row r="791" spans="1:24" x14ac:dyDescent="0.15">
      <c r="A791" s="24" t="s">
        <v>435</v>
      </c>
      <c r="B791" s="9"/>
      <c r="C791" s="10"/>
      <c r="D791" s="11">
        <v>1</v>
      </c>
      <c r="E791" s="12">
        <f t="shared" si="632"/>
        <v>1</v>
      </c>
      <c r="F791" s="9"/>
      <c r="G791" s="10"/>
      <c r="H791" s="11"/>
      <c r="I791" s="67">
        <f t="shared" si="633"/>
        <v>0</v>
      </c>
      <c r="J791" s="12">
        <f t="shared" si="634"/>
        <v>1</v>
      </c>
      <c r="K791" s="108">
        <v>45824</v>
      </c>
      <c r="L791" s="24" t="s">
        <v>426</v>
      </c>
      <c r="M791" s="9">
        <v>160</v>
      </c>
      <c r="N791" s="10">
        <v>175</v>
      </c>
      <c r="O791" s="11">
        <v>125</v>
      </c>
      <c r="P791" s="12">
        <f t="shared" si="629"/>
        <v>460</v>
      </c>
      <c r="Q791" s="9">
        <v>160</v>
      </c>
      <c r="R791" s="10">
        <v>175</v>
      </c>
      <c r="S791" s="11">
        <v>125</v>
      </c>
      <c r="T791" s="67">
        <f t="shared" si="630"/>
        <v>460</v>
      </c>
      <c r="U791" s="12">
        <f t="shared" si="631"/>
        <v>920</v>
      </c>
      <c r="V791" s="90">
        <v>45813</v>
      </c>
      <c r="W791" s="50"/>
      <c r="X791" s="50"/>
    </row>
    <row r="792" spans="1:24" x14ac:dyDescent="0.15">
      <c r="A792" s="24" t="s">
        <v>435</v>
      </c>
      <c r="B792" s="9"/>
      <c r="C792" s="10"/>
      <c r="D792" s="11">
        <v>1</v>
      </c>
      <c r="E792" s="12">
        <f t="shared" si="623"/>
        <v>1</v>
      </c>
      <c r="F792" s="9"/>
      <c r="G792" s="10"/>
      <c r="H792" s="11"/>
      <c r="I792" s="67">
        <f t="shared" si="624"/>
        <v>0</v>
      </c>
      <c r="J792" s="12">
        <f t="shared" si="625"/>
        <v>1</v>
      </c>
      <c r="K792" s="108">
        <v>45824</v>
      </c>
      <c r="L792" s="24" t="s">
        <v>428</v>
      </c>
      <c r="M792" s="9">
        <v>118</v>
      </c>
      <c r="N792" s="10">
        <v>89</v>
      </c>
      <c r="O792" s="11">
        <v>52</v>
      </c>
      <c r="P792" s="12">
        <f t="shared" si="629"/>
        <v>259</v>
      </c>
      <c r="Q792" s="9">
        <v>118</v>
      </c>
      <c r="R792" s="10">
        <v>89</v>
      </c>
      <c r="S792" s="11">
        <v>52</v>
      </c>
      <c r="T792" s="67">
        <f t="shared" si="630"/>
        <v>259</v>
      </c>
      <c r="U792" s="12">
        <f t="shared" si="631"/>
        <v>518</v>
      </c>
      <c r="V792" s="90">
        <v>45819</v>
      </c>
      <c r="W792" s="50"/>
      <c r="X792" s="50"/>
    </row>
    <row r="793" spans="1:24" x14ac:dyDescent="0.15">
      <c r="A793" s="24" t="s">
        <v>439</v>
      </c>
      <c r="B793" s="9"/>
      <c r="C793" s="10"/>
      <c r="D793" s="11">
        <v>5</v>
      </c>
      <c r="E793" s="12">
        <f t="shared" ref="E793" si="635">SUM(B793:D793)</f>
        <v>5</v>
      </c>
      <c r="F793" s="9"/>
      <c r="G793" s="10"/>
      <c r="H793" s="11"/>
      <c r="I793" s="67">
        <f t="shared" ref="I793" si="636">SUM(F793:H793)</f>
        <v>0</v>
      </c>
      <c r="J793" s="12">
        <f t="shared" ref="J793" si="637">E793+I793</f>
        <v>5</v>
      </c>
      <c r="K793" s="108">
        <v>45825</v>
      </c>
      <c r="L793" s="24" t="s">
        <v>432</v>
      </c>
      <c r="M793" s="9">
        <v>6</v>
      </c>
      <c r="N793" s="10"/>
      <c r="O793" s="11">
        <v>2</v>
      </c>
      <c r="P793" s="12">
        <f t="shared" si="629"/>
        <v>8</v>
      </c>
      <c r="Q793" s="9">
        <v>6</v>
      </c>
      <c r="R793" s="10">
        <v>2</v>
      </c>
      <c r="S793" s="11">
        <v>2</v>
      </c>
      <c r="T793" s="67">
        <f t="shared" si="630"/>
        <v>10</v>
      </c>
      <c r="U793" s="12">
        <f t="shared" si="631"/>
        <v>18</v>
      </c>
      <c r="V793" s="90">
        <v>45821</v>
      </c>
    </row>
    <row r="794" spans="1:24" x14ac:dyDescent="0.15">
      <c r="A794" s="24" t="s">
        <v>439</v>
      </c>
      <c r="B794" s="9"/>
      <c r="C794" s="10">
        <v>31</v>
      </c>
      <c r="D794" s="11">
        <v>10</v>
      </c>
      <c r="E794" s="12">
        <f t="shared" si="623"/>
        <v>41</v>
      </c>
      <c r="F794" s="9"/>
      <c r="G794" s="10"/>
      <c r="H794" s="11"/>
      <c r="I794" s="67">
        <f t="shared" si="624"/>
        <v>0</v>
      </c>
      <c r="J794" s="12">
        <f t="shared" si="625"/>
        <v>41</v>
      </c>
      <c r="K794" s="108">
        <v>45826</v>
      </c>
      <c r="L794" s="24"/>
      <c r="M794" s="9"/>
      <c r="N794" s="10"/>
      <c r="O794" s="11"/>
      <c r="P794" s="12">
        <f t="shared" si="629"/>
        <v>0</v>
      </c>
      <c r="Q794" s="9"/>
      <c r="R794" s="10"/>
      <c r="S794" s="11"/>
      <c r="T794" s="67">
        <f t="shared" si="630"/>
        <v>0</v>
      </c>
      <c r="U794" s="12">
        <f t="shared" si="631"/>
        <v>0</v>
      </c>
      <c r="V794" s="108">
        <v>45818</v>
      </c>
    </row>
    <row r="795" spans="1:24" x14ac:dyDescent="0.15">
      <c r="A795" s="24" t="s">
        <v>45</v>
      </c>
      <c r="B795" s="9"/>
      <c r="C795" s="10"/>
      <c r="D795" s="11"/>
      <c r="E795" s="12">
        <f t="shared" ref="E795:E805" si="638">SUM(B795:D795)</f>
        <v>0</v>
      </c>
      <c r="F795" s="9">
        <f>1+1</f>
        <v>2</v>
      </c>
      <c r="G795" s="10"/>
      <c r="H795" s="11">
        <v>5</v>
      </c>
      <c r="I795" s="67">
        <f t="shared" ref="I795:I805" si="639">SUM(F795:H795)</f>
        <v>7</v>
      </c>
      <c r="J795" s="12">
        <f t="shared" ref="J795:J805" si="640">E795+I795</f>
        <v>7</v>
      </c>
      <c r="K795" s="108">
        <v>45829</v>
      </c>
      <c r="L795" s="24" t="s">
        <v>434</v>
      </c>
      <c r="M795" s="9"/>
      <c r="N795" s="10">
        <v>5</v>
      </c>
      <c r="O795" s="11"/>
      <c r="P795" s="12">
        <f t="shared" si="629"/>
        <v>5</v>
      </c>
      <c r="Q795" s="9"/>
      <c r="R795" s="10"/>
      <c r="S795" s="11"/>
      <c r="T795" s="67">
        <f t="shared" si="630"/>
        <v>0</v>
      </c>
      <c r="U795" s="12">
        <f t="shared" si="631"/>
        <v>5</v>
      </c>
      <c r="V795" s="90">
        <v>45820</v>
      </c>
    </row>
    <row r="796" spans="1:24" x14ac:dyDescent="0.15">
      <c r="A796" s="24" t="s">
        <v>45</v>
      </c>
      <c r="B796" s="9"/>
      <c r="C796" s="10"/>
      <c r="D796" s="11"/>
      <c r="E796" s="12">
        <f t="shared" si="638"/>
        <v>0</v>
      </c>
      <c r="F796" s="9">
        <v>1</v>
      </c>
      <c r="G796" s="10"/>
      <c r="H796" s="11"/>
      <c r="I796" s="67">
        <f t="shared" si="639"/>
        <v>1</v>
      </c>
      <c r="J796" s="12">
        <f t="shared" si="640"/>
        <v>1</v>
      </c>
      <c r="K796" s="108">
        <v>45833</v>
      </c>
      <c r="L796" s="135" t="s">
        <v>437</v>
      </c>
      <c r="M796" s="158"/>
      <c r="N796" s="159">
        <v>24</v>
      </c>
      <c r="O796" s="160">
        <v>128</v>
      </c>
      <c r="P796" s="80">
        <f t="shared" si="629"/>
        <v>152</v>
      </c>
      <c r="Q796" s="158"/>
      <c r="R796" s="159"/>
      <c r="S796" s="160"/>
      <c r="T796" s="81">
        <f t="shared" si="630"/>
        <v>0</v>
      </c>
      <c r="U796" s="80">
        <f t="shared" si="631"/>
        <v>152</v>
      </c>
      <c r="V796" s="162" t="s">
        <v>436</v>
      </c>
    </row>
    <row r="797" spans="1:24" x14ac:dyDescent="0.15">
      <c r="A797" s="24" t="s">
        <v>45</v>
      </c>
      <c r="B797" s="9"/>
      <c r="C797" s="10"/>
      <c r="D797" s="11"/>
      <c r="E797" s="12">
        <f t="shared" si="638"/>
        <v>0</v>
      </c>
      <c r="F797" s="9">
        <v>5</v>
      </c>
      <c r="G797" s="10"/>
      <c r="H797" s="11"/>
      <c r="I797" s="67">
        <f t="shared" si="639"/>
        <v>5</v>
      </c>
      <c r="J797" s="12">
        <f t="shared" si="640"/>
        <v>5</v>
      </c>
      <c r="K797" s="108">
        <v>45841</v>
      </c>
      <c r="L797" s="24" t="s">
        <v>438</v>
      </c>
      <c r="M797" s="13">
        <v>2</v>
      </c>
      <c r="N797" s="14"/>
      <c r="O797" s="15">
        <v>2</v>
      </c>
      <c r="P797" s="12">
        <f t="shared" si="629"/>
        <v>4</v>
      </c>
      <c r="Q797" s="13"/>
      <c r="R797" s="14">
        <v>4</v>
      </c>
      <c r="S797" s="15">
        <v>2</v>
      </c>
      <c r="T797" s="67">
        <f t="shared" si="630"/>
        <v>6</v>
      </c>
      <c r="U797" s="12">
        <f t="shared" si="631"/>
        <v>10</v>
      </c>
      <c r="V797" s="90">
        <v>45828</v>
      </c>
    </row>
    <row r="798" spans="1:24" x14ac:dyDescent="0.15">
      <c r="A798" s="24" t="s">
        <v>45</v>
      </c>
      <c r="B798" s="13"/>
      <c r="C798" s="14"/>
      <c r="D798" s="15">
        <v>1</v>
      </c>
      <c r="E798" s="12">
        <f t="shared" si="638"/>
        <v>1</v>
      </c>
      <c r="F798" s="13"/>
      <c r="G798" s="14"/>
      <c r="H798" s="15"/>
      <c r="I798" s="67">
        <f t="shared" si="639"/>
        <v>0</v>
      </c>
      <c r="J798" s="12">
        <f t="shared" si="640"/>
        <v>1</v>
      </c>
      <c r="K798" s="108">
        <v>45843</v>
      </c>
      <c r="L798" s="24" t="s">
        <v>442</v>
      </c>
      <c r="M798" s="9">
        <v>4</v>
      </c>
      <c r="N798" s="10">
        <v>6</v>
      </c>
      <c r="O798" s="11">
        <v>4</v>
      </c>
      <c r="P798" s="12">
        <f t="shared" si="629"/>
        <v>14</v>
      </c>
      <c r="Q798" s="9">
        <v>2</v>
      </c>
      <c r="R798" s="10"/>
      <c r="S798" s="11">
        <v>4</v>
      </c>
      <c r="T798" s="67">
        <f t="shared" si="630"/>
        <v>6</v>
      </c>
      <c r="U798" s="12">
        <f t="shared" si="631"/>
        <v>20</v>
      </c>
      <c r="V798" s="90">
        <v>45835</v>
      </c>
      <c r="W798" s="50"/>
      <c r="X798" s="50"/>
    </row>
    <row r="799" spans="1:24" x14ac:dyDescent="0.15">
      <c r="A799" s="24" t="s">
        <v>45</v>
      </c>
      <c r="B799" s="9">
        <v>1</v>
      </c>
      <c r="C799" s="10"/>
      <c r="D799" s="11"/>
      <c r="E799" s="12">
        <f t="shared" si="638"/>
        <v>1</v>
      </c>
      <c r="F799" s="9"/>
      <c r="G799" s="10"/>
      <c r="H799" s="11"/>
      <c r="I799" s="67">
        <f t="shared" si="639"/>
        <v>0</v>
      </c>
      <c r="J799" s="12">
        <f t="shared" si="640"/>
        <v>1</v>
      </c>
      <c r="K799" s="108">
        <v>45845</v>
      </c>
      <c r="L799" s="24" t="s">
        <v>446</v>
      </c>
      <c r="M799" s="9">
        <v>4</v>
      </c>
      <c r="N799" s="10"/>
      <c r="O799" s="11"/>
      <c r="P799" s="12">
        <f t="shared" ref="P799:P800" si="641">SUM(M799:O799)</f>
        <v>4</v>
      </c>
      <c r="Q799" s="9">
        <v>2</v>
      </c>
      <c r="R799" s="10">
        <v>4</v>
      </c>
      <c r="S799" s="11">
        <v>2</v>
      </c>
      <c r="T799" s="67">
        <f t="shared" ref="T799:T800" si="642">SUM(Q799:S799)</f>
        <v>8</v>
      </c>
      <c r="U799" s="12">
        <f t="shared" ref="U799:U800" si="643">P799+T799</f>
        <v>12</v>
      </c>
      <c r="V799" s="90">
        <v>45842</v>
      </c>
      <c r="W799" s="50"/>
      <c r="X799" s="50"/>
    </row>
    <row r="800" spans="1:24" x14ac:dyDescent="0.15">
      <c r="A800" s="24" t="s">
        <v>45</v>
      </c>
      <c r="B800" s="9"/>
      <c r="C800" s="10"/>
      <c r="D800" s="11"/>
      <c r="E800" s="12">
        <f t="shared" si="638"/>
        <v>0</v>
      </c>
      <c r="F800" s="9"/>
      <c r="G800" s="10">
        <v>2</v>
      </c>
      <c r="H800" s="11"/>
      <c r="I800" s="67">
        <f t="shared" si="639"/>
        <v>2</v>
      </c>
      <c r="J800" s="12">
        <f t="shared" si="640"/>
        <v>2</v>
      </c>
      <c r="K800" s="90">
        <v>45849</v>
      </c>
      <c r="L800" s="24" t="s">
        <v>38</v>
      </c>
      <c r="M800" s="9"/>
      <c r="N800" s="10"/>
      <c r="O800" s="11"/>
      <c r="P800" s="12">
        <f t="shared" si="641"/>
        <v>0</v>
      </c>
      <c r="Q800" s="9">
        <v>10</v>
      </c>
      <c r="R800" s="10"/>
      <c r="S800" s="11">
        <v>3</v>
      </c>
      <c r="T800" s="67">
        <f t="shared" si="642"/>
        <v>13</v>
      </c>
      <c r="U800" s="12">
        <f t="shared" si="643"/>
        <v>13</v>
      </c>
      <c r="V800" s="90">
        <v>45841</v>
      </c>
      <c r="W800" s="50"/>
      <c r="X800" s="50"/>
    </row>
    <row r="801" spans="1:23" x14ac:dyDescent="0.15">
      <c r="A801" s="24" t="s">
        <v>45</v>
      </c>
      <c r="B801" s="9"/>
      <c r="C801" s="10">
        <v>1</v>
      </c>
      <c r="D801" s="11"/>
      <c r="E801" s="12">
        <f t="shared" si="638"/>
        <v>1</v>
      </c>
      <c r="F801" s="9"/>
      <c r="G801" s="10"/>
      <c r="H801" s="11"/>
      <c r="I801" s="67">
        <f t="shared" si="639"/>
        <v>0</v>
      </c>
      <c r="J801" s="12">
        <f t="shared" si="640"/>
        <v>1</v>
      </c>
      <c r="K801" s="90">
        <v>45854</v>
      </c>
      <c r="L801" s="24" t="s">
        <v>449</v>
      </c>
      <c r="M801" s="9">
        <v>2</v>
      </c>
      <c r="N801" s="10">
        <v>2</v>
      </c>
      <c r="O801" s="11"/>
      <c r="P801" s="12">
        <f t="shared" si="629"/>
        <v>4</v>
      </c>
      <c r="Q801" s="9"/>
      <c r="R801" s="10"/>
      <c r="S801" s="11">
        <v>2</v>
      </c>
      <c r="T801" s="67">
        <f t="shared" si="630"/>
        <v>2</v>
      </c>
      <c r="U801" s="12">
        <f t="shared" si="631"/>
        <v>6</v>
      </c>
      <c r="V801" s="90">
        <v>45849</v>
      </c>
    </row>
    <row r="802" spans="1:23" x14ac:dyDescent="0.15">
      <c r="A802" s="24" t="s">
        <v>456</v>
      </c>
      <c r="B802" s="9"/>
      <c r="C802" s="10">
        <v>1</v>
      </c>
      <c r="D802" s="11"/>
      <c r="E802" s="12">
        <f t="shared" si="638"/>
        <v>1</v>
      </c>
      <c r="F802" s="9"/>
      <c r="G802" s="10">
        <v>1</v>
      </c>
      <c r="H802" s="11"/>
      <c r="I802" s="67">
        <f t="shared" si="639"/>
        <v>1</v>
      </c>
      <c r="J802" s="12">
        <f t="shared" si="640"/>
        <v>2</v>
      </c>
      <c r="K802" s="90">
        <v>45862</v>
      </c>
      <c r="L802" s="24" t="s">
        <v>450</v>
      </c>
      <c r="M802" s="9">
        <v>10</v>
      </c>
      <c r="N802" s="10">
        <v>10</v>
      </c>
      <c r="O802" s="11">
        <v>10</v>
      </c>
      <c r="P802" s="12">
        <f t="shared" si="629"/>
        <v>30</v>
      </c>
      <c r="Q802" s="9">
        <v>10</v>
      </c>
      <c r="R802" s="10">
        <v>10</v>
      </c>
      <c r="S802" s="11">
        <v>10</v>
      </c>
      <c r="T802" s="67">
        <f t="shared" si="630"/>
        <v>30</v>
      </c>
      <c r="U802" s="12">
        <f t="shared" si="631"/>
        <v>60</v>
      </c>
      <c r="V802" s="90">
        <v>45848</v>
      </c>
    </row>
    <row r="803" spans="1:23" x14ac:dyDescent="0.15">
      <c r="A803" s="24" t="s">
        <v>458</v>
      </c>
      <c r="B803" s="9"/>
      <c r="C803" s="10"/>
      <c r="D803" s="11"/>
      <c r="E803" s="12">
        <f t="shared" si="638"/>
        <v>0</v>
      </c>
      <c r="F803" s="9"/>
      <c r="G803" s="10">
        <v>-5</v>
      </c>
      <c r="H803" s="11"/>
      <c r="I803" s="67">
        <f t="shared" si="639"/>
        <v>-5</v>
      </c>
      <c r="J803" s="12">
        <f t="shared" si="640"/>
        <v>-5</v>
      </c>
      <c r="K803" s="90">
        <v>45861</v>
      </c>
      <c r="L803" s="22" t="s">
        <v>451</v>
      </c>
      <c r="M803" s="9">
        <v>10</v>
      </c>
      <c r="N803" s="10">
        <v>10</v>
      </c>
      <c r="O803" s="11">
        <v>10</v>
      </c>
      <c r="P803" s="12">
        <f t="shared" si="629"/>
        <v>30</v>
      </c>
      <c r="Q803" s="9">
        <v>10</v>
      </c>
      <c r="R803" s="10">
        <v>10</v>
      </c>
      <c r="S803" s="11">
        <v>10</v>
      </c>
      <c r="T803" s="67">
        <f t="shared" si="630"/>
        <v>30</v>
      </c>
      <c r="U803" s="12">
        <f t="shared" si="631"/>
        <v>60</v>
      </c>
      <c r="V803" s="90">
        <v>45855</v>
      </c>
    </row>
    <row r="804" spans="1:23" x14ac:dyDescent="0.15">
      <c r="A804" s="24" t="s">
        <v>45</v>
      </c>
      <c r="B804" s="9"/>
      <c r="C804" s="10"/>
      <c r="D804" s="11"/>
      <c r="E804" s="12">
        <f t="shared" si="638"/>
        <v>0</v>
      </c>
      <c r="F804" s="9"/>
      <c r="G804" s="10">
        <v>1</v>
      </c>
      <c r="H804" s="11"/>
      <c r="I804" s="67">
        <f t="shared" si="639"/>
        <v>1</v>
      </c>
      <c r="J804" s="12">
        <f t="shared" si="640"/>
        <v>1</v>
      </c>
      <c r="K804" s="90">
        <v>45860</v>
      </c>
      <c r="L804" s="24" t="s">
        <v>452</v>
      </c>
      <c r="M804" s="9">
        <v>6</v>
      </c>
      <c r="N804" s="10">
        <v>2</v>
      </c>
      <c r="O804" s="11"/>
      <c r="P804" s="12">
        <f t="shared" si="629"/>
        <v>8</v>
      </c>
      <c r="Q804" s="9">
        <v>6</v>
      </c>
      <c r="R804" s="10"/>
      <c r="S804" s="11"/>
      <c r="T804" s="67">
        <f t="shared" si="630"/>
        <v>6</v>
      </c>
      <c r="U804" s="12">
        <f t="shared" si="631"/>
        <v>14</v>
      </c>
      <c r="V804" s="90">
        <v>45856</v>
      </c>
    </row>
    <row r="805" spans="1:23" x14ac:dyDescent="0.15">
      <c r="A805" s="24" t="s">
        <v>456</v>
      </c>
      <c r="B805" s="9"/>
      <c r="C805" s="10"/>
      <c r="D805" s="11">
        <v>1</v>
      </c>
      <c r="E805" s="12">
        <f t="shared" si="638"/>
        <v>1</v>
      </c>
      <c r="F805" s="9"/>
      <c r="G805" s="10"/>
      <c r="H805" s="11">
        <v>1</v>
      </c>
      <c r="I805" s="67">
        <f t="shared" si="639"/>
        <v>1</v>
      </c>
      <c r="J805" s="12">
        <f t="shared" si="640"/>
        <v>2</v>
      </c>
      <c r="K805" s="90">
        <v>45866</v>
      </c>
      <c r="L805" s="24" t="s">
        <v>457</v>
      </c>
      <c r="M805" s="9">
        <v>5</v>
      </c>
      <c r="N805" s="10">
        <v>10</v>
      </c>
      <c r="O805" s="11">
        <v>5</v>
      </c>
      <c r="P805" s="12">
        <f t="shared" si="629"/>
        <v>20</v>
      </c>
      <c r="Q805" s="9">
        <v>5</v>
      </c>
      <c r="R805" s="10">
        <v>10</v>
      </c>
      <c r="S805" s="11">
        <v>5</v>
      </c>
      <c r="T805" s="67">
        <f t="shared" si="630"/>
        <v>20</v>
      </c>
      <c r="U805" s="12">
        <f t="shared" si="631"/>
        <v>40</v>
      </c>
      <c r="V805" s="90">
        <v>45862</v>
      </c>
      <c r="W805" s="50"/>
    </row>
    <row r="806" spans="1:23" x14ac:dyDescent="0.15">
      <c r="A806" s="24" t="s">
        <v>439</v>
      </c>
      <c r="B806" s="9"/>
      <c r="C806" s="10">
        <v>4</v>
      </c>
      <c r="D806" s="11">
        <v>115</v>
      </c>
      <c r="E806" s="12">
        <f t="shared" si="623"/>
        <v>119</v>
      </c>
      <c r="F806" s="9"/>
      <c r="G806" s="10"/>
      <c r="H806" s="11"/>
      <c r="I806" s="67">
        <f t="shared" si="624"/>
        <v>0</v>
      </c>
      <c r="J806" s="12">
        <f t="shared" si="625"/>
        <v>119</v>
      </c>
      <c r="K806" s="108">
        <v>45867</v>
      </c>
      <c r="L806" s="24" t="s">
        <v>38</v>
      </c>
      <c r="M806" s="9"/>
      <c r="N806" s="10"/>
      <c r="O806" s="11"/>
      <c r="P806" s="12">
        <f t="shared" si="629"/>
        <v>0</v>
      </c>
      <c r="Q806" s="9"/>
      <c r="R806" s="10">
        <v>5</v>
      </c>
      <c r="S806" s="11"/>
      <c r="T806" s="67">
        <f t="shared" si="630"/>
        <v>5</v>
      </c>
      <c r="U806" s="12">
        <f t="shared" si="631"/>
        <v>5</v>
      </c>
      <c r="V806" s="90">
        <v>45861</v>
      </c>
    </row>
    <row r="807" spans="1:23" x14ac:dyDescent="0.15">
      <c r="A807" s="24" t="s">
        <v>45</v>
      </c>
      <c r="B807" s="9"/>
      <c r="C807" s="10">
        <v>2</v>
      </c>
      <c r="D807" s="11"/>
      <c r="E807" s="12">
        <f t="shared" si="623"/>
        <v>2</v>
      </c>
      <c r="F807" s="9"/>
      <c r="G807" s="10"/>
      <c r="H807" s="11">
        <v>1</v>
      </c>
      <c r="I807" s="67">
        <f t="shared" si="624"/>
        <v>1</v>
      </c>
      <c r="J807" s="12">
        <f t="shared" si="625"/>
        <v>3</v>
      </c>
      <c r="K807" s="108">
        <v>45868</v>
      </c>
      <c r="L807" s="24" t="s">
        <v>452</v>
      </c>
      <c r="M807" s="9">
        <v>4</v>
      </c>
      <c r="N807" s="10">
        <v>4</v>
      </c>
      <c r="O807" s="11"/>
      <c r="P807" s="12">
        <f t="shared" si="629"/>
        <v>8</v>
      </c>
      <c r="Q807" s="9">
        <v>2</v>
      </c>
      <c r="R807" s="10">
        <v>2</v>
      </c>
      <c r="S807" s="11">
        <v>2</v>
      </c>
      <c r="T807" s="67">
        <f t="shared" si="630"/>
        <v>6</v>
      </c>
      <c r="U807" s="12">
        <f t="shared" si="631"/>
        <v>14</v>
      </c>
      <c r="V807" s="90">
        <v>45866</v>
      </c>
    </row>
    <row r="808" spans="1:23" x14ac:dyDescent="0.15">
      <c r="A808" s="24" t="s">
        <v>456</v>
      </c>
      <c r="B808" s="9"/>
      <c r="C808" s="10"/>
      <c r="D808" s="11">
        <v>1</v>
      </c>
      <c r="E808" s="12">
        <f t="shared" si="623"/>
        <v>1</v>
      </c>
      <c r="F808" s="9"/>
      <c r="G808" s="10"/>
      <c r="H808" s="11">
        <v>1</v>
      </c>
      <c r="I808" s="67">
        <f t="shared" si="624"/>
        <v>1</v>
      </c>
      <c r="J808" s="12">
        <f t="shared" si="625"/>
        <v>2</v>
      </c>
      <c r="K808" s="108">
        <v>45870</v>
      </c>
      <c r="L808" s="24" t="s">
        <v>38</v>
      </c>
      <c r="M808" s="9"/>
      <c r="N808" s="10">
        <v>3</v>
      </c>
      <c r="O808" s="11"/>
      <c r="P808" s="12">
        <f t="shared" si="629"/>
        <v>3</v>
      </c>
      <c r="Q808" s="9"/>
      <c r="R808" s="10"/>
      <c r="S808" s="11"/>
      <c r="T808" s="67">
        <f t="shared" si="630"/>
        <v>0</v>
      </c>
      <c r="U808" s="12">
        <f t="shared" si="631"/>
        <v>3</v>
      </c>
      <c r="V808" s="90">
        <v>45869</v>
      </c>
    </row>
    <row r="809" spans="1:23" x14ac:dyDescent="0.15">
      <c r="A809" s="24" t="s">
        <v>45</v>
      </c>
      <c r="B809" s="13"/>
      <c r="C809" s="14">
        <v>1</v>
      </c>
      <c r="D809" s="15"/>
      <c r="E809" s="12">
        <f t="shared" si="623"/>
        <v>1</v>
      </c>
      <c r="F809" s="13"/>
      <c r="G809" s="14"/>
      <c r="H809" s="15"/>
      <c r="I809" s="67">
        <f t="shared" si="624"/>
        <v>0</v>
      </c>
      <c r="J809" s="12">
        <f t="shared" si="625"/>
        <v>1</v>
      </c>
      <c r="K809" s="108">
        <v>45870</v>
      </c>
      <c r="L809" s="24"/>
      <c r="M809" s="13"/>
      <c r="N809" s="14"/>
      <c r="O809" s="15"/>
      <c r="P809" s="12">
        <f t="shared" si="629"/>
        <v>0</v>
      </c>
      <c r="Q809" s="13"/>
      <c r="R809" s="14"/>
      <c r="S809" s="15"/>
      <c r="T809" s="67">
        <f t="shared" si="630"/>
        <v>0</v>
      </c>
      <c r="U809" s="12">
        <f t="shared" si="631"/>
        <v>0</v>
      </c>
    </row>
    <row r="810" spans="1:23" x14ac:dyDescent="0.15">
      <c r="A810" s="24"/>
      <c r="B810" s="9"/>
      <c r="C810" s="10"/>
      <c r="D810" s="11"/>
      <c r="E810" s="12">
        <f t="shared" si="623"/>
        <v>0</v>
      </c>
      <c r="F810" s="9"/>
      <c r="G810" s="10"/>
      <c r="H810" s="11"/>
      <c r="I810" s="67">
        <f t="shared" si="624"/>
        <v>0</v>
      </c>
      <c r="J810" s="12">
        <f t="shared" si="625"/>
        <v>0</v>
      </c>
      <c r="L810" s="24"/>
      <c r="M810" s="13"/>
      <c r="N810" s="14"/>
      <c r="O810" s="15"/>
      <c r="P810" s="12">
        <f t="shared" si="629"/>
        <v>0</v>
      </c>
      <c r="Q810" s="13"/>
      <c r="R810" s="14"/>
      <c r="S810" s="15"/>
      <c r="T810" s="67">
        <f t="shared" si="630"/>
        <v>0</v>
      </c>
      <c r="U810" s="12">
        <f t="shared" si="631"/>
        <v>0</v>
      </c>
    </row>
    <row r="811" spans="1:23" x14ac:dyDescent="0.15">
      <c r="A811" s="7"/>
      <c r="B811" s="9"/>
      <c r="C811" s="10"/>
      <c r="D811" s="11"/>
      <c r="E811" s="12">
        <f t="shared" si="623"/>
        <v>0</v>
      </c>
      <c r="F811" s="9"/>
      <c r="G811" s="10"/>
      <c r="H811" s="11"/>
      <c r="I811" s="67">
        <f t="shared" si="624"/>
        <v>0</v>
      </c>
      <c r="J811" s="12">
        <f t="shared" si="625"/>
        <v>0</v>
      </c>
      <c r="L811" s="24"/>
      <c r="M811" s="13"/>
      <c r="N811" s="14"/>
      <c r="O811" s="15"/>
      <c r="P811" s="12">
        <f t="shared" si="629"/>
        <v>0</v>
      </c>
      <c r="Q811" s="13"/>
      <c r="R811" s="14"/>
      <c r="S811" s="15"/>
      <c r="T811" s="67">
        <f t="shared" si="630"/>
        <v>0</v>
      </c>
      <c r="U811" s="12">
        <f t="shared" si="631"/>
        <v>0</v>
      </c>
    </row>
    <row r="812" spans="1:23" x14ac:dyDescent="0.15">
      <c r="A812" s="59"/>
      <c r="B812" s="9"/>
      <c r="C812" s="10"/>
      <c r="D812" s="11"/>
      <c r="E812" s="12">
        <f t="shared" si="623"/>
        <v>0</v>
      </c>
      <c r="F812" s="9"/>
      <c r="G812" s="10"/>
      <c r="H812" s="11"/>
      <c r="I812" s="67">
        <f t="shared" si="624"/>
        <v>0</v>
      </c>
      <c r="J812" s="12">
        <f t="shared" si="625"/>
        <v>0</v>
      </c>
      <c r="L812" s="155" t="s">
        <v>358</v>
      </c>
      <c r="M812" s="144"/>
      <c r="N812" s="145"/>
      <c r="O812" s="146"/>
      <c r="P812" s="101">
        <f t="shared" ref="P812:P813" si="644">SUM(M812:O812)</f>
        <v>0</v>
      </c>
      <c r="Q812" s="144"/>
      <c r="R812" s="145"/>
      <c r="S812" s="146"/>
      <c r="T812" s="102">
        <f t="shared" ref="T812:T813" si="645">SUM(Q812:S812)</f>
        <v>0</v>
      </c>
      <c r="U812" s="101">
        <f t="shared" ref="U812:U813" si="646">P812+T812</f>
        <v>0</v>
      </c>
      <c r="V812" s="89"/>
    </row>
    <row r="813" spans="1:23" ht="14.25" thickBot="1" x14ac:dyDescent="0.2">
      <c r="A813" s="59"/>
      <c r="B813" s="9"/>
      <c r="C813" s="10"/>
      <c r="D813" s="11"/>
      <c r="E813" s="12">
        <f t="shared" si="623"/>
        <v>0</v>
      </c>
      <c r="F813" s="9"/>
      <c r="G813" s="10"/>
      <c r="H813" s="11"/>
      <c r="I813" s="67">
        <f t="shared" si="624"/>
        <v>0</v>
      </c>
      <c r="J813" s="12">
        <f t="shared" si="625"/>
        <v>0</v>
      </c>
      <c r="L813" s="24" t="s">
        <v>357</v>
      </c>
      <c r="M813" s="13"/>
      <c r="N813" s="14"/>
      <c r="O813" s="15"/>
      <c r="P813" s="12">
        <f t="shared" si="644"/>
        <v>0</v>
      </c>
      <c r="Q813" s="13"/>
      <c r="R813" s="14"/>
      <c r="S813" s="15"/>
      <c r="T813" s="67">
        <f t="shared" si="645"/>
        <v>0</v>
      </c>
      <c r="U813" s="12">
        <f t="shared" si="646"/>
        <v>0</v>
      </c>
      <c r="V813" s="89" t="s">
        <v>356</v>
      </c>
    </row>
    <row r="814" spans="1:23" ht="14.25" thickBot="1" x14ac:dyDescent="0.2">
      <c r="A814" s="37" t="s">
        <v>17</v>
      </c>
      <c r="B814" s="38">
        <f>SUM(B788:B813)</f>
        <v>2</v>
      </c>
      <c r="C814" s="39">
        <f>SUM(C788:C813)</f>
        <v>42</v>
      </c>
      <c r="D814" s="40">
        <f>SUM(D788:D813)</f>
        <v>135</v>
      </c>
      <c r="E814" s="41">
        <f>SUM(B814:D814)</f>
        <v>179</v>
      </c>
      <c r="F814" s="38">
        <f>SUM(F788:F813)</f>
        <v>8</v>
      </c>
      <c r="G814" s="39">
        <f>SUM(G788:G813)</f>
        <v>-1</v>
      </c>
      <c r="H814" s="40">
        <f>SUM(H788:H813)</f>
        <v>8</v>
      </c>
      <c r="I814" s="41">
        <f>SUM(F814:H814)</f>
        <v>15</v>
      </c>
      <c r="J814" s="42">
        <f t="shared" si="625"/>
        <v>194</v>
      </c>
      <c r="L814" s="37" t="s">
        <v>17</v>
      </c>
      <c r="M814" s="38">
        <f>SUM(M788:M813)</f>
        <v>342</v>
      </c>
      <c r="N814" s="39">
        <f>SUM(N788:N813)</f>
        <v>346</v>
      </c>
      <c r="O814" s="40">
        <f>SUM(O788:O813)</f>
        <v>344</v>
      </c>
      <c r="P814" s="41">
        <f>SUM(M814:O814)</f>
        <v>1032</v>
      </c>
      <c r="Q814" s="38">
        <f>SUM(Q788:Q813)</f>
        <v>344</v>
      </c>
      <c r="R814" s="39">
        <f>SUM(R788:R813)</f>
        <v>315</v>
      </c>
      <c r="S814" s="40">
        <f>SUM(S788:S813)</f>
        <v>226</v>
      </c>
      <c r="T814" s="41">
        <f>SUM(Q814:S814)</f>
        <v>885</v>
      </c>
      <c r="U814" s="42">
        <f t="shared" si="631"/>
        <v>1917</v>
      </c>
    </row>
    <row r="815" spans="1:23" ht="14.25" thickBot="1" x14ac:dyDescent="0.2">
      <c r="A815" s="20" t="s">
        <v>18</v>
      </c>
      <c r="B815" s="63">
        <f>B787-B814</f>
        <v>5</v>
      </c>
      <c r="C815" s="64">
        <f t="shared" ref="C815:E815" si="647">C787-C814</f>
        <v>3</v>
      </c>
      <c r="D815" s="65">
        <f t="shared" si="647"/>
        <v>4</v>
      </c>
      <c r="E815" s="65">
        <f t="shared" si="647"/>
        <v>12</v>
      </c>
      <c r="F815" s="63">
        <f>F787-F814</f>
        <v>8</v>
      </c>
      <c r="G815" s="64">
        <f t="shared" ref="G815:I815" si="648">G787-G814</f>
        <v>5</v>
      </c>
      <c r="H815" s="65">
        <f t="shared" si="648"/>
        <v>5</v>
      </c>
      <c r="I815" s="65">
        <f t="shared" si="648"/>
        <v>18</v>
      </c>
      <c r="J815" s="29">
        <f t="shared" si="625"/>
        <v>30</v>
      </c>
      <c r="L815" s="112" t="s">
        <v>18</v>
      </c>
      <c r="M815" s="63">
        <f>M787-M814</f>
        <v>293</v>
      </c>
      <c r="N815" s="64">
        <f t="shared" ref="N815:P815" si="649">N787-N814</f>
        <v>384</v>
      </c>
      <c r="O815" s="65">
        <f t="shared" si="649"/>
        <v>116</v>
      </c>
      <c r="P815" s="65">
        <f t="shared" si="649"/>
        <v>793</v>
      </c>
      <c r="Q815" s="63">
        <f>Q787-Q814</f>
        <v>442</v>
      </c>
      <c r="R815" s="64">
        <f t="shared" ref="R815:T815" si="650">R787-R814</f>
        <v>665</v>
      </c>
      <c r="S815" s="65">
        <f t="shared" si="650"/>
        <v>290</v>
      </c>
      <c r="T815" s="65">
        <f t="shared" si="650"/>
        <v>1397</v>
      </c>
      <c r="U815" s="29">
        <f t="shared" si="631"/>
        <v>2190</v>
      </c>
    </row>
    <row r="816" spans="1:23" x14ac:dyDescent="0.15">
      <c r="L816" s="140" t="s">
        <v>359</v>
      </c>
      <c r="M816" s="36">
        <v>395</v>
      </c>
      <c r="N816" s="36">
        <v>357</v>
      </c>
      <c r="O816" s="36">
        <v>219</v>
      </c>
      <c r="P816" s="138">
        <f>SUM(M816:O816)</f>
        <v>971</v>
      </c>
      <c r="Q816" s="36">
        <v>395</v>
      </c>
      <c r="R816" s="36">
        <v>357</v>
      </c>
      <c r="S816" s="36">
        <v>219</v>
      </c>
      <c r="T816" s="138">
        <f>SUM(Q816:S816)</f>
        <v>971</v>
      </c>
      <c r="U816" s="138">
        <f>P816+T816</f>
        <v>1942</v>
      </c>
    </row>
    <row r="817" spans="1:22" x14ac:dyDescent="0.15">
      <c r="M817" s="62">
        <f>M816/$P$816*100</f>
        <v>40.679711637487124</v>
      </c>
      <c r="N817" s="62">
        <f t="shared" ref="N817:O817" si="651">N816/$P$816*100</f>
        <v>36.766220391349123</v>
      </c>
      <c r="O817" s="62">
        <f t="shared" si="651"/>
        <v>22.55406797116375</v>
      </c>
    </row>
    <row r="818" spans="1:22" ht="19.5" thickBot="1" x14ac:dyDescent="0.25">
      <c r="A818" s="3" t="s">
        <v>209</v>
      </c>
      <c r="B818" s="1"/>
      <c r="C818" s="1"/>
      <c r="D818" s="1"/>
      <c r="E818" s="1"/>
      <c r="F818" s="1"/>
      <c r="G818" s="1"/>
      <c r="H818" s="1"/>
      <c r="I818" s="1"/>
      <c r="J818" s="1"/>
      <c r="L818" s="3" t="s">
        <v>208</v>
      </c>
      <c r="M818" s="1"/>
      <c r="N818" s="1"/>
      <c r="O818" s="1"/>
      <c r="P818" s="1"/>
      <c r="Q818" s="1"/>
      <c r="R818" s="1"/>
      <c r="S818" s="1"/>
      <c r="T818" s="1" t="s">
        <v>422</v>
      </c>
      <c r="U818" s="1"/>
    </row>
    <row r="819" spans="1:22" ht="14.25" thickBot="1" x14ac:dyDescent="0.2">
      <c r="A819" s="8" t="s">
        <v>0</v>
      </c>
      <c r="B819" s="227" t="s">
        <v>19</v>
      </c>
      <c r="C819" s="228"/>
      <c r="D819" s="228"/>
      <c r="E819" s="229"/>
      <c r="F819" s="230" t="s">
        <v>20</v>
      </c>
      <c r="G819" s="231"/>
      <c r="H819" s="231"/>
      <c r="I819" s="232"/>
      <c r="J819" s="233" t="s">
        <v>1</v>
      </c>
      <c r="L819" s="8" t="s">
        <v>0</v>
      </c>
      <c r="M819" s="235" t="s">
        <v>19</v>
      </c>
      <c r="N819" s="236"/>
      <c r="O819" s="236"/>
      <c r="P819" s="237"/>
      <c r="Q819" s="238" t="s">
        <v>20</v>
      </c>
      <c r="R819" s="239"/>
      <c r="S819" s="239"/>
      <c r="T819" s="240"/>
      <c r="U819" s="224" t="s">
        <v>1</v>
      </c>
    </row>
    <row r="820" spans="1:22" ht="14.25" thickBot="1" x14ac:dyDescent="0.2">
      <c r="A820" s="8" t="s">
        <v>2</v>
      </c>
      <c r="B820" s="69" t="s">
        <v>3</v>
      </c>
      <c r="C820" s="70" t="s">
        <v>4</v>
      </c>
      <c r="D820" s="71" t="s">
        <v>5</v>
      </c>
      <c r="E820" s="8" t="s">
        <v>6</v>
      </c>
      <c r="F820" s="4" t="s">
        <v>3</v>
      </c>
      <c r="G820" s="5" t="s">
        <v>4</v>
      </c>
      <c r="H820" s="6" t="s">
        <v>5</v>
      </c>
      <c r="I820" s="8" t="s">
        <v>6</v>
      </c>
      <c r="J820" s="234"/>
      <c r="L820" s="8" t="s">
        <v>2</v>
      </c>
      <c r="M820" s="69" t="s">
        <v>3</v>
      </c>
      <c r="N820" s="70" t="s">
        <v>4</v>
      </c>
      <c r="O820" s="71" t="s">
        <v>5</v>
      </c>
      <c r="P820" s="8" t="s">
        <v>6</v>
      </c>
      <c r="Q820" s="4" t="s">
        <v>3</v>
      </c>
      <c r="R820" s="5" t="s">
        <v>4</v>
      </c>
      <c r="S820" s="6" t="s">
        <v>5</v>
      </c>
      <c r="T820" s="8" t="s">
        <v>6</v>
      </c>
      <c r="U820" s="225"/>
    </row>
    <row r="821" spans="1:22" ht="14.25" thickBot="1" x14ac:dyDescent="0.2">
      <c r="A821" s="25" t="s">
        <v>18</v>
      </c>
      <c r="B821" s="26">
        <f>B815</f>
        <v>5</v>
      </c>
      <c r="C821" s="27">
        <f t="shared" ref="C821:D821" si="652">C815</f>
        <v>3</v>
      </c>
      <c r="D821" s="49">
        <f t="shared" si="652"/>
        <v>4</v>
      </c>
      <c r="E821" s="68">
        <f t="shared" ref="E821:E829" si="653">SUM(B821:D821)</f>
        <v>12</v>
      </c>
      <c r="F821" s="26">
        <f>F815</f>
        <v>8</v>
      </c>
      <c r="G821" s="27">
        <f t="shared" ref="G821:H821" si="654">G815</f>
        <v>5</v>
      </c>
      <c r="H821" s="49">
        <f t="shared" si="654"/>
        <v>5</v>
      </c>
      <c r="I821" s="33">
        <f t="shared" ref="I821:I829" si="655">SUM(F821:H821)</f>
        <v>18</v>
      </c>
      <c r="J821" s="33">
        <f>E821+I821</f>
        <v>30</v>
      </c>
      <c r="L821" s="25" t="s">
        <v>18</v>
      </c>
      <c r="M821" s="26">
        <f>M815</f>
        <v>293</v>
      </c>
      <c r="N821" s="27">
        <f t="shared" ref="N821:O821" si="656">N815</f>
        <v>384</v>
      </c>
      <c r="O821" s="49">
        <f t="shared" si="656"/>
        <v>116</v>
      </c>
      <c r="P821" s="107">
        <f t="shared" ref="P821:P829" si="657">SUM(M821:O821)</f>
        <v>793</v>
      </c>
      <c r="Q821" s="26">
        <f>Q815</f>
        <v>442</v>
      </c>
      <c r="R821" s="27">
        <f t="shared" ref="R821:S821" si="658">R815</f>
        <v>665</v>
      </c>
      <c r="S821" s="49">
        <f t="shared" si="658"/>
        <v>290</v>
      </c>
      <c r="T821" s="29">
        <f t="shared" ref="T821:T829" si="659">SUM(Q821:S821)</f>
        <v>1397</v>
      </c>
      <c r="U821" s="29">
        <f>P821+T821</f>
        <v>2190</v>
      </c>
    </row>
    <row r="822" spans="1:22" x14ac:dyDescent="0.15">
      <c r="A822" s="23" t="s">
        <v>464</v>
      </c>
      <c r="B822" s="47">
        <v>1</v>
      </c>
      <c r="C822" s="48">
        <v>1</v>
      </c>
      <c r="D822" s="72">
        <v>1</v>
      </c>
      <c r="E822" s="42">
        <f t="shared" si="653"/>
        <v>3</v>
      </c>
      <c r="F822" s="38">
        <v>1</v>
      </c>
      <c r="G822" s="39">
        <v>1</v>
      </c>
      <c r="H822" s="40">
        <v>1</v>
      </c>
      <c r="I822" s="66">
        <f t="shared" si="655"/>
        <v>3</v>
      </c>
      <c r="J822" s="57">
        <f t="shared" ref="J822:J829" si="660">E822+I822</f>
        <v>6</v>
      </c>
      <c r="K822" s="108">
        <v>45868</v>
      </c>
      <c r="L822" s="23" t="s">
        <v>8</v>
      </c>
      <c r="M822" s="16"/>
      <c r="N822" s="17"/>
      <c r="O822" s="43"/>
      <c r="P822" s="94">
        <f t="shared" si="657"/>
        <v>0</v>
      </c>
      <c r="Q822" s="16"/>
      <c r="R822" s="17"/>
      <c r="S822" s="43"/>
      <c r="T822" s="94">
        <f t="shared" si="659"/>
        <v>0</v>
      </c>
      <c r="U822" s="94">
        <f t="shared" ref="U822:U829" si="661">P822+T822</f>
        <v>0</v>
      </c>
    </row>
    <row r="823" spans="1:22" x14ac:dyDescent="0.15">
      <c r="A823" s="23" t="s">
        <v>9</v>
      </c>
      <c r="B823" s="9">
        <v>5</v>
      </c>
      <c r="C823" s="10"/>
      <c r="D823" s="44"/>
      <c r="E823" s="12">
        <f t="shared" si="653"/>
        <v>5</v>
      </c>
      <c r="F823" s="9"/>
      <c r="G823" s="10"/>
      <c r="H823" s="44">
        <v>5</v>
      </c>
      <c r="I823" s="12">
        <f t="shared" si="655"/>
        <v>5</v>
      </c>
      <c r="J823" s="12">
        <f t="shared" si="660"/>
        <v>10</v>
      </c>
      <c r="K823" s="90">
        <v>45875</v>
      </c>
      <c r="L823" s="23" t="s">
        <v>9</v>
      </c>
      <c r="M823" s="9"/>
      <c r="N823" s="10"/>
      <c r="O823" s="44"/>
      <c r="P823" s="12">
        <f t="shared" si="657"/>
        <v>0</v>
      </c>
      <c r="Q823" s="9"/>
      <c r="R823" s="10"/>
      <c r="S823" s="44"/>
      <c r="T823" s="12">
        <f t="shared" si="659"/>
        <v>0</v>
      </c>
      <c r="U823" s="12">
        <f t="shared" si="661"/>
        <v>0</v>
      </c>
      <c r="V823" s="164"/>
    </row>
    <row r="824" spans="1:22" x14ac:dyDescent="0.15">
      <c r="A824" s="23" t="s">
        <v>88</v>
      </c>
      <c r="B824" s="16"/>
      <c r="C824" s="17">
        <v>1</v>
      </c>
      <c r="D824" s="43"/>
      <c r="E824" s="12">
        <f t="shared" si="653"/>
        <v>1</v>
      </c>
      <c r="F824" s="16"/>
      <c r="G824" s="17">
        <v>1</v>
      </c>
      <c r="H824" s="43"/>
      <c r="I824" s="12">
        <f t="shared" si="655"/>
        <v>1</v>
      </c>
      <c r="J824" s="12">
        <f t="shared" si="660"/>
        <v>2</v>
      </c>
      <c r="K824" s="90">
        <v>45873</v>
      </c>
      <c r="L824" s="23" t="s">
        <v>407</v>
      </c>
      <c r="M824" s="9">
        <v>350</v>
      </c>
      <c r="N824" s="10">
        <v>474</v>
      </c>
      <c r="O824" s="44">
        <v>378</v>
      </c>
      <c r="P824" s="12">
        <f t="shared" si="657"/>
        <v>1202</v>
      </c>
      <c r="Q824" s="9">
        <v>200</v>
      </c>
      <c r="R824" s="10">
        <v>200</v>
      </c>
      <c r="S824" s="44">
        <v>200</v>
      </c>
      <c r="T824" s="12">
        <f t="shared" si="659"/>
        <v>600</v>
      </c>
      <c r="U824" s="12">
        <f t="shared" si="661"/>
        <v>1802</v>
      </c>
      <c r="V824" s="90" t="s">
        <v>460</v>
      </c>
    </row>
    <row r="825" spans="1:22" x14ac:dyDescent="0.15">
      <c r="A825" s="23" t="s">
        <v>11</v>
      </c>
      <c r="B825" s="16"/>
      <c r="C825" s="17"/>
      <c r="D825" s="43">
        <v>5</v>
      </c>
      <c r="E825" s="12">
        <f t="shared" si="653"/>
        <v>5</v>
      </c>
      <c r="F825" s="16"/>
      <c r="G825" s="17"/>
      <c r="H825" s="43"/>
      <c r="I825" s="12">
        <f t="shared" si="655"/>
        <v>0</v>
      </c>
      <c r="J825" s="12">
        <f t="shared" si="660"/>
        <v>5</v>
      </c>
      <c r="K825" s="90">
        <v>45876</v>
      </c>
      <c r="L825" s="23" t="s">
        <v>33</v>
      </c>
      <c r="M825" s="9"/>
      <c r="N825" s="10">
        <v>26</v>
      </c>
      <c r="O825" s="44">
        <v>22</v>
      </c>
      <c r="P825" s="12">
        <f t="shared" ref="P825" si="662">SUM(M825:O825)</f>
        <v>48</v>
      </c>
      <c r="Q825" s="9"/>
      <c r="R825" s="10"/>
      <c r="S825" s="44"/>
      <c r="T825" s="12">
        <f t="shared" ref="T825" si="663">SUM(Q825:S825)</f>
        <v>0</v>
      </c>
      <c r="U825" s="12">
        <f t="shared" ref="U825" si="664">P825+T825</f>
        <v>48</v>
      </c>
      <c r="V825" s="89" t="s">
        <v>447</v>
      </c>
    </row>
    <row r="826" spans="1:22" x14ac:dyDescent="0.15">
      <c r="A826" s="23" t="s">
        <v>212</v>
      </c>
      <c r="B826" s="9">
        <v>0</v>
      </c>
      <c r="C826" s="10">
        <v>0</v>
      </c>
      <c r="D826" s="44">
        <v>0</v>
      </c>
      <c r="E826" s="12">
        <f t="shared" si="653"/>
        <v>0</v>
      </c>
      <c r="F826" s="9">
        <v>0</v>
      </c>
      <c r="G826" s="10">
        <v>0</v>
      </c>
      <c r="H826" s="44">
        <v>0</v>
      </c>
      <c r="I826" s="67">
        <f t="shared" si="655"/>
        <v>0</v>
      </c>
      <c r="J826" s="12">
        <f t="shared" si="660"/>
        <v>0</v>
      </c>
      <c r="K826" s="90">
        <v>45878</v>
      </c>
      <c r="L826" s="23" t="s">
        <v>12</v>
      </c>
      <c r="M826" s="9"/>
      <c r="N826" s="10"/>
      <c r="O826" s="44"/>
      <c r="P826" s="12">
        <f t="shared" si="657"/>
        <v>0</v>
      </c>
      <c r="Q826" s="9"/>
      <c r="R826" s="10"/>
      <c r="S826" s="44"/>
      <c r="T826" s="12">
        <f t="shared" si="659"/>
        <v>0</v>
      </c>
      <c r="U826" s="12">
        <f t="shared" si="661"/>
        <v>0</v>
      </c>
      <c r="V826" s="108"/>
    </row>
    <row r="827" spans="1:22" x14ac:dyDescent="0.15">
      <c r="A827" s="23" t="s">
        <v>13</v>
      </c>
      <c r="B827" s="9"/>
      <c r="C827" s="10">
        <v>3</v>
      </c>
      <c r="D827" s="44"/>
      <c r="E827" s="12">
        <f t="shared" si="653"/>
        <v>3</v>
      </c>
      <c r="F827" s="9"/>
      <c r="G827" s="10">
        <v>3</v>
      </c>
      <c r="H827" s="44"/>
      <c r="I827" s="67">
        <f t="shared" si="655"/>
        <v>3</v>
      </c>
      <c r="J827" s="12">
        <f t="shared" si="660"/>
        <v>6</v>
      </c>
      <c r="K827" s="90">
        <v>45899</v>
      </c>
      <c r="L827" s="23" t="s">
        <v>13</v>
      </c>
      <c r="M827" s="9"/>
      <c r="N827" s="10"/>
      <c r="O827" s="44"/>
      <c r="P827" s="12">
        <f t="shared" si="657"/>
        <v>0</v>
      </c>
      <c r="Q827" s="9"/>
      <c r="R827" s="10"/>
      <c r="S827" s="44"/>
      <c r="T827" s="67">
        <f t="shared" si="659"/>
        <v>0</v>
      </c>
      <c r="U827" s="12">
        <f t="shared" si="661"/>
        <v>0</v>
      </c>
    </row>
    <row r="828" spans="1:22" x14ac:dyDescent="0.15">
      <c r="A828" s="23" t="s">
        <v>464</v>
      </c>
      <c r="B828" s="13">
        <v>1</v>
      </c>
      <c r="C828" s="14">
        <v>1</v>
      </c>
      <c r="D828" s="45">
        <v>1</v>
      </c>
      <c r="E828" s="12">
        <f t="shared" si="653"/>
        <v>3</v>
      </c>
      <c r="F828" s="13">
        <v>1</v>
      </c>
      <c r="G828" s="14">
        <v>1</v>
      </c>
      <c r="H828" s="45">
        <v>1</v>
      </c>
      <c r="I828" s="67">
        <f t="shared" si="655"/>
        <v>3</v>
      </c>
      <c r="J828" s="12">
        <f t="shared" si="660"/>
        <v>6</v>
      </c>
      <c r="K828" s="108">
        <v>45898</v>
      </c>
      <c r="L828" s="23" t="s">
        <v>14</v>
      </c>
      <c r="M828" s="13"/>
      <c r="N828" s="14"/>
      <c r="O828" s="45"/>
      <c r="P828" s="12">
        <f t="shared" si="657"/>
        <v>0</v>
      </c>
      <c r="Q828" s="13"/>
      <c r="R828" s="14"/>
      <c r="S828" s="45"/>
      <c r="T828" s="67">
        <f t="shared" si="659"/>
        <v>0</v>
      </c>
      <c r="U828" s="12">
        <f t="shared" si="661"/>
        <v>0</v>
      </c>
    </row>
    <row r="829" spans="1:22" ht="14.25" thickBot="1" x14ac:dyDescent="0.2">
      <c r="A829" s="23" t="s">
        <v>15</v>
      </c>
      <c r="B829" s="30"/>
      <c r="C829" s="31"/>
      <c r="D829" s="46"/>
      <c r="E829" s="12">
        <f t="shared" si="653"/>
        <v>0</v>
      </c>
      <c r="F829" s="30"/>
      <c r="G829" s="31"/>
      <c r="H829" s="46"/>
      <c r="I829" s="67">
        <f t="shared" si="655"/>
        <v>0</v>
      </c>
      <c r="J829" s="19">
        <f t="shared" si="660"/>
        <v>0</v>
      </c>
      <c r="L829" s="23" t="s">
        <v>15</v>
      </c>
      <c r="M829" s="13"/>
      <c r="N829" s="14"/>
      <c r="O829" s="45"/>
      <c r="P829" s="12">
        <f t="shared" si="657"/>
        <v>0</v>
      </c>
      <c r="Q829" s="13"/>
      <c r="R829" s="14"/>
      <c r="S829" s="45"/>
      <c r="T829" s="67">
        <f t="shared" si="659"/>
        <v>0</v>
      </c>
      <c r="U829" s="12">
        <f t="shared" si="661"/>
        <v>0</v>
      </c>
    </row>
    <row r="830" spans="1:22" ht="14.25" thickBot="1" x14ac:dyDescent="0.2">
      <c r="A830" s="32" t="s">
        <v>16</v>
      </c>
      <c r="B830" s="26">
        <f>SUM(B821:B829)</f>
        <v>12</v>
      </c>
      <c r="C830" s="27">
        <f t="shared" ref="C830:J830" si="665">SUM(C821:C829)</f>
        <v>9</v>
      </c>
      <c r="D830" s="49">
        <f t="shared" si="665"/>
        <v>11</v>
      </c>
      <c r="E830" s="75">
        <f t="shared" si="665"/>
        <v>32</v>
      </c>
      <c r="F830" s="26">
        <f t="shared" si="665"/>
        <v>10</v>
      </c>
      <c r="G830" s="27">
        <f t="shared" si="665"/>
        <v>11</v>
      </c>
      <c r="H830" s="49">
        <f t="shared" si="665"/>
        <v>12</v>
      </c>
      <c r="I830" s="74">
        <f t="shared" si="665"/>
        <v>33</v>
      </c>
      <c r="J830" s="29">
        <f t="shared" si="665"/>
        <v>65</v>
      </c>
      <c r="L830" s="32" t="s">
        <v>16</v>
      </c>
      <c r="M830" s="26">
        <f>SUM(M821:M829)</f>
        <v>643</v>
      </c>
      <c r="N830" s="27">
        <f t="shared" ref="N830:U830" si="666">SUM(N821:N829)</f>
        <v>884</v>
      </c>
      <c r="O830" s="49">
        <f t="shared" si="666"/>
        <v>516</v>
      </c>
      <c r="P830" s="75">
        <f t="shared" si="666"/>
        <v>2043</v>
      </c>
      <c r="Q830" s="26">
        <f t="shared" si="666"/>
        <v>642</v>
      </c>
      <c r="R830" s="27">
        <f t="shared" si="666"/>
        <v>865</v>
      </c>
      <c r="S830" s="49">
        <f t="shared" si="666"/>
        <v>490</v>
      </c>
      <c r="T830" s="74">
        <f t="shared" si="666"/>
        <v>1997</v>
      </c>
      <c r="U830" s="29">
        <f t="shared" si="666"/>
        <v>4040</v>
      </c>
    </row>
    <row r="831" spans="1:22" x14ac:dyDescent="0.15">
      <c r="A831" s="24" t="s">
        <v>456</v>
      </c>
      <c r="B831" s="54">
        <v>1</v>
      </c>
      <c r="C831" s="55"/>
      <c r="D831" s="56"/>
      <c r="E831" s="42">
        <f t="shared" ref="E831:E856" si="667">SUM(B831:D831)</f>
        <v>1</v>
      </c>
      <c r="F831" s="54">
        <v>1</v>
      </c>
      <c r="G831" s="55"/>
      <c r="H831" s="56"/>
      <c r="I831" s="66">
        <f t="shared" ref="I831:I856" si="668">SUM(F831:H831)</f>
        <v>1</v>
      </c>
      <c r="J831" s="57">
        <f t="shared" ref="J831:J858" si="669">E831+I831</f>
        <v>2</v>
      </c>
      <c r="K831" s="90">
        <v>45873</v>
      </c>
      <c r="L831" s="22" t="s">
        <v>459</v>
      </c>
      <c r="M831" s="54">
        <v>260</v>
      </c>
      <c r="N831" s="55">
        <v>210</v>
      </c>
      <c r="O831" s="56">
        <v>185</v>
      </c>
      <c r="P831" s="42">
        <f t="shared" ref="P831:P856" si="670">SUM(M831:O831)</f>
        <v>655</v>
      </c>
      <c r="Q831" s="54">
        <v>260</v>
      </c>
      <c r="R831" s="55">
        <v>210</v>
      </c>
      <c r="S831" s="56">
        <v>185</v>
      </c>
      <c r="T831" s="66">
        <f t="shared" ref="T831:T856" si="671">SUM(Q831:S831)</f>
        <v>655</v>
      </c>
      <c r="U831" s="57">
        <f t="shared" ref="U831:U858" si="672">P831+T831</f>
        <v>1310</v>
      </c>
      <c r="V831" s="90">
        <v>45868</v>
      </c>
    </row>
    <row r="832" spans="1:22" x14ac:dyDescent="0.15">
      <c r="A832" s="24" t="s">
        <v>468</v>
      </c>
      <c r="B832" s="16">
        <v>4</v>
      </c>
      <c r="C832" s="17"/>
      <c r="D832" s="18">
        <v>6</v>
      </c>
      <c r="E832" s="12">
        <f t="shared" si="667"/>
        <v>10</v>
      </c>
      <c r="F832" s="16"/>
      <c r="G832" s="17">
        <v>2</v>
      </c>
      <c r="H832" s="18"/>
      <c r="I832" s="67">
        <f t="shared" si="668"/>
        <v>2</v>
      </c>
      <c r="J832" s="12">
        <f t="shared" si="669"/>
        <v>12</v>
      </c>
      <c r="K832" s="90">
        <v>45877</v>
      </c>
      <c r="L832" s="22" t="s">
        <v>461</v>
      </c>
      <c r="M832" s="16"/>
      <c r="N832" s="17">
        <v>25</v>
      </c>
      <c r="O832" s="18"/>
      <c r="P832" s="12">
        <f t="shared" si="670"/>
        <v>25</v>
      </c>
      <c r="Q832" s="16"/>
      <c r="R832" s="17">
        <v>25</v>
      </c>
      <c r="S832" s="18"/>
      <c r="T832" s="67">
        <f t="shared" si="671"/>
        <v>25</v>
      </c>
      <c r="U832" s="12">
        <f t="shared" si="672"/>
        <v>50</v>
      </c>
      <c r="V832" s="90">
        <v>45869</v>
      </c>
    </row>
    <row r="833" spans="1:22" x14ac:dyDescent="0.15">
      <c r="A833" s="24" t="s">
        <v>456</v>
      </c>
      <c r="B833" s="9"/>
      <c r="C833" s="10">
        <v>1</v>
      </c>
      <c r="D833" s="11"/>
      <c r="E833" s="12">
        <f t="shared" si="667"/>
        <v>1</v>
      </c>
      <c r="F833" s="9"/>
      <c r="G833" s="10">
        <v>1</v>
      </c>
      <c r="H833" s="11"/>
      <c r="I833" s="67">
        <f t="shared" si="668"/>
        <v>1</v>
      </c>
      <c r="J833" s="12">
        <f t="shared" si="669"/>
        <v>2</v>
      </c>
      <c r="K833" s="90">
        <v>45877</v>
      </c>
      <c r="L833" s="22" t="s">
        <v>462</v>
      </c>
      <c r="M833" s="9"/>
      <c r="N833" s="10">
        <v>50</v>
      </c>
      <c r="O833" s="11"/>
      <c r="P833" s="12">
        <f t="shared" si="670"/>
        <v>50</v>
      </c>
      <c r="Q833" s="9"/>
      <c r="R833" s="10">
        <v>50</v>
      </c>
      <c r="S833" s="11"/>
      <c r="T833" s="67">
        <f t="shared" si="671"/>
        <v>50</v>
      </c>
      <c r="U833" s="12">
        <f t="shared" si="672"/>
        <v>100</v>
      </c>
      <c r="V833" s="90">
        <v>45870</v>
      </c>
    </row>
    <row r="834" spans="1:22" x14ac:dyDescent="0.15">
      <c r="A834" s="24" t="s">
        <v>45</v>
      </c>
      <c r="B834" s="9"/>
      <c r="C834" s="10">
        <v>1</v>
      </c>
      <c r="D834" s="11"/>
      <c r="E834" s="12">
        <f t="shared" si="667"/>
        <v>1</v>
      </c>
      <c r="F834" s="9"/>
      <c r="G834" s="10">
        <v>1</v>
      </c>
      <c r="H834" s="11"/>
      <c r="I834" s="67">
        <f t="shared" si="668"/>
        <v>1</v>
      </c>
      <c r="J834" s="12">
        <f t="shared" si="669"/>
        <v>2</v>
      </c>
      <c r="K834" s="90">
        <v>45875</v>
      </c>
      <c r="L834" s="22" t="s">
        <v>463</v>
      </c>
      <c r="M834" s="9">
        <v>130</v>
      </c>
      <c r="N834" s="10">
        <v>190</v>
      </c>
      <c r="O834" s="11">
        <v>130</v>
      </c>
      <c r="P834" s="12">
        <f t="shared" si="670"/>
        <v>450</v>
      </c>
      <c r="Q834" s="9">
        <v>130</v>
      </c>
      <c r="R834" s="10">
        <v>190</v>
      </c>
      <c r="S834" s="11">
        <v>130</v>
      </c>
      <c r="T834" s="67">
        <f t="shared" si="671"/>
        <v>450</v>
      </c>
      <c r="U834" s="12">
        <f t="shared" si="672"/>
        <v>900</v>
      </c>
      <c r="V834" s="90">
        <v>45871</v>
      </c>
    </row>
    <row r="835" spans="1:22" x14ac:dyDescent="0.15">
      <c r="A835" s="24" t="s">
        <v>473</v>
      </c>
      <c r="B835" s="9"/>
      <c r="C835" s="10"/>
      <c r="D835" s="11"/>
      <c r="E835" s="12">
        <f t="shared" si="667"/>
        <v>0</v>
      </c>
      <c r="F835" s="9">
        <v>1</v>
      </c>
      <c r="G835" s="10"/>
      <c r="H835" s="11"/>
      <c r="I835" s="67">
        <f t="shared" si="668"/>
        <v>1</v>
      </c>
      <c r="J835" s="12">
        <f t="shared" si="669"/>
        <v>1</v>
      </c>
      <c r="K835" s="90">
        <v>45889</v>
      </c>
      <c r="L835" s="24" t="s">
        <v>469</v>
      </c>
      <c r="M835" s="9">
        <v>5</v>
      </c>
      <c r="N835" s="10"/>
      <c r="O835" s="11"/>
      <c r="P835" s="12">
        <f t="shared" si="670"/>
        <v>5</v>
      </c>
      <c r="Q835" s="9"/>
      <c r="R835" s="10"/>
      <c r="S835" s="11">
        <v>5</v>
      </c>
      <c r="T835" s="67">
        <f t="shared" si="671"/>
        <v>5</v>
      </c>
      <c r="U835" s="12">
        <f t="shared" si="672"/>
        <v>10</v>
      </c>
      <c r="V835" s="90">
        <v>45875</v>
      </c>
    </row>
    <row r="836" spans="1:22" x14ac:dyDescent="0.15">
      <c r="A836" s="24" t="s">
        <v>474</v>
      </c>
      <c r="B836" s="9"/>
      <c r="C836" s="10"/>
      <c r="D836" s="11"/>
      <c r="E836" s="12">
        <f t="shared" si="667"/>
        <v>0</v>
      </c>
      <c r="F836" s="9">
        <v>2</v>
      </c>
      <c r="G836" s="10"/>
      <c r="H836" s="11"/>
      <c r="I836" s="67">
        <f t="shared" si="668"/>
        <v>2</v>
      </c>
      <c r="J836" s="12">
        <f t="shared" si="669"/>
        <v>2</v>
      </c>
      <c r="K836" s="90">
        <v>45898</v>
      </c>
      <c r="L836" s="24" t="s">
        <v>38</v>
      </c>
      <c r="M836" s="9"/>
      <c r="N836" s="10"/>
      <c r="O836" s="11">
        <v>5</v>
      </c>
      <c r="P836" s="12">
        <f t="shared" si="670"/>
        <v>5</v>
      </c>
      <c r="Q836" s="9"/>
      <c r="R836" s="10"/>
      <c r="S836" s="11"/>
      <c r="T836" s="67">
        <f t="shared" si="671"/>
        <v>0</v>
      </c>
      <c r="U836" s="12">
        <f t="shared" si="672"/>
        <v>5</v>
      </c>
      <c r="V836" s="90">
        <v>45876</v>
      </c>
    </row>
    <row r="837" spans="1:22" x14ac:dyDescent="0.15">
      <c r="A837" s="24" t="s">
        <v>45</v>
      </c>
      <c r="B837" s="9"/>
      <c r="C837" s="10"/>
      <c r="D837" s="11"/>
      <c r="E837" s="12">
        <f t="shared" si="667"/>
        <v>0</v>
      </c>
      <c r="F837" s="9"/>
      <c r="G837" s="10">
        <v>1</v>
      </c>
      <c r="H837" s="11"/>
      <c r="I837" s="67">
        <f t="shared" si="668"/>
        <v>1</v>
      </c>
      <c r="J837" s="12">
        <f t="shared" si="669"/>
        <v>1</v>
      </c>
      <c r="K837" s="90">
        <v>45896</v>
      </c>
      <c r="L837" s="24" t="s">
        <v>470</v>
      </c>
      <c r="M837" s="9">
        <v>10</v>
      </c>
      <c r="N837" s="10">
        <v>10</v>
      </c>
      <c r="O837" s="11">
        <v>10</v>
      </c>
      <c r="P837" s="12">
        <f t="shared" si="670"/>
        <v>30</v>
      </c>
      <c r="Q837" s="9">
        <v>10</v>
      </c>
      <c r="R837" s="10"/>
      <c r="S837" s="11">
        <v>5</v>
      </c>
      <c r="T837" s="67">
        <f t="shared" si="671"/>
        <v>15</v>
      </c>
      <c r="U837" s="12">
        <f t="shared" si="672"/>
        <v>45</v>
      </c>
      <c r="V837" s="90">
        <v>45890</v>
      </c>
    </row>
    <row r="838" spans="1:22" x14ac:dyDescent="0.15">
      <c r="A838" s="24" t="s">
        <v>45</v>
      </c>
      <c r="B838" s="9"/>
      <c r="C838" s="10"/>
      <c r="D838" s="11"/>
      <c r="E838" s="12">
        <f t="shared" si="667"/>
        <v>0</v>
      </c>
      <c r="F838" s="9"/>
      <c r="G838" s="10">
        <v>1</v>
      </c>
      <c r="H838" s="11"/>
      <c r="I838" s="67">
        <f t="shared" si="668"/>
        <v>1</v>
      </c>
      <c r="J838" s="12">
        <f t="shared" si="669"/>
        <v>1</v>
      </c>
      <c r="K838" s="108">
        <v>45897</v>
      </c>
      <c r="L838" s="24" t="s">
        <v>471</v>
      </c>
      <c r="M838" s="9">
        <v>6</v>
      </c>
      <c r="N838" s="10">
        <v>4</v>
      </c>
      <c r="O838" s="11">
        <v>2</v>
      </c>
      <c r="P838" s="12">
        <f t="shared" si="670"/>
        <v>12</v>
      </c>
      <c r="Q838" s="9">
        <v>4</v>
      </c>
      <c r="R838" s="10">
        <v>2</v>
      </c>
      <c r="S838" s="11"/>
      <c r="T838" s="67">
        <f t="shared" si="671"/>
        <v>6</v>
      </c>
      <c r="U838" s="12">
        <f t="shared" si="672"/>
        <v>18</v>
      </c>
      <c r="V838" s="90">
        <v>45891</v>
      </c>
    </row>
    <row r="839" spans="1:22" x14ac:dyDescent="0.15">
      <c r="A839" s="22"/>
      <c r="B839" s="9"/>
      <c r="C839" s="10"/>
      <c r="D839" s="11"/>
      <c r="E839" s="12">
        <f t="shared" si="667"/>
        <v>0</v>
      </c>
      <c r="F839" s="9"/>
      <c r="G839" s="10"/>
      <c r="H839" s="11"/>
      <c r="I839" s="67">
        <f t="shared" si="668"/>
        <v>0</v>
      </c>
      <c r="J839" s="12">
        <f t="shared" si="669"/>
        <v>0</v>
      </c>
      <c r="L839" s="24" t="s">
        <v>472</v>
      </c>
      <c r="M839" s="9">
        <v>5</v>
      </c>
      <c r="N839" s="10">
        <v>5</v>
      </c>
      <c r="O839" s="11">
        <v>5</v>
      </c>
      <c r="P839" s="12">
        <f t="shared" si="670"/>
        <v>15</v>
      </c>
      <c r="Q839" s="9">
        <v>5</v>
      </c>
      <c r="R839" s="10">
        <v>5</v>
      </c>
      <c r="S839" s="11">
        <v>5</v>
      </c>
      <c r="T839" s="67">
        <f t="shared" si="671"/>
        <v>15</v>
      </c>
      <c r="U839" s="12">
        <f t="shared" si="672"/>
        <v>30</v>
      </c>
      <c r="V839" s="90">
        <v>45897</v>
      </c>
    </row>
    <row r="840" spans="1:22" x14ac:dyDescent="0.15">
      <c r="A840" s="24"/>
      <c r="B840" s="13"/>
      <c r="C840" s="14"/>
      <c r="D840" s="15"/>
      <c r="E840" s="12">
        <f t="shared" si="667"/>
        <v>0</v>
      </c>
      <c r="F840" s="13"/>
      <c r="G840" s="14"/>
      <c r="H840" s="15"/>
      <c r="I840" s="67">
        <f t="shared" si="668"/>
        <v>0</v>
      </c>
      <c r="J840" s="12">
        <f t="shared" si="669"/>
        <v>0</v>
      </c>
      <c r="L840" s="21" t="s">
        <v>475</v>
      </c>
      <c r="M840" s="13">
        <v>4</v>
      </c>
      <c r="N840" s="14">
        <v>50</v>
      </c>
      <c r="O840" s="15">
        <v>30</v>
      </c>
      <c r="P840" s="12">
        <f t="shared" si="670"/>
        <v>84</v>
      </c>
      <c r="Q840" s="13">
        <v>30</v>
      </c>
      <c r="R840" s="14">
        <v>18</v>
      </c>
      <c r="S840" s="15">
        <v>25</v>
      </c>
      <c r="T840" s="67">
        <f t="shared" si="671"/>
        <v>73</v>
      </c>
      <c r="U840" s="12">
        <f t="shared" si="672"/>
        <v>157</v>
      </c>
      <c r="V840" s="90">
        <v>45898</v>
      </c>
    </row>
    <row r="841" spans="1:22" x14ac:dyDescent="0.15">
      <c r="A841" s="24"/>
      <c r="B841" s="9"/>
      <c r="C841" s="10"/>
      <c r="D841" s="11"/>
      <c r="E841" s="12">
        <f t="shared" si="667"/>
        <v>0</v>
      </c>
      <c r="F841" s="9"/>
      <c r="G841" s="10"/>
      <c r="H841" s="11"/>
      <c r="I841" s="67">
        <f t="shared" si="668"/>
        <v>0</v>
      </c>
      <c r="J841" s="12">
        <f t="shared" si="669"/>
        <v>0</v>
      </c>
      <c r="L841" s="24" t="s">
        <v>38</v>
      </c>
      <c r="M841" s="9"/>
      <c r="N841" s="10">
        <v>3</v>
      </c>
      <c r="O841" s="11"/>
      <c r="P841" s="12">
        <f t="shared" ref="P841:P842" si="673">SUM(M841:O841)</f>
        <v>3</v>
      </c>
      <c r="Q841" s="9"/>
      <c r="R841" s="10">
        <v>3</v>
      </c>
      <c r="S841" s="11"/>
      <c r="T841" s="67">
        <f t="shared" si="671"/>
        <v>3</v>
      </c>
      <c r="U841" s="12">
        <f t="shared" si="672"/>
        <v>6</v>
      </c>
      <c r="V841" s="90">
        <v>45899</v>
      </c>
    </row>
    <row r="842" spans="1:22" x14ac:dyDescent="0.15">
      <c r="A842" s="24"/>
      <c r="B842" s="9"/>
      <c r="C842" s="10"/>
      <c r="D842" s="11"/>
      <c r="E842" s="12">
        <f t="shared" si="667"/>
        <v>0</v>
      </c>
      <c r="F842" s="9"/>
      <c r="G842" s="10"/>
      <c r="H842" s="11"/>
      <c r="I842" s="67">
        <f t="shared" si="668"/>
        <v>0</v>
      </c>
      <c r="J842" s="12">
        <f t="shared" si="669"/>
        <v>0</v>
      </c>
      <c r="L842" s="22"/>
      <c r="M842" s="9"/>
      <c r="N842" s="10"/>
      <c r="O842" s="11"/>
      <c r="P842" s="12">
        <f t="shared" si="673"/>
        <v>0</v>
      </c>
      <c r="Q842" s="9"/>
      <c r="R842" s="10"/>
      <c r="S842" s="11"/>
      <c r="T842" s="67">
        <f t="shared" ref="T842" si="674">SUM(Q842:S842)</f>
        <v>0</v>
      </c>
      <c r="U842" s="12">
        <f t="shared" ref="U842" si="675">P842+T842</f>
        <v>0</v>
      </c>
      <c r="V842" s="89"/>
    </row>
    <row r="843" spans="1:22" x14ac:dyDescent="0.15">
      <c r="A843" s="22"/>
      <c r="B843" s="9"/>
      <c r="C843" s="10"/>
      <c r="D843" s="11"/>
      <c r="E843" s="12">
        <f t="shared" si="667"/>
        <v>0</v>
      </c>
      <c r="F843" s="9"/>
      <c r="G843" s="10"/>
      <c r="H843" s="11"/>
      <c r="I843" s="67">
        <f t="shared" si="668"/>
        <v>0</v>
      </c>
      <c r="J843" s="12">
        <f t="shared" si="669"/>
        <v>0</v>
      </c>
      <c r="L843" s="22"/>
      <c r="M843" s="9"/>
      <c r="N843" s="10"/>
      <c r="O843" s="11"/>
      <c r="P843" s="12">
        <f t="shared" si="670"/>
        <v>0</v>
      </c>
      <c r="Q843" s="9"/>
      <c r="R843" s="10"/>
      <c r="S843" s="11"/>
      <c r="T843" s="67">
        <f t="shared" si="671"/>
        <v>0</v>
      </c>
      <c r="U843" s="12">
        <f t="shared" si="672"/>
        <v>0</v>
      </c>
      <c r="V843" s="89"/>
    </row>
    <row r="844" spans="1:22" x14ac:dyDescent="0.15">
      <c r="A844" s="24"/>
      <c r="B844" s="9"/>
      <c r="C844" s="10"/>
      <c r="D844" s="11"/>
      <c r="E844" s="12">
        <f t="shared" si="667"/>
        <v>0</v>
      </c>
      <c r="F844" s="9"/>
      <c r="G844" s="10"/>
      <c r="H844" s="11"/>
      <c r="I844" s="67">
        <f t="shared" si="668"/>
        <v>0</v>
      </c>
      <c r="J844" s="12">
        <f t="shared" si="669"/>
        <v>0</v>
      </c>
      <c r="L844" s="24"/>
      <c r="M844" s="9"/>
      <c r="N844" s="10"/>
      <c r="O844" s="11"/>
      <c r="P844" s="12">
        <f t="shared" si="670"/>
        <v>0</v>
      </c>
      <c r="Q844" s="9"/>
      <c r="R844" s="10"/>
      <c r="S844" s="11"/>
      <c r="T844" s="67">
        <f t="shared" si="671"/>
        <v>0</v>
      </c>
      <c r="U844" s="12">
        <f t="shared" si="672"/>
        <v>0</v>
      </c>
    </row>
    <row r="845" spans="1:22" x14ac:dyDescent="0.15">
      <c r="A845" s="24"/>
      <c r="B845" s="9"/>
      <c r="C845" s="10"/>
      <c r="D845" s="11"/>
      <c r="E845" s="12">
        <f t="shared" si="667"/>
        <v>0</v>
      </c>
      <c r="F845" s="9"/>
      <c r="G845" s="10"/>
      <c r="H845" s="11"/>
      <c r="I845" s="67">
        <f t="shared" si="668"/>
        <v>0</v>
      </c>
      <c r="J845" s="12">
        <f t="shared" si="669"/>
        <v>0</v>
      </c>
      <c r="L845" s="24"/>
      <c r="M845" s="9"/>
      <c r="N845" s="10"/>
      <c r="O845" s="11"/>
      <c r="P845" s="12">
        <f t="shared" si="670"/>
        <v>0</v>
      </c>
      <c r="Q845" s="9"/>
      <c r="R845" s="10"/>
      <c r="S845" s="11"/>
      <c r="T845" s="67">
        <f t="shared" si="671"/>
        <v>0</v>
      </c>
      <c r="U845" s="12">
        <f t="shared" si="672"/>
        <v>0</v>
      </c>
    </row>
    <row r="846" spans="1:22" x14ac:dyDescent="0.15">
      <c r="A846" s="22"/>
      <c r="B846" s="9"/>
      <c r="C846" s="10"/>
      <c r="D846" s="11"/>
      <c r="E846" s="12">
        <f t="shared" si="667"/>
        <v>0</v>
      </c>
      <c r="F846" s="9"/>
      <c r="G846" s="10"/>
      <c r="H846" s="11"/>
      <c r="I846" s="67">
        <f t="shared" si="668"/>
        <v>0</v>
      </c>
      <c r="J846" s="12">
        <f t="shared" si="669"/>
        <v>0</v>
      </c>
      <c r="L846" s="22"/>
      <c r="M846" s="9"/>
      <c r="N846" s="10"/>
      <c r="O846" s="11"/>
      <c r="P846" s="12">
        <f t="shared" si="670"/>
        <v>0</v>
      </c>
      <c r="Q846" s="9"/>
      <c r="R846" s="10"/>
      <c r="S846" s="11"/>
      <c r="T846" s="67">
        <f t="shared" si="671"/>
        <v>0</v>
      </c>
      <c r="U846" s="12">
        <f t="shared" si="672"/>
        <v>0</v>
      </c>
    </row>
    <row r="847" spans="1:22" x14ac:dyDescent="0.15">
      <c r="A847" s="24"/>
      <c r="B847" s="9"/>
      <c r="C847" s="10"/>
      <c r="D847" s="11"/>
      <c r="E847" s="12">
        <f t="shared" si="667"/>
        <v>0</v>
      </c>
      <c r="F847" s="9"/>
      <c r="G847" s="10"/>
      <c r="H847" s="11"/>
      <c r="I847" s="67">
        <f t="shared" si="668"/>
        <v>0</v>
      </c>
      <c r="J847" s="12">
        <f t="shared" si="669"/>
        <v>0</v>
      </c>
      <c r="L847" s="24"/>
      <c r="M847" s="9"/>
      <c r="N847" s="10"/>
      <c r="O847" s="11"/>
      <c r="P847" s="12">
        <f t="shared" si="670"/>
        <v>0</v>
      </c>
      <c r="Q847" s="9"/>
      <c r="R847" s="10"/>
      <c r="S847" s="11"/>
      <c r="T847" s="67">
        <f t="shared" si="671"/>
        <v>0</v>
      </c>
      <c r="U847" s="12">
        <f t="shared" si="672"/>
        <v>0</v>
      </c>
    </row>
    <row r="848" spans="1:22" x14ac:dyDescent="0.15">
      <c r="A848" s="24"/>
      <c r="B848" s="9"/>
      <c r="C848" s="10"/>
      <c r="D848" s="11"/>
      <c r="E848" s="12">
        <f t="shared" si="667"/>
        <v>0</v>
      </c>
      <c r="F848" s="9"/>
      <c r="G848" s="10"/>
      <c r="H848" s="11"/>
      <c r="I848" s="67">
        <f t="shared" si="668"/>
        <v>0</v>
      </c>
      <c r="J848" s="12">
        <f t="shared" si="669"/>
        <v>0</v>
      </c>
      <c r="L848" s="24"/>
      <c r="M848" s="9"/>
      <c r="N848" s="10"/>
      <c r="O848" s="11"/>
      <c r="P848" s="12">
        <f t="shared" si="670"/>
        <v>0</v>
      </c>
      <c r="Q848" s="9"/>
      <c r="R848" s="10"/>
      <c r="S848" s="11"/>
      <c r="T848" s="67">
        <f t="shared" si="671"/>
        <v>0</v>
      </c>
      <c r="U848" s="12">
        <f t="shared" si="672"/>
        <v>0</v>
      </c>
    </row>
    <row r="849" spans="1:22" x14ac:dyDescent="0.15">
      <c r="A849" s="21"/>
      <c r="B849" s="9"/>
      <c r="C849" s="10"/>
      <c r="D849" s="11"/>
      <c r="E849" s="12">
        <f t="shared" si="667"/>
        <v>0</v>
      </c>
      <c r="F849" s="9"/>
      <c r="G849" s="10"/>
      <c r="H849" s="11"/>
      <c r="I849" s="67">
        <f t="shared" si="668"/>
        <v>0</v>
      </c>
      <c r="J849" s="12">
        <f t="shared" si="669"/>
        <v>0</v>
      </c>
      <c r="L849" s="21"/>
      <c r="M849" s="9"/>
      <c r="N849" s="10"/>
      <c r="O849" s="11"/>
      <c r="P849" s="12">
        <f t="shared" si="670"/>
        <v>0</v>
      </c>
      <c r="Q849" s="9"/>
      <c r="R849" s="10"/>
      <c r="S849" s="11"/>
      <c r="T849" s="67">
        <f t="shared" si="671"/>
        <v>0</v>
      </c>
      <c r="U849" s="12">
        <f t="shared" si="672"/>
        <v>0</v>
      </c>
    </row>
    <row r="850" spans="1:22" x14ac:dyDescent="0.15">
      <c r="A850" s="21"/>
      <c r="B850" s="9"/>
      <c r="C850" s="10"/>
      <c r="D850" s="11"/>
      <c r="E850" s="12">
        <f t="shared" si="667"/>
        <v>0</v>
      </c>
      <c r="F850" s="9"/>
      <c r="G850" s="10"/>
      <c r="H850" s="11"/>
      <c r="I850" s="67">
        <f t="shared" si="668"/>
        <v>0</v>
      </c>
      <c r="J850" s="12">
        <f t="shared" si="669"/>
        <v>0</v>
      </c>
      <c r="L850" s="21"/>
      <c r="M850" s="9"/>
      <c r="N850" s="10"/>
      <c r="O850" s="11"/>
      <c r="P850" s="12">
        <f t="shared" si="670"/>
        <v>0</v>
      </c>
      <c r="Q850" s="9"/>
      <c r="R850" s="10"/>
      <c r="S850" s="11"/>
      <c r="T850" s="67">
        <f t="shared" si="671"/>
        <v>0</v>
      </c>
      <c r="U850" s="12">
        <f t="shared" si="672"/>
        <v>0</v>
      </c>
    </row>
    <row r="851" spans="1:22" x14ac:dyDescent="0.15">
      <c r="A851" s="21"/>
      <c r="B851" s="9"/>
      <c r="C851" s="10"/>
      <c r="D851" s="11"/>
      <c r="E851" s="12">
        <f t="shared" si="667"/>
        <v>0</v>
      </c>
      <c r="F851" s="9"/>
      <c r="G851" s="10"/>
      <c r="H851" s="11"/>
      <c r="I851" s="67">
        <f t="shared" si="668"/>
        <v>0</v>
      </c>
      <c r="J851" s="12">
        <f t="shared" si="669"/>
        <v>0</v>
      </c>
      <c r="L851" s="21"/>
      <c r="M851" s="9"/>
      <c r="N851" s="10"/>
      <c r="O851" s="11"/>
      <c r="P851" s="12">
        <f t="shared" si="670"/>
        <v>0</v>
      </c>
      <c r="Q851" s="9"/>
      <c r="R851" s="10"/>
      <c r="S851" s="11"/>
      <c r="T851" s="67">
        <f t="shared" si="671"/>
        <v>0</v>
      </c>
      <c r="U851" s="12">
        <f t="shared" si="672"/>
        <v>0</v>
      </c>
    </row>
    <row r="852" spans="1:22" x14ac:dyDescent="0.15">
      <c r="A852" s="24"/>
      <c r="B852" s="13"/>
      <c r="C852" s="14"/>
      <c r="D852" s="15"/>
      <c r="E852" s="12">
        <f t="shared" si="667"/>
        <v>0</v>
      </c>
      <c r="F852" s="13"/>
      <c r="G852" s="14"/>
      <c r="H852" s="15"/>
      <c r="I852" s="67">
        <f t="shared" si="668"/>
        <v>0</v>
      </c>
      <c r="J852" s="12">
        <f t="shared" si="669"/>
        <v>0</v>
      </c>
      <c r="L852" s="21"/>
      <c r="M852" s="9"/>
      <c r="N852" s="10"/>
      <c r="O852" s="11"/>
      <c r="P852" s="12">
        <f t="shared" ref="P852" si="676">SUM(M852:O852)</f>
        <v>0</v>
      </c>
      <c r="Q852" s="9"/>
      <c r="R852" s="10"/>
      <c r="S852" s="11"/>
      <c r="T852" s="67">
        <f t="shared" ref="T852" si="677">SUM(Q852:S852)</f>
        <v>0</v>
      </c>
      <c r="U852" s="12">
        <f t="shared" ref="U852" si="678">P852+T852</f>
        <v>0</v>
      </c>
      <c r="V852" s="89"/>
    </row>
    <row r="853" spans="1:22" x14ac:dyDescent="0.15">
      <c r="A853" s="24"/>
      <c r="B853" s="9"/>
      <c r="C853" s="10"/>
      <c r="D853" s="11"/>
      <c r="E853" s="12">
        <f t="shared" si="667"/>
        <v>0</v>
      </c>
      <c r="F853" s="9"/>
      <c r="G853" s="10"/>
      <c r="H853" s="11"/>
      <c r="I853" s="67">
        <f t="shared" si="668"/>
        <v>0</v>
      </c>
      <c r="J853" s="12">
        <f t="shared" si="669"/>
        <v>0</v>
      </c>
      <c r="L853" s="24" t="s">
        <v>410</v>
      </c>
      <c r="M853" s="166"/>
      <c r="N853" s="10"/>
      <c r="O853" s="154"/>
      <c r="P853" s="12">
        <f t="shared" ref="P853:P855" si="679">SUM(M853:O853)</f>
        <v>0</v>
      </c>
      <c r="Q853" s="166"/>
      <c r="R853" s="10"/>
      <c r="S853" s="154"/>
      <c r="T853" s="67">
        <f t="shared" ref="T853:T855" si="680">SUM(Q853:S853)</f>
        <v>0</v>
      </c>
      <c r="U853" s="12">
        <f t="shared" ref="U853:U855" si="681">P853+T853</f>
        <v>0</v>
      </c>
      <c r="V853" s="90" t="s">
        <v>411</v>
      </c>
    </row>
    <row r="854" spans="1:22" x14ac:dyDescent="0.15">
      <c r="A854" s="7"/>
      <c r="B854" s="9"/>
      <c r="C854" s="10"/>
      <c r="D854" s="11"/>
      <c r="E854" s="12">
        <f t="shared" si="667"/>
        <v>0</v>
      </c>
      <c r="F854" s="9"/>
      <c r="G854" s="10"/>
      <c r="H854" s="11"/>
      <c r="I854" s="67">
        <f t="shared" si="668"/>
        <v>0</v>
      </c>
      <c r="J854" s="12">
        <f t="shared" si="669"/>
        <v>0</v>
      </c>
      <c r="L854" s="24" t="s">
        <v>417</v>
      </c>
      <c r="M854" s="13"/>
      <c r="N854" s="14"/>
      <c r="O854" s="15"/>
      <c r="P854" s="12">
        <f t="shared" si="679"/>
        <v>0</v>
      </c>
      <c r="Q854" s="13"/>
      <c r="R854" s="14"/>
      <c r="S854" s="15"/>
      <c r="T854" s="67">
        <f t="shared" si="680"/>
        <v>0</v>
      </c>
      <c r="U854" s="12">
        <f t="shared" si="681"/>
        <v>0</v>
      </c>
      <c r="V854" s="90" t="s">
        <v>418</v>
      </c>
    </row>
    <row r="855" spans="1:22" x14ac:dyDescent="0.15">
      <c r="A855" s="59"/>
      <c r="B855" s="9"/>
      <c r="C855" s="10"/>
      <c r="D855" s="11"/>
      <c r="E855" s="12">
        <f t="shared" si="667"/>
        <v>0</v>
      </c>
      <c r="F855" s="9"/>
      <c r="G855" s="10"/>
      <c r="H855" s="11"/>
      <c r="I855" s="67">
        <f t="shared" si="668"/>
        <v>0</v>
      </c>
      <c r="J855" s="12">
        <f t="shared" si="669"/>
        <v>0</v>
      </c>
      <c r="L855" s="97" t="s">
        <v>384</v>
      </c>
      <c r="M855" s="144"/>
      <c r="N855" s="145"/>
      <c r="O855" s="146"/>
      <c r="P855" s="101">
        <f t="shared" si="679"/>
        <v>0</v>
      </c>
      <c r="Q855" s="144"/>
      <c r="R855" s="145"/>
      <c r="S855" s="146"/>
      <c r="T855" s="102">
        <f t="shared" si="680"/>
        <v>0</v>
      </c>
      <c r="U855" s="101">
        <f t="shared" si="681"/>
        <v>0</v>
      </c>
      <c r="V855" s="89"/>
    </row>
    <row r="856" spans="1:22" ht="14.25" thickBot="1" x14ac:dyDescent="0.2">
      <c r="A856" s="59"/>
      <c r="B856" s="9"/>
      <c r="C856" s="10"/>
      <c r="D856" s="11"/>
      <c r="E856" s="12">
        <f t="shared" si="667"/>
        <v>0</v>
      </c>
      <c r="F856" s="9"/>
      <c r="G856" s="10"/>
      <c r="H856" s="11"/>
      <c r="I856" s="67">
        <f t="shared" si="668"/>
        <v>0</v>
      </c>
      <c r="J856" s="12">
        <f t="shared" si="669"/>
        <v>0</v>
      </c>
      <c r="L856" s="22" t="s">
        <v>386</v>
      </c>
      <c r="M856" s="13"/>
      <c r="N856" s="14"/>
      <c r="O856" s="15"/>
      <c r="P856" s="12">
        <f t="shared" si="670"/>
        <v>0</v>
      </c>
      <c r="Q856" s="13"/>
      <c r="R856" s="14"/>
      <c r="S856" s="15"/>
      <c r="T856" s="67">
        <f t="shared" si="671"/>
        <v>0</v>
      </c>
      <c r="U856" s="12">
        <f t="shared" si="672"/>
        <v>0</v>
      </c>
      <c r="V856" s="89" t="s">
        <v>385</v>
      </c>
    </row>
    <row r="857" spans="1:22" ht="14.25" thickBot="1" x14ac:dyDescent="0.2">
      <c r="A857" s="37" t="s">
        <v>17</v>
      </c>
      <c r="B857" s="38">
        <f>SUM(B831:B856)</f>
        <v>5</v>
      </c>
      <c r="C857" s="39">
        <f>SUM(C831:C856)</f>
        <v>2</v>
      </c>
      <c r="D857" s="40">
        <f>SUM(D831:D856)</f>
        <v>6</v>
      </c>
      <c r="E857" s="41">
        <f>SUM(B857:D857)</f>
        <v>13</v>
      </c>
      <c r="F857" s="38">
        <f>SUM(F831:F856)</f>
        <v>4</v>
      </c>
      <c r="G857" s="39">
        <f>SUM(G831:G856)</f>
        <v>6</v>
      </c>
      <c r="H857" s="40">
        <f>SUM(H831:H856)</f>
        <v>0</v>
      </c>
      <c r="I857" s="41">
        <f>SUM(F857:H857)</f>
        <v>10</v>
      </c>
      <c r="J857" s="42">
        <f t="shared" si="669"/>
        <v>23</v>
      </c>
      <c r="L857" s="37" t="s">
        <v>17</v>
      </c>
      <c r="M857" s="38">
        <f>SUM(M831:M856)</f>
        <v>420</v>
      </c>
      <c r="N857" s="39">
        <f>SUM(N831:N856)</f>
        <v>547</v>
      </c>
      <c r="O857" s="40">
        <f>SUM(O831:O856)</f>
        <v>367</v>
      </c>
      <c r="P857" s="41">
        <f>SUM(M857:O857)</f>
        <v>1334</v>
      </c>
      <c r="Q857" s="38">
        <f>SUM(Q831:Q856)</f>
        <v>439</v>
      </c>
      <c r="R857" s="39">
        <f>SUM(R831:R856)</f>
        <v>503</v>
      </c>
      <c r="S857" s="40">
        <f>SUM(S831:S856)</f>
        <v>355</v>
      </c>
      <c r="T857" s="41">
        <f>SUM(Q857:S857)</f>
        <v>1297</v>
      </c>
      <c r="U857" s="42">
        <f t="shared" si="672"/>
        <v>2631</v>
      </c>
      <c r="V857" s="91"/>
    </row>
    <row r="858" spans="1:22" ht="14.25" thickBot="1" x14ac:dyDescent="0.2">
      <c r="A858" s="20" t="s">
        <v>18</v>
      </c>
      <c r="B858" s="63">
        <f>B830-B857</f>
        <v>7</v>
      </c>
      <c r="C858" s="64">
        <f t="shared" ref="C858:E858" si="682">C830-C857</f>
        <v>7</v>
      </c>
      <c r="D858" s="65">
        <f t="shared" si="682"/>
        <v>5</v>
      </c>
      <c r="E858" s="65">
        <f t="shared" si="682"/>
        <v>19</v>
      </c>
      <c r="F858" s="63">
        <f>F830-F857</f>
        <v>6</v>
      </c>
      <c r="G858" s="64">
        <f t="shared" ref="G858:I858" si="683">G830-G857</f>
        <v>5</v>
      </c>
      <c r="H858" s="65">
        <f t="shared" si="683"/>
        <v>12</v>
      </c>
      <c r="I858" s="65">
        <f t="shared" si="683"/>
        <v>23</v>
      </c>
      <c r="J858" s="29">
        <f t="shared" si="669"/>
        <v>42</v>
      </c>
      <c r="L858" s="112" t="s">
        <v>18</v>
      </c>
      <c r="M858" s="63">
        <f>M830-M857</f>
        <v>223</v>
      </c>
      <c r="N858" s="64">
        <f t="shared" ref="N858:P858" si="684">N830-N857</f>
        <v>337</v>
      </c>
      <c r="O858" s="65">
        <f t="shared" si="684"/>
        <v>149</v>
      </c>
      <c r="P858" s="65">
        <f t="shared" si="684"/>
        <v>709</v>
      </c>
      <c r="Q858" s="63">
        <f>Q830-Q857</f>
        <v>203</v>
      </c>
      <c r="R858" s="64">
        <f t="shared" ref="R858:T858" si="685">R830-R857</f>
        <v>362</v>
      </c>
      <c r="S858" s="65">
        <f t="shared" si="685"/>
        <v>135</v>
      </c>
      <c r="T858" s="65">
        <f t="shared" si="685"/>
        <v>700</v>
      </c>
      <c r="U858" s="29">
        <f t="shared" si="672"/>
        <v>1409</v>
      </c>
    </row>
    <row r="859" spans="1:22" x14ac:dyDescent="0.15">
      <c r="L859" s="149" t="s">
        <v>383</v>
      </c>
      <c r="M859" s="150">
        <v>325</v>
      </c>
      <c r="N859" s="150">
        <v>510</v>
      </c>
      <c r="O859" s="150">
        <v>305</v>
      </c>
      <c r="P859" s="150">
        <f>SUM(M859:O859)</f>
        <v>1140</v>
      </c>
      <c r="Q859" s="78"/>
      <c r="R859" s="78"/>
      <c r="S859" s="78"/>
      <c r="T859" s="78"/>
    </row>
    <row r="860" spans="1:22" x14ac:dyDescent="0.15">
      <c r="L860" s="149" t="s">
        <v>448</v>
      </c>
      <c r="M860" s="36">
        <v>0</v>
      </c>
      <c r="N860" s="36">
        <v>0</v>
      </c>
      <c r="O860" s="36">
        <v>0</v>
      </c>
      <c r="P860" s="36">
        <v>0</v>
      </c>
      <c r="Q860" s="165"/>
      <c r="R860" s="165"/>
      <c r="S860" s="165"/>
      <c r="T860" s="165"/>
      <c r="U860" s="36"/>
    </row>
    <row r="861" spans="1:22" ht="19.5" thickBot="1" x14ac:dyDescent="0.25">
      <c r="A861" s="3" t="s">
        <v>209</v>
      </c>
      <c r="B861" s="1"/>
      <c r="C861" s="1"/>
      <c r="D861" s="1"/>
      <c r="E861" s="1"/>
      <c r="F861" s="1"/>
      <c r="G861" s="1"/>
      <c r="H861" s="1"/>
      <c r="I861" s="1"/>
      <c r="J861" s="1"/>
      <c r="L861" s="149"/>
      <c r="M861" s="150"/>
      <c r="N861" s="150"/>
      <c r="O861" s="150"/>
      <c r="P861" s="150"/>
      <c r="Q861" s="1"/>
      <c r="R861" s="1"/>
      <c r="S861" s="1"/>
      <c r="T861" s="1" t="s">
        <v>422</v>
      </c>
      <c r="U861" s="1"/>
    </row>
    <row r="862" spans="1:22" ht="14.25" thickBot="1" x14ac:dyDescent="0.2">
      <c r="A862" s="8" t="s">
        <v>0</v>
      </c>
      <c r="B862" s="227" t="s">
        <v>19</v>
      </c>
      <c r="C862" s="228"/>
      <c r="D862" s="228"/>
      <c r="E862" s="229"/>
      <c r="F862" s="230" t="s">
        <v>20</v>
      </c>
      <c r="G862" s="231"/>
      <c r="H862" s="231"/>
      <c r="I862" s="232"/>
      <c r="J862" s="233" t="s">
        <v>1</v>
      </c>
      <c r="L862" s="8" t="s">
        <v>0</v>
      </c>
      <c r="M862" s="235" t="s">
        <v>19</v>
      </c>
      <c r="N862" s="236"/>
      <c r="O862" s="236"/>
      <c r="P862" s="237"/>
      <c r="Q862" s="238" t="s">
        <v>20</v>
      </c>
      <c r="R862" s="239"/>
      <c r="S862" s="239"/>
      <c r="T862" s="240"/>
      <c r="U862" s="224" t="s">
        <v>1</v>
      </c>
    </row>
    <row r="863" spans="1:22" ht="14.25" thickBot="1" x14ac:dyDescent="0.2">
      <c r="A863" s="8" t="s">
        <v>2</v>
      </c>
      <c r="B863" s="69" t="s">
        <v>3</v>
      </c>
      <c r="C863" s="70" t="s">
        <v>4</v>
      </c>
      <c r="D863" s="71" t="s">
        <v>5</v>
      </c>
      <c r="E863" s="8" t="s">
        <v>6</v>
      </c>
      <c r="F863" s="4" t="s">
        <v>3</v>
      </c>
      <c r="G863" s="5" t="s">
        <v>4</v>
      </c>
      <c r="H863" s="6" t="s">
        <v>5</v>
      </c>
      <c r="I863" s="8" t="s">
        <v>6</v>
      </c>
      <c r="J863" s="234"/>
      <c r="L863" s="8" t="s">
        <v>2</v>
      </c>
      <c r="M863" s="69" t="s">
        <v>3</v>
      </c>
      <c r="N863" s="70" t="s">
        <v>4</v>
      </c>
      <c r="O863" s="71" t="s">
        <v>5</v>
      </c>
      <c r="P863" s="8" t="s">
        <v>6</v>
      </c>
      <c r="Q863" s="4" t="s">
        <v>3</v>
      </c>
      <c r="R863" s="5" t="s">
        <v>4</v>
      </c>
      <c r="S863" s="6" t="s">
        <v>5</v>
      </c>
      <c r="T863" s="8" t="s">
        <v>6</v>
      </c>
      <c r="U863" s="225"/>
    </row>
    <row r="864" spans="1:22" ht="14.25" thickBot="1" x14ac:dyDescent="0.2">
      <c r="A864" s="25" t="s">
        <v>18</v>
      </c>
      <c r="B864" s="26">
        <f>B858</f>
        <v>7</v>
      </c>
      <c r="C864" s="27">
        <f t="shared" ref="C864:D864" si="686">C858</f>
        <v>7</v>
      </c>
      <c r="D864" s="49">
        <f t="shared" si="686"/>
        <v>5</v>
      </c>
      <c r="E864" s="68">
        <f t="shared" ref="E864:E872" si="687">SUM(B864:D864)</f>
        <v>19</v>
      </c>
      <c r="F864" s="26">
        <f>F858</f>
        <v>6</v>
      </c>
      <c r="G864" s="27">
        <f t="shared" ref="G864:H864" si="688">G858</f>
        <v>5</v>
      </c>
      <c r="H864" s="49">
        <f t="shared" si="688"/>
        <v>12</v>
      </c>
      <c r="I864" s="33">
        <f t="shared" ref="I864:I872" si="689">SUM(F864:H864)</f>
        <v>23</v>
      </c>
      <c r="J864" s="33">
        <f>E864+I864</f>
        <v>42</v>
      </c>
      <c r="L864" s="25" t="s">
        <v>18</v>
      </c>
      <c r="M864" s="26">
        <f>M858</f>
        <v>223</v>
      </c>
      <c r="N864" s="27">
        <f t="shared" ref="N864:O864" si="690">N858</f>
        <v>337</v>
      </c>
      <c r="O864" s="49">
        <f t="shared" si="690"/>
        <v>149</v>
      </c>
      <c r="P864" s="107">
        <f t="shared" ref="P864:P872" si="691">SUM(M864:O864)</f>
        <v>709</v>
      </c>
      <c r="Q864" s="26">
        <f>Q858</f>
        <v>203</v>
      </c>
      <c r="R864" s="27">
        <f t="shared" ref="R864:S864" si="692">R858</f>
        <v>362</v>
      </c>
      <c r="S864" s="49">
        <f t="shared" si="692"/>
        <v>135</v>
      </c>
      <c r="T864" s="29">
        <f t="shared" ref="T864:T872" si="693">SUM(Q864:S864)</f>
        <v>700</v>
      </c>
      <c r="U864" s="29">
        <f>P864+T864</f>
        <v>1409</v>
      </c>
    </row>
    <row r="865" spans="1:22" x14ac:dyDescent="0.15">
      <c r="A865" s="23" t="s">
        <v>8</v>
      </c>
      <c r="B865" s="47"/>
      <c r="C865" s="48"/>
      <c r="D865" s="72">
        <v>5</v>
      </c>
      <c r="E865" s="42">
        <f t="shared" si="687"/>
        <v>5</v>
      </c>
      <c r="F865" s="38">
        <v>10</v>
      </c>
      <c r="G865" s="39"/>
      <c r="H865" s="40"/>
      <c r="I865" s="66">
        <f t="shared" si="689"/>
        <v>10</v>
      </c>
      <c r="J865" s="57">
        <f t="shared" ref="J865:J872" si="694">E865+I865</f>
        <v>15</v>
      </c>
      <c r="K865" s="90">
        <v>45910</v>
      </c>
      <c r="L865" s="23" t="s">
        <v>8</v>
      </c>
      <c r="M865" s="16"/>
      <c r="N865" s="17"/>
      <c r="O865" s="43"/>
      <c r="P865" s="94">
        <f t="shared" si="691"/>
        <v>0</v>
      </c>
      <c r="Q865" s="16"/>
      <c r="R865" s="17"/>
      <c r="S865" s="43"/>
      <c r="T865" s="94">
        <f t="shared" si="693"/>
        <v>0</v>
      </c>
      <c r="U865" s="94">
        <f t="shared" ref="U865:U872" si="695">P865+T865</f>
        <v>0</v>
      </c>
    </row>
    <row r="866" spans="1:22" x14ac:dyDescent="0.15">
      <c r="A866" s="23" t="s">
        <v>9</v>
      </c>
      <c r="B866" s="9">
        <v>3</v>
      </c>
      <c r="C866" s="10">
        <v>3</v>
      </c>
      <c r="D866" s="44"/>
      <c r="E866" s="12">
        <f t="shared" si="687"/>
        <v>6</v>
      </c>
      <c r="F866" s="9"/>
      <c r="G866" s="10">
        <v>3</v>
      </c>
      <c r="H866" s="44"/>
      <c r="I866" s="12">
        <f t="shared" si="689"/>
        <v>3</v>
      </c>
      <c r="J866" s="12">
        <f t="shared" si="694"/>
        <v>9</v>
      </c>
      <c r="K866" s="90">
        <v>45918</v>
      </c>
      <c r="L866" s="23" t="s">
        <v>9</v>
      </c>
      <c r="M866" s="9"/>
      <c r="N866" s="10"/>
      <c r="O866" s="44"/>
      <c r="P866" s="12">
        <f t="shared" si="691"/>
        <v>0</v>
      </c>
      <c r="Q866" s="9"/>
      <c r="R866" s="10"/>
      <c r="S866" s="44"/>
      <c r="T866" s="12">
        <f t="shared" si="693"/>
        <v>0</v>
      </c>
      <c r="U866" s="12">
        <f t="shared" si="695"/>
        <v>0</v>
      </c>
    </row>
    <row r="867" spans="1:22" x14ac:dyDescent="0.15">
      <c r="A867" s="23" t="s">
        <v>10</v>
      </c>
      <c r="B867" s="16">
        <v>5</v>
      </c>
      <c r="C867" s="17"/>
      <c r="D867" s="43">
        <v>10</v>
      </c>
      <c r="E867" s="12">
        <f t="shared" si="687"/>
        <v>15</v>
      </c>
      <c r="F867" s="16">
        <v>5</v>
      </c>
      <c r="G867" s="17">
        <v>5</v>
      </c>
      <c r="H867" s="43">
        <v>5</v>
      </c>
      <c r="I867" s="12">
        <f t="shared" si="689"/>
        <v>15</v>
      </c>
      <c r="J867" s="12">
        <f t="shared" si="694"/>
        <v>30</v>
      </c>
      <c r="K867" s="90">
        <v>45931</v>
      </c>
      <c r="L867" s="23" t="s">
        <v>24</v>
      </c>
      <c r="M867" s="9">
        <v>350</v>
      </c>
      <c r="N867" s="10">
        <v>450</v>
      </c>
      <c r="O867" s="44">
        <v>300</v>
      </c>
      <c r="P867" s="12">
        <f t="shared" ref="P867:P869" si="696">SUM(M867:O867)</f>
        <v>1100</v>
      </c>
      <c r="Q867" s="9">
        <f>350+50</f>
        <v>400</v>
      </c>
      <c r="R867" s="10">
        <f>450+100</f>
        <v>550</v>
      </c>
      <c r="S867" s="44">
        <f>300+50</f>
        <v>350</v>
      </c>
      <c r="T867" s="12">
        <f t="shared" ref="T867:T869" si="697">SUM(Q867:S867)</f>
        <v>1300</v>
      </c>
      <c r="U867" s="12">
        <f t="shared" ref="U867:U869" si="698">P867+T867</f>
        <v>2400</v>
      </c>
      <c r="V867" s="90" t="s">
        <v>483</v>
      </c>
    </row>
    <row r="868" spans="1:22" x14ac:dyDescent="0.15">
      <c r="A868" s="23" t="s">
        <v>11</v>
      </c>
      <c r="B868" s="9"/>
      <c r="C868" s="10">
        <v>5</v>
      </c>
      <c r="D868" s="44"/>
      <c r="E868" s="12">
        <f t="shared" si="687"/>
        <v>5</v>
      </c>
      <c r="F868" s="9"/>
      <c r="G868" s="10"/>
      <c r="H868" s="44"/>
      <c r="I868" s="12">
        <f t="shared" si="689"/>
        <v>0</v>
      </c>
      <c r="J868" s="12">
        <f t="shared" si="694"/>
        <v>5</v>
      </c>
      <c r="K868" s="90">
        <v>45932</v>
      </c>
      <c r="L868" s="23" t="s">
        <v>11</v>
      </c>
      <c r="M868" s="9"/>
      <c r="N868" s="10"/>
      <c r="O868" s="44"/>
      <c r="P868" s="12">
        <f t="shared" si="696"/>
        <v>0</v>
      </c>
      <c r="Q868" s="9"/>
      <c r="R868" s="10"/>
      <c r="S868" s="44"/>
      <c r="T868" s="67">
        <f t="shared" si="697"/>
        <v>0</v>
      </c>
      <c r="U868" s="12">
        <f t="shared" si="698"/>
        <v>0</v>
      </c>
      <c r="V868" s="164"/>
    </row>
    <row r="869" spans="1:22" x14ac:dyDescent="0.15">
      <c r="A869" s="23" t="s">
        <v>12</v>
      </c>
      <c r="B869" s="9"/>
      <c r="C869" s="10"/>
      <c r="D869" s="44"/>
      <c r="E869" s="12">
        <f t="shared" si="687"/>
        <v>0</v>
      </c>
      <c r="F869" s="9"/>
      <c r="G869" s="10"/>
      <c r="H869" s="44"/>
      <c r="I869" s="67">
        <f t="shared" si="689"/>
        <v>0</v>
      </c>
      <c r="J869" s="12">
        <f t="shared" si="694"/>
        <v>0</v>
      </c>
      <c r="L869" s="23" t="s">
        <v>530</v>
      </c>
      <c r="M869" s="16">
        <v>250</v>
      </c>
      <c r="N869" s="17">
        <v>400</v>
      </c>
      <c r="O869" s="167">
        <v>400</v>
      </c>
      <c r="P869" s="94">
        <f t="shared" si="696"/>
        <v>1050</v>
      </c>
      <c r="Q869" s="16">
        <f>100-50</f>
        <v>50</v>
      </c>
      <c r="R869" s="17">
        <f>100-100</f>
        <v>0</v>
      </c>
      <c r="S869" s="43">
        <f>200-50</f>
        <v>150</v>
      </c>
      <c r="T869" s="94">
        <f t="shared" si="697"/>
        <v>200</v>
      </c>
      <c r="U869" s="94">
        <f t="shared" si="698"/>
        <v>1250</v>
      </c>
      <c r="V869" s="90" t="s">
        <v>489</v>
      </c>
    </row>
    <row r="870" spans="1:22" x14ac:dyDescent="0.15">
      <c r="A870" s="23" t="s">
        <v>13</v>
      </c>
      <c r="B870" s="9"/>
      <c r="C870" s="10"/>
      <c r="D870" s="44"/>
      <c r="E870" s="12">
        <f t="shared" si="687"/>
        <v>0</v>
      </c>
      <c r="F870" s="9"/>
      <c r="G870" s="10"/>
      <c r="H870" s="44"/>
      <c r="I870" s="67">
        <f t="shared" si="689"/>
        <v>0</v>
      </c>
      <c r="J870" s="12">
        <f t="shared" si="694"/>
        <v>0</v>
      </c>
      <c r="L870" s="23" t="s">
        <v>13</v>
      </c>
      <c r="M870" s="9"/>
      <c r="N870" s="10"/>
      <c r="O870" s="44"/>
      <c r="P870" s="12">
        <f t="shared" si="691"/>
        <v>0</v>
      </c>
      <c r="Q870" s="9"/>
      <c r="R870" s="10"/>
      <c r="S870" s="44"/>
      <c r="T870" s="67">
        <f t="shared" si="693"/>
        <v>0</v>
      </c>
      <c r="U870" s="12">
        <f t="shared" si="695"/>
        <v>0</v>
      </c>
      <c r="V870" s="89" t="s">
        <v>479</v>
      </c>
    </row>
    <row r="871" spans="1:22" x14ac:dyDescent="0.15">
      <c r="A871" s="23" t="s">
        <v>14</v>
      </c>
      <c r="B871" s="13"/>
      <c r="C871" s="14"/>
      <c r="D871" s="45"/>
      <c r="E871" s="12">
        <f t="shared" si="687"/>
        <v>0</v>
      </c>
      <c r="F871" s="13"/>
      <c r="G871" s="14"/>
      <c r="H871" s="45"/>
      <c r="I871" s="67">
        <f t="shared" si="689"/>
        <v>0</v>
      </c>
      <c r="J871" s="12">
        <f t="shared" si="694"/>
        <v>0</v>
      </c>
      <c r="L871" s="23" t="s">
        <v>14</v>
      </c>
      <c r="M871" s="13"/>
      <c r="N871" s="14"/>
      <c r="O871" s="45"/>
      <c r="P871" s="12">
        <f t="shared" si="691"/>
        <v>0</v>
      </c>
      <c r="Q871" s="13"/>
      <c r="R871" s="14"/>
      <c r="S871" s="45"/>
      <c r="T871" s="67">
        <f t="shared" si="693"/>
        <v>0</v>
      </c>
      <c r="U871" s="12">
        <f t="shared" si="695"/>
        <v>0</v>
      </c>
    </row>
    <row r="872" spans="1:22" ht="14.25" thickBot="1" x14ac:dyDescent="0.2">
      <c r="A872" s="23" t="s">
        <v>15</v>
      </c>
      <c r="B872" s="30"/>
      <c r="C872" s="31"/>
      <c r="D872" s="46"/>
      <c r="E872" s="12">
        <f t="shared" si="687"/>
        <v>0</v>
      </c>
      <c r="F872" s="30"/>
      <c r="G872" s="31"/>
      <c r="H872" s="46"/>
      <c r="I872" s="67">
        <f t="shared" si="689"/>
        <v>0</v>
      </c>
      <c r="J872" s="19">
        <f t="shared" si="694"/>
        <v>0</v>
      </c>
      <c r="L872" s="23" t="s">
        <v>15</v>
      </c>
      <c r="M872" s="13"/>
      <c r="N872" s="14"/>
      <c r="O872" s="45"/>
      <c r="P872" s="12">
        <f t="shared" si="691"/>
        <v>0</v>
      </c>
      <c r="Q872" s="13"/>
      <c r="R872" s="14"/>
      <c r="S872" s="45"/>
      <c r="T872" s="67">
        <f t="shared" si="693"/>
        <v>0</v>
      </c>
      <c r="U872" s="12">
        <f t="shared" si="695"/>
        <v>0</v>
      </c>
    </row>
    <row r="873" spans="1:22" ht="14.25" thickBot="1" x14ac:dyDescent="0.2">
      <c r="A873" s="32" t="s">
        <v>16</v>
      </c>
      <c r="B873" s="26">
        <f>SUM(B864:B872)</f>
        <v>15</v>
      </c>
      <c r="C873" s="27">
        <f t="shared" ref="C873:J873" si="699">SUM(C864:C872)</f>
        <v>15</v>
      </c>
      <c r="D873" s="49">
        <f t="shared" si="699"/>
        <v>20</v>
      </c>
      <c r="E873" s="75">
        <f t="shared" si="699"/>
        <v>50</v>
      </c>
      <c r="F873" s="26">
        <f t="shared" si="699"/>
        <v>21</v>
      </c>
      <c r="G873" s="27">
        <f t="shared" si="699"/>
        <v>13</v>
      </c>
      <c r="H873" s="49">
        <f t="shared" si="699"/>
        <v>17</v>
      </c>
      <c r="I873" s="74">
        <f t="shared" si="699"/>
        <v>51</v>
      </c>
      <c r="J873" s="29">
        <f t="shared" si="699"/>
        <v>101</v>
      </c>
      <c r="L873" s="32" t="s">
        <v>16</v>
      </c>
      <c r="M873" s="26">
        <f>SUM(M864:M872)</f>
        <v>823</v>
      </c>
      <c r="N873" s="27">
        <f t="shared" ref="N873:U873" si="700">SUM(N864:N872)</f>
        <v>1187</v>
      </c>
      <c r="O873" s="49">
        <f t="shared" si="700"/>
        <v>849</v>
      </c>
      <c r="P873" s="75">
        <f t="shared" si="700"/>
        <v>2859</v>
      </c>
      <c r="Q873" s="26">
        <f t="shared" si="700"/>
        <v>653</v>
      </c>
      <c r="R873" s="27">
        <f t="shared" si="700"/>
        <v>912</v>
      </c>
      <c r="S873" s="49">
        <f t="shared" si="700"/>
        <v>635</v>
      </c>
      <c r="T873" s="74">
        <f t="shared" si="700"/>
        <v>2200</v>
      </c>
      <c r="U873" s="29">
        <f t="shared" si="700"/>
        <v>5059</v>
      </c>
    </row>
    <row r="874" spans="1:22" x14ac:dyDescent="0.15">
      <c r="A874" s="24" t="s">
        <v>486</v>
      </c>
      <c r="B874" s="54">
        <v>4</v>
      </c>
      <c r="C874" s="55">
        <v>2</v>
      </c>
      <c r="D874" s="56">
        <v>6</v>
      </c>
      <c r="E874" s="42">
        <f t="shared" ref="E874:E899" si="701">SUM(B874:D874)</f>
        <v>12</v>
      </c>
      <c r="F874" s="54">
        <v>10</v>
      </c>
      <c r="G874" s="55"/>
      <c r="H874" s="56">
        <v>4</v>
      </c>
      <c r="I874" s="66">
        <f t="shared" ref="I874:I899" si="702">SUM(F874:H874)</f>
        <v>14</v>
      </c>
      <c r="J874" s="57">
        <f t="shared" ref="J874:J901" si="703">E874+I874</f>
        <v>26</v>
      </c>
      <c r="K874" s="90">
        <v>45912</v>
      </c>
      <c r="L874" s="97" t="s">
        <v>480</v>
      </c>
      <c r="M874" s="54">
        <v>10</v>
      </c>
      <c r="N874" s="55">
        <v>15</v>
      </c>
      <c r="O874" s="56">
        <v>10</v>
      </c>
      <c r="P874" s="42">
        <f t="shared" ref="P874:P896" si="704">SUM(M874:O874)</f>
        <v>35</v>
      </c>
      <c r="Q874" s="152">
        <v>10</v>
      </c>
      <c r="R874" s="55">
        <v>10</v>
      </c>
      <c r="S874" s="56">
        <v>10</v>
      </c>
      <c r="T874" s="42">
        <f t="shared" ref="T874:T896" si="705">SUM(Q874:S874)</f>
        <v>30</v>
      </c>
      <c r="U874" s="57">
        <f t="shared" ref="U874:U901" si="706">P874+T874</f>
        <v>65</v>
      </c>
      <c r="V874" s="90">
        <v>45905</v>
      </c>
    </row>
    <row r="875" spans="1:22" x14ac:dyDescent="0.15">
      <c r="A875" s="24" t="s">
        <v>499</v>
      </c>
      <c r="B875" s="16">
        <v>2</v>
      </c>
      <c r="C875" s="17">
        <v>2</v>
      </c>
      <c r="D875" s="18"/>
      <c r="E875" s="12">
        <f t="shared" si="701"/>
        <v>4</v>
      </c>
      <c r="F875" s="16">
        <v>2</v>
      </c>
      <c r="G875" s="17">
        <v>4</v>
      </c>
      <c r="H875" s="18">
        <v>4</v>
      </c>
      <c r="I875" s="67">
        <f t="shared" si="702"/>
        <v>10</v>
      </c>
      <c r="J875" s="12">
        <f t="shared" si="703"/>
        <v>14</v>
      </c>
      <c r="K875" s="90">
        <v>45922</v>
      </c>
      <c r="L875" s="97" t="s">
        <v>481</v>
      </c>
      <c r="M875" s="16">
        <v>20</v>
      </c>
      <c r="N875" s="17">
        <v>35</v>
      </c>
      <c r="O875" s="18">
        <v>25</v>
      </c>
      <c r="P875" s="12">
        <f t="shared" si="704"/>
        <v>80</v>
      </c>
      <c r="Q875" s="153">
        <v>10</v>
      </c>
      <c r="R875" s="17">
        <v>15</v>
      </c>
      <c r="S875" s="18"/>
      <c r="T875" s="12">
        <f t="shared" si="705"/>
        <v>25</v>
      </c>
      <c r="U875" s="12">
        <f t="shared" si="706"/>
        <v>105</v>
      </c>
      <c r="V875" s="90">
        <v>45905</v>
      </c>
    </row>
    <row r="876" spans="1:22" x14ac:dyDescent="0.15">
      <c r="A876" s="24" t="s">
        <v>45</v>
      </c>
      <c r="B876" s="9"/>
      <c r="C876" s="10"/>
      <c r="D876" s="11">
        <v>1</v>
      </c>
      <c r="E876" s="12">
        <f t="shared" si="701"/>
        <v>1</v>
      </c>
      <c r="F876" s="9"/>
      <c r="G876" s="10"/>
      <c r="H876" s="11"/>
      <c r="I876" s="67">
        <f t="shared" si="702"/>
        <v>0</v>
      </c>
      <c r="J876" s="12">
        <f t="shared" si="703"/>
        <v>1</v>
      </c>
      <c r="K876" s="90">
        <v>45917</v>
      </c>
      <c r="L876" s="21" t="s">
        <v>482</v>
      </c>
      <c r="M876" s="9">
        <v>14</v>
      </c>
      <c r="N876" s="10"/>
      <c r="O876" s="11"/>
      <c r="P876" s="12">
        <f t="shared" si="704"/>
        <v>14</v>
      </c>
      <c r="Q876" s="9"/>
      <c r="R876" s="10">
        <v>11</v>
      </c>
      <c r="S876" s="11">
        <v>12</v>
      </c>
      <c r="T876" s="67">
        <f t="shared" si="705"/>
        <v>23</v>
      </c>
      <c r="U876" s="12">
        <f t="shared" si="706"/>
        <v>37</v>
      </c>
      <c r="V876" s="90">
        <v>45902</v>
      </c>
    </row>
    <row r="877" spans="1:22" x14ac:dyDescent="0.15">
      <c r="A877" s="24" t="s">
        <v>45</v>
      </c>
      <c r="B877" s="9"/>
      <c r="C877" s="10"/>
      <c r="D877" s="11"/>
      <c r="E877" s="12">
        <f t="shared" si="701"/>
        <v>0</v>
      </c>
      <c r="F877" s="9"/>
      <c r="G877" s="10">
        <v>1</v>
      </c>
      <c r="H877" s="11"/>
      <c r="I877" s="67">
        <f t="shared" si="702"/>
        <v>1</v>
      </c>
      <c r="J877" s="12">
        <f t="shared" si="703"/>
        <v>1</v>
      </c>
      <c r="K877" s="90">
        <v>45918</v>
      </c>
      <c r="L877" s="21" t="s">
        <v>484</v>
      </c>
      <c r="M877" s="9">
        <v>12</v>
      </c>
      <c r="N877" s="10"/>
      <c r="O877" s="11"/>
      <c r="P877" s="12">
        <f t="shared" si="704"/>
        <v>12</v>
      </c>
      <c r="Q877" s="105"/>
      <c r="R877" s="10">
        <v>3</v>
      </c>
      <c r="S877" s="11"/>
      <c r="T877" s="12">
        <f t="shared" si="705"/>
        <v>3</v>
      </c>
      <c r="U877" s="12">
        <f t="shared" si="706"/>
        <v>15</v>
      </c>
      <c r="V877" s="90">
        <v>45904</v>
      </c>
    </row>
    <row r="878" spans="1:22" x14ac:dyDescent="0.15">
      <c r="A878" s="24" t="s">
        <v>45</v>
      </c>
      <c r="B878" s="9">
        <v>1</v>
      </c>
      <c r="C878" s="10"/>
      <c r="D878" s="11"/>
      <c r="E878" s="12">
        <f t="shared" si="701"/>
        <v>1</v>
      </c>
      <c r="F878" s="9">
        <v>1</v>
      </c>
      <c r="G878" s="10"/>
      <c r="H878" s="11"/>
      <c r="I878" s="67">
        <f t="shared" si="702"/>
        <v>1</v>
      </c>
      <c r="J878" s="12">
        <f t="shared" si="703"/>
        <v>2</v>
      </c>
      <c r="K878" s="90">
        <v>45919</v>
      </c>
      <c r="L878" s="24" t="s">
        <v>485</v>
      </c>
      <c r="M878" s="9">
        <v>80</v>
      </c>
      <c r="N878" s="10">
        <v>95</v>
      </c>
      <c r="O878" s="11">
        <v>60</v>
      </c>
      <c r="P878" s="12">
        <f t="shared" si="704"/>
        <v>235</v>
      </c>
      <c r="Q878" s="105">
        <v>30</v>
      </c>
      <c r="R878" s="10">
        <v>90</v>
      </c>
      <c r="S878" s="11">
        <v>25</v>
      </c>
      <c r="T878" s="12">
        <f t="shared" si="705"/>
        <v>145</v>
      </c>
      <c r="U878" s="12">
        <f t="shared" si="706"/>
        <v>380</v>
      </c>
      <c r="V878" s="90">
        <v>45910</v>
      </c>
    </row>
    <row r="879" spans="1:22" x14ac:dyDescent="0.15">
      <c r="A879" s="24" t="s">
        <v>45</v>
      </c>
      <c r="B879" s="9"/>
      <c r="C879" s="10"/>
      <c r="D879" s="11">
        <v>1</v>
      </c>
      <c r="E879" s="12">
        <f t="shared" si="701"/>
        <v>1</v>
      </c>
      <c r="F879" s="9"/>
      <c r="G879" s="10"/>
      <c r="H879" s="11">
        <v>1</v>
      </c>
      <c r="I879" s="67">
        <f t="shared" si="702"/>
        <v>1</v>
      </c>
      <c r="J879" s="12">
        <f t="shared" si="703"/>
        <v>2</v>
      </c>
      <c r="K879" s="90">
        <v>45925</v>
      </c>
      <c r="L879" s="24" t="s">
        <v>487</v>
      </c>
      <c r="M879" s="9"/>
      <c r="N879" s="10"/>
      <c r="O879" s="11">
        <v>5</v>
      </c>
      <c r="P879" s="12">
        <f t="shared" si="704"/>
        <v>5</v>
      </c>
      <c r="Q879" s="105">
        <v>10</v>
      </c>
      <c r="R879" s="10"/>
      <c r="S879" s="11"/>
      <c r="T879" s="12">
        <f t="shared" si="705"/>
        <v>10</v>
      </c>
      <c r="U879" s="12">
        <f t="shared" si="706"/>
        <v>15</v>
      </c>
      <c r="V879" s="90">
        <v>45910</v>
      </c>
    </row>
    <row r="880" spans="1:22" x14ac:dyDescent="0.15">
      <c r="A880" s="24"/>
      <c r="B880" s="9"/>
      <c r="C880" s="10"/>
      <c r="D880" s="11"/>
      <c r="E880" s="12">
        <f t="shared" ref="E880" si="707">SUM(B880:D880)</f>
        <v>0</v>
      </c>
      <c r="F880" s="9"/>
      <c r="G880" s="10"/>
      <c r="H880" s="11"/>
      <c r="I880" s="67">
        <f t="shared" ref="I880" si="708">SUM(F880:H880)</f>
        <v>0</v>
      </c>
      <c r="J880" s="12">
        <f t="shared" ref="J880" si="709">E880+I880</f>
        <v>0</v>
      </c>
      <c r="K880" s="89"/>
      <c r="L880" s="24" t="s">
        <v>488</v>
      </c>
      <c r="M880" s="9">
        <v>35</v>
      </c>
      <c r="N880" s="10">
        <v>40</v>
      </c>
      <c r="O880" s="11">
        <v>30</v>
      </c>
      <c r="P880" s="12">
        <f t="shared" si="704"/>
        <v>105</v>
      </c>
      <c r="Q880" s="105">
        <v>40</v>
      </c>
      <c r="R880" s="10"/>
      <c r="S880" s="11">
        <v>20</v>
      </c>
      <c r="T880" s="12">
        <f t="shared" si="705"/>
        <v>60</v>
      </c>
      <c r="U880" s="12">
        <f t="shared" si="706"/>
        <v>165</v>
      </c>
      <c r="V880" s="90">
        <v>45911</v>
      </c>
    </row>
    <row r="881" spans="1:22" x14ac:dyDescent="0.15">
      <c r="A881" s="24"/>
      <c r="B881" s="9"/>
      <c r="C881" s="10"/>
      <c r="D881" s="11"/>
      <c r="E881" s="12">
        <f t="shared" si="701"/>
        <v>0</v>
      </c>
      <c r="F881" s="9"/>
      <c r="G881" s="10"/>
      <c r="H881" s="11"/>
      <c r="I881" s="67">
        <f t="shared" si="702"/>
        <v>0</v>
      </c>
      <c r="J881" s="12">
        <f t="shared" si="703"/>
        <v>0</v>
      </c>
      <c r="K881" s="89"/>
      <c r="L881" s="97" t="s">
        <v>490</v>
      </c>
      <c r="M881" s="9">
        <v>10</v>
      </c>
      <c r="N881" s="10"/>
      <c r="O881" s="11">
        <v>15</v>
      </c>
      <c r="P881" s="12">
        <f t="shared" si="704"/>
        <v>25</v>
      </c>
      <c r="Q881" s="105">
        <v>10</v>
      </c>
      <c r="R881" s="10">
        <v>20</v>
      </c>
      <c r="S881" s="11">
        <v>10</v>
      </c>
      <c r="T881" s="12">
        <f t="shared" si="705"/>
        <v>40</v>
      </c>
      <c r="U881" s="12">
        <f t="shared" si="706"/>
        <v>65</v>
      </c>
      <c r="V881" s="90">
        <v>45911</v>
      </c>
    </row>
    <row r="882" spans="1:22" x14ac:dyDescent="0.15">
      <c r="A882" s="22"/>
      <c r="B882" s="9"/>
      <c r="C882" s="10"/>
      <c r="D882" s="11"/>
      <c r="E882" s="12">
        <f t="shared" si="701"/>
        <v>0</v>
      </c>
      <c r="F882" s="9"/>
      <c r="G882" s="10"/>
      <c r="H882" s="11"/>
      <c r="I882" s="67">
        <f t="shared" si="702"/>
        <v>0</v>
      </c>
      <c r="J882" s="12">
        <f t="shared" si="703"/>
        <v>0</v>
      </c>
      <c r="K882" s="89"/>
      <c r="L882" s="97" t="s">
        <v>491</v>
      </c>
      <c r="M882" s="9">
        <v>30</v>
      </c>
      <c r="N882" s="10">
        <v>10</v>
      </c>
      <c r="O882" s="11">
        <v>90</v>
      </c>
      <c r="P882" s="12">
        <f t="shared" si="704"/>
        <v>130</v>
      </c>
      <c r="Q882" s="105">
        <v>50</v>
      </c>
      <c r="R882" s="10">
        <v>90</v>
      </c>
      <c r="S882" s="11">
        <v>40</v>
      </c>
      <c r="T882" s="12">
        <f t="shared" si="705"/>
        <v>180</v>
      </c>
      <c r="U882" s="12">
        <f t="shared" si="706"/>
        <v>310</v>
      </c>
      <c r="V882" s="90">
        <v>45911</v>
      </c>
    </row>
    <row r="883" spans="1:22" x14ac:dyDescent="0.15">
      <c r="A883" s="24"/>
      <c r="B883" s="13"/>
      <c r="C883" s="14"/>
      <c r="D883" s="15"/>
      <c r="E883" s="12">
        <f t="shared" si="701"/>
        <v>0</v>
      </c>
      <c r="F883" s="13"/>
      <c r="G883" s="14"/>
      <c r="H883" s="15"/>
      <c r="I883" s="67">
        <f t="shared" si="702"/>
        <v>0</v>
      </c>
      <c r="J883" s="12">
        <f t="shared" si="703"/>
        <v>0</v>
      </c>
      <c r="K883" s="89"/>
      <c r="L883" s="24" t="s">
        <v>492</v>
      </c>
      <c r="M883" s="13"/>
      <c r="N883" s="14"/>
      <c r="O883" s="15"/>
      <c r="P883" s="12">
        <f t="shared" si="704"/>
        <v>0</v>
      </c>
      <c r="Q883" s="154"/>
      <c r="R883" s="14"/>
      <c r="S883" s="15">
        <v>30</v>
      </c>
      <c r="T883" s="12">
        <f t="shared" si="705"/>
        <v>30</v>
      </c>
      <c r="U883" s="12">
        <f t="shared" si="706"/>
        <v>30</v>
      </c>
      <c r="V883" s="90">
        <v>45912</v>
      </c>
    </row>
    <row r="884" spans="1:22" x14ac:dyDescent="0.15">
      <c r="A884" s="24"/>
      <c r="B884" s="9"/>
      <c r="C884" s="10"/>
      <c r="D884" s="11"/>
      <c r="E884" s="12">
        <f t="shared" si="701"/>
        <v>0</v>
      </c>
      <c r="F884" s="9"/>
      <c r="G884" s="10"/>
      <c r="H884" s="11"/>
      <c r="I884" s="67">
        <f t="shared" si="702"/>
        <v>0</v>
      </c>
      <c r="J884" s="12">
        <f t="shared" si="703"/>
        <v>0</v>
      </c>
      <c r="L884" s="24" t="s">
        <v>493</v>
      </c>
      <c r="M884" s="9">
        <v>55</v>
      </c>
      <c r="N884" s="10">
        <v>55</v>
      </c>
      <c r="O884" s="11">
        <v>40</v>
      </c>
      <c r="P884" s="12">
        <f t="shared" si="704"/>
        <v>150</v>
      </c>
      <c r="Q884" s="105">
        <v>30</v>
      </c>
      <c r="R884" s="10">
        <v>30</v>
      </c>
      <c r="S884" s="11"/>
      <c r="T884" s="12">
        <f t="shared" si="705"/>
        <v>60</v>
      </c>
      <c r="U884" s="12">
        <f t="shared" si="706"/>
        <v>210</v>
      </c>
      <c r="V884" s="90">
        <v>45913</v>
      </c>
    </row>
    <row r="885" spans="1:22" x14ac:dyDescent="0.15">
      <c r="A885" s="24"/>
      <c r="B885" s="9"/>
      <c r="C885" s="10"/>
      <c r="D885" s="11"/>
      <c r="E885" s="12">
        <f t="shared" si="701"/>
        <v>0</v>
      </c>
      <c r="F885" s="9"/>
      <c r="G885" s="10"/>
      <c r="H885" s="11"/>
      <c r="I885" s="67">
        <f t="shared" si="702"/>
        <v>0</v>
      </c>
      <c r="J885" s="12">
        <f t="shared" si="703"/>
        <v>0</v>
      </c>
      <c r="L885" s="97" t="s">
        <v>494</v>
      </c>
      <c r="M885" s="9">
        <v>10</v>
      </c>
      <c r="N885" s="10">
        <v>15</v>
      </c>
      <c r="O885" s="11">
        <v>20</v>
      </c>
      <c r="P885" s="12">
        <f t="shared" si="704"/>
        <v>45</v>
      </c>
      <c r="Q885" s="105"/>
      <c r="R885" s="10"/>
      <c r="S885" s="11">
        <v>5</v>
      </c>
      <c r="T885" s="12">
        <f t="shared" si="705"/>
        <v>5</v>
      </c>
      <c r="U885" s="12">
        <f t="shared" si="706"/>
        <v>50</v>
      </c>
      <c r="V885" s="90">
        <v>45913</v>
      </c>
    </row>
    <row r="886" spans="1:22" x14ac:dyDescent="0.15">
      <c r="A886" s="22"/>
      <c r="B886" s="9"/>
      <c r="C886" s="10"/>
      <c r="D886" s="11"/>
      <c r="E886" s="12">
        <f t="shared" si="701"/>
        <v>0</v>
      </c>
      <c r="F886" s="9"/>
      <c r="G886" s="10"/>
      <c r="H886" s="11"/>
      <c r="I886" s="67">
        <f t="shared" si="702"/>
        <v>0</v>
      </c>
      <c r="J886" s="12">
        <f t="shared" si="703"/>
        <v>0</v>
      </c>
      <c r="L886" s="24" t="s">
        <v>495</v>
      </c>
      <c r="M886" s="9"/>
      <c r="N886" s="10"/>
      <c r="O886" s="11">
        <v>15</v>
      </c>
      <c r="P886" s="12">
        <f t="shared" si="704"/>
        <v>15</v>
      </c>
      <c r="Q886" s="105"/>
      <c r="R886" s="10"/>
      <c r="S886" s="11">
        <v>10</v>
      </c>
      <c r="T886" s="12">
        <f t="shared" si="705"/>
        <v>10</v>
      </c>
      <c r="U886" s="12">
        <f t="shared" si="706"/>
        <v>25</v>
      </c>
      <c r="V886" s="90">
        <v>45913</v>
      </c>
    </row>
    <row r="887" spans="1:22" x14ac:dyDescent="0.15">
      <c r="A887" s="24"/>
      <c r="B887" s="9"/>
      <c r="C887" s="10"/>
      <c r="D887" s="11"/>
      <c r="E887" s="12">
        <f t="shared" si="701"/>
        <v>0</v>
      </c>
      <c r="F887" s="9"/>
      <c r="G887" s="10"/>
      <c r="H887" s="11"/>
      <c r="I887" s="67">
        <f t="shared" si="702"/>
        <v>0</v>
      </c>
      <c r="J887" s="12">
        <f t="shared" si="703"/>
        <v>0</v>
      </c>
      <c r="L887" s="97" t="s">
        <v>496</v>
      </c>
      <c r="M887" s="9">
        <v>5</v>
      </c>
      <c r="N887" s="10"/>
      <c r="O887" s="11"/>
      <c r="P887" s="12">
        <f t="shared" si="704"/>
        <v>5</v>
      </c>
      <c r="Q887" s="105"/>
      <c r="R887" s="10"/>
      <c r="S887" s="11">
        <v>5</v>
      </c>
      <c r="T887" s="12">
        <f t="shared" si="705"/>
        <v>5</v>
      </c>
      <c r="U887" s="12">
        <f t="shared" si="706"/>
        <v>10</v>
      </c>
      <c r="V887" s="90">
        <v>45913</v>
      </c>
    </row>
    <row r="888" spans="1:22" x14ac:dyDescent="0.15">
      <c r="A888" s="24"/>
      <c r="B888" s="9"/>
      <c r="C888" s="10"/>
      <c r="D888" s="11"/>
      <c r="E888" s="12">
        <f t="shared" si="701"/>
        <v>0</v>
      </c>
      <c r="F888" s="9"/>
      <c r="G888" s="10"/>
      <c r="H888" s="11"/>
      <c r="I888" s="67">
        <f t="shared" si="702"/>
        <v>0</v>
      </c>
      <c r="J888" s="12">
        <f t="shared" si="703"/>
        <v>0</v>
      </c>
      <c r="L888" s="97" t="s">
        <v>497</v>
      </c>
      <c r="M888" s="9">
        <v>5</v>
      </c>
      <c r="N888" s="10">
        <v>15</v>
      </c>
      <c r="O888" s="11"/>
      <c r="P888" s="12">
        <f t="shared" si="704"/>
        <v>20</v>
      </c>
      <c r="Q888" s="105"/>
      <c r="R888" s="10"/>
      <c r="S888" s="11"/>
      <c r="T888" s="12">
        <f t="shared" si="705"/>
        <v>0</v>
      </c>
      <c r="U888" s="12">
        <f t="shared" si="706"/>
        <v>20</v>
      </c>
      <c r="V888" s="90">
        <v>45913</v>
      </c>
    </row>
    <row r="889" spans="1:22" x14ac:dyDescent="0.15">
      <c r="A889" s="22"/>
      <c r="B889" s="9"/>
      <c r="C889" s="10"/>
      <c r="D889" s="11"/>
      <c r="E889" s="12">
        <f t="shared" si="701"/>
        <v>0</v>
      </c>
      <c r="F889" s="9"/>
      <c r="G889" s="10"/>
      <c r="H889" s="11"/>
      <c r="I889" s="67">
        <f t="shared" si="702"/>
        <v>0</v>
      </c>
      <c r="J889" s="12">
        <f t="shared" si="703"/>
        <v>0</v>
      </c>
      <c r="L889" s="97" t="s">
        <v>498</v>
      </c>
      <c r="M889" s="9"/>
      <c r="N889" s="10">
        <v>30</v>
      </c>
      <c r="O889" s="11"/>
      <c r="P889" s="12">
        <f t="shared" si="704"/>
        <v>30</v>
      </c>
      <c r="Q889" s="105"/>
      <c r="R889" s="10"/>
      <c r="S889" s="11"/>
      <c r="T889" s="12">
        <f t="shared" si="705"/>
        <v>0</v>
      </c>
      <c r="U889" s="12">
        <f t="shared" si="706"/>
        <v>30</v>
      </c>
      <c r="V889" s="90">
        <v>45917</v>
      </c>
    </row>
    <row r="890" spans="1:22" x14ac:dyDescent="0.15">
      <c r="A890" s="24"/>
      <c r="B890" s="9"/>
      <c r="C890" s="10"/>
      <c r="D890" s="11"/>
      <c r="E890" s="12">
        <f t="shared" si="701"/>
        <v>0</v>
      </c>
      <c r="F890" s="9"/>
      <c r="G890" s="10"/>
      <c r="H890" s="11"/>
      <c r="I890" s="67">
        <f t="shared" si="702"/>
        <v>0</v>
      </c>
      <c r="J890" s="12">
        <f t="shared" si="703"/>
        <v>0</v>
      </c>
      <c r="L890" s="97" t="s">
        <v>500</v>
      </c>
      <c r="M890" s="9">
        <v>60</v>
      </c>
      <c r="N890" s="10">
        <v>45</v>
      </c>
      <c r="O890" s="11"/>
      <c r="P890" s="12">
        <f t="shared" si="704"/>
        <v>105</v>
      </c>
      <c r="Q890" s="105">
        <v>55</v>
      </c>
      <c r="R890" s="10">
        <v>15</v>
      </c>
      <c r="S890" s="11">
        <v>10</v>
      </c>
      <c r="T890" s="12">
        <f t="shared" si="705"/>
        <v>80</v>
      </c>
      <c r="U890" s="12">
        <f t="shared" si="706"/>
        <v>185</v>
      </c>
      <c r="V890" s="90">
        <v>45918</v>
      </c>
    </row>
    <row r="891" spans="1:22" x14ac:dyDescent="0.15">
      <c r="A891" s="24"/>
      <c r="B891" s="9"/>
      <c r="C891" s="10"/>
      <c r="D891" s="11"/>
      <c r="E891" s="12">
        <f t="shared" si="701"/>
        <v>0</v>
      </c>
      <c r="F891" s="9"/>
      <c r="G891" s="10"/>
      <c r="H891" s="11"/>
      <c r="I891" s="67">
        <f t="shared" si="702"/>
        <v>0</v>
      </c>
      <c r="J891" s="12">
        <f t="shared" si="703"/>
        <v>0</v>
      </c>
      <c r="L891" s="24" t="s">
        <v>38</v>
      </c>
      <c r="M891" s="9">
        <v>3</v>
      </c>
      <c r="N891" s="10">
        <v>3</v>
      </c>
      <c r="O891" s="11"/>
      <c r="P891" s="12">
        <f t="shared" si="704"/>
        <v>6</v>
      </c>
      <c r="Q891" s="105"/>
      <c r="R891" s="10">
        <v>3</v>
      </c>
      <c r="S891" s="11"/>
      <c r="T891" s="12">
        <f t="shared" si="705"/>
        <v>3</v>
      </c>
      <c r="U891" s="12">
        <f t="shared" si="706"/>
        <v>9</v>
      </c>
      <c r="V891" s="90">
        <v>45918</v>
      </c>
    </row>
    <row r="892" spans="1:22" x14ac:dyDescent="0.15">
      <c r="A892" s="21"/>
      <c r="B892" s="9"/>
      <c r="C892" s="10"/>
      <c r="D892" s="11"/>
      <c r="E892" s="12">
        <f t="shared" si="701"/>
        <v>0</v>
      </c>
      <c r="F892" s="9"/>
      <c r="G892" s="10"/>
      <c r="H892" s="11"/>
      <c r="I892" s="67">
        <f t="shared" si="702"/>
        <v>0</v>
      </c>
      <c r="J892" s="12">
        <f t="shared" si="703"/>
        <v>0</v>
      </c>
      <c r="L892" s="21" t="s">
        <v>501</v>
      </c>
      <c r="M892" s="9">
        <v>25</v>
      </c>
      <c r="N892" s="10">
        <v>30</v>
      </c>
      <c r="O892" s="11">
        <v>10</v>
      </c>
      <c r="P892" s="12">
        <f t="shared" si="704"/>
        <v>65</v>
      </c>
      <c r="Q892" s="105">
        <v>20</v>
      </c>
      <c r="R892" s="10">
        <v>25</v>
      </c>
      <c r="S892" s="11">
        <v>5</v>
      </c>
      <c r="T892" s="12">
        <f t="shared" si="705"/>
        <v>50</v>
      </c>
      <c r="U892" s="12">
        <f t="shared" si="706"/>
        <v>115</v>
      </c>
      <c r="V892" s="90">
        <v>45925</v>
      </c>
    </row>
    <row r="893" spans="1:22" x14ac:dyDescent="0.15">
      <c r="A893" s="21"/>
      <c r="B893" s="9"/>
      <c r="C893" s="10"/>
      <c r="D893" s="11"/>
      <c r="E893" s="12">
        <f t="shared" si="701"/>
        <v>0</v>
      </c>
      <c r="F893" s="9"/>
      <c r="G893" s="10"/>
      <c r="H893" s="11"/>
      <c r="I893" s="67">
        <f t="shared" si="702"/>
        <v>0</v>
      </c>
      <c r="J893" s="12">
        <f t="shared" si="703"/>
        <v>0</v>
      </c>
      <c r="L893" s="21"/>
      <c r="M893" s="9"/>
      <c r="N893" s="10"/>
      <c r="O893" s="11"/>
      <c r="P893" s="12">
        <f t="shared" si="704"/>
        <v>0</v>
      </c>
      <c r="Q893" s="105"/>
      <c r="R893" s="10"/>
      <c r="S893" s="11"/>
      <c r="T893" s="12">
        <f t="shared" si="705"/>
        <v>0</v>
      </c>
      <c r="U893" s="12">
        <f t="shared" si="706"/>
        <v>0</v>
      </c>
      <c r="V893" s="89"/>
    </row>
    <row r="894" spans="1:22" x14ac:dyDescent="0.15">
      <c r="A894" s="21"/>
      <c r="B894" s="9"/>
      <c r="C894" s="10"/>
      <c r="D894" s="11"/>
      <c r="E894" s="12">
        <f t="shared" si="701"/>
        <v>0</v>
      </c>
      <c r="F894" s="9"/>
      <c r="G894" s="10"/>
      <c r="H894" s="11"/>
      <c r="I894" s="67">
        <f t="shared" si="702"/>
        <v>0</v>
      </c>
      <c r="J894" s="12">
        <f t="shared" si="703"/>
        <v>0</v>
      </c>
      <c r="L894" s="24" t="s">
        <v>440</v>
      </c>
      <c r="M894" s="13"/>
      <c r="N894" s="14"/>
      <c r="O894" s="15"/>
      <c r="P894" s="12">
        <f t="shared" si="704"/>
        <v>0</v>
      </c>
      <c r="Q894" s="13"/>
      <c r="R894" s="14"/>
      <c r="S894" s="15"/>
      <c r="T894" s="67">
        <f t="shared" si="705"/>
        <v>0</v>
      </c>
      <c r="U894" s="12">
        <f t="shared" si="706"/>
        <v>0</v>
      </c>
      <c r="V894" s="90" t="s">
        <v>441</v>
      </c>
    </row>
    <row r="895" spans="1:22" x14ac:dyDescent="0.15">
      <c r="A895" s="24"/>
      <c r="B895" s="13"/>
      <c r="C895" s="14"/>
      <c r="D895" s="15"/>
      <c r="E895" s="12">
        <f t="shared" si="701"/>
        <v>0</v>
      </c>
      <c r="F895" s="13"/>
      <c r="G895" s="14"/>
      <c r="H895" s="15"/>
      <c r="I895" s="67">
        <f t="shared" si="702"/>
        <v>0</v>
      </c>
      <c r="J895" s="12">
        <f t="shared" si="703"/>
        <v>0</v>
      </c>
      <c r="L895" s="21" t="s">
        <v>444</v>
      </c>
      <c r="M895" s="9"/>
      <c r="N895" s="10"/>
      <c r="O895" s="11"/>
      <c r="P895" s="12">
        <f t="shared" ref="P895" si="710">SUM(M895:O895)</f>
        <v>0</v>
      </c>
      <c r="Q895" s="105"/>
      <c r="R895" s="10"/>
      <c r="S895" s="11"/>
      <c r="T895" s="12">
        <f t="shared" ref="T895" si="711">SUM(Q895:S895)</f>
        <v>0</v>
      </c>
      <c r="U895" s="12">
        <f t="shared" ref="U895" si="712">P895+T895</f>
        <v>0</v>
      </c>
      <c r="V895" s="89" t="s">
        <v>443</v>
      </c>
    </row>
    <row r="896" spans="1:22" x14ac:dyDescent="0.15">
      <c r="A896" s="24"/>
      <c r="B896" s="9"/>
      <c r="C896" s="10"/>
      <c r="D896" s="11"/>
      <c r="E896" s="12">
        <f t="shared" si="701"/>
        <v>0</v>
      </c>
      <c r="F896" s="9"/>
      <c r="G896" s="10"/>
      <c r="H896" s="11"/>
      <c r="I896" s="67">
        <f t="shared" si="702"/>
        <v>0</v>
      </c>
      <c r="J896" s="12">
        <f t="shared" si="703"/>
        <v>0</v>
      </c>
      <c r="L896" s="155" t="s">
        <v>420</v>
      </c>
      <c r="M896" s="168"/>
      <c r="N896" s="169"/>
      <c r="O896" s="170"/>
      <c r="P896" s="171">
        <f t="shared" si="704"/>
        <v>0</v>
      </c>
      <c r="Q896" s="172"/>
      <c r="R896" s="169"/>
      <c r="S896" s="170"/>
      <c r="T896" s="171">
        <f t="shared" si="705"/>
        <v>0</v>
      </c>
      <c r="U896" s="171">
        <f t="shared" si="706"/>
        <v>0</v>
      </c>
      <c r="V896" s="89"/>
    </row>
    <row r="897" spans="1:22" x14ac:dyDescent="0.15">
      <c r="A897" s="7"/>
      <c r="B897" s="9"/>
      <c r="C897" s="10"/>
      <c r="D897" s="11"/>
      <c r="E897" s="12">
        <f t="shared" si="701"/>
        <v>0</v>
      </c>
      <c r="F897" s="9"/>
      <c r="G897" s="10"/>
      <c r="H897" s="11"/>
      <c r="I897" s="67">
        <f t="shared" si="702"/>
        <v>0</v>
      </c>
      <c r="J897" s="12">
        <f t="shared" si="703"/>
        <v>0</v>
      </c>
      <c r="L897" s="24" t="s">
        <v>416</v>
      </c>
      <c r="M897" s="9"/>
      <c r="N897" s="10"/>
      <c r="O897" s="11"/>
      <c r="P897" s="12">
        <f t="shared" ref="P897:P899" si="713">SUM(M897:O897)</f>
        <v>0</v>
      </c>
      <c r="Q897" s="105"/>
      <c r="R897" s="10"/>
      <c r="S897" s="11"/>
      <c r="T897" s="12">
        <f t="shared" ref="T897:T899" si="714">SUM(Q897:S897)</f>
        <v>0</v>
      </c>
      <c r="U897" s="12">
        <f t="shared" ref="U897:U899" si="715">P897+T897</f>
        <v>0</v>
      </c>
      <c r="V897" s="89" t="s">
        <v>419</v>
      </c>
    </row>
    <row r="898" spans="1:22" x14ac:dyDescent="0.15">
      <c r="A898" s="59"/>
      <c r="B898" s="9"/>
      <c r="C898" s="10"/>
      <c r="D898" s="11"/>
      <c r="E898" s="12">
        <f t="shared" si="701"/>
        <v>0</v>
      </c>
      <c r="F898" s="9"/>
      <c r="G898" s="10"/>
      <c r="H898" s="11"/>
      <c r="I898" s="67">
        <f t="shared" si="702"/>
        <v>0</v>
      </c>
      <c r="J898" s="12">
        <f t="shared" si="703"/>
        <v>0</v>
      </c>
      <c r="L898" s="97" t="s">
        <v>424</v>
      </c>
      <c r="M898" s="173"/>
      <c r="N898" s="174"/>
      <c r="O898" s="175"/>
      <c r="P898" s="101">
        <f t="shared" si="713"/>
        <v>0</v>
      </c>
      <c r="Q898" s="175"/>
      <c r="R898" s="174"/>
      <c r="S898" s="175"/>
      <c r="T898" s="101">
        <f t="shared" si="714"/>
        <v>0</v>
      </c>
      <c r="U898" s="101">
        <f t="shared" si="715"/>
        <v>0</v>
      </c>
      <c r="V898" s="103"/>
    </row>
    <row r="899" spans="1:22" ht="14.25" thickBot="1" x14ac:dyDescent="0.2">
      <c r="A899" s="59"/>
      <c r="B899" s="9"/>
      <c r="C899" s="10"/>
      <c r="D899" s="11"/>
      <c r="E899" s="12">
        <f t="shared" si="701"/>
        <v>0</v>
      </c>
      <c r="F899" s="9"/>
      <c r="G899" s="10"/>
      <c r="H899" s="11"/>
      <c r="I899" s="67">
        <f t="shared" si="702"/>
        <v>0</v>
      </c>
      <c r="J899" s="12">
        <f t="shared" si="703"/>
        <v>0</v>
      </c>
      <c r="L899" s="97" t="s">
        <v>425</v>
      </c>
      <c r="M899" s="1"/>
      <c r="N899" s="176"/>
      <c r="O899" s="1"/>
      <c r="P899" s="12">
        <f t="shared" si="713"/>
        <v>0</v>
      </c>
      <c r="Q899" s="1"/>
      <c r="R899" s="176"/>
      <c r="S899" s="1"/>
      <c r="T899" s="12">
        <f t="shared" si="714"/>
        <v>0</v>
      </c>
      <c r="U899" s="12">
        <f t="shared" si="715"/>
        <v>0</v>
      </c>
      <c r="V899" s="89" t="s">
        <v>445</v>
      </c>
    </row>
    <row r="900" spans="1:22" ht="14.25" thickBot="1" x14ac:dyDescent="0.2">
      <c r="A900" s="37" t="s">
        <v>17</v>
      </c>
      <c r="B900" s="38">
        <f>SUM(B874:B899)</f>
        <v>7</v>
      </c>
      <c r="C900" s="39">
        <f>SUM(C874:C899)</f>
        <v>4</v>
      </c>
      <c r="D900" s="40">
        <f>SUM(D874:D899)</f>
        <v>8</v>
      </c>
      <c r="E900" s="41">
        <f>SUM(B900:D900)</f>
        <v>19</v>
      </c>
      <c r="F900" s="38">
        <f>SUM(F874:F899)</f>
        <v>13</v>
      </c>
      <c r="G900" s="39">
        <f>SUM(G874:G899)</f>
        <v>5</v>
      </c>
      <c r="H900" s="40">
        <f>SUM(H874:H899)</f>
        <v>9</v>
      </c>
      <c r="I900" s="41">
        <f>SUM(F900:H900)</f>
        <v>27</v>
      </c>
      <c r="J900" s="42">
        <f t="shared" si="703"/>
        <v>46</v>
      </c>
      <c r="L900" s="37" t="s">
        <v>17</v>
      </c>
      <c r="M900" s="38">
        <f>SUM(M874:M899)</f>
        <v>374</v>
      </c>
      <c r="N900" s="39">
        <f>SUM(N874:N899)</f>
        <v>388</v>
      </c>
      <c r="O900" s="40">
        <f>SUM(O874:O899)</f>
        <v>320</v>
      </c>
      <c r="P900" s="41">
        <f>SUM(M900:O900)</f>
        <v>1082</v>
      </c>
      <c r="Q900" s="38">
        <f>SUM(Q874:Q899)</f>
        <v>265</v>
      </c>
      <c r="R900" s="39">
        <f>SUM(R874:R899)</f>
        <v>312</v>
      </c>
      <c r="S900" s="40">
        <f>SUM(S874:S899)</f>
        <v>182</v>
      </c>
      <c r="T900" s="41">
        <f>SUM(Q900:S900)</f>
        <v>759</v>
      </c>
      <c r="U900" s="42">
        <f t="shared" si="706"/>
        <v>1841</v>
      </c>
    </row>
    <row r="901" spans="1:22" ht="14.25" thickBot="1" x14ac:dyDescent="0.2">
      <c r="A901" s="20" t="s">
        <v>18</v>
      </c>
      <c r="B901" s="63">
        <f>B873-B900</f>
        <v>8</v>
      </c>
      <c r="C901" s="64">
        <f t="shared" ref="C901:E901" si="716">C873-C900</f>
        <v>11</v>
      </c>
      <c r="D901" s="65">
        <f t="shared" si="716"/>
        <v>12</v>
      </c>
      <c r="E901" s="65">
        <f t="shared" si="716"/>
        <v>31</v>
      </c>
      <c r="F901" s="63">
        <f>F873-F900</f>
        <v>8</v>
      </c>
      <c r="G901" s="64">
        <f t="shared" ref="G901:I901" si="717">G873-G900</f>
        <v>8</v>
      </c>
      <c r="H901" s="65">
        <f t="shared" si="717"/>
        <v>8</v>
      </c>
      <c r="I901" s="65">
        <f t="shared" si="717"/>
        <v>24</v>
      </c>
      <c r="J901" s="29">
        <f t="shared" si="703"/>
        <v>55</v>
      </c>
      <c r="L901" s="112" t="s">
        <v>18</v>
      </c>
      <c r="M901" s="63">
        <f>M873-M900</f>
        <v>449</v>
      </c>
      <c r="N901" s="64">
        <f t="shared" ref="N901:P901" si="718">N873-N900</f>
        <v>799</v>
      </c>
      <c r="O901" s="65">
        <f t="shared" si="718"/>
        <v>529</v>
      </c>
      <c r="P901" s="65">
        <f t="shared" si="718"/>
        <v>1777</v>
      </c>
      <c r="Q901" s="63">
        <f>Q873-Q900</f>
        <v>388</v>
      </c>
      <c r="R901" s="64">
        <f t="shared" ref="R901:T901" si="719">R873-R900</f>
        <v>600</v>
      </c>
      <c r="S901" s="65">
        <f t="shared" si="719"/>
        <v>453</v>
      </c>
      <c r="T901" s="65">
        <f t="shared" si="719"/>
        <v>1441</v>
      </c>
      <c r="U901" s="29">
        <f t="shared" si="706"/>
        <v>3218</v>
      </c>
    </row>
    <row r="902" spans="1:22" x14ac:dyDescent="0.15">
      <c r="L902" s="134" t="s">
        <v>388</v>
      </c>
      <c r="M902" s="36">
        <v>105</v>
      </c>
      <c r="N902" s="36">
        <v>160</v>
      </c>
      <c r="O902" s="36">
        <v>115</v>
      </c>
      <c r="P902" s="36">
        <v>380</v>
      </c>
      <c r="Q902" s="36">
        <v>115</v>
      </c>
      <c r="R902" s="36">
        <v>90</v>
      </c>
      <c r="S902" s="36">
        <v>100</v>
      </c>
      <c r="T902" s="36">
        <v>305</v>
      </c>
      <c r="U902" s="36">
        <v>685</v>
      </c>
    </row>
    <row r="903" spans="1:22" x14ac:dyDescent="0.15">
      <c r="L903" s="148"/>
      <c r="M903" s="151"/>
      <c r="N903" s="120"/>
      <c r="O903" s="120"/>
      <c r="P903" s="120"/>
      <c r="Q903" s="120"/>
      <c r="R903" s="120"/>
      <c r="S903" s="120"/>
      <c r="T903" s="120"/>
      <c r="U903" s="120"/>
    </row>
    <row r="904" spans="1:22" ht="19.5" thickBot="1" x14ac:dyDescent="0.25">
      <c r="A904" s="3" t="s">
        <v>209</v>
      </c>
      <c r="B904" s="1"/>
      <c r="C904" s="1"/>
      <c r="D904" s="1"/>
      <c r="E904" s="1"/>
      <c r="F904" s="1"/>
      <c r="G904" s="1"/>
      <c r="H904" s="1"/>
      <c r="I904" s="1"/>
      <c r="J904" s="1"/>
      <c r="L904" s="226" t="s">
        <v>208</v>
      </c>
      <c r="M904" s="226"/>
      <c r="N904" s="226"/>
      <c r="O904" s="226"/>
      <c r="P904" s="226"/>
      <c r="Q904" s="1"/>
      <c r="R904" s="1"/>
      <c r="S904" s="1"/>
      <c r="T904" s="1" t="s">
        <v>422</v>
      </c>
      <c r="U904" s="1"/>
    </row>
    <row r="905" spans="1:22" ht="14.25" thickBot="1" x14ac:dyDescent="0.2">
      <c r="A905" s="8" t="s">
        <v>0</v>
      </c>
      <c r="B905" s="227" t="s">
        <v>19</v>
      </c>
      <c r="C905" s="228"/>
      <c r="D905" s="228"/>
      <c r="E905" s="229"/>
      <c r="F905" s="230" t="s">
        <v>20</v>
      </c>
      <c r="G905" s="231"/>
      <c r="H905" s="231"/>
      <c r="I905" s="232"/>
      <c r="J905" s="233" t="s">
        <v>1</v>
      </c>
      <c r="L905" s="8" t="s">
        <v>0</v>
      </c>
      <c r="M905" s="235" t="s">
        <v>19</v>
      </c>
      <c r="N905" s="236"/>
      <c r="O905" s="236"/>
      <c r="P905" s="237"/>
      <c r="Q905" s="238" t="s">
        <v>20</v>
      </c>
      <c r="R905" s="239"/>
      <c r="S905" s="239"/>
      <c r="T905" s="240"/>
      <c r="U905" s="224" t="s">
        <v>1</v>
      </c>
    </row>
    <row r="906" spans="1:22" ht="14.25" thickBot="1" x14ac:dyDescent="0.2">
      <c r="A906" s="8" t="s">
        <v>2</v>
      </c>
      <c r="B906" s="69" t="s">
        <v>3</v>
      </c>
      <c r="C906" s="70" t="s">
        <v>4</v>
      </c>
      <c r="D906" s="71" t="s">
        <v>5</v>
      </c>
      <c r="E906" s="8" t="s">
        <v>6</v>
      </c>
      <c r="F906" s="4" t="s">
        <v>3</v>
      </c>
      <c r="G906" s="5" t="s">
        <v>4</v>
      </c>
      <c r="H906" s="6" t="s">
        <v>5</v>
      </c>
      <c r="I906" s="8" t="s">
        <v>6</v>
      </c>
      <c r="J906" s="234"/>
      <c r="L906" s="8" t="s">
        <v>2</v>
      </c>
      <c r="M906" s="69" t="s">
        <v>3</v>
      </c>
      <c r="N906" s="70" t="s">
        <v>4</v>
      </c>
      <c r="O906" s="71" t="s">
        <v>5</v>
      </c>
      <c r="P906" s="8" t="s">
        <v>6</v>
      </c>
      <c r="Q906" s="4" t="s">
        <v>3</v>
      </c>
      <c r="R906" s="5" t="s">
        <v>4</v>
      </c>
      <c r="S906" s="6" t="s">
        <v>5</v>
      </c>
      <c r="T906" s="8" t="s">
        <v>6</v>
      </c>
      <c r="U906" s="225"/>
    </row>
    <row r="907" spans="1:22" ht="14.25" thickBot="1" x14ac:dyDescent="0.2">
      <c r="A907" s="25" t="s">
        <v>18</v>
      </c>
      <c r="B907" s="26">
        <f>B901</f>
        <v>8</v>
      </c>
      <c r="C907" s="27">
        <f t="shared" ref="C907:D907" si="720">C901</f>
        <v>11</v>
      </c>
      <c r="D907" s="49">
        <f t="shared" si="720"/>
        <v>12</v>
      </c>
      <c r="E907" s="68">
        <f t="shared" ref="E907:E915" si="721">SUM(B907:D907)</f>
        <v>31</v>
      </c>
      <c r="F907" s="26">
        <f>F901</f>
        <v>8</v>
      </c>
      <c r="G907" s="27">
        <f t="shared" ref="G907:H907" si="722">G901</f>
        <v>8</v>
      </c>
      <c r="H907" s="49">
        <f t="shared" si="722"/>
        <v>8</v>
      </c>
      <c r="I907" s="33">
        <f t="shared" ref="I907:I915" si="723">SUM(F907:H907)</f>
        <v>24</v>
      </c>
      <c r="J907" s="33">
        <f>E907+I907</f>
        <v>55</v>
      </c>
      <c r="L907" s="25" t="s">
        <v>18</v>
      </c>
      <c r="M907" s="26">
        <f>M901</f>
        <v>449</v>
      </c>
      <c r="N907" s="27">
        <f t="shared" ref="N907:O907" si="724">N901</f>
        <v>799</v>
      </c>
      <c r="O907" s="49">
        <f t="shared" si="724"/>
        <v>529</v>
      </c>
      <c r="P907" s="107">
        <f t="shared" ref="P907:P915" si="725">SUM(M907:O907)</f>
        <v>1777</v>
      </c>
      <c r="Q907" s="26">
        <f>Q901</f>
        <v>388</v>
      </c>
      <c r="R907" s="27">
        <f t="shared" ref="R907:S907" si="726">R901</f>
        <v>600</v>
      </c>
      <c r="S907" s="49">
        <f t="shared" si="726"/>
        <v>453</v>
      </c>
      <c r="T907" s="29">
        <f t="shared" ref="T907:T915" si="727">SUM(Q907:S907)</f>
        <v>1441</v>
      </c>
      <c r="U907" s="29">
        <f>P907+T907</f>
        <v>3218</v>
      </c>
    </row>
    <row r="908" spans="1:22" x14ac:dyDescent="0.15">
      <c r="A908" s="23" t="s">
        <v>8</v>
      </c>
      <c r="B908" s="177">
        <v>3</v>
      </c>
      <c r="C908" s="178"/>
      <c r="D908" s="179"/>
      <c r="E908" s="127">
        <f t="shared" ref="E908:E913" si="728">SUM(B908:D908)</f>
        <v>3</v>
      </c>
      <c r="F908" s="177">
        <v>10</v>
      </c>
      <c r="G908" s="178">
        <v>5</v>
      </c>
      <c r="H908" s="179"/>
      <c r="I908" s="127">
        <f t="shared" ref="I908:I913" si="729">SUM(F908:H908)</f>
        <v>15</v>
      </c>
      <c r="J908" s="127">
        <f t="shared" ref="J908:J913" si="730">E908+I908</f>
        <v>18</v>
      </c>
      <c r="K908" s="128">
        <v>45939</v>
      </c>
      <c r="L908" s="23" t="s">
        <v>8</v>
      </c>
      <c r="M908" s="16"/>
      <c r="N908" s="17"/>
      <c r="O908" s="43"/>
      <c r="P908" s="94">
        <f t="shared" si="725"/>
        <v>0</v>
      </c>
      <c r="Q908" s="16"/>
      <c r="R908" s="17"/>
      <c r="S908" s="43"/>
      <c r="T908" s="94">
        <f t="shared" si="727"/>
        <v>0</v>
      </c>
      <c r="U908" s="94">
        <f t="shared" ref="U908:U915" si="731">P908+T908</f>
        <v>0</v>
      </c>
    </row>
    <row r="909" spans="1:22" x14ac:dyDescent="0.15">
      <c r="A909" s="23" t="s">
        <v>9</v>
      </c>
      <c r="B909" s="177">
        <v>10</v>
      </c>
      <c r="C909" s="178">
        <v>5</v>
      </c>
      <c r="D909" s="179"/>
      <c r="E909" s="127">
        <f t="shared" si="728"/>
        <v>15</v>
      </c>
      <c r="F909" s="177">
        <v>10</v>
      </c>
      <c r="G909" s="178">
        <v>5</v>
      </c>
      <c r="H909" s="179"/>
      <c r="I909" s="127">
        <f t="shared" si="729"/>
        <v>15</v>
      </c>
      <c r="J909" s="127">
        <f t="shared" si="730"/>
        <v>30</v>
      </c>
      <c r="K909" s="128">
        <v>45945</v>
      </c>
      <c r="L909" s="23" t="s">
        <v>92</v>
      </c>
      <c r="M909" s="9">
        <v>53</v>
      </c>
      <c r="N909" s="10">
        <v>92</v>
      </c>
      <c r="O909" s="44">
        <v>41</v>
      </c>
      <c r="P909" s="12">
        <f t="shared" si="725"/>
        <v>186</v>
      </c>
      <c r="Q909" s="9">
        <v>53</v>
      </c>
      <c r="R909" s="10">
        <v>92</v>
      </c>
      <c r="S909" s="44">
        <v>41</v>
      </c>
      <c r="T909" s="12">
        <f t="shared" si="727"/>
        <v>186</v>
      </c>
      <c r="U909" s="12">
        <f t="shared" si="731"/>
        <v>372</v>
      </c>
      <c r="V909" s="90">
        <v>45947</v>
      </c>
    </row>
    <row r="910" spans="1:22" x14ac:dyDescent="0.15">
      <c r="A910" s="123" t="s">
        <v>10</v>
      </c>
      <c r="B910" s="9"/>
      <c r="C910" s="10"/>
      <c r="D910" s="44">
        <v>5</v>
      </c>
      <c r="E910" s="12">
        <f t="shared" si="728"/>
        <v>5</v>
      </c>
      <c r="F910" s="9"/>
      <c r="G910" s="10"/>
      <c r="H910" s="44"/>
      <c r="I910" s="67">
        <f t="shared" si="729"/>
        <v>0</v>
      </c>
      <c r="J910" s="12">
        <f t="shared" si="730"/>
        <v>5</v>
      </c>
      <c r="K910" s="90">
        <v>45952</v>
      </c>
      <c r="L910" s="23" t="s">
        <v>10</v>
      </c>
      <c r="M910" s="9"/>
      <c r="N910" s="10"/>
      <c r="O910" s="44"/>
      <c r="P910" s="12">
        <f t="shared" ref="P910" si="732">SUM(M910:O910)</f>
        <v>0</v>
      </c>
      <c r="Q910" s="9"/>
      <c r="R910" s="10"/>
      <c r="S910" s="44"/>
      <c r="T910" s="12">
        <f t="shared" ref="T910" si="733">SUM(Q910:S910)</f>
        <v>0</v>
      </c>
      <c r="U910" s="12">
        <f t="shared" ref="U910" si="734">P910+T910</f>
        <v>0</v>
      </c>
    </row>
    <row r="911" spans="1:22" x14ac:dyDescent="0.15">
      <c r="A911" s="123" t="s">
        <v>11</v>
      </c>
      <c r="B911" s="9"/>
      <c r="C911" s="10"/>
      <c r="D911" s="44"/>
      <c r="E911" s="12">
        <f t="shared" si="728"/>
        <v>0</v>
      </c>
      <c r="F911" s="9"/>
      <c r="G911" s="10"/>
      <c r="H911" s="44">
        <v>5</v>
      </c>
      <c r="I911" s="67">
        <f t="shared" si="729"/>
        <v>5</v>
      </c>
      <c r="J911" s="12">
        <f t="shared" si="730"/>
        <v>5</v>
      </c>
      <c r="K911" s="90">
        <v>45953</v>
      </c>
      <c r="L911" s="23" t="s">
        <v>529</v>
      </c>
      <c r="M911" s="9"/>
      <c r="N911" s="10">
        <v>16</v>
      </c>
      <c r="O911" s="44">
        <v>5</v>
      </c>
      <c r="P911" s="12">
        <f t="shared" ref="P911" si="735">SUM(M911:O911)</f>
        <v>21</v>
      </c>
      <c r="Q911" s="9"/>
      <c r="R911" s="10"/>
      <c r="S911" s="44"/>
      <c r="T911" s="12">
        <f t="shared" ref="T911" si="736">SUM(Q911:S911)</f>
        <v>0</v>
      </c>
      <c r="U911" s="12">
        <f t="shared" ref="U911" si="737">P911+T911</f>
        <v>21</v>
      </c>
      <c r="V911" s="108">
        <v>45997</v>
      </c>
    </row>
    <row r="912" spans="1:22" x14ac:dyDescent="0.15">
      <c r="A912" s="23" t="s">
        <v>12</v>
      </c>
      <c r="B912" s="13"/>
      <c r="C912" s="14"/>
      <c r="D912" s="45"/>
      <c r="E912" s="12">
        <f t="shared" si="728"/>
        <v>0</v>
      </c>
      <c r="F912" s="13"/>
      <c r="G912" s="14">
        <v>5</v>
      </c>
      <c r="H912" s="45">
        <v>5</v>
      </c>
      <c r="I912" s="67">
        <f t="shared" si="729"/>
        <v>10</v>
      </c>
      <c r="J912" s="12">
        <f t="shared" si="730"/>
        <v>10</v>
      </c>
      <c r="K912" s="90">
        <v>45961</v>
      </c>
      <c r="L912" s="23" t="s">
        <v>12</v>
      </c>
      <c r="M912" s="16"/>
      <c r="N912" s="17"/>
      <c r="O912" s="43"/>
      <c r="P912" s="94">
        <f t="shared" ref="P912" si="738">SUM(M912:O912)</f>
        <v>0</v>
      </c>
      <c r="Q912" s="16"/>
      <c r="R912" s="17"/>
      <c r="S912" s="43"/>
      <c r="T912" s="94">
        <f t="shared" ref="T912" si="739">SUM(Q912:S912)</f>
        <v>0</v>
      </c>
      <c r="U912" s="94">
        <f t="shared" ref="U912" si="740">P912+T912</f>
        <v>0</v>
      </c>
    </row>
    <row r="913" spans="1:23" x14ac:dyDescent="0.15">
      <c r="A913" s="142" t="s">
        <v>13</v>
      </c>
      <c r="B913" s="9">
        <v>3</v>
      </c>
      <c r="C913" s="10">
        <v>8</v>
      </c>
      <c r="D913" s="44"/>
      <c r="E913" s="12">
        <f t="shared" si="728"/>
        <v>11</v>
      </c>
      <c r="F913" s="9">
        <v>8</v>
      </c>
      <c r="G913" s="10">
        <v>5</v>
      </c>
      <c r="H913" s="44"/>
      <c r="I913" s="67">
        <f t="shared" si="729"/>
        <v>13</v>
      </c>
      <c r="J913" s="12">
        <f t="shared" si="730"/>
        <v>24</v>
      </c>
      <c r="K913" s="90">
        <v>45966</v>
      </c>
      <c r="L913" s="23" t="s">
        <v>13</v>
      </c>
      <c r="M913" s="9"/>
      <c r="N913" s="10"/>
      <c r="O913" s="44"/>
      <c r="P913" s="12">
        <f t="shared" si="725"/>
        <v>0</v>
      </c>
      <c r="Q913" s="9"/>
      <c r="R913" s="10"/>
      <c r="S913" s="44"/>
      <c r="T913" s="67">
        <f t="shared" si="727"/>
        <v>0</v>
      </c>
      <c r="U913" s="12">
        <f t="shared" si="731"/>
        <v>0</v>
      </c>
    </row>
    <row r="914" spans="1:23" x14ac:dyDescent="0.15">
      <c r="A914" s="23" t="s">
        <v>525</v>
      </c>
      <c r="B914" s="47"/>
      <c r="C914" s="48"/>
      <c r="D914" s="72"/>
      <c r="E914" s="94">
        <f t="shared" si="721"/>
        <v>0</v>
      </c>
      <c r="F914" s="47"/>
      <c r="G914" s="48">
        <v>1</v>
      </c>
      <c r="H914" s="72">
        <v>1</v>
      </c>
      <c r="I914" s="115">
        <f t="shared" si="723"/>
        <v>2</v>
      </c>
      <c r="J914" s="94">
        <f t="shared" ref="J914:J915" si="741">E914+I914</f>
        <v>2</v>
      </c>
      <c r="K914" s="90">
        <v>45978</v>
      </c>
      <c r="L914" s="23" t="s">
        <v>14</v>
      </c>
      <c r="M914" s="13"/>
      <c r="N914" s="14"/>
      <c r="O914" s="45"/>
      <c r="P914" s="12">
        <f t="shared" si="725"/>
        <v>0</v>
      </c>
      <c r="Q914" s="13"/>
      <c r="R914" s="14"/>
      <c r="S914" s="45"/>
      <c r="T914" s="67">
        <f t="shared" si="727"/>
        <v>0</v>
      </c>
      <c r="U914" s="12">
        <f t="shared" si="731"/>
        <v>0</v>
      </c>
    </row>
    <row r="915" spans="1:23" ht="14.25" thickBot="1" x14ac:dyDescent="0.2">
      <c r="A915" s="23" t="s">
        <v>525</v>
      </c>
      <c r="B915" s="30"/>
      <c r="C915" s="31">
        <v>16</v>
      </c>
      <c r="D915" s="46">
        <v>5</v>
      </c>
      <c r="E915" s="12">
        <f t="shared" si="721"/>
        <v>21</v>
      </c>
      <c r="F915" s="30">
        <v>3</v>
      </c>
      <c r="G915" s="31"/>
      <c r="H915" s="46"/>
      <c r="I915" s="67">
        <f t="shared" si="723"/>
        <v>3</v>
      </c>
      <c r="J915" s="19">
        <f t="shared" si="741"/>
        <v>24</v>
      </c>
      <c r="K915" s="90">
        <v>45987</v>
      </c>
      <c r="L915" s="23" t="s">
        <v>15</v>
      </c>
      <c r="M915" s="13"/>
      <c r="N915" s="14"/>
      <c r="O915" s="45"/>
      <c r="P915" s="12">
        <f t="shared" si="725"/>
        <v>0</v>
      </c>
      <c r="Q915" s="13"/>
      <c r="R915" s="14"/>
      <c r="S915" s="45"/>
      <c r="T915" s="67">
        <f t="shared" si="727"/>
        <v>0</v>
      </c>
      <c r="U915" s="12">
        <f t="shared" si="731"/>
        <v>0</v>
      </c>
    </row>
    <row r="916" spans="1:23" ht="14.25" thickBot="1" x14ac:dyDescent="0.2">
      <c r="A916" s="32" t="s">
        <v>16</v>
      </c>
      <c r="B916" s="26">
        <f>SUM(B907:B915)</f>
        <v>24</v>
      </c>
      <c r="C916" s="27">
        <f t="shared" ref="C916:J916" si="742">SUM(C907:C915)</f>
        <v>40</v>
      </c>
      <c r="D916" s="49">
        <f t="shared" si="742"/>
        <v>22</v>
      </c>
      <c r="E916" s="75">
        <f t="shared" si="742"/>
        <v>86</v>
      </c>
      <c r="F916" s="26">
        <f t="shared" si="742"/>
        <v>39</v>
      </c>
      <c r="G916" s="27">
        <f t="shared" si="742"/>
        <v>29</v>
      </c>
      <c r="H916" s="49">
        <f t="shared" si="742"/>
        <v>19</v>
      </c>
      <c r="I916" s="74">
        <f t="shared" si="742"/>
        <v>87</v>
      </c>
      <c r="J916" s="29">
        <f t="shared" si="742"/>
        <v>173</v>
      </c>
      <c r="L916" s="32" t="s">
        <v>16</v>
      </c>
      <c r="M916" s="26">
        <f>SUM(M907:M915)</f>
        <v>502</v>
      </c>
      <c r="N916" s="27">
        <f t="shared" ref="N916:U916" si="743">SUM(N907:N915)</f>
        <v>907</v>
      </c>
      <c r="O916" s="49">
        <f t="shared" si="743"/>
        <v>575</v>
      </c>
      <c r="P916" s="75">
        <f t="shared" si="743"/>
        <v>1984</v>
      </c>
      <c r="Q916" s="26">
        <f t="shared" si="743"/>
        <v>441</v>
      </c>
      <c r="R916" s="27">
        <f t="shared" si="743"/>
        <v>692</v>
      </c>
      <c r="S916" s="49">
        <f t="shared" si="743"/>
        <v>494</v>
      </c>
      <c r="T916" s="74">
        <f t="shared" si="743"/>
        <v>1627</v>
      </c>
      <c r="U916" s="29">
        <f t="shared" si="743"/>
        <v>3611</v>
      </c>
    </row>
    <row r="917" spans="1:23" x14ac:dyDescent="0.15">
      <c r="A917" s="24" t="s">
        <v>504</v>
      </c>
      <c r="B917" s="9">
        <v>4</v>
      </c>
      <c r="C917" s="10">
        <v>6</v>
      </c>
      <c r="D917" s="11"/>
      <c r="E917" s="12">
        <f t="shared" ref="E917:E918" si="744">SUM(B917:D917)</f>
        <v>10</v>
      </c>
      <c r="F917" s="9">
        <v>4</v>
      </c>
      <c r="G917" s="10">
        <v>4</v>
      </c>
      <c r="H917" s="11">
        <v>4</v>
      </c>
      <c r="I917" s="67">
        <f t="shared" ref="I917:I918" si="745">SUM(F917:H917)</f>
        <v>12</v>
      </c>
      <c r="J917" s="12">
        <f t="shared" ref="J917:J918" si="746">E917+I917</f>
        <v>22</v>
      </c>
      <c r="K917" s="90">
        <v>45933</v>
      </c>
      <c r="L917" s="97" t="s">
        <v>502</v>
      </c>
      <c r="M917" s="54"/>
      <c r="N917" s="55"/>
      <c r="O917" s="56">
        <v>5</v>
      </c>
      <c r="P917" s="42">
        <f t="shared" ref="P917:P936" si="747">SUM(M917:O917)</f>
        <v>5</v>
      </c>
      <c r="Q917" s="152"/>
      <c r="R917" s="55">
        <v>30</v>
      </c>
      <c r="S917" s="56">
        <v>20</v>
      </c>
      <c r="T917" s="42">
        <f t="shared" ref="T917:T936" si="748">SUM(Q917:S917)</f>
        <v>50</v>
      </c>
      <c r="U917" s="57">
        <f t="shared" ref="U917:U944" si="749">P917+T917</f>
        <v>55</v>
      </c>
      <c r="V917" s="90">
        <v>45919</v>
      </c>
      <c r="W917" s="50"/>
    </row>
    <row r="918" spans="1:23" x14ac:dyDescent="0.15">
      <c r="A918" s="24" t="s">
        <v>510</v>
      </c>
      <c r="B918" s="9">
        <v>2</v>
      </c>
      <c r="C918" s="10"/>
      <c r="D918" s="11"/>
      <c r="E918" s="12">
        <f t="shared" si="744"/>
        <v>2</v>
      </c>
      <c r="F918" s="105">
        <v>10</v>
      </c>
      <c r="G918" s="10">
        <v>4</v>
      </c>
      <c r="H918" s="11"/>
      <c r="I918" s="12">
        <f t="shared" si="745"/>
        <v>14</v>
      </c>
      <c r="J918" s="12">
        <f t="shared" si="746"/>
        <v>16</v>
      </c>
      <c r="K918" s="90">
        <v>45940</v>
      </c>
      <c r="L918" s="97" t="s">
        <v>503</v>
      </c>
      <c r="M918" s="16"/>
      <c r="N918" s="17">
        <v>10</v>
      </c>
      <c r="O918" s="18"/>
      <c r="P918" s="12">
        <f t="shared" si="747"/>
        <v>10</v>
      </c>
      <c r="Q918" s="153"/>
      <c r="R918" s="17"/>
      <c r="S918" s="18"/>
      <c r="T918" s="12">
        <f t="shared" si="748"/>
        <v>0</v>
      </c>
      <c r="U918" s="12">
        <f t="shared" si="749"/>
        <v>10</v>
      </c>
      <c r="V918" s="90">
        <v>45923</v>
      </c>
      <c r="W918" s="50"/>
    </row>
    <row r="919" spans="1:23" x14ac:dyDescent="0.15">
      <c r="A919" s="22" t="s">
        <v>45</v>
      </c>
      <c r="B919" s="9"/>
      <c r="C919" s="10"/>
      <c r="D919" s="11">
        <v>1</v>
      </c>
      <c r="E919" s="12">
        <f t="shared" ref="E919:E942" si="750">SUM(B919:D919)</f>
        <v>1</v>
      </c>
      <c r="F919" s="9"/>
      <c r="G919" s="10"/>
      <c r="H919" s="11"/>
      <c r="I919" s="67">
        <f t="shared" ref="I919:I942" si="751">SUM(F919:H919)</f>
        <v>0</v>
      </c>
      <c r="J919" s="12">
        <f t="shared" ref="J919:J944" si="752">E919+I919</f>
        <v>1</v>
      </c>
      <c r="K919" s="90">
        <v>45938</v>
      </c>
      <c r="L919" s="22" t="s">
        <v>505</v>
      </c>
      <c r="M919" s="9">
        <v>5</v>
      </c>
      <c r="N919" s="10"/>
      <c r="O919" s="11">
        <v>10</v>
      </c>
      <c r="P919" s="12">
        <f t="shared" si="747"/>
        <v>15</v>
      </c>
      <c r="Q919" s="105">
        <v>5</v>
      </c>
      <c r="R919" s="10">
        <v>5</v>
      </c>
      <c r="S919" s="11">
        <v>5</v>
      </c>
      <c r="T919" s="12">
        <f t="shared" si="748"/>
        <v>15</v>
      </c>
      <c r="U919" s="12">
        <f t="shared" si="749"/>
        <v>30</v>
      </c>
      <c r="V919" s="90">
        <v>45931</v>
      </c>
      <c r="W919" s="50"/>
    </row>
    <row r="920" spans="1:23" x14ac:dyDescent="0.15">
      <c r="A920" s="24" t="s">
        <v>516</v>
      </c>
      <c r="B920" s="9">
        <v>8</v>
      </c>
      <c r="C920" s="10">
        <v>4</v>
      </c>
      <c r="D920" s="11">
        <v>2</v>
      </c>
      <c r="E920" s="12">
        <f t="shared" si="750"/>
        <v>14</v>
      </c>
      <c r="F920" s="9">
        <v>8</v>
      </c>
      <c r="G920" s="10">
        <v>6</v>
      </c>
      <c r="H920" s="11"/>
      <c r="I920" s="67">
        <f t="shared" si="751"/>
        <v>14</v>
      </c>
      <c r="J920" s="12">
        <f t="shared" si="752"/>
        <v>28</v>
      </c>
      <c r="K920" s="90">
        <v>45947</v>
      </c>
      <c r="L920" s="21" t="s">
        <v>506</v>
      </c>
      <c r="M920" s="9"/>
      <c r="N920" s="10">
        <v>10</v>
      </c>
      <c r="O920" s="11">
        <v>5</v>
      </c>
      <c r="P920" s="12">
        <f t="shared" si="747"/>
        <v>15</v>
      </c>
      <c r="Q920" s="105"/>
      <c r="R920" s="10">
        <v>10</v>
      </c>
      <c r="S920" s="11"/>
      <c r="T920" s="12">
        <f t="shared" si="748"/>
        <v>10</v>
      </c>
      <c r="U920" s="12">
        <f t="shared" si="749"/>
        <v>25</v>
      </c>
      <c r="V920" s="90">
        <v>45932</v>
      </c>
      <c r="W920" s="50"/>
    </row>
    <row r="921" spans="1:23" x14ac:dyDescent="0.15">
      <c r="A921" s="22" t="s">
        <v>45</v>
      </c>
      <c r="B921" s="9">
        <v>1</v>
      </c>
      <c r="C921" s="10"/>
      <c r="D921" s="11"/>
      <c r="E921" s="12">
        <f t="shared" si="750"/>
        <v>1</v>
      </c>
      <c r="F921" s="9">
        <v>1</v>
      </c>
      <c r="G921" s="10"/>
      <c r="H921" s="11"/>
      <c r="I921" s="67">
        <f t="shared" si="751"/>
        <v>1</v>
      </c>
      <c r="J921" s="12">
        <f t="shared" si="752"/>
        <v>2</v>
      </c>
      <c r="K921" s="108">
        <v>45950</v>
      </c>
      <c r="L921" s="22" t="s">
        <v>38</v>
      </c>
      <c r="M921" s="9"/>
      <c r="N921" s="10">
        <v>5</v>
      </c>
      <c r="O921" s="11"/>
      <c r="P921" s="12">
        <f t="shared" si="747"/>
        <v>5</v>
      </c>
      <c r="Q921" s="105"/>
      <c r="R921" s="10"/>
      <c r="S921" s="11"/>
      <c r="T921" s="12">
        <f t="shared" si="748"/>
        <v>0</v>
      </c>
      <c r="U921" s="12">
        <f t="shared" si="749"/>
        <v>5</v>
      </c>
      <c r="V921" s="90">
        <v>45932</v>
      </c>
      <c r="W921" s="50"/>
    </row>
    <row r="922" spans="1:23" x14ac:dyDescent="0.15">
      <c r="A922" s="180" t="s">
        <v>517</v>
      </c>
      <c r="B922" s="124"/>
      <c r="C922" s="125">
        <v>2</v>
      </c>
      <c r="D922" s="187"/>
      <c r="E922" s="127">
        <f t="shared" si="750"/>
        <v>2</v>
      </c>
      <c r="F922" s="124"/>
      <c r="G922" s="125"/>
      <c r="H922" s="187">
        <v>4</v>
      </c>
      <c r="I922" s="129">
        <f t="shared" si="751"/>
        <v>4</v>
      </c>
      <c r="J922" s="127">
        <f t="shared" si="752"/>
        <v>6</v>
      </c>
      <c r="K922" s="128">
        <v>45954</v>
      </c>
      <c r="L922" s="21" t="s">
        <v>511</v>
      </c>
      <c r="M922" s="9"/>
      <c r="N922" s="10"/>
      <c r="O922" s="11"/>
      <c r="P922" s="12">
        <f t="shared" ref="P922:P923" si="753">SUM(M922:O922)</f>
        <v>0</v>
      </c>
      <c r="Q922" s="105">
        <v>15</v>
      </c>
      <c r="R922" s="10">
        <v>10</v>
      </c>
      <c r="S922" s="11"/>
      <c r="T922" s="12">
        <f t="shared" ref="T922:T923" si="754">SUM(Q922:S922)</f>
        <v>25</v>
      </c>
      <c r="U922" s="12">
        <f t="shared" ref="U922:U923" si="755">P922+T922</f>
        <v>25</v>
      </c>
      <c r="V922" s="90">
        <v>45939</v>
      </c>
    </row>
    <row r="923" spans="1:23" x14ac:dyDescent="0.15">
      <c r="A923" s="22" t="s">
        <v>45</v>
      </c>
      <c r="B923" s="9"/>
      <c r="C923" s="10"/>
      <c r="D923" s="11"/>
      <c r="E923" s="12">
        <f t="shared" si="750"/>
        <v>0</v>
      </c>
      <c r="F923" s="9"/>
      <c r="G923" s="10">
        <v>1</v>
      </c>
      <c r="H923" s="11">
        <v>2</v>
      </c>
      <c r="I923" s="67">
        <f t="shared" si="751"/>
        <v>3</v>
      </c>
      <c r="J923" s="12">
        <f t="shared" si="752"/>
        <v>3</v>
      </c>
      <c r="K923" s="108">
        <v>45951</v>
      </c>
      <c r="L923" s="24" t="s">
        <v>512</v>
      </c>
      <c r="M923" s="9">
        <v>3</v>
      </c>
      <c r="N923" s="10"/>
      <c r="O923" s="11"/>
      <c r="P923" s="12">
        <f t="shared" si="753"/>
        <v>3</v>
      </c>
      <c r="Q923" s="105">
        <v>10</v>
      </c>
      <c r="R923" s="10">
        <v>5</v>
      </c>
      <c r="S923" s="11"/>
      <c r="T923" s="12">
        <f t="shared" si="754"/>
        <v>15</v>
      </c>
      <c r="U923" s="12">
        <f t="shared" si="755"/>
        <v>18</v>
      </c>
      <c r="V923" s="90">
        <v>45939</v>
      </c>
    </row>
    <row r="924" spans="1:23" x14ac:dyDescent="0.15">
      <c r="A924" s="22" t="s">
        <v>45</v>
      </c>
      <c r="B924" s="9"/>
      <c r="C924" s="10"/>
      <c r="D924" s="11"/>
      <c r="E924" s="12">
        <f t="shared" si="750"/>
        <v>0</v>
      </c>
      <c r="F924" s="9"/>
      <c r="G924" s="10"/>
      <c r="H924" s="11">
        <v>1</v>
      </c>
      <c r="I924" s="67">
        <f t="shared" si="751"/>
        <v>1</v>
      </c>
      <c r="J924" s="12">
        <f t="shared" si="752"/>
        <v>1</v>
      </c>
      <c r="K924" s="108">
        <v>45953</v>
      </c>
      <c r="L924" s="21" t="s">
        <v>513</v>
      </c>
      <c r="M924" s="9">
        <v>15</v>
      </c>
      <c r="N924" s="10">
        <v>30</v>
      </c>
      <c r="O924" s="11">
        <v>40</v>
      </c>
      <c r="P924" s="12">
        <f t="shared" si="747"/>
        <v>85</v>
      </c>
      <c r="Q924" s="105">
        <v>10</v>
      </c>
      <c r="R924" s="10">
        <v>15</v>
      </c>
      <c r="S924" s="11">
        <v>20</v>
      </c>
      <c r="T924" s="12">
        <f t="shared" si="748"/>
        <v>45</v>
      </c>
      <c r="U924" s="12">
        <f t="shared" si="749"/>
        <v>130</v>
      </c>
      <c r="V924" s="90">
        <v>45940</v>
      </c>
    </row>
    <row r="925" spans="1:23" x14ac:dyDescent="0.15">
      <c r="A925" s="22" t="s">
        <v>45</v>
      </c>
      <c r="B925" s="9"/>
      <c r="C925" s="10"/>
      <c r="D925" s="11"/>
      <c r="E925" s="12">
        <f t="shared" si="750"/>
        <v>0</v>
      </c>
      <c r="F925" s="9"/>
      <c r="G925" s="10">
        <v>3</v>
      </c>
      <c r="H925" s="11"/>
      <c r="I925" s="67">
        <f t="shared" si="751"/>
        <v>3</v>
      </c>
      <c r="J925" s="12">
        <f t="shared" si="752"/>
        <v>3</v>
      </c>
      <c r="K925" s="108">
        <v>45960</v>
      </c>
      <c r="L925" s="21" t="s">
        <v>514</v>
      </c>
      <c r="M925" s="9">
        <v>10</v>
      </c>
      <c r="N925" s="10">
        <v>10</v>
      </c>
      <c r="O925" s="11">
        <v>15</v>
      </c>
      <c r="P925" s="12">
        <f t="shared" si="747"/>
        <v>35</v>
      </c>
      <c r="Q925" s="105"/>
      <c r="R925" s="10"/>
      <c r="S925" s="11">
        <v>5</v>
      </c>
      <c r="T925" s="12">
        <f t="shared" si="748"/>
        <v>5</v>
      </c>
      <c r="U925" s="12">
        <f t="shared" si="749"/>
        <v>40</v>
      </c>
      <c r="V925" s="90">
        <v>45941</v>
      </c>
    </row>
    <row r="926" spans="1:23" x14ac:dyDescent="0.15">
      <c r="A926" s="24" t="s">
        <v>520</v>
      </c>
      <c r="B926" s="13">
        <v>1</v>
      </c>
      <c r="C926" s="14"/>
      <c r="D926" s="15"/>
      <c r="E926" s="12">
        <f t="shared" si="750"/>
        <v>1</v>
      </c>
      <c r="F926" s="13">
        <v>1</v>
      </c>
      <c r="G926" s="14"/>
      <c r="H926" s="15"/>
      <c r="I926" s="67">
        <f t="shared" si="751"/>
        <v>1</v>
      </c>
      <c r="J926" s="12">
        <f t="shared" si="752"/>
        <v>2</v>
      </c>
      <c r="K926" s="108">
        <v>45966</v>
      </c>
      <c r="L926" s="180" t="s">
        <v>515</v>
      </c>
      <c r="M926" s="181">
        <v>10</v>
      </c>
      <c r="N926" s="182">
        <v>5</v>
      </c>
      <c r="O926" s="183"/>
      <c r="P926" s="127">
        <f t="shared" si="747"/>
        <v>15</v>
      </c>
      <c r="Q926" s="184">
        <v>10</v>
      </c>
      <c r="R926" s="182">
        <v>5</v>
      </c>
      <c r="S926" s="183"/>
      <c r="T926" s="127">
        <f t="shared" si="748"/>
        <v>15</v>
      </c>
      <c r="U926" s="127">
        <f t="shared" si="749"/>
        <v>30</v>
      </c>
      <c r="V926" s="128">
        <v>45945</v>
      </c>
    </row>
    <row r="927" spans="1:23" x14ac:dyDescent="0.15">
      <c r="A927" s="24" t="s">
        <v>521</v>
      </c>
      <c r="B927" s="9">
        <v>2</v>
      </c>
      <c r="C927" s="10">
        <v>6</v>
      </c>
      <c r="D927" s="11"/>
      <c r="E927" s="12">
        <f t="shared" si="750"/>
        <v>8</v>
      </c>
      <c r="F927" s="9">
        <v>6</v>
      </c>
      <c r="G927" s="10">
        <v>4</v>
      </c>
      <c r="H927" s="11"/>
      <c r="I927" s="67">
        <f t="shared" si="751"/>
        <v>10</v>
      </c>
      <c r="J927" s="12">
        <f t="shared" si="752"/>
        <v>18</v>
      </c>
      <c r="K927" s="90">
        <v>45971</v>
      </c>
      <c r="L927" s="180" t="s">
        <v>38</v>
      </c>
      <c r="M927" s="124"/>
      <c r="N927" s="125"/>
      <c r="O927" s="187">
        <v>5</v>
      </c>
      <c r="P927" s="127">
        <f t="shared" si="747"/>
        <v>5</v>
      </c>
      <c r="Q927" s="188"/>
      <c r="R927" s="125"/>
      <c r="S927" s="187"/>
      <c r="T927" s="127"/>
      <c r="U927" s="127">
        <f t="shared" si="749"/>
        <v>5</v>
      </c>
      <c r="V927" s="128">
        <v>45952</v>
      </c>
    </row>
    <row r="928" spans="1:23" x14ac:dyDescent="0.15">
      <c r="A928" s="24" t="s">
        <v>45</v>
      </c>
      <c r="B928" s="9"/>
      <c r="C928" s="10"/>
      <c r="D928" s="11">
        <v>1</v>
      </c>
      <c r="E928" s="12">
        <f t="shared" si="750"/>
        <v>1</v>
      </c>
      <c r="F928" s="9"/>
      <c r="G928" s="10"/>
      <c r="H928" s="11">
        <v>1</v>
      </c>
      <c r="I928" s="67">
        <f t="shared" si="751"/>
        <v>1</v>
      </c>
      <c r="J928" s="12">
        <f t="shared" si="752"/>
        <v>2</v>
      </c>
      <c r="K928" s="108">
        <v>45966</v>
      </c>
      <c r="L928" s="180" t="s">
        <v>38</v>
      </c>
      <c r="M928" s="124"/>
      <c r="N928" s="125"/>
      <c r="O928" s="187"/>
      <c r="P928" s="127">
        <f t="shared" si="747"/>
        <v>0</v>
      </c>
      <c r="Q928" s="188"/>
      <c r="R928" s="125"/>
      <c r="S928" s="187">
        <v>5</v>
      </c>
      <c r="T928" s="127">
        <f t="shared" si="748"/>
        <v>5</v>
      </c>
      <c r="U928" s="127">
        <f t="shared" si="749"/>
        <v>5</v>
      </c>
      <c r="V928" s="128">
        <v>45953</v>
      </c>
    </row>
    <row r="929" spans="1:23" x14ac:dyDescent="0.15">
      <c r="A929" s="24" t="s">
        <v>523</v>
      </c>
      <c r="B929" s="9"/>
      <c r="C929" s="10"/>
      <c r="D929" s="11"/>
      <c r="E929" s="12">
        <f t="shared" si="750"/>
        <v>0</v>
      </c>
      <c r="F929" s="9"/>
      <c r="G929" s="10">
        <v>2</v>
      </c>
      <c r="H929" s="11"/>
      <c r="I929" s="67">
        <f t="shared" si="751"/>
        <v>2</v>
      </c>
      <c r="J929" s="12">
        <f t="shared" si="752"/>
        <v>2</v>
      </c>
      <c r="K929" s="90">
        <v>45975</v>
      </c>
      <c r="L929" s="24" t="s">
        <v>38</v>
      </c>
      <c r="M929" s="9"/>
      <c r="N929" s="10"/>
      <c r="O929" s="11"/>
      <c r="P929" s="12">
        <f t="shared" si="747"/>
        <v>0</v>
      </c>
      <c r="Q929" s="105"/>
      <c r="R929" s="10">
        <v>5</v>
      </c>
      <c r="S929" s="11">
        <v>5</v>
      </c>
      <c r="T929" s="12">
        <f t="shared" si="748"/>
        <v>10</v>
      </c>
      <c r="U929" s="12">
        <f t="shared" si="749"/>
        <v>10</v>
      </c>
      <c r="V929" s="90">
        <v>45961</v>
      </c>
    </row>
    <row r="930" spans="1:23" x14ac:dyDescent="0.15">
      <c r="A930" s="24" t="s">
        <v>45</v>
      </c>
      <c r="B930" s="9"/>
      <c r="C930" s="10"/>
      <c r="D930" s="11"/>
      <c r="E930" s="12">
        <f t="shared" si="750"/>
        <v>0</v>
      </c>
      <c r="F930" s="9"/>
      <c r="G930" s="10">
        <v>2</v>
      </c>
      <c r="H930" s="11"/>
      <c r="I930" s="67">
        <f t="shared" si="751"/>
        <v>2</v>
      </c>
      <c r="J930" s="12">
        <f t="shared" si="752"/>
        <v>2</v>
      </c>
      <c r="K930" s="108">
        <v>45980</v>
      </c>
      <c r="L930" s="24" t="s">
        <v>38</v>
      </c>
      <c r="M930" s="9">
        <v>3</v>
      </c>
      <c r="N930" s="10">
        <v>8</v>
      </c>
      <c r="O930" s="11"/>
      <c r="P930" s="12">
        <f t="shared" si="747"/>
        <v>11</v>
      </c>
      <c r="Q930" s="105">
        <v>8</v>
      </c>
      <c r="R930" s="10">
        <v>5</v>
      </c>
      <c r="S930" s="11"/>
      <c r="T930" s="12">
        <f t="shared" si="748"/>
        <v>13</v>
      </c>
      <c r="U930" s="12">
        <f t="shared" si="749"/>
        <v>24</v>
      </c>
      <c r="V930" s="90">
        <v>45966</v>
      </c>
    </row>
    <row r="931" spans="1:23" x14ac:dyDescent="0.15">
      <c r="A931" s="24" t="s">
        <v>458</v>
      </c>
      <c r="B931" s="9"/>
      <c r="C931" s="10"/>
      <c r="D931" s="11"/>
      <c r="E931" s="12">
        <f t="shared" si="750"/>
        <v>0</v>
      </c>
      <c r="F931" s="9"/>
      <c r="G931" s="10">
        <v>-5</v>
      </c>
      <c r="H931" s="11"/>
      <c r="I931" s="67">
        <f t="shared" si="751"/>
        <v>-5</v>
      </c>
      <c r="J931" s="12">
        <f t="shared" si="752"/>
        <v>-5</v>
      </c>
      <c r="K931" s="90">
        <v>45981</v>
      </c>
      <c r="L931" s="24" t="s">
        <v>38</v>
      </c>
      <c r="M931" s="9"/>
      <c r="N931" s="10"/>
      <c r="O931" s="11"/>
      <c r="P931" s="12">
        <f t="shared" si="747"/>
        <v>0</v>
      </c>
      <c r="Q931" s="105"/>
      <c r="R931" s="10">
        <v>5</v>
      </c>
      <c r="S931" s="11"/>
      <c r="T931" s="12">
        <f t="shared" si="748"/>
        <v>5</v>
      </c>
      <c r="U931" s="12">
        <f t="shared" si="749"/>
        <v>5</v>
      </c>
      <c r="V931" s="90">
        <v>45981</v>
      </c>
      <c r="W931" s="50"/>
    </row>
    <row r="932" spans="1:23" x14ac:dyDescent="0.15">
      <c r="A932" s="24" t="s">
        <v>524</v>
      </c>
      <c r="B932" s="9">
        <v>4</v>
      </c>
      <c r="C932" s="10">
        <v>2</v>
      </c>
      <c r="D932" s="11">
        <v>2</v>
      </c>
      <c r="E932" s="12">
        <f t="shared" ref="E932:E934" si="756">SUM(B932:D932)</f>
        <v>8</v>
      </c>
      <c r="F932" s="9">
        <v>4</v>
      </c>
      <c r="G932" s="10">
        <v>2</v>
      </c>
      <c r="H932" s="11">
        <v>2</v>
      </c>
      <c r="I932" s="67">
        <f t="shared" ref="I932:I934" si="757">SUM(F932:H932)</f>
        <v>8</v>
      </c>
      <c r="J932" s="12">
        <f t="shared" ref="J932:J934" si="758">E932+I932</f>
        <v>16</v>
      </c>
      <c r="K932" s="90">
        <v>45989</v>
      </c>
      <c r="L932" s="24" t="s">
        <v>38</v>
      </c>
      <c r="M932" s="9">
        <v>3</v>
      </c>
      <c r="N932" s="10">
        <v>3</v>
      </c>
      <c r="O932" s="11"/>
      <c r="P932" s="12">
        <f t="shared" si="747"/>
        <v>6</v>
      </c>
      <c r="Q932" s="105">
        <v>3</v>
      </c>
      <c r="R932" s="10"/>
      <c r="S932" s="11"/>
      <c r="T932" s="12">
        <f t="shared" si="748"/>
        <v>3</v>
      </c>
      <c r="U932" s="12">
        <f t="shared" si="749"/>
        <v>9</v>
      </c>
      <c r="V932" s="90">
        <v>45988</v>
      </c>
      <c r="W932" s="50"/>
    </row>
    <row r="933" spans="1:23" x14ac:dyDescent="0.15">
      <c r="A933" s="24" t="s">
        <v>458</v>
      </c>
      <c r="B933" s="9">
        <v>-3</v>
      </c>
      <c r="C933" s="10">
        <v>-3</v>
      </c>
      <c r="D933" s="11"/>
      <c r="E933" s="12">
        <f t="shared" si="756"/>
        <v>-6</v>
      </c>
      <c r="F933" s="9">
        <v>-3</v>
      </c>
      <c r="G933" s="10"/>
      <c r="H933" s="11"/>
      <c r="I933" s="67">
        <f t="shared" si="757"/>
        <v>-3</v>
      </c>
      <c r="J933" s="12">
        <f t="shared" si="758"/>
        <v>-9</v>
      </c>
      <c r="K933" s="90">
        <v>45988</v>
      </c>
      <c r="L933" s="180" t="s">
        <v>38</v>
      </c>
      <c r="M933" s="124"/>
      <c r="N933" s="125"/>
      <c r="O933" s="187"/>
      <c r="P933" s="127">
        <f t="shared" si="747"/>
        <v>0</v>
      </c>
      <c r="Q933" s="188"/>
      <c r="R933" s="125">
        <v>5</v>
      </c>
      <c r="S933" s="187">
        <v>3</v>
      </c>
      <c r="T933" s="127">
        <f t="shared" si="748"/>
        <v>8</v>
      </c>
      <c r="U933" s="127">
        <f t="shared" si="749"/>
        <v>8</v>
      </c>
      <c r="V933" s="128">
        <v>45994</v>
      </c>
      <c r="W933" s="50"/>
    </row>
    <row r="934" spans="1:23" x14ac:dyDescent="0.15">
      <c r="A934" s="24" t="s">
        <v>45</v>
      </c>
      <c r="B934" s="9"/>
      <c r="C934" s="10"/>
      <c r="D934" s="11"/>
      <c r="E934" s="12">
        <f t="shared" si="756"/>
        <v>0</v>
      </c>
      <c r="F934" s="9"/>
      <c r="G934" s="10">
        <v>1</v>
      </c>
      <c r="H934" s="11"/>
      <c r="I934" s="67">
        <f t="shared" si="757"/>
        <v>1</v>
      </c>
      <c r="J934" s="12">
        <f t="shared" si="758"/>
        <v>1</v>
      </c>
      <c r="K934" s="90">
        <v>45992</v>
      </c>
      <c r="L934" s="180" t="s">
        <v>38</v>
      </c>
      <c r="M934" s="124">
        <v>5</v>
      </c>
      <c r="N934" s="125">
        <v>5</v>
      </c>
      <c r="O934" s="187"/>
      <c r="P934" s="127">
        <f t="shared" si="747"/>
        <v>10</v>
      </c>
      <c r="Q934" s="188">
        <v>5</v>
      </c>
      <c r="R934" s="125"/>
      <c r="S934" s="187"/>
      <c r="T934" s="127">
        <f t="shared" si="748"/>
        <v>5</v>
      </c>
      <c r="U934" s="127">
        <f t="shared" si="749"/>
        <v>15</v>
      </c>
      <c r="V934" s="128">
        <v>46008</v>
      </c>
      <c r="W934" s="50"/>
    </row>
    <row r="935" spans="1:23" x14ac:dyDescent="0.15">
      <c r="A935" s="24" t="s">
        <v>526</v>
      </c>
      <c r="B935" s="9"/>
      <c r="C935" s="10"/>
      <c r="D935" s="11"/>
      <c r="E935" s="12">
        <f t="shared" si="750"/>
        <v>0</v>
      </c>
      <c r="F935" s="9">
        <v>2</v>
      </c>
      <c r="G935" s="10">
        <v>4</v>
      </c>
      <c r="H935" s="11">
        <v>2</v>
      </c>
      <c r="I935" s="67">
        <f t="shared" si="751"/>
        <v>8</v>
      </c>
      <c r="J935" s="12">
        <f t="shared" si="752"/>
        <v>8</v>
      </c>
      <c r="K935" s="90">
        <v>45996</v>
      </c>
      <c r="L935" s="21"/>
      <c r="M935" s="9"/>
      <c r="N935" s="10"/>
      <c r="O935" s="11"/>
      <c r="P935" s="12">
        <f t="shared" ref="P935" si="759">SUM(M935:O935)</f>
        <v>0</v>
      </c>
      <c r="Q935" s="105"/>
      <c r="R935" s="10"/>
      <c r="S935" s="11"/>
      <c r="T935" s="12">
        <f t="shared" ref="T935" si="760">SUM(Q935:S935)</f>
        <v>0</v>
      </c>
      <c r="U935" s="12">
        <f t="shared" ref="U935" si="761">P935+T935</f>
        <v>0</v>
      </c>
    </row>
    <row r="936" spans="1:23" x14ac:dyDescent="0.15">
      <c r="A936" s="189" t="s">
        <v>527</v>
      </c>
      <c r="B936" s="124"/>
      <c r="C936" s="125"/>
      <c r="D936" s="187"/>
      <c r="E936" s="127">
        <f t="shared" si="750"/>
        <v>0</v>
      </c>
      <c r="F936" s="124"/>
      <c r="G936" s="125">
        <v>-5</v>
      </c>
      <c r="H936" s="187">
        <v>-3</v>
      </c>
      <c r="I936" s="129">
        <f t="shared" si="751"/>
        <v>-8</v>
      </c>
      <c r="J936" s="127">
        <f t="shared" si="752"/>
        <v>-8</v>
      </c>
      <c r="K936" s="128">
        <v>45994</v>
      </c>
      <c r="L936" s="21"/>
      <c r="M936" s="9"/>
      <c r="N936" s="10"/>
      <c r="O936" s="11"/>
      <c r="P936" s="12">
        <f t="shared" si="747"/>
        <v>0</v>
      </c>
      <c r="Q936" s="105"/>
      <c r="R936" s="10"/>
      <c r="S936" s="11"/>
      <c r="T936" s="12">
        <f t="shared" si="748"/>
        <v>0</v>
      </c>
      <c r="U936" s="12">
        <f t="shared" si="749"/>
        <v>0</v>
      </c>
    </row>
    <row r="937" spans="1:23" x14ac:dyDescent="0.15">
      <c r="A937" s="21" t="s">
        <v>528</v>
      </c>
      <c r="B937" s="9"/>
      <c r="C937" s="10">
        <v>16</v>
      </c>
      <c r="D937" s="11">
        <v>5</v>
      </c>
      <c r="E937" s="12">
        <f t="shared" si="750"/>
        <v>21</v>
      </c>
      <c r="F937" s="9"/>
      <c r="G937" s="10"/>
      <c r="H937" s="11"/>
      <c r="I937" s="67">
        <f t="shared" si="751"/>
        <v>0</v>
      </c>
      <c r="J937" s="12">
        <f t="shared" si="752"/>
        <v>21</v>
      </c>
      <c r="K937" s="108">
        <v>45997</v>
      </c>
      <c r="L937" s="21"/>
      <c r="M937" s="9"/>
      <c r="N937" s="10"/>
      <c r="O937" s="11"/>
      <c r="P937" s="12">
        <f t="shared" ref="P937:P940" si="762">SUM(M937:O937)</f>
        <v>0</v>
      </c>
      <c r="Q937" s="105"/>
      <c r="R937" s="10"/>
      <c r="S937" s="11"/>
      <c r="T937" s="12">
        <f t="shared" ref="T937:T940" si="763">SUM(Q937:S937)</f>
        <v>0</v>
      </c>
      <c r="U937" s="12">
        <f t="shared" ref="U937:U940" si="764">P937+T937</f>
        <v>0</v>
      </c>
      <c r="V937" s="89"/>
    </row>
    <row r="938" spans="1:23" x14ac:dyDescent="0.15">
      <c r="A938" s="24" t="s">
        <v>542</v>
      </c>
      <c r="B938" s="13">
        <v>4</v>
      </c>
      <c r="C938" s="14">
        <v>6</v>
      </c>
      <c r="D938" s="15"/>
      <c r="E938" s="12">
        <f t="shared" si="750"/>
        <v>10</v>
      </c>
      <c r="F938" s="13">
        <v>4</v>
      </c>
      <c r="G938" s="14"/>
      <c r="H938" s="15"/>
      <c r="I938" s="67">
        <f t="shared" si="751"/>
        <v>4</v>
      </c>
      <c r="J938" s="12">
        <f t="shared" si="752"/>
        <v>14</v>
      </c>
      <c r="K938" s="90">
        <v>46010</v>
      </c>
      <c r="L938" s="21"/>
      <c r="M938" s="9"/>
      <c r="N938" s="10"/>
      <c r="O938" s="11"/>
      <c r="P938" s="12">
        <f t="shared" si="762"/>
        <v>0</v>
      </c>
      <c r="Q938" s="105"/>
      <c r="R938" s="10"/>
      <c r="S938" s="11"/>
      <c r="T938" s="12">
        <f t="shared" si="763"/>
        <v>0</v>
      </c>
      <c r="U938" s="12">
        <f t="shared" si="764"/>
        <v>0</v>
      </c>
      <c r="V938" s="89"/>
    </row>
    <row r="939" spans="1:23" x14ac:dyDescent="0.15">
      <c r="A939" s="24" t="s">
        <v>458</v>
      </c>
      <c r="B939" s="9">
        <v>-5</v>
      </c>
      <c r="C939" s="10">
        <v>-5</v>
      </c>
      <c r="D939" s="11"/>
      <c r="E939" s="12">
        <f t="shared" si="750"/>
        <v>-10</v>
      </c>
      <c r="F939" s="9">
        <v>-5</v>
      </c>
      <c r="G939" s="10"/>
      <c r="H939" s="11"/>
      <c r="I939" s="67">
        <f t="shared" si="751"/>
        <v>-5</v>
      </c>
      <c r="J939" s="12">
        <f t="shared" si="752"/>
        <v>-15</v>
      </c>
      <c r="K939" s="90">
        <v>46008</v>
      </c>
      <c r="L939" s="21" t="s">
        <v>454</v>
      </c>
      <c r="M939" s="9"/>
      <c r="N939" s="10"/>
      <c r="O939" s="11"/>
      <c r="P939" s="12">
        <f t="shared" ref="P939" si="765">SUM(M939:O939)</f>
        <v>0</v>
      </c>
      <c r="Q939" s="105"/>
      <c r="R939" s="10"/>
      <c r="S939" s="11"/>
      <c r="T939" s="12">
        <f t="shared" ref="T939" si="766">SUM(Q939:S939)</f>
        <v>0</v>
      </c>
      <c r="U939" s="12">
        <f t="shared" ref="U939" si="767">P939+T939</f>
        <v>0</v>
      </c>
      <c r="V939" s="89" t="s">
        <v>455</v>
      </c>
    </row>
    <row r="940" spans="1:23" x14ac:dyDescent="0.15">
      <c r="A940" s="7"/>
      <c r="B940" s="9"/>
      <c r="C940" s="10"/>
      <c r="D940" s="11"/>
      <c r="E940" s="12">
        <f t="shared" si="750"/>
        <v>0</v>
      </c>
      <c r="F940" s="9"/>
      <c r="G940" s="10"/>
      <c r="H940" s="11"/>
      <c r="I940" s="67">
        <f t="shared" si="751"/>
        <v>0</v>
      </c>
      <c r="J940" s="12">
        <f t="shared" si="752"/>
        <v>0</v>
      </c>
      <c r="L940" s="21" t="s">
        <v>467</v>
      </c>
      <c r="M940" s="9"/>
      <c r="N940" s="10"/>
      <c r="O940" s="11"/>
      <c r="P940" s="12">
        <f t="shared" si="762"/>
        <v>0</v>
      </c>
      <c r="Q940" s="105"/>
      <c r="R940" s="10"/>
      <c r="S940" s="11"/>
      <c r="T940" s="12">
        <f t="shared" si="763"/>
        <v>0</v>
      </c>
      <c r="U940" s="12">
        <f t="shared" si="764"/>
        <v>0</v>
      </c>
      <c r="V940" s="89" t="s">
        <v>466</v>
      </c>
    </row>
    <row r="941" spans="1:23" x14ac:dyDescent="0.15">
      <c r="A941" s="59"/>
      <c r="B941" s="9"/>
      <c r="C941" s="10"/>
      <c r="D941" s="11"/>
      <c r="E941" s="12">
        <f t="shared" si="750"/>
        <v>0</v>
      </c>
      <c r="F941" s="9"/>
      <c r="G941" s="10"/>
      <c r="H941" s="11"/>
      <c r="I941" s="67">
        <f t="shared" si="751"/>
        <v>0</v>
      </c>
      <c r="J941" s="12">
        <f t="shared" si="752"/>
        <v>0</v>
      </c>
      <c r="L941" s="133" t="s">
        <v>430</v>
      </c>
      <c r="M941" s="98"/>
      <c r="N941" s="99"/>
      <c r="O941" s="100"/>
      <c r="P941" s="101">
        <f t="shared" ref="P941:P942" si="768">SUM(M941:O941)</f>
        <v>0</v>
      </c>
      <c r="Q941" s="185"/>
      <c r="R941" s="99"/>
      <c r="S941" s="100"/>
      <c r="T941" s="101">
        <f t="shared" ref="T941:T942" si="769">SUM(Q941:S941)</f>
        <v>0</v>
      </c>
      <c r="U941" s="101">
        <f t="shared" ref="U941:U942" si="770">P941+T941</f>
        <v>0</v>
      </c>
      <c r="V941" s="103"/>
    </row>
    <row r="942" spans="1:23" ht="14.25" thickBot="1" x14ac:dyDescent="0.2">
      <c r="A942" s="59"/>
      <c r="B942" s="9"/>
      <c r="C942" s="10"/>
      <c r="D942" s="11"/>
      <c r="E942" s="12">
        <f t="shared" si="750"/>
        <v>0</v>
      </c>
      <c r="F942" s="9"/>
      <c r="G942" s="10"/>
      <c r="H942" s="11"/>
      <c r="I942" s="67">
        <f t="shared" si="751"/>
        <v>0</v>
      </c>
      <c r="J942" s="12">
        <f t="shared" si="752"/>
        <v>0</v>
      </c>
      <c r="L942" s="21" t="s">
        <v>431</v>
      </c>
      <c r="M942" s="67"/>
      <c r="N942" s="10"/>
      <c r="O942" s="186"/>
      <c r="P942" s="12">
        <f t="shared" si="768"/>
        <v>0</v>
      </c>
      <c r="Q942" s="186"/>
      <c r="R942" s="10"/>
      <c r="S942" s="186"/>
      <c r="T942" s="12">
        <f t="shared" si="769"/>
        <v>0</v>
      </c>
      <c r="U942" s="12">
        <f t="shared" si="770"/>
        <v>0</v>
      </c>
      <c r="V942" s="89" t="s">
        <v>465</v>
      </c>
    </row>
    <row r="943" spans="1:23" ht="14.25" thickBot="1" x14ac:dyDescent="0.2">
      <c r="A943" s="37" t="s">
        <v>17</v>
      </c>
      <c r="B943" s="38">
        <f>SUM(B917:B942)</f>
        <v>18</v>
      </c>
      <c r="C943" s="39">
        <f>SUM(C917:C942)</f>
        <v>34</v>
      </c>
      <c r="D943" s="40">
        <f>SUM(D917:D942)</f>
        <v>11</v>
      </c>
      <c r="E943" s="41">
        <f>SUM(B943:D943)</f>
        <v>63</v>
      </c>
      <c r="F943" s="38">
        <f>SUM(F917:F942)</f>
        <v>32</v>
      </c>
      <c r="G943" s="39">
        <f>SUM(G917:G942)</f>
        <v>23</v>
      </c>
      <c r="H943" s="40">
        <f>SUM(H917:H942)</f>
        <v>13</v>
      </c>
      <c r="I943" s="41">
        <f>SUM(F943:H943)</f>
        <v>68</v>
      </c>
      <c r="J943" s="42">
        <f t="shared" si="752"/>
        <v>131</v>
      </c>
      <c r="L943" s="37" t="s">
        <v>17</v>
      </c>
      <c r="M943" s="38">
        <f>SUM(M917:M942)</f>
        <v>54</v>
      </c>
      <c r="N943" s="39">
        <f>SUM(N917:N942)</f>
        <v>86</v>
      </c>
      <c r="O943" s="40">
        <f>SUM(O917:O942)</f>
        <v>80</v>
      </c>
      <c r="P943" s="41">
        <f>SUM(M943:O943)</f>
        <v>220</v>
      </c>
      <c r="Q943" s="38">
        <f>SUM(Q917:Q942)</f>
        <v>66</v>
      </c>
      <c r="R943" s="39">
        <f>SUM(R917:R942)</f>
        <v>100</v>
      </c>
      <c r="S943" s="40">
        <f>SUM(S917:S942)</f>
        <v>63</v>
      </c>
      <c r="T943" s="41">
        <f>SUM(Q943:S943)</f>
        <v>229</v>
      </c>
      <c r="U943" s="42">
        <f t="shared" si="749"/>
        <v>449</v>
      </c>
    </row>
    <row r="944" spans="1:23" ht="14.25" thickBot="1" x14ac:dyDescent="0.2">
      <c r="A944" s="20" t="s">
        <v>18</v>
      </c>
      <c r="B944" s="63">
        <f>B916-B943</f>
        <v>6</v>
      </c>
      <c r="C944" s="64">
        <f t="shared" ref="C944:E944" si="771">C916-C943</f>
        <v>6</v>
      </c>
      <c r="D944" s="65">
        <f t="shared" si="771"/>
        <v>11</v>
      </c>
      <c r="E944" s="65">
        <f t="shared" si="771"/>
        <v>23</v>
      </c>
      <c r="F944" s="63">
        <f>F916-F943</f>
        <v>7</v>
      </c>
      <c r="G944" s="64">
        <f t="shared" ref="G944:I944" si="772">G916-G943</f>
        <v>6</v>
      </c>
      <c r="H944" s="65">
        <f t="shared" si="772"/>
        <v>6</v>
      </c>
      <c r="I944" s="65">
        <f t="shared" si="772"/>
        <v>19</v>
      </c>
      <c r="J944" s="29">
        <f t="shared" si="752"/>
        <v>42</v>
      </c>
      <c r="L944" s="112" t="s">
        <v>18</v>
      </c>
      <c r="M944" s="63">
        <f>M916-M943</f>
        <v>448</v>
      </c>
      <c r="N944" s="64">
        <f t="shared" ref="N944:P944" si="773">N916-N943</f>
        <v>821</v>
      </c>
      <c r="O944" s="65">
        <f t="shared" si="773"/>
        <v>495</v>
      </c>
      <c r="P944" s="65">
        <f t="shared" si="773"/>
        <v>1764</v>
      </c>
      <c r="Q944" s="63">
        <f>Q916-Q943</f>
        <v>375</v>
      </c>
      <c r="R944" s="64">
        <f t="shared" ref="R944:T944" si="774">R916-R943</f>
        <v>592</v>
      </c>
      <c r="S944" s="65">
        <f t="shared" si="774"/>
        <v>431</v>
      </c>
      <c r="T944" s="65">
        <f t="shared" si="774"/>
        <v>1398</v>
      </c>
      <c r="U944" s="29">
        <f t="shared" si="749"/>
        <v>3162</v>
      </c>
    </row>
    <row r="945" spans="1:22" x14ac:dyDescent="0.15">
      <c r="L945" s="148" t="s">
        <v>387</v>
      </c>
      <c r="M945" s="151">
        <v>50</v>
      </c>
      <c r="N945" s="120">
        <v>103</v>
      </c>
      <c r="O945" s="120">
        <v>50</v>
      </c>
      <c r="P945" s="120">
        <v>203</v>
      </c>
      <c r="Q945" s="120">
        <v>56</v>
      </c>
      <c r="R945" s="120">
        <v>75</v>
      </c>
      <c r="S945" s="120">
        <v>50</v>
      </c>
      <c r="T945" s="120">
        <v>181</v>
      </c>
      <c r="U945" s="120">
        <v>384</v>
      </c>
    </row>
    <row r="947" spans="1:22" ht="19.5" thickBot="1" x14ac:dyDescent="0.25">
      <c r="A947" s="3" t="s">
        <v>209</v>
      </c>
      <c r="B947" s="1"/>
      <c r="C947" s="1"/>
      <c r="D947" s="1"/>
      <c r="E947" s="1"/>
      <c r="F947" s="1"/>
      <c r="G947" s="1"/>
      <c r="H947" s="1"/>
      <c r="I947" s="1"/>
      <c r="J947" s="1"/>
      <c r="L947" s="226" t="s">
        <v>208</v>
      </c>
      <c r="M947" s="226"/>
      <c r="N947" s="226"/>
      <c r="O947" s="226"/>
      <c r="P947" s="226"/>
      <c r="Q947" s="1"/>
      <c r="R947" s="1"/>
      <c r="S947" s="1"/>
      <c r="T947" s="1" t="s">
        <v>422</v>
      </c>
      <c r="U947" s="1"/>
    </row>
    <row r="948" spans="1:22" ht="14.25" thickBot="1" x14ac:dyDescent="0.2">
      <c r="A948" s="8" t="s">
        <v>0</v>
      </c>
      <c r="B948" s="227" t="s">
        <v>19</v>
      </c>
      <c r="C948" s="228"/>
      <c r="D948" s="228"/>
      <c r="E948" s="229"/>
      <c r="F948" s="230" t="s">
        <v>20</v>
      </c>
      <c r="G948" s="231"/>
      <c r="H948" s="231"/>
      <c r="I948" s="232"/>
      <c r="J948" s="233" t="s">
        <v>1</v>
      </c>
      <c r="L948" s="8" t="s">
        <v>0</v>
      </c>
      <c r="M948" s="235" t="s">
        <v>19</v>
      </c>
      <c r="N948" s="236"/>
      <c r="O948" s="236"/>
      <c r="P948" s="237"/>
      <c r="Q948" s="238" t="s">
        <v>20</v>
      </c>
      <c r="R948" s="239"/>
      <c r="S948" s="239"/>
      <c r="T948" s="240"/>
      <c r="U948" s="224" t="s">
        <v>1</v>
      </c>
    </row>
    <row r="949" spans="1:22" ht="14.25" thickBot="1" x14ac:dyDescent="0.2">
      <c r="A949" s="8" t="s">
        <v>2</v>
      </c>
      <c r="B949" s="69" t="s">
        <v>3</v>
      </c>
      <c r="C949" s="70" t="s">
        <v>4</v>
      </c>
      <c r="D949" s="71" t="s">
        <v>5</v>
      </c>
      <c r="E949" s="8" t="s">
        <v>6</v>
      </c>
      <c r="F949" s="4" t="s">
        <v>3</v>
      </c>
      <c r="G949" s="5" t="s">
        <v>4</v>
      </c>
      <c r="H949" s="6" t="s">
        <v>5</v>
      </c>
      <c r="I949" s="8" t="s">
        <v>6</v>
      </c>
      <c r="J949" s="234"/>
      <c r="L949" s="8" t="s">
        <v>2</v>
      </c>
      <c r="M949" s="69" t="s">
        <v>3</v>
      </c>
      <c r="N949" s="70" t="s">
        <v>4</v>
      </c>
      <c r="O949" s="71" t="s">
        <v>5</v>
      </c>
      <c r="P949" s="8" t="s">
        <v>6</v>
      </c>
      <c r="Q949" s="4" t="s">
        <v>3</v>
      </c>
      <c r="R949" s="5" t="s">
        <v>4</v>
      </c>
      <c r="S949" s="6" t="s">
        <v>5</v>
      </c>
      <c r="T949" s="8" t="s">
        <v>6</v>
      </c>
      <c r="U949" s="225"/>
    </row>
    <row r="950" spans="1:22" ht="14.25" thickBot="1" x14ac:dyDescent="0.2">
      <c r="A950" s="25" t="s">
        <v>18</v>
      </c>
      <c r="B950" s="26">
        <f>B944</f>
        <v>6</v>
      </c>
      <c r="C950" s="27">
        <f t="shared" ref="C950:D950" si="775">C944</f>
        <v>6</v>
      </c>
      <c r="D950" s="49">
        <f t="shared" si="775"/>
        <v>11</v>
      </c>
      <c r="E950" s="68">
        <f t="shared" ref="E950:E958" si="776">SUM(B950:D950)</f>
        <v>23</v>
      </c>
      <c r="F950" s="26">
        <f>F944</f>
        <v>7</v>
      </c>
      <c r="G950" s="27">
        <f t="shared" ref="G950:H950" si="777">G944</f>
        <v>6</v>
      </c>
      <c r="H950" s="49">
        <f t="shared" si="777"/>
        <v>6</v>
      </c>
      <c r="I950" s="33">
        <f t="shared" ref="I950:I958" si="778">SUM(F950:H950)</f>
        <v>19</v>
      </c>
      <c r="J950" s="33">
        <f>E950+I950</f>
        <v>42</v>
      </c>
      <c r="L950" s="25" t="s">
        <v>18</v>
      </c>
      <c r="M950" s="26">
        <f>M944</f>
        <v>448</v>
      </c>
      <c r="N950" s="27">
        <f t="shared" ref="N950:O950" si="779">N944</f>
        <v>821</v>
      </c>
      <c r="O950" s="49">
        <f t="shared" si="779"/>
        <v>495</v>
      </c>
      <c r="P950" s="107">
        <f t="shared" ref="P950:P958" si="780">SUM(M950:O950)</f>
        <v>1764</v>
      </c>
      <c r="Q950" s="26">
        <f>Q944</f>
        <v>375</v>
      </c>
      <c r="R950" s="27">
        <f t="shared" ref="R950:S950" si="781">R944</f>
        <v>592</v>
      </c>
      <c r="S950" s="49">
        <f t="shared" si="781"/>
        <v>431</v>
      </c>
      <c r="T950" s="29">
        <f t="shared" ref="T950:T958" si="782">SUM(Q950:S950)</f>
        <v>1398</v>
      </c>
      <c r="U950" s="29">
        <f>P950+T950</f>
        <v>3162</v>
      </c>
    </row>
    <row r="951" spans="1:22" x14ac:dyDescent="0.15">
      <c r="A951" s="23" t="s">
        <v>92</v>
      </c>
      <c r="B951" s="47">
        <v>1</v>
      </c>
      <c r="C951" s="48">
        <v>6</v>
      </c>
      <c r="D951" s="72">
        <v>2</v>
      </c>
      <c r="E951" s="42">
        <f t="shared" si="776"/>
        <v>9</v>
      </c>
      <c r="F951" s="38">
        <v>3</v>
      </c>
      <c r="G951" s="39">
        <v>7</v>
      </c>
      <c r="H951" s="40">
        <v>5</v>
      </c>
      <c r="I951" s="66">
        <f t="shared" si="778"/>
        <v>15</v>
      </c>
      <c r="J951" s="57">
        <f t="shared" ref="J951:J958" si="783">E951+I951</f>
        <v>24</v>
      </c>
      <c r="K951" s="108">
        <v>46008</v>
      </c>
      <c r="L951" s="23" t="s">
        <v>8</v>
      </c>
      <c r="M951" s="16"/>
      <c r="N951" s="17"/>
      <c r="O951" s="43"/>
      <c r="P951" s="94">
        <f t="shared" si="780"/>
        <v>0</v>
      </c>
      <c r="Q951" s="16"/>
      <c r="R951" s="17"/>
      <c r="S951" s="43"/>
      <c r="T951" s="94">
        <f t="shared" si="782"/>
        <v>0</v>
      </c>
      <c r="U951" s="94">
        <f t="shared" ref="U951:U958" si="784">P951+T951</f>
        <v>0</v>
      </c>
    </row>
    <row r="952" spans="1:22" x14ac:dyDescent="0.15">
      <c r="A952" s="23" t="s">
        <v>9</v>
      </c>
      <c r="B952" s="9"/>
      <c r="C952" s="10">
        <v>3</v>
      </c>
      <c r="D952" s="44"/>
      <c r="E952" s="12">
        <f t="shared" si="776"/>
        <v>3</v>
      </c>
      <c r="F952" s="9"/>
      <c r="G952" s="10"/>
      <c r="H952" s="44"/>
      <c r="I952" s="12">
        <f t="shared" si="778"/>
        <v>0</v>
      </c>
      <c r="J952" s="12">
        <f t="shared" si="783"/>
        <v>3</v>
      </c>
      <c r="K952" s="90">
        <v>46017</v>
      </c>
      <c r="L952" s="23" t="s">
        <v>9</v>
      </c>
      <c r="M952" s="9"/>
      <c r="N952" s="10"/>
      <c r="O952" s="44"/>
      <c r="P952" s="12">
        <f t="shared" si="780"/>
        <v>0</v>
      </c>
      <c r="Q952" s="9"/>
      <c r="R952" s="10"/>
      <c r="S952" s="44"/>
      <c r="T952" s="12">
        <f t="shared" si="782"/>
        <v>0</v>
      </c>
      <c r="U952" s="12">
        <f t="shared" si="784"/>
        <v>0</v>
      </c>
    </row>
    <row r="953" spans="1:22" x14ac:dyDescent="0.15">
      <c r="A953" s="123" t="s">
        <v>10</v>
      </c>
      <c r="B953" s="177"/>
      <c r="C953" s="178"/>
      <c r="D953" s="179"/>
      <c r="E953" s="127">
        <f t="shared" si="776"/>
        <v>0</v>
      </c>
      <c r="F953" s="177">
        <v>12</v>
      </c>
      <c r="G953" s="178"/>
      <c r="H953" s="179">
        <v>3</v>
      </c>
      <c r="I953" s="127">
        <f t="shared" si="778"/>
        <v>15</v>
      </c>
      <c r="J953" s="127">
        <f t="shared" si="783"/>
        <v>15</v>
      </c>
      <c r="K953" s="128">
        <v>46029</v>
      </c>
      <c r="L953" s="23" t="s">
        <v>246</v>
      </c>
      <c r="M953" s="9">
        <v>500</v>
      </c>
      <c r="N953" s="10">
        <v>450</v>
      </c>
      <c r="O953" s="44">
        <v>300</v>
      </c>
      <c r="P953" s="12">
        <f t="shared" si="780"/>
        <v>1250</v>
      </c>
      <c r="Q953" s="9">
        <v>550</v>
      </c>
      <c r="R953" s="10">
        <v>500</v>
      </c>
      <c r="S953" s="44">
        <v>400</v>
      </c>
      <c r="T953" s="67">
        <f t="shared" si="782"/>
        <v>1450</v>
      </c>
      <c r="U953" s="12">
        <f t="shared" si="784"/>
        <v>2700</v>
      </c>
      <c r="V953" s="90" t="s">
        <v>540</v>
      </c>
    </row>
    <row r="954" spans="1:22" x14ac:dyDescent="0.15">
      <c r="A954" s="123" t="s">
        <v>11</v>
      </c>
      <c r="B954" s="177">
        <v>8</v>
      </c>
      <c r="C954" s="178">
        <v>3</v>
      </c>
      <c r="D954" s="179"/>
      <c r="E954" s="127">
        <f t="shared" si="776"/>
        <v>11</v>
      </c>
      <c r="F954" s="177"/>
      <c r="G954" s="178">
        <v>3</v>
      </c>
      <c r="H954" s="179"/>
      <c r="I954" s="127">
        <f t="shared" si="778"/>
        <v>3</v>
      </c>
      <c r="J954" s="127">
        <f t="shared" si="783"/>
        <v>14</v>
      </c>
      <c r="K954" s="128">
        <v>46037</v>
      </c>
      <c r="L954" s="23" t="s">
        <v>11</v>
      </c>
      <c r="M954" s="9"/>
      <c r="N954" s="10"/>
      <c r="O954" s="44"/>
      <c r="P954" s="12">
        <f t="shared" si="780"/>
        <v>0</v>
      </c>
      <c r="Q954" s="9"/>
      <c r="R954" s="10"/>
      <c r="S954" s="44"/>
      <c r="T954" s="12">
        <f t="shared" si="782"/>
        <v>0</v>
      </c>
      <c r="U954" s="12">
        <f t="shared" si="784"/>
        <v>0</v>
      </c>
      <c r="V954" s="89" t="s">
        <v>522</v>
      </c>
    </row>
    <row r="955" spans="1:22" x14ac:dyDescent="0.15">
      <c r="A955" s="23" t="s">
        <v>92</v>
      </c>
      <c r="B955" s="9">
        <v>1</v>
      </c>
      <c r="C955" s="10">
        <v>2</v>
      </c>
      <c r="D955" s="44">
        <v>3</v>
      </c>
      <c r="E955" s="12">
        <f t="shared" si="776"/>
        <v>6</v>
      </c>
      <c r="F955" s="9"/>
      <c r="G955" s="10">
        <v>1</v>
      </c>
      <c r="H955" s="44">
        <v>2</v>
      </c>
      <c r="I955" s="67">
        <f t="shared" si="778"/>
        <v>3</v>
      </c>
      <c r="J955" s="12">
        <f t="shared" si="783"/>
        <v>9</v>
      </c>
      <c r="K955" s="108">
        <v>46043</v>
      </c>
      <c r="L955" s="23" t="s">
        <v>553</v>
      </c>
      <c r="M955" s="16"/>
      <c r="N955" s="17">
        <v>6</v>
      </c>
      <c r="O955" s="43"/>
      <c r="P955" s="94">
        <f t="shared" si="780"/>
        <v>6</v>
      </c>
      <c r="Q955" s="16">
        <v>3</v>
      </c>
      <c r="R955" s="17">
        <v>7</v>
      </c>
      <c r="S955" s="43">
        <v>4</v>
      </c>
      <c r="T955" s="94">
        <f t="shared" si="782"/>
        <v>14</v>
      </c>
      <c r="U955" s="94">
        <f t="shared" si="784"/>
        <v>20</v>
      </c>
      <c r="V955" s="108">
        <v>46011</v>
      </c>
    </row>
    <row r="956" spans="1:22" x14ac:dyDescent="0.15">
      <c r="A956" s="23" t="s">
        <v>13</v>
      </c>
      <c r="B956" s="9"/>
      <c r="C956" s="10"/>
      <c r="D956" s="44"/>
      <c r="E956" s="12">
        <f t="shared" si="776"/>
        <v>0</v>
      </c>
      <c r="F956" s="9"/>
      <c r="G956" s="10"/>
      <c r="H956" s="44"/>
      <c r="I956" s="67">
        <f t="shared" si="778"/>
        <v>0</v>
      </c>
      <c r="J956" s="12">
        <f t="shared" si="783"/>
        <v>0</v>
      </c>
      <c r="L956" s="23" t="s">
        <v>13</v>
      </c>
      <c r="M956" s="9"/>
      <c r="N956" s="10"/>
      <c r="O956" s="44"/>
      <c r="P956" s="12">
        <f t="shared" si="780"/>
        <v>0</v>
      </c>
      <c r="Q956" s="9"/>
      <c r="R956" s="10"/>
      <c r="S956" s="44"/>
      <c r="T956" s="67">
        <f t="shared" si="782"/>
        <v>0</v>
      </c>
      <c r="U956" s="12">
        <f t="shared" si="784"/>
        <v>0</v>
      </c>
    </row>
    <row r="957" spans="1:22" x14ac:dyDescent="0.15">
      <c r="A957" s="23" t="s">
        <v>14</v>
      </c>
      <c r="B957" s="13"/>
      <c r="C957" s="14"/>
      <c r="D957" s="45"/>
      <c r="E957" s="12">
        <f t="shared" si="776"/>
        <v>0</v>
      </c>
      <c r="F957" s="13"/>
      <c r="G957" s="14"/>
      <c r="H957" s="45"/>
      <c r="I957" s="67">
        <f t="shared" si="778"/>
        <v>0</v>
      </c>
      <c r="J957" s="12">
        <f t="shared" si="783"/>
        <v>0</v>
      </c>
      <c r="L957" s="23" t="s">
        <v>14</v>
      </c>
      <c r="M957" s="13"/>
      <c r="N957" s="14"/>
      <c r="O957" s="45"/>
      <c r="P957" s="12">
        <f t="shared" si="780"/>
        <v>0</v>
      </c>
      <c r="Q957" s="13"/>
      <c r="R957" s="14"/>
      <c r="S957" s="45"/>
      <c r="T957" s="67">
        <f t="shared" si="782"/>
        <v>0</v>
      </c>
      <c r="U957" s="12">
        <f t="shared" si="784"/>
        <v>0</v>
      </c>
    </row>
    <row r="958" spans="1:22" ht="14.25" thickBot="1" x14ac:dyDescent="0.2">
      <c r="A958" s="23" t="s">
        <v>15</v>
      </c>
      <c r="B958" s="30"/>
      <c r="C958" s="31"/>
      <c r="D958" s="46"/>
      <c r="E958" s="12">
        <f t="shared" si="776"/>
        <v>0</v>
      </c>
      <c r="F958" s="30"/>
      <c r="G958" s="31"/>
      <c r="H958" s="46"/>
      <c r="I958" s="67">
        <f t="shared" si="778"/>
        <v>0</v>
      </c>
      <c r="J958" s="19">
        <f t="shared" si="783"/>
        <v>0</v>
      </c>
      <c r="L958" s="23" t="s">
        <v>15</v>
      </c>
      <c r="M958" s="13"/>
      <c r="N958" s="14"/>
      <c r="O958" s="45"/>
      <c r="P958" s="12">
        <f t="shared" si="780"/>
        <v>0</v>
      </c>
      <c r="Q958" s="13"/>
      <c r="R958" s="14"/>
      <c r="S958" s="45"/>
      <c r="T958" s="67">
        <f t="shared" si="782"/>
        <v>0</v>
      </c>
      <c r="U958" s="12">
        <f t="shared" si="784"/>
        <v>0</v>
      </c>
    </row>
    <row r="959" spans="1:22" ht="14.25" thickBot="1" x14ac:dyDescent="0.2">
      <c r="A959" s="32" t="s">
        <v>16</v>
      </c>
      <c r="B959" s="26">
        <f>SUM(B950:B958)</f>
        <v>16</v>
      </c>
      <c r="C959" s="27">
        <f t="shared" ref="C959:J959" si="785">SUM(C950:C958)</f>
        <v>20</v>
      </c>
      <c r="D959" s="49">
        <f t="shared" si="785"/>
        <v>16</v>
      </c>
      <c r="E959" s="75">
        <f t="shared" si="785"/>
        <v>52</v>
      </c>
      <c r="F959" s="26">
        <f t="shared" si="785"/>
        <v>22</v>
      </c>
      <c r="G959" s="27">
        <f t="shared" si="785"/>
        <v>17</v>
      </c>
      <c r="H959" s="49">
        <f t="shared" si="785"/>
        <v>16</v>
      </c>
      <c r="I959" s="74">
        <f t="shared" si="785"/>
        <v>55</v>
      </c>
      <c r="J959" s="29">
        <f t="shared" si="785"/>
        <v>107</v>
      </c>
      <c r="L959" s="32" t="s">
        <v>16</v>
      </c>
      <c r="M959" s="26">
        <f>SUM(M950:M958)</f>
        <v>948</v>
      </c>
      <c r="N959" s="27">
        <f t="shared" ref="N959:U959" si="786">SUM(N950:N958)</f>
        <v>1277</v>
      </c>
      <c r="O959" s="49">
        <f t="shared" si="786"/>
        <v>795</v>
      </c>
      <c r="P959" s="75">
        <f t="shared" si="786"/>
        <v>3020</v>
      </c>
      <c r="Q959" s="26">
        <f t="shared" si="786"/>
        <v>928</v>
      </c>
      <c r="R959" s="27">
        <f t="shared" si="786"/>
        <v>1099</v>
      </c>
      <c r="S959" s="49">
        <f t="shared" si="786"/>
        <v>835</v>
      </c>
      <c r="T959" s="74">
        <f t="shared" si="786"/>
        <v>2862</v>
      </c>
      <c r="U959" s="29">
        <f t="shared" si="786"/>
        <v>5882</v>
      </c>
    </row>
    <row r="960" spans="1:22" x14ac:dyDescent="0.15">
      <c r="A960" s="22" t="s">
        <v>552</v>
      </c>
      <c r="B960" s="54"/>
      <c r="C960" s="55">
        <v>6</v>
      </c>
      <c r="D960" s="56"/>
      <c r="E960" s="42">
        <f t="shared" ref="E960:E985" si="787">SUM(B960:D960)</f>
        <v>6</v>
      </c>
      <c r="F960" s="54">
        <v>3</v>
      </c>
      <c r="G960" s="55">
        <v>7</v>
      </c>
      <c r="H960" s="56">
        <v>4</v>
      </c>
      <c r="I960" s="66">
        <f t="shared" ref="I960:I985" si="788">SUM(F960:H960)</f>
        <v>14</v>
      </c>
      <c r="J960" s="57">
        <f t="shared" ref="J960:J987" si="789">E960+I960</f>
        <v>20</v>
      </c>
      <c r="K960" s="108">
        <v>46011</v>
      </c>
      <c r="L960" s="24" t="s">
        <v>541</v>
      </c>
      <c r="M960" s="54">
        <v>100</v>
      </c>
      <c r="N960" s="55">
        <v>150</v>
      </c>
      <c r="O960" s="56">
        <v>70</v>
      </c>
      <c r="P960" s="42">
        <f t="shared" ref="P960:P985" si="790">SUM(M960:O960)</f>
        <v>320</v>
      </c>
      <c r="Q960" s="152">
        <v>140</v>
      </c>
      <c r="R960" s="55">
        <v>110</v>
      </c>
      <c r="S960" s="56">
        <v>80</v>
      </c>
      <c r="T960" s="42">
        <f t="shared" ref="T960:T985" si="791">SUM(Q960:S960)</f>
        <v>330</v>
      </c>
      <c r="U960" s="57">
        <f t="shared" ref="U960:U987" si="792">P960+T960</f>
        <v>650</v>
      </c>
      <c r="V960" s="90">
        <v>46008</v>
      </c>
    </row>
    <row r="961" spans="1:22" x14ac:dyDescent="0.15">
      <c r="A961" s="24" t="s">
        <v>555</v>
      </c>
      <c r="B961" s="16"/>
      <c r="C961" s="17"/>
      <c r="D961" s="18"/>
      <c r="E961" s="12">
        <f t="shared" si="787"/>
        <v>0</v>
      </c>
      <c r="F961" s="16">
        <v>1</v>
      </c>
      <c r="G961" s="17"/>
      <c r="H961" s="18"/>
      <c r="I961" s="67">
        <f t="shared" si="788"/>
        <v>1</v>
      </c>
      <c r="J961" s="12">
        <f t="shared" si="789"/>
        <v>1</v>
      </c>
      <c r="K961" s="108">
        <v>46011</v>
      </c>
      <c r="L961" s="24" t="s">
        <v>543</v>
      </c>
      <c r="M961" s="16">
        <v>100</v>
      </c>
      <c r="N961" s="17">
        <v>100</v>
      </c>
      <c r="O961" s="18">
        <v>100</v>
      </c>
      <c r="P961" s="12">
        <f t="shared" si="790"/>
        <v>300</v>
      </c>
      <c r="Q961" s="153">
        <v>60</v>
      </c>
      <c r="R961" s="17">
        <v>90</v>
      </c>
      <c r="S961" s="18">
        <v>50</v>
      </c>
      <c r="T961" s="12">
        <f t="shared" si="791"/>
        <v>200</v>
      </c>
      <c r="U961" s="12">
        <f t="shared" si="792"/>
        <v>500</v>
      </c>
      <c r="V961" s="90">
        <v>46009</v>
      </c>
    </row>
    <row r="962" spans="1:22" x14ac:dyDescent="0.15">
      <c r="A962" s="24" t="s">
        <v>45</v>
      </c>
      <c r="B962" s="9"/>
      <c r="C962" s="10"/>
      <c r="D962" s="11"/>
      <c r="E962" s="12">
        <f t="shared" si="787"/>
        <v>0</v>
      </c>
      <c r="F962" s="9">
        <v>1</v>
      </c>
      <c r="G962" s="10"/>
      <c r="H962" s="11"/>
      <c r="I962" s="67">
        <f t="shared" si="788"/>
        <v>1</v>
      </c>
      <c r="J962" s="12">
        <f t="shared" si="789"/>
        <v>1</v>
      </c>
      <c r="K962" s="90">
        <v>46013</v>
      </c>
      <c r="L962" s="24" t="s">
        <v>550</v>
      </c>
      <c r="M962" s="9"/>
      <c r="N962" s="10"/>
      <c r="O962" s="11"/>
      <c r="P962" s="12">
        <f t="shared" si="790"/>
        <v>0</v>
      </c>
      <c r="Q962" s="105">
        <v>20</v>
      </c>
      <c r="R962" s="10"/>
      <c r="S962" s="11">
        <v>20</v>
      </c>
      <c r="T962" s="12">
        <f t="shared" si="791"/>
        <v>40</v>
      </c>
      <c r="U962" s="12">
        <f t="shared" si="792"/>
        <v>40</v>
      </c>
      <c r="V962" s="90">
        <v>46011</v>
      </c>
    </row>
    <row r="963" spans="1:22" x14ac:dyDescent="0.15">
      <c r="A963" s="24" t="s">
        <v>556</v>
      </c>
      <c r="B963" s="9"/>
      <c r="C963" s="10">
        <v>2</v>
      </c>
      <c r="D963" s="11">
        <v>2</v>
      </c>
      <c r="E963" s="12">
        <f t="shared" si="787"/>
        <v>4</v>
      </c>
      <c r="F963" s="9"/>
      <c r="G963" s="10"/>
      <c r="H963" s="11">
        <v>4</v>
      </c>
      <c r="I963" s="67">
        <f t="shared" si="788"/>
        <v>4</v>
      </c>
      <c r="J963" s="12">
        <f t="shared" si="789"/>
        <v>8</v>
      </c>
      <c r="K963" s="90">
        <v>45663</v>
      </c>
      <c r="L963" s="24" t="s">
        <v>551</v>
      </c>
      <c r="M963" s="9"/>
      <c r="N963" s="10">
        <v>20</v>
      </c>
      <c r="O963" s="11">
        <v>20</v>
      </c>
      <c r="P963" s="12">
        <f t="shared" si="790"/>
        <v>40</v>
      </c>
      <c r="Q963" s="105"/>
      <c r="R963" s="10"/>
      <c r="S963" s="11">
        <v>20</v>
      </c>
      <c r="T963" s="12">
        <f t="shared" si="791"/>
        <v>20</v>
      </c>
      <c r="U963" s="12">
        <f t="shared" si="792"/>
        <v>60</v>
      </c>
      <c r="V963" s="90">
        <v>46011</v>
      </c>
    </row>
    <row r="964" spans="1:22" x14ac:dyDescent="0.15">
      <c r="A964" s="24" t="s">
        <v>45</v>
      </c>
      <c r="B964" s="9"/>
      <c r="C964" s="10"/>
      <c r="D964" s="11"/>
      <c r="E964" s="12">
        <f t="shared" si="787"/>
        <v>0</v>
      </c>
      <c r="F964" s="9">
        <v>1</v>
      </c>
      <c r="G964" s="10"/>
      <c r="H964" s="11"/>
      <c r="I964" s="67">
        <f t="shared" si="788"/>
        <v>1</v>
      </c>
      <c r="J964" s="12">
        <f t="shared" si="789"/>
        <v>1</v>
      </c>
      <c r="K964" s="108">
        <v>46014</v>
      </c>
      <c r="L964" s="24" t="s">
        <v>38</v>
      </c>
      <c r="M964" s="9"/>
      <c r="N964" s="10">
        <v>3</v>
      </c>
      <c r="O964" s="11"/>
      <c r="P964" s="12">
        <f t="shared" si="790"/>
        <v>3</v>
      </c>
      <c r="Q964" s="105"/>
      <c r="R964" s="10"/>
      <c r="S964" s="11"/>
      <c r="T964" s="12">
        <f t="shared" si="791"/>
        <v>0</v>
      </c>
      <c r="U964" s="12">
        <f t="shared" si="792"/>
        <v>3</v>
      </c>
      <c r="V964" s="90">
        <v>46017</v>
      </c>
    </row>
    <row r="965" spans="1:22" x14ac:dyDescent="0.15">
      <c r="A965" s="24" t="s">
        <v>45</v>
      </c>
      <c r="B965" s="9"/>
      <c r="C965" s="10">
        <v>2</v>
      </c>
      <c r="D965" s="11"/>
      <c r="E965" s="12">
        <f t="shared" si="787"/>
        <v>2</v>
      </c>
      <c r="F965" s="9"/>
      <c r="G965" s="10"/>
      <c r="H965" s="11"/>
      <c r="I965" s="67">
        <f t="shared" si="788"/>
        <v>0</v>
      </c>
      <c r="J965" s="12">
        <f t="shared" si="789"/>
        <v>2</v>
      </c>
      <c r="K965" s="108">
        <v>46016</v>
      </c>
      <c r="L965" s="180" t="s">
        <v>38</v>
      </c>
      <c r="M965" s="124"/>
      <c r="N965" s="125"/>
      <c r="O965" s="187"/>
      <c r="P965" s="127">
        <f t="shared" si="790"/>
        <v>0</v>
      </c>
      <c r="Q965" s="188">
        <v>12</v>
      </c>
      <c r="R965" s="125"/>
      <c r="S965" s="187">
        <v>3</v>
      </c>
      <c r="T965" s="127">
        <f t="shared" si="791"/>
        <v>15</v>
      </c>
      <c r="U965" s="127">
        <f t="shared" si="792"/>
        <v>15</v>
      </c>
      <c r="V965" s="128">
        <v>46029</v>
      </c>
    </row>
    <row r="966" spans="1:22" x14ac:dyDescent="0.15">
      <c r="A966" s="24" t="s">
        <v>560</v>
      </c>
      <c r="B966" s="9">
        <v>2</v>
      </c>
      <c r="C966" s="10"/>
      <c r="D966" s="11"/>
      <c r="E966" s="12"/>
      <c r="F966" s="9">
        <v>10</v>
      </c>
      <c r="G966" s="10"/>
      <c r="H966" s="11"/>
      <c r="I966" s="67"/>
      <c r="J966" s="12"/>
      <c r="K966" s="90">
        <v>46031</v>
      </c>
      <c r="L966" s="180" t="s">
        <v>38</v>
      </c>
      <c r="M966" s="124">
        <v>8</v>
      </c>
      <c r="N966" s="125">
        <v>3</v>
      </c>
      <c r="O966" s="187"/>
      <c r="P966" s="127">
        <f t="shared" si="790"/>
        <v>11</v>
      </c>
      <c r="Q966" s="188"/>
      <c r="R966" s="125">
        <v>3</v>
      </c>
      <c r="S966" s="187"/>
      <c r="T966" s="127">
        <f t="shared" si="791"/>
        <v>3</v>
      </c>
      <c r="U966" s="127">
        <f t="shared" si="792"/>
        <v>14</v>
      </c>
      <c r="V966" s="128">
        <v>46037</v>
      </c>
    </row>
    <row r="967" spans="1:22" x14ac:dyDescent="0.15">
      <c r="A967" s="24" t="s">
        <v>45</v>
      </c>
      <c r="B967" s="9"/>
      <c r="C967" s="10">
        <v>1</v>
      </c>
      <c r="D967" s="11"/>
      <c r="E967" s="12">
        <f t="shared" si="787"/>
        <v>1</v>
      </c>
      <c r="F967" s="9"/>
      <c r="G967" s="10">
        <v>1</v>
      </c>
      <c r="H967" s="11">
        <v>1</v>
      </c>
      <c r="I967" s="67">
        <f t="shared" si="788"/>
        <v>2</v>
      </c>
      <c r="J967" s="12">
        <f t="shared" si="789"/>
        <v>3</v>
      </c>
      <c r="K967" s="108">
        <v>46029</v>
      </c>
      <c r="L967" s="24"/>
      <c r="M967" s="9"/>
      <c r="N967" s="10"/>
      <c r="O967" s="11"/>
      <c r="P967" s="12">
        <f t="shared" si="790"/>
        <v>0</v>
      </c>
      <c r="Q967" s="105"/>
      <c r="R967" s="10"/>
      <c r="S967" s="11"/>
      <c r="T967" s="12">
        <f t="shared" si="791"/>
        <v>0</v>
      </c>
      <c r="U967" s="12">
        <f t="shared" si="792"/>
        <v>0</v>
      </c>
    </row>
    <row r="968" spans="1:22" x14ac:dyDescent="0.15">
      <c r="A968" s="24" t="s">
        <v>45</v>
      </c>
      <c r="B968" s="9"/>
      <c r="C968" s="10">
        <v>1</v>
      </c>
      <c r="D968" s="11"/>
      <c r="E968" s="12">
        <f t="shared" si="787"/>
        <v>1</v>
      </c>
      <c r="F968" s="9"/>
      <c r="G968" s="10">
        <v>1</v>
      </c>
      <c r="H968" s="11"/>
      <c r="I968" s="67">
        <f t="shared" si="788"/>
        <v>1</v>
      </c>
      <c r="J968" s="12">
        <f t="shared" si="789"/>
        <v>2</v>
      </c>
      <c r="K968" s="108">
        <v>46035</v>
      </c>
      <c r="L968" s="22"/>
      <c r="M968" s="9"/>
      <c r="N968" s="10"/>
      <c r="O968" s="11"/>
      <c r="P968" s="12">
        <f t="shared" si="790"/>
        <v>0</v>
      </c>
      <c r="Q968" s="105"/>
      <c r="R968" s="10"/>
      <c r="S968" s="11"/>
      <c r="T968" s="12">
        <f t="shared" si="791"/>
        <v>0</v>
      </c>
      <c r="U968" s="12">
        <f t="shared" si="792"/>
        <v>0</v>
      </c>
    </row>
    <row r="969" spans="1:22" x14ac:dyDescent="0.15">
      <c r="A969" s="24" t="s">
        <v>561</v>
      </c>
      <c r="B969" s="13">
        <v>8</v>
      </c>
      <c r="C969" s="14"/>
      <c r="D969" s="15"/>
      <c r="E969" s="12">
        <f t="shared" si="787"/>
        <v>8</v>
      </c>
      <c r="F969" s="13"/>
      <c r="G969" s="14"/>
      <c r="H969" s="15"/>
      <c r="I969" s="67">
        <f t="shared" si="788"/>
        <v>0</v>
      </c>
      <c r="J969" s="12">
        <f t="shared" si="789"/>
        <v>8</v>
      </c>
      <c r="K969" s="90">
        <v>46041</v>
      </c>
      <c r="L969" s="24"/>
      <c r="M969" s="13"/>
      <c r="N969" s="14"/>
      <c r="O969" s="15"/>
      <c r="P969" s="12">
        <f t="shared" si="790"/>
        <v>0</v>
      </c>
      <c r="Q969" s="154"/>
      <c r="R969" s="14"/>
      <c r="S969" s="15"/>
      <c r="T969" s="12">
        <f t="shared" si="791"/>
        <v>0</v>
      </c>
      <c r="U969" s="12">
        <f t="shared" si="792"/>
        <v>0</v>
      </c>
    </row>
    <row r="970" spans="1:22" x14ac:dyDescent="0.15">
      <c r="A970" s="24" t="s">
        <v>45</v>
      </c>
      <c r="B970" s="9">
        <v>1</v>
      </c>
      <c r="C970" s="10"/>
      <c r="D970" s="11"/>
      <c r="E970" s="12">
        <f t="shared" si="787"/>
        <v>1</v>
      </c>
      <c r="F970" s="9">
        <v>1</v>
      </c>
      <c r="G970" s="10"/>
      <c r="H970" s="11"/>
      <c r="I970" s="67">
        <f t="shared" si="788"/>
        <v>1</v>
      </c>
      <c r="J970" s="12">
        <f t="shared" si="789"/>
        <v>2</v>
      </c>
      <c r="K970" s="108">
        <v>46037</v>
      </c>
      <c r="L970" s="24"/>
      <c r="M970" s="9"/>
      <c r="N970" s="10"/>
      <c r="O970" s="11"/>
      <c r="P970" s="12">
        <f t="shared" si="790"/>
        <v>0</v>
      </c>
      <c r="Q970" s="105"/>
      <c r="R970" s="10"/>
      <c r="S970" s="11"/>
      <c r="T970" s="12">
        <f t="shared" si="791"/>
        <v>0</v>
      </c>
      <c r="U970" s="12">
        <f t="shared" si="792"/>
        <v>0</v>
      </c>
    </row>
    <row r="971" spans="1:22" x14ac:dyDescent="0.15">
      <c r="A971" s="24"/>
      <c r="B971" s="9"/>
      <c r="C971" s="10"/>
      <c r="D971" s="11"/>
      <c r="E971" s="12">
        <f t="shared" si="787"/>
        <v>0</v>
      </c>
      <c r="F971" s="9"/>
      <c r="G971" s="10"/>
      <c r="H971" s="11"/>
      <c r="I971" s="67">
        <f t="shared" si="788"/>
        <v>0</v>
      </c>
      <c r="J971" s="12">
        <f t="shared" si="789"/>
        <v>0</v>
      </c>
      <c r="L971" s="24"/>
      <c r="M971" s="9"/>
      <c r="N971" s="10"/>
      <c r="O971" s="11"/>
      <c r="P971" s="12">
        <f t="shared" si="790"/>
        <v>0</v>
      </c>
      <c r="Q971" s="105"/>
      <c r="R971" s="10"/>
      <c r="S971" s="11"/>
      <c r="T971" s="12">
        <f t="shared" si="791"/>
        <v>0</v>
      </c>
      <c r="U971" s="12">
        <f t="shared" si="792"/>
        <v>0</v>
      </c>
    </row>
    <row r="972" spans="1:22" x14ac:dyDescent="0.15">
      <c r="A972" s="22"/>
      <c r="B972" s="9"/>
      <c r="C972" s="10"/>
      <c r="D972" s="11"/>
      <c r="E972" s="12">
        <f t="shared" si="787"/>
        <v>0</v>
      </c>
      <c r="F972" s="9"/>
      <c r="G972" s="10"/>
      <c r="H972" s="11"/>
      <c r="I972" s="67">
        <f t="shared" si="788"/>
        <v>0</v>
      </c>
      <c r="J972" s="12">
        <f t="shared" si="789"/>
        <v>0</v>
      </c>
      <c r="L972" s="22"/>
      <c r="M972" s="9"/>
      <c r="N972" s="10"/>
      <c r="O972" s="11"/>
      <c r="P972" s="12">
        <f t="shared" si="790"/>
        <v>0</v>
      </c>
      <c r="Q972" s="105"/>
      <c r="R972" s="10"/>
      <c r="S972" s="11"/>
      <c r="T972" s="12">
        <f t="shared" si="791"/>
        <v>0</v>
      </c>
      <c r="U972" s="12">
        <f t="shared" si="792"/>
        <v>0</v>
      </c>
    </row>
    <row r="973" spans="1:22" x14ac:dyDescent="0.15">
      <c r="A973" s="24"/>
      <c r="B973" s="9"/>
      <c r="C973" s="10"/>
      <c r="D973" s="11"/>
      <c r="E973" s="12">
        <f t="shared" si="787"/>
        <v>0</v>
      </c>
      <c r="F973" s="9"/>
      <c r="G973" s="10"/>
      <c r="H973" s="11"/>
      <c r="I973" s="67">
        <f t="shared" si="788"/>
        <v>0</v>
      </c>
      <c r="J973" s="12">
        <f t="shared" si="789"/>
        <v>0</v>
      </c>
      <c r="L973" s="24"/>
      <c r="M973" s="9"/>
      <c r="N973" s="10"/>
      <c r="O973" s="11"/>
      <c r="P973" s="12">
        <f t="shared" si="790"/>
        <v>0</v>
      </c>
      <c r="Q973" s="105"/>
      <c r="R973" s="10"/>
      <c r="S973" s="11"/>
      <c r="T973" s="12">
        <f t="shared" si="791"/>
        <v>0</v>
      </c>
      <c r="U973" s="12">
        <f t="shared" si="792"/>
        <v>0</v>
      </c>
    </row>
    <row r="974" spans="1:22" x14ac:dyDescent="0.15">
      <c r="A974" s="24"/>
      <c r="B974" s="9"/>
      <c r="C974" s="10"/>
      <c r="D974" s="11"/>
      <c r="E974" s="12">
        <f t="shared" si="787"/>
        <v>0</v>
      </c>
      <c r="F974" s="9"/>
      <c r="G974" s="10"/>
      <c r="H974" s="11"/>
      <c r="I974" s="67">
        <f t="shared" si="788"/>
        <v>0</v>
      </c>
      <c r="J974" s="12">
        <f t="shared" si="789"/>
        <v>0</v>
      </c>
      <c r="L974" s="24"/>
      <c r="M974" s="9"/>
      <c r="N974" s="10"/>
      <c r="O974" s="11"/>
      <c r="P974" s="12">
        <f t="shared" si="790"/>
        <v>0</v>
      </c>
      <c r="Q974" s="105"/>
      <c r="R974" s="10"/>
      <c r="S974" s="11"/>
      <c r="T974" s="12">
        <f t="shared" si="791"/>
        <v>0</v>
      </c>
      <c r="U974" s="12">
        <f t="shared" si="792"/>
        <v>0</v>
      </c>
    </row>
    <row r="975" spans="1:22" x14ac:dyDescent="0.15">
      <c r="A975" s="22"/>
      <c r="B975" s="9"/>
      <c r="C975" s="10"/>
      <c r="D975" s="11"/>
      <c r="E975" s="12">
        <f t="shared" si="787"/>
        <v>0</v>
      </c>
      <c r="F975" s="9"/>
      <c r="G975" s="10"/>
      <c r="H975" s="11"/>
      <c r="I975" s="67">
        <f t="shared" si="788"/>
        <v>0</v>
      </c>
      <c r="J975" s="12">
        <f t="shared" si="789"/>
        <v>0</v>
      </c>
      <c r="L975" s="22"/>
      <c r="M975" s="9"/>
      <c r="N975" s="10"/>
      <c r="O975" s="11"/>
      <c r="P975" s="12">
        <f t="shared" si="790"/>
        <v>0</v>
      </c>
      <c r="Q975" s="105"/>
      <c r="R975" s="10"/>
      <c r="S975" s="11"/>
      <c r="T975" s="12">
        <f t="shared" si="791"/>
        <v>0</v>
      </c>
      <c r="U975" s="12">
        <f t="shared" si="792"/>
        <v>0</v>
      </c>
    </row>
    <row r="976" spans="1:22" x14ac:dyDescent="0.15">
      <c r="A976" s="24"/>
      <c r="B976" s="9"/>
      <c r="C976" s="10"/>
      <c r="D976" s="11"/>
      <c r="E976" s="12">
        <f t="shared" si="787"/>
        <v>0</v>
      </c>
      <c r="F976" s="9"/>
      <c r="G976" s="10"/>
      <c r="H976" s="11"/>
      <c r="I976" s="67">
        <f t="shared" si="788"/>
        <v>0</v>
      </c>
      <c r="J976" s="12">
        <f t="shared" si="789"/>
        <v>0</v>
      </c>
      <c r="L976" s="24"/>
      <c r="M976" s="9"/>
      <c r="N976" s="10"/>
      <c r="O976" s="11"/>
      <c r="P976" s="12">
        <f t="shared" si="790"/>
        <v>0</v>
      </c>
      <c r="Q976" s="105"/>
      <c r="R976" s="10"/>
      <c r="S976" s="11"/>
      <c r="T976" s="12">
        <f t="shared" si="791"/>
        <v>0</v>
      </c>
      <c r="U976" s="12">
        <f t="shared" si="792"/>
        <v>0</v>
      </c>
    </row>
    <row r="977" spans="1:23" x14ac:dyDescent="0.15">
      <c r="A977" s="24"/>
      <c r="B977" s="9"/>
      <c r="C977" s="10"/>
      <c r="D977" s="11"/>
      <c r="E977" s="12">
        <f t="shared" si="787"/>
        <v>0</v>
      </c>
      <c r="F977" s="9"/>
      <c r="G977" s="10"/>
      <c r="H977" s="11"/>
      <c r="I977" s="67">
        <f t="shared" si="788"/>
        <v>0</v>
      </c>
      <c r="J977" s="12">
        <f t="shared" si="789"/>
        <v>0</v>
      </c>
      <c r="L977" s="24"/>
      <c r="M977" s="9"/>
      <c r="N977" s="10"/>
      <c r="O977" s="11"/>
      <c r="P977" s="12">
        <f t="shared" si="790"/>
        <v>0</v>
      </c>
      <c r="Q977" s="105"/>
      <c r="R977" s="10"/>
      <c r="S977" s="11"/>
      <c r="T977" s="12">
        <f t="shared" si="791"/>
        <v>0</v>
      </c>
      <c r="U977" s="12">
        <f t="shared" si="792"/>
        <v>0</v>
      </c>
    </row>
    <row r="978" spans="1:23" x14ac:dyDescent="0.15">
      <c r="A978" s="21"/>
      <c r="B978" s="9"/>
      <c r="C978" s="10"/>
      <c r="D978" s="11"/>
      <c r="E978" s="12">
        <f t="shared" si="787"/>
        <v>0</v>
      </c>
      <c r="F978" s="9"/>
      <c r="G978" s="10"/>
      <c r="H978" s="11"/>
      <c r="I978" s="67">
        <f t="shared" si="788"/>
        <v>0</v>
      </c>
      <c r="J978" s="12">
        <f t="shared" si="789"/>
        <v>0</v>
      </c>
      <c r="L978" s="21"/>
      <c r="M978" s="9"/>
      <c r="N978" s="10"/>
      <c r="O978" s="11"/>
      <c r="P978" s="12">
        <f t="shared" si="790"/>
        <v>0</v>
      </c>
      <c r="Q978" s="105"/>
      <c r="R978" s="10"/>
      <c r="S978" s="11"/>
      <c r="T978" s="12">
        <f t="shared" si="791"/>
        <v>0</v>
      </c>
      <c r="U978" s="12">
        <f t="shared" si="792"/>
        <v>0</v>
      </c>
    </row>
    <row r="979" spans="1:23" x14ac:dyDescent="0.15">
      <c r="A979" s="21"/>
      <c r="B979" s="9"/>
      <c r="C979" s="10"/>
      <c r="D979" s="11"/>
      <c r="E979" s="12">
        <f t="shared" si="787"/>
        <v>0</v>
      </c>
      <c r="F979" s="9"/>
      <c r="G979" s="10"/>
      <c r="H979" s="11"/>
      <c r="I979" s="67">
        <f t="shared" si="788"/>
        <v>0</v>
      </c>
      <c r="J979" s="12">
        <f t="shared" si="789"/>
        <v>0</v>
      </c>
      <c r="L979" s="21"/>
      <c r="M979" s="9"/>
      <c r="N979" s="10"/>
      <c r="O979" s="11"/>
      <c r="P979" s="12">
        <f t="shared" si="790"/>
        <v>0</v>
      </c>
      <c r="Q979" s="105"/>
      <c r="R979" s="10"/>
      <c r="S979" s="11"/>
      <c r="T979" s="12">
        <f t="shared" si="791"/>
        <v>0</v>
      </c>
      <c r="U979" s="12">
        <f t="shared" si="792"/>
        <v>0</v>
      </c>
    </row>
    <row r="980" spans="1:23" x14ac:dyDescent="0.15">
      <c r="A980" s="21"/>
      <c r="B980" s="9"/>
      <c r="C980" s="10"/>
      <c r="D980" s="11"/>
      <c r="E980" s="12">
        <f t="shared" si="787"/>
        <v>0</v>
      </c>
      <c r="F980" s="9"/>
      <c r="G980" s="10"/>
      <c r="H980" s="11"/>
      <c r="I980" s="67">
        <f t="shared" si="788"/>
        <v>0</v>
      </c>
      <c r="J980" s="12">
        <f t="shared" si="789"/>
        <v>0</v>
      </c>
      <c r="L980" s="21"/>
      <c r="M980" s="9"/>
      <c r="N980" s="10"/>
      <c r="O980" s="11"/>
      <c r="P980" s="12">
        <f t="shared" si="790"/>
        <v>0</v>
      </c>
      <c r="Q980" s="105"/>
      <c r="R980" s="10"/>
      <c r="S980" s="11"/>
      <c r="T980" s="12">
        <f t="shared" si="791"/>
        <v>0</v>
      </c>
      <c r="U980" s="12">
        <f t="shared" si="792"/>
        <v>0</v>
      </c>
    </row>
    <row r="981" spans="1:23" x14ac:dyDescent="0.15">
      <c r="A981" s="24"/>
      <c r="B981" s="13"/>
      <c r="C981" s="14"/>
      <c r="D981" s="15"/>
      <c r="E981" s="12">
        <f t="shared" si="787"/>
        <v>0</v>
      </c>
      <c r="F981" s="13"/>
      <c r="G981" s="14"/>
      <c r="H981" s="15"/>
      <c r="I981" s="67">
        <f t="shared" si="788"/>
        <v>0</v>
      </c>
      <c r="J981" s="12">
        <f t="shared" si="789"/>
        <v>0</v>
      </c>
      <c r="L981" s="21"/>
      <c r="M981" s="9"/>
      <c r="N981" s="10"/>
      <c r="O981" s="11"/>
      <c r="P981" s="12">
        <f t="shared" si="790"/>
        <v>0</v>
      </c>
      <c r="Q981" s="105"/>
      <c r="R981" s="10"/>
      <c r="S981" s="11"/>
      <c r="T981" s="12">
        <f t="shared" si="791"/>
        <v>0</v>
      </c>
      <c r="U981" s="12">
        <f t="shared" si="792"/>
        <v>0</v>
      </c>
    </row>
    <row r="982" spans="1:23" x14ac:dyDescent="0.15">
      <c r="A982" s="24"/>
      <c r="B982" s="9"/>
      <c r="C982" s="10"/>
      <c r="D982" s="11"/>
      <c r="E982" s="12">
        <f t="shared" si="787"/>
        <v>0</v>
      </c>
      <c r="F982" s="9"/>
      <c r="G982" s="10"/>
      <c r="H982" s="11"/>
      <c r="I982" s="67">
        <f t="shared" si="788"/>
        <v>0</v>
      </c>
      <c r="J982" s="12">
        <f t="shared" si="789"/>
        <v>0</v>
      </c>
      <c r="L982" s="21"/>
      <c r="M982" s="9"/>
      <c r="N982" s="10"/>
      <c r="O982" s="11"/>
      <c r="P982" s="12">
        <f t="shared" si="790"/>
        <v>0</v>
      </c>
      <c r="Q982" s="105"/>
      <c r="R982" s="10"/>
      <c r="S982" s="11"/>
      <c r="T982" s="12">
        <f t="shared" si="791"/>
        <v>0</v>
      </c>
      <c r="U982" s="12">
        <f t="shared" si="792"/>
        <v>0</v>
      </c>
    </row>
    <row r="983" spans="1:23" x14ac:dyDescent="0.15">
      <c r="A983" s="7"/>
      <c r="B983" s="9"/>
      <c r="C983" s="10"/>
      <c r="D983" s="11"/>
      <c r="E983" s="12">
        <f t="shared" si="787"/>
        <v>0</v>
      </c>
      <c r="F983" s="9"/>
      <c r="G983" s="10"/>
      <c r="H983" s="11"/>
      <c r="I983" s="67">
        <f t="shared" si="788"/>
        <v>0</v>
      </c>
      <c r="J983" s="12">
        <f t="shared" si="789"/>
        <v>0</v>
      </c>
      <c r="L983" s="21"/>
      <c r="M983" s="9"/>
      <c r="N983" s="10"/>
      <c r="O983" s="11"/>
      <c r="P983" s="12">
        <f t="shared" si="790"/>
        <v>0</v>
      </c>
      <c r="Q983" s="105"/>
      <c r="R983" s="10"/>
      <c r="S983" s="11"/>
      <c r="T983" s="12">
        <f t="shared" si="791"/>
        <v>0</v>
      </c>
      <c r="U983" s="12">
        <f t="shared" si="792"/>
        <v>0</v>
      </c>
    </row>
    <row r="984" spans="1:23" x14ac:dyDescent="0.15">
      <c r="A984" s="59"/>
      <c r="B984" s="9"/>
      <c r="C984" s="10"/>
      <c r="D984" s="11"/>
      <c r="E984" s="12">
        <f t="shared" si="787"/>
        <v>0</v>
      </c>
      <c r="F984" s="9"/>
      <c r="G984" s="10"/>
      <c r="H984" s="11"/>
      <c r="I984" s="67">
        <f t="shared" si="788"/>
        <v>0</v>
      </c>
      <c r="J984" s="12">
        <f t="shared" si="789"/>
        <v>0</v>
      </c>
      <c r="L984" s="155" t="s">
        <v>477</v>
      </c>
      <c r="M984" s="98"/>
      <c r="N984" s="99"/>
      <c r="O984" s="100"/>
      <c r="P984" s="101">
        <f t="shared" si="790"/>
        <v>0</v>
      </c>
      <c r="Q984" s="185"/>
      <c r="R984" s="99"/>
      <c r="S984" s="100"/>
      <c r="T984" s="101">
        <f t="shared" si="791"/>
        <v>0</v>
      </c>
      <c r="U984" s="101">
        <f t="shared" si="792"/>
        <v>0</v>
      </c>
      <c r="V984" s="89"/>
    </row>
    <row r="985" spans="1:23" ht="14.25" thickBot="1" x14ac:dyDescent="0.2">
      <c r="A985" s="59"/>
      <c r="B985" s="9"/>
      <c r="C985" s="10"/>
      <c r="D985" s="11"/>
      <c r="E985" s="12">
        <f t="shared" si="787"/>
        <v>0</v>
      </c>
      <c r="F985" s="9"/>
      <c r="G985" s="10"/>
      <c r="H985" s="11"/>
      <c r="I985" s="67">
        <f t="shared" si="788"/>
        <v>0</v>
      </c>
      <c r="J985" s="12">
        <f t="shared" si="789"/>
        <v>0</v>
      </c>
      <c r="L985" s="24" t="s">
        <v>476</v>
      </c>
      <c r="M985" s="9"/>
      <c r="N985" s="10"/>
      <c r="O985" s="11"/>
      <c r="P985" s="12">
        <f t="shared" si="790"/>
        <v>0</v>
      </c>
      <c r="Q985" s="105"/>
      <c r="R985" s="10"/>
      <c r="S985" s="11"/>
      <c r="T985" s="12">
        <f t="shared" si="791"/>
        <v>0</v>
      </c>
      <c r="U985" s="12">
        <f t="shared" si="792"/>
        <v>0</v>
      </c>
      <c r="V985" s="89" t="s">
        <v>478</v>
      </c>
    </row>
    <row r="986" spans="1:23" ht="14.25" thickBot="1" x14ac:dyDescent="0.2">
      <c r="A986" s="37" t="s">
        <v>17</v>
      </c>
      <c r="B986" s="38">
        <f>SUM(B960:B985)</f>
        <v>11</v>
      </c>
      <c r="C986" s="39">
        <f>SUM(C960:C985)</f>
        <v>12</v>
      </c>
      <c r="D986" s="40">
        <f>SUM(D960:D985)</f>
        <v>2</v>
      </c>
      <c r="E986" s="41">
        <f>SUM(B986:D986)</f>
        <v>25</v>
      </c>
      <c r="F986" s="38">
        <f>SUM(F960:F985)</f>
        <v>17</v>
      </c>
      <c r="G986" s="39">
        <f>SUM(G960:G985)</f>
        <v>9</v>
      </c>
      <c r="H986" s="40">
        <f>SUM(H960:H985)</f>
        <v>9</v>
      </c>
      <c r="I986" s="41">
        <f>SUM(F986:H986)</f>
        <v>35</v>
      </c>
      <c r="J986" s="42">
        <f t="shared" si="789"/>
        <v>60</v>
      </c>
      <c r="L986" s="37" t="s">
        <v>17</v>
      </c>
      <c r="M986" s="38">
        <f>SUM(M960:M985)</f>
        <v>208</v>
      </c>
      <c r="N986" s="39">
        <f>SUM(N960:N985)</f>
        <v>276</v>
      </c>
      <c r="O986" s="40">
        <f>SUM(O960:O985)</f>
        <v>190</v>
      </c>
      <c r="P986" s="41">
        <f>SUM(M986:O986)</f>
        <v>674</v>
      </c>
      <c r="Q986" s="38">
        <f>SUM(Q960:Q985)</f>
        <v>232</v>
      </c>
      <c r="R986" s="39">
        <f>SUM(R960:R985)</f>
        <v>203</v>
      </c>
      <c r="S986" s="40">
        <f>SUM(S960:S985)</f>
        <v>173</v>
      </c>
      <c r="T986" s="41">
        <f>SUM(Q986:S986)</f>
        <v>608</v>
      </c>
      <c r="U986" s="42">
        <f t="shared" si="792"/>
        <v>1282</v>
      </c>
    </row>
    <row r="987" spans="1:23" ht="14.25" thickBot="1" x14ac:dyDescent="0.2">
      <c r="A987" s="20" t="s">
        <v>18</v>
      </c>
      <c r="B987" s="63">
        <f>B959-B986</f>
        <v>5</v>
      </c>
      <c r="C987" s="64">
        <f t="shared" ref="C987:E987" si="793">C959-C986</f>
        <v>8</v>
      </c>
      <c r="D987" s="65">
        <f t="shared" si="793"/>
        <v>14</v>
      </c>
      <c r="E987" s="65">
        <f t="shared" si="793"/>
        <v>27</v>
      </c>
      <c r="F987" s="63">
        <f>F959-F986</f>
        <v>5</v>
      </c>
      <c r="G987" s="64">
        <f t="shared" ref="G987:I987" si="794">G959-G986</f>
        <v>8</v>
      </c>
      <c r="H987" s="65">
        <f t="shared" si="794"/>
        <v>7</v>
      </c>
      <c r="I987" s="65">
        <f t="shared" si="794"/>
        <v>20</v>
      </c>
      <c r="J987" s="29">
        <f t="shared" si="789"/>
        <v>47</v>
      </c>
      <c r="L987" s="112" t="s">
        <v>18</v>
      </c>
      <c r="M987" s="63">
        <f>M959-M986</f>
        <v>740</v>
      </c>
      <c r="N987" s="64">
        <f t="shared" ref="N987:P987" si="795">N959-N986</f>
        <v>1001</v>
      </c>
      <c r="O987" s="65">
        <f t="shared" si="795"/>
        <v>605</v>
      </c>
      <c r="P987" s="65">
        <f t="shared" si="795"/>
        <v>2346</v>
      </c>
      <c r="Q987" s="63">
        <f>Q959-Q986</f>
        <v>696</v>
      </c>
      <c r="R987" s="64">
        <f t="shared" ref="R987:T987" si="796">R959-R986</f>
        <v>896</v>
      </c>
      <c r="S987" s="65">
        <f t="shared" si="796"/>
        <v>662</v>
      </c>
      <c r="T987" s="65">
        <f t="shared" si="796"/>
        <v>2254</v>
      </c>
      <c r="U987" s="29">
        <f t="shared" si="792"/>
        <v>4600</v>
      </c>
      <c r="W987" t="s">
        <v>453</v>
      </c>
    </row>
    <row r="988" spans="1:23" x14ac:dyDescent="0.15">
      <c r="L988" s="191" t="s">
        <v>534</v>
      </c>
      <c r="M988" s="77">
        <v>145</v>
      </c>
      <c r="N988" s="77">
        <v>125</v>
      </c>
      <c r="O988" s="77">
        <v>65</v>
      </c>
      <c r="P988" s="77">
        <f>SUM(M988:O988)</f>
        <v>335</v>
      </c>
      <c r="Q988" s="77">
        <v>90</v>
      </c>
      <c r="R988" s="77">
        <v>120</v>
      </c>
      <c r="S988" s="77">
        <v>55</v>
      </c>
      <c r="T988" s="77">
        <f>SUM(Q988:S988)</f>
        <v>265</v>
      </c>
      <c r="U988" s="77"/>
    </row>
    <row r="989" spans="1:23" x14ac:dyDescent="0.15">
      <c r="M989" s="78"/>
      <c r="N989" s="78"/>
      <c r="O989" s="78"/>
      <c r="P989" s="78"/>
      <c r="Q989" s="78"/>
      <c r="R989" s="78"/>
      <c r="S989" s="78"/>
      <c r="T989" s="78"/>
      <c r="U989" s="78"/>
    </row>
    <row r="990" spans="1:23" ht="19.5" thickBot="1" x14ac:dyDescent="0.25">
      <c r="A990" s="3" t="s">
        <v>209</v>
      </c>
      <c r="B990" s="1"/>
      <c r="C990" s="1"/>
      <c r="D990" s="1"/>
      <c r="E990" s="1"/>
      <c r="F990" s="1"/>
      <c r="G990" s="1"/>
      <c r="H990" s="1"/>
      <c r="I990" s="1"/>
      <c r="J990" s="1"/>
      <c r="L990" s="226" t="s">
        <v>208</v>
      </c>
      <c r="M990" s="226"/>
      <c r="N990" s="226"/>
      <c r="O990" s="226"/>
      <c r="P990" s="226"/>
      <c r="Q990" s="1"/>
      <c r="R990" s="1"/>
      <c r="S990" s="1"/>
      <c r="T990" s="1" t="s">
        <v>422</v>
      </c>
      <c r="U990" s="1"/>
    </row>
    <row r="991" spans="1:23" ht="14.25" thickBot="1" x14ac:dyDescent="0.2">
      <c r="A991" s="8" t="s">
        <v>0</v>
      </c>
      <c r="B991" s="227" t="s">
        <v>19</v>
      </c>
      <c r="C991" s="228"/>
      <c r="D991" s="228"/>
      <c r="E991" s="229"/>
      <c r="F991" s="230" t="s">
        <v>20</v>
      </c>
      <c r="G991" s="231"/>
      <c r="H991" s="231"/>
      <c r="I991" s="232"/>
      <c r="J991" s="233" t="s">
        <v>1</v>
      </c>
      <c r="L991" s="8" t="s">
        <v>0</v>
      </c>
      <c r="M991" s="235" t="s">
        <v>19</v>
      </c>
      <c r="N991" s="236"/>
      <c r="O991" s="236"/>
      <c r="P991" s="237"/>
      <c r="Q991" s="238" t="s">
        <v>20</v>
      </c>
      <c r="R991" s="239"/>
      <c r="S991" s="239"/>
      <c r="T991" s="240"/>
      <c r="U991" s="224" t="s">
        <v>1</v>
      </c>
    </row>
    <row r="992" spans="1:23" ht="14.25" thickBot="1" x14ac:dyDescent="0.2">
      <c r="A992" s="8" t="s">
        <v>2</v>
      </c>
      <c r="B992" s="69" t="s">
        <v>3</v>
      </c>
      <c r="C992" s="70" t="s">
        <v>4</v>
      </c>
      <c r="D992" s="71" t="s">
        <v>5</v>
      </c>
      <c r="E992" s="8" t="s">
        <v>6</v>
      </c>
      <c r="F992" s="4" t="s">
        <v>3</v>
      </c>
      <c r="G992" s="5" t="s">
        <v>4</v>
      </c>
      <c r="H992" s="6" t="s">
        <v>5</v>
      </c>
      <c r="I992" s="8" t="s">
        <v>6</v>
      </c>
      <c r="J992" s="234"/>
      <c r="L992" s="8" t="s">
        <v>2</v>
      </c>
      <c r="M992" s="69" t="s">
        <v>3</v>
      </c>
      <c r="N992" s="70" t="s">
        <v>4</v>
      </c>
      <c r="O992" s="71" t="s">
        <v>5</v>
      </c>
      <c r="P992" s="8" t="s">
        <v>6</v>
      </c>
      <c r="Q992" s="4" t="s">
        <v>3</v>
      </c>
      <c r="R992" s="5" t="s">
        <v>4</v>
      </c>
      <c r="S992" s="6" t="s">
        <v>5</v>
      </c>
      <c r="T992" s="8" t="s">
        <v>6</v>
      </c>
      <c r="U992" s="225"/>
    </row>
    <row r="993" spans="1:22" ht="14.25" thickBot="1" x14ac:dyDescent="0.2">
      <c r="A993" s="25" t="s">
        <v>18</v>
      </c>
      <c r="B993" s="26">
        <f>B987</f>
        <v>5</v>
      </c>
      <c r="C993" s="27">
        <f t="shared" ref="C993:D993" si="797">C987</f>
        <v>8</v>
      </c>
      <c r="D993" s="49">
        <f t="shared" si="797"/>
        <v>14</v>
      </c>
      <c r="E993" s="68">
        <f t="shared" ref="E993:E1001" si="798">SUM(B993:D993)</f>
        <v>27</v>
      </c>
      <c r="F993" s="26">
        <f>F987</f>
        <v>5</v>
      </c>
      <c r="G993" s="27">
        <f t="shared" ref="G993:H993" si="799">G987</f>
        <v>8</v>
      </c>
      <c r="H993" s="49">
        <f t="shared" si="799"/>
        <v>7</v>
      </c>
      <c r="I993" s="33">
        <f t="shared" ref="I993:I1001" si="800">SUM(F993:H993)</f>
        <v>20</v>
      </c>
      <c r="J993" s="33">
        <f>E993+I993</f>
        <v>47</v>
      </c>
      <c r="L993" s="25" t="s">
        <v>18</v>
      </c>
      <c r="M993" s="26">
        <f>M987</f>
        <v>740</v>
      </c>
      <c r="N993" s="27">
        <f t="shared" ref="N993:O993" si="801">N987</f>
        <v>1001</v>
      </c>
      <c r="O993" s="49">
        <f t="shared" si="801"/>
        <v>605</v>
      </c>
      <c r="P993" s="107">
        <f t="shared" ref="P993:P1001" si="802">SUM(M993:O993)</f>
        <v>2346</v>
      </c>
      <c r="Q993" s="26">
        <f>Q987</f>
        <v>696</v>
      </c>
      <c r="R993" s="27">
        <f t="shared" ref="R993:S993" si="803">R987</f>
        <v>896</v>
      </c>
      <c r="S993" s="49">
        <f t="shared" si="803"/>
        <v>662</v>
      </c>
      <c r="T993" s="29">
        <f t="shared" ref="T993:T1001" si="804">SUM(Q993:S993)</f>
        <v>2254</v>
      </c>
      <c r="U993" s="29">
        <f>P993+T993</f>
        <v>4600</v>
      </c>
    </row>
    <row r="994" spans="1:22" x14ac:dyDescent="0.15">
      <c r="A994" s="123" t="s">
        <v>8</v>
      </c>
      <c r="B994" s="203"/>
      <c r="C994" s="204"/>
      <c r="D994" s="205"/>
      <c r="E994" s="206">
        <f t="shared" si="798"/>
        <v>0</v>
      </c>
      <c r="F994" s="207">
        <v>20</v>
      </c>
      <c r="G994" s="208">
        <v>5</v>
      </c>
      <c r="H994" s="209"/>
      <c r="I994" s="210">
        <f t="shared" si="800"/>
        <v>25</v>
      </c>
      <c r="J994" s="211">
        <f t="shared" ref="J994:J1001" si="805">E994+I994</f>
        <v>25</v>
      </c>
      <c r="K994" s="128">
        <v>46057</v>
      </c>
      <c r="L994" s="23" t="s">
        <v>8</v>
      </c>
      <c r="M994" s="16"/>
      <c r="N994" s="17"/>
      <c r="O994" s="43"/>
      <c r="P994" s="94">
        <f t="shared" si="802"/>
        <v>0</v>
      </c>
      <c r="Q994" s="16"/>
      <c r="R994" s="17"/>
      <c r="S994" s="43"/>
      <c r="T994" s="94">
        <f t="shared" si="804"/>
        <v>0</v>
      </c>
      <c r="U994" s="94">
        <f t="shared" ref="U994:U1001" si="806">P994+T994</f>
        <v>0</v>
      </c>
    </row>
    <row r="995" spans="1:22" x14ac:dyDescent="0.15">
      <c r="A995" s="123" t="s">
        <v>9</v>
      </c>
      <c r="B995" s="124">
        <v>3</v>
      </c>
      <c r="C995" s="125">
        <v>3</v>
      </c>
      <c r="D995" s="126"/>
      <c r="E995" s="127">
        <f t="shared" si="798"/>
        <v>6</v>
      </c>
      <c r="F995" s="124"/>
      <c r="G995" s="125">
        <v>3</v>
      </c>
      <c r="H995" s="126">
        <v>10</v>
      </c>
      <c r="I995" s="127">
        <f t="shared" si="800"/>
        <v>13</v>
      </c>
      <c r="J995" s="127">
        <f t="shared" si="805"/>
        <v>19</v>
      </c>
      <c r="K995" s="128">
        <v>46065</v>
      </c>
      <c r="L995" s="23" t="s">
        <v>569</v>
      </c>
      <c r="M995" s="9"/>
      <c r="N995" s="10"/>
      <c r="O995" s="44">
        <v>3</v>
      </c>
      <c r="P995" s="12">
        <f t="shared" si="802"/>
        <v>3</v>
      </c>
      <c r="Q995" s="9"/>
      <c r="R995" s="10"/>
      <c r="S995" s="44"/>
      <c r="T995" s="12">
        <f t="shared" si="804"/>
        <v>0</v>
      </c>
      <c r="U995" s="12">
        <f t="shared" si="806"/>
        <v>3</v>
      </c>
      <c r="V995" s="108">
        <v>46053</v>
      </c>
    </row>
    <row r="996" spans="1:22" x14ac:dyDescent="0.15">
      <c r="A996" s="123" t="s">
        <v>10</v>
      </c>
      <c r="B996" s="177"/>
      <c r="C996" s="178"/>
      <c r="D996" s="179">
        <v>10</v>
      </c>
      <c r="E996" s="127">
        <f t="shared" si="798"/>
        <v>10</v>
      </c>
      <c r="F996" s="177"/>
      <c r="G996" s="178">
        <v>10</v>
      </c>
      <c r="H996" s="179"/>
      <c r="I996" s="127">
        <f t="shared" si="800"/>
        <v>10</v>
      </c>
      <c r="J996" s="127">
        <f t="shared" si="805"/>
        <v>20</v>
      </c>
      <c r="K996" s="128">
        <v>46071</v>
      </c>
      <c r="L996" s="23" t="s">
        <v>10</v>
      </c>
      <c r="M996" s="9"/>
      <c r="N996" s="10"/>
      <c r="O996" s="44"/>
      <c r="P996" s="12">
        <f t="shared" ref="P996:P997" si="807">SUM(M996:O996)</f>
        <v>0</v>
      </c>
      <c r="Q996" s="9"/>
      <c r="R996" s="10"/>
      <c r="S996" s="44"/>
      <c r="T996" s="12">
        <f t="shared" ref="T996:T997" si="808">SUM(Q996:S996)</f>
        <v>0</v>
      </c>
      <c r="U996" s="12">
        <f t="shared" ref="U996:U997" si="809">P996+T996</f>
        <v>0</v>
      </c>
    </row>
    <row r="997" spans="1:22" x14ac:dyDescent="0.15">
      <c r="A997" s="23" t="s">
        <v>389</v>
      </c>
      <c r="B997" s="16">
        <v>1</v>
      </c>
      <c r="C997" s="17">
        <v>1</v>
      </c>
      <c r="D997" s="43">
        <v>1</v>
      </c>
      <c r="E997" s="12">
        <f t="shared" si="798"/>
        <v>3</v>
      </c>
      <c r="F997" s="16">
        <v>1</v>
      </c>
      <c r="G997" s="17">
        <v>1</v>
      </c>
      <c r="H997" s="43">
        <v>1</v>
      </c>
      <c r="I997" s="12">
        <f t="shared" si="800"/>
        <v>3</v>
      </c>
      <c r="J997" s="12">
        <f t="shared" si="805"/>
        <v>6</v>
      </c>
      <c r="K997" s="108">
        <v>46073</v>
      </c>
      <c r="L997" s="23" t="s">
        <v>11</v>
      </c>
      <c r="M997" s="9"/>
      <c r="N997" s="10"/>
      <c r="O997" s="44"/>
      <c r="P997" s="12">
        <f t="shared" si="807"/>
        <v>0</v>
      </c>
      <c r="Q997" s="9"/>
      <c r="R997" s="10"/>
      <c r="S997" s="44"/>
      <c r="T997" s="12">
        <f t="shared" si="808"/>
        <v>0</v>
      </c>
      <c r="U997" s="12">
        <f t="shared" si="809"/>
        <v>0</v>
      </c>
    </row>
    <row r="998" spans="1:22" x14ac:dyDescent="0.15">
      <c r="A998" s="23" t="s">
        <v>12</v>
      </c>
      <c r="B998" s="9"/>
      <c r="C998" s="10">
        <v>3</v>
      </c>
      <c r="D998" s="44"/>
      <c r="E998" s="12">
        <f t="shared" si="798"/>
        <v>3</v>
      </c>
      <c r="F998" s="9">
        <v>5</v>
      </c>
      <c r="G998" s="10"/>
      <c r="H998" s="44"/>
      <c r="I998" s="67">
        <f t="shared" si="800"/>
        <v>5</v>
      </c>
      <c r="J998" s="12">
        <f t="shared" si="805"/>
        <v>8</v>
      </c>
      <c r="K998" s="108">
        <v>46078</v>
      </c>
      <c r="L998" s="23" t="s">
        <v>12</v>
      </c>
      <c r="M998" s="16"/>
      <c r="N998" s="17"/>
      <c r="O998" s="43"/>
      <c r="P998" s="94">
        <f t="shared" si="802"/>
        <v>0</v>
      </c>
      <c r="Q998" s="16"/>
      <c r="R998" s="17"/>
      <c r="S998" s="43"/>
      <c r="T998" s="94">
        <f t="shared" si="804"/>
        <v>0</v>
      </c>
      <c r="U998" s="94">
        <f t="shared" si="806"/>
        <v>0</v>
      </c>
    </row>
    <row r="999" spans="1:22" x14ac:dyDescent="0.15">
      <c r="A999" s="23" t="s">
        <v>13</v>
      </c>
      <c r="B999" s="9"/>
      <c r="C999" s="10"/>
      <c r="D999" s="44"/>
      <c r="E999" s="12">
        <f t="shared" si="798"/>
        <v>0</v>
      </c>
      <c r="F999" s="9"/>
      <c r="G999" s="10"/>
      <c r="H999" s="44"/>
      <c r="I999" s="67">
        <f t="shared" si="800"/>
        <v>0</v>
      </c>
      <c r="J999" s="12">
        <f t="shared" si="805"/>
        <v>0</v>
      </c>
      <c r="L999" s="23" t="s">
        <v>13</v>
      </c>
      <c r="M999" s="9"/>
      <c r="N999" s="10"/>
      <c r="O999" s="44"/>
      <c r="P999" s="12">
        <f t="shared" si="802"/>
        <v>0</v>
      </c>
      <c r="Q999" s="9"/>
      <c r="R999" s="10"/>
      <c r="S999" s="44"/>
      <c r="T999" s="67">
        <f t="shared" si="804"/>
        <v>0</v>
      </c>
      <c r="U999" s="12">
        <f t="shared" si="806"/>
        <v>0</v>
      </c>
    </row>
    <row r="1000" spans="1:22" x14ac:dyDescent="0.15">
      <c r="A1000" s="23" t="s">
        <v>14</v>
      </c>
      <c r="B1000" s="13"/>
      <c r="C1000" s="14"/>
      <c r="D1000" s="45"/>
      <c r="E1000" s="12">
        <f t="shared" si="798"/>
        <v>0</v>
      </c>
      <c r="F1000" s="13"/>
      <c r="G1000" s="14"/>
      <c r="H1000" s="45"/>
      <c r="I1000" s="67">
        <f t="shared" si="800"/>
        <v>0</v>
      </c>
      <c r="J1000" s="12">
        <f t="shared" si="805"/>
        <v>0</v>
      </c>
      <c r="L1000" s="23" t="s">
        <v>14</v>
      </c>
      <c r="M1000" s="13"/>
      <c r="N1000" s="14"/>
      <c r="O1000" s="45"/>
      <c r="P1000" s="12">
        <f t="shared" si="802"/>
        <v>0</v>
      </c>
      <c r="Q1000" s="13"/>
      <c r="R1000" s="14"/>
      <c r="S1000" s="45"/>
      <c r="T1000" s="67">
        <f t="shared" si="804"/>
        <v>0</v>
      </c>
      <c r="U1000" s="12">
        <f t="shared" si="806"/>
        <v>0</v>
      </c>
    </row>
    <row r="1001" spans="1:22" ht="14.25" thickBot="1" x14ac:dyDescent="0.2">
      <c r="A1001" s="23" t="s">
        <v>15</v>
      </c>
      <c r="B1001" s="30"/>
      <c r="C1001" s="31"/>
      <c r="D1001" s="46"/>
      <c r="E1001" s="12">
        <f t="shared" si="798"/>
        <v>0</v>
      </c>
      <c r="F1001" s="30"/>
      <c r="G1001" s="31"/>
      <c r="H1001" s="46"/>
      <c r="I1001" s="67">
        <f t="shared" si="800"/>
        <v>0</v>
      </c>
      <c r="J1001" s="19">
        <f t="shared" si="805"/>
        <v>0</v>
      </c>
      <c r="L1001" s="23" t="s">
        <v>15</v>
      </c>
      <c r="M1001" s="13"/>
      <c r="N1001" s="14"/>
      <c r="O1001" s="45"/>
      <c r="P1001" s="12">
        <f t="shared" si="802"/>
        <v>0</v>
      </c>
      <c r="Q1001" s="13"/>
      <c r="R1001" s="14"/>
      <c r="S1001" s="45"/>
      <c r="T1001" s="67">
        <f t="shared" si="804"/>
        <v>0</v>
      </c>
      <c r="U1001" s="12">
        <f t="shared" si="806"/>
        <v>0</v>
      </c>
    </row>
    <row r="1002" spans="1:22" ht="14.25" thickBot="1" x14ac:dyDescent="0.2">
      <c r="A1002" s="32" t="s">
        <v>16</v>
      </c>
      <c r="B1002" s="26">
        <f>SUM(B993:B1001)</f>
        <v>9</v>
      </c>
      <c r="C1002" s="27">
        <f t="shared" ref="C1002:J1002" si="810">SUM(C993:C1001)</f>
        <v>15</v>
      </c>
      <c r="D1002" s="49">
        <f t="shared" si="810"/>
        <v>25</v>
      </c>
      <c r="E1002" s="75">
        <f t="shared" si="810"/>
        <v>49</v>
      </c>
      <c r="F1002" s="26">
        <f t="shared" si="810"/>
        <v>31</v>
      </c>
      <c r="G1002" s="27">
        <f t="shared" si="810"/>
        <v>27</v>
      </c>
      <c r="H1002" s="49">
        <f t="shared" si="810"/>
        <v>18</v>
      </c>
      <c r="I1002" s="74">
        <f t="shared" si="810"/>
        <v>76</v>
      </c>
      <c r="J1002" s="29">
        <f t="shared" si="810"/>
        <v>125</v>
      </c>
      <c r="L1002" s="32" t="s">
        <v>16</v>
      </c>
      <c r="M1002" s="26">
        <f>SUM(M993:M1001)</f>
        <v>740</v>
      </c>
      <c r="N1002" s="27">
        <f t="shared" ref="N1002:U1002" si="811">SUM(N993:N1001)</f>
        <v>1001</v>
      </c>
      <c r="O1002" s="49">
        <f t="shared" si="811"/>
        <v>608</v>
      </c>
      <c r="P1002" s="75">
        <f t="shared" si="811"/>
        <v>2349</v>
      </c>
      <c r="Q1002" s="26">
        <f t="shared" si="811"/>
        <v>696</v>
      </c>
      <c r="R1002" s="27">
        <f t="shared" si="811"/>
        <v>896</v>
      </c>
      <c r="S1002" s="49">
        <f t="shared" si="811"/>
        <v>662</v>
      </c>
      <c r="T1002" s="74">
        <f t="shared" si="811"/>
        <v>2254</v>
      </c>
      <c r="U1002" s="29">
        <f t="shared" si="811"/>
        <v>4603</v>
      </c>
    </row>
    <row r="1003" spans="1:22" x14ac:dyDescent="0.15">
      <c r="A1003" s="24" t="s">
        <v>566</v>
      </c>
      <c r="B1003" s="54"/>
      <c r="C1003" s="55">
        <v>2</v>
      </c>
      <c r="D1003" s="56"/>
      <c r="E1003" s="42">
        <f t="shared" ref="E1003:E1028" si="812">SUM(B1003:D1003)</f>
        <v>2</v>
      </c>
      <c r="F1003" s="54"/>
      <c r="G1003" s="55">
        <v>2</v>
      </c>
      <c r="H1003" s="56"/>
      <c r="I1003" s="66">
        <f t="shared" ref="I1003:I1028" si="813">SUM(F1003:H1003)</f>
        <v>2</v>
      </c>
      <c r="J1003" s="57">
        <f t="shared" ref="J1003:J1030" si="814">E1003+I1003</f>
        <v>4</v>
      </c>
      <c r="K1003" s="90">
        <v>46052</v>
      </c>
      <c r="L1003" s="22" t="s">
        <v>563</v>
      </c>
      <c r="M1003" s="54">
        <v>100</v>
      </c>
      <c r="N1003" s="55">
        <v>150</v>
      </c>
      <c r="O1003" s="56">
        <v>100</v>
      </c>
      <c r="P1003" s="42">
        <f t="shared" ref="P1003:P1028" si="815">SUM(M1003:O1003)</f>
        <v>350</v>
      </c>
      <c r="Q1003" s="152">
        <v>100</v>
      </c>
      <c r="R1003" s="55">
        <v>150</v>
      </c>
      <c r="S1003" s="56">
        <v>150</v>
      </c>
      <c r="T1003" s="42">
        <f t="shared" ref="T1003:T1028" si="816">SUM(Q1003:S1003)</f>
        <v>400</v>
      </c>
      <c r="U1003" s="57">
        <f t="shared" ref="U1003:U1030" si="817">P1003+T1003</f>
        <v>750</v>
      </c>
      <c r="V1003" s="90">
        <v>45665</v>
      </c>
    </row>
    <row r="1004" spans="1:22" x14ac:dyDescent="0.15">
      <c r="A1004" s="24" t="s">
        <v>567</v>
      </c>
      <c r="B1004" s="16"/>
      <c r="C1004" s="17">
        <v>2</v>
      </c>
      <c r="D1004" s="18"/>
      <c r="E1004" s="12">
        <f t="shared" si="812"/>
        <v>2</v>
      </c>
      <c r="F1004" s="16"/>
      <c r="G1004" s="17">
        <v>2</v>
      </c>
      <c r="H1004" s="18"/>
      <c r="I1004" s="67">
        <f t="shared" si="813"/>
        <v>2</v>
      </c>
      <c r="J1004" s="12">
        <f t="shared" si="814"/>
        <v>4</v>
      </c>
      <c r="K1004" s="108">
        <v>46052</v>
      </c>
      <c r="L1004" s="22" t="s">
        <v>564</v>
      </c>
      <c r="M1004" s="16">
        <v>33</v>
      </c>
      <c r="N1004" s="17">
        <v>29</v>
      </c>
      <c r="O1004" s="18"/>
      <c r="P1004" s="12">
        <f t="shared" si="815"/>
        <v>62</v>
      </c>
      <c r="Q1004" s="153">
        <v>33</v>
      </c>
      <c r="R1004" s="17">
        <v>29</v>
      </c>
      <c r="S1004" s="18"/>
      <c r="T1004" s="12">
        <f t="shared" si="816"/>
        <v>62</v>
      </c>
      <c r="U1004" s="12">
        <f t="shared" si="817"/>
        <v>124</v>
      </c>
      <c r="V1004" s="108">
        <v>46041</v>
      </c>
    </row>
    <row r="1005" spans="1:22" x14ac:dyDescent="0.15">
      <c r="A1005" s="22" t="s">
        <v>568</v>
      </c>
      <c r="B1005" s="9"/>
      <c r="C1005" s="10"/>
      <c r="D1005" s="11">
        <v>3</v>
      </c>
      <c r="E1005" s="12">
        <f t="shared" si="812"/>
        <v>3</v>
      </c>
      <c r="F1005" s="9"/>
      <c r="G1005" s="10"/>
      <c r="H1005" s="11"/>
      <c r="I1005" s="67">
        <f t="shared" si="813"/>
        <v>0</v>
      </c>
      <c r="J1005" s="12">
        <f t="shared" si="814"/>
        <v>3</v>
      </c>
      <c r="K1005" s="108">
        <v>46053</v>
      </c>
      <c r="L1005" s="22" t="s">
        <v>562</v>
      </c>
      <c r="M1005" s="9">
        <v>9</v>
      </c>
      <c r="N1005" s="10"/>
      <c r="O1005" s="11"/>
      <c r="P1005" s="12">
        <f t="shared" si="815"/>
        <v>9</v>
      </c>
      <c r="Q1005" s="105"/>
      <c r="R1005" s="10"/>
      <c r="S1005" s="11"/>
      <c r="T1005" s="12">
        <f t="shared" si="816"/>
        <v>0</v>
      </c>
      <c r="U1005" s="12">
        <f t="shared" si="817"/>
        <v>9</v>
      </c>
      <c r="V1005" s="90">
        <v>46043</v>
      </c>
    </row>
    <row r="1006" spans="1:22" x14ac:dyDescent="0.15">
      <c r="A1006" s="24" t="s">
        <v>573</v>
      </c>
      <c r="B1006" s="9"/>
      <c r="C1006" s="10"/>
      <c r="D1006" s="11"/>
      <c r="E1006" s="12">
        <f t="shared" si="812"/>
        <v>0</v>
      </c>
      <c r="F1006" s="9">
        <v>18</v>
      </c>
      <c r="G1006" s="10">
        <v>4</v>
      </c>
      <c r="H1006" s="11">
        <v>4</v>
      </c>
      <c r="I1006" s="67">
        <f t="shared" si="813"/>
        <v>26</v>
      </c>
      <c r="J1006" s="12">
        <f t="shared" si="814"/>
        <v>26</v>
      </c>
      <c r="K1006" s="90">
        <v>46059</v>
      </c>
      <c r="L1006" s="22" t="s">
        <v>565</v>
      </c>
      <c r="M1006" s="9"/>
      <c r="N1006" s="10">
        <v>20</v>
      </c>
      <c r="O1006" s="11"/>
      <c r="P1006" s="12">
        <f t="shared" si="815"/>
        <v>20</v>
      </c>
      <c r="Q1006" s="105"/>
      <c r="R1006" s="10"/>
      <c r="S1006" s="11"/>
      <c r="T1006" s="12">
        <f t="shared" si="816"/>
        <v>0</v>
      </c>
      <c r="U1006" s="12">
        <f t="shared" si="817"/>
        <v>20</v>
      </c>
      <c r="V1006" s="90">
        <v>46045</v>
      </c>
    </row>
    <row r="1007" spans="1:22" x14ac:dyDescent="0.15">
      <c r="A1007" s="24" t="s">
        <v>45</v>
      </c>
      <c r="B1007" s="9"/>
      <c r="C1007" s="10">
        <v>2</v>
      </c>
      <c r="D1007" s="11"/>
      <c r="E1007" s="12">
        <f t="shared" si="812"/>
        <v>2</v>
      </c>
      <c r="F1007" s="9"/>
      <c r="G1007" s="10">
        <v>1</v>
      </c>
      <c r="H1007" s="11"/>
      <c r="I1007" s="67">
        <f t="shared" si="813"/>
        <v>1</v>
      </c>
      <c r="J1007" s="12">
        <f t="shared" si="814"/>
        <v>3</v>
      </c>
      <c r="K1007" s="108">
        <v>46056</v>
      </c>
      <c r="L1007" s="180" t="s">
        <v>574</v>
      </c>
      <c r="M1007" s="124"/>
      <c r="N1007" s="125"/>
      <c r="O1007" s="187"/>
      <c r="P1007" s="127">
        <f t="shared" si="815"/>
        <v>0</v>
      </c>
      <c r="Q1007" s="188">
        <v>20</v>
      </c>
      <c r="R1007" s="125">
        <v>5</v>
      </c>
      <c r="S1007" s="187"/>
      <c r="T1007" s="127">
        <f t="shared" si="816"/>
        <v>25</v>
      </c>
      <c r="U1007" s="127">
        <f t="shared" si="817"/>
        <v>25</v>
      </c>
      <c r="V1007" s="128">
        <v>46057</v>
      </c>
    </row>
    <row r="1008" spans="1:22" x14ac:dyDescent="0.15">
      <c r="A1008" s="24" t="s">
        <v>45</v>
      </c>
      <c r="B1008" s="9">
        <v>1</v>
      </c>
      <c r="C1008" s="10"/>
      <c r="D1008" s="11"/>
      <c r="E1008" s="12">
        <f t="shared" si="812"/>
        <v>1</v>
      </c>
      <c r="F1008" s="9"/>
      <c r="G1008" s="10"/>
      <c r="H1008" s="11"/>
      <c r="I1008" s="67">
        <f t="shared" si="813"/>
        <v>0</v>
      </c>
      <c r="J1008" s="12">
        <f t="shared" si="814"/>
        <v>1</v>
      </c>
      <c r="K1008" s="108">
        <v>46062</v>
      </c>
      <c r="L1008" s="180" t="s">
        <v>574</v>
      </c>
      <c r="M1008" s="124">
        <v>3</v>
      </c>
      <c r="N1008" s="125">
        <v>3</v>
      </c>
      <c r="O1008" s="187"/>
      <c r="P1008" s="127">
        <f t="shared" si="815"/>
        <v>6</v>
      </c>
      <c r="Q1008" s="188"/>
      <c r="R1008" s="125">
        <v>3</v>
      </c>
      <c r="S1008" s="187">
        <v>10</v>
      </c>
      <c r="T1008" s="127">
        <f t="shared" si="816"/>
        <v>13</v>
      </c>
      <c r="U1008" s="127">
        <f t="shared" si="817"/>
        <v>19</v>
      </c>
      <c r="V1008" s="128">
        <v>46065</v>
      </c>
    </row>
    <row r="1009" spans="1:22" x14ac:dyDescent="0.15">
      <c r="A1009" s="24" t="s">
        <v>575</v>
      </c>
      <c r="B1009" s="9"/>
      <c r="C1009" s="10"/>
      <c r="D1009" s="11">
        <v>2</v>
      </c>
      <c r="E1009" s="12">
        <f t="shared" si="812"/>
        <v>2</v>
      </c>
      <c r="F1009" s="9"/>
      <c r="G1009" s="10"/>
      <c r="H1009" s="11">
        <v>8</v>
      </c>
      <c r="I1009" s="67">
        <f t="shared" si="813"/>
        <v>8</v>
      </c>
      <c r="J1009" s="12">
        <f t="shared" si="814"/>
        <v>10</v>
      </c>
      <c r="K1009" s="90">
        <v>46066</v>
      </c>
      <c r="L1009" s="180" t="s">
        <v>574</v>
      </c>
      <c r="M1009" s="124"/>
      <c r="N1009" s="125"/>
      <c r="O1009" s="187">
        <v>10</v>
      </c>
      <c r="P1009" s="127">
        <f t="shared" si="815"/>
        <v>10</v>
      </c>
      <c r="Q1009" s="188"/>
      <c r="R1009" s="125">
        <v>10</v>
      </c>
      <c r="S1009" s="187"/>
      <c r="T1009" s="127">
        <f t="shared" si="816"/>
        <v>10</v>
      </c>
      <c r="U1009" s="127">
        <f t="shared" si="817"/>
        <v>20</v>
      </c>
      <c r="V1009" s="128">
        <v>46071</v>
      </c>
    </row>
    <row r="1010" spans="1:22" x14ac:dyDescent="0.15">
      <c r="A1010" s="24" t="s">
        <v>45</v>
      </c>
      <c r="B1010" s="9">
        <v>1</v>
      </c>
      <c r="C1010" s="10"/>
      <c r="D1010" s="11"/>
      <c r="E1010" s="12">
        <f t="shared" si="812"/>
        <v>1</v>
      </c>
      <c r="F1010" s="9"/>
      <c r="G1010" s="10"/>
      <c r="H1010" s="11"/>
      <c r="I1010" s="67">
        <f t="shared" si="813"/>
        <v>0</v>
      </c>
      <c r="J1010" s="12">
        <f t="shared" si="814"/>
        <v>1</v>
      </c>
      <c r="K1010" s="90">
        <v>46063</v>
      </c>
      <c r="L1010" s="180" t="s">
        <v>574</v>
      </c>
      <c r="M1010" s="124"/>
      <c r="N1010" s="125">
        <v>3</v>
      </c>
      <c r="O1010" s="187"/>
      <c r="P1010" s="127">
        <f t="shared" si="815"/>
        <v>3</v>
      </c>
      <c r="Q1010" s="188">
        <v>5</v>
      </c>
      <c r="R1010" s="125"/>
      <c r="S1010" s="187"/>
      <c r="T1010" s="127">
        <f t="shared" si="816"/>
        <v>5</v>
      </c>
      <c r="U1010" s="127">
        <f t="shared" si="817"/>
        <v>8</v>
      </c>
      <c r="V1010" s="128">
        <v>46078</v>
      </c>
    </row>
    <row r="1011" spans="1:22" x14ac:dyDescent="0.15">
      <c r="A1011" s="24" t="s">
        <v>577</v>
      </c>
      <c r="B1011" s="9"/>
      <c r="C1011" s="10"/>
      <c r="D1011" s="11">
        <v>10</v>
      </c>
      <c r="E1011" s="12">
        <f t="shared" si="812"/>
        <v>10</v>
      </c>
      <c r="F1011" s="9"/>
      <c r="G1011" s="10">
        <v>8</v>
      </c>
      <c r="H1011" s="11"/>
      <c r="I1011" s="67">
        <f t="shared" si="813"/>
        <v>8</v>
      </c>
      <c r="J1011" s="12">
        <f t="shared" si="814"/>
        <v>18</v>
      </c>
      <c r="K1011" s="90">
        <v>46073</v>
      </c>
      <c r="L1011" s="24"/>
      <c r="M1011" s="9"/>
      <c r="N1011" s="10"/>
      <c r="O1011" s="11"/>
      <c r="P1011" s="12">
        <f t="shared" si="815"/>
        <v>0</v>
      </c>
      <c r="Q1011" s="105"/>
      <c r="R1011" s="10"/>
      <c r="S1011" s="11"/>
      <c r="T1011" s="12">
        <f t="shared" si="816"/>
        <v>0</v>
      </c>
      <c r="U1011" s="12">
        <f t="shared" si="817"/>
        <v>0</v>
      </c>
    </row>
    <row r="1012" spans="1:22" x14ac:dyDescent="0.15">
      <c r="A1012" s="24" t="s">
        <v>45</v>
      </c>
      <c r="B1012" s="13"/>
      <c r="C1012" s="14"/>
      <c r="D1012" s="15"/>
      <c r="E1012" s="12">
        <f t="shared" si="812"/>
        <v>0</v>
      </c>
      <c r="F1012" s="13">
        <v>1</v>
      </c>
      <c r="G1012" s="14"/>
      <c r="H1012" s="15">
        <v>1</v>
      </c>
      <c r="I1012" s="67">
        <f t="shared" si="813"/>
        <v>2</v>
      </c>
      <c r="J1012" s="12">
        <f t="shared" si="814"/>
        <v>2</v>
      </c>
      <c r="K1012" s="108">
        <v>46077</v>
      </c>
      <c r="L1012" s="24"/>
      <c r="M1012" s="13"/>
      <c r="N1012" s="14"/>
      <c r="O1012" s="15"/>
      <c r="P1012" s="12">
        <f t="shared" si="815"/>
        <v>0</v>
      </c>
      <c r="Q1012" s="154"/>
      <c r="R1012" s="14"/>
      <c r="S1012" s="15"/>
      <c r="T1012" s="12">
        <f t="shared" si="816"/>
        <v>0</v>
      </c>
      <c r="U1012" s="12">
        <f t="shared" si="817"/>
        <v>0</v>
      </c>
    </row>
    <row r="1013" spans="1:22" x14ac:dyDescent="0.15">
      <c r="A1013" s="24" t="s">
        <v>581</v>
      </c>
      <c r="B1013" s="9"/>
      <c r="C1013" s="10">
        <v>4</v>
      </c>
      <c r="D1013" s="11"/>
      <c r="E1013" s="12">
        <f t="shared" si="812"/>
        <v>4</v>
      </c>
      <c r="F1013" s="9">
        <v>6</v>
      </c>
      <c r="G1013" s="10">
        <v>4</v>
      </c>
      <c r="H1013" s="11"/>
      <c r="I1013" s="67">
        <f t="shared" si="813"/>
        <v>10</v>
      </c>
      <c r="J1013" s="12">
        <f t="shared" si="814"/>
        <v>14</v>
      </c>
      <c r="K1013" s="90">
        <v>46080</v>
      </c>
      <c r="L1013" s="24"/>
      <c r="M1013" s="9"/>
      <c r="N1013" s="10"/>
      <c r="O1013" s="11"/>
      <c r="P1013" s="12">
        <f t="shared" si="815"/>
        <v>0</v>
      </c>
      <c r="Q1013" s="105"/>
      <c r="R1013" s="10"/>
      <c r="S1013" s="11"/>
      <c r="T1013" s="12">
        <f t="shared" si="816"/>
        <v>0</v>
      </c>
      <c r="U1013" s="12">
        <f t="shared" si="817"/>
        <v>0</v>
      </c>
    </row>
    <row r="1014" spans="1:22" x14ac:dyDescent="0.15">
      <c r="A1014" s="24"/>
      <c r="B1014" s="9"/>
      <c r="C1014" s="10"/>
      <c r="D1014" s="11"/>
      <c r="E1014" s="12">
        <f t="shared" si="812"/>
        <v>0</v>
      </c>
      <c r="F1014" s="9"/>
      <c r="G1014" s="10"/>
      <c r="H1014" s="11"/>
      <c r="I1014" s="67">
        <f t="shared" si="813"/>
        <v>0</v>
      </c>
      <c r="J1014" s="12">
        <f t="shared" si="814"/>
        <v>0</v>
      </c>
      <c r="L1014" s="24"/>
      <c r="M1014" s="9"/>
      <c r="N1014" s="10"/>
      <c r="O1014" s="11"/>
      <c r="P1014" s="12">
        <f t="shared" si="815"/>
        <v>0</v>
      </c>
      <c r="Q1014" s="105"/>
      <c r="R1014" s="10"/>
      <c r="S1014" s="11"/>
      <c r="T1014" s="12">
        <f t="shared" si="816"/>
        <v>0</v>
      </c>
      <c r="U1014" s="12">
        <f t="shared" si="817"/>
        <v>0</v>
      </c>
    </row>
    <row r="1015" spans="1:22" x14ac:dyDescent="0.15">
      <c r="A1015" s="22"/>
      <c r="B1015" s="9"/>
      <c r="C1015" s="10"/>
      <c r="D1015" s="11"/>
      <c r="E1015" s="12">
        <f t="shared" si="812"/>
        <v>0</v>
      </c>
      <c r="F1015" s="9"/>
      <c r="G1015" s="10"/>
      <c r="H1015" s="11"/>
      <c r="I1015" s="67">
        <f t="shared" si="813"/>
        <v>0</v>
      </c>
      <c r="J1015" s="12">
        <f t="shared" si="814"/>
        <v>0</v>
      </c>
      <c r="L1015" s="22"/>
      <c r="M1015" s="9"/>
      <c r="N1015" s="10"/>
      <c r="O1015" s="11"/>
      <c r="P1015" s="12">
        <f t="shared" si="815"/>
        <v>0</v>
      </c>
      <c r="Q1015" s="105"/>
      <c r="R1015" s="10"/>
      <c r="S1015" s="11"/>
      <c r="T1015" s="12">
        <f t="shared" si="816"/>
        <v>0</v>
      </c>
      <c r="U1015" s="12">
        <f t="shared" si="817"/>
        <v>0</v>
      </c>
    </row>
    <row r="1016" spans="1:22" x14ac:dyDescent="0.15">
      <c r="A1016" s="24"/>
      <c r="B1016" s="9"/>
      <c r="C1016" s="10"/>
      <c r="D1016" s="11"/>
      <c r="E1016" s="12">
        <f t="shared" si="812"/>
        <v>0</v>
      </c>
      <c r="F1016" s="9"/>
      <c r="G1016" s="10"/>
      <c r="H1016" s="11"/>
      <c r="I1016" s="67">
        <f t="shared" si="813"/>
        <v>0</v>
      </c>
      <c r="J1016" s="12">
        <f t="shared" si="814"/>
        <v>0</v>
      </c>
      <c r="L1016" s="24"/>
      <c r="M1016" s="9"/>
      <c r="N1016" s="10"/>
      <c r="O1016" s="11"/>
      <c r="P1016" s="12">
        <f t="shared" si="815"/>
        <v>0</v>
      </c>
      <c r="Q1016" s="105"/>
      <c r="R1016" s="10"/>
      <c r="S1016" s="11"/>
      <c r="T1016" s="12">
        <f t="shared" si="816"/>
        <v>0</v>
      </c>
      <c r="U1016" s="12">
        <f t="shared" si="817"/>
        <v>0</v>
      </c>
    </row>
    <row r="1017" spans="1:22" x14ac:dyDescent="0.15">
      <c r="A1017" s="24"/>
      <c r="B1017" s="9"/>
      <c r="C1017" s="10"/>
      <c r="D1017" s="11"/>
      <c r="E1017" s="12">
        <f t="shared" si="812"/>
        <v>0</v>
      </c>
      <c r="F1017" s="9"/>
      <c r="G1017" s="10"/>
      <c r="H1017" s="11"/>
      <c r="I1017" s="67">
        <f t="shared" si="813"/>
        <v>0</v>
      </c>
      <c r="J1017" s="12">
        <f t="shared" si="814"/>
        <v>0</v>
      </c>
      <c r="L1017" s="24"/>
      <c r="M1017" s="9"/>
      <c r="N1017" s="10"/>
      <c r="O1017" s="11"/>
      <c r="P1017" s="12">
        <f t="shared" si="815"/>
        <v>0</v>
      </c>
      <c r="Q1017" s="105"/>
      <c r="R1017" s="10"/>
      <c r="S1017" s="11"/>
      <c r="T1017" s="12">
        <f t="shared" si="816"/>
        <v>0</v>
      </c>
      <c r="U1017" s="12">
        <f t="shared" si="817"/>
        <v>0</v>
      </c>
    </row>
    <row r="1018" spans="1:22" x14ac:dyDescent="0.15">
      <c r="A1018" s="22"/>
      <c r="B1018" s="9"/>
      <c r="C1018" s="10"/>
      <c r="D1018" s="11"/>
      <c r="E1018" s="12">
        <f t="shared" si="812"/>
        <v>0</v>
      </c>
      <c r="F1018" s="9"/>
      <c r="G1018" s="10"/>
      <c r="H1018" s="11"/>
      <c r="I1018" s="67">
        <f t="shared" si="813"/>
        <v>0</v>
      </c>
      <c r="J1018" s="12">
        <f t="shared" si="814"/>
        <v>0</v>
      </c>
      <c r="L1018" s="22"/>
      <c r="M1018" s="9"/>
      <c r="N1018" s="10"/>
      <c r="O1018" s="11"/>
      <c r="P1018" s="12">
        <f t="shared" si="815"/>
        <v>0</v>
      </c>
      <c r="Q1018" s="105"/>
      <c r="R1018" s="10"/>
      <c r="S1018" s="11"/>
      <c r="T1018" s="12">
        <f t="shared" si="816"/>
        <v>0</v>
      </c>
      <c r="U1018" s="12">
        <f t="shared" si="817"/>
        <v>0</v>
      </c>
    </row>
    <row r="1019" spans="1:22" x14ac:dyDescent="0.15">
      <c r="A1019" s="24"/>
      <c r="B1019" s="9"/>
      <c r="C1019" s="10"/>
      <c r="D1019" s="11"/>
      <c r="E1019" s="12">
        <f t="shared" si="812"/>
        <v>0</v>
      </c>
      <c r="F1019" s="9"/>
      <c r="G1019" s="10"/>
      <c r="H1019" s="11"/>
      <c r="I1019" s="67">
        <f t="shared" si="813"/>
        <v>0</v>
      </c>
      <c r="J1019" s="12">
        <f t="shared" si="814"/>
        <v>0</v>
      </c>
      <c r="L1019" s="24"/>
      <c r="M1019" s="9"/>
      <c r="N1019" s="10"/>
      <c r="O1019" s="11"/>
      <c r="P1019" s="12">
        <f t="shared" si="815"/>
        <v>0</v>
      </c>
      <c r="Q1019" s="105"/>
      <c r="R1019" s="10"/>
      <c r="S1019" s="11"/>
      <c r="T1019" s="12">
        <f t="shared" si="816"/>
        <v>0</v>
      </c>
      <c r="U1019" s="12">
        <f t="shared" si="817"/>
        <v>0</v>
      </c>
    </row>
    <row r="1020" spans="1:22" x14ac:dyDescent="0.15">
      <c r="A1020" s="24"/>
      <c r="B1020" s="9"/>
      <c r="C1020" s="10"/>
      <c r="D1020" s="11"/>
      <c r="E1020" s="12">
        <f t="shared" si="812"/>
        <v>0</v>
      </c>
      <c r="F1020" s="9"/>
      <c r="G1020" s="10"/>
      <c r="H1020" s="11"/>
      <c r="I1020" s="67">
        <f t="shared" si="813"/>
        <v>0</v>
      </c>
      <c r="J1020" s="12">
        <f t="shared" si="814"/>
        <v>0</v>
      </c>
      <c r="L1020" s="24"/>
      <c r="M1020" s="9"/>
      <c r="N1020" s="10"/>
      <c r="O1020" s="11"/>
      <c r="P1020" s="12">
        <f t="shared" si="815"/>
        <v>0</v>
      </c>
      <c r="Q1020" s="105"/>
      <c r="R1020" s="10"/>
      <c r="S1020" s="11"/>
      <c r="T1020" s="12">
        <f t="shared" si="816"/>
        <v>0</v>
      </c>
      <c r="U1020" s="12">
        <f t="shared" si="817"/>
        <v>0</v>
      </c>
    </row>
    <row r="1021" spans="1:22" x14ac:dyDescent="0.15">
      <c r="A1021" s="21"/>
      <c r="B1021" s="9"/>
      <c r="C1021" s="10"/>
      <c r="D1021" s="11"/>
      <c r="E1021" s="12">
        <f t="shared" si="812"/>
        <v>0</v>
      </c>
      <c r="F1021" s="9"/>
      <c r="G1021" s="10"/>
      <c r="H1021" s="11"/>
      <c r="I1021" s="67">
        <f t="shared" si="813"/>
        <v>0</v>
      </c>
      <c r="J1021" s="12">
        <f t="shared" si="814"/>
        <v>0</v>
      </c>
      <c r="L1021" s="21"/>
      <c r="M1021" s="9"/>
      <c r="N1021" s="10"/>
      <c r="O1021" s="11"/>
      <c r="P1021" s="12">
        <f t="shared" si="815"/>
        <v>0</v>
      </c>
      <c r="Q1021" s="105"/>
      <c r="R1021" s="10"/>
      <c r="S1021" s="11"/>
      <c r="T1021" s="12">
        <f t="shared" si="816"/>
        <v>0</v>
      </c>
      <c r="U1021" s="12">
        <f t="shared" si="817"/>
        <v>0</v>
      </c>
    </row>
    <row r="1022" spans="1:22" x14ac:dyDescent="0.15">
      <c r="A1022" s="21"/>
      <c r="B1022" s="9"/>
      <c r="C1022" s="10"/>
      <c r="D1022" s="11"/>
      <c r="E1022" s="12">
        <f t="shared" si="812"/>
        <v>0</v>
      </c>
      <c r="F1022" s="9"/>
      <c r="G1022" s="10"/>
      <c r="H1022" s="11"/>
      <c r="I1022" s="67">
        <f t="shared" si="813"/>
        <v>0</v>
      </c>
      <c r="J1022" s="12">
        <f t="shared" si="814"/>
        <v>0</v>
      </c>
      <c r="L1022" s="21"/>
      <c r="M1022" s="9"/>
      <c r="N1022" s="10"/>
      <c r="O1022" s="11"/>
      <c r="P1022" s="12">
        <f t="shared" si="815"/>
        <v>0</v>
      </c>
      <c r="Q1022" s="105"/>
      <c r="R1022" s="10"/>
      <c r="S1022" s="11"/>
      <c r="T1022" s="12">
        <f t="shared" si="816"/>
        <v>0</v>
      </c>
      <c r="U1022" s="12">
        <f t="shared" si="817"/>
        <v>0</v>
      </c>
    </row>
    <row r="1023" spans="1:22" x14ac:dyDescent="0.15">
      <c r="A1023" s="21"/>
      <c r="B1023" s="9"/>
      <c r="C1023" s="10"/>
      <c r="D1023" s="11"/>
      <c r="E1023" s="12">
        <f t="shared" si="812"/>
        <v>0</v>
      </c>
      <c r="F1023" s="9"/>
      <c r="G1023" s="10"/>
      <c r="H1023" s="11"/>
      <c r="I1023" s="67">
        <f t="shared" si="813"/>
        <v>0</v>
      </c>
      <c r="J1023" s="12">
        <f t="shared" si="814"/>
        <v>0</v>
      </c>
      <c r="L1023" s="21"/>
      <c r="M1023" s="9"/>
      <c r="N1023" s="10"/>
      <c r="O1023" s="11"/>
      <c r="P1023" s="12">
        <f t="shared" si="815"/>
        <v>0</v>
      </c>
      <c r="Q1023" s="105"/>
      <c r="R1023" s="10"/>
      <c r="S1023" s="11"/>
      <c r="T1023" s="12">
        <f t="shared" si="816"/>
        <v>0</v>
      </c>
      <c r="U1023" s="12">
        <f t="shared" si="817"/>
        <v>0</v>
      </c>
    </row>
    <row r="1024" spans="1:22" x14ac:dyDescent="0.15">
      <c r="A1024" s="24"/>
      <c r="B1024" s="13"/>
      <c r="C1024" s="14"/>
      <c r="D1024" s="15"/>
      <c r="E1024" s="12">
        <f t="shared" si="812"/>
        <v>0</v>
      </c>
      <c r="F1024" s="13"/>
      <c r="G1024" s="14"/>
      <c r="H1024" s="15"/>
      <c r="I1024" s="67">
        <f t="shared" si="813"/>
        <v>0</v>
      </c>
      <c r="J1024" s="12">
        <f t="shared" si="814"/>
        <v>0</v>
      </c>
      <c r="L1024" s="21"/>
      <c r="M1024" s="9"/>
      <c r="N1024" s="10"/>
      <c r="O1024" s="11"/>
      <c r="P1024" s="12">
        <f t="shared" si="815"/>
        <v>0</v>
      </c>
      <c r="Q1024" s="9"/>
      <c r="R1024" s="10"/>
      <c r="S1024" s="11"/>
      <c r="T1024" s="12">
        <f t="shared" si="816"/>
        <v>0</v>
      </c>
      <c r="U1024" s="12">
        <f t="shared" si="817"/>
        <v>0</v>
      </c>
    </row>
    <row r="1025" spans="1:22" x14ac:dyDescent="0.15">
      <c r="A1025" s="24"/>
      <c r="B1025" s="9"/>
      <c r="C1025" s="10"/>
      <c r="D1025" s="11"/>
      <c r="E1025" s="12">
        <f t="shared" si="812"/>
        <v>0</v>
      </c>
      <c r="F1025" s="9"/>
      <c r="G1025" s="10"/>
      <c r="H1025" s="11"/>
      <c r="I1025" s="67">
        <f t="shared" si="813"/>
        <v>0</v>
      </c>
      <c r="J1025" s="12">
        <f t="shared" si="814"/>
        <v>0</v>
      </c>
      <c r="L1025" s="97" t="s">
        <v>507</v>
      </c>
      <c r="M1025" s="98"/>
      <c r="N1025" s="99"/>
      <c r="O1025" s="100"/>
      <c r="P1025" s="101">
        <f t="shared" si="815"/>
        <v>0</v>
      </c>
      <c r="Q1025" s="98"/>
      <c r="R1025" s="99"/>
      <c r="S1025" s="100"/>
      <c r="T1025" s="101">
        <f t="shared" si="816"/>
        <v>0</v>
      </c>
      <c r="U1025" s="101">
        <f t="shared" si="817"/>
        <v>0</v>
      </c>
      <c r="V1025" s="89"/>
    </row>
    <row r="1026" spans="1:22" x14ac:dyDescent="0.15">
      <c r="A1026" s="7"/>
      <c r="B1026" s="9"/>
      <c r="C1026" s="10"/>
      <c r="D1026" s="11"/>
      <c r="E1026" s="12">
        <f t="shared" si="812"/>
        <v>0</v>
      </c>
      <c r="F1026" s="9"/>
      <c r="G1026" s="10"/>
      <c r="H1026" s="11"/>
      <c r="I1026" s="67">
        <f t="shared" si="813"/>
        <v>0</v>
      </c>
      <c r="J1026" s="12">
        <f t="shared" si="814"/>
        <v>0</v>
      </c>
      <c r="L1026" s="22" t="s">
        <v>547</v>
      </c>
      <c r="M1026" s="9"/>
      <c r="N1026" s="10"/>
      <c r="O1026" s="11"/>
      <c r="P1026" s="12">
        <f t="shared" si="815"/>
        <v>0</v>
      </c>
      <c r="Q1026" s="105"/>
      <c r="R1026" s="10"/>
      <c r="S1026" s="11"/>
      <c r="T1026" s="12">
        <f t="shared" si="816"/>
        <v>0</v>
      </c>
      <c r="U1026" s="12">
        <f t="shared" si="817"/>
        <v>0</v>
      </c>
      <c r="V1026" s="89" t="s">
        <v>508</v>
      </c>
    </row>
    <row r="1027" spans="1:22" x14ac:dyDescent="0.15">
      <c r="A1027" s="59"/>
      <c r="B1027" s="9"/>
      <c r="C1027" s="10"/>
      <c r="D1027" s="11"/>
      <c r="E1027" s="12">
        <f t="shared" si="812"/>
        <v>0</v>
      </c>
      <c r="F1027" s="9"/>
      <c r="G1027" s="10"/>
      <c r="H1027" s="11"/>
      <c r="I1027" s="67">
        <f t="shared" si="813"/>
        <v>0</v>
      </c>
      <c r="J1027" s="12">
        <f t="shared" si="814"/>
        <v>0</v>
      </c>
      <c r="L1027" s="97" t="s">
        <v>548</v>
      </c>
      <c r="M1027" s="98"/>
      <c r="N1027" s="99"/>
      <c r="O1027" s="100"/>
      <c r="P1027" s="101">
        <f t="shared" si="815"/>
        <v>0</v>
      </c>
      <c r="Q1027" s="185"/>
      <c r="R1027" s="99"/>
      <c r="S1027" s="100"/>
      <c r="T1027" s="101">
        <f t="shared" si="816"/>
        <v>0</v>
      </c>
      <c r="U1027" s="101">
        <f t="shared" si="817"/>
        <v>0</v>
      </c>
      <c r="V1027" s="89"/>
    </row>
    <row r="1028" spans="1:22" ht="14.25" thickBot="1" x14ac:dyDescent="0.2">
      <c r="A1028" s="59"/>
      <c r="B1028" s="9"/>
      <c r="C1028" s="10"/>
      <c r="D1028" s="11"/>
      <c r="E1028" s="12">
        <f t="shared" si="812"/>
        <v>0</v>
      </c>
      <c r="F1028" s="9"/>
      <c r="G1028" s="10"/>
      <c r="H1028" s="11"/>
      <c r="I1028" s="67">
        <f t="shared" si="813"/>
        <v>0</v>
      </c>
      <c r="J1028" s="12">
        <f t="shared" si="814"/>
        <v>0</v>
      </c>
      <c r="L1028" s="22" t="s">
        <v>549</v>
      </c>
      <c r="M1028" s="9"/>
      <c r="N1028" s="10"/>
      <c r="O1028" s="11"/>
      <c r="P1028" s="12">
        <f t="shared" si="815"/>
        <v>0</v>
      </c>
      <c r="Q1028" s="105"/>
      <c r="R1028" s="10"/>
      <c r="S1028" s="11"/>
      <c r="T1028" s="12">
        <f t="shared" si="816"/>
        <v>0</v>
      </c>
      <c r="U1028" s="12">
        <f t="shared" si="817"/>
        <v>0</v>
      </c>
      <c r="V1028" s="89" t="s">
        <v>509</v>
      </c>
    </row>
    <row r="1029" spans="1:22" ht="14.25" thickBot="1" x14ac:dyDescent="0.2">
      <c r="A1029" s="37" t="s">
        <v>17</v>
      </c>
      <c r="B1029" s="38">
        <f>SUM(B1003:B1028)</f>
        <v>2</v>
      </c>
      <c r="C1029" s="39">
        <f>SUM(C1003:C1028)</f>
        <v>10</v>
      </c>
      <c r="D1029" s="40">
        <f>SUM(D1003:D1028)</f>
        <v>15</v>
      </c>
      <c r="E1029" s="41">
        <f>SUM(B1029:D1029)</f>
        <v>27</v>
      </c>
      <c r="F1029" s="38">
        <f>SUM(F1003:F1028)</f>
        <v>25</v>
      </c>
      <c r="G1029" s="39">
        <f>SUM(G1003:G1028)</f>
        <v>21</v>
      </c>
      <c r="H1029" s="40">
        <f>SUM(H1003:H1028)</f>
        <v>13</v>
      </c>
      <c r="I1029" s="41">
        <f>SUM(F1029:H1029)</f>
        <v>59</v>
      </c>
      <c r="J1029" s="42">
        <f t="shared" si="814"/>
        <v>86</v>
      </c>
      <c r="L1029" s="37" t="s">
        <v>17</v>
      </c>
      <c r="M1029" s="38">
        <f>SUM(M1003:M1028)</f>
        <v>145</v>
      </c>
      <c r="N1029" s="39">
        <f>SUM(N1003:N1028)</f>
        <v>205</v>
      </c>
      <c r="O1029" s="40">
        <f>SUM(O1003:O1028)</f>
        <v>110</v>
      </c>
      <c r="P1029" s="41">
        <f>SUM(M1029:O1029)</f>
        <v>460</v>
      </c>
      <c r="Q1029" s="38">
        <f>SUM(Q1003:Q1028)</f>
        <v>158</v>
      </c>
      <c r="R1029" s="39">
        <f>SUM(R1003:R1028)</f>
        <v>197</v>
      </c>
      <c r="S1029" s="40">
        <f>SUM(S1003:S1028)</f>
        <v>160</v>
      </c>
      <c r="T1029" s="41">
        <f>SUM(Q1029:S1029)</f>
        <v>515</v>
      </c>
      <c r="U1029" s="42">
        <f t="shared" si="817"/>
        <v>975</v>
      </c>
      <c r="V1029" s="164"/>
    </row>
    <row r="1030" spans="1:22" ht="14.25" thickBot="1" x14ac:dyDescent="0.2">
      <c r="A1030" s="20" t="s">
        <v>18</v>
      </c>
      <c r="B1030" s="63">
        <f>B1002-B1029</f>
        <v>7</v>
      </c>
      <c r="C1030" s="64">
        <f t="shared" ref="C1030:E1030" si="818">C1002-C1029</f>
        <v>5</v>
      </c>
      <c r="D1030" s="65">
        <f t="shared" si="818"/>
        <v>10</v>
      </c>
      <c r="E1030" s="65">
        <f t="shared" si="818"/>
        <v>22</v>
      </c>
      <c r="F1030" s="63">
        <f>F1002-F1029</f>
        <v>6</v>
      </c>
      <c r="G1030" s="64">
        <f t="shared" ref="G1030:I1030" si="819">G1002-G1029</f>
        <v>6</v>
      </c>
      <c r="H1030" s="65">
        <f t="shared" si="819"/>
        <v>5</v>
      </c>
      <c r="I1030" s="65">
        <f t="shared" si="819"/>
        <v>17</v>
      </c>
      <c r="J1030" s="29">
        <f t="shared" si="814"/>
        <v>39</v>
      </c>
      <c r="L1030" s="112" t="s">
        <v>18</v>
      </c>
      <c r="M1030" s="63">
        <f>M1002-M1029</f>
        <v>595</v>
      </c>
      <c r="N1030" s="64">
        <f t="shared" ref="N1030:P1030" si="820">N1002-N1029</f>
        <v>796</v>
      </c>
      <c r="O1030" s="65">
        <f t="shared" si="820"/>
        <v>498</v>
      </c>
      <c r="P1030" s="65">
        <f t="shared" si="820"/>
        <v>1889</v>
      </c>
      <c r="Q1030" s="63">
        <f>Q1002-Q1029</f>
        <v>538</v>
      </c>
      <c r="R1030" s="64">
        <f t="shared" ref="R1030:T1030" si="821">R1002-R1029</f>
        <v>699</v>
      </c>
      <c r="S1030" s="65">
        <f t="shared" si="821"/>
        <v>502</v>
      </c>
      <c r="T1030" s="65">
        <f t="shared" si="821"/>
        <v>1739</v>
      </c>
      <c r="U1030" s="29">
        <f t="shared" si="817"/>
        <v>3628</v>
      </c>
    </row>
    <row r="1031" spans="1:22" x14ac:dyDescent="0.15">
      <c r="L1031" s="135" t="s">
        <v>533</v>
      </c>
      <c r="M1031" s="77">
        <v>90</v>
      </c>
      <c r="N1031" s="77">
        <v>95</v>
      </c>
      <c r="O1031" s="77">
        <v>85</v>
      </c>
      <c r="P1031" s="195">
        <f>SUM(M1031:O1031)</f>
        <v>270</v>
      </c>
      <c r="Q1031" s="77">
        <v>70</v>
      </c>
      <c r="R1031" s="77">
        <v>70</v>
      </c>
      <c r="S1031" s="77">
        <v>81</v>
      </c>
      <c r="T1031" s="195">
        <f>SUM(Q1031:S1031)</f>
        <v>221</v>
      </c>
    </row>
    <row r="1032" spans="1:22" x14ac:dyDescent="0.15">
      <c r="L1032" s="192" t="s">
        <v>535</v>
      </c>
      <c r="M1032" s="193">
        <v>55</v>
      </c>
      <c r="N1032" s="193">
        <v>55</v>
      </c>
      <c r="O1032" s="193">
        <v>55</v>
      </c>
      <c r="P1032" s="194">
        <f>SUM(M1032:O1032)</f>
        <v>165</v>
      </c>
      <c r="Q1032" s="193">
        <v>55</v>
      </c>
      <c r="R1032" s="193">
        <v>70</v>
      </c>
      <c r="S1032" s="193">
        <v>65</v>
      </c>
      <c r="T1032" s="194">
        <f>SUM(Q1032:S1032)</f>
        <v>190</v>
      </c>
      <c r="U1032" s="193"/>
      <c r="V1032" s="91" t="s">
        <v>538</v>
      </c>
    </row>
    <row r="1033" spans="1:22" ht="19.5" thickBot="1" x14ac:dyDescent="0.25">
      <c r="A1033" s="3" t="s">
        <v>209</v>
      </c>
      <c r="B1033" s="1"/>
      <c r="C1033" s="1"/>
      <c r="D1033" s="1"/>
      <c r="E1033" s="1"/>
      <c r="F1033" s="1"/>
      <c r="G1033" s="1"/>
      <c r="H1033" s="1"/>
      <c r="I1033" s="1"/>
      <c r="J1033" s="1"/>
      <c r="L1033" s="226" t="s">
        <v>208</v>
      </c>
      <c r="M1033" s="226"/>
      <c r="N1033" s="226"/>
      <c r="O1033" s="226"/>
      <c r="P1033" s="226"/>
      <c r="Q1033" s="1"/>
      <c r="R1033" s="1"/>
      <c r="S1033" s="1"/>
      <c r="T1033" s="1" t="s">
        <v>422</v>
      </c>
      <c r="U1033" s="1"/>
    </row>
    <row r="1034" spans="1:22" ht="14.25" thickBot="1" x14ac:dyDescent="0.2">
      <c r="A1034" s="8" t="s">
        <v>0</v>
      </c>
      <c r="B1034" s="227" t="s">
        <v>19</v>
      </c>
      <c r="C1034" s="228"/>
      <c r="D1034" s="228"/>
      <c r="E1034" s="229"/>
      <c r="F1034" s="230" t="s">
        <v>20</v>
      </c>
      <c r="G1034" s="231"/>
      <c r="H1034" s="231"/>
      <c r="I1034" s="232"/>
      <c r="J1034" s="233" t="s">
        <v>1</v>
      </c>
      <c r="L1034" s="8" t="s">
        <v>0</v>
      </c>
      <c r="M1034" s="235" t="s">
        <v>19</v>
      </c>
      <c r="N1034" s="236"/>
      <c r="O1034" s="236"/>
      <c r="P1034" s="237"/>
      <c r="Q1034" s="238" t="s">
        <v>20</v>
      </c>
      <c r="R1034" s="239"/>
      <c r="S1034" s="239"/>
      <c r="T1034" s="240"/>
      <c r="U1034" s="224" t="s">
        <v>1</v>
      </c>
    </row>
    <row r="1035" spans="1:22" ht="14.25" thickBot="1" x14ac:dyDescent="0.2">
      <c r="A1035" s="8" t="s">
        <v>2</v>
      </c>
      <c r="B1035" s="69" t="s">
        <v>3</v>
      </c>
      <c r="C1035" s="70" t="s">
        <v>4</v>
      </c>
      <c r="D1035" s="71" t="s">
        <v>5</v>
      </c>
      <c r="E1035" s="8" t="s">
        <v>6</v>
      </c>
      <c r="F1035" s="4" t="s">
        <v>3</v>
      </c>
      <c r="G1035" s="5" t="s">
        <v>4</v>
      </c>
      <c r="H1035" s="6" t="s">
        <v>5</v>
      </c>
      <c r="I1035" s="8" t="s">
        <v>6</v>
      </c>
      <c r="J1035" s="234"/>
      <c r="L1035" s="8" t="s">
        <v>2</v>
      </c>
      <c r="M1035" s="69" t="s">
        <v>3</v>
      </c>
      <c r="N1035" s="70" t="s">
        <v>4</v>
      </c>
      <c r="O1035" s="71" t="s">
        <v>5</v>
      </c>
      <c r="P1035" s="8" t="s">
        <v>6</v>
      </c>
      <c r="Q1035" s="4" t="s">
        <v>3</v>
      </c>
      <c r="R1035" s="5" t="s">
        <v>4</v>
      </c>
      <c r="S1035" s="6" t="s">
        <v>5</v>
      </c>
      <c r="T1035" s="8" t="s">
        <v>6</v>
      </c>
      <c r="U1035" s="225"/>
    </row>
    <row r="1036" spans="1:22" ht="14.25" thickBot="1" x14ac:dyDescent="0.2">
      <c r="A1036" s="25" t="s">
        <v>18</v>
      </c>
      <c r="B1036" s="26">
        <f>B1030</f>
        <v>7</v>
      </c>
      <c r="C1036" s="27">
        <f t="shared" ref="C1036:D1036" si="822">C1030</f>
        <v>5</v>
      </c>
      <c r="D1036" s="49">
        <f t="shared" si="822"/>
        <v>10</v>
      </c>
      <c r="E1036" s="68">
        <f t="shared" ref="E1036:E1044" si="823">SUM(B1036:D1036)</f>
        <v>22</v>
      </c>
      <c r="F1036" s="26">
        <f>F1030</f>
        <v>6</v>
      </c>
      <c r="G1036" s="27">
        <f t="shared" ref="G1036:H1036" si="824">G1030</f>
        <v>6</v>
      </c>
      <c r="H1036" s="49">
        <f t="shared" si="824"/>
        <v>5</v>
      </c>
      <c r="I1036" s="33">
        <f t="shared" ref="I1036:I1044" si="825">SUM(F1036:H1036)</f>
        <v>17</v>
      </c>
      <c r="J1036" s="33">
        <f>E1036+I1036</f>
        <v>39</v>
      </c>
      <c r="L1036" s="25" t="s">
        <v>18</v>
      </c>
      <c r="M1036" s="26">
        <f>M1030</f>
        <v>595</v>
      </c>
      <c r="N1036" s="27">
        <f t="shared" ref="N1036:O1036" si="826">N1030</f>
        <v>796</v>
      </c>
      <c r="O1036" s="49">
        <f t="shared" si="826"/>
        <v>498</v>
      </c>
      <c r="P1036" s="107">
        <f t="shared" ref="P1036:P1044" si="827">SUM(M1036:O1036)</f>
        <v>1889</v>
      </c>
      <c r="Q1036" s="26">
        <f>Q1030</f>
        <v>538</v>
      </c>
      <c r="R1036" s="27">
        <f t="shared" ref="R1036:S1036" si="828">R1030</f>
        <v>699</v>
      </c>
      <c r="S1036" s="49">
        <f t="shared" si="828"/>
        <v>502</v>
      </c>
      <c r="T1036" s="29">
        <f t="shared" ref="T1036:T1044" si="829">SUM(Q1036:S1036)</f>
        <v>1739</v>
      </c>
      <c r="U1036" s="29">
        <f>P1036+T1036</f>
        <v>3628</v>
      </c>
    </row>
    <row r="1037" spans="1:22" x14ac:dyDescent="0.15">
      <c r="A1037" s="23" t="s">
        <v>92</v>
      </c>
      <c r="B1037" s="47">
        <v>1</v>
      </c>
      <c r="C1037" s="48"/>
      <c r="D1037" s="72"/>
      <c r="E1037" s="42">
        <f t="shared" si="823"/>
        <v>1</v>
      </c>
      <c r="F1037" s="38"/>
      <c r="G1037" s="39"/>
      <c r="H1037" s="40"/>
      <c r="I1037" s="66">
        <f t="shared" si="825"/>
        <v>0</v>
      </c>
      <c r="J1037" s="57">
        <f t="shared" ref="J1037:J1044" si="830">E1037+I1037</f>
        <v>1</v>
      </c>
      <c r="K1037" s="108">
        <v>46085</v>
      </c>
      <c r="L1037" s="23" t="s">
        <v>8</v>
      </c>
      <c r="M1037" s="16"/>
      <c r="N1037" s="17"/>
      <c r="O1037" s="43"/>
      <c r="P1037" s="94">
        <f t="shared" si="827"/>
        <v>0</v>
      </c>
      <c r="Q1037" s="16"/>
      <c r="R1037" s="17"/>
      <c r="S1037" s="43"/>
      <c r="T1037" s="94">
        <f t="shared" si="829"/>
        <v>0</v>
      </c>
      <c r="U1037" s="94">
        <f t="shared" ref="U1037:U1044" si="831">P1037+T1037</f>
        <v>0</v>
      </c>
    </row>
    <row r="1038" spans="1:22" x14ac:dyDescent="0.15">
      <c r="A1038" s="23" t="s">
        <v>9</v>
      </c>
      <c r="B1038" s="9"/>
      <c r="C1038" s="10"/>
      <c r="D1038" s="44"/>
      <c r="E1038" s="12">
        <f t="shared" si="823"/>
        <v>0</v>
      </c>
      <c r="F1038" s="9"/>
      <c r="G1038" s="10"/>
      <c r="H1038" s="44">
        <v>3</v>
      </c>
      <c r="I1038" s="12">
        <f t="shared" si="825"/>
        <v>3</v>
      </c>
      <c r="J1038" s="12">
        <f t="shared" si="830"/>
        <v>3</v>
      </c>
      <c r="K1038" s="90">
        <v>46107</v>
      </c>
      <c r="L1038" s="23" t="s">
        <v>9</v>
      </c>
      <c r="M1038" s="9"/>
      <c r="N1038" s="10"/>
      <c r="O1038" s="44"/>
      <c r="P1038" s="12">
        <f t="shared" si="827"/>
        <v>0</v>
      </c>
      <c r="Q1038" s="9"/>
      <c r="R1038" s="10"/>
      <c r="S1038" s="44"/>
      <c r="T1038" s="12">
        <f t="shared" si="829"/>
        <v>0</v>
      </c>
      <c r="U1038" s="12">
        <f t="shared" si="831"/>
        <v>0</v>
      </c>
    </row>
    <row r="1039" spans="1:22" x14ac:dyDescent="0.15">
      <c r="A1039" s="123" t="s">
        <v>10</v>
      </c>
      <c r="B1039" s="177">
        <v>10</v>
      </c>
      <c r="C1039" s="178"/>
      <c r="D1039" s="179"/>
      <c r="E1039" s="127">
        <f t="shared" si="823"/>
        <v>10</v>
      </c>
      <c r="F1039" s="177"/>
      <c r="G1039" s="178">
        <v>5</v>
      </c>
      <c r="H1039" s="179">
        <v>8</v>
      </c>
      <c r="I1039" s="127">
        <f t="shared" si="825"/>
        <v>13</v>
      </c>
      <c r="J1039" s="127">
        <f t="shared" si="830"/>
        <v>23</v>
      </c>
      <c r="K1039" s="128">
        <v>46112</v>
      </c>
      <c r="L1039" s="23" t="s">
        <v>10</v>
      </c>
      <c r="M1039" s="9"/>
      <c r="N1039" s="10"/>
      <c r="O1039" s="44"/>
      <c r="P1039" s="12">
        <f t="shared" si="827"/>
        <v>0</v>
      </c>
      <c r="Q1039" s="9"/>
      <c r="R1039" s="10"/>
      <c r="S1039" s="44"/>
      <c r="T1039" s="12">
        <f t="shared" si="829"/>
        <v>0</v>
      </c>
      <c r="U1039" s="12">
        <f t="shared" si="831"/>
        <v>0</v>
      </c>
    </row>
    <row r="1040" spans="1:22" x14ac:dyDescent="0.15">
      <c r="A1040" s="123" t="s">
        <v>11</v>
      </c>
      <c r="B1040" s="177"/>
      <c r="C1040" s="178">
        <v>3</v>
      </c>
      <c r="D1040" s="179"/>
      <c r="E1040" s="127">
        <f t="shared" si="823"/>
        <v>3</v>
      </c>
      <c r="F1040" s="177"/>
      <c r="G1040" s="178"/>
      <c r="H1040" s="179"/>
      <c r="I1040" s="127">
        <f t="shared" si="825"/>
        <v>0</v>
      </c>
      <c r="J1040" s="127">
        <f t="shared" si="830"/>
        <v>3</v>
      </c>
      <c r="K1040" s="128">
        <v>46113</v>
      </c>
      <c r="L1040" s="23" t="s">
        <v>11</v>
      </c>
      <c r="M1040" s="9"/>
      <c r="N1040" s="10"/>
      <c r="O1040" s="44"/>
      <c r="P1040" s="12">
        <f t="shared" si="827"/>
        <v>0</v>
      </c>
      <c r="Q1040" s="9"/>
      <c r="R1040" s="10"/>
      <c r="S1040" s="44"/>
      <c r="T1040" s="12">
        <f t="shared" si="829"/>
        <v>0</v>
      </c>
      <c r="U1040" s="12">
        <f t="shared" si="831"/>
        <v>0</v>
      </c>
    </row>
    <row r="1041" spans="1:23" x14ac:dyDescent="0.15">
      <c r="A1041" s="23" t="s">
        <v>12</v>
      </c>
      <c r="B1041" s="9"/>
      <c r="C1041" s="10"/>
      <c r="D1041" s="44"/>
      <c r="E1041" s="12">
        <f t="shared" si="823"/>
        <v>0</v>
      </c>
      <c r="F1041" s="9"/>
      <c r="G1041" s="10"/>
      <c r="H1041" s="44"/>
      <c r="I1041" s="67">
        <f t="shared" si="825"/>
        <v>0</v>
      </c>
      <c r="J1041" s="12">
        <f t="shared" si="830"/>
        <v>0</v>
      </c>
      <c r="L1041" s="23" t="s">
        <v>12</v>
      </c>
      <c r="M1041" s="16"/>
      <c r="N1041" s="17"/>
      <c r="O1041" s="43"/>
      <c r="P1041" s="94">
        <f t="shared" si="827"/>
        <v>0</v>
      </c>
      <c r="Q1041" s="16"/>
      <c r="R1041" s="17"/>
      <c r="S1041" s="43"/>
      <c r="T1041" s="94">
        <f t="shared" si="829"/>
        <v>0</v>
      </c>
      <c r="U1041" s="94">
        <f t="shared" si="831"/>
        <v>0</v>
      </c>
    </row>
    <row r="1042" spans="1:23" x14ac:dyDescent="0.15">
      <c r="A1042" s="23" t="s">
        <v>13</v>
      </c>
      <c r="B1042" s="9"/>
      <c r="C1042" s="10"/>
      <c r="D1042" s="44"/>
      <c r="E1042" s="12">
        <f t="shared" si="823"/>
        <v>0</v>
      </c>
      <c r="F1042" s="9"/>
      <c r="G1042" s="10"/>
      <c r="H1042" s="44"/>
      <c r="I1042" s="67">
        <f t="shared" si="825"/>
        <v>0</v>
      </c>
      <c r="J1042" s="12">
        <f t="shared" si="830"/>
        <v>0</v>
      </c>
      <c r="L1042" s="23" t="s">
        <v>13</v>
      </c>
      <c r="M1042" s="9"/>
      <c r="N1042" s="10"/>
      <c r="O1042" s="44"/>
      <c r="P1042" s="12">
        <f t="shared" si="827"/>
        <v>0</v>
      </c>
      <c r="Q1042" s="9"/>
      <c r="R1042" s="10"/>
      <c r="S1042" s="44"/>
      <c r="T1042" s="67">
        <f t="shared" si="829"/>
        <v>0</v>
      </c>
      <c r="U1042" s="12">
        <f t="shared" si="831"/>
        <v>0</v>
      </c>
    </row>
    <row r="1043" spans="1:23" x14ac:dyDescent="0.15">
      <c r="A1043" s="23" t="s">
        <v>14</v>
      </c>
      <c r="B1043" s="13"/>
      <c r="C1043" s="14"/>
      <c r="D1043" s="45"/>
      <c r="E1043" s="12">
        <f t="shared" si="823"/>
        <v>0</v>
      </c>
      <c r="F1043" s="13"/>
      <c r="G1043" s="14"/>
      <c r="H1043" s="45"/>
      <c r="I1043" s="67">
        <f t="shared" si="825"/>
        <v>0</v>
      </c>
      <c r="J1043" s="12">
        <f t="shared" si="830"/>
        <v>0</v>
      </c>
      <c r="L1043" s="23" t="s">
        <v>14</v>
      </c>
      <c r="M1043" s="13"/>
      <c r="N1043" s="14"/>
      <c r="O1043" s="45"/>
      <c r="P1043" s="12">
        <f t="shared" si="827"/>
        <v>0</v>
      </c>
      <c r="Q1043" s="13"/>
      <c r="R1043" s="14"/>
      <c r="S1043" s="45"/>
      <c r="T1043" s="67">
        <f t="shared" si="829"/>
        <v>0</v>
      </c>
      <c r="U1043" s="12">
        <f t="shared" si="831"/>
        <v>0</v>
      </c>
    </row>
    <row r="1044" spans="1:23" ht="14.25" thickBot="1" x14ac:dyDescent="0.2">
      <c r="A1044" s="23" t="s">
        <v>15</v>
      </c>
      <c r="B1044" s="30"/>
      <c r="C1044" s="31"/>
      <c r="D1044" s="46"/>
      <c r="E1044" s="12">
        <f t="shared" si="823"/>
        <v>0</v>
      </c>
      <c r="F1044" s="30"/>
      <c r="G1044" s="31"/>
      <c r="H1044" s="46"/>
      <c r="I1044" s="67">
        <f t="shared" si="825"/>
        <v>0</v>
      </c>
      <c r="J1044" s="19">
        <f t="shared" si="830"/>
        <v>0</v>
      </c>
      <c r="L1044" s="23" t="s">
        <v>15</v>
      </c>
      <c r="M1044" s="13"/>
      <c r="N1044" s="14"/>
      <c r="O1044" s="45"/>
      <c r="P1044" s="12">
        <f t="shared" si="827"/>
        <v>0</v>
      </c>
      <c r="Q1044" s="13"/>
      <c r="R1044" s="14"/>
      <c r="S1044" s="45"/>
      <c r="T1044" s="67">
        <f t="shared" si="829"/>
        <v>0</v>
      </c>
      <c r="U1044" s="12">
        <f t="shared" si="831"/>
        <v>0</v>
      </c>
    </row>
    <row r="1045" spans="1:23" ht="14.25" thickBot="1" x14ac:dyDescent="0.2">
      <c r="A1045" s="32" t="s">
        <v>16</v>
      </c>
      <c r="B1045" s="26">
        <f>SUM(B1036:B1044)</f>
        <v>18</v>
      </c>
      <c r="C1045" s="27">
        <f t="shared" ref="C1045:J1045" si="832">SUM(C1036:C1044)</f>
        <v>8</v>
      </c>
      <c r="D1045" s="49">
        <f t="shared" si="832"/>
        <v>10</v>
      </c>
      <c r="E1045" s="75">
        <f t="shared" si="832"/>
        <v>36</v>
      </c>
      <c r="F1045" s="26">
        <f t="shared" si="832"/>
        <v>6</v>
      </c>
      <c r="G1045" s="27">
        <f t="shared" si="832"/>
        <v>11</v>
      </c>
      <c r="H1045" s="49">
        <f t="shared" si="832"/>
        <v>16</v>
      </c>
      <c r="I1045" s="74">
        <f t="shared" si="832"/>
        <v>33</v>
      </c>
      <c r="J1045" s="29">
        <f t="shared" si="832"/>
        <v>69</v>
      </c>
      <c r="L1045" s="32" t="s">
        <v>16</v>
      </c>
      <c r="M1045" s="26">
        <f>SUM(M1036:M1044)</f>
        <v>595</v>
      </c>
      <c r="N1045" s="27">
        <f t="shared" ref="N1045:U1045" si="833">SUM(N1036:N1044)</f>
        <v>796</v>
      </c>
      <c r="O1045" s="49">
        <f t="shared" si="833"/>
        <v>498</v>
      </c>
      <c r="P1045" s="75">
        <f t="shared" si="833"/>
        <v>1889</v>
      </c>
      <c r="Q1045" s="26">
        <f t="shared" si="833"/>
        <v>538</v>
      </c>
      <c r="R1045" s="27">
        <f t="shared" si="833"/>
        <v>699</v>
      </c>
      <c r="S1045" s="49">
        <f t="shared" si="833"/>
        <v>502</v>
      </c>
      <c r="T1045" s="74">
        <f t="shared" si="833"/>
        <v>1739</v>
      </c>
      <c r="U1045" s="29">
        <f t="shared" si="833"/>
        <v>3628</v>
      </c>
    </row>
    <row r="1046" spans="1:23" x14ac:dyDescent="0.15">
      <c r="A1046" s="24" t="s">
        <v>45</v>
      </c>
      <c r="B1046" s="54"/>
      <c r="C1046" s="55"/>
      <c r="D1046" s="56">
        <v>1</v>
      </c>
      <c r="E1046" s="42">
        <f t="shared" ref="E1046:E1071" si="834">SUM(B1046:D1046)</f>
        <v>1</v>
      </c>
      <c r="F1046" s="54"/>
      <c r="G1046" s="55"/>
      <c r="H1046" s="56"/>
      <c r="I1046" s="66">
        <f t="shared" ref="I1046:I1071" si="835">SUM(F1046:H1046)</f>
        <v>0</v>
      </c>
      <c r="J1046" s="57">
        <f t="shared" ref="J1046:J1073" si="836">E1046+I1046</f>
        <v>1</v>
      </c>
      <c r="K1046" s="108">
        <v>46097</v>
      </c>
      <c r="L1046" s="22" t="s">
        <v>576</v>
      </c>
      <c r="M1046" s="54">
        <v>10</v>
      </c>
      <c r="N1046" s="55">
        <v>10</v>
      </c>
      <c r="O1046" s="56">
        <v>10</v>
      </c>
      <c r="P1046" s="42">
        <f t="shared" ref="P1046:P1070" si="837">SUM(M1046:O1046)</f>
        <v>30</v>
      </c>
      <c r="Q1046" s="152">
        <v>10</v>
      </c>
      <c r="R1046" s="55">
        <v>10</v>
      </c>
      <c r="S1046" s="56">
        <v>10</v>
      </c>
      <c r="T1046" s="42">
        <f t="shared" ref="T1046:T1070" si="838">SUM(Q1046:S1046)</f>
        <v>30</v>
      </c>
      <c r="U1046" s="57">
        <f t="shared" ref="U1046:U1073" si="839">P1046+T1046</f>
        <v>60</v>
      </c>
      <c r="V1046" s="90">
        <v>46066</v>
      </c>
      <c r="W1046" s="50"/>
    </row>
    <row r="1047" spans="1:23" x14ac:dyDescent="0.15">
      <c r="A1047" s="24" t="s">
        <v>45</v>
      </c>
      <c r="B1047" s="16"/>
      <c r="C1047" s="17"/>
      <c r="D1047" s="18"/>
      <c r="E1047" s="12">
        <f t="shared" si="834"/>
        <v>0</v>
      </c>
      <c r="F1047" s="16"/>
      <c r="G1047" s="17"/>
      <c r="H1047" s="18">
        <v>3</v>
      </c>
      <c r="I1047" s="67">
        <f t="shared" si="835"/>
        <v>3</v>
      </c>
      <c r="J1047" s="12">
        <f t="shared" si="836"/>
        <v>3</v>
      </c>
      <c r="K1047" s="108">
        <v>46105</v>
      </c>
      <c r="L1047" s="24" t="s">
        <v>584</v>
      </c>
      <c r="M1047" s="16">
        <v>6</v>
      </c>
      <c r="N1047" s="17">
        <v>16</v>
      </c>
      <c r="O1047" s="18"/>
      <c r="P1047" s="12">
        <f t="shared" si="837"/>
        <v>22</v>
      </c>
      <c r="Q1047" s="153"/>
      <c r="R1047" s="17">
        <v>4</v>
      </c>
      <c r="S1047" s="18"/>
      <c r="T1047" s="12">
        <f t="shared" si="838"/>
        <v>4</v>
      </c>
      <c r="U1047" s="12">
        <f t="shared" si="839"/>
        <v>26</v>
      </c>
      <c r="V1047" s="90">
        <v>46087</v>
      </c>
    </row>
    <row r="1048" spans="1:23" x14ac:dyDescent="0.15">
      <c r="A1048" s="24" t="s">
        <v>45</v>
      </c>
      <c r="B1048" s="9"/>
      <c r="C1048" s="10">
        <v>2</v>
      </c>
      <c r="D1048" s="11"/>
      <c r="E1048" s="12">
        <f t="shared" si="834"/>
        <v>2</v>
      </c>
      <c r="F1048" s="9"/>
      <c r="G1048" s="10"/>
      <c r="H1048" s="11"/>
      <c r="I1048" s="67">
        <f t="shared" si="835"/>
        <v>0</v>
      </c>
      <c r="J1048" s="12">
        <f t="shared" si="836"/>
        <v>2</v>
      </c>
      <c r="K1048" s="108">
        <v>46111</v>
      </c>
      <c r="L1048" s="22" t="s">
        <v>585</v>
      </c>
      <c r="M1048" s="9"/>
      <c r="N1048" s="10">
        <v>3</v>
      </c>
      <c r="O1048" s="11"/>
      <c r="P1048" s="12">
        <f t="shared" si="837"/>
        <v>3</v>
      </c>
      <c r="Q1048" s="105"/>
      <c r="R1048" s="10">
        <v>5</v>
      </c>
      <c r="S1048" s="11"/>
      <c r="T1048" s="12">
        <f t="shared" si="838"/>
        <v>5</v>
      </c>
      <c r="U1048" s="12">
        <f t="shared" si="839"/>
        <v>8</v>
      </c>
      <c r="V1048" s="90">
        <v>46086</v>
      </c>
    </row>
    <row r="1049" spans="1:23" x14ac:dyDescent="0.15">
      <c r="A1049" s="24" t="s">
        <v>593</v>
      </c>
      <c r="B1049" s="9">
        <v>12</v>
      </c>
      <c r="C1049" s="10"/>
      <c r="D1049" s="11">
        <v>2</v>
      </c>
      <c r="E1049" s="12">
        <f t="shared" si="834"/>
        <v>14</v>
      </c>
      <c r="F1049" s="9"/>
      <c r="G1049" s="10">
        <v>4</v>
      </c>
      <c r="H1049" s="11">
        <v>6</v>
      </c>
      <c r="I1049" s="67">
        <f t="shared" si="835"/>
        <v>10</v>
      </c>
      <c r="J1049" s="12">
        <f t="shared" si="836"/>
        <v>24</v>
      </c>
      <c r="K1049" s="90">
        <v>46115</v>
      </c>
      <c r="L1049" s="22" t="s">
        <v>588</v>
      </c>
      <c r="M1049" s="9">
        <v>10</v>
      </c>
      <c r="N1049" s="10">
        <v>4</v>
      </c>
      <c r="O1049" s="11">
        <v>6</v>
      </c>
      <c r="P1049" s="12">
        <f t="shared" si="837"/>
        <v>20</v>
      </c>
      <c r="Q1049" s="105"/>
      <c r="R1049" s="10"/>
      <c r="S1049" s="11"/>
      <c r="T1049" s="12">
        <f t="shared" si="838"/>
        <v>0</v>
      </c>
      <c r="U1049" s="12">
        <f t="shared" si="839"/>
        <v>20</v>
      </c>
      <c r="V1049" s="90">
        <v>46094</v>
      </c>
    </row>
    <row r="1050" spans="1:23" x14ac:dyDescent="0.15">
      <c r="A1050" s="24" t="s">
        <v>45</v>
      </c>
      <c r="B1050" s="9"/>
      <c r="C1050" s="10">
        <v>2</v>
      </c>
      <c r="D1050" s="11"/>
      <c r="E1050" s="12">
        <f t="shared" si="834"/>
        <v>2</v>
      </c>
      <c r="F1050" s="9"/>
      <c r="G1050" s="10">
        <v>1</v>
      </c>
      <c r="H1050" s="11"/>
      <c r="I1050" s="67">
        <f t="shared" si="835"/>
        <v>1</v>
      </c>
      <c r="J1050" s="12">
        <f t="shared" si="836"/>
        <v>3</v>
      </c>
      <c r="K1050" s="108">
        <v>46112</v>
      </c>
      <c r="L1050" s="22" t="s">
        <v>589</v>
      </c>
      <c r="M1050" s="9">
        <v>25</v>
      </c>
      <c r="N1050" s="10">
        <v>25</v>
      </c>
      <c r="O1050" s="11">
        <v>25</v>
      </c>
      <c r="P1050" s="12">
        <f t="shared" si="837"/>
        <v>75</v>
      </c>
      <c r="Q1050" s="105">
        <v>25</v>
      </c>
      <c r="R1050" s="10">
        <v>25</v>
      </c>
      <c r="S1050" s="11">
        <v>25</v>
      </c>
      <c r="T1050" s="12">
        <f t="shared" si="838"/>
        <v>75</v>
      </c>
      <c r="U1050" s="12">
        <f t="shared" si="839"/>
        <v>150</v>
      </c>
      <c r="V1050" s="90">
        <v>46107</v>
      </c>
    </row>
    <row r="1051" spans="1:23" x14ac:dyDescent="0.15">
      <c r="A1051" s="24" t="s">
        <v>45</v>
      </c>
      <c r="B1051" s="9"/>
      <c r="C1051" s="10"/>
      <c r="D1051" s="11"/>
      <c r="E1051" s="12">
        <f t="shared" si="834"/>
        <v>0</v>
      </c>
      <c r="F1051" s="9">
        <v>1</v>
      </c>
      <c r="G1051" s="10"/>
      <c r="H1051" s="11"/>
      <c r="I1051" s="67">
        <f t="shared" si="835"/>
        <v>1</v>
      </c>
      <c r="J1051" s="12">
        <f t="shared" si="836"/>
        <v>1</v>
      </c>
      <c r="K1051" s="108">
        <v>46115</v>
      </c>
      <c r="L1051" s="24" t="s">
        <v>590</v>
      </c>
      <c r="M1051" s="9"/>
      <c r="N1051" s="10"/>
      <c r="O1051" s="11"/>
      <c r="P1051" s="12">
        <f t="shared" si="837"/>
        <v>0</v>
      </c>
      <c r="Q1051" s="105"/>
      <c r="R1051" s="10"/>
      <c r="S1051" s="11">
        <v>3</v>
      </c>
      <c r="T1051" s="12">
        <f t="shared" si="838"/>
        <v>3</v>
      </c>
      <c r="U1051" s="12">
        <f t="shared" si="839"/>
        <v>3</v>
      </c>
      <c r="V1051" s="90">
        <v>46107</v>
      </c>
    </row>
    <row r="1052" spans="1:23" x14ac:dyDescent="0.15">
      <c r="A1052" s="24" t="s">
        <v>606</v>
      </c>
      <c r="B1052" s="9"/>
      <c r="C1052" s="10">
        <v>-1</v>
      </c>
      <c r="D1052" s="11"/>
      <c r="E1052" s="12">
        <f t="shared" si="834"/>
        <v>-1</v>
      </c>
      <c r="F1052" s="9"/>
      <c r="G1052" s="10">
        <v>-1</v>
      </c>
      <c r="H1052" s="11"/>
      <c r="I1052" s="67">
        <f t="shared" si="835"/>
        <v>-1</v>
      </c>
      <c r="J1052" s="12">
        <f t="shared" si="836"/>
        <v>-2</v>
      </c>
      <c r="K1052" s="108">
        <v>46118</v>
      </c>
      <c r="L1052" s="24" t="s">
        <v>592</v>
      </c>
      <c r="M1052" s="9">
        <v>80</v>
      </c>
      <c r="N1052" s="10">
        <v>50</v>
      </c>
      <c r="O1052" s="11">
        <v>20</v>
      </c>
      <c r="P1052" s="12">
        <f t="shared" si="837"/>
        <v>150</v>
      </c>
      <c r="Q1052" s="105"/>
      <c r="R1052" s="10">
        <v>15</v>
      </c>
      <c r="S1052" s="11"/>
      <c r="T1052" s="12">
        <f t="shared" si="838"/>
        <v>15</v>
      </c>
      <c r="U1052" s="12">
        <f t="shared" si="839"/>
        <v>165</v>
      </c>
      <c r="V1052" s="90">
        <v>46113</v>
      </c>
    </row>
    <row r="1053" spans="1:23" x14ac:dyDescent="0.15">
      <c r="A1053" s="24"/>
      <c r="B1053" s="9"/>
      <c r="C1053" s="10"/>
      <c r="D1053" s="11"/>
      <c r="E1053" s="12">
        <f t="shared" si="834"/>
        <v>0</v>
      </c>
      <c r="F1053" s="9"/>
      <c r="G1053" s="10"/>
      <c r="H1053" s="11"/>
      <c r="I1053" s="67">
        <f t="shared" si="835"/>
        <v>0</v>
      </c>
      <c r="J1053" s="12">
        <f t="shared" si="836"/>
        <v>0</v>
      </c>
      <c r="L1053" s="180" t="s">
        <v>594</v>
      </c>
      <c r="M1053" s="124">
        <v>10</v>
      </c>
      <c r="N1053" s="125"/>
      <c r="O1053" s="187"/>
      <c r="P1053" s="127">
        <f t="shared" si="837"/>
        <v>10</v>
      </c>
      <c r="Q1053" s="188"/>
      <c r="R1053" s="125">
        <v>5</v>
      </c>
      <c r="S1053" s="187">
        <v>8</v>
      </c>
      <c r="T1053" s="127">
        <f t="shared" si="838"/>
        <v>13</v>
      </c>
      <c r="U1053" s="127">
        <f t="shared" si="839"/>
        <v>23</v>
      </c>
      <c r="V1053" s="128">
        <v>46112</v>
      </c>
    </row>
    <row r="1054" spans="1:23" x14ac:dyDescent="0.15">
      <c r="A1054" s="22"/>
      <c r="B1054" s="9"/>
      <c r="C1054" s="10"/>
      <c r="D1054" s="11"/>
      <c r="E1054" s="12">
        <f t="shared" si="834"/>
        <v>0</v>
      </c>
      <c r="F1054" s="9"/>
      <c r="G1054" s="10"/>
      <c r="H1054" s="11"/>
      <c r="I1054" s="67">
        <f t="shared" si="835"/>
        <v>0</v>
      </c>
      <c r="J1054" s="12">
        <f t="shared" si="836"/>
        <v>0</v>
      </c>
      <c r="L1054" s="24" t="s">
        <v>595</v>
      </c>
      <c r="M1054" s="9">
        <v>20</v>
      </c>
      <c r="N1054" s="10">
        <v>80</v>
      </c>
      <c r="O1054" s="11">
        <v>70</v>
      </c>
      <c r="P1054" s="12">
        <f t="shared" si="837"/>
        <v>170</v>
      </c>
      <c r="Q1054" s="105">
        <v>30</v>
      </c>
      <c r="R1054" s="10">
        <v>60</v>
      </c>
      <c r="S1054" s="11">
        <v>20</v>
      </c>
      <c r="T1054" s="12">
        <f t="shared" si="838"/>
        <v>110</v>
      </c>
      <c r="U1054" s="12">
        <f t="shared" si="839"/>
        <v>280</v>
      </c>
      <c r="V1054" s="90">
        <v>46114</v>
      </c>
    </row>
    <row r="1055" spans="1:23" x14ac:dyDescent="0.15">
      <c r="A1055" s="24"/>
      <c r="B1055" s="13"/>
      <c r="C1055" s="14"/>
      <c r="D1055" s="15"/>
      <c r="E1055" s="12">
        <f t="shared" si="834"/>
        <v>0</v>
      </c>
      <c r="F1055" s="13"/>
      <c r="G1055" s="14"/>
      <c r="H1055" s="15"/>
      <c r="I1055" s="67">
        <f t="shared" si="835"/>
        <v>0</v>
      </c>
      <c r="J1055" s="12">
        <f t="shared" si="836"/>
        <v>0</v>
      </c>
      <c r="L1055" s="180" t="s">
        <v>574</v>
      </c>
      <c r="M1055" s="181"/>
      <c r="N1055" s="182">
        <v>3</v>
      </c>
      <c r="O1055" s="183"/>
      <c r="P1055" s="127">
        <f t="shared" si="837"/>
        <v>3</v>
      </c>
      <c r="Q1055" s="184"/>
      <c r="R1055" s="182"/>
      <c r="S1055" s="183"/>
      <c r="T1055" s="127">
        <f t="shared" si="838"/>
        <v>0</v>
      </c>
      <c r="U1055" s="127">
        <f t="shared" si="839"/>
        <v>3</v>
      </c>
      <c r="V1055" s="128">
        <v>46113</v>
      </c>
    </row>
    <row r="1056" spans="1:23" x14ac:dyDescent="0.15">
      <c r="A1056" s="24"/>
      <c r="B1056" s="9"/>
      <c r="C1056" s="10"/>
      <c r="D1056" s="11"/>
      <c r="E1056" s="12">
        <f t="shared" si="834"/>
        <v>0</v>
      </c>
      <c r="F1056" s="9"/>
      <c r="G1056" s="10"/>
      <c r="H1056" s="11"/>
      <c r="I1056" s="67">
        <f t="shared" si="835"/>
        <v>0</v>
      </c>
      <c r="J1056" s="12">
        <f t="shared" si="836"/>
        <v>0</v>
      </c>
      <c r="L1056" s="24" t="s">
        <v>596</v>
      </c>
      <c r="M1056" s="9">
        <v>40</v>
      </c>
      <c r="N1056" s="10"/>
      <c r="O1056" s="11"/>
      <c r="P1056" s="12">
        <f t="shared" si="837"/>
        <v>40</v>
      </c>
      <c r="Q1056" s="105"/>
      <c r="R1056" s="10"/>
      <c r="S1056" s="11"/>
      <c r="T1056" s="12">
        <f t="shared" si="838"/>
        <v>0</v>
      </c>
      <c r="U1056" s="12">
        <f t="shared" si="839"/>
        <v>40</v>
      </c>
      <c r="V1056" s="90">
        <v>46115</v>
      </c>
    </row>
    <row r="1057" spans="1:22" x14ac:dyDescent="0.15">
      <c r="A1057" s="24"/>
      <c r="B1057" s="9"/>
      <c r="C1057" s="10"/>
      <c r="D1057" s="11"/>
      <c r="E1057" s="12">
        <f t="shared" si="834"/>
        <v>0</v>
      </c>
      <c r="F1057" s="9"/>
      <c r="G1057" s="10"/>
      <c r="H1057" s="11"/>
      <c r="I1057" s="67">
        <f t="shared" si="835"/>
        <v>0</v>
      </c>
      <c r="J1057" s="12">
        <f t="shared" si="836"/>
        <v>0</v>
      </c>
      <c r="L1057" s="24" t="s">
        <v>597</v>
      </c>
      <c r="M1057" s="9">
        <v>20</v>
      </c>
      <c r="N1057" s="10"/>
      <c r="O1057" s="11"/>
      <c r="P1057" s="12">
        <f t="shared" si="837"/>
        <v>20</v>
      </c>
      <c r="Q1057" s="105"/>
      <c r="R1057" s="10"/>
      <c r="S1057" s="11">
        <v>5</v>
      </c>
      <c r="T1057" s="12">
        <f t="shared" si="838"/>
        <v>5</v>
      </c>
      <c r="U1057" s="12">
        <f t="shared" si="839"/>
        <v>25</v>
      </c>
      <c r="V1057" s="90">
        <v>46116</v>
      </c>
    </row>
    <row r="1058" spans="1:22" x14ac:dyDescent="0.15">
      <c r="A1058" s="22"/>
      <c r="B1058" s="9"/>
      <c r="C1058" s="10"/>
      <c r="D1058" s="11"/>
      <c r="E1058" s="12">
        <f t="shared" si="834"/>
        <v>0</v>
      </c>
      <c r="F1058" s="9"/>
      <c r="G1058" s="10"/>
      <c r="H1058" s="11"/>
      <c r="I1058" s="67">
        <f t="shared" si="835"/>
        <v>0</v>
      </c>
      <c r="J1058" s="12">
        <f t="shared" si="836"/>
        <v>0</v>
      </c>
      <c r="L1058" s="24" t="s">
        <v>601</v>
      </c>
      <c r="M1058" s="9">
        <v>40</v>
      </c>
      <c r="N1058" s="10"/>
      <c r="O1058" s="11"/>
      <c r="P1058" s="12">
        <f t="shared" si="837"/>
        <v>40</v>
      </c>
      <c r="Q1058" s="105"/>
      <c r="R1058" s="10"/>
      <c r="S1058" s="11"/>
      <c r="T1058" s="12">
        <f t="shared" si="838"/>
        <v>0</v>
      </c>
      <c r="U1058" s="12">
        <f t="shared" si="839"/>
        <v>40</v>
      </c>
      <c r="V1058" s="90">
        <v>46116</v>
      </c>
    </row>
    <row r="1059" spans="1:22" x14ac:dyDescent="0.15">
      <c r="A1059" s="24"/>
      <c r="B1059" s="9"/>
      <c r="C1059" s="10"/>
      <c r="D1059" s="11"/>
      <c r="E1059" s="12">
        <f t="shared" si="834"/>
        <v>0</v>
      </c>
      <c r="F1059" s="9"/>
      <c r="G1059" s="10"/>
      <c r="H1059" s="11"/>
      <c r="I1059" s="67">
        <f t="shared" si="835"/>
        <v>0</v>
      </c>
      <c r="J1059" s="12">
        <f t="shared" si="836"/>
        <v>0</v>
      </c>
      <c r="L1059" s="24"/>
      <c r="M1059" s="9"/>
      <c r="N1059" s="10"/>
      <c r="O1059" s="11"/>
      <c r="P1059" s="12">
        <f t="shared" si="837"/>
        <v>0</v>
      </c>
      <c r="Q1059" s="105"/>
      <c r="R1059" s="10"/>
      <c r="S1059" s="11"/>
      <c r="T1059" s="12">
        <f t="shared" si="838"/>
        <v>0</v>
      </c>
      <c r="U1059" s="12">
        <f t="shared" si="839"/>
        <v>0</v>
      </c>
    </row>
    <row r="1060" spans="1:22" x14ac:dyDescent="0.15">
      <c r="A1060" s="24"/>
      <c r="B1060" s="9"/>
      <c r="C1060" s="10"/>
      <c r="D1060" s="11"/>
      <c r="E1060" s="12">
        <f t="shared" si="834"/>
        <v>0</v>
      </c>
      <c r="F1060" s="9"/>
      <c r="G1060" s="10"/>
      <c r="H1060" s="11"/>
      <c r="I1060" s="67">
        <f t="shared" si="835"/>
        <v>0</v>
      </c>
      <c r="J1060" s="12">
        <f t="shared" si="836"/>
        <v>0</v>
      </c>
      <c r="L1060" s="24"/>
      <c r="M1060" s="9"/>
      <c r="N1060" s="10"/>
      <c r="O1060" s="11"/>
      <c r="P1060" s="12">
        <f t="shared" si="837"/>
        <v>0</v>
      </c>
      <c r="Q1060" s="105"/>
      <c r="R1060" s="10"/>
      <c r="S1060" s="11"/>
      <c r="T1060" s="12">
        <f t="shared" si="838"/>
        <v>0</v>
      </c>
      <c r="U1060" s="12">
        <f t="shared" si="839"/>
        <v>0</v>
      </c>
    </row>
    <row r="1061" spans="1:22" x14ac:dyDescent="0.15">
      <c r="A1061" s="22"/>
      <c r="B1061" s="9"/>
      <c r="C1061" s="10"/>
      <c r="D1061" s="11"/>
      <c r="E1061" s="12">
        <f t="shared" si="834"/>
        <v>0</v>
      </c>
      <c r="F1061" s="9"/>
      <c r="G1061" s="10"/>
      <c r="H1061" s="11"/>
      <c r="I1061" s="67">
        <f t="shared" si="835"/>
        <v>0</v>
      </c>
      <c r="J1061" s="12">
        <f t="shared" si="836"/>
        <v>0</v>
      </c>
      <c r="L1061" s="22"/>
      <c r="M1061" s="9"/>
      <c r="N1061" s="10"/>
      <c r="O1061" s="11"/>
      <c r="P1061" s="12">
        <f t="shared" si="837"/>
        <v>0</v>
      </c>
      <c r="Q1061" s="105"/>
      <c r="R1061" s="10"/>
      <c r="S1061" s="11"/>
      <c r="T1061" s="12">
        <f t="shared" si="838"/>
        <v>0</v>
      </c>
      <c r="U1061" s="12">
        <f t="shared" si="839"/>
        <v>0</v>
      </c>
    </row>
    <row r="1062" spans="1:22" x14ac:dyDescent="0.15">
      <c r="A1062" s="24"/>
      <c r="B1062" s="9"/>
      <c r="C1062" s="10"/>
      <c r="D1062" s="11"/>
      <c r="E1062" s="12">
        <f t="shared" si="834"/>
        <v>0</v>
      </c>
      <c r="F1062" s="9"/>
      <c r="G1062" s="10"/>
      <c r="H1062" s="11"/>
      <c r="I1062" s="67">
        <f t="shared" si="835"/>
        <v>0</v>
      </c>
      <c r="J1062" s="12">
        <f t="shared" si="836"/>
        <v>0</v>
      </c>
      <c r="L1062" s="24"/>
      <c r="M1062" s="9"/>
      <c r="N1062" s="10"/>
      <c r="O1062" s="11"/>
      <c r="P1062" s="12">
        <f t="shared" si="837"/>
        <v>0</v>
      </c>
      <c r="Q1062" s="105"/>
      <c r="R1062" s="10"/>
      <c r="S1062" s="11"/>
      <c r="T1062" s="12">
        <f t="shared" si="838"/>
        <v>0</v>
      </c>
      <c r="U1062" s="12">
        <f t="shared" si="839"/>
        <v>0</v>
      </c>
    </row>
    <row r="1063" spans="1:22" x14ac:dyDescent="0.15">
      <c r="A1063" s="24"/>
      <c r="B1063" s="9"/>
      <c r="C1063" s="10"/>
      <c r="D1063" s="11"/>
      <c r="E1063" s="12">
        <f t="shared" si="834"/>
        <v>0</v>
      </c>
      <c r="F1063" s="9"/>
      <c r="G1063" s="10"/>
      <c r="H1063" s="11"/>
      <c r="I1063" s="67">
        <f t="shared" si="835"/>
        <v>0</v>
      </c>
      <c r="J1063" s="12">
        <f t="shared" si="836"/>
        <v>0</v>
      </c>
      <c r="L1063" s="24"/>
      <c r="M1063" s="9"/>
      <c r="N1063" s="10"/>
      <c r="O1063" s="11"/>
      <c r="P1063" s="12">
        <f t="shared" si="837"/>
        <v>0</v>
      </c>
      <c r="Q1063" s="105"/>
      <c r="R1063" s="10"/>
      <c r="S1063" s="11"/>
      <c r="T1063" s="12">
        <f t="shared" si="838"/>
        <v>0</v>
      </c>
      <c r="U1063" s="12">
        <f t="shared" si="839"/>
        <v>0</v>
      </c>
    </row>
    <row r="1064" spans="1:22" x14ac:dyDescent="0.15">
      <c r="A1064" s="21"/>
      <c r="B1064" s="9"/>
      <c r="C1064" s="10"/>
      <c r="D1064" s="11"/>
      <c r="E1064" s="12">
        <f t="shared" si="834"/>
        <v>0</v>
      </c>
      <c r="F1064" s="9"/>
      <c r="G1064" s="10"/>
      <c r="H1064" s="11"/>
      <c r="I1064" s="67">
        <f t="shared" si="835"/>
        <v>0</v>
      </c>
      <c r="J1064" s="12">
        <f t="shared" si="836"/>
        <v>0</v>
      </c>
      <c r="L1064" s="21"/>
      <c r="M1064" s="9"/>
      <c r="N1064" s="10"/>
      <c r="O1064" s="11"/>
      <c r="P1064" s="12">
        <f t="shared" si="837"/>
        <v>0</v>
      </c>
      <c r="Q1064" s="105"/>
      <c r="R1064" s="10"/>
      <c r="S1064" s="11"/>
      <c r="T1064" s="12">
        <f t="shared" si="838"/>
        <v>0</v>
      </c>
      <c r="U1064" s="12">
        <f t="shared" si="839"/>
        <v>0</v>
      </c>
    </row>
    <row r="1065" spans="1:22" x14ac:dyDescent="0.15">
      <c r="A1065" s="21"/>
      <c r="B1065" s="9"/>
      <c r="C1065" s="10"/>
      <c r="D1065" s="11"/>
      <c r="E1065" s="12">
        <f t="shared" si="834"/>
        <v>0</v>
      </c>
      <c r="F1065" s="9"/>
      <c r="G1065" s="10"/>
      <c r="H1065" s="11"/>
      <c r="I1065" s="67">
        <f t="shared" si="835"/>
        <v>0</v>
      </c>
      <c r="J1065" s="12">
        <f t="shared" si="836"/>
        <v>0</v>
      </c>
      <c r="L1065" s="21"/>
      <c r="M1065" s="9"/>
      <c r="N1065" s="10"/>
      <c r="O1065" s="11"/>
      <c r="P1065" s="12">
        <f t="shared" si="837"/>
        <v>0</v>
      </c>
      <c r="Q1065" s="105"/>
      <c r="R1065" s="10"/>
      <c r="S1065" s="11"/>
      <c r="T1065" s="12">
        <f t="shared" si="838"/>
        <v>0</v>
      </c>
      <c r="U1065" s="12">
        <f t="shared" si="839"/>
        <v>0</v>
      </c>
    </row>
    <row r="1066" spans="1:22" x14ac:dyDescent="0.15">
      <c r="A1066" s="21"/>
      <c r="B1066" s="9"/>
      <c r="C1066" s="10"/>
      <c r="D1066" s="11"/>
      <c r="E1066" s="12">
        <f t="shared" si="834"/>
        <v>0</v>
      </c>
      <c r="F1066" s="9"/>
      <c r="G1066" s="10"/>
      <c r="H1066" s="11"/>
      <c r="I1066" s="67">
        <f t="shared" si="835"/>
        <v>0</v>
      </c>
      <c r="J1066" s="12">
        <f t="shared" si="836"/>
        <v>0</v>
      </c>
      <c r="L1066" s="21"/>
      <c r="M1066" s="9"/>
      <c r="N1066" s="10"/>
      <c r="O1066" s="11"/>
      <c r="P1066" s="12">
        <f t="shared" si="837"/>
        <v>0</v>
      </c>
      <c r="Q1066" s="105"/>
      <c r="R1066" s="10"/>
      <c r="S1066" s="11"/>
      <c r="T1066" s="12">
        <f t="shared" si="838"/>
        <v>0</v>
      </c>
      <c r="U1066" s="12">
        <f t="shared" si="839"/>
        <v>0</v>
      </c>
    </row>
    <row r="1067" spans="1:22" x14ac:dyDescent="0.15">
      <c r="A1067" s="24"/>
      <c r="B1067" s="13"/>
      <c r="C1067" s="14"/>
      <c r="D1067" s="15"/>
      <c r="E1067" s="12">
        <f t="shared" si="834"/>
        <v>0</v>
      </c>
      <c r="F1067" s="13"/>
      <c r="G1067" s="14"/>
      <c r="H1067" s="15"/>
      <c r="I1067" s="67">
        <f t="shared" si="835"/>
        <v>0</v>
      </c>
      <c r="J1067" s="12">
        <f t="shared" si="836"/>
        <v>0</v>
      </c>
      <c r="L1067" s="21"/>
      <c r="M1067" s="9"/>
      <c r="N1067" s="10"/>
      <c r="O1067" s="11"/>
      <c r="P1067" s="12">
        <f t="shared" si="837"/>
        <v>0</v>
      </c>
      <c r="Q1067" s="105"/>
      <c r="R1067" s="10"/>
      <c r="S1067" s="11"/>
      <c r="T1067" s="12">
        <f t="shared" si="838"/>
        <v>0</v>
      </c>
      <c r="U1067" s="12">
        <f t="shared" si="839"/>
        <v>0</v>
      </c>
    </row>
    <row r="1068" spans="1:22" x14ac:dyDescent="0.15">
      <c r="A1068" s="24"/>
      <c r="B1068" s="9"/>
      <c r="C1068" s="10"/>
      <c r="D1068" s="11"/>
      <c r="E1068" s="12">
        <f t="shared" si="834"/>
        <v>0</v>
      </c>
      <c r="F1068" s="9"/>
      <c r="G1068" s="10"/>
      <c r="H1068" s="11"/>
      <c r="I1068" s="67">
        <f t="shared" si="835"/>
        <v>0</v>
      </c>
      <c r="J1068" s="12">
        <f t="shared" si="836"/>
        <v>0</v>
      </c>
      <c r="L1068" s="21"/>
      <c r="M1068" s="9"/>
      <c r="N1068" s="10"/>
      <c r="O1068" s="11"/>
      <c r="P1068" s="12">
        <f t="shared" si="837"/>
        <v>0</v>
      </c>
      <c r="Q1068" s="9"/>
      <c r="R1068" s="10"/>
      <c r="S1068" s="11"/>
      <c r="T1068" s="12">
        <f t="shared" si="838"/>
        <v>0</v>
      </c>
      <c r="U1068" s="12">
        <f t="shared" si="839"/>
        <v>0</v>
      </c>
    </row>
    <row r="1069" spans="1:22" x14ac:dyDescent="0.15">
      <c r="A1069" s="7"/>
      <c r="B1069" s="9"/>
      <c r="C1069" s="10"/>
      <c r="D1069" s="11"/>
      <c r="E1069" s="12">
        <f t="shared" si="834"/>
        <v>0</v>
      </c>
      <c r="F1069" s="9"/>
      <c r="G1069" s="10"/>
      <c r="H1069" s="11"/>
      <c r="I1069" s="67">
        <f t="shared" si="835"/>
        <v>0</v>
      </c>
      <c r="J1069" s="12">
        <f t="shared" si="836"/>
        <v>0</v>
      </c>
      <c r="L1069" s="155" t="s">
        <v>544</v>
      </c>
      <c r="M1069" s="98"/>
      <c r="N1069" s="99"/>
      <c r="O1069" s="100"/>
      <c r="P1069" s="101">
        <f t="shared" si="837"/>
        <v>0</v>
      </c>
      <c r="Q1069" s="185"/>
      <c r="R1069" s="99"/>
      <c r="S1069" s="100"/>
      <c r="T1069" s="101">
        <f t="shared" si="838"/>
        <v>0</v>
      </c>
      <c r="U1069" s="101">
        <f t="shared" si="839"/>
        <v>0</v>
      </c>
      <c r="V1069" s="89"/>
    </row>
    <row r="1070" spans="1:22" x14ac:dyDescent="0.15">
      <c r="A1070" s="59"/>
      <c r="B1070" s="9"/>
      <c r="C1070" s="10"/>
      <c r="D1070" s="11"/>
      <c r="E1070" s="12">
        <f t="shared" si="834"/>
        <v>0</v>
      </c>
      <c r="F1070" s="9"/>
      <c r="G1070" s="10"/>
      <c r="H1070" s="11"/>
      <c r="I1070" s="67">
        <f t="shared" si="835"/>
        <v>0</v>
      </c>
      <c r="J1070" s="12">
        <f t="shared" si="836"/>
        <v>0</v>
      </c>
      <c r="L1070" s="24" t="s">
        <v>545</v>
      </c>
      <c r="M1070" s="9"/>
      <c r="N1070" s="10"/>
      <c r="O1070" s="11"/>
      <c r="P1070" s="12">
        <f t="shared" si="837"/>
        <v>0</v>
      </c>
      <c r="Q1070" s="105"/>
      <c r="R1070" s="10"/>
      <c r="S1070" s="11"/>
      <c r="T1070" s="12">
        <f t="shared" si="838"/>
        <v>0</v>
      </c>
      <c r="U1070" s="12">
        <f t="shared" si="839"/>
        <v>0</v>
      </c>
      <c r="V1070" s="89" t="s">
        <v>546</v>
      </c>
    </row>
    <row r="1071" spans="1:22" ht="14.25" thickBot="1" x14ac:dyDescent="0.2">
      <c r="A1071" s="59"/>
      <c r="B1071" s="9"/>
      <c r="C1071" s="10"/>
      <c r="D1071" s="11"/>
      <c r="E1071" s="12">
        <f t="shared" si="834"/>
        <v>0</v>
      </c>
      <c r="F1071" s="9"/>
      <c r="G1071" s="10"/>
      <c r="H1071" s="11"/>
      <c r="I1071" s="67">
        <f t="shared" si="835"/>
        <v>0</v>
      </c>
      <c r="J1071" s="12">
        <f t="shared" si="836"/>
        <v>0</v>
      </c>
      <c r="L1071" s="22" t="s">
        <v>518</v>
      </c>
      <c r="M1071" s="9"/>
      <c r="N1071" s="10"/>
      <c r="O1071" s="11"/>
      <c r="P1071" s="12">
        <f t="shared" ref="P1071" si="840">SUM(M1071:O1071)</f>
        <v>0</v>
      </c>
      <c r="Q1071" s="9"/>
      <c r="R1071" s="10"/>
      <c r="S1071" s="11"/>
      <c r="T1071" s="12">
        <f t="shared" ref="T1071" si="841">SUM(Q1071:S1071)</f>
        <v>0</v>
      </c>
      <c r="U1071" s="12">
        <f t="shared" ref="U1071" si="842">P1071+T1071</f>
        <v>0</v>
      </c>
      <c r="V1071" s="89" t="s">
        <v>519</v>
      </c>
    </row>
    <row r="1072" spans="1:22" ht="14.25" thickBot="1" x14ac:dyDescent="0.2">
      <c r="A1072" s="37" t="s">
        <v>17</v>
      </c>
      <c r="B1072" s="38">
        <f>SUM(B1046:B1071)</f>
        <v>12</v>
      </c>
      <c r="C1072" s="39">
        <f>SUM(C1046:C1071)</f>
        <v>3</v>
      </c>
      <c r="D1072" s="40">
        <f>SUM(D1046:D1071)</f>
        <v>3</v>
      </c>
      <c r="E1072" s="41">
        <f>SUM(B1072:D1072)</f>
        <v>18</v>
      </c>
      <c r="F1072" s="38">
        <f>SUM(F1046:F1071)</f>
        <v>1</v>
      </c>
      <c r="G1072" s="39">
        <f>SUM(G1046:G1071)</f>
        <v>4</v>
      </c>
      <c r="H1072" s="40">
        <f>SUM(H1046:H1071)</f>
        <v>9</v>
      </c>
      <c r="I1072" s="41">
        <f>SUM(F1072:H1072)</f>
        <v>14</v>
      </c>
      <c r="J1072" s="42">
        <f t="shared" si="836"/>
        <v>32</v>
      </c>
      <c r="L1072" s="37" t="s">
        <v>17</v>
      </c>
      <c r="M1072" s="38">
        <f>SUM(M1046:M1071)</f>
        <v>261</v>
      </c>
      <c r="N1072" s="39">
        <f>SUM(N1046:N1071)</f>
        <v>191</v>
      </c>
      <c r="O1072" s="40">
        <f>SUM(O1046:O1071)</f>
        <v>131</v>
      </c>
      <c r="P1072" s="41">
        <f>SUM(M1072:O1072)</f>
        <v>583</v>
      </c>
      <c r="Q1072" s="38">
        <f>SUM(Q1046:Q1071)</f>
        <v>65</v>
      </c>
      <c r="R1072" s="39">
        <f>SUM(R1046:R1071)</f>
        <v>124</v>
      </c>
      <c r="S1072" s="40">
        <f>SUM(S1046:S1071)</f>
        <v>71</v>
      </c>
      <c r="T1072" s="41">
        <f>SUM(Q1072:S1072)</f>
        <v>260</v>
      </c>
      <c r="U1072" s="42">
        <f t="shared" si="839"/>
        <v>843</v>
      </c>
    </row>
    <row r="1073" spans="1:22" ht="14.25" thickBot="1" x14ac:dyDescent="0.2">
      <c r="A1073" s="20" t="s">
        <v>18</v>
      </c>
      <c r="B1073" s="63">
        <f>B1045-B1072</f>
        <v>6</v>
      </c>
      <c r="C1073" s="64">
        <f t="shared" ref="C1073:E1073" si="843">C1045-C1072</f>
        <v>5</v>
      </c>
      <c r="D1073" s="65">
        <f t="shared" si="843"/>
        <v>7</v>
      </c>
      <c r="E1073" s="65">
        <f t="shared" si="843"/>
        <v>18</v>
      </c>
      <c r="F1073" s="63">
        <f>F1045-F1072</f>
        <v>5</v>
      </c>
      <c r="G1073" s="64">
        <f t="shared" ref="G1073:I1073" si="844">G1045-G1072</f>
        <v>7</v>
      </c>
      <c r="H1073" s="65">
        <f t="shared" si="844"/>
        <v>7</v>
      </c>
      <c r="I1073" s="65">
        <f t="shared" si="844"/>
        <v>19</v>
      </c>
      <c r="J1073" s="29">
        <f t="shared" si="836"/>
        <v>37</v>
      </c>
      <c r="L1073" s="112" t="s">
        <v>18</v>
      </c>
      <c r="M1073" s="63">
        <f>M1045-M1072</f>
        <v>334</v>
      </c>
      <c r="N1073" s="64">
        <f t="shared" ref="N1073:P1073" si="845">N1045-N1072</f>
        <v>605</v>
      </c>
      <c r="O1073" s="65">
        <f t="shared" si="845"/>
        <v>367</v>
      </c>
      <c r="P1073" s="65">
        <f t="shared" si="845"/>
        <v>1306</v>
      </c>
      <c r="Q1073" s="63">
        <f>Q1045-Q1072</f>
        <v>473</v>
      </c>
      <c r="R1073" s="64">
        <f t="shared" ref="R1073:T1073" si="846">R1045-R1072</f>
        <v>575</v>
      </c>
      <c r="S1073" s="65">
        <f t="shared" si="846"/>
        <v>431</v>
      </c>
      <c r="T1073" s="65">
        <f t="shared" si="846"/>
        <v>1479</v>
      </c>
      <c r="U1073" s="29">
        <f t="shared" si="839"/>
        <v>2785</v>
      </c>
      <c r="V1073" s="190" t="s">
        <v>582</v>
      </c>
    </row>
    <row r="1076" spans="1:22" ht="19.5" thickBot="1" x14ac:dyDescent="0.25">
      <c r="A1076" s="3" t="s">
        <v>209</v>
      </c>
      <c r="B1076" s="1"/>
      <c r="C1076" s="1"/>
      <c r="D1076" s="1"/>
      <c r="E1076" s="1"/>
      <c r="F1076" s="1"/>
      <c r="G1076" s="1"/>
      <c r="H1076" s="1"/>
      <c r="I1076" s="1"/>
      <c r="J1076" s="1"/>
      <c r="L1076" s="226" t="s">
        <v>208</v>
      </c>
      <c r="M1076" s="226"/>
      <c r="N1076" s="226"/>
      <c r="O1076" s="226"/>
      <c r="P1076" s="226"/>
      <c r="Q1076" s="1"/>
      <c r="R1076" s="1"/>
      <c r="S1076" s="1"/>
      <c r="T1076" s="1" t="s">
        <v>422</v>
      </c>
      <c r="U1076" s="1"/>
    </row>
    <row r="1077" spans="1:22" ht="14.25" thickBot="1" x14ac:dyDescent="0.2">
      <c r="A1077" s="8" t="s">
        <v>0</v>
      </c>
      <c r="B1077" s="227" t="s">
        <v>19</v>
      </c>
      <c r="C1077" s="228"/>
      <c r="D1077" s="228"/>
      <c r="E1077" s="229"/>
      <c r="F1077" s="230" t="s">
        <v>20</v>
      </c>
      <c r="G1077" s="231"/>
      <c r="H1077" s="231"/>
      <c r="I1077" s="232"/>
      <c r="J1077" s="233" t="s">
        <v>1</v>
      </c>
      <c r="L1077" s="8" t="s">
        <v>0</v>
      </c>
      <c r="M1077" s="235" t="s">
        <v>19</v>
      </c>
      <c r="N1077" s="236"/>
      <c r="O1077" s="236"/>
      <c r="P1077" s="237"/>
      <c r="Q1077" s="238" t="s">
        <v>20</v>
      </c>
      <c r="R1077" s="239"/>
      <c r="S1077" s="239"/>
      <c r="T1077" s="240"/>
      <c r="U1077" s="224" t="s">
        <v>1</v>
      </c>
    </row>
    <row r="1078" spans="1:22" ht="14.25" thickBot="1" x14ac:dyDescent="0.2">
      <c r="A1078" s="8" t="s">
        <v>2</v>
      </c>
      <c r="B1078" s="69" t="s">
        <v>3</v>
      </c>
      <c r="C1078" s="70" t="s">
        <v>4</v>
      </c>
      <c r="D1078" s="71" t="s">
        <v>5</v>
      </c>
      <c r="E1078" s="8" t="s">
        <v>6</v>
      </c>
      <c r="F1078" s="4" t="s">
        <v>3</v>
      </c>
      <c r="G1078" s="5" t="s">
        <v>4</v>
      </c>
      <c r="H1078" s="6" t="s">
        <v>5</v>
      </c>
      <c r="I1078" s="8" t="s">
        <v>6</v>
      </c>
      <c r="J1078" s="234"/>
      <c r="L1078" s="8" t="s">
        <v>2</v>
      </c>
      <c r="M1078" s="69" t="s">
        <v>3</v>
      </c>
      <c r="N1078" s="70" t="s">
        <v>4</v>
      </c>
      <c r="O1078" s="71" t="s">
        <v>5</v>
      </c>
      <c r="P1078" s="8" t="s">
        <v>6</v>
      </c>
      <c r="Q1078" s="4" t="s">
        <v>3</v>
      </c>
      <c r="R1078" s="5" t="s">
        <v>4</v>
      </c>
      <c r="S1078" s="6" t="s">
        <v>5</v>
      </c>
      <c r="T1078" s="8" t="s">
        <v>6</v>
      </c>
      <c r="U1078" s="225"/>
    </row>
    <row r="1079" spans="1:22" ht="14.25" thickBot="1" x14ac:dyDescent="0.2">
      <c r="A1079" s="25" t="s">
        <v>18</v>
      </c>
      <c r="B1079" s="26">
        <f>B1073</f>
        <v>6</v>
      </c>
      <c r="C1079" s="27">
        <f t="shared" ref="C1079:D1079" si="847">C1073</f>
        <v>5</v>
      </c>
      <c r="D1079" s="49">
        <f t="shared" si="847"/>
        <v>7</v>
      </c>
      <c r="E1079" s="68">
        <f t="shared" ref="E1079:E1087" si="848">SUM(B1079:D1079)</f>
        <v>18</v>
      </c>
      <c r="F1079" s="26">
        <f>F1073</f>
        <v>5</v>
      </c>
      <c r="G1079" s="27">
        <f t="shared" ref="G1079:H1079" si="849">G1073</f>
        <v>7</v>
      </c>
      <c r="H1079" s="49">
        <f t="shared" si="849"/>
        <v>7</v>
      </c>
      <c r="I1079" s="33">
        <f t="shared" ref="I1079:I1087" si="850">SUM(F1079:H1079)</f>
        <v>19</v>
      </c>
      <c r="J1079" s="33">
        <f>E1079+I1079</f>
        <v>37</v>
      </c>
      <c r="L1079" s="25" t="s">
        <v>18</v>
      </c>
      <c r="M1079" s="26">
        <f>M1073</f>
        <v>334</v>
      </c>
      <c r="N1079" s="27">
        <f t="shared" ref="N1079:O1079" si="851">N1073</f>
        <v>605</v>
      </c>
      <c r="O1079" s="49">
        <f t="shared" si="851"/>
        <v>367</v>
      </c>
      <c r="P1079" s="107">
        <f t="shared" ref="P1079:P1087" si="852">SUM(M1079:O1079)</f>
        <v>1306</v>
      </c>
      <c r="Q1079" s="26">
        <f>Q1073</f>
        <v>473</v>
      </c>
      <c r="R1079" s="27">
        <f t="shared" ref="R1079:S1079" si="853">R1073</f>
        <v>575</v>
      </c>
      <c r="S1079" s="49">
        <f t="shared" si="853"/>
        <v>431</v>
      </c>
      <c r="T1079" s="29">
        <f t="shared" ref="T1079:T1087" si="854">SUM(Q1079:S1079)</f>
        <v>1479</v>
      </c>
      <c r="U1079" s="29">
        <f>P1079+T1079</f>
        <v>2785</v>
      </c>
    </row>
    <row r="1080" spans="1:22" x14ac:dyDescent="0.15">
      <c r="A1080" s="23" t="s">
        <v>8</v>
      </c>
      <c r="B1080" s="47">
        <v>24</v>
      </c>
      <c r="C1080" s="48"/>
      <c r="D1080" s="72"/>
      <c r="E1080" s="42">
        <f t="shared" si="848"/>
        <v>24</v>
      </c>
      <c r="F1080" s="38">
        <v>8</v>
      </c>
      <c r="G1080" s="39">
        <v>4</v>
      </c>
      <c r="H1080" s="40"/>
      <c r="I1080" s="66">
        <f t="shared" si="850"/>
        <v>12</v>
      </c>
      <c r="J1080" s="57">
        <f t="shared" ref="J1080:J1087" si="855">E1080+I1080</f>
        <v>36</v>
      </c>
      <c r="K1080" s="90">
        <v>46127</v>
      </c>
      <c r="L1080" s="23" t="s">
        <v>8</v>
      </c>
      <c r="M1080" s="16"/>
      <c r="N1080" s="17"/>
      <c r="O1080" s="43"/>
      <c r="P1080" s="94">
        <f t="shared" si="852"/>
        <v>0</v>
      </c>
      <c r="Q1080" s="16"/>
      <c r="R1080" s="17"/>
      <c r="S1080" s="43"/>
      <c r="T1080" s="94">
        <f t="shared" si="854"/>
        <v>0</v>
      </c>
      <c r="U1080" s="94">
        <f t="shared" ref="U1080:U1087" si="856">P1080+T1080</f>
        <v>0</v>
      </c>
    </row>
    <row r="1081" spans="1:22" x14ac:dyDescent="0.15">
      <c r="A1081" s="23" t="s">
        <v>9</v>
      </c>
      <c r="B1081" s="9"/>
      <c r="C1081" s="10">
        <v>5</v>
      </c>
      <c r="D1081" s="44"/>
      <c r="E1081" s="12">
        <f t="shared" si="848"/>
        <v>5</v>
      </c>
      <c r="F1081" s="9"/>
      <c r="G1081" s="10"/>
      <c r="H1081" s="44"/>
      <c r="I1081" s="12">
        <f t="shared" si="850"/>
        <v>0</v>
      </c>
      <c r="J1081" s="12">
        <f t="shared" si="855"/>
        <v>5</v>
      </c>
      <c r="K1081" s="90">
        <v>46130</v>
      </c>
      <c r="L1081" s="23" t="s">
        <v>9</v>
      </c>
      <c r="M1081" s="9"/>
      <c r="N1081" s="10"/>
      <c r="O1081" s="44"/>
      <c r="P1081" s="12">
        <f t="shared" si="852"/>
        <v>0</v>
      </c>
      <c r="Q1081" s="9"/>
      <c r="R1081" s="10"/>
      <c r="S1081" s="44"/>
      <c r="T1081" s="12">
        <f t="shared" si="854"/>
        <v>0</v>
      </c>
      <c r="U1081" s="12">
        <f t="shared" si="856"/>
        <v>0</v>
      </c>
    </row>
    <row r="1082" spans="1:22" x14ac:dyDescent="0.15">
      <c r="A1082" s="23" t="s">
        <v>10</v>
      </c>
      <c r="B1082" s="16">
        <v>5</v>
      </c>
      <c r="C1082" s="17">
        <v>5</v>
      </c>
      <c r="D1082" s="43"/>
      <c r="E1082" s="12">
        <f t="shared" si="848"/>
        <v>10</v>
      </c>
      <c r="F1082" s="16">
        <v>10</v>
      </c>
      <c r="G1082" s="17">
        <v>5</v>
      </c>
      <c r="H1082" s="43"/>
      <c r="I1082" s="12">
        <f t="shared" si="850"/>
        <v>15</v>
      </c>
      <c r="J1082" s="12">
        <f t="shared" si="855"/>
        <v>25</v>
      </c>
      <c r="K1082" s="90">
        <v>46142</v>
      </c>
      <c r="L1082" s="23" t="s">
        <v>109</v>
      </c>
      <c r="M1082" s="9">
        <v>400</v>
      </c>
      <c r="N1082" s="10">
        <v>300</v>
      </c>
      <c r="O1082" s="44">
        <v>300</v>
      </c>
      <c r="P1082" s="12">
        <f t="shared" si="852"/>
        <v>1000</v>
      </c>
      <c r="Q1082" s="9">
        <v>400</v>
      </c>
      <c r="R1082" s="10">
        <v>400</v>
      </c>
      <c r="S1082" s="44">
        <v>200</v>
      </c>
      <c r="T1082" s="12">
        <f t="shared" si="854"/>
        <v>1000</v>
      </c>
      <c r="U1082" s="12">
        <f t="shared" si="856"/>
        <v>2000</v>
      </c>
      <c r="V1082" s="90" t="s">
        <v>604</v>
      </c>
    </row>
    <row r="1083" spans="1:22" x14ac:dyDescent="0.15">
      <c r="A1083" s="123" t="s">
        <v>11</v>
      </c>
      <c r="B1083" s="177"/>
      <c r="C1083" s="178">
        <v>5</v>
      </c>
      <c r="D1083" s="179">
        <v>5</v>
      </c>
      <c r="E1083" s="127">
        <f t="shared" si="848"/>
        <v>10</v>
      </c>
      <c r="F1083" s="177">
        <v>5</v>
      </c>
      <c r="G1083" s="178">
        <v>5</v>
      </c>
      <c r="H1083" s="179">
        <v>5</v>
      </c>
      <c r="I1083" s="127">
        <f t="shared" si="850"/>
        <v>15</v>
      </c>
      <c r="J1083" s="127">
        <f t="shared" si="855"/>
        <v>25</v>
      </c>
      <c r="K1083" s="128">
        <v>46155</v>
      </c>
      <c r="L1083" s="23" t="s">
        <v>11</v>
      </c>
      <c r="M1083" s="9"/>
      <c r="N1083" s="10"/>
      <c r="O1083" s="44"/>
      <c r="P1083" s="12">
        <f t="shared" si="852"/>
        <v>0</v>
      </c>
      <c r="Q1083" s="9"/>
      <c r="R1083" s="10"/>
      <c r="S1083" s="44"/>
      <c r="T1083" s="12">
        <f t="shared" si="854"/>
        <v>0</v>
      </c>
      <c r="U1083" s="12">
        <f t="shared" si="856"/>
        <v>0</v>
      </c>
      <c r="V1083" s="164"/>
    </row>
    <row r="1084" spans="1:22" x14ac:dyDescent="0.15">
      <c r="A1084" s="23" t="s">
        <v>92</v>
      </c>
      <c r="B1084" s="9">
        <v>1</v>
      </c>
      <c r="C1084" s="10">
        <v>2</v>
      </c>
      <c r="D1084" s="44">
        <v>7</v>
      </c>
      <c r="E1084" s="12">
        <f t="shared" si="848"/>
        <v>10</v>
      </c>
      <c r="F1084" s="9"/>
      <c r="G1084" s="10">
        <v>1</v>
      </c>
      <c r="H1084" s="44">
        <v>1</v>
      </c>
      <c r="I1084" s="67">
        <f t="shared" si="850"/>
        <v>2</v>
      </c>
      <c r="J1084" s="12">
        <f t="shared" si="855"/>
        <v>12</v>
      </c>
      <c r="K1084" s="108">
        <v>46155</v>
      </c>
      <c r="L1084" s="23" t="s">
        <v>12</v>
      </c>
      <c r="M1084" s="16"/>
      <c r="N1084" s="17"/>
      <c r="O1084" s="43"/>
      <c r="P1084" s="94">
        <f t="shared" si="852"/>
        <v>0</v>
      </c>
      <c r="Q1084" s="16"/>
      <c r="R1084" s="17"/>
      <c r="S1084" s="43"/>
      <c r="T1084" s="94">
        <f t="shared" si="854"/>
        <v>0</v>
      </c>
      <c r="U1084" s="94">
        <f t="shared" si="856"/>
        <v>0</v>
      </c>
    </row>
    <row r="1085" spans="1:22" x14ac:dyDescent="0.15">
      <c r="A1085" s="23" t="s">
        <v>13</v>
      </c>
      <c r="B1085" s="9"/>
      <c r="C1085" s="10"/>
      <c r="D1085" s="44"/>
      <c r="E1085" s="12">
        <f t="shared" si="848"/>
        <v>0</v>
      </c>
      <c r="F1085" s="9"/>
      <c r="G1085" s="10"/>
      <c r="H1085" s="44"/>
      <c r="I1085" s="67">
        <f t="shared" si="850"/>
        <v>0</v>
      </c>
      <c r="J1085" s="12">
        <f t="shared" si="855"/>
        <v>0</v>
      </c>
      <c r="L1085" s="23" t="s">
        <v>13</v>
      </c>
      <c r="M1085" s="9"/>
      <c r="N1085" s="10"/>
      <c r="O1085" s="44"/>
      <c r="P1085" s="12">
        <f t="shared" si="852"/>
        <v>0</v>
      </c>
      <c r="Q1085" s="9"/>
      <c r="R1085" s="10"/>
      <c r="S1085" s="44"/>
      <c r="T1085" s="67">
        <f t="shared" si="854"/>
        <v>0</v>
      </c>
      <c r="U1085" s="12">
        <f t="shared" si="856"/>
        <v>0</v>
      </c>
    </row>
    <row r="1086" spans="1:22" x14ac:dyDescent="0.15">
      <c r="A1086" s="23" t="s">
        <v>14</v>
      </c>
      <c r="B1086" s="13"/>
      <c r="C1086" s="14"/>
      <c r="D1086" s="45"/>
      <c r="E1086" s="12">
        <f t="shared" si="848"/>
        <v>0</v>
      </c>
      <c r="F1086" s="13"/>
      <c r="G1086" s="14"/>
      <c r="H1086" s="45"/>
      <c r="I1086" s="67">
        <f t="shared" si="850"/>
        <v>0</v>
      </c>
      <c r="J1086" s="12">
        <f t="shared" si="855"/>
        <v>0</v>
      </c>
      <c r="L1086" s="23" t="s">
        <v>14</v>
      </c>
      <c r="M1086" s="13"/>
      <c r="N1086" s="14"/>
      <c r="O1086" s="45"/>
      <c r="P1086" s="12">
        <f t="shared" si="852"/>
        <v>0</v>
      </c>
      <c r="Q1086" s="13"/>
      <c r="R1086" s="14"/>
      <c r="S1086" s="45"/>
      <c r="T1086" s="67">
        <f t="shared" si="854"/>
        <v>0</v>
      </c>
      <c r="U1086" s="12">
        <f t="shared" si="856"/>
        <v>0</v>
      </c>
    </row>
    <row r="1087" spans="1:22" ht="14.25" thickBot="1" x14ac:dyDescent="0.2">
      <c r="A1087" s="23" t="s">
        <v>15</v>
      </c>
      <c r="B1087" s="30"/>
      <c r="C1087" s="31"/>
      <c r="D1087" s="46"/>
      <c r="E1087" s="12">
        <f t="shared" si="848"/>
        <v>0</v>
      </c>
      <c r="F1087" s="30"/>
      <c r="G1087" s="31"/>
      <c r="H1087" s="46"/>
      <c r="I1087" s="67">
        <f t="shared" si="850"/>
        <v>0</v>
      </c>
      <c r="J1087" s="19">
        <f t="shared" si="855"/>
        <v>0</v>
      </c>
      <c r="L1087" s="23" t="s">
        <v>15</v>
      </c>
      <c r="M1087" s="13"/>
      <c r="N1087" s="14"/>
      <c r="O1087" s="45"/>
      <c r="P1087" s="12">
        <f t="shared" si="852"/>
        <v>0</v>
      </c>
      <c r="Q1087" s="13"/>
      <c r="R1087" s="14"/>
      <c r="S1087" s="45"/>
      <c r="T1087" s="67">
        <f t="shared" si="854"/>
        <v>0</v>
      </c>
      <c r="U1087" s="12">
        <f t="shared" si="856"/>
        <v>0</v>
      </c>
    </row>
    <row r="1088" spans="1:22" ht="14.25" thickBot="1" x14ac:dyDescent="0.2">
      <c r="A1088" s="32" t="s">
        <v>16</v>
      </c>
      <c r="B1088" s="26">
        <f>SUM(B1079:B1087)</f>
        <v>36</v>
      </c>
      <c r="C1088" s="27">
        <f t="shared" ref="C1088:J1088" si="857">SUM(C1079:C1087)</f>
        <v>22</v>
      </c>
      <c r="D1088" s="49">
        <f t="shared" si="857"/>
        <v>19</v>
      </c>
      <c r="E1088" s="75">
        <f t="shared" si="857"/>
        <v>77</v>
      </c>
      <c r="F1088" s="26">
        <f t="shared" si="857"/>
        <v>28</v>
      </c>
      <c r="G1088" s="27">
        <f t="shared" si="857"/>
        <v>22</v>
      </c>
      <c r="H1088" s="49">
        <f t="shared" si="857"/>
        <v>13</v>
      </c>
      <c r="I1088" s="74">
        <f t="shared" si="857"/>
        <v>63</v>
      </c>
      <c r="J1088" s="29">
        <f t="shared" si="857"/>
        <v>140</v>
      </c>
      <c r="L1088" s="32" t="s">
        <v>16</v>
      </c>
      <c r="M1088" s="26">
        <f>SUM(M1079:M1087)</f>
        <v>734</v>
      </c>
      <c r="N1088" s="27">
        <f t="shared" ref="N1088:U1088" si="858">SUM(N1079:N1087)</f>
        <v>905</v>
      </c>
      <c r="O1088" s="49">
        <f t="shared" si="858"/>
        <v>667</v>
      </c>
      <c r="P1088" s="75">
        <f t="shared" si="858"/>
        <v>2306</v>
      </c>
      <c r="Q1088" s="26">
        <f t="shared" si="858"/>
        <v>873</v>
      </c>
      <c r="R1088" s="27">
        <f t="shared" si="858"/>
        <v>975</v>
      </c>
      <c r="S1088" s="49">
        <f t="shared" si="858"/>
        <v>631</v>
      </c>
      <c r="T1088" s="74">
        <f t="shared" si="858"/>
        <v>2479</v>
      </c>
      <c r="U1088" s="29">
        <f t="shared" si="858"/>
        <v>4785</v>
      </c>
    </row>
    <row r="1089" spans="1:23" x14ac:dyDescent="0.15">
      <c r="A1089" s="24" t="s">
        <v>611</v>
      </c>
      <c r="B1089" s="54">
        <v>22</v>
      </c>
      <c r="C1089" s="55">
        <v>2</v>
      </c>
      <c r="D1089" s="56">
        <v>2</v>
      </c>
      <c r="E1089" s="42">
        <f t="shared" ref="E1089:E1114" si="859">SUM(B1089:D1089)</f>
        <v>26</v>
      </c>
      <c r="F1089" s="54">
        <v>6</v>
      </c>
      <c r="G1089" s="55">
        <v>4</v>
      </c>
      <c r="H1089" s="56"/>
      <c r="I1089" s="66">
        <f t="shared" ref="I1089:I1114" si="860">SUM(F1089:H1089)</f>
        <v>10</v>
      </c>
      <c r="J1089" s="57">
        <f t="shared" ref="J1089:J1116" si="861">E1089+I1089</f>
        <v>36</v>
      </c>
      <c r="K1089" s="90">
        <v>46129</v>
      </c>
      <c r="L1089" s="22" t="s">
        <v>605</v>
      </c>
      <c r="M1089" s="54">
        <v>175</v>
      </c>
      <c r="N1089" s="55">
        <v>275</v>
      </c>
      <c r="O1089" s="56">
        <v>125</v>
      </c>
      <c r="P1089" s="42">
        <f t="shared" ref="P1089:P1114" si="862">SUM(M1089:O1089)</f>
        <v>575</v>
      </c>
      <c r="Q1089" s="152">
        <v>175</v>
      </c>
      <c r="R1089" s="55">
        <v>275</v>
      </c>
      <c r="S1089" s="56">
        <v>125</v>
      </c>
      <c r="T1089" s="42">
        <f t="shared" ref="T1089:T1114" si="863">SUM(Q1089:S1089)</f>
        <v>575</v>
      </c>
      <c r="U1089" s="57">
        <f t="shared" ref="U1089:U1116" si="864">P1089+T1089</f>
        <v>1150</v>
      </c>
      <c r="V1089" s="90">
        <v>46120</v>
      </c>
    </row>
    <row r="1090" spans="1:23" x14ac:dyDescent="0.15">
      <c r="A1090" s="24" t="s">
        <v>45</v>
      </c>
      <c r="B1090" s="16"/>
      <c r="C1090" s="17">
        <v>1</v>
      </c>
      <c r="D1090" s="18"/>
      <c r="E1090" s="12">
        <f t="shared" si="859"/>
        <v>1</v>
      </c>
      <c r="F1090" s="16"/>
      <c r="G1090" s="17"/>
      <c r="H1090" s="18"/>
      <c r="I1090" s="67">
        <f t="shared" si="860"/>
        <v>0</v>
      </c>
      <c r="J1090" s="12">
        <f t="shared" si="861"/>
        <v>1</v>
      </c>
      <c r="K1090" s="90">
        <v>46127</v>
      </c>
      <c r="L1090" s="22" t="s">
        <v>607</v>
      </c>
      <c r="M1090" s="16">
        <v>200</v>
      </c>
      <c r="N1090" s="17">
        <v>120</v>
      </c>
      <c r="O1090" s="18">
        <v>40</v>
      </c>
      <c r="P1090" s="12">
        <f t="shared" si="862"/>
        <v>360</v>
      </c>
      <c r="Q1090" s="153">
        <v>200</v>
      </c>
      <c r="R1090" s="17">
        <v>120</v>
      </c>
      <c r="S1090" s="18">
        <v>40</v>
      </c>
      <c r="T1090" s="12">
        <f t="shared" si="863"/>
        <v>360</v>
      </c>
      <c r="U1090" s="12">
        <f t="shared" si="864"/>
        <v>720</v>
      </c>
      <c r="V1090" s="90">
        <v>46121</v>
      </c>
    </row>
    <row r="1091" spans="1:23" x14ac:dyDescent="0.15">
      <c r="A1091" s="24" t="s">
        <v>45</v>
      </c>
      <c r="B1091" s="9"/>
      <c r="C1091" s="10">
        <v>1</v>
      </c>
      <c r="D1091" s="11"/>
      <c r="E1091" s="12">
        <f t="shared" si="859"/>
        <v>1</v>
      </c>
      <c r="F1091" s="9"/>
      <c r="G1091" s="10"/>
      <c r="H1091" s="11">
        <v>3</v>
      </c>
      <c r="I1091" s="67">
        <f t="shared" si="860"/>
        <v>3</v>
      </c>
      <c r="J1091" s="12">
        <f t="shared" si="861"/>
        <v>4</v>
      </c>
      <c r="K1091" s="90">
        <v>46129</v>
      </c>
      <c r="L1091" s="21" t="s">
        <v>608</v>
      </c>
      <c r="M1091" s="9">
        <v>12</v>
      </c>
      <c r="N1091" s="10">
        <v>12</v>
      </c>
      <c r="O1091" s="11">
        <v>12</v>
      </c>
      <c r="P1091" s="12">
        <f t="shared" si="862"/>
        <v>36</v>
      </c>
      <c r="Q1091" s="105">
        <v>12</v>
      </c>
      <c r="R1091" s="10">
        <v>12</v>
      </c>
      <c r="S1091" s="11">
        <v>12</v>
      </c>
      <c r="T1091" s="12">
        <f t="shared" si="863"/>
        <v>36</v>
      </c>
      <c r="U1091" s="12">
        <f t="shared" si="864"/>
        <v>72</v>
      </c>
      <c r="V1091" s="90">
        <v>46121</v>
      </c>
    </row>
    <row r="1092" spans="1:23" x14ac:dyDescent="0.15">
      <c r="A1092" s="24" t="s">
        <v>45</v>
      </c>
      <c r="B1092" s="9"/>
      <c r="C1092" s="10"/>
      <c r="D1092" s="11"/>
      <c r="E1092" s="12">
        <f t="shared" si="859"/>
        <v>0</v>
      </c>
      <c r="F1092" s="9">
        <v>2</v>
      </c>
      <c r="G1092" s="10"/>
      <c r="H1092" s="11"/>
      <c r="I1092" s="67">
        <f t="shared" si="860"/>
        <v>2</v>
      </c>
      <c r="J1092" s="12">
        <f t="shared" si="861"/>
        <v>2</v>
      </c>
      <c r="K1092" s="108">
        <v>46132</v>
      </c>
      <c r="L1092" s="22" t="s">
        <v>609</v>
      </c>
      <c r="M1092" s="9"/>
      <c r="N1092" s="10"/>
      <c r="O1092" s="11"/>
      <c r="P1092" s="12">
        <f t="shared" si="862"/>
        <v>0</v>
      </c>
      <c r="Q1092" s="105">
        <v>3</v>
      </c>
      <c r="R1092" s="10"/>
      <c r="S1092" s="11"/>
      <c r="T1092" s="12">
        <f t="shared" si="863"/>
        <v>3</v>
      </c>
      <c r="U1092" s="12">
        <f t="shared" si="864"/>
        <v>3</v>
      </c>
      <c r="V1092" s="90">
        <v>46121</v>
      </c>
      <c r="W1092" s="50"/>
    </row>
    <row r="1093" spans="1:23" x14ac:dyDescent="0.15">
      <c r="A1093" s="24" t="s">
        <v>45</v>
      </c>
      <c r="B1093" s="9"/>
      <c r="C1093" s="10"/>
      <c r="D1093" s="11"/>
      <c r="E1093" s="12">
        <f t="shared" si="859"/>
        <v>0</v>
      </c>
      <c r="F1093" s="9"/>
      <c r="G1093" s="10">
        <v>1</v>
      </c>
      <c r="H1093" s="11"/>
      <c r="I1093" s="67">
        <f t="shared" si="860"/>
        <v>1</v>
      </c>
      <c r="J1093" s="12">
        <f t="shared" si="861"/>
        <v>1</v>
      </c>
      <c r="K1093" s="108">
        <v>46133</v>
      </c>
      <c r="L1093" s="22" t="s">
        <v>610</v>
      </c>
      <c r="M1093" s="9"/>
      <c r="N1093" s="10">
        <v>25</v>
      </c>
      <c r="O1093" s="11">
        <v>20</v>
      </c>
      <c r="P1093" s="12">
        <f t="shared" si="862"/>
        <v>45</v>
      </c>
      <c r="Q1093" s="105">
        <v>25</v>
      </c>
      <c r="R1093" s="10"/>
      <c r="S1093" s="11">
        <v>25</v>
      </c>
      <c r="T1093" s="12">
        <f t="shared" si="863"/>
        <v>50</v>
      </c>
      <c r="U1093" s="12">
        <f t="shared" si="864"/>
        <v>95</v>
      </c>
      <c r="V1093" s="90">
        <v>46127</v>
      </c>
    </row>
    <row r="1094" spans="1:23" x14ac:dyDescent="0.15">
      <c r="A1094" s="24" t="s">
        <v>45</v>
      </c>
      <c r="B1094" s="9"/>
      <c r="C1094" s="10">
        <v>1</v>
      </c>
      <c r="D1094" s="11"/>
      <c r="E1094" s="12">
        <f t="shared" si="859"/>
        <v>1</v>
      </c>
      <c r="F1094" s="9">
        <v>2</v>
      </c>
      <c r="G1094" s="10">
        <v>1</v>
      </c>
      <c r="H1094" s="11"/>
      <c r="I1094" s="67">
        <f t="shared" si="860"/>
        <v>3</v>
      </c>
      <c r="J1094" s="12">
        <f t="shared" si="861"/>
        <v>4</v>
      </c>
      <c r="K1094" s="90">
        <v>46139</v>
      </c>
      <c r="L1094" s="180" t="s">
        <v>612</v>
      </c>
      <c r="M1094" s="124">
        <v>24</v>
      </c>
      <c r="N1094" s="125"/>
      <c r="O1094" s="187"/>
      <c r="P1094" s="127">
        <f t="shared" si="862"/>
        <v>24</v>
      </c>
      <c r="Q1094" s="188">
        <v>8</v>
      </c>
      <c r="R1094" s="125">
        <v>4</v>
      </c>
      <c r="S1094" s="187"/>
      <c r="T1094" s="127">
        <f t="shared" si="863"/>
        <v>12</v>
      </c>
      <c r="U1094" s="127">
        <f t="shared" si="864"/>
        <v>36</v>
      </c>
      <c r="V1094" s="128">
        <v>46127</v>
      </c>
    </row>
    <row r="1095" spans="1:23" x14ac:dyDescent="0.15">
      <c r="A1095" s="24" t="s">
        <v>614</v>
      </c>
      <c r="B1095" s="9">
        <v>6</v>
      </c>
      <c r="C1095" s="10">
        <v>6</v>
      </c>
      <c r="D1095" s="11"/>
      <c r="E1095" s="12">
        <f t="shared" si="859"/>
        <v>12</v>
      </c>
      <c r="F1095" s="9">
        <v>6</v>
      </c>
      <c r="G1095" s="10">
        <v>6</v>
      </c>
      <c r="H1095" s="11"/>
      <c r="I1095" s="67">
        <f t="shared" si="860"/>
        <v>12</v>
      </c>
      <c r="J1095" s="12">
        <f t="shared" si="861"/>
        <v>24</v>
      </c>
      <c r="K1095" s="90">
        <v>46143</v>
      </c>
      <c r="L1095" s="180" t="s">
        <v>574</v>
      </c>
      <c r="M1095" s="124"/>
      <c r="N1095" s="125">
        <v>5</v>
      </c>
      <c r="O1095" s="187"/>
      <c r="P1095" s="127">
        <f t="shared" si="862"/>
        <v>5</v>
      </c>
      <c r="Q1095" s="188"/>
      <c r="R1095" s="125"/>
      <c r="S1095" s="187"/>
      <c r="T1095" s="127">
        <f t="shared" si="863"/>
        <v>0</v>
      </c>
      <c r="U1095" s="127">
        <f t="shared" si="864"/>
        <v>5</v>
      </c>
      <c r="V1095" s="128">
        <v>46130</v>
      </c>
    </row>
    <row r="1096" spans="1:23" x14ac:dyDescent="0.15">
      <c r="A1096" s="24" t="s">
        <v>45</v>
      </c>
      <c r="B1096" s="9"/>
      <c r="C1096" s="10">
        <v>2</v>
      </c>
      <c r="D1096" s="11"/>
      <c r="E1096" s="12">
        <f t="shared" si="859"/>
        <v>2</v>
      </c>
      <c r="F1096" s="9"/>
      <c r="G1096" s="10">
        <v>2</v>
      </c>
      <c r="H1096" s="11"/>
      <c r="I1096" s="67">
        <f t="shared" si="860"/>
        <v>2</v>
      </c>
      <c r="J1096" s="12">
        <f t="shared" si="861"/>
        <v>4</v>
      </c>
      <c r="K1096" s="108">
        <v>46149</v>
      </c>
      <c r="L1096" s="21" t="s">
        <v>613</v>
      </c>
      <c r="M1096" s="9">
        <v>10</v>
      </c>
      <c r="N1096" s="10">
        <v>14</v>
      </c>
      <c r="O1096" s="11">
        <v>2</v>
      </c>
      <c r="P1096" s="12">
        <f t="shared" si="862"/>
        <v>26</v>
      </c>
      <c r="Q1096" s="105">
        <v>2</v>
      </c>
      <c r="R1096" s="10">
        <v>10</v>
      </c>
      <c r="S1096" s="11"/>
      <c r="T1096" s="12">
        <f t="shared" si="863"/>
        <v>12</v>
      </c>
      <c r="U1096" s="12">
        <f t="shared" si="864"/>
        <v>38</v>
      </c>
      <c r="V1096" s="90">
        <v>46135</v>
      </c>
    </row>
    <row r="1097" spans="1:23" x14ac:dyDescent="0.15">
      <c r="A1097" s="24" t="s">
        <v>625</v>
      </c>
      <c r="B1097" s="9"/>
      <c r="C1097" s="10">
        <v>2</v>
      </c>
      <c r="D1097" s="11">
        <v>4</v>
      </c>
      <c r="E1097" s="12">
        <f t="shared" si="859"/>
        <v>6</v>
      </c>
      <c r="F1097" s="9">
        <v>6</v>
      </c>
      <c r="G1097" s="10">
        <v>2</v>
      </c>
      <c r="H1097" s="11">
        <v>4</v>
      </c>
      <c r="I1097" s="67">
        <f t="shared" si="860"/>
        <v>12</v>
      </c>
      <c r="J1097" s="12">
        <f t="shared" si="861"/>
        <v>18</v>
      </c>
      <c r="K1097" s="90">
        <v>46157</v>
      </c>
      <c r="L1097" s="24" t="s">
        <v>574</v>
      </c>
      <c r="M1097" s="9">
        <v>5</v>
      </c>
      <c r="N1097" s="10">
        <v>5</v>
      </c>
      <c r="O1097" s="11"/>
      <c r="P1097" s="12">
        <f t="shared" si="862"/>
        <v>10</v>
      </c>
      <c r="Q1097" s="105">
        <v>10</v>
      </c>
      <c r="R1097" s="10">
        <v>5</v>
      </c>
      <c r="S1097" s="11"/>
      <c r="T1097" s="12">
        <f t="shared" si="863"/>
        <v>15</v>
      </c>
      <c r="U1097" s="12">
        <f t="shared" si="864"/>
        <v>25</v>
      </c>
      <c r="V1097" s="90">
        <v>46142</v>
      </c>
    </row>
    <row r="1098" spans="1:23" x14ac:dyDescent="0.15">
      <c r="A1098" s="24"/>
      <c r="B1098" s="13"/>
      <c r="C1098" s="14"/>
      <c r="D1098" s="15"/>
      <c r="E1098" s="12">
        <f t="shared" si="859"/>
        <v>0</v>
      </c>
      <c r="F1098" s="13"/>
      <c r="G1098" s="14"/>
      <c r="H1098" s="15"/>
      <c r="I1098" s="67">
        <f t="shared" si="860"/>
        <v>0</v>
      </c>
      <c r="J1098" s="12">
        <f t="shared" si="861"/>
        <v>0</v>
      </c>
      <c r="L1098" s="22" t="s">
        <v>615</v>
      </c>
      <c r="M1098" s="13"/>
      <c r="N1098" s="14">
        <v>40</v>
      </c>
      <c r="O1098" s="15">
        <v>50</v>
      </c>
      <c r="P1098" s="12">
        <f t="shared" si="862"/>
        <v>90</v>
      </c>
      <c r="Q1098" s="154">
        <v>30</v>
      </c>
      <c r="R1098" s="14">
        <v>40</v>
      </c>
      <c r="S1098" s="15"/>
      <c r="T1098" s="12">
        <f t="shared" si="863"/>
        <v>70</v>
      </c>
      <c r="U1098" s="12">
        <f t="shared" si="864"/>
        <v>160</v>
      </c>
      <c r="V1098" s="90">
        <v>46143</v>
      </c>
    </row>
    <row r="1099" spans="1:23" x14ac:dyDescent="0.15">
      <c r="A1099" s="24"/>
      <c r="B1099" s="9"/>
      <c r="C1099" s="10"/>
      <c r="D1099" s="11"/>
      <c r="E1099" s="12">
        <f t="shared" si="859"/>
        <v>0</v>
      </c>
      <c r="F1099" s="9"/>
      <c r="G1099" s="10"/>
      <c r="H1099" s="11"/>
      <c r="I1099" s="67">
        <f t="shared" si="860"/>
        <v>0</v>
      </c>
      <c r="J1099" s="12">
        <f t="shared" si="861"/>
        <v>0</v>
      </c>
      <c r="L1099" s="180" t="s">
        <v>574</v>
      </c>
      <c r="M1099" s="124"/>
      <c r="N1099" s="125">
        <v>5</v>
      </c>
      <c r="O1099" s="187">
        <v>5</v>
      </c>
      <c r="P1099" s="127">
        <f t="shared" si="862"/>
        <v>10</v>
      </c>
      <c r="Q1099" s="188">
        <v>5</v>
      </c>
      <c r="R1099" s="125">
        <v>5</v>
      </c>
      <c r="S1099" s="187">
        <v>5</v>
      </c>
      <c r="T1099" s="127">
        <f t="shared" si="863"/>
        <v>15</v>
      </c>
      <c r="U1099" s="127">
        <f t="shared" si="864"/>
        <v>25</v>
      </c>
      <c r="V1099" s="128">
        <v>46155</v>
      </c>
    </row>
    <row r="1100" spans="1:23" x14ac:dyDescent="0.15">
      <c r="A1100" s="24"/>
      <c r="B1100" s="9"/>
      <c r="C1100" s="10"/>
      <c r="D1100" s="11"/>
      <c r="E1100" s="12">
        <f t="shared" si="859"/>
        <v>0</v>
      </c>
      <c r="F1100" s="9"/>
      <c r="G1100" s="10"/>
      <c r="H1100" s="11"/>
      <c r="I1100" s="67">
        <f t="shared" si="860"/>
        <v>0</v>
      </c>
      <c r="J1100" s="12">
        <f t="shared" si="861"/>
        <v>0</v>
      </c>
      <c r="L1100" s="24"/>
      <c r="M1100" s="9"/>
      <c r="N1100" s="10"/>
      <c r="O1100" s="11"/>
      <c r="P1100" s="12">
        <f t="shared" si="862"/>
        <v>0</v>
      </c>
      <c r="Q1100" s="105"/>
      <c r="R1100" s="10"/>
      <c r="S1100" s="11"/>
      <c r="T1100" s="12">
        <f t="shared" si="863"/>
        <v>0</v>
      </c>
      <c r="U1100" s="12">
        <f t="shared" si="864"/>
        <v>0</v>
      </c>
    </row>
    <row r="1101" spans="1:23" x14ac:dyDescent="0.15">
      <c r="A1101" s="22"/>
      <c r="B1101" s="9"/>
      <c r="C1101" s="10"/>
      <c r="D1101" s="11"/>
      <c r="E1101" s="12">
        <f t="shared" si="859"/>
        <v>0</v>
      </c>
      <c r="F1101" s="9"/>
      <c r="G1101" s="10"/>
      <c r="H1101" s="11"/>
      <c r="I1101" s="67">
        <f t="shared" si="860"/>
        <v>0</v>
      </c>
      <c r="J1101" s="12">
        <f t="shared" si="861"/>
        <v>0</v>
      </c>
      <c r="L1101" s="22"/>
      <c r="M1101" s="9"/>
      <c r="N1101" s="10"/>
      <c r="O1101" s="11"/>
      <c r="P1101" s="12">
        <f t="shared" si="862"/>
        <v>0</v>
      </c>
      <c r="Q1101" s="105"/>
      <c r="R1101" s="10"/>
      <c r="S1101" s="11"/>
      <c r="T1101" s="12">
        <f t="shared" si="863"/>
        <v>0</v>
      </c>
      <c r="U1101" s="12">
        <f t="shared" si="864"/>
        <v>0</v>
      </c>
    </row>
    <row r="1102" spans="1:23" x14ac:dyDescent="0.15">
      <c r="A1102" s="24"/>
      <c r="B1102" s="9"/>
      <c r="C1102" s="10"/>
      <c r="D1102" s="11"/>
      <c r="E1102" s="12">
        <f t="shared" si="859"/>
        <v>0</v>
      </c>
      <c r="F1102" s="9"/>
      <c r="G1102" s="10"/>
      <c r="H1102" s="11"/>
      <c r="I1102" s="67">
        <f t="shared" si="860"/>
        <v>0</v>
      </c>
      <c r="J1102" s="12">
        <f t="shared" si="861"/>
        <v>0</v>
      </c>
      <c r="L1102" s="24"/>
      <c r="M1102" s="9"/>
      <c r="N1102" s="10"/>
      <c r="O1102" s="11"/>
      <c r="P1102" s="12">
        <f t="shared" si="862"/>
        <v>0</v>
      </c>
      <c r="Q1102" s="105"/>
      <c r="R1102" s="10"/>
      <c r="S1102" s="11"/>
      <c r="T1102" s="12">
        <f t="shared" si="863"/>
        <v>0</v>
      </c>
      <c r="U1102" s="12">
        <f t="shared" si="864"/>
        <v>0</v>
      </c>
    </row>
    <row r="1103" spans="1:23" x14ac:dyDescent="0.15">
      <c r="A1103" s="24"/>
      <c r="B1103" s="9"/>
      <c r="C1103" s="10"/>
      <c r="D1103" s="11"/>
      <c r="E1103" s="12">
        <f t="shared" si="859"/>
        <v>0</v>
      </c>
      <c r="F1103" s="9"/>
      <c r="G1103" s="10"/>
      <c r="H1103" s="11"/>
      <c r="I1103" s="67">
        <f t="shared" si="860"/>
        <v>0</v>
      </c>
      <c r="J1103" s="12">
        <f t="shared" si="861"/>
        <v>0</v>
      </c>
      <c r="L1103" s="24"/>
      <c r="M1103" s="9"/>
      <c r="N1103" s="10"/>
      <c r="O1103" s="11"/>
      <c r="P1103" s="12">
        <f t="shared" si="862"/>
        <v>0</v>
      </c>
      <c r="Q1103" s="105"/>
      <c r="R1103" s="10"/>
      <c r="S1103" s="11"/>
      <c r="T1103" s="12">
        <f t="shared" si="863"/>
        <v>0</v>
      </c>
      <c r="U1103" s="12">
        <f t="shared" si="864"/>
        <v>0</v>
      </c>
    </row>
    <row r="1104" spans="1:23" x14ac:dyDescent="0.15">
      <c r="A1104" s="22"/>
      <c r="B1104" s="9"/>
      <c r="C1104" s="10"/>
      <c r="D1104" s="11"/>
      <c r="E1104" s="12">
        <f t="shared" si="859"/>
        <v>0</v>
      </c>
      <c r="F1104" s="9"/>
      <c r="G1104" s="10"/>
      <c r="H1104" s="11"/>
      <c r="I1104" s="67">
        <f t="shared" si="860"/>
        <v>0</v>
      </c>
      <c r="J1104" s="12">
        <f t="shared" si="861"/>
        <v>0</v>
      </c>
      <c r="L1104" s="22"/>
      <c r="M1104" s="9"/>
      <c r="N1104" s="10"/>
      <c r="O1104" s="11"/>
      <c r="P1104" s="12">
        <f t="shared" si="862"/>
        <v>0</v>
      </c>
      <c r="Q1104" s="105"/>
      <c r="R1104" s="10"/>
      <c r="S1104" s="11"/>
      <c r="T1104" s="12">
        <f t="shared" si="863"/>
        <v>0</v>
      </c>
      <c r="U1104" s="12">
        <f t="shared" si="864"/>
        <v>0</v>
      </c>
    </row>
    <row r="1105" spans="1:22" x14ac:dyDescent="0.15">
      <c r="A1105" s="24"/>
      <c r="B1105" s="9"/>
      <c r="C1105" s="10"/>
      <c r="D1105" s="11"/>
      <c r="E1105" s="12">
        <f t="shared" si="859"/>
        <v>0</v>
      </c>
      <c r="F1105" s="9"/>
      <c r="G1105" s="10"/>
      <c r="H1105" s="11"/>
      <c r="I1105" s="67">
        <f t="shared" si="860"/>
        <v>0</v>
      </c>
      <c r="J1105" s="12">
        <f t="shared" si="861"/>
        <v>0</v>
      </c>
      <c r="L1105" s="24"/>
      <c r="M1105" s="9"/>
      <c r="N1105" s="10"/>
      <c r="O1105" s="11"/>
      <c r="P1105" s="12">
        <f t="shared" si="862"/>
        <v>0</v>
      </c>
      <c r="Q1105" s="105"/>
      <c r="R1105" s="10"/>
      <c r="S1105" s="11"/>
      <c r="T1105" s="12">
        <f t="shared" si="863"/>
        <v>0</v>
      </c>
      <c r="U1105" s="12">
        <f t="shared" si="864"/>
        <v>0</v>
      </c>
    </row>
    <row r="1106" spans="1:22" x14ac:dyDescent="0.15">
      <c r="A1106" s="24"/>
      <c r="B1106" s="9"/>
      <c r="C1106" s="10"/>
      <c r="D1106" s="11"/>
      <c r="E1106" s="12">
        <f t="shared" si="859"/>
        <v>0</v>
      </c>
      <c r="F1106" s="9"/>
      <c r="G1106" s="10"/>
      <c r="H1106" s="11"/>
      <c r="I1106" s="67">
        <f t="shared" si="860"/>
        <v>0</v>
      </c>
      <c r="J1106" s="12">
        <f t="shared" si="861"/>
        <v>0</v>
      </c>
      <c r="L1106" s="24"/>
      <c r="M1106" s="9"/>
      <c r="N1106" s="10"/>
      <c r="O1106" s="11"/>
      <c r="P1106" s="12">
        <f t="shared" si="862"/>
        <v>0</v>
      </c>
      <c r="Q1106" s="105"/>
      <c r="R1106" s="10"/>
      <c r="S1106" s="11"/>
      <c r="T1106" s="12">
        <f t="shared" si="863"/>
        <v>0</v>
      </c>
      <c r="U1106" s="12">
        <f t="shared" si="864"/>
        <v>0</v>
      </c>
    </row>
    <row r="1107" spans="1:22" x14ac:dyDescent="0.15">
      <c r="A1107" s="21"/>
      <c r="B1107" s="9"/>
      <c r="C1107" s="10"/>
      <c r="D1107" s="11"/>
      <c r="E1107" s="12">
        <f t="shared" si="859"/>
        <v>0</v>
      </c>
      <c r="F1107" s="9"/>
      <c r="G1107" s="10"/>
      <c r="H1107" s="11"/>
      <c r="I1107" s="67">
        <f t="shared" si="860"/>
        <v>0</v>
      </c>
      <c r="J1107" s="12">
        <f t="shared" si="861"/>
        <v>0</v>
      </c>
      <c r="L1107" s="21"/>
      <c r="M1107" s="9"/>
      <c r="N1107" s="10"/>
      <c r="O1107" s="11"/>
      <c r="P1107" s="12">
        <f t="shared" si="862"/>
        <v>0</v>
      </c>
      <c r="Q1107" s="105"/>
      <c r="R1107" s="10"/>
      <c r="S1107" s="11"/>
      <c r="T1107" s="12">
        <f t="shared" si="863"/>
        <v>0</v>
      </c>
      <c r="U1107" s="12">
        <f t="shared" si="864"/>
        <v>0</v>
      </c>
    </row>
    <row r="1108" spans="1:22" x14ac:dyDescent="0.15">
      <c r="A1108" s="21"/>
      <c r="B1108" s="9"/>
      <c r="C1108" s="10"/>
      <c r="D1108" s="11"/>
      <c r="E1108" s="12">
        <f t="shared" si="859"/>
        <v>0</v>
      </c>
      <c r="F1108" s="9"/>
      <c r="G1108" s="10"/>
      <c r="H1108" s="11"/>
      <c r="I1108" s="67">
        <f t="shared" si="860"/>
        <v>0</v>
      </c>
      <c r="J1108" s="12">
        <f t="shared" si="861"/>
        <v>0</v>
      </c>
      <c r="L1108" s="21"/>
      <c r="M1108" s="9"/>
      <c r="N1108" s="10"/>
      <c r="O1108" s="11"/>
      <c r="P1108" s="12">
        <f t="shared" ref="P1108" si="865">SUM(M1108:O1108)</f>
        <v>0</v>
      </c>
      <c r="Q1108" s="105"/>
      <c r="R1108" s="10"/>
      <c r="S1108" s="11"/>
      <c r="T1108" s="12">
        <f t="shared" ref="T1108" si="866">SUM(Q1108:S1108)</f>
        <v>0</v>
      </c>
      <c r="U1108" s="12">
        <f t="shared" ref="U1108" si="867">P1108+T1108</f>
        <v>0</v>
      </c>
    </row>
    <row r="1109" spans="1:22" x14ac:dyDescent="0.15">
      <c r="A1109" s="21"/>
      <c r="B1109" s="9"/>
      <c r="C1109" s="10"/>
      <c r="D1109" s="11"/>
      <c r="E1109" s="12">
        <f t="shared" si="859"/>
        <v>0</v>
      </c>
      <c r="F1109" s="9"/>
      <c r="G1109" s="10"/>
      <c r="H1109" s="11"/>
      <c r="I1109" s="67">
        <f t="shared" si="860"/>
        <v>0</v>
      </c>
      <c r="J1109" s="12">
        <f t="shared" si="861"/>
        <v>0</v>
      </c>
      <c r="L1109" s="21"/>
      <c r="M1109" s="9"/>
      <c r="N1109" s="10"/>
      <c r="O1109" s="11"/>
      <c r="P1109" s="12">
        <f t="shared" ref="P1109:P1112" si="868">SUM(M1109:O1109)</f>
        <v>0</v>
      </c>
      <c r="Q1109" s="105"/>
      <c r="R1109" s="10"/>
      <c r="S1109" s="11"/>
      <c r="T1109" s="12">
        <f t="shared" ref="T1109:T1112" si="869">SUM(Q1109:S1109)</f>
        <v>0</v>
      </c>
      <c r="U1109" s="12">
        <f t="shared" ref="U1109:U1112" si="870">P1109+T1109</f>
        <v>0</v>
      </c>
    </row>
    <row r="1110" spans="1:22" x14ac:dyDescent="0.15">
      <c r="A1110" s="24"/>
      <c r="B1110" s="13"/>
      <c r="C1110" s="14"/>
      <c r="D1110" s="15"/>
      <c r="E1110" s="12">
        <f t="shared" si="859"/>
        <v>0</v>
      </c>
      <c r="F1110" s="13"/>
      <c r="G1110" s="14"/>
      <c r="H1110" s="15"/>
      <c r="I1110" s="67">
        <f t="shared" si="860"/>
        <v>0</v>
      </c>
      <c r="J1110" s="12">
        <f t="shared" si="861"/>
        <v>0</v>
      </c>
      <c r="L1110" s="133" t="s">
        <v>580</v>
      </c>
      <c r="M1110" s="98"/>
      <c r="N1110" s="99"/>
      <c r="O1110" s="100"/>
      <c r="P1110" s="101">
        <f t="shared" si="868"/>
        <v>0</v>
      </c>
      <c r="Q1110" s="185"/>
      <c r="R1110" s="99"/>
      <c r="S1110" s="100"/>
      <c r="T1110" s="101">
        <f t="shared" si="869"/>
        <v>0</v>
      </c>
      <c r="U1110" s="101">
        <f t="shared" si="870"/>
        <v>0</v>
      </c>
      <c r="V1110" s="89"/>
    </row>
    <row r="1111" spans="1:22" x14ac:dyDescent="0.15">
      <c r="A1111" s="24"/>
      <c r="B1111" s="9"/>
      <c r="C1111" s="10"/>
      <c r="D1111" s="11"/>
      <c r="E1111" s="12">
        <f t="shared" si="859"/>
        <v>0</v>
      </c>
      <c r="F1111" s="9"/>
      <c r="G1111" s="10"/>
      <c r="H1111" s="11"/>
      <c r="I1111" s="67">
        <f t="shared" si="860"/>
        <v>0</v>
      </c>
      <c r="J1111" s="12">
        <f t="shared" si="861"/>
        <v>0</v>
      </c>
      <c r="L1111" s="21" t="s">
        <v>578</v>
      </c>
      <c r="M1111" s="9"/>
      <c r="N1111" s="10"/>
      <c r="O1111" s="11"/>
      <c r="P1111" s="12">
        <f t="shared" si="868"/>
        <v>0</v>
      </c>
      <c r="Q1111" s="9"/>
      <c r="R1111" s="10"/>
      <c r="S1111" s="11"/>
      <c r="T1111" s="12">
        <f t="shared" si="869"/>
        <v>0</v>
      </c>
      <c r="U1111" s="12">
        <f t="shared" si="870"/>
        <v>0</v>
      </c>
      <c r="V1111" s="90">
        <v>46120</v>
      </c>
    </row>
    <row r="1112" spans="1:22" x14ac:dyDescent="0.15">
      <c r="A1112" s="7"/>
      <c r="B1112" s="9"/>
      <c r="C1112" s="10"/>
      <c r="D1112" s="11"/>
      <c r="E1112" s="12">
        <f t="shared" si="859"/>
        <v>0</v>
      </c>
      <c r="F1112" s="9"/>
      <c r="G1112" s="10"/>
      <c r="H1112" s="11"/>
      <c r="I1112" s="67">
        <f t="shared" si="860"/>
        <v>0</v>
      </c>
      <c r="J1112" s="12">
        <f t="shared" si="861"/>
        <v>0</v>
      </c>
      <c r="L1112" s="21" t="s">
        <v>579</v>
      </c>
      <c r="M1112" s="9"/>
      <c r="N1112" s="10"/>
      <c r="O1112" s="11"/>
      <c r="P1112" s="12">
        <f t="shared" si="868"/>
        <v>0</v>
      </c>
      <c r="Q1112" s="105"/>
      <c r="R1112" s="10"/>
      <c r="S1112" s="11"/>
      <c r="T1112" s="12">
        <f t="shared" si="869"/>
        <v>0</v>
      </c>
      <c r="U1112" s="12">
        <f t="shared" si="870"/>
        <v>0</v>
      </c>
      <c r="V1112" s="90">
        <v>46134</v>
      </c>
    </row>
    <row r="1113" spans="1:22" x14ac:dyDescent="0.15">
      <c r="A1113" s="59"/>
      <c r="B1113" s="9"/>
      <c r="C1113" s="10"/>
      <c r="D1113" s="11"/>
      <c r="E1113" s="12">
        <f t="shared" si="859"/>
        <v>0</v>
      </c>
      <c r="F1113" s="9"/>
      <c r="G1113" s="10"/>
      <c r="H1113" s="11"/>
      <c r="I1113" s="67">
        <f t="shared" si="860"/>
        <v>0</v>
      </c>
      <c r="J1113" s="12">
        <f t="shared" si="861"/>
        <v>0</v>
      </c>
      <c r="L1113" s="97" t="s">
        <v>536</v>
      </c>
      <c r="M1113" s="98"/>
      <c r="N1113" s="99"/>
      <c r="O1113" s="100"/>
      <c r="P1113" s="101">
        <f t="shared" ref="P1113" si="871">SUM(M1113:O1113)</f>
        <v>0</v>
      </c>
      <c r="Q1113" s="98"/>
      <c r="R1113" s="99"/>
      <c r="S1113" s="100"/>
      <c r="T1113" s="101">
        <f t="shared" ref="T1113" si="872">SUM(Q1113:S1113)</f>
        <v>0</v>
      </c>
      <c r="U1113" s="101">
        <f t="shared" ref="U1113" si="873">P1113+T1113</f>
        <v>0</v>
      </c>
      <c r="V1113" s="103"/>
    </row>
    <row r="1114" spans="1:22" ht="14.25" thickBot="1" x14ac:dyDescent="0.2">
      <c r="A1114" s="59"/>
      <c r="B1114" s="9"/>
      <c r="C1114" s="10"/>
      <c r="D1114" s="11"/>
      <c r="E1114" s="12">
        <f t="shared" si="859"/>
        <v>0</v>
      </c>
      <c r="F1114" s="9"/>
      <c r="G1114" s="10"/>
      <c r="H1114" s="11"/>
      <c r="I1114" s="67">
        <f t="shared" si="860"/>
        <v>0</v>
      </c>
      <c r="J1114" s="12">
        <f t="shared" si="861"/>
        <v>0</v>
      </c>
      <c r="L1114" s="22" t="s">
        <v>537</v>
      </c>
      <c r="M1114" s="9"/>
      <c r="N1114" s="10"/>
      <c r="O1114" s="11"/>
      <c r="P1114" s="12">
        <f t="shared" si="862"/>
        <v>0</v>
      </c>
      <c r="Q1114" s="9"/>
      <c r="R1114" s="10"/>
      <c r="S1114" s="11"/>
      <c r="T1114" s="12">
        <f t="shared" si="863"/>
        <v>0</v>
      </c>
      <c r="U1114" s="12">
        <f t="shared" si="864"/>
        <v>0</v>
      </c>
      <c r="V1114" s="89" t="s">
        <v>539</v>
      </c>
    </row>
    <row r="1115" spans="1:22" ht="14.25" thickBot="1" x14ac:dyDescent="0.2">
      <c r="A1115" s="37" t="s">
        <v>17</v>
      </c>
      <c r="B1115" s="38">
        <f>SUM(B1089:B1114)</f>
        <v>28</v>
      </c>
      <c r="C1115" s="39">
        <f>SUM(C1089:C1114)</f>
        <v>15</v>
      </c>
      <c r="D1115" s="40">
        <f>SUM(D1089:D1114)</f>
        <v>6</v>
      </c>
      <c r="E1115" s="41">
        <f>SUM(B1115:D1115)</f>
        <v>49</v>
      </c>
      <c r="F1115" s="38">
        <f>SUM(F1089:F1114)</f>
        <v>22</v>
      </c>
      <c r="G1115" s="39">
        <f>SUM(G1089:G1114)</f>
        <v>16</v>
      </c>
      <c r="H1115" s="40">
        <f>SUM(H1089:H1114)</f>
        <v>7</v>
      </c>
      <c r="I1115" s="41">
        <f>SUM(F1115:H1115)</f>
        <v>45</v>
      </c>
      <c r="J1115" s="42">
        <f t="shared" si="861"/>
        <v>94</v>
      </c>
      <c r="L1115" s="37" t="s">
        <v>17</v>
      </c>
      <c r="M1115" s="38">
        <f>SUM(M1089:M1114)</f>
        <v>426</v>
      </c>
      <c r="N1115" s="39">
        <f>SUM(N1089:N1114)</f>
        <v>501</v>
      </c>
      <c r="O1115" s="40">
        <f>SUM(O1089:O1114)</f>
        <v>254</v>
      </c>
      <c r="P1115" s="41">
        <f>SUM(M1115:O1115)</f>
        <v>1181</v>
      </c>
      <c r="Q1115" s="38">
        <f>SUM(Q1089:Q1114)</f>
        <v>470</v>
      </c>
      <c r="R1115" s="39">
        <f>SUM(R1089:R1114)</f>
        <v>471</v>
      </c>
      <c r="S1115" s="40">
        <f>SUM(S1089:S1114)</f>
        <v>207</v>
      </c>
      <c r="T1115" s="41">
        <f>SUM(Q1115:S1115)</f>
        <v>1148</v>
      </c>
      <c r="U1115" s="42">
        <f t="shared" si="864"/>
        <v>2329</v>
      </c>
    </row>
    <row r="1116" spans="1:22" ht="14.25" thickBot="1" x14ac:dyDescent="0.2">
      <c r="A1116" s="20" t="s">
        <v>18</v>
      </c>
      <c r="B1116" s="63">
        <f>B1088-B1115</f>
        <v>8</v>
      </c>
      <c r="C1116" s="64">
        <f t="shared" ref="C1116:E1116" si="874">C1088-C1115</f>
        <v>7</v>
      </c>
      <c r="D1116" s="65">
        <f t="shared" si="874"/>
        <v>13</v>
      </c>
      <c r="E1116" s="65">
        <f t="shared" si="874"/>
        <v>28</v>
      </c>
      <c r="F1116" s="63">
        <f>F1088-F1115</f>
        <v>6</v>
      </c>
      <c r="G1116" s="64">
        <f t="shared" ref="G1116:I1116" si="875">G1088-G1115</f>
        <v>6</v>
      </c>
      <c r="H1116" s="65">
        <f t="shared" si="875"/>
        <v>6</v>
      </c>
      <c r="I1116" s="65">
        <f t="shared" si="875"/>
        <v>18</v>
      </c>
      <c r="J1116" s="29">
        <f t="shared" si="861"/>
        <v>46</v>
      </c>
      <c r="L1116" s="112" t="s">
        <v>18</v>
      </c>
      <c r="M1116" s="63">
        <f>M1088-M1115</f>
        <v>308</v>
      </c>
      <c r="N1116" s="64">
        <f t="shared" ref="N1116:P1116" si="876">N1088-N1115</f>
        <v>404</v>
      </c>
      <c r="O1116" s="65">
        <f t="shared" si="876"/>
        <v>413</v>
      </c>
      <c r="P1116" s="65">
        <f t="shared" si="876"/>
        <v>1125</v>
      </c>
      <c r="Q1116" s="63">
        <f>Q1088-Q1115</f>
        <v>403</v>
      </c>
      <c r="R1116" s="64">
        <f t="shared" ref="R1116:T1116" si="877">R1088-R1115</f>
        <v>504</v>
      </c>
      <c r="S1116" s="65">
        <f t="shared" si="877"/>
        <v>424</v>
      </c>
      <c r="T1116" s="65">
        <f t="shared" si="877"/>
        <v>1331</v>
      </c>
      <c r="U1116" s="29">
        <f t="shared" si="864"/>
        <v>2456</v>
      </c>
    </row>
    <row r="1117" spans="1:22" x14ac:dyDescent="0.15">
      <c r="L1117" s="196" t="s">
        <v>532</v>
      </c>
      <c r="M1117" s="197">
        <v>450</v>
      </c>
      <c r="N1117" s="197">
        <v>435</v>
      </c>
      <c r="O1117" s="197">
        <v>275</v>
      </c>
      <c r="P1117" s="197">
        <f>SUM(M1117:O1117)</f>
        <v>1160</v>
      </c>
      <c r="Q1117" s="197">
        <v>450</v>
      </c>
      <c r="R1117" s="197">
        <v>435</v>
      </c>
      <c r="S1117" s="197">
        <v>275</v>
      </c>
      <c r="T1117" s="197">
        <f>SUM(Q1117:S1117)</f>
        <v>1160</v>
      </c>
      <c r="U1117" s="198"/>
      <c r="V1117" s="199"/>
    </row>
    <row r="1118" spans="1:22" x14ac:dyDescent="0.15">
      <c r="L1118" s="200" t="s">
        <v>535</v>
      </c>
      <c r="M1118" s="201">
        <v>145</v>
      </c>
      <c r="N1118" s="201">
        <v>150</v>
      </c>
      <c r="O1118" s="201">
        <v>140</v>
      </c>
      <c r="P1118" s="202">
        <f>SUM(M1118:O1118)</f>
        <v>435</v>
      </c>
      <c r="Q1118" s="201">
        <v>125</v>
      </c>
      <c r="R1118" s="201">
        <v>140</v>
      </c>
      <c r="S1118" s="201">
        <v>146</v>
      </c>
      <c r="T1118" s="202">
        <f>SUM(Q1118:S1118)</f>
        <v>411</v>
      </c>
      <c r="U1118" s="201"/>
      <c r="V1118" s="199" t="s">
        <v>538</v>
      </c>
    </row>
    <row r="1119" spans="1:22" ht="19.5" thickBot="1" x14ac:dyDescent="0.25">
      <c r="A1119" s="3" t="s">
        <v>209</v>
      </c>
      <c r="B1119" s="1"/>
      <c r="C1119" s="1"/>
      <c r="D1119" s="1"/>
      <c r="E1119" s="1"/>
      <c r="F1119" s="1"/>
      <c r="G1119" s="1"/>
      <c r="H1119" s="1"/>
      <c r="I1119" s="1"/>
      <c r="J1119" s="1"/>
      <c r="L1119" s="226" t="s">
        <v>208</v>
      </c>
      <c r="M1119" s="226"/>
      <c r="N1119" s="226"/>
      <c r="O1119" s="226"/>
      <c r="P1119" s="226"/>
      <c r="Q1119" s="1"/>
      <c r="R1119" s="1"/>
      <c r="S1119" s="1"/>
      <c r="T1119" s="1" t="s">
        <v>422</v>
      </c>
      <c r="U1119" s="1"/>
    </row>
    <row r="1120" spans="1:22" ht="14.25" thickBot="1" x14ac:dyDescent="0.2">
      <c r="A1120" s="8" t="s">
        <v>0</v>
      </c>
      <c r="B1120" s="227" t="s">
        <v>19</v>
      </c>
      <c r="C1120" s="228"/>
      <c r="D1120" s="228"/>
      <c r="E1120" s="229"/>
      <c r="F1120" s="230" t="s">
        <v>20</v>
      </c>
      <c r="G1120" s="231"/>
      <c r="H1120" s="231"/>
      <c r="I1120" s="232"/>
      <c r="J1120" s="233" t="s">
        <v>1</v>
      </c>
      <c r="L1120" s="8" t="s">
        <v>0</v>
      </c>
      <c r="M1120" s="235" t="s">
        <v>19</v>
      </c>
      <c r="N1120" s="236"/>
      <c r="O1120" s="236"/>
      <c r="P1120" s="237"/>
      <c r="Q1120" s="238" t="s">
        <v>20</v>
      </c>
      <c r="R1120" s="239"/>
      <c r="S1120" s="239"/>
      <c r="T1120" s="240"/>
      <c r="U1120" s="224" t="s">
        <v>1</v>
      </c>
    </row>
    <row r="1121" spans="1:22" ht="14.25" thickBot="1" x14ac:dyDescent="0.2">
      <c r="A1121" s="8" t="s">
        <v>2</v>
      </c>
      <c r="B1121" s="69" t="s">
        <v>3</v>
      </c>
      <c r="C1121" s="70" t="s">
        <v>4</v>
      </c>
      <c r="D1121" s="71" t="s">
        <v>5</v>
      </c>
      <c r="E1121" s="8" t="s">
        <v>6</v>
      </c>
      <c r="F1121" s="4" t="s">
        <v>3</v>
      </c>
      <c r="G1121" s="5" t="s">
        <v>4</v>
      </c>
      <c r="H1121" s="6" t="s">
        <v>5</v>
      </c>
      <c r="I1121" s="8" t="s">
        <v>6</v>
      </c>
      <c r="J1121" s="234"/>
      <c r="L1121" s="8" t="s">
        <v>2</v>
      </c>
      <c r="M1121" s="69" t="s">
        <v>3</v>
      </c>
      <c r="N1121" s="70" t="s">
        <v>4</v>
      </c>
      <c r="O1121" s="71" t="s">
        <v>5</v>
      </c>
      <c r="P1121" s="8" t="s">
        <v>6</v>
      </c>
      <c r="Q1121" s="4" t="s">
        <v>3</v>
      </c>
      <c r="R1121" s="5" t="s">
        <v>4</v>
      </c>
      <c r="S1121" s="6" t="s">
        <v>5</v>
      </c>
      <c r="T1121" s="8" t="s">
        <v>6</v>
      </c>
      <c r="U1121" s="225"/>
    </row>
    <row r="1122" spans="1:22" ht="14.25" thickBot="1" x14ac:dyDescent="0.2">
      <c r="A1122" s="25" t="s">
        <v>18</v>
      </c>
      <c r="B1122" s="26">
        <f>B1116</f>
        <v>8</v>
      </c>
      <c r="C1122" s="27">
        <f t="shared" ref="C1122:D1122" si="878">C1116</f>
        <v>7</v>
      </c>
      <c r="D1122" s="49">
        <f t="shared" si="878"/>
        <v>13</v>
      </c>
      <c r="E1122" s="68">
        <f t="shared" ref="E1122:E1130" si="879">SUM(B1122:D1122)</f>
        <v>28</v>
      </c>
      <c r="F1122" s="26">
        <f>F1116</f>
        <v>6</v>
      </c>
      <c r="G1122" s="27">
        <f t="shared" ref="G1122:H1122" si="880">G1116</f>
        <v>6</v>
      </c>
      <c r="H1122" s="49">
        <f t="shared" si="880"/>
        <v>6</v>
      </c>
      <c r="I1122" s="33">
        <f t="shared" ref="I1122:I1130" si="881">SUM(F1122:H1122)</f>
        <v>18</v>
      </c>
      <c r="J1122" s="33">
        <f>E1122+I1122</f>
        <v>46</v>
      </c>
      <c r="L1122" s="25" t="s">
        <v>18</v>
      </c>
      <c r="M1122" s="26">
        <f>M1116</f>
        <v>308</v>
      </c>
      <c r="N1122" s="27">
        <f t="shared" ref="N1122:O1122" si="882">N1116</f>
        <v>404</v>
      </c>
      <c r="O1122" s="49">
        <f t="shared" si="882"/>
        <v>413</v>
      </c>
      <c r="P1122" s="107">
        <f t="shared" ref="P1122:P1130" si="883">SUM(M1122:O1122)</f>
        <v>1125</v>
      </c>
      <c r="Q1122" s="26">
        <f>Q1116</f>
        <v>403</v>
      </c>
      <c r="R1122" s="27">
        <f t="shared" ref="R1122:S1122" si="884">R1116</f>
        <v>504</v>
      </c>
      <c r="S1122" s="49">
        <f t="shared" si="884"/>
        <v>424</v>
      </c>
      <c r="T1122" s="29">
        <f t="shared" ref="T1122:T1130" si="885">SUM(Q1122:S1122)</f>
        <v>1331</v>
      </c>
      <c r="U1122" s="29">
        <f>P1122+T1122</f>
        <v>2456</v>
      </c>
    </row>
    <row r="1123" spans="1:22" x14ac:dyDescent="0.15">
      <c r="A1123" s="123" t="s">
        <v>8</v>
      </c>
      <c r="B1123" s="203"/>
      <c r="C1123" s="204">
        <v>10</v>
      </c>
      <c r="D1123" s="205"/>
      <c r="E1123" s="206">
        <f t="shared" si="879"/>
        <v>10</v>
      </c>
      <c r="F1123" s="207"/>
      <c r="G1123" s="208"/>
      <c r="H1123" s="209"/>
      <c r="I1123" s="210">
        <f t="shared" si="881"/>
        <v>0</v>
      </c>
      <c r="J1123" s="211">
        <f t="shared" ref="J1123:J1130" si="886">E1123+I1123</f>
        <v>10</v>
      </c>
      <c r="K1123" s="128">
        <v>46162</v>
      </c>
      <c r="L1123" s="23" t="s">
        <v>529</v>
      </c>
      <c r="M1123" s="16"/>
      <c r="N1123" s="17"/>
      <c r="O1123" s="43">
        <v>7</v>
      </c>
      <c r="P1123" s="94">
        <f t="shared" si="883"/>
        <v>7</v>
      </c>
      <c r="Q1123" s="16"/>
      <c r="R1123" s="17"/>
      <c r="S1123" s="43"/>
      <c r="T1123" s="94">
        <f t="shared" si="885"/>
        <v>0</v>
      </c>
      <c r="U1123" s="94">
        <f t="shared" ref="U1123:U1130" si="887">P1123+T1123</f>
        <v>7</v>
      </c>
      <c r="V1123" s="108">
        <v>46158</v>
      </c>
    </row>
    <row r="1124" spans="1:22" x14ac:dyDescent="0.15">
      <c r="A1124" s="218" t="s">
        <v>574</v>
      </c>
      <c r="B1124" s="124"/>
      <c r="C1124" s="125"/>
      <c r="D1124" s="126"/>
      <c r="E1124" s="127">
        <f t="shared" si="879"/>
        <v>0</v>
      </c>
      <c r="F1124" s="124">
        <v>10</v>
      </c>
      <c r="G1124" s="125">
        <v>10</v>
      </c>
      <c r="H1124" s="126"/>
      <c r="I1124" s="127">
        <f t="shared" si="881"/>
        <v>20</v>
      </c>
      <c r="J1124" s="127">
        <f t="shared" si="886"/>
        <v>20</v>
      </c>
      <c r="K1124" s="128">
        <v>46168</v>
      </c>
      <c r="L1124" s="23" t="s">
        <v>9</v>
      </c>
      <c r="M1124" s="9"/>
      <c r="N1124" s="10"/>
      <c r="O1124" s="44"/>
      <c r="P1124" s="12">
        <f t="shared" si="883"/>
        <v>0</v>
      </c>
      <c r="Q1124" s="9"/>
      <c r="R1124" s="10"/>
      <c r="S1124" s="44"/>
      <c r="T1124" s="12">
        <f t="shared" si="885"/>
        <v>0</v>
      </c>
      <c r="U1124" s="12">
        <f t="shared" si="887"/>
        <v>0</v>
      </c>
    </row>
    <row r="1125" spans="1:22" x14ac:dyDescent="0.15">
      <c r="A1125" s="23" t="s">
        <v>10</v>
      </c>
      <c r="B1125" s="16">
        <v>5</v>
      </c>
      <c r="C1125" s="17"/>
      <c r="D1125" s="43">
        <v>5</v>
      </c>
      <c r="E1125" s="12">
        <f t="shared" si="879"/>
        <v>10</v>
      </c>
      <c r="F1125" s="16"/>
      <c r="G1125" s="17"/>
      <c r="H1125" s="43">
        <v>5</v>
      </c>
      <c r="I1125" s="12">
        <f t="shared" si="881"/>
        <v>5</v>
      </c>
      <c r="J1125" s="12">
        <f t="shared" si="886"/>
        <v>15</v>
      </c>
      <c r="K1125" s="90">
        <v>46176</v>
      </c>
      <c r="L1125" s="23" t="s">
        <v>10</v>
      </c>
      <c r="M1125" s="9"/>
      <c r="N1125" s="10"/>
      <c r="O1125" s="44"/>
      <c r="P1125" s="12">
        <f t="shared" ref="P1125" si="888">SUM(M1125:O1125)</f>
        <v>0</v>
      </c>
      <c r="Q1125" s="9"/>
      <c r="R1125" s="10"/>
      <c r="S1125" s="44"/>
      <c r="T1125" s="12">
        <f t="shared" ref="T1125" si="889">SUM(Q1125:S1125)</f>
        <v>0</v>
      </c>
      <c r="U1125" s="12">
        <f t="shared" ref="U1125" si="890">P1125+T1125</f>
        <v>0</v>
      </c>
    </row>
    <row r="1126" spans="1:22" x14ac:dyDescent="0.15">
      <c r="A1126" s="123" t="s">
        <v>11</v>
      </c>
      <c r="B1126" s="177">
        <v>6</v>
      </c>
      <c r="C1126" s="178"/>
      <c r="D1126" s="179">
        <v>6</v>
      </c>
      <c r="E1126" s="127">
        <f t="shared" si="879"/>
        <v>12</v>
      </c>
      <c r="F1126" s="177">
        <v>16</v>
      </c>
      <c r="G1126" s="178"/>
      <c r="H1126" s="179"/>
      <c r="I1126" s="127">
        <f t="shared" si="881"/>
        <v>16</v>
      </c>
      <c r="J1126" s="127">
        <f t="shared" si="886"/>
        <v>28</v>
      </c>
      <c r="K1126" s="128">
        <v>46190</v>
      </c>
      <c r="L1126" s="23" t="s">
        <v>11</v>
      </c>
      <c r="M1126" s="9"/>
      <c r="N1126" s="10"/>
      <c r="O1126" s="44"/>
      <c r="P1126" s="12">
        <f t="shared" ref="P1126:P1127" si="891">SUM(M1126:O1126)</f>
        <v>0</v>
      </c>
      <c r="Q1126" s="9"/>
      <c r="R1126" s="10"/>
      <c r="S1126" s="44"/>
      <c r="T1126" s="12">
        <f t="shared" ref="T1126:T1127" si="892">SUM(Q1126:S1126)</f>
        <v>0</v>
      </c>
      <c r="U1126" s="12">
        <f t="shared" ref="U1126:U1127" si="893">P1126+T1126</f>
        <v>0</v>
      </c>
    </row>
    <row r="1127" spans="1:22" x14ac:dyDescent="0.15">
      <c r="A1127" s="23" t="s">
        <v>12</v>
      </c>
      <c r="B1127" s="9"/>
      <c r="C1127" s="10"/>
      <c r="D1127" s="44"/>
      <c r="E1127" s="12">
        <f t="shared" si="879"/>
        <v>0</v>
      </c>
      <c r="F1127" s="9"/>
      <c r="G1127" s="10"/>
      <c r="H1127" s="44"/>
      <c r="I1127" s="67">
        <f t="shared" si="881"/>
        <v>0</v>
      </c>
      <c r="J1127" s="12">
        <f t="shared" si="886"/>
        <v>0</v>
      </c>
      <c r="L1127" s="23" t="s">
        <v>12</v>
      </c>
      <c r="M1127" s="9"/>
      <c r="N1127" s="10"/>
      <c r="O1127" s="44"/>
      <c r="P1127" s="12">
        <f t="shared" si="891"/>
        <v>0</v>
      </c>
      <c r="Q1127" s="9"/>
      <c r="R1127" s="10"/>
      <c r="S1127" s="44"/>
      <c r="T1127" s="12">
        <f t="shared" si="892"/>
        <v>0</v>
      </c>
      <c r="U1127" s="12">
        <f t="shared" si="893"/>
        <v>0</v>
      </c>
    </row>
    <row r="1128" spans="1:22" x14ac:dyDescent="0.15">
      <c r="A1128" s="23" t="s">
        <v>13</v>
      </c>
      <c r="B1128" s="9"/>
      <c r="C1128" s="10"/>
      <c r="D1128" s="44"/>
      <c r="E1128" s="12">
        <f t="shared" si="879"/>
        <v>0</v>
      </c>
      <c r="F1128" s="9"/>
      <c r="G1128" s="10"/>
      <c r="H1128" s="44"/>
      <c r="I1128" s="67">
        <f t="shared" si="881"/>
        <v>0</v>
      </c>
      <c r="J1128" s="12">
        <f t="shared" si="886"/>
        <v>0</v>
      </c>
      <c r="L1128" s="23" t="s">
        <v>13</v>
      </c>
      <c r="M1128" s="9"/>
      <c r="N1128" s="10"/>
      <c r="O1128" s="44"/>
      <c r="P1128" s="12">
        <f t="shared" si="883"/>
        <v>0</v>
      </c>
      <c r="Q1128" s="9"/>
      <c r="R1128" s="10"/>
      <c r="S1128" s="44"/>
      <c r="T1128" s="67">
        <f t="shared" si="885"/>
        <v>0</v>
      </c>
      <c r="U1128" s="12">
        <f t="shared" si="887"/>
        <v>0</v>
      </c>
    </row>
    <row r="1129" spans="1:22" x14ac:dyDescent="0.15">
      <c r="A1129" s="23" t="s">
        <v>14</v>
      </c>
      <c r="B1129" s="13"/>
      <c r="C1129" s="14"/>
      <c r="D1129" s="45"/>
      <c r="E1129" s="12">
        <f t="shared" si="879"/>
        <v>0</v>
      </c>
      <c r="F1129" s="13"/>
      <c r="G1129" s="14"/>
      <c r="H1129" s="45"/>
      <c r="I1129" s="67">
        <f t="shared" si="881"/>
        <v>0</v>
      </c>
      <c r="J1129" s="12">
        <f t="shared" si="886"/>
        <v>0</v>
      </c>
      <c r="L1129" s="23" t="s">
        <v>14</v>
      </c>
      <c r="M1129" s="13"/>
      <c r="N1129" s="14"/>
      <c r="O1129" s="45"/>
      <c r="P1129" s="12">
        <f t="shared" si="883"/>
        <v>0</v>
      </c>
      <c r="Q1129" s="13"/>
      <c r="R1129" s="14"/>
      <c r="S1129" s="45"/>
      <c r="T1129" s="67">
        <f t="shared" si="885"/>
        <v>0</v>
      </c>
      <c r="U1129" s="12">
        <f t="shared" si="887"/>
        <v>0</v>
      </c>
    </row>
    <row r="1130" spans="1:22" ht="14.25" thickBot="1" x14ac:dyDescent="0.2">
      <c r="A1130" s="23" t="s">
        <v>15</v>
      </c>
      <c r="B1130" s="30"/>
      <c r="C1130" s="31"/>
      <c r="D1130" s="46"/>
      <c r="E1130" s="12">
        <f t="shared" si="879"/>
        <v>0</v>
      </c>
      <c r="F1130" s="30"/>
      <c r="G1130" s="31"/>
      <c r="H1130" s="46"/>
      <c r="I1130" s="67">
        <f t="shared" si="881"/>
        <v>0</v>
      </c>
      <c r="J1130" s="19">
        <f t="shared" si="886"/>
        <v>0</v>
      </c>
      <c r="L1130" s="23" t="s">
        <v>15</v>
      </c>
      <c r="M1130" s="13"/>
      <c r="N1130" s="14"/>
      <c r="O1130" s="45"/>
      <c r="P1130" s="12">
        <f t="shared" si="883"/>
        <v>0</v>
      </c>
      <c r="Q1130" s="13"/>
      <c r="R1130" s="14"/>
      <c r="S1130" s="45"/>
      <c r="T1130" s="67">
        <f t="shared" si="885"/>
        <v>0</v>
      </c>
      <c r="U1130" s="12">
        <f t="shared" si="887"/>
        <v>0</v>
      </c>
    </row>
    <row r="1131" spans="1:22" ht="14.25" thickBot="1" x14ac:dyDescent="0.2">
      <c r="A1131" s="32" t="s">
        <v>16</v>
      </c>
      <c r="B1131" s="26">
        <f>SUM(B1122:B1130)</f>
        <v>19</v>
      </c>
      <c r="C1131" s="27">
        <f t="shared" ref="C1131:J1131" si="894">SUM(C1122:C1130)</f>
        <v>17</v>
      </c>
      <c r="D1131" s="49">
        <f t="shared" si="894"/>
        <v>24</v>
      </c>
      <c r="E1131" s="75">
        <f t="shared" si="894"/>
        <v>60</v>
      </c>
      <c r="F1131" s="26">
        <f t="shared" si="894"/>
        <v>32</v>
      </c>
      <c r="G1131" s="27">
        <f t="shared" si="894"/>
        <v>16</v>
      </c>
      <c r="H1131" s="49">
        <f t="shared" si="894"/>
        <v>11</v>
      </c>
      <c r="I1131" s="74">
        <f t="shared" si="894"/>
        <v>59</v>
      </c>
      <c r="J1131" s="29">
        <f t="shared" si="894"/>
        <v>119</v>
      </c>
      <c r="L1131" s="32" t="s">
        <v>16</v>
      </c>
      <c r="M1131" s="26">
        <f>SUM(M1122:M1130)</f>
        <v>308</v>
      </c>
      <c r="N1131" s="27">
        <f t="shared" ref="N1131:U1131" si="895">SUM(N1122:N1130)</f>
        <v>404</v>
      </c>
      <c r="O1131" s="49">
        <f t="shared" si="895"/>
        <v>420</v>
      </c>
      <c r="P1131" s="75">
        <f t="shared" si="895"/>
        <v>1132</v>
      </c>
      <c r="Q1131" s="26">
        <f t="shared" si="895"/>
        <v>403</v>
      </c>
      <c r="R1131" s="27">
        <f t="shared" si="895"/>
        <v>504</v>
      </c>
      <c r="S1131" s="49">
        <f t="shared" si="895"/>
        <v>424</v>
      </c>
      <c r="T1131" s="74">
        <f t="shared" si="895"/>
        <v>1331</v>
      </c>
      <c r="U1131" s="29">
        <f t="shared" si="895"/>
        <v>2463</v>
      </c>
    </row>
    <row r="1132" spans="1:22" x14ac:dyDescent="0.15">
      <c r="A1132" s="22" t="s">
        <v>629</v>
      </c>
      <c r="B1132" s="54"/>
      <c r="C1132" s="55"/>
      <c r="D1132" s="56">
        <v>7</v>
      </c>
      <c r="E1132" s="42">
        <f t="shared" ref="E1132:E1157" si="896">SUM(B1132:D1132)</f>
        <v>7</v>
      </c>
      <c r="F1132" s="54"/>
      <c r="G1132" s="55"/>
      <c r="H1132" s="56"/>
      <c r="I1132" s="66">
        <f t="shared" ref="I1132:I1157" si="897">SUM(F1132:H1132)</f>
        <v>0</v>
      </c>
      <c r="J1132" s="57">
        <f t="shared" ref="J1132:J1159" si="898">E1132+I1132</f>
        <v>7</v>
      </c>
      <c r="K1132" s="108">
        <v>46158</v>
      </c>
      <c r="L1132" s="22" t="s">
        <v>618</v>
      </c>
      <c r="M1132" s="54">
        <v>5</v>
      </c>
      <c r="N1132" s="55">
        <v>10</v>
      </c>
      <c r="O1132" s="56">
        <v>4</v>
      </c>
      <c r="P1132" s="42">
        <f t="shared" ref="P1132:P1157" si="899">SUM(M1132:O1132)</f>
        <v>19</v>
      </c>
      <c r="Q1132" s="152"/>
      <c r="R1132" s="55">
        <v>2</v>
      </c>
      <c r="S1132" s="56">
        <v>3</v>
      </c>
      <c r="T1132" s="42">
        <f t="shared" ref="T1132:T1157" si="900">SUM(Q1132:S1132)</f>
        <v>5</v>
      </c>
      <c r="U1132" s="57">
        <f t="shared" ref="U1132:U1159" si="901">P1132+T1132</f>
        <v>24</v>
      </c>
      <c r="V1132" s="90">
        <v>46151</v>
      </c>
    </row>
    <row r="1133" spans="1:22" x14ac:dyDescent="0.15">
      <c r="A1133" s="24" t="s">
        <v>630</v>
      </c>
      <c r="B1133" s="16"/>
      <c r="C1133" s="17">
        <v>10</v>
      </c>
      <c r="D1133" s="18"/>
      <c r="E1133" s="12">
        <f t="shared" si="896"/>
        <v>10</v>
      </c>
      <c r="F1133" s="16">
        <v>2</v>
      </c>
      <c r="G1133" s="17"/>
      <c r="H1133" s="18"/>
      <c r="I1133" s="67">
        <f t="shared" si="897"/>
        <v>2</v>
      </c>
      <c r="J1133" s="12">
        <f t="shared" si="898"/>
        <v>12</v>
      </c>
      <c r="K1133" s="90">
        <v>46164</v>
      </c>
      <c r="L1133" s="22" t="s">
        <v>627</v>
      </c>
      <c r="M1133" s="16">
        <v>4</v>
      </c>
      <c r="N1133" s="17">
        <v>7</v>
      </c>
      <c r="O1133" s="18"/>
      <c r="P1133" s="12">
        <f t="shared" si="899"/>
        <v>11</v>
      </c>
      <c r="Q1133" s="153">
        <v>3</v>
      </c>
      <c r="R1133" s="17">
        <v>5</v>
      </c>
      <c r="S1133" s="18"/>
      <c r="T1133" s="12">
        <f t="shared" si="900"/>
        <v>8</v>
      </c>
      <c r="U1133" s="12">
        <f t="shared" si="901"/>
        <v>19</v>
      </c>
      <c r="V1133" s="90">
        <v>46157</v>
      </c>
    </row>
    <row r="1134" spans="1:22" x14ac:dyDescent="0.15">
      <c r="A1134" s="22" t="s">
        <v>45</v>
      </c>
      <c r="B1134" s="9">
        <v>1</v>
      </c>
      <c r="C1134" s="10">
        <v>2</v>
      </c>
      <c r="D1134" s="11"/>
      <c r="E1134" s="12">
        <f t="shared" si="896"/>
        <v>3</v>
      </c>
      <c r="F1134" s="9"/>
      <c r="G1134" s="10"/>
      <c r="H1134" s="11"/>
      <c r="I1134" s="67">
        <f t="shared" si="897"/>
        <v>0</v>
      </c>
      <c r="J1134" s="12">
        <f t="shared" si="898"/>
        <v>3</v>
      </c>
      <c r="K1134" s="108">
        <v>46161</v>
      </c>
      <c r="L1134" s="218" t="s">
        <v>631</v>
      </c>
      <c r="M1134" s="124"/>
      <c r="N1134" s="125">
        <v>10</v>
      </c>
      <c r="O1134" s="187"/>
      <c r="P1134" s="127">
        <f t="shared" si="899"/>
        <v>10</v>
      </c>
      <c r="Q1134" s="188"/>
      <c r="R1134" s="125"/>
      <c r="S1134" s="187"/>
      <c r="T1134" s="127">
        <f t="shared" si="900"/>
        <v>0</v>
      </c>
      <c r="U1134" s="127">
        <f t="shared" si="901"/>
        <v>10</v>
      </c>
      <c r="V1134" s="128">
        <v>46162</v>
      </c>
    </row>
    <row r="1135" spans="1:22" x14ac:dyDescent="0.15">
      <c r="A1135" s="24" t="s">
        <v>632</v>
      </c>
      <c r="B1135" s="9">
        <v>2</v>
      </c>
      <c r="C1135" s="10"/>
      <c r="D1135" s="11"/>
      <c r="E1135" s="12">
        <f t="shared" si="896"/>
        <v>2</v>
      </c>
      <c r="F1135" s="9">
        <v>8</v>
      </c>
      <c r="G1135" s="10">
        <v>10</v>
      </c>
      <c r="H1135" s="11"/>
      <c r="I1135" s="67">
        <f t="shared" si="897"/>
        <v>18</v>
      </c>
      <c r="J1135" s="12">
        <f t="shared" si="898"/>
        <v>20</v>
      </c>
      <c r="K1135" s="90">
        <v>46171</v>
      </c>
      <c r="L1135" s="218" t="s">
        <v>574</v>
      </c>
      <c r="M1135" s="124"/>
      <c r="N1135" s="125"/>
      <c r="O1135" s="187"/>
      <c r="P1135" s="127">
        <f t="shared" si="899"/>
        <v>0</v>
      </c>
      <c r="Q1135" s="188">
        <v>10</v>
      </c>
      <c r="R1135" s="125">
        <v>10</v>
      </c>
      <c r="S1135" s="187"/>
      <c r="T1135" s="127">
        <f t="shared" si="900"/>
        <v>20</v>
      </c>
      <c r="U1135" s="127">
        <f t="shared" si="901"/>
        <v>20</v>
      </c>
      <c r="V1135" s="128">
        <v>46168</v>
      </c>
    </row>
    <row r="1136" spans="1:22" x14ac:dyDescent="0.15">
      <c r="A1136" s="24" t="s">
        <v>634</v>
      </c>
      <c r="B1136" s="9">
        <v>2</v>
      </c>
      <c r="C1136" s="10"/>
      <c r="D1136" s="11">
        <v>4</v>
      </c>
      <c r="E1136" s="12">
        <f t="shared" si="896"/>
        <v>6</v>
      </c>
      <c r="F1136" s="9"/>
      <c r="G1136" s="10"/>
      <c r="H1136" s="11">
        <v>6</v>
      </c>
      <c r="I1136" s="67">
        <f t="shared" si="897"/>
        <v>6</v>
      </c>
      <c r="J1136" s="12">
        <f t="shared" si="898"/>
        <v>12</v>
      </c>
      <c r="K1136" s="90">
        <v>46178</v>
      </c>
      <c r="L1136" s="22" t="s">
        <v>574</v>
      </c>
      <c r="M1136" s="9">
        <v>5</v>
      </c>
      <c r="N1136" s="10"/>
      <c r="O1136" s="11">
        <v>5</v>
      </c>
      <c r="P1136" s="12">
        <f t="shared" si="899"/>
        <v>10</v>
      </c>
      <c r="Q1136" s="105"/>
      <c r="R1136" s="10"/>
      <c r="S1136" s="11">
        <v>5</v>
      </c>
      <c r="T1136" s="12">
        <f t="shared" si="900"/>
        <v>5</v>
      </c>
      <c r="U1136" s="12">
        <f t="shared" si="901"/>
        <v>15</v>
      </c>
      <c r="V1136" s="90">
        <v>46176</v>
      </c>
    </row>
    <row r="1137" spans="1:22" x14ac:dyDescent="0.15">
      <c r="A1137" s="24" t="s">
        <v>45</v>
      </c>
      <c r="B1137" s="9"/>
      <c r="C1137" s="10"/>
      <c r="D1137" s="11"/>
      <c r="E1137" s="12">
        <f t="shared" si="896"/>
        <v>0</v>
      </c>
      <c r="F1137" s="9"/>
      <c r="G1137" s="10"/>
      <c r="H1137" s="11">
        <v>1</v>
      </c>
      <c r="I1137" s="67">
        <f t="shared" si="897"/>
        <v>1</v>
      </c>
      <c r="J1137" s="12">
        <f t="shared" si="898"/>
        <v>1</v>
      </c>
      <c r="K1137" s="90">
        <v>46181</v>
      </c>
      <c r="L1137" s="218" t="s">
        <v>574</v>
      </c>
      <c r="M1137" s="124">
        <v>6</v>
      </c>
      <c r="N1137" s="125"/>
      <c r="O1137" s="187">
        <v>6</v>
      </c>
      <c r="P1137" s="127">
        <f t="shared" si="899"/>
        <v>12</v>
      </c>
      <c r="Q1137" s="188">
        <v>16</v>
      </c>
      <c r="R1137" s="125"/>
      <c r="S1137" s="187"/>
      <c r="T1137" s="127">
        <f t="shared" si="900"/>
        <v>16</v>
      </c>
      <c r="U1137" s="127">
        <f t="shared" si="901"/>
        <v>28</v>
      </c>
      <c r="V1137" s="128">
        <v>46190</v>
      </c>
    </row>
    <row r="1138" spans="1:22" x14ac:dyDescent="0.15">
      <c r="A1138" s="24" t="s">
        <v>45</v>
      </c>
      <c r="B1138" s="9">
        <v>1</v>
      </c>
      <c r="C1138" s="10"/>
      <c r="D1138" s="11"/>
      <c r="E1138" s="12">
        <f t="shared" si="896"/>
        <v>1</v>
      </c>
      <c r="F1138" s="9"/>
      <c r="G1138" s="10"/>
      <c r="H1138" s="11"/>
      <c r="I1138" s="67">
        <f t="shared" si="897"/>
        <v>0</v>
      </c>
      <c r="J1138" s="12">
        <f t="shared" si="898"/>
        <v>1</v>
      </c>
      <c r="K1138" s="108">
        <v>46184</v>
      </c>
      <c r="L1138" s="24"/>
      <c r="M1138" s="9"/>
      <c r="N1138" s="10"/>
      <c r="O1138" s="11"/>
      <c r="P1138" s="12">
        <f t="shared" si="899"/>
        <v>0</v>
      </c>
      <c r="Q1138" s="105"/>
      <c r="R1138" s="10"/>
      <c r="S1138" s="11"/>
      <c r="T1138" s="12">
        <f t="shared" si="900"/>
        <v>0</v>
      </c>
      <c r="U1138" s="12">
        <f t="shared" si="901"/>
        <v>0</v>
      </c>
    </row>
    <row r="1139" spans="1:22" x14ac:dyDescent="0.15">
      <c r="A1139" s="24" t="s">
        <v>639</v>
      </c>
      <c r="B1139" s="9">
        <v>6</v>
      </c>
      <c r="C1139" s="10"/>
      <c r="D1139" s="11">
        <v>6</v>
      </c>
      <c r="E1139" s="12">
        <f t="shared" si="896"/>
        <v>12</v>
      </c>
      <c r="F1139" s="9">
        <v>16</v>
      </c>
      <c r="G1139" s="10"/>
      <c r="H1139" s="11"/>
      <c r="I1139" s="67">
        <f t="shared" si="897"/>
        <v>16</v>
      </c>
      <c r="J1139" s="12">
        <f t="shared" si="898"/>
        <v>28</v>
      </c>
      <c r="K1139" s="90">
        <v>46192</v>
      </c>
      <c r="L1139" s="24"/>
      <c r="M1139" s="9"/>
      <c r="N1139" s="10"/>
      <c r="O1139" s="11"/>
      <c r="P1139" s="12">
        <f t="shared" si="899"/>
        <v>0</v>
      </c>
      <c r="Q1139" s="105"/>
      <c r="R1139" s="10"/>
      <c r="S1139" s="11"/>
      <c r="T1139" s="12">
        <f t="shared" si="900"/>
        <v>0</v>
      </c>
      <c r="U1139" s="12">
        <f t="shared" si="901"/>
        <v>0</v>
      </c>
    </row>
    <row r="1140" spans="1:22" x14ac:dyDescent="0.15">
      <c r="A1140" s="22" t="s">
        <v>643</v>
      </c>
      <c r="B1140" s="9"/>
      <c r="C1140" s="10">
        <v>1</v>
      </c>
      <c r="D1140" s="11"/>
      <c r="E1140" s="12">
        <f t="shared" si="896"/>
        <v>1</v>
      </c>
      <c r="F1140" s="9"/>
      <c r="G1140" s="10">
        <v>1</v>
      </c>
      <c r="H1140" s="11"/>
      <c r="I1140" s="67">
        <f t="shared" si="897"/>
        <v>1</v>
      </c>
      <c r="J1140" s="12">
        <f t="shared" si="898"/>
        <v>2</v>
      </c>
      <c r="K1140" s="108">
        <v>46217</v>
      </c>
      <c r="L1140" s="22"/>
      <c r="M1140" s="9"/>
      <c r="N1140" s="10"/>
      <c r="O1140" s="11"/>
      <c r="P1140" s="12">
        <f t="shared" si="899"/>
        <v>0</v>
      </c>
      <c r="Q1140" s="105"/>
      <c r="R1140" s="10"/>
      <c r="S1140" s="11"/>
      <c r="T1140" s="12">
        <f t="shared" si="900"/>
        <v>0</v>
      </c>
      <c r="U1140" s="12">
        <f t="shared" si="901"/>
        <v>0</v>
      </c>
    </row>
    <row r="1141" spans="1:22" x14ac:dyDescent="0.15">
      <c r="A1141" s="24"/>
      <c r="B1141" s="13"/>
      <c r="C1141" s="14"/>
      <c r="D1141" s="15"/>
      <c r="E1141" s="12">
        <f t="shared" si="896"/>
        <v>0</v>
      </c>
      <c r="F1141" s="13"/>
      <c r="G1141" s="14"/>
      <c r="H1141" s="15"/>
      <c r="I1141" s="67">
        <f t="shared" si="897"/>
        <v>0</v>
      </c>
      <c r="J1141" s="12">
        <f t="shared" si="898"/>
        <v>0</v>
      </c>
      <c r="L1141" s="24"/>
      <c r="M1141" s="13"/>
      <c r="N1141" s="14"/>
      <c r="O1141" s="15"/>
      <c r="P1141" s="12">
        <f t="shared" si="899"/>
        <v>0</v>
      </c>
      <c r="Q1141" s="154"/>
      <c r="R1141" s="14"/>
      <c r="S1141" s="15"/>
      <c r="T1141" s="12">
        <f t="shared" si="900"/>
        <v>0</v>
      </c>
      <c r="U1141" s="12">
        <f t="shared" si="901"/>
        <v>0</v>
      </c>
    </row>
    <row r="1142" spans="1:22" x14ac:dyDescent="0.15">
      <c r="A1142" s="24"/>
      <c r="B1142" s="9"/>
      <c r="C1142" s="10"/>
      <c r="D1142" s="11"/>
      <c r="E1142" s="12">
        <f t="shared" si="896"/>
        <v>0</v>
      </c>
      <c r="F1142" s="9"/>
      <c r="G1142" s="10"/>
      <c r="H1142" s="11"/>
      <c r="I1142" s="67">
        <f t="shared" si="897"/>
        <v>0</v>
      </c>
      <c r="J1142" s="12">
        <f t="shared" si="898"/>
        <v>0</v>
      </c>
      <c r="L1142" s="24"/>
      <c r="M1142" s="9"/>
      <c r="N1142" s="10"/>
      <c r="O1142" s="11"/>
      <c r="P1142" s="12">
        <f t="shared" si="899"/>
        <v>0</v>
      </c>
      <c r="Q1142" s="105"/>
      <c r="R1142" s="10"/>
      <c r="S1142" s="11"/>
      <c r="T1142" s="12">
        <f t="shared" si="900"/>
        <v>0</v>
      </c>
      <c r="U1142" s="12">
        <f t="shared" si="901"/>
        <v>0</v>
      </c>
    </row>
    <row r="1143" spans="1:22" x14ac:dyDescent="0.15">
      <c r="A1143" s="24"/>
      <c r="B1143" s="9"/>
      <c r="C1143" s="10"/>
      <c r="D1143" s="11"/>
      <c r="E1143" s="12">
        <f t="shared" si="896"/>
        <v>0</v>
      </c>
      <c r="F1143" s="9"/>
      <c r="G1143" s="10"/>
      <c r="H1143" s="11"/>
      <c r="I1143" s="67">
        <f t="shared" si="897"/>
        <v>0</v>
      </c>
      <c r="J1143" s="12">
        <f t="shared" si="898"/>
        <v>0</v>
      </c>
      <c r="L1143" s="24"/>
      <c r="M1143" s="9"/>
      <c r="N1143" s="10"/>
      <c r="O1143" s="11"/>
      <c r="P1143" s="12">
        <f t="shared" si="899"/>
        <v>0</v>
      </c>
      <c r="Q1143" s="105"/>
      <c r="R1143" s="10"/>
      <c r="S1143" s="11"/>
      <c r="T1143" s="12">
        <f t="shared" si="900"/>
        <v>0</v>
      </c>
      <c r="U1143" s="12">
        <f t="shared" si="901"/>
        <v>0</v>
      </c>
    </row>
    <row r="1144" spans="1:22" x14ac:dyDescent="0.15">
      <c r="A1144" s="22"/>
      <c r="B1144" s="9"/>
      <c r="C1144" s="10"/>
      <c r="D1144" s="11"/>
      <c r="E1144" s="12">
        <f t="shared" si="896"/>
        <v>0</v>
      </c>
      <c r="F1144" s="9"/>
      <c r="G1144" s="10"/>
      <c r="H1144" s="11"/>
      <c r="I1144" s="67">
        <f t="shared" si="897"/>
        <v>0</v>
      </c>
      <c r="J1144" s="12">
        <f t="shared" si="898"/>
        <v>0</v>
      </c>
      <c r="L1144" s="22"/>
      <c r="M1144" s="9"/>
      <c r="N1144" s="10"/>
      <c r="O1144" s="11"/>
      <c r="P1144" s="12">
        <f t="shared" si="899"/>
        <v>0</v>
      </c>
      <c r="Q1144" s="105"/>
      <c r="R1144" s="10"/>
      <c r="S1144" s="11"/>
      <c r="T1144" s="12">
        <f t="shared" si="900"/>
        <v>0</v>
      </c>
      <c r="U1144" s="12">
        <f t="shared" si="901"/>
        <v>0</v>
      </c>
    </row>
    <row r="1145" spans="1:22" x14ac:dyDescent="0.15">
      <c r="A1145" s="24"/>
      <c r="B1145" s="9"/>
      <c r="C1145" s="10"/>
      <c r="D1145" s="11"/>
      <c r="E1145" s="12">
        <f t="shared" si="896"/>
        <v>0</v>
      </c>
      <c r="F1145" s="9"/>
      <c r="G1145" s="10"/>
      <c r="H1145" s="11"/>
      <c r="I1145" s="67">
        <f t="shared" si="897"/>
        <v>0</v>
      </c>
      <c r="J1145" s="12">
        <f t="shared" si="898"/>
        <v>0</v>
      </c>
      <c r="L1145" s="24"/>
      <c r="M1145" s="9"/>
      <c r="N1145" s="10"/>
      <c r="O1145" s="11"/>
      <c r="P1145" s="12">
        <f t="shared" si="899"/>
        <v>0</v>
      </c>
      <c r="Q1145" s="105"/>
      <c r="R1145" s="10"/>
      <c r="S1145" s="11"/>
      <c r="T1145" s="12">
        <f t="shared" si="900"/>
        <v>0</v>
      </c>
      <c r="U1145" s="12">
        <f t="shared" si="901"/>
        <v>0</v>
      </c>
    </row>
    <row r="1146" spans="1:22" x14ac:dyDescent="0.15">
      <c r="A1146" s="24"/>
      <c r="B1146" s="9"/>
      <c r="C1146" s="10"/>
      <c r="D1146" s="11"/>
      <c r="E1146" s="12">
        <f t="shared" si="896"/>
        <v>0</v>
      </c>
      <c r="F1146" s="9"/>
      <c r="G1146" s="10"/>
      <c r="H1146" s="11"/>
      <c r="I1146" s="67">
        <f t="shared" si="897"/>
        <v>0</v>
      </c>
      <c r="J1146" s="12">
        <f t="shared" si="898"/>
        <v>0</v>
      </c>
      <c r="L1146" s="24"/>
      <c r="M1146" s="9"/>
      <c r="N1146" s="10"/>
      <c r="O1146" s="11"/>
      <c r="P1146" s="12">
        <f t="shared" si="899"/>
        <v>0</v>
      </c>
      <c r="Q1146" s="105"/>
      <c r="R1146" s="10"/>
      <c r="S1146" s="11"/>
      <c r="T1146" s="12">
        <f t="shared" si="900"/>
        <v>0</v>
      </c>
      <c r="U1146" s="12">
        <f t="shared" si="901"/>
        <v>0</v>
      </c>
    </row>
    <row r="1147" spans="1:22" x14ac:dyDescent="0.15">
      <c r="A1147" s="22"/>
      <c r="B1147" s="9"/>
      <c r="C1147" s="10"/>
      <c r="D1147" s="11"/>
      <c r="E1147" s="12">
        <f t="shared" si="896"/>
        <v>0</v>
      </c>
      <c r="F1147" s="9"/>
      <c r="G1147" s="10"/>
      <c r="H1147" s="11"/>
      <c r="I1147" s="67">
        <f t="shared" si="897"/>
        <v>0</v>
      </c>
      <c r="J1147" s="12">
        <f t="shared" si="898"/>
        <v>0</v>
      </c>
      <c r="L1147" s="22"/>
      <c r="M1147" s="9"/>
      <c r="N1147" s="10"/>
      <c r="O1147" s="11"/>
      <c r="P1147" s="12">
        <f t="shared" si="899"/>
        <v>0</v>
      </c>
      <c r="Q1147" s="105"/>
      <c r="R1147" s="10"/>
      <c r="S1147" s="11"/>
      <c r="T1147" s="12">
        <f t="shared" si="900"/>
        <v>0</v>
      </c>
      <c r="U1147" s="12">
        <f t="shared" si="901"/>
        <v>0</v>
      </c>
    </row>
    <row r="1148" spans="1:22" x14ac:dyDescent="0.15">
      <c r="A1148" s="24"/>
      <c r="B1148" s="9"/>
      <c r="C1148" s="10"/>
      <c r="D1148" s="11"/>
      <c r="E1148" s="12">
        <f t="shared" si="896"/>
        <v>0</v>
      </c>
      <c r="F1148" s="9"/>
      <c r="G1148" s="10"/>
      <c r="H1148" s="11"/>
      <c r="I1148" s="67">
        <f t="shared" si="897"/>
        <v>0</v>
      </c>
      <c r="J1148" s="12">
        <f t="shared" si="898"/>
        <v>0</v>
      </c>
      <c r="L1148" s="24"/>
      <c r="M1148" s="9"/>
      <c r="N1148" s="10"/>
      <c r="O1148" s="11"/>
      <c r="P1148" s="12">
        <f t="shared" si="899"/>
        <v>0</v>
      </c>
      <c r="Q1148" s="105"/>
      <c r="R1148" s="10"/>
      <c r="S1148" s="11"/>
      <c r="T1148" s="12">
        <f t="shared" si="900"/>
        <v>0</v>
      </c>
      <c r="U1148" s="12">
        <f t="shared" si="901"/>
        <v>0</v>
      </c>
    </row>
    <row r="1149" spans="1:22" x14ac:dyDescent="0.15">
      <c r="A1149" s="24"/>
      <c r="B1149" s="9"/>
      <c r="C1149" s="10"/>
      <c r="D1149" s="11"/>
      <c r="E1149" s="12">
        <f t="shared" si="896"/>
        <v>0</v>
      </c>
      <c r="F1149" s="9"/>
      <c r="G1149" s="10"/>
      <c r="H1149" s="11"/>
      <c r="I1149" s="67">
        <f t="shared" si="897"/>
        <v>0</v>
      </c>
      <c r="J1149" s="12">
        <f t="shared" si="898"/>
        <v>0</v>
      </c>
      <c r="L1149" s="24"/>
      <c r="M1149" s="9"/>
      <c r="N1149" s="10"/>
      <c r="O1149" s="11"/>
      <c r="P1149" s="12">
        <f t="shared" si="899"/>
        <v>0</v>
      </c>
      <c r="Q1149" s="105"/>
      <c r="R1149" s="10"/>
      <c r="S1149" s="11"/>
      <c r="T1149" s="12">
        <f t="shared" si="900"/>
        <v>0</v>
      </c>
      <c r="U1149" s="12">
        <f t="shared" si="901"/>
        <v>0</v>
      </c>
    </row>
    <row r="1150" spans="1:22" x14ac:dyDescent="0.15">
      <c r="A1150" s="21"/>
      <c r="B1150" s="9"/>
      <c r="C1150" s="10"/>
      <c r="D1150" s="11"/>
      <c r="E1150" s="12">
        <f t="shared" si="896"/>
        <v>0</v>
      </c>
      <c r="F1150" s="9"/>
      <c r="G1150" s="10"/>
      <c r="H1150" s="11"/>
      <c r="I1150" s="67">
        <f t="shared" si="897"/>
        <v>0</v>
      </c>
      <c r="J1150" s="12">
        <f t="shared" si="898"/>
        <v>0</v>
      </c>
      <c r="L1150" s="21"/>
      <c r="M1150" s="9"/>
      <c r="N1150" s="10"/>
      <c r="O1150" s="11"/>
      <c r="P1150" s="12">
        <f t="shared" si="899"/>
        <v>0</v>
      </c>
      <c r="Q1150" s="105"/>
      <c r="R1150" s="10"/>
      <c r="S1150" s="11"/>
      <c r="T1150" s="12">
        <f t="shared" si="900"/>
        <v>0</v>
      </c>
      <c r="U1150" s="12">
        <f t="shared" si="901"/>
        <v>0</v>
      </c>
    </row>
    <row r="1151" spans="1:22" x14ac:dyDescent="0.15">
      <c r="A1151" s="21"/>
      <c r="B1151" s="9"/>
      <c r="C1151" s="10"/>
      <c r="D1151" s="11"/>
      <c r="E1151" s="12">
        <f t="shared" si="896"/>
        <v>0</v>
      </c>
      <c r="F1151" s="9"/>
      <c r="G1151" s="10"/>
      <c r="H1151" s="11"/>
      <c r="I1151" s="67">
        <f t="shared" si="897"/>
        <v>0</v>
      </c>
      <c r="J1151" s="12">
        <f t="shared" si="898"/>
        <v>0</v>
      </c>
      <c r="L1151" s="21"/>
      <c r="M1151" s="9"/>
      <c r="N1151" s="10"/>
      <c r="O1151" s="11"/>
      <c r="P1151" s="12">
        <f t="shared" ref="P1151:P1153" si="902">SUM(M1151:O1151)</f>
        <v>0</v>
      </c>
      <c r="Q1151" s="105"/>
      <c r="R1151" s="10"/>
      <c r="S1151" s="11"/>
      <c r="T1151" s="12">
        <f t="shared" ref="T1151:T1153" si="903">SUM(Q1151:S1151)</f>
        <v>0</v>
      </c>
      <c r="U1151" s="12">
        <f t="shared" ref="U1151:U1153" si="904">P1151+T1151</f>
        <v>0</v>
      </c>
    </row>
    <row r="1152" spans="1:22" x14ac:dyDescent="0.15">
      <c r="A1152" s="21"/>
      <c r="B1152" s="9"/>
      <c r="C1152" s="10"/>
      <c r="D1152" s="11"/>
      <c r="E1152" s="12">
        <f t="shared" si="896"/>
        <v>0</v>
      </c>
      <c r="F1152" s="9"/>
      <c r="G1152" s="10"/>
      <c r="H1152" s="11"/>
      <c r="I1152" s="67">
        <f t="shared" si="897"/>
        <v>0</v>
      </c>
      <c r="J1152" s="12">
        <f t="shared" si="898"/>
        <v>0</v>
      </c>
      <c r="L1152" s="21"/>
      <c r="M1152" s="9"/>
      <c r="N1152" s="10"/>
      <c r="O1152" s="11"/>
      <c r="P1152" s="12">
        <f t="shared" si="902"/>
        <v>0</v>
      </c>
      <c r="Q1152" s="105"/>
      <c r="R1152" s="10"/>
      <c r="S1152" s="11"/>
      <c r="T1152" s="12">
        <f t="shared" si="903"/>
        <v>0</v>
      </c>
      <c r="U1152" s="12">
        <f t="shared" si="904"/>
        <v>0</v>
      </c>
    </row>
    <row r="1153" spans="1:22" x14ac:dyDescent="0.15">
      <c r="A1153" s="24"/>
      <c r="B1153" s="13"/>
      <c r="C1153" s="14"/>
      <c r="D1153" s="15"/>
      <c r="E1153" s="12">
        <f t="shared" si="896"/>
        <v>0</v>
      </c>
      <c r="F1153" s="13"/>
      <c r="G1153" s="14"/>
      <c r="H1153" s="15"/>
      <c r="I1153" s="67">
        <f t="shared" si="897"/>
        <v>0</v>
      </c>
      <c r="J1153" s="12">
        <f t="shared" si="898"/>
        <v>0</v>
      </c>
      <c r="L1153" s="21"/>
      <c r="M1153" s="9"/>
      <c r="N1153" s="10"/>
      <c r="O1153" s="11"/>
      <c r="P1153" s="12">
        <f t="shared" si="902"/>
        <v>0</v>
      </c>
      <c r="Q1153" s="105"/>
      <c r="R1153" s="10"/>
      <c r="S1153" s="11"/>
      <c r="T1153" s="12">
        <f t="shared" si="903"/>
        <v>0</v>
      </c>
      <c r="U1153" s="12">
        <f t="shared" si="904"/>
        <v>0</v>
      </c>
    </row>
    <row r="1154" spans="1:22" x14ac:dyDescent="0.15">
      <c r="A1154" s="24"/>
      <c r="B1154" s="9"/>
      <c r="C1154" s="10"/>
      <c r="D1154" s="11"/>
      <c r="E1154" s="12">
        <f t="shared" si="896"/>
        <v>0</v>
      </c>
      <c r="F1154" s="9"/>
      <c r="G1154" s="10"/>
      <c r="H1154" s="11"/>
      <c r="I1154" s="67">
        <f t="shared" si="897"/>
        <v>0</v>
      </c>
      <c r="J1154" s="12">
        <f t="shared" si="898"/>
        <v>0</v>
      </c>
      <c r="L1154" s="97" t="s">
        <v>558</v>
      </c>
      <c r="M1154" s="98"/>
      <c r="N1154" s="99"/>
      <c r="O1154" s="100"/>
      <c r="P1154" s="101">
        <f t="shared" si="899"/>
        <v>0</v>
      </c>
      <c r="Q1154" s="185"/>
      <c r="R1154" s="99"/>
      <c r="S1154" s="100"/>
      <c r="T1154" s="101">
        <f t="shared" si="900"/>
        <v>0</v>
      </c>
      <c r="U1154" s="101">
        <f t="shared" ref="U1154:U1157" si="905">P1154+T1154</f>
        <v>0</v>
      </c>
      <c r="V1154" s="103"/>
    </row>
    <row r="1155" spans="1:22" x14ac:dyDescent="0.15">
      <c r="A1155" s="7"/>
      <c r="B1155" s="9"/>
      <c r="C1155" s="10"/>
      <c r="D1155" s="11"/>
      <c r="E1155" s="12">
        <f t="shared" si="896"/>
        <v>0</v>
      </c>
      <c r="F1155" s="9"/>
      <c r="G1155" s="10"/>
      <c r="H1155" s="11"/>
      <c r="I1155" s="67">
        <f t="shared" si="897"/>
        <v>0</v>
      </c>
      <c r="J1155" s="12">
        <f t="shared" si="898"/>
        <v>0</v>
      </c>
      <c r="L1155" s="22" t="s">
        <v>557</v>
      </c>
      <c r="M1155" s="9"/>
      <c r="N1155" s="10"/>
      <c r="O1155" s="11"/>
      <c r="P1155" s="12">
        <f t="shared" si="899"/>
        <v>0</v>
      </c>
      <c r="Q1155" s="105"/>
      <c r="R1155" s="10"/>
      <c r="S1155" s="11"/>
      <c r="T1155" s="12">
        <f t="shared" si="900"/>
        <v>0</v>
      </c>
      <c r="U1155" s="12">
        <f t="shared" si="905"/>
        <v>0</v>
      </c>
      <c r="V1155" s="89" t="s">
        <v>559</v>
      </c>
    </row>
    <row r="1156" spans="1:22" x14ac:dyDescent="0.15">
      <c r="A1156" s="59"/>
      <c r="B1156" s="9"/>
      <c r="C1156" s="10"/>
      <c r="D1156" s="11"/>
      <c r="E1156" s="12">
        <f t="shared" si="896"/>
        <v>0</v>
      </c>
      <c r="F1156" s="9"/>
      <c r="G1156" s="10"/>
      <c r="H1156" s="11"/>
      <c r="I1156" s="67">
        <f t="shared" si="897"/>
        <v>0</v>
      </c>
      <c r="J1156" s="12">
        <f t="shared" si="898"/>
        <v>0</v>
      </c>
      <c r="L1156" s="97" t="s">
        <v>621</v>
      </c>
      <c r="M1156" s="98"/>
      <c r="N1156" s="99"/>
      <c r="O1156" s="100"/>
      <c r="P1156" s="101">
        <f t="shared" si="899"/>
        <v>0</v>
      </c>
      <c r="Q1156" s="185"/>
      <c r="R1156" s="99"/>
      <c r="S1156" s="100"/>
      <c r="T1156" s="101">
        <f t="shared" si="900"/>
        <v>0</v>
      </c>
      <c r="U1156" s="101">
        <f t="shared" si="905"/>
        <v>0</v>
      </c>
      <c r="V1156" s="89"/>
    </row>
    <row r="1157" spans="1:22" ht="14.25" thickBot="1" x14ac:dyDescent="0.2">
      <c r="A1157" s="59"/>
      <c r="B1157" s="9"/>
      <c r="C1157" s="10"/>
      <c r="D1157" s="11"/>
      <c r="E1157" s="12">
        <f t="shared" si="896"/>
        <v>0</v>
      </c>
      <c r="F1157" s="9"/>
      <c r="G1157" s="10"/>
      <c r="H1157" s="11"/>
      <c r="I1157" s="67">
        <f t="shared" si="897"/>
        <v>0</v>
      </c>
      <c r="J1157" s="12">
        <f t="shared" si="898"/>
        <v>0</v>
      </c>
      <c r="L1157" s="22" t="s">
        <v>620</v>
      </c>
      <c r="M1157" s="9"/>
      <c r="N1157" s="10"/>
      <c r="O1157" s="11"/>
      <c r="P1157" s="12">
        <f t="shared" si="899"/>
        <v>0</v>
      </c>
      <c r="Q1157" s="9"/>
      <c r="R1157" s="10"/>
      <c r="S1157" s="11"/>
      <c r="T1157" s="12">
        <f t="shared" si="900"/>
        <v>0</v>
      </c>
      <c r="U1157" s="12">
        <f t="shared" si="905"/>
        <v>0</v>
      </c>
      <c r="V1157" s="89" t="s">
        <v>554</v>
      </c>
    </row>
    <row r="1158" spans="1:22" ht="14.25" thickBot="1" x14ac:dyDescent="0.2">
      <c r="A1158" s="37" t="s">
        <v>17</v>
      </c>
      <c r="B1158" s="38">
        <f>SUM(B1132:B1157)</f>
        <v>12</v>
      </c>
      <c r="C1158" s="39">
        <f>SUM(C1132:C1157)</f>
        <v>13</v>
      </c>
      <c r="D1158" s="40">
        <f>SUM(D1132:D1157)</f>
        <v>17</v>
      </c>
      <c r="E1158" s="41">
        <f>SUM(B1158:D1158)</f>
        <v>42</v>
      </c>
      <c r="F1158" s="38">
        <f>SUM(F1132:F1157)</f>
        <v>26</v>
      </c>
      <c r="G1158" s="39">
        <f>SUM(G1132:G1157)</f>
        <v>11</v>
      </c>
      <c r="H1158" s="40">
        <f>SUM(H1132:H1157)</f>
        <v>7</v>
      </c>
      <c r="I1158" s="41">
        <f>SUM(F1158:H1158)</f>
        <v>44</v>
      </c>
      <c r="J1158" s="42">
        <f t="shared" si="898"/>
        <v>86</v>
      </c>
      <c r="L1158" s="37" t="s">
        <v>17</v>
      </c>
      <c r="M1158" s="38">
        <f>SUM(M1132:M1157)</f>
        <v>20</v>
      </c>
      <c r="N1158" s="39">
        <f>SUM(N1132:N1157)</f>
        <v>27</v>
      </c>
      <c r="O1158" s="40">
        <f>SUM(O1132:O1157)</f>
        <v>15</v>
      </c>
      <c r="P1158" s="41">
        <f>SUM(M1158:O1158)</f>
        <v>62</v>
      </c>
      <c r="Q1158" s="38">
        <f>SUM(Q1132:Q1157)</f>
        <v>29</v>
      </c>
      <c r="R1158" s="39">
        <f>SUM(R1132:R1157)</f>
        <v>17</v>
      </c>
      <c r="S1158" s="40">
        <f>SUM(S1132:S1157)</f>
        <v>8</v>
      </c>
      <c r="T1158" s="41">
        <f>SUM(Q1158:S1158)</f>
        <v>54</v>
      </c>
      <c r="U1158" s="42">
        <f t="shared" si="901"/>
        <v>116</v>
      </c>
    </row>
    <row r="1159" spans="1:22" ht="14.25" thickBot="1" x14ac:dyDescent="0.2">
      <c r="A1159" s="20" t="s">
        <v>18</v>
      </c>
      <c r="B1159" s="63">
        <f>B1131-B1158</f>
        <v>7</v>
      </c>
      <c r="C1159" s="64">
        <f t="shared" ref="C1159:E1159" si="906">C1131-C1158</f>
        <v>4</v>
      </c>
      <c r="D1159" s="65">
        <f t="shared" si="906"/>
        <v>7</v>
      </c>
      <c r="E1159" s="65">
        <f t="shared" si="906"/>
        <v>18</v>
      </c>
      <c r="F1159" s="63">
        <f>F1131-F1158</f>
        <v>6</v>
      </c>
      <c r="G1159" s="64">
        <f t="shared" ref="G1159:I1159" si="907">G1131-G1158</f>
        <v>5</v>
      </c>
      <c r="H1159" s="65">
        <f t="shared" si="907"/>
        <v>4</v>
      </c>
      <c r="I1159" s="65">
        <f t="shared" si="907"/>
        <v>15</v>
      </c>
      <c r="J1159" s="29">
        <f t="shared" si="898"/>
        <v>33</v>
      </c>
      <c r="L1159" s="112" t="s">
        <v>18</v>
      </c>
      <c r="M1159" s="63">
        <f>M1131-M1158</f>
        <v>288</v>
      </c>
      <c r="N1159" s="64">
        <f t="shared" ref="N1159:P1159" si="908">N1131-N1158</f>
        <v>377</v>
      </c>
      <c r="O1159" s="65">
        <f t="shared" si="908"/>
        <v>405</v>
      </c>
      <c r="P1159" s="65">
        <f t="shared" si="908"/>
        <v>1070</v>
      </c>
      <c r="Q1159" s="63">
        <f>Q1131-Q1158</f>
        <v>374</v>
      </c>
      <c r="R1159" s="64">
        <f t="shared" ref="R1159:T1159" si="909">R1131-R1158</f>
        <v>487</v>
      </c>
      <c r="S1159" s="65">
        <f t="shared" si="909"/>
        <v>416</v>
      </c>
      <c r="T1159" s="65">
        <f t="shared" si="909"/>
        <v>1277</v>
      </c>
      <c r="U1159" s="29">
        <f t="shared" si="901"/>
        <v>2347</v>
      </c>
    </row>
    <row r="1160" spans="1:22" x14ac:dyDescent="0.15">
      <c r="M1160" s="79">
        <f>M1159/$P$1159*100</f>
        <v>26.915887850467289</v>
      </c>
      <c r="N1160" s="79">
        <f t="shared" ref="N1160:P1160" si="910">N1159/$P$1159*100</f>
        <v>35.233644859813083</v>
      </c>
      <c r="O1160" s="79">
        <f t="shared" si="910"/>
        <v>37.850467289719624</v>
      </c>
      <c r="P1160" s="79">
        <f t="shared" si="910"/>
        <v>100</v>
      </c>
      <c r="Q1160" s="79">
        <f>Q1159/$T$1159*100</f>
        <v>29.287392325763506</v>
      </c>
      <c r="R1160" s="79">
        <f t="shared" ref="R1160:T1160" si="911">R1159/$T$1159*100</f>
        <v>38.136256851996869</v>
      </c>
      <c r="S1160" s="79">
        <f t="shared" si="911"/>
        <v>32.576350822239625</v>
      </c>
      <c r="T1160" s="79">
        <f t="shared" si="911"/>
        <v>100</v>
      </c>
    </row>
    <row r="1161" spans="1:22" x14ac:dyDescent="0.15">
      <c r="M1161" s="78">
        <v>34.5</v>
      </c>
      <c r="N1161" s="78">
        <v>37.299999999999997</v>
      </c>
      <c r="O1161" s="78">
        <v>28.2</v>
      </c>
      <c r="P1161" s="78">
        <f>SUM(M1161:O1161)</f>
        <v>100</v>
      </c>
      <c r="Q1161" s="78">
        <v>35.5</v>
      </c>
      <c r="R1161" s="78">
        <v>37.9</v>
      </c>
      <c r="S1161" s="78">
        <v>26.6</v>
      </c>
      <c r="T1161" s="78">
        <f>SUM(Q1161:S1161)</f>
        <v>100</v>
      </c>
    </row>
    <row r="1162" spans="1:22" ht="19.5" thickBot="1" x14ac:dyDescent="0.25">
      <c r="A1162" s="3" t="s">
        <v>209</v>
      </c>
      <c r="B1162" s="1"/>
      <c r="C1162" s="1"/>
      <c r="D1162" s="1"/>
      <c r="E1162" s="1"/>
      <c r="F1162" s="1"/>
      <c r="G1162" s="1"/>
      <c r="H1162" s="1"/>
      <c r="I1162" s="1"/>
      <c r="J1162" s="1"/>
      <c r="L1162" s="226" t="s">
        <v>208</v>
      </c>
      <c r="M1162" s="226"/>
      <c r="N1162" s="226"/>
      <c r="O1162" s="226"/>
      <c r="P1162" s="226"/>
      <c r="Q1162" s="1"/>
      <c r="R1162" s="1"/>
      <c r="S1162" s="1"/>
      <c r="T1162" s="1" t="s">
        <v>422</v>
      </c>
      <c r="U1162" s="1"/>
    </row>
    <row r="1163" spans="1:22" ht="14.25" thickBot="1" x14ac:dyDescent="0.2">
      <c r="A1163" s="8" t="s">
        <v>0</v>
      </c>
      <c r="B1163" s="227" t="s">
        <v>19</v>
      </c>
      <c r="C1163" s="228"/>
      <c r="D1163" s="228"/>
      <c r="E1163" s="229"/>
      <c r="F1163" s="230" t="s">
        <v>20</v>
      </c>
      <c r="G1163" s="231"/>
      <c r="H1163" s="231"/>
      <c r="I1163" s="232"/>
      <c r="J1163" s="233" t="s">
        <v>1</v>
      </c>
      <c r="L1163" s="8" t="s">
        <v>0</v>
      </c>
      <c r="M1163" s="235" t="s">
        <v>19</v>
      </c>
      <c r="N1163" s="236"/>
      <c r="O1163" s="236"/>
      <c r="P1163" s="237"/>
      <c r="Q1163" s="238" t="s">
        <v>20</v>
      </c>
      <c r="R1163" s="239"/>
      <c r="S1163" s="239"/>
      <c r="T1163" s="240"/>
      <c r="U1163" s="224" t="s">
        <v>1</v>
      </c>
    </row>
    <row r="1164" spans="1:22" ht="14.25" thickBot="1" x14ac:dyDescent="0.2">
      <c r="A1164" s="8" t="s">
        <v>2</v>
      </c>
      <c r="B1164" s="69" t="s">
        <v>3</v>
      </c>
      <c r="C1164" s="70" t="s">
        <v>4</v>
      </c>
      <c r="D1164" s="71" t="s">
        <v>5</v>
      </c>
      <c r="E1164" s="8" t="s">
        <v>6</v>
      </c>
      <c r="F1164" s="4" t="s">
        <v>3</v>
      </c>
      <c r="G1164" s="5" t="s">
        <v>4</v>
      </c>
      <c r="H1164" s="6" t="s">
        <v>5</v>
      </c>
      <c r="I1164" s="8" t="s">
        <v>6</v>
      </c>
      <c r="J1164" s="234"/>
      <c r="L1164" s="8" t="s">
        <v>2</v>
      </c>
      <c r="M1164" s="69" t="s">
        <v>3</v>
      </c>
      <c r="N1164" s="70" t="s">
        <v>4</v>
      </c>
      <c r="O1164" s="71" t="s">
        <v>5</v>
      </c>
      <c r="P1164" s="8" t="s">
        <v>6</v>
      </c>
      <c r="Q1164" s="4" t="s">
        <v>3</v>
      </c>
      <c r="R1164" s="5" t="s">
        <v>4</v>
      </c>
      <c r="S1164" s="6" t="s">
        <v>5</v>
      </c>
      <c r="T1164" s="8" t="s">
        <v>6</v>
      </c>
      <c r="U1164" s="225"/>
    </row>
    <row r="1165" spans="1:22" ht="14.25" thickBot="1" x14ac:dyDescent="0.2">
      <c r="A1165" s="25" t="s">
        <v>18</v>
      </c>
      <c r="B1165" s="26">
        <f>B1159</f>
        <v>7</v>
      </c>
      <c r="C1165" s="27">
        <f t="shared" ref="C1165:D1165" si="912">C1159</f>
        <v>4</v>
      </c>
      <c r="D1165" s="49">
        <f t="shared" si="912"/>
        <v>7</v>
      </c>
      <c r="E1165" s="68">
        <f t="shared" ref="E1165:E1173" si="913">SUM(B1165:D1165)</f>
        <v>18</v>
      </c>
      <c r="F1165" s="26">
        <f>F1159</f>
        <v>6</v>
      </c>
      <c r="G1165" s="27">
        <f t="shared" ref="G1165:H1165" si="914">G1159</f>
        <v>5</v>
      </c>
      <c r="H1165" s="49">
        <f t="shared" si="914"/>
        <v>4</v>
      </c>
      <c r="I1165" s="33">
        <f t="shared" ref="I1165:I1173" si="915">SUM(F1165:H1165)</f>
        <v>15</v>
      </c>
      <c r="J1165" s="33">
        <f>E1165+I1165</f>
        <v>33</v>
      </c>
      <c r="L1165" s="25" t="s">
        <v>18</v>
      </c>
      <c r="M1165" s="26">
        <f>M1159</f>
        <v>288</v>
      </c>
      <c r="N1165" s="27">
        <f t="shared" ref="N1165:O1165" si="916">N1159</f>
        <v>377</v>
      </c>
      <c r="O1165" s="49">
        <f t="shared" si="916"/>
        <v>405</v>
      </c>
      <c r="P1165" s="107">
        <f t="shared" ref="P1165:P1173" si="917">SUM(M1165:O1165)</f>
        <v>1070</v>
      </c>
      <c r="Q1165" s="26">
        <f>Q1159</f>
        <v>374</v>
      </c>
      <c r="R1165" s="27">
        <f t="shared" ref="R1165:S1165" si="918">R1159</f>
        <v>487</v>
      </c>
      <c r="S1165" s="49">
        <f t="shared" si="918"/>
        <v>416</v>
      </c>
      <c r="T1165" s="29">
        <f t="shared" ref="T1165:T1173" si="919">SUM(Q1165:S1165)</f>
        <v>1277</v>
      </c>
      <c r="U1165" s="29">
        <f>P1165+T1165</f>
        <v>2347</v>
      </c>
    </row>
    <row r="1166" spans="1:22" x14ac:dyDescent="0.15">
      <c r="A1166" s="23" t="s">
        <v>8</v>
      </c>
      <c r="B1166" s="47"/>
      <c r="C1166" s="48"/>
      <c r="D1166" s="72"/>
      <c r="E1166" s="42">
        <f t="shared" si="913"/>
        <v>0</v>
      </c>
      <c r="F1166" s="38"/>
      <c r="G1166" s="39"/>
      <c r="H1166" s="40"/>
      <c r="I1166" s="66">
        <f t="shared" si="915"/>
        <v>0</v>
      </c>
      <c r="J1166" s="57">
        <f t="shared" ref="J1166:J1173" si="920">E1166+I1166</f>
        <v>0</v>
      </c>
      <c r="L1166" s="23" t="s">
        <v>8</v>
      </c>
      <c r="M1166" s="16"/>
      <c r="N1166" s="17"/>
      <c r="O1166" s="43"/>
      <c r="P1166" s="94">
        <f t="shared" si="917"/>
        <v>0</v>
      </c>
      <c r="Q1166" s="16"/>
      <c r="R1166" s="17"/>
      <c r="S1166" s="43"/>
      <c r="T1166" s="94">
        <f t="shared" si="919"/>
        <v>0</v>
      </c>
      <c r="U1166" s="94">
        <f t="shared" ref="U1166:U1173" si="921">P1166+T1166</f>
        <v>0</v>
      </c>
    </row>
    <row r="1167" spans="1:22" x14ac:dyDescent="0.15">
      <c r="A1167" s="23" t="s">
        <v>9</v>
      </c>
      <c r="B1167" s="9"/>
      <c r="C1167" s="10"/>
      <c r="D1167" s="44"/>
      <c r="E1167" s="12">
        <f t="shared" si="913"/>
        <v>0</v>
      </c>
      <c r="F1167" s="9"/>
      <c r="G1167" s="10"/>
      <c r="H1167" s="44"/>
      <c r="I1167" s="12">
        <f t="shared" si="915"/>
        <v>0</v>
      </c>
      <c r="J1167" s="12">
        <f t="shared" si="920"/>
        <v>0</v>
      </c>
      <c r="L1167" s="23" t="s">
        <v>9</v>
      </c>
      <c r="M1167" s="9"/>
      <c r="N1167" s="10"/>
      <c r="O1167" s="44"/>
      <c r="P1167" s="12">
        <f t="shared" si="917"/>
        <v>0</v>
      </c>
      <c r="Q1167" s="9"/>
      <c r="R1167" s="10"/>
      <c r="S1167" s="44"/>
      <c r="T1167" s="12">
        <f t="shared" si="919"/>
        <v>0</v>
      </c>
      <c r="U1167" s="12">
        <f t="shared" si="921"/>
        <v>0</v>
      </c>
    </row>
    <row r="1168" spans="1:22" x14ac:dyDescent="0.15">
      <c r="A1168" s="23" t="s">
        <v>10</v>
      </c>
      <c r="B1168" s="16"/>
      <c r="C1168" s="17"/>
      <c r="D1168" s="43"/>
      <c r="E1168" s="12">
        <f t="shared" si="913"/>
        <v>0</v>
      </c>
      <c r="F1168" s="16"/>
      <c r="G1168" s="17"/>
      <c r="H1168" s="43"/>
      <c r="I1168" s="12">
        <f t="shared" si="915"/>
        <v>0</v>
      </c>
      <c r="J1168" s="12">
        <f t="shared" si="920"/>
        <v>0</v>
      </c>
      <c r="L1168" s="23" t="s">
        <v>10</v>
      </c>
      <c r="M1168" s="9"/>
      <c r="N1168" s="10"/>
      <c r="O1168" s="44"/>
      <c r="P1168" s="12">
        <f t="shared" si="917"/>
        <v>0</v>
      </c>
      <c r="Q1168" s="9"/>
      <c r="R1168" s="10"/>
      <c r="S1168" s="44"/>
      <c r="T1168" s="12">
        <f t="shared" si="919"/>
        <v>0</v>
      </c>
      <c r="U1168" s="12">
        <f t="shared" si="921"/>
        <v>0</v>
      </c>
    </row>
    <row r="1169" spans="1:22" x14ac:dyDescent="0.15">
      <c r="A1169" s="23" t="s">
        <v>11</v>
      </c>
      <c r="B1169" s="16"/>
      <c r="C1169" s="17"/>
      <c r="D1169" s="43"/>
      <c r="E1169" s="12">
        <f t="shared" si="913"/>
        <v>0</v>
      </c>
      <c r="F1169" s="16"/>
      <c r="G1169" s="17"/>
      <c r="H1169" s="43"/>
      <c r="I1169" s="12">
        <f t="shared" si="915"/>
        <v>0</v>
      </c>
      <c r="J1169" s="12">
        <f t="shared" si="920"/>
        <v>0</v>
      </c>
      <c r="L1169" s="23" t="s">
        <v>531</v>
      </c>
      <c r="M1169" s="9">
        <v>400</v>
      </c>
      <c r="N1169" s="10">
        <v>300</v>
      </c>
      <c r="O1169" s="44">
        <v>300</v>
      </c>
      <c r="P1169" s="12">
        <f t="shared" si="917"/>
        <v>1000</v>
      </c>
      <c r="Q1169" s="9">
        <v>400</v>
      </c>
      <c r="R1169" s="10">
        <v>350</v>
      </c>
      <c r="S1169" s="44">
        <v>250</v>
      </c>
      <c r="T1169" s="12">
        <f t="shared" si="919"/>
        <v>1000</v>
      </c>
      <c r="U1169" s="12">
        <f t="shared" si="921"/>
        <v>2000</v>
      </c>
      <c r="V1169" s="89" t="s">
        <v>638</v>
      </c>
    </row>
    <row r="1170" spans="1:22" x14ac:dyDescent="0.15">
      <c r="A1170" s="23" t="s">
        <v>12</v>
      </c>
      <c r="B1170" s="9"/>
      <c r="C1170" s="10"/>
      <c r="D1170" s="44"/>
      <c r="E1170" s="12">
        <f t="shared" si="913"/>
        <v>0</v>
      </c>
      <c r="F1170" s="9"/>
      <c r="G1170" s="10"/>
      <c r="H1170" s="44"/>
      <c r="I1170" s="67">
        <f t="shared" si="915"/>
        <v>0</v>
      </c>
      <c r="J1170" s="12">
        <f t="shared" si="920"/>
        <v>0</v>
      </c>
      <c r="L1170" s="23" t="s">
        <v>633</v>
      </c>
      <c r="M1170" s="16">
        <v>19</v>
      </c>
      <c r="N1170" s="17">
        <v>16</v>
      </c>
      <c r="O1170" s="43">
        <v>-27</v>
      </c>
      <c r="P1170" s="94">
        <f t="shared" si="917"/>
        <v>8</v>
      </c>
      <c r="Q1170" s="16">
        <v>48</v>
      </c>
      <c r="R1170" s="17">
        <v>0</v>
      </c>
      <c r="S1170" s="43">
        <v>0</v>
      </c>
      <c r="T1170" s="94">
        <f t="shared" si="919"/>
        <v>48</v>
      </c>
      <c r="U1170" s="94">
        <f t="shared" si="921"/>
        <v>56</v>
      </c>
      <c r="V1170" s="89" t="s">
        <v>628</v>
      </c>
    </row>
    <row r="1171" spans="1:22" x14ac:dyDescent="0.15">
      <c r="A1171" s="23" t="s">
        <v>13</v>
      </c>
      <c r="B1171" s="9"/>
      <c r="C1171" s="10"/>
      <c r="D1171" s="44"/>
      <c r="E1171" s="12">
        <f t="shared" si="913"/>
        <v>0</v>
      </c>
      <c r="F1171" s="9"/>
      <c r="G1171" s="10"/>
      <c r="H1171" s="44"/>
      <c r="I1171" s="67">
        <f t="shared" si="915"/>
        <v>0</v>
      </c>
      <c r="J1171" s="12">
        <f t="shared" si="920"/>
        <v>0</v>
      </c>
      <c r="L1171" s="23" t="s">
        <v>13</v>
      </c>
      <c r="M1171" s="9"/>
      <c r="N1171" s="10"/>
      <c r="O1171" s="44"/>
      <c r="P1171" s="12">
        <f t="shared" si="917"/>
        <v>0</v>
      </c>
      <c r="Q1171" s="9"/>
      <c r="R1171" s="10"/>
      <c r="S1171" s="44"/>
      <c r="T1171" s="67">
        <f t="shared" si="919"/>
        <v>0</v>
      </c>
      <c r="U1171" s="12">
        <f t="shared" si="921"/>
        <v>0</v>
      </c>
    </row>
    <row r="1172" spans="1:22" x14ac:dyDescent="0.15">
      <c r="A1172" s="23" t="s">
        <v>14</v>
      </c>
      <c r="B1172" s="13"/>
      <c r="C1172" s="14"/>
      <c r="D1172" s="45"/>
      <c r="E1172" s="12">
        <f t="shared" si="913"/>
        <v>0</v>
      </c>
      <c r="F1172" s="13"/>
      <c r="G1172" s="14"/>
      <c r="H1172" s="45"/>
      <c r="I1172" s="67">
        <f t="shared" si="915"/>
        <v>0</v>
      </c>
      <c r="J1172" s="12">
        <f t="shared" si="920"/>
        <v>0</v>
      </c>
      <c r="L1172" s="23" t="s">
        <v>14</v>
      </c>
      <c r="M1172" s="13"/>
      <c r="N1172" s="14"/>
      <c r="O1172" s="45"/>
      <c r="P1172" s="12">
        <f t="shared" si="917"/>
        <v>0</v>
      </c>
      <c r="Q1172" s="13"/>
      <c r="R1172" s="14"/>
      <c r="S1172" s="45"/>
      <c r="T1172" s="67">
        <f t="shared" si="919"/>
        <v>0</v>
      </c>
      <c r="U1172" s="12">
        <f t="shared" si="921"/>
        <v>0</v>
      </c>
    </row>
    <row r="1173" spans="1:22" ht="14.25" thickBot="1" x14ac:dyDescent="0.2">
      <c r="A1173" s="23" t="s">
        <v>15</v>
      </c>
      <c r="B1173" s="30"/>
      <c r="C1173" s="31"/>
      <c r="D1173" s="46"/>
      <c r="E1173" s="12">
        <f t="shared" si="913"/>
        <v>0</v>
      </c>
      <c r="F1173" s="30"/>
      <c r="G1173" s="31"/>
      <c r="H1173" s="46"/>
      <c r="I1173" s="67">
        <f t="shared" si="915"/>
        <v>0</v>
      </c>
      <c r="J1173" s="19">
        <f t="shared" si="920"/>
        <v>0</v>
      </c>
      <c r="L1173" s="23" t="s">
        <v>15</v>
      </c>
      <c r="M1173" s="13"/>
      <c r="N1173" s="14"/>
      <c r="O1173" s="45"/>
      <c r="P1173" s="12">
        <f t="shared" si="917"/>
        <v>0</v>
      </c>
      <c r="Q1173" s="13"/>
      <c r="R1173" s="14"/>
      <c r="S1173" s="45"/>
      <c r="T1173" s="67">
        <f t="shared" si="919"/>
        <v>0</v>
      </c>
      <c r="U1173" s="12">
        <f t="shared" si="921"/>
        <v>0</v>
      </c>
    </row>
    <row r="1174" spans="1:22" ht="14.25" thickBot="1" x14ac:dyDescent="0.2">
      <c r="A1174" s="32" t="s">
        <v>16</v>
      </c>
      <c r="B1174" s="26">
        <f>SUM(B1165:B1173)</f>
        <v>7</v>
      </c>
      <c r="C1174" s="27">
        <f t="shared" ref="C1174:J1174" si="922">SUM(C1165:C1173)</f>
        <v>4</v>
      </c>
      <c r="D1174" s="49">
        <f t="shared" si="922"/>
        <v>7</v>
      </c>
      <c r="E1174" s="75">
        <f t="shared" si="922"/>
        <v>18</v>
      </c>
      <c r="F1174" s="26">
        <f t="shared" si="922"/>
        <v>6</v>
      </c>
      <c r="G1174" s="27">
        <f t="shared" si="922"/>
        <v>5</v>
      </c>
      <c r="H1174" s="49">
        <f t="shared" si="922"/>
        <v>4</v>
      </c>
      <c r="I1174" s="74">
        <f t="shared" si="922"/>
        <v>15</v>
      </c>
      <c r="J1174" s="29">
        <f t="shared" si="922"/>
        <v>33</v>
      </c>
      <c r="L1174" s="32" t="s">
        <v>16</v>
      </c>
      <c r="M1174" s="26">
        <f>SUM(M1165:M1173)</f>
        <v>707</v>
      </c>
      <c r="N1174" s="27">
        <f t="shared" ref="N1174:U1174" si="923">SUM(N1165:N1173)</f>
        <v>693</v>
      </c>
      <c r="O1174" s="49">
        <f t="shared" si="923"/>
        <v>678</v>
      </c>
      <c r="P1174" s="75">
        <f t="shared" si="923"/>
        <v>2078</v>
      </c>
      <c r="Q1174" s="26">
        <f t="shared" si="923"/>
        <v>822</v>
      </c>
      <c r="R1174" s="27">
        <f t="shared" si="923"/>
        <v>837</v>
      </c>
      <c r="S1174" s="49">
        <f t="shared" si="923"/>
        <v>666</v>
      </c>
      <c r="T1174" s="74">
        <f t="shared" si="923"/>
        <v>2325</v>
      </c>
      <c r="U1174" s="29">
        <f t="shared" si="923"/>
        <v>4403</v>
      </c>
    </row>
    <row r="1175" spans="1:22" x14ac:dyDescent="0.15">
      <c r="A1175" s="22"/>
      <c r="B1175" s="54"/>
      <c r="C1175" s="55"/>
      <c r="D1175" s="56"/>
      <c r="E1175" s="42">
        <f t="shared" ref="E1175:E1200" si="924">SUM(B1175:D1175)</f>
        <v>0</v>
      </c>
      <c r="F1175" s="54"/>
      <c r="G1175" s="55"/>
      <c r="H1175" s="56"/>
      <c r="I1175" s="66">
        <f t="shared" ref="I1175:I1200" si="925">SUM(F1175:H1175)</f>
        <v>0</v>
      </c>
      <c r="J1175" s="57">
        <f t="shared" ref="J1175:J1202" si="926">E1175+I1175</f>
        <v>0</v>
      </c>
      <c r="L1175" s="134" t="s">
        <v>642</v>
      </c>
      <c r="M1175" s="219">
        <v>75</v>
      </c>
      <c r="N1175" s="220">
        <v>75</v>
      </c>
      <c r="O1175" s="221">
        <v>100</v>
      </c>
      <c r="P1175" s="33">
        <f t="shared" ref="P1175:P1200" si="927">SUM(M1175:O1175)</f>
        <v>250</v>
      </c>
      <c r="Q1175" s="222">
        <v>75</v>
      </c>
      <c r="R1175" s="220">
        <v>75</v>
      </c>
      <c r="S1175" s="221">
        <v>100</v>
      </c>
      <c r="T1175" s="33">
        <f t="shared" ref="T1175:T1200" si="928">SUM(Q1175:S1175)</f>
        <v>250</v>
      </c>
      <c r="U1175" s="223">
        <f t="shared" ref="U1175:U1202" si="929">P1175+T1175</f>
        <v>500</v>
      </c>
      <c r="V1175" s="212">
        <v>46193</v>
      </c>
    </row>
    <row r="1176" spans="1:22" x14ac:dyDescent="0.15">
      <c r="A1176" s="24"/>
      <c r="B1176" s="16"/>
      <c r="C1176" s="17"/>
      <c r="D1176" s="18"/>
      <c r="E1176" s="12">
        <f t="shared" si="924"/>
        <v>0</v>
      </c>
      <c r="F1176" s="16"/>
      <c r="G1176" s="17"/>
      <c r="H1176" s="18"/>
      <c r="I1176" s="67">
        <f t="shared" si="925"/>
        <v>0</v>
      </c>
      <c r="J1176" s="12">
        <f t="shared" si="926"/>
        <v>0</v>
      </c>
      <c r="L1176" s="24"/>
      <c r="M1176" s="16"/>
      <c r="N1176" s="17"/>
      <c r="O1176" s="18"/>
      <c r="P1176" s="12">
        <f t="shared" si="927"/>
        <v>0</v>
      </c>
      <c r="Q1176" s="153"/>
      <c r="R1176" s="17"/>
      <c r="S1176" s="18"/>
      <c r="T1176" s="12">
        <f t="shared" si="928"/>
        <v>0</v>
      </c>
      <c r="U1176" s="12">
        <f t="shared" si="929"/>
        <v>0</v>
      </c>
    </row>
    <row r="1177" spans="1:22" x14ac:dyDescent="0.15">
      <c r="A1177" s="22"/>
      <c r="B1177" s="9"/>
      <c r="C1177" s="10"/>
      <c r="D1177" s="11"/>
      <c r="E1177" s="12">
        <f t="shared" si="924"/>
        <v>0</v>
      </c>
      <c r="F1177" s="9"/>
      <c r="G1177" s="10"/>
      <c r="H1177" s="11"/>
      <c r="I1177" s="67">
        <f t="shared" si="925"/>
        <v>0</v>
      </c>
      <c r="J1177" s="12">
        <f t="shared" si="926"/>
        <v>0</v>
      </c>
      <c r="L1177" s="22"/>
      <c r="M1177" s="9"/>
      <c r="N1177" s="10"/>
      <c r="O1177" s="11"/>
      <c r="P1177" s="12">
        <f t="shared" si="927"/>
        <v>0</v>
      </c>
      <c r="Q1177" s="105"/>
      <c r="R1177" s="10"/>
      <c r="S1177" s="11"/>
      <c r="T1177" s="12">
        <f t="shared" si="928"/>
        <v>0</v>
      </c>
      <c r="U1177" s="12">
        <f t="shared" si="929"/>
        <v>0</v>
      </c>
    </row>
    <row r="1178" spans="1:22" x14ac:dyDescent="0.15">
      <c r="A1178" s="24"/>
      <c r="B1178" s="9"/>
      <c r="C1178" s="10"/>
      <c r="D1178" s="11"/>
      <c r="E1178" s="12">
        <f t="shared" si="924"/>
        <v>0</v>
      </c>
      <c r="F1178" s="9"/>
      <c r="G1178" s="10"/>
      <c r="H1178" s="11"/>
      <c r="I1178" s="67">
        <f t="shared" si="925"/>
        <v>0</v>
      </c>
      <c r="J1178" s="12">
        <f t="shared" si="926"/>
        <v>0</v>
      </c>
      <c r="L1178" s="24"/>
      <c r="M1178" s="9"/>
      <c r="N1178" s="10"/>
      <c r="O1178" s="11"/>
      <c r="P1178" s="12">
        <f t="shared" si="927"/>
        <v>0</v>
      </c>
      <c r="Q1178" s="105"/>
      <c r="R1178" s="10"/>
      <c r="S1178" s="11"/>
      <c r="T1178" s="12">
        <f t="shared" si="928"/>
        <v>0</v>
      </c>
      <c r="U1178" s="12">
        <f t="shared" si="929"/>
        <v>0</v>
      </c>
    </row>
    <row r="1179" spans="1:22" x14ac:dyDescent="0.15">
      <c r="A1179" s="24"/>
      <c r="B1179" s="9"/>
      <c r="C1179" s="10"/>
      <c r="D1179" s="11"/>
      <c r="E1179" s="12">
        <f t="shared" si="924"/>
        <v>0</v>
      </c>
      <c r="F1179" s="9"/>
      <c r="G1179" s="10"/>
      <c r="H1179" s="11"/>
      <c r="I1179" s="67">
        <f t="shared" si="925"/>
        <v>0</v>
      </c>
      <c r="J1179" s="12">
        <f t="shared" si="926"/>
        <v>0</v>
      </c>
      <c r="L1179" s="24"/>
      <c r="M1179" s="9"/>
      <c r="N1179" s="10"/>
      <c r="O1179" s="11"/>
      <c r="P1179" s="12">
        <f t="shared" si="927"/>
        <v>0</v>
      </c>
      <c r="Q1179" s="105"/>
      <c r="R1179" s="10"/>
      <c r="S1179" s="11"/>
      <c r="T1179" s="12">
        <f t="shared" si="928"/>
        <v>0</v>
      </c>
      <c r="U1179" s="12">
        <f t="shared" si="929"/>
        <v>0</v>
      </c>
    </row>
    <row r="1180" spans="1:22" x14ac:dyDescent="0.15">
      <c r="A1180" s="24"/>
      <c r="B1180" s="9"/>
      <c r="C1180" s="10"/>
      <c r="D1180" s="11"/>
      <c r="E1180" s="12">
        <f t="shared" si="924"/>
        <v>0</v>
      </c>
      <c r="F1180" s="9"/>
      <c r="G1180" s="10"/>
      <c r="H1180" s="11"/>
      <c r="I1180" s="67">
        <f t="shared" si="925"/>
        <v>0</v>
      </c>
      <c r="J1180" s="12">
        <f t="shared" si="926"/>
        <v>0</v>
      </c>
      <c r="L1180" s="24"/>
      <c r="M1180" s="9"/>
      <c r="N1180" s="10"/>
      <c r="O1180" s="11"/>
      <c r="P1180" s="12">
        <f t="shared" si="927"/>
        <v>0</v>
      </c>
      <c r="Q1180" s="105"/>
      <c r="R1180" s="10"/>
      <c r="S1180" s="11"/>
      <c r="T1180" s="12">
        <f t="shared" si="928"/>
        <v>0</v>
      </c>
      <c r="U1180" s="12">
        <f t="shared" si="929"/>
        <v>0</v>
      </c>
    </row>
    <row r="1181" spans="1:22" x14ac:dyDescent="0.15">
      <c r="A1181" s="24"/>
      <c r="B1181" s="9"/>
      <c r="C1181" s="10"/>
      <c r="D1181" s="11"/>
      <c r="E1181" s="12">
        <f t="shared" si="924"/>
        <v>0</v>
      </c>
      <c r="F1181" s="9"/>
      <c r="G1181" s="10"/>
      <c r="H1181" s="11"/>
      <c r="I1181" s="67">
        <f t="shared" si="925"/>
        <v>0</v>
      </c>
      <c r="J1181" s="12">
        <f t="shared" si="926"/>
        <v>0</v>
      </c>
      <c r="L1181" s="24"/>
      <c r="M1181" s="9"/>
      <c r="N1181" s="10"/>
      <c r="O1181" s="11"/>
      <c r="P1181" s="12">
        <f t="shared" si="927"/>
        <v>0</v>
      </c>
      <c r="Q1181" s="105"/>
      <c r="R1181" s="10"/>
      <c r="S1181" s="11"/>
      <c r="T1181" s="12">
        <f t="shared" si="928"/>
        <v>0</v>
      </c>
      <c r="U1181" s="12">
        <f t="shared" si="929"/>
        <v>0</v>
      </c>
    </row>
    <row r="1182" spans="1:22" x14ac:dyDescent="0.15">
      <c r="A1182" s="24"/>
      <c r="B1182" s="9"/>
      <c r="C1182" s="10"/>
      <c r="D1182" s="11"/>
      <c r="E1182" s="12">
        <f t="shared" si="924"/>
        <v>0</v>
      </c>
      <c r="F1182" s="9"/>
      <c r="G1182" s="10"/>
      <c r="H1182" s="11"/>
      <c r="I1182" s="67">
        <f t="shared" si="925"/>
        <v>0</v>
      </c>
      <c r="J1182" s="12">
        <f t="shared" si="926"/>
        <v>0</v>
      </c>
      <c r="L1182" s="24"/>
      <c r="M1182" s="9"/>
      <c r="N1182" s="10"/>
      <c r="O1182" s="11"/>
      <c r="P1182" s="12">
        <f t="shared" si="927"/>
        <v>0</v>
      </c>
      <c r="Q1182" s="105"/>
      <c r="R1182" s="10"/>
      <c r="S1182" s="11"/>
      <c r="T1182" s="12">
        <f t="shared" si="928"/>
        <v>0</v>
      </c>
      <c r="U1182" s="12">
        <f t="shared" si="929"/>
        <v>0</v>
      </c>
    </row>
    <row r="1183" spans="1:22" x14ac:dyDescent="0.15">
      <c r="A1183" s="22"/>
      <c r="B1183" s="9"/>
      <c r="C1183" s="10"/>
      <c r="D1183" s="11"/>
      <c r="E1183" s="12">
        <f t="shared" si="924"/>
        <v>0</v>
      </c>
      <c r="F1183" s="9"/>
      <c r="G1183" s="10"/>
      <c r="H1183" s="11"/>
      <c r="I1183" s="67">
        <f t="shared" si="925"/>
        <v>0</v>
      </c>
      <c r="J1183" s="12">
        <f t="shared" si="926"/>
        <v>0</v>
      </c>
      <c r="L1183" s="22"/>
      <c r="M1183" s="9"/>
      <c r="N1183" s="10"/>
      <c r="O1183" s="11"/>
      <c r="P1183" s="12">
        <f t="shared" si="927"/>
        <v>0</v>
      </c>
      <c r="Q1183" s="105"/>
      <c r="R1183" s="10"/>
      <c r="S1183" s="11"/>
      <c r="T1183" s="12">
        <f t="shared" si="928"/>
        <v>0</v>
      </c>
      <c r="U1183" s="12">
        <f t="shared" si="929"/>
        <v>0</v>
      </c>
    </row>
    <row r="1184" spans="1:22" x14ac:dyDescent="0.15">
      <c r="A1184" s="24"/>
      <c r="B1184" s="13"/>
      <c r="C1184" s="14"/>
      <c r="D1184" s="15"/>
      <c r="E1184" s="12">
        <f t="shared" si="924"/>
        <v>0</v>
      </c>
      <c r="F1184" s="13"/>
      <c r="G1184" s="14"/>
      <c r="H1184" s="15"/>
      <c r="I1184" s="67">
        <f t="shared" si="925"/>
        <v>0</v>
      </c>
      <c r="J1184" s="12">
        <f t="shared" si="926"/>
        <v>0</v>
      </c>
      <c r="L1184" s="24"/>
      <c r="M1184" s="13"/>
      <c r="N1184" s="14"/>
      <c r="O1184" s="15"/>
      <c r="P1184" s="12">
        <f t="shared" si="927"/>
        <v>0</v>
      </c>
      <c r="Q1184" s="154"/>
      <c r="R1184" s="14"/>
      <c r="S1184" s="15"/>
      <c r="T1184" s="12">
        <f t="shared" si="928"/>
        <v>0</v>
      </c>
      <c r="U1184" s="12">
        <f t="shared" si="929"/>
        <v>0</v>
      </c>
    </row>
    <row r="1185" spans="1:22" x14ac:dyDescent="0.15">
      <c r="A1185" s="24"/>
      <c r="B1185" s="9"/>
      <c r="C1185" s="10"/>
      <c r="D1185" s="11"/>
      <c r="E1185" s="12">
        <f t="shared" si="924"/>
        <v>0</v>
      </c>
      <c r="F1185" s="9"/>
      <c r="G1185" s="10"/>
      <c r="H1185" s="11"/>
      <c r="I1185" s="67">
        <f t="shared" si="925"/>
        <v>0</v>
      </c>
      <c r="J1185" s="12">
        <f t="shared" si="926"/>
        <v>0</v>
      </c>
      <c r="L1185" s="24"/>
      <c r="M1185" s="9"/>
      <c r="N1185" s="10"/>
      <c r="O1185" s="11"/>
      <c r="P1185" s="12">
        <f t="shared" si="927"/>
        <v>0</v>
      </c>
      <c r="Q1185" s="105"/>
      <c r="R1185" s="10"/>
      <c r="S1185" s="11"/>
      <c r="T1185" s="12">
        <f t="shared" si="928"/>
        <v>0</v>
      </c>
      <c r="U1185" s="12">
        <f t="shared" si="929"/>
        <v>0</v>
      </c>
    </row>
    <row r="1186" spans="1:22" x14ac:dyDescent="0.15">
      <c r="A1186" s="24"/>
      <c r="B1186" s="9"/>
      <c r="C1186" s="10"/>
      <c r="D1186" s="11"/>
      <c r="E1186" s="12">
        <f t="shared" si="924"/>
        <v>0</v>
      </c>
      <c r="F1186" s="9"/>
      <c r="G1186" s="10"/>
      <c r="H1186" s="11"/>
      <c r="I1186" s="67">
        <f t="shared" si="925"/>
        <v>0</v>
      </c>
      <c r="J1186" s="12">
        <f t="shared" si="926"/>
        <v>0</v>
      </c>
      <c r="L1186" s="24"/>
      <c r="M1186" s="9"/>
      <c r="N1186" s="10"/>
      <c r="O1186" s="11"/>
      <c r="P1186" s="12">
        <f t="shared" si="927"/>
        <v>0</v>
      </c>
      <c r="Q1186" s="105"/>
      <c r="R1186" s="10"/>
      <c r="S1186" s="11"/>
      <c r="T1186" s="12">
        <f t="shared" si="928"/>
        <v>0</v>
      </c>
      <c r="U1186" s="12">
        <f t="shared" si="929"/>
        <v>0</v>
      </c>
    </row>
    <row r="1187" spans="1:22" x14ac:dyDescent="0.15">
      <c r="A1187" s="22"/>
      <c r="B1187" s="9"/>
      <c r="C1187" s="10"/>
      <c r="D1187" s="11"/>
      <c r="E1187" s="12">
        <f t="shared" si="924"/>
        <v>0</v>
      </c>
      <c r="F1187" s="9"/>
      <c r="G1187" s="10"/>
      <c r="H1187" s="11"/>
      <c r="I1187" s="67">
        <f t="shared" si="925"/>
        <v>0</v>
      </c>
      <c r="J1187" s="12">
        <f t="shared" si="926"/>
        <v>0</v>
      </c>
      <c r="L1187" s="22"/>
      <c r="M1187" s="9"/>
      <c r="N1187" s="10"/>
      <c r="O1187" s="11"/>
      <c r="P1187" s="12">
        <f t="shared" si="927"/>
        <v>0</v>
      </c>
      <c r="Q1187" s="105"/>
      <c r="R1187" s="10"/>
      <c r="S1187" s="11"/>
      <c r="T1187" s="12">
        <f t="shared" si="928"/>
        <v>0</v>
      </c>
      <c r="U1187" s="12">
        <f t="shared" si="929"/>
        <v>0</v>
      </c>
    </row>
    <row r="1188" spans="1:22" x14ac:dyDescent="0.15">
      <c r="A1188" s="24"/>
      <c r="B1188" s="9"/>
      <c r="C1188" s="10"/>
      <c r="D1188" s="11"/>
      <c r="E1188" s="12">
        <f t="shared" si="924"/>
        <v>0</v>
      </c>
      <c r="F1188" s="9"/>
      <c r="G1188" s="10"/>
      <c r="H1188" s="11"/>
      <c r="I1188" s="67">
        <f t="shared" si="925"/>
        <v>0</v>
      </c>
      <c r="J1188" s="12">
        <f t="shared" si="926"/>
        <v>0</v>
      </c>
      <c r="L1188" s="24"/>
      <c r="M1188" s="9"/>
      <c r="N1188" s="10"/>
      <c r="O1188" s="11"/>
      <c r="P1188" s="12">
        <f t="shared" si="927"/>
        <v>0</v>
      </c>
      <c r="Q1188" s="105"/>
      <c r="R1188" s="10"/>
      <c r="S1188" s="11"/>
      <c r="T1188" s="12">
        <f t="shared" si="928"/>
        <v>0</v>
      </c>
      <c r="U1188" s="12">
        <f t="shared" si="929"/>
        <v>0</v>
      </c>
    </row>
    <row r="1189" spans="1:22" x14ac:dyDescent="0.15">
      <c r="A1189" s="24"/>
      <c r="B1189" s="9"/>
      <c r="C1189" s="10"/>
      <c r="D1189" s="11"/>
      <c r="E1189" s="12">
        <f t="shared" si="924"/>
        <v>0</v>
      </c>
      <c r="F1189" s="9"/>
      <c r="G1189" s="10"/>
      <c r="H1189" s="11"/>
      <c r="I1189" s="67">
        <f t="shared" si="925"/>
        <v>0</v>
      </c>
      <c r="J1189" s="12">
        <f t="shared" si="926"/>
        <v>0</v>
      </c>
      <c r="L1189" s="24"/>
      <c r="M1189" s="9"/>
      <c r="N1189" s="10"/>
      <c r="O1189" s="11"/>
      <c r="P1189" s="12">
        <f t="shared" si="927"/>
        <v>0</v>
      </c>
      <c r="Q1189" s="105"/>
      <c r="R1189" s="10"/>
      <c r="S1189" s="11"/>
      <c r="T1189" s="12">
        <f t="shared" si="928"/>
        <v>0</v>
      </c>
      <c r="U1189" s="12">
        <f t="shared" si="929"/>
        <v>0</v>
      </c>
    </row>
    <row r="1190" spans="1:22" x14ac:dyDescent="0.15">
      <c r="A1190" s="22"/>
      <c r="B1190" s="9"/>
      <c r="C1190" s="10"/>
      <c r="D1190" s="11"/>
      <c r="E1190" s="12">
        <f t="shared" si="924"/>
        <v>0</v>
      </c>
      <c r="F1190" s="9"/>
      <c r="G1190" s="10"/>
      <c r="H1190" s="11"/>
      <c r="I1190" s="67">
        <f t="shared" si="925"/>
        <v>0</v>
      </c>
      <c r="J1190" s="12">
        <f t="shared" si="926"/>
        <v>0</v>
      </c>
      <c r="L1190" s="22"/>
      <c r="M1190" s="9"/>
      <c r="N1190" s="10"/>
      <c r="O1190" s="11"/>
      <c r="P1190" s="12">
        <f t="shared" si="927"/>
        <v>0</v>
      </c>
      <c r="Q1190" s="105"/>
      <c r="R1190" s="10"/>
      <c r="S1190" s="11"/>
      <c r="T1190" s="12">
        <f t="shared" si="928"/>
        <v>0</v>
      </c>
      <c r="U1190" s="12">
        <f t="shared" si="929"/>
        <v>0</v>
      </c>
    </row>
    <row r="1191" spans="1:22" x14ac:dyDescent="0.15">
      <c r="A1191" s="24"/>
      <c r="B1191" s="9"/>
      <c r="C1191" s="10"/>
      <c r="D1191" s="11"/>
      <c r="E1191" s="12">
        <f t="shared" si="924"/>
        <v>0</v>
      </c>
      <c r="F1191" s="9"/>
      <c r="G1191" s="10"/>
      <c r="H1191" s="11"/>
      <c r="I1191" s="67">
        <f t="shared" si="925"/>
        <v>0</v>
      </c>
      <c r="J1191" s="12">
        <f t="shared" si="926"/>
        <v>0</v>
      </c>
      <c r="L1191" s="24"/>
      <c r="M1191" s="9"/>
      <c r="N1191" s="10"/>
      <c r="O1191" s="11"/>
      <c r="P1191" s="12">
        <f t="shared" si="927"/>
        <v>0</v>
      </c>
      <c r="Q1191" s="105"/>
      <c r="R1191" s="10"/>
      <c r="S1191" s="11"/>
      <c r="T1191" s="12">
        <f t="shared" si="928"/>
        <v>0</v>
      </c>
      <c r="U1191" s="12">
        <f t="shared" si="929"/>
        <v>0</v>
      </c>
    </row>
    <row r="1192" spans="1:22" x14ac:dyDescent="0.15">
      <c r="A1192" s="24"/>
      <c r="B1192" s="9"/>
      <c r="C1192" s="10"/>
      <c r="D1192" s="11"/>
      <c r="E1192" s="12">
        <f t="shared" si="924"/>
        <v>0</v>
      </c>
      <c r="F1192" s="9"/>
      <c r="G1192" s="10"/>
      <c r="H1192" s="11"/>
      <c r="I1192" s="67">
        <f t="shared" si="925"/>
        <v>0</v>
      </c>
      <c r="J1192" s="12">
        <f t="shared" si="926"/>
        <v>0</v>
      </c>
      <c r="L1192" s="24"/>
      <c r="M1192" s="9"/>
      <c r="N1192" s="10"/>
      <c r="O1192" s="11"/>
      <c r="P1192" s="12">
        <f t="shared" si="927"/>
        <v>0</v>
      </c>
      <c r="Q1192" s="105"/>
      <c r="R1192" s="10"/>
      <c r="S1192" s="11"/>
      <c r="T1192" s="12">
        <f t="shared" si="928"/>
        <v>0</v>
      </c>
      <c r="U1192" s="12">
        <f t="shared" si="929"/>
        <v>0</v>
      </c>
    </row>
    <row r="1193" spans="1:22" x14ac:dyDescent="0.15">
      <c r="A1193" s="21"/>
      <c r="B1193" s="9"/>
      <c r="C1193" s="10"/>
      <c r="D1193" s="11"/>
      <c r="E1193" s="12">
        <f t="shared" si="924"/>
        <v>0</v>
      </c>
      <c r="F1193" s="9"/>
      <c r="G1193" s="10"/>
      <c r="H1193" s="11"/>
      <c r="I1193" s="67">
        <f t="shared" si="925"/>
        <v>0</v>
      </c>
      <c r="J1193" s="12">
        <f t="shared" si="926"/>
        <v>0</v>
      </c>
      <c r="L1193" s="21"/>
      <c r="M1193" s="9"/>
      <c r="N1193" s="10"/>
      <c r="O1193" s="11"/>
      <c r="P1193" s="12">
        <f t="shared" si="927"/>
        <v>0</v>
      </c>
      <c r="Q1193" s="105"/>
      <c r="R1193" s="10"/>
      <c r="S1193" s="11"/>
      <c r="T1193" s="12">
        <f t="shared" si="928"/>
        <v>0</v>
      </c>
      <c r="U1193" s="12">
        <f t="shared" si="929"/>
        <v>0</v>
      </c>
    </row>
    <row r="1194" spans="1:22" x14ac:dyDescent="0.15">
      <c r="A1194" s="21"/>
      <c r="B1194" s="9"/>
      <c r="C1194" s="10"/>
      <c r="D1194" s="11"/>
      <c r="E1194" s="12">
        <f t="shared" si="924"/>
        <v>0</v>
      </c>
      <c r="F1194" s="9"/>
      <c r="G1194" s="10"/>
      <c r="H1194" s="11"/>
      <c r="I1194" s="67">
        <f t="shared" si="925"/>
        <v>0</v>
      </c>
      <c r="J1194" s="12">
        <f t="shared" si="926"/>
        <v>0</v>
      </c>
      <c r="L1194" s="21"/>
      <c r="M1194" s="9"/>
      <c r="N1194" s="10"/>
      <c r="O1194" s="11"/>
      <c r="P1194" s="12">
        <f t="shared" ref="P1194:P1198" si="930">SUM(M1194:O1194)</f>
        <v>0</v>
      </c>
      <c r="Q1194" s="105"/>
      <c r="R1194" s="10"/>
      <c r="S1194" s="11"/>
      <c r="T1194" s="12">
        <f t="shared" ref="T1194:T1198" si="931">SUM(Q1194:S1194)</f>
        <v>0</v>
      </c>
      <c r="U1194" s="12">
        <f t="shared" ref="U1194:U1198" si="932">P1194+T1194</f>
        <v>0</v>
      </c>
    </row>
    <row r="1195" spans="1:22" x14ac:dyDescent="0.15">
      <c r="A1195" s="21"/>
      <c r="B1195" s="9"/>
      <c r="C1195" s="10"/>
      <c r="D1195" s="11"/>
      <c r="E1195" s="12">
        <f t="shared" si="924"/>
        <v>0</v>
      </c>
      <c r="F1195" s="9"/>
      <c r="G1195" s="10"/>
      <c r="H1195" s="11"/>
      <c r="I1195" s="67">
        <f t="shared" si="925"/>
        <v>0</v>
      </c>
      <c r="J1195" s="12">
        <f t="shared" si="926"/>
        <v>0</v>
      </c>
      <c r="L1195" s="21"/>
      <c r="M1195" s="9"/>
      <c r="N1195" s="10"/>
      <c r="O1195" s="11"/>
      <c r="P1195" s="12">
        <f t="shared" ref="P1195" si="933">SUM(M1195:O1195)</f>
        <v>0</v>
      </c>
      <c r="Q1195" s="105"/>
      <c r="R1195" s="10"/>
      <c r="S1195" s="11"/>
      <c r="T1195" s="12">
        <f t="shared" ref="T1195" si="934">SUM(Q1195:S1195)</f>
        <v>0</v>
      </c>
      <c r="U1195" s="12">
        <f t="shared" ref="U1195" si="935">P1195+T1195</f>
        <v>0</v>
      </c>
    </row>
    <row r="1196" spans="1:22" x14ac:dyDescent="0.15">
      <c r="A1196" s="24"/>
      <c r="B1196" s="13"/>
      <c r="C1196" s="14"/>
      <c r="D1196" s="15"/>
      <c r="E1196" s="12">
        <f t="shared" si="924"/>
        <v>0</v>
      </c>
      <c r="F1196" s="13"/>
      <c r="G1196" s="14"/>
      <c r="H1196" s="15"/>
      <c r="I1196" s="67">
        <f t="shared" si="925"/>
        <v>0</v>
      </c>
      <c r="J1196" s="12">
        <f t="shared" si="926"/>
        <v>0</v>
      </c>
      <c r="L1196" s="21"/>
      <c r="M1196" s="9"/>
      <c r="N1196" s="10"/>
      <c r="O1196" s="11"/>
      <c r="P1196" s="12">
        <f t="shared" si="930"/>
        <v>0</v>
      </c>
      <c r="Q1196" s="105"/>
      <c r="R1196" s="10"/>
      <c r="S1196" s="11"/>
      <c r="T1196" s="12">
        <f t="shared" si="931"/>
        <v>0</v>
      </c>
      <c r="U1196" s="12">
        <f t="shared" si="932"/>
        <v>0</v>
      </c>
    </row>
    <row r="1197" spans="1:22" x14ac:dyDescent="0.15">
      <c r="A1197" s="24"/>
      <c r="B1197" s="9"/>
      <c r="C1197" s="10"/>
      <c r="D1197" s="11"/>
      <c r="E1197" s="12">
        <f t="shared" si="924"/>
        <v>0</v>
      </c>
      <c r="F1197" s="9"/>
      <c r="G1197" s="10"/>
      <c r="H1197" s="11"/>
      <c r="I1197" s="67">
        <f t="shared" si="925"/>
        <v>0</v>
      </c>
      <c r="J1197" s="12">
        <f t="shared" si="926"/>
        <v>0</v>
      </c>
      <c r="L1197" s="133" t="s">
        <v>587</v>
      </c>
      <c r="M1197" s="98"/>
      <c r="N1197" s="99"/>
      <c r="O1197" s="100"/>
      <c r="P1197" s="101">
        <f t="shared" si="930"/>
        <v>0</v>
      </c>
      <c r="Q1197" s="98"/>
      <c r="R1197" s="99"/>
      <c r="S1197" s="100"/>
      <c r="T1197" s="101">
        <f t="shared" si="931"/>
        <v>0</v>
      </c>
      <c r="U1197" s="101">
        <f t="shared" si="932"/>
        <v>0</v>
      </c>
      <c r="V1197" s="89"/>
    </row>
    <row r="1198" spans="1:22" x14ac:dyDescent="0.15">
      <c r="A1198" s="7"/>
      <c r="B1198" s="9"/>
      <c r="C1198" s="10"/>
      <c r="D1198" s="11"/>
      <c r="E1198" s="12">
        <f t="shared" si="924"/>
        <v>0</v>
      </c>
      <c r="F1198" s="9"/>
      <c r="G1198" s="10"/>
      <c r="H1198" s="11"/>
      <c r="I1198" s="67">
        <f t="shared" si="925"/>
        <v>0</v>
      </c>
      <c r="J1198" s="12">
        <f t="shared" si="926"/>
        <v>0</v>
      </c>
      <c r="L1198" s="21" t="s">
        <v>586</v>
      </c>
      <c r="M1198" s="9"/>
      <c r="N1198" s="10"/>
      <c r="O1198" s="11"/>
      <c r="P1198" s="12">
        <f t="shared" si="930"/>
        <v>0</v>
      </c>
      <c r="Q1198" s="105"/>
      <c r="R1198" s="10"/>
      <c r="S1198" s="11"/>
      <c r="T1198" s="12">
        <f t="shared" si="931"/>
        <v>0</v>
      </c>
      <c r="U1198" s="12">
        <f t="shared" si="932"/>
        <v>0</v>
      </c>
      <c r="V1198" s="89" t="s">
        <v>591</v>
      </c>
    </row>
    <row r="1199" spans="1:22" x14ac:dyDescent="0.15">
      <c r="A1199" s="59"/>
      <c r="B1199" s="9"/>
      <c r="C1199" s="10"/>
      <c r="D1199" s="11"/>
      <c r="E1199" s="12">
        <f t="shared" si="924"/>
        <v>0</v>
      </c>
      <c r="F1199" s="9"/>
      <c r="G1199" s="10"/>
      <c r="H1199" s="11"/>
      <c r="I1199" s="67">
        <f t="shared" si="925"/>
        <v>0</v>
      </c>
      <c r="J1199" s="12">
        <f t="shared" si="926"/>
        <v>0</v>
      </c>
      <c r="L1199" s="135" t="s">
        <v>571</v>
      </c>
      <c r="M1199" s="158">
        <v>-250</v>
      </c>
      <c r="N1199" s="159">
        <v>-250</v>
      </c>
      <c r="O1199" s="160">
        <v>-180</v>
      </c>
      <c r="P1199" s="80">
        <f t="shared" si="927"/>
        <v>-680</v>
      </c>
      <c r="Q1199" s="161">
        <v>-250</v>
      </c>
      <c r="R1199" s="159">
        <v>-250</v>
      </c>
      <c r="S1199" s="160">
        <v>-180</v>
      </c>
      <c r="T1199" s="80">
        <f t="shared" si="928"/>
        <v>-680</v>
      </c>
      <c r="U1199" s="80">
        <f t="shared" si="929"/>
        <v>-1360</v>
      </c>
      <c r="V1199" s="190"/>
    </row>
    <row r="1200" spans="1:22" ht="14.25" thickBot="1" x14ac:dyDescent="0.2">
      <c r="A1200" s="59"/>
      <c r="B1200" s="9"/>
      <c r="C1200" s="10"/>
      <c r="D1200" s="11"/>
      <c r="E1200" s="12">
        <f t="shared" si="924"/>
        <v>0</v>
      </c>
      <c r="F1200" s="9"/>
      <c r="G1200" s="10"/>
      <c r="H1200" s="11"/>
      <c r="I1200" s="67">
        <f t="shared" si="925"/>
        <v>0</v>
      </c>
      <c r="J1200" s="12">
        <f t="shared" si="926"/>
        <v>0</v>
      </c>
      <c r="L1200" s="134" t="s">
        <v>572</v>
      </c>
      <c r="M1200" s="51">
        <f>540-75</f>
        <v>465</v>
      </c>
      <c r="N1200" s="52">
        <f>540-75</f>
        <v>465</v>
      </c>
      <c r="O1200" s="156">
        <f>380-100</f>
        <v>280</v>
      </c>
      <c r="P1200" s="53">
        <f t="shared" si="927"/>
        <v>1210</v>
      </c>
      <c r="Q1200" s="51">
        <f>540-75</f>
        <v>465</v>
      </c>
      <c r="R1200" s="52">
        <f>540-75</f>
        <v>465</v>
      </c>
      <c r="S1200" s="156">
        <f>380-100</f>
        <v>280</v>
      </c>
      <c r="T1200" s="53">
        <f t="shared" si="928"/>
        <v>1210</v>
      </c>
      <c r="U1200" s="53">
        <f t="shared" si="929"/>
        <v>2420</v>
      </c>
      <c r="V1200" s="91" t="s">
        <v>570</v>
      </c>
    </row>
    <row r="1201" spans="1:22" ht="14.25" thickBot="1" x14ac:dyDescent="0.2">
      <c r="A1201" s="37" t="s">
        <v>17</v>
      </c>
      <c r="B1201" s="38">
        <f>SUM(B1175:B1200)</f>
        <v>0</v>
      </c>
      <c r="C1201" s="39">
        <f>SUM(C1175:C1200)</f>
        <v>0</v>
      </c>
      <c r="D1201" s="40">
        <f>SUM(D1175:D1200)</f>
        <v>0</v>
      </c>
      <c r="E1201" s="41">
        <f>SUM(B1201:D1201)</f>
        <v>0</v>
      </c>
      <c r="F1201" s="38">
        <f>SUM(F1175:F1200)</f>
        <v>0</v>
      </c>
      <c r="G1201" s="39">
        <f>SUM(G1175:G1200)</f>
        <v>0</v>
      </c>
      <c r="H1201" s="40">
        <f>SUM(H1175:H1200)</f>
        <v>0</v>
      </c>
      <c r="I1201" s="41">
        <f>SUM(F1201:H1201)</f>
        <v>0</v>
      </c>
      <c r="J1201" s="42">
        <f t="shared" si="926"/>
        <v>0</v>
      </c>
      <c r="L1201" s="37" t="s">
        <v>17</v>
      </c>
      <c r="M1201" s="38">
        <f>SUM(M1175:M1200)</f>
        <v>290</v>
      </c>
      <c r="N1201" s="39">
        <f>SUM(N1175:N1200)</f>
        <v>290</v>
      </c>
      <c r="O1201" s="40">
        <f>SUM(O1175:O1200)</f>
        <v>200</v>
      </c>
      <c r="P1201" s="41">
        <f>SUM(M1201:O1201)</f>
        <v>780</v>
      </c>
      <c r="Q1201" s="38">
        <f>SUM(Q1175:Q1200)</f>
        <v>290</v>
      </c>
      <c r="R1201" s="39">
        <f>SUM(R1175:R1200)</f>
        <v>290</v>
      </c>
      <c r="S1201" s="40">
        <f>SUM(S1175:S1200)</f>
        <v>200</v>
      </c>
      <c r="T1201" s="41">
        <f>SUM(Q1201:S1201)</f>
        <v>780</v>
      </c>
      <c r="U1201" s="42">
        <f t="shared" si="929"/>
        <v>1560</v>
      </c>
    </row>
    <row r="1202" spans="1:22" ht="14.25" thickBot="1" x14ac:dyDescent="0.2">
      <c r="A1202" s="20" t="s">
        <v>18</v>
      </c>
      <c r="B1202" s="63">
        <f>B1174-B1201</f>
        <v>7</v>
      </c>
      <c r="C1202" s="64">
        <f t="shared" ref="C1202:E1202" si="936">C1174-C1201</f>
        <v>4</v>
      </c>
      <c r="D1202" s="65">
        <f t="shared" si="936"/>
        <v>7</v>
      </c>
      <c r="E1202" s="65">
        <f t="shared" si="936"/>
        <v>18</v>
      </c>
      <c r="F1202" s="63">
        <f>F1174-F1201</f>
        <v>6</v>
      </c>
      <c r="G1202" s="64">
        <f t="shared" ref="G1202:I1202" si="937">G1174-G1201</f>
        <v>5</v>
      </c>
      <c r="H1202" s="65">
        <f t="shared" si="937"/>
        <v>4</v>
      </c>
      <c r="I1202" s="65">
        <f t="shared" si="937"/>
        <v>15</v>
      </c>
      <c r="J1202" s="29">
        <f t="shared" si="926"/>
        <v>33</v>
      </c>
      <c r="L1202" s="112" t="s">
        <v>18</v>
      </c>
      <c r="M1202" s="63">
        <f>M1174-M1201</f>
        <v>417</v>
      </c>
      <c r="N1202" s="64">
        <f t="shared" ref="N1202:P1202" si="938">N1174-N1201</f>
        <v>403</v>
      </c>
      <c r="O1202" s="65">
        <f t="shared" si="938"/>
        <v>478</v>
      </c>
      <c r="P1202" s="65">
        <f t="shared" si="938"/>
        <v>1298</v>
      </c>
      <c r="Q1202" s="63">
        <f>Q1174-Q1201</f>
        <v>532</v>
      </c>
      <c r="R1202" s="64">
        <f t="shared" ref="R1202:T1202" si="939">R1174-R1201</f>
        <v>547</v>
      </c>
      <c r="S1202" s="65">
        <f t="shared" si="939"/>
        <v>466</v>
      </c>
      <c r="T1202" s="65">
        <f t="shared" si="939"/>
        <v>1545</v>
      </c>
      <c r="U1202" s="29">
        <f t="shared" si="929"/>
        <v>2843</v>
      </c>
      <c r="V1202" s="190" t="s">
        <v>583</v>
      </c>
    </row>
    <row r="1203" spans="1:22" x14ac:dyDescent="0.15">
      <c r="L1203" s="149" t="s">
        <v>598</v>
      </c>
      <c r="M1203" s="150">
        <v>278</v>
      </c>
      <c r="N1203" s="150">
        <v>267</v>
      </c>
      <c r="O1203" s="150">
        <v>177</v>
      </c>
      <c r="P1203" s="150">
        <f>SUM(M1203:O1203)</f>
        <v>722</v>
      </c>
      <c r="Q1203">
        <v>278</v>
      </c>
      <c r="R1203">
        <v>267</v>
      </c>
      <c r="S1203">
        <v>177</v>
      </c>
      <c r="T1203">
        <f>SUM(Q1203:S1203)</f>
        <v>722</v>
      </c>
    </row>
    <row r="1204" spans="1:22" x14ac:dyDescent="0.15">
      <c r="L1204" s="215"/>
      <c r="M1204" s="150"/>
      <c r="N1204" s="150"/>
      <c r="O1204" s="150"/>
      <c r="P1204" s="150"/>
      <c r="Q1204" s="150"/>
      <c r="R1204" s="150"/>
      <c r="S1204" s="150"/>
      <c r="T1204" s="150"/>
    </row>
    <row r="1205" spans="1:22" ht="19.5" thickBot="1" x14ac:dyDescent="0.25">
      <c r="A1205" s="3" t="s">
        <v>209</v>
      </c>
      <c r="B1205" s="1"/>
      <c r="C1205" s="1"/>
      <c r="D1205" s="1"/>
      <c r="E1205" s="1"/>
      <c r="F1205" s="1"/>
      <c r="G1205" s="1"/>
      <c r="H1205" s="1"/>
      <c r="I1205" s="1"/>
      <c r="J1205" s="1"/>
      <c r="L1205" s="226" t="s">
        <v>208</v>
      </c>
      <c r="M1205" s="226"/>
      <c r="N1205" s="226"/>
      <c r="O1205" s="226"/>
      <c r="P1205" s="226"/>
      <c r="Q1205" s="1"/>
      <c r="R1205" s="1"/>
      <c r="S1205" s="1"/>
      <c r="T1205" s="1" t="s">
        <v>422</v>
      </c>
      <c r="U1205" s="1"/>
    </row>
    <row r="1206" spans="1:22" ht="14.25" thickBot="1" x14ac:dyDescent="0.2">
      <c r="A1206" s="8" t="s">
        <v>0</v>
      </c>
      <c r="B1206" s="227" t="s">
        <v>19</v>
      </c>
      <c r="C1206" s="228"/>
      <c r="D1206" s="228"/>
      <c r="E1206" s="229"/>
      <c r="F1206" s="230" t="s">
        <v>20</v>
      </c>
      <c r="G1206" s="231"/>
      <c r="H1206" s="231"/>
      <c r="I1206" s="232"/>
      <c r="J1206" s="233" t="s">
        <v>1</v>
      </c>
      <c r="L1206" s="8" t="s">
        <v>0</v>
      </c>
      <c r="M1206" s="235" t="s">
        <v>19</v>
      </c>
      <c r="N1206" s="236"/>
      <c r="O1206" s="236"/>
      <c r="P1206" s="237"/>
      <c r="Q1206" s="238" t="s">
        <v>20</v>
      </c>
      <c r="R1206" s="239"/>
      <c r="S1206" s="239"/>
      <c r="T1206" s="240"/>
      <c r="U1206" s="224" t="s">
        <v>1</v>
      </c>
    </row>
    <row r="1207" spans="1:22" ht="14.25" thickBot="1" x14ac:dyDescent="0.2">
      <c r="A1207" s="8" t="s">
        <v>2</v>
      </c>
      <c r="B1207" s="69" t="s">
        <v>3</v>
      </c>
      <c r="C1207" s="70" t="s">
        <v>4</v>
      </c>
      <c r="D1207" s="71" t="s">
        <v>5</v>
      </c>
      <c r="E1207" s="8" t="s">
        <v>6</v>
      </c>
      <c r="F1207" s="4" t="s">
        <v>3</v>
      </c>
      <c r="G1207" s="5" t="s">
        <v>4</v>
      </c>
      <c r="H1207" s="6" t="s">
        <v>5</v>
      </c>
      <c r="I1207" s="8" t="s">
        <v>6</v>
      </c>
      <c r="J1207" s="234"/>
      <c r="L1207" s="8" t="s">
        <v>2</v>
      </c>
      <c r="M1207" s="69" t="s">
        <v>3</v>
      </c>
      <c r="N1207" s="70" t="s">
        <v>4</v>
      </c>
      <c r="O1207" s="71" t="s">
        <v>5</v>
      </c>
      <c r="P1207" s="8" t="s">
        <v>6</v>
      </c>
      <c r="Q1207" s="4" t="s">
        <v>3</v>
      </c>
      <c r="R1207" s="5" t="s">
        <v>4</v>
      </c>
      <c r="S1207" s="6" t="s">
        <v>5</v>
      </c>
      <c r="T1207" s="8" t="s">
        <v>6</v>
      </c>
      <c r="U1207" s="225"/>
    </row>
    <row r="1208" spans="1:22" ht="14.25" thickBot="1" x14ac:dyDescent="0.2">
      <c r="A1208" s="25" t="s">
        <v>18</v>
      </c>
      <c r="B1208" s="26">
        <f>B1202</f>
        <v>7</v>
      </c>
      <c r="C1208" s="27">
        <f t="shared" ref="C1208:D1208" si="940">C1202</f>
        <v>4</v>
      </c>
      <c r="D1208" s="49">
        <f t="shared" si="940"/>
        <v>7</v>
      </c>
      <c r="E1208" s="68">
        <f t="shared" ref="E1208:E1216" si="941">SUM(B1208:D1208)</f>
        <v>18</v>
      </c>
      <c r="F1208" s="26">
        <f>F1202</f>
        <v>6</v>
      </c>
      <c r="G1208" s="27">
        <f t="shared" ref="G1208:H1208" si="942">G1202</f>
        <v>5</v>
      </c>
      <c r="H1208" s="49">
        <f t="shared" si="942"/>
        <v>4</v>
      </c>
      <c r="I1208" s="33">
        <f t="shared" ref="I1208:I1216" si="943">SUM(F1208:H1208)</f>
        <v>15</v>
      </c>
      <c r="J1208" s="33">
        <f>E1208+I1208</f>
        <v>33</v>
      </c>
      <c r="L1208" s="25" t="s">
        <v>18</v>
      </c>
      <c r="M1208" s="26">
        <f>M1202</f>
        <v>417</v>
      </c>
      <c r="N1208" s="27">
        <f t="shared" ref="N1208:O1208" si="944">N1202</f>
        <v>403</v>
      </c>
      <c r="O1208" s="49">
        <f t="shared" si="944"/>
        <v>478</v>
      </c>
      <c r="P1208" s="107">
        <f t="shared" ref="P1208:P1216" si="945">SUM(M1208:O1208)</f>
        <v>1298</v>
      </c>
      <c r="Q1208" s="26">
        <f>Q1202</f>
        <v>532</v>
      </c>
      <c r="R1208" s="27">
        <f t="shared" ref="R1208:S1208" si="946">R1202</f>
        <v>547</v>
      </c>
      <c r="S1208" s="49">
        <f t="shared" si="946"/>
        <v>466</v>
      </c>
      <c r="T1208" s="29">
        <f t="shared" ref="T1208:T1216" si="947">SUM(Q1208:S1208)</f>
        <v>1545</v>
      </c>
      <c r="U1208" s="29">
        <f>P1208+T1208</f>
        <v>2843</v>
      </c>
    </row>
    <row r="1209" spans="1:22" x14ac:dyDescent="0.15">
      <c r="A1209" s="23" t="s">
        <v>8</v>
      </c>
      <c r="B1209" s="47"/>
      <c r="C1209" s="48"/>
      <c r="D1209" s="72"/>
      <c r="E1209" s="42">
        <f t="shared" si="941"/>
        <v>0</v>
      </c>
      <c r="F1209" s="38"/>
      <c r="G1209" s="39"/>
      <c r="H1209" s="40"/>
      <c r="I1209" s="66">
        <f t="shared" si="943"/>
        <v>0</v>
      </c>
      <c r="J1209" s="57">
        <f t="shared" ref="J1209:J1216" si="948">E1209+I1209</f>
        <v>0</v>
      </c>
      <c r="L1209" s="23" t="s">
        <v>8</v>
      </c>
      <c r="M1209" s="16"/>
      <c r="N1209" s="17"/>
      <c r="O1209" s="43"/>
      <c r="P1209" s="94">
        <f t="shared" si="945"/>
        <v>0</v>
      </c>
      <c r="Q1209" s="16"/>
      <c r="R1209" s="17"/>
      <c r="S1209" s="43"/>
      <c r="T1209" s="94">
        <f t="shared" si="947"/>
        <v>0</v>
      </c>
      <c r="U1209" s="94">
        <f t="shared" ref="U1209:U1216" si="949">P1209+T1209</f>
        <v>0</v>
      </c>
    </row>
    <row r="1210" spans="1:22" x14ac:dyDescent="0.15">
      <c r="A1210" s="23" t="s">
        <v>9</v>
      </c>
      <c r="B1210" s="9"/>
      <c r="C1210" s="10"/>
      <c r="D1210" s="44"/>
      <c r="E1210" s="12">
        <f t="shared" si="941"/>
        <v>0</v>
      </c>
      <c r="F1210" s="9"/>
      <c r="G1210" s="10"/>
      <c r="H1210" s="44"/>
      <c r="I1210" s="12">
        <f t="shared" si="943"/>
        <v>0</v>
      </c>
      <c r="J1210" s="12">
        <f t="shared" si="948"/>
        <v>0</v>
      </c>
      <c r="L1210" s="23" t="s">
        <v>9</v>
      </c>
      <c r="M1210" s="9"/>
      <c r="N1210" s="10"/>
      <c r="O1210" s="44"/>
      <c r="P1210" s="12">
        <f t="shared" si="945"/>
        <v>0</v>
      </c>
      <c r="Q1210" s="9"/>
      <c r="R1210" s="10"/>
      <c r="S1210" s="44"/>
      <c r="T1210" s="12">
        <f t="shared" si="947"/>
        <v>0</v>
      </c>
      <c r="U1210" s="12">
        <f t="shared" si="949"/>
        <v>0</v>
      </c>
    </row>
    <row r="1211" spans="1:22" x14ac:dyDescent="0.15">
      <c r="A1211" s="23" t="s">
        <v>10</v>
      </c>
      <c r="B1211" s="16"/>
      <c r="C1211" s="17"/>
      <c r="D1211" s="43"/>
      <c r="E1211" s="12">
        <f t="shared" si="941"/>
        <v>0</v>
      </c>
      <c r="F1211" s="16"/>
      <c r="G1211" s="17"/>
      <c r="H1211" s="43"/>
      <c r="I1211" s="12">
        <f t="shared" si="943"/>
        <v>0</v>
      </c>
      <c r="J1211" s="12">
        <f t="shared" si="948"/>
        <v>0</v>
      </c>
      <c r="L1211" s="60" t="s">
        <v>407</v>
      </c>
      <c r="M1211" s="51">
        <v>250</v>
      </c>
      <c r="N1211" s="52">
        <v>350</v>
      </c>
      <c r="O1211" s="61">
        <v>200</v>
      </c>
      <c r="P1211" s="53">
        <f t="shared" si="945"/>
        <v>800</v>
      </c>
      <c r="Q1211" s="51">
        <v>250</v>
      </c>
      <c r="R1211" s="52">
        <v>250</v>
      </c>
      <c r="S1211" s="61">
        <v>250</v>
      </c>
      <c r="T1211" s="53">
        <f t="shared" si="947"/>
        <v>750</v>
      </c>
      <c r="U1211" s="53">
        <f t="shared" si="949"/>
        <v>1550</v>
      </c>
      <c r="V1211" s="212">
        <v>46214</v>
      </c>
    </row>
    <row r="1212" spans="1:22" x14ac:dyDescent="0.15">
      <c r="A1212" s="23" t="s">
        <v>11</v>
      </c>
      <c r="B1212" s="16"/>
      <c r="C1212" s="17"/>
      <c r="D1212" s="43"/>
      <c r="E1212" s="12">
        <f t="shared" si="941"/>
        <v>0</v>
      </c>
      <c r="F1212" s="16"/>
      <c r="G1212" s="17"/>
      <c r="H1212" s="43"/>
      <c r="I1212" s="12">
        <f t="shared" si="943"/>
        <v>0</v>
      </c>
      <c r="J1212" s="12">
        <f t="shared" si="948"/>
        <v>0</v>
      </c>
      <c r="L1212" s="23" t="s">
        <v>11</v>
      </c>
      <c r="M1212" s="9"/>
      <c r="N1212" s="10"/>
      <c r="O1212" s="44"/>
      <c r="P1212" s="12">
        <f t="shared" si="945"/>
        <v>0</v>
      </c>
      <c r="Q1212" s="9"/>
      <c r="R1212" s="10"/>
      <c r="S1212" s="44"/>
      <c r="T1212" s="12">
        <f t="shared" si="947"/>
        <v>0</v>
      </c>
      <c r="U1212" s="12">
        <f t="shared" si="949"/>
        <v>0</v>
      </c>
      <c r="V1212" s="164" t="s">
        <v>640</v>
      </c>
    </row>
    <row r="1213" spans="1:22" x14ac:dyDescent="0.15">
      <c r="A1213" s="23" t="s">
        <v>12</v>
      </c>
      <c r="B1213" s="9"/>
      <c r="C1213" s="10"/>
      <c r="D1213" s="44"/>
      <c r="E1213" s="12">
        <f t="shared" si="941"/>
        <v>0</v>
      </c>
      <c r="F1213" s="9"/>
      <c r="G1213" s="10"/>
      <c r="H1213" s="44"/>
      <c r="I1213" s="67">
        <f t="shared" si="943"/>
        <v>0</v>
      </c>
      <c r="J1213" s="12">
        <f t="shared" si="948"/>
        <v>0</v>
      </c>
      <c r="L1213" s="23" t="s">
        <v>12</v>
      </c>
      <c r="M1213" s="9"/>
      <c r="N1213" s="10"/>
      <c r="O1213" s="44"/>
      <c r="P1213" s="12">
        <f t="shared" ref="P1213" si="950">SUM(M1213:O1213)</f>
        <v>0</v>
      </c>
      <c r="Q1213" s="9"/>
      <c r="R1213" s="10"/>
      <c r="S1213" s="44"/>
      <c r="T1213" s="12">
        <f t="shared" ref="T1213" si="951">SUM(Q1213:S1213)</f>
        <v>0</v>
      </c>
      <c r="U1213" s="12">
        <f t="shared" ref="U1213" si="952">P1213+T1213</f>
        <v>0</v>
      </c>
    </row>
    <row r="1214" spans="1:22" x14ac:dyDescent="0.15">
      <c r="A1214" s="23" t="s">
        <v>13</v>
      </c>
      <c r="B1214" s="9"/>
      <c r="C1214" s="10"/>
      <c r="D1214" s="44"/>
      <c r="E1214" s="12">
        <f t="shared" si="941"/>
        <v>0</v>
      </c>
      <c r="F1214" s="9"/>
      <c r="G1214" s="10"/>
      <c r="H1214" s="44"/>
      <c r="I1214" s="67">
        <f t="shared" si="943"/>
        <v>0</v>
      </c>
      <c r="J1214" s="12">
        <f t="shared" si="948"/>
        <v>0</v>
      </c>
      <c r="L1214" s="23" t="s">
        <v>13</v>
      </c>
      <c r="M1214" s="9"/>
      <c r="N1214" s="10"/>
      <c r="O1214" s="44"/>
      <c r="P1214" s="12">
        <f t="shared" si="945"/>
        <v>0</v>
      </c>
      <c r="Q1214" s="9"/>
      <c r="R1214" s="10"/>
      <c r="S1214" s="44"/>
      <c r="T1214" s="67">
        <f t="shared" si="947"/>
        <v>0</v>
      </c>
      <c r="U1214" s="12">
        <f t="shared" si="949"/>
        <v>0</v>
      </c>
    </row>
    <row r="1215" spans="1:22" x14ac:dyDescent="0.15">
      <c r="A1215" s="23" t="s">
        <v>14</v>
      </c>
      <c r="B1215" s="13"/>
      <c r="C1215" s="14"/>
      <c r="D1215" s="45"/>
      <c r="E1215" s="12">
        <f t="shared" si="941"/>
        <v>0</v>
      </c>
      <c r="F1215" s="13"/>
      <c r="G1215" s="14"/>
      <c r="H1215" s="45"/>
      <c r="I1215" s="67">
        <f t="shared" si="943"/>
        <v>0</v>
      </c>
      <c r="J1215" s="12">
        <f t="shared" si="948"/>
        <v>0</v>
      </c>
      <c r="L1215" s="23" t="s">
        <v>14</v>
      </c>
      <c r="M1215" s="13"/>
      <c r="N1215" s="14"/>
      <c r="O1215" s="45"/>
      <c r="P1215" s="12">
        <f t="shared" si="945"/>
        <v>0</v>
      </c>
      <c r="Q1215" s="13"/>
      <c r="R1215" s="14"/>
      <c r="S1215" s="45"/>
      <c r="T1215" s="67">
        <f t="shared" si="947"/>
        <v>0</v>
      </c>
      <c r="U1215" s="12">
        <f t="shared" si="949"/>
        <v>0</v>
      </c>
    </row>
    <row r="1216" spans="1:22" ht="14.25" thickBot="1" x14ac:dyDescent="0.2">
      <c r="A1216" s="23" t="s">
        <v>15</v>
      </c>
      <c r="B1216" s="30"/>
      <c r="C1216" s="31"/>
      <c r="D1216" s="46"/>
      <c r="E1216" s="12">
        <f t="shared" si="941"/>
        <v>0</v>
      </c>
      <c r="F1216" s="30"/>
      <c r="G1216" s="31"/>
      <c r="H1216" s="46"/>
      <c r="I1216" s="67">
        <f t="shared" si="943"/>
        <v>0</v>
      </c>
      <c r="J1216" s="19">
        <f t="shared" si="948"/>
        <v>0</v>
      </c>
      <c r="L1216" s="23" t="s">
        <v>15</v>
      </c>
      <c r="M1216" s="13"/>
      <c r="N1216" s="14"/>
      <c r="O1216" s="45"/>
      <c r="P1216" s="12">
        <f t="shared" si="945"/>
        <v>0</v>
      </c>
      <c r="Q1216" s="13"/>
      <c r="R1216" s="14"/>
      <c r="S1216" s="45"/>
      <c r="T1216" s="67">
        <f t="shared" si="947"/>
        <v>0</v>
      </c>
      <c r="U1216" s="12">
        <f t="shared" si="949"/>
        <v>0</v>
      </c>
    </row>
    <row r="1217" spans="1:21" ht="14.25" thickBot="1" x14ac:dyDescent="0.2">
      <c r="A1217" s="32" t="s">
        <v>16</v>
      </c>
      <c r="B1217" s="26">
        <f>SUM(B1208:B1216)</f>
        <v>7</v>
      </c>
      <c r="C1217" s="27">
        <f t="shared" ref="C1217:J1217" si="953">SUM(C1208:C1216)</f>
        <v>4</v>
      </c>
      <c r="D1217" s="49">
        <f t="shared" si="953"/>
        <v>7</v>
      </c>
      <c r="E1217" s="75">
        <f t="shared" si="953"/>
        <v>18</v>
      </c>
      <c r="F1217" s="26">
        <f t="shared" si="953"/>
        <v>6</v>
      </c>
      <c r="G1217" s="27">
        <f t="shared" si="953"/>
        <v>5</v>
      </c>
      <c r="H1217" s="49">
        <f t="shared" si="953"/>
        <v>4</v>
      </c>
      <c r="I1217" s="74">
        <f t="shared" si="953"/>
        <v>15</v>
      </c>
      <c r="J1217" s="29">
        <f t="shared" si="953"/>
        <v>33</v>
      </c>
      <c r="L1217" s="32" t="s">
        <v>16</v>
      </c>
      <c r="M1217" s="26">
        <f>SUM(M1208:M1216)</f>
        <v>667</v>
      </c>
      <c r="N1217" s="27">
        <f t="shared" ref="N1217:U1217" si="954">SUM(N1208:N1216)</f>
        <v>753</v>
      </c>
      <c r="O1217" s="49">
        <f t="shared" si="954"/>
        <v>678</v>
      </c>
      <c r="P1217" s="75">
        <f t="shared" si="954"/>
        <v>2098</v>
      </c>
      <c r="Q1217" s="26">
        <f t="shared" si="954"/>
        <v>782</v>
      </c>
      <c r="R1217" s="27">
        <f t="shared" si="954"/>
        <v>797</v>
      </c>
      <c r="S1217" s="49">
        <f t="shared" si="954"/>
        <v>716</v>
      </c>
      <c r="T1217" s="74">
        <f t="shared" si="954"/>
        <v>2295</v>
      </c>
      <c r="U1217" s="29">
        <f t="shared" si="954"/>
        <v>4393</v>
      </c>
    </row>
    <row r="1218" spans="1:21" x14ac:dyDescent="0.15">
      <c r="A1218" s="22"/>
      <c r="B1218" s="54"/>
      <c r="C1218" s="55"/>
      <c r="D1218" s="56"/>
      <c r="E1218" s="42">
        <f t="shared" ref="E1218:E1243" si="955">SUM(B1218:D1218)</f>
        <v>0</v>
      </c>
      <c r="F1218" s="54"/>
      <c r="G1218" s="55"/>
      <c r="H1218" s="56"/>
      <c r="I1218" s="66">
        <f t="shared" ref="I1218:I1243" si="956">SUM(F1218:H1218)</f>
        <v>0</v>
      </c>
      <c r="J1218" s="57">
        <f t="shared" ref="J1218:J1245" si="957">E1218+I1218</f>
        <v>0</v>
      </c>
      <c r="L1218" s="110"/>
      <c r="M1218" s="54"/>
      <c r="N1218" s="55"/>
      <c r="O1218" s="56"/>
      <c r="P1218" s="42">
        <f t="shared" ref="P1218:P1237" si="958">SUM(M1218:O1218)</f>
        <v>0</v>
      </c>
      <c r="Q1218" s="152"/>
      <c r="R1218" s="55"/>
      <c r="S1218" s="56"/>
      <c r="T1218" s="42">
        <f t="shared" ref="T1218:T1237" si="959">SUM(Q1218:S1218)</f>
        <v>0</v>
      </c>
      <c r="U1218" s="57">
        <f t="shared" ref="U1218:U1245" si="960">P1218+T1218</f>
        <v>0</v>
      </c>
    </row>
    <row r="1219" spans="1:21" x14ac:dyDescent="0.15">
      <c r="A1219" s="24"/>
      <c r="B1219" s="16"/>
      <c r="C1219" s="17"/>
      <c r="D1219" s="18"/>
      <c r="E1219" s="12">
        <f t="shared" si="955"/>
        <v>0</v>
      </c>
      <c r="F1219" s="16"/>
      <c r="G1219" s="17"/>
      <c r="H1219" s="18"/>
      <c r="I1219" s="67">
        <f t="shared" si="956"/>
        <v>0</v>
      </c>
      <c r="J1219" s="12">
        <f t="shared" si="957"/>
        <v>0</v>
      </c>
      <c r="L1219" s="24"/>
      <c r="M1219" s="16"/>
      <c r="N1219" s="17"/>
      <c r="O1219" s="18"/>
      <c r="P1219" s="12">
        <f t="shared" si="958"/>
        <v>0</v>
      </c>
      <c r="Q1219" s="153"/>
      <c r="R1219" s="17"/>
      <c r="S1219" s="18"/>
      <c r="T1219" s="12">
        <f t="shared" si="959"/>
        <v>0</v>
      </c>
      <c r="U1219" s="12">
        <f t="shared" si="960"/>
        <v>0</v>
      </c>
    </row>
    <row r="1220" spans="1:21" x14ac:dyDescent="0.15">
      <c r="A1220" s="22"/>
      <c r="B1220" s="9"/>
      <c r="C1220" s="10"/>
      <c r="D1220" s="11"/>
      <c r="E1220" s="12">
        <f t="shared" si="955"/>
        <v>0</v>
      </c>
      <c r="F1220" s="9"/>
      <c r="G1220" s="10"/>
      <c r="H1220" s="11"/>
      <c r="I1220" s="67">
        <f t="shared" si="956"/>
        <v>0</v>
      </c>
      <c r="J1220" s="12">
        <f t="shared" si="957"/>
        <v>0</v>
      </c>
      <c r="L1220" s="22"/>
      <c r="M1220" s="9"/>
      <c r="N1220" s="10"/>
      <c r="O1220" s="11"/>
      <c r="P1220" s="12">
        <f t="shared" si="958"/>
        <v>0</v>
      </c>
      <c r="Q1220" s="105"/>
      <c r="R1220" s="10"/>
      <c r="S1220" s="11"/>
      <c r="T1220" s="12">
        <f t="shared" si="959"/>
        <v>0</v>
      </c>
      <c r="U1220" s="12">
        <f t="shared" si="960"/>
        <v>0</v>
      </c>
    </row>
    <row r="1221" spans="1:21" x14ac:dyDescent="0.15">
      <c r="A1221" s="24"/>
      <c r="B1221" s="9"/>
      <c r="C1221" s="10"/>
      <c r="D1221" s="11"/>
      <c r="E1221" s="12">
        <f t="shared" si="955"/>
        <v>0</v>
      </c>
      <c r="F1221" s="9"/>
      <c r="G1221" s="10"/>
      <c r="H1221" s="11"/>
      <c r="I1221" s="67">
        <f t="shared" si="956"/>
        <v>0</v>
      </c>
      <c r="J1221" s="12">
        <f t="shared" si="957"/>
        <v>0</v>
      </c>
      <c r="L1221" s="24"/>
      <c r="M1221" s="9"/>
      <c r="N1221" s="10"/>
      <c r="O1221" s="11"/>
      <c r="P1221" s="12">
        <f t="shared" si="958"/>
        <v>0</v>
      </c>
      <c r="Q1221" s="105"/>
      <c r="R1221" s="10"/>
      <c r="S1221" s="11"/>
      <c r="T1221" s="12">
        <f t="shared" si="959"/>
        <v>0</v>
      </c>
      <c r="U1221" s="12">
        <f t="shared" si="960"/>
        <v>0</v>
      </c>
    </row>
    <row r="1222" spans="1:21" x14ac:dyDescent="0.15">
      <c r="A1222" s="24"/>
      <c r="B1222" s="9"/>
      <c r="C1222" s="10"/>
      <c r="D1222" s="11"/>
      <c r="E1222" s="12">
        <f t="shared" si="955"/>
        <v>0</v>
      </c>
      <c r="F1222" s="9"/>
      <c r="G1222" s="10"/>
      <c r="H1222" s="11"/>
      <c r="I1222" s="67">
        <f t="shared" si="956"/>
        <v>0</v>
      </c>
      <c r="J1222" s="12">
        <f t="shared" si="957"/>
        <v>0</v>
      </c>
      <c r="L1222" s="24"/>
      <c r="M1222" s="9"/>
      <c r="N1222" s="10"/>
      <c r="O1222" s="11"/>
      <c r="P1222" s="12">
        <f t="shared" si="958"/>
        <v>0</v>
      </c>
      <c r="Q1222" s="105"/>
      <c r="R1222" s="10"/>
      <c r="S1222" s="11"/>
      <c r="T1222" s="12">
        <f t="shared" si="959"/>
        <v>0</v>
      </c>
      <c r="U1222" s="12">
        <f t="shared" si="960"/>
        <v>0</v>
      </c>
    </row>
    <row r="1223" spans="1:21" x14ac:dyDescent="0.15">
      <c r="A1223" s="24"/>
      <c r="B1223" s="9"/>
      <c r="C1223" s="10"/>
      <c r="D1223" s="11"/>
      <c r="E1223" s="12">
        <f t="shared" si="955"/>
        <v>0</v>
      </c>
      <c r="F1223" s="9"/>
      <c r="G1223" s="10"/>
      <c r="H1223" s="11"/>
      <c r="I1223" s="67">
        <f t="shared" si="956"/>
        <v>0</v>
      </c>
      <c r="J1223" s="12">
        <f t="shared" si="957"/>
        <v>0</v>
      </c>
      <c r="L1223" s="24"/>
      <c r="M1223" s="9"/>
      <c r="N1223" s="10"/>
      <c r="O1223" s="11"/>
      <c r="P1223" s="12">
        <f t="shared" si="958"/>
        <v>0</v>
      </c>
      <c r="Q1223" s="105"/>
      <c r="R1223" s="10"/>
      <c r="S1223" s="11"/>
      <c r="T1223" s="12">
        <f t="shared" si="959"/>
        <v>0</v>
      </c>
      <c r="U1223" s="12">
        <f t="shared" si="960"/>
        <v>0</v>
      </c>
    </row>
    <row r="1224" spans="1:21" x14ac:dyDescent="0.15">
      <c r="A1224" s="24"/>
      <c r="B1224" s="9"/>
      <c r="C1224" s="10"/>
      <c r="D1224" s="11"/>
      <c r="E1224" s="12">
        <f t="shared" si="955"/>
        <v>0</v>
      </c>
      <c r="F1224" s="9"/>
      <c r="G1224" s="10"/>
      <c r="H1224" s="11"/>
      <c r="I1224" s="67">
        <f t="shared" si="956"/>
        <v>0</v>
      </c>
      <c r="J1224" s="12">
        <f t="shared" si="957"/>
        <v>0</v>
      </c>
      <c r="L1224" s="24"/>
      <c r="M1224" s="9"/>
      <c r="N1224" s="10"/>
      <c r="O1224" s="11"/>
      <c r="P1224" s="12">
        <f t="shared" si="958"/>
        <v>0</v>
      </c>
      <c r="Q1224" s="105"/>
      <c r="R1224" s="10"/>
      <c r="S1224" s="11"/>
      <c r="T1224" s="12">
        <f t="shared" si="959"/>
        <v>0</v>
      </c>
      <c r="U1224" s="12">
        <f t="shared" si="960"/>
        <v>0</v>
      </c>
    </row>
    <row r="1225" spans="1:21" x14ac:dyDescent="0.15">
      <c r="A1225" s="24"/>
      <c r="B1225" s="9"/>
      <c r="C1225" s="10"/>
      <c r="D1225" s="11"/>
      <c r="E1225" s="12">
        <f t="shared" si="955"/>
        <v>0</v>
      </c>
      <c r="F1225" s="9"/>
      <c r="G1225" s="10"/>
      <c r="H1225" s="11"/>
      <c r="I1225" s="67">
        <f t="shared" si="956"/>
        <v>0</v>
      </c>
      <c r="J1225" s="12">
        <f t="shared" si="957"/>
        <v>0</v>
      </c>
      <c r="L1225" s="24"/>
      <c r="M1225" s="9"/>
      <c r="N1225" s="10"/>
      <c r="O1225" s="11"/>
      <c r="P1225" s="12">
        <f t="shared" si="958"/>
        <v>0</v>
      </c>
      <c r="Q1225" s="105"/>
      <c r="R1225" s="10"/>
      <c r="S1225" s="11"/>
      <c r="T1225" s="12">
        <f t="shared" si="959"/>
        <v>0</v>
      </c>
      <c r="U1225" s="12">
        <f t="shared" si="960"/>
        <v>0</v>
      </c>
    </row>
    <row r="1226" spans="1:21" x14ac:dyDescent="0.15">
      <c r="A1226" s="22"/>
      <c r="B1226" s="9"/>
      <c r="C1226" s="10"/>
      <c r="D1226" s="11"/>
      <c r="E1226" s="12">
        <f t="shared" si="955"/>
        <v>0</v>
      </c>
      <c r="F1226" s="9"/>
      <c r="G1226" s="10"/>
      <c r="H1226" s="11"/>
      <c r="I1226" s="67">
        <f t="shared" si="956"/>
        <v>0</v>
      </c>
      <c r="J1226" s="12">
        <f t="shared" si="957"/>
        <v>0</v>
      </c>
      <c r="L1226" s="22"/>
      <c r="M1226" s="9"/>
      <c r="N1226" s="10"/>
      <c r="O1226" s="11"/>
      <c r="P1226" s="12">
        <f t="shared" si="958"/>
        <v>0</v>
      </c>
      <c r="Q1226" s="105"/>
      <c r="R1226" s="10"/>
      <c r="S1226" s="11"/>
      <c r="T1226" s="12">
        <f t="shared" si="959"/>
        <v>0</v>
      </c>
      <c r="U1226" s="12">
        <f t="shared" si="960"/>
        <v>0</v>
      </c>
    </row>
    <row r="1227" spans="1:21" x14ac:dyDescent="0.15">
      <c r="A1227" s="24"/>
      <c r="B1227" s="13"/>
      <c r="C1227" s="14"/>
      <c r="D1227" s="15"/>
      <c r="E1227" s="12">
        <f t="shared" si="955"/>
        <v>0</v>
      </c>
      <c r="F1227" s="13"/>
      <c r="G1227" s="14"/>
      <c r="H1227" s="15"/>
      <c r="I1227" s="67">
        <f t="shared" si="956"/>
        <v>0</v>
      </c>
      <c r="J1227" s="12">
        <f t="shared" si="957"/>
        <v>0</v>
      </c>
      <c r="L1227" s="24"/>
      <c r="M1227" s="13"/>
      <c r="N1227" s="14"/>
      <c r="O1227" s="15"/>
      <c r="P1227" s="12">
        <f t="shared" si="958"/>
        <v>0</v>
      </c>
      <c r="Q1227" s="154"/>
      <c r="R1227" s="14"/>
      <c r="S1227" s="15"/>
      <c r="T1227" s="12">
        <f t="shared" si="959"/>
        <v>0</v>
      </c>
      <c r="U1227" s="12">
        <f t="shared" si="960"/>
        <v>0</v>
      </c>
    </row>
    <row r="1228" spans="1:21" x14ac:dyDescent="0.15">
      <c r="A1228" s="24"/>
      <c r="B1228" s="9"/>
      <c r="C1228" s="10"/>
      <c r="D1228" s="11"/>
      <c r="E1228" s="12">
        <f t="shared" si="955"/>
        <v>0</v>
      </c>
      <c r="F1228" s="9"/>
      <c r="G1228" s="10"/>
      <c r="H1228" s="11"/>
      <c r="I1228" s="67">
        <f t="shared" si="956"/>
        <v>0</v>
      </c>
      <c r="J1228" s="12">
        <f t="shared" si="957"/>
        <v>0</v>
      </c>
      <c r="L1228" s="24"/>
      <c r="M1228" s="9"/>
      <c r="N1228" s="10"/>
      <c r="O1228" s="11"/>
      <c r="P1228" s="12">
        <f t="shared" si="958"/>
        <v>0</v>
      </c>
      <c r="Q1228" s="105"/>
      <c r="R1228" s="10"/>
      <c r="S1228" s="11"/>
      <c r="T1228" s="12">
        <f t="shared" si="959"/>
        <v>0</v>
      </c>
      <c r="U1228" s="12">
        <f t="shared" si="960"/>
        <v>0</v>
      </c>
    </row>
    <row r="1229" spans="1:21" x14ac:dyDescent="0.15">
      <c r="A1229" s="24"/>
      <c r="B1229" s="9"/>
      <c r="C1229" s="10"/>
      <c r="D1229" s="11"/>
      <c r="E1229" s="12">
        <f t="shared" si="955"/>
        <v>0</v>
      </c>
      <c r="F1229" s="9"/>
      <c r="G1229" s="10"/>
      <c r="H1229" s="11"/>
      <c r="I1229" s="67">
        <f t="shared" si="956"/>
        <v>0</v>
      </c>
      <c r="J1229" s="12">
        <f t="shared" si="957"/>
        <v>0</v>
      </c>
      <c r="L1229" s="24"/>
      <c r="M1229" s="9"/>
      <c r="N1229" s="10"/>
      <c r="O1229" s="11"/>
      <c r="P1229" s="12">
        <f t="shared" si="958"/>
        <v>0</v>
      </c>
      <c r="Q1229" s="105"/>
      <c r="R1229" s="10"/>
      <c r="S1229" s="11"/>
      <c r="T1229" s="12">
        <f t="shared" si="959"/>
        <v>0</v>
      </c>
      <c r="U1229" s="12">
        <f t="shared" si="960"/>
        <v>0</v>
      </c>
    </row>
    <row r="1230" spans="1:21" x14ac:dyDescent="0.15">
      <c r="A1230" s="22"/>
      <c r="B1230" s="9"/>
      <c r="C1230" s="10"/>
      <c r="D1230" s="11"/>
      <c r="E1230" s="12">
        <f t="shared" si="955"/>
        <v>0</v>
      </c>
      <c r="F1230" s="9"/>
      <c r="G1230" s="10"/>
      <c r="H1230" s="11"/>
      <c r="I1230" s="67">
        <f t="shared" si="956"/>
        <v>0</v>
      </c>
      <c r="J1230" s="12">
        <f t="shared" si="957"/>
        <v>0</v>
      </c>
      <c r="L1230" s="22"/>
      <c r="M1230" s="9"/>
      <c r="N1230" s="10"/>
      <c r="O1230" s="11"/>
      <c r="P1230" s="12">
        <f t="shared" si="958"/>
        <v>0</v>
      </c>
      <c r="Q1230" s="105"/>
      <c r="R1230" s="10"/>
      <c r="S1230" s="11"/>
      <c r="T1230" s="12">
        <f t="shared" si="959"/>
        <v>0</v>
      </c>
      <c r="U1230" s="12">
        <f t="shared" si="960"/>
        <v>0</v>
      </c>
    </row>
    <row r="1231" spans="1:21" x14ac:dyDescent="0.15">
      <c r="A1231" s="24"/>
      <c r="B1231" s="9"/>
      <c r="C1231" s="10"/>
      <c r="D1231" s="11"/>
      <c r="E1231" s="12">
        <f t="shared" si="955"/>
        <v>0</v>
      </c>
      <c r="F1231" s="9"/>
      <c r="G1231" s="10"/>
      <c r="H1231" s="11"/>
      <c r="I1231" s="67">
        <f t="shared" si="956"/>
        <v>0</v>
      </c>
      <c r="J1231" s="12">
        <f t="shared" si="957"/>
        <v>0</v>
      </c>
      <c r="L1231" s="24"/>
      <c r="M1231" s="9"/>
      <c r="N1231" s="10"/>
      <c r="O1231" s="11"/>
      <c r="P1231" s="12">
        <f t="shared" si="958"/>
        <v>0</v>
      </c>
      <c r="Q1231" s="105"/>
      <c r="R1231" s="10"/>
      <c r="S1231" s="11"/>
      <c r="T1231" s="12">
        <f t="shared" si="959"/>
        <v>0</v>
      </c>
      <c r="U1231" s="12">
        <f t="shared" si="960"/>
        <v>0</v>
      </c>
    </row>
    <row r="1232" spans="1:21" x14ac:dyDescent="0.15">
      <c r="A1232" s="24"/>
      <c r="B1232" s="9"/>
      <c r="C1232" s="10"/>
      <c r="D1232" s="11"/>
      <c r="E1232" s="12">
        <f t="shared" si="955"/>
        <v>0</v>
      </c>
      <c r="F1232" s="9"/>
      <c r="G1232" s="10"/>
      <c r="H1232" s="11"/>
      <c r="I1232" s="67">
        <f t="shared" si="956"/>
        <v>0</v>
      </c>
      <c r="J1232" s="12">
        <f t="shared" si="957"/>
        <v>0</v>
      </c>
      <c r="L1232" s="24"/>
      <c r="M1232" s="9"/>
      <c r="N1232" s="10"/>
      <c r="O1232" s="11"/>
      <c r="P1232" s="12">
        <f t="shared" si="958"/>
        <v>0</v>
      </c>
      <c r="Q1232" s="105"/>
      <c r="R1232" s="10"/>
      <c r="S1232" s="11"/>
      <c r="T1232" s="12">
        <f t="shared" si="959"/>
        <v>0</v>
      </c>
      <c r="U1232" s="12">
        <f t="shared" si="960"/>
        <v>0</v>
      </c>
    </row>
    <row r="1233" spans="1:22" x14ac:dyDescent="0.15">
      <c r="A1233" s="22"/>
      <c r="B1233" s="9"/>
      <c r="C1233" s="10"/>
      <c r="D1233" s="11"/>
      <c r="E1233" s="12">
        <f t="shared" si="955"/>
        <v>0</v>
      </c>
      <c r="F1233" s="9"/>
      <c r="G1233" s="10"/>
      <c r="H1233" s="11"/>
      <c r="I1233" s="67">
        <f t="shared" si="956"/>
        <v>0</v>
      </c>
      <c r="J1233" s="12">
        <f t="shared" si="957"/>
        <v>0</v>
      </c>
      <c r="L1233" s="22"/>
      <c r="M1233" s="9"/>
      <c r="N1233" s="10"/>
      <c r="O1233" s="11"/>
      <c r="P1233" s="12">
        <f t="shared" si="958"/>
        <v>0</v>
      </c>
      <c r="Q1233" s="105"/>
      <c r="R1233" s="10"/>
      <c r="S1233" s="11"/>
      <c r="T1233" s="12">
        <f t="shared" si="959"/>
        <v>0</v>
      </c>
      <c r="U1233" s="12">
        <f t="shared" si="960"/>
        <v>0</v>
      </c>
    </row>
    <row r="1234" spans="1:22" x14ac:dyDescent="0.15">
      <c r="A1234" s="24"/>
      <c r="B1234" s="9"/>
      <c r="C1234" s="10"/>
      <c r="D1234" s="11"/>
      <c r="E1234" s="12">
        <f t="shared" si="955"/>
        <v>0</v>
      </c>
      <c r="F1234" s="9"/>
      <c r="G1234" s="10"/>
      <c r="H1234" s="11"/>
      <c r="I1234" s="67">
        <f t="shared" si="956"/>
        <v>0</v>
      </c>
      <c r="J1234" s="12">
        <f t="shared" si="957"/>
        <v>0</v>
      </c>
      <c r="L1234" s="24"/>
      <c r="M1234" s="9"/>
      <c r="N1234" s="10"/>
      <c r="O1234" s="11"/>
      <c r="P1234" s="12">
        <f t="shared" si="958"/>
        <v>0</v>
      </c>
      <c r="Q1234" s="105"/>
      <c r="R1234" s="10"/>
      <c r="S1234" s="11"/>
      <c r="T1234" s="12">
        <f t="shared" si="959"/>
        <v>0</v>
      </c>
      <c r="U1234" s="12">
        <f t="shared" si="960"/>
        <v>0</v>
      </c>
    </row>
    <row r="1235" spans="1:22" x14ac:dyDescent="0.15">
      <c r="A1235" s="24"/>
      <c r="B1235" s="9"/>
      <c r="C1235" s="10"/>
      <c r="D1235" s="11"/>
      <c r="E1235" s="12">
        <f t="shared" si="955"/>
        <v>0</v>
      </c>
      <c r="F1235" s="9"/>
      <c r="G1235" s="10"/>
      <c r="H1235" s="11"/>
      <c r="I1235" s="67">
        <f t="shared" si="956"/>
        <v>0</v>
      </c>
      <c r="J1235" s="12">
        <f t="shared" si="957"/>
        <v>0</v>
      </c>
      <c r="L1235" s="24"/>
      <c r="M1235" s="9"/>
      <c r="N1235" s="10"/>
      <c r="O1235" s="11"/>
      <c r="P1235" s="12">
        <f t="shared" si="958"/>
        <v>0</v>
      </c>
      <c r="Q1235" s="105"/>
      <c r="R1235" s="10"/>
      <c r="S1235" s="11"/>
      <c r="T1235" s="12">
        <f t="shared" si="959"/>
        <v>0</v>
      </c>
      <c r="U1235" s="12">
        <f t="shared" si="960"/>
        <v>0</v>
      </c>
    </row>
    <row r="1236" spans="1:22" x14ac:dyDescent="0.15">
      <c r="A1236" s="21"/>
      <c r="B1236" s="9"/>
      <c r="C1236" s="10"/>
      <c r="D1236" s="11"/>
      <c r="E1236" s="12">
        <f t="shared" si="955"/>
        <v>0</v>
      </c>
      <c r="F1236" s="9"/>
      <c r="G1236" s="10"/>
      <c r="H1236" s="11"/>
      <c r="I1236" s="67">
        <f t="shared" si="956"/>
        <v>0</v>
      </c>
      <c r="J1236" s="12">
        <f t="shared" si="957"/>
        <v>0</v>
      </c>
      <c r="L1236" s="21"/>
      <c r="M1236" s="9"/>
      <c r="N1236" s="10"/>
      <c r="O1236" s="11"/>
      <c r="P1236" s="12">
        <f t="shared" si="958"/>
        <v>0</v>
      </c>
      <c r="Q1236" s="105"/>
      <c r="R1236" s="10"/>
      <c r="S1236" s="11"/>
      <c r="T1236" s="12">
        <f t="shared" si="959"/>
        <v>0</v>
      </c>
      <c r="U1236" s="12">
        <f t="shared" si="960"/>
        <v>0</v>
      </c>
    </row>
    <row r="1237" spans="1:22" x14ac:dyDescent="0.15">
      <c r="A1237" s="21"/>
      <c r="B1237" s="9"/>
      <c r="C1237" s="10"/>
      <c r="D1237" s="11"/>
      <c r="E1237" s="12">
        <f t="shared" si="955"/>
        <v>0</v>
      </c>
      <c r="F1237" s="9"/>
      <c r="G1237" s="10"/>
      <c r="H1237" s="11"/>
      <c r="I1237" s="67">
        <f t="shared" si="956"/>
        <v>0</v>
      </c>
      <c r="J1237" s="12">
        <f t="shared" si="957"/>
        <v>0</v>
      </c>
      <c r="L1237" s="21"/>
      <c r="M1237" s="9"/>
      <c r="N1237" s="10"/>
      <c r="O1237" s="11"/>
      <c r="P1237" s="12">
        <f t="shared" si="958"/>
        <v>0</v>
      </c>
      <c r="Q1237" s="105"/>
      <c r="R1237" s="10"/>
      <c r="S1237" s="11"/>
      <c r="T1237" s="12">
        <f t="shared" si="959"/>
        <v>0</v>
      </c>
      <c r="U1237" s="12">
        <f t="shared" si="960"/>
        <v>0</v>
      </c>
    </row>
    <row r="1238" spans="1:22" x14ac:dyDescent="0.15">
      <c r="A1238" s="21"/>
      <c r="B1238" s="9"/>
      <c r="C1238" s="10"/>
      <c r="D1238" s="11"/>
      <c r="E1238" s="12">
        <f t="shared" si="955"/>
        <v>0</v>
      </c>
      <c r="F1238" s="9"/>
      <c r="G1238" s="10"/>
      <c r="H1238" s="11"/>
      <c r="I1238" s="67">
        <f t="shared" si="956"/>
        <v>0</v>
      </c>
      <c r="J1238" s="12">
        <f t="shared" si="957"/>
        <v>0</v>
      </c>
      <c r="L1238" s="21"/>
      <c r="M1238" s="9"/>
      <c r="N1238" s="10"/>
      <c r="O1238" s="11"/>
      <c r="P1238" s="12">
        <f t="shared" ref="P1238:P1239" si="961">SUM(M1238:O1238)</f>
        <v>0</v>
      </c>
      <c r="Q1238" s="105"/>
      <c r="R1238" s="10"/>
      <c r="S1238" s="11"/>
      <c r="T1238" s="12">
        <f t="shared" ref="T1238:T1239" si="962">SUM(Q1238:S1238)</f>
        <v>0</v>
      </c>
      <c r="U1238" s="12">
        <f t="shared" ref="U1238:U1239" si="963">P1238+T1238</f>
        <v>0</v>
      </c>
    </row>
    <row r="1239" spans="1:22" x14ac:dyDescent="0.15">
      <c r="A1239" s="24"/>
      <c r="B1239" s="13"/>
      <c r="C1239" s="14"/>
      <c r="D1239" s="15"/>
      <c r="E1239" s="12">
        <f t="shared" si="955"/>
        <v>0</v>
      </c>
      <c r="F1239" s="13"/>
      <c r="G1239" s="14"/>
      <c r="H1239" s="15"/>
      <c r="I1239" s="67">
        <f t="shared" si="956"/>
        <v>0</v>
      </c>
      <c r="J1239" s="12">
        <f t="shared" si="957"/>
        <v>0</v>
      </c>
      <c r="L1239" s="21"/>
      <c r="M1239" s="9"/>
      <c r="N1239" s="10"/>
      <c r="O1239" s="11"/>
      <c r="P1239" s="12">
        <f t="shared" si="961"/>
        <v>0</v>
      </c>
      <c r="Q1239" s="105"/>
      <c r="R1239" s="10"/>
      <c r="S1239" s="11"/>
      <c r="T1239" s="12">
        <f t="shared" si="962"/>
        <v>0</v>
      </c>
      <c r="U1239" s="12">
        <f t="shared" si="963"/>
        <v>0</v>
      </c>
    </row>
    <row r="1240" spans="1:22" x14ac:dyDescent="0.15">
      <c r="A1240" s="24"/>
      <c r="B1240" s="9"/>
      <c r="C1240" s="10"/>
      <c r="D1240" s="11"/>
      <c r="E1240" s="12">
        <f t="shared" si="955"/>
        <v>0</v>
      </c>
      <c r="F1240" s="9"/>
      <c r="G1240" s="10"/>
      <c r="H1240" s="11"/>
      <c r="I1240" s="67">
        <f t="shared" si="956"/>
        <v>0</v>
      </c>
      <c r="J1240" s="12">
        <f t="shared" si="957"/>
        <v>0</v>
      </c>
      <c r="L1240" s="135" t="s">
        <v>600</v>
      </c>
      <c r="M1240" s="158">
        <v>-50</v>
      </c>
      <c r="N1240" s="159">
        <v>-50</v>
      </c>
      <c r="O1240" s="160">
        <v>-50</v>
      </c>
      <c r="P1240" s="80">
        <f t="shared" ref="P1240:P1243" si="964">SUM(M1240:O1240)</f>
        <v>-150</v>
      </c>
      <c r="Q1240" s="158">
        <v>-50</v>
      </c>
      <c r="R1240" s="159">
        <v>-50</v>
      </c>
      <c r="S1240" s="160">
        <v>-50</v>
      </c>
      <c r="T1240" s="80">
        <f t="shared" ref="T1240:T1243" si="965">SUM(Q1240:S1240)</f>
        <v>-150</v>
      </c>
      <c r="U1240" s="80">
        <f t="shared" si="960"/>
        <v>-300</v>
      </c>
      <c r="V1240" s="190"/>
    </row>
    <row r="1241" spans="1:22" x14ac:dyDescent="0.15">
      <c r="A1241" s="7"/>
      <c r="B1241" s="9"/>
      <c r="C1241" s="10"/>
      <c r="D1241" s="11"/>
      <c r="E1241" s="12">
        <f t="shared" si="955"/>
        <v>0</v>
      </c>
      <c r="F1241" s="9"/>
      <c r="G1241" s="10"/>
      <c r="H1241" s="11"/>
      <c r="I1241" s="67">
        <f t="shared" si="956"/>
        <v>0</v>
      </c>
      <c r="J1241" s="12">
        <f t="shared" si="957"/>
        <v>0</v>
      </c>
      <c r="L1241" s="134" t="s">
        <v>641</v>
      </c>
      <c r="M1241" s="51">
        <v>450</v>
      </c>
      <c r="N1241" s="52">
        <v>550</v>
      </c>
      <c r="O1241" s="156">
        <v>400</v>
      </c>
      <c r="P1241" s="53">
        <f t="shared" si="964"/>
        <v>1400</v>
      </c>
      <c r="Q1241" s="51">
        <v>450</v>
      </c>
      <c r="R1241" s="52">
        <v>550</v>
      </c>
      <c r="S1241" s="156">
        <v>400</v>
      </c>
      <c r="T1241" s="53">
        <f t="shared" si="965"/>
        <v>1400</v>
      </c>
      <c r="U1241" s="53">
        <f t="shared" si="960"/>
        <v>2800</v>
      </c>
      <c r="V1241" s="91" t="s">
        <v>602</v>
      </c>
    </row>
    <row r="1242" spans="1:22" x14ac:dyDescent="0.15">
      <c r="A1242" s="59"/>
      <c r="B1242" s="9"/>
      <c r="C1242" s="10"/>
      <c r="D1242" s="11"/>
      <c r="E1242" s="12">
        <f t="shared" si="955"/>
        <v>0</v>
      </c>
      <c r="F1242" s="9"/>
      <c r="G1242" s="10"/>
      <c r="H1242" s="11"/>
      <c r="I1242" s="67">
        <f t="shared" si="956"/>
        <v>0</v>
      </c>
      <c r="J1242" s="12">
        <f t="shared" si="957"/>
        <v>0</v>
      </c>
      <c r="L1242" s="216" t="s">
        <v>616</v>
      </c>
      <c r="M1242" s="158">
        <v>-40</v>
      </c>
      <c r="N1242" s="159">
        <v>-50</v>
      </c>
      <c r="O1242" s="160">
        <v>-20</v>
      </c>
      <c r="P1242" s="80">
        <f t="shared" si="964"/>
        <v>-110</v>
      </c>
      <c r="Q1242" s="161">
        <v>-20</v>
      </c>
      <c r="R1242" s="159">
        <v>-30</v>
      </c>
      <c r="S1242" s="160">
        <v>-30</v>
      </c>
      <c r="T1242" s="80">
        <f t="shared" si="965"/>
        <v>-80</v>
      </c>
      <c r="U1242" s="80">
        <f t="shared" si="960"/>
        <v>-190</v>
      </c>
      <c r="V1242" s="91"/>
    </row>
    <row r="1243" spans="1:22" ht="14.25" thickBot="1" x14ac:dyDescent="0.2">
      <c r="A1243" s="59"/>
      <c r="B1243" s="9"/>
      <c r="C1243" s="10"/>
      <c r="D1243" s="11"/>
      <c r="E1243" s="12">
        <f t="shared" si="955"/>
        <v>0</v>
      </c>
      <c r="F1243" s="9"/>
      <c r="G1243" s="10"/>
      <c r="H1243" s="11"/>
      <c r="I1243" s="67">
        <f t="shared" si="956"/>
        <v>0</v>
      </c>
      <c r="J1243" s="12">
        <f t="shared" si="957"/>
        <v>0</v>
      </c>
      <c r="L1243" s="217" t="s">
        <v>617</v>
      </c>
      <c r="M1243" s="51">
        <v>200</v>
      </c>
      <c r="N1243" s="52">
        <v>220</v>
      </c>
      <c r="O1243" s="156">
        <v>140</v>
      </c>
      <c r="P1243" s="53">
        <f t="shared" si="964"/>
        <v>560</v>
      </c>
      <c r="Q1243" s="157">
        <v>120</v>
      </c>
      <c r="R1243" s="52">
        <v>135</v>
      </c>
      <c r="S1243" s="156">
        <v>110</v>
      </c>
      <c r="T1243" s="53">
        <f t="shared" si="965"/>
        <v>365</v>
      </c>
      <c r="U1243" s="53">
        <f t="shared" si="960"/>
        <v>925</v>
      </c>
      <c r="V1243" s="91" t="s">
        <v>619</v>
      </c>
    </row>
    <row r="1244" spans="1:22" ht="14.25" thickBot="1" x14ac:dyDescent="0.2">
      <c r="A1244" s="37" t="s">
        <v>17</v>
      </c>
      <c r="B1244" s="38">
        <f>SUM(B1218:B1243)</f>
        <v>0</v>
      </c>
      <c r="C1244" s="39">
        <f>SUM(C1218:C1243)</f>
        <v>0</v>
      </c>
      <c r="D1244" s="40">
        <f>SUM(D1218:D1243)</f>
        <v>0</v>
      </c>
      <c r="E1244" s="41">
        <f>SUM(B1244:D1244)</f>
        <v>0</v>
      </c>
      <c r="F1244" s="38">
        <f>SUM(F1218:F1243)</f>
        <v>0</v>
      </c>
      <c r="G1244" s="39">
        <f>SUM(G1218:G1243)</f>
        <v>0</v>
      </c>
      <c r="H1244" s="40">
        <f>SUM(H1218:H1243)</f>
        <v>0</v>
      </c>
      <c r="I1244" s="41">
        <f>SUM(F1244:H1244)</f>
        <v>0</v>
      </c>
      <c r="J1244" s="42">
        <f t="shared" si="957"/>
        <v>0</v>
      </c>
      <c r="L1244" s="37" t="s">
        <v>17</v>
      </c>
      <c r="M1244" s="38">
        <f>SUM(M1218:M1243)</f>
        <v>560</v>
      </c>
      <c r="N1244" s="39">
        <f>SUM(N1218:N1243)</f>
        <v>670</v>
      </c>
      <c r="O1244" s="40">
        <f>SUM(O1218:O1243)</f>
        <v>470</v>
      </c>
      <c r="P1244" s="41">
        <f>SUM(M1244:O1244)</f>
        <v>1700</v>
      </c>
      <c r="Q1244" s="38">
        <f>SUM(Q1218:Q1243)</f>
        <v>500</v>
      </c>
      <c r="R1244" s="39">
        <f>SUM(R1218:R1243)</f>
        <v>605</v>
      </c>
      <c r="S1244" s="40">
        <f>SUM(S1218:S1243)</f>
        <v>430</v>
      </c>
      <c r="T1244" s="41">
        <f>SUM(Q1244:S1244)</f>
        <v>1535</v>
      </c>
      <c r="U1244" s="42">
        <f t="shared" si="960"/>
        <v>3235</v>
      </c>
    </row>
    <row r="1245" spans="1:22" ht="14.25" thickBot="1" x14ac:dyDescent="0.2">
      <c r="A1245" s="20" t="s">
        <v>18</v>
      </c>
      <c r="B1245" s="63">
        <f>B1217-B1244</f>
        <v>7</v>
      </c>
      <c r="C1245" s="64">
        <f t="shared" ref="C1245:E1245" si="966">C1217-C1244</f>
        <v>4</v>
      </c>
      <c r="D1245" s="65">
        <f t="shared" si="966"/>
        <v>7</v>
      </c>
      <c r="E1245" s="65">
        <f t="shared" si="966"/>
        <v>18</v>
      </c>
      <c r="F1245" s="63">
        <f>F1217-F1244</f>
        <v>6</v>
      </c>
      <c r="G1245" s="64">
        <f t="shared" ref="G1245:I1245" si="967">G1217-G1244</f>
        <v>5</v>
      </c>
      <c r="H1245" s="65">
        <f t="shared" si="967"/>
        <v>4</v>
      </c>
      <c r="I1245" s="65">
        <f t="shared" si="967"/>
        <v>15</v>
      </c>
      <c r="J1245" s="29">
        <f t="shared" si="957"/>
        <v>33</v>
      </c>
      <c r="L1245" s="112" t="s">
        <v>18</v>
      </c>
      <c r="M1245" s="63">
        <f>M1217-M1244</f>
        <v>107</v>
      </c>
      <c r="N1245" s="64">
        <f t="shared" ref="N1245:P1245" si="968">N1217-N1244</f>
        <v>83</v>
      </c>
      <c r="O1245" s="65">
        <f t="shared" si="968"/>
        <v>208</v>
      </c>
      <c r="P1245" s="65">
        <f t="shared" si="968"/>
        <v>398</v>
      </c>
      <c r="Q1245" s="63">
        <f>Q1217-Q1244</f>
        <v>282</v>
      </c>
      <c r="R1245" s="64">
        <f t="shared" ref="R1245:T1245" si="969">R1217-R1244</f>
        <v>192</v>
      </c>
      <c r="S1245" s="65">
        <f t="shared" si="969"/>
        <v>286</v>
      </c>
      <c r="T1245" s="65">
        <f t="shared" si="969"/>
        <v>760</v>
      </c>
      <c r="U1245" s="29">
        <f t="shared" si="960"/>
        <v>1158</v>
      </c>
    </row>
    <row r="1246" spans="1:22" x14ac:dyDescent="0.15">
      <c r="L1246" s="215" t="s">
        <v>599</v>
      </c>
      <c r="M1246" s="150">
        <v>400</v>
      </c>
      <c r="N1246" s="150">
        <v>485</v>
      </c>
      <c r="O1246" s="150">
        <v>325</v>
      </c>
      <c r="P1246" s="150">
        <f>SUM(M1246:O1246)</f>
        <v>1210</v>
      </c>
      <c r="Q1246" s="79"/>
      <c r="R1246" s="79"/>
      <c r="S1246" s="79"/>
      <c r="T1246" s="79"/>
    </row>
    <row r="1247" spans="1:22" x14ac:dyDescent="0.15">
      <c r="M1247" s="78"/>
      <c r="N1247" s="78"/>
      <c r="O1247" s="78"/>
      <c r="P1247" s="78"/>
      <c r="Q1247" s="78"/>
      <c r="R1247" s="78"/>
      <c r="S1247" s="78"/>
      <c r="T1247" s="78"/>
    </row>
    <row r="1248" spans="1:22" ht="19.5" thickBot="1" x14ac:dyDescent="0.25">
      <c r="A1248" s="3" t="s">
        <v>209</v>
      </c>
      <c r="B1248" s="1"/>
      <c r="C1248" s="1"/>
      <c r="D1248" s="1"/>
      <c r="E1248" s="1"/>
      <c r="F1248" s="1"/>
      <c r="G1248" s="1"/>
      <c r="H1248" s="1"/>
      <c r="I1248" s="1"/>
      <c r="J1248" s="1"/>
      <c r="L1248" s="226" t="s">
        <v>208</v>
      </c>
      <c r="M1248" s="226"/>
      <c r="N1248" s="226"/>
      <c r="O1248" s="226"/>
      <c r="P1248" s="226"/>
      <c r="Q1248" s="1"/>
      <c r="R1248" s="1"/>
      <c r="S1248" s="1"/>
      <c r="T1248" s="1" t="s">
        <v>422</v>
      </c>
      <c r="U1248" s="1"/>
    </row>
    <row r="1249" spans="1:22" ht="14.25" thickBot="1" x14ac:dyDescent="0.2">
      <c r="A1249" s="8" t="s">
        <v>0</v>
      </c>
      <c r="B1249" s="227" t="s">
        <v>19</v>
      </c>
      <c r="C1249" s="228"/>
      <c r="D1249" s="228"/>
      <c r="E1249" s="229"/>
      <c r="F1249" s="230" t="s">
        <v>20</v>
      </c>
      <c r="G1249" s="231"/>
      <c r="H1249" s="231"/>
      <c r="I1249" s="232"/>
      <c r="J1249" s="233" t="s">
        <v>1</v>
      </c>
      <c r="L1249" s="8" t="s">
        <v>0</v>
      </c>
      <c r="M1249" s="235" t="s">
        <v>19</v>
      </c>
      <c r="N1249" s="236"/>
      <c r="O1249" s="236"/>
      <c r="P1249" s="237"/>
      <c r="Q1249" s="238" t="s">
        <v>20</v>
      </c>
      <c r="R1249" s="239"/>
      <c r="S1249" s="239"/>
      <c r="T1249" s="240"/>
      <c r="U1249" s="224" t="s">
        <v>1</v>
      </c>
    </row>
    <row r="1250" spans="1:22" ht="14.25" thickBot="1" x14ac:dyDescent="0.2">
      <c r="A1250" s="8" t="s">
        <v>2</v>
      </c>
      <c r="B1250" s="69" t="s">
        <v>3</v>
      </c>
      <c r="C1250" s="70" t="s">
        <v>4</v>
      </c>
      <c r="D1250" s="71" t="s">
        <v>5</v>
      </c>
      <c r="E1250" s="8" t="s">
        <v>6</v>
      </c>
      <c r="F1250" s="4" t="s">
        <v>3</v>
      </c>
      <c r="G1250" s="5" t="s">
        <v>4</v>
      </c>
      <c r="H1250" s="6" t="s">
        <v>5</v>
      </c>
      <c r="I1250" s="8" t="s">
        <v>6</v>
      </c>
      <c r="J1250" s="234"/>
      <c r="L1250" s="8" t="s">
        <v>2</v>
      </c>
      <c r="M1250" s="69" t="s">
        <v>3</v>
      </c>
      <c r="N1250" s="70" t="s">
        <v>4</v>
      </c>
      <c r="O1250" s="71" t="s">
        <v>5</v>
      </c>
      <c r="P1250" s="8" t="s">
        <v>6</v>
      </c>
      <c r="Q1250" s="4" t="s">
        <v>3</v>
      </c>
      <c r="R1250" s="5" t="s">
        <v>4</v>
      </c>
      <c r="S1250" s="6" t="s">
        <v>5</v>
      </c>
      <c r="T1250" s="8" t="s">
        <v>6</v>
      </c>
      <c r="U1250" s="225"/>
    </row>
    <row r="1251" spans="1:22" ht="14.25" thickBot="1" x14ac:dyDescent="0.2">
      <c r="A1251" s="25" t="s">
        <v>18</v>
      </c>
      <c r="B1251" s="26">
        <f>B1245</f>
        <v>7</v>
      </c>
      <c r="C1251" s="27">
        <f t="shared" ref="C1251:D1251" si="970">C1245</f>
        <v>4</v>
      </c>
      <c r="D1251" s="49">
        <f t="shared" si="970"/>
        <v>7</v>
      </c>
      <c r="E1251" s="68">
        <f t="shared" ref="E1251:E1259" si="971">SUM(B1251:D1251)</f>
        <v>18</v>
      </c>
      <c r="F1251" s="26">
        <f>F1245</f>
        <v>6</v>
      </c>
      <c r="G1251" s="27">
        <f t="shared" ref="G1251:H1251" si="972">G1245</f>
        <v>5</v>
      </c>
      <c r="H1251" s="49">
        <f t="shared" si="972"/>
        <v>4</v>
      </c>
      <c r="I1251" s="33">
        <f t="shared" ref="I1251:I1259" si="973">SUM(F1251:H1251)</f>
        <v>15</v>
      </c>
      <c r="J1251" s="33">
        <f>E1251+I1251</f>
        <v>33</v>
      </c>
      <c r="L1251" s="25" t="s">
        <v>18</v>
      </c>
      <c r="M1251" s="26">
        <f>M1245</f>
        <v>107</v>
      </c>
      <c r="N1251" s="27">
        <f t="shared" ref="N1251:O1251" si="974">N1245</f>
        <v>83</v>
      </c>
      <c r="O1251" s="49">
        <f t="shared" si="974"/>
        <v>208</v>
      </c>
      <c r="P1251" s="107">
        <f t="shared" ref="P1251:P1259" si="975">SUM(M1251:O1251)</f>
        <v>398</v>
      </c>
      <c r="Q1251" s="26">
        <f>Q1245</f>
        <v>282</v>
      </c>
      <c r="R1251" s="27">
        <f t="shared" ref="R1251:S1251" si="976">R1245</f>
        <v>192</v>
      </c>
      <c r="S1251" s="49">
        <f t="shared" si="976"/>
        <v>286</v>
      </c>
      <c r="T1251" s="29">
        <f t="shared" ref="T1251:T1259" si="977">SUM(Q1251:S1251)</f>
        <v>760</v>
      </c>
      <c r="U1251" s="29">
        <f>P1251+T1251</f>
        <v>1158</v>
      </c>
    </row>
    <row r="1252" spans="1:22" x14ac:dyDescent="0.15">
      <c r="A1252" s="23" t="s">
        <v>8</v>
      </c>
      <c r="B1252" s="47"/>
      <c r="C1252" s="48"/>
      <c r="D1252" s="72"/>
      <c r="E1252" s="42">
        <f t="shared" si="971"/>
        <v>0</v>
      </c>
      <c r="F1252" s="38"/>
      <c r="G1252" s="39"/>
      <c r="H1252" s="40"/>
      <c r="I1252" s="66">
        <f t="shared" si="973"/>
        <v>0</v>
      </c>
      <c r="J1252" s="57">
        <f t="shared" ref="J1252:J1259" si="978">E1252+I1252</f>
        <v>0</v>
      </c>
      <c r="L1252" s="23" t="s">
        <v>8</v>
      </c>
      <c r="M1252" s="16"/>
      <c r="N1252" s="17"/>
      <c r="O1252" s="43"/>
      <c r="P1252" s="94">
        <f t="shared" si="975"/>
        <v>0</v>
      </c>
      <c r="Q1252" s="16"/>
      <c r="R1252" s="17"/>
      <c r="S1252" s="43"/>
      <c r="T1252" s="94">
        <f t="shared" si="977"/>
        <v>0</v>
      </c>
      <c r="U1252" s="94">
        <f t="shared" ref="U1252:U1259" si="979">P1252+T1252</f>
        <v>0</v>
      </c>
    </row>
    <row r="1253" spans="1:22" x14ac:dyDescent="0.15">
      <c r="A1253" s="23" t="s">
        <v>9</v>
      </c>
      <c r="B1253" s="9"/>
      <c r="C1253" s="10"/>
      <c r="D1253" s="44"/>
      <c r="E1253" s="12">
        <f t="shared" si="971"/>
        <v>0</v>
      </c>
      <c r="F1253" s="9"/>
      <c r="G1253" s="10"/>
      <c r="H1253" s="44"/>
      <c r="I1253" s="12">
        <f t="shared" si="973"/>
        <v>0</v>
      </c>
      <c r="J1253" s="12">
        <f t="shared" si="978"/>
        <v>0</v>
      </c>
      <c r="L1253" s="23" t="s">
        <v>9</v>
      </c>
      <c r="M1253" s="9"/>
      <c r="N1253" s="10"/>
      <c r="O1253" s="44"/>
      <c r="P1253" s="12">
        <f t="shared" si="975"/>
        <v>0</v>
      </c>
      <c r="Q1253" s="9"/>
      <c r="R1253" s="10"/>
      <c r="S1253" s="44"/>
      <c r="T1253" s="12">
        <f t="shared" si="977"/>
        <v>0</v>
      </c>
      <c r="U1253" s="12">
        <f t="shared" si="979"/>
        <v>0</v>
      </c>
    </row>
    <row r="1254" spans="1:22" x14ac:dyDescent="0.15">
      <c r="A1254" s="23" t="s">
        <v>10</v>
      </c>
      <c r="B1254" s="16"/>
      <c r="C1254" s="17"/>
      <c r="D1254" s="43"/>
      <c r="E1254" s="12">
        <f t="shared" si="971"/>
        <v>0</v>
      </c>
      <c r="F1254" s="16"/>
      <c r="G1254" s="17"/>
      <c r="H1254" s="43"/>
      <c r="I1254" s="12">
        <f t="shared" si="973"/>
        <v>0</v>
      </c>
      <c r="J1254" s="12">
        <f t="shared" si="978"/>
        <v>0</v>
      </c>
      <c r="L1254" s="23" t="s">
        <v>10</v>
      </c>
      <c r="M1254" s="9"/>
      <c r="N1254" s="10"/>
      <c r="O1254" s="44"/>
      <c r="P1254" s="12">
        <f t="shared" ref="P1254" si="980">SUM(M1254:O1254)</f>
        <v>0</v>
      </c>
      <c r="Q1254" s="9"/>
      <c r="R1254" s="10"/>
      <c r="S1254" s="44"/>
      <c r="T1254" s="12">
        <f t="shared" ref="T1254" si="981">SUM(Q1254:S1254)</f>
        <v>0</v>
      </c>
      <c r="U1254" s="12">
        <f t="shared" ref="U1254" si="982">P1254+T1254</f>
        <v>0</v>
      </c>
    </row>
    <row r="1255" spans="1:22" x14ac:dyDescent="0.15">
      <c r="A1255" s="23" t="s">
        <v>11</v>
      </c>
      <c r="B1255" s="16"/>
      <c r="C1255" s="17"/>
      <c r="D1255" s="43"/>
      <c r="E1255" s="12">
        <f t="shared" si="971"/>
        <v>0</v>
      </c>
      <c r="F1255" s="16"/>
      <c r="G1255" s="17"/>
      <c r="H1255" s="43"/>
      <c r="I1255" s="12">
        <f t="shared" si="973"/>
        <v>0</v>
      </c>
      <c r="J1255" s="12">
        <f t="shared" si="978"/>
        <v>0</v>
      </c>
      <c r="L1255" s="60" t="s">
        <v>603</v>
      </c>
      <c r="M1255" s="51">
        <v>500</v>
      </c>
      <c r="N1255" s="52">
        <v>500</v>
      </c>
      <c r="O1255" s="61">
        <v>400</v>
      </c>
      <c r="P1255" s="53">
        <f t="shared" si="975"/>
        <v>1400</v>
      </c>
      <c r="Q1255" s="51">
        <v>400</v>
      </c>
      <c r="R1255" s="52">
        <v>500</v>
      </c>
      <c r="S1255" s="61">
        <v>350</v>
      </c>
      <c r="T1255" s="53">
        <f t="shared" si="977"/>
        <v>1250</v>
      </c>
      <c r="U1255" s="53">
        <f t="shared" si="979"/>
        <v>2650</v>
      </c>
      <c r="V1255" s="212" t="s">
        <v>626</v>
      </c>
    </row>
    <row r="1256" spans="1:22" x14ac:dyDescent="0.15">
      <c r="A1256" s="23" t="s">
        <v>12</v>
      </c>
      <c r="B1256" s="9"/>
      <c r="C1256" s="10"/>
      <c r="D1256" s="44"/>
      <c r="E1256" s="12">
        <f t="shared" si="971"/>
        <v>0</v>
      </c>
      <c r="F1256" s="9"/>
      <c r="G1256" s="10"/>
      <c r="H1256" s="44"/>
      <c r="I1256" s="67">
        <f t="shared" si="973"/>
        <v>0</v>
      </c>
      <c r="J1256" s="12">
        <f t="shared" si="978"/>
        <v>0</v>
      </c>
      <c r="L1256" s="23" t="s">
        <v>12</v>
      </c>
      <c r="M1256" s="9"/>
      <c r="N1256" s="10"/>
      <c r="O1256" s="44"/>
      <c r="P1256" s="12">
        <f t="shared" si="975"/>
        <v>0</v>
      </c>
      <c r="Q1256" s="9"/>
      <c r="R1256" s="10"/>
      <c r="S1256" s="44"/>
      <c r="T1256" s="12">
        <f t="shared" si="977"/>
        <v>0</v>
      </c>
      <c r="U1256" s="12">
        <f t="shared" si="979"/>
        <v>0</v>
      </c>
    </row>
    <row r="1257" spans="1:22" x14ac:dyDescent="0.15">
      <c r="A1257" s="23" t="s">
        <v>13</v>
      </c>
      <c r="B1257" s="9"/>
      <c r="C1257" s="10"/>
      <c r="D1257" s="44"/>
      <c r="E1257" s="12">
        <f t="shared" si="971"/>
        <v>0</v>
      </c>
      <c r="F1257" s="9"/>
      <c r="G1257" s="10"/>
      <c r="H1257" s="44"/>
      <c r="I1257" s="67">
        <f t="shared" si="973"/>
        <v>0</v>
      </c>
      <c r="J1257" s="12">
        <f t="shared" si="978"/>
        <v>0</v>
      </c>
      <c r="L1257" s="23" t="s">
        <v>13</v>
      </c>
      <c r="M1257" s="9"/>
      <c r="N1257" s="10"/>
      <c r="O1257" s="44"/>
      <c r="P1257" s="12">
        <f t="shared" si="975"/>
        <v>0</v>
      </c>
      <c r="Q1257" s="9"/>
      <c r="R1257" s="10"/>
      <c r="S1257" s="44"/>
      <c r="T1257" s="67">
        <f t="shared" si="977"/>
        <v>0</v>
      </c>
      <c r="U1257" s="12">
        <f t="shared" si="979"/>
        <v>0</v>
      </c>
    </row>
    <row r="1258" spans="1:22" x14ac:dyDescent="0.15">
      <c r="A1258" s="23" t="s">
        <v>14</v>
      </c>
      <c r="B1258" s="13"/>
      <c r="C1258" s="14"/>
      <c r="D1258" s="45"/>
      <c r="E1258" s="12">
        <f t="shared" si="971"/>
        <v>0</v>
      </c>
      <c r="F1258" s="13"/>
      <c r="G1258" s="14"/>
      <c r="H1258" s="45"/>
      <c r="I1258" s="67">
        <f t="shared" si="973"/>
        <v>0</v>
      </c>
      <c r="J1258" s="12">
        <f t="shared" si="978"/>
        <v>0</v>
      </c>
      <c r="L1258" s="23" t="s">
        <v>14</v>
      </c>
      <c r="M1258" s="13"/>
      <c r="N1258" s="14"/>
      <c r="O1258" s="45"/>
      <c r="P1258" s="12">
        <f t="shared" si="975"/>
        <v>0</v>
      </c>
      <c r="Q1258" s="13"/>
      <c r="R1258" s="14"/>
      <c r="S1258" s="45"/>
      <c r="T1258" s="67">
        <f t="shared" si="977"/>
        <v>0</v>
      </c>
      <c r="U1258" s="12">
        <f t="shared" si="979"/>
        <v>0</v>
      </c>
    </row>
    <row r="1259" spans="1:22" ht="14.25" thickBot="1" x14ac:dyDescent="0.2">
      <c r="A1259" s="23" t="s">
        <v>15</v>
      </c>
      <c r="B1259" s="30"/>
      <c r="C1259" s="31"/>
      <c r="D1259" s="46"/>
      <c r="E1259" s="12">
        <f t="shared" si="971"/>
        <v>0</v>
      </c>
      <c r="F1259" s="30"/>
      <c r="G1259" s="31"/>
      <c r="H1259" s="46"/>
      <c r="I1259" s="67">
        <f t="shared" si="973"/>
        <v>0</v>
      </c>
      <c r="J1259" s="19">
        <f t="shared" si="978"/>
        <v>0</v>
      </c>
      <c r="L1259" s="23" t="s">
        <v>15</v>
      </c>
      <c r="M1259" s="13"/>
      <c r="N1259" s="14"/>
      <c r="O1259" s="45"/>
      <c r="P1259" s="12">
        <f t="shared" si="975"/>
        <v>0</v>
      </c>
      <c r="Q1259" s="13"/>
      <c r="R1259" s="14"/>
      <c r="S1259" s="45"/>
      <c r="T1259" s="67">
        <f t="shared" si="977"/>
        <v>0</v>
      </c>
      <c r="U1259" s="12">
        <f t="shared" si="979"/>
        <v>0</v>
      </c>
    </row>
    <row r="1260" spans="1:22" ht="14.25" thickBot="1" x14ac:dyDescent="0.2">
      <c r="A1260" s="32" t="s">
        <v>16</v>
      </c>
      <c r="B1260" s="26">
        <f>SUM(B1251:B1259)</f>
        <v>7</v>
      </c>
      <c r="C1260" s="27">
        <f t="shared" ref="C1260:J1260" si="983">SUM(C1251:C1259)</f>
        <v>4</v>
      </c>
      <c r="D1260" s="49">
        <f t="shared" si="983"/>
        <v>7</v>
      </c>
      <c r="E1260" s="75">
        <f t="shared" si="983"/>
        <v>18</v>
      </c>
      <c r="F1260" s="26">
        <f t="shared" si="983"/>
        <v>6</v>
      </c>
      <c r="G1260" s="27">
        <f t="shared" si="983"/>
        <v>5</v>
      </c>
      <c r="H1260" s="49">
        <f t="shared" si="983"/>
        <v>4</v>
      </c>
      <c r="I1260" s="74">
        <f t="shared" si="983"/>
        <v>15</v>
      </c>
      <c r="J1260" s="29">
        <f t="shared" si="983"/>
        <v>33</v>
      </c>
      <c r="L1260" s="32" t="s">
        <v>16</v>
      </c>
      <c r="M1260" s="26">
        <f>SUM(M1251:M1259)</f>
        <v>607</v>
      </c>
      <c r="N1260" s="27">
        <f t="shared" ref="N1260:U1260" si="984">SUM(N1251:N1259)</f>
        <v>583</v>
      </c>
      <c r="O1260" s="49">
        <f t="shared" si="984"/>
        <v>608</v>
      </c>
      <c r="P1260" s="75">
        <f t="shared" si="984"/>
        <v>1798</v>
      </c>
      <c r="Q1260" s="26">
        <f t="shared" si="984"/>
        <v>682</v>
      </c>
      <c r="R1260" s="27">
        <f t="shared" si="984"/>
        <v>692</v>
      </c>
      <c r="S1260" s="49">
        <f t="shared" si="984"/>
        <v>636</v>
      </c>
      <c r="T1260" s="74">
        <f t="shared" si="984"/>
        <v>2010</v>
      </c>
      <c r="U1260" s="29">
        <f t="shared" si="984"/>
        <v>3808</v>
      </c>
    </row>
    <row r="1261" spans="1:22" x14ac:dyDescent="0.15">
      <c r="A1261" s="22"/>
      <c r="B1261" s="54"/>
      <c r="C1261" s="55"/>
      <c r="D1261" s="56"/>
      <c r="E1261" s="42">
        <f t="shared" ref="E1261:E1286" si="985">SUM(B1261:D1261)</f>
        <v>0</v>
      </c>
      <c r="F1261" s="54"/>
      <c r="G1261" s="55"/>
      <c r="H1261" s="56"/>
      <c r="I1261" s="66">
        <f t="shared" ref="I1261:I1286" si="986">SUM(F1261:H1261)</f>
        <v>0</v>
      </c>
      <c r="J1261" s="57">
        <f t="shared" ref="J1261:J1288" si="987">E1261+I1261</f>
        <v>0</v>
      </c>
      <c r="L1261" s="110"/>
      <c r="M1261" s="54"/>
      <c r="N1261" s="55"/>
      <c r="O1261" s="56"/>
      <c r="P1261" s="42">
        <f t="shared" ref="P1261:P1284" si="988">SUM(M1261:O1261)</f>
        <v>0</v>
      </c>
      <c r="Q1261" s="152"/>
      <c r="R1261" s="55"/>
      <c r="S1261" s="56"/>
      <c r="T1261" s="42">
        <f t="shared" ref="T1261:T1284" si="989">SUM(Q1261:S1261)</f>
        <v>0</v>
      </c>
      <c r="U1261" s="57">
        <f t="shared" ref="U1261:U1288" si="990">P1261+T1261</f>
        <v>0</v>
      </c>
    </row>
    <row r="1262" spans="1:22" x14ac:dyDescent="0.15">
      <c r="A1262" s="24"/>
      <c r="B1262" s="16"/>
      <c r="C1262" s="17"/>
      <c r="D1262" s="18"/>
      <c r="E1262" s="12">
        <f t="shared" si="985"/>
        <v>0</v>
      </c>
      <c r="F1262" s="16"/>
      <c r="G1262" s="17"/>
      <c r="H1262" s="18"/>
      <c r="I1262" s="67">
        <f t="shared" si="986"/>
        <v>0</v>
      </c>
      <c r="J1262" s="12">
        <f t="shared" si="987"/>
        <v>0</v>
      </c>
      <c r="L1262" s="24"/>
      <c r="M1262" s="16"/>
      <c r="N1262" s="17"/>
      <c r="O1262" s="18"/>
      <c r="P1262" s="12">
        <f t="shared" si="988"/>
        <v>0</v>
      </c>
      <c r="Q1262" s="153"/>
      <c r="R1262" s="17"/>
      <c r="S1262" s="18"/>
      <c r="T1262" s="12">
        <f t="shared" si="989"/>
        <v>0</v>
      </c>
      <c r="U1262" s="12">
        <f t="shared" si="990"/>
        <v>0</v>
      </c>
    </row>
    <row r="1263" spans="1:22" x14ac:dyDescent="0.15">
      <c r="A1263" s="22"/>
      <c r="B1263" s="9"/>
      <c r="C1263" s="10"/>
      <c r="D1263" s="11"/>
      <c r="E1263" s="12">
        <f t="shared" si="985"/>
        <v>0</v>
      </c>
      <c r="F1263" s="9"/>
      <c r="G1263" s="10"/>
      <c r="H1263" s="11"/>
      <c r="I1263" s="67">
        <f t="shared" si="986"/>
        <v>0</v>
      </c>
      <c r="J1263" s="12">
        <f t="shared" si="987"/>
        <v>0</v>
      </c>
      <c r="L1263" s="22"/>
      <c r="M1263" s="9"/>
      <c r="N1263" s="10"/>
      <c r="O1263" s="11"/>
      <c r="P1263" s="12">
        <f t="shared" si="988"/>
        <v>0</v>
      </c>
      <c r="Q1263" s="105"/>
      <c r="R1263" s="10"/>
      <c r="S1263" s="11"/>
      <c r="T1263" s="12">
        <f t="shared" si="989"/>
        <v>0</v>
      </c>
      <c r="U1263" s="12">
        <f t="shared" si="990"/>
        <v>0</v>
      </c>
    </row>
    <row r="1264" spans="1:22" x14ac:dyDescent="0.15">
      <c r="A1264" s="24"/>
      <c r="B1264" s="9"/>
      <c r="C1264" s="10"/>
      <c r="D1264" s="11"/>
      <c r="E1264" s="12">
        <f t="shared" si="985"/>
        <v>0</v>
      </c>
      <c r="F1264" s="9"/>
      <c r="G1264" s="10"/>
      <c r="H1264" s="11"/>
      <c r="I1264" s="67">
        <f t="shared" si="986"/>
        <v>0</v>
      </c>
      <c r="J1264" s="12">
        <f t="shared" si="987"/>
        <v>0</v>
      </c>
      <c r="L1264" s="24"/>
      <c r="M1264" s="9"/>
      <c r="N1264" s="10"/>
      <c r="O1264" s="11"/>
      <c r="P1264" s="12">
        <f t="shared" si="988"/>
        <v>0</v>
      </c>
      <c r="Q1264" s="105"/>
      <c r="R1264" s="10"/>
      <c r="S1264" s="11"/>
      <c r="T1264" s="12">
        <f t="shared" si="989"/>
        <v>0</v>
      </c>
      <c r="U1264" s="12">
        <f t="shared" si="990"/>
        <v>0</v>
      </c>
    </row>
    <row r="1265" spans="1:21" x14ac:dyDescent="0.15">
      <c r="A1265" s="24"/>
      <c r="B1265" s="9"/>
      <c r="C1265" s="10"/>
      <c r="D1265" s="11"/>
      <c r="E1265" s="12">
        <f t="shared" si="985"/>
        <v>0</v>
      </c>
      <c r="F1265" s="9"/>
      <c r="G1265" s="10"/>
      <c r="H1265" s="11"/>
      <c r="I1265" s="67">
        <f t="shared" si="986"/>
        <v>0</v>
      </c>
      <c r="J1265" s="12">
        <f t="shared" si="987"/>
        <v>0</v>
      </c>
      <c r="L1265" s="24"/>
      <c r="M1265" s="9"/>
      <c r="N1265" s="10"/>
      <c r="O1265" s="11"/>
      <c r="P1265" s="12">
        <f t="shared" si="988"/>
        <v>0</v>
      </c>
      <c r="Q1265" s="105"/>
      <c r="R1265" s="10"/>
      <c r="S1265" s="11"/>
      <c r="T1265" s="12">
        <f t="shared" si="989"/>
        <v>0</v>
      </c>
      <c r="U1265" s="12">
        <f t="shared" si="990"/>
        <v>0</v>
      </c>
    </row>
    <row r="1266" spans="1:21" x14ac:dyDescent="0.15">
      <c r="A1266" s="24"/>
      <c r="B1266" s="9"/>
      <c r="C1266" s="10"/>
      <c r="D1266" s="11"/>
      <c r="E1266" s="12">
        <f t="shared" si="985"/>
        <v>0</v>
      </c>
      <c r="F1266" s="9"/>
      <c r="G1266" s="10"/>
      <c r="H1266" s="11"/>
      <c r="I1266" s="67">
        <f t="shared" si="986"/>
        <v>0</v>
      </c>
      <c r="J1266" s="12">
        <f t="shared" si="987"/>
        <v>0</v>
      </c>
      <c r="L1266" s="24"/>
      <c r="M1266" s="9"/>
      <c r="N1266" s="10"/>
      <c r="O1266" s="11"/>
      <c r="P1266" s="12">
        <f t="shared" si="988"/>
        <v>0</v>
      </c>
      <c r="Q1266" s="105"/>
      <c r="R1266" s="10"/>
      <c r="S1266" s="11"/>
      <c r="T1266" s="12">
        <f t="shared" si="989"/>
        <v>0</v>
      </c>
      <c r="U1266" s="12">
        <f t="shared" si="990"/>
        <v>0</v>
      </c>
    </row>
    <row r="1267" spans="1:21" x14ac:dyDescent="0.15">
      <c r="A1267" s="24"/>
      <c r="B1267" s="9"/>
      <c r="C1267" s="10"/>
      <c r="D1267" s="11"/>
      <c r="E1267" s="12">
        <f t="shared" si="985"/>
        <v>0</v>
      </c>
      <c r="F1267" s="9"/>
      <c r="G1267" s="10"/>
      <c r="H1267" s="11"/>
      <c r="I1267" s="67">
        <f t="shared" si="986"/>
        <v>0</v>
      </c>
      <c r="J1267" s="12">
        <f t="shared" si="987"/>
        <v>0</v>
      </c>
      <c r="L1267" s="24"/>
      <c r="M1267" s="9"/>
      <c r="N1267" s="10"/>
      <c r="O1267" s="11"/>
      <c r="P1267" s="12">
        <f t="shared" si="988"/>
        <v>0</v>
      </c>
      <c r="Q1267" s="105"/>
      <c r="R1267" s="10"/>
      <c r="S1267" s="11"/>
      <c r="T1267" s="12">
        <f t="shared" si="989"/>
        <v>0</v>
      </c>
      <c r="U1267" s="12">
        <f t="shared" si="990"/>
        <v>0</v>
      </c>
    </row>
    <row r="1268" spans="1:21" x14ac:dyDescent="0.15">
      <c r="A1268" s="24"/>
      <c r="B1268" s="9"/>
      <c r="C1268" s="10"/>
      <c r="D1268" s="11"/>
      <c r="E1268" s="12">
        <f t="shared" si="985"/>
        <v>0</v>
      </c>
      <c r="F1268" s="9"/>
      <c r="G1268" s="10"/>
      <c r="H1268" s="11"/>
      <c r="I1268" s="67">
        <f t="shared" si="986"/>
        <v>0</v>
      </c>
      <c r="J1268" s="12">
        <f t="shared" si="987"/>
        <v>0</v>
      </c>
      <c r="L1268" s="24"/>
      <c r="M1268" s="9"/>
      <c r="N1268" s="10"/>
      <c r="O1268" s="11"/>
      <c r="P1268" s="12">
        <f t="shared" si="988"/>
        <v>0</v>
      </c>
      <c r="Q1268" s="105"/>
      <c r="R1268" s="10"/>
      <c r="S1268" s="11"/>
      <c r="T1268" s="12">
        <f t="shared" si="989"/>
        <v>0</v>
      </c>
      <c r="U1268" s="12">
        <f t="shared" si="990"/>
        <v>0</v>
      </c>
    </row>
    <row r="1269" spans="1:21" x14ac:dyDescent="0.15">
      <c r="A1269" s="22"/>
      <c r="B1269" s="9"/>
      <c r="C1269" s="10"/>
      <c r="D1269" s="11"/>
      <c r="E1269" s="12">
        <f t="shared" si="985"/>
        <v>0</v>
      </c>
      <c r="F1269" s="9"/>
      <c r="G1269" s="10"/>
      <c r="H1269" s="11"/>
      <c r="I1269" s="67">
        <f t="shared" si="986"/>
        <v>0</v>
      </c>
      <c r="J1269" s="12">
        <f t="shared" si="987"/>
        <v>0</v>
      </c>
      <c r="L1269" s="22"/>
      <c r="M1269" s="9"/>
      <c r="N1269" s="10"/>
      <c r="O1269" s="11"/>
      <c r="P1269" s="12">
        <f t="shared" si="988"/>
        <v>0</v>
      </c>
      <c r="Q1269" s="105"/>
      <c r="R1269" s="10"/>
      <c r="S1269" s="11"/>
      <c r="T1269" s="12">
        <f t="shared" si="989"/>
        <v>0</v>
      </c>
      <c r="U1269" s="12">
        <f t="shared" si="990"/>
        <v>0</v>
      </c>
    </row>
    <row r="1270" spans="1:21" x14ac:dyDescent="0.15">
      <c r="A1270" s="24"/>
      <c r="B1270" s="13"/>
      <c r="C1270" s="14"/>
      <c r="D1270" s="15"/>
      <c r="E1270" s="12">
        <f t="shared" si="985"/>
        <v>0</v>
      </c>
      <c r="F1270" s="13"/>
      <c r="G1270" s="14"/>
      <c r="H1270" s="15"/>
      <c r="I1270" s="67">
        <f t="shared" si="986"/>
        <v>0</v>
      </c>
      <c r="J1270" s="12">
        <f t="shared" si="987"/>
        <v>0</v>
      </c>
      <c r="L1270" s="24"/>
      <c r="M1270" s="13"/>
      <c r="N1270" s="14"/>
      <c r="O1270" s="15"/>
      <c r="P1270" s="12">
        <f t="shared" si="988"/>
        <v>0</v>
      </c>
      <c r="Q1270" s="154"/>
      <c r="R1270" s="14"/>
      <c r="S1270" s="15"/>
      <c r="T1270" s="12">
        <f t="shared" si="989"/>
        <v>0</v>
      </c>
      <c r="U1270" s="12">
        <f t="shared" si="990"/>
        <v>0</v>
      </c>
    </row>
    <row r="1271" spans="1:21" x14ac:dyDescent="0.15">
      <c r="A1271" s="24"/>
      <c r="B1271" s="9"/>
      <c r="C1271" s="10"/>
      <c r="D1271" s="11"/>
      <c r="E1271" s="12">
        <f t="shared" si="985"/>
        <v>0</v>
      </c>
      <c r="F1271" s="9"/>
      <c r="G1271" s="10"/>
      <c r="H1271" s="11"/>
      <c r="I1271" s="67">
        <f t="shared" si="986"/>
        <v>0</v>
      </c>
      <c r="J1271" s="12">
        <f t="shared" si="987"/>
        <v>0</v>
      </c>
      <c r="L1271" s="24"/>
      <c r="M1271" s="9"/>
      <c r="N1271" s="10"/>
      <c r="O1271" s="11"/>
      <c r="P1271" s="12">
        <f t="shared" si="988"/>
        <v>0</v>
      </c>
      <c r="Q1271" s="105"/>
      <c r="R1271" s="10"/>
      <c r="S1271" s="11"/>
      <c r="T1271" s="12">
        <f t="shared" si="989"/>
        <v>0</v>
      </c>
      <c r="U1271" s="12">
        <f t="shared" si="990"/>
        <v>0</v>
      </c>
    </row>
    <row r="1272" spans="1:21" x14ac:dyDescent="0.15">
      <c r="A1272" s="24"/>
      <c r="B1272" s="9"/>
      <c r="C1272" s="10"/>
      <c r="D1272" s="11"/>
      <c r="E1272" s="12">
        <f t="shared" si="985"/>
        <v>0</v>
      </c>
      <c r="F1272" s="9"/>
      <c r="G1272" s="10"/>
      <c r="H1272" s="11"/>
      <c r="I1272" s="67">
        <f t="shared" si="986"/>
        <v>0</v>
      </c>
      <c r="J1272" s="12">
        <f t="shared" si="987"/>
        <v>0</v>
      </c>
      <c r="L1272" s="24"/>
      <c r="M1272" s="9"/>
      <c r="N1272" s="10"/>
      <c r="O1272" s="11"/>
      <c r="P1272" s="12">
        <f t="shared" si="988"/>
        <v>0</v>
      </c>
      <c r="Q1272" s="105"/>
      <c r="R1272" s="10"/>
      <c r="S1272" s="11"/>
      <c r="T1272" s="12">
        <f t="shared" si="989"/>
        <v>0</v>
      </c>
      <c r="U1272" s="12">
        <f t="shared" si="990"/>
        <v>0</v>
      </c>
    </row>
    <row r="1273" spans="1:21" x14ac:dyDescent="0.15">
      <c r="A1273" s="22"/>
      <c r="B1273" s="9"/>
      <c r="C1273" s="10"/>
      <c r="D1273" s="11"/>
      <c r="E1273" s="12">
        <f t="shared" si="985"/>
        <v>0</v>
      </c>
      <c r="F1273" s="9"/>
      <c r="G1273" s="10"/>
      <c r="H1273" s="11"/>
      <c r="I1273" s="67">
        <f t="shared" si="986"/>
        <v>0</v>
      </c>
      <c r="J1273" s="12">
        <f t="shared" si="987"/>
        <v>0</v>
      </c>
      <c r="L1273" s="22"/>
      <c r="M1273" s="9"/>
      <c r="N1273" s="10"/>
      <c r="O1273" s="11"/>
      <c r="P1273" s="12">
        <f t="shared" si="988"/>
        <v>0</v>
      </c>
      <c r="Q1273" s="105"/>
      <c r="R1273" s="10"/>
      <c r="S1273" s="11"/>
      <c r="T1273" s="12">
        <f t="shared" si="989"/>
        <v>0</v>
      </c>
      <c r="U1273" s="12">
        <f t="shared" si="990"/>
        <v>0</v>
      </c>
    </row>
    <row r="1274" spans="1:21" x14ac:dyDescent="0.15">
      <c r="A1274" s="24"/>
      <c r="B1274" s="9"/>
      <c r="C1274" s="10"/>
      <c r="D1274" s="11"/>
      <c r="E1274" s="12">
        <f t="shared" si="985"/>
        <v>0</v>
      </c>
      <c r="F1274" s="9"/>
      <c r="G1274" s="10"/>
      <c r="H1274" s="11"/>
      <c r="I1274" s="67">
        <f t="shared" si="986"/>
        <v>0</v>
      </c>
      <c r="J1274" s="12">
        <f t="shared" si="987"/>
        <v>0</v>
      </c>
      <c r="L1274" s="24"/>
      <c r="M1274" s="9"/>
      <c r="N1274" s="10"/>
      <c r="O1274" s="11"/>
      <c r="P1274" s="12">
        <f t="shared" si="988"/>
        <v>0</v>
      </c>
      <c r="Q1274" s="105"/>
      <c r="R1274" s="10"/>
      <c r="S1274" s="11"/>
      <c r="T1274" s="12">
        <f t="shared" si="989"/>
        <v>0</v>
      </c>
      <c r="U1274" s="12">
        <f t="shared" si="990"/>
        <v>0</v>
      </c>
    </row>
    <row r="1275" spans="1:21" x14ac:dyDescent="0.15">
      <c r="A1275" s="24"/>
      <c r="B1275" s="9"/>
      <c r="C1275" s="10"/>
      <c r="D1275" s="11"/>
      <c r="E1275" s="12">
        <f t="shared" si="985"/>
        <v>0</v>
      </c>
      <c r="F1275" s="9"/>
      <c r="G1275" s="10"/>
      <c r="H1275" s="11"/>
      <c r="I1275" s="67">
        <f t="shared" si="986"/>
        <v>0</v>
      </c>
      <c r="J1275" s="12">
        <f t="shared" si="987"/>
        <v>0</v>
      </c>
      <c r="L1275" s="24"/>
      <c r="M1275" s="9"/>
      <c r="N1275" s="10"/>
      <c r="O1275" s="11"/>
      <c r="P1275" s="12">
        <f t="shared" si="988"/>
        <v>0</v>
      </c>
      <c r="Q1275" s="105"/>
      <c r="R1275" s="10"/>
      <c r="S1275" s="11"/>
      <c r="T1275" s="12">
        <f t="shared" si="989"/>
        <v>0</v>
      </c>
      <c r="U1275" s="12">
        <f t="shared" si="990"/>
        <v>0</v>
      </c>
    </row>
    <row r="1276" spans="1:21" x14ac:dyDescent="0.15">
      <c r="A1276" s="22"/>
      <c r="B1276" s="9"/>
      <c r="C1276" s="10"/>
      <c r="D1276" s="11"/>
      <c r="E1276" s="12">
        <f t="shared" si="985"/>
        <v>0</v>
      </c>
      <c r="F1276" s="9"/>
      <c r="G1276" s="10"/>
      <c r="H1276" s="11"/>
      <c r="I1276" s="67">
        <f t="shared" si="986"/>
        <v>0</v>
      </c>
      <c r="J1276" s="12">
        <f t="shared" si="987"/>
        <v>0</v>
      </c>
      <c r="L1276" s="22"/>
      <c r="M1276" s="9"/>
      <c r="N1276" s="10"/>
      <c r="O1276" s="11"/>
      <c r="P1276" s="12">
        <f t="shared" si="988"/>
        <v>0</v>
      </c>
      <c r="Q1276" s="105"/>
      <c r="R1276" s="10"/>
      <c r="S1276" s="11"/>
      <c r="T1276" s="12">
        <f t="shared" si="989"/>
        <v>0</v>
      </c>
      <c r="U1276" s="12">
        <f t="shared" si="990"/>
        <v>0</v>
      </c>
    </row>
    <row r="1277" spans="1:21" x14ac:dyDescent="0.15">
      <c r="A1277" s="24"/>
      <c r="B1277" s="9"/>
      <c r="C1277" s="10"/>
      <c r="D1277" s="11"/>
      <c r="E1277" s="12">
        <f t="shared" si="985"/>
        <v>0</v>
      </c>
      <c r="F1277" s="9"/>
      <c r="G1277" s="10"/>
      <c r="H1277" s="11"/>
      <c r="I1277" s="67">
        <f t="shared" si="986"/>
        <v>0</v>
      </c>
      <c r="J1277" s="12">
        <f t="shared" si="987"/>
        <v>0</v>
      </c>
      <c r="L1277" s="24"/>
      <c r="M1277" s="9"/>
      <c r="N1277" s="10"/>
      <c r="O1277" s="11"/>
      <c r="P1277" s="12">
        <f t="shared" si="988"/>
        <v>0</v>
      </c>
      <c r="Q1277" s="105"/>
      <c r="R1277" s="10"/>
      <c r="S1277" s="11"/>
      <c r="T1277" s="12">
        <f t="shared" si="989"/>
        <v>0</v>
      </c>
      <c r="U1277" s="12">
        <f t="shared" si="990"/>
        <v>0</v>
      </c>
    </row>
    <row r="1278" spans="1:21" x14ac:dyDescent="0.15">
      <c r="A1278" s="24"/>
      <c r="B1278" s="9"/>
      <c r="C1278" s="10"/>
      <c r="D1278" s="11"/>
      <c r="E1278" s="12">
        <f t="shared" si="985"/>
        <v>0</v>
      </c>
      <c r="F1278" s="9"/>
      <c r="G1278" s="10"/>
      <c r="H1278" s="11"/>
      <c r="I1278" s="67">
        <f t="shared" si="986"/>
        <v>0</v>
      </c>
      <c r="J1278" s="12">
        <f t="shared" si="987"/>
        <v>0</v>
      </c>
      <c r="L1278" s="24"/>
      <c r="M1278" s="9"/>
      <c r="N1278" s="10"/>
      <c r="O1278" s="11"/>
      <c r="P1278" s="12">
        <f t="shared" si="988"/>
        <v>0</v>
      </c>
      <c r="Q1278" s="105"/>
      <c r="R1278" s="10"/>
      <c r="S1278" s="11"/>
      <c r="T1278" s="12">
        <f t="shared" si="989"/>
        <v>0</v>
      </c>
      <c r="U1278" s="12">
        <f t="shared" si="990"/>
        <v>0</v>
      </c>
    </row>
    <row r="1279" spans="1:21" x14ac:dyDescent="0.15">
      <c r="A1279" s="21"/>
      <c r="B1279" s="9"/>
      <c r="C1279" s="10"/>
      <c r="D1279" s="11"/>
      <c r="E1279" s="12">
        <f t="shared" si="985"/>
        <v>0</v>
      </c>
      <c r="F1279" s="9"/>
      <c r="G1279" s="10"/>
      <c r="H1279" s="11"/>
      <c r="I1279" s="67">
        <f t="shared" si="986"/>
        <v>0</v>
      </c>
      <c r="J1279" s="12">
        <f t="shared" si="987"/>
        <v>0</v>
      </c>
      <c r="L1279" s="21"/>
      <c r="M1279" s="9"/>
      <c r="N1279" s="10"/>
      <c r="O1279" s="11"/>
      <c r="P1279" s="12">
        <f t="shared" si="988"/>
        <v>0</v>
      </c>
      <c r="Q1279" s="105"/>
      <c r="R1279" s="10"/>
      <c r="S1279" s="11"/>
      <c r="T1279" s="12">
        <f t="shared" si="989"/>
        <v>0</v>
      </c>
      <c r="U1279" s="12">
        <f t="shared" si="990"/>
        <v>0</v>
      </c>
    </row>
    <row r="1280" spans="1:21" x14ac:dyDescent="0.15">
      <c r="A1280" s="21"/>
      <c r="B1280" s="9"/>
      <c r="C1280" s="10"/>
      <c r="D1280" s="11"/>
      <c r="E1280" s="12">
        <f t="shared" si="985"/>
        <v>0</v>
      </c>
      <c r="F1280" s="9"/>
      <c r="G1280" s="10"/>
      <c r="H1280" s="11"/>
      <c r="I1280" s="67">
        <f t="shared" si="986"/>
        <v>0</v>
      </c>
      <c r="J1280" s="12">
        <f t="shared" si="987"/>
        <v>0</v>
      </c>
      <c r="L1280" s="21"/>
      <c r="M1280" s="9"/>
      <c r="N1280" s="10"/>
      <c r="O1280" s="11"/>
      <c r="P1280" s="12">
        <f t="shared" si="988"/>
        <v>0</v>
      </c>
      <c r="Q1280" s="105"/>
      <c r="R1280" s="10"/>
      <c r="S1280" s="11"/>
      <c r="T1280" s="12">
        <f t="shared" si="989"/>
        <v>0</v>
      </c>
      <c r="U1280" s="12">
        <f t="shared" si="990"/>
        <v>0</v>
      </c>
    </row>
    <row r="1281" spans="1:22" x14ac:dyDescent="0.15">
      <c r="A1281" s="21"/>
      <c r="B1281" s="9"/>
      <c r="C1281" s="10"/>
      <c r="D1281" s="11"/>
      <c r="E1281" s="12">
        <f t="shared" si="985"/>
        <v>0</v>
      </c>
      <c r="F1281" s="9"/>
      <c r="G1281" s="10"/>
      <c r="H1281" s="11"/>
      <c r="I1281" s="67">
        <f t="shared" si="986"/>
        <v>0</v>
      </c>
      <c r="J1281" s="12">
        <f t="shared" si="987"/>
        <v>0</v>
      </c>
      <c r="L1281" s="21"/>
      <c r="M1281" s="9"/>
      <c r="N1281" s="10"/>
      <c r="O1281" s="11"/>
      <c r="P1281" s="12">
        <f t="shared" si="988"/>
        <v>0</v>
      </c>
      <c r="Q1281" s="105"/>
      <c r="R1281" s="10"/>
      <c r="S1281" s="11"/>
      <c r="T1281" s="12">
        <f t="shared" si="989"/>
        <v>0</v>
      </c>
      <c r="U1281" s="12">
        <f t="shared" si="990"/>
        <v>0</v>
      </c>
    </row>
    <row r="1282" spans="1:22" x14ac:dyDescent="0.15">
      <c r="A1282" s="24"/>
      <c r="B1282" s="13"/>
      <c r="C1282" s="14"/>
      <c r="D1282" s="15"/>
      <c r="E1282" s="12">
        <f t="shared" si="985"/>
        <v>0</v>
      </c>
      <c r="F1282" s="13"/>
      <c r="G1282" s="14"/>
      <c r="H1282" s="15"/>
      <c r="I1282" s="67">
        <f t="shared" si="986"/>
        <v>0</v>
      </c>
      <c r="J1282" s="12">
        <f t="shared" si="987"/>
        <v>0</v>
      </c>
      <c r="L1282" s="21"/>
      <c r="M1282" s="51"/>
      <c r="N1282" s="52"/>
      <c r="O1282" s="156"/>
      <c r="P1282" s="12">
        <f t="shared" si="988"/>
        <v>0</v>
      </c>
      <c r="Q1282" s="157"/>
      <c r="R1282" s="52"/>
      <c r="S1282" s="156"/>
      <c r="T1282" s="12">
        <f t="shared" si="989"/>
        <v>0</v>
      </c>
      <c r="U1282" s="12">
        <f t="shared" si="990"/>
        <v>0</v>
      </c>
    </row>
    <row r="1283" spans="1:22" x14ac:dyDescent="0.15">
      <c r="A1283" s="24"/>
      <c r="B1283" s="9"/>
      <c r="C1283" s="10"/>
      <c r="D1283" s="11"/>
      <c r="E1283" s="12">
        <f t="shared" si="985"/>
        <v>0</v>
      </c>
      <c r="F1283" s="9"/>
      <c r="G1283" s="10"/>
      <c r="H1283" s="11"/>
      <c r="I1283" s="67">
        <f t="shared" si="986"/>
        <v>0</v>
      </c>
      <c r="J1283" s="12">
        <f t="shared" si="987"/>
        <v>0</v>
      </c>
      <c r="L1283" s="135" t="s">
        <v>636</v>
      </c>
      <c r="M1283" s="158">
        <v>-80</v>
      </c>
      <c r="N1283" s="159">
        <v>-80</v>
      </c>
      <c r="O1283" s="160">
        <v>-90</v>
      </c>
      <c r="P1283" s="80">
        <f t="shared" si="988"/>
        <v>-250</v>
      </c>
      <c r="Q1283" s="161">
        <v>-80</v>
      </c>
      <c r="R1283" s="159">
        <v>-90</v>
      </c>
      <c r="S1283" s="160">
        <v>-80</v>
      </c>
      <c r="T1283" s="80">
        <f t="shared" si="989"/>
        <v>-250</v>
      </c>
      <c r="U1283" s="80">
        <f t="shared" si="990"/>
        <v>-500</v>
      </c>
      <c r="V1283" s="91"/>
    </row>
    <row r="1284" spans="1:22" x14ac:dyDescent="0.15">
      <c r="A1284" s="7"/>
      <c r="B1284" s="9"/>
      <c r="C1284" s="10"/>
      <c r="D1284" s="11"/>
      <c r="E1284" s="12">
        <f t="shared" si="985"/>
        <v>0</v>
      </c>
      <c r="F1284" s="9"/>
      <c r="G1284" s="10"/>
      <c r="H1284" s="11"/>
      <c r="I1284" s="67">
        <f t="shared" si="986"/>
        <v>0</v>
      </c>
      <c r="J1284" s="12">
        <f t="shared" si="987"/>
        <v>0</v>
      </c>
      <c r="L1284" s="134" t="s">
        <v>635</v>
      </c>
      <c r="M1284" s="51">
        <v>250</v>
      </c>
      <c r="N1284" s="52">
        <v>313</v>
      </c>
      <c r="O1284" s="156">
        <v>276</v>
      </c>
      <c r="P1284" s="53">
        <f t="shared" si="988"/>
        <v>839</v>
      </c>
      <c r="Q1284" s="157">
        <v>250</v>
      </c>
      <c r="R1284" s="52">
        <v>313</v>
      </c>
      <c r="S1284" s="156">
        <v>250</v>
      </c>
      <c r="T1284" s="53">
        <f t="shared" si="989"/>
        <v>813</v>
      </c>
      <c r="U1284" s="53">
        <f t="shared" si="990"/>
        <v>1652</v>
      </c>
      <c r="V1284" s="91" t="s">
        <v>637</v>
      </c>
    </row>
    <row r="1285" spans="1:22" x14ac:dyDescent="0.15">
      <c r="A1285" s="59"/>
      <c r="B1285" s="9"/>
      <c r="C1285" s="10"/>
      <c r="D1285" s="11"/>
      <c r="E1285" s="12">
        <f t="shared" si="985"/>
        <v>0</v>
      </c>
      <c r="F1285" s="9"/>
      <c r="G1285" s="10"/>
      <c r="H1285" s="11"/>
      <c r="I1285" s="67">
        <f t="shared" si="986"/>
        <v>0</v>
      </c>
      <c r="J1285" s="12">
        <f t="shared" si="987"/>
        <v>0</v>
      </c>
      <c r="L1285" s="213" t="s">
        <v>622</v>
      </c>
      <c r="M1285" s="158">
        <v>-10</v>
      </c>
      <c r="N1285" s="159">
        <v>-10</v>
      </c>
      <c r="O1285" s="160">
        <v>-10</v>
      </c>
      <c r="P1285" s="80">
        <f t="shared" ref="P1285:P1286" si="991">SUM(M1285:O1285)</f>
        <v>-30</v>
      </c>
      <c r="Q1285" s="158">
        <v>-10</v>
      </c>
      <c r="R1285" s="159">
        <v>-10</v>
      </c>
      <c r="S1285" s="160">
        <v>-10</v>
      </c>
      <c r="T1285" s="80">
        <f t="shared" ref="T1285:T1286" si="992">SUM(Q1285:S1285)</f>
        <v>-30</v>
      </c>
      <c r="U1285" s="80">
        <f t="shared" ref="U1285:U1286" si="993">P1285+T1285</f>
        <v>-60</v>
      </c>
      <c r="V1285" s="91"/>
    </row>
    <row r="1286" spans="1:22" ht="14.25" thickBot="1" x14ac:dyDescent="0.2">
      <c r="A1286" s="59"/>
      <c r="B1286" s="9"/>
      <c r="C1286" s="10"/>
      <c r="D1286" s="11"/>
      <c r="E1286" s="12">
        <f t="shared" si="985"/>
        <v>0</v>
      </c>
      <c r="F1286" s="9"/>
      <c r="G1286" s="10"/>
      <c r="H1286" s="11"/>
      <c r="I1286" s="67">
        <f t="shared" si="986"/>
        <v>0</v>
      </c>
      <c r="J1286" s="12">
        <f t="shared" si="987"/>
        <v>0</v>
      </c>
      <c r="L1286" s="148" t="s">
        <v>623</v>
      </c>
      <c r="M1286" s="51">
        <v>15</v>
      </c>
      <c r="N1286" s="52">
        <v>15</v>
      </c>
      <c r="O1286" s="156">
        <v>15</v>
      </c>
      <c r="P1286" s="53">
        <f t="shared" si="991"/>
        <v>45</v>
      </c>
      <c r="Q1286" s="157">
        <v>15</v>
      </c>
      <c r="R1286" s="52">
        <v>15</v>
      </c>
      <c r="S1286" s="156">
        <v>15</v>
      </c>
      <c r="T1286" s="53">
        <f t="shared" si="992"/>
        <v>45</v>
      </c>
      <c r="U1286" s="53">
        <f t="shared" si="993"/>
        <v>90</v>
      </c>
      <c r="V1286" s="91" t="s">
        <v>624</v>
      </c>
    </row>
    <row r="1287" spans="1:22" ht="14.25" thickBot="1" x14ac:dyDescent="0.2">
      <c r="A1287" s="37" t="s">
        <v>17</v>
      </c>
      <c r="B1287" s="38">
        <f>SUM(B1261:B1286)</f>
        <v>0</v>
      </c>
      <c r="C1287" s="39">
        <f>SUM(C1261:C1286)</f>
        <v>0</v>
      </c>
      <c r="D1287" s="40">
        <f>SUM(D1261:D1286)</f>
        <v>0</v>
      </c>
      <c r="E1287" s="41">
        <f>SUM(B1287:D1287)</f>
        <v>0</v>
      </c>
      <c r="F1287" s="38">
        <f>SUM(F1261:F1286)</f>
        <v>0</v>
      </c>
      <c r="G1287" s="39">
        <f>SUM(G1261:G1286)</f>
        <v>0</v>
      </c>
      <c r="H1287" s="40">
        <f>SUM(H1261:H1286)</f>
        <v>0</v>
      </c>
      <c r="I1287" s="41">
        <f>SUM(F1287:H1287)</f>
        <v>0</v>
      </c>
      <c r="J1287" s="42">
        <f t="shared" si="987"/>
        <v>0</v>
      </c>
      <c r="L1287" s="37" t="s">
        <v>17</v>
      </c>
      <c r="M1287" s="38">
        <f>SUM(M1261:M1286)</f>
        <v>175</v>
      </c>
      <c r="N1287" s="39">
        <f>SUM(N1261:N1286)</f>
        <v>238</v>
      </c>
      <c r="O1287" s="40">
        <f>SUM(O1261:O1286)</f>
        <v>191</v>
      </c>
      <c r="P1287" s="41">
        <f>SUM(M1287:O1287)</f>
        <v>604</v>
      </c>
      <c r="Q1287" s="38">
        <f>SUM(Q1261:Q1286)</f>
        <v>175</v>
      </c>
      <c r="R1287" s="39">
        <f>SUM(R1261:R1286)</f>
        <v>228</v>
      </c>
      <c r="S1287" s="40">
        <f>SUM(S1261:S1286)</f>
        <v>175</v>
      </c>
      <c r="T1287" s="41">
        <f>SUM(Q1287:S1287)</f>
        <v>578</v>
      </c>
      <c r="U1287" s="42">
        <f t="shared" si="990"/>
        <v>1182</v>
      </c>
    </row>
    <row r="1288" spans="1:22" ht="14.25" thickBot="1" x14ac:dyDescent="0.2">
      <c r="A1288" s="20" t="s">
        <v>18</v>
      </c>
      <c r="B1288" s="63">
        <f>B1260-B1287</f>
        <v>7</v>
      </c>
      <c r="C1288" s="64">
        <f t="shared" ref="C1288:E1288" si="994">C1260-C1287</f>
        <v>4</v>
      </c>
      <c r="D1288" s="65">
        <f t="shared" si="994"/>
        <v>7</v>
      </c>
      <c r="E1288" s="65">
        <f t="shared" si="994"/>
        <v>18</v>
      </c>
      <c r="F1288" s="63">
        <f>F1260-F1287</f>
        <v>6</v>
      </c>
      <c r="G1288" s="64">
        <f t="shared" ref="G1288:I1288" si="995">G1260-G1287</f>
        <v>5</v>
      </c>
      <c r="H1288" s="65">
        <f t="shared" si="995"/>
        <v>4</v>
      </c>
      <c r="I1288" s="65">
        <f t="shared" si="995"/>
        <v>15</v>
      </c>
      <c r="J1288" s="29">
        <f t="shared" si="987"/>
        <v>33</v>
      </c>
      <c r="L1288" s="112" t="s">
        <v>18</v>
      </c>
      <c r="M1288" s="63">
        <f>M1260-M1287</f>
        <v>432</v>
      </c>
      <c r="N1288" s="64">
        <f t="shared" ref="N1288:P1288" si="996">N1260-N1287</f>
        <v>345</v>
      </c>
      <c r="O1288" s="65">
        <f t="shared" si="996"/>
        <v>417</v>
      </c>
      <c r="P1288" s="65">
        <f t="shared" si="996"/>
        <v>1194</v>
      </c>
      <c r="Q1288" s="63">
        <f>Q1260-Q1287</f>
        <v>507</v>
      </c>
      <c r="R1288" s="64">
        <f t="shared" ref="R1288:T1288" si="997">R1260-R1287</f>
        <v>464</v>
      </c>
      <c r="S1288" s="65">
        <f t="shared" si="997"/>
        <v>461</v>
      </c>
      <c r="T1288" s="65">
        <f t="shared" si="997"/>
        <v>1432</v>
      </c>
      <c r="U1288" s="29">
        <f t="shared" si="990"/>
        <v>2626</v>
      </c>
    </row>
    <row r="1289" spans="1:22" x14ac:dyDescent="0.15">
      <c r="M1289" s="79">
        <f>M1288/$P$1288*100</f>
        <v>36.180904522613069</v>
      </c>
      <c r="N1289" s="79">
        <f t="shared" ref="N1289:P1289" si="998">N1288/$P$1288*100</f>
        <v>28.894472361809044</v>
      </c>
      <c r="O1289" s="79">
        <f t="shared" si="998"/>
        <v>34.924623115577887</v>
      </c>
      <c r="P1289" s="79">
        <f t="shared" si="998"/>
        <v>100</v>
      </c>
      <c r="Q1289" s="79">
        <f>Q1288/$T$1288*100</f>
        <v>35.405027932960891</v>
      </c>
      <c r="R1289" s="79">
        <f t="shared" ref="R1289:T1289" si="999">R1288/$T$1288*100</f>
        <v>32.402234636871505</v>
      </c>
      <c r="S1289" s="79">
        <f t="shared" si="999"/>
        <v>32.192737430167597</v>
      </c>
      <c r="T1289" s="79">
        <f t="shared" si="999"/>
        <v>100</v>
      </c>
    </row>
    <row r="1290" spans="1:22" x14ac:dyDescent="0.15">
      <c r="M1290" s="78">
        <v>34.5</v>
      </c>
      <c r="N1290" s="78">
        <v>37.299999999999997</v>
      </c>
      <c r="O1290" s="78">
        <v>28.2</v>
      </c>
      <c r="P1290" s="78">
        <f>SUM(M1290:O1290)</f>
        <v>100</v>
      </c>
      <c r="Q1290" s="78">
        <v>35.5</v>
      </c>
      <c r="R1290" s="78">
        <v>37.9</v>
      </c>
      <c r="S1290" s="78">
        <v>26.6</v>
      </c>
      <c r="T1290" s="78">
        <f>SUM(Q1290:S1290)</f>
        <v>100</v>
      </c>
    </row>
  </sheetData>
  <mergeCells count="189">
    <mergeCell ref="B1249:E1249"/>
    <mergeCell ref="F1249:I1249"/>
    <mergeCell ref="J1249:J1250"/>
    <mergeCell ref="L1205:P1205"/>
    <mergeCell ref="M1206:P1206"/>
    <mergeCell ref="Q1206:T1206"/>
    <mergeCell ref="U1206:U1207"/>
    <mergeCell ref="B1206:E1206"/>
    <mergeCell ref="F1206:I1206"/>
    <mergeCell ref="J1206:J1207"/>
    <mergeCell ref="L1248:P1248"/>
    <mergeCell ref="M1249:P1249"/>
    <mergeCell ref="Q1249:T1249"/>
    <mergeCell ref="U1249:U1250"/>
    <mergeCell ref="L1076:P1076"/>
    <mergeCell ref="B1077:E1077"/>
    <mergeCell ref="F1077:I1077"/>
    <mergeCell ref="J1077:J1078"/>
    <mergeCell ref="M1077:P1077"/>
    <mergeCell ref="Q1077:T1077"/>
    <mergeCell ref="U1077:U1078"/>
    <mergeCell ref="L1162:P1162"/>
    <mergeCell ref="M1163:P1163"/>
    <mergeCell ref="Q1163:T1163"/>
    <mergeCell ref="U1163:U1164"/>
    <mergeCell ref="B1163:E1163"/>
    <mergeCell ref="F1163:I1163"/>
    <mergeCell ref="J1163:J1164"/>
    <mergeCell ref="L1119:P1119"/>
    <mergeCell ref="M1120:P1120"/>
    <mergeCell ref="Q1120:T1120"/>
    <mergeCell ref="U1120:U1121"/>
    <mergeCell ref="B1120:E1120"/>
    <mergeCell ref="F1120:I1120"/>
    <mergeCell ref="J1120:J1121"/>
    <mergeCell ref="L990:P990"/>
    <mergeCell ref="B991:E991"/>
    <mergeCell ref="F991:I991"/>
    <mergeCell ref="J991:J992"/>
    <mergeCell ref="M991:P991"/>
    <mergeCell ref="Q991:T991"/>
    <mergeCell ref="U991:U992"/>
    <mergeCell ref="L1033:P1033"/>
    <mergeCell ref="M1034:P1034"/>
    <mergeCell ref="Q1034:T1034"/>
    <mergeCell ref="U1034:U1035"/>
    <mergeCell ref="B1034:E1034"/>
    <mergeCell ref="F1034:I1034"/>
    <mergeCell ref="J1034:J1035"/>
    <mergeCell ref="U2:U3"/>
    <mergeCell ref="B2:E2"/>
    <mergeCell ref="F2:I2"/>
    <mergeCell ref="J2:J3"/>
    <mergeCell ref="M2:P2"/>
    <mergeCell ref="Q2:T2"/>
    <mergeCell ref="U303:U304"/>
    <mergeCell ref="B303:E303"/>
    <mergeCell ref="F303:I303"/>
    <mergeCell ref="J303:J304"/>
    <mergeCell ref="M303:P303"/>
    <mergeCell ref="Q303:T303"/>
    <mergeCell ref="U45:U46"/>
    <mergeCell ref="B88:E88"/>
    <mergeCell ref="F88:I88"/>
    <mergeCell ref="J88:J89"/>
    <mergeCell ref="M88:P88"/>
    <mergeCell ref="Q88:T88"/>
    <mergeCell ref="U88:U89"/>
    <mergeCell ref="B45:E45"/>
    <mergeCell ref="F45:I45"/>
    <mergeCell ref="J45:J46"/>
    <mergeCell ref="M45:P45"/>
    <mergeCell ref="Q45:T45"/>
    <mergeCell ref="M217:P217"/>
    <mergeCell ref="Q217:T217"/>
    <mergeCell ref="U217:U218"/>
    <mergeCell ref="B217:E217"/>
    <mergeCell ref="F217:I217"/>
    <mergeCell ref="J217:J218"/>
    <mergeCell ref="U131:U132"/>
    <mergeCell ref="B174:E174"/>
    <mergeCell ref="F174:I174"/>
    <mergeCell ref="J174:J175"/>
    <mergeCell ref="M174:P174"/>
    <mergeCell ref="Q174:T174"/>
    <mergeCell ref="U174:U175"/>
    <mergeCell ref="B131:E131"/>
    <mergeCell ref="F131:I131"/>
    <mergeCell ref="J131:J132"/>
    <mergeCell ref="M131:P131"/>
    <mergeCell ref="Q131:T131"/>
    <mergeCell ref="U260:U261"/>
    <mergeCell ref="B260:E260"/>
    <mergeCell ref="F260:I260"/>
    <mergeCell ref="J260:J261"/>
    <mergeCell ref="B389:E389"/>
    <mergeCell ref="F389:I389"/>
    <mergeCell ref="J389:J390"/>
    <mergeCell ref="U346:U347"/>
    <mergeCell ref="B346:E346"/>
    <mergeCell ref="F346:I346"/>
    <mergeCell ref="J346:J347"/>
    <mergeCell ref="M346:P346"/>
    <mergeCell ref="Q346:T346"/>
    <mergeCell ref="M389:P389"/>
    <mergeCell ref="Q389:T389"/>
    <mergeCell ref="U389:U390"/>
    <mergeCell ref="B518:E518"/>
    <mergeCell ref="F518:I518"/>
    <mergeCell ref="J518:J519"/>
    <mergeCell ref="B475:E475"/>
    <mergeCell ref="F475:I475"/>
    <mergeCell ref="J475:J476"/>
    <mergeCell ref="M432:P432"/>
    <mergeCell ref="Q432:T432"/>
    <mergeCell ref="M260:P260"/>
    <mergeCell ref="Q260:T260"/>
    <mergeCell ref="M604:P604"/>
    <mergeCell ref="Q604:T604"/>
    <mergeCell ref="U604:U605"/>
    <mergeCell ref="B604:E604"/>
    <mergeCell ref="F604:I604"/>
    <mergeCell ref="J604:J605"/>
    <mergeCell ref="M647:P647"/>
    <mergeCell ref="Q647:T647"/>
    <mergeCell ref="U432:U433"/>
    <mergeCell ref="M561:P561"/>
    <mergeCell ref="Q561:T561"/>
    <mergeCell ref="U561:U562"/>
    <mergeCell ref="B561:E561"/>
    <mergeCell ref="F561:I561"/>
    <mergeCell ref="J561:J562"/>
    <mergeCell ref="U518:U519"/>
    <mergeCell ref="M475:P475"/>
    <mergeCell ref="Q475:T475"/>
    <mergeCell ref="U475:U476"/>
    <mergeCell ref="B432:E432"/>
    <mergeCell ref="F432:I432"/>
    <mergeCell ref="J432:J433"/>
    <mergeCell ref="M518:P518"/>
    <mergeCell ref="Q518:T518"/>
    <mergeCell ref="Q862:T862"/>
    <mergeCell ref="Q819:T819"/>
    <mergeCell ref="B733:E733"/>
    <mergeCell ref="F733:I733"/>
    <mergeCell ref="J733:J734"/>
    <mergeCell ref="U647:U648"/>
    <mergeCell ref="B647:E647"/>
    <mergeCell ref="F647:I647"/>
    <mergeCell ref="J647:J648"/>
    <mergeCell ref="B776:E776"/>
    <mergeCell ref="F776:I776"/>
    <mergeCell ref="J776:J777"/>
    <mergeCell ref="B690:E690"/>
    <mergeCell ref="F690:I690"/>
    <mergeCell ref="J690:J691"/>
    <mergeCell ref="M776:P776"/>
    <mergeCell ref="Q776:T776"/>
    <mergeCell ref="M733:P733"/>
    <mergeCell ref="Q733:T733"/>
    <mergeCell ref="M690:P690"/>
    <mergeCell ref="Q690:T690"/>
    <mergeCell ref="U690:U691"/>
    <mergeCell ref="U733:U734"/>
    <mergeCell ref="U776:U777"/>
    <mergeCell ref="U819:U820"/>
    <mergeCell ref="U862:U863"/>
    <mergeCell ref="U905:U906"/>
    <mergeCell ref="U948:U949"/>
    <mergeCell ref="L947:P947"/>
    <mergeCell ref="B948:E948"/>
    <mergeCell ref="F948:I948"/>
    <mergeCell ref="J948:J949"/>
    <mergeCell ref="L904:P904"/>
    <mergeCell ref="B905:E905"/>
    <mergeCell ref="F905:I905"/>
    <mergeCell ref="J905:J906"/>
    <mergeCell ref="M948:P948"/>
    <mergeCell ref="Q948:T948"/>
    <mergeCell ref="Q905:T905"/>
    <mergeCell ref="M905:P905"/>
    <mergeCell ref="B819:E819"/>
    <mergeCell ref="F819:I819"/>
    <mergeCell ref="J819:J820"/>
    <mergeCell ref="B862:E862"/>
    <mergeCell ref="F862:I862"/>
    <mergeCell ref="J862:J863"/>
    <mergeCell ref="M819:P819"/>
    <mergeCell ref="M862:P862"/>
  </mergeCells>
  <phoneticPr fontId="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2021-10-25T05:05:40Z</dcterms:created>
  <dcterms:modified xsi:type="dcterms:W3CDTF">2026-07-14T10:07:52Z</dcterms:modified>
</cp:coreProperties>
</file>