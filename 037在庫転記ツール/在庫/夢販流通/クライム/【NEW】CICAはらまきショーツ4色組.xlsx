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クライム\"/>
    </mc:Choice>
  </mc:AlternateContent>
  <xr:revisionPtr revIDLastSave="0" documentId="13_ncr:1_{9167E396-929F-44AE-BCEB-74EB6893ABE9}" xr6:coauthVersionLast="47" xr6:coauthVersionMax="47" xr10:uidLastSave="{00000000-0000-0000-0000-000000000000}"/>
  <bookViews>
    <workbookView xWindow="-120" yWindow="-120" windowWidth="29040" windowHeight="15840" tabRatio="603" xr2:uid="{00000000-000D-0000-FFFF-FFFF00000000}"/>
  </bookViews>
  <sheets>
    <sheet name="4色組はらまきショー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9" i="1" l="1"/>
  <c r="J365" i="1"/>
  <c r="J412" i="1"/>
  <c r="J413" i="1"/>
  <c r="J414" i="1"/>
  <c r="J391" i="1"/>
  <c r="J392" i="1"/>
  <c r="J393" i="1"/>
  <c r="J394" i="1"/>
  <c r="D391" i="1"/>
  <c r="D392" i="1"/>
  <c r="D393" i="1"/>
  <c r="D394" i="1"/>
  <c r="D395" i="1"/>
  <c r="D396" i="1"/>
  <c r="D385" i="1"/>
  <c r="C415" i="1"/>
  <c r="B415" i="1"/>
  <c r="I415" i="1"/>
  <c r="H415" i="1"/>
  <c r="D414" i="1"/>
  <c r="D413" i="1"/>
  <c r="D412" i="1"/>
  <c r="J411" i="1"/>
  <c r="D411" i="1"/>
  <c r="J410" i="1"/>
  <c r="D410" i="1"/>
  <c r="J409" i="1"/>
  <c r="D409" i="1"/>
  <c r="J408" i="1"/>
  <c r="D408" i="1"/>
  <c r="J407" i="1"/>
  <c r="D407" i="1"/>
  <c r="J406" i="1"/>
  <c r="D406" i="1"/>
  <c r="J405" i="1"/>
  <c r="D405" i="1"/>
  <c r="J404" i="1"/>
  <c r="D404" i="1"/>
  <c r="J403" i="1"/>
  <c r="D403" i="1"/>
  <c r="J402" i="1"/>
  <c r="D402" i="1"/>
  <c r="J401" i="1"/>
  <c r="D401" i="1"/>
  <c r="J400" i="1"/>
  <c r="D400" i="1"/>
  <c r="J399" i="1"/>
  <c r="D399" i="1"/>
  <c r="J398" i="1"/>
  <c r="D398" i="1"/>
  <c r="J397" i="1"/>
  <c r="D397" i="1"/>
  <c r="J396" i="1"/>
  <c r="J395" i="1"/>
  <c r="J389" i="1"/>
  <c r="D389" i="1"/>
  <c r="J388" i="1"/>
  <c r="D388" i="1"/>
  <c r="J387" i="1"/>
  <c r="D387" i="1"/>
  <c r="J386" i="1"/>
  <c r="D386" i="1"/>
  <c r="J385" i="1"/>
  <c r="D337" i="1"/>
  <c r="D336" i="1"/>
  <c r="J332" i="1"/>
  <c r="J333" i="1"/>
  <c r="J334" i="1"/>
  <c r="J371" i="1"/>
  <c r="J372" i="1"/>
  <c r="J373" i="1"/>
  <c r="J374" i="1"/>
  <c r="J376" i="1"/>
  <c r="J375" i="1"/>
  <c r="J348" i="1"/>
  <c r="J349" i="1"/>
  <c r="J353" i="1"/>
  <c r="J354" i="1"/>
  <c r="J355" i="1"/>
  <c r="J356" i="1"/>
  <c r="J357" i="1"/>
  <c r="J358" i="1"/>
  <c r="J359" i="1"/>
  <c r="J360" i="1"/>
  <c r="C377" i="1"/>
  <c r="B377" i="1"/>
  <c r="D376" i="1"/>
  <c r="D375" i="1"/>
  <c r="D374" i="1"/>
  <c r="D373" i="1"/>
  <c r="H377" i="1"/>
  <c r="D372" i="1"/>
  <c r="D371" i="1"/>
  <c r="J370" i="1"/>
  <c r="D370" i="1"/>
  <c r="J369" i="1"/>
  <c r="D369" i="1"/>
  <c r="J368" i="1"/>
  <c r="D368" i="1"/>
  <c r="J367" i="1"/>
  <c r="D367" i="1"/>
  <c r="J366" i="1"/>
  <c r="D366" i="1"/>
  <c r="D365" i="1"/>
  <c r="J364" i="1"/>
  <c r="D364" i="1"/>
  <c r="J363" i="1"/>
  <c r="D363" i="1"/>
  <c r="J362" i="1"/>
  <c r="D362" i="1"/>
  <c r="J361" i="1"/>
  <c r="D361" i="1"/>
  <c r="D360" i="1"/>
  <c r="D359" i="1"/>
  <c r="D358" i="1"/>
  <c r="D357" i="1"/>
  <c r="D356" i="1"/>
  <c r="D355" i="1"/>
  <c r="D354" i="1"/>
  <c r="D353" i="1"/>
  <c r="J351" i="1"/>
  <c r="D351" i="1"/>
  <c r="J350" i="1"/>
  <c r="D350" i="1"/>
  <c r="D348" i="1"/>
  <c r="J347" i="1"/>
  <c r="D347" i="1"/>
  <c r="D335" i="1"/>
  <c r="J319" i="1"/>
  <c r="D325" i="1"/>
  <c r="J310" i="1"/>
  <c r="J337" i="1"/>
  <c r="J336" i="1"/>
  <c r="J335" i="1"/>
  <c r="J284" i="1"/>
  <c r="J293" i="1"/>
  <c r="J294" i="1"/>
  <c r="J295" i="1"/>
  <c r="J296" i="1"/>
  <c r="J300" i="1"/>
  <c r="J299" i="1"/>
  <c r="J298" i="1"/>
  <c r="J297" i="1"/>
  <c r="J338" i="1"/>
  <c r="I339" i="1"/>
  <c r="I265" i="1"/>
  <c r="J265" i="1"/>
  <c r="H265" i="1"/>
  <c r="J282" i="1"/>
  <c r="J280" i="1"/>
  <c r="D313" i="1"/>
  <c r="D309" i="1"/>
  <c r="D310" i="1"/>
  <c r="D311" i="1"/>
  <c r="H339" i="1"/>
  <c r="C339" i="1"/>
  <c r="B339" i="1"/>
  <c r="D338" i="1"/>
  <c r="D334" i="1"/>
  <c r="D333" i="1"/>
  <c r="D332" i="1"/>
  <c r="J331" i="1"/>
  <c r="D331" i="1"/>
  <c r="J330" i="1"/>
  <c r="D330" i="1"/>
  <c r="J329" i="1"/>
  <c r="D329" i="1"/>
  <c r="J328" i="1"/>
  <c r="D328" i="1"/>
  <c r="J327" i="1"/>
  <c r="D327" i="1"/>
  <c r="J326" i="1"/>
  <c r="D326" i="1"/>
  <c r="J325" i="1"/>
  <c r="J324" i="1"/>
  <c r="D324" i="1"/>
  <c r="J323" i="1"/>
  <c r="D323" i="1"/>
  <c r="D322" i="1"/>
  <c r="J321" i="1"/>
  <c r="D321" i="1"/>
  <c r="J320" i="1"/>
  <c r="D320" i="1"/>
  <c r="D319" i="1"/>
  <c r="J318" i="1"/>
  <c r="D318" i="1"/>
  <c r="J317" i="1"/>
  <c r="D317" i="1"/>
  <c r="J316" i="1"/>
  <c r="D316" i="1"/>
  <c r="J315" i="1"/>
  <c r="D315" i="1"/>
  <c r="J313" i="1"/>
  <c r="J312" i="1"/>
  <c r="D312" i="1"/>
  <c r="J311" i="1"/>
  <c r="J309" i="1"/>
  <c r="J270" i="1"/>
  <c r="I270" i="1"/>
  <c r="H270" i="1"/>
  <c r="J232" i="1"/>
  <c r="I232" i="1"/>
  <c r="H232" i="1"/>
  <c r="J194" i="1"/>
  <c r="I194" i="1"/>
  <c r="H194" i="1"/>
  <c r="J156" i="1"/>
  <c r="I156" i="1"/>
  <c r="H156" i="1"/>
  <c r="J118" i="1"/>
  <c r="I118" i="1"/>
  <c r="H118" i="1"/>
  <c r="J80" i="1"/>
  <c r="I80" i="1"/>
  <c r="H80" i="1"/>
  <c r="I42" i="1"/>
  <c r="J42" i="1"/>
  <c r="H42" i="1"/>
  <c r="H301" i="1"/>
  <c r="J263" i="1"/>
  <c r="I263" i="1"/>
  <c r="H263" i="1"/>
  <c r="J225" i="1"/>
  <c r="I225" i="1"/>
  <c r="H225" i="1"/>
  <c r="J187" i="1"/>
  <c r="I187" i="1"/>
  <c r="H187" i="1"/>
  <c r="J149" i="1"/>
  <c r="I149" i="1"/>
  <c r="H149" i="1"/>
  <c r="J111" i="1"/>
  <c r="I111" i="1"/>
  <c r="H111" i="1"/>
  <c r="J73" i="1"/>
  <c r="I73" i="1"/>
  <c r="H73" i="1"/>
  <c r="H74" i="1" s="1"/>
  <c r="I35" i="1"/>
  <c r="J35" i="1"/>
  <c r="I36" i="1"/>
  <c r="J36" i="1"/>
  <c r="H36" i="1"/>
  <c r="H35" i="1"/>
  <c r="I10" i="1"/>
  <c r="J10" i="1"/>
  <c r="H10" i="1"/>
  <c r="J249" i="1"/>
  <c r="D272" i="1"/>
  <c r="D273" i="1"/>
  <c r="D274" i="1"/>
  <c r="D69" i="1"/>
  <c r="D68" i="1"/>
  <c r="D67" i="1"/>
  <c r="D415" i="1" l="1"/>
  <c r="J415" i="1"/>
  <c r="D377" i="1"/>
  <c r="I377" i="1"/>
  <c r="J377" i="1"/>
  <c r="D339" i="1"/>
  <c r="I301" i="1"/>
  <c r="J339" i="1"/>
  <c r="J245" i="1"/>
  <c r="J243" i="1"/>
  <c r="J241" i="1"/>
  <c r="J260" i="1"/>
  <c r="J261" i="1"/>
  <c r="J262" i="1"/>
  <c r="J240" i="1"/>
  <c r="J233" i="1"/>
  <c r="C301" i="1"/>
  <c r="B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5" i="1"/>
  <c r="D271" i="1"/>
  <c r="J292" i="1"/>
  <c r="J291" i="1"/>
  <c r="J290" i="1"/>
  <c r="J289" i="1"/>
  <c r="J288" i="1"/>
  <c r="J287" i="1"/>
  <c r="J286" i="1"/>
  <c r="J285" i="1"/>
  <c r="J283" i="1"/>
  <c r="J281" i="1"/>
  <c r="J279" i="1"/>
  <c r="J278" i="1"/>
  <c r="J277" i="1"/>
  <c r="J275" i="1"/>
  <c r="J274" i="1"/>
  <c r="J273" i="1"/>
  <c r="J272" i="1"/>
  <c r="J271" i="1"/>
  <c r="J239" i="1"/>
  <c r="J242" i="1"/>
  <c r="J244" i="1"/>
  <c r="J246" i="1"/>
  <c r="C263" i="1"/>
  <c r="B263" i="1"/>
  <c r="D262" i="1"/>
  <c r="D261" i="1"/>
  <c r="D260" i="1"/>
  <c r="J259" i="1"/>
  <c r="D259" i="1"/>
  <c r="J258" i="1"/>
  <c r="D258" i="1"/>
  <c r="J257" i="1"/>
  <c r="D257" i="1"/>
  <c r="J256" i="1"/>
  <c r="D256" i="1"/>
  <c r="J255" i="1"/>
  <c r="D255" i="1"/>
  <c r="J254" i="1"/>
  <c r="D254" i="1"/>
  <c r="J253" i="1"/>
  <c r="D253" i="1"/>
  <c r="J252" i="1"/>
  <c r="D252" i="1"/>
  <c r="J251" i="1"/>
  <c r="D251" i="1"/>
  <c r="J250" i="1"/>
  <c r="D250" i="1"/>
  <c r="D249" i="1"/>
  <c r="J248" i="1"/>
  <c r="D248" i="1"/>
  <c r="J247" i="1"/>
  <c r="D247" i="1"/>
  <c r="D246" i="1"/>
  <c r="D245" i="1"/>
  <c r="D244" i="1"/>
  <c r="D243" i="1"/>
  <c r="D242" i="1"/>
  <c r="D241" i="1"/>
  <c r="D240" i="1"/>
  <c r="D239" i="1"/>
  <c r="J237" i="1"/>
  <c r="D237" i="1"/>
  <c r="J236" i="1"/>
  <c r="D236" i="1"/>
  <c r="J235" i="1"/>
  <c r="D235" i="1"/>
  <c r="J234" i="1"/>
  <c r="D234" i="1"/>
  <c r="D233" i="1"/>
  <c r="J206" i="1"/>
  <c r="J181" i="1"/>
  <c r="J201" i="1"/>
  <c r="J185" i="1"/>
  <c r="J186" i="1"/>
  <c r="J223" i="1"/>
  <c r="J173" i="1"/>
  <c r="J169" i="1"/>
  <c r="J157" i="1"/>
  <c r="D163" i="1"/>
  <c r="J141" i="1"/>
  <c r="J164" i="1"/>
  <c r="J163" i="1"/>
  <c r="J222" i="1"/>
  <c r="J224" i="1"/>
  <c r="C225" i="1"/>
  <c r="B225" i="1"/>
  <c r="D224" i="1"/>
  <c r="D223" i="1"/>
  <c r="D222" i="1"/>
  <c r="J221" i="1"/>
  <c r="D221" i="1"/>
  <c r="J220" i="1"/>
  <c r="D220" i="1"/>
  <c r="J219" i="1"/>
  <c r="D219" i="1"/>
  <c r="J218" i="1"/>
  <c r="D218" i="1"/>
  <c r="J217" i="1"/>
  <c r="D217" i="1"/>
  <c r="J216" i="1"/>
  <c r="D216" i="1"/>
  <c r="J215" i="1"/>
  <c r="D215" i="1"/>
  <c r="J214" i="1"/>
  <c r="D214" i="1"/>
  <c r="J213" i="1"/>
  <c r="D213" i="1"/>
  <c r="J212" i="1"/>
  <c r="D212" i="1"/>
  <c r="J211" i="1"/>
  <c r="D211" i="1"/>
  <c r="J210" i="1"/>
  <c r="D210" i="1"/>
  <c r="J209" i="1"/>
  <c r="D209" i="1"/>
  <c r="J208" i="1"/>
  <c r="D208" i="1"/>
  <c r="J207" i="1"/>
  <c r="D207" i="1"/>
  <c r="D206" i="1"/>
  <c r="J205" i="1"/>
  <c r="D205" i="1"/>
  <c r="J204" i="1"/>
  <c r="D204" i="1"/>
  <c r="J203" i="1"/>
  <c r="D203" i="1"/>
  <c r="J202" i="1"/>
  <c r="D202" i="1"/>
  <c r="D201" i="1"/>
  <c r="J199" i="1"/>
  <c r="D199" i="1"/>
  <c r="J198" i="1"/>
  <c r="D198" i="1"/>
  <c r="J197" i="1"/>
  <c r="D197" i="1"/>
  <c r="J196" i="1"/>
  <c r="D196" i="1"/>
  <c r="J195" i="1"/>
  <c r="D195" i="1"/>
  <c r="D137" i="1"/>
  <c r="J140" i="1"/>
  <c r="J184" i="1"/>
  <c r="J137" i="1"/>
  <c r="D136" i="1"/>
  <c r="J145" i="1"/>
  <c r="J133" i="1"/>
  <c r="J143" i="1"/>
  <c r="J107" i="1"/>
  <c r="J106" i="1"/>
  <c r="J125" i="1"/>
  <c r="J144" i="1"/>
  <c r="J108" i="1"/>
  <c r="J109" i="1"/>
  <c r="J126" i="1"/>
  <c r="J97" i="1"/>
  <c r="J96" i="1"/>
  <c r="J98" i="1"/>
  <c r="J99" i="1"/>
  <c r="J100" i="1"/>
  <c r="J101" i="1"/>
  <c r="J95" i="1"/>
  <c r="J110" i="1"/>
  <c r="J148" i="1"/>
  <c r="J147" i="1"/>
  <c r="J146" i="1"/>
  <c r="J94" i="1"/>
  <c r="P88" i="1"/>
  <c r="D83" i="1"/>
  <c r="D84" i="1"/>
  <c r="P110" i="1"/>
  <c r="J93" i="1"/>
  <c r="J92" i="1"/>
  <c r="J91" i="1"/>
  <c r="J83" i="1"/>
  <c r="J82" i="1"/>
  <c r="P90" i="1"/>
  <c r="P91" i="1"/>
  <c r="P92" i="1"/>
  <c r="P93" i="1"/>
  <c r="P94" i="1"/>
  <c r="P95" i="1"/>
  <c r="P87" i="1"/>
  <c r="P82" i="1"/>
  <c r="P80" i="1"/>
  <c r="O111" i="1"/>
  <c r="N111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89" i="1"/>
  <c r="P85" i="1"/>
  <c r="P84" i="1"/>
  <c r="P83" i="1"/>
  <c r="P81" i="1"/>
  <c r="O86" i="1"/>
  <c r="J120" i="1"/>
  <c r="J121" i="1"/>
  <c r="J89" i="1"/>
  <c r="J66" i="1"/>
  <c r="J65" i="1"/>
  <c r="J64" i="1"/>
  <c r="J70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28" i="1"/>
  <c r="J27" i="1"/>
  <c r="J26" i="1"/>
  <c r="J25" i="1"/>
  <c r="J72" i="1"/>
  <c r="D59" i="1"/>
  <c r="J63" i="1"/>
  <c r="D49" i="1"/>
  <c r="J68" i="1"/>
  <c r="J24" i="1"/>
  <c r="J23" i="1"/>
  <c r="J69" i="1"/>
  <c r="J81" i="1"/>
  <c r="J45" i="1"/>
  <c r="J44" i="1"/>
  <c r="J22" i="1"/>
  <c r="J16" i="1"/>
  <c r="J158" i="1"/>
  <c r="J71" i="1"/>
  <c r="J14" i="1"/>
  <c r="J159" i="1"/>
  <c r="C187" i="1"/>
  <c r="B187" i="1"/>
  <c r="D186" i="1"/>
  <c r="D185" i="1"/>
  <c r="D184" i="1"/>
  <c r="J183" i="1"/>
  <c r="D183" i="1"/>
  <c r="J182" i="1"/>
  <c r="D182" i="1"/>
  <c r="D181" i="1"/>
  <c r="J180" i="1"/>
  <c r="D180" i="1"/>
  <c r="J179" i="1"/>
  <c r="D179" i="1"/>
  <c r="J178" i="1"/>
  <c r="D178" i="1"/>
  <c r="J177" i="1"/>
  <c r="D177" i="1"/>
  <c r="J176" i="1"/>
  <c r="D176" i="1"/>
  <c r="J175" i="1"/>
  <c r="D175" i="1"/>
  <c r="J174" i="1"/>
  <c r="D174" i="1"/>
  <c r="D173" i="1"/>
  <c r="J172" i="1"/>
  <c r="D172" i="1"/>
  <c r="J171" i="1"/>
  <c r="D171" i="1"/>
  <c r="J170" i="1"/>
  <c r="D170" i="1"/>
  <c r="D169" i="1"/>
  <c r="J168" i="1"/>
  <c r="D168" i="1"/>
  <c r="J167" i="1"/>
  <c r="D167" i="1"/>
  <c r="J166" i="1"/>
  <c r="D166" i="1"/>
  <c r="J165" i="1"/>
  <c r="D165" i="1"/>
  <c r="D164" i="1"/>
  <c r="J161" i="1"/>
  <c r="D161" i="1"/>
  <c r="J160" i="1"/>
  <c r="D160" i="1"/>
  <c r="D159" i="1"/>
  <c r="D158" i="1"/>
  <c r="D157" i="1"/>
  <c r="C149" i="1"/>
  <c r="B149" i="1"/>
  <c r="D148" i="1"/>
  <c r="D147" i="1"/>
  <c r="D146" i="1"/>
  <c r="D145" i="1"/>
  <c r="D144" i="1"/>
  <c r="D143" i="1"/>
  <c r="D142" i="1"/>
  <c r="D141" i="1"/>
  <c r="D140" i="1"/>
  <c r="D139" i="1"/>
  <c r="D138" i="1"/>
  <c r="D135" i="1"/>
  <c r="D134" i="1"/>
  <c r="D133" i="1"/>
  <c r="D132" i="1"/>
  <c r="D131" i="1"/>
  <c r="D130" i="1"/>
  <c r="D129" i="1"/>
  <c r="D128" i="1"/>
  <c r="D127" i="1"/>
  <c r="D126" i="1"/>
  <c r="D125" i="1"/>
  <c r="D123" i="1"/>
  <c r="D122" i="1"/>
  <c r="D121" i="1"/>
  <c r="D120" i="1"/>
  <c r="D119" i="1"/>
  <c r="J119" i="1"/>
  <c r="J142" i="1"/>
  <c r="J139" i="1"/>
  <c r="J138" i="1"/>
  <c r="J136" i="1"/>
  <c r="J135" i="1"/>
  <c r="J134" i="1"/>
  <c r="J132" i="1"/>
  <c r="J131" i="1"/>
  <c r="J130" i="1"/>
  <c r="J129" i="1"/>
  <c r="J128" i="1"/>
  <c r="J127" i="1"/>
  <c r="J123" i="1"/>
  <c r="J122" i="1"/>
  <c r="C111" i="1"/>
  <c r="B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5" i="1"/>
  <c r="D82" i="1"/>
  <c r="D81" i="1"/>
  <c r="J29" i="1"/>
  <c r="J30" i="1"/>
  <c r="J31" i="1"/>
  <c r="J32" i="1"/>
  <c r="J33" i="1"/>
  <c r="J34" i="1"/>
  <c r="J43" i="1"/>
  <c r="J105" i="1"/>
  <c r="J104" i="1"/>
  <c r="J103" i="1"/>
  <c r="J102" i="1"/>
  <c r="J90" i="1"/>
  <c r="J88" i="1"/>
  <c r="J87" i="1"/>
  <c r="J85" i="1"/>
  <c r="J84" i="1"/>
  <c r="J67" i="1"/>
  <c r="J47" i="1"/>
  <c r="J46" i="1"/>
  <c r="J21" i="1"/>
  <c r="J20" i="1"/>
  <c r="J19" i="1"/>
  <c r="J18" i="1"/>
  <c r="J17" i="1"/>
  <c r="J15" i="1"/>
  <c r="J13" i="1"/>
  <c r="J12" i="1"/>
  <c r="J11" i="1"/>
  <c r="J9" i="1"/>
  <c r="J8" i="1"/>
  <c r="J7" i="1"/>
  <c r="J6" i="1"/>
  <c r="J5" i="1"/>
  <c r="J4" i="1"/>
  <c r="C73" i="1"/>
  <c r="B73" i="1"/>
  <c r="D72" i="1"/>
  <c r="D71" i="1"/>
  <c r="D70" i="1"/>
  <c r="D66" i="1"/>
  <c r="D65" i="1"/>
  <c r="D64" i="1"/>
  <c r="D63" i="1"/>
  <c r="D62" i="1"/>
  <c r="D61" i="1"/>
  <c r="D60" i="1"/>
  <c r="D58" i="1"/>
  <c r="D57" i="1"/>
  <c r="D56" i="1"/>
  <c r="D55" i="1"/>
  <c r="D54" i="1"/>
  <c r="D53" i="1"/>
  <c r="D52" i="1"/>
  <c r="D51" i="1"/>
  <c r="D50" i="1"/>
  <c r="D47" i="1"/>
  <c r="D46" i="1"/>
  <c r="D45" i="1"/>
  <c r="D44" i="1"/>
  <c r="D43" i="1"/>
  <c r="D5" i="1"/>
  <c r="D6" i="1"/>
  <c r="D7" i="1"/>
  <c r="D8" i="1"/>
  <c r="D9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4" i="1"/>
  <c r="C35" i="1"/>
  <c r="C10" i="1"/>
  <c r="D301" i="1" l="1"/>
  <c r="J301" i="1"/>
  <c r="D263" i="1"/>
  <c r="D225" i="1"/>
  <c r="D187" i="1"/>
  <c r="D149" i="1"/>
  <c r="O112" i="1"/>
  <c r="P111" i="1"/>
  <c r="D111" i="1"/>
  <c r="C36" i="1"/>
  <c r="C42" i="1" s="1"/>
  <c r="C48" i="1" s="1"/>
  <c r="C74" i="1" s="1"/>
  <c r="C80" i="1" s="1"/>
  <c r="C86" i="1" s="1"/>
  <c r="C112" i="1" s="1"/>
  <c r="C118" i="1" s="1"/>
  <c r="C124" i="1" s="1"/>
  <c r="C150" i="1" s="1"/>
  <c r="C156" i="1" s="1"/>
  <c r="C162" i="1" s="1"/>
  <c r="C188" i="1" s="1"/>
  <c r="C194" i="1" s="1"/>
  <c r="D73" i="1"/>
  <c r="B10" i="1"/>
  <c r="D10" i="1" s="1"/>
  <c r="B35" i="1"/>
  <c r="D35" i="1" s="1"/>
  <c r="I48" i="1" l="1"/>
  <c r="C200" i="1"/>
  <c r="B36" i="1"/>
  <c r="I74" i="1" l="1"/>
  <c r="I86" i="1" s="1"/>
  <c r="H48" i="1"/>
  <c r="C226" i="1"/>
  <c r="C232" i="1" s="1"/>
  <c r="J48" i="1"/>
  <c r="J74" i="1" s="1"/>
  <c r="D36" i="1"/>
  <c r="B42" i="1"/>
  <c r="I112" i="1" l="1"/>
  <c r="I124" i="1" s="1"/>
  <c r="H86" i="1"/>
  <c r="H112" i="1" s="1"/>
  <c r="C238" i="1"/>
  <c r="B48" i="1"/>
  <c r="D42" i="1"/>
  <c r="I150" i="1" l="1"/>
  <c r="I162" i="1" s="1"/>
  <c r="J86" i="1"/>
  <c r="J112" i="1" s="1"/>
  <c r="C264" i="1"/>
  <c r="C270" i="1" s="1"/>
  <c r="N86" i="1"/>
  <c r="B74" i="1"/>
  <c r="D48" i="1"/>
  <c r="I188" i="1" l="1"/>
  <c r="I200" i="1" s="1"/>
  <c r="C276" i="1"/>
  <c r="N112" i="1"/>
  <c r="P86" i="1"/>
  <c r="D74" i="1"/>
  <c r="B80" i="1"/>
  <c r="H124" i="1"/>
  <c r="H150" i="1" s="1"/>
  <c r="I226" i="1" l="1"/>
  <c r="I238" i="1" s="1"/>
  <c r="C302" i="1"/>
  <c r="C308" i="1" s="1"/>
  <c r="C314" i="1" s="1"/>
  <c r="C340" i="1" s="1"/>
  <c r="C346" i="1" s="1"/>
  <c r="P112" i="1"/>
  <c r="B86" i="1"/>
  <c r="D80" i="1"/>
  <c r="J124" i="1"/>
  <c r="J150" i="1" s="1"/>
  <c r="C352" i="1" l="1"/>
  <c r="I264" i="1"/>
  <c r="I276" i="1" s="1"/>
  <c r="I302" i="1" s="1"/>
  <c r="I308" i="1" s="1"/>
  <c r="I314" i="1" s="1"/>
  <c r="I340" i="1" s="1"/>
  <c r="I346" i="1" s="1"/>
  <c r="I352" i="1" s="1"/>
  <c r="I378" i="1" s="1"/>
  <c r="I384" i="1" s="1"/>
  <c r="I390" i="1" s="1"/>
  <c r="I416" i="1" s="1"/>
  <c r="B112" i="1"/>
  <c r="D86" i="1"/>
  <c r="C378" i="1" l="1"/>
  <c r="C384" i="1" s="1"/>
  <c r="H162" i="1"/>
  <c r="H188" i="1" s="1"/>
  <c r="B118" i="1"/>
  <c r="D112" i="1"/>
  <c r="C390" i="1" l="1"/>
  <c r="J162" i="1"/>
  <c r="J188" i="1" s="1"/>
  <c r="B124" i="1"/>
  <c r="D118" i="1"/>
  <c r="C416" i="1" l="1"/>
  <c r="D124" i="1"/>
  <c r="B150" i="1"/>
  <c r="H200" i="1" l="1"/>
  <c r="H226" i="1" s="1"/>
  <c r="D150" i="1"/>
  <c r="B156" i="1"/>
  <c r="J200" i="1" l="1"/>
  <c r="J226" i="1" s="1"/>
  <c r="B162" i="1"/>
  <c r="D156" i="1"/>
  <c r="D162" i="1" l="1"/>
  <c r="B188" i="1"/>
  <c r="H238" i="1" l="1"/>
  <c r="H264" i="1" s="1"/>
  <c r="D188" i="1"/>
  <c r="B194" i="1"/>
  <c r="J238" i="1" l="1"/>
  <c r="J264" i="1" s="1"/>
  <c r="B200" i="1"/>
  <c r="D194" i="1"/>
  <c r="B226" i="1" l="1"/>
  <c r="D200" i="1"/>
  <c r="H276" i="1" l="1"/>
  <c r="H302" i="1" s="1"/>
  <c r="H308" i="1" s="1"/>
  <c r="H314" i="1" s="1"/>
  <c r="H340" i="1" s="1"/>
  <c r="H346" i="1" s="1"/>
  <c r="H352" i="1" s="1"/>
  <c r="H378" i="1" s="1"/>
  <c r="H384" i="1" s="1"/>
  <c r="H390" i="1" s="1"/>
  <c r="H416" i="1" s="1"/>
  <c r="D226" i="1"/>
  <c r="B232" i="1"/>
  <c r="J276" i="1" l="1"/>
  <c r="J302" i="1" s="1"/>
  <c r="J308" i="1" s="1"/>
  <c r="J314" i="1" s="1"/>
  <c r="J340" i="1" s="1"/>
  <c r="J346" i="1" s="1"/>
  <c r="J352" i="1" s="1"/>
  <c r="J378" i="1" s="1"/>
  <c r="J384" i="1" s="1"/>
  <c r="J390" i="1" s="1"/>
  <c r="J416" i="1" s="1"/>
  <c r="B238" i="1"/>
  <c r="D232" i="1"/>
  <c r="B264" i="1" l="1"/>
  <c r="D238" i="1"/>
  <c r="D264" i="1" l="1"/>
  <c r="B270" i="1"/>
  <c r="B276" i="1" l="1"/>
  <c r="D270" i="1"/>
  <c r="B302" i="1" l="1"/>
  <c r="D276" i="1"/>
  <c r="D302" i="1" l="1"/>
  <c r="B308" i="1"/>
  <c r="D308" i="1" l="1"/>
  <c r="B314" i="1"/>
  <c r="D314" i="1" l="1"/>
  <c r="B340" i="1"/>
  <c r="D340" i="1" l="1"/>
  <c r="B346" i="1"/>
  <c r="B352" i="1" l="1"/>
  <c r="D346" i="1"/>
  <c r="B378" i="1" l="1"/>
  <c r="D352" i="1"/>
  <c r="D378" i="1" l="1"/>
  <c r="B384" i="1"/>
  <c r="B390" i="1" l="1"/>
  <c r="D384" i="1"/>
  <c r="B416" i="1" l="1"/>
  <c r="D416" i="1" s="1"/>
  <c r="D390" i="1"/>
</calcChain>
</file>

<file path=xl/sharedStrings.xml><?xml version="1.0" encoding="utf-8"?>
<sst xmlns="http://schemas.openxmlformats.org/spreadsheetml/2006/main" count="726" uniqueCount="378">
  <si>
    <t>計</t>
  </si>
  <si>
    <t>追加</t>
    <rPh sb="0" eb="2">
      <t>ツイカ</t>
    </rPh>
    <phoneticPr fontId="2"/>
  </si>
  <si>
    <t>総数</t>
  </si>
  <si>
    <t>出荷数</t>
    <rPh sb="0" eb="2">
      <t>シュッカ</t>
    </rPh>
    <rPh sb="2" eb="3">
      <t>スウ</t>
    </rPh>
    <phoneticPr fontId="2"/>
  </si>
  <si>
    <t>残数</t>
    <rPh sb="0" eb="2">
      <t>ザンスウ</t>
    </rPh>
    <phoneticPr fontId="2"/>
  </si>
  <si>
    <t>初回</t>
    <rPh sb="0" eb="2">
      <t>ショカイ</t>
    </rPh>
    <phoneticPr fontId="2"/>
  </si>
  <si>
    <t>M-L</t>
    <phoneticPr fontId="7"/>
  </si>
  <si>
    <t>＜シカ加工保湿成形ショーツ4色組＞　.@1080   夢販在庫</t>
    <rPh sb="3" eb="5">
      <t>カコウ</t>
    </rPh>
    <rPh sb="5" eb="7">
      <t>ホシツ</t>
    </rPh>
    <rPh sb="7" eb="9">
      <t>セイケイ</t>
    </rPh>
    <rPh sb="14" eb="16">
      <t>ショクグミ</t>
    </rPh>
    <rPh sb="27" eb="31">
      <t>ユメハンザイコ</t>
    </rPh>
    <phoneticPr fontId="2"/>
  </si>
  <si>
    <t>＜シカ加工保湿成形ショーツ4色組＞ .@1080　K-PORT在庫</t>
    <rPh sb="3" eb="5">
      <t>カコウ</t>
    </rPh>
    <rPh sb="5" eb="7">
      <t>ホシツ</t>
    </rPh>
    <rPh sb="7" eb="9">
      <t>セイケイ</t>
    </rPh>
    <rPh sb="14" eb="16">
      <t>ショクグミ</t>
    </rPh>
    <rPh sb="31" eb="33">
      <t>ザイコ</t>
    </rPh>
    <phoneticPr fontId="2"/>
  </si>
  <si>
    <t>L-LL</t>
    <phoneticPr fontId="7"/>
  </si>
  <si>
    <t>初回 2-1</t>
    <rPh sb="0" eb="2">
      <t>ショカイ</t>
    </rPh>
    <phoneticPr fontId="2"/>
  </si>
  <si>
    <t>追加　2-2</t>
    <rPh sb="0" eb="2">
      <t>ツイカ</t>
    </rPh>
    <phoneticPr fontId="2"/>
  </si>
  <si>
    <t>ニッセン24初冬号楽市</t>
    <rPh sb="6" eb="9">
      <t>ショトウゴウ</t>
    </rPh>
    <rPh sb="9" eb="11">
      <t>ラクイチ</t>
    </rPh>
    <phoneticPr fontId="7"/>
  </si>
  <si>
    <t>10/上旬～</t>
    <rPh sb="3" eb="5">
      <t>ジョウジュン</t>
    </rPh>
    <phoneticPr fontId="7"/>
  </si>
  <si>
    <t>ディノス24冬号</t>
    <rPh sb="6" eb="8">
      <t>フユゴウ</t>
    </rPh>
    <phoneticPr fontId="7"/>
  </si>
  <si>
    <t>事前9/9～、本10/1～</t>
    <rPh sb="0" eb="2">
      <t>ジゼン</t>
    </rPh>
    <rPh sb="7" eb="8">
      <t>ホン</t>
    </rPh>
    <phoneticPr fontId="7"/>
  </si>
  <si>
    <t>ロイヤルステージ8月号</t>
    <rPh sb="9" eb="11">
      <t>ガツゴウ</t>
    </rPh>
    <phoneticPr fontId="7"/>
  </si>
  <si>
    <t>8/23～</t>
    <phoneticPr fontId="7"/>
  </si>
  <si>
    <t>ベルーナ25年春号</t>
    <rPh sb="6" eb="7">
      <t>ネン</t>
    </rPh>
    <rPh sb="7" eb="9">
      <t>ハルゴウ</t>
    </rPh>
    <phoneticPr fontId="7"/>
  </si>
  <si>
    <t>12月納品</t>
    <rPh sb="2" eb="5">
      <t>ガツノウヒン</t>
    </rPh>
    <phoneticPr fontId="7"/>
  </si>
  <si>
    <t>アテニア1月号</t>
    <rPh sb="5" eb="7">
      <t>ガツゴウ</t>
    </rPh>
    <phoneticPr fontId="7"/>
  </si>
  <si>
    <t>ディノス24冬号差分予測</t>
    <rPh sb="6" eb="8">
      <t>フユゴウ</t>
    </rPh>
    <rPh sb="8" eb="12">
      <t>サブンヨソク</t>
    </rPh>
    <phoneticPr fontId="7"/>
  </si>
  <si>
    <t>8/7～</t>
    <phoneticPr fontId="7"/>
  </si>
  <si>
    <t>JOD特別号9507（表4）</t>
    <rPh sb="3" eb="6">
      <t>トクベツゴウ</t>
    </rPh>
    <rPh sb="11" eb="12">
      <t>ヒョウ</t>
    </rPh>
    <phoneticPr fontId="7"/>
  </si>
  <si>
    <t>テスト10/16、本番1月中旬</t>
    <rPh sb="9" eb="11">
      <t>ホンバン</t>
    </rPh>
    <rPh sb="12" eb="13">
      <t>ガツ</t>
    </rPh>
    <rPh sb="13" eb="15">
      <t>チュウジュン</t>
    </rPh>
    <phoneticPr fontId="7"/>
  </si>
  <si>
    <t>夢販</t>
    <rPh sb="0" eb="2">
      <t>ユメハン</t>
    </rPh>
    <phoneticPr fontId="7"/>
  </si>
  <si>
    <t>JOD①</t>
    <phoneticPr fontId="7"/>
  </si>
  <si>
    <t>2024/8/10数伝</t>
    <rPh sb="9" eb="11">
      <t>スウデン</t>
    </rPh>
    <phoneticPr fontId="7"/>
  </si>
  <si>
    <t>JOD②</t>
    <phoneticPr fontId="7"/>
  </si>
  <si>
    <t>JOD③</t>
    <phoneticPr fontId="7"/>
  </si>
  <si>
    <t>牧野</t>
    <rPh sb="0" eb="2">
      <t>マキノ</t>
    </rPh>
    <phoneticPr fontId="7"/>
  </si>
  <si>
    <t>GF倉庫より出荷予定</t>
    <rPh sb="2" eb="4">
      <t>ソウコ</t>
    </rPh>
    <rPh sb="6" eb="8">
      <t>シュッカ</t>
    </rPh>
    <rPh sb="8" eb="10">
      <t>ヨテイ</t>
    </rPh>
    <phoneticPr fontId="7"/>
  </si>
  <si>
    <t>JOD④</t>
    <phoneticPr fontId="7"/>
  </si>
  <si>
    <t>.</t>
    <phoneticPr fontId="7"/>
  </si>
  <si>
    <t>JOD⑤</t>
    <phoneticPr fontId="7"/>
  </si>
  <si>
    <t>在庫確認</t>
    <rPh sb="0" eb="4">
      <t>ザイコカクニン</t>
    </rPh>
    <phoneticPr fontId="2"/>
  </si>
  <si>
    <t>JOD⑥</t>
    <phoneticPr fontId="7"/>
  </si>
  <si>
    <t>ディノス24冬号①</t>
    <rPh sb="6" eb="8">
      <t>フユゴウ</t>
    </rPh>
    <phoneticPr fontId="7"/>
  </si>
  <si>
    <t>JODアクセス7004</t>
    <phoneticPr fontId="7"/>
  </si>
  <si>
    <t>10/1～</t>
    <phoneticPr fontId="7"/>
  </si>
  <si>
    <t>ネット</t>
    <phoneticPr fontId="7"/>
  </si>
  <si>
    <t>追加　1-1　８/２７済</t>
    <rPh sb="0" eb="2">
      <t>ツイカ</t>
    </rPh>
    <rPh sb="11" eb="12">
      <t>スミ</t>
    </rPh>
    <phoneticPr fontId="2"/>
  </si>
  <si>
    <t>JOD⑦</t>
    <phoneticPr fontId="7"/>
  </si>
  <si>
    <t>ロイヤルステージ8月号①</t>
    <rPh sb="9" eb="11">
      <t>ガツゴウ</t>
    </rPh>
    <phoneticPr fontId="7"/>
  </si>
  <si>
    <t>JOD⑧</t>
    <phoneticPr fontId="7"/>
  </si>
  <si>
    <t>JOD⑨</t>
    <phoneticPr fontId="7"/>
  </si>
  <si>
    <t>JOD⑩</t>
    <phoneticPr fontId="7"/>
  </si>
  <si>
    <t>ニッセン24初冬号楽市①</t>
    <rPh sb="6" eb="9">
      <t>ショトウゴウ</t>
    </rPh>
    <rPh sb="9" eb="11">
      <t>ラクイチ</t>
    </rPh>
    <phoneticPr fontId="7"/>
  </si>
  <si>
    <t>ニッセン25初春アトランダム</t>
    <rPh sb="6" eb="8">
      <t>ショシュン</t>
    </rPh>
    <phoneticPr fontId="7"/>
  </si>
  <si>
    <t>1/9～6/末</t>
    <rPh sb="6" eb="7">
      <t>マツ</t>
    </rPh>
    <phoneticPr fontId="7"/>
  </si>
  <si>
    <t>JOD⑪</t>
    <phoneticPr fontId="7"/>
  </si>
  <si>
    <t>JOD⑫</t>
    <phoneticPr fontId="7"/>
  </si>
  <si>
    <t>JOD⑬</t>
    <phoneticPr fontId="7"/>
  </si>
  <si>
    <t>JOD⑭</t>
    <phoneticPr fontId="7"/>
  </si>
  <si>
    <t>JOD⑮</t>
    <phoneticPr fontId="7"/>
  </si>
  <si>
    <t>鈴木BY</t>
    <rPh sb="0" eb="2">
      <t>スズキ</t>
    </rPh>
    <phoneticPr fontId="7"/>
  </si>
  <si>
    <t>JOD返品</t>
    <rPh sb="3" eb="5">
      <t>ヘンピン</t>
    </rPh>
    <phoneticPr fontId="2"/>
  </si>
  <si>
    <t>不足分</t>
    <rPh sb="0" eb="3">
      <t>フソクブン</t>
    </rPh>
    <phoneticPr fontId="2"/>
  </si>
  <si>
    <t>ベルーナ25年春号①</t>
    <rPh sb="6" eb="7">
      <t>ネン</t>
    </rPh>
    <rPh sb="7" eb="9">
      <t>ハルゴウ</t>
    </rPh>
    <phoneticPr fontId="7"/>
  </si>
  <si>
    <t>JOD⑯</t>
    <phoneticPr fontId="7"/>
  </si>
  <si>
    <t>2Pへ</t>
    <phoneticPr fontId="7"/>
  </si>
  <si>
    <t>追加</t>
    <rPh sb="0" eb="2">
      <t>ツイカ</t>
    </rPh>
    <phoneticPr fontId="7"/>
  </si>
  <si>
    <t>ディノス24冬号②</t>
    <rPh sb="6" eb="8">
      <t>フユゴウ</t>
    </rPh>
    <phoneticPr fontId="7"/>
  </si>
  <si>
    <t>JOD⑰</t>
    <phoneticPr fontId="7"/>
  </si>
  <si>
    <t>2024/10/4伝数</t>
    <rPh sb="9" eb="10">
      <t>デン</t>
    </rPh>
    <rPh sb="10" eb="11">
      <t>スウ</t>
    </rPh>
    <phoneticPr fontId="7"/>
  </si>
  <si>
    <t>ディノス24冬号③</t>
    <rPh sb="6" eb="8">
      <t>フユゴウ</t>
    </rPh>
    <phoneticPr fontId="7"/>
  </si>
  <si>
    <t>ベルーナ25年春号差分予測</t>
    <rPh sb="6" eb="7">
      <t>ネン</t>
    </rPh>
    <rPh sb="8" eb="9">
      <t>ゴウ</t>
    </rPh>
    <rPh sb="9" eb="11">
      <t>サブン</t>
    </rPh>
    <rPh sb="11" eb="13">
      <t>ヨソク</t>
    </rPh>
    <phoneticPr fontId="7"/>
  </si>
  <si>
    <t>JOD⑱</t>
    <phoneticPr fontId="7"/>
  </si>
  <si>
    <t>ディノス24冬号④</t>
    <rPh sb="6" eb="8">
      <t>フユゴウ</t>
    </rPh>
    <phoneticPr fontId="7"/>
  </si>
  <si>
    <t>ニッセン24初冬号楽市差分予測</t>
    <rPh sb="6" eb="9">
      <t>ショトウゴウ</t>
    </rPh>
    <rPh sb="9" eb="11">
      <t>ラクイチ</t>
    </rPh>
    <rPh sb="11" eb="15">
      <t>サブンヨソク</t>
    </rPh>
    <phoneticPr fontId="7"/>
  </si>
  <si>
    <t>ニッセン25初春アトランダム差分予測</t>
    <rPh sb="6" eb="8">
      <t>ショシュン</t>
    </rPh>
    <rPh sb="14" eb="18">
      <t>サブンヨソク</t>
    </rPh>
    <phoneticPr fontId="7"/>
  </si>
  <si>
    <t>JOD⑲</t>
    <phoneticPr fontId="7"/>
  </si>
  <si>
    <t>ディノス24冬号⑤</t>
    <rPh sb="6" eb="8">
      <t>フユゴウ</t>
    </rPh>
    <phoneticPr fontId="7"/>
  </si>
  <si>
    <t>JOD⑳</t>
    <phoneticPr fontId="7"/>
  </si>
  <si>
    <t>ディノス24冬号⑥</t>
    <rPh sb="6" eb="8">
      <t>フユゴウ</t>
    </rPh>
    <phoneticPr fontId="7"/>
  </si>
  <si>
    <t>JOD㉑</t>
    <phoneticPr fontId="7"/>
  </si>
  <si>
    <t>JOD㉒</t>
    <phoneticPr fontId="7"/>
  </si>
  <si>
    <t>西夢</t>
    <rPh sb="0" eb="2">
      <t>ニシユメ</t>
    </rPh>
    <phoneticPr fontId="7"/>
  </si>
  <si>
    <t>ディノス24冬号⑦</t>
    <rPh sb="6" eb="8">
      <t>フユゴウ</t>
    </rPh>
    <phoneticPr fontId="7"/>
  </si>
  <si>
    <t>JOD㉓</t>
    <phoneticPr fontId="7"/>
  </si>
  <si>
    <t>ディノス24冬号⑧</t>
    <rPh sb="6" eb="8">
      <t>フユゴウ</t>
    </rPh>
    <phoneticPr fontId="7"/>
  </si>
  <si>
    <t>JOD㉔</t>
    <phoneticPr fontId="7"/>
  </si>
  <si>
    <t>JOD㉕</t>
    <phoneticPr fontId="7"/>
  </si>
  <si>
    <t>JOD㉖</t>
    <phoneticPr fontId="7"/>
  </si>
  <si>
    <t>ディノス24冬号⑨</t>
    <rPh sb="6" eb="8">
      <t>フユゴウ</t>
    </rPh>
    <phoneticPr fontId="7"/>
  </si>
  <si>
    <t>JOD㉗</t>
    <phoneticPr fontId="7"/>
  </si>
  <si>
    <t>ディノス24冬号⑩</t>
    <rPh sb="6" eb="8">
      <t>フユゴウ</t>
    </rPh>
    <phoneticPr fontId="7"/>
  </si>
  <si>
    <t>ディノス24冬号⑪</t>
    <rPh sb="6" eb="8">
      <t>フユゴウ</t>
    </rPh>
    <phoneticPr fontId="7"/>
  </si>
  <si>
    <t>JOD㉘</t>
    <phoneticPr fontId="7"/>
  </si>
  <si>
    <t>ニッセン24初冬号楽市②</t>
    <rPh sb="6" eb="9">
      <t>ショトウゴウ</t>
    </rPh>
    <rPh sb="9" eb="11">
      <t>ラクイチ</t>
    </rPh>
    <phoneticPr fontId="7"/>
  </si>
  <si>
    <t>ディノス24冬号⑫</t>
    <rPh sb="6" eb="8">
      <t>フユゴウ</t>
    </rPh>
    <phoneticPr fontId="7"/>
  </si>
  <si>
    <t>JOD㉙</t>
    <phoneticPr fontId="7"/>
  </si>
  <si>
    <t>KPORTよりGF倉庫へ</t>
    <rPh sb="9" eb="11">
      <t>ソウコ</t>
    </rPh>
    <phoneticPr fontId="2"/>
  </si>
  <si>
    <t>西夢</t>
    <rPh sb="0" eb="2">
      <t>ニシユメ</t>
    </rPh>
    <phoneticPr fontId="7"/>
  </si>
  <si>
    <t>ニッセン24初冬号楽市③</t>
    <rPh sb="6" eb="9">
      <t>ショトウゴウ</t>
    </rPh>
    <rPh sb="9" eb="11">
      <t>ラクイチ</t>
    </rPh>
    <phoneticPr fontId="7"/>
  </si>
  <si>
    <t>JOD㉚</t>
    <phoneticPr fontId="7"/>
  </si>
  <si>
    <t>JOD㉛</t>
    <phoneticPr fontId="7"/>
  </si>
  <si>
    <t>ディノス24冬号⑬</t>
    <rPh sb="6" eb="8">
      <t>フユゴウ</t>
    </rPh>
    <phoneticPr fontId="7"/>
  </si>
  <si>
    <t>JOD㉜</t>
    <phoneticPr fontId="7"/>
  </si>
  <si>
    <t>ディノス24冬号⑭</t>
    <rPh sb="6" eb="8">
      <t>フユゴウ</t>
    </rPh>
    <phoneticPr fontId="7"/>
  </si>
  <si>
    <t>JOD㉝</t>
    <phoneticPr fontId="7"/>
  </si>
  <si>
    <t>GF倉庫へ</t>
    <rPh sb="2" eb="4">
      <t>ソウコ</t>
    </rPh>
    <phoneticPr fontId="7"/>
  </si>
  <si>
    <t>JOD㉞</t>
    <phoneticPr fontId="7"/>
  </si>
  <si>
    <t>JOD㉟</t>
    <phoneticPr fontId="7"/>
  </si>
  <si>
    <t>JODアクセス7006</t>
    <phoneticPr fontId="7"/>
  </si>
  <si>
    <t>1/15～</t>
    <phoneticPr fontId="7"/>
  </si>
  <si>
    <t>JOD㊱</t>
    <phoneticPr fontId="7"/>
  </si>
  <si>
    <t>コープさっぽろ2月1回</t>
    <rPh sb="8" eb="9">
      <t>ガツ</t>
    </rPh>
    <rPh sb="10" eb="11">
      <t>カイ</t>
    </rPh>
    <phoneticPr fontId="7"/>
  </si>
  <si>
    <t>1/29、2/3</t>
    <phoneticPr fontId="7"/>
  </si>
  <si>
    <t>＜シカ加工保湿成形ショーツ4色組＞ .@1080　GFクライム在庫</t>
    <rPh sb="3" eb="5">
      <t>カコウ</t>
    </rPh>
    <rPh sb="5" eb="7">
      <t>ホシツ</t>
    </rPh>
    <rPh sb="7" eb="9">
      <t>セイケイ</t>
    </rPh>
    <rPh sb="14" eb="16">
      <t>ショクグミ</t>
    </rPh>
    <rPh sb="31" eb="33">
      <t>ザイコ</t>
    </rPh>
    <phoneticPr fontId="2"/>
  </si>
  <si>
    <t>JOD㊲</t>
    <phoneticPr fontId="7"/>
  </si>
  <si>
    <t>ロイヤルステージ返品</t>
    <rPh sb="8" eb="10">
      <t>ヘンピン</t>
    </rPh>
    <phoneticPr fontId="2"/>
  </si>
  <si>
    <t>JODメルシー/コーデ特集1226</t>
    <rPh sb="11" eb="13">
      <t>トクシュウ</t>
    </rPh>
    <phoneticPr fontId="7"/>
  </si>
  <si>
    <t>12/24～</t>
    <phoneticPr fontId="7"/>
  </si>
  <si>
    <t>ニッセン25初春アトランダム①</t>
    <rPh sb="6" eb="8">
      <t>ショシュン</t>
    </rPh>
    <phoneticPr fontId="7"/>
  </si>
  <si>
    <t>2024/12/6伝数</t>
    <rPh sb="9" eb="10">
      <t>デン</t>
    </rPh>
    <rPh sb="10" eb="11">
      <t>スウ</t>
    </rPh>
    <phoneticPr fontId="7"/>
  </si>
  <si>
    <t>2024/12/5伝数</t>
    <rPh sb="9" eb="10">
      <t>デン</t>
    </rPh>
    <rPh sb="10" eb="11">
      <t>スウ</t>
    </rPh>
    <phoneticPr fontId="7"/>
  </si>
  <si>
    <t>西本さん</t>
    <rPh sb="0" eb="2">
      <t>ニシモト</t>
    </rPh>
    <phoneticPr fontId="7"/>
  </si>
  <si>
    <t>JOD㊳</t>
    <phoneticPr fontId="7"/>
  </si>
  <si>
    <t>JOD㊴</t>
    <phoneticPr fontId="7"/>
  </si>
  <si>
    <t>JOD㊵</t>
    <phoneticPr fontId="7"/>
  </si>
  <si>
    <t>ディノス24冬号⑮</t>
    <rPh sb="6" eb="8">
      <t>フユゴウ</t>
    </rPh>
    <phoneticPr fontId="7"/>
  </si>
  <si>
    <t>ディノス24冬号⑯</t>
    <rPh sb="6" eb="8">
      <t>フユゴウ</t>
    </rPh>
    <phoneticPr fontId="7"/>
  </si>
  <si>
    <t>ディノス24冬号⑰</t>
    <rPh sb="6" eb="8">
      <t>フユゴウ</t>
    </rPh>
    <phoneticPr fontId="7"/>
  </si>
  <si>
    <t>ディノス24冬号⑱</t>
    <rPh sb="6" eb="8">
      <t>フユゴウ</t>
    </rPh>
    <phoneticPr fontId="7"/>
  </si>
  <si>
    <t>ディノス24冬号⑲</t>
    <rPh sb="6" eb="8">
      <t>フユゴウ</t>
    </rPh>
    <phoneticPr fontId="7"/>
  </si>
  <si>
    <t>コープさっぽろ3月1回</t>
    <rPh sb="8" eb="9">
      <t>ガツ</t>
    </rPh>
    <rPh sb="10" eb="11">
      <t>カイ</t>
    </rPh>
    <phoneticPr fontId="7"/>
  </si>
  <si>
    <t>2/26、3/3</t>
    <phoneticPr fontId="7"/>
  </si>
  <si>
    <t>JODアクセス7007</t>
    <phoneticPr fontId="7"/>
  </si>
  <si>
    <t>2/19～</t>
    <phoneticPr fontId="7"/>
  </si>
  <si>
    <t>JOD㊶</t>
    <phoneticPr fontId="7"/>
  </si>
  <si>
    <t>JOD㊷</t>
    <phoneticPr fontId="7"/>
  </si>
  <si>
    <t>JOD㊸</t>
    <phoneticPr fontId="7"/>
  </si>
  <si>
    <t>JOD㊹</t>
    <phoneticPr fontId="7"/>
  </si>
  <si>
    <t>JOD㊺</t>
    <phoneticPr fontId="7"/>
  </si>
  <si>
    <t>JOD㊻</t>
    <phoneticPr fontId="7"/>
  </si>
  <si>
    <t>ディノス24冬号⑳</t>
    <rPh sb="6" eb="8">
      <t>フユゴウ</t>
    </rPh>
    <phoneticPr fontId="7"/>
  </si>
  <si>
    <t>JOD㊼</t>
    <phoneticPr fontId="7"/>
  </si>
  <si>
    <t>ニッセン25初春アトランダム②</t>
    <rPh sb="6" eb="8">
      <t>ショシュン</t>
    </rPh>
    <phoneticPr fontId="7"/>
  </si>
  <si>
    <t>JOD㊽</t>
    <phoneticPr fontId="7"/>
  </si>
  <si>
    <t>JOD㊾</t>
    <phoneticPr fontId="7"/>
  </si>
  <si>
    <t>JOD㊿</t>
    <phoneticPr fontId="7"/>
  </si>
  <si>
    <t>ディノス24冬号㉑</t>
    <rPh sb="6" eb="8">
      <t>フユゴウ</t>
    </rPh>
    <phoneticPr fontId="7"/>
  </si>
  <si>
    <t>ベルーナ25年春号②</t>
    <rPh sb="6" eb="7">
      <t>ネン</t>
    </rPh>
    <rPh sb="7" eb="9">
      <t>ハルゴウ</t>
    </rPh>
    <phoneticPr fontId="7"/>
  </si>
  <si>
    <t>JOD51</t>
    <phoneticPr fontId="7"/>
  </si>
  <si>
    <t>コープさっぽろ2月1回①</t>
    <rPh sb="8" eb="9">
      <t>ガツ</t>
    </rPh>
    <rPh sb="10" eb="11">
      <t>カイ</t>
    </rPh>
    <phoneticPr fontId="7"/>
  </si>
  <si>
    <t>JOD52</t>
    <phoneticPr fontId="7"/>
  </si>
  <si>
    <t>ベルーナ25年春号③</t>
    <rPh sb="6" eb="7">
      <t>ネン</t>
    </rPh>
    <rPh sb="7" eb="9">
      <t>ハルゴウ</t>
    </rPh>
    <phoneticPr fontId="7"/>
  </si>
  <si>
    <t>パルシステムsample</t>
    <phoneticPr fontId="7"/>
  </si>
  <si>
    <t>JOD53</t>
    <phoneticPr fontId="7"/>
  </si>
  <si>
    <t>コープさっぽろ2月1回②</t>
    <rPh sb="8" eb="9">
      <t>ガツ</t>
    </rPh>
    <rPh sb="10" eb="11">
      <t>カイ</t>
    </rPh>
    <phoneticPr fontId="7"/>
  </si>
  <si>
    <t>ディノス24冬号㉒</t>
    <rPh sb="6" eb="8">
      <t>フユゴウ</t>
    </rPh>
    <phoneticPr fontId="7"/>
  </si>
  <si>
    <t>JOD54</t>
  </si>
  <si>
    <t>JOD55</t>
  </si>
  <si>
    <t>JOD56</t>
  </si>
  <si>
    <t>JOD57</t>
  </si>
  <si>
    <t>JOD59</t>
    <phoneticPr fontId="7"/>
  </si>
  <si>
    <t>ディノス24冬号㉓</t>
    <rPh sb="6" eb="8">
      <t>フユゴウ</t>
    </rPh>
    <phoneticPr fontId="7"/>
  </si>
  <si>
    <t>JOD60</t>
    <phoneticPr fontId="7"/>
  </si>
  <si>
    <t>JOD58</t>
    <phoneticPr fontId="7"/>
  </si>
  <si>
    <t>ディノス24冬号㉔</t>
    <rPh sb="6" eb="8">
      <t>フユゴウ</t>
    </rPh>
    <phoneticPr fontId="7"/>
  </si>
  <si>
    <t>JOD61</t>
  </si>
  <si>
    <t>ディノス24冬号㉕</t>
    <rPh sb="6" eb="8">
      <t>フユゴウ</t>
    </rPh>
    <phoneticPr fontId="7"/>
  </si>
  <si>
    <t>ベルーナ25年春号④</t>
    <rPh sb="6" eb="7">
      <t>ネン</t>
    </rPh>
    <rPh sb="7" eb="9">
      <t>ハルゴウ</t>
    </rPh>
    <phoneticPr fontId="7"/>
  </si>
  <si>
    <t>ディノス24冬号㉖</t>
    <rPh sb="6" eb="8">
      <t>フユゴウ</t>
    </rPh>
    <phoneticPr fontId="7"/>
  </si>
  <si>
    <t>JOD62</t>
    <phoneticPr fontId="7"/>
  </si>
  <si>
    <t>コープさっぽろ4月4回</t>
    <rPh sb="8" eb="9">
      <t>ガツ</t>
    </rPh>
    <rPh sb="10" eb="11">
      <t>カイ</t>
    </rPh>
    <phoneticPr fontId="7"/>
  </si>
  <si>
    <t>4/16、4/21</t>
    <phoneticPr fontId="7"/>
  </si>
  <si>
    <t>ベルーナ25年春号⑤</t>
    <rPh sb="6" eb="7">
      <t>ネン</t>
    </rPh>
    <rPh sb="7" eb="9">
      <t>ハルゴウ</t>
    </rPh>
    <phoneticPr fontId="7"/>
  </si>
  <si>
    <t>コープさっぽろ3月1回①</t>
    <rPh sb="8" eb="9">
      <t>ガツ</t>
    </rPh>
    <rPh sb="10" eb="11">
      <t>カイ</t>
    </rPh>
    <phoneticPr fontId="7"/>
  </si>
  <si>
    <t>JOD63</t>
    <phoneticPr fontId="7"/>
  </si>
  <si>
    <t>ベルーナ25年春号⑥</t>
    <rPh sb="6" eb="7">
      <t>ネン</t>
    </rPh>
    <rPh sb="7" eb="9">
      <t>ハルゴウ</t>
    </rPh>
    <phoneticPr fontId="7"/>
  </si>
  <si>
    <t>K-PORT</t>
    <phoneticPr fontId="7"/>
  </si>
  <si>
    <t>JOD64</t>
    <phoneticPr fontId="7"/>
  </si>
  <si>
    <t>コープさっぽろ3月1回②</t>
    <rPh sb="8" eb="9">
      <t>ガツ</t>
    </rPh>
    <rPh sb="10" eb="11">
      <t>カイ</t>
    </rPh>
    <phoneticPr fontId="7"/>
  </si>
  <si>
    <t>JOD65</t>
    <phoneticPr fontId="7"/>
  </si>
  <si>
    <t>JOD66</t>
  </si>
  <si>
    <t>ベルーナ25年春号⑦</t>
    <rPh sb="6" eb="7">
      <t>ネン</t>
    </rPh>
    <rPh sb="7" eb="9">
      <t>ハルゴウ</t>
    </rPh>
    <phoneticPr fontId="7"/>
  </si>
  <si>
    <t>ニッセン25初春アトランダム③</t>
    <rPh sb="6" eb="8">
      <t>ショシュン</t>
    </rPh>
    <phoneticPr fontId="7"/>
  </si>
  <si>
    <t>JOD67</t>
  </si>
  <si>
    <t>JOD68</t>
    <phoneticPr fontId="7"/>
  </si>
  <si>
    <t>JOD69</t>
    <phoneticPr fontId="7"/>
  </si>
  <si>
    <t xml:space="preserve">JOD70 </t>
    <phoneticPr fontId="7"/>
  </si>
  <si>
    <t>ディノス24冬号㉗</t>
    <rPh sb="6" eb="8">
      <t>フユゴウ</t>
    </rPh>
    <phoneticPr fontId="7"/>
  </si>
  <si>
    <t>JOD71</t>
    <phoneticPr fontId="7"/>
  </si>
  <si>
    <t>ベルーナ25年春号⑧</t>
    <rPh sb="6" eb="7">
      <t>ネン</t>
    </rPh>
    <rPh sb="7" eb="9">
      <t>ハルゴウ</t>
    </rPh>
    <phoneticPr fontId="7"/>
  </si>
  <si>
    <t>4/15～</t>
    <phoneticPr fontId="7"/>
  </si>
  <si>
    <t>JOD72</t>
    <phoneticPr fontId="7"/>
  </si>
  <si>
    <t>JOD73</t>
    <phoneticPr fontId="7"/>
  </si>
  <si>
    <t>JODルリネ0418(表4)</t>
    <rPh sb="11" eb="12">
      <t>ヒョウ</t>
    </rPh>
    <phoneticPr fontId="7"/>
  </si>
  <si>
    <t>JOD74</t>
  </si>
  <si>
    <t>JOD75</t>
  </si>
  <si>
    <t>夢販</t>
    <rPh sb="0" eb="2">
      <t>ユメハン</t>
    </rPh>
    <phoneticPr fontId="7"/>
  </si>
  <si>
    <t>JOD76</t>
  </si>
  <si>
    <t>ベルーナ25年春号⑨</t>
    <rPh sb="6" eb="7">
      <t>ネン</t>
    </rPh>
    <rPh sb="7" eb="9">
      <t>ハルゴウ</t>
    </rPh>
    <phoneticPr fontId="7"/>
  </si>
  <si>
    <t>ニッセン25初春アトランダム④</t>
    <rPh sb="6" eb="8">
      <t>ショシュン</t>
    </rPh>
    <phoneticPr fontId="7"/>
  </si>
  <si>
    <t>JOD77</t>
  </si>
  <si>
    <t>JOD78</t>
  </si>
  <si>
    <t>ベルーナ25年春号⑩</t>
    <rPh sb="6" eb="7">
      <t>ネン</t>
    </rPh>
    <rPh sb="7" eb="9">
      <t>ハルゴウ</t>
    </rPh>
    <phoneticPr fontId="7"/>
  </si>
  <si>
    <t>JOD79</t>
  </si>
  <si>
    <t>コープさっぽろ4月4回①</t>
    <rPh sb="8" eb="9">
      <t>ガツ</t>
    </rPh>
    <rPh sb="10" eb="11">
      <t>カイ</t>
    </rPh>
    <phoneticPr fontId="7"/>
  </si>
  <si>
    <t>ベルーナ25年春号⑪</t>
    <rPh sb="6" eb="7">
      <t>ネン</t>
    </rPh>
    <rPh sb="7" eb="9">
      <t>ハルゴウ</t>
    </rPh>
    <phoneticPr fontId="7"/>
  </si>
  <si>
    <t>JOD80</t>
    <phoneticPr fontId="7"/>
  </si>
  <si>
    <t>コープさっぽろ4月4回②</t>
    <rPh sb="8" eb="9">
      <t>ガツ</t>
    </rPh>
    <rPh sb="10" eb="11">
      <t>カイ</t>
    </rPh>
    <phoneticPr fontId="7"/>
  </si>
  <si>
    <t>JOD81</t>
    <phoneticPr fontId="7"/>
  </si>
  <si>
    <t>JOD82</t>
  </si>
  <si>
    <t>JOD83</t>
    <phoneticPr fontId="7"/>
  </si>
  <si>
    <t>JOD84</t>
  </si>
  <si>
    <t>ディノス25年冬号</t>
    <rPh sb="6" eb="7">
      <t>ネン</t>
    </rPh>
    <rPh sb="7" eb="9">
      <t>フユゴウ</t>
    </rPh>
    <phoneticPr fontId="7"/>
  </si>
  <si>
    <t>JOD85</t>
  </si>
  <si>
    <t>ディノス返品</t>
    <rPh sb="4" eb="6">
      <t>ヘンピン</t>
    </rPh>
    <phoneticPr fontId="2"/>
  </si>
  <si>
    <t>JOD86</t>
  </si>
  <si>
    <t>西夢</t>
    <rPh sb="0" eb="2">
      <t>ニシユメ</t>
    </rPh>
    <phoneticPr fontId="7"/>
  </si>
  <si>
    <t>ベルーナ25年春号⑫</t>
    <rPh sb="6" eb="7">
      <t>ネン</t>
    </rPh>
    <rPh sb="7" eb="9">
      <t>ハルゴウ</t>
    </rPh>
    <phoneticPr fontId="7"/>
  </si>
  <si>
    <t>JODコーデ特集0606</t>
    <rPh sb="6" eb="8">
      <t>トクシュウ</t>
    </rPh>
    <phoneticPr fontId="7"/>
  </si>
  <si>
    <t>6/4～</t>
    <phoneticPr fontId="7"/>
  </si>
  <si>
    <t>ベルーナ25年春号⑬</t>
    <rPh sb="6" eb="7">
      <t>ネン</t>
    </rPh>
    <rPh sb="7" eb="9">
      <t>ハルゴウ</t>
    </rPh>
    <phoneticPr fontId="7"/>
  </si>
  <si>
    <t>JOD特別版0625</t>
    <rPh sb="3" eb="6">
      <t>トクベツバン</t>
    </rPh>
    <phoneticPr fontId="7"/>
  </si>
  <si>
    <t>6/24～</t>
    <phoneticPr fontId="7"/>
  </si>
  <si>
    <t>ニッセン25初春アトランダム⑤</t>
    <rPh sb="6" eb="8">
      <t>ショシュン</t>
    </rPh>
    <phoneticPr fontId="7"/>
  </si>
  <si>
    <t>点9/1、アバウト・初回9/16、最終発注9/22</t>
    <rPh sb="0" eb="1">
      <t>テン</t>
    </rPh>
    <rPh sb="10" eb="12">
      <t>ショカイ</t>
    </rPh>
    <rPh sb="17" eb="21">
      <t>サイシュウハッチュウ</t>
    </rPh>
    <phoneticPr fontId="7"/>
  </si>
  <si>
    <t>JOD87</t>
    <phoneticPr fontId="7"/>
  </si>
  <si>
    <t>　パルくらす9月4回（不透明袋）</t>
    <rPh sb="7" eb="8">
      <t>ガツ</t>
    </rPh>
    <rPh sb="9" eb="10">
      <t>カイ</t>
    </rPh>
    <rPh sb="11" eb="15">
      <t>フトウメイフクロ</t>
    </rPh>
    <phoneticPr fontId="7"/>
  </si>
  <si>
    <t>　パルくらす9月4回￥3600差分予測</t>
    <rPh sb="7" eb="8">
      <t>ガツ</t>
    </rPh>
    <rPh sb="9" eb="10">
      <t>カイ</t>
    </rPh>
    <rPh sb="15" eb="17">
      <t>サブン</t>
    </rPh>
    <rPh sb="17" eb="19">
      <t>ヨソク</t>
    </rPh>
    <phoneticPr fontId="7"/>
  </si>
  <si>
    <t>K-PORT</t>
    <phoneticPr fontId="7"/>
  </si>
  <si>
    <t>JOD88</t>
    <phoneticPr fontId="7"/>
  </si>
  <si>
    <t>JOD89</t>
    <phoneticPr fontId="7"/>
  </si>
  <si>
    <t>東北サンネット9月1回（不透明袋）オバタ</t>
    <rPh sb="0" eb="2">
      <t>トウホク</t>
    </rPh>
    <rPh sb="8" eb="9">
      <t>ガツ</t>
    </rPh>
    <rPh sb="10" eb="11">
      <t>カイ</t>
    </rPh>
    <rPh sb="12" eb="16">
      <t>フトウメイフクロ</t>
    </rPh>
    <phoneticPr fontId="7"/>
  </si>
  <si>
    <t>8/27～9/1</t>
    <phoneticPr fontId="7"/>
  </si>
  <si>
    <t>JOD90</t>
  </si>
  <si>
    <t>JOD91</t>
  </si>
  <si>
    <t>JOD92</t>
  </si>
  <si>
    <t>JOD93</t>
  </si>
  <si>
    <t>西夢</t>
    <rPh sb="0" eb="2">
      <t>ニシユメ</t>
    </rPh>
    <phoneticPr fontId="7"/>
  </si>
  <si>
    <t>JOD94</t>
    <phoneticPr fontId="7"/>
  </si>
  <si>
    <t>JOD95</t>
    <phoneticPr fontId="7"/>
  </si>
  <si>
    <t>JOD96</t>
  </si>
  <si>
    <t>JOD97</t>
    <phoneticPr fontId="7"/>
  </si>
  <si>
    <t>JOD特別版0803</t>
    <rPh sb="3" eb="6">
      <t>トクベツバン</t>
    </rPh>
    <phoneticPr fontId="7"/>
  </si>
  <si>
    <t>8/2～</t>
    <phoneticPr fontId="7"/>
  </si>
  <si>
    <t>JOD98</t>
  </si>
  <si>
    <t>JOD99</t>
  </si>
  <si>
    <t>JOD100</t>
  </si>
  <si>
    <t>JOD101</t>
    <phoneticPr fontId="7"/>
  </si>
  <si>
    <t>JOD102</t>
    <phoneticPr fontId="7"/>
  </si>
  <si>
    <t>JOD103</t>
  </si>
  <si>
    <t>JOD104</t>
  </si>
  <si>
    <t>JOD105</t>
  </si>
  <si>
    <t>2Pへ</t>
    <phoneticPr fontId="7"/>
  </si>
  <si>
    <t>追加</t>
    <rPh sb="0" eb="2">
      <t>ツイカ</t>
    </rPh>
    <phoneticPr fontId="7"/>
  </si>
  <si>
    <t>JOD106</t>
    <phoneticPr fontId="7"/>
  </si>
  <si>
    <t>JOD107</t>
    <phoneticPr fontId="7"/>
  </si>
  <si>
    <t>JOD108</t>
    <phoneticPr fontId="7"/>
  </si>
  <si>
    <t>JOD109</t>
  </si>
  <si>
    <t>JOD110</t>
    <phoneticPr fontId="7"/>
  </si>
  <si>
    <t>東北サンネット10月5回（不透明袋）オバタ</t>
    <rPh sb="0" eb="2">
      <t>トウホク</t>
    </rPh>
    <rPh sb="9" eb="10">
      <t>ガツ</t>
    </rPh>
    <rPh sb="11" eb="12">
      <t>カイ</t>
    </rPh>
    <rPh sb="13" eb="17">
      <t>フトウメイフクロ</t>
    </rPh>
    <phoneticPr fontId="7"/>
  </si>
  <si>
    <t>JOD111</t>
  </si>
  <si>
    <t>JOD112</t>
  </si>
  <si>
    <t>JOD113</t>
  </si>
  <si>
    <t>←ここまで式確認2025/7/17</t>
    <rPh sb="5" eb="8">
      <t>シキカクニン</t>
    </rPh>
    <phoneticPr fontId="7"/>
  </si>
  <si>
    <t>JOD114</t>
  </si>
  <si>
    <t>ベルーナ返品</t>
    <rPh sb="4" eb="6">
      <t>ヘンピン</t>
    </rPh>
    <phoneticPr fontId="2"/>
  </si>
  <si>
    <t>JOD115</t>
  </si>
  <si>
    <t>10/22～27</t>
    <phoneticPr fontId="7"/>
  </si>
  <si>
    <t>JOD116</t>
  </si>
  <si>
    <t>JOD117</t>
  </si>
  <si>
    <t>JOD118</t>
  </si>
  <si>
    <t>JOD119</t>
  </si>
  <si>
    <t>JOD120</t>
  </si>
  <si>
    <t>JOD121</t>
    <phoneticPr fontId="7"/>
  </si>
  <si>
    <t>JOD122</t>
    <phoneticPr fontId="7"/>
  </si>
  <si>
    <t>JOD123</t>
  </si>
  <si>
    <t>JODアクセス7012</t>
    <phoneticPr fontId="7"/>
  </si>
  <si>
    <t>ディノス25年冬号差分予測</t>
    <rPh sb="6" eb="7">
      <t>ネン</t>
    </rPh>
    <rPh sb="7" eb="9">
      <t>フユゴウ</t>
    </rPh>
    <rPh sb="9" eb="13">
      <t>サブンヨソク</t>
    </rPh>
    <phoneticPr fontId="7"/>
  </si>
  <si>
    <t>東北サンネット10月5回（不透明袋）オバタ差分予測</t>
    <rPh sb="0" eb="2">
      <t>トウホク</t>
    </rPh>
    <rPh sb="9" eb="10">
      <t>ガツ</t>
    </rPh>
    <rPh sb="11" eb="12">
      <t>カイ</t>
    </rPh>
    <rPh sb="13" eb="17">
      <t>フトウメイフクロ</t>
    </rPh>
    <rPh sb="21" eb="25">
      <t>サブンヨソク</t>
    </rPh>
    <phoneticPr fontId="7"/>
  </si>
  <si>
    <t>JOD124</t>
    <phoneticPr fontId="7"/>
  </si>
  <si>
    <t>東北サンネット10月5回（不透明袋）オバタ①</t>
    <rPh sb="0" eb="2">
      <t>トウホク</t>
    </rPh>
    <rPh sb="9" eb="10">
      <t>ガツ</t>
    </rPh>
    <rPh sb="11" eb="12">
      <t>カイ</t>
    </rPh>
    <rPh sb="13" eb="17">
      <t>フトウメイフクロ</t>
    </rPh>
    <phoneticPr fontId="7"/>
  </si>
  <si>
    <t>JOD125</t>
    <phoneticPr fontId="7"/>
  </si>
  <si>
    <t>JOD126</t>
    <phoneticPr fontId="7"/>
  </si>
  <si>
    <t>JOD127</t>
    <phoneticPr fontId="7"/>
  </si>
  <si>
    <t>JOD128</t>
  </si>
  <si>
    <t>JOD129</t>
    <phoneticPr fontId="7"/>
  </si>
  <si>
    <t>ネット</t>
    <phoneticPr fontId="7"/>
  </si>
  <si>
    <t>追加</t>
    <rPh sb="0" eb="2">
      <t>ツイカ</t>
    </rPh>
    <phoneticPr fontId="7"/>
  </si>
  <si>
    <t>ディノス25年冬号①</t>
    <rPh sb="6" eb="7">
      <t>ネン</t>
    </rPh>
    <rPh sb="7" eb="9">
      <t>フユゴウ</t>
    </rPh>
    <phoneticPr fontId="7"/>
  </si>
  <si>
    <t>JOD130</t>
    <phoneticPr fontId="7"/>
  </si>
  <si>
    <t>　パルくらす9月4回（不透明袋）①</t>
    <rPh sb="7" eb="8">
      <t>ガツ</t>
    </rPh>
    <rPh sb="9" eb="10">
      <t>カイ</t>
    </rPh>
    <rPh sb="11" eb="15">
      <t>フトウメイフクロ</t>
    </rPh>
    <phoneticPr fontId="7"/>
  </si>
  <si>
    <t>JOD131</t>
    <phoneticPr fontId="7"/>
  </si>
  <si>
    <t>JOD132</t>
  </si>
  <si>
    <t>JOD返品</t>
    <rPh sb="3" eb="5">
      <t>ヘンピン</t>
    </rPh>
    <phoneticPr fontId="7"/>
  </si>
  <si>
    <t>JOD133</t>
    <phoneticPr fontId="7"/>
  </si>
  <si>
    <t>　パルくらす9月4回（不透明袋）②</t>
    <rPh sb="7" eb="8">
      <t>ガツ</t>
    </rPh>
    <rPh sb="9" eb="10">
      <t>カイ</t>
    </rPh>
    <rPh sb="11" eb="15">
      <t>フトウメイフクロ</t>
    </rPh>
    <phoneticPr fontId="7"/>
  </si>
  <si>
    <t>JOD134</t>
  </si>
  <si>
    <t>　パルくらす9月4回（不透明袋）③</t>
    <rPh sb="7" eb="8">
      <t>ガツ</t>
    </rPh>
    <rPh sb="9" eb="10">
      <t>カイ</t>
    </rPh>
    <rPh sb="11" eb="15">
      <t>フトウメイフクロ</t>
    </rPh>
    <phoneticPr fontId="7"/>
  </si>
  <si>
    <t>JODエレソア1020</t>
    <phoneticPr fontId="7"/>
  </si>
  <si>
    <t>10/18～</t>
    <phoneticPr fontId="7"/>
  </si>
  <si>
    <t>JOD135</t>
  </si>
  <si>
    <t>JOD136</t>
    <phoneticPr fontId="7"/>
  </si>
  <si>
    <t>JOD137</t>
    <phoneticPr fontId="7"/>
  </si>
  <si>
    <t>JOD138</t>
    <phoneticPr fontId="7"/>
  </si>
  <si>
    <t>夢販</t>
    <rPh sb="0" eb="2">
      <t>ユメハン</t>
    </rPh>
    <phoneticPr fontId="7"/>
  </si>
  <si>
    <t>JOD139</t>
  </si>
  <si>
    <t>JOD140</t>
  </si>
  <si>
    <t>JOD141</t>
  </si>
  <si>
    <t>JOD142</t>
    <phoneticPr fontId="7"/>
  </si>
  <si>
    <t>JOD143</t>
  </si>
  <si>
    <t>JOD144</t>
  </si>
  <si>
    <t>JOD145</t>
  </si>
  <si>
    <t>JOD146</t>
  </si>
  <si>
    <t>ディノス25年冬号②</t>
    <rPh sb="6" eb="7">
      <t>ネン</t>
    </rPh>
    <rPh sb="7" eb="9">
      <t>フユゴウ</t>
    </rPh>
    <phoneticPr fontId="7"/>
  </si>
  <si>
    <t>JOD147</t>
  </si>
  <si>
    <t>JOD148</t>
  </si>
  <si>
    <t>JOD149</t>
  </si>
  <si>
    <t>JOD150</t>
  </si>
  <si>
    <t>くらし返品</t>
    <rPh sb="3" eb="5">
      <t>ヘンピン</t>
    </rPh>
    <phoneticPr fontId="2"/>
  </si>
  <si>
    <t>JOD151</t>
  </si>
  <si>
    <t>オバタ返品</t>
    <rPh sb="3" eb="5">
      <t>ヘンピン</t>
    </rPh>
    <phoneticPr fontId="7"/>
  </si>
  <si>
    <t>JOD152</t>
    <phoneticPr fontId="7"/>
  </si>
  <si>
    <t>JOD153</t>
    <phoneticPr fontId="7"/>
  </si>
  <si>
    <t>JOD特別版1225</t>
    <rPh sb="3" eb="6">
      <t>トクベツバン</t>
    </rPh>
    <phoneticPr fontId="7"/>
  </si>
  <si>
    <t>10/7～3/31</t>
    <phoneticPr fontId="7"/>
  </si>
  <si>
    <t>JOD154</t>
    <phoneticPr fontId="7"/>
  </si>
  <si>
    <t>ディノス25年冬号③</t>
    <rPh sb="6" eb="7">
      <t>ネン</t>
    </rPh>
    <rPh sb="7" eb="9">
      <t>フユゴウ</t>
    </rPh>
    <phoneticPr fontId="7"/>
  </si>
  <si>
    <t>ディノス25年冬号④</t>
    <rPh sb="6" eb="7">
      <t>ネン</t>
    </rPh>
    <rPh sb="7" eb="9">
      <t>フユゴウ</t>
    </rPh>
    <phoneticPr fontId="7"/>
  </si>
  <si>
    <t>JOD155</t>
  </si>
  <si>
    <t>JOD156</t>
  </si>
  <si>
    <t>JOD157</t>
  </si>
  <si>
    <t>JOD158</t>
  </si>
  <si>
    <t>夢販</t>
    <rPh sb="0" eb="2">
      <t>ユメハン</t>
    </rPh>
    <phoneticPr fontId="7"/>
  </si>
  <si>
    <t>JOD159</t>
  </si>
  <si>
    <t>ニッセン⑥</t>
    <phoneticPr fontId="7"/>
  </si>
  <si>
    <t>JOD特別号9553</t>
    <rPh sb="3" eb="5">
      <t>トクベツ</t>
    </rPh>
    <rPh sb="5" eb="6">
      <t>ゴウ</t>
    </rPh>
    <phoneticPr fontId="7"/>
  </si>
  <si>
    <t>1/29～</t>
    <phoneticPr fontId="7"/>
  </si>
  <si>
    <t>JOD160</t>
  </si>
  <si>
    <t>JOD161</t>
  </si>
  <si>
    <t>JOD162</t>
  </si>
  <si>
    <t>夢販</t>
    <rPh sb="0" eb="2">
      <t>y</t>
    </rPh>
    <phoneticPr fontId="7"/>
  </si>
  <si>
    <t>JOD163</t>
  </si>
  <si>
    <t>JOD164</t>
  </si>
  <si>
    <t>ディノス25年冬号⑤</t>
    <rPh sb="6" eb="7">
      <t>ネン</t>
    </rPh>
    <rPh sb="7" eb="9">
      <t>フユゴウ</t>
    </rPh>
    <phoneticPr fontId="7"/>
  </si>
  <si>
    <t>JOD165</t>
    <phoneticPr fontId="7"/>
  </si>
  <si>
    <t>JOD166</t>
  </si>
  <si>
    <t>JOD167</t>
  </si>
  <si>
    <t>JOD168</t>
  </si>
  <si>
    <t>JOD169</t>
  </si>
  <si>
    <t>JOD170</t>
    <phoneticPr fontId="7"/>
  </si>
  <si>
    <t>JOD171</t>
    <phoneticPr fontId="7"/>
  </si>
  <si>
    <t>JOD172</t>
  </si>
  <si>
    <t>ニッセン⑦</t>
    <phoneticPr fontId="7"/>
  </si>
  <si>
    <t>JOD173</t>
    <phoneticPr fontId="7"/>
  </si>
  <si>
    <t>JOD174</t>
  </si>
  <si>
    <t>JOD175</t>
  </si>
  <si>
    <t>JOD176</t>
  </si>
  <si>
    <t>JOD177</t>
  </si>
  <si>
    <t>JOD178</t>
  </si>
  <si>
    <t>JOD179</t>
  </si>
  <si>
    <t>JOD180</t>
  </si>
  <si>
    <t>JOD181</t>
  </si>
  <si>
    <t>JOD182</t>
    <phoneticPr fontId="7"/>
  </si>
  <si>
    <t>JOD183</t>
    <phoneticPr fontId="7"/>
  </si>
  <si>
    <t>JOD184</t>
  </si>
  <si>
    <t>JOD185</t>
    <phoneticPr fontId="7"/>
  </si>
  <si>
    <t>JOD186</t>
  </si>
  <si>
    <t>JOD187</t>
  </si>
  <si>
    <t>JOD188</t>
  </si>
  <si>
    <t>ゆめはん</t>
    <phoneticPr fontId="7"/>
  </si>
  <si>
    <t>JOD189</t>
  </si>
  <si>
    <t>←ここまで確認2026/2/25</t>
    <rPh sb="5" eb="7">
      <t>カクニン</t>
    </rPh>
    <phoneticPr fontId="7"/>
  </si>
  <si>
    <t>JOD190</t>
  </si>
  <si>
    <t>JOD191</t>
  </si>
  <si>
    <t>JOD192</t>
  </si>
  <si>
    <t>JOD193</t>
  </si>
  <si>
    <t>JOD返品</t>
    <rPh sb="3" eb="5">
      <t>ヘンピン</t>
    </rPh>
    <phoneticPr fontId="7"/>
  </si>
  <si>
    <t>JOD194</t>
    <phoneticPr fontId="7"/>
  </si>
  <si>
    <t>JOD195</t>
  </si>
  <si>
    <t>JOD196</t>
  </si>
  <si>
    <t>JOD197</t>
  </si>
  <si>
    <t>ディノス返品</t>
    <rPh sb="4" eb="6">
      <t>ヘンピン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</si>
</sst>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4">
    <xf numFmtId="0" fontId="0" fillId="0" borderId="0" xfId="0">
      <alignment vertical="center"/>
    </xf>
    <xf numFmtId="0" fontId="1" fillId="0" borderId="0" xfId="1"/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1" fillId="0" borderId="0" xfId="0" applyFont="1">
      <alignment vertical="center"/>
    </xf>
    <xf numFmtId="56" fontId="10" fillId="0" borderId="0" xfId="0" applyNumberFormat="1" applyFont="1">
      <alignment vertical="center"/>
    </xf>
    <xf numFmtId="0" fontId="1" fillId="0" borderId="2" xfId="1" applyBorder="1"/>
    <xf numFmtId="0" fontId="1" fillId="0" borderId="4" xfId="1" applyBorder="1" applyAlignment="1">
      <alignment horizontal="center" vertical="center" shrinkToFit="1"/>
    </xf>
    <xf numFmtId="0" fontId="1" fillId="0" borderId="2" xfId="1" applyBorder="1" applyAlignment="1">
      <alignment horizontal="center" vertical="center" shrinkToFit="1"/>
    </xf>
    <xf numFmtId="0" fontId="8" fillId="0" borderId="6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5" fillId="0" borderId="0" xfId="1" applyFont="1"/>
    <xf numFmtId="0" fontId="1" fillId="2" borderId="2" xfId="1" applyFill="1" applyBorder="1"/>
    <xf numFmtId="0" fontId="1" fillId="2" borderId="1" xfId="1" applyFill="1" applyBorder="1"/>
    <xf numFmtId="0" fontId="1" fillId="2" borderId="3" xfId="1" applyFill="1" applyBorder="1"/>
    <xf numFmtId="0" fontId="5" fillId="2" borderId="1" xfId="1" applyFont="1" applyFill="1" applyBorder="1"/>
    <xf numFmtId="0" fontId="1" fillId="2" borderId="4" xfId="1" applyFill="1" applyBorder="1"/>
    <xf numFmtId="56" fontId="1" fillId="0" borderId="0" xfId="1" applyNumberFormat="1"/>
    <xf numFmtId="0" fontId="3" fillId="0" borderId="6" xfId="1" applyFont="1" applyBorder="1" applyAlignment="1">
      <alignment horizontal="center" vertical="center"/>
    </xf>
    <xf numFmtId="56" fontId="11" fillId="0" borderId="0" xfId="0" applyNumberFormat="1" applyFont="1">
      <alignment vertical="center"/>
    </xf>
    <xf numFmtId="0" fontId="1" fillId="0" borderId="4" xfId="1" applyBorder="1"/>
    <xf numFmtId="0" fontId="1" fillId="0" borderId="3" xfId="1" applyBorder="1"/>
    <xf numFmtId="0" fontId="1" fillId="0" borderId="3" xfId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5" fillId="2" borderId="7" xfId="1" applyFont="1" applyFill="1" applyBorder="1"/>
    <xf numFmtId="0" fontId="1" fillId="2" borderId="7" xfId="1" applyFill="1" applyBorder="1"/>
    <xf numFmtId="0" fontId="9" fillId="2" borderId="1" xfId="1" applyFont="1" applyFill="1" applyBorder="1"/>
    <xf numFmtId="0" fontId="9" fillId="0" borderId="4" xfId="1" applyFont="1" applyBorder="1"/>
    <xf numFmtId="0" fontId="9" fillId="2" borderId="4" xfId="1" applyFont="1" applyFill="1" applyBorder="1"/>
    <xf numFmtId="0" fontId="4" fillId="3" borderId="0" xfId="1" applyFont="1" applyFill="1"/>
    <xf numFmtId="0" fontId="1" fillId="3" borderId="0" xfId="1" applyFill="1"/>
    <xf numFmtId="0" fontId="4" fillId="4" borderId="0" xfId="1" applyFont="1" applyFill="1"/>
    <xf numFmtId="0" fontId="1" fillId="4" borderId="0" xfId="1" applyFill="1"/>
    <xf numFmtId="0" fontId="0" fillId="4" borderId="0" xfId="0" applyFill="1">
      <alignment vertical="center"/>
    </xf>
    <xf numFmtId="0" fontId="9" fillId="0" borderId="0" xfId="1" applyFont="1"/>
    <xf numFmtId="0" fontId="9" fillId="0" borderId="2" xfId="1" applyFont="1" applyBorder="1"/>
    <xf numFmtId="0" fontId="9" fillId="2" borderId="2" xfId="1" applyFont="1" applyFill="1" applyBorder="1"/>
    <xf numFmtId="0" fontId="9" fillId="2" borderId="7" xfId="1" applyFont="1" applyFill="1" applyBorder="1"/>
    <xf numFmtId="56" fontId="0" fillId="0" borderId="0" xfId="0" applyNumberFormat="1">
      <alignment vertical="center"/>
    </xf>
    <xf numFmtId="0" fontId="3" fillId="0" borderId="2" xfId="1" applyFont="1" applyBorder="1"/>
    <xf numFmtId="0" fontId="3" fillId="2" borderId="2" xfId="1" applyFont="1" applyFill="1" applyBorder="1"/>
    <xf numFmtId="0" fontId="12" fillId="0" borderId="0" xfId="0" applyFont="1">
      <alignment vertical="center"/>
    </xf>
    <xf numFmtId="56" fontId="12" fillId="0" borderId="0" xfId="0" applyNumberFormat="1" applyFont="1">
      <alignment vertical="center"/>
    </xf>
    <xf numFmtId="0" fontId="4" fillId="5" borderId="0" xfId="1" applyFont="1" applyFill="1"/>
    <xf numFmtId="0" fontId="1" fillId="5" borderId="0" xfId="1" applyFill="1"/>
    <xf numFmtId="0" fontId="0" fillId="5" borderId="0" xfId="0" applyFill="1">
      <alignment vertical="center"/>
    </xf>
    <xf numFmtId="0" fontId="3" fillId="0" borderId="2" xfId="1" applyFont="1" applyBorder="1" applyAlignment="1">
      <alignment horizontal="center" vertical="center" shrinkToFit="1"/>
    </xf>
    <xf numFmtId="10" fontId="0" fillId="0" borderId="0" xfId="0" applyNumberFormat="1">
      <alignment vertical="center"/>
    </xf>
    <xf numFmtId="0" fontId="3" fillId="0" borderId="4" xfId="1" applyFont="1" applyBorder="1" applyAlignment="1">
      <alignment horizontal="center" vertical="center"/>
    </xf>
    <xf numFmtId="0" fontId="13" fillId="0" borderId="2" xfId="1" applyFont="1" applyBorder="1"/>
    <xf numFmtId="0" fontId="13" fillId="2" borderId="2" xfId="1" applyFont="1" applyFill="1" applyBorder="1"/>
    <xf numFmtId="56" fontId="14" fillId="0" borderId="0" xfId="0" applyNumberFormat="1" applyFont="1">
      <alignment vertical="center"/>
    </xf>
    <xf numFmtId="0" fontId="15" fillId="0" borderId="2" xfId="1" applyFont="1" applyBorder="1" applyAlignment="1">
      <alignment horizontal="center" vertical="center"/>
    </xf>
    <xf numFmtId="0" fontId="16" fillId="0" borderId="4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 shrinkToFit="1"/>
    </xf>
    <xf numFmtId="0" fontId="14" fillId="0" borderId="0" xfId="0" applyFont="1">
      <alignment vertical="center"/>
    </xf>
    <xf numFmtId="0" fontId="13" fillId="0" borderId="4" xfId="1" applyFont="1" applyBorder="1" applyAlignment="1">
      <alignment horizontal="center" vertical="center" shrinkToFit="1"/>
    </xf>
    <xf numFmtId="0" fontId="10" fillId="0" borderId="0" xfId="0" applyFont="1">
      <alignment vertical="center"/>
    </xf>
    <xf numFmtId="0" fontId="17" fillId="0" borderId="0" xfId="0" applyFont="1">
      <alignment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6"/>
  <sheetViews>
    <sheetView tabSelected="1" topLeftCell="A394" zoomScale="106" zoomScaleNormal="106" workbookViewId="0">
      <selection activeCell="A409" sqref="A409"/>
    </sheetView>
  </sheetViews>
  <sheetFormatPr defaultRowHeight="13.5" x14ac:dyDescent="0.15"/>
  <cols>
    <col min="1" max="1" width="31.875" customWidth="1"/>
    <col min="2" max="5" width="10.75" customWidth="1"/>
    <col min="6" max="6" width="4.5" customWidth="1"/>
    <col min="7" max="7" width="41.5" customWidth="1"/>
    <col min="8" max="10" width="10.25" customWidth="1"/>
    <col min="11" max="11" width="9.25" bestFit="1" customWidth="1"/>
    <col min="13" max="13" width="26.625" customWidth="1"/>
    <col min="14" max="16" width="10.25" customWidth="1"/>
    <col min="17" max="17" width="9.25" bestFit="1" customWidth="1"/>
  </cols>
  <sheetData>
    <row r="1" spans="1:12" ht="18.75" x14ac:dyDescent="0.2">
      <c r="A1" s="34" t="s">
        <v>7</v>
      </c>
      <c r="B1" s="35"/>
      <c r="C1" s="35"/>
      <c r="D1" s="35"/>
      <c r="E1" s="35"/>
      <c r="F1" s="1"/>
      <c r="G1" s="36" t="s">
        <v>8</v>
      </c>
      <c r="H1" s="37"/>
      <c r="I1" s="37"/>
      <c r="J1" s="37"/>
      <c r="K1" s="38"/>
    </row>
    <row r="2" spans="1:12" ht="14.25" thickBot="1" x14ac:dyDescent="0.2">
      <c r="A2" s="1"/>
      <c r="B2" s="1"/>
      <c r="C2" s="1"/>
      <c r="D2" s="1"/>
      <c r="E2" s="1"/>
      <c r="F2" s="1"/>
      <c r="G2" s="1"/>
      <c r="H2" s="1"/>
      <c r="I2" s="1"/>
      <c r="J2" s="1"/>
    </row>
    <row r="3" spans="1:12" ht="14.25" thickBot="1" x14ac:dyDescent="0.2">
      <c r="A3" s="2"/>
      <c r="B3" s="2" t="s">
        <v>6</v>
      </c>
      <c r="C3" s="2" t="s">
        <v>9</v>
      </c>
      <c r="D3" s="2" t="s">
        <v>0</v>
      </c>
      <c r="E3" s="15"/>
      <c r="F3" s="15"/>
      <c r="G3" s="2"/>
      <c r="H3" s="2" t="s">
        <v>6</v>
      </c>
      <c r="I3" s="2" t="s">
        <v>9</v>
      </c>
      <c r="J3" s="2" t="s">
        <v>0</v>
      </c>
    </row>
    <row r="4" spans="1:12" x14ac:dyDescent="0.15">
      <c r="A4" s="23" t="s">
        <v>5</v>
      </c>
      <c r="B4" s="25">
        <v>5</v>
      </c>
      <c r="C4" s="25">
        <v>5</v>
      </c>
      <c r="D4" s="21">
        <f>B4+C4</f>
        <v>10</v>
      </c>
      <c r="E4" s="22">
        <v>45514</v>
      </c>
      <c r="F4" s="22"/>
      <c r="G4" s="23" t="s">
        <v>10</v>
      </c>
      <c r="H4" s="25">
        <v>210</v>
      </c>
      <c r="I4" s="25">
        <v>210</v>
      </c>
      <c r="J4" s="21">
        <f>H4+I4</f>
        <v>420</v>
      </c>
      <c r="K4" s="24" t="s">
        <v>27</v>
      </c>
    </row>
    <row r="5" spans="1:12" x14ac:dyDescent="0.15">
      <c r="A5" s="3" t="s">
        <v>1</v>
      </c>
      <c r="B5" s="11">
        <v>5</v>
      </c>
      <c r="C5" s="11">
        <v>5</v>
      </c>
      <c r="D5" s="17">
        <f t="shared" ref="D5:D36" si="0">B5+C5</f>
        <v>10</v>
      </c>
      <c r="E5" s="22">
        <v>45526</v>
      </c>
      <c r="F5" s="22"/>
      <c r="G5" s="3" t="s">
        <v>1</v>
      </c>
      <c r="H5" s="11"/>
      <c r="I5" s="11"/>
      <c r="J5" s="17">
        <f t="shared" ref="J5:J34" si="1">H5+I5</f>
        <v>0</v>
      </c>
      <c r="K5" s="9"/>
    </row>
    <row r="6" spans="1:12" x14ac:dyDescent="0.15">
      <c r="A6" s="3" t="s">
        <v>35</v>
      </c>
      <c r="B6" s="11">
        <v>0</v>
      </c>
      <c r="C6" s="11">
        <v>0</v>
      </c>
      <c r="D6" s="17">
        <f t="shared" si="0"/>
        <v>0</v>
      </c>
      <c r="E6" s="22">
        <v>45526</v>
      </c>
      <c r="F6" s="22"/>
      <c r="G6" s="3" t="s">
        <v>1</v>
      </c>
      <c r="H6" s="11"/>
      <c r="I6" s="11"/>
      <c r="J6" s="17">
        <f t="shared" si="1"/>
        <v>0</v>
      </c>
      <c r="K6" s="9"/>
    </row>
    <row r="7" spans="1:12" x14ac:dyDescent="0.15">
      <c r="A7" s="3" t="s">
        <v>1</v>
      </c>
      <c r="B7" s="11">
        <v>5</v>
      </c>
      <c r="C7" s="11"/>
      <c r="D7" s="17">
        <f t="shared" si="0"/>
        <v>5</v>
      </c>
      <c r="E7" s="22">
        <v>45560</v>
      </c>
      <c r="F7" s="22"/>
      <c r="G7" s="3" t="s">
        <v>1</v>
      </c>
      <c r="H7" s="11"/>
      <c r="I7" s="11"/>
      <c r="J7" s="17">
        <f t="shared" si="1"/>
        <v>0</v>
      </c>
      <c r="K7" s="24"/>
    </row>
    <row r="8" spans="1:12" x14ac:dyDescent="0.15">
      <c r="A8" s="3" t="s">
        <v>56</v>
      </c>
      <c r="B8" s="11">
        <v>1</v>
      </c>
      <c r="C8" s="11"/>
      <c r="D8" s="17">
        <f t="shared" si="0"/>
        <v>1</v>
      </c>
      <c r="E8" s="22">
        <v>45562</v>
      </c>
      <c r="F8" s="22"/>
      <c r="G8" s="3" t="s">
        <v>1</v>
      </c>
      <c r="H8" s="11"/>
      <c r="I8" s="11"/>
      <c r="J8" s="17">
        <f t="shared" si="1"/>
        <v>0</v>
      </c>
      <c r="K8" s="9"/>
    </row>
    <row r="9" spans="1:12" ht="14.25" thickBot="1" x14ac:dyDescent="0.2">
      <c r="A9" s="4" t="s">
        <v>1</v>
      </c>
      <c r="B9" s="26"/>
      <c r="C9" s="26">
        <v>5</v>
      </c>
      <c r="D9" s="19">
        <f t="shared" si="0"/>
        <v>5</v>
      </c>
      <c r="E9" s="22">
        <v>45566</v>
      </c>
      <c r="F9" s="22"/>
      <c r="G9" s="4" t="s">
        <v>1</v>
      </c>
      <c r="H9" s="26"/>
      <c r="I9" s="26"/>
      <c r="J9" s="19">
        <f t="shared" si="1"/>
        <v>0</v>
      </c>
      <c r="K9" s="9"/>
    </row>
    <row r="10" spans="1:12" ht="14.25" thickBot="1" x14ac:dyDescent="0.2">
      <c r="A10" s="8" t="s">
        <v>2</v>
      </c>
      <c r="B10" s="20">
        <f>SUM(B4:B9)</f>
        <v>16</v>
      </c>
      <c r="C10" s="20">
        <f>SUM(C4:C9)</f>
        <v>15</v>
      </c>
      <c r="D10" s="31">
        <f t="shared" si="0"/>
        <v>31</v>
      </c>
      <c r="E10" s="39"/>
      <c r="F10" s="16"/>
      <c r="G10" s="8" t="s">
        <v>2</v>
      </c>
      <c r="H10" s="20">
        <f>SUM(H4:H9)</f>
        <v>210</v>
      </c>
      <c r="I10" s="20">
        <f t="shared" ref="I10:J10" si="2">SUM(I4:I9)</f>
        <v>210</v>
      </c>
      <c r="J10" s="31">
        <f t="shared" si="2"/>
        <v>420</v>
      </c>
    </row>
    <row r="11" spans="1:12" x14ac:dyDescent="0.15">
      <c r="A11" s="5" t="s">
        <v>26</v>
      </c>
      <c r="B11" s="25">
        <v>1</v>
      </c>
      <c r="C11" s="25"/>
      <c r="D11" s="21">
        <f t="shared" si="0"/>
        <v>1</v>
      </c>
      <c r="E11" s="22">
        <v>45523</v>
      </c>
      <c r="F11" s="22"/>
      <c r="G11" s="5" t="s">
        <v>25</v>
      </c>
      <c r="H11" s="25">
        <v>5</v>
      </c>
      <c r="I11" s="25">
        <v>5</v>
      </c>
      <c r="J11" s="21">
        <f t="shared" si="1"/>
        <v>10</v>
      </c>
      <c r="K11" s="24">
        <v>45514</v>
      </c>
      <c r="L11" s="9"/>
    </row>
    <row r="12" spans="1:12" x14ac:dyDescent="0.15">
      <c r="A12" s="12" t="s">
        <v>30</v>
      </c>
      <c r="B12" s="11"/>
      <c r="C12" s="11">
        <v>1</v>
      </c>
      <c r="D12" s="17">
        <f t="shared" si="0"/>
        <v>1</v>
      </c>
      <c r="E12" s="22">
        <v>45524</v>
      </c>
      <c r="F12" s="22"/>
      <c r="G12" s="5" t="s">
        <v>28</v>
      </c>
      <c r="H12" s="11">
        <v>8</v>
      </c>
      <c r="I12" s="11">
        <v>9</v>
      </c>
      <c r="J12" s="17">
        <f t="shared" si="1"/>
        <v>17</v>
      </c>
      <c r="K12" s="24">
        <v>45525</v>
      </c>
      <c r="L12" s="9"/>
    </row>
    <row r="13" spans="1:12" x14ac:dyDescent="0.15">
      <c r="A13" s="5" t="s">
        <v>32</v>
      </c>
      <c r="B13" s="11">
        <v>1</v>
      </c>
      <c r="C13" s="11"/>
      <c r="D13" s="17">
        <f t="shared" si="0"/>
        <v>1</v>
      </c>
      <c r="E13" s="22">
        <v>45527</v>
      </c>
      <c r="F13" s="22"/>
      <c r="G13" s="5" t="s">
        <v>29</v>
      </c>
      <c r="H13" s="11">
        <v>3</v>
      </c>
      <c r="I13" s="11">
        <v>1</v>
      </c>
      <c r="J13" s="17">
        <f t="shared" si="1"/>
        <v>4</v>
      </c>
      <c r="K13" s="24">
        <v>45526</v>
      </c>
      <c r="L13" s="9"/>
    </row>
    <row r="14" spans="1:12" x14ac:dyDescent="0.15">
      <c r="A14" s="12" t="s">
        <v>36</v>
      </c>
      <c r="B14" s="11"/>
      <c r="C14" s="11">
        <v>1</v>
      </c>
      <c r="D14" s="17">
        <f t="shared" si="0"/>
        <v>1</v>
      </c>
      <c r="E14" s="22">
        <v>45530</v>
      </c>
      <c r="F14" s="22"/>
      <c r="G14" s="5" t="s">
        <v>25</v>
      </c>
      <c r="H14" s="11">
        <v>5</v>
      </c>
      <c r="I14" s="11">
        <v>5</v>
      </c>
      <c r="J14" s="17">
        <f t="shared" si="1"/>
        <v>10</v>
      </c>
      <c r="K14" s="24">
        <v>45526</v>
      </c>
      <c r="L14" s="9"/>
    </row>
    <row r="15" spans="1:12" x14ac:dyDescent="0.15">
      <c r="A15" s="12" t="s">
        <v>40</v>
      </c>
      <c r="B15" s="11"/>
      <c r="C15" s="11">
        <v>1</v>
      </c>
      <c r="D15" s="17">
        <f t="shared" si="0"/>
        <v>1</v>
      </c>
      <c r="E15" s="22">
        <v>45530</v>
      </c>
      <c r="F15" s="22"/>
      <c r="G15" s="13" t="s">
        <v>34</v>
      </c>
      <c r="H15" s="11">
        <v>2</v>
      </c>
      <c r="I15" s="11">
        <v>1</v>
      </c>
      <c r="J15" s="17">
        <f t="shared" si="1"/>
        <v>3</v>
      </c>
      <c r="K15" s="24">
        <v>45527</v>
      </c>
      <c r="L15" s="9"/>
    </row>
    <row r="16" spans="1:12" x14ac:dyDescent="0.15">
      <c r="A16" s="12" t="s">
        <v>45</v>
      </c>
      <c r="B16" s="11"/>
      <c r="C16" s="11">
        <v>1</v>
      </c>
      <c r="D16" s="17">
        <f t="shared" si="0"/>
        <v>1</v>
      </c>
      <c r="E16" s="22">
        <v>45537</v>
      </c>
      <c r="F16" s="22"/>
      <c r="G16" s="5" t="s">
        <v>37</v>
      </c>
      <c r="H16" s="25">
        <v>30</v>
      </c>
      <c r="I16" s="25">
        <v>14</v>
      </c>
      <c r="J16" s="21">
        <f t="shared" si="1"/>
        <v>44</v>
      </c>
      <c r="K16" s="24">
        <v>45545</v>
      </c>
    </row>
    <row r="17" spans="1:12" x14ac:dyDescent="0.15">
      <c r="A17" s="12" t="s">
        <v>46</v>
      </c>
      <c r="B17" s="11"/>
      <c r="C17" s="11">
        <v>1</v>
      </c>
      <c r="D17" s="17">
        <f t="shared" si="0"/>
        <v>1</v>
      </c>
      <c r="E17" s="22">
        <v>45539</v>
      </c>
      <c r="F17" s="22"/>
      <c r="G17" s="12" t="s">
        <v>34</v>
      </c>
      <c r="H17" s="11"/>
      <c r="I17" s="11">
        <v>4</v>
      </c>
      <c r="J17" s="17">
        <f t="shared" si="1"/>
        <v>4</v>
      </c>
      <c r="K17" s="24">
        <v>45532</v>
      </c>
    </row>
    <row r="18" spans="1:12" x14ac:dyDescent="0.15">
      <c r="A18" s="12" t="s">
        <v>50</v>
      </c>
      <c r="B18" s="11">
        <v>1</v>
      </c>
      <c r="C18" s="11"/>
      <c r="D18" s="17">
        <f t="shared" si="0"/>
        <v>1</v>
      </c>
      <c r="E18" s="22">
        <v>45544</v>
      </c>
      <c r="F18" s="22"/>
      <c r="G18" s="12" t="s">
        <v>42</v>
      </c>
      <c r="H18" s="11"/>
      <c r="I18" s="11">
        <v>2</v>
      </c>
      <c r="J18" s="17">
        <f t="shared" si="1"/>
        <v>2</v>
      </c>
      <c r="K18" s="24">
        <v>45534</v>
      </c>
    </row>
    <row r="19" spans="1:12" x14ac:dyDescent="0.15">
      <c r="A19" s="12" t="s">
        <v>51</v>
      </c>
      <c r="B19" s="11">
        <v>1</v>
      </c>
      <c r="C19" s="11"/>
      <c r="D19" s="17">
        <f t="shared" si="0"/>
        <v>1</v>
      </c>
      <c r="E19" s="22">
        <v>45547</v>
      </c>
      <c r="F19" s="22"/>
      <c r="G19" s="13" t="s">
        <v>43</v>
      </c>
      <c r="H19" s="11">
        <v>10</v>
      </c>
      <c r="I19" s="11">
        <v>10</v>
      </c>
      <c r="J19" s="17">
        <f t="shared" si="1"/>
        <v>20</v>
      </c>
      <c r="K19" s="24">
        <v>45534</v>
      </c>
      <c r="L19" s="9"/>
    </row>
    <row r="20" spans="1:12" x14ac:dyDescent="0.15">
      <c r="A20" s="12" t="s">
        <v>52</v>
      </c>
      <c r="B20" s="11">
        <v>1</v>
      </c>
      <c r="C20" s="11"/>
      <c r="D20" s="17">
        <f t="shared" si="0"/>
        <v>1</v>
      </c>
      <c r="E20" s="22">
        <v>45548</v>
      </c>
      <c r="F20" s="22"/>
      <c r="G20" s="12" t="s">
        <v>44</v>
      </c>
      <c r="H20" s="11">
        <v>2</v>
      </c>
      <c r="I20" s="11">
        <v>1</v>
      </c>
      <c r="J20" s="17">
        <f t="shared" si="1"/>
        <v>3</v>
      </c>
      <c r="K20" s="24">
        <v>45534</v>
      </c>
      <c r="L20" s="9"/>
    </row>
    <row r="21" spans="1:12" x14ac:dyDescent="0.15">
      <c r="A21" s="12" t="s">
        <v>53</v>
      </c>
      <c r="B21" s="11">
        <v>1</v>
      </c>
      <c r="C21" s="11"/>
      <c r="D21" s="17">
        <f t="shared" si="0"/>
        <v>1</v>
      </c>
      <c r="E21" s="22">
        <v>45548</v>
      </c>
      <c r="F21" s="22"/>
      <c r="G21" s="6" t="s">
        <v>47</v>
      </c>
      <c r="H21" s="11">
        <v>12</v>
      </c>
      <c r="I21" s="11">
        <v>12</v>
      </c>
      <c r="J21" s="17">
        <f t="shared" si="1"/>
        <v>24</v>
      </c>
      <c r="K21" s="24">
        <v>45545</v>
      </c>
      <c r="L21" s="9"/>
    </row>
    <row r="22" spans="1:12" x14ac:dyDescent="0.15">
      <c r="A22" s="12" t="s">
        <v>54</v>
      </c>
      <c r="B22" s="11">
        <v>2</v>
      </c>
      <c r="C22" s="11"/>
      <c r="D22" s="17">
        <f t="shared" si="0"/>
        <v>2</v>
      </c>
      <c r="E22" s="22">
        <v>45561</v>
      </c>
      <c r="F22" s="22"/>
      <c r="G22" s="5" t="s">
        <v>25</v>
      </c>
      <c r="H22" s="11">
        <v>5</v>
      </c>
      <c r="I22" s="11"/>
      <c r="J22" s="17">
        <f t="shared" si="1"/>
        <v>5</v>
      </c>
      <c r="K22" s="24">
        <v>45560</v>
      </c>
      <c r="L22" s="9"/>
    </row>
    <row r="23" spans="1:12" x14ac:dyDescent="0.15">
      <c r="A23" s="12" t="s">
        <v>55</v>
      </c>
      <c r="B23" s="11">
        <v>1</v>
      </c>
      <c r="C23" s="11"/>
      <c r="D23" s="17">
        <f t="shared" si="0"/>
        <v>1</v>
      </c>
      <c r="E23" s="22">
        <v>45554</v>
      </c>
      <c r="F23" s="22"/>
      <c r="G23" s="5" t="s">
        <v>25</v>
      </c>
      <c r="H23" s="11"/>
      <c r="I23" s="11">
        <v>5</v>
      </c>
      <c r="J23" s="17">
        <f t="shared" ref="J23:J28" si="3">H23+I23</f>
        <v>5</v>
      </c>
      <c r="K23" s="24">
        <v>45566</v>
      </c>
      <c r="L23" s="9"/>
    </row>
    <row r="24" spans="1:12" x14ac:dyDescent="0.15">
      <c r="A24" s="12" t="s">
        <v>40</v>
      </c>
      <c r="B24" s="11"/>
      <c r="C24" s="11">
        <v>1</v>
      </c>
      <c r="D24" s="17">
        <f t="shared" si="0"/>
        <v>1</v>
      </c>
      <c r="E24" s="22">
        <v>45565</v>
      </c>
      <c r="F24" s="22"/>
      <c r="G24" s="5" t="s">
        <v>25</v>
      </c>
      <c r="H24" s="11">
        <v>5</v>
      </c>
      <c r="I24" s="11"/>
      <c r="J24" s="17">
        <f t="shared" si="3"/>
        <v>5</v>
      </c>
      <c r="K24" s="24">
        <v>45569</v>
      </c>
      <c r="L24" s="9"/>
    </row>
    <row r="25" spans="1:12" x14ac:dyDescent="0.15">
      <c r="A25" s="12" t="s">
        <v>40</v>
      </c>
      <c r="B25" s="11">
        <v>1</v>
      </c>
      <c r="C25" s="11"/>
      <c r="D25" s="17">
        <f t="shared" si="0"/>
        <v>1</v>
      </c>
      <c r="E25" s="22">
        <v>45566</v>
      </c>
      <c r="F25" s="1"/>
      <c r="G25" s="13" t="s">
        <v>58</v>
      </c>
      <c r="H25" s="11">
        <v>20</v>
      </c>
      <c r="I25" s="11">
        <v>15</v>
      </c>
      <c r="J25" s="17">
        <f t="shared" si="3"/>
        <v>35</v>
      </c>
      <c r="K25" s="24">
        <v>45576</v>
      </c>
      <c r="L25" s="9"/>
    </row>
    <row r="26" spans="1:12" x14ac:dyDescent="0.15">
      <c r="A26" s="12" t="s">
        <v>59</v>
      </c>
      <c r="B26" s="11">
        <v>1</v>
      </c>
      <c r="C26" s="11"/>
      <c r="D26" s="17">
        <f t="shared" si="0"/>
        <v>1</v>
      </c>
      <c r="E26" s="22">
        <v>45569</v>
      </c>
      <c r="F26" s="1"/>
      <c r="G26" s="5" t="s">
        <v>62</v>
      </c>
      <c r="H26" s="11"/>
      <c r="I26" s="11">
        <v>10</v>
      </c>
      <c r="J26" s="17">
        <f t="shared" si="3"/>
        <v>10</v>
      </c>
      <c r="K26" s="24">
        <v>45574</v>
      </c>
      <c r="L26" s="9"/>
    </row>
    <row r="27" spans="1:12" x14ac:dyDescent="0.15">
      <c r="A27" s="5" t="s">
        <v>60</v>
      </c>
      <c r="B27" s="11">
        <v>1</v>
      </c>
      <c r="C27" s="11"/>
      <c r="D27" s="17">
        <f t="shared" si="0"/>
        <v>1</v>
      </c>
      <c r="E27" s="22">
        <v>45568</v>
      </c>
      <c r="F27" s="1"/>
      <c r="G27" s="12" t="s">
        <v>63</v>
      </c>
      <c r="H27" s="11">
        <v>3</v>
      </c>
      <c r="I27" s="11">
        <v>3</v>
      </c>
      <c r="J27" s="17">
        <f t="shared" si="3"/>
        <v>6</v>
      </c>
      <c r="K27" s="24">
        <v>45572</v>
      </c>
      <c r="L27" s="9"/>
    </row>
    <row r="28" spans="1:12" x14ac:dyDescent="0.15">
      <c r="A28" s="12" t="s">
        <v>61</v>
      </c>
      <c r="B28" s="11">
        <v>-5</v>
      </c>
      <c r="C28" s="11"/>
      <c r="D28" s="17">
        <f t="shared" si="0"/>
        <v>-5</v>
      </c>
      <c r="E28" s="22">
        <v>45569</v>
      </c>
      <c r="F28" s="1"/>
      <c r="G28" s="5" t="s">
        <v>65</v>
      </c>
      <c r="H28" s="11">
        <v>27</v>
      </c>
      <c r="I28" s="11">
        <v>17</v>
      </c>
      <c r="J28" s="17">
        <f t="shared" si="3"/>
        <v>44</v>
      </c>
      <c r="K28" s="24">
        <v>45576</v>
      </c>
    </row>
    <row r="29" spans="1:12" x14ac:dyDescent="0.15">
      <c r="A29" s="5"/>
      <c r="B29" s="11"/>
      <c r="C29" s="11"/>
      <c r="D29" s="17">
        <f t="shared" si="0"/>
        <v>0</v>
      </c>
      <c r="E29" s="1"/>
      <c r="F29" s="1"/>
      <c r="G29" s="12"/>
      <c r="H29" s="11"/>
      <c r="I29" s="11"/>
      <c r="J29" s="17">
        <f t="shared" ref="J29:J30" si="4">H29+I29</f>
        <v>0</v>
      </c>
      <c r="K29" s="24"/>
    </row>
    <row r="30" spans="1:12" x14ac:dyDescent="0.15">
      <c r="A30" s="13"/>
      <c r="B30" s="11"/>
      <c r="C30" s="11"/>
      <c r="D30" s="17">
        <f t="shared" si="0"/>
        <v>0</v>
      </c>
      <c r="E30" s="1"/>
      <c r="F30" s="1"/>
      <c r="G30" s="12"/>
      <c r="H30" s="11"/>
      <c r="I30" s="11"/>
      <c r="J30" s="17">
        <f t="shared" si="4"/>
        <v>0</v>
      </c>
      <c r="K30" s="24"/>
    </row>
    <row r="31" spans="1:12" x14ac:dyDescent="0.15">
      <c r="A31" s="5"/>
      <c r="B31" s="11"/>
      <c r="C31" s="11"/>
      <c r="D31" s="17">
        <f t="shared" si="0"/>
        <v>0</v>
      </c>
      <c r="E31" s="1"/>
      <c r="F31" s="1"/>
      <c r="G31" s="5"/>
      <c r="H31" s="11"/>
      <c r="I31" s="11"/>
      <c r="J31" s="17">
        <f t="shared" si="1"/>
        <v>0</v>
      </c>
      <c r="K31" s="10"/>
    </row>
    <row r="32" spans="1:12" x14ac:dyDescent="0.15">
      <c r="A32" s="7"/>
      <c r="B32" s="11"/>
      <c r="C32" s="11"/>
      <c r="D32" s="17">
        <f t="shared" si="0"/>
        <v>0</v>
      </c>
      <c r="E32" s="1"/>
      <c r="F32" s="1"/>
      <c r="G32" s="7"/>
      <c r="H32" s="11"/>
      <c r="I32" s="11"/>
      <c r="J32" s="17">
        <f t="shared" si="1"/>
        <v>0</v>
      </c>
      <c r="K32" s="24"/>
    </row>
    <row r="33" spans="1:11" x14ac:dyDescent="0.15">
      <c r="A33" s="13"/>
      <c r="B33" s="11"/>
      <c r="C33" s="11"/>
      <c r="D33" s="17">
        <f t="shared" si="0"/>
        <v>0</v>
      </c>
      <c r="E33" s="1"/>
      <c r="F33" s="1"/>
      <c r="G33" s="13" t="s">
        <v>23</v>
      </c>
      <c r="H33" s="11"/>
      <c r="I33" s="11"/>
      <c r="J33" s="17">
        <f t="shared" si="1"/>
        <v>0</v>
      </c>
      <c r="K33" s="24" t="s">
        <v>22</v>
      </c>
    </row>
    <row r="34" spans="1:11" ht="14.25" thickBot="1" x14ac:dyDescent="0.2">
      <c r="A34" s="27"/>
      <c r="B34" s="26"/>
      <c r="C34" s="26"/>
      <c r="D34" s="19">
        <f t="shared" si="0"/>
        <v>0</v>
      </c>
      <c r="E34" s="1"/>
      <c r="F34" s="1"/>
      <c r="G34" s="13" t="s">
        <v>16</v>
      </c>
      <c r="H34" s="11"/>
      <c r="I34" s="11"/>
      <c r="J34" s="17">
        <f t="shared" si="1"/>
        <v>0</v>
      </c>
      <c r="K34" s="24" t="s">
        <v>17</v>
      </c>
    </row>
    <row r="35" spans="1:11" ht="14.25" thickBot="1" x14ac:dyDescent="0.2">
      <c r="A35" s="2" t="s">
        <v>3</v>
      </c>
      <c r="B35" s="18">
        <f>SUM(B11:B34)</f>
        <v>7</v>
      </c>
      <c r="C35" s="18">
        <f>SUM(C11:C34)</f>
        <v>6</v>
      </c>
      <c r="D35" s="18">
        <f t="shared" si="0"/>
        <v>13</v>
      </c>
      <c r="E35" s="1"/>
      <c r="F35" s="1"/>
      <c r="G35" s="2" t="s">
        <v>3</v>
      </c>
      <c r="H35" s="18">
        <f>SUM(H11:H34)</f>
        <v>137</v>
      </c>
      <c r="I35" s="18">
        <f t="shared" ref="I35:J35" si="5">SUM(I11:I34)</f>
        <v>114</v>
      </c>
      <c r="J35" s="18">
        <f t="shared" si="5"/>
        <v>251</v>
      </c>
    </row>
    <row r="36" spans="1:11" ht="14.25" thickBot="1" x14ac:dyDescent="0.2">
      <c r="A36" s="28" t="s">
        <v>4</v>
      </c>
      <c r="B36" s="29">
        <f>B10-B35</f>
        <v>9</v>
      </c>
      <c r="C36" s="29">
        <f>C10-C35</f>
        <v>9</v>
      </c>
      <c r="D36" s="42">
        <f t="shared" si="0"/>
        <v>18</v>
      </c>
      <c r="E36" s="1"/>
      <c r="F36" s="16"/>
      <c r="G36" s="28" t="s">
        <v>4</v>
      </c>
      <c r="H36" s="29">
        <f>H10-H35</f>
        <v>73</v>
      </c>
      <c r="I36" s="29">
        <f t="shared" ref="I36:J36" si="6">I10-I35</f>
        <v>96</v>
      </c>
      <c r="J36" s="42">
        <f t="shared" si="6"/>
        <v>169</v>
      </c>
    </row>
    <row r="39" spans="1:11" ht="18.75" x14ac:dyDescent="0.2">
      <c r="A39" s="34" t="s">
        <v>7</v>
      </c>
      <c r="B39" s="35"/>
      <c r="C39" s="35"/>
      <c r="D39" s="35"/>
      <c r="E39" s="35"/>
      <c r="F39" s="1"/>
      <c r="G39" s="36" t="s">
        <v>8</v>
      </c>
      <c r="H39" s="37"/>
      <c r="I39" s="37"/>
      <c r="J39" s="37"/>
      <c r="K39" s="38"/>
    </row>
    <row r="40" spans="1:11" ht="14.25" thickBo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1" ht="14.25" thickBot="1" x14ac:dyDescent="0.2">
      <c r="A41" s="2"/>
      <c r="B41" s="2" t="s">
        <v>6</v>
      </c>
      <c r="C41" s="2" t="s">
        <v>9</v>
      </c>
      <c r="D41" s="2" t="s">
        <v>0</v>
      </c>
      <c r="E41" s="15"/>
      <c r="F41" s="15"/>
      <c r="G41" s="2"/>
      <c r="H41" s="2" t="s">
        <v>6</v>
      </c>
      <c r="I41" s="2" t="s">
        <v>9</v>
      </c>
      <c r="J41" s="2" t="s">
        <v>0</v>
      </c>
    </row>
    <row r="42" spans="1:11" x14ac:dyDescent="0.15">
      <c r="A42" s="14" t="s">
        <v>4</v>
      </c>
      <c r="B42" s="32">
        <f>B36</f>
        <v>9</v>
      </c>
      <c r="C42" s="32">
        <f>C36</f>
        <v>9</v>
      </c>
      <c r="D42" s="33">
        <f>B42+C42</f>
        <v>18</v>
      </c>
      <c r="E42" s="39"/>
      <c r="F42" s="1"/>
      <c r="G42" s="14" t="s">
        <v>4</v>
      </c>
      <c r="H42" s="32">
        <f>H36</f>
        <v>73</v>
      </c>
      <c r="I42" s="32">
        <f t="shared" ref="I42:J42" si="7">I36</f>
        <v>96</v>
      </c>
      <c r="J42" s="33">
        <f t="shared" si="7"/>
        <v>169</v>
      </c>
      <c r="K42" s="9"/>
    </row>
    <row r="43" spans="1:11" x14ac:dyDescent="0.15">
      <c r="A43" s="3" t="s">
        <v>1</v>
      </c>
      <c r="B43" s="11">
        <v>10</v>
      </c>
      <c r="C43" s="11">
        <v>15</v>
      </c>
      <c r="D43" s="17">
        <f t="shared" ref="D43:D74" si="8">B43+C43</f>
        <v>25</v>
      </c>
      <c r="E43" s="22">
        <v>45576</v>
      </c>
      <c r="F43" s="22"/>
      <c r="G43" s="3" t="s">
        <v>1</v>
      </c>
      <c r="H43" s="11"/>
      <c r="I43" s="11"/>
      <c r="J43" s="17">
        <f t="shared" ref="J43:J45" si="9">H43+I43</f>
        <v>0</v>
      </c>
      <c r="K43" s="24"/>
    </row>
    <row r="44" spans="1:11" x14ac:dyDescent="0.15">
      <c r="A44" s="3" t="s">
        <v>1</v>
      </c>
      <c r="B44" s="11">
        <v>10</v>
      </c>
      <c r="C44" s="11">
        <v>5</v>
      </c>
      <c r="D44" s="17">
        <f t="shared" si="8"/>
        <v>15</v>
      </c>
      <c r="E44" s="22">
        <v>45584</v>
      </c>
      <c r="F44" s="22"/>
      <c r="G44" s="3" t="s">
        <v>11</v>
      </c>
      <c r="H44" s="11">
        <v>790</v>
      </c>
      <c r="I44" s="11">
        <v>790</v>
      </c>
      <c r="J44" s="17">
        <f t="shared" si="9"/>
        <v>1580</v>
      </c>
      <c r="K44" s="24" t="s">
        <v>64</v>
      </c>
    </row>
    <row r="45" spans="1:11" x14ac:dyDescent="0.15">
      <c r="A45" s="3" t="s">
        <v>1</v>
      </c>
      <c r="B45" s="11"/>
      <c r="C45" s="11">
        <v>10</v>
      </c>
      <c r="D45" s="17">
        <f t="shared" si="8"/>
        <v>10</v>
      </c>
      <c r="E45" s="22">
        <v>45590</v>
      </c>
      <c r="F45" s="22"/>
      <c r="G45" s="3" t="s">
        <v>57</v>
      </c>
      <c r="H45" s="11">
        <v>-60</v>
      </c>
      <c r="I45" s="11">
        <v>-7</v>
      </c>
      <c r="J45" s="17">
        <f t="shared" si="9"/>
        <v>-67</v>
      </c>
      <c r="K45" s="24" t="s">
        <v>33</v>
      </c>
    </row>
    <row r="46" spans="1:11" x14ac:dyDescent="0.15">
      <c r="A46" s="3" t="s">
        <v>1</v>
      </c>
      <c r="B46" s="11"/>
      <c r="C46" s="11">
        <v>5</v>
      </c>
      <c r="D46" s="17">
        <f t="shared" si="8"/>
        <v>5</v>
      </c>
      <c r="E46" s="22">
        <v>45593</v>
      </c>
      <c r="F46" s="22"/>
      <c r="G46" s="3" t="s">
        <v>1</v>
      </c>
      <c r="H46" s="11"/>
      <c r="I46" s="11"/>
      <c r="J46" s="17">
        <f t="shared" ref="J46:J68" si="10">H46+I46</f>
        <v>0</v>
      </c>
      <c r="K46" s="9"/>
    </row>
    <row r="47" spans="1:11" ht="14.25" thickBot="1" x14ac:dyDescent="0.2">
      <c r="A47" s="4" t="s">
        <v>1</v>
      </c>
      <c r="B47" s="26"/>
      <c r="C47" s="26">
        <v>5</v>
      </c>
      <c r="D47" s="19">
        <f t="shared" si="8"/>
        <v>5</v>
      </c>
      <c r="E47" s="22">
        <v>45594</v>
      </c>
      <c r="F47" s="22"/>
      <c r="G47" s="4" t="s">
        <v>1</v>
      </c>
      <c r="H47" s="26"/>
      <c r="I47" s="26"/>
      <c r="J47" s="19">
        <f t="shared" si="10"/>
        <v>0</v>
      </c>
    </row>
    <row r="48" spans="1:11" ht="14.25" thickBot="1" x14ac:dyDescent="0.2">
      <c r="A48" s="8" t="s">
        <v>2</v>
      </c>
      <c r="B48" s="20">
        <f>SUM(B42:B47)</f>
        <v>29</v>
      </c>
      <c r="C48" s="20">
        <f>SUM(C42:C47)</f>
        <v>49</v>
      </c>
      <c r="D48" s="31">
        <f t="shared" si="8"/>
        <v>78</v>
      </c>
      <c r="E48" s="39"/>
      <c r="F48" s="16"/>
      <c r="G48" s="8" t="s">
        <v>2</v>
      </c>
      <c r="H48" s="20">
        <f>SUM(H42:H47)</f>
        <v>803</v>
      </c>
      <c r="I48" s="20">
        <f t="shared" ref="I48" si="11">SUM(I42:I47)</f>
        <v>879</v>
      </c>
      <c r="J48" s="31">
        <f t="shared" ref="J48" si="12">SUM(J42:J47)</f>
        <v>1682</v>
      </c>
    </row>
    <row r="49" spans="1:12" x14ac:dyDescent="0.15">
      <c r="A49" s="5" t="s">
        <v>72</v>
      </c>
      <c r="B49" s="11">
        <v>4</v>
      </c>
      <c r="C49" s="11">
        <v>8</v>
      </c>
      <c r="D49" s="17">
        <f t="shared" si="8"/>
        <v>12</v>
      </c>
      <c r="E49" s="24">
        <v>45581</v>
      </c>
      <c r="F49" s="22"/>
      <c r="G49" s="12" t="s">
        <v>67</v>
      </c>
      <c r="H49" s="11">
        <v>9</v>
      </c>
      <c r="I49" s="11"/>
      <c r="J49" s="17">
        <f t="shared" ref="J49:J62" si="13">H49+I49</f>
        <v>9</v>
      </c>
      <c r="K49" s="24">
        <v>45575</v>
      </c>
      <c r="L49" s="9"/>
    </row>
    <row r="50" spans="1:12" x14ac:dyDescent="0.15">
      <c r="A50" s="12" t="s">
        <v>73</v>
      </c>
      <c r="B50" s="11"/>
      <c r="C50" s="11">
        <v>1</v>
      </c>
      <c r="D50" s="17">
        <f t="shared" si="8"/>
        <v>1</v>
      </c>
      <c r="E50" s="22">
        <v>45576</v>
      </c>
      <c r="F50" s="22"/>
      <c r="G50" s="5" t="s">
        <v>68</v>
      </c>
      <c r="H50" s="11">
        <v>4</v>
      </c>
      <c r="I50" s="11">
        <v>7</v>
      </c>
      <c r="J50" s="17">
        <f t="shared" si="13"/>
        <v>11</v>
      </c>
      <c r="K50" s="24">
        <v>45580</v>
      </c>
      <c r="L50" s="9"/>
    </row>
    <row r="51" spans="1:12" x14ac:dyDescent="0.15">
      <c r="A51" s="5" t="s">
        <v>74</v>
      </c>
      <c r="B51" s="11">
        <v>5</v>
      </c>
      <c r="C51" s="11">
        <v>4</v>
      </c>
      <c r="D51" s="17">
        <f t="shared" si="8"/>
        <v>9</v>
      </c>
      <c r="E51" s="22">
        <v>45581</v>
      </c>
      <c r="F51" s="22"/>
      <c r="G51" s="12" t="s">
        <v>71</v>
      </c>
      <c r="H51" s="11"/>
      <c r="I51" s="11">
        <v>4</v>
      </c>
      <c r="J51" s="17">
        <f t="shared" si="13"/>
        <v>4</v>
      </c>
      <c r="K51" s="24">
        <v>45576</v>
      </c>
      <c r="L51" s="9"/>
    </row>
    <row r="52" spans="1:12" x14ac:dyDescent="0.15">
      <c r="A52" s="12" t="s">
        <v>77</v>
      </c>
      <c r="B52" s="11">
        <v>1</v>
      </c>
      <c r="C52" s="11"/>
      <c r="D52" s="17">
        <f t="shared" si="8"/>
        <v>1</v>
      </c>
      <c r="E52" s="22">
        <v>45580</v>
      </c>
      <c r="F52" s="22"/>
      <c r="G52" s="12" t="s">
        <v>25</v>
      </c>
      <c r="H52" s="11">
        <v>10</v>
      </c>
      <c r="I52" s="11">
        <v>15</v>
      </c>
      <c r="J52" s="17">
        <f t="shared" si="13"/>
        <v>25</v>
      </c>
      <c r="K52" s="24">
        <v>45576</v>
      </c>
      <c r="L52" s="9"/>
    </row>
    <row r="53" spans="1:12" x14ac:dyDescent="0.15">
      <c r="A53" s="12" t="s">
        <v>81</v>
      </c>
      <c r="B53" s="11">
        <v>2</v>
      </c>
      <c r="C53" s="11">
        <v>1</v>
      </c>
      <c r="D53" s="17">
        <f t="shared" si="8"/>
        <v>3</v>
      </c>
      <c r="E53" s="22">
        <v>45583</v>
      </c>
      <c r="F53" s="22"/>
      <c r="G53" s="12" t="s">
        <v>75</v>
      </c>
      <c r="H53" s="11">
        <v>2</v>
      </c>
      <c r="I53" s="11">
        <v>2</v>
      </c>
      <c r="J53" s="17">
        <f t="shared" si="13"/>
        <v>4</v>
      </c>
      <c r="K53" s="24">
        <v>45580</v>
      </c>
      <c r="L53" s="9"/>
    </row>
    <row r="54" spans="1:12" x14ac:dyDescent="0.15">
      <c r="A54" s="12" t="s">
        <v>40</v>
      </c>
      <c r="B54" s="11"/>
      <c r="C54" s="11">
        <v>1</v>
      </c>
      <c r="D54" s="17">
        <f t="shared" si="8"/>
        <v>1</v>
      </c>
      <c r="E54" s="22">
        <v>45582</v>
      </c>
      <c r="F54" s="22"/>
      <c r="G54" s="12" t="s">
        <v>76</v>
      </c>
      <c r="H54" s="11">
        <v>3</v>
      </c>
      <c r="I54" s="11">
        <v>2</v>
      </c>
      <c r="J54" s="17">
        <f t="shared" si="13"/>
        <v>5</v>
      </c>
      <c r="K54" s="24">
        <v>45582</v>
      </c>
      <c r="L54" s="9"/>
    </row>
    <row r="55" spans="1:12" x14ac:dyDescent="0.15">
      <c r="A55" s="12" t="s">
        <v>82</v>
      </c>
      <c r="B55" s="11">
        <v>5</v>
      </c>
      <c r="C55" s="11">
        <v>2</v>
      </c>
      <c r="D55" s="17">
        <f t="shared" si="8"/>
        <v>7</v>
      </c>
      <c r="E55" s="22">
        <v>45586</v>
      </c>
      <c r="F55" s="22"/>
      <c r="G55" s="5" t="s">
        <v>78</v>
      </c>
      <c r="H55" s="11">
        <v>5</v>
      </c>
      <c r="I55" s="11"/>
      <c r="J55" s="17">
        <f t="shared" si="13"/>
        <v>5</v>
      </c>
      <c r="K55" s="24">
        <v>45586</v>
      </c>
      <c r="L55" s="9"/>
    </row>
    <row r="56" spans="1:12" x14ac:dyDescent="0.15">
      <c r="A56" s="12" t="s">
        <v>83</v>
      </c>
      <c r="B56" s="11">
        <v>1</v>
      </c>
      <c r="C56" s="11">
        <v>1</v>
      </c>
      <c r="D56" s="17">
        <f t="shared" si="8"/>
        <v>2</v>
      </c>
      <c r="E56" s="22">
        <v>45588</v>
      </c>
      <c r="F56" s="22"/>
      <c r="G56" s="12" t="s">
        <v>79</v>
      </c>
      <c r="H56" s="11">
        <v>1</v>
      </c>
      <c r="I56" s="11">
        <v>2</v>
      </c>
      <c r="J56" s="17">
        <f t="shared" si="13"/>
        <v>3</v>
      </c>
      <c r="K56" s="24">
        <v>45583</v>
      </c>
      <c r="L56" s="9"/>
    </row>
    <row r="57" spans="1:12" x14ac:dyDescent="0.15">
      <c r="A57" s="5" t="s">
        <v>84</v>
      </c>
      <c r="B57" s="11"/>
      <c r="C57" s="11">
        <v>3</v>
      </c>
      <c r="D57" s="17">
        <f t="shared" si="8"/>
        <v>3</v>
      </c>
      <c r="E57" s="22">
        <v>45588</v>
      </c>
      <c r="F57" s="22"/>
      <c r="G57" s="5" t="s">
        <v>80</v>
      </c>
      <c r="H57" s="11">
        <v>5</v>
      </c>
      <c r="I57" s="11"/>
      <c r="J57" s="17">
        <f t="shared" si="13"/>
        <v>5</v>
      </c>
      <c r="K57" s="24">
        <v>45586</v>
      </c>
    </row>
    <row r="58" spans="1:12" x14ac:dyDescent="0.15">
      <c r="A58" s="12" t="s">
        <v>40</v>
      </c>
      <c r="B58" s="11">
        <v>1</v>
      </c>
      <c r="C58" s="11">
        <v>1</v>
      </c>
      <c r="D58" s="17">
        <f t="shared" si="8"/>
        <v>2</v>
      </c>
      <c r="E58" s="22">
        <v>45586</v>
      </c>
      <c r="F58" s="22"/>
      <c r="G58" s="12" t="s">
        <v>25</v>
      </c>
      <c r="H58" s="11">
        <v>10</v>
      </c>
      <c r="I58" s="11">
        <v>5</v>
      </c>
      <c r="J58" s="17">
        <f t="shared" si="13"/>
        <v>15</v>
      </c>
      <c r="K58" s="24">
        <v>45584</v>
      </c>
      <c r="L58" s="9"/>
    </row>
    <row r="59" spans="1:12" x14ac:dyDescent="0.15">
      <c r="A59" s="5" t="s">
        <v>86</v>
      </c>
      <c r="B59" s="11"/>
      <c r="C59" s="11">
        <v>5</v>
      </c>
      <c r="D59" s="17">
        <f t="shared" ref="D59" si="14">B59+C59</f>
        <v>5</v>
      </c>
      <c r="E59" s="22">
        <v>45593</v>
      </c>
      <c r="F59" s="22"/>
      <c r="G59" s="12" t="s">
        <v>85</v>
      </c>
      <c r="H59" s="11">
        <v>3</v>
      </c>
      <c r="I59" s="11">
        <v>3</v>
      </c>
      <c r="J59" s="17">
        <f t="shared" si="13"/>
        <v>6</v>
      </c>
      <c r="K59" s="22">
        <v>45589</v>
      </c>
      <c r="L59" s="9"/>
    </row>
    <row r="60" spans="1:12" x14ac:dyDescent="0.15">
      <c r="A60" s="5" t="s">
        <v>87</v>
      </c>
      <c r="B60" s="11"/>
      <c r="C60" s="11">
        <v>5</v>
      </c>
      <c r="D60" s="17">
        <f t="shared" si="8"/>
        <v>5</v>
      </c>
      <c r="E60" s="22">
        <v>45593</v>
      </c>
      <c r="F60" s="22"/>
      <c r="G60" s="5" t="s">
        <v>87</v>
      </c>
      <c r="H60" s="11">
        <v>30</v>
      </c>
      <c r="I60" s="11"/>
      <c r="J60" s="17">
        <f t="shared" si="13"/>
        <v>30</v>
      </c>
      <c r="K60" s="24">
        <v>45601</v>
      </c>
      <c r="L60" s="9"/>
    </row>
    <row r="61" spans="1:12" x14ac:dyDescent="0.15">
      <c r="A61" s="5" t="s">
        <v>90</v>
      </c>
      <c r="B61" s="11"/>
      <c r="C61" s="11">
        <v>3</v>
      </c>
      <c r="D61" s="17">
        <f t="shared" si="8"/>
        <v>3</v>
      </c>
      <c r="E61" s="22">
        <v>45593</v>
      </c>
      <c r="F61" s="22"/>
      <c r="G61" s="12" t="s">
        <v>88</v>
      </c>
      <c r="H61" s="11">
        <v>3</v>
      </c>
      <c r="I61" s="11"/>
      <c r="J61" s="17">
        <f t="shared" si="13"/>
        <v>3</v>
      </c>
      <c r="K61" s="24">
        <v>45590</v>
      </c>
      <c r="L61" s="9"/>
    </row>
    <row r="62" spans="1:12" x14ac:dyDescent="0.15">
      <c r="A62" s="12" t="s">
        <v>91</v>
      </c>
      <c r="B62" s="11">
        <v>1</v>
      </c>
      <c r="C62" s="11"/>
      <c r="D62" s="17">
        <f t="shared" si="8"/>
        <v>1</v>
      </c>
      <c r="E62" s="22">
        <v>45595</v>
      </c>
      <c r="F62" s="22"/>
      <c r="G62" s="12" t="s">
        <v>25</v>
      </c>
      <c r="H62" s="11"/>
      <c r="I62" s="11">
        <v>10</v>
      </c>
      <c r="J62" s="17">
        <f t="shared" si="13"/>
        <v>10</v>
      </c>
      <c r="K62" s="24">
        <v>45590</v>
      </c>
      <c r="L62" s="9"/>
    </row>
    <row r="63" spans="1:12" x14ac:dyDescent="0.15">
      <c r="A63" s="5" t="s">
        <v>60</v>
      </c>
      <c r="B63" s="11"/>
      <c r="C63" s="11">
        <v>3</v>
      </c>
      <c r="D63" s="17">
        <f t="shared" si="8"/>
        <v>3</v>
      </c>
      <c r="E63" s="22">
        <v>45593</v>
      </c>
      <c r="F63" s="22"/>
      <c r="G63" s="6" t="s">
        <v>89</v>
      </c>
      <c r="H63" s="11"/>
      <c r="I63" s="11">
        <v>5</v>
      </c>
      <c r="J63" s="17">
        <f t="shared" si="10"/>
        <v>5</v>
      </c>
      <c r="K63" s="22">
        <v>45603</v>
      </c>
      <c r="L63" s="9"/>
    </row>
    <row r="64" spans="1:12" x14ac:dyDescent="0.15">
      <c r="A64" s="6" t="s">
        <v>40</v>
      </c>
      <c r="B64" s="11">
        <v>1</v>
      </c>
      <c r="C64" s="11"/>
      <c r="D64" s="17">
        <f t="shared" si="8"/>
        <v>1</v>
      </c>
      <c r="E64" s="22">
        <v>45598</v>
      </c>
      <c r="F64" s="22"/>
      <c r="G64" s="12" t="s">
        <v>25</v>
      </c>
      <c r="H64" s="11"/>
      <c r="I64" s="11">
        <v>5</v>
      </c>
      <c r="J64" s="17">
        <f t="shared" si="10"/>
        <v>5</v>
      </c>
      <c r="K64" s="24">
        <v>45593</v>
      </c>
      <c r="L64" s="9"/>
    </row>
    <row r="65" spans="1:18" x14ac:dyDescent="0.15">
      <c r="A65" s="6" t="s">
        <v>40</v>
      </c>
      <c r="B65" s="11">
        <v>1</v>
      </c>
      <c r="C65" s="11"/>
      <c r="D65" s="17">
        <f t="shared" si="8"/>
        <v>1</v>
      </c>
      <c r="E65" s="22">
        <v>45601</v>
      </c>
      <c r="F65" s="22"/>
      <c r="G65" s="12" t="s">
        <v>25</v>
      </c>
      <c r="H65" s="11"/>
      <c r="I65" s="11">
        <v>5</v>
      </c>
      <c r="J65" s="17">
        <f t="shared" si="10"/>
        <v>5</v>
      </c>
      <c r="K65" s="24">
        <v>45594</v>
      </c>
      <c r="L65" s="9"/>
    </row>
    <row r="66" spans="1:18" x14ac:dyDescent="0.15">
      <c r="A66" s="12" t="s">
        <v>93</v>
      </c>
      <c r="B66" s="11">
        <v>1</v>
      </c>
      <c r="C66" s="11"/>
      <c r="D66" s="17">
        <f t="shared" si="8"/>
        <v>1</v>
      </c>
      <c r="E66" s="22">
        <v>45602</v>
      </c>
      <c r="F66" s="22"/>
      <c r="G66" s="12" t="s">
        <v>25</v>
      </c>
      <c r="H66" s="11">
        <v>5</v>
      </c>
      <c r="I66" s="11">
        <v>5</v>
      </c>
      <c r="J66" s="17">
        <f t="shared" si="10"/>
        <v>10</v>
      </c>
      <c r="K66" s="24">
        <v>45603</v>
      </c>
      <c r="L66" s="9"/>
    </row>
    <row r="67" spans="1:18" x14ac:dyDescent="0.15">
      <c r="A67" s="13" t="s">
        <v>61</v>
      </c>
      <c r="B67" s="11">
        <v>-5</v>
      </c>
      <c r="C67" s="11">
        <v>-5</v>
      </c>
      <c r="D67" s="17">
        <f t="shared" ref="D67:D69" si="15">B67+C67</f>
        <v>-10</v>
      </c>
      <c r="E67" s="22">
        <v>45603</v>
      </c>
      <c r="F67" s="22"/>
      <c r="G67" s="5"/>
      <c r="H67" s="11"/>
      <c r="I67" s="11"/>
      <c r="J67" s="17">
        <f t="shared" si="10"/>
        <v>0</v>
      </c>
      <c r="K67" s="9"/>
      <c r="L67" s="9"/>
    </row>
    <row r="68" spans="1:18" x14ac:dyDescent="0.15">
      <c r="A68" s="6" t="s">
        <v>40</v>
      </c>
      <c r="B68" s="11">
        <v>2</v>
      </c>
      <c r="C68" s="11">
        <v>1</v>
      </c>
      <c r="D68" s="17">
        <f t="shared" si="15"/>
        <v>3</v>
      </c>
      <c r="E68" s="22">
        <v>45607</v>
      </c>
      <c r="F68" s="22"/>
      <c r="G68" s="5" t="s">
        <v>38</v>
      </c>
      <c r="H68" s="11"/>
      <c r="I68" s="11"/>
      <c r="J68" s="17">
        <f t="shared" si="10"/>
        <v>0</v>
      </c>
      <c r="K68" s="9" t="s">
        <v>39</v>
      </c>
    </row>
    <row r="69" spans="1:18" x14ac:dyDescent="0.15">
      <c r="A69" s="13" t="s">
        <v>61</v>
      </c>
      <c r="B69" s="11">
        <v>-5</v>
      </c>
      <c r="C69" s="11"/>
      <c r="D69" s="17">
        <f t="shared" si="15"/>
        <v>-5</v>
      </c>
      <c r="E69" s="22">
        <v>45608</v>
      </c>
      <c r="F69" s="22"/>
      <c r="G69" s="4" t="s">
        <v>69</v>
      </c>
      <c r="H69" s="44"/>
      <c r="I69" s="44"/>
      <c r="J69" s="45">
        <f t="shared" ref="J69:J72" si="16">H69+I69</f>
        <v>0</v>
      </c>
      <c r="K69" s="46"/>
      <c r="L69" s="9"/>
    </row>
    <row r="70" spans="1:18" x14ac:dyDescent="0.15">
      <c r="A70" s="13"/>
      <c r="B70" s="11"/>
      <c r="C70" s="11"/>
      <c r="D70" s="17">
        <f t="shared" si="8"/>
        <v>0</v>
      </c>
      <c r="E70" s="22"/>
      <c r="F70" s="1"/>
      <c r="G70" s="27" t="s">
        <v>12</v>
      </c>
      <c r="H70" s="26"/>
      <c r="I70" s="26"/>
      <c r="J70" s="19">
        <f t="shared" si="16"/>
        <v>0</v>
      </c>
      <c r="K70" s="9" t="s">
        <v>13</v>
      </c>
      <c r="L70" s="9"/>
    </row>
    <row r="71" spans="1:18" x14ac:dyDescent="0.15">
      <c r="A71" s="13"/>
      <c r="B71" s="11"/>
      <c r="C71" s="11"/>
      <c r="D71" s="17">
        <f t="shared" si="8"/>
        <v>0</v>
      </c>
      <c r="E71" s="1"/>
      <c r="F71" s="1"/>
      <c r="G71" s="4" t="s">
        <v>21</v>
      </c>
      <c r="H71" s="44"/>
      <c r="I71" s="44"/>
      <c r="J71" s="45">
        <f t="shared" si="16"/>
        <v>0</v>
      </c>
      <c r="K71" s="47"/>
      <c r="L71" s="9"/>
    </row>
    <row r="72" spans="1:18" ht="14.25" thickBot="1" x14ac:dyDescent="0.2">
      <c r="A72" s="27"/>
      <c r="B72" s="26"/>
      <c r="C72" s="26"/>
      <c r="D72" s="19">
        <f t="shared" si="8"/>
        <v>0</v>
      </c>
      <c r="E72" s="1"/>
      <c r="F72" s="1"/>
      <c r="G72" s="27" t="s">
        <v>14</v>
      </c>
      <c r="H72" s="26"/>
      <c r="I72" s="26"/>
      <c r="J72" s="19">
        <f t="shared" si="16"/>
        <v>0</v>
      </c>
      <c r="K72" s="24" t="s">
        <v>15</v>
      </c>
      <c r="L72" s="9"/>
    </row>
    <row r="73" spans="1:18" ht="14.25" thickBot="1" x14ac:dyDescent="0.2">
      <c r="A73" s="2" t="s">
        <v>3</v>
      </c>
      <c r="B73" s="18">
        <f>SUM(B49:B72)</f>
        <v>15</v>
      </c>
      <c r="C73" s="18">
        <f>SUM(C49:C72)</f>
        <v>34</v>
      </c>
      <c r="D73" s="18">
        <f t="shared" si="8"/>
        <v>49</v>
      </c>
      <c r="E73" s="1"/>
      <c r="F73" s="1"/>
      <c r="G73" s="2" t="s">
        <v>3</v>
      </c>
      <c r="H73" s="18">
        <f>SUM(H49:H72)</f>
        <v>90</v>
      </c>
      <c r="I73" s="18">
        <f t="shared" ref="I73" si="17">SUM(I49:I72)</f>
        <v>70</v>
      </c>
      <c r="J73" s="18">
        <f t="shared" ref="J73" si="18">SUM(J49:J72)</f>
        <v>160</v>
      </c>
    </row>
    <row r="74" spans="1:18" ht="14.25" thickBot="1" x14ac:dyDescent="0.2">
      <c r="A74" s="28" t="s">
        <v>4</v>
      </c>
      <c r="B74" s="29">
        <f>B48-B73</f>
        <v>14</v>
      </c>
      <c r="C74" s="29">
        <f>C48-C73</f>
        <v>15</v>
      </c>
      <c r="D74" s="30">
        <f t="shared" si="8"/>
        <v>29</v>
      </c>
      <c r="E74" s="1"/>
      <c r="F74" s="16"/>
      <c r="G74" s="28" t="s">
        <v>4</v>
      </c>
      <c r="H74" s="29">
        <f>H48-H73</f>
        <v>713</v>
      </c>
      <c r="I74" s="29">
        <f t="shared" ref="I74" si="19">I48-I73</f>
        <v>809</v>
      </c>
      <c r="J74" s="42">
        <f t="shared" ref="J74" si="20">J48-J73</f>
        <v>1522</v>
      </c>
    </row>
    <row r="77" spans="1:18" ht="18.75" x14ac:dyDescent="0.2">
      <c r="A77" s="34" t="s">
        <v>7</v>
      </c>
      <c r="B77" s="35"/>
      <c r="C77" s="35"/>
      <c r="D77" s="35"/>
      <c r="E77" s="35"/>
      <c r="G77" s="36" t="s">
        <v>8</v>
      </c>
      <c r="H77" s="37"/>
      <c r="I77" s="37"/>
      <c r="J77" s="37"/>
      <c r="K77" s="38"/>
      <c r="M77" s="48" t="s">
        <v>109</v>
      </c>
      <c r="N77" s="49"/>
      <c r="O77" s="49"/>
      <c r="P77" s="49"/>
      <c r="Q77" s="50"/>
    </row>
    <row r="78" spans="1:18" ht="14.25" thickBot="1" x14ac:dyDescent="0.2">
      <c r="A78" s="1"/>
      <c r="B78" s="1"/>
      <c r="C78" s="1"/>
      <c r="D78" s="1"/>
      <c r="G78" s="1"/>
      <c r="H78" s="1"/>
      <c r="I78" s="1"/>
      <c r="J78" s="1"/>
      <c r="M78" s="1"/>
      <c r="N78" s="1"/>
      <c r="O78" s="1"/>
      <c r="P78" s="1"/>
    </row>
    <row r="79" spans="1:18" ht="14.25" thickBot="1" x14ac:dyDescent="0.2">
      <c r="A79" s="2"/>
      <c r="B79" s="2" t="s">
        <v>6</v>
      </c>
      <c r="C79" s="2" t="s">
        <v>9</v>
      </c>
      <c r="D79" s="2" t="s">
        <v>0</v>
      </c>
      <c r="G79" s="2"/>
      <c r="H79" s="2" t="s">
        <v>6</v>
      </c>
      <c r="I79" s="2" t="s">
        <v>9</v>
      </c>
      <c r="J79" s="2" t="s">
        <v>0</v>
      </c>
      <c r="M79" s="2"/>
      <c r="N79" s="2" t="s">
        <v>6</v>
      </c>
      <c r="O79" s="2" t="s">
        <v>9</v>
      </c>
      <c r="P79" s="2" t="s">
        <v>0</v>
      </c>
    </row>
    <row r="80" spans="1:18" x14ac:dyDescent="0.15">
      <c r="A80" s="14" t="s">
        <v>4</v>
      </c>
      <c r="B80" s="32">
        <f>B74</f>
        <v>14</v>
      </c>
      <c r="C80" s="32">
        <f>C74</f>
        <v>15</v>
      </c>
      <c r="D80" s="33">
        <f>B80+C80</f>
        <v>29</v>
      </c>
      <c r="G80" s="14" t="s">
        <v>4</v>
      </c>
      <c r="H80" s="32">
        <f>H74</f>
        <v>713</v>
      </c>
      <c r="I80" s="32">
        <f t="shared" ref="I80:J80" si="21">I74</f>
        <v>809</v>
      </c>
      <c r="J80" s="33">
        <f t="shared" si="21"/>
        <v>1522</v>
      </c>
      <c r="K80" s="9"/>
      <c r="M80" s="3" t="s">
        <v>41</v>
      </c>
      <c r="N80" s="11">
        <v>500</v>
      </c>
      <c r="O80" s="11">
        <v>400</v>
      </c>
      <c r="P80" s="17">
        <f t="shared" ref="P80" si="22">N80+O80</f>
        <v>900</v>
      </c>
      <c r="Q80" s="24" t="s">
        <v>116</v>
      </c>
      <c r="R80" s="9"/>
    </row>
    <row r="81" spans="1:17" x14ac:dyDescent="0.15">
      <c r="A81" s="3" t="s">
        <v>56</v>
      </c>
      <c r="B81" s="11">
        <v>1</v>
      </c>
      <c r="C81" s="11"/>
      <c r="D81" s="17">
        <f t="shared" ref="D81:D112" si="23">B81+C81</f>
        <v>1</v>
      </c>
      <c r="E81" s="43">
        <v>45610</v>
      </c>
      <c r="G81" s="3" t="s">
        <v>1</v>
      </c>
      <c r="H81" s="11"/>
      <c r="I81" s="11"/>
      <c r="J81" s="17">
        <f t="shared" ref="J81" si="24">H81+I81</f>
        <v>0</v>
      </c>
      <c r="K81" s="9"/>
      <c r="M81" s="3" t="s">
        <v>1</v>
      </c>
      <c r="N81" s="11"/>
      <c r="O81" s="11"/>
      <c r="P81" s="17">
        <f t="shared" ref="P81:P112" si="25">N81+O81</f>
        <v>0</v>
      </c>
      <c r="Q81" s="9"/>
    </row>
    <row r="82" spans="1:17" x14ac:dyDescent="0.15">
      <c r="A82" s="3" t="s">
        <v>1</v>
      </c>
      <c r="B82" s="11"/>
      <c r="C82" s="11">
        <v>5</v>
      </c>
      <c r="D82" s="17">
        <f t="shared" si="23"/>
        <v>5</v>
      </c>
      <c r="E82" s="24">
        <v>45624</v>
      </c>
      <c r="G82" s="3" t="s">
        <v>1</v>
      </c>
      <c r="H82" s="11">
        <v>100</v>
      </c>
      <c r="I82" s="11"/>
      <c r="J82" s="17">
        <f t="shared" ref="J82" si="26">H82+I82</f>
        <v>100</v>
      </c>
      <c r="K82" s="24" t="s">
        <v>115</v>
      </c>
      <c r="M82" s="3" t="s">
        <v>1</v>
      </c>
      <c r="N82" s="11"/>
      <c r="O82" s="11"/>
      <c r="P82" s="17">
        <f t="shared" ref="P82" si="27">N82+O82</f>
        <v>0</v>
      </c>
      <c r="Q82" s="9"/>
    </row>
    <row r="83" spans="1:17" x14ac:dyDescent="0.15">
      <c r="A83" s="3" t="s">
        <v>111</v>
      </c>
      <c r="B83" s="11">
        <v>2</v>
      </c>
      <c r="C83" s="11">
        <v>7</v>
      </c>
      <c r="D83" s="17">
        <f t="shared" si="23"/>
        <v>9</v>
      </c>
      <c r="E83" s="24">
        <v>45625</v>
      </c>
      <c r="G83" s="3" t="s">
        <v>1</v>
      </c>
      <c r="H83" s="11"/>
      <c r="I83" s="11"/>
      <c r="J83" s="17">
        <f t="shared" ref="J83" si="28">H83+I83</f>
        <v>0</v>
      </c>
      <c r="K83" s="9"/>
      <c r="M83" s="3" t="s">
        <v>92</v>
      </c>
      <c r="N83" s="11"/>
      <c r="O83" s="11">
        <v>120</v>
      </c>
      <c r="P83" s="17">
        <f t="shared" si="25"/>
        <v>120</v>
      </c>
      <c r="Q83" s="24">
        <v>45629</v>
      </c>
    </row>
    <row r="84" spans="1:17" x14ac:dyDescent="0.15">
      <c r="A84" s="3" t="s">
        <v>1</v>
      </c>
      <c r="B84" s="11">
        <v>5</v>
      </c>
      <c r="C84" s="11"/>
      <c r="D84" s="17">
        <f t="shared" si="23"/>
        <v>5</v>
      </c>
      <c r="E84" s="24">
        <v>45638</v>
      </c>
      <c r="G84" s="3" t="s">
        <v>1</v>
      </c>
      <c r="H84" s="11"/>
      <c r="I84" s="11"/>
      <c r="J84" s="17">
        <f t="shared" ref="J84:J110" si="29">H84+I84</f>
        <v>0</v>
      </c>
      <c r="K84" s="9"/>
      <c r="M84" s="3" t="s">
        <v>1</v>
      </c>
      <c r="N84" s="11"/>
      <c r="O84" s="11"/>
      <c r="P84" s="17">
        <f t="shared" si="25"/>
        <v>0</v>
      </c>
      <c r="Q84" s="9"/>
    </row>
    <row r="85" spans="1:17" ht="14.25" thickBot="1" x14ac:dyDescent="0.2">
      <c r="A85" s="4" t="s">
        <v>1</v>
      </c>
      <c r="B85" s="26">
        <v>5</v>
      </c>
      <c r="C85" s="26">
        <v>5</v>
      </c>
      <c r="D85" s="19">
        <f t="shared" si="23"/>
        <v>10</v>
      </c>
      <c r="E85" s="24">
        <v>45651</v>
      </c>
      <c r="G85" s="4" t="s">
        <v>1</v>
      </c>
      <c r="H85" s="26"/>
      <c r="I85" s="26"/>
      <c r="J85" s="19">
        <f t="shared" si="29"/>
        <v>0</v>
      </c>
      <c r="M85" s="4" t="s">
        <v>1</v>
      </c>
      <c r="N85" s="26"/>
      <c r="O85" s="26"/>
      <c r="P85" s="19">
        <f t="shared" si="25"/>
        <v>0</v>
      </c>
    </row>
    <row r="86" spans="1:17" ht="14.25" thickBot="1" x14ac:dyDescent="0.2">
      <c r="A86" s="8" t="s">
        <v>2</v>
      </c>
      <c r="B86" s="20">
        <f>SUM(B80:B85)</f>
        <v>27</v>
      </c>
      <c r="C86" s="20">
        <f>SUM(C80:C85)</f>
        <v>32</v>
      </c>
      <c r="D86" s="31">
        <f t="shared" si="23"/>
        <v>59</v>
      </c>
      <c r="G86" s="8" t="s">
        <v>2</v>
      </c>
      <c r="H86" s="20">
        <f>SUM(H80:H85)</f>
        <v>813</v>
      </c>
      <c r="I86" s="20">
        <f t="shared" ref="I86" si="30">SUM(I80:I85)</f>
        <v>809</v>
      </c>
      <c r="J86" s="31">
        <f t="shared" ref="J86" si="31">SUM(J80:J85)</f>
        <v>1622</v>
      </c>
      <c r="M86" s="8" t="s">
        <v>2</v>
      </c>
      <c r="N86" s="20">
        <f>SUM(N80:N85)</f>
        <v>500</v>
      </c>
      <c r="O86" s="20">
        <f>SUM(O80:O85)</f>
        <v>520</v>
      </c>
      <c r="P86" s="31">
        <f t="shared" si="25"/>
        <v>1020</v>
      </c>
    </row>
    <row r="87" spans="1:17" x14ac:dyDescent="0.15">
      <c r="A87" s="12" t="s">
        <v>95</v>
      </c>
      <c r="B87" s="25">
        <v>1</v>
      </c>
      <c r="C87" s="25"/>
      <c r="D87" s="21">
        <f t="shared" si="23"/>
        <v>1</v>
      </c>
      <c r="E87" s="24">
        <v>45611</v>
      </c>
      <c r="G87" s="5" t="s">
        <v>90</v>
      </c>
      <c r="H87" s="25">
        <v>20</v>
      </c>
      <c r="I87" s="25">
        <v>12</v>
      </c>
      <c r="J87" s="21">
        <f t="shared" si="29"/>
        <v>32</v>
      </c>
      <c r="K87" s="24">
        <v>45607</v>
      </c>
      <c r="L87" s="9"/>
      <c r="M87" s="5" t="s">
        <v>20</v>
      </c>
      <c r="N87" s="26">
        <v>500</v>
      </c>
      <c r="O87" s="26">
        <v>520</v>
      </c>
      <c r="P87" s="19">
        <f t="shared" ref="P87:P88" si="32">N87+O87</f>
        <v>1020</v>
      </c>
      <c r="Q87" s="24">
        <v>45636</v>
      </c>
    </row>
    <row r="88" spans="1:17" x14ac:dyDescent="0.15">
      <c r="A88" s="12" t="s">
        <v>96</v>
      </c>
      <c r="B88" s="11">
        <v>3</v>
      </c>
      <c r="C88" s="11"/>
      <c r="D88" s="17">
        <f t="shared" si="23"/>
        <v>3</v>
      </c>
      <c r="E88" s="24">
        <v>45614</v>
      </c>
      <c r="G88" s="6" t="s">
        <v>94</v>
      </c>
      <c r="H88" s="11">
        <v>6</v>
      </c>
      <c r="I88" s="11">
        <v>10</v>
      </c>
      <c r="J88" s="17">
        <f t="shared" si="29"/>
        <v>16</v>
      </c>
      <c r="K88" s="24">
        <v>45608</v>
      </c>
      <c r="L88" s="9"/>
      <c r="M88" s="12"/>
      <c r="N88" s="11"/>
      <c r="O88" s="11"/>
      <c r="P88" s="17">
        <f t="shared" si="32"/>
        <v>0</v>
      </c>
      <c r="Q88" s="24"/>
    </row>
    <row r="89" spans="1:17" x14ac:dyDescent="0.15">
      <c r="A89" s="5" t="s">
        <v>97</v>
      </c>
      <c r="B89" s="11"/>
      <c r="C89" s="11">
        <v>3</v>
      </c>
      <c r="D89" s="17">
        <f t="shared" si="23"/>
        <v>3</v>
      </c>
      <c r="E89" s="24">
        <v>45614</v>
      </c>
      <c r="G89" s="12" t="s">
        <v>25</v>
      </c>
      <c r="H89" s="11">
        <v>5</v>
      </c>
      <c r="I89" s="11"/>
      <c r="J89" s="17">
        <f t="shared" si="29"/>
        <v>5</v>
      </c>
      <c r="K89" s="24">
        <v>45608</v>
      </c>
      <c r="L89" s="9"/>
      <c r="M89" s="12"/>
      <c r="N89" s="11"/>
      <c r="O89" s="11"/>
      <c r="P89" s="17">
        <f t="shared" si="25"/>
        <v>0</v>
      </c>
      <c r="Q89" s="24"/>
    </row>
    <row r="90" spans="1:17" x14ac:dyDescent="0.15">
      <c r="A90" s="12" t="s">
        <v>98</v>
      </c>
      <c r="B90" s="11"/>
      <c r="C90" s="11">
        <v>1</v>
      </c>
      <c r="D90" s="17">
        <f t="shared" si="23"/>
        <v>1</v>
      </c>
      <c r="E90" s="24">
        <v>45617</v>
      </c>
      <c r="G90" s="6" t="s">
        <v>99</v>
      </c>
      <c r="H90" s="11"/>
      <c r="I90" s="11">
        <v>10</v>
      </c>
      <c r="J90" s="17">
        <f t="shared" si="29"/>
        <v>10</v>
      </c>
      <c r="K90" s="24">
        <v>45628</v>
      </c>
      <c r="L90" s="9"/>
      <c r="M90" s="12"/>
      <c r="N90" s="11"/>
      <c r="O90" s="11"/>
      <c r="P90" s="17">
        <f t="shared" ref="P90:P95" si="33">N90+O90</f>
        <v>0</v>
      </c>
      <c r="Q90" s="24"/>
    </row>
    <row r="91" spans="1:17" x14ac:dyDescent="0.15">
      <c r="A91" s="12" t="s">
        <v>100</v>
      </c>
      <c r="B91" s="11">
        <v>1</v>
      </c>
      <c r="C91" s="11"/>
      <c r="D91" s="17">
        <f t="shared" si="23"/>
        <v>1</v>
      </c>
      <c r="E91" s="24">
        <v>45618</v>
      </c>
      <c r="G91" s="12" t="s">
        <v>101</v>
      </c>
      <c r="H91" s="11"/>
      <c r="I91" s="11">
        <v>120</v>
      </c>
      <c r="J91" s="17">
        <f t="shared" ref="J91:J97" si="34">H91+I91</f>
        <v>120</v>
      </c>
      <c r="K91" s="9" t="s">
        <v>31</v>
      </c>
      <c r="M91" s="12"/>
      <c r="N91" s="11"/>
      <c r="O91" s="11"/>
      <c r="P91" s="17">
        <f t="shared" si="33"/>
        <v>0</v>
      </c>
      <c r="Q91" s="24"/>
    </row>
    <row r="92" spans="1:17" x14ac:dyDescent="0.15">
      <c r="A92" s="12" t="s">
        <v>102</v>
      </c>
      <c r="B92" s="11"/>
      <c r="C92" s="11">
        <v>1</v>
      </c>
      <c r="D92" s="17">
        <f t="shared" si="23"/>
        <v>1</v>
      </c>
      <c r="E92" s="24">
        <v>45618</v>
      </c>
      <c r="G92" s="12" t="s">
        <v>25</v>
      </c>
      <c r="H92" s="11"/>
      <c r="I92" s="11">
        <v>5</v>
      </c>
      <c r="J92" s="17">
        <f t="shared" si="34"/>
        <v>5</v>
      </c>
      <c r="K92" s="24">
        <v>45624</v>
      </c>
      <c r="L92" s="9"/>
      <c r="M92" s="12"/>
      <c r="N92" s="11"/>
      <c r="O92" s="11"/>
      <c r="P92" s="17">
        <f t="shared" si="33"/>
        <v>0</v>
      </c>
      <c r="Q92" s="24"/>
    </row>
    <row r="93" spans="1:17" x14ac:dyDescent="0.15">
      <c r="A93" s="6" t="s">
        <v>40</v>
      </c>
      <c r="B93" s="11">
        <v>1</v>
      </c>
      <c r="C93" s="11">
        <v>2</v>
      </c>
      <c r="D93" s="17">
        <f t="shared" si="23"/>
        <v>3</v>
      </c>
      <c r="E93" s="24">
        <v>45621</v>
      </c>
      <c r="G93" s="6" t="s">
        <v>114</v>
      </c>
      <c r="H93" s="11">
        <v>5</v>
      </c>
      <c r="I93" s="11"/>
      <c r="J93" s="17">
        <f t="shared" si="34"/>
        <v>5</v>
      </c>
      <c r="K93" s="24">
        <v>45636</v>
      </c>
      <c r="L93" s="9"/>
      <c r="M93" s="12"/>
      <c r="N93" s="11"/>
      <c r="O93" s="11"/>
      <c r="P93" s="17">
        <f t="shared" si="33"/>
        <v>0</v>
      </c>
      <c r="Q93" s="24"/>
    </row>
    <row r="94" spans="1:17" x14ac:dyDescent="0.15">
      <c r="A94" s="12" t="s">
        <v>103</v>
      </c>
      <c r="B94" s="11"/>
      <c r="C94" s="11">
        <v>1</v>
      </c>
      <c r="D94" s="17">
        <f t="shared" si="23"/>
        <v>1</v>
      </c>
      <c r="E94" s="24">
        <v>45624</v>
      </c>
      <c r="G94" s="12" t="s">
        <v>25</v>
      </c>
      <c r="H94" s="11">
        <v>5</v>
      </c>
      <c r="I94" s="11"/>
      <c r="J94" s="17">
        <f t="shared" si="34"/>
        <v>5</v>
      </c>
      <c r="K94" s="24">
        <v>45638</v>
      </c>
      <c r="L94" s="9"/>
      <c r="M94" s="12"/>
      <c r="N94" s="11"/>
      <c r="O94" s="11"/>
      <c r="P94" s="17">
        <f t="shared" si="33"/>
        <v>0</v>
      </c>
      <c r="Q94" s="24"/>
    </row>
    <row r="95" spans="1:17" x14ac:dyDescent="0.15">
      <c r="A95" s="6" t="s">
        <v>40</v>
      </c>
      <c r="B95" s="11">
        <v>1</v>
      </c>
      <c r="C95" s="11"/>
      <c r="D95" s="17">
        <f t="shared" si="23"/>
        <v>1</v>
      </c>
      <c r="E95" s="24">
        <v>45622</v>
      </c>
      <c r="G95" s="12" t="s">
        <v>25</v>
      </c>
      <c r="H95" s="11">
        <v>5</v>
      </c>
      <c r="I95" s="11">
        <v>5</v>
      </c>
      <c r="J95" s="17">
        <f t="shared" si="34"/>
        <v>10</v>
      </c>
      <c r="K95" s="24">
        <v>45651</v>
      </c>
      <c r="L95" s="9"/>
      <c r="M95" s="12"/>
      <c r="N95" s="11"/>
      <c r="O95" s="11"/>
      <c r="P95" s="17">
        <f t="shared" si="33"/>
        <v>0</v>
      </c>
      <c r="Q95" s="24"/>
    </row>
    <row r="96" spans="1:17" x14ac:dyDescent="0.15">
      <c r="A96" s="12" t="s">
        <v>106</v>
      </c>
      <c r="B96" s="11"/>
      <c r="C96" s="11">
        <v>1</v>
      </c>
      <c r="D96" s="17">
        <f t="shared" si="23"/>
        <v>1</v>
      </c>
      <c r="E96" s="24">
        <v>45625</v>
      </c>
      <c r="G96" s="6" t="s">
        <v>124</v>
      </c>
      <c r="H96" s="11"/>
      <c r="I96" s="11">
        <v>2</v>
      </c>
      <c r="J96" s="17">
        <f t="shared" si="34"/>
        <v>2</v>
      </c>
      <c r="K96" s="24">
        <v>45298</v>
      </c>
      <c r="L96" s="9"/>
      <c r="M96" s="12"/>
      <c r="N96" s="11"/>
      <c r="O96" s="11"/>
      <c r="P96" s="17">
        <f t="shared" si="25"/>
        <v>0</v>
      </c>
      <c r="Q96" s="24"/>
    </row>
    <row r="97" spans="1:17" x14ac:dyDescent="0.15">
      <c r="A97" s="12" t="s">
        <v>110</v>
      </c>
      <c r="B97" s="11"/>
      <c r="C97" s="11">
        <v>1</v>
      </c>
      <c r="D97" s="17">
        <f t="shared" si="23"/>
        <v>1</v>
      </c>
      <c r="E97" s="24">
        <v>45628</v>
      </c>
      <c r="G97" s="6" t="s">
        <v>125</v>
      </c>
      <c r="H97" s="11">
        <v>10</v>
      </c>
      <c r="I97" s="11">
        <v>10</v>
      </c>
      <c r="J97" s="17">
        <f t="shared" si="34"/>
        <v>20</v>
      </c>
      <c r="K97" s="24">
        <v>45298</v>
      </c>
      <c r="L97" s="9"/>
      <c r="M97" s="12"/>
      <c r="N97" s="11"/>
      <c r="O97" s="11"/>
      <c r="P97" s="17">
        <f t="shared" si="25"/>
        <v>0</v>
      </c>
      <c r="Q97" s="24"/>
    </row>
    <row r="98" spans="1:17" x14ac:dyDescent="0.15">
      <c r="A98" s="6" t="s">
        <v>40</v>
      </c>
      <c r="B98" s="11">
        <v>1</v>
      </c>
      <c r="C98" s="11"/>
      <c r="D98" s="17">
        <f t="shared" si="23"/>
        <v>1</v>
      </c>
      <c r="E98" s="24">
        <v>45628</v>
      </c>
      <c r="G98" s="12" t="s">
        <v>131</v>
      </c>
      <c r="H98" s="11">
        <v>4</v>
      </c>
      <c r="I98" s="11">
        <v>3</v>
      </c>
      <c r="J98" s="17">
        <f t="shared" ref="J98:J101" si="35">H98+I98</f>
        <v>7</v>
      </c>
      <c r="K98" s="24">
        <v>45667</v>
      </c>
      <c r="M98" s="12"/>
      <c r="N98" s="11"/>
      <c r="O98" s="11"/>
      <c r="P98" s="17">
        <f t="shared" si="25"/>
        <v>0</v>
      </c>
      <c r="Q98" s="24"/>
    </row>
    <row r="99" spans="1:17" x14ac:dyDescent="0.15">
      <c r="A99" s="12" t="s">
        <v>117</v>
      </c>
      <c r="B99" s="11">
        <v>1</v>
      </c>
      <c r="C99" s="11"/>
      <c r="D99" s="17">
        <f t="shared" si="23"/>
        <v>1</v>
      </c>
      <c r="E99" s="24">
        <v>45632</v>
      </c>
      <c r="F99" s="9"/>
      <c r="G99" s="12" t="s">
        <v>132</v>
      </c>
      <c r="H99" s="11">
        <v>5</v>
      </c>
      <c r="I99" s="11">
        <v>7</v>
      </c>
      <c r="J99" s="17">
        <f t="shared" si="35"/>
        <v>12</v>
      </c>
      <c r="K99" s="24">
        <v>45667</v>
      </c>
      <c r="M99" s="12"/>
      <c r="N99" s="11"/>
      <c r="O99" s="11"/>
      <c r="P99" s="17">
        <f t="shared" si="25"/>
        <v>0</v>
      </c>
      <c r="Q99" s="24"/>
    </row>
    <row r="100" spans="1:17" x14ac:dyDescent="0.15">
      <c r="A100" s="12" t="s">
        <v>118</v>
      </c>
      <c r="B100" s="11"/>
      <c r="C100" s="11">
        <v>1</v>
      </c>
      <c r="D100" s="17">
        <f t="shared" si="23"/>
        <v>1</v>
      </c>
      <c r="E100" s="24">
        <v>45639</v>
      </c>
      <c r="F100" s="9"/>
      <c r="G100" s="12" t="s">
        <v>133</v>
      </c>
      <c r="H100" s="11">
        <v>7</v>
      </c>
      <c r="I100" s="11">
        <v>1</v>
      </c>
      <c r="J100" s="17">
        <f t="shared" si="35"/>
        <v>8</v>
      </c>
      <c r="K100" s="24">
        <v>45671</v>
      </c>
      <c r="L100" s="9"/>
      <c r="M100" s="12"/>
      <c r="N100" s="11"/>
      <c r="O100" s="11"/>
      <c r="P100" s="17">
        <f t="shared" si="25"/>
        <v>0</v>
      </c>
      <c r="Q100" s="24"/>
    </row>
    <row r="101" spans="1:17" x14ac:dyDescent="0.15">
      <c r="A101" s="12" t="s">
        <v>119</v>
      </c>
      <c r="B101" s="11">
        <v>1</v>
      </c>
      <c r="C101" s="11"/>
      <c r="D101" s="17">
        <f t="shared" si="23"/>
        <v>1</v>
      </c>
      <c r="E101" s="24">
        <v>45644</v>
      </c>
      <c r="F101" s="9"/>
      <c r="G101" s="12" t="s">
        <v>134</v>
      </c>
      <c r="H101" s="11">
        <v>5</v>
      </c>
      <c r="I101" s="11">
        <v>5</v>
      </c>
      <c r="J101" s="17">
        <f t="shared" si="35"/>
        <v>10</v>
      </c>
      <c r="K101" s="24">
        <v>45673</v>
      </c>
      <c r="L101" s="9"/>
      <c r="M101" s="5"/>
      <c r="N101" s="11"/>
      <c r="O101" s="11"/>
      <c r="P101" s="17">
        <f t="shared" si="25"/>
        <v>0</v>
      </c>
      <c r="Q101" s="24"/>
    </row>
    <row r="102" spans="1:17" x14ac:dyDescent="0.15">
      <c r="A102" s="6" t="s">
        <v>40</v>
      </c>
      <c r="B102" s="11"/>
      <c r="C102" s="11">
        <v>1</v>
      </c>
      <c r="D102" s="17">
        <f t="shared" si="23"/>
        <v>1</v>
      </c>
      <c r="E102" s="24">
        <v>45642</v>
      </c>
      <c r="F102" s="9"/>
      <c r="G102" s="12" t="s">
        <v>135</v>
      </c>
      <c r="H102" s="11">
        <v>11</v>
      </c>
      <c r="I102" s="11">
        <v>9</v>
      </c>
      <c r="J102" s="17">
        <f t="shared" si="29"/>
        <v>20</v>
      </c>
      <c r="K102" s="24">
        <v>45674</v>
      </c>
      <c r="L102" s="9"/>
      <c r="M102" s="6"/>
      <c r="N102" s="11"/>
      <c r="O102" s="11"/>
      <c r="P102" s="17">
        <f t="shared" si="25"/>
        <v>0</v>
      </c>
      <c r="Q102" s="24"/>
    </row>
    <row r="103" spans="1:17" x14ac:dyDescent="0.15">
      <c r="A103" s="12" t="s">
        <v>120</v>
      </c>
      <c r="B103" s="11"/>
      <c r="C103" s="11">
        <v>1</v>
      </c>
      <c r="D103" s="17">
        <f t="shared" si="23"/>
        <v>1</v>
      </c>
      <c r="E103" s="24">
        <v>45646</v>
      </c>
      <c r="G103" s="6" t="s">
        <v>136</v>
      </c>
      <c r="H103" s="11">
        <v>10</v>
      </c>
      <c r="I103" s="11"/>
      <c r="J103" s="17">
        <f t="shared" si="29"/>
        <v>10</v>
      </c>
      <c r="K103" s="24">
        <v>45677</v>
      </c>
      <c r="L103" s="9"/>
      <c r="M103" s="5"/>
      <c r="N103" s="11"/>
      <c r="O103" s="11"/>
      <c r="P103" s="17">
        <f t="shared" si="25"/>
        <v>0</v>
      </c>
      <c r="Q103" s="24"/>
    </row>
    <row r="104" spans="1:17" x14ac:dyDescent="0.15">
      <c r="A104" s="6" t="s">
        <v>121</v>
      </c>
      <c r="B104" s="11">
        <v>3</v>
      </c>
      <c r="C104" s="11"/>
      <c r="D104" s="17">
        <f t="shared" si="23"/>
        <v>3</v>
      </c>
      <c r="E104" s="24">
        <v>45646</v>
      </c>
      <c r="G104" s="6" t="s">
        <v>138</v>
      </c>
      <c r="H104" s="11"/>
      <c r="I104" s="11">
        <v>5</v>
      </c>
      <c r="J104" s="17">
        <f t="shared" si="29"/>
        <v>5</v>
      </c>
      <c r="K104" s="24">
        <v>45680</v>
      </c>
      <c r="L104" s="9"/>
      <c r="M104" s="12"/>
      <c r="N104" s="11"/>
      <c r="O104" s="11"/>
      <c r="P104" s="17">
        <f t="shared" si="25"/>
        <v>0</v>
      </c>
      <c r="Q104" s="24"/>
    </row>
    <row r="105" spans="1:17" x14ac:dyDescent="0.15">
      <c r="A105" s="6" t="s">
        <v>122</v>
      </c>
      <c r="B105" s="11">
        <v>5</v>
      </c>
      <c r="C105" s="11"/>
      <c r="D105" s="17">
        <f t="shared" si="23"/>
        <v>5</v>
      </c>
      <c r="E105" s="24">
        <v>45651</v>
      </c>
      <c r="G105" s="12" t="s">
        <v>140</v>
      </c>
      <c r="H105" s="11"/>
      <c r="I105" s="11">
        <v>5</v>
      </c>
      <c r="J105" s="17">
        <f t="shared" si="29"/>
        <v>5</v>
      </c>
      <c r="K105" s="24">
        <v>45680</v>
      </c>
      <c r="L105" s="9"/>
      <c r="M105" s="5"/>
      <c r="N105" s="11"/>
      <c r="O105" s="11"/>
      <c r="P105" s="17">
        <f t="shared" si="25"/>
        <v>0</v>
      </c>
      <c r="Q105" s="9"/>
    </row>
    <row r="106" spans="1:17" x14ac:dyDescent="0.15">
      <c r="A106" s="6" t="s">
        <v>123</v>
      </c>
      <c r="B106" s="11"/>
      <c r="C106" s="11">
        <v>5</v>
      </c>
      <c r="D106" s="17">
        <f t="shared" si="23"/>
        <v>5</v>
      </c>
      <c r="E106" s="24">
        <v>45651</v>
      </c>
      <c r="G106" s="6" t="s">
        <v>142</v>
      </c>
      <c r="H106" s="11">
        <v>10</v>
      </c>
      <c r="I106" s="11"/>
      <c r="J106" s="17">
        <f t="shared" si="29"/>
        <v>10</v>
      </c>
      <c r="K106" s="24">
        <v>45686</v>
      </c>
      <c r="L106" s="9"/>
      <c r="M106" s="13"/>
      <c r="N106" s="11"/>
      <c r="O106" s="11"/>
      <c r="P106" s="17">
        <f t="shared" si="25"/>
        <v>0</v>
      </c>
      <c r="Q106" s="9"/>
    </row>
    <row r="107" spans="1:17" x14ac:dyDescent="0.15">
      <c r="A107" s="6" t="s">
        <v>40</v>
      </c>
      <c r="B107" s="11"/>
      <c r="C107" s="11">
        <v>1</v>
      </c>
      <c r="D107" s="17">
        <f t="shared" si="23"/>
        <v>1</v>
      </c>
      <c r="E107" s="24">
        <v>45647</v>
      </c>
      <c r="G107" s="5"/>
      <c r="H107" s="11"/>
      <c r="I107" s="11"/>
      <c r="J107" s="17">
        <f t="shared" si="29"/>
        <v>0</v>
      </c>
      <c r="K107" s="9"/>
      <c r="L107" s="9"/>
      <c r="M107" s="5"/>
      <c r="N107" s="11"/>
      <c r="O107" s="11"/>
      <c r="P107" s="17">
        <f t="shared" si="25"/>
        <v>0</v>
      </c>
      <c r="Q107" s="9"/>
    </row>
    <row r="108" spans="1:17" x14ac:dyDescent="0.15">
      <c r="A108" s="12" t="s">
        <v>130</v>
      </c>
      <c r="B108" s="11">
        <v>1</v>
      </c>
      <c r="C108" s="11">
        <v>1</v>
      </c>
      <c r="D108" s="17">
        <f t="shared" si="23"/>
        <v>2</v>
      </c>
      <c r="E108" s="24">
        <v>45666</v>
      </c>
      <c r="G108" s="5"/>
      <c r="H108" s="11"/>
      <c r="I108" s="11"/>
      <c r="J108" s="17">
        <f t="shared" ref="J108:J109" si="36">H108+I108</f>
        <v>0</v>
      </c>
      <c r="K108" s="9"/>
      <c r="M108" s="5"/>
      <c r="N108" s="11"/>
      <c r="O108" s="11"/>
      <c r="P108" s="17">
        <f t="shared" si="25"/>
        <v>0</v>
      </c>
      <c r="Q108" s="9"/>
    </row>
    <row r="109" spans="1:17" x14ac:dyDescent="0.15">
      <c r="A109" s="12" t="s">
        <v>137</v>
      </c>
      <c r="B109" s="11"/>
      <c r="C109" s="11">
        <v>3</v>
      </c>
      <c r="D109" s="17">
        <f t="shared" si="23"/>
        <v>3</v>
      </c>
      <c r="E109" s="24">
        <v>45677</v>
      </c>
      <c r="G109" s="5"/>
      <c r="H109" s="11"/>
      <c r="I109" s="11"/>
      <c r="J109" s="17">
        <f t="shared" si="36"/>
        <v>0</v>
      </c>
      <c r="K109" s="9"/>
      <c r="M109" s="5"/>
      <c r="N109" s="11"/>
      <c r="O109" s="11"/>
      <c r="P109" s="17">
        <f t="shared" si="25"/>
        <v>0</v>
      </c>
      <c r="Q109" s="9"/>
    </row>
    <row r="110" spans="1:17" ht="14.25" thickBot="1" x14ac:dyDescent="0.2">
      <c r="A110" s="12" t="s">
        <v>139</v>
      </c>
      <c r="B110" s="26"/>
      <c r="C110" s="26">
        <v>3</v>
      </c>
      <c r="D110" s="19">
        <f t="shared" si="23"/>
        <v>3</v>
      </c>
      <c r="E110" s="24">
        <v>45679</v>
      </c>
      <c r="G110" s="5" t="s">
        <v>112</v>
      </c>
      <c r="H110" s="11"/>
      <c r="I110" s="11"/>
      <c r="J110" s="17">
        <f t="shared" si="29"/>
        <v>0</v>
      </c>
      <c r="K110" s="9" t="s">
        <v>113</v>
      </c>
      <c r="M110" s="27" t="s">
        <v>20</v>
      </c>
      <c r="N110" s="26">
        <v>0</v>
      </c>
      <c r="O110" s="26">
        <v>0</v>
      </c>
      <c r="P110" s="19">
        <f t="shared" si="25"/>
        <v>0</v>
      </c>
      <c r="Q110" s="9" t="s">
        <v>19</v>
      </c>
    </row>
    <row r="111" spans="1:17" ht="14.25" thickBot="1" x14ac:dyDescent="0.2">
      <c r="A111" s="2" t="s">
        <v>3</v>
      </c>
      <c r="B111" s="18">
        <f>SUM(B87:B110)</f>
        <v>19</v>
      </c>
      <c r="C111" s="18">
        <f>SUM(C87:C110)</f>
        <v>26</v>
      </c>
      <c r="D111" s="18">
        <f t="shared" si="23"/>
        <v>45</v>
      </c>
      <c r="G111" s="2" t="s">
        <v>3</v>
      </c>
      <c r="H111" s="18">
        <f>SUM(H87:H110)</f>
        <v>108</v>
      </c>
      <c r="I111" s="18">
        <f t="shared" ref="I111" si="37">SUM(I87:I110)</f>
        <v>209</v>
      </c>
      <c r="J111" s="18">
        <f t="shared" ref="J111" si="38">SUM(J87:J110)</f>
        <v>317</v>
      </c>
      <c r="M111" s="2" t="s">
        <v>3</v>
      </c>
      <c r="N111" s="18">
        <f>SUM(N87:N110)</f>
        <v>500</v>
      </c>
      <c r="O111" s="18">
        <f>SUM(O87:O110)</f>
        <v>520</v>
      </c>
      <c r="P111" s="18">
        <f t="shared" si="25"/>
        <v>1020</v>
      </c>
    </row>
    <row r="112" spans="1:17" ht="14.25" thickBot="1" x14ac:dyDescent="0.2">
      <c r="A112" s="28" t="s">
        <v>4</v>
      </c>
      <c r="B112" s="29">
        <f>B86-B111</f>
        <v>8</v>
      </c>
      <c r="C112" s="29">
        <f>C86-C111</f>
        <v>6</v>
      </c>
      <c r="D112" s="30">
        <f t="shared" si="23"/>
        <v>14</v>
      </c>
      <c r="G112" s="28" t="s">
        <v>4</v>
      </c>
      <c r="H112" s="29">
        <f>H86-H111</f>
        <v>705</v>
      </c>
      <c r="I112" s="29">
        <f t="shared" ref="I112" si="39">I86-I111</f>
        <v>600</v>
      </c>
      <c r="J112" s="42">
        <f t="shared" ref="J112" si="40">J86-J111</f>
        <v>1305</v>
      </c>
      <c r="M112" s="28" t="s">
        <v>4</v>
      </c>
      <c r="N112" s="29">
        <f>N86-N111</f>
        <v>0</v>
      </c>
      <c r="O112" s="29">
        <f>O86-O111</f>
        <v>0</v>
      </c>
      <c r="P112" s="42">
        <f t="shared" si="25"/>
        <v>0</v>
      </c>
    </row>
    <row r="115" spans="1:13" ht="18.75" x14ac:dyDescent="0.2">
      <c r="A115" s="34" t="s">
        <v>7</v>
      </c>
      <c r="B115" s="35"/>
      <c r="C115" s="35"/>
      <c r="D115" s="35"/>
      <c r="E115" s="35"/>
      <c r="G115" s="36" t="s">
        <v>8</v>
      </c>
      <c r="H115" s="37"/>
      <c r="I115" s="37"/>
      <c r="J115" s="37"/>
      <c r="K115" s="38"/>
    </row>
    <row r="116" spans="1:13" ht="14.25" thickBot="1" x14ac:dyDescent="0.2">
      <c r="A116" s="1"/>
      <c r="B116" s="1"/>
      <c r="C116" s="1"/>
      <c r="D116" s="1"/>
      <c r="G116" s="1"/>
      <c r="H116" s="1"/>
      <c r="I116" s="1"/>
      <c r="J116" s="1"/>
    </row>
    <row r="117" spans="1:13" ht="14.25" thickBot="1" x14ac:dyDescent="0.2">
      <c r="A117" s="2"/>
      <c r="B117" s="2" t="s">
        <v>6</v>
      </c>
      <c r="C117" s="2" t="s">
        <v>9</v>
      </c>
      <c r="D117" s="2" t="s">
        <v>0</v>
      </c>
      <c r="G117" s="2"/>
      <c r="H117" s="2" t="s">
        <v>6</v>
      </c>
      <c r="I117" s="2" t="s">
        <v>9</v>
      </c>
      <c r="J117" s="2" t="s">
        <v>0</v>
      </c>
    </row>
    <row r="118" spans="1:13" x14ac:dyDescent="0.15">
      <c r="A118" s="14" t="s">
        <v>4</v>
      </c>
      <c r="B118" s="32">
        <f>B112</f>
        <v>8</v>
      </c>
      <c r="C118" s="32">
        <f>C112</f>
        <v>6</v>
      </c>
      <c r="D118" s="33">
        <f>B118+C118</f>
        <v>14</v>
      </c>
      <c r="G118" s="14" t="s">
        <v>4</v>
      </c>
      <c r="H118" s="32">
        <f>H112</f>
        <v>705</v>
      </c>
      <c r="I118" s="32">
        <f t="shared" ref="I118:J118" si="41">I112</f>
        <v>600</v>
      </c>
      <c r="J118" s="33">
        <f t="shared" si="41"/>
        <v>1305</v>
      </c>
      <c r="K118" s="9"/>
    </row>
    <row r="119" spans="1:13" x14ac:dyDescent="0.15">
      <c r="A119" s="3" t="s">
        <v>1</v>
      </c>
      <c r="B119" s="11">
        <v>5</v>
      </c>
      <c r="C119" s="11">
        <v>5</v>
      </c>
      <c r="D119" s="17">
        <f t="shared" ref="D119:D150" si="42">B119+C119</f>
        <v>10</v>
      </c>
      <c r="E119" s="24">
        <v>45681</v>
      </c>
      <c r="G119" s="3" t="s">
        <v>1</v>
      </c>
      <c r="H119" s="11"/>
      <c r="I119" s="11"/>
      <c r="J119" s="17">
        <f t="shared" ref="J119:J121" si="43">H119+I119</f>
        <v>0</v>
      </c>
      <c r="K119" s="24"/>
    </row>
    <row r="120" spans="1:13" x14ac:dyDescent="0.15">
      <c r="A120" s="3" t="s">
        <v>1</v>
      </c>
      <c r="B120" s="11">
        <v>10</v>
      </c>
      <c r="C120" s="11">
        <v>10</v>
      </c>
      <c r="D120" s="17">
        <f t="shared" si="42"/>
        <v>20</v>
      </c>
      <c r="E120" s="24">
        <v>45694</v>
      </c>
      <c r="G120" s="3" t="s">
        <v>1</v>
      </c>
      <c r="H120" s="11"/>
      <c r="I120" s="11"/>
      <c r="J120" s="17">
        <f t="shared" si="43"/>
        <v>0</v>
      </c>
      <c r="K120" s="9"/>
    </row>
    <row r="121" spans="1:13" x14ac:dyDescent="0.15">
      <c r="A121" s="3" t="s">
        <v>1</v>
      </c>
      <c r="B121" s="11">
        <v>5</v>
      </c>
      <c r="C121" s="11">
        <v>10</v>
      </c>
      <c r="D121" s="17">
        <f t="shared" si="42"/>
        <v>15</v>
      </c>
      <c r="E121" s="24">
        <v>45709</v>
      </c>
      <c r="G121" s="3" t="s">
        <v>1</v>
      </c>
      <c r="H121" s="11"/>
      <c r="I121" s="11"/>
      <c r="J121" s="17">
        <f t="shared" si="43"/>
        <v>0</v>
      </c>
      <c r="K121" s="9"/>
    </row>
    <row r="122" spans="1:13" x14ac:dyDescent="0.15">
      <c r="A122" s="3" t="s">
        <v>1</v>
      </c>
      <c r="B122" s="11"/>
      <c r="C122" s="11"/>
      <c r="D122" s="17">
        <f t="shared" si="42"/>
        <v>0</v>
      </c>
      <c r="G122" s="3" t="s">
        <v>1</v>
      </c>
      <c r="H122" s="11"/>
      <c r="I122" s="11"/>
      <c r="J122" s="17">
        <f t="shared" ref="J122:J143" si="44">H122+I122</f>
        <v>0</v>
      </c>
      <c r="K122" s="9"/>
    </row>
    <row r="123" spans="1:13" ht="14.25" thickBot="1" x14ac:dyDescent="0.2">
      <c r="A123" s="4" t="s">
        <v>1</v>
      </c>
      <c r="B123" s="26"/>
      <c r="C123" s="26"/>
      <c r="D123" s="19">
        <f t="shared" si="42"/>
        <v>0</v>
      </c>
      <c r="G123" s="4" t="s">
        <v>1</v>
      </c>
      <c r="H123" s="26"/>
      <c r="I123" s="26"/>
      <c r="J123" s="19">
        <f t="shared" si="44"/>
        <v>0</v>
      </c>
    </row>
    <row r="124" spans="1:13" ht="14.25" thickBot="1" x14ac:dyDescent="0.2">
      <c r="A124" s="8" t="s">
        <v>2</v>
      </c>
      <c r="B124" s="20">
        <f>SUM(B118:B123)</f>
        <v>28</v>
      </c>
      <c r="C124" s="20">
        <f>SUM(C118:C123)</f>
        <v>31</v>
      </c>
      <c r="D124" s="31">
        <f t="shared" si="42"/>
        <v>59</v>
      </c>
      <c r="G124" s="8" t="s">
        <v>2</v>
      </c>
      <c r="H124" s="20">
        <f>SUM(H118:H123)</f>
        <v>705</v>
      </c>
      <c r="I124" s="20">
        <f t="shared" ref="I124" si="45">SUM(I118:I123)</f>
        <v>600</v>
      </c>
      <c r="J124" s="31">
        <f t="shared" ref="J124" si="46">SUM(J118:J123)</f>
        <v>1305</v>
      </c>
    </row>
    <row r="125" spans="1:13" x14ac:dyDescent="0.15">
      <c r="A125" s="12" t="s">
        <v>144</v>
      </c>
      <c r="B125" s="25">
        <v>1</v>
      </c>
      <c r="C125" s="25"/>
      <c r="D125" s="21">
        <f t="shared" si="42"/>
        <v>1</v>
      </c>
      <c r="E125" s="24">
        <v>45687</v>
      </c>
      <c r="G125" s="12" t="s">
        <v>25</v>
      </c>
      <c r="H125" s="11">
        <v>5</v>
      </c>
      <c r="I125" s="11">
        <v>5</v>
      </c>
      <c r="J125" s="17">
        <f t="shared" si="44"/>
        <v>10</v>
      </c>
      <c r="K125" s="24">
        <v>45681</v>
      </c>
      <c r="L125" s="9"/>
      <c r="M125" s="9"/>
    </row>
    <row r="126" spans="1:13" x14ac:dyDescent="0.15">
      <c r="A126" s="12" t="s">
        <v>148</v>
      </c>
      <c r="B126" s="11">
        <v>1</v>
      </c>
      <c r="C126" s="11">
        <v>1</v>
      </c>
      <c r="D126" s="17">
        <f t="shared" si="42"/>
        <v>2</v>
      </c>
      <c r="E126" s="24">
        <v>45691</v>
      </c>
      <c r="G126" s="12" t="s">
        <v>141</v>
      </c>
      <c r="H126" s="11">
        <v>10</v>
      </c>
      <c r="I126" s="11">
        <v>2</v>
      </c>
      <c r="J126" s="17">
        <f t="shared" ref="J126" si="47">H126+I126</f>
        <v>12</v>
      </c>
      <c r="K126" s="24">
        <v>45686</v>
      </c>
      <c r="L126" s="9"/>
      <c r="M126" s="9"/>
    </row>
    <row r="127" spans="1:13" x14ac:dyDescent="0.15">
      <c r="A127" s="12" t="s">
        <v>149</v>
      </c>
      <c r="B127" s="11">
        <v>2</v>
      </c>
      <c r="C127" s="11"/>
      <c r="D127" s="17">
        <f t="shared" si="42"/>
        <v>2</v>
      </c>
      <c r="E127" s="24">
        <v>45693</v>
      </c>
      <c r="G127" s="13" t="s">
        <v>143</v>
      </c>
      <c r="H127" s="11"/>
      <c r="I127" s="11">
        <v>2</v>
      </c>
      <c r="J127" s="17">
        <f t="shared" si="44"/>
        <v>2</v>
      </c>
      <c r="K127" s="24">
        <v>45686</v>
      </c>
      <c r="L127" s="9"/>
      <c r="M127" s="9"/>
    </row>
    <row r="128" spans="1:13" x14ac:dyDescent="0.15">
      <c r="A128" s="12" t="s">
        <v>152</v>
      </c>
      <c r="B128" s="11">
        <v>2</v>
      </c>
      <c r="C128" s="11"/>
      <c r="D128" s="17">
        <f t="shared" si="42"/>
        <v>2</v>
      </c>
      <c r="E128" s="24">
        <v>45694</v>
      </c>
      <c r="G128" s="5" t="s">
        <v>145</v>
      </c>
      <c r="H128" s="11">
        <v>12</v>
      </c>
      <c r="I128" s="11">
        <v>8</v>
      </c>
      <c r="J128" s="17">
        <f t="shared" si="44"/>
        <v>20</v>
      </c>
      <c r="K128" s="24">
        <v>45688</v>
      </c>
      <c r="L128" s="9"/>
      <c r="M128" s="9"/>
    </row>
    <row r="129" spans="1:13" x14ac:dyDescent="0.15">
      <c r="A129" s="12" t="s">
        <v>153</v>
      </c>
      <c r="B129" s="11">
        <v>3</v>
      </c>
      <c r="C129" s="11"/>
      <c r="D129" s="17">
        <f t="shared" si="42"/>
        <v>3</v>
      </c>
      <c r="E129" s="24">
        <v>45695</v>
      </c>
      <c r="G129" s="12" t="s">
        <v>146</v>
      </c>
      <c r="H129" s="11">
        <v>3</v>
      </c>
      <c r="I129" s="11">
        <v>1</v>
      </c>
      <c r="J129" s="17">
        <f t="shared" si="44"/>
        <v>4</v>
      </c>
      <c r="K129" s="24">
        <v>45688</v>
      </c>
      <c r="L129" s="9"/>
      <c r="M129" s="9"/>
    </row>
    <row r="130" spans="1:13" x14ac:dyDescent="0.15">
      <c r="A130" s="12" t="s">
        <v>154</v>
      </c>
      <c r="B130" s="11">
        <v>4</v>
      </c>
      <c r="C130" s="11">
        <v>1</v>
      </c>
      <c r="D130" s="17">
        <f t="shared" si="42"/>
        <v>5</v>
      </c>
      <c r="E130" s="24">
        <v>45695</v>
      </c>
      <c r="G130" s="13" t="s">
        <v>147</v>
      </c>
      <c r="H130" s="11"/>
      <c r="I130" s="11">
        <v>3</v>
      </c>
      <c r="J130" s="17">
        <f t="shared" si="44"/>
        <v>3</v>
      </c>
      <c r="K130" s="24">
        <v>45699</v>
      </c>
      <c r="L130" s="9"/>
      <c r="M130" s="9"/>
    </row>
    <row r="131" spans="1:13" x14ac:dyDescent="0.15">
      <c r="A131" s="12" t="s">
        <v>155</v>
      </c>
      <c r="B131" s="11"/>
      <c r="C131" s="11">
        <v>1</v>
      </c>
      <c r="D131" s="17">
        <f t="shared" si="42"/>
        <v>1</v>
      </c>
      <c r="E131" s="24">
        <v>45698</v>
      </c>
      <c r="G131" s="5" t="s">
        <v>150</v>
      </c>
      <c r="H131" s="11">
        <v>1</v>
      </c>
      <c r="I131" s="11">
        <v>10</v>
      </c>
      <c r="J131" s="17">
        <f t="shared" si="44"/>
        <v>11</v>
      </c>
      <c r="K131" s="24">
        <v>45692</v>
      </c>
      <c r="L131" s="9"/>
      <c r="M131" s="9"/>
    </row>
    <row r="132" spans="1:13" x14ac:dyDescent="0.15">
      <c r="A132" s="12" t="s">
        <v>159</v>
      </c>
      <c r="B132" s="11">
        <v>2</v>
      </c>
      <c r="C132" s="11"/>
      <c r="D132" s="17">
        <f t="shared" si="42"/>
        <v>2</v>
      </c>
      <c r="E132" s="24">
        <v>45700</v>
      </c>
      <c r="G132" s="6" t="s">
        <v>151</v>
      </c>
      <c r="H132" s="11"/>
      <c r="I132" s="11">
        <v>10</v>
      </c>
      <c r="J132" s="17">
        <f t="shared" si="44"/>
        <v>10</v>
      </c>
      <c r="K132" s="24">
        <v>45695</v>
      </c>
      <c r="L132" s="9"/>
      <c r="M132" s="9"/>
    </row>
    <row r="133" spans="1:13" x14ac:dyDescent="0.15">
      <c r="A133" s="12" t="s">
        <v>158</v>
      </c>
      <c r="B133" s="11">
        <v>1</v>
      </c>
      <c r="C133" s="11">
        <v>2</v>
      </c>
      <c r="D133" s="17">
        <f t="shared" si="42"/>
        <v>3</v>
      </c>
      <c r="E133" s="24">
        <v>45702</v>
      </c>
      <c r="G133" s="12" t="s">
        <v>25</v>
      </c>
      <c r="H133" s="11">
        <v>10</v>
      </c>
      <c r="I133" s="11">
        <v>10</v>
      </c>
      <c r="J133" s="17">
        <f t="shared" si="44"/>
        <v>20</v>
      </c>
      <c r="K133" s="24">
        <v>45694</v>
      </c>
      <c r="L133" s="9"/>
      <c r="M133" s="9"/>
    </row>
    <row r="134" spans="1:13" x14ac:dyDescent="0.15">
      <c r="A134" s="12" t="s">
        <v>161</v>
      </c>
      <c r="B134" s="11">
        <v>1</v>
      </c>
      <c r="C134" s="11"/>
      <c r="D134" s="17">
        <f t="shared" si="42"/>
        <v>1</v>
      </c>
      <c r="E134" s="24">
        <v>45705</v>
      </c>
      <c r="G134" s="12" t="s">
        <v>156</v>
      </c>
      <c r="H134" s="11">
        <v>3</v>
      </c>
      <c r="I134" s="11">
        <v>4</v>
      </c>
      <c r="J134" s="17">
        <f t="shared" si="44"/>
        <v>7</v>
      </c>
      <c r="K134" s="24">
        <v>45702</v>
      </c>
      <c r="L134" s="9"/>
      <c r="M134" s="9"/>
    </row>
    <row r="135" spans="1:13" x14ac:dyDescent="0.15">
      <c r="A135" s="6" t="s">
        <v>40</v>
      </c>
      <c r="B135" s="11"/>
      <c r="C135" s="11">
        <v>1</v>
      </c>
      <c r="D135" s="17">
        <f t="shared" si="42"/>
        <v>1</v>
      </c>
      <c r="E135" s="24">
        <v>45703</v>
      </c>
      <c r="F135" s="9"/>
      <c r="G135" s="6" t="s">
        <v>157</v>
      </c>
      <c r="H135" s="11">
        <v>10</v>
      </c>
      <c r="I135" s="11"/>
      <c r="J135" s="17">
        <f t="shared" si="44"/>
        <v>10</v>
      </c>
      <c r="K135" s="24">
        <v>45706</v>
      </c>
      <c r="L135" s="9"/>
      <c r="M135" s="9"/>
    </row>
    <row r="136" spans="1:13" x14ac:dyDescent="0.15">
      <c r="A136" s="6" t="s">
        <v>162</v>
      </c>
      <c r="B136" s="11"/>
      <c r="C136" s="11">
        <v>4</v>
      </c>
      <c r="D136" s="17">
        <f t="shared" si="42"/>
        <v>4</v>
      </c>
      <c r="E136" s="24">
        <v>45709</v>
      </c>
      <c r="F136" s="9"/>
      <c r="G136" s="6" t="s">
        <v>160</v>
      </c>
      <c r="H136" s="11"/>
      <c r="I136" s="11">
        <v>5</v>
      </c>
      <c r="J136" s="17">
        <f t="shared" si="44"/>
        <v>5</v>
      </c>
      <c r="K136" s="24">
        <v>45706</v>
      </c>
      <c r="L136" s="9"/>
      <c r="M136" s="9"/>
    </row>
    <row r="137" spans="1:13" x14ac:dyDescent="0.15">
      <c r="A137" s="12"/>
      <c r="B137" s="11"/>
      <c r="C137" s="11"/>
      <c r="D137" s="17">
        <f t="shared" ref="D137" si="48">B137+C137</f>
        <v>0</v>
      </c>
      <c r="F137" s="9"/>
      <c r="G137" s="13" t="s">
        <v>163</v>
      </c>
      <c r="H137" s="11">
        <v>3</v>
      </c>
      <c r="I137" s="11">
        <v>3</v>
      </c>
      <c r="J137" s="17">
        <f t="shared" ref="J137" si="49">H137+I137</f>
        <v>6</v>
      </c>
      <c r="K137" s="24">
        <v>45713</v>
      </c>
      <c r="L137" s="9"/>
      <c r="M137" s="9"/>
    </row>
    <row r="138" spans="1:13" x14ac:dyDescent="0.15">
      <c r="A138" s="12"/>
      <c r="B138" s="11"/>
      <c r="C138" s="11"/>
      <c r="D138" s="17">
        <f t="shared" si="42"/>
        <v>0</v>
      </c>
      <c r="G138" s="12" t="s">
        <v>25</v>
      </c>
      <c r="H138" s="11">
        <v>5</v>
      </c>
      <c r="I138" s="11">
        <v>10</v>
      </c>
      <c r="J138" s="17">
        <f t="shared" si="44"/>
        <v>15</v>
      </c>
      <c r="K138" s="24">
        <v>45709</v>
      </c>
      <c r="L138" s="9"/>
      <c r="M138" s="9"/>
    </row>
    <row r="139" spans="1:13" x14ac:dyDescent="0.15">
      <c r="A139" s="5"/>
      <c r="B139" s="11"/>
      <c r="C139" s="11"/>
      <c r="D139" s="17">
        <f t="shared" si="42"/>
        <v>0</v>
      </c>
      <c r="G139" s="12" t="s">
        <v>165</v>
      </c>
      <c r="H139" s="11">
        <v>11</v>
      </c>
      <c r="I139" s="11">
        <v>7</v>
      </c>
      <c r="J139" s="17">
        <f t="shared" si="44"/>
        <v>18</v>
      </c>
      <c r="K139" s="24">
        <v>45709</v>
      </c>
      <c r="L139" s="9"/>
      <c r="M139" s="9"/>
    </row>
    <row r="140" spans="1:13" x14ac:dyDescent="0.15">
      <c r="A140" s="6"/>
      <c r="B140" s="11"/>
      <c r="C140" s="11"/>
      <c r="D140" s="17">
        <f t="shared" si="42"/>
        <v>0</v>
      </c>
      <c r="G140" s="6" t="s">
        <v>164</v>
      </c>
      <c r="H140" s="11"/>
      <c r="I140" s="11">
        <v>10</v>
      </c>
      <c r="J140" s="17">
        <f t="shared" si="44"/>
        <v>10</v>
      </c>
      <c r="K140" s="24">
        <v>45714</v>
      </c>
      <c r="L140" s="9"/>
    </row>
    <row r="141" spans="1:13" x14ac:dyDescent="0.15">
      <c r="A141" s="5"/>
      <c r="B141" s="11"/>
      <c r="C141" s="11"/>
      <c r="D141" s="17">
        <f t="shared" si="42"/>
        <v>0</v>
      </c>
      <c r="G141" s="12"/>
      <c r="H141" s="11"/>
      <c r="I141" s="11"/>
      <c r="J141" s="17">
        <f t="shared" ref="J141" si="50">H141+I141</f>
        <v>0</v>
      </c>
      <c r="K141" s="24"/>
    </row>
    <row r="142" spans="1:13" x14ac:dyDescent="0.15">
      <c r="A142" s="12"/>
      <c r="B142" s="11"/>
      <c r="C142" s="11"/>
      <c r="D142" s="17">
        <f t="shared" si="42"/>
        <v>0</v>
      </c>
      <c r="G142" s="12"/>
      <c r="H142" s="11"/>
      <c r="I142" s="11"/>
      <c r="J142" s="17">
        <f t="shared" si="44"/>
        <v>0</v>
      </c>
      <c r="K142" s="24"/>
    </row>
    <row r="143" spans="1:13" x14ac:dyDescent="0.15">
      <c r="A143" s="5"/>
      <c r="B143" s="11"/>
      <c r="C143" s="11"/>
      <c r="D143" s="17">
        <f t="shared" si="42"/>
        <v>0</v>
      </c>
      <c r="G143" s="5" t="s">
        <v>107</v>
      </c>
      <c r="H143" s="11"/>
      <c r="I143" s="11"/>
      <c r="J143" s="17">
        <f t="shared" si="44"/>
        <v>0</v>
      </c>
      <c r="K143" s="9" t="s">
        <v>108</v>
      </c>
    </row>
    <row r="144" spans="1:13" x14ac:dyDescent="0.15">
      <c r="A144" s="13"/>
      <c r="B144" s="11"/>
      <c r="C144" s="11"/>
      <c r="D144" s="17">
        <f t="shared" si="42"/>
        <v>0</v>
      </c>
      <c r="G144" s="51" t="s">
        <v>66</v>
      </c>
      <c r="H144" s="44"/>
      <c r="I144" s="44"/>
      <c r="J144" s="45">
        <f t="shared" ref="J144:J148" si="51">H144+I144</f>
        <v>0</v>
      </c>
      <c r="K144" s="9"/>
    </row>
    <row r="145" spans="1:12" x14ac:dyDescent="0.15">
      <c r="A145" s="5"/>
      <c r="B145" s="11"/>
      <c r="C145" s="11"/>
      <c r="D145" s="17">
        <f t="shared" si="42"/>
        <v>0</v>
      </c>
      <c r="G145" s="13" t="s">
        <v>18</v>
      </c>
      <c r="H145" s="11"/>
      <c r="I145" s="11"/>
      <c r="J145" s="17">
        <f t="shared" si="51"/>
        <v>0</v>
      </c>
      <c r="K145" s="9" t="s">
        <v>24</v>
      </c>
    </row>
    <row r="146" spans="1:12" x14ac:dyDescent="0.15">
      <c r="A146" s="7"/>
      <c r="B146" s="11"/>
      <c r="C146" s="11"/>
      <c r="D146" s="17">
        <f t="shared" si="42"/>
        <v>0</v>
      </c>
      <c r="G146" s="5" t="s">
        <v>104</v>
      </c>
      <c r="H146" s="11"/>
      <c r="I146" s="11"/>
      <c r="J146" s="17">
        <f t="shared" si="51"/>
        <v>0</v>
      </c>
      <c r="K146" s="9" t="s">
        <v>105</v>
      </c>
    </row>
    <row r="147" spans="1:12" x14ac:dyDescent="0.15">
      <c r="A147" s="13"/>
      <c r="B147" s="11"/>
      <c r="C147" s="11"/>
      <c r="D147" s="17">
        <f t="shared" si="42"/>
        <v>0</v>
      </c>
      <c r="G147" s="4" t="s">
        <v>70</v>
      </c>
      <c r="H147" s="44"/>
      <c r="I147" s="44"/>
      <c r="J147" s="45">
        <f t="shared" si="51"/>
        <v>0</v>
      </c>
      <c r="K147" s="46"/>
    </row>
    <row r="148" spans="1:12" ht="14.25" thickBot="1" x14ac:dyDescent="0.2">
      <c r="A148" s="27"/>
      <c r="B148" s="26"/>
      <c r="C148" s="26"/>
      <c r="D148" s="19">
        <f t="shared" si="42"/>
        <v>0</v>
      </c>
      <c r="G148" s="27" t="s">
        <v>48</v>
      </c>
      <c r="H148" s="26"/>
      <c r="I148" s="26"/>
      <c r="J148" s="19">
        <f t="shared" si="51"/>
        <v>0</v>
      </c>
      <c r="K148" s="9" t="s">
        <v>49</v>
      </c>
    </row>
    <row r="149" spans="1:12" ht="14.25" thickBot="1" x14ac:dyDescent="0.2">
      <c r="A149" s="2" t="s">
        <v>3</v>
      </c>
      <c r="B149" s="18">
        <f>SUM(B125:B148)</f>
        <v>17</v>
      </c>
      <c r="C149" s="18">
        <f>SUM(C125:C148)</f>
        <v>10</v>
      </c>
      <c r="D149" s="18">
        <f t="shared" si="42"/>
        <v>27</v>
      </c>
      <c r="G149" s="2" t="s">
        <v>3</v>
      </c>
      <c r="H149" s="18">
        <f>SUM(H125:H148)</f>
        <v>73</v>
      </c>
      <c r="I149" s="18">
        <f t="shared" ref="I149" si="52">SUM(I125:I148)</f>
        <v>90</v>
      </c>
      <c r="J149" s="18">
        <f t="shared" ref="J149" si="53">SUM(J125:J148)</f>
        <v>163</v>
      </c>
    </row>
    <row r="150" spans="1:12" ht="14.25" thickBot="1" x14ac:dyDescent="0.2">
      <c r="A150" s="28" t="s">
        <v>4</v>
      </c>
      <c r="B150" s="29">
        <f>B124-B149</f>
        <v>11</v>
      </c>
      <c r="C150" s="29">
        <f>C124-C149</f>
        <v>21</v>
      </c>
      <c r="D150" s="30">
        <f t="shared" si="42"/>
        <v>32</v>
      </c>
      <c r="G150" s="28" t="s">
        <v>4</v>
      </c>
      <c r="H150" s="29">
        <f>H124-H149</f>
        <v>632</v>
      </c>
      <c r="I150" s="29">
        <f t="shared" ref="I150" si="54">I124-I149</f>
        <v>510</v>
      </c>
      <c r="J150" s="42">
        <f t="shared" ref="J150" si="55">J124-J149</f>
        <v>1142</v>
      </c>
    </row>
    <row r="153" spans="1:12" ht="18.75" x14ac:dyDescent="0.2">
      <c r="A153" s="34" t="s">
        <v>7</v>
      </c>
      <c r="B153" s="35"/>
      <c r="C153" s="35"/>
      <c r="D153" s="35"/>
      <c r="E153" s="35"/>
      <c r="G153" s="36" t="s">
        <v>8</v>
      </c>
      <c r="H153" s="37"/>
      <c r="I153" s="37"/>
      <c r="J153" s="37"/>
      <c r="K153" s="38"/>
    </row>
    <row r="154" spans="1:12" ht="14.25" thickBot="1" x14ac:dyDescent="0.2">
      <c r="A154" s="1"/>
      <c r="B154" s="1"/>
      <c r="C154" s="1"/>
      <c r="D154" s="1"/>
      <c r="G154" s="1"/>
      <c r="H154" s="1"/>
      <c r="I154" s="1"/>
      <c r="J154" s="1"/>
    </row>
    <row r="155" spans="1:12" ht="14.25" thickBot="1" x14ac:dyDescent="0.2">
      <c r="A155" s="2"/>
      <c r="B155" s="2" t="s">
        <v>6</v>
      </c>
      <c r="C155" s="2" t="s">
        <v>9</v>
      </c>
      <c r="D155" s="2" t="s">
        <v>0</v>
      </c>
      <c r="G155" s="2"/>
      <c r="H155" s="2" t="s">
        <v>6</v>
      </c>
      <c r="I155" s="2" t="s">
        <v>9</v>
      </c>
      <c r="J155" s="2" t="s">
        <v>0</v>
      </c>
    </row>
    <row r="156" spans="1:12" x14ac:dyDescent="0.15">
      <c r="A156" s="14" t="s">
        <v>4</v>
      </c>
      <c r="B156" s="32">
        <f>B150</f>
        <v>11</v>
      </c>
      <c r="C156" s="32">
        <f>C150</f>
        <v>21</v>
      </c>
      <c r="D156" s="33">
        <f>B156+C156</f>
        <v>32</v>
      </c>
      <c r="G156" s="14" t="s">
        <v>4</v>
      </c>
      <c r="H156" s="32">
        <f>H150</f>
        <v>632</v>
      </c>
      <c r="I156" s="32">
        <f t="shared" ref="I156:J156" si="56">I150</f>
        <v>510</v>
      </c>
      <c r="J156" s="33">
        <f t="shared" si="56"/>
        <v>1142</v>
      </c>
      <c r="K156" s="9"/>
    </row>
    <row r="157" spans="1:12" x14ac:dyDescent="0.15">
      <c r="A157" s="3" t="s">
        <v>1</v>
      </c>
      <c r="B157" s="11"/>
      <c r="C157" s="11">
        <v>3</v>
      </c>
      <c r="D157" s="17">
        <f t="shared" ref="D157:D188" si="57">B157+C157</f>
        <v>3</v>
      </c>
      <c r="E157" s="24">
        <v>45722</v>
      </c>
      <c r="G157" s="3" t="s">
        <v>1</v>
      </c>
      <c r="H157" s="11">
        <v>5</v>
      </c>
      <c r="I157" s="11">
        <v>15</v>
      </c>
      <c r="J157" s="17">
        <f t="shared" ref="J157" si="58">H157+I157</f>
        <v>20</v>
      </c>
      <c r="K157" s="43">
        <v>45717</v>
      </c>
    </row>
    <row r="158" spans="1:12" x14ac:dyDescent="0.15">
      <c r="A158" s="3" t="s">
        <v>1</v>
      </c>
      <c r="B158" s="11">
        <v>5</v>
      </c>
      <c r="C158" s="11">
        <v>5</v>
      </c>
      <c r="D158" s="17">
        <f t="shared" si="57"/>
        <v>10</v>
      </c>
      <c r="E158" s="24">
        <v>45727</v>
      </c>
      <c r="G158" s="3" t="s">
        <v>1</v>
      </c>
      <c r="H158" s="11"/>
      <c r="I158" s="11"/>
      <c r="J158" s="17">
        <f t="shared" ref="J158" si="59">H158+I158</f>
        <v>0</v>
      </c>
      <c r="K158" s="9"/>
      <c r="L158" s="9"/>
    </row>
    <row r="159" spans="1:12" x14ac:dyDescent="0.15">
      <c r="A159" s="3" t="s">
        <v>56</v>
      </c>
      <c r="B159" s="11"/>
      <c r="C159" s="11">
        <v>2</v>
      </c>
      <c r="D159" s="17">
        <f t="shared" si="57"/>
        <v>2</v>
      </c>
      <c r="E159" s="24">
        <v>45729</v>
      </c>
      <c r="G159" s="3" t="s">
        <v>1</v>
      </c>
      <c r="H159" s="11"/>
      <c r="I159" s="11"/>
      <c r="J159" s="17">
        <f t="shared" ref="J159" si="60">H159+I159</f>
        <v>0</v>
      </c>
      <c r="K159" s="9"/>
    </row>
    <row r="160" spans="1:12" x14ac:dyDescent="0.15">
      <c r="A160" s="3" t="s">
        <v>1</v>
      </c>
      <c r="B160" s="11">
        <v>3</v>
      </c>
      <c r="C160" s="11"/>
      <c r="D160" s="17">
        <f t="shared" si="57"/>
        <v>3</v>
      </c>
      <c r="E160" s="24">
        <v>45741</v>
      </c>
      <c r="G160" s="3" t="s">
        <v>1</v>
      </c>
      <c r="H160" s="11"/>
      <c r="I160" s="11"/>
      <c r="J160" s="17">
        <f t="shared" ref="J160:J184" si="61">H160+I160</f>
        <v>0</v>
      </c>
      <c r="K160" s="9"/>
    </row>
    <row r="161" spans="1:13" ht="14.25" thickBot="1" x14ac:dyDescent="0.2">
      <c r="A161" s="4" t="s">
        <v>1</v>
      </c>
      <c r="B161" s="26">
        <v>3</v>
      </c>
      <c r="C161" s="26"/>
      <c r="D161" s="19">
        <f t="shared" si="57"/>
        <v>3</v>
      </c>
      <c r="E161" s="24">
        <v>45757</v>
      </c>
      <c r="G161" s="4" t="s">
        <v>1</v>
      </c>
      <c r="H161" s="26"/>
      <c r="I161" s="26"/>
      <c r="J161" s="19">
        <f t="shared" si="61"/>
        <v>0</v>
      </c>
    </row>
    <row r="162" spans="1:13" ht="14.25" thickBot="1" x14ac:dyDescent="0.2">
      <c r="A162" s="8" t="s">
        <v>2</v>
      </c>
      <c r="B162" s="20">
        <f>SUM(B156:B161)</f>
        <v>22</v>
      </c>
      <c r="C162" s="20">
        <f>SUM(C156:C161)</f>
        <v>31</v>
      </c>
      <c r="D162" s="31">
        <f t="shared" si="57"/>
        <v>53</v>
      </c>
      <c r="G162" s="8" t="s">
        <v>2</v>
      </c>
      <c r="H162" s="20">
        <f>SUM(H156:H161)</f>
        <v>637</v>
      </c>
      <c r="I162" s="20">
        <f t="shared" ref="I162" si="62">SUM(I156:I161)</f>
        <v>525</v>
      </c>
      <c r="J162" s="31">
        <f t="shared" ref="J162" si="63">SUM(J156:J161)</f>
        <v>1162</v>
      </c>
    </row>
    <row r="163" spans="1:13" x14ac:dyDescent="0.15">
      <c r="A163" s="12" t="s">
        <v>172</v>
      </c>
      <c r="B163" s="11">
        <v>5</v>
      </c>
      <c r="C163" s="11">
        <v>15</v>
      </c>
      <c r="D163" s="17">
        <f t="shared" ref="D163" si="64">B163+C163</f>
        <v>20</v>
      </c>
      <c r="E163" s="43">
        <v>45717</v>
      </c>
      <c r="G163" s="5" t="s">
        <v>169</v>
      </c>
      <c r="H163" s="11">
        <v>12</v>
      </c>
      <c r="I163" s="11">
        <v>4</v>
      </c>
      <c r="J163" s="17">
        <f t="shared" ref="J163:J164" si="65">H163+I163</f>
        <v>16</v>
      </c>
      <c r="K163" s="24">
        <v>45716</v>
      </c>
    </row>
    <row r="164" spans="1:13" x14ac:dyDescent="0.15">
      <c r="A164" s="12" t="s">
        <v>175</v>
      </c>
      <c r="B164" s="11"/>
      <c r="C164" s="11">
        <v>2</v>
      </c>
      <c r="D164" s="17">
        <f t="shared" si="57"/>
        <v>2</v>
      </c>
      <c r="E164" s="24">
        <v>45722</v>
      </c>
      <c r="G164" s="13" t="s">
        <v>168</v>
      </c>
      <c r="H164" s="11"/>
      <c r="I164" s="11">
        <v>5</v>
      </c>
      <c r="J164" s="17">
        <f t="shared" si="65"/>
        <v>5</v>
      </c>
      <c r="K164" s="24">
        <v>45723</v>
      </c>
      <c r="L164" s="9"/>
    </row>
    <row r="165" spans="1:13" x14ac:dyDescent="0.15">
      <c r="A165" s="12" t="s">
        <v>176</v>
      </c>
      <c r="B165" s="11"/>
      <c r="C165" s="11">
        <v>1</v>
      </c>
      <c r="D165" s="17">
        <f t="shared" si="57"/>
        <v>1</v>
      </c>
      <c r="E165" s="24">
        <v>45723</v>
      </c>
      <c r="G165" s="12" t="s">
        <v>170</v>
      </c>
      <c r="H165" s="11"/>
      <c r="I165" s="11">
        <v>10</v>
      </c>
      <c r="J165" s="17">
        <f t="shared" si="61"/>
        <v>10</v>
      </c>
      <c r="K165" s="24">
        <v>45716</v>
      </c>
      <c r="L165" s="9"/>
    </row>
    <row r="166" spans="1:13" x14ac:dyDescent="0.15">
      <c r="A166" s="12" t="s">
        <v>179</v>
      </c>
      <c r="B166" s="11">
        <v>1</v>
      </c>
      <c r="C166" s="11"/>
      <c r="D166" s="17">
        <f t="shared" si="57"/>
        <v>1</v>
      </c>
      <c r="E166" s="24">
        <v>45723</v>
      </c>
      <c r="G166" s="13" t="s">
        <v>171</v>
      </c>
      <c r="H166" s="11">
        <v>3</v>
      </c>
      <c r="I166" s="11"/>
      <c r="J166" s="17">
        <f t="shared" si="61"/>
        <v>3</v>
      </c>
      <c r="K166" s="24">
        <v>45723</v>
      </c>
      <c r="L166" s="9"/>
    </row>
    <row r="167" spans="1:13" x14ac:dyDescent="0.15">
      <c r="A167" s="12" t="s">
        <v>181</v>
      </c>
      <c r="B167" s="11">
        <v>2</v>
      </c>
      <c r="C167" s="11">
        <v>1</v>
      </c>
      <c r="D167" s="17">
        <f t="shared" si="57"/>
        <v>3</v>
      </c>
      <c r="E167" s="24">
        <v>45728</v>
      </c>
      <c r="G167" s="12" t="s">
        <v>173</v>
      </c>
      <c r="H167" s="11"/>
      <c r="I167" s="11">
        <v>4</v>
      </c>
      <c r="J167" s="17">
        <f t="shared" si="61"/>
        <v>4</v>
      </c>
      <c r="K167" s="24">
        <v>45721</v>
      </c>
      <c r="L167" s="9"/>
    </row>
    <row r="168" spans="1:13" x14ac:dyDescent="0.15">
      <c r="A168" s="12" t="s">
        <v>187</v>
      </c>
      <c r="B168" s="11">
        <v>3</v>
      </c>
      <c r="C168" s="11">
        <v>2</v>
      </c>
      <c r="D168" s="17">
        <f t="shared" si="57"/>
        <v>5</v>
      </c>
      <c r="E168" s="24">
        <v>45735</v>
      </c>
      <c r="G168" s="5" t="s">
        <v>174</v>
      </c>
      <c r="H168" s="11"/>
      <c r="I168" s="11">
        <v>8</v>
      </c>
      <c r="J168" s="17">
        <f t="shared" si="61"/>
        <v>8</v>
      </c>
      <c r="K168" s="24">
        <v>45720</v>
      </c>
      <c r="L168" s="9"/>
      <c r="M168" s="9"/>
    </row>
    <row r="169" spans="1:13" x14ac:dyDescent="0.15">
      <c r="A169" s="6" t="s">
        <v>40</v>
      </c>
      <c r="B169" s="11"/>
      <c r="C169" s="11">
        <v>1</v>
      </c>
      <c r="D169" s="17">
        <f t="shared" si="57"/>
        <v>1</v>
      </c>
      <c r="E169" s="24">
        <v>45733</v>
      </c>
      <c r="G169" s="12" t="s">
        <v>25</v>
      </c>
      <c r="H169" s="11"/>
      <c r="I169" s="11">
        <v>3</v>
      </c>
      <c r="J169" s="17">
        <f t="shared" si="61"/>
        <v>3</v>
      </c>
      <c r="K169" s="24">
        <v>45722</v>
      </c>
      <c r="L169" s="9"/>
      <c r="M169" s="9"/>
    </row>
    <row r="170" spans="1:13" x14ac:dyDescent="0.15">
      <c r="A170" s="12" t="s">
        <v>188</v>
      </c>
      <c r="B170" s="11">
        <v>1</v>
      </c>
      <c r="C170" s="11">
        <v>1</v>
      </c>
      <c r="D170" s="17">
        <f t="shared" si="57"/>
        <v>2</v>
      </c>
      <c r="E170" s="24">
        <v>45737</v>
      </c>
      <c r="G170" s="13" t="s">
        <v>177</v>
      </c>
      <c r="H170" s="11">
        <v>1</v>
      </c>
      <c r="I170" s="11"/>
      <c r="J170" s="17">
        <f t="shared" si="61"/>
        <v>1</v>
      </c>
      <c r="K170" s="24">
        <v>45729</v>
      </c>
      <c r="L170" s="9"/>
    </row>
    <row r="171" spans="1:13" x14ac:dyDescent="0.15">
      <c r="A171" s="12" t="s">
        <v>190</v>
      </c>
      <c r="B171" s="11"/>
      <c r="C171" s="11">
        <v>1</v>
      </c>
      <c r="D171" s="17">
        <f t="shared" si="57"/>
        <v>1</v>
      </c>
      <c r="E171" s="24">
        <v>45740</v>
      </c>
      <c r="G171" s="6" t="s">
        <v>178</v>
      </c>
      <c r="H171" s="11">
        <v>5</v>
      </c>
      <c r="I171" s="11"/>
      <c r="J171" s="17">
        <f t="shared" si="61"/>
        <v>5</v>
      </c>
      <c r="K171" s="24">
        <v>45728</v>
      </c>
      <c r="L171" s="9"/>
    </row>
    <row r="172" spans="1:13" x14ac:dyDescent="0.15">
      <c r="A172" s="12" t="s">
        <v>191</v>
      </c>
      <c r="B172" s="11"/>
      <c r="C172" s="11">
        <v>1</v>
      </c>
      <c r="D172" s="17">
        <f t="shared" si="57"/>
        <v>1</v>
      </c>
      <c r="E172" s="24">
        <v>45742</v>
      </c>
      <c r="G172" s="12" t="s">
        <v>180</v>
      </c>
      <c r="H172" s="11"/>
      <c r="I172" s="11">
        <v>2</v>
      </c>
      <c r="J172" s="17">
        <f t="shared" si="61"/>
        <v>2</v>
      </c>
      <c r="K172" s="24">
        <v>45726</v>
      </c>
      <c r="L172" s="9"/>
    </row>
    <row r="173" spans="1:13" x14ac:dyDescent="0.15">
      <c r="A173" s="12" t="s">
        <v>193</v>
      </c>
      <c r="B173" s="11">
        <v>1</v>
      </c>
      <c r="C173" s="11"/>
      <c r="D173" s="17">
        <f t="shared" si="57"/>
        <v>1</v>
      </c>
      <c r="E173" s="24">
        <v>45744</v>
      </c>
      <c r="G173" s="12" t="s">
        <v>25</v>
      </c>
      <c r="H173" s="11">
        <v>5</v>
      </c>
      <c r="I173" s="11">
        <v>5</v>
      </c>
      <c r="J173" s="17">
        <f t="shared" si="61"/>
        <v>10</v>
      </c>
      <c r="K173" s="24">
        <v>45727</v>
      </c>
      <c r="L173" s="9"/>
      <c r="M173" s="9"/>
    </row>
    <row r="174" spans="1:13" x14ac:dyDescent="0.15">
      <c r="A174" s="12" t="s">
        <v>196</v>
      </c>
      <c r="B174" s="11">
        <v>1</v>
      </c>
      <c r="C174" s="11"/>
      <c r="D174" s="17">
        <f t="shared" si="57"/>
        <v>1</v>
      </c>
      <c r="E174" s="24">
        <v>45754</v>
      </c>
      <c r="G174" s="12" t="s">
        <v>182</v>
      </c>
      <c r="H174" s="11">
        <v>4</v>
      </c>
      <c r="I174" s="11"/>
      <c r="J174" s="17">
        <f t="shared" si="61"/>
        <v>4</v>
      </c>
      <c r="K174" s="24">
        <v>45729</v>
      </c>
      <c r="L174" s="9"/>
      <c r="M174" s="9"/>
    </row>
    <row r="175" spans="1:13" x14ac:dyDescent="0.15">
      <c r="A175" s="12" t="s">
        <v>197</v>
      </c>
      <c r="B175" s="11">
        <v>2</v>
      </c>
      <c r="C175" s="11"/>
      <c r="D175" s="17">
        <f t="shared" si="57"/>
        <v>2</v>
      </c>
      <c r="E175" s="24">
        <v>45757</v>
      </c>
      <c r="G175" s="6" t="s">
        <v>183</v>
      </c>
      <c r="H175" s="11">
        <v>8</v>
      </c>
      <c r="I175" s="11"/>
      <c r="J175" s="17">
        <f t="shared" si="61"/>
        <v>8</v>
      </c>
      <c r="K175" s="24">
        <v>45735</v>
      </c>
      <c r="L175" s="9"/>
    </row>
    <row r="176" spans="1:13" x14ac:dyDescent="0.15">
      <c r="A176" s="12" t="s">
        <v>199</v>
      </c>
      <c r="B176" s="11">
        <v>1</v>
      </c>
      <c r="C176" s="11"/>
      <c r="D176" s="17">
        <f t="shared" si="57"/>
        <v>1</v>
      </c>
      <c r="E176" s="24">
        <v>45761</v>
      </c>
      <c r="G176" s="12" t="s">
        <v>184</v>
      </c>
      <c r="H176" s="11">
        <v>3</v>
      </c>
      <c r="I176" s="11">
        <v>1</v>
      </c>
      <c r="J176" s="17">
        <f t="shared" si="61"/>
        <v>4</v>
      </c>
      <c r="K176" s="24">
        <v>45730</v>
      </c>
      <c r="L176" s="9"/>
      <c r="M176" s="9"/>
    </row>
    <row r="177" spans="1:13" x14ac:dyDescent="0.15">
      <c r="A177" s="5"/>
      <c r="B177" s="11"/>
      <c r="C177" s="11"/>
      <c r="D177" s="17">
        <f t="shared" si="57"/>
        <v>0</v>
      </c>
      <c r="E177" s="9"/>
      <c r="G177" s="13" t="s">
        <v>185</v>
      </c>
      <c r="H177" s="11">
        <v>3</v>
      </c>
      <c r="I177" s="11">
        <v>2</v>
      </c>
      <c r="J177" s="17">
        <f t="shared" si="61"/>
        <v>5</v>
      </c>
      <c r="K177" s="24">
        <v>45735</v>
      </c>
      <c r="L177" s="9"/>
      <c r="M177" s="9"/>
    </row>
    <row r="178" spans="1:13" x14ac:dyDescent="0.15">
      <c r="A178" s="6"/>
      <c r="B178" s="11"/>
      <c r="C178" s="11"/>
      <c r="D178" s="17">
        <f t="shared" si="57"/>
        <v>0</v>
      </c>
      <c r="G178" s="6" t="s">
        <v>192</v>
      </c>
      <c r="H178" s="11">
        <v>3</v>
      </c>
      <c r="I178" s="11"/>
      <c r="J178" s="17">
        <f t="shared" si="61"/>
        <v>3</v>
      </c>
      <c r="K178" s="24">
        <v>45741</v>
      </c>
      <c r="L178" s="9"/>
      <c r="M178" s="9"/>
    </row>
    <row r="179" spans="1:13" x14ac:dyDescent="0.15">
      <c r="A179" s="5"/>
      <c r="B179" s="11"/>
      <c r="C179" s="11"/>
      <c r="D179" s="17">
        <f t="shared" si="57"/>
        <v>0</v>
      </c>
      <c r="E179" s="9"/>
      <c r="F179" s="9"/>
      <c r="G179" s="13" t="s">
        <v>194</v>
      </c>
      <c r="H179" s="11">
        <v>3</v>
      </c>
      <c r="I179" s="11">
        <v>3</v>
      </c>
      <c r="J179" s="17">
        <f t="shared" si="61"/>
        <v>6</v>
      </c>
      <c r="K179" s="24">
        <v>45758</v>
      </c>
      <c r="L179" s="9"/>
      <c r="M179" s="9"/>
    </row>
    <row r="180" spans="1:13" x14ac:dyDescent="0.15">
      <c r="A180" s="12"/>
      <c r="B180" s="11"/>
      <c r="C180" s="11"/>
      <c r="D180" s="17">
        <f t="shared" si="57"/>
        <v>0</v>
      </c>
      <c r="E180" s="9"/>
      <c r="F180" s="9"/>
      <c r="G180" s="6" t="s">
        <v>195</v>
      </c>
      <c r="H180" s="11"/>
      <c r="I180" s="11">
        <v>5</v>
      </c>
      <c r="J180" s="17">
        <f t="shared" si="61"/>
        <v>5</v>
      </c>
      <c r="K180" s="24">
        <v>45755</v>
      </c>
      <c r="L180" s="9"/>
      <c r="M180" s="9"/>
    </row>
    <row r="181" spans="1:13" x14ac:dyDescent="0.15">
      <c r="A181" s="5"/>
      <c r="B181" s="11"/>
      <c r="C181" s="11"/>
      <c r="D181" s="17">
        <f t="shared" si="57"/>
        <v>0</v>
      </c>
      <c r="E181" s="9"/>
      <c r="F181" s="9"/>
      <c r="G181" s="6" t="s">
        <v>25</v>
      </c>
      <c r="H181" s="11">
        <v>3</v>
      </c>
      <c r="I181" s="11"/>
      <c r="J181" s="17">
        <f t="shared" si="61"/>
        <v>3</v>
      </c>
      <c r="K181" s="24">
        <v>45757</v>
      </c>
      <c r="L181" s="9"/>
    </row>
    <row r="182" spans="1:13" x14ac:dyDescent="0.15">
      <c r="A182" s="13"/>
      <c r="B182" s="11"/>
      <c r="C182" s="11"/>
      <c r="D182" s="17">
        <f t="shared" si="57"/>
        <v>0</v>
      </c>
      <c r="E182" s="9"/>
      <c r="F182" s="9"/>
      <c r="G182" s="13" t="s">
        <v>198</v>
      </c>
      <c r="H182" s="11"/>
      <c r="I182" s="11">
        <v>2</v>
      </c>
      <c r="J182" s="17">
        <f t="shared" si="61"/>
        <v>2</v>
      </c>
      <c r="K182" s="24">
        <v>45770</v>
      </c>
      <c r="L182" s="9"/>
    </row>
    <row r="183" spans="1:13" x14ac:dyDescent="0.15">
      <c r="A183" s="5"/>
      <c r="B183" s="11"/>
      <c r="C183" s="11"/>
      <c r="D183" s="17">
        <f t="shared" si="57"/>
        <v>0</v>
      </c>
      <c r="E183" s="9"/>
      <c r="F183" s="9"/>
      <c r="G183" s="5"/>
      <c r="H183" s="11"/>
      <c r="I183" s="11"/>
      <c r="J183" s="17">
        <f t="shared" si="61"/>
        <v>0</v>
      </c>
      <c r="K183" s="9"/>
      <c r="L183" s="9"/>
    </row>
    <row r="184" spans="1:13" x14ac:dyDescent="0.15">
      <c r="A184" s="7"/>
      <c r="B184" s="11"/>
      <c r="C184" s="11"/>
      <c r="D184" s="17">
        <f t="shared" si="57"/>
        <v>0</v>
      </c>
      <c r="G184" s="5"/>
      <c r="H184" s="11"/>
      <c r="I184" s="11"/>
      <c r="J184" s="17">
        <f t="shared" si="61"/>
        <v>0</v>
      </c>
      <c r="K184" s="9"/>
    </row>
    <row r="185" spans="1:13" x14ac:dyDescent="0.15">
      <c r="A185" s="13"/>
      <c r="B185" s="11"/>
      <c r="C185" s="11"/>
      <c r="D185" s="17">
        <f t="shared" si="57"/>
        <v>0</v>
      </c>
      <c r="G185" s="5" t="s">
        <v>128</v>
      </c>
      <c r="H185" s="11"/>
      <c r="I185" s="11"/>
      <c r="J185" s="17">
        <f t="shared" ref="J185:J186" si="66">H185+I185</f>
        <v>0</v>
      </c>
      <c r="K185" s="9" t="s">
        <v>129</v>
      </c>
    </row>
    <row r="186" spans="1:13" ht="14.25" thickBot="1" x14ac:dyDescent="0.2">
      <c r="A186" s="27"/>
      <c r="B186" s="26"/>
      <c r="C186" s="26"/>
      <c r="D186" s="19">
        <f t="shared" si="57"/>
        <v>0</v>
      </c>
      <c r="G186" s="5" t="s">
        <v>126</v>
      </c>
      <c r="H186" s="11"/>
      <c r="I186" s="11"/>
      <c r="J186" s="17">
        <f t="shared" si="66"/>
        <v>0</v>
      </c>
      <c r="K186" s="9" t="s">
        <v>127</v>
      </c>
    </row>
    <row r="187" spans="1:13" ht="14.25" thickBot="1" x14ac:dyDescent="0.2">
      <c r="A187" s="2" t="s">
        <v>3</v>
      </c>
      <c r="B187" s="18">
        <f>SUM(B163:B186)</f>
        <v>17</v>
      </c>
      <c r="C187" s="18">
        <f>SUM(C163:C186)</f>
        <v>25</v>
      </c>
      <c r="D187" s="18">
        <f t="shared" si="57"/>
        <v>42</v>
      </c>
      <c r="G187" s="2" t="s">
        <v>3</v>
      </c>
      <c r="H187" s="18">
        <f>SUM(H163:H186)</f>
        <v>53</v>
      </c>
      <c r="I187" s="18">
        <f t="shared" ref="I187" si="67">SUM(I163:I186)</f>
        <v>54</v>
      </c>
      <c r="J187" s="18">
        <f t="shared" ref="J187" si="68">SUM(J163:J186)</f>
        <v>107</v>
      </c>
    </row>
    <row r="188" spans="1:13" ht="14.25" thickBot="1" x14ac:dyDescent="0.2">
      <c r="A188" s="28" t="s">
        <v>4</v>
      </c>
      <c r="B188" s="29">
        <f>B162-B187</f>
        <v>5</v>
      </c>
      <c r="C188" s="29">
        <f>C162-C187</f>
        <v>6</v>
      </c>
      <c r="D188" s="30">
        <f t="shared" si="57"/>
        <v>11</v>
      </c>
      <c r="G188" s="28" t="s">
        <v>4</v>
      </c>
      <c r="H188" s="29">
        <f>H162-H187</f>
        <v>584</v>
      </c>
      <c r="I188" s="29">
        <f t="shared" ref="I188" si="69">I162-I187</f>
        <v>471</v>
      </c>
      <c r="J188" s="42">
        <f t="shared" ref="J188" si="70">J162-J187</f>
        <v>1055</v>
      </c>
    </row>
    <row r="191" spans="1:13" ht="18.75" x14ac:dyDescent="0.2">
      <c r="A191" s="34" t="s">
        <v>7</v>
      </c>
      <c r="B191" s="35"/>
      <c r="C191" s="35"/>
      <c r="D191" s="35"/>
      <c r="E191" s="35"/>
      <c r="G191" s="36" t="s">
        <v>8</v>
      </c>
      <c r="H191" s="37"/>
      <c r="I191" s="37"/>
      <c r="J191" s="37"/>
      <c r="K191" s="38"/>
    </row>
    <row r="192" spans="1:13" ht="14.25" thickBot="1" x14ac:dyDescent="0.2">
      <c r="A192" s="1"/>
      <c r="B192" s="1"/>
      <c r="C192" s="1"/>
      <c r="D192" s="1"/>
      <c r="G192" s="1"/>
      <c r="H192" s="1"/>
      <c r="I192" s="1"/>
      <c r="J192" s="1"/>
    </row>
    <row r="193" spans="1:13" ht="14.25" thickBot="1" x14ac:dyDescent="0.2">
      <c r="A193" s="2"/>
      <c r="B193" s="2" t="s">
        <v>6</v>
      </c>
      <c r="C193" s="2" t="s">
        <v>9</v>
      </c>
      <c r="D193" s="2" t="s">
        <v>0</v>
      </c>
      <c r="G193" s="2"/>
      <c r="H193" s="2" t="s">
        <v>6</v>
      </c>
      <c r="I193" s="2" t="s">
        <v>9</v>
      </c>
      <c r="J193" s="2" t="s">
        <v>0</v>
      </c>
    </row>
    <row r="194" spans="1:13" x14ac:dyDescent="0.15">
      <c r="A194" s="14" t="s">
        <v>4</v>
      </c>
      <c r="B194" s="32">
        <f>B188</f>
        <v>5</v>
      </c>
      <c r="C194" s="32">
        <f>C188</f>
        <v>6</v>
      </c>
      <c r="D194" s="33">
        <f>B194+C194</f>
        <v>11</v>
      </c>
      <c r="G194" s="14" t="s">
        <v>4</v>
      </c>
      <c r="H194" s="32">
        <f>H188</f>
        <v>584</v>
      </c>
      <c r="I194" s="32">
        <f t="shared" ref="I194:J194" si="71">I188</f>
        <v>471</v>
      </c>
      <c r="J194" s="33">
        <f t="shared" si="71"/>
        <v>1055</v>
      </c>
      <c r="K194" s="9"/>
    </row>
    <row r="195" spans="1:13" x14ac:dyDescent="0.15">
      <c r="A195" s="3" t="s">
        <v>1</v>
      </c>
      <c r="B195" s="11">
        <v>3</v>
      </c>
      <c r="C195" s="11">
        <v>3</v>
      </c>
      <c r="D195" s="17">
        <f t="shared" ref="D195:D226" si="72">B195+C195</f>
        <v>6</v>
      </c>
      <c r="E195" s="24">
        <v>45772</v>
      </c>
      <c r="G195" s="3" t="s">
        <v>1</v>
      </c>
      <c r="H195" s="11"/>
      <c r="I195" s="11"/>
      <c r="J195" s="17">
        <f t="shared" ref="J195:J221" si="73">H195+I195</f>
        <v>0</v>
      </c>
      <c r="K195" s="9"/>
    </row>
    <row r="196" spans="1:13" x14ac:dyDescent="0.15">
      <c r="A196" s="3" t="s">
        <v>210</v>
      </c>
      <c r="B196" s="11"/>
      <c r="C196" s="11">
        <v>2</v>
      </c>
      <c r="D196" s="17">
        <f t="shared" si="72"/>
        <v>2</v>
      </c>
      <c r="E196" s="24">
        <v>45772</v>
      </c>
      <c r="G196" s="3" t="s">
        <v>1</v>
      </c>
      <c r="H196" s="11"/>
      <c r="I196" s="11"/>
      <c r="J196" s="17">
        <f t="shared" si="73"/>
        <v>0</v>
      </c>
      <c r="K196" s="9"/>
    </row>
    <row r="197" spans="1:13" x14ac:dyDescent="0.15">
      <c r="A197" s="3" t="s">
        <v>56</v>
      </c>
      <c r="B197" s="11"/>
      <c r="C197" s="11">
        <v>1</v>
      </c>
      <c r="D197" s="17">
        <f t="shared" si="72"/>
        <v>1</v>
      </c>
      <c r="E197" s="43">
        <v>45792</v>
      </c>
      <c r="G197" s="3" t="s">
        <v>1</v>
      </c>
      <c r="H197" s="11"/>
      <c r="I197" s="11"/>
      <c r="J197" s="17">
        <f t="shared" si="73"/>
        <v>0</v>
      </c>
      <c r="K197" s="9"/>
    </row>
    <row r="198" spans="1:13" x14ac:dyDescent="0.15">
      <c r="A198" s="3" t="s">
        <v>1</v>
      </c>
      <c r="B198" s="11"/>
      <c r="C198" s="11"/>
      <c r="D198" s="17">
        <f t="shared" si="72"/>
        <v>0</v>
      </c>
      <c r="G198" s="3" t="s">
        <v>1</v>
      </c>
      <c r="H198" s="11"/>
      <c r="I198" s="11"/>
      <c r="J198" s="17">
        <f t="shared" si="73"/>
        <v>0</v>
      </c>
      <c r="K198" s="9"/>
    </row>
    <row r="199" spans="1:13" ht="14.25" thickBot="1" x14ac:dyDescent="0.2">
      <c r="A199" s="4" t="s">
        <v>35</v>
      </c>
      <c r="B199" s="26">
        <v>-2</v>
      </c>
      <c r="C199" s="26">
        <v>-1</v>
      </c>
      <c r="D199" s="19">
        <f t="shared" si="72"/>
        <v>-3</v>
      </c>
      <c r="G199" s="4" t="s">
        <v>1</v>
      </c>
      <c r="H199" s="26"/>
      <c r="I199" s="26"/>
      <c r="J199" s="19">
        <f t="shared" si="73"/>
        <v>0</v>
      </c>
    </row>
    <row r="200" spans="1:13" ht="14.25" thickBot="1" x14ac:dyDescent="0.2">
      <c r="A200" s="8" t="s">
        <v>2</v>
      </c>
      <c r="B200" s="20">
        <f>SUM(B194:B199)</f>
        <v>6</v>
      </c>
      <c r="C200" s="20">
        <f>SUM(C194:C199)</f>
        <v>11</v>
      </c>
      <c r="D200" s="31">
        <f t="shared" si="72"/>
        <v>17</v>
      </c>
      <c r="G200" s="8" t="s">
        <v>2</v>
      </c>
      <c r="H200" s="20">
        <f>SUM(H194:H199)</f>
        <v>584</v>
      </c>
      <c r="I200" s="20">
        <f t="shared" ref="I200" si="74">SUM(I194:I199)</f>
        <v>471</v>
      </c>
      <c r="J200" s="31">
        <f t="shared" ref="J200" si="75">SUM(J194:J199)</f>
        <v>1055</v>
      </c>
    </row>
    <row r="201" spans="1:13" x14ac:dyDescent="0.15">
      <c r="A201" s="12" t="s">
        <v>202</v>
      </c>
      <c r="B201" s="25">
        <v>1</v>
      </c>
      <c r="C201" s="25">
        <v>2</v>
      </c>
      <c r="D201" s="21">
        <f t="shared" si="72"/>
        <v>3</v>
      </c>
      <c r="E201" s="24">
        <v>45770</v>
      </c>
      <c r="G201" s="5" t="s">
        <v>200</v>
      </c>
      <c r="H201" s="11"/>
      <c r="I201" s="11">
        <v>12</v>
      </c>
      <c r="J201" s="17">
        <f t="shared" ref="J201" si="76">H201+I201</f>
        <v>12</v>
      </c>
      <c r="K201" s="24">
        <v>45765</v>
      </c>
      <c r="L201" s="9"/>
    </row>
    <row r="202" spans="1:13" x14ac:dyDescent="0.15">
      <c r="A202" s="12" t="s">
        <v>212</v>
      </c>
      <c r="B202" s="11">
        <v>1</v>
      </c>
      <c r="C202" s="11"/>
      <c r="D202" s="17">
        <f t="shared" si="72"/>
        <v>1</v>
      </c>
      <c r="E202" s="24">
        <v>45779</v>
      </c>
      <c r="G202" s="13" t="s">
        <v>201</v>
      </c>
      <c r="H202" s="11"/>
      <c r="I202" s="11">
        <v>3</v>
      </c>
      <c r="J202" s="17">
        <f t="shared" si="73"/>
        <v>3</v>
      </c>
      <c r="K202" s="24">
        <v>45772</v>
      </c>
      <c r="L202" s="9"/>
      <c r="M202" s="9"/>
    </row>
    <row r="203" spans="1:13" x14ac:dyDescent="0.15">
      <c r="A203" s="12"/>
      <c r="B203" s="11"/>
      <c r="C203" s="11"/>
      <c r="D203" s="17">
        <f t="shared" si="72"/>
        <v>0</v>
      </c>
      <c r="E203" s="9"/>
      <c r="G203" s="5" t="s">
        <v>203</v>
      </c>
      <c r="H203" s="11">
        <v>9</v>
      </c>
      <c r="I203" s="11">
        <v>5</v>
      </c>
      <c r="J203" s="17">
        <f t="shared" si="73"/>
        <v>14</v>
      </c>
      <c r="K203" s="24">
        <v>45769</v>
      </c>
      <c r="L203" s="9"/>
      <c r="M203" s="9"/>
    </row>
    <row r="204" spans="1:13" x14ac:dyDescent="0.15">
      <c r="A204" s="12"/>
      <c r="B204" s="11"/>
      <c r="C204" s="11"/>
      <c r="D204" s="17">
        <f t="shared" si="72"/>
        <v>0</v>
      </c>
      <c r="E204" s="9"/>
      <c r="G204" s="12" t="s">
        <v>204</v>
      </c>
      <c r="H204" s="11">
        <v>9</v>
      </c>
      <c r="I204" s="11">
        <v>1</v>
      </c>
      <c r="J204" s="17">
        <f t="shared" si="73"/>
        <v>10</v>
      </c>
      <c r="K204" s="24">
        <v>45771</v>
      </c>
      <c r="L204" s="9"/>
    </row>
    <row r="205" spans="1:13" x14ac:dyDescent="0.15">
      <c r="A205" s="12"/>
      <c r="B205" s="11"/>
      <c r="C205" s="11"/>
      <c r="D205" s="17">
        <f t="shared" si="72"/>
        <v>0</v>
      </c>
      <c r="E205" s="9"/>
      <c r="G205" s="12" t="s">
        <v>205</v>
      </c>
      <c r="H205" s="11">
        <v>5</v>
      </c>
      <c r="I205" s="11">
        <v>6</v>
      </c>
      <c r="J205" s="17">
        <f t="shared" si="73"/>
        <v>11</v>
      </c>
      <c r="K205" s="24">
        <v>45772</v>
      </c>
      <c r="L205" s="9"/>
    </row>
    <row r="206" spans="1:13" x14ac:dyDescent="0.15">
      <c r="A206" s="12"/>
      <c r="B206" s="11"/>
      <c r="C206" s="11"/>
      <c r="D206" s="17">
        <f t="shared" si="72"/>
        <v>0</v>
      </c>
      <c r="G206" s="6" t="s">
        <v>25</v>
      </c>
      <c r="H206" s="11">
        <v>3</v>
      </c>
      <c r="I206" s="11">
        <v>3</v>
      </c>
      <c r="J206" s="17">
        <f t="shared" si="73"/>
        <v>6</v>
      </c>
      <c r="K206" s="24">
        <v>45772</v>
      </c>
      <c r="L206" s="9"/>
    </row>
    <row r="207" spans="1:13" x14ac:dyDescent="0.15">
      <c r="A207" s="12"/>
      <c r="B207" s="11"/>
      <c r="C207" s="11"/>
      <c r="D207" s="17">
        <f t="shared" si="72"/>
        <v>0</v>
      </c>
      <c r="G207" s="12" t="s">
        <v>206</v>
      </c>
      <c r="H207" s="11">
        <v>5</v>
      </c>
      <c r="I207" s="11">
        <v>6</v>
      </c>
      <c r="J207" s="17">
        <f t="shared" si="73"/>
        <v>11</v>
      </c>
      <c r="K207" s="24">
        <v>45772</v>
      </c>
      <c r="L207" s="9"/>
    </row>
    <row r="208" spans="1:13" x14ac:dyDescent="0.15">
      <c r="A208" s="12"/>
      <c r="B208" s="11"/>
      <c r="C208" s="11"/>
      <c r="D208" s="17">
        <f t="shared" si="72"/>
        <v>0</v>
      </c>
      <c r="G208" s="12" t="s">
        <v>207</v>
      </c>
      <c r="H208" s="11">
        <v>9</v>
      </c>
      <c r="I208" s="11">
        <v>8</v>
      </c>
      <c r="J208" s="17">
        <f t="shared" si="73"/>
        <v>17</v>
      </c>
      <c r="K208" s="24">
        <v>45777</v>
      </c>
      <c r="L208" s="9"/>
    </row>
    <row r="209" spans="1:13" x14ac:dyDescent="0.15">
      <c r="A209" s="12"/>
      <c r="B209" s="11"/>
      <c r="C209" s="11"/>
      <c r="D209" s="17">
        <f t="shared" si="72"/>
        <v>0</v>
      </c>
      <c r="G209" s="12" t="s">
        <v>209</v>
      </c>
      <c r="H209" s="11">
        <v>7</v>
      </c>
      <c r="I209" s="11">
        <v>2</v>
      </c>
      <c r="J209" s="17">
        <f t="shared" si="73"/>
        <v>9</v>
      </c>
      <c r="K209" s="24">
        <v>45779</v>
      </c>
      <c r="L209" s="9"/>
      <c r="M209" s="9"/>
    </row>
    <row r="210" spans="1:13" x14ac:dyDescent="0.15">
      <c r="A210" s="12"/>
      <c r="B210" s="11"/>
      <c r="C210" s="11"/>
      <c r="D210" s="17">
        <f t="shared" si="72"/>
        <v>0</v>
      </c>
      <c r="G210" s="12" t="s">
        <v>211</v>
      </c>
      <c r="H210" s="11">
        <v>5</v>
      </c>
      <c r="I210" s="11"/>
      <c r="J210" s="17">
        <f t="shared" si="73"/>
        <v>5</v>
      </c>
      <c r="K210" s="24">
        <v>45779</v>
      </c>
      <c r="L210" s="9"/>
    </row>
    <row r="211" spans="1:13" x14ac:dyDescent="0.15">
      <c r="A211" s="12"/>
      <c r="B211" s="11"/>
      <c r="C211" s="11"/>
      <c r="D211" s="17">
        <f t="shared" si="72"/>
        <v>0</v>
      </c>
      <c r="G211" s="13" t="s">
        <v>213</v>
      </c>
      <c r="H211" s="11">
        <v>3</v>
      </c>
      <c r="I211" s="11">
        <v>2</v>
      </c>
      <c r="J211" s="17">
        <f t="shared" si="73"/>
        <v>5</v>
      </c>
      <c r="K211" s="24">
        <v>45798</v>
      </c>
      <c r="L211" s="9"/>
      <c r="M211" s="9"/>
    </row>
    <row r="212" spans="1:13" x14ac:dyDescent="0.15">
      <c r="A212" s="12"/>
      <c r="B212" s="11"/>
      <c r="C212" s="11"/>
      <c r="D212" s="17">
        <f t="shared" si="72"/>
        <v>0</v>
      </c>
      <c r="G212" s="13" t="s">
        <v>216</v>
      </c>
      <c r="H212" s="11">
        <v>2</v>
      </c>
      <c r="I212" s="11">
        <v>2</v>
      </c>
      <c r="J212" s="17">
        <f t="shared" si="73"/>
        <v>4</v>
      </c>
      <c r="K212" s="24">
        <v>45803</v>
      </c>
      <c r="L212" s="9"/>
    </row>
    <row r="213" spans="1:13" x14ac:dyDescent="0.15">
      <c r="A213" s="12"/>
      <c r="B213" s="11"/>
      <c r="C213" s="11"/>
      <c r="D213" s="17">
        <f t="shared" si="72"/>
        <v>0</v>
      </c>
      <c r="G213" s="6" t="s">
        <v>219</v>
      </c>
      <c r="H213" s="11"/>
      <c r="I213" s="11">
        <v>5</v>
      </c>
      <c r="J213" s="17">
        <f t="shared" si="73"/>
        <v>5</v>
      </c>
      <c r="K213" s="24">
        <v>45811</v>
      </c>
      <c r="L213" s="9"/>
    </row>
    <row r="214" spans="1:13" x14ac:dyDescent="0.15">
      <c r="A214" s="12"/>
      <c r="B214" s="11"/>
      <c r="C214" s="11"/>
      <c r="D214" s="17">
        <f t="shared" si="72"/>
        <v>0</v>
      </c>
      <c r="G214" s="12"/>
      <c r="H214" s="11"/>
      <c r="I214" s="11"/>
      <c r="J214" s="17">
        <f t="shared" si="73"/>
        <v>0</v>
      </c>
      <c r="K214" s="24"/>
      <c r="L214" s="9"/>
    </row>
    <row r="215" spans="1:13" x14ac:dyDescent="0.15">
      <c r="A215" s="5"/>
      <c r="B215" s="11"/>
      <c r="C215" s="11"/>
      <c r="D215" s="17">
        <f t="shared" si="72"/>
        <v>0</v>
      </c>
      <c r="G215" s="5"/>
      <c r="H215" s="11"/>
      <c r="I215" s="11"/>
      <c r="J215" s="17">
        <f t="shared" si="73"/>
        <v>0</v>
      </c>
      <c r="K215" s="24"/>
      <c r="L215" s="9"/>
    </row>
    <row r="216" spans="1:13" x14ac:dyDescent="0.15">
      <c r="A216" s="6"/>
      <c r="B216" s="11"/>
      <c r="C216" s="11"/>
      <c r="D216" s="17">
        <f t="shared" si="72"/>
        <v>0</v>
      </c>
      <c r="G216" s="6"/>
      <c r="H216" s="11"/>
      <c r="I216" s="11"/>
      <c r="J216" s="17">
        <f t="shared" si="73"/>
        <v>0</v>
      </c>
      <c r="K216" s="24"/>
    </row>
    <row r="217" spans="1:13" x14ac:dyDescent="0.15">
      <c r="A217" s="5"/>
      <c r="B217" s="11"/>
      <c r="C217" s="11"/>
      <c r="D217" s="17">
        <f t="shared" si="72"/>
        <v>0</v>
      </c>
      <c r="G217" s="5"/>
      <c r="H217" s="11"/>
      <c r="I217" s="11"/>
      <c r="J217" s="17">
        <f t="shared" si="73"/>
        <v>0</v>
      </c>
      <c r="K217" s="24"/>
    </row>
    <row r="218" spans="1:13" x14ac:dyDescent="0.15">
      <c r="A218" s="12"/>
      <c r="B218" s="11"/>
      <c r="C218" s="11"/>
      <c r="D218" s="17">
        <f t="shared" si="72"/>
        <v>0</v>
      </c>
      <c r="G218" s="12"/>
      <c r="H218" s="11"/>
      <c r="I218" s="11"/>
      <c r="J218" s="17">
        <f t="shared" si="73"/>
        <v>0</v>
      </c>
      <c r="K218" s="24"/>
    </row>
    <row r="219" spans="1:13" x14ac:dyDescent="0.15">
      <c r="A219" s="5"/>
      <c r="B219" s="11"/>
      <c r="C219" s="11"/>
      <c r="D219" s="17">
        <f t="shared" si="72"/>
        <v>0</v>
      </c>
      <c r="G219" s="5"/>
      <c r="H219" s="11"/>
      <c r="I219" s="11"/>
      <c r="J219" s="17">
        <f t="shared" si="73"/>
        <v>0</v>
      </c>
      <c r="K219" s="9"/>
    </row>
    <row r="220" spans="1:13" x14ac:dyDescent="0.15">
      <c r="A220" s="13"/>
      <c r="B220" s="11"/>
      <c r="C220" s="11"/>
      <c r="D220" s="17">
        <f t="shared" si="72"/>
        <v>0</v>
      </c>
      <c r="G220" s="13"/>
      <c r="H220" s="11"/>
      <c r="I220" s="11"/>
      <c r="J220" s="17">
        <f t="shared" si="73"/>
        <v>0</v>
      </c>
      <c r="K220" s="9"/>
    </row>
    <row r="221" spans="1:13" x14ac:dyDescent="0.15">
      <c r="A221" s="5"/>
      <c r="B221" s="11"/>
      <c r="C221" s="11"/>
      <c r="D221" s="17">
        <f t="shared" si="72"/>
        <v>0</v>
      </c>
      <c r="G221" s="5"/>
      <c r="H221" s="11"/>
      <c r="I221" s="11"/>
      <c r="J221" s="17">
        <f t="shared" si="73"/>
        <v>0</v>
      </c>
      <c r="K221" s="9"/>
    </row>
    <row r="222" spans="1:13" x14ac:dyDescent="0.15">
      <c r="A222" s="7"/>
      <c r="B222" s="11"/>
      <c r="C222" s="11"/>
      <c r="D222" s="17">
        <f t="shared" si="72"/>
        <v>0</v>
      </c>
      <c r="G222" s="5"/>
      <c r="H222" s="11"/>
      <c r="I222" s="11"/>
      <c r="J222" s="17">
        <f t="shared" ref="J222:J224" si="77">H222+I222</f>
        <v>0</v>
      </c>
      <c r="K222" s="9"/>
    </row>
    <row r="223" spans="1:13" x14ac:dyDescent="0.15">
      <c r="A223" s="13"/>
      <c r="B223" s="11"/>
      <c r="C223" s="11"/>
      <c r="D223" s="17">
        <f t="shared" si="72"/>
        <v>0</v>
      </c>
      <c r="G223" s="5" t="s">
        <v>166</v>
      </c>
      <c r="H223" s="11"/>
      <c r="I223" s="11"/>
      <c r="J223" s="17">
        <f t="shared" si="77"/>
        <v>0</v>
      </c>
      <c r="K223" s="9" t="s">
        <v>167</v>
      </c>
    </row>
    <row r="224" spans="1:13" ht="14.25" thickBot="1" x14ac:dyDescent="0.2">
      <c r="A224" s="27"/>
      <c r="B224" s="26"/>
      <c r="C224" s="26"/>
      <c r="D224" s="19">
        <f t="shared" si="72"/>
        <v>0</v>
      </c>
      <c r="G224" s="5" t="s">
        <v>189</v>
      </c>
      <c r="H224" s="11"/>
      <c r="I224" s="11"/>
      <c r="J224" s="17">
        <f t="shared" si="77"/>
        <v>0</v>
      </c>
      <c r="K224" s="9" t="s">
        <v>186</v>
      </c>
    </row>
    <row r="225" spans="1:12" ht="14.25" thickBot="1" x14ac:dyDescent="0.2">
      <c r="A225" s="2" t="s">
        <v>3</v>
      </c>
      <c r="B225" s="18">
        <f>SUM(B201:B224)</f>
        <v>2</v>
      </c>
      <c r="C225" s="18">
        <f>SUM(C201:C224)</f>
        <v>2</v>
      </c>
      <c r="D225" s="18">
        <f t="shared" si="72"/>
        <v>4</v>
      </c>
      <c r="G225" s="2" t="s">
        <v>3</v>
      </c>
      <c r="H225" s="18">
        <f>SUM(H201:H224)</f>
        <v>57</v>
      </c>
      <c r="I225" s="18">
        <f t="shared" ref="I225" si="78">SUM(I201:I224)</f>
        <v>55</v>
      </c>
      <c r="J225" s="18">
        <f t="shared" ref="J225" si="79">SUM(J201:J224)</f>
        <v>112</v>
      </c>
    </row>
    <row r="226" spans="1:12" ht="14.25" thickBot="1" x14ac:dyDescent="0.2">
      <c r="A226" s="28" t="s">
        <v>4</v>
      </c>
      <c r="B226" s="29">
        <f>B200-B225</f>
        <v>4</v>
      </c>
      <c r="C226" s="29">
        <f>C200-C225</f>
        <v>9</v>
      </c>
      <c r="D226" s="30">
        <f t="shared" si="72"/>
        <v>13</v>
      </c>
      <c r="G226" s="28" t="s">
        <v>4</v>
      </c>
      <c r="H226" s="29">
        <f>H200-H225</f>
        <v>527</v>
      </c>
      <c r="I226" s="29">
        <f t="shared" ref="I226" si="80">I200-I225</f>
        <v>416</v>
      </c>
      <c r="J226" s="42">
        <f t="shared" ref="J226" si="81">J200-J225</f>
        <v>943</v>
      </c>
    </row>
    <row r="229" spans="1:12" ht="18.75" x14ac:dyDescent="0.2">
      <c r="A229" s="34" t="s">
        <v>7</v>
      </c>
      <c r="B229" s="35"/>
      <c r="C229" s="35"/>
      <c r="D229" s="35"/>
      <c r="E229" s="35"/>
      <c r="G229" s="36" t="s">
        <v>8</v>
      </c>
      <c r="H229" s="37"/>
      <c r="I229" s="37"/>
      <c r="J229" s="37"/>
    </row>
    <row r="230" spans="1:12" ht="14.25" thickBot="1" x14ac:dyDescent="0.2">
      <c r="A230" s="1"/>
      <c r="B230" s="1"/>
      <c r="C230" s="1"/>
      <c r="D230" s="1"/>
      <c r="G230" s="1"/>
      <c r="H230" s="1"/>
      <c r="I230" s="1"/>
      <c r="J230" s="1"/>
    </row>
    <row r="231" spans="1:12" ht="14.25" thickBot="1" x14ac:dyDescent="0.2">
      <c r="A231" s="2"/>
      <c r="B231" s="2" t="s">
        <v>6</v>
      </c>
      <c r="C231" s="2" t="s">
        <v>9</v>
      </c>
      <c r="D231" s="2" t="s">
        <v>0</v>
      </c>
      <c r="G231" s="2"/>
      <c r="H231" s="2" t="s">
        <v>6</v>
      </c>
      <c r="I231" s="2" t="s">
        <v>9</v>
      </c>
      <c r="J231" s="2" t="s">
        <v>0</v>
      </c>
    </row>
    <row r="232" spans="1:12" x14ac:dyDescent="0.15">
      <c r="A232" s="14" t="s">
        <v>4</v>
      </c>
      <c r="B232" s="32">
        <f>B226</f>
        <v>4</v>
      </c>
      <c r="C232" s="32">
        <f>C226</f>
        <v>9</v>
      </c>
      <c r="D232" s="33">
        <f>B232+C232</f>
        <v>13</v>
      </c>
      <c r="G232" s="14" t="s">
        <v>4</v>
      </c>
      <c r="H232" s="32">
        <f>H226</f>
        <v>527</v>
      </c>
      <c r="I232" s="32">
        <f t="shared" ref="I232:J232" si="82">I226</f>
        <v>416</v>
      </c>
      <c r="J232" s="33">
        <f t="shared" si="82"/>
        <v>943</v>
      </c>
    </row>
    <row r="233" spans="1:12" x14ac:dyDescent="0.15">
      <c r="A233" s="3" t="s">
        <v>1</v>
      </c>
      <c r="B233" s="11">
        <v>2</v>
      </c>
      <c r="C233" s="11"/>
      <c r="D233" s="17">
        <f t="shared" ref="D233:D264" si="83">B233+C233</f>
        <v>2</v>
      </c>
      <c r="E233" s="24">
        <v>45819</v>
      </c>
      <c r="G233" s="3" t="s">
        <v>1</v>
      </c>
      <c r="H233" s="11"/>
      <c r="I233" s="11">
        <v>3</v>
      </c>
      <c r="J233" s="17">
        <f t="shared" ref="J233" si="84">H233+I233</f>
        <v>3</v>
      </c>
      <c r="K233" s="43">
        <v>45815</v>
      </c>
    </row>
    <row r="234" spans="1:12" x14ac:dyDescent="0.15">
      <c r="A234" s="3" t="s">
        <v>1</v>
      </c>
      <c r="B234" s="11">
        <v>5</v>
      </c>
      <c r="C234" s="11">
        <v>3</v>
      </c>
      <c r="D234" s="17">
        <f t="shared" si="83"/>
        <v>8</v>
      </c>
      <c r="E234" s="24">
        <v>45824</v>
      </c>
      <c r="G234" s="3" t="s">
        <v>1</v>
      </c>
      <c r="H234" s="11"/>
      <c r="I234" s="11"/>
      <c r="J234" s="17">
        <f t="shared" ref="J234:J262" si="85">H234+I234</f>
        <v>0</v>
      </c>
    </row>
    <row r="235" spans="1:12" x14ac:dyDescent="0.15">
      <c r="A235" s="3" t="s">
        <v>1</v>
      </c>
      <c r="B235" s="11">
        <v>5</v>
      </c>
      <c r="C235" s="11">
        <v>5</v>
      </c>
      <c r="D235" s="17">
        <f t="shared" si="83"/>
        <v>10</v>
      </c>
      <c r="E235" s="24">
        <v>45827</v>
      </c>
      <c r="G235" s="3" t="s">
        <v>1</v>
      </c>
      <c r="H235" s="11"/>
      <c r="I235" s="11"/>
      <c r="J235" s="17">
        <f t="shared" si="85"/>
        <v>0</v>
      </c>
    </row>
    <row r="236" spans="1:12" x14ac:dyDescent="0.15">
      <c r="A236" s="3" t="s">
        <v>56</v>
      </c>
      <c r="B236" s="11">
        <v>1</v>
      </c>
      <c r="C236" s="11"/>
      <c r="D236" s="17">
        <f t="shared" si="83"/>
        <v>1</v>
      </c>
      <c r="E236" s="24">
        <v>45832</v>
      </c>
      <c r="G236" s="3" t="s">
        <v>1</v>
      </c>
      <c r="H236" s="11"/>
      <c r="I236" s="11"/>
      <c r="J236" s="17">
        <f t="shared" si="85"/>
        <v>0</v>
      </c>
    </row>
    <row r="237" spans="1:12" ht="14.25" thickBot="1" x14ac:dyDescent="0.2">
      <c r="A237" s="4" t="s">
        <v>1</v>
      </c>
      <c r="B237" s="26">
        <v>5</v>
      </c>
      <c r="C237" s="26">
        <v>5</v>
      </c>
      <c r="D237" s="19">
        <f t="shared" si="83"/>
        <v>10</v>
      </c>
      <c r="E237" s="24">
        <v>45843</v>
      </c>
      <c r="G237" s="4" t="s">
        <v>1</v>
      </c>
      <c r="H237" s="26"/>
      <c r="I237" s="26"/>
      <c r="J237" s="19">
        <f t="shared" si="85"/>
        <v>0</v>
      </c>
    </row>
    <row r="238" spans="1:12" ht="14.25" thickBot="1" x14ac:dyDescent="0.2">
      <c r="A238" s="8" t="s">
        <v>2</v>
      </c>
      <c r="B238" s="20">
        <f>SUM(B232:B237)</f>
        <v>22</v>
      </c>
      <c r="C238" s="20">
        <f>SUM(C232:C237)</f>
        <v>22</v>
      </c>
      <c r="D238" s="31">
        <f t="shared" si="83"/>
        <v>44</v>
      </c>
      <c r="G238" s="8" t="s">
        <v>2</v>
      </c>
      <c r="H238" s="20">
        <f>SUM(H232:H237)</f>
        <v>527</v>
      </c>
      <c r="I238" s="20">
        <f t="shared" ref="I238" si="86">SUM(I232:I237)</f>
        <v>419</v>
      </c>
      <c r="J238" s="31">
        <f t="shared" ref="J238" si="87">SUM(J232:J237)</f>
        <v>946</v>
      </c>
    </row>
    <row r="239" spans="1:12" x14ac:dyDescent="0.15">
      <c r="A239" s="12" t="s">
        <v>221</v>
      </c>
      <c r="B239" s="25"/>
      <c r="C239" s="25">
        <v>1</v>
      </c>
      <c r="D239" s="21">
        <f t="shared" si="83"/>
        <v>1</v>
      </c>
      <c r="E239" s="24">
        <v>45810</v>
      </c>
      <c r="G239" s="12" t="s">
        <v>225</v>
      </c>
      <c r="H239" s="11">
        <v>1</v>
      </c>
      <c r="I239" s="11"/>
      <c r="J239" s="17">
        <f t="shared" ref="J239:J246" si="88">H239+I239</f>
        <v>1</v>
      </c>
      <c r="K239" s="24">
        <v>45819</v>
      </c>
    </row>
    <row r="240" spans="1:12" x14ac:dyDescent="0.15">
      <c r="A240" s="12" t="s">
        <v>224</v>
      </c>
      <c r="B240" s="11"/>
      <c r="C240" s="11">
        <v>3</v>
      </c>
      <c r="D240" s="17">
        <f t="shared" si="83"/>
        <v>3</v>
      </c>
      <c r="E240" s="24">
        <v>45815</v>
      </c>
      <c r="G240" s="6" t="s">
        <v>25</v>
      </c>
      <c r="H240" s="11">
        <v>3</v>
      </c>
      <c r="I240" s="11"/>
      <c r="J240" s="17">
        <f t="shared" si="88"/>
        <v>3</v>
      </c>
      <c r="K240" s="24">
        <v>45819</v>
      </c>
      <c r="L240" s="9"/>
    </row>
    <row r="241" spans="1:13" x14ac:dyDescent="0.15">
      <c r="A241" s="12" t="s">
        <v>226</v>
      </c>
      <c r="B241" s="11">
        <v>1</v>
      </c>
      <c r="C241" s="11"/>
      <c r="D241" s="17">
        <f t="shared" si="83"/>
        <v>1</v>
      </c>
      <c r="E241" s="24">
        <v>45820</v>
      </c>
      <c r="G241" s="6" t="s">
        <v>25</v>
      </c>
      <c r="H241" s="11">
        <v>5</v>
      </c>
      <c r="I241" s="11">
        <v>3</v>
      </c>
      <c r="J241" s="17">
        <f t="shared" si="88"/>
        <v>8</v>
      </c>
      <c r="K241" s="24">
        <v>45824</v>
      </c>
      <c r="L241" s="9"/>
    </row>
    <row r="242" spans="1:13" x14ac:dyDescent="0.15">
      <c r="A242" s="12" t="s">
        <v>229</v>
      </c>
      <c r="B242" s="11">
        <v>1</v>
      </c>
      <c r="C242" s="11">
        <v>2</v>
      </c>
      <c r="D242" s="17">
        <f t="shared" si="83"/>
        <v>3</v>
      </c>
      <c r="E242" s="24">
        <v>45821</v>
      </c>
      <c r="G242" s="12" t="s">
        <v>234</v>
      </c>
      <c r="H242" s="11">
        <v>1</v>
      </c>
      <c r="I242" s="11">
        <v>4</v>
      </c>
      <c r="J242" s="17">
        <f t="shared" si="88"/>
        <v>5</v>
      </c>
      <c r="K242" s="24">
        <v>45827</v>
      </c>
      <c r="L242" s="9"/>
    </row>
    <row r="243" spans="1:13" x14ac:dyDescent="0.15">
      <c r="A243" s="12" t="s">
        <v>230</v>
      </c>
      <c r="B243" s="11">
        <v>2</v>
      </c>
      <c r="C243" s="11"/>
      <c r="D243" s="17">
        <f t="shared" si="83"/>
        <v>2</v>
      </c>
      <c r="E243" s="24">
        <v>45821</v>
      </c>
      <c r="G243" s="6" t="s">
        <v>25</v>
      </c>
      <c r="H243" s="11">
        <v>5</v>
      </c>
      <c r="I243" s="11">
        <v>5</v>
      </c>
      <c r="J243" s="17">
        <f t="shared" si="88"/>
        <v>10</v>
      </c>
      <c r="K243" s="24">
        <v>45827</v>
      </c>
      <c r="L243" s="9"/>
    </row>
    <row r="244" spans="1:13" x14ac:dyDescent="0.15">
      <c r="A244" s="12" t="s">
        <v>231</v>
      </c>
      <c r="B244" s="11">
        <v>2</v>
      </c>
      <c r="C244" s="11"/>
      <c r="D244" s="17">
        <f t="shared" si="83"/>
        <v>2</v>
      </c>
      <c r="E244" s="24">
        <v>45824</v>
      </c>
      <c r="F244" s="9"/>
      <c r="G244" s="12" t="s">
        <v>243</v>
      </c>
      <c r="H244" s="11">
        <v>8</v>
      </c>
      <c r="I244" s="11"/>
      <c r="J244" s="17">
        <f t="shared" si="88"/>
        <v>8</v>
      </c>
      <c r="K244" s="24">
        <v>45841</v>
      </c>
      <c r="L244" s="9"/>
      <c r="M244" s="9"/>
    </row>
    <row r="245" spans="1:13" x14ac:dyDescent="0.15">
      <c r="A245" s="12" t="s">
        <v>232</v>
      </c>
      <c r="B245" s="11"/>
      <c r="C245" s="11">
        <v>2</v>
      </c>
      <c r="D245" s="17">
        <f t="shared" si="83"/>
        <v>2</v>
      </c>
      <c r="E245" s="24">
        <v>45826</v>
      </c>
      <c r="G245" s="6" t="s">
        <v>25</v>
      </c>
      <c r="H245" s="11">
        <v>5</v>
      </c>
      <c r="I245" s="11">
        <v>5</v>
      </c>
      <c r="J245" s="17">
        <f t="shared" si="88"/>
        <v>10</v>
      </c>
      <c r="K245" s="24">
        <v>45843</v>
      </c>
      <c r="L245" s="9"/>
      <c r="M245" s="9"/>
    </row>
    <row r="246" spans="1:13" x14ac:dyDescent="0.15">
      <c r="A246" s="12" t="s">
        <v>233</v>
      </c>
      <c r="B246" s="11">
        <v>1</v>
      </c>
      <c r="C246" s="11"/>
      <c r="D246" s="17">
        <f t="shared" si="83"/>
        <v>1</v>
      </c>
      <c r="E246" s="24">
        <v>45824</v>
      </c>
      <c r="G246" s="6" t="s">
        <v>25</v>
      </c>
      <c r="H246" s="11"/>
      <c r="I246" s="11">
        <v>5</v>
      </c>
      <c r="J246" s="17">
        <f t="shared" si="88"/>
        <v>5</v>
      </c>
      <c r="K246" s="24">
        <v>45845</v>
      </c>
      <c r="L246" s="9"/>
      <c r="M246" s="9"/>
    </row>
    <row r="247" spans="1:13" x14ac:dyDescent="0.15">
      <c r="A247" s="12" t="s">
        <v>235</v>
      </c>
      <c r="B247" s="11"/>
      <c r="C247" s="11">
        <v>1</v>
      </c>
      <c r="D247" s="17">
        <f t="shared" si="83"/>
        <v>1</v>
      </c>
      <c r="E247" s="24">
        <v>45828</v>
      </c>
      <c r="G247" s="12" t="s">
        <v>251</v>
      </c>
      <c r="H247" s="11">
        <v>4</v>
      </c>
      <c r="I247" s="11">
        <v>1</v>
      </c>
      <c r="J247" s="17">
        <f t="shared" si="85"/>
        <v>5</v>
      </c>
      <c r="K247" s="24">
        <v>45849</v>
      </c>
      <c r="L247" s="9"/>
      <c r="M247" s="9"/>
    </row>
    <row r="248" spans="1:13" x14ac:dyDescent="0.15">
      <c r="A248" s="12" t="s">
        <v>236</v>
      </c>
      <c r="B248" s="11">
        <v>1</v>
      </c>
      <c r="C248" s="11"/>
      <c r="D248" s="17">
        <f t="shared" si="83"/>
        <v>1</v>
      </c>
      <c r="E248" s="24">
        <v>45828</v>
      </c>
      <c r="G248" s="6" t="s">
        <v>25</v>
      </c>
      <c r="H248" s="11">
        <v>10</v>
      </c>
      <c r="I248" s="11">
        <v>5</v>
      </c>
      <c r="J248" s="17">
        <f t="shared" si="85"/>
        <v>15</v>
      </c>
      <c r="K248" s="24">
        <v>45852</v>
      </c>
      <c r="L248" s="9"/>
      <c r="M248" s="9"/>
    </row>
    <row r="249" spans="1:13" x14ac:dyDescent="0.15">
      <c r="A249" s="12" t="s">
        <v>237</v>
      </c>
      <c r="B249" s="11">
        <v>1</v>
      </c>
      <c r="C249" s="11"/>
      <c r="D249" s="17">
        <f t="shared" si="83"/>
        <v>1</v>
      </c>
      <c r="E249" s="24">
        <v>45831</v>
      </c>
      <c r="G249" s="6" t="s">
        <v>25</v>
      </c>
      <c r="H249" s="11">
        <v>3</v>
      </c>
      <c r="I249" s="11">
        <v>3</v>
      </c>
      <c r="J249" s="17">
        <f t="shared" si="85"/>
        <v>6</v>
      </c>
      <c r="K249" s="24">
        <v>45871</v>
      </c>
      <c r="L249" s="9"/>
      <c r="M249" s="9"/>
    </row>
    <row r="250" spans="1:13" x14ac:dyDescent="0.15">
      <c r="A250" s="12" t="s">
        <v>240</v>
      </c>
      <c r="B250" s="11">
        <v>1</v>
      </c>
      <c r="C250" s="11"/>
      <c r="D250" s="17">
        <f t="shared" si="83"/>
        <v>1</v>
      </c>
      <c r="E250" s="24">
        <v>45833</v>
      </c>
      <c r="G250" s="12"/>
      <c r="H250" s="11"/>
      <c r="I250" s="11"/>
      <c r="J250" s="17">
        <f t="shared" si="85"/>
        <v>0</v>
      </c>
      <c r="K250" s="9"/>
      <c r="L250" s="9"/>
      <c r="M250" s="9"/>
    </row>
    <row r="251" spans="1:13" x14ac:dyDescent="0.15">
      <c r="A251" s="12" t="s">
        <v>241</v>
      </c>
      <c r="B251" s="11">
        <v>1</v>
      </c>
      <c r="C251" s="11"/>
      <c r="D251" s="17">
        <f t="shared" si="83"/>
        <v>1</v>
      </c>
      <c r="E251" s="24">
        <v>45835</v>
      </c>
      <c r="G251" s="12"/>
      <c r="H251" s="11"/>
      <c r="I251" s="11"/>
      <c r="J251" s="17">
        <f t="shared" si="85"/>
        <v>0</v>
      </c>
      <c r="K251" s="9"/>
      <c r="L251" s="9"/>
      <c r="M251" s="9"/>
    </row>
    <row r="252" spans="1:13" x14ac:dyDescent="0.15">
      <c r="A252" s="12" t="s">
        <v>242</v>
      </c>
      <c r="B252" s="11">
        <v>1</v>
      </c>
      <c r="C252" s="11"/>
      <c r="D252" s="17">
        <f t="shared" si="83"/>
        <v>1</v>
      </c>
      <c r="E252" s="24">
        <v>45840</v>
      </c>
      <c r="G252" s="12"/>
      <c r="H252" s="11"/>
      <c r="I252" s="11"/>
      <c r="J252" s="17">
        <f t="shared" si="85"/>
        <v>0</v>
      </c>
    </row>
    <row r="253" spans="1:13" x14ac:dyDescent="0.15">
      <c r="A253" s="12" t="s">
        <v>244</v>
      </c>
      <c r="B253" s="11">
        <v>2</v>
      </c>
      <c r="C253" s="11"/>
      <c r="D253" s="17">
        <f t="shared" si="83"/>
        <v>2</v>
      </c>
      <c r="E253" s="24">
        <v>45842</v>
      </c>
      <c r="G253" s="5"/>
      <c r="H253" s="11"/>
      <c r="I253" s="11"/>
      <c r="J253" s="17">
        <f t="shared" si="85"/>
        <v>0</v>
      </c>
    </row>
    <row r="254" spans="1:13" x14ac:dyDescent="0.15">
      <c r="A254" s="12" t="s">
        <v>245</v>
      </c>
      <c r="B254" s="11"/>
      <c r="C254" s="11">
        <v>4</v>
      </c>
      <c r="D254" s="17">
        <f t="shared" si="83"/>
        <v>4</v>
      </c>
      <c r="E254" s="24">
        <v>45842</v>
      </c>
      <c r="G254" s="6"/>
      <c r="H254" s="11"/>
      <c r="I254" s="11"/>
      <c r="J254" s="17">
        <f t="shared" si="85"/>
        <v>0</v>
      </c>
    </row>
    <row r="255" spans="1:13" x14ac:dyDescent="0.15">
      <c r="A255" s="12" t="s">
        <v>246</v>
      </c>
      <c r="B255" s="11">
        <v>2</v>
      </c>
      <c r="C255" s="11">
        <v>3</v>
      </c>
      <c r="D255" s="17">
        <f t="shared" si="83"/>
        <v>5</v>
      </c>
      <c r="E255" s="24">
        <v>45845</v>
      </c>
      <c r="G255" s="5"/>
      <c r="H255" s="11"/>
      <c r="I255" s="11"/>
      <c r="J255" s="17">
        <f t="shared" si="85"/>
        <v>0</v>
      </c>
    </row>
    <row r="256" spans="1:13" x14ac:dyDescent="0.15">
      <c r="A256" s="12" t="s">
        <v>247</v>
      </c>
      <c r="B256" s="11">
        <v>2</v>
      </c>
      <c r="C256" s="11">
        <v>3</v>
      </c>
      <c r="D256" s="17">
        <f t="shared" si="83"/>
        <v>5</v>
      </c>
      <c r="E256" s="24">
        <v>45847</v>
      </c>
      <c r="G256" s="12"/>
      <c r="H256" s="11"/>
      <c r="I256" s="11"/>
      <c r="J256" s="17">
        <f t="shared" si="85"/>
        <v>0</v>
      </c>
    </row>
    <row r="257" spans="1:11" x14ac:dyDescent="0.15">
      <c r="A257" s="5" t="s">
        <v>248</v>
      </c>
      <c r="B257" s="11"/>
      <c r="C257" s="11">
        <v>1</v>
      </c>
      <c r="D257" s="17">
        <f t="shared" si="83"/>
        <v>1</v>
      </c>
      <c r="E257" s="24">
        <v>45845</v>
      </c>
      <c r="F257" s="9"/>
      <c r="G257" s="5"/>
      <c r="H257" s="11"/>
      <c r="I257" s="11"/>
      <c r="J257" s="17">
        <f t="shared" si="85"/>
        <v>0</v>
      </c>
    </row>
    <row r="258" spans="1:11" x14ac:dyDescent="0.15">
      <c r="A258" s="13" t="s">
        <v>249</v>
      </c>
      <c r="B258" s="11"/>
      <c r="C258" s="11">
        <v>-5</v>
      </c>
      <c r="D258" s="17">
        <f t="shared" si="83"/>
        <v>-5</v>
      </c>
      <c r="E258" s="24">
        <v>45846</v>
      </c>
      <c r="F258" s="9"/>
      <c r="G258" s="13"/>
      <c r="H258" s="11"/>
      <c r="I258" s="11"/>
      <c r="J258" s="17">
        <f t="shared" si="85"/>
        <v>0</v>
      </c>
    </row>
    <row r="259" spans="1:11" x14ac:dyDescent="0.15">
      <c r="A259" s="12" t="s">
        <v>250</v>
      </c>
      <c r="B259" s="11">
        <v>1</v>
      </c>
      <c r="C259" s="11">
        <v>3</v>
      </c>
      <c r="D259" s="17">
        <f t="shared" si="83"/>
        <v>4</v>
      </c>
      <c r="E259" s="24">
        <v>45848</v>
      </c>
      <c r="F259" s="9"/>
      <c r="G259" s="5"/>
      <c r="H259" s="11"/>
      <c r="I259" s="11"/>
      <c r="J259" s="17">
        <f t="shared" si="85"/>
        <v>0</v>
      </c>
    </row>
    <row r="260" spans="1:11" x14ac:dyDescent="0.15">
      <c r="A260" s="12" t="s">
        <v>252</v>
      </c>
      <c r="B260" s="11">
        <v>1</v>
      </c>
      <c r="C260" s="11"/>
      <c r="D260" s="17">
        <f t="shared" si="83"/>
        <v>1</v>
      </c>
      <c r="E260" s="24">
        <v>45849</v>
      </c>
      <c r="F260" s="9"/>
      <c r="G260" s="5"/>
      <c r="H260" s="11"/>
      <c r="I260" s="11"/>
      <c r="J260" s="17">
        <f t="shared" ref="J260" si="89">H260+I260</f>
        <v>0</v>
      </c>
      <c r="K260" s="9"/>
    </row>
    <row r="261" spans="1:11" x14ac:dyDescent="0.15">
      <c r="A261" s="12" t="s">
        <v>253</v>
      </c>
      <c r="B261" s="11">
        <v>2</v>
      </c>
      <c r="C261" s="11"/>
      <c r="D261" s="17">
        <f t="shared" si="83"/>
        <v>2</v>
      </c>
      <c r="E261" s="24">
        <v>45852</v>
      </c>
      <c r="G261" s="5" t="s">
        <v>214</v>
      </c>
      <c r="H261" s="11"/>
      <c r="I261" s="11"/>
      <c r="J261" s="17">
        <f t="shared" ref="J261" si="90">H261+I261</f>
        <v>0</v>
      </c>
      <c r="K261" s="9" t="s">
        <v>215</v>
      </c>
    </row>
    <row r="262" spans="1:11" ht="14.25" thickBot="1" x14ac:dyDescent="0.2">
      <c r="A262" s="13" t="s">
        <v>61</v>
      </c>
      <c r="B262" s="26">
        <v>-10</v>
      </c>
      <c r="C262" s="26">
        <v>-5</v>
      </c>
      <c r="D262" s="19">
        <f t="shared" si="83"/>
        <v>-15</v>
      </c>
      <c r="E262" s="24">
        <v>45852</v>
      </c>
      <c r="G262" s="5" t="s">
        <v>217</v>
      </c>
      <c r="H262" s="11"/>
      <c r="I262" s="11"/>
      <c r="J262" s="17">
        <f t="shared" si="85"/>
        <v>0</v>
      </c>
      <c r="K262" s="9" t="s">
        <v>218</v>
      </c>
    </row>
    <row r="263" spans="1:11" ht="14.25" thickBot="1" x14ac:dyDescent="0.2">
      <c r="A263" s="2" t="s">
        <v>3</v>
      </c>
      <c r="B263" s="18">
        <f>SUM(B239:B262)</f>
        <v>12</v>
      </c>
      <c r="C263" s="18">
        <f>SUM(C239:C262)</f>
        <v>13</v>
      </c>
      <c r="D263" s="18">
        <f t="shared" si="83"/>
        <v>25</v>
      </c>
      <c r="G263" s="2" t="s">
        <v>3</v>
      </c>
      <c r="H263" s="18">
        <f>SUM(H239:H262)</f>
        <v>45</v>
      </c>
      <c r="I263" s="18">
        <f t="shared" ref="I263" si="91">SUM(I239:I262)</f>
        <v>31</v>
      </c>
      <c r="J263" s="18">
        <f t="shared" ref="J263" si="92">SUM(J239:J262)</f>
        <v>76</v>
      </c>
    </row>
    <row r="264" spans="1:11" ht="14.25" thickBot="1" x14ac:dyDescent="0.2">
      <c r="A264" s="28" t="s">
        <v>4</v>
      </c>
      <c r="B264" s="29">
        <f>B238-B263</f>
        <v>10</v>
      </c>
      <c r="C264" s="29">
        <f>C238-C263</f>
        <v>9</v>
      </c>
      <c r="D264" s="42">
        <f t="shared" si="83"/>
        <v>19</v>
      </c>
      <c r="G264" s="28" t="s">
        <v>4</v>
      </c>
      <c r="H264" s="29">
        <f>H238-H263</f>
        <v>482</v>
      </c>
      <c r="I264" s="29">
        <f t="shared" ref="I264" si="93">I238-I263</f>
        <v>388</v>
      </c>
      <c r="J264" s="42">
        <f t="shared" ref="J264" si="94">J238-J263</f>
        <v>870</v>
      </c>
    </row>
    <row r="265" spans="1:11" x14ac:dyDescent="0.15">
      <c r="H265">
        <f>H263+H225+H187+H149+H111+H73+H35</f>
        <v>563</v>
      </c>
      <c r="I265">
        <f t="shared" ref="I265:J265" si="95">I263+I225+I187+I149+I111+I73+I35</f>
        <v>623</v>
      </c>
      <c r="J265">
        <f t="shared" si="95"/>
        <v>1186</v>
      </c>
    </row>
    <row r="266" spans="1:11" x14ac:dyDescent="0.15">
      <c r="H266" s="52">
        <v>0.47499999999999998</v>
      </c>
      <c r="I266" s="52">
        <v>0.52500000000000002</v>
      </c>
    </row>
    <row r="267" spans="1:11" ht="18.75" x14ac:dyDescent="0.2">
      <c r="A267" s="34" t="s">
        <v>7</v>
      </c>
      <c r="B267" s="35"/>
      <c r="C267" s="35"/>
      <c r="D267" s="35"/>
      <c r="G267" s="36" t="s">
        <v>8</v>
      </c>
      <c r="H267" s="37"/>
      <c r="I267" s="37"/>
      <c r="J267" s="37"/>
    </row>
    <row r="268" spans="1:11" ht="14.25" thickBot="1" x14ac:dyDescent="0.2">
      <c r="A268" s="1"/>
      <c r="B268" s="1"/>
      <c r="C268" s="1"/>
      <c r="D268" s="1"/>
      <c r="G268" s="1"/>
      <c r="H268" s="1"/>
      <c r="I268" s="1"/>
      <c r="J268" s="1"/>
    </row>
    <row r="269" spans="1:11" ht="14.25" thickBot="1" x14ac:dyDescent="0.2">
      <c r="A269" s="2"/>
      <c r="B269" s="2" t="s">
        <v>6</v>
      </c>
      <c r="C269" s="2" t="s">
        <v>9</v>
      </c>
      <c r="D269" s="2" t="s">
        <v>0</v>
      </c>
      <c r="G269" s="2"/>
      <c r="H269" s="2" t="s">
        <v>6</v>
      </c>
      <c r="I269" s="2" t="s">
        <v>9</v>
      </c>
      <c r="J269" s="2" t="s">
        <v>0</v>
      </c>
    </row>
    <row r="270" spans="1:11" x14ac:dyDescent="0.15">
      <c r="A270" s="14" t="s">
        <v>4</v>
      </c>
      <c r="B270" s="32">
        <f>B264</f>
        <v>10</v>
      </c>
      <c r="C270" s="32">
        <f>C264</f>
        <v>9</v>
      </c>
      <c r="D270" s="33">
        <f>B270+C270</f>
        <v>19</v>
      </c>
      <c r="G270" s="14" t="s">
        <v>4</v>
      </c>
      <c r="H270" s="32">
        <f>H264</f>
        <v>482</v>
      </c>
      <c r="I270" s="32">
        <f t="shared" ref="I270:J270" si="96">I264</f>
        <v>388</v>
      </c>
      <c r="J270" s="33">
        <f t="shared" si="96"/>
        <v>870</v>
      </c>
    </row>
    <row r="271" spans="1:11" x14ac:dyDescent="0.15">
      <c r="A271" s="3" t="s">
        <v>261</v>
      </c>
      <c r="B271" s="11">
        <v>2</v>
      </c>
      <c r="C271" s="11"/>
      <c r="D271" s="17">
        <f t="shared" ref="D271:D301" si="97">B271+C271</f>
        <v>2</v>
      </c>
      <c r="E271" s="43">
        <v>45860</v>
      </c>
      <c r="G271" s="3" t="s">
        <v>1</v>
      </c>
      <c r="H271" s="11"/>
      <c r="I271" s="11"/>
      <c r="J271" s="17">
        <f t="shared" ref="J271:J292" si="98">H271+I271</f>
        <v>0</v>
      </c>
    </row>
    <row r="272" spans="1:11" x14ac:dyDescent="0.15">
      <c r="A272" s="3" t="s">
        <v>56</v>
      </c>
      <c r="B272" s="11">
        <v>1</v>
      </c>
      <c r="C272" s="11">
        <v>1</v>
      </c>
      <c r="D272" s="17">
        <f t="shared" si="97"/>
        <v>2</v>
      </c>
      <c r="E272" s="24">
        <v>45861</v>
      </c>
      <c r="G272" s="3" t="s">
        <v>1</v>
      </c>
      <c r="H272" s="11"/>
      <c r="I272" s="11"/>
      <c r="J272" s="17">
        <f t="shared" si="98"/>
        <v>0</v>
      </c>
    </row>
    <row r="273" spans="1:13" x14ac:dyDescent="0.15">
      <c r="A273" s="3" t="s">
        <v>1</v>
      </c>
      <c r="B273" s="11">
        <v>3</v>
      </c>
      <c r="C273" s="11">
        <v>3</v>
      </c>
      <c r="D273" s="17">
        <f t="shared" si="97"/>
        <v>6</v>
      </c>
      <c r="E273" s="24">
        <v>45871</v>
      </c>
      <c r="G273" s="3" t="s">
        <v>1</v>
      </c>
      <c r="H273" s="11"/>
      <c r="I273" s="11"/>
      <c r="J273" s="17">
        <f t="shared" si="98"/>
        <v>0</v>
      </c>
    </row>
    <row r="274" spans="1:13" x14ac:dyDescent="0.15">
      <c r="A274" s="3" t="s">
        <v>1</v>
      </c>
      <c r="B274" s="11"/>
      <c r="C274" s="11">
        <v>5</v>
      </c>
      <c r="D274" s="17">
        <f t="shared" si="97"/>
        <v>5</v>
      </c>
      <c r="E274" s="24">
        <v>45894</v>
      </c>
      <c r="G274" s="3" t="s">
        <v>1</v>
      </c>
      <c r="H274" s="11"/>
      <c r="I274" s="11"/>
      <c r="J274" s="17">
        <f t="shared" si="98"/>
        <v>0</v>
      </c>
    </row>
    <row r="275" spans="1:13" ht="14.25" thickBot="1" x14ac:dyDescent="0.2">
      <c r="A275" s="4" t="s">
        <v>35</v>
      </c>
      <c r="B275" s="26">
        <v>2</v>
      </c>
      <c r="C275" s="26">
        <v>-1</v>
      </c>
      <c r="D275" s="19">
        <f t="shared" si="97"/>
        <v>1</v>
      </c>
      <c r="E275" s="24">
        <v>45878</v>
      </c>
      <c r="G275" s="4" t="s">
        <v>1</v>
      </c>
      <c r="H275" s="26"/>
      <c r="I275" s="26"/>
      <c r="J275" s="19">
        <f t="shared" si="98"/>
        <v>0</v>
      </c>
    </row>
    <row r="276" spans="1:13" ht="14.25" thickBot="1" x14ac:dyDescent="0.2">
      <c r="A276" s="8" t="s">
        <v>2</v>
      </c>
      <c r="B276" s="20">
        <f>SUM(B270:B275)</f>
        <v>18</v>
      </c>
      <c r="C276" s="20">
        <f>SUM(C270:C275)</f>
        <v>17</v>
      </c>
      <c r="D276" s="31">
        <f t="shared" si="97"/>
        <v>35</v>
      </c>
      <c r="G276" s="8" t="s">
        <v>2</v>
      </c>
      <c r="H276" s="20">
        <f>SUM(H270:H275)</f>
        <v>482</v>
      </c>
      <c r="I276" s="20">
        <f t="shared" ref="I276" si="99">SUM(I270:I275)</f>
        <v>388</v>
      </c>
      <c r="J276" s="31">
        <f t="shared" ref="J276" si="100">SUM(J270:J275)</f>
        <v>870</v>
      </c>
    </row>
    <row r="277" spans="1:13" x14ac:dyDescent="0.15">
      <c r="A277" s="12" t="s">
        <v>254</v>
      </c>
      <c r="B277" s="25">
        <v>1</v>
      </c>
      <c r="C277" s="25">
        <v>1</v>
      </c>
      <c r="D277" s="21">
        <f t="shared" si="97"/>
        <v>2</v>
      </c>
      <c r="E277" s="24">
        <v>45854</v>
      </c>
      <c r="G277" s="12" t="s">
        <v>269</v>
      </c>
      <c r="H277" s="11">
        <v>7</v>
      </c>
      <c r="I277" s="11">
        <v>1</v>
      </c>
      <c r="J277" s="17">
        <f t="shared" si="98"/>
        <v>8</v>
      </c>
      <c r="K277" s="24">
        <v>45889</v>
      </c>
      <c r="L277" s="9"/>
    </row>
    <row r="278" spans="1:13" x14ac:dyDescent="0.15">
      <c r="A278" s="12" t="s">
        <v>256</v>
      </c>
      <c r="B278" s="11">
        <v>1</v>
      </c>
      <c r="C278" s="11"/>
      <c r="D278" s="17">
        <f t="shared" si="97"/>
        <v>1</v>
      </c>
      <c r="E278" s="24">
        <v>45855</v>
      </c>
      <c r="G278" s="12" t="s">
        <v>275</v>
      </c>
      <c r="H278" s="11">
        <v>5</v>
      </c>
      <c r="I278" s="11">
        <v>1</v>
      </c>
      <c r="J278" s="17">
        <f t="shared" si="98"/>
        <v>6</v>
      </c>
      <c r="K278" s="24">
        <v>45891</v>
      </c>
      <c r="L278" s="9"/>
      <c r="M278" s="9"/>
    </row>
    <row r="279" spans="1:13" x14ac:dyDescent="0.15">
      <c r="A279" s="12" t="s">
        <v>257</v>
      </c>
      <c r="B279" s="11"/>
      <c r="C279" s="11">
        <v>1</v>
      </c>
      <c r="D279" s="17">
        <f t="shared" si="97"/>
        <v>1</v>
      </c>
      <c r="E279" s="24">
        <v>45856</v>
      </c>
      <c r="G279" s="5" t="s">
        <v>276</v>
      </c>
      <c r="H279" s="11">
        <v>20</v>
      </c>
      <c r="I279" s="11">
        <v>20</v>
      </c>
      <c r="J279" s="17">
        <f t="shared" si="98"/>
        <v>40</v>
      </c>
      <c r="K279" s="24">
        <v>45894</v>
      </c>
      <c r="L279" s="9"/>
      <c r="M279" s="9"/>
    </row>
    <row r="280" spans="1:13" x14ac:dyDescent="0.15">
      <c r="A280" s="12" t="s">
        <v>258</v>
      </c>
      <c r="B280" s="11">
        <v>1</v>
      </c>
      <c r="C280" s="11"/>
      <c r="D280" s="17">
        <f t="shared" si="97"/>
        <v>1</v>
      </c>
      <c r="E280" s="24">
        <v>45856</v>
      </c>
      <c r="G280" s="6" t="s">
        <v>25</v>
      </c>
      <c r="H280" s="11"/>
      <c r="I280" s="11">
        <v>5</v>
      </c>
      <c r="J280" s="17">
        <f t="shared" si="98"/>
        <v>5</v>
      </c>
      <c r="K280" s="24">
        <v>45894</v>
      </c>
      <c r="L280" s="9"/>
    </row>
    <row r="281" spans="1:13" x14ac:dyDescent="0.15">
      <c r="A281" s="12" t="s">
        <v>260</v>
      </c>
      <c r="B281" s="11"/>
      <c r="C281" s="11">
        <v>2</v>
      </c>
      <c r="D281" s="17">
        <f t="shared" si="97"/>
        <v>2</v>
      </c>
      <c r="E281" s="24">
        <v>45862</v>
      </c>
      <c r="G281" s="12" t="s">
        <v>278</v>
      </c>
      <c r="H281" s="11">
        <v>1</v>
      </c>
      <c r="I281" s="11">
        <v>6</v>
      </c>
      <c r="J281" s="17">
        <f t="shared" si="98"/>
        <v>7</v>
      </c>
      <c r="K281" s="24">
        <v>45896</v>
      </c>
      <c r="L281" s="9"/>
    </row>
    <row r="282" spans="1:13" x14ac:dyDescent="0.15">
      <c r="A282" s="12" t="s">
        <v>262</v>
      </c>
      <c r="B282" s="11">
        <v>2</v>
      </c>
      <c r="C282" s="11"/>
      <c r="D282" s="17">
        <f t="shared" si="97"/>
        <v>2</v>
      </c>
      <c r="E282" s="24">
        <v>45863</v>
      </c>
      <c r="G282" s="6" t="s">
        <v>25</v>
      </c>
      <c r="H282" s="11">
        <v>3</v>
      </c>
      <c r="I282" s="11">
        <v>3</v>
      </c>
      <c r="J282" s="17">
        <f t="shared" ref="J282" si="101">H282+I282</f>
        <v>6</v>
      </c>
      <c r="K282" s="24">
        <v>45902</v>
      </c>
      <c r="L282" s="9"/>
    </row>
    <row r="283" spans="1:13" x14ac:dyDescent="0.15">
      <c r="A283" s="12" t="s">
        <v>264</v>
      </c>
      <c r="B283" s="11">
        <v>1</v>
      </c>
      <c r="C283" s="11"/>
      <c r="D283" s="17">
        <f t="shared" si="97"/>
        <v>1</v>
      </c>
      <c r="E283" s="24">
        <v>45868</v>
      </c>
      <c r="G283" s="5" t="s">
        <v>284</v>
      </c>
      <c r="H283" s="11">
        <v>60</v>
      </c>
      <c r="I283" s="11">
        <v>50</v>
      </c>
      <c r="J283" s="17">
        <f t="shared" si="98"/>
        <v>110</v>
      </c>
      <c r="K283" s="24">
        <v>45919</v>
      </c>
      <c r="L283" s="9"/>
    </row>
    <row r="284" spans="1:13" x14ac:dyDescent="0.15">
      <c r="A284" s="12" t="s">
        <v>265</v>
      </c>
      <c r="B284" s="11">
        <v>1</v>
      </c>
      <c r="C284" s="11"/>
      <c r="D284" s="17">
        <f t="shared" si="97"/>
        <v>1</v>
      </c>
      <c r="E284" s="24">
        <v>45870</v>
      </c>
      <c r="G284" s="6" t="s">
        <v>25</v>
      </c>
      <c r="H284" s="11">
        <v>3</v>
      </c>
      <c r="I284" s="11">
        <v>3</v>
      </c>
      <c r="J284" s="17">
        <f t="shared" si="98"/>
        <v>6</v>
      </c>
      <c r="K284" s="24">
        <v>45903</v>
      </c>
    </row>
    <row r="285" spans="1:13" x14ac:dyDescent="0.15">
      <c r="A285" s="12" t="s">
        <v>266</v>
      </c>
      <c r="B285" s="11"/>
      <c r="C285" s="11">
        <v>2</v>
      </c>
      <c r="D285" s="17">
        <f t="shared" si="97"/>
        <v>2</v>
      </c>
      <c r="E285" s="24">
        <v>45873</v>
      </c>
      <c r="G285" s="5" t="s">
        <v>286</v>
      </c>
      <c r="H285" s="11">
        <v>3</v>
      </c>
      <c r="I285" s="11">
        <v>3</v>
      </c>
      <c r="J285" s="17">
        <f t="shared" si="98"/>
        <v>6</v>
      </c>
      <c r="K285" s="24">
        <v>45904</v>
      </c>
      <c r="L285" s="9"/>
    </row>
    <row r="286" spans="1:13" x14ac:dyDescent="0.15">
      <c r="A286" s="12" t="s">
        <v>267</v>
      </c>
      <c r="B286" s="11"/>
      <c r="C286" s="11">
        <v>1</v>
      </c>
      <c r="D286" s="17">
        <f t="shared" si="97"/>
        <v>1</v>
      </c>
      <c r="E286" s="24">
        <v>45875</v>
      </c>
      <c r="F286" s="9"/>
      <c r="G286" s="5" t="s">
        <v>291</v>
      </c>
      <c r="H286" s="11">
        <v>40</v>
      </c>
      <c r="I286" s="11">
        <v>40</v>
      </c>
      <c r="J286" s="17">
        <f t="shared" si="98"/>
        <v>80</v>
      </c>
      <c r="K286" s="24">
        <v>45917</v>
      </c>
      <c r="L286" s="9"/>
    </row>
    <row r="287" spans="1:13" x14ac:dyDescent="0.15">
      <c r="A287" s="12" t="s">
        <v>268</v>
      </c>
      <c r="B287" s="11"/>
      <c r="C287" s="11">
        <v>3</v>
      </c>
      <c r="D287" s="17">
        <f t="shared" si="97"/>
        <v>3</v>
      </c>
      <c r="E287" s="24">
        <v>45877</v>
      </c>
      <c r="F287" s="9"/>
      <c r="G287" s="5" t="s">
        <v>293</v>
      </c>
      <c r="H287" s="11">
        <v>20</v>
      </c>
      <c r="I287" s="11">
        <v>10</v>
      </c>
      <c r="J287" s="17">
        <f t="shared" si="98"/>
        <v>30</v>
      </c>
      <c r="K287" s="24">
        <v>45920</v>
      </c>
      <c r="L287" s="9"/>
    </row>
    <row r="288" spans="1:13" x14ac:dyDescent="0.15">
      <c r="A288" s="12" t="s">
        <v>270</v>
      </c>
      <c r="B288" s="11">
        <v>1</v>
      </c>
      <c r="C288" s="11"/>
      <c r="D288" s="17">
        <f t="shared" si="97"/>
        <v>1</v>
      </c>
      <c r="E288" s="24">
        <v>45890</v>
      </c>
      <c r="F288" s="9"/>
      <c r="G288" s="12"/>
      <c r="H288" s="11"/>
      <c r="I288" s="11"/>
      <c r="J288" s="17">
        <f t="shared" si="98"/>
        <v>0</v>
      </c>
    </row>
    <row r="289" spans="1:11" x14ac:dyDescent="0.15">
      <c r="A289" s="12" t="s">
        <v>271</v>
      </c>
      <c r="B289" s="11">
        <v>1</v>
      </c>
      <c r="C289" s="11"/>
      <c r="D289" s="17">
        <f t="shared" si="97"/>
        <v>1</v>
      </c>
      <c r="E289" s="24">
        <v>45891</v>
      </c>
      <c r="G289" s="12"/>
      <c r="H289" s="11"/>
      <c r="I289" s="11"/>
      <c r="J289" s="17">
        <f t="shared" si="98"/>
        <v>0</v>
      </c>
    </row>
    <row r="290" spans="1:11" x14ac:dyDescent="0.15">
      <c r="A290" s="12" t="s">
        <v>277</v>
      </c>
      <c r="B290" s="11">
        <v>1</v>
      </c>
      <c r="C290" s="11">
        <v>1</v>
      </c>
      <c r="D290" s="17">
        <f t="shared" si="97"/>
        <v>2</v>
      </c>
      <c r="E290" s="24">
        <v>45894</v>
      </c>
      <c r="G290" s="12"/>
      <c r="H290" s="11"/>
      <c r="I290" s="11"/>
      <c r="J290" s="17">
        <f t="shared" si="98"/>
        <v>0</v>
      </c>
    </row>
    <row r="291" spans="1:11" x14ac:dyDescent="0.15">
      <c r="A291" s="12" t="s">
        <v>279</v>
      </c>
      <c r="B291" s="11">
        <v>2</v>
      </c>
      <c r="C291" s="11"/>
      <c r="D291" s="17">
        <f t="shared" si="97"/>
        <v>2</v>
      </c>
      <c r="E291" s="24">
        <v>45897</v>
      </c>
      <c r="G291" s="5"/>
      <c r="H291" s="11"/>
      <c r="I291" s="11"/>
      <c r="J291" s="17">
        <f t="shared" si="98"/>
        <v>0</v>
      </c>
    </row>
    <row r="292" spans="1:11" x14ac:dyDescent="0.15">
      <c r="A292" s="12" t="s">
        <v>280</v>
      </c>
      <c r="B292" s="11"/>
      <c r="C292" s="11">
        <v>1</v>
      </c>
      <c r="D292" s="17">
        <f t="shared" si="97"/>
        <v>1</v>
      </c>
      <c r="E292" s="24">
        <v>45898</v>
      </c>
      <c r="G292" s="6"/>
      <c r="H292" s="11"/>
      <c r="I292" s="11"/>
      <c r="J292" s="17">
        <f t="shared" si="98"/>
        <v>0</v>
      </c>
    </row>
    <row r="293" spans="1:11" x14ac:dyDescent="0.15">
      <c r="A293" s="12" t="s">
        <v>281</v>
      </c>
      <c r="B293" s="11">
        <v>2</v>
      </c>
      <c r="C293" s="11">
        <v>2</v>
      </c>
      <c r="D293" s="17">
        <f t="shared" si="97"/>
        <v>4</v>
      </c>
      <c r="E293" s="24">
        <v>45903</v>
      </c>
      <c r="F293" s="9"/>
      <c r="G293" s="6"/>
      <c r="H293" s="11"/>
      <c r="I293" s="11"/>
      <c r="J293" s="17">
        <f t="shared" ref="J293:J296" si="102">H293+I293</f>
        <v>0</v>
      </c>
    </row>
    <row r="294" spans="1:11" x14ac:dyDescent="0.15">
      <c r="A294" s="12" t="s">
        <v>282</v>
      </c>
      <c r="B294" s="11">
        <v>1</v>
      </c>
      <c r="C294" s="11"/>
      <c r="D294" s="17">
        <f t="shared" si="97"/>
        <v>1</v>
      </c>
      <c r="E294" s="24">
        <v>45901</v>
      </c>
      <c r="F294" s="9"/>
      <c r="G294" s="6"/>
      <c r="H294" s="11"/>
      <c r="I294" s="11"/>
      <c r="J294" s="17">
        <f t="shared" si="102"/>
        <v>0</v>
      </c>
    </row>
    <row r="295" spans="1:11" x14ac:dyDescent="0.15">
      <c r="A295" s="5" t="s">
        <v>283</v>
      </c>
      <c r="B295" s="11">
        <v>-3</v>
      </c>
      <c r="C295" s="11">
        <v>-3</v>
      </c>
      <c r="D295" s="17">
        <f t="shared" si="97"/>
        <v>-6</v>
      </c>
      <c r="E295" s="24">
        <v>45902</v>
      </c>
      <c r="F295" s="9"/>
      <c r="G295" s="6"/>
      <c r="H295" s="11"/>
      <c r="I295" s="11"/>
      <c r="J295" s="17">
        <f t="shared" si="102"/>
        <v>0</v>
      </c>
    </row>
    <row r="296" spans="1:11" x14ac:dyDescent="0.15">
      <c r="A296" s="12" t="s">
        <v>285</v>
      </c>
      <c r="B296" s="11"/>
      <c r="C296" s="11">
        <v>1</v>
      </c>
      <c r="D296" s="17">
        <f t="shared" si="97"/>
        <v>1</v>
      </c>
      <c r="E296" s="24">
        <v>45904</v>
      </c>
      <c r="G296" s="6"/>
      <c r="H296" s="11"/>
      <c r="I296" s="11"/>
      <c r="J296" s="17">
        <f t="shared" si="102"/>
        <v>0</v>
      </c>
    </row>
    <row r="297" spans="1:11" x14ac:dyDescent="0.15">
      <c r="A297" s="5" t="s">
        <v>61</v>
      </c>
      <c r="B297" s="11">
        <v>-3</v>
      </c>
      <c r="C297" s="11">
        <v>-3</v>
      </c>
      <c r="D297" s="17">
        <f t="shared" si="97"/>
        <v>-6</v>
      </c>
      <c r="E297" s="24">
        <v>45903</v>
      </c>
      <c r="G297" s="5" t="s">
        <v>238</v>
      </c>
      <c r="H297" s="11"/>
      <c r="I297" s="11"/>
      <c r="J297" s="17">
        <f t="shared" ref="J297:J300" si="103">H297+I297</f>
        <v>0</v>
      </c>
      <c r="K297" s="9" t="s">
        <v>239</v>
      </c>
    </row>
    <row r="298" spans="1:11" x14ac:dyDescent="0.15">
      <c r="A298" s="12" t="s">
        <v>287</v>
      </c>
      <c r="B298" s="11">
        <v>1</v>
      </c>
      <c r="C298" s="11"/>
      <c r="D298" s="17">
        <f t="shared" si="97"/>
        <v>1</v>
      </c>
      <c r="E298" s="24">
        <v>45905</v>
      </c>
      <c r="G298" s="5" t="s">
        <v>227</v>
      </c>
      <c r="H298" s="11"/>
      <c r="I298" s="11"/>
      <c r="J298" s="17">
        <f t="shared" si="103"/>
        <v>0</v>
      </c>
      <c r="K298" s="24" t="s">
        <v>228</v>
      </c>
    </row>
    <row r="299" spans="1:11" x14ac:dyDescent="0.15">
      <c r="A299" s="12" t="s">
        <v>288</v>
      </c>
      <c r="B299" s="11"/>
      <c r="C299" s="11">
        <v>1</v>
      </c>
      <c r="D299" s="17">
        <f t="shared" si="97"/>
        <v>1</v>
      </c>
      <c r="E299" s="24">
        <v>45916</v>
      </c>
      <c r="G299" s="53" t="s">
        <v>223</v>
      </c>
      <c r="H299" s="44"/>
      <c r="I299" s="44"/>
      <c r="J299" s="45">
        <f t="shared" si="103"/>
        <v>0</v>
      </c>
      <c r="K299" s="9"/>
    </row>
    <row r="300" spans="1:11" ht="14.25" thickBot="1" x14ac:dyDescent="0.2">
      <c r="A300" s="27" t="s">
        <v>289</v>
      </c>
      <c r="B300" s="26">
        <v>-1</v>
      </c>
      <c r="C300" s="26"/>
      <c r="D300" s="19">
        <f t="shared" si="97"/>
        <v>-1</v>
      </c>
      <c r="E300" s="43">
        <v>45910</v>
      </c>
      <c r="G300" s="5" t="s">
        <v>222</v>
      </c>
      <c r="H300" s="11"/>
      <c r="I300" s="11"/>
      <c r="J300" s="17">
        <f t="shared" si="103"/>
        <v>0</v>
      </c>
      <c r="K300" s="9" t="s">
        <v>220</v>
      </c>
    </row>
    <row r="301" spans="1:11" ht="14.25" thickBot="1" x14ac:dyDescent="0.2">
      <c r="A301" s="2" t="s">
        <v>3</v>
      </c>
      <c r="B301" s="18">
        <f>SUM(B277:B300)</f>
        <v>9</v>
      </c>
      <c r="C301" s="18">
        <f>SUM(C277:C300)</f>
        <v>10</v>
      </c>
      <c r="D301" s="18">
        <f t="shared" si="97"/>
        <v>19</v>
      </c>
      <c r="G301" s="2" t="s">
        <v>3</v>
      </c>
      <c r="H301" s="18">
        <f>SUM(H277:H300)</f>
        <v>162</v>
      </c>
      <c r="I301" s="18">
        <f t="shared" ref="I301" si="104">SUM(I277:I300)</f>
        <v>142</v>
      </c>
      <c r="J301" s="18">
        <f t="shared" ref="J301" si="105">SUM(J277:J300)</f>
        <v>304</v>
      </c>
    </row>
    <row r="302" spans="1:11" ht="14.25" thickBot="1" x14ac:dyDescent="0.2">
      <c r="A302" s="28" t="s">
        <v>4</v>
      </c>
      <c r="B302" s="29">
        <f>B276-B301</f>
        <v>9</v>
      </c>
      <c r="C302" s="29">
        <f>C276-C301</f>
        <v>7</v>
      </c>
      <c r="D302" s="42">
        <f>B302+C302</f>
        <v>16</v>
      </c>
      <c r="G302" s="28" t="s">
        <v>4</v>
      </c>
      <c r="H302" s="29">
        <f>H276-H301</f>
        <v>320</v>
      </c>
      <c r="I302" s="29">
        <f t="shared" ref="I302" si="106">I276-I301</f>
        <v>246</v>
      </c>
      <c r="J302" s="42">
        <f t="shared" ref="J302" si="107">J276-J301</f>
        <v>566</v>
      </c>
      <c r="K302" s="63" t="s">
        <v>259</v>
      </c>
    </row>
    <row r="305" spans="1:12" ht="18.75" x14ac:dyDescent="0.2">
      <c r="A305" s="34" t="s">
        <v>7</v>
      </c>
      <c r="B305" s="35"/>
      <c r="C305" s="35"/>
      <c r="D305" s="35"/>
      <c r="G305" s="36" t="s">
        <v>8</v>
      </c>
      <c r="H305" s="37"/>
      <c r="I305" s="37"/>
      <c r="J305" s="37"/>
    </row>
    <row r="306" spans="1:12" ht="14.25" thickBot="1" x14ac:dyDescent="0.2">
      <c r="A306" s="1"/>
      <c r="B306" s="1"/>
      <c r="C306" s="1"/>
      <c r="D306" s="1"/>
      <c r="G306" s="1"/>
      <c r="H306" s="1"/>
      <c r="I306" s="1"/>
      <c r="J306" s="1"/>
    </row>
    <row r="307" spans="1:12" ht="14.25" thickBot="1" x14ac:dyDescent="0.2">
      <c r="A307" s="2"/>
      <c r="B307" s="2" t="s">
        <v>6</v>
      </c>
      <c r="C307" s="2" t="s">
        <v>9</v>
      </c>
      <c r="D307" s="2" t="s">
        <v>0</v>
      </c>
      <c r="G307" s="2"/>
      <c r="H307" s="2" t="s">
        <v>6</v>
      </c>
      <c r="I307" s="2" t="s">
        <v>9</v>
      </c>
      <c r="J307" s="2" t="s">
        <v>0</v>
      </c>
    </row>
    <row r="308" spans="1:12" x14ac:dyDescent="0.15">
      <c r="A308" s="14" t="s">
        <v>4</v>
      </c>
      <c r="B308" s="32">
        <f>B302</f>
        <v>9</v>
      </c>
      <c r="C308" s="32">
        <f>C302</f>
        <v>7</v>
      </c>
      <c r="D308" s="33">
        <f>B308+C308</f>
        <v>16</v>
      </c>
      <c r="G308" s="14" t="s">
        <v>4</v>
      </c>
      <c r="H308" s="32">
        <f>H302</f>
        <v>320</v>
      </c>
      <c r="I308" s="32">
        <f t="shared" ref="I308:J308" si="108">I302</f>
        <v>246</v>
      </c>
      <c r="J308" s="33">
        <f t="shared" si="108"/>
        <v>566</v>
      </c>
    </row>
    <row r="309" spans="1:12" x14ac:dyDescent="0.15">
      <c r="A309" s="3" t="s">
        <v>1</v>
      </c>
      <c r="B309" s="11">
        <v>5</v>
      </c>
      <c r="C309" s="11">
        <v>5</v>
      </c>
      <c r="D309" s="17">
        <f t="shared" ref="D309:D311" si="109">B309+C309</f>
        <v>10</v>
      </c>
      <c r="E309" s="24">
        <v>45952</v>
      </c>
      <c r="G309" s="3" t="s">
        <v>1</v>
      </c>
      <c r="H309" s="11"/>
      <c r="I309" s="11"/>
      <c r="J309" s="17">
        <f t="shared" ref="J309:J313" si="110">H309+I309</f>
        <v>0</v>
      </c>
    </row>
    <row r="310" spans="1:12" x14ac:dyDescent="0.15">
      <c r="A310" s="3" t="s">
        <v>1</v>
      </c>
      <c r="B310" s="11">
        <v>5</v>
      </c>
      <c r="C310" s="11"/>
      <c r="D310" s="17">
        <f t="shared" si="109"/>
        <v>5</v>
      </c>
      <c r="E310" s="24">
        <v>45954</v>
      </c>
      <c r="G310" s="3" t="s">
        <v>314</v>
      </c>
      <c r="H310" s="11">
        <v>18</v>
      </c>
      <c r="I310" s="11">
        <v>10</v>
      </c>
      <c r="J310" s="17">
        <f t="shared" ref="J310" si="111">H310+I310</f>
        <v>28</v>
      </c>
      <c r="K310" s="43">
        <v>45975</v>
      </c>
    </row>
    <row r="311" spans="1:12" x14ac:dyDescent="0.15">
      <c r="A311" s="57" t="s">
        <v>1</v>
      </c>
      <c r="B311" s="54">
        <v>5</v>
      </c>
      <c r="C311" s="54">
        <v>5</v>
      </c>
      <c r="D311" s="55">
        <f t="shared" si="109"/>
        <v>10</v>
      </c>
      <c r="E311" s="56">
        <v>45959</v>
      </c>
      <c r="G311" s="3" t="s">
        <v>1</v>
      </c>
      <c r="H311" s="11"/>
      <c r="I311" s="11"/>
      <c r="J311" s="17">
        <f t="shared" si="110"/>
        <v>0</v>
      </c>
    </row>
    <row r="312" spans="1:12" x14ac:dyDescent="0.15">
      <c r="A312" s="3" t="s">
        <v>56</v>
      </c>
      <c r="B312" s="11"/>
      <c r="C312" s="11">
        <v>1</v>
      </c>
      <c r="D312" s="17">
        <f t="shared" ref="D312:D339" si="112">B312+C312</f>
        <v>1</v>
      </c>
      <c r="E312" s="43">
        <v>45960</v>
      </c>
      <c r="G312" s="3" t="s">
        <v>1</v>
      </c>
      <c r="H312" s="11"/>
      <c r="I312" s="11"/>
      <c r="J312" s="17">
        <f t="shared" si="110"/>
        <v>0</v>
      </c>
    </row>
    <row r="313" spans="1:12" ht="14.25" thickBot="1" x14ac:dyDescent="0.2">
      <c r="A313" s="3" t="s">
        <v>1</v>
      </c>
      <c r="B313" s="11">
        <v>5</v>
      </c>
      <c r="C313" s="11"/>
      <c r="D313" s="17">
        <f t="shared" ref="D313" si="113">B313+C313</f>
        <v>5</v>
      </c>
      <c r="E313" s="24">
        <v>45966</v>
      </c>
      <c r="G313" s="4" t="s">
        <v>1</v>
      </c>
      <c r="H313" s="26"/>
      <c r="I313" s="26"/>
      <c r="J313" s="19">
        <f t="shared" si="110"/>
        <v>0</v>
      </c>
    </row>
    <row r="314" spans="1:12" ht="14.25" thickBot="1" x14ac:dyDescent="0.2">
      <c r="A314" s="8" t="s">
        <v>2</v>
      </c>
      <c r="B314" s="20">
        <f>SUM(B308:B313)</f>
        <v>29</v>
      </c>
      <c r="C314" s="20">
        <f>SUM(C308:C313)</f>
        <v>18</v>
      </c>
      <c r="D314" s="31">
        <f t="shared" si="112"/>
        <v>47</v>
      </c>
      <c r="G314" s="8" t="s">
        <v>2</v>
      </c>
      <c r="H314" s="20">
        <f>SUM(H308:H313)</f>
        <v>338</v>
      </c>
      <c r="I314" s="20">
        <f t="shared" ref="I314:J314" si="114">SUM(I308:I313)</f>
        <v>256</v>
      </c>
      <c r="J314" s="31">
        <f t="shared" si="114"/>
        <v>594</v>
      </c>
    </row>
    <row r="315" spans="1:12" x14ac:dyDescent="0.15">
      <c r="A315" s="12" t="s">
        <v>290</v>
      </c>
      <c r="B315" s="25"/>
      <c r="C315" s="25">
        <v>1</v>
      </c>
      <c r="D315" s="21">
        <f t="shared" si="112"/>
        <v>1</v>
      </c>
      <c r="E315" s="24">
        <v>45918</v>
      </c>
      <c r="G315" s="12" t="s">
        <v>297</v>
      </c>
      <c r="H315" s="11">
        <v>7</v>
      </c>
      <c r="I315" s="11">
        <v>6</v>
      </c>
      <c r="J315" s="17">
        <f t="shared" ref="J315:J337" si="115">H315+I315</f>
        <v>13</v>
      </c>
      <c r="K315" s="24">
        <v>45933</v>
      </c>
    </row>
    <row r="316" spans="1:12" x14ac:dyDescent="0.15">
      <c r="A316" s="12" t="s">
        <v>292</v>
      </c>
      <c r="B316" s="11">
        <v>1</v>
      </c>
      <c r="C316" s="11"/>
      <c r="D316" s="17">
        <f t="shared" si="112"/>
        <v>1</v>
      </c>
      <c r="E316" s="24">
        <v>45919</v>
      </c>
      <c r="G316" s="5" t="s">
        <v>276</v>
      </c>
      <c r="H316" s="11">
        <v>10</v>
      </c>
      <c r="I316" s="11">
        <v>10</v>
      </c>
      <c r="J316" s="17">
        <f t="shared" si="115"/>
        <v>20</v>
      </c>
      <c r="K316" s="24">
        <v>45950</v>
      </c>
    </row>
    <row r="317" spans="1:12" x14ac:dyDescent="0.15">
      <c r="A317" s="12" t="s">
        <v>296</v>
      </c>
      <c r="B317" s="11"/>
      <c r="C317" s="11">
        <v>1</v>
      </c>
      <c r="D317" s="17">
        <f t="shared" si="112"/>
        <v>1</v>
      </c>
      <c r="E317" s="24">
        <v>45924</v>
      </c>
      <c r="G317" s="12" t="s">
        <v>300</v>
      </c>
      <c r="H317" s="11">
        <v>5</v>
      </c>
      <c r="I317" s="11">
        <v>5</v>
      </c>
      <c r="J317" s="17">
        <f t="shared" si="115"/>
        <v>10</v>
      </c>
      <c r="K317" s="24">
        <v>45952</v>
      </c>
    </row>
    <row r="318" spans="1:12" x14ac:dyDescent="0.15">
      <c r="A318" s="12" t="s">
        <v>40</v>
      </c>
      <c r="B318" s="11">
        <v>3</v>
      </c>
      <c r="C318" s="11"/>
      <c r="D318" s="17">
        <f t="shared" si="112"/>
        <v>3</v>
      </c>
      <c r="E318" s="24">
        <v>45922</v>
      </c>
      <c r="G318" s="12" t="s">
        <v>25</v>
      </c>
      <c r="H318" s="11">
        <v>5</v>
      </c>
      <c r="I318" s="11"/>
      <c r="J318" s="17">
        <f t="shared" si="115"/>
        <v>5</v>
      </c>
      <c r="K318" s="24">
        <v>45954</v>
      </c>
    </row>
    <row r="319" spans="1:12" x14ac:dyDescent="0.15">
      <c r="A319" s="12" t="s">
        <v>298</v>
      </c>
      <c r="B319" s="11">
        <v>1</v>
      </c>
      <c r="C319" s="11"/>
      <c r="D319" s="17">
        <f t="shared" si="112"/>
        <v>1</v>
      </c>
      <c r="E319" s="24">
        <v>45946</v>
      </c>
      <c r="G319" s="12" t="s">
        <v>25</v>
      </c>
      <c r="H319" s="11">
        <v>5</v>
      </c>
      <c r="I319" s="11">
        <v>5</v>
      </c>
      <c r="J319" s="17">
        <f t="shared" ref="J319" si="116">H319+I319</f>
        <v>10</v>
      </c>
      <c r="K319" s="24">
        <v>45959</v>
      </c>
      <c r="L319" s="9"/>
    </row>
    <row r="320" spans="1:12" x14ac:dyDescent="0.15">
      <c r="A320" s="12" t="s">
        <v>40</v>
      </c>
      <c r="B320" s="11"/>
      <c r="C320" s="11">
        <v>1</v>
      </c>
      <c r="D320" s="17">
        <f t="shared" si="112"/>
        <v>1</v>
      </c>
      <c r="E320" s="24">
        <v>45944</v>
      </c>
      <c r="G320" s="12" t="s">
        <v>25</v>
      </c>
      <c r="H320" s="11">
        <v>5</v>
      </c>
      <c r="I320" s="11"/>
      <c r="J320" s="17">
        <f t="shared" si="115"/>
        <v>5</v>
      </c>
      <c r="K320" s="24">
        <v>45966</v>
      </c>
      <c r="L320" s="9"/>
    </row>
    <row r="321" spans="1:11" x14ac:dyDescent="0.15">
      <c r="A321" s="12" t="s">
        <v>299</v>
      </c>
      <c r="B321" s="11">
        <v>1</v>
      </c>
      <c r="C321" s="11">
        <v>2</v>
      </c>
      <c r="D321" s="17">
        <f t="shared" si="112"/>
        <v>3</v>
      </c>
      <c r="E321" s="24">
        <v>45952</v>
      </c>
      <c r="G321" s="12" t="s">
        <v>309</v>
      </c>
      <c r="H321" s="11">
        <v>7</v>
      </c>
      <c r="I321" s="11"/>
      <c r="J321" s="17">
        <f t="shared" si="115"/>
        <v>7</v>
      </c>
      <c r="K321" s="24">
        <v>45971</v>
      </c>
    </row>
    <row r="322" spans="1:11" x14ac:dyDescent="0.15">
      <c r="A322" s="12" t="s">
        <v>301</v>
      </c>
      <c r="B322" s="11">
        <v>2</v>
      </c>
      <c r="C322" s="11"/>
      <c r="D322" s="17">
        <f t="shared" si="112"/>
        <v>2</v>
      </c>
      <c r="E322" s="24">
        <v>45954</v>
      </c>
      <c r="G322" s="59"/>
      <c r="H322" s="40"/>
      <c r="I322" s="40"/>
      <c r="J322" s="41"/>
      <c r="K322" s="10"/>
    </row>
    <row r="323" spans="1:11" x14ac:dyDescent="0.15">
      <c r="A323" s="12" t="s">
        <v>302</v>
      </c>
      <c r="B323" s="11">
        <v>2</v>
      </c>
      <c r="C323" s="11"/>
      <c r="D323" s="17">
        <f t="shared" si="112"/>
        <v>2</v>
      </c>
      <c r="E323" s="24">
        <v>45954</v>
      </c>
      <c r="G323" s="12"/>
      <c r="H323" s="11"/>
      <c r="I323" s="11"/>
      <c r="J323" s="17">
        <f t="shared" si="115"/>
        <v>0</v>
      </c>
    </row>
    <row r="324" spans="1:11" x14ac:dyDescent="0.15">
      <c r="A324" s="12" t="s">
        <v>303</v>
      </c>
      <c r="B324" s="11">
        <v>1</v>
      </c>
      <c r="C324" s="11"/>
      <c r="D324" s="17">
        <f t="shared" si="112"/>
        <v>1</v>
      </c>
      <c r="E324" s="24">
        <v>45957</v>
      </c>
      <c r="F324" s="9"/>
      <c r="G324" s="12"/>
      <c r="H324" s="11"/>
      <c r="I324" s="11"/>
      <c r="J324" s="17">
        <f t="shared" si="115"/>
        <v>0</v>
      </c>
    </row>
    <row r="325" spans="1:11" x14ac:dyDescent="0.15">
      <c r="A325" s="12" t="s">
        <v>304</v>
      </c>
      <c r="B325" s="11">
        <v>2</v>
      </c>
      <c r="C325" s="11">
        <v>3</v>
      </c>
      <c r="D325" s="17">
        <f t="shared" si="112"/>
        <v>5</v>
      </c>
      <c r="E325" s="24">
        <v>45959</v>
      </c>
      <c r="F325" s="9"/>
      <c r="G325" s="12"/>
      <c r="H325" s="11"/>
      <c r="I325" s="11"/>
      <c r="J325" s="17">
        <f t="shared" si="115"/>
        <v>0</v>
      </c>
    </row>
    <row r="326" spans="1:11" x14ac:dyDescent="0.15">
      <c r="A326" s="12" t="s">
        <v>305</v>
      </c>
      <c r="B326" s="11">
        <v>2</v>
      </c>
      <c r="C326" s="11"/>
      <c r="D326" s="17">
        <f t="shared" si="112"/>
        <v>2</v>
      </c>
      <c r="E326" s="24">
        <v>45960</v>
      </c>
      <c r="F326" s="9"/>
      <c r="G326" s="12"/>
      <c r="H326" s="11"/>
      <c r="I326" s="11"/>
      <c r="J326" s="17">
        <f t="shared" si="115"/>
        <v>0</v>
      </c>
    </row>
    <row r="327" spans="1:11" x14ac:dyDescent="0.15">
      <c r="A327" s="12" t="s">
        <v>306</v>
      </c>
      <c r="B327" s="11">
        <v>3</v>
      </c>
      <c r="C327" s="11"/>
      <c r="D327" s="17">
        <f t="shared" si="112"/>
        <v>3</v>
      </c>
      <c r="E327" s="24">
        <v>45961</v>
      </c>
      <c r="G327" s="12"/>
      <c r="H327" s="11"/>
      <c r="I327" s="11"/>
      <c r="J327" s="17">
        <f t="shared" si="115"/>
        <v>0</v>
      </c>
    </row>
    <row r="328" spans="1:11" x14ac:dyDescent="0.15">
      <c r="A328" s="12" t="s">
        <v>307</v>
      </c>
      <c r="B328" s="11"/>
      <c r="C328" s="11">
        <v>2</v>
      </c>
      <c r="D328" s="17">
        <f t="shared" si="112"/>
        <v>2</v>
      </c>
      <c r="E328" s="24">
        <v>45965</v>
      </c>
      <c r="G328" s="12"/>
      <c r="H328" s="11"/>
      <c r="I328" s="11"/>
      <c r="J328" s="17">
        <f t="shared" si="115"/>
        <v>0</v>
      </c>
    </row>
    <row r="329" spans="1:11" x14ac:dyDescent="0.15">
      <c r="A329" s="12" t="s">
        <v>308</v>
      </c>
      <c r="B329" s="11">
        <v>2</v>
      </c>
      <c r="C329" s="11"/>
      <c r="D329" s="17">
        <f t="shared" si="112"/>
        <v>2</v>
      </c>
      <c r="E329" s="24">
        <v>45967</v>
      </c>
      <c r="G329" s="5"/>
      <c r="H329" s="11"/>
      <c r="I329" s="11"/>
      <c r="J329" s="17">
        <f t="shared" si="115"/>
        <v>0</v>
      </c>
    </row>
    <row r="330" spans="1:11" x14ac:dyDescent="0.15">
      <c r="A330" s="12" t="s">
        <v>310</v>
      </c>
      <c r="B330" s="11">
        <v>1</v>
      </c>
      <c r="C330" s="11">
        <v>1</v>
      </c>
      <c r="D330" s="17">
        <f t="shared" si="112"/>
        <v>2</v>
      </c>
      <c r="E330" s="24">
        <v>45968</v>
      </c>
      <c r="G330" s="6"/>
      <c r="H330" s="11"/>
      <c r="I330" s="11"/>
      <c r="J330" s="17">
        <f t="shared" si="115"/>
        <v>0</v>
      </c>
    </row>
    <row r="331" spans="1:11" x14ac:dyDescent="0.15">
      <c r="A331" s="12" t="s">
        <v>311</v>
      </c>
      <c r="B331" s="11"/>
      <c r="C331" s="11">
        <v>1</v>
      </c>
      <c r="D331" s="17">
        <f t="shared" si="112"/>
        <v>1</v>
      </c>
      <c r="E331" s="24">
        <v>45971</v>
      </c>
      <c r="G331" s="5"/>
      <c r="H331" s="11"/>
      <c r="I331" s="11"/>
      <c r="J331" s="17">
        <f t="shared" si="115"/>
        <v>0</v>
      </c>
    </row>
    <row r="332" spans="1:11" x14ac:dyDescent="0.15">
      <c r="A332" s="12" t="s">
        <v>312</v>
      </c>
      <c r="B332" s="11">
        <v>1</v>
      </c>
      <c r="C332" s="11"/>
      <c r="D332" s="17">
        <f t="shared" si="112"/>
        <v>1</v>
      </c>
      <c r="E332" s="24">
        <v>45974</v>
      </c>
      <c r="G332" s="5"/>
      <c r="H332" s="11"/>
      <c r="I332" s="11"/>
      <c r="J332" s="17">
        <f t="shared" ref="J332:J334" si="117">H332+I332</f>
        <v>0</v>
      </c>
    </row>
    <row r="333" spans="1:11" x14ac:dyDescent="0.15">
      <c r="A333" s="12" t="s">
        <v>313</v>
      </c>
      <c r="B333" s="11">
        <v>2</v>
      </c>
      <c r="C333" s="11"/>
      <c r="D333" s="17">
        <f t="shared" si="112"/>
        <v>2</v>
      </c>
      <c r="E333" s="24">
        <v>45978</v>
      </c>
      <c r="G333" s="5"/>
      <c r="H333" s="11"/>
      <c r="I333" s="11"/>
      <c r="J333" s="17">
        <f t="shared" si="117"/>
        <v>0</v>
      </c>
    </row>
    <row r="334" spans="1:11" x14ac:dyDescent="0.15">
      <c r="A334" s="12" t="s">
        <v>316</v>
      </c>
      <c r="B334" s="11"/>
      <c r="C334" s="11">
        <v>-1</v>
      </c>
      <c r="D334" s="17">
        <f t="shared" si="112"/>
        <v>-1</v>
      </c>
      <c r="E334" s="24">
        <v>45978</v>
      </c>
      <c r="G334" s="5"/>
      <c r="H334" s="11"/>
      <c r="I334" s="11"/>
      <c r="J334" s="17">
        <f t="shared" si="117"/>
        <v>0</v>
      </c>
    </row>
    <row r="335" spans="1:11" x14ac:dyDescent="0.15">
      <c r="A335" s="12" t="s">
        <v>315</v>
      </c>
      <c r="B335" s="11">
        <v>1</v>
      </c>
      <c r="C335" s="11"/>
      <c r="D335" s="17">
        <f t="shared" ref="D335:D337" si="118">B335+C335</f>
        <v>1</v>
      </c>
      <c r="E335" s="24">
        <v>45981</v>
      </c>
      <c r="G335" s="58" t="s">
        <v>274</v>
      </c>
      <c r="H335" s="44"/>
      <c r="I335" s="44"/>
      <c r="J335" s="45">
        <f t="shared" si="115"/>
        <v>0</v>
      </c>
      <c r="K335" s="46"/>
    </row>
    <row r="336" spans="1:11" x14ac:dyDescent="0.15">
      <c r="A336" s="12" t="s">
        <v>317</v>
      </c>
      <c r="B336" s="11"/>
      <c r="C336" s="11">
        <v>1</v>
      </c>
      <c r="D336" s="17">
        <f t="shared" si="118"/>
        <v>1</v>
      </c>
      <c r="E336" s="24">
        <v>45982</v>
      </c>
      <c r="G336" s="5" t="s">
        <v>255</v>
      </c>
      <c r="H336" s="11"/>
      <c r="I336" s="11"/>
      <c r="J336" s="17">
        <f t="shared" si="115"/>
        <v>0</v>
      </c>
      <c r="K336" s="24" t="s">
        <v>263</v>
      </c>
    </row>
    <row r="337" spans="1:11" x14ac:dyDescent="0.15">
      <c r="A337" s="12" t="s">
        <v>316</v>
      </c>
      <c r="B337" s="26">
        <v>-2</v>
      </c>
      <c r="C337" s="26">
        <v>-8</v>
      </c>
      <c r="D337" s="19">
        <f t="shared" si="118"/>
        <v>-10</v>
      </c>
      <c r="E337" s="24">
        <v>45987</v>
      </c>
      <c r="G337" s="5" t="s">
        <v>272</v>
      </c>
      <c r="H337" s="11"/>
      <c r="I337" s="11"/>
      <c r="J337" s="17">
        <f t="shared" si="115"/>
        <v>0</v>
      </c>
      <c r="K337" s="9" t="s">
        <v>39</v>
      </c>
    </row>
    <row r="338" spans="1:11" ht="14.25" thickBot="1" x14ac:dyDescent="0.2">
      <c r="A338" s="12" t="s">
        <v>318</v>
      </c>
      <c r="B338" s="26"/>
      <c r="C338" s="26">
        <v>4</v>
      </c>
      <c r="D338" s="19">
        <f t="shared" si="112"/>
        <v>4</v>
      </c>
      <c r="E338" s="24">
        <v>45989</v>
      </c>
      <c r="G338" s="5" t="s">
        <v>294</v>
      </c>
      <c r="H338" s="11"/>
      <c r="I338" s="11"/>
      <c r="J338" s="17">
        <f t="shared" ref="J338" si="119">H338+I338</f>
        <v>0</v>
      </c>
      <c r="K338" s="9" t="s">
        <v>295</v>
      </c>
    </row>
    <row r="339" spans="1:11" ht="14.25" thickBot="1" x14ac:dyDescent="0.2">
      <c r="A339" s="2" t="s">
        <v>3</v>
      </c>
      <c r="B339" s="18">
        <f>SUM(B315:B338)</f>
        <v>23</v>
      </c>
      <c r="C339" s="18">
        <f>SUM(C315:C338)</f>
        <v>8</v>
      </c>
      <c r="D339" s="18">
        <f t="shared" si="112"/>
        <v>31</v>
      </c>
      <c r="G339" s="2" t="s">
        <v>3</v>
      </c>
      <c r="H339" s="18">
        <f>SUM(H315:H338)</f>
        <v>44</v>
      </c>
      <c r="I339" s="18">
        <f t="shared" ref="I339:J339" si="120">SUM(I315:I338)</f>
        <v>26</v>
      </c>
      <c r="J339" s="18">
        <f t="shared" si="120"/>
        <v>70</v>
      </c>
    </row>
    <row r="340" spans="1:11" ht="14.25" thickBot="1" x14ac:dyDescent="0.2">
      <c r="A340" s="28" t="s">
        <v>4</v>
      </c>
      <c r="B340" s="29">
        <f>B314-B339</f>
        <v>6</v>
      </c>
      <c r="C340" s="29">
        <f>C314-C339</f>
        <v>10</v>
      </c>
      <c r="D340" s="42">
        <f>B340+C340</f>
        <v>16</v>
      </c>
      <c r="G340" s="28" t="s">
        <v>4</v>
      </c>
      <c r="H340" s="29">
        <f>H314-H339</f>
        <v>294</v>
      </c>
      <c r="I340" s="29">
        <f t="shared" ref="I340:J340" si="121">I314-I339</f>
        <v>230</v>
      </c>
      <c r="J340" s="42">
        <f t="shared" si="121"/>
        <v>524</v>
      </c>
    </row>
    <row r="343" spans="1:11" ht="18.75" x14ac:dyDescent="0.2">
      <c r="A343" s="34" t="s">
        <v>7</v>
      </c>
      <c r="B343" s="35"/>
      <c r="C343" s="35"/>
      <c r="D343" s="35"/>
      <c r="G343" s="36" t="s">
        <v>8</v>
      </c>
      <c r="H343" s="37"/>
      <c r="I343" s="37"/>
      <c r="J343" s="37"/>
    </row>
    <row r="344" spans="1:11" ht="14.25" thickBot="1" x14ac:dyDescent="0.2">
      <c r="A344" s="1"/>
      <c r="B344" s="1"/>
      <c r="C344" s="1"/>
      <c r="D344" s="1"/>
      <c r="G344" s="1"/>
      <c r="H344" s="1"/>
      <c r="I344" s="1"/>
      <c r="J344" s="1"/>
    </row>
    <row r="345" spans="1:11" ht="14.25" thickBot="1" x14ac:dyDescent="0.2">
      <c r="A345" s="2"/>
      <c r="B345" s="2" t="s">
        <v>6</v>
      </c>
      <c r="C345" s="2" t="s">
        <v>9</v>
      </c>
      <c r="D345" s="2" t="s">
        <v>0</v>
      </c>
      <c r="G345" s="2"/>
      <c r="H345" s="2" t="s">
        <v>6</v>
      </c>
      <c r="I345" s="2" t="s">
        <v>9</v>
      </c>
      <c r="J345" s="2" t="s">
        <v>0</v>
      </c>
    </row>
    <row r="346" spans="1:11" x14ac:dyDescent="0.15">
      <c r="A346" s="14" t="s">
        <v>4</v>
      </c>
      <c r="B346" s="32">
        <f>B340</f>
        <v>6</v>
      </c>
      <c r="C346" s="32">
        <f>C340</f>
        <v>10</v>
      </c>
      <c r="D346" s="33">
        <f>B346+C346</f>
        <v>16</v>
      </c>
      <c r="G346" s="14" t="s">
        <v>4</v>
      </c>
      <c r="H346" s="32">
        <f>H340</f>
        <v>294</v>
      </c>
      <c r="I346" s="32">
        <f t="shared" ref="I346:J346" si="122">I340</f>
        <v>230</v>
      </c>
      <c r="J346" s="33">
        <f t="shared" si="122"/>
        <v>524</v>
      </c>
    </row>
    <row r="347" spans="1:11" x14ac:dyDescent="0.15">
      <c r="A347" s="3" t="s">
        <v>1</v>
      </c>
      <c r="B347" s="11">
        <v>5</v>
      </c>
      <c r="C347" s="11"/>
      <c r="D347" s="17">
        <f t="shared" ref="D347:D377" si="123">B347+C347</f>
        <v>5</v>
      </c>
      <c r="E347" s="24">
        <v>45997</v>
      </c>
      <c r="G347" s="3" t="s">
        <v>1</v>
      </c>
      <c r="H347" s="11"/>
      <c r="I347" s="11"/>
      <c r="J347" s="17">
        <f t="shared" ref="J347:J351" si="124">H347+I347</f>
        <v>0</v>
      </c>
    </row>
    <row r="348" spans="1:11" x14ac:dyDescent="0.15">
      <c r="A348" s="57" t="s">
        <v>1</v>
      </c>
      <c r="B348" s="54">
        <v>5</v>
      </c>
      <c r="C348" s="54">
        <v>5</v>
      </c>
      <c r="D348" s="55">
        <f t="shared" si="123"/>
        <v>10</v>
      </c>
      <c r="E348" s="56">
        <v>46015</v>
      </c>
      <c r="F348" s="60"/>
      <c r="G348" s="3" t="s">
        <v>1</v>
      </c>
      <c r="H348" s="11"/>
      <c r="I348" s="11"/>
      <c r="J348" s="17">
        <f t="shared" ref="J348:J349" si="125">H348+I348</f>
        <v>0</v>
      </c>
    </row>
    <row r="349" spans="1:11" x14ac:dyDescent="0.15">
      <c r="A349" s="3" t="s">
        <v>1</v>
      </c>
      <c r="B349" s="11">
        <v>3</v>
      </c>
      <c r="C349" s="11">
        <v>3</v>
      </c>
      <c r="D349" s="17">
        <f t="shared" ref="D349" si="126">B349+C349</f>
        <v>6</v>
      </c>
      <c r="E349" s="24">
        <v>46045</v>
      </c>
      <c r="G349" s="3" t="s">
        <v>1</v>
      </c>
      <c r="H349" s="11"/>
      <c r="I349" s="11"/>
      <c r="J349" s="17">
        <f t="shared" si="125"/>
        <v>0</v>
      </c>
    </row>
    <row r="350" spans="1:11" x14ac:dyDescent="0.15">
      <c r="A350" s="3" t="s">
        <v>1</v>
      </c>
      <c r="B350" s="11">
        <v>5</v>
      </c>
      <c r="C350" s="11">
        <v>5</v>
      </c>
      <c r="D350" s="17">
        <f t="shared" si="123"/>
        <v>10</v>
      </c>
      <c r="E350" s="24">
        <v>46052</v>
      </c>
      <c r="G350" s="3" t="s">
        <v>1</v>
      </c>
      <c r="H350" s="11"/>
      <c r="I350" s="11"/>
      <c r="J350" s="17">
        <f t="shared" si="124"/>
        <v>0</v>
      </c>
    </row>
    <row r="351" spans="1:11" ht="14.25" thickBot="1" x14ac:dyDescent="0.2">
      <c r="A351" s="3" t="s">
        <v>56</v>
      </c>
      <c r="B351" s="11"/>
      <c r="C351" s="11">
        <v>2</v>
      </c>
      <c r="D351" s="17">
        <f t="shared" si="123"/>
        <v>2</v>
      </c>
      <c r="E351" s="24">
        <v>46051</v>
      </c>
      <c r="G351" s="4" t="s">
        <v>1</v>
      </c>
      <c r="H351" s="26"/>
      <c r="I351" s="26"/>
      <c r="J351" s="19">
        <f t="shared" si="124"/>
        <v>0</v>
      </c>
    </row>
    <row r="352" spans="1:11" ht="14.25" thickBot="1" x14ac:dyDescent="0.2">
      <c r="A352" s="8" t="s">
        <v>2</v>
      </c>
      <c r="B352" s="20">
        <f>SUM(B346:B351)</f>
        <v>24</v>
      </c>
      <c r="C352" s="20">
        <f>SUM(C346:C351)</f>
        <v>25</v>
      </c>
      <c r="D352" s="31">
        <f t="shared" si="123"/>
        <v>49</v>
      </c>
      <c r="G352" s="8" t="s">
        <v>2</v>
      </c>
      <c r="H352" s="20">
        <f>SUM(H346:H351)</f>
        <v>294</v>
      </c>
      <c r="I352" s="20">
        <f t="shared" ref="I352:J352" si="127">SUM(I346:I351)</f>
        <v>230</v>
      </c>
      <c r="J352" s="31">
        <f t="shared" si="127"/>
        <v>524</v>
      </c>
    </row>
    <row r="353" spans="1:13" x14ac:dyDescent="0.15">
      <c r="A353" s="12" t="s">
        <v>321</v>
      </c>
      <c r="B353" s="25"/>
      <c r="C353" s="25">
        <v>1</v>
      </c>
      <c r="D353" s="21">
        <f t="shared" si="123"/>
        <v>1</v>
      </c>
      <c r="E353" s="24">
        <v>45992</v>
      </c>
      <c r="G353" s="12" t="s">
        <v>322</v>
      </c>
      <c r="H353" s="11">
        <v>3</v>
      </c>
      <c r="I353" s="11"/>
      <c r="J353" s="17">
        <f t="shared" ref="J353:J360" si="128">H353+I353</f>
        <v>3</v>
      </c>
      <c r="K353" s="24">
        <v>45995</v>
      </c>
    </row>
    <row r="354" spans="1:13" x14ac:dyDescent="0.15">
      <c r="A354" s="12" t="s">
        <v>324</v>
      </c>
      <c r="B354" s="11"/>
      <c r="C354" s="11">
        <v>1</v>
      </c>
      <c r="D354" s="17">
        <f t="shared" si="123"/>
        <v>1</v>
      </c>
      <c r="E354" s="24">
        <v>45994</v>
      </c>
      <c r="G354" s="12" t="s">
        <v>323</v>
      </c>
      <c r="H354" s="11">
        <v>20</v>
      </c>
      <c r="I354" s="11">
        <v>20</v>
      </c>
      <c r="J354" s="17">
        <f t="shared" si="128"/>
        <v>40</v>
      </c>
      <c r="K354" s="24">
        <v>45995</v>
      </c>
    </row>
    <row r="355" spans="1:13" x14ac:dyDescent="0.15">
      <c r="A355" s="12" t="s">
        <v>325</v>
      </c>
      <c r="B355" s="11"/>
      <c r="C355" s="11">
        <v>1</v>
      </c>
      <c r="D355" s="17">
        <f t="shared" si="123"/>
        <v>1</v>
      </c>
      <c r="E355" s="24">
        <v>45995</v>
      </c>
      <c r="G355" s="12" t="s">
        <v>328</v>
      </c>
      <c r="H355" s="11">
        <v>5</v>
      </c>
      <c r="I355" s="11"/>
      <c r="J355" s="17">
        <f t="shared" si="128"/>
        <v>5</v>
      </c>
      <c r="K355" s="43">
        <v>45997</v>
      </c>
    </row>
    <row r="356" spans="1:13" x14ac:dyDescent="0.15">
      <c r="A356" s="12" t="s">
        <v>326</v>
      </c>
      <c r="B356" s="11">
        <v>2</v>
      </c>
      <c r="C356" s="11"/>
      <c r="D356" s="17">
        <f t="shared" si="123"/>
        <v>2</v>
      </c>
      <c r="E356" s="24">
        <v>45996</v>
      </c>
      <c r="G356" s="6" t="s">
        <v>330</v>
      </c>
      <c r="H356" s="11"/>
      <c r="I356" s="11">
        <v>5</v>
      </c>
      <c r="J356" s="17">
        <f t="shared" si="128"/>
        <v>5</v>
      </c>
      <c r="K356" s="24">
        <v>46007</v>
      </c>
    </row>
    <row r="357" spans="1:13" x14ac:dyDescent="0.15">
      <c r="A357" s="12" t="s">
        <v>327</v>
      </c>
      <c r="B357" s="11">
        <v>1</v>
      </c>
      <c r="C357" s="11"/>
      <c r="D357" s="17">
        <f t="shared" si="123"/>
        <v>1</v>
      </c>
      <c r="E357" s="24">
        <v>45999</v>
      </c>
      <c r="G357" s="61" t="s">
        <v>336</v>
      </c>
      <c r="H357" s="54">
        <v>5</v>
      </c>
      <c r="I357" s="54">
        <v>5</v>
      </c>
      <c r="J357" s="55">
        <f t="shared" si="128"/>
        <v>10</v>
      </c>
      <c r="K357" s="56">
        <v>46015</v>
      </c>
    </row>
    <row r="358" spans="1:13" x14ac:dyDescent="0.15">
      <c r="A358" s="12" t="s">
        <v>329</v>
      </c>
      <c r="B358" s="11">
        <v>2</v>
      </c>
      <c r="C358" s="11"/>
      <c r="D358" s="17">
        <f t="shared" si="123"/>
        <v>2</v>
      </c>
      <c r="E358" s="24">
        <v>46003</v>
      </c>
      <c r="G358" s="12" t="s">
        <v>339</v>
      </c>
      <c r="H358" s="11"/>
      <c r="I358" s="11">
        <v>5</v>
      </c>
      <c r="J358" s="17">
        <f t="shared" si="128"/>
        <v>5</v>
      </c>
      <c r="K358" s="24">
        <v>46035</v>
      </c>
    </row>
    <row r="359" spans="1:13" x14ac:dyDescent="0.15">
      <c r="A359" s="12" t="s">
        <v>333</v>
      </c>
      <c r="B359" s="11"/>
      <c r="C359" s="11">
        <v>2</v>
      </c>
      <c r="D359" s="17">
        <f t="shared" si="123"/>
        <v>2</v>
      </c>
      <c r="E359" s="24">
        <v>46008</v>
      </c>
      <c r="G359" s="12" t="s">
        <v>340</v>
      </c>
      <c r="H359" s="11">
        <v>5</v>
      </c>
      <c r="I359" s="11"/>
      <c r="J359" s="17">
        <f t="shared" si="128"/>
        <v>5</v>
      </c>
      <c r="K359" s="24">
        <v>46031</v>
      </c>
    </row>
    <row r="360" spans="1:13" x14ac:dyDescent="0.15">
      <c r="A360" s="12" t="s">
        <v>334</v>
      </c>
      <c r="B360" s="11">
        <v>1</v>
      </c>
      <c r="C360" s="11"/>
      <c r="D360" s="17">
        <f t="shared" si="123"/>
        <v>1</v>
      </c>
      <c r="E360" s="24">
        <v>46010</v>
      </c>
      <c r="G360" s="12" t="s">
        <v>341</v>
      </c>
      <c r="H360" s="11">
        <v>8</v>
      </c>
      <c r="I360" s="11">
        <v>5</v>
      </c>
      <c r="J360" s="17">
        <f t="shared" si="128"/>
        <v>13</v>
      </c>
      <c r="K360" s="24">
        <v>46035</v>
      </c>
    </row>
    <row r="361" spans="1:13" x14ac:dyDescent="0.15">
      <c r="A361" s="12" t="s">
        <v>335</v>
      </c>
      <c r="B361" s="11"/>
      <c r="C361" s="11">
        <v>1</v>
      </c>
      <c r="D361" s="17">
        <f t="shared" si="123"/>
        <v>1</v>
      </c>
      <c r="E361" s="24">
        <v>46016</v>
      </c>
      <c r="G361" s="12" t="s">
        <v>342</v>
      </c>
      <c r="H361" s="11">
        <v>8</v>
      </c>
      <c r="I361" s="11">
        <v>7</v>
      </c>
      <c r="J361" s="17">
        <f t="shared" ref="J361:J370" si="129">H361+I361</f>
        <v>15</v>
      </c>
      <c r="K361" s="24">
        <v>46037</v>
      </c>
    </row>
    <row r="362" spans="1:13" x14ac:dyDescent="0.15">
      <c r="A362" s="12" t="s">
        <v>337</v>
      </c>
      <c r="B362" s="11">
        <v>1</v>
      </c>
      <c r="C362" s="11"/>
      <c r="D362" s="17">
        <f t="shared" si="123"/>
        <v>1</v>
      </c>
      <c r="E362" s="24">
        <v>46017</v>
      </c>
      <c r="F362" s="9"/>
      <c r="G362" s="12" t="s">
        <v>343</v>
      </c>
      <c r="H362" s="11">
        <v>6</v>
      </c>
      <c r="I362" s="11">
        <v>2</v>
      </c>
      <c r="J362" s="17">
        <f t="shared" si="129"/>
        <v>8</v>
      </c>
      <c r="K362" s="24">
        <v>46038</v>
      </c>
    </row>
    <row r="363" spans="1:13" x14ac:dyDescent="0.15">
      <c r="A363" s="12" t="s">
        <v>338</v>
      </c>
      <c r="B363" s="11">
        <v>1</v>
      </c>
      <c r="C363" s="11"/>
      <c r="D363" s="17">
        <f t="shared" si="123"/>
        <v>1</v>
      </c>
      <c r="E363" s="24">
        <v>46029</v>
      </c>
      <c r="F363" s="9"/>
      <c r="G363" s="12" t="s">
        <v>344</v>
      </c>
      <c r="H363" s="11">
        <v>6</v>
      </c>
      <c r="I363" s="11">
        <v>4</v>
      </c>
      <c r="J363" s="17">
        <f t="shared" si="129"/>
        <v>10</v>
      </c>
      <c r="K363" s="24">
        <v>46038</v>
      </c>
    </row>
    <row r="364" spans="1:13" x14ac:dyDescent="0.15">
      <c r="A364" s="12" t="s">
        <v>40</v>
      </c>
      <c r="B364" s="11">
        <v>1</v>
      </c>
      <c r="C364" s="11">
        <v>1</v>
      </c>
      <c r="D364" s="17">
        <f t="shared" si="123"/>
        <v>2</v>
      </c>
      <c r="E364" s="24">
        <v>46035</v>
      </c>
      <c r="F364" s="9"/>
      <c r="G364" s="12" t="s">
        <v>346</v>
      </c>
      <c r="H364" s="11">
        <v>5</v>
      </c>
      <c r="I364" s="11">
        <v>4</v>
      </c>
      <c r="J364" s="17">
        <f t="shared" si="129"/>
        <v>9</v>
      </c>
      <c r="K364" s="24">
        <v>46043</v>
      </c>
    </row>
    <row r="365" spans="1:13" x14ac:dyDescent="0.15">
      <c r="A365" s="12" t="s">
        <v>345</v>
      </c>
      <c r="B365" s="11"/>
      <c r="C365" s="11">
        <v>2</v>
      </c>
      <c r="D365" s="17">
        <f t="shared" si="123"/>
        <v>2</v>
      </c>
      <c r="E365" s="24">
        <v>46041</v>
      </c>
      <c r="G365" s="12" t="s">
        <v>347</v>
      </c>
      <c r="H365" s="11">
        <v>1</v>
      </c>
      <c r="I365" s="11">
        <v>4</v>
      </c>
      <c r="J365" s="17">
        <f t="shared" ref="J365" si="130">H365+I365</f>
        <v>5</v>
      </c>
      <c r="K365" s="24">
        <v>46044</v>
      </c>
      <c r="L365" s="9"/>
      <c r="M365" s="9"/>
    </row>
    <row r="366" spans="1:13" x14ac:dyDescent="0.15">
      <c r="A366" s="12" t="s">
        <v>40</v>
      </c>
      <c r="B366" s="11">
        <v>2</v>
      </c>
      <c r="C366" s="11"/>
      <c r="D366" s="17">
        <f t="shared" si="123"/>
        <v>2</v>
      </c>
      <c r="E366" s="24">
        <v>46038</v>
      </c>
      <c r="F366" s="62"/>
      <c r="G366" s="12" t="s">
        <v>336</v>
      </c>
      <c r="H366" s="11">
        <v>3</v>
      </c>
      <c r="I366" s="11">
        <v>3</v>
      </c>
      <c r="J366" s="17">
        <f t="shared" si="129"/>
        <v>6</v>
      </c>
      <c r="K366" s="24">
        <v>46045</v>
      </c>
    </row>
    <row r="367" spans="1:13" x14ac:dyDescent="0.15">
      <c r="A367" s="12" t="s">
        <v>40</v>
      </c>
      <c r="B367" s="11"/>
      <c r="C367" s="11">
        <v>2</v>
      </c>
      <c r="D367" s="17">
        <f t="shared" si="123"/>
        <v>2</v>
      </c>
      <c r="E367" s="24">
        <v>46041</v>
      </c>
      <c r="G367" s="6" t="s">
        <v>348</v>
      </c>
      <c r="H367" s="11">
        <v>5</v>
      </c>
      <c r="I367" s="11"/>
      <c r="J367" s="17">
        <f t="shared" si="129"/>
        <v>5</v>
      </c>
      <c r="K367" s="24">
        <v>46057</v>
      </c>
      <c r="L367" s="9"/>
    </row>
    <row r="368" spans="1:13" x14ac:dyDescent="0.15">
      <c r="A368" s="12" t="s">
        <v>349</v>
      </c>
      <c r="B368" s="11"/>
      <c r="C368" s="11">
        <v>1</v>
      </c>
      <c r="D368" s="17">
        <f t="shared" si="123"/>
        <v>1</v>
      </c>
      <c r="E368" s="24">
        <v>46048</v>
      </c>
      <c r="G368" s="12" t="s">
        <v>336</v>
      </c>
      <c r="H368" s="11">
        <v>5</v>
      </c>
      <c r="I368" s="11">
        <v>5</v>
      </c>
      <c r="J368" s="17">
        <f t="shared" si="129"/>
        <v>10</v>
      </c>
      <c r="K368" s="24">
        <v>46052</v>
      </c>
    </row>
    <row r="369" spans="1:13" x14ac:dyDescent="0.15">
      <c r="A369" s="12" t="s">
        <v>350</v>
      </c>
      <c r="B369" s="11">
        <v>2</v>
      </c>
      <c r="C369" s="11"/>
      <c r="D369" s="17">
        <f t="shared" si="123"/>
        <v>2</v>
      </c>
      <c r="E369" s="24">
        <v>46050</v>
      </c>
      <c r="G369" s="12" t="s">
        <v>358</v>
      </c>
      <c r="H369" s="11">
        <v>8</v>
      </c>
      <c r="I369" s="11">
        <v>4</v>
      </c>
      <c r="J369" s="17">
        <f t="shared" si="129"/>
        <v>12</v>
      </c>
      <c r="K369" s="24">
        <v>46059</v>
      </c>
    </row>
    <row r="370" spans="1:13" x14ac:dyDescent="0.15">
      <c r="A370" s="12" t="s">
        <v>351</v>
      </c>
      <c r="B370" s="11">
        <v>1</v>
      </c>
      <c r="C370" s="11">
        <v>1</v>
      </c>
      <c r="D370" s="17">
        <f t="shared" si="123"/>
        <v>2</v>
      </c>
      <c r="E370" s="24">
        <v>46051</v>
      </c>
      <c r="G370" s="12" t="s">
        <v>336</v>
      </c>
      <c r="H370" s="11">
        <v>3</v>
      </c>
      <c r="I370" s="11"/>
      <c r="J370" s="17">
        <f t="shared" si="129"/>
        <v>3</v>
      </c>
      <c r="K370" s="24">
        <v>46058</v>
      </c>
      <c r="L370" s="9"/>
      <c r="M370" s="9"/>
    </row>
    <row r="371" spans="1:13" x14ac:dyDescent="0.15">
      <c r="A371" s="12" t="s">
        <v>352</v>
      </c>
      <c r="B371" s="11"/>
      <c r="C371" s="11">
        <v>1</v>
      </c>
      <c r="D371" s="17">
        <f t="shared" si="123"/>
        <v>1</v>
      </c>
      <c r="E371" s="24">
        <v>46052</v>
      </c>
      <c r="G371" s="12" t="s">
        <v>336</v>
      </c>
      <c r="H371" s="11">
        <v>8</v>
      </c>
      <c r="I371" s="11"/>
      <c r="J371" s="17">
        <f t="shared" ref="J371:J374" si="131">H371+I371</f>
        <v>8</v>
      </c>
      <c r="K371" s="24">
        <v>46063</v>
      </c>
      <c r="L371" s="9"/>
      <c r="M371" s="9"/>
    </row>
    <row r="372" spans="1:13" x14ac:dyDescent="0.15">
      <c r="A372" s="12" t="s">
        <v>353</v>
      </c>
      <c r="B372" s="11">
        <v>1</v>
      </c>
      <c r="C372" s="11"/>
      <c r="D372" s="17">
        <f t="shared" si="123"/>
        <v>1</v>
      </c>
      <c r="E372" s="24">
        <v>46052</v>
      </c>
      <c r="G372" s="12"/>
      <c r="H372" s="11"/>
      <c r="I372" s="11"/>
      <c r="J372" s="17">
        <f t="shared" si="131"/>
        <v>0</v>
      </c>
    </row>
    <row r="373" spans="1:13" x14ac:dyDescent="0.15">
      <c r="A373" s="12" t="s">
        <v>354</v>
      </c>
      <c r="B373" s="11"/>
      <c r="C373" s="11">
        <v>2</v>
      </c>
      <c r="D373" s="17">
        <f t="shared" si="123"/>
        <v>2</v>
      </c>
      <c r="E373" s="24">
        <v>46055</v>
      </c>
      <c r="G373" s="12"/>
      <c r="H373" s="11"/>
      <c r="I373" s="11"/>
      <c r="J373" s="17">
        <f t="shared" si="131"/>
        <v>0</v>
      </c>
    </row>
    <row r="374" spans="1:13" x14ac:dyDescent="0.15">
      <c r="A374" s="12" t="s">
        <v>355</v>
      </c>
      <c r="B374" s="11">
        <v>2</v>
      </c>
      <c r="C374" s="11"/>
      <c r="D374" s="17">
        <f t="shared" si="123"/>
        <v>2</v>
      </c>
      <c r="E374" s="24">
        <v>46057</v>
      </c>
      <c r="G374" s="12" t="s">
        <v>319</v>
      </c>
      <c r="H374" s="11"/>
      <c r="I374" s="11"/>
      <c r="J374" s="17">
        <f t="shared" si="131"/>
        <v>0</v>
      </c>
      <c r="K374" s="9" t="s">
        <v>113</v>
      </c>
    </row>
    <row r="375" spans="1:13" x14ac:dyDescent="0.15">
      <c r="A375" s="12" t="s">
        <v>356</v>
      </c>
      <c r="B375" s="11"/>
      <c r="C375" s="11">
        <v>1</v>
      </c>
      <c r="D375" s="17">
        <f t="shared" si="123"/>
        <v>1</v>
      </c>
      <c r="E375" s="24">
        <v>46058</v>
      </c>
      <c r="G375" s="53" t="s">
        <v>273</v>
      </c>
      <c r="H375" s="44"/>
      <c r="I375" s="44"/>
      <c r="J375" s="45">
        <f t="shared" ref="J375:J376" si="132">H375+I375</f>
        <v>0</v>
      </c>
      <c r="K375" s="9"/>
    </row>
    <row r="376" spans="1:13" ht="14.25" thickBot="1" x14ac:dyDescent="0.2">
      <c r="A376" s="12" t="s">
        <v>357</v>
      </c>
      <c r="B376" s="26">
        <v>2</v>
      </c>
      <c r="C376" s="26"/>
      <c r="D376" s="19">
        <f t="shared" si="123"/>
        <v>2</v>
      </c>
      <c r="E376" s="24">
        <v>46059</v>
      </c>
      <c r="F376" s="62"/>
      <c r="G376" s="5" t="s">
        <v>208</v>
      </c>
      <c r="H376" s="11"/>
      <c r="I376" s="11"/>
      <c r="J376" s="17">
        <f t="shared" si="132"/>
        <v>0</v>
      </c>
      <c r="K376" s="9" t="s">
        <v>320</v>
      </c>
    </row>
    <row r="377" spans="1:13" ht="14.25" thickBot="1" x14ac:dyDescent="0.2">
      <c r="A377" s="2" t="s">
        <v>3</v>
      </c>
      <c r="B377" s="18">
        <f>SUM(B353:B376)</f>
        <v>19</v>
      </c>
      <c r="C377" s="18">
        <f>SUM(C353:C376)</f>
        <v>17</v>
      </c>
      <c r="D377" s="18">
        <f t="shared" si="123"/>
        <v>36</v>
      </c>
      <c r="G377" s="2" t="s">
        <v>3</v>
      </c>
      <c r="H377" s="18">
        <f>SUM(H353:H376)</f>
        <v>104</v>
      </c>
      <c r="I377" s="18">
        <f t="shared" ref="I377:J377" si="133">SUM(I353:I376)</f>
        <v>73</v>
      </c>
      <c r="J377" s="18">
        <f t="shared" si="133"/>
        <v>177</v>
      </c>
    </row>
    <row r="378" spans="1:13" ht="14.25" thickBot="1" x14ac:dyDescent="0.2">
      <c r="A378" s="28" t="s">
        <v>4</v>
      </c>
      <c r="B378" s="29">
        <f>B352-B377</f>
        <v>5</v>
      </c>
      <c r="C378" s="29">
        <f>C352-C377</f>
        <v>8</v>
      </c>
      <c r="D378" s="42">
        <f>B378+C378</f>
        <v>13</v>
      </c>
      <c r="G378" s="28" t="s">
        <v>4</v>
      </c>
      <c r="H378" s="29">
        <f>H352-H377</f>
        <v>190</v>
      </c>
      <c r="I378" s="29">
        <f t="shared" ref="I378:J378" si="134">I352-I377</f>
        <v>157</v>
      </c>
      <c r="J378" s="42">
        <f t="shared" si="134"/>
        <v>347</v>
      </c>
    </row>
    <row r="381" spans="1:13" ht="18.75" x14ac:dyDescent="0.2">
      <c r="A381" s="34" t="s">
        <v>7</v>
      </c>
      <c r="B381" s="35"/>
      <c r="C381" s="35"/>
      <c r="D381" s="35"/>
      <c r="G381" s="36" t="s">
        <v>8</v>
      </c>
      <c r="H381" s="37"/>
      <c r="I381" s="37"/>
      <c r="J381" s="37"/>
    </row>
    <row r="382" spans="1:13" ht="14.25" thickBot="1" x14ac:dyDescent="0.2">
      <c r="A382" s="1"/>
      <c r="B382" s="1"/>
      <c r="C382" s="1"/>
      <c r="D382" s="1"/>
      <c r="G382" s="1"/>
      <c r="H382" s="1"/>
      <c r="I382" s="1"/>
      <c r="J382" s="1"/>
    </row>
    <row r="383" spans="1:13" ht="14.25" thickBot="1" x14ac:dyDescent="0.2">
      <c r="A383" s="2"/>
      <c r="B383" s="2" t="s">
        <v>6</v>
      </c>
      <c r="C383" s="2" t="s">
        <v>9</v>
      </c>
      <c r="D383" s="2" t="s">
        <v>0</v>
      </c>
      <c r="G383" s="2"/>
      <c r="H383" s="2" t="s">
        <v>6</v>
      </c>
      <c r="I383" s="2" t="s">
        <v>9</v>
      </c>
      <c r="J383" s="2" t="s">
        <v>0</v>
      </c>
    </row>
    <row r="384" spans="1:13" x14ac:dyDescent="0.15">
      <c r="A384" s="14" t="s">
        <v>4</v>
      </c>
      <c r="B384" s="32">
        <f>B378</f>
        <v>5</v>
      </c>
      <c r="C384" s="32">
        <f>C378</f>
        <v>8</v>
      </c>
      <c r="D384" s="33">
        <f>B384+C384</f>
        <v>13</v>
      </c>
      <c r="G384" s="14" t="s">
        <v>4</v>
      </c>
      <c r="H384" s="32">
        <f>H378</f>
        <v>190</v>
      </c>
      <c r="I384" s="32">
        <f t="shared" ref="I384:J384" si="135">I378</f>
        <v>157</v>
      </c>
      <c r="J384" s="33">
        <f t="shared" si="135"/>
        <v>347</v>
      </c>
    </row>
    <row r="385" spans="1:11" x14ac:dyDescent="0.15">
      <c r="A385" s="57" t="s">
        <v>1</v>
      </c>
      <c r="B385" s="54">
        <v>3</v>
      </c>
      <c r="C385" s="54"/>
      <c r="D385" s="55">
        <f t="shared" ref="D385" si="136">B385+C385</f>
        <v>3</v>
      </c>
      <c r="E385" s="56">
        <v>46058</v>
      </c>
      <c r="G385" s="3" t="s">
        <v>1</v>
      </c>
      <c r="H385" s="11"/>
      <c r="I385" s="11"/>
      <c r="J385" s="17">
        <f t="shared" ref="J385:J389" si="137">H385+I385</f>
        <v>0</v>
      </c>
    </row>
    <row r="386" spans="1:11" x14ac:dyDescent="0.15">
      <c r="A386" s="3" t="s">
        <v>1</v>
      </c>
      <c r="B386" s="11">
        <v>8</v>
      </c>
      <c r="C386" s="11"/>
      <c r="D386" s="17">
        <f t="shared" ref="D386:D415" si="138">B386+C386</f>
        <v>8</v>
      </c>
      <c r="E386" s="24">
        <v>46063</v>
      </c>
      <c r="G386" s="3" t="s">
        <v>1</v>
      </c>
      <c r="H386" s="11"/>
      <c r="I386" s="11"/>
      <c r="J386" s="17">
        <f t="shared" si="137"/>
        <v>0</v>
      </c>
    </row>
    <row r="387" spans="1:11" x14ac:dyDescent="0.15">
      <c r="A387" s="3" t="s">
        <v>1</v>
      </c>
      <c r="B387" s="54">
        <v>3</v>
      </c>
      <c r="C387" s="54">
        <v>5</v>
      </c>
      <c r="D387" s="55">
        <f t="shared" si="138"/>
        <v>8</v>
      </c>
      <c r="E387" s="56">
        <v>46074</v>
      </c>
      <c r="G387" s="3" t="s">
        <v>1</v>
      </c>
      <c r="H387" s="11"/>
      <c r="I387" s="11"/>
      <c r="J387" s="17">
        <f t="shared" si="137"/>
        <v>0</v>
      </c>
    </row>
    <row r="388" spans="1:11" x14ac:dyDescent="0.15">
      <c r="A388" s="3" t="s">
        <v>35</v>
      </c>
      <c r="B388" s="11">
        <v>0</v>
      </c>
      <c r="C388" s="11">
        <v>0</v>
      </c>
      <c r="D388" s="17">
        <f t="shared" si="138"/>
        <v>0</v>
      </c>
      <c r="E388" s="43">
        <v>46073</v>
      </c>
      <c r="G388" s="3" t="s">
        <v>1</v>
      </c>
      <c r="H388" s="11"/>
      <c r="I388" s="11"/>
      <c r="J388" s="17">
        <f t="shared" si="137"/>
        <v>0</v>
      </c>
    </row>
    <row r="389" spans="1:11" ht="14.25" thickBot="1" x14ac:dyDescent="0.2">
      <c r="A389" s="3" t="s">
        <v>56</v>
      </c>
      <c r="B389" s="11">
        <v>1</v>
      </c>
      <c r="C389" s="11"/>
      <c r="D389" s="17">
        <f t="shared" si="138"/>
        <v>1</v>
      </c>
      <c r="E389" s="24">
        <v>46090</v>
      </c>
      <c r="G389" s="4" t="s">
        <v>1</v>
      </c>
      <c r="H389" s="26"/>
      <c r="I389" s="26"/>
      <c r="J389" s="19">
        <f t="shared" si="137"/>
        <v>0</v>
      </c>
    </row>
    <row r="390" spans="1:11" ht="14.25" thickBot="1" x14ac:dyDescent="0.2">
      <c r="A390" s="8" t="s">
        <v>2</v>
      </c>
      <c r="B390" s="20">
        <f>SUM(B384:B389)</f>
        <v>20</v>
      </c>
      <c r="C390" s="20">
        <f>SUM(C384:C389)</f>
        <v>13</v>
      </c>
      <c r="D390" s="31">
        <f t="shared" si="138"/>
        <v>33</v>
      </c>
      <c r="G390" s="8" t="s">
        <v>2</v>
      </c>
      <c r="H390" s="20">
        <f>SUM(H384:H389)</f>
        <v>190</v>
      </c>
      <c r="I390" s="20">
        <f t="shared" ref="I390:J390" si="139">SUM(I384:I389)</f>
        <v>157</v>
      </c>
      <c r="J390" s="31">
        <f t="shared" si="139"/>
        <v>347</v>
      </c>
    </row>
    <row r="391" spans="1:11" x14ac:dyDescent="0.15">
      <c r="A391" s="12" t="s">
        <v>359</v>
      </c>
      <c r="B391" s="11">
        <v>2</v>
      </c>
      <c r="C391" s="11"/>
      <c r="D391" s="17">
        <f t="shared" ref="D391:D396" si="140">B391+C391</f>
        <v>2</v>
      </c>
      <c r="E391" s="24">
        <v>46062</v>
      </c>
      <c r="G391" s="12" t="s">
        <v>365</v>
      </c>
      <c r="H391" s="11">
        <v>3</v>
      </c>
      <c r="I391" s="11">
        <v>5</v>
      </c>
      <c r="J391" s="17">
        <f t="shared" ref="J391:J394" si="141">H391+I391</f>
        <v>8</v>
      </c>
      <c r="K391" s="43">
        <v>46074</v>
      </c>
    </row>
    <row r="392" spans="1:11" x14ac:dyDescent="0.15">
      <c r="A392" s="12" t="s">
        <v>360</v>
      </c>
      <c r="B392" s="11">
        <v>5</v>
      </c>
      <c r="C392" s="11"/>
      <c r="D392" s="17">
        <f t="shared" si="140"/>
        <v>5</v>
      </c>
      <c r="E392" s="24">
        <v>46063</v>
      </c>
      <c r="G392" s="12"/>
      <c r="H392" s="11"/>
      <c r="I392" s="11"/>
      <c r="J392" s="17">
        <f t="shared" si="141"/>
        <v>0</v>
      </c>
    </row>
    <row r="393" spans="1:11" x14ac:dyDescent="0.15">
      <c r="A393" s="12" t="s">
        <v>40</v>
      </c>
      <c r="B393" s="11">
        <v>1</v>
      </c>
      <c r="C393" s="11"/>
      <c r="D393" s="17">
        <f t="shared" si="140"/>
        <v>1</v>
      </c>
      <c r="E393" s="24">
        <v>46063</v>
      </c>
      <c r="G393" s="12"/>
      <c r="H393" s="11"/>
      <c r="I393" s="11"/>
      <c r="J393" s="17">
        <f t="shared" si="141"/>
        <v>0</v>
      </c>
    </row>
    <row r="394" spans="1:11" x14ac:dyDescent="0.15">
      <c r="A394" s="12" t="s">
        <v>361</v>
      </c>
      <c r="B394" s="11">
        <v>1</v>
      </c>
      <c r="C394" s="11">
        <v>1</v>
      </c>
      <c r="D394" s="17">
        <f t="shared" si="140"/>
        <v>2</v>
      </c>
      <c r="E394" s="24">
        <v>46069</v>
      </c>
      <c r="G394" s="12"/>
      <c r="H394" s="11"/>
      <c r="I394" s="11"/>
      <c r="J394" s="17">
        <f t="shared" si="141"/>
        <v>0</v>
      </c>
    </row>
    <row r="395" spans="1:11" x14ac:dyDescent="0.15">
      <c r="A395" s="12" t="s">
        <v>362</v>
      </c>
      <c r="B395" s="11">
        <v>1</v>
      </c>
      <c r="C395" s="11"/>
      <c r="D395" s="17">
        <f t="shared" si="140"/>
        <v>1</v>
      </c>
      <c r="E395" s="24">
        <v>46071</v>
      </c>
      <c r="G395" s="12"/>
      <c r="H395" s="11"/>
      <c r="I395" s="11"/>
      <c r="J395" s="17">
        <f t="shared" ref="J395:J411" si="142">H395+I395</f>
        <v>0</v>
      </c>
    </row>
    <row r="396" spans="1:11" x14ac:dyDescent="0.15">
      <c r="A396" s="12" t="s">
        <v>363</v>
      </c>
      <c r="B396" s="11"/>
      <c r="C396" s="11">
        <v>2</v>
      </c>
      <c r="D396" s="17">
        <f t="shared" si="140"/>
        <v>2</v>
      </c>
      <c r="E396" s="24">
        <v>46073</v>
      </c>
      <c r="G396" s="12"/>
      <c r="H396" s="11"/>
      <c r="I396" s="11"/>
      <c r="J396" s="17">
        <f t="shared" si="142"/>
        <v>0</v>
      </c>
    </row>
    <row r="397" spans="1:11" x14ac:dyDescent="0.15">
      <c r="A397" s="12" t="s">
        <v>364</v>
      </c>
      <c r="B397" s="11"/>
      <c r="C397" s="11">
        <v>1</v>
      </c>
      <c r="D397" s="17">
        <f t="shared" si="138"/>
        <v>1</v>
      </c>
      <c r="E397" s="24">
        <v>46073</v>
      </c>
      <c r="F397" s="9"/>
      <c r="G397" s="12"/>
      <c r="H397" s="11"/>
      <c r="I397" s="11"/>
      <c r="J397" s="17">
        <f t="shared" si="142"/>
        <v>0</v>
      </c>
    </row>
    <row r="398" spans="1:11" x14ac:dyDescent="0.15">
      <c r="A398" s="12" t="s">
        <v>366</v>
      </c>
      <c r="B398" s="11">
        <v>2</v>
      </c>
      <c r="C398" s="11"/>
      <c r="D398" s="17">
        <f t="shared" si="138"/>
        <v>2</v>
      </c>
      <c r="E398" s="24">
        <v>46079</v>
      </c>
      <c r="F398" s="9"/>
      <c r="G398" s="12"/>
      <c r="H398" s="11"/>
      <c r="I398" s="11"/>
      <c r="J398" s="17">
        <f t="shared" si="142"/>
        <v>0</v>
      </c>
    </row>
    <row r="399" spans="1:11" x14ac:dyDescent="0.15">
      <c r="A399" s="12" t="s">
        <v>368</v>
      </c>
      <c r="B399" s="11"/>
      <c r="C399" s="11">
        <v>2</v>
      </c>
      <c r="D399" s="17">
        <f t="shared" si="138"/>
        <v>2</v>
      </c>
      <c r="E399" s="24">
        <v>46080</v>
      </c>
      <c r="G399" s="12"/>
      <c r="H399" s="11"/>
      <c r="I399" s="11"/>
      <c r="J399" s="17">
        <f t="shared" si="142"/>
        <v>0</v>
      </c>
    </row>
    <row r="400" spans="1:11" x14ac:dyDescent="0.15">
      <c r="A400" s="12" t="s">
        <v>369</v>
      </c>
      <c r="B400" s="11">
        <v>1</v>
      </c>
      <c r="C400" s="11"/>
      <c r="D400" s="17">
        <f t="shared" si="138"/>
        <v>1</v>
      </c>
      <c r="E400" s="24">
        <v>46087</v>
      </c>
      <c r="F400" s="9"/>
      <c r="G400" s="12"/>
      <c r="H400" s="11"/>
      <c r="I400" s="11"/>
      <c r="J400" s="17">
        <f t="shared" si="142"/>
        <v>0</v>
      </c>
    </row>
    <row r="401" spans="1:11" x14ac:dyDescent="0.15">
      <c r="A401" s="12" t="s">
        <v>370</v>
      </c>
      <c r="B401" s="11"/>
      <c r="C401" s="11">
        <v>1</v>
      </c>
      <c r="D401" s="17">
        <f t="shared" si="138"/>
        <v>1</v>
      </c>
      <c r="E401" s="24">
        <v>46094</v>
      </c>
      <c r="F401" s="9"/>
      <c r="G401" s="12"/>
      <c r="H401" s="11"/>
      <c r="I401" s="11"/>
      <c r="J401" s="17">
        <f t="shared" si="142"/>
        <v>0</v>
      </c>
    </row>
    <row r="402" spans="1:11" x14ac:dyDescent="0.15">
      <c r="A402" s="12" t="s">
        <v>371</v>
      </c>
      <c r="B402" s="11">
        <v>1</v>
      </c>
      <c r="C402" s="11"/>
      <c r="D402" s="17">
        <f t="shared" si="138"/>
        <v>1</v>
      </c>
      <c r="E402" s="24">
        <v>46097</v>
      </c>
      <c r="F402" s="9"/>
      <c r="G402" s="12"/>
      <c r="H402" s="11"/>
      <c r="I402" s="11"/>
      <c r="J402" s="17">
        <f t="shared" si="142"/>
        <v>0</v>
      </c>
    </row>
    <row r="403" spans="1:11" x14ac:dyDescent="0.15">
      <c r="A403" s="12" t="s">
        <v>372</v>
      </c>
      <c r="B403" s="11"/>
      <c r="C403" s="11">
        <v>-1</v>
      </c>
      <c r="D403" s="17">
        <f t="shared" si="138"/>
        <v>-1</v>
      </c>
      <c r="E403" s="24">
        <v>46105</v>
      </c>
      <c r="G403" s="12"/>
      <c r="H403" s="11"/>
      <c r="I403" s="11"/>
      <c r="J403" s="17">
        <f t="shared" si="142"/>
        <v>0</v>
      </c>
    </row>
    <row r="404" spans="1:11" x14ac:dyDescent="0.15">
      <c r="A404" s="12" t="s">
        <v>373</v>
      </c>
      <c r="B404" s="11">
        <v>1</v>
      </c>
      <c r="C404" s="11"/>
      <c r="D404" s="17">
        <f t="shared" si="138"/>
        <v>1</v>
      </c>
      <c r="E404" s="24">
        <v>46120</v>
      </c>
      <c r="G404" s="12"/>
      <c r="H404" s="11"/>
      <c r="I404" s="11"/>
      <c r="J404" s="17">
        <f t="shared" si="142"/>
        <v>0</v>
      </c>
    </row>
    <row r="405" spans="1:11" x14ac:dyDescent="0.15">
      <c r="A405" s="12" t="s">
        <v>374</v>
      </c>
      <c r="B405" s="11">
        <v>1</v>
      </c>
      <c r="C405" s="11"/>
      <c r="D405" s="17">
        <f t="shared" si="138"/>
        <v>1</v>
      </c>
      <c r="E405" s="24">
        <v>46132</v>
      </c>
      <c r="G405" s="5"/>
      <c r="H405" s="11"/>
      <c r="I405" s="11"/>
      <c r="J405" s="17">
        <f t="shared" si="142"/>
        <v>0</v>
      </c>
    </row>
    <row r="406" spans="1:11" x14ac:dyDescent="0.15">
      <c r="A406" s="12" t="s">
        <v>375</v>
      </c>
      <c r="B406" s="11">
        <v>1</v>
      </c>
      <c r="C406" s="11"/>
      <c r="D406" s="17">
        <f t="shared" si="138"/>
        <v>1</v>
      </c>
      <c r="E406" s="24">
        <v>46140</v>
      </c>
      <c r="G406" s="6"/>
      <c r="H406" s="11"/>
      <c r="I406" s="11"/>
      <c r="J406" s="17">
        <f t="shared" si="142"/>
        <v>0</v>
      </c>
    </row>
    <row r="407" spans="1:11" x14ac:dyDescent="0.15">
      <c r="A407" s="12" t="s">
        <v>376</v>
      </c>
      <c r="B407" s="11"/>
      <c r="C407" s="11">
        <v>1</v>
      </c>
      <c r="D407" s="17">
        <f t="shared" si="138"/>
        <v>1</v>
      </c>
      <c r="E407" s="24">
        <v>46149</v>
      </c>
      <c r="G407" s="5"/>
      <c r="H407" s="11"/>
      <c r="I407" s="11"/>
      <c r="J407" s="17">
        <f t="shared" si="142"/>
        <v>0</v>
      </c>
    </row>
    <row r="408" spans="1:11" x14ac:dyDescent="0.15">
      <c r="A408" s="12" t="s">
        <v>377</v>
      </c>
      <c r="B408" s="11"/>
      <c r="C408" s="11">
        <v>-2</v>
      </c>
      <c r="D408" s="17">
        <f t="shared" si="138"/>
        <v>-2</v>
      </c>
      <c r="E408" s="24">
        <v>46150</v>
      </c>
      <c r="G408" s="12"/>
      <c r="H408" s="11"/>
      <c r="I408" s="11"/>
      <c r="J408" s="17">
        <f t="shared" si="142"/>
        <v>0</v>
      </c>
    </row>
    <row r="409" spans="1:11" x14ac:dyDescent="0.15">
      <c r="A409" s="12"/>
      <c r="B409" s="11"/>
      <c r="C409" s="11"/>
      <c r="D409" s="17">
        <f t="shared" si="138"/>
        <v>0</v>
      </c>
      <c r="E409" s="24"/>
      <c r="G409" s="12"/>
      <c r="H409" s="11"/>
      <c r="I409" s="11"/>
      <c r="J409" s="17">
        <f t="shared" si="142"/>
        <v>0</v>
      </c>
    </row>
    <row r="410" spans="1:11" x14ac:dyDescent="0.15">
      <c r="A410" s="12"/>
      <c r="B410" s="11"/>
      <c r="C410" s="11"/>
      <c r="D410" s="17">
        <f t="shared" si="138"/>
        <v>0</v>
      </c>
      <c r="E410" s="24"/>
      <c r="G410" s="12"/>
      <c r="H410" s="11"/>
      <c r="I410" s="11"/>
      <c r="J410" s="17">
        <f t="shared" si="142"/>
        <v>0</v>
      </c>
    </row>
    <row r="411" spans="1:11" x14ac:dyDescent="0.15">
      <c r="A411" s="12"/>
      <c r="B411" s="11"/>
      <c r="C411" s="11"/>
      <c r="D411" s="17">
        <f t="shared" si="138"/>
        <v>0</v>
      </c>
      <c r="E411" s="24"/>
      <c r="G411" s="12"/>
      <c r="H411" s="11"/>
      <c r="I411" s="11"/>
      <c r="J411" s="17">
        <f t="shared" si="142"/>
        <v>0</v>
      </c>
    </row>
    <row r="412" spans="1:11" x14ac:dyDescent="0.15">
      <c r="A412" s="5"/>
      <c r="B412" s="11"/>
      <c r="C412" s="11"/>
      <c r="D412" s="17">
        <f t="shared" si="138"/>
        <v>0</v>
      </c>
      <c r="E412" s="24"/>
      <c r="G412" s="12"/>
      <c r="H412" s="11"/>
      <c r="I412" s="11"/>
      <c r="J412" s="17">
        <f t="shared" ref="J412:J413" si="143">H412+I412</f>
        <v>0</v>
      </c>
    </row>
    <row r="413" spans="1:11" x14ac:dyDescent="0.15">
      <c r="A413" s="13"/>
      <c r="B413" s="11"/>
      <c r="C413" s="11"/>
      <c r="D413" s="17">
        <f t="shared" si="138"/>
        <v>0</v>
      </c>
      <c r="G413" s="12"/>
      <c r="H413" s="11"/>
      <c r="I413" s="11"/>
      <c r="J413" s="17">
        <f t="shared" si="143"/>
        <v>0</v>
      </c>
      <c r="K413" s="9"/>
    </row>
    <row r="414" spans="1:11" ht="14.25" thickBot="1" x14ac:dyDescent="0.2">
      <c r="A414" s="27"/>
      <c r="B414" s="26"/>
      <c r="C414" s="26"/>
      <c r="D414" s="19">
        <f t="shared" si="138"/>
        <v>0</v>
      </c>
      <c r="G414" s="12" t="s">
        <v>331</v>
      </c>
      <c r="H414" s="11"/>
      <c r="I414" s="11"/>
      <c r="J414" s="17">
        <f t="shared" ref="J414" si="144">H414+I414</f>
        <v>0</v>
      </c>
      <c r="K414" s="9" t="s">
        <v>332</v>
      </c>
    </row>
    <row r="415" spans="1:11" ht="14.25" thickBot="1" x14ac:dyDescent="0.2">
      <c r="A415" s="2" t="s">
        <v>3</v>
      </c>
      <c r="B415" s="18">
        <f>SUM(B391:B414)</f>
        <v>17</v>
      </c>
      <c r="C415" s="18">
        <f>SUM(C391:C414)</f>
        <v>5</v>
      </c>
      <c r="D415" s="18">
        <f t="shared" si="138"/>
        <v>22</v>
      </c>
      <c r="G415" s="2" t="s">
        <v>3</v>
      </c>
      <c r="H415" s="18">
        <f>SUM(H391:H414)</f>
        <v>3</v>
      </c>
      <c r="I415" s="18">
        <f t="shared" ref="I415:J415" si="145">SUM(I391:I414)</f>
        <v>5</v>
      </c>
      <c r="J415" s="18">
        <f t="shared" si="145"/>
        <v>8</v>
      </c>
    </row>
    <row r="416" spans="1:11" ht="14.25" thickBot="1" x14ac:dyDescent="0.2">
      <c r="A416" s="28" t="s">
        <v>4</v>
      </c>
      <c r="B416" s="29">
        <f>B390-B415</f>
        <v>3</v>
      </c>
      <c r="C416" s="29">
        <f>C390-C415</f>
        <v>8</v>
      </c>
      <c r="D416" s="42">
        <f>B416+C416</f>
        <v>11</v>
      </c>
      <c r="G416" s="28" t="s">
        <v>4</v>
      </c>
      <c r="H416" s="29">
        <f>H390-H415</f>
        <v>187</v>
      </c>
      <c r="I416" s="29">
        <f t="shared" ref="I416:J416" si="146">I390-I415</f>
        <v>152</v>
      </c>
      <c r="J416" s="42">
        <f t="shared" si="146"/>
        <v>339</v>
      </c>
      <c r="K416" s="63" t="s">
        <v>367</v>
      </c>
    </row>
  </sheetData>
  <phoneticPr fontId="7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4色組はらまきショーツ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AT MR</cp:lastModifiedBy>
  <cp:lastPrinted>2019-05-14T05:55:55Z</cp:lastPrinted>
  <dcterms:created xsi:type="dcterms:W3CDTF">2014-01-28T06:53:42Z</dcterms:created>
  <dcterms:modified xsi:type="dcterms:W3CDTF">2026-05-11T06:29:07Z</dcterms:modified>
</cp:coreProperties>
</file>