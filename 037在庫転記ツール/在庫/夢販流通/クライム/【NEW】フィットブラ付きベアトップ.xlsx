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5348BF46-5470-4075-BFD6-3DAB8188B476}" xr6:coauthVersionLast="47" xr6:coauthVersionMax="47" xr10:uidLastSave="{00000000-0000-0000-0000-000000000000}"/>
  <bookViews>
    <workbookView xWindow="9165" yWindow="1395" windowWidth="16065" windowHeight="12450" tabRatio="60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24" i="1" l="1"/>
  <c r="T824" i="1"/>
  <c r="U824" i="1" s="1"/>
  <c r="P825" i="1"/>
  <c r="T825" i="1"/>
  <c r="U825" i="1"/>
  <c r="P826" i="1"/>
  <c r="T826" i="1"/>
  <c r="U826" i="1" s="1"/>
  <c r="T782" i="1"/>
  <c r="P782" i="1"/>
  <c r="U782" i="1" s="1"/>
  <c r="T781" i="1"/>
  <c r="P781" i="1"/>
  <c r="U781" i="1" s="1"/>
  <c r="P783" i="1"/>
  <c r="U783" i="1" s="1"/>
  <c r="T783" i="1"/>
  <c r="H857" i="1"/>
  <c r="G857" i="1"/>
  <c r="F857" i="1"/>
  <c r="D857" i="1"/>
  <c r="C857" i="1"/>
  <c r="B857" i="1"/>
  <c r="I856" i="1"/>
  <c r="J856" i="1" s="1"/>
  <c r="E856" i="1"/>
  <c r="I855" i="1"/>
  <c r="E855" i="1"/>
  <c r="J855" i="1" s="1"/>
  <c r="I854" i="1"/>
  <c r="E854" i="1"/>
  <c r="J854" i="1" s="1"/>
  <c r="J853" i="1"/>
  <c r="I853" i="1"/>
  <c r="E853" i="1"/>
  <c r="I852" i="1"/>
  <c r="J852" i="1" s="1"/>
  <c r="E852" i="1"/>
  <c r="I851" i="1"/>
  <c r="E851" i="1"/>
  <c r="J851" i="1" s="1"/>
  <c r="I850" i="1"/>
  <c r="E850" i="1"/>
  <c r="J850" i="1" s="1"/>
  <c r="J849" i="1"/>
  <c r="I849" i="1"/>
  <c r="E849" i="1"/>
  <c r="I848" i="1"/>
  <c r="J848" i="1" s="1"/>
  <c r="E848" i="1"/>
  <c r="I847" i="1"/>
  <c r="E847" i="1"/>
  <c r="J847" i="1" s="1"/>
  <c r="I846" i="1"/>
  <c r="E846" i="1"/>
  <c r="J846" i="1" s="1"/>
  <c r="J845" i="1"/>
  <c r="I845" i="1"/>
  <c r="E845" i="1"/>
  <c r="I844" i="1"/>
  <c r="J844" i="1" s="1"/>
  <c r="E844" i="1"/>
  <c r="I843" i="1"/>
  <c r="E843" i="1"/>
  <c r="J843" i="1" s="1"/>
  <c r="I842" i="1"/>
  <c r="E842" i="1"/>
  <c r="J842" i="1" s="1"/>
  <c r="J841" i="1"/>
  <c r="I841" i="1"/>
  <c r="E841" i="1"/>
  <c r="I840" i="1"/>
  <c r="J840" i="1" s="1"/>
  <c r="E840" i="1"/>
  <c r="I839" i="1"/>
  <c r="E839" i="1"/>
  <c r="J839" i="1" s="1"/>
  <c r="I838" i="1"/>
  <c r="E838" i="1"/>
  <c r="J838" i="1" s="1"/>
  <c r="J837" i="1"/>
  <c r="I837" i="1"/>
  <c r="E837" i="1"/>
  <c r="I836" i="1"/>
  <c r="J836" i="1" s="1"/>
  <c r="E836" i="1"/>
  <c r="I835" i="1"/>
  <c r="E835" i="1"/>
  <c r="J835" i="1" s="1"/>
  <c r="I834" i="1"/>
  <c r="E834" i="1"/>
  <c r="J834" i="1" s="1"/>
  <c r="J833" i="1"/>
  <c r="I833" i="1"/>
  <c r="E833" i="1"/>
  <c r="I832" i="1"/>
  <c r="E832" i="1"/>
  <c r="I831" i="1"/>
  <c r="E831" i="1"/>
  <c r="I829" i="1"/>
  <c r="E829" i="1"/>
  <c r="J829" i="1" s="1"/>
  <c r="I828" i="1"/>
  <c r="E828" i="1"/>
  <c r="J828" i="1" s="1"/>
  <c r="J827" i="1"/>
  <c r="I827" i="1"/>
  <c r="E827" i="1"/>
  <c r="I826" i="1"/>
  <c r="J826" i="1" s="1"/>
  <c r="E826" i="1"/>
  <c r="I825" i="1"/>
  <c r="E825" i="1"/>
  <c r="J825" i="1" s="1"/>
  <c r="I824" i="1"/>
  <c r="E824" i="1"/>
  <c r="J824" i="1" s="1"/>
  <c r="J823" i="1"/>
  <c r="I823" i="1"/>
  <c r="E823" i="1"/>
  <c r="I822" i="1"/>
  <c r="J822" i="1" s="1"/>
  <c r="E822" i="1"/>
  <c r="P738" i="1"/>
  <c r="U738" i="1" s="1"/>
  <c r="T738" i="1"/>
  <c r="P769" i="1"/>
  <c r="U769" i="1" s="1"/>
  <c r="T769" i="1"/>
  <c r="P770" i="1"/>
  <c r="U770" i="1" s="1"/>
  <c r="T770" i="1"/>
  <c r="P779" i="1"/>
  <c r="T779" i="1"/>
  <c r="U779" i="1"/>
  <c r="P780" i="1"/>
  <c r="T780" i="1"/>
  <c r="P784" i="1"/>
  <c r="U784" i="1" s="1"/>
  <c r="T784" i="1"/>
  <c r="P785" i="1"/>
  <c r="U785" i="1" s="1"/>
  <c r="T785" i="1"/>
  <c r="P786" i="1"/>
  <c r="T786" i="1"/>
  <c r="U786" i="1" s="1"/>
  <c r="P788" i="1"/>
  <c r="T788" i="1"/>
  <c r="P789" i="1"/>
  <c r="U789" i="1" s="1"/>
  <c r="T789" i="1"/>
  <c r="P790" i="1"/>
  <c r="U790" i="1" s="1"/>
  <c r="T790" i="1"/>
  <c r="P791" i="1"/>
  <c r="U791" i="1" s="1"/>
  <c r="T791" i="1"/>
  <c r="P792" i="1"/>
  <c r="T792" i="1"/>
  <c r="P793" i="1"/>
  <c r="T793" i="1"/>
  <c r="U793" i="1"/>
  <c r="P794" i="1"/>
  <c r="U794" i="1" s="1"/>
  <c r="T794" i="1"/>
  <c r="P795" i="1"/>
  <c r="U795" i="1" s="1"/>
  <c r="T795" i="1"/>
  <c r="P796" i="1"/>
  <c r="T796" i="1"/>
  <c r="U796" i="1" s="1"/>
  <c r="P797" i="1"/>
  <c r="T797" i="1"/>
  <c r="U797" i="1"/>
  <c r="P798" i="1"/>
  <c r="U798" i="1" s="1"/>
  <c r="T798" i="1"/>
  <c r="P799" i="1"/>
  <c r="U799" i="1" s="1"/>
  <c r="T799" i="1"/>
  <c r="P800" i="1"/>
  <c r="T800" i="1"/>
  <c r="U800" i="1" s="1"/>
  <c r="P801" i="1"/>
  <c r="T801" i="1"/>
  <c r="U801" i="1"/>
  <c r="P802" i="1"/>
  <c r="T802" i="1"/>
  <c r="U802" i="1"/>
  <c r="P803" i="1"/>
  <c r="U803" i="1" s="1"/>
  <c r="T803" i="1"/>
  <c r="P804" i="1"/>
  <c r="U804" i="1" s="1"/>
  <c r="T804" i="1"/>
  <c r="P805" i="1"/>
  <c r="T805" i="1"/>
  <c r="U805" i="1"/>
  <c r="P806" i="1"/>
  <c r="T806" i="1"/>
  <c r="U806" i="1"/>
  <c r="P807" i="1"/>
  <c r="U807" i="1" s="1"/>
  <c r="T807" i="1"/>
  <c r="P808" i="1"/>
  <c r="U808" i="1" s="1"/>
  <c r="T808" i="1"/>
  <c r="P809" i="1"/>
  <c r="T809" i="1"/>
  <c r="U809" i="1"/>
  <c r="P810" i="1"/>
  <c r="T810" i="1"/>
  <c r="U810" i="1"/>
  <c r="P811" i="1"/>
  <c r="U811" i="1" s="1"/>
  <c r="T811" i="1"/>
  <c r="P812" i="1"/>
  <c r="T812" i="1"/>
  <c r="P813" i="1"/>
  <c r="T813" i="1"/>
  <c r="M814" i="1"/>
  <c r="N814" i="1"/>
  <c r="O814" i="1"/>
  <c r="Q814" i="1"/>
  <c r="R814" i="1"/>
  <c r="S814" i="1"/>
  <c r="T814" i="1" s="1"/>
  <c r="P822" i="1"/>
  <c r="U822" i="1" s="1"/>
  <c r="T822" i="1"/>
  <c r="P823" i="1"/>
  <c r="U823" i="1" s="1"/>
  <c r="T823" i="1"/>
  <c r="P827" i="1"/>
  <c r="T827" i="1"/>
  <c r="U827" i="1" s="1"/>
  <c r="P828" i="1"/>
  <c r="T828" i="1"/>
  <c r="U828" i="1"/>
  <c r="P829" i="1"/>
  <c r="T829" i="1"/>
  <c r="U829" i="1"/>
  <c r="P831" i="1"/>
  <c r="T831" i="1"/>
  <c r="U831" i="1"/>
  <c r="P832" i="1"/>
  <c r="U832" i="1" s="1"/>
  <c r="T832" i="1"/>
  <c r="P833" i="1"/>
  <c r="U833" i="1" s="1"/>
  <c r="T833" i="1"/>
  <c r="P834" i="1"/>
  <c r="T834" i="1"/>
  <c r="U834" i="1"/>
  <c r="P835" i="1"/>
  <c r="T835" i="1"/>
  <c r="U835" i="1"/>
  <c r="P836" i="1"/>
  <c r="U836" i="1" s="1"/>
  <c r="T836" i="1"/>
  <c r="P837" i="1"/>
  <c r="T837" i="1"/>
  <c r="U837" i="1" s="1"/>
  <c r="P838" i="1"/>
  <c r="T838" i="1"/>
  <c r="U838" i="1"/>
  <c r="P839" i="1"/>
  <c r="T839" i="1"/>
  <c r="U839" i="1"/>
  <c r="P840" i="1"/>
  <c r="U840" i="1" s="1"/>
  <c r="T840" i="1"/>
  <c r="P841" i="1"/>
  <c r="U841" i="1" s="1"/>
  <c r="T841" i="1"/>
  <c r="P842" i="1"/>
  <c r="T842" i="1"/>
  <c r="U842" i="1"/>
  <c r="P843" i="1"/>
  <c r="T843" i="1"/>
  <c r="U843" i="1"/>
  <c r="P844" i="1"/>
  <c r="U844" i="1" s="1"/>
  <c r="T844" i="1"/>
  <c r="P845" i="1"/>
  <c r="U845" i="1" s="1"/>
  <c r="T845" i="1"/>
  <c r="P846" i="1"/>
  <c r="T846" i="1"/>
  <c r="U846" i="1"/>
  <c r="P847" i="1"/>
  <c r="T847" i="1"/>
  <c r="U847" i="1"/>
  <c r="P848" i="1"/>
  <c r="U848" i="1" s="1"/>
  <c r="T848" i="1"/>
  <c r="P849" i="1"/>
  <c r="U849" i="1" s="1"/>
  <c r="T849" i="1"/>
  <c r="P850" i="1"/>
  <c r="T850" i="1"/>
  <c r="U850" i="1"/>
  <c r="P851" i="1"/>
  <c r="T851" i="1"/>
  <c r="U851" i="1"/>
  <c r="P852" i="1"/>
  <c r="U852" i="1" s="1"/>
  <c r="T852" i="1"/>
  <c r="P853" i="1"/>
  <c r="T853" i="1"/>
  <c r="P854" i="1"/>
  <c r="T854" i="1"/>
  <c r="P855" i="1"/>
  <c r="T855" i="1"/>
  <c r="P856" i="1"/>
  <c r="T856" i="1"/>
  <c r="M857" i="1"/>
  <c r="N857" i="1"/>
  <c r="O857" i="1"/>
  <c r="Q857" i="1"/>
  <c r="R857" i="1"/>
  <c r="S857" i="1"/>
  <c r="H814" i="1"/>
  <c r="G814" i="1"/>
  <c r="F814" i="1"/>
  <c r="D814" i="1"/>
  <c r="C814" i="1"/>
  <c r="B814" i="1"/>
  <c r="I813" i="1"/>
  <c r="E813" i="1"/>
  <c r="I812" i="1"/>
  <c r="E812" i="1"/>
  <c r="J812" i="1" s="1"/>
  <c r="I811" i="1"/>
  <c r="E811" i="1"/>
  <c r="I810" i="1"/>
  <c r="E810" i="1"/>
  <c r="I809" i="1"/>
  <c r="E809" i="1"/>
  <c r="I808" i="1"/>
  <c r="E808" i="1"/>
  <c r="J808" i="1" s="1"/>
  <c r="I807" i="1"/>
  <c r="E807" i="1"/>
  <c r="J807" i="1" s="1"/>
  <c r="I806" i="1"/>
  <c r="E806" i="1"/>
  <c r="I805" i="1"/>
  <c r="J805" i="1" s="1"/>
  <c r="E805" i="1"/>
  <c r="I804" i="1"/>
  <c r="E804" i="1"/>
  <c r="J804" i="1" s="1"/>
  <c r="I803" i="1"/>
  <c r="E803" i="1"/>
  <c r="I802" i="1"/>
  <c r="E802" i="1"/>
  <c r="I801" i="1"/>
  <c r="E801" i="1"/>
  <c r="I800" i="1"/>
  <c r="E800" i="1"/>
  <c r="J800" i="1" s="1"/>
  <c r="I799" i="1"/>
  <c r="E799" i="1"/>
  <c r="J799" i="1" s="1"/>
  <c r="J798" i="1"/>
  <c r="I798" i="1"/>
  <c r="E798" i="1"/>
  <c r="I797" i="1"/>
  <c r="E797" i="1"/>
  <c r="I796" i="1"/>
  <c r="E796" i="1"/>
  <c r="I795" i="1"/>
  <c r="E795" i="1"/>
  <c r="J795" i="1" s="1"/>
  <c r="I794" i="1"/>
  <c r="E794" i="1"/>
  <c r="J794" i="1" s="1"/>
  <c r="I793" i="1"/>
  <c r="E793" i="1"/>
  <c r="I792" i="1"/>
  <c r="E792" i="1"/>
  <c r="J792" i="1" s="1"/>
  <c r="I791" i="1"/>
  <c r="E791" i="1"/>
  <c r="I790" i="1"/>
  <c r="E790" i="1"/>
  <c r="J790" i="1" s="1"/>
  <c r="I789" i="1"/>
  <c r="E789" i="1"/>
  <c r="I788" i="1"/>
  <c r="E788" i="1"/>
  <c r="I786" i="1"/>
  <c r="E786" i="1"/>
  <c r="J786" i="1" s="1"/>
  <c r="I785" i="1"/>
  <c r="E785" i="1"/>
  <c r="J785" i="1" s="1"/>
  <c r="J784" i="1"/>
  <c r="I784" i="1"/>
  <c r="E784" i="1"/>
  <c r="I783" i="1"/>
  <c r="J783" i="1" s="1"/>
  <c r="E783" i="1"/>
  <c r="I782" i="1"/>
  <c r="E782" i="1"/>
  <c r="J782" i="1" s="1"/>
  <c r="I781" i="1"/>
  <c r="E781" i="1"/>
  <c r="J781" i="1" s="1"/>
  <c r="J780" i="1"/>
  <c r="I780" i="1"/>
  <c r="E780" i="1"/>
  <c r="I779" i="1"/>
  <c r="J779" i="1" s="1"/>
  <c r="E779" i="1"/>
  <c r="P684" i="1"/>
  <c r="U684" i="1" s="1"/>
  <c r="T684" i="1"/>
  <c r="T727" i="1"/>
  <c r="P727" i="1"/>
  <c r="P695" i="1"/>
  <c r="U695" i="1" s="1"/>
  <c r="T695" i="1"/>
  <c r="P696" i="1"/>
  <c r="T696" i="1"/>
  <c r="U696" i="1"/>
  <c r="P726" i="1"/>
  <c r="U726" i="1" s="1"/>
  <c r="T726" i="1"/>
  <c r="P736" i="1"/>
  <c r="T736" i="1"/>
  <c r="U736" i="1"/>
  <c r="P737" i="1"/>
  <c r="U737" i="1" s="1"/>
  <c r="T737" i="1"/>
  <c r="P739" i="1"/>
  <c r="T739" i="1"/>
  <c r="U739" i="1" s="1"/>
  <c r="P740" i="1"/>
  <c r="T740" i="1"/>
  <c r="U740" i="1"/>
  <c r="P741" i="1"/>
  <c r="U741" i="1" s="1"/>
  <c r="T741" i="1"/>
  <c r="P742" i="1"/>
  <c r="U742" i="1" s="1"/>
  <c r="T742" i="1"/>
  <c r="P743" i="1"/>
  <c r="T743" i="1"/>
  <c r="U743" i="1" s="1"/>
  <c r="P745" i="1"/>
  <c r="T745" i="1"/>
  <c r="U745" i="1" s="1"/>
  <c r="P746" i="1"/>
  <c r="T746" i="1"/>
  <c r="P747" i="1"/>
  <c r="T747" i="1"/>
  <c r="P748" i="1"/>
  <c r="T748" i="1"/>
  <c r="U748" i="1" s="1"/>
  <c r="P749" i="1"/>
  <c r="U749" i="1" s="1"/>
  <c r="T749" i="1"/>
  <c r="P750" i="1"/>
  <c r="T750" i="1"/>
  <c r="P751" i="1"/>
  <c r="U751" i="1" s="1"/>
  <c r="T751" i="1"/>
  <c r="P752" i="1"/>
  <c r="T752" i="1"/>
  <c r="U752" i="1"/>
  <c r="P753" i="1"/>
  <c r="T753" i="1"/>
  <c r="U753" i="1"/>
  <c r="P754" i="1"/>
  <c r="U754" i="1" s="1"/>
  <c r="T754" i="1"/>
  <c r="P755" i="1"/>
  <c r="U755" i="1" s="1"/>
  <c r="T755" i="1"/>
  <c r="P756" i="1"/>
  <c r="T756" i="1"/>
  <c r="U756" i="1"/>
  <c r="P757" i="1"/>
  <c r="T757" i="1"/>
  <c r="U757" i="1"/>
  <c r="P758" i="1"/>
  <c r="U758" i="1" s="1"/>
  <c r="T758" i="1"/>
  <c r="P759" i="1"/>
  <c r="U759" i="1" s="1"/>
  <c r="T759" i="1"/>
  <c r="P760" i="1"/>
  <c r="T760" i="1"/>
  <c r="U760" i="1"/>
  <c r="P761" i="1"/>
  <c r="T761" i="1"/>
  <c r="U761" i="1"/>
  <c r="P762" i="1"/>
  <c r="U762" i="1" s="1"/>
  <c r="T762" i="1"/>
  <c r="P763" i="1"/>
  <c r="U763" i="1" s="1"/>
  <c r="T763" i="1"/>
  <c r="P764" i="1"/>
  <c r="T764" i="1"/>
  <c r="U764" i="1"/>
  <c r="P765" i="1"/>
  <c r="T765" i="1"/>
  <c r="U765" i="1"/>
  <c r="P766" i="1"/>
  <c r="U766" i="1" s="1"/>
  <c r="T766" i="1"/>
  <c r="P767" i="1"/>
  <c r="U767" i="1" s="1"/>
  <c r="T767" i="1"/>
  <c r="P768" i="1"/>
  <c r="T768" i="1"/>
  <c r="U768" i="1"/>
  <c r="M771" i="1"/>
  <c r="N771" i="1"/>
  <c r="O771" i="1"/>
  <c r="Q771" i="1"/>
  <c r="R771" i="1"/>
  <c r="S771" i="1"/>
  <c r="H771" i="1"/>
  <c r="G771" i="1"/>
  <c r="F771" i="1"/>
  <c r="D771" i="1"/>
  <c r="C771" i="1"/>
  <c r="B771" i="1"/>
  <c r="I770" i="1"/>
  <c r="J770" i="1" s="1"/>
  <c r="E770" i="1"/>
  <c r="I769" i="1"/>
  <c r="E769" i="1"/>
  <c r="J769" i="1" s="1"/>
  <c r="I768" i="1"/>
  <c r="E768" i="1"/>
  <c r="I767" i="1"/>
  <c r="E767" i="1"/>
  <c r="I766" i="1"/>
  <c r="J766" i="1" s="1"/>
  <c r="E766" i="1"/>
  <c r="I765" i="1"/>
  <c r="E765" i="1"/>
  <c r="J765" i="1" s="1"/>
  <c r="I764" i="1"/>
  <c r="E764" i="1"/>
  <c r="J764" i="1" s="1"/>
  <c r="I763" i="1"/>
  <c r="E763" i="1"/>
  <c r="J763" i="1" s="1"/>
  <c r="I762" i="1"/>
  <c r="J762" i="1" s="1"/>
  <c r="E762" i="1"/>
  <c r="I761" i="1"/>
  <c r="E761" i="1"/>
  <c r="I760" i="1"/>
  <c r="E760" i="1"/>
  <c r="J760" i="1" s="1"/>
  <c r="I759" i="1"/>
  <c r="E759" i="1"/>
  <c r="J759" i="1" s="1"/>
  <c r="I758" i="1"/>
  <c r="E758" i="1"/>
  <c r="I757" i="1"/>
  <c r="E757" i="1"/>
  <c r="J757" i="1" s="1"/>
  <c r="I756" i="1"/>
  <c r="E756" i="1"/>
  <c r="J756" i="1" s="1"/>
  <c r="I755" i="1"/>
  <c r="E755" i="1"/>
  <c r="J755" i="1" s="1"/>
  <c r="I754" i="1"/>
  <c r="E754" i="1"/>
  <c r="I753" i="1"/>
  <c r="E753" i="1"/>
  <c r="J753" i="1" s="1"/>
  <c r="I752" i="1"/>
  <c r="E752" i="1"/>
  <c r="I751" i="1"/>
  <c r="E751" i="1"/>
  <c r="I750" i="1"/>
  <c r="E750" i="1"/>
  <c r="I749" i="1"/>
  <c r="E749" i="1"/>
  <c r="J749" i="1" s="1"/>
  <c r="I748" i="1"/>
  <c r="E748" i="1"/>
  <c r="J748" i="1" s="1"/>
  <c r="I747" i="1"/>
  <c r="E747" i="1"/>
  <c r="J747" i="1" s="1"/>
  <c r="I746" i="1"/>
  <c r="E746" i="1"/>
  <c r="I745" i="1"/>
  <c r="E745" i="1"/>
  <c r="I743" i="1"/>
  <c r="E743" i="1"/>
  <c r="I742" i="1"/>
  <c r="E742" i="1"/>
  <c r="J742" i="1" s="1"/>
  <c r="I741" i="1"/>
  <c r="E741" i="1"/>
  <c r="J741" i="1" s="1"/>
  <c r="I740" i="1"/>
  <c r="E740" i="1"/>
  <c r="I739" i="1"/>
  <c r="E739" i="1"/>
  <c r="J739" i="1" s="1"/>
  <c r="I738" i="1"/>
  <c r="E738" i="1"/>
  <c r="I737" i="1"/>
  <c r="E737" i="1"/>
  <c r="I736" i="1"/>
  <c r="E736" i="1"/>
  <c r="P682" i="1"/>
  <c r="T682" i="1"/>
  <c r="U682" i="1" s="1"/>
  <c r="P683" i="1"/>
  <c r="T683" i="1"/>
  <c r="U683" i="1"/>
  <c r="P652" i="1"/>
  <c r="T652" i="1"/>
  <c r="U652" i="1" s="1"/>
  <c r="P653" i="1"/>
  <c r="T653" i="1"/>
  <c r="U653" i="1"/>
  <c r="P654" i="1"/>
  <c r="T654" i="1"/>
  <c r="U654" i="1" s="1"/>
  <c r="P655" i="1"/>
  <c r="T655" i="1"/>
  <c r="U655" i="1"/>
  <c r="E702" i="1"/>
  <c r="I702" i="1"/>
  <c r="J702" i="1" s="1"/>
  <c r="E703" i="1"/>
  <c r="I703" i="1"/>
  <c r="J703" i="1" s="1"/>
  <c r="E704" i="1"/>
  <c r="I704" i="1"/>
  <c r="E705" i="1"/>
  <c r="I705" i="1"/>
  <c r="E693" i="1"/>
  <c r="I693" i="1"/>
  <c r="J693" i="1" s="1"/>
  <c r="E694" i="1"/>
  <c r="J694" i="1" s="1"/>
  <c r="I694" i="1"/>
  <c r="S728" i="1"/>
  <c r="R728" i="1"/>
  <c r="Q728" i="1"/>
  <c r="O728" i="1"/>
  <c r="N728" i="1"/>
  <c r="M728" i="1"/>
  <c r="H728" i="1"/>
  <c r="G728" i="1"/>
  <c r="F728" i="1"/>
  <c r="D728" i="1"/>
  <c r="C728" i="1"/>
  <c r="B728" i="1"/>
  <c r="I727" i="1"/>
  <c r="E727" i="1"/>
  <c r="I726" i="1"/>
  <c r="E726" i="1"/>
  <c r="J726" i="1" s="1"/>
  <c r="T725" i="1"/>
  <c r="P725" i="1"/>
  <c r="U725" i="1" s="1"/>
  <c r="I725" i="1"/>
  <c r="E725" i="1"/>
  <c r="J725" i="1" s="1"/>
  <c r="T724" i="1"/>
  <c r="P724" i="1"/>
  <c r="U724" i="1" s="1"/>
  <c r="I724" i="1"/>
  <c r="E724" i="1"/>
  <c r="J724" i="1" s="1"/>
  <c r="T723" i="1"/>
  <c r="P723" i="1"/>
  <c r="U723" i="1" s="1"/>
  <c r="I723" i="1"/>
  <c r="E723" i="1"/>
  <c r="T722" i="1"/>
  <c r="P722" i="1"/>
  <c r="U722" i="1" s="1"/>
  <c r="I722" i="1"/>
  <c r="E722" i="1"/>
  <c r="J722" i="1" s="1"/>
  <c r="T721" i="1"/>
  <c r="P721" i="1"/>
  <c r="U721" i="1" s="1"/>
  <c r="I721" i="1"/>
  <c r="E721" i="1"/>
  <c r="J721" i="1" s="1"/>
  <c r="T720" i="1"/>
  <c r="P720" i="1"/>
  <c r="U720" i="1" s="1"/>
  <c r="I720" i="1"/>
  <c r="E720" i="1"/>
  <c r="J720" i="1" s="1"/>
  <c r="T719" i="1"/>
  <c r="P719" i="1"/>
  <c r="U719" i="1" s="1"/>
  <c r="I719" i="1"/>
  <c r="E719" i="1"/>
  <c r="J719" i="1" s="1"/>
  <c r="T718" i="1"/>
  <c r="P718" i="1"/>
  <c r="U718" i="1" s="1"/>
  <c r="I718" i="1"/>
  <c r="E718" i="1"/>
  <c r="J718" i="1" s="1"/>
  <c r="T717" i="1"/>
  <c r="P717" i="1"/>
  <c r="U717" i="1" s="1"/>
  <c r="I717" i="1"/>
  <c r="E717" i="1"/>
  <c r="J717" i="1" s="1"/>
  <c r="T716" i="1"/>
  <c r="P716" i="1"/>
  <c r="U716" i="1" s="1"/>
  <c r="I716" i="1"/>
  <c r="E716" i="1"/>
  <c r="J716" i="1" s="1"/>
  <c r="T715" i="1"/>
  <c r="P715" i="1"/>
  <c r="U715" i="1" s="1"/>
  <c r="I715" i="1"/>
  <c r="E715" i="1"/>
  <c r="J715" i="1" s="1"/>
  <c r="T714" i="1"/>
  <c r="P714" i="1"/>
  <c r="U714" i="1" s="1"/>
  <c r="I714" i="1"/>
  <c r="E714" i="1"/>
  <c r="J714" i="1" s="1"/>
  <c r="T713" i="1"/>
  <c r="P713" i="1"/>
  <c r="U713" i="1" s="1"/>
  <c r="I713" i="1"/>
  <c r="E713" i="1"/>
  <c r="J713" i="1" s="1"/>
  <c r="T712" i="1"/>
  <c r="P712" i="1"/>
  <c r="U712" i="1" s="1"/>
  <c r="I712" i="1"/>
  <c r="E712" i="1"/>
  <c r="J712" i="1" s="1"/>
  <c r="T711" i="1"/>
  <c r="P711" i="1"/>
  <c r="I711" i="1"/>
  <c r="E711" i="1"/>
  <c r="J711" i="1" s="1"/>
  <c r="T710" i="1"/>
  <c r="P710" i="1"/>
  <c r="U710" i="1" s="1"/>
  <c r="I710" i="1"/>
  <c r="E710" i="1"/>
  <c r="J710" i="1" s="1"/>
  <c r="T709" i="1"/>
  <c r="P709" i="1"/>
  <c r="I709" i="1"/>
  <c r="E709" i="1"/>
  <c r="T708" i="1"/>
  <c r="P708" i="1"/>
  <c r="U708" i="1" s="1"/>
  <c r="I708" i="1"/>
  <c r="E708" i="1"/>
  <c r="J708" i="1" s="1"/>
  <c r="T707" i="1"/>
  <c r="P707" i="1"/>
  <c r="I707" i="1"/>
  <c r="E707" i="1"/>
  <c r="T706" i="1"/>
  <c r="P706" i="1"/>
  <c r="U706" i="1" s="1"/>
  <c r="I706" i="1"/>
  <c r="E706" i="1"/>
  <c r="J706" i="1" s="1"/>
  <c r="T705" i="1"/>
  <c r="P705" i="1"/>
  <c r="T704" i="1"/>
  <c r="P704" i="1"/>
  <c r="U704" i="1" s="1"/>
  <c r="T703" i="1"/>
  <c r="P703" i="1"/>
  <c r="T702" i="1"/>
  <c r="P702" i="1"/>
  <c r="U702" i="1" s="1"/>
  <c r="T700" i="1"/>
  <c r="P700" i="1"/>
  <c r="U700" i="1" s="1"/>
  <c r="I700" i="1"/>
  <c r="E700" i="1"/>
  <c r="J700" i="1" s="1"/>
  <c r="T699" i="1"/>
  <c r="P699" i="1"/>
  <c r="I699" i="1"/>
  <c r="E699" i="1"/>
  <c r="J699" i="1" s="1"/>
  <c r="T698" i="1"/>
  <c r="P698" i="1"/>
  <c r="U698" i="1" s="1"/>
  <c r="I698" i="1"/>
  <c r="E698" i="1"/>
  <c r="T697" i="1"/>
  <c r="P697" i="1"/>
  <c r="I697" i="1"/>
  <c r="E697" i="1"/>
  <c r="J697" i="1" s="1"/>
  <c r="I696" i="1"/>
  <c r="E696" i="1"/>
  <c r="J696" i="1" s="1"/>
  <c r="I695" i="1"/>
  <c r="E695" i="1"/>
  <c r="J695" i="1" s="1"/>
  <c r="T694" i="1"/>
  <c r="P694" i="1"/>
  <c r="U694" i="1" s="1"/>
  <c r="T693" i="1"/>
  <c r="P693" i="1"/>
  <c r="E632" i="1"/>
  <c r="I632" i="1"/>
  <c r="J632" i="1" s="1"/>
  <c r="G624" i="1"/>
  <c r="H624" i="1"/>
  <c r="E659" i="1"/>
  <c r="J659" i="1" s="1"/>
  <c r="I659" i="1"/>
  <c r="E660" i="1"/>
  <c r="J660" i="1" s="1"/>
  <c r="I660" i="1"/>
  <c r="E661" i="1"/>
  <c r="I661" i="1"/>
  <c r="J661" i="1" s="1"/>
  <c r="E662" i="1"/>
  <c r="I662" i="1"/>
  <c r="E663" i="1"/>
  <c r="I663" i="1"/>
  <c r="E664" i="1"/>
  <c r="I664" i="1"/>
  <c r="J664" i="1"/>
  <c r="E650" i="1"/>
  <c r="J650" i="1" s="1"/>
  <c r="I650" i="1"/>
  <c r="E651" i="1"/>
  <c r="I651" i="1"/>
  <c r="E652" i="1"/>
  <c r="I652" i="1"/>
  <c r="H685" i="1"/>
  <c r="G685" i="1"/>
  <c r="F685" i="1"/>
  <c r="D685" i="1"/>
  <c r="C685" i="1"/>
  <c r="B685" i="1"/>
  <c r="I684" i="1"/>
  <c r="E684" i="1"/>
  <c r="I683" i="1"/>
  <c r="E683" i="1"/>
  <c r="I682" i="1"/>
  <c r="E682" i="1"/>
  <c r="J682" i="1" s="1"/>
  <c r="I681" i="1"/>
  <c r="E681" i="1"/>
  <c r="J681" i="1" s="1"/>
  <c r="I680" i="1"/>
  <c r="J680" i="1" s="1"/>
  <c r="E680" i="1"/>
  <c r="I679" i="1"/>
  <c r="E679" i="1"/>
  <c r="J679" i="1" s="1"/>
  <c r="I678" i="1"/>
  <c r="E678" i="1"/>
  <c r="I677" i="1"/>
  <c r="E677" i="1"/>
  <c r="I676" i="1"/>
  <c r="J676" i="1" s="1"/>
  <c r="E676" i="1"/>
  <c r="I675" i="1"/>
  <c r="E675" i="1"/>
  <c r="J675" i="1" s="1"/>
  <c r="I674" i="1"/>
  <c r="E674" i="1"/>
  <c r="J674" i="1" s="1"/>
  <c r="I673" i="1"/>
  <c r="J673" i="1" s="1"/>
  <c r="E673" i="1"/>
  <c r="I672" i="1"/>
  <c r="J672" i="1" s="1"/>
  <c r="E672" i="1"/>
  <c r="I671" i="1"/>
  <c r="E671" i="1"/>
  <c r="J671" i="1" s="1"/>
  <c r="I670" i="1"/>
  <c r="E670" i="1"/>
  <c r="J670" i="1" s="1"/>
  <c r="J669" i="1"/>
  <c r="I669" i="1"/>
  <c r="E669" i="1"/>
  <c r="I668" i="1"/>
  <c r="J668" i="1" s="1"/>
  <c r="E668" i="1"/>
  <c r="I667" i="1"/>
  <c r="E667" i="1"/>
  <c r="J667" i="1" s="1"/>
  <c r="I666" i="1"/>
  <c r="E666" i="1"/>
  <c r="J666" i="1" s="1"/>
  <c r="J665" i="1"/>
  <c r="I665" i="1"/>
  <c r="E665" i="1"/>
  <c r="I657" i="1"/>
  <c r="E657" i="1"/>
  <c r="I656" i="1"/>
  <c r="E656" i="1"/>
  <c r="I655" i="1"/>
  <c r="E655" i="1"/>
  <c r="I654" i="1"/>
  <c r="J654" i="1" s="1"/>
  <c r="E654" i="1"/>
  <c r="I653" i="1"/>
  <c r="E653" i="1"/>
  <c r="P609" i="1"/>
  <c r="U609" i="1" s="1"/>
  <c r="T609" i="1"/>
  <c r="P610" i="1"/>
  <c r="U610" i="1" s="1"/>
  <c r="T610" i="1"/>
  <c r="P611" i="1"/>
  <c r="T611" i="1"/>
  <c r="U611" i="1" s="1"/>
  <c r="S685" i="1"/>
  <c r="R685" i="1"/>
  <c r="Q685" i="1"/>
  <c r="O685" i="1"/>
  <c r="N685" i="1"/>
  <c r="M685" i="1"/>
  <c r="T681" i="1"/>
  <c r="U681" i="1" s="1"/>
  <c r="P681" i="1"/>
  <c r="U680" i="1"/>
  <c r="T680" i="1"/>
  <c r="P680" i="1"/>
  <c r="T679" i="1"/>
  <c r="P679" i="1"/>
  <c r="U679" i="1" s="1"/>
  <c r="T678" i="1"/>
  <c r="P678" i="1"/>
  <c r="U678" i="1" s="1"/>
  <c r="T677" i="1"/>
  <c r="U677" i="1" s="1"/>
  <c r="P677" i="1"/>
  <c r="U676" i="1"/>
  <c r="T676" i="1"/>
  <c r="P676" i="1"/>
  <c r="T675" i="1"/>
  <c r="P675" i="1"/>
  <c r="U675" i="1" s="1"/>
  <c r="T674" i="1"/>
  <c r="P674" i="1"/>
  <c r="U674" i="1" s="1"/>
  <c r="T673" i="1"/>
  <c r="U673" i="1" s="1"/>
  <c r="P673" i="1"/>
  <c r="T672" i="1"/>
  <c r="P672" i="1"/>
  <c r="U672" i="1" s="1"/>
  <c r="T671" i="1"/>
  <c r="P671" i="1"/>
  <c r="U671" i="1" s="1"/>
  <c r="T670" i="1"/>
  <c r="P670" i="1"/>
  <c r="U670" i="1" s="1"/>
  <c r="T669" i="1"/>
  <c r="P669" i="1"/>
  <c r="T668" i="1"/>
  <c r="U668" i="1" s="1"/>
  <c r="P668" i="1"/>
  <c r="T667" i="1"/>
  <c r="P667" i="1"/>
  <c r="U667" i="1" s="1"/>
  <c r="T666" i="1"/>
  <c r="P666" i="1"/>
  <c r="U666" i="1" s="1"/>
  <c r="T665" i="1"/>
  <c r="U665" i="1" s="1"/>
  <c r="P665" i="1"/>
  <c r="T664" i="1"/>
  <c r="P664" i="1"/>
  <c r="U664" i="1" s="1"/>
  <c r="T663" i="1"/>
  <c r="P663" i="1"/>
  <c r="U663" i="1" s="1"/>
  <c r="T662" i="1"/>
  <c r="P662" i="1"/>
  <c r="U662" i="1" s="1"/>
  <c r="T661" i="1"/>
  <c r="P661" i="1"/>
  <c r="T660" i="1"/>
  <c r="U660" i="1" s="1"/>
  <c r="P660" i="1"/>
  <c r="T659" i="1"/>
  <c r="P659" i="1"/>
  <c r="U659" i="1" s="1"/>
  <c r="T657" i="1"/>
  <c r="P657" i="1"/>
  <c r="U657" i="1" s="1"/>
  <c r="U656" i="1"/>
  <c r="T656" i="1"/>
  <c r="P656" i="1"/>
  <c r="T651" i="1"/>
  <c r="U651" i="1" s="1"/>
  <c r="P651" i="1"/>
  <c r="T650" i="1"/>
  <c r="P650" i="1"/>
  <c r="U650" i="1" s="1"/>
  <c r="E594" i="1"/>
  <c r="I594" i="1"/>
  <c r="P578" i="1"/>
  <c r="P564" i="1"/>
  <c r="F573" i="1"/>
  <c r="B551" i="1"/>
  <c r="F548" i="1"/>
  <c r="G538" i="1"/>
  <c r="C538" i="1"/>
  <c r="B538" i="1"/>
  <c r="H642" i="1"/>
  <c r="G642" i="1"/>
  <c r="F642" i="1"/>
  <c r="D642" i="1"/>
  <c r="C642" i="1"/>
  <c r="B642" i="1"/>
  <c r="I641" i="1"/>
  <c r="E641" i="1"/>
  <c r="I640" i="1"/>
  <c r="J640" i="1" s="1"/>
  <c r="E640" i="1"/>
  <c r="I639" i="1"/>
  <c r="E639" i="1"/>
  <c r="I638" i="1"/>
  <c r="E638" i="1"/>
  <c r="I637" i="1"/>
  <c r="E637" i="1"/>
  <c r="J636" i="1"/>
  <c r="I636" i="1"/>
  <c r="E636" i="1"/>
  <c r="I635" i="1"/>
  <c r="E635" i="1"/>
  <c r="I634" i="1"/>
  <c r="E634" i="1"/>
  <c r="I633" i="1"/>
  <c r="E633" i="1"/>
  <c r="J633" i="1" s="1"/>
  <c r="I631" i="1"/>
  <c r="J631" i="1" s="1"/>
  <c r="E631" i="1"/>
  <c r="I630" i="1"/>
  <c r="E630" i="1"/>
  <c r="J630" i="1" s="1"/>
  <c r="I629" i="1"/>
  <c r="E629" i="1"/>
  <c r="J629" i="1" s="1"/>
  <c r="I628" i="1"/>
  <c r="E628" i="1"/>
  <c r="J628" i="1" s="1"/>
  <c r="I627" i="1"/>
  <c r="J627" i="1" s="1"/>
  <c r="E627" i="1"/>
  <c r="I626" i="1"/>
  <c r="E626" i="1"/>
  <c r="I625" i="1"/>
  <c r="E625" i="1"/>
  <c r="I624" i="1"/>
  <c r="J624" i="1" s="1"/>
  <c r="E624" i="1"/>
  <c r="I623" i="1"/>
  <c r="E623" i="1"/>
  <c r="I622" i="1"/>
  <c r="E622" i="1"/>
  <c r="I621" i="1"/>
  <c r="E621" i="1"/>
  <c r="I620" i="1"/>
  <c r="J620" i="1" s="1"/>
  <c r="E620" i="1"/>
  <c r="I619" i="1"/>
  <c r="E619" i="1"/>
  <c r="I618" i="1"/>
  <c r="E618" i="1"/>
  <c r="J618" i="1" s="1"/>
  <c r="I617" i="1"/>
  <c r="E617" i="1"/>
  <c r="J617" i="1" s="1"/>
  <c r="I616" i="1"/>
  <c r="E616" i="1"/>
  <c r="J616" i="1" s="1"/>
  <c r="I614" i="1"/>
  <c r="J614" i="1" s="1"/>
  <c r="E614" i="1"/>
  <c r="I613" i="1"/>
  <c r="J613" i="1" s="1"/>
  <c r="E613" i="1"/>
  <c r="I612" i="1"/>
  <c r="E612" i="1"/>
  <c r="I611" i="1"/>
  <c r="E611" i="1"/>
  <c r="J611" i="1" s="1"/>
  <c r="I610" i="1"/>
  <c r="E610" i="1"/>
  <c r="I609" i="1"/>
  <c r="J609" i="1" s="1"/>
  <c r="E609" i="1"/>
  <c r="I608" i="1"/>
  <c r="E608" i="1"/>
  <c r="J608" i="1" s="1"/>
  <c r="I607" i="1"/>
  <c r="E607" i="1"/>
  <c r="P566" i="1"/>
  <c r="U566" i="1" s="1"/>
  <c r="T566" i="1"/>
  <c r="P567" i="1"/>
  <c r="T567" i="1"/>
  <c r="U567" i="1"/>
  <c r="P568" i="1"/>
  <c r="T568" i="1"/>
  <c r="U568" i="1"/>
  <c r="P608" i="1"/>
  <c r="U608" i="1" s="1"/>
  <c r="T608" i="1"/>
  <c r="S642" i="1"/>
  <c r="R642" i="1"/>
  <c r="Q642" i="1"/>
  <c r="T642" i="1" s="1"/>
  <c r="O642" i="1"/>
  <c r="P642" i="1" s="1"/>
  <c r="N642" i="1"/>
  <c r="M642" i="1"/>
  <c r="T641" i="1"/>
  <c r="U641" i="1" s="1"/>
  <c r="P641" i="1"/>
  <c r="T640" i="1"/>
  <c r="P640" i="1"/>
  <c r="U640" i="1" s="1"/>
  <c r="T639" i="1"/>
  <c r="P639" i="1"/>
  <c r="U639" i="1" s="1"/>
  <c r="U638" i="1"/>
  <c r="T638" i="1"/>
  <c r="P638" i="1"/>
  <c r="T637" i="1"/>
  <c r="U637" i="1" s="1"/>
  <c r="P637" i="1"/>
  <c r="T636" i="1"/>
  <c r="P636" i="1"/>
  <c r="U636" i="1" s="1"/>
  <c r="T635" i="1"/>
  <c r="P635" i="1"/>
  <c r="U635" i="1" s="1"/>
  <c r="U634" i="1"/>
  <c r="T634" i="1"/>
  <c r="P634" i="1"/>
  <c r="T633" i="1"/>
  <c r="U633" i="1" s="1"/>
  <c r="P633" i="1"/>
  <c r="T632" i="1"/>
  <c r="P632" i="1"/>
  <c r="U632" i="1" s="1"/>
  <c r="T631" i="1"/>
  <c r="P631" i="1"/>
  <c r="U631" i="1" s="1"/>
  <c r="U630" i="1"/>
  <c r="T630" i="1"/>
  <c r="P630" i="1"/>
  <c r="T629" i="1"/>
  <c r="U629" i="1" s="1"/>
  <c r="P629" i="1"/>
  <c r="T628" i="1"/>
  <c r="P628" i="1"/>
  <c r="U628" i="1" s="1"/>
  <c r="T627" i="1"/>
  <c r="P627" i="1"/>
  <c r="U627" i="1" s="1"/>
  <c r="U626" i="1"/>
  <c r="T626" i="1"/>
  <c r="P626" i="1"/>
  <c r="T625" i="1"/>
  <c r="U625" i="1" s="1"/>
  <c r="P625" i="1"/>
  <c r="T624" i="1"/>
  <c r="P624" i="1"/>
  <c r="U624" i="1" s="1"/>
  <c r="T623" i="1"/>
  <c r="P623" i="1"/>
  <c r="U623" i="1" s="1"/>
  <c r="U622" i="1"/>
  <c r="T622" i="1"/>
  <c r="P622" i="1"/>
  <c r="T621" i="1"/>
  <c r="U621" i="1" s="1"/>
  <c r="P621" i="1"/>
  <c r="T620" i="1"/>
  <c r="P620" i="1"/>
  <c r="U620" i="1" s="1"/>
  <c r="T619" i="1"/>
  <c r="P619" i="1"/>
  <c r="U619" i="1" s="1"/>
  <c r="U618" i="1"/>
  <c r="T618" i="1"/>
  <c r="P618" i="1"/>
  <c r="T617" i="1"/>
  <c r="U617" i="1" s="1"/>
  <c r="P617" i="1"/>
  <c r="T616" i="1"/>
  <c r="P616" i="1"/>
  <c r="U616" i="1" s="1"/>
  <c r="T614" i="1"/>
  <c r="P614" i="1"/>
  <c r="U614" i="1" s="1"/>
  <c r="T613" i="1"/>
  <c r="P613" i="1"/>
  <c r="U613" i="1" s="1"/>
  <c r="U612" i="1"/>
  <c r="T612" i="1"/>
  <c r="P612" i="1"/>
  <c r="T607" i="1"/>
  <c r="U607" i="1" s="1"/>
  <c r="P607" i="1"/>
  <c r="T535" i="1"/>
  <c r="P535" i="1"/>
  <c r="U535" i="1" s="1"/>
  <c r="J832" i="1" l="1"/>
  <c r="J831" i="1"/>
  <c r="I857" i="1"/>
  <c r="E857" i="1"/>
  <c r="J813" i="1"/>
  <c r="J811" i="1"/>
  <c r="U812" i="1"/>
  <c r="J810" i="1"/>
  <c r="J809" i="1"/>
  <c r="J806" i="1"/>
  <c r="U813" i="1"/>
  <c r="U792" i="1"/>
  <c r="J803" i="1"/>
  <c r="J802" i="1"/>
  <c r="J801" i="1"/>
  <c r="J797" i="1"/>
  <c r="P814" i="1"/>
  <c r="U814" i="1" s="1"/>
  <c r="U788" i="1"/>
  <c r="J796" i="1"/>
  <c r="J793" i="1"/>
  <c r="J791" i="1"/>
  <c r="I814" i="1"/>
  <c r="J789" i="1"/>
  <c r="E814" i="1"/>
  <c r="J788" i="1"/>
  <c r="U750" i="1"/>
  <c r="J743" i="1"/>
  <c r="J768" i="1"/>
  <c r="J767" i="1"/>
  <c r="U853" i="1"/>
  <c r="J740" i="1"/>
  <c r="J761" i="1"/>
  <c r="U747" i="1"/>
  <c r="J758" i="1"/>
  <c r="U855" i="1"/>
  <c r="U854" i="1"/>
  <c r="T857" i="1"/>
  <c r="U856" i="1"/>
  <c r="P857" i="1"/>
  <c r="U746" i="1"/>
  <c r="J737" i="1"/>
  <c r="J738" i="1"/>
  <c r="U780" i="1"/>
  <c r="J754" i="1"/>
  <c r="J752" i="1"/>
  <c r="J751" i="1"/>
  <c r="I771" i="1"/>
  <c r="J750" i="1"/>
  <c r="T771" i="1"/>
  <c r="P771" i="1"/>
  <c r="J736" i="1"/>
  <c r="U727" i="1"/>
  <c r="J746" i="1"/>
  <c r="J745" i="1"/>
  <c r="E771" i="1"/>
  <c r="J727" i="1"/>
  <c r="J723" i="1"/>
  <c r="U669" i="1"/>
  <c r="J698" i="1"/>
  <c r="I728" i="1"/>
  <c r="J709" i="1"/>
  <c r="J657" i="1"/>
  <c r="J707" i="1"/>
  <c r="J705" i="1"/>
  <c r="J704" i="1"/>
  <c r="J684" i="1"/>
  <c r="J683" i="1"/>
  <c r="J656" i="1"/>
  <c r="J655" i="1"/>
  <c r="J678" i="1"/>
  <c r="J677" i="1"/>
  <c r="J653" i="1"/>
  <c r="T728" i="1"/>
  <c r="P728" i="1"/>
  <c r="U661" i="1"/>
  <c r="T685" i="1"/>
  <c r="P685" i="1"/>
  <c r="J652" i="1"/>
  <c r="J663" i="1"/>
  <c r="J651" i="1"/>
  <c r="J662" i="1"/>
  <c r="E728" i="1"/>
  <c r="U693" i="1"/>
  <c r="U697" i="1"/>
  <c r="U699" i="1"/>
  <c r="U703" i="1"/>
  <c r="U705" i="1"/>
  <c r="U707" i="1"/>
  <c r="U709" i="1"/>
  <c r="U711" i="1"/>
  <c r="U642" i="1"/>
  <c r="J641" i="1"/>
  <c r="J639" i="1"/>
  <c r="J638" i="1"/>
  <c r="J637" i="1"/>
  <c r="J635" i="1"/>
  <c r="J634" i="1"/>
  <c r="J612" i="1"/>
  <c r="J626" i="1"/>
  <c r="J610" i="1"/>
  <c r="J625" i="1"/>
  <c r="J623" i="1"/>
  <c r="J622" i="1"/>
  <c r="E685" i="1"/>
  <c r="I685" i="1"/>
  <c r="J621" i="1"/>
  <c r="J619" i="1"/>
  <c r="I642" i="1"/>
  <c r="E642" i="1"/>
  <c r="J607" i="1"/>
  <c r="J594" i="1"/>
  <c r="F511" i="1"/>
  <c r="F513" i="1" s="1"/>
  <c r="G510" i="1"/>
  <c r="T530" i="1"/>
  <c r="P530" i="1"/>
  <c r="U530" i="1" s="1"/>
  <c r="P511" i="1"/>
  <c r="U511" i="1" s="1"/>
  <c r="T511" i="1"/>
  <c r="P512" i="1"/>
  <c r="T512" i="1"/>
  <c r="U512" i="1"/>
  <c r="T555" i="1"/>
  <c r="P555" i="1"/>
  <c r="T554" i="1"/>
  <c r="P554" i="1"/>
  <c r="F509" i="1"/>
  <c r="B509" i="1"/>
  <c r="E509" i="1" s="1"/>
  <c r="G507" i="1"/>
  <c r="F507" i="1"/>
  <c r="I507" i="1" s="1"/>
  <c r="P522" i="1"/>
  <c r="U522" i="1" s="1"/>
  <c r="T522" i="1"/>
  <c r="P523" i="1"/>
  <c r="U523" i="1" s="1"/>
  <c r="T523" i="1"/>
  <c r="T489" i="1"/>
  <c r="P489" i="1"/>
  <c r="U489" i="1" s="1"/>
  <c r="F502" i="1"/>
  <c r="T488" i="1"/>
  <c r="P488" i="1"/>
  <c r="U488" i="1" s="1"/>
  <c r="E484" i="1"/>
  <c r="B483" i="1"/>
  <c r="E483" i="1"/>
  <c r="J483" i="1" s="1"/>
  <c r="T453" i="1"/>
  <c r="P453" i="1"/>
  <c r="U453" i="1" s="1"/>
  <c r="H495" i="1"/>
  <c r="T452" i="1"/>
  <c r="P452" i="1"/>
  <c r="U452" i="1" s="1"/>
  <c r="T451" i="1"/>
  <c r="U451" i="1" s="1"/>
  <c r="P451" i="1"/>
  <c r="T449" i="1"/>
  <c r="P449" i="1"/>
  <c r="U449" i="1" s="1"/>
  <c r="T448" i="1"/>
  <c r="P448" i="1"/>
  <c r="U448" i="1" s="1"/>
  <c r="C463" i="1"/>
  <c r="B462" i="1"/>
  <c r="P468" i="1"/>
  <c r="T468" i="1"/>
  <c r="U468" i="1"/>
  <c r="T510" i="1"/>
  <c r="P510" i="1"/>
  <c r="P480" i="1"/>
  <c r="T480" i="1"/>
  <c r="U480" i="1"/>
  <c r="E521" i="1"/>
  <c r="I521" i="1"/>
  <c r="J521" i="1" s="1"/>
  <c r="P521" i="1"/>
  <c r="T521" i="1"/>
  <c r="U521" i="1"/>
  <c r="E522" i="1"/>
  <c r="I522" i="1"/>
  <c r="E523" i="1"/>
  <c r="I523" i="1"/>
  <c r="J523" i="1" s="1"/>
  <c r="E524" i="1"/>
  <c r="J524" i="1" s="1"/>
  <c r="I524" i="1"/>
  <c r="P524" i="1"/>
  <c r="U524" i="1" s="1"/>
  <c r="T524" i="1"/>
  <c r="E525" i="1"/>
  <c r="I525" i="1"/>
  <c r="P525" i="1"/>
  <c r="T525" i="1"/>
  <c r="U525" i="1"/>
  <c r="E526" i="1"/>
  <c r="J526" i="1" s="1"/>
  <c r="I526" i="1"/>
  <c r="P526" i="1"/>
  <c r="U526" i="1" s="1"/>
  <c r="T526" i="1"/>
  <c r="E527" i="1"/>
  <c r="I527" i="1"/>
  <c r="J527" i="1" s="1"/>
  <c r="P527" i="1"/>
  <c r="T527" i="1"/>
  <c r="U527" i="1"/>
  <c r="E528" i="1"/>
  <c r="I528" i="1"/>
  <c r="P528" i="1"/>
  <c r="U528" i="1" s="1"/>
  <c r="T528" i="1"/>
  <c r="E530" i="1"/>
  <c r="J530" i="1" s="1"/>
  <c r="I530" i="1"/>
  <c r="E531" i="1"/>
  <c r="I531" i="1"/>
  <c r="J531" i="1" s="1"/>
  <c r="P531" i="1"/>
  <c r="T531" i="1"/>
  <c r="U531" i="1"/>
  <c r="E532" i="1"/>
  <c r="I532" i="1"/>
  <c r="P532" i="1"/>
  <c r="T532" i="1"/>
  <c r="E533" i="1"/>
  <c r="I533" i="1"/>
  <c r="J533" i="1" s="1"/>
  <c r="P533" i="1"/>
  <c r="T533" i="1"/>
  <c r="E534" i="1"/>
  <c r="J534" i="1" s="1"/>
  <c r="I534" i="1"/>
  <c r="P534" i="1"/>
  <c r="U534" i="1" s="1"/>
  <c r="T534" i="1"/>
  <c r="E535" i="1"/>
  <c r="I535" i="1"/>
  <c r="E536" i="1"/>
  <c r="I536" i="1"/>
  <c r="P536" i="1"/>
  <c r="T536" i="1"/>
  <c r="E537" i="1"/>
  <c r="I537" i="1"/>
  <c r="J537" i="1" s="1"/>
  <c r="P537" i="1"/>
  <c r="T537" i="1"/>
  <c r="E538" i="1"/>
  <c r="I538" i="1"/>
  <c r="P538" i="1"/>
  <c r="U538" i="1" s="1"/>
  <c r="T538" i="1"/>
  <c r="E539" i="1"/>
  <c r="I539" i="1"/>
  <c r="P539" i="1"/>
  <c r="T539" i="1"/>
  <c r="E540" i="1"/>
  <c r="I540" i="1"/>
  <c r="P540" i="1"/>
  <c r="T540" i="1"/>
  <c r="E541" i="1"/>
  <c r="I541" i="1"/>
  <c r="P541" i="1"/>
  <c r="T541" i="1"/>
  <c r="U541" i="1"/>
  <c r="E542" i="1"/>
  <c r="I542" i="1"/>
  <c r="P542" i="1"/>
  <c r="U542" i="1" s="1"/>
  <c r="T542" i="1"/>
  <c r="E543" i="1"/>
  <c r="I543" i="1"/>
  <c r="J543" i="1" s="1"/>
  <c r="P543" i="1"/>
  <c r="T543" i="1"/>
  <c r="U543" i="1" s="1"/>
  <c r="E544" i="1"/>
  <c r="I544" i="1"/>
  <c r="P544" i="1"/>
  <c r="T544" i="1"/>
  <c r="E545" i="1"/>
  <c r="I545" i="1"/>
  <c r="J545" i="1" s="1"/>
  <c r="P545" i="1"/>
  <c r="T545" i="1"/>
  <c r="U545" i="1" s="1"/>
  <c r="E546" i="1"/>
  <c r="I546" i="1"/>
  <c r="P546" i="1"/>
  <c r="T546" i="1"/>
  <c r="E547" i="1"/>
  <c r="I547" i="1"/>
  <c r="J547" i="1" s="1"/>
  <c r="P547" i="1"/>
  <c r="T547" i="1"/>
  <c r="U547" i="1"/>
  <c r="E548" i="1"/>
  <c r="I548" i="1"/>
  <c r="P548" i="1"/>
  <c r="U548" i="1" s="1"/>
  <c r="T548" i="1"/>
  <c r="E549" i="1"/>
  <c r="I549" i="1"/>
  <c r="J549" i="1" s="1"/>
  <c r="P549" i="1"/>
  <c r="T549" i="1"/>
  <c r="U549" i="1"/>
  <c r="E550" i="1"/>
  <c r="I550" i="1"/>
  <c r="P550" i="1"/>
  <c r="U550" i="1" s="1"/>
  <c r="T550" i="1"/>
  <c r="E551" i="1"/>
  <c r="I551" i="1"/>
  <c r="P551" i="1"/>
  <c r="T551" i="1"/>
  <c r="U551" i="1" s="1"/>
  <c r="E552" i="1"/>
  <c r="J552" i="1" s="1"/>
  <c r="I552" i="1"/>
  <c r="P552" i="1"/>
  <c r="T552" i="1"/>
  <c r="E553" i="1"/>
  <c r="I553" i="1"/>
  <c r="P553" i="1"/>
  <c r="T553" i="1"/>
  <c r="U553" i="1"/>
  <c r="E554" i="1"/>
  <c r="J554" i="1" s="1"/>
  <c r="I554" i="1"/>
  <c r="E555" i="1"/>
  <c r="I555" i="1"/>
  <c r="J555" i="1" s="1"/>
  <c r="B556" i="1"/>
  <c r="C556" i="1"/>
  <c r="D556" i="1"/>
  <c r="F556" i="1"/>
  <c r="G556" i="1"/>
  <c r="H556" i="1"/>
  <c r="M556" i="1"/>
  <c r="N556" i="1"/>
  <c r="O556" i="1"/>
  <c r="Q556" i="1"/>
  <c r="R556" i="1"/>
  <c r="S556" i="1"/>
  <c r="E564" i="1"/>
  <c r="I564" i="1"/>
  <c r="J564" i="1" s="1"/>
  <c r="T564" i="1"/>
  <c r="U564" i="1"/>
  <c r="E565" i="1"/>
  <c r="J565" i="1" s="1"/>
  <c r="I565" i="1"/>
  <c r="P565" i="1"/>
  <c r="U565" i="1" s="1"/>
  <c r="T565" i="1"/>
  <c r="E566" i="1"/>
  <c r="I566" i="1"/>
  <c r="E567" i="1"/>
  <c r="I567" i="1"/>
  <c r="E568" i="1"/>
  <c r="I568" i="1"/>
  <c r="E569" i="1"/>
  <c r="I569" i="1"/>
  <c r="P569" i="1"/>
  <c r="U569" i="1" s="1"/>
  <c r="T569" i="1"/>
  <c r="E570" i="1"/>
  <c r="I570" i="1"/>
  <c r="P570" i="1"/>
  <c r="T570" i="1"/>
  <c r="U570" i="1"/>
  <c r="P571" i="1"/>
  <c r="U571" i="1" s="1"/>
  <c r="T571" i="1"/>
  <c r="E573" i="1"/>
  <c r="I573" i="1"/>
  <c r="P573" i="1"/>
  <c r="T573" i="1"/>
  <c r="E574" i="1"/>
  <c r="I574" i="1"/>
  <c r="J574" i="1" s="1"/>
  <c r="P574" i="1"/>
  <c r="T574" i="1"/>
  <c r="U574" i="1"/>
  <c r="E575" i="1"/>
  <c r="J575" i="1" s="1"/>
  <c r="I575" i="1"/>
  <c r="P575" i="1"/>
  <c r="U575" i="1" s="1"/>
  <c r="T575" i="1"/>
  <c r="E576" i="1"/>
  <c r="I576" i="1"/>
  <c r="J576" i="1" s="1"/>
  <c r="P576" i="1"/>
  <c r="T576" i="1"/>
  <c r="U576" i="1" s="1"/>
  <c r="E577" i="1"/>
  <c r="I577" i="1"/>
  <c r="P577" i="1"/>
  <c r="T577" i="1"/>
  <c r="E578" i="1"/>
  <c r="I578" i="1"/>
  <c r="J578" i="1" s="1"/>
  <c r="E579" i="1"/>
  <c r="I579" i="1"/>
  <c r="P579" i="1"/>
  <c r="U579" i="1" s="1"/>
  <c r="T579" i="1"/>
  <c r="E580" i="1"/>
  <c r="I580" i="1"/>
  <c r="P580" i="1"/>
  <c r="T580" i="1"/>
  <c r="U580" i="1"/>
  <c r="E581" i="1"/>
  <c r="I581" i="1"/>
  <c r="P581" i="1"/>
  <c r="T581" i="1"/>
  <c r="E582" i="1"/>
  <c r="I582" i="1"/>
  <c r="J582" i="1" s="1"/>
  <c r="P582" i="1"/>
  <c r="T582" i="1"/>
  <c r="U582" i="1" s="1"/>
  <c r="E583" i="1"/>
  <c r="I583" i="1"/>
  <c r="P583" i="1"/>
  <c r="U583" i="1" s="1"/>
  <c r="T583" i="1"/>
  <c r="E584" i="1"/>
  <c r="I584" i="1"/>
  <c r="J584" i="1" s="1"/>
  <c r="P584" i="1"/>
  <c r="U584" i="1" s="1"/>
  <c r="T584" i="1"/>
  <c r="E585" i="1"/>
  <c r="J585" i="1" s="1"/>
  <c r="I585" i="1"/>
  <c r="P585" i="1"/>
  <c r="T585" i="1"/>
  <c r="E586" i="1"/>
  <c r="I586" i="1"/>
  <c r="J586" i="1" s="1"/>
  <c r="P586" i="1"/>
  <c r="T586" i="1"/>
  <c r="U586" i="1"/>
  <c r="E587" i="1"/>
  <c r="J587" i="1" s="1"/>
  <c r="I587" i="1"/>
  <c r="P587" i="1"/>
  <c r="U587" i="1" s="1"/>
  <c r="T587" i="1"/>
  <c r="E588" i="1"/>
  <c r="I588" i="1"/>
  <c r="J588" i="1" s="1"/>
  <c r="P588" i="1"/>
  <c r="T588" i="1"/>
  <c r="U588" i="1"/>
  <c r="E589" i="1"/>
  <c r="I589" i="1"/>
  <c r="P589" i="1"/>
  <c r="U589" i="1" s="1"/>
  <c r="T589" i="1"/>
  <c r="E590" i="1"/>
  <c r="I590" i="1"/>
  <c r="J590" i="1" s="1"/>
  <c r="P590" i="1"/>
  <c r="T590" i="1"/>
  <c r="U590" i="1"/>
  <c r="E591" i="1"/>
  <c r="I591" i="1"/>
  <c r="P591" i="1"/>
  <c r="U591" i="1" s="1"/>
  <c r="T591" i="1"/>
  <c r="E592" i="1"/>
  <c r="I592" i="1"/>
  <c r="J592" i="1" s="1"/>
  <c r="P592" i="1"/>
  <c r="T592" i="1"/>
  <c r="U592" i="1"/>
  <c r="E593" i="1"/>
  <c r="I593" i="1"/>
  <c r="P593" i="1"/>
  <c r="U593" i="1" s="1"/>
  <c r="T593" i="1"/>
  <c r="P594" i="1"/>
  <c r="T594" i="1"/>
  <c r="U594" i="1"/>
  <c r="E595" i="1"/>
  <c r="J595" i="1" s="1"/>
  <c r="I595" i="1"/>
  <c r="P595" i="1"/>
  <c r="U595" i="1" s="1"/>
  <c r="T595" i="1"/>
  <c r="E596" i="1"/>
  <c r="I596" i="1"/>
  <c r="J596" i="1" s="1"/>
  <c r="P596" i="1"/>
  <c r="T596" i="1"/>
  <c r="U596" i="1"/>
  <c r="E597" i="1"/>
  <c r="J597" i="1" s="1"/>
  <c r="I597" i="1"/>
  <c r="P597" i="1"/>
  <c r="U597" i="1" s="1"/>
  <c r="T597" i="1"/>
  <c r="E598" i="1"/>
  <c r="I598" i="1"/>
  <c r="P598" i="1"/>
  <c r="T598" i="1"/>
  <c r="U598" i="1"/>
  <c r="B599" i="1"/>
  <c r="C599" i="1"/>
  <c r="D599" i="1"/>
  <c r="F599" i="1"/>
  <c r="G599" i="1"/>
  <c r="H599" i="1"/>
  <c r="M599" i="1"/>
  <c r="N599" i="1"/>
  <c r="O599" i="1"/>
  <c r="Q599" i="1"/>
  <c r="R599" i="1"/>
  <c r="S599" i="1"/>
  <c r="F459" i="1"/>
  <c r="B459" i="1"/>
  <c r="E459" i="1" s="1"/>
  <c r="T446" i="1"/>
  <c r="P446" i="1"/>
  <c r="U446" i="1" s="1"/>
  <c r="F453" i="1"/>
  <c r="B453" i="1"/>
  <c r="E453" i="1" s="1"/>
  <c r="G452" i="1"/>
  <c r="B452" i="1"/>
  <c r="E452" i="1" s="1"/>
  <c r="J452" i="1" s="1"/>
  <c r="T419" i="1"/>
  <c r="P419" i="1"/>
  <c r="U419" i="1" s="1"/>
  <c r="F451" i="1"/>
  <c r="B451" i="1"/>
  <c r="E451" i="1" s="1"/>
  <c r="I451" i="1"/>
  <c r="I450" i="1"/>
  <c r="E450" i="1"/>
  <c r="J450" i="1" s="1"/>
  <c r="T418" i="1"/>
  <c r="P418" i="1"/>
  <c r="U418" i="1" s="1"/>
  <c r="G447" i="1"/>
  <c r="B447" i="1"/>
  <c r="I435" i="1"/>
  <c r="E435" i="1"/>
  <c r="J435" i="1" s="1"/>
  <c r="F444" i="1"/>
  <c r="H425" i="1"/>
  <c r="B425" i="1"/>
  <c r="E425" i="1" s="1"/>
  <c r="F424" i="1"/>
  <c r="T414" i="1"/>
  <c r="P414" i="1"/>
  <c r="C424" i="1"/>
  <c r="C427" i="1" s="1"/>
  <c r="B424" i="1"/>
  <c r="E424" i="1" s="1"/>
  <c r="G424" i="1"/>
  <c r="U412" i="1"/>
  <c r="T412" i="1"/>
  <c r="P412" i="1"/>
  <c r="I396" i="1"/>
  <c r="I397" i="1"/>
  <c r="J397" i="1" s="1"/>
  <c r="I398" i="1"/>
  <c r="F422" i="1"/>
  <c r="D421" i="1"/>
  <c r="D427" i="1" s="1"/>
  <c r="F421" i="1"/>
  <c r="T408" i="1"/>
  <c r="P408" i="1"/>
  <c r="U408" i="1" s="1"/>
  <c r="B420" i="1"/>
  <c r="E420" i="1" s="1"/>
  <c r="J420" i="1" s="1"/>
  <c r="U406" i="1"/>
  <c r="T406" i="1"/>
  <c r="P406" i="1"/>
  <c r="F419" i="1"/>
  <c r="B419" i="1"/>
  <c r="T404" i="1"/>
  <c r="P404" i="1"/>
  <c r="U404" i="1" s="1"/>
  <c r="H419" i="1"/>
  <c r="G419" i="1"/>
  <c r="D419" i="1"/>
  <c r="C419" i="1"/>
  <c r="M397" i="1"/>
  <c r="N397" i="1"/>
  <c r="O397" i="1"/>
  <c r="P397" i="1"/>
  <c r="T395" i="1"/>
  <c r="U395" i="1" s="1"/>
  <c r="P395" i="1"/>
  <c r="T397" i="1"/>
  <c r="T396" i="1"/>
  <c r="P396" i="1"/>
  <c r="T393" i="1"/>
  <c r="P393" i="1"/>
  <c r="U393" i="1" s="1"/>
  <c r="H414" i="1"/>
  <c r="B411" i="1"/>
  <c r="B410" i="1"/>
  <c r="T372" i="1"/>
  <c r="P372" i="1"/>
  <c r="U372" i="1" s="1"/>
  <c r="P424" i="1"/>
  <c r="U424" i="1" s="1"/>
  <c r="T424" i="1"/>
  <c r="B408" i="1"/>
  <c r="C402" i="1"/>
  <c r="E402" i="1" s="1"/>
  <c r="B402" i="1"/>
  <c r="B383" i="1"/>
  <c r="H513" i="1"/>
  <c r="G513" i="1"/>
  <c r="D513" i="1"/>
  <c r="C513" i="1"/>
  <c r="B513" i="1"/>
  <c r="I512" i="1"/>
  <c r="J512" i="1" s="1"/>
  <c r="E512" i="1"/>
  <c r="E511" i="1"/>
  <c r="I510" i="1"/>
  <c r="E510" i="1"/>
  <c r="I509" i="1"/>
  <c r="I508" i="1"/>
  <c r="J508" i="1" s="1"/>
  <c r="E508" i="1"/>
  <c r="E507" i="1"/>
  <c r="I506" i="1"/>
  <c r="E506" i="1"/>
  <c r="I505" i="1"/>
  <c r="E505" i="1"/>
  <c r="I504" i="1"/>
  <c r="J504" i="1" s="1"/>
  <c r="E504" i="1"/>
  <c r="I503" i="1"/>
  <c r="E503" i="1"/>
  <c r="J503" i="1" s="1"/>
  <c r="I502" i="1"/>
  <c r="E502" i="1"/>
  <c r="I501" i="1"/>
  <c r="J501" i="1" s="1"/>
  <c r="E501" i="1"/>
  <c r="I500" i="1"/>
  <c r="J500" i="1" s="1"/>
  <c r="E500" i="1"/>
  <c r="I499" i="1"/>
  <c r="E499" i="1"/>
  <c r="I498" i="1"/>
  <c r="E498" i="1"/>
  <c r="J497" i="1"/>
  <c r="I497" i="1"/>
  <c r="E497" i="1"/>
  <c r="I496" i="1"/>
  <c r="J496" i="1" s="1"/>
  <c r="E496" i="1"/>
  <c r="I495" i="1"/>
  <c r="E495" i="1"/>
  <c r="I494" i="1"/>
  <c r="E494" i="1"/>
  <c r="I493" i="1"/>
  <c r="E493" i="1"/>
  <c r="I492" i="1"/>
  <c r="J492" i="1" s="1"/>
  <c r="E492" i="1"/>
  <c r="I491" i="1"/>
  <c r="E491" i="1"/>
  <c r="J491" i="1" s="1"/>
  <c r="I490" i="1"/>
  <c r="E490" i="1"/>
  <c r="J490" i="1" s="1"/>
  <c r="I489" i="1"/>
  <c r="E489" i="1"/>
  <c r="I488" i="1"/>
  <c r="J488" i="1" s="1"/>
  <c r="E488" i="1"/>
  <c r="I487" i="1"/>
  <c r="E487" i="1"/>
  <c r="J487" i="1" s="1"/>
  <c r="I485" i="1"/>
  <c r="E485" i="1"/>
  <c r="J485" i="1" s="1"/>
  <c r="I484" i="1"/>
  <c r="I483" i="1"/>
  <c r="I482" i="1"/>
  <c r="J482" i="1" s="1"/>
  <c r="E482" i="1"/>
  <c r="I481" i="1"/>
  <c r="E481" i="1"/>
  <c r="I480" i="1"/>
  <c r="E480" i="1"/>
  <c r="J480" i="1" s="1"/>
  <c r="I479" i="1"/>
  <c r="J479" i="1" s="1"/>
  <c r="E479" i="1"/>
  <c r="I478" i="1"/>
  <c r="E478" i="1"/>
  <c r="P437" i="1"/>
  <c r="U437" i="1" s="1"/>
  <c r="T437" i="1"/>
  <c r="P469" i="1"/>
  <c r="T469" i="1"/>
  <c r="P478" i="1"/>
  <c r="T478" i="1"/>
  <c r="U478" i="1"/>
  <c r="P479" i="1"/>
  <c r="T479" i="1"/>
  <c r="U479" i="1" s="1"/>
  <c r="P481" i="1"/>
  <c r="U481" i="1" s="1"/>
  <c r="T481" i="1"/>
  <c r="P482" i="1"/>
  <c r="T482" i="1"/>
  <c r="U482" i="1"/>
  <c r="P483" i="1"/>
  <c r="T483" i="1"/>
  <c r="U483" i="1" s="1"/>
  <c r="P484" i="1"/>
  <c r="U484" i="1" s="1"/>
  <c r="T484" i="1"/>
  <c r="P485" i="1"/>
  <c r="U485" i="1" s="1"/>
  <c r="T485" i="1"/>
  <c r="P487" i="1"/>
  <c r="T487" i="1"/>
  <c r="P490" i="1"/>
  <c r="U490" i="1" s="1"/>
  <c r="T490" i="1"/>
  <c r="P491" i="1"/>
  <c r="T491" i="1"/>
  <c r="U491" i="1" s="1"/>
  <c r="P492" i="1"/>
  <c r="T492" i="1"/>
  <c r="U492" i="1"/>
  <c r="P493" i="1"/>
  <c r="U493" i="1" s="1"/>
  <c r="T493" i="1"/>
  <c r="P494" i="1"/>
  <c r="U494" i="1" s="1"/>
  <c r="T494" i="1"/>
  <c r="P495" i="1"/>
  <c r="U495" i="1" s="1"/>
  <c r="T495" i="1"/>
  <c r="P496" i="1"/>
  <c r="T496" i="1"/>
  <c r="U496" i="1"/>
  <c r="P497" i="1"/>
  <c r="U497" i="1" s="1"/>
  <c r="T497" i="1"/>
  <c r="P498" i="1"/>
  <c r="U498" i="1" s="1"/>
  <c r="T498" i="1"/>
  <c r="P499" i="1"/>
  <c r="U499" i="1" s="1"/>
  <c r="T499" i="1"/>
  <c r="P500" i="1"/>
  <c r="T500" i="1"/>
  <c r="U500" i="1"/>
  <c r="P501" i="1"/>
  <c r="T501" i="1"/>
  <c r="U501" i="1"/>
  <c r="P502" i="1"/>
  <c r="U502" i="1" s="1"/>
  <c r="T502" i="1"/>
  <c r="P503" i="1"/>
  <c r="U503" i="1" s="1"/>
  <c r="T503" i="1"/>
  <c r="P504" i="1"/>
  <c r="T504" i="1"/>
  <c r="U504" i="1"/>
  <c r="P505" i="1"/>
  <c r="T505" i="1"/>
  <c r="U505" i="1"/>
  <c r="P506" i="1"/>
  <c r="U506" i="1" s="1"/>
  <c r="T506" i="1"/>
  <c r="P507" i="1"/>
  <c r="U507" i="1" s="1"/>
  <c r="T507" i="1"/>
  <c r="P508" i="1"/>
  <c r="T508" i="1"/>
  <c r="U508" i="1"/>
  <c r="P509" i="1"/>
  <c r="T509" i="1"/>
  <c r="U509" i="1"/>
  <c r="M513" i="1"/>
  <c r="N513" i="1"/>
  <c r="O513" i="1"/>
  <c r="Q513" i="1"/>
  <c r="R513" i="1"/>
  <c r="S513" i="1"/>
  <c r="P438" i="1"/>
  <c r="U438" i="1" s="1"/>
  <c r="T438" i="1"/>
  <c r="B381" i="1"/>
  <c r="F379" i="1"/>
  <c r="F384" i="1" s="1"/>
  <c r="C378" i="1"/>
  <c r="H376" i="1"/>
  <c r="H374" i="1"/>
  <c r="J373" i="1"/>
  <c r="J374" i="1"/>
  <c r="F372" i="1"/>
  <c r="H370" i="1"/>
  <c r="B369" i="1"/>
  <c r="P467" i="1"/>
  <c r="T467" i="1"/>
  <c r="U467" i="1"/>
  <c r="P423" i="1"/>
  <c r="T423" i="1"/>
  <c r="U423" i="1"/>
  <c r="P422" i="1"/>
  <c r="U422" i="1" s="1"/>
  <c r="T422" i="1"/>
  <c r="T363" i="1"/>
  <c r="P363" i="1"/>
  <c r="U363" i="1" s="1"/>
  <c r="G367" i="1"/>
  <c r="G384" i="1" s="1"/>
  <c r="H365" i="1"/>
  <c r="H384" i="1" s="1"/>
  <c r="D365" i="1"/>
  <c r="E365" i="1" s="1"/>
  <c r="P337" i="1"/>
  <c r="U337" i="1" s="1"/>
  <c r="T337" i="1"/>
  <c r="P338" i="1"/>
  <c r="U338" i="1" s="1"/>
  <c r="T338" i="1"/>
  <c r="P339" i="1"/>
  <c r="T339" i="1"/>
  <c r="U339" i="1" s="1"/>
  <c r="R384" i="1"/>
  <c r="R386" i="1" s="1"/>
  <c r="T383" i="1"/>
  <c r="N384" i="1"/>
  <c r="N386" i="1" s="1"/>
  <c r="P383" i="1"/>
  <c r="S384" i="1"/>
  <c r="S386" i="1" s="1"/>
  <c r="T382" i="1"/>
  <c r="O384" i="1"/>
  <c r="O386" i="1" s="1"/>
  <c r="P382" i="1"/>
  <c r="U382" i="1" s="1"/>
  <c r="T381" i="1"/>
  <c r="P381" i="1"/>
  <c r="B365" i="1"/>
  <c r="P322" i="1"/>
  <c r="T322" i="1"/>
  <c r="U322" i="1" s="1"/>
  <c r="P323" i="1"/>
  <c r="T323" i="1"/>
  <c r="U323" i="1"/>
  <c r="T359" i="1"/>
  <c r="P359" i="1"/>
  <c r="U359" i="1" s="1"/>
  <c r="T358" i="1"/>
  <c r="P358" i="1"/>
  <c r="U358" i="1" s="1"/>
  <c r="G364" i="1"/>
  <c r="F362" i="1"/>
  <c r="D362" i="1"/>
  <c r="C362" i="1"/>
  <c r="B362" i="1"/>
  <c r="T321" i="1"/>
  <c r="P321" i="1"/>
  <c r="U321" i="1" s="1"/>
  <c r="F360" i="1"/>
  <c r="F359" i="1"/>
  <c r="T320" i="1"/>
  <c r="P320" i="1"/>
  <c r="U320" i="1" s="1"/>
  <c r="G340" i="1"/>
  <c r="F340" i="1"/>
  <c r="P465" i="1"/>
  <c r="U465" i="1" s="1"/>
  <c r="T465" i="1"/>
  <c r="P466" i="1"/>
  <c r="U466" i="1" s="1"/>
  <c r="T466" i="1"/>
  <c r="S470" i="1"/>
  <c r="R470" i="1"/>
  <c r="Q470" i="1"/>
  <c r="O470" i="1"/>
  <c r="N470" i="1"/>
  <c r="M470" i="1"/>
  <c r="H470" i="1"/>
  <c r="G470" i="1"/>
  <c r="D470" i="1"/>
  <c r="C470" i="1"/>
  <c r="I469" i="1"/>
  <c r="E469" i="1"/>
  <c r="J469" i="1" s="1"/>
  <c r="I468" i="1"/>
  <c r="E468" i="1"/>
  <c r="I467" i="1"/>
  <c r="E467" i="1"/>
  <c r="I466" i="1"/>
  <c r="E466" i="1"/>
  <c r="I465" i="1"/>
  <c r="J465" i="1" s="1"/>
  <c r="E465" i="1"/>
  <c r="T464" i="1"/>
  <c r="U464" i="1" s="1"/>
  <c r="P464" i="1"/>
  <c r="I464" i="1"/>
  <c r="E464" i="1"/>
  <c r="T463" i="1"/>
  <c r="P463" i="1"/>
  <c r="U463" i="1" s="1"/>
  <c r="I463" i="1"/>
  <c r="E463" i="1"/>
  <c r="T462" i="1"/>
  <c r="U462" i="1" s="1"/>
  <c r="P462" i="1"/>
  <c r="I462" i="1"/>
  <c r="E462" i="1"/>
  <c r="T461" i="1"/>
  <c r="P461" i="1"/>
  <c r="U461" i="1" s="1"/>
  <c r="J461" i="1"/>
  <c r="I461" i="1"/>
  <c r="E461" i="1"/>
  <c r="T460" i="1"/>
  <c r="U460" i="1" s="1"/>
  <c r="P460" i="1"/>
  <c r="I460" i="1"/>
  <c r="E460" i="1"/>
  <c r="T459" i="1"/>
  <c r="P459" i="1"/>
  <c r="U459" i="1" s="1"/>
  <c r="I459" i="1"/>
  <c r="T458" i="1"/>
  <c r="U458" i="1" s="1"/>
  <c r="P458" i="1"/>
  <c r="I458" i="1"/>
  <c r="E458" i="1"/>
  <c r="J458" i="1" s="1"/>
  <c r="T457" i="1"/>
  <c r="P457" i="1"/>
  <c r="U457" i="1" s="1"/>
  <c r="I457" i="1"/>
  <c r="E457" i="1"/>
  <c r="J457" i="1" s="1"/>
  <c r="T456" i="1"/>
  <c r="U456" i="1" s="1"/>
  <c r="P456" i="1"/>
  <c r="I456" i="1"/>
  <c r="E456" i="1"/>
  <c r="T455" i="1"/>
  <c r="P455" i="1"/>
  <c r="U455" i="1" s="1"/>
  <c r="I455" i="1"/>
  <c r="E455" i="1"/>
  <c r="T454" i="1"/>
  <c r="U454" i="1" s="1"/>
  <c r="P454" i="1"/>
  <c r="I454" i="1"/>
  <c r="E454" i="1"/>
  <c r="J454" i="1" s="1"/>
  <c r="I452" i="1"/>
  <c r="T450" i="1"/>
  <c r="P450" i="1"/>
  <c r="I449" i="1"/>
  <c r="E449" i="1"/>
  <c r="J449" i="1" s="1"/>
  <c r="I448" i="1"/>
  <c r="E448" i="1"/>
  <c r="T447" i="1"/>
  <c r="P447" i="1"/>
  <c r="I447" i="1"/>
  <c r="E447" i="1"/>
  <c r="J447" i="1" s="1"/>
  <c r="I446" i="1"/>
  <c r="E446" i="1"/>
  <c r="J446" i="1" s="1"/>
  <c r="T445" i="1"/>
  <c r="P445" i="1"/>
  <c r="I445" i="1"/>
  <c r="J445" i="1" s="1"/>
  <c r="E445" i="1"/>
  <c r="T444" i="1"/>
  <c r="P444" i="1"/>
  <c r="I444" i="1"/>
  <c r="E444" i="1"/>
  <c r="J444" i="1" s="1"/>
  <c r="T442" i="1"/>
  <c r="U442" i="1" s="1"/>
  <c r="P442" i="1"/>
  <c r="I442" i="1"/>
  <c r="E442" i="1"/>
  <c r="J442" i="1" s="1"/>
  <c r="T441" i="1"/>
  <c r="P441" i="1"/>
  <c r="U441" i="1" s="1"/>
  <c r="J441" i="1"/>
  <c r="I441" i="1"/>
  <c r="E441" i="1"/>
  <c r="T440" i="1"/>
  <c r="U440" i="1" s="1"/>
  <c r="P440" i="1"/>
  <c r="I440" i="1"/>
  <c r="E440" i="1"/>
  <c r="T439" i="1"/>
  <c r="P439" i="1"/>
  <c r="U439" i="1" s="1"/>
  <c r="I439" i="1"/>
  <c r="J439" i="1" s="1"/>
  <c r="E439" i="1"/>
  <c r="I438" i="1"/>
  <c r="E438" i="1"/>
  <c r="I437" i="1"/>
  <c r="E437" i="1"/>
  <c r="J437" i="1" s="1"/>
  <c r="T436" i="1"/>
  <c r="P436" i="1"/>
  <c r="I436" i="1"/>
  <c r="E436" i="1"/>
  <c r="T435" i="1"/>
  <c r="P435" i="1"/>
  <c r="U435" i="1" s="1"/>
  <c r="F339" i="1"/>
  <c r="F338" i="1"/>
  <c r="B337" i="1"/>
  <c r="F336" i="1"/>
  <c r="I336" i="1" s="1"/>
  <c r="B336" i="1"/>
  <c r="B335" i="1"/>
  <c r="T317" i="1"/>
  <c r="P317" i="1"/>
  <c r="U317" i="1" s="1"/>
  <c r="Q316" i="1"/>
  <c r="M316" i="1"/>
  <c r="T292" i="1"/>
  <c r="P292" i="1"/>
  <c r="U292" i="1" s="1"/>
  <c r="I332" i="1"/>
  <c r="E332" i="1"/>
  <c r="J332" i="1" s="1"/>
  <c r="P295" i="1"/>
  <c r="T295" i="1"/>
  <c r="U295" i="1"/>
  <c r="P296" i="1"/>
  <c r="U296" i="1" s="1"/>
  <c r="T296" i="1"/>
  <c r="P297" i="1"/>
  <c r="U297" i="1" s="1"/>
  <c r="T297" i="1"/>
  <c r="S341" i="1"/>
  <c r="T340" i="1"/>
  <c r="P340" i="1"/>
  <c r="H427" i="1"/>
  <c r="I426" i="1"/>
  <c r="E426" i="1"/>
  <c r="I425" i="1"/>
  <c r="J423" i="1"/>
  <c r="I423" i="1"/>
  <c r="E423" i="1"/>
  <c r="I422" i="1"/>
  <c r="E422" i="1"/>
  <c r="I421" i="1"/>
  <c r="I420" i="1"/>
  <c r="I419" i="1"/>
  <c r="E419" i="1"/>
  <c r="I418" i="1"/>
  <c r="E418" i="1"/>
  <c r="I417" i="1"/>
  <c r="E417" i="1"/>
  <c r="I416" i="1"/>
  <c r="E416" i="1"/>
  <c r="I415" i="1"/>
  <c r="E415" i="1"/>
  <c r="I414" i="1"/>
  <c r="E414" i="1"/>
  <c r="I413" i="1"/>
  <c r="E413" i="1"/>
  <c r="J413" i="1" s="1"/>
  <c r="I412" i="1"/>
  <c r="E412" i="1"/>
  <c r="J412" i="1" s="1"/>
  <c r="I411" i="1"/>
  <c r="E411" i="1"/>
  <c r="I410" i="1"/>
  <c r="J410" i="1" s="1"/>
  <c r="E410" i="1"/>
  <c r="I409" i="1"/>
  <c r="E409" i="1"/>
  <c r="J409" i="1" s="1"/>
  <c r="I408" i="1"/>
  <c r="E408" i="1"/>
  <c r="I407" i="1"/>
  <c r="J407" i="1" s="1"/>
  <c r="E407" i="1"/>
  <c r="I406" i="1"/>
  <c r="J406" i="1" s="1"/>
  <c r="E406" i="1"/>
  <c r="I405" i="1"/>
  <c r="E405" i="1"/>
  <c r="J405" i="1" s="1"/>
  <c r="I404" i="1"/>
  <c r="E404" i="1"/>
  <c r="I403" i="1"/>
  <c r="E403" i="1"/>
  <c r="J403" i="1" s="1"/>
  <c r="I402" i="1"/>
  <c r="I401" i="1"/>
  <c r="E401" i="1"/>
  <c r="I399" i="1"/>
  <c r="E399" i="1"/>
  <c r="J399" i="1" s="1"/>
  <c r="E398" i="1"/>
  <c r="J398" i="1" s="1"/>
  <c r="E397" i="1"/>
  <c r="E396" i="1"/>
  <c r="I395" i="1"/>
  <c r="E395" i="1"/>
  <c r="J395" i="1" s="1"/>
  <c r="I394" i="1"/>
  <c r="E394" i="1"/>
  <c r="J394" i="1" s="1"/>
  <c r="I393" i="1"/>
  <c r="J393" i="1" s="1"/>
  <c r="E393" i="1"/>
  <c r="I392" i="1"/>
  <c r="J392" i="1" s="1"/>
  <c r="E392" i="1"/>
  <c r="P308" i="1"/>
  <c r="T308" i="1"/>
  <c r="U308" i="1"/>
  <c r="P309" i="1"/>
  <c r="U309" i="1" s="1"/>
  <c r="T309" i="1"/>
  <c r="T352" i="1"/>
  <c r="P352" i="1"/>
  <c r="U351" i="1"/>
  <c r="T351" i="1"/>
  <c r="P351" i="1"/>
  <c r="S427" i="1"/>
  <c r="R427" i="1"/>
  <c r="Q427" i="1"/>
  <c r="O427" i="1"/>
  <c r="N427" i="1"/>
  <c r="M427" i="1"/>
  <c r="T426" i="1"/>
  <c r="P426" i="1"/>
  <c r="T425" i="1"/>
  <c r="P425" i="1"/>
  <c r="T421" i="1"/>
  <c r="P421" i="1"/>
  <c r="T420" i="1"/>
  <c r="P420" i="1"/>
  <c r="U420" i="1" s="1"/>
  <c r="T417" i="1"/>
  <c r="P417" i="1"/>
  <c r="T416" i="1"/>
  <c r="P416" i="1"/>
  <c r="T415" i="1"/>
  <c r="P415" i="1"/>
  <c r="U415" i="1" s="1"/>
  <c r="T413" i="1"/>
  <c r="P413" i="1"/>
  <c r="T411" i="1"/>
  <c r="P411" i="1"/>
  <c r="T410" i="1"/>
  <c r="P410" i="1"/>
  <c r="T409" i="1"/>
  <c r="P409" i="1"/>
  <c r="T407" i="1"/>
  <c r="P407" i="1"/>
  <c r="U407" i="1" s="1"/>
  <c r="T405" i="1"/>
  <c r="P405" i="1"/>
  <c r="U405" i="1" s="1"/>
  <c r="T403" i="1"/>
  <c r="P403" i="1"/>
  <c r="T402" i="1"/>
  <c r="U402" i="1" s="1"/>
  <c r="P402" i="1"/>
  <c r="T401" i="1"/>
  <c r="P401" i="1"/>
  <c r="T399" i="1"/>
  <c r="P399" i="1"/>
  <c r="U399" i="1" s="1"/>
  <c r="T398" i="1"/>
  <c r="P398" i="1"/>
  <c r="T394" i="1"/>
  <c r="P394" i="1"/>
  <c r="T392" i="1"/>
  <c r="U392" i="1" s="1"/>
  <c r="P392" i="1"/>
  <c r="G328" i="1"/>
  <c r="G341" i="1" s="1"/>
  <c r="O298" i="1"/>
  <c r="T281" i="1"/>
  <c r="P281" i="1"/>
  <c r="U281" i="1" s="1"/>
  <c r="G326" i="1"/>
  <c r="H324" i="1"/>
  <c r="G324" i="1"/>
  <c r="B324" i="1"/>
  <c r="D324" i="1"/>
  <c r="P310" i="1"/>
  <c r="U310" i="1" s="1"/>
  <c r="T310" i="1"/>
  <c r="P353" i="1"/>
  <c r="T353" i="1"/>
  <c r="U353" i="1"/>
  <c r="P349" i="1"/>
  <c r="U349" i="1" s="1"/>
  <c r="T349" i="1"/>
  <c r="P380" i="1"/>
  <c r="U380" i="1" s="1"/>
  <c r="T380" i="1"/>
  <c r="E358" i="1"/>
  <c r="I358" i="1"/>
  <c r="E359" i="1"/>
  <c r="I359" i="1"/>
  <c r="E360" i="1"/>
  <c r="I360" i="1"/>
  <c r="E361" i="1"/>
  <c r="I361" i="1"/>
  <c r="J361" i="1"/>
  <c r="E362" i="1"/>
  <c r="J362" i="1" s="1"/>
  <c r="I362" i="1"/>
  <c r="E363" i="1"/>
  <c r="J363" i="1" s="1"/>
  <c r="I363" i="1"/>
  <c r="E364" i="1"/>
  <c r="I364" i="1"/>
  <c r="J364" i="1" s="1"/>
  <c r="E366" i="1"/>
  <c r="I366" i="1"/>
  <c r="E349" i="1"/>
  <c r="I349" i="1"/>
  <c r="E350" i="1"/>
  <c r="I350" i="1"/>
  <c r="Q384" i="1"/>
  <c r="Q386" i="1" s="1"/>
  <c r="M384" i="1"/>
  <c r="M386" i="1" s="1"/>
  <c r="C384" i="1"/>
  <c r="I383" i="1"/>
  <c r="E383" i="1"/>
  <c r="J383" i="1" s="1"/>
  <c r="I382" i="1"/>
  <c r="J382" i="1" s="1"/>
  <c r="E382" i="1"/>
  <c r="I381" i="1"/>
  <c r="E381" i="1"/>
  <c r="I380" i="1"/>
  <c r="J380" i="1" s="1"/>
  <c r="E380" i="1"/>
  <c r="T379" i="1"/>
  <c r="U379" i="1" s="1"/>
  <c r="P379" i="1"/>
  <c r="I379" i="1"/>
  <c r="E379" i="1"/>
  <c r="T378" i="1"/>
  <c r="P378" i="1"/>
  <c r="U378" i="1" s="1"/>
  <c r="I378" i="1"/>
  <c r="E378" i="1"/>
  <c r="U377" i="1"/>
  <c r="T377" i="1"/>
  <c r="P377" i="1"/>
  <c r="I377" i="1"/>
  <c r="E377" i="1"/>
  <c r="T376" i="1"/>
  <c r="P376" i="1"/>
  <c r="U376" i="1" s="1"/>
  <c r="I376" i="1"/>
  <c r="J376" i="1" s="1"/>
  <c r="E376" i="1"/>
  <c r="U375" i="1"/>
  <c r="T375" i="1"/>
  <c r="P375" i="1"/>
  <c r="I375" i="1"/>
  <c r="E375" i="1"/>
  <c r="J375" i="1" s="1"/>
  <c r="T374" i="1"/>
  <c r="P374" i="1"/>
  <c r="U374" i="1" s="1"/>
  <c r="I374" i="1"/>
  <c r="E374" i="1"/>
  <c r="T373" i="1"/>
  <c r="P373" i="1"/>
  <c r="I373" i="1"/>
  <c r="E373" i="1"/>
  <c r="I372" i="1"/>
  <c r="E372" i="1"/>
  <c r="T371" i="1"/>
  <c r="P371" i="1"/>
  <c r="U371" i="1" s="1"/>
  <c r="I371" i="1"/>
  <c r="E371" i="1"/>
  <c r="T370" i="1"/>
  <c r="P370" i="1"/>
  <c r="U370" i="1" s="1"/>
  <c r="I370" i="1"/>
  <c r="J370" i="1" s="1"/>
  <c r="E370" i="1"/>
  <c r="T369" i="1"/>
  <c r="P369" i="1"/>
  <c r="U369" i="1" s="1"/>
  <c r="I369" i="1"/>
  <c r="E369" i="1"/>
  <c r="J369" i="1" s="1"/>
  <c r="T368" i="1"/>
  <c r="P368" i="1"/>
  <c r="U368" i="1" s="1"/>
  <c r="I368" i="1"/>
  <c r="E368" i="1"/>
  <c r="T367" i="1"/>
  <c r="P367" i="1"/>
  <c r="E367" i="1"/>
  <c r="T366" i="1"/>
  <c r="P366" i="1"/>
  <c r="T365" i="1"/>
  <c r="U365" i="1" s="1"/>
  <c r="P365" i="1"/>
  <c r="T364" i="1"/>
  <c r="P364" i="1"/>
  <c r="U364" i="1" s="1"/>
  <c r="T362" i="1"/>
  <c r="P362" i="1"/>
  <c r="T361" i="1"/>
  <c r="U361" i="1" s="1"/>
  <c r="P361" i="1"/>
  <c r="T360" i="1"/>
  <c r="P360" i="1"/>
  <c r="T356" i="1"/>
  <c r="P356" i="1"/>
  <c r="U356" i="1" s="1"/>
  <c r="I356" i="1"/>
  <c r="E356" i="1"/>
  <c r="J356" i="1" s="1"/>
  <c r="T355" i="1"/>
  <c r="P355" i="1"/>
  <c r="U355" i="1" s="1"/>
  <c r="I355" i="1"/>
  <c r="E355" i="1"/>
  <c r="J355" i="1" s="1"/>
  <c r="T354" i="1"/>
  <c r="P354" i="1"/>
  <c r="U354" i="1" s="1"/>
  <c r="I354" i="1"/>
  <c r="E354" i="1"/>
  <c r="J354" i="1" s="1"/>
  <c r="I353" i="1"/>
  <c r="E353" i="1"/>
  <c r="J353" i="1" s="1"/>
  <c r="I352" i="1"/>
  <c r="E352" i="1"/>
  <c r="I351" i="1"/>
  <c r="E351" i="1"/>
  <c r="J351" i="1" s="1"/>
  <c r="T350" i="1"/>
  <c r="P350" i="1"/>
  <c r="U350" i="1" s="1"/>
  <c r="B323" i="1"/>
  <c r="T279" i="1"/>
  <c r="P279" i="1"/>
  <c r="U279" i="1" s="1"/>
  <c r="P294" i="1"/>
  <c r="R298" i="1"/>
  <c r="T278" i="1"/>
  <c r="P278" i="1"/>
  <c r="U278" i="1" s="1"/>
  <c r="N298" i="1"/>
  <c r="N299" i="1" s="1"/>
  <c r="B315" i="1"/>
  <c r="E315" i="1"/>
  <c r="F315" i="1"/>
  <c r="F297" i="1"/>
  <c r="F294" i="1"/>
  <c r="T277" i="1"/>
  <c r="P277" i="1"/>
  <c r="U277" i="1" s="1"/>
  <c r="C294" i="1"/>
  <c r="C298" i="1" s="1"/>
  <c r="F290" i="1"/>
  <c r="I290" i="1" s="1"/>
  <c r="T276" i="1"/>
  <c r="P276" i="1"/>
  <c r="U276" i="1" s="1"/>
  <c r="B289" i="1"/>
  <c r="B285" i="1"/>
  <c r="U273" i="1"/>
  <c r="T273" i="1"/>
  <c r="P273" i="1"/>
  <c r="H284" i="1"/>
  <c r="I284" i="1" s="1"/>
  <c r="B284" i="1"/>
  <c r="F282" i="1"/>
  <c r="F281" i="1"/>
  <c r="T272" i="1"/>
  <c r="P272" i="1"/>
  <c r="U272" i="1" s="1"/>
  <c r="T233" i="1"/>
  <c r="P233" i="1"/>
  <c r="U233" i="1" s="1"/>
  <c r="E263" i="1"/>
  <c r="I263" i="1"/>
  <c r="J263" i="1" s="1"/>
  <c r="I227" i="1"/>
  <c r="E227" i="1"/>
  <c r="J227" i="1" s="1"/>
  <c r="I226" i="1"/>
  <c r="E226" i="1"/>
  <c r="J226" i="1" s="1"/>
  <c r="I225" i="1"/>
  <c r="E225" i="1"/>
  <c r="J225" i="1" s="1"/>
  <c r="I224" i="1"/>
  <c r="E224" i="1"/>
  <c r="J224" i="1" s="1"/>
  <c r="I223" i="1"/>
  <c r="E223" i="1"/>
  <c r="J223" i="1" s="1"/>
  <c r="I222" i="1"/>
  <c r="E222" i="1"/>
  <c r="J222" i="1" s="1"/>
  <c r="I221" i="1"/>
  <c r="E221" i="1"/>
  <c r="J221" i="1" s="1"/>
  <c r="I220" i="1"/>
  <c r="E220" i="1"/>
  <c r="J220" i="1" s="1"/>
  <c r="I184" i="1"/>
  <c r="E184" i="1"/>
  <c r="J184" i="1" s="1"/>
  <c r="I183" i="1"/>
  <c r="E183" i="1"/>
  <c r="J183" i="1" s="1"/>
  <c r="I182" i="1"/>
  <c r="E182" i="1"/>
  <c r="J182" i="1" s="1"/>
  <c r="I181" i="1"/>
  <c r="E181" i="1"/>
  <c r="J181" i="1" s="1"/>
  <c r="I180" i="1"/>
  <c r="E180" i="1"/>
  <c r="J180" i="1" s="1"/>
  <c r="I179" i="1"/>
  <c r="E179" i="1"/>
  <c r="J179" i="1" s="1"/>
  <c r="I178" i="1"/>
  <c r="E178" i="1"/>
  <c r="J178" i="1" s="1"/>
  <c r="I177" i="1"/>
  <c r="E177" i="1"/>
  <c r="J177" i="1" s="1"/>
  <c r="J140" i="1"/>
  <c r="I140" i="1"/>
  <c r="E140" i="1"/>
  <c r="F279" i="1"/>
  <c r="T232" i="1"/>
  <c r="P232" i="1"/>
  <c r="U232" i="1" s="1"/>
  <c r="J246" i="1"/>
  <c r="J247" i="1"/>
  <c r="J248" i="1"/>
  <c r="T231" i="1"/>
  <c r="U231" i="1" s="1"/>
  <c r="P231" i="1"/>
  <c r="T230" i="1"/>
  <c r="P230" i="1"/>
  <c r="U230" i="1" s="1"/>
  <c r="F237" i="1"/>
  <c r="F255" i="1" s="1"/>
  <c r="T229" i="1"/>
  <c r="P229" i="1"/>
  <c r="P254" i="1"/>
  <c r="T254" i="1"/>
  <c r="U254" i="1"/>
  <c r="P265" i="1"/>
  <c r="T265" i="1"/>
  <c r="Q341" i="1"/>
  <c r="N341" i="1"/>
  <c r="M341" i="1"/>
  <c r="H341" i="1"/>
  <c r="F341" i="1"/>
  <c r="D341" i="1"/>
  <c r="C341" i="1"/>
  <c r="I340" i="1"/>
  <c r="E340" i="1"/>
  <c r="I339" i="1"/>
  <c r="E339" i="1"/>
  <c r="I338" i="1"/>
  <c r="E338" i="1"/>
  <c r="I337" i="1"/>
  <c r="E337" i="1"/>
  <c r="T336" i="1"/>
  <c r="P336" i="1"/>
  <c r="U336" i="1" s="1"/>
  <c r="E336" i="1"/>
  <c r="T335" i="1"/>
  <c r="P335" i="1"/>
  <c r="U335" i="1" s="1"/>
  <c r="I335" i="1"/>
  <c r="E335" i="1"/>
  <c r="J335" i="1" s="1"/>
  <c r="T334" i="1"/>
  <c r="P334" i="1"/>
  <c r="I334" i="1"/>
  <c r="E334" i="1"/>
  <c r="J334" i="1" s="1"/>
  <c r="T333" i="1"/>
  <c r="P333" i="1"/>
  <c r="U333" i="1" s="1"/>
  <c r="I333" i="1"/>
  <c r="E333" i="1"/>
  <c r="J333" i="1" s="1"/>
  <c r="T332" i="1"/>
  <c r="P332" i="1"/>
  <c r="U332" i="1" s="1"/>
  <c r="T331" i="1"/>
  <c r="P331" i="1"/>
  <c r="I331" i="1"/>
  <c r="E331" i="1"/>
  <c r="T330" i="1"/>
  <c r="P330" i="1"/>
  <c r="I330" i="1"/>
  <c r="E330" i="1"/>
  <c r="T329" i="1"/>
  <c r="P329" i="1"/>
  <c r="U329" i="1" s="1"/>
  <c r="I329" i="1"/>
  <c r="E329" i="1"/>
  <c r="J329" i="1" s="1"/>
  <c r="T328" i="1"/>
  <c r="P328" i="1"/>
  <c r="I328" i="1"/>
  <c r="E328" i="1"/>
  <c r="T327" i="1"/>
  <c r="P327" i="1"/>
  <c r="U327" i="1" s="1"/>
  <c r="I327" i="1"/>
  <c r="E327" i="1"/>
  <c r="J327" i="1" s="1"/>
  <c r="T326" i="1"/>
  <c r="P326" i="1"/>
  <c r="U326" i="1" s="1"/>
  <c r="I326" i="1"/>
  <c r="E326" i="1"/>
  <c r="T325" i="1"/>
  <c r="P325" i="1"/>
  <c r="I325" i="1"/>
  <c r="E325" i="1"/>
  <c r="T324" i="1"/>
  <c r="P324" i="1"/>
  <c r="I324" i="1"/>
  <c r="E324" i="1"/>
  <c r="I323" i="1"/>
  <c r="E323" i="1"/>
  <c r="I322" i="1"/>
  <c r="E322" i="1"/>
  <c r="J322" i="1" s="1"/>
  <c r="I321" i="1"/>
  <c r="E321" i="1"/>
  <c r="I320" i="1"/>
  <c r="E320" i="1"/>
  <c r="J320" i="1" s="1"/>
  <c r="T319" i="1"/>
  <c r="P319" i="1"/>
  <c r="U319" i="1" s="1"/>
  <c r="I319" i="1"/>
  <c r="E319" i="1"/>
  <c r="J319" i="1" s="1"/>
  <c r="T318" i="1"/>
  <c r="P318" i="1"/>
  <c r="I318" i="1"/>
  <c r="E318" i="1"/>
  <c r="J318" i="1" s="1"/>
  <c r="I317" i="1"/>
  <c r="E317" i="1"/>
  <c r="T316" i="1"/>
  <c r="P316" i="1"/>
  <c r="I316" i="1"/>
  <c r="E316" i="1"/>
  <c r="J316" i="1" s="1"/>
  <c r="T315" i="1"/>
  <c r="P315" i="1"/>
  <c r="U315" i="1" s="1"/>
  <c r="I315" i="1"/>
  <c r="T313" i="1"/>
  <c r="P313" i="1"/>
  <c r="U313" i="1" s="1"/>
  <c r="I313" i="1"/>
  <c r="E313" i="1"/>
  <c r="T312" i="1"/>
  <c r="P312" i="1"/>
  <c r="I312" i="1"/>
  <c r="E312" i="1"/>
  <c r="J312" i="1" s="1"/>
  <c r="T311" i="1"/>
  <c r="P311" i="1"/>
  <c r="U311" i="1" s="1"/>
  <c r="I311" i="1"/>
  <c r="E311" i="1"/>
  <c r="J311" i="1" s="1"/>
  <c r="I310" i="1"/>
  <c r="E310" i="1"/>
  <c r="I309" i="1"/>
  <c r="E309" i="1"/>
  <c r="I308" i="1"/>
  <c r="E308" i="1"/>
  <c r="T307" i="1"/>
  <c r="P307" i="1"/>
  <c r="I307" i="1"/>
  <c r="E307" i="1"/>
  <c r="T306" i="1"/>
  <c r="P306" i="1"/>
  <c r="I306" i="1"/>
  <c r="E306" i="1"/>
  <c r="T196" i="1"/>
  <c r="P196" i="1"/>
  <c r="T195" i="1"/>
  <c r="P195" i="1"/>
  <c r="P222" i="1"/>
  <c r="T222" i="1"/>
  <c r="T294" i="1"/>
  <c r="P251" i="1"/>
  <c r="T251" i="1"/>
  <c r="P252" i="1"/>
  <c r="T252" i="1"/>
  <c r="U252" i="1"/>
  <c r="P253" i="1"/>
  <c r="T253" i="1"/>
  <c r="U253" i="1" s="1"/>
  <c r="E272" i="1"/>
  <c r="I272" i="1"/>
  <c r="H298" i="1"/>
  <c r="G298" i="1"/>
  <c r="D298" i="1"/>
  <c r="I297" i="1"/>
  <c r="E297" i="1"/>
  <c r="I296" i="1"/>
  <c r="E296" i="1"/>
  <c r="J296" i="1" s="1"/>
  <c r="I295" i="1"/>
  <c r="E295" i="1"/>
  <c r="I294" i="1"/>
  <c r="E294" i="1"/>
  <c r="T293" i="1"/>
  <c r="P293" i="1"/>
  <c r="I293" i="1"/>
  <c r="E293" i="1"/>
  <c r="I292" i="1"/>
  <c r="E292" i="1"/>
  <c r="T291" i="1"/>
  <c r="P291" i="1"/>
  <c r="U291" i="1" s="1"/>
  <c r="I291" i="1"/>
  <c r="E291" i="1"/>
  <c r="J291" i="1" s="1"/>
  <c r="T290" i="1"/>
  <c r="P290" i="1"/>
  <c r="E290" i="1"/>
  <c r="T289" i="1"/>
  <c r="P289" i="1"/>
  <c r="I289" i="1"/>
  <c r="E289" i="1"/>
  <c r="T288" i="1"/>
  <c r="P288" i="1"/>
  <c r="U288" i="1" s="1"/>
  <c r="I288" i="1"/>
  <c r="E288" i="1"/>
  <c r="T287" i="1"/>
  <c r="P287" i="1"/>
  <c r="I287" i="1"/>
  <c r="E287" i="1"/>
  <c r="T286" i="1"/>
  <c r="P286" i="1"/>
  <c r="U286" i="1" s="1"/>
  <c r="I286" i="1"/>
  <c r="E286" i="1"/>
  <c r="J286" i="1" s="1"/>
  <c r="T285" i="1"/>
  <c r="P285" i="1"/>
  <c r="U285" i="1" s="1"/>
  <c r="I285" i="1"/>
  <c r="E285" i="1"/>
  <c r="J285" i="1" s="1"/>
  <c r="T284" i="1"/>
  <c r="P284" i="1"/>
  <c r="U284" i="1" s="1"/>
  <c r="E284" i="1"/>
  <c r="T283" i="1"/>
  <c r="P283" i="1"/>
  <c r="I283" i="1"/>
  <c r="E283" i="1"/>
  <c r="J283" i="1" s="1"/>
  <c r="T282" i="1"/>
  <c r="P282" i="1"/>
  <c r="I282" i="1"/>
  <c r="E282" i="1"/>
  <c r="I281" i="1"/>
  <c r="E281" i="1"/>
  <c r="T280" i="1"/>
  <c r="P280" i="1"/>
  <c r="U280" i="1" s="1"/>
  <c r="I280" i="1"/>
  <c r="E280" i="1"/>
  <c r="J280" i="1" s="1"/>
  <c r="I279" i="1"/>
  <c r="E279" i="1"/>
  <c r="I278" i="1"/>
  <c r="E278" i="1"/>
  <c r="J278" i="1" s="1"/>
  <c r="I277" i="1"/>
  <c r="E277" i="1"/>
  <c r="J277" i="1" s="1"/>
  <c r="I276" i="1"/>
  <c r="E276" i="1"/>
  <c r="J276" i="1" s="1"/>
  <c r="T275" i="1"/>
  <c r="P275" i="1"/>
  <c r="I275" i="1"/>
  <c r="E275" i="1"/>
  <c r="T274" i="1"/>
  <c r="P274" i="1"/>
  <c r="I274" i="1"/>
  <c r="E274" i="1"/>
  <c r="I273" i="1"/>
  <c r="E273" i="1"/>
  <c r="J273" i="1" s="1"/>
  <c r="T270" i="1"/>
  <c r="P270" i="1"/>
  <c r="U270" i="1" s="1"/>
  <c r="I270" i="1"/>
  <c r="E270" i="1"/>
  <c r="J270" i="1" s="1"/>
  <c r="T269" i="1"/>
  <c r="P269" i="1"/>
  <c r="I269" i="1"/>
  <c r="E269" i="1"/>
  <c r="J269" i="1" s="1"/>
  <c r="T268" i="1"/>
  <c r="P268" i="1"/>
  <c r="U268" i="1" s="1"/>
  <c r="I268" i="1"/>
  <c r="E268" i="1"/>
  <c r="J268" i="1" s="1"/>
  <c r="T267" i="1"/>
  <c r="P267" i="1"/>
  <c r="I267" i="1"/>
  <c r="E267" i="1"/>
  <c r="J267" i="1" s="1"/>
  <c r="T266" i="1"/>
  <c r="P266" i="1"/>
  <c r="U266" i="1" s="1"/>
  <c r="I266" i="1"/>
  <c r="E266" i="1"/>
  <c r="J266" i="1" s="1"/>
  <c r="I265" i="1"/>
  <c r="E265" i="1"/>
  <c r="T264" i="1"/>
  <c r="P264" i="1"/>
  <c r="U264" i="1" s="1"/>
  <c r="I264" i="1"/>
  <c r="E264" i="1"/>
  <c r="J264" i="1" s="1"/>
  <c r="T263" i="1"/>
  <c r="P263" i="1"/>
  <c r="B211" i="1"/>
  <c r="T194" i="1"/>
  <c r="P194" i="1"/>
  <c r="T193" i="1"/>
  <c r="P193" i="1"/>
  <c r="F203" i="1"/>
  <c r="P223" i="1"/>
  <c r="T223" i="1"/>
  <c r="U223" i="1" s="1"/>
  <c r="T192" i="1"/>
  <c r="P192" i="1"/>
  <c r="P178" i="1"/>
  <c r="U178" i="1" s="1"/>
  <c r="T178" i="1"/>
  <c r="H197" i="1"/>
  <c r="I197" i="1" s="1"/>
  <c r="J197" i="1" s="1"/>
  <c r="T191" i="1"/>
  <c r="P191" i="1"/>
  <c r="U191" i="1" s="1"/>
  <c r="T190" i="1"/>
  <c r="P190" i="1"/>
  <c r="F194" i="1"/>
  <c r="I194" i="1" s="1"/>
  <c r="T189" i="1"/>
  <c r="P189" i="1"/>
  <c r="U189" i="1" s="1"/>
  <c r="T188" i="1"/>
  <c r="P188" i="1"/>
  <c r="U188" i="1" s="1"/>
  <c r="T187" i="1"/>
  <c r="P187" i="1"/>
  <c r="U187" i="1" s="1"/>
  <c r="B189" i="1"/>
  <c r="F189" i="1"/>
  <c r="I189" i="1" s="1"/>
  <c r="P135" i="1"/>
  <c r="T135" i="1"/>
  <c r="U135" i="1" s="1"/>
  <c r="P147" i="1"/>
  <c r="T147" i="1"/>
  <c r="U147" i="1" s="1"/>
  <c r="T186" i="1"/>
  <c r="P186" i="1"/>
  <c r="U186" i="1" s="1"/>
  <c r="E229" i="1"/>
  <c r="I229" i="1"/>
  <c r="P207" i="1"/>
  <c r="T207" i="1"/>
  <c r="U207" i="1" s="1"/>
  <c r="P208" i="1"/>
  <c r="T208" i="1"/>
  <c r="U208" i="1" s="1"/>
  <c r="P209" i="1"/>
  <c r="T209" i="1"/>
  <c r="P210" i="1"/>
  <c r="T210" i="1"/>
  <c r="U210" i="1"/>
  <c r="P211" i="1"/>
  <c r="T211" i="1"/>
  <c r="U211" i="1" s="1"/>
  <c r="P179" i="1"/>
  <c r="T179" i="1"/>
  <c r="U179" i="1" s="1"/>
  <c r="P180" i="1"/>
  <c r="T180" i="1"/>
  <c r="U180" i="1" s="1"/>
  <c r="P181" i="1"/>
  <c r="T181" i="1"/>
  <c r="S255" i="1"/>
  <c r="R255" i="1"/>
  <c r="Q255" i="1"/>
  <c r="O255" i="1"/>
  <c r="N255" i="1"/>
  <c r="M255" i="1"/>
  <c r="H255" i="1"/>
  <c r="G255" i="1"/>
  <c r="D255" i="1"/>
  <c r="C255" i="1"/>
  <c r="B255" i="1"/>
  <c r="I254" i="1"/>
  <c r="E254" i="1"/>
  <c r="I253" i="1"/>
  <c r="E253" i="1"/>
  <c r="J253" i="1" s="1"/>
  <c r="I252" i="1"/>
  <c r="E252" i="1"/>
  <c r="J252" i="1" s="1"/>
  <c r="I251" i="1"/>
  <c r="E251" i="1"/>
  <c r="J251" i="1" s="1"/>
  <c r="T250" i="1"/>
  <c r="P250" i="1"/>
  <c r="U250" i="1" s="1"/>
  <c r="I250" i="1"/>
  <c r="E250" i="1"/>
  <c r="T249" i="1"/>
  <c r="P249" i="1"/>
  <c r="U249" i="1" s="1"/>
  <c r="I249" i="1"/>
  <c r="J249" i="1" s="1"/>
  <c r="E249" i="1"/>
  <c r="T248" i="1"/>
  <c r="P248" i="1"/>
  <c r="U248" i="1" s="1"/>
  <c r="I248" i="1"/>
  <c r="E248" i="1"/>
  <c r="T247" i="1"/>
  <c r="P247" i="1"/>
  <c r="U247" i="1" s="1"/>
  <c r="I247" i="1"/>
  <c r="E247" i="1"/>
  <c r="T246" i="1"/>
  <c r="P246" i="1"/>
  <c r="U246" i="1" s="1"/>
  <c r="I246" i="1"/>
  <c r="E246" i="1"/>
  <c r="T245" i="1"/>
  <c r="P245" i="1"/>
  <c r="U245" i="1" s="1"/>
  <c r="I245" i="1"/>
  <c r="E245" i="1"/>
  <c r="T244" i="1"/>
  <c r="P244" i="1"/>
  <c r="U244" i="1" s="1"/>
  <c r="I244" i="1"/>
  <c r="E244" i="1"/>
  <c r="J244" i="1" s="1"/>
  <c r="T243" i="1"/>
  <c r="P243" i="1"/>
  <c r="U243" i="1" s="1"/>
  <c r="I243" i="1"/>
  <c r="E243" i="1"/>
  <c r="T242" i="1"/>
  <c r="P242" i="1"/>
  <c r="U242" i="1" s="1"/>
  <c r="I242" i="1"/>
  <c r="E242" i="1"/>
  <c r="J242" i="1" s="1"/>
  <c r="T241" i="1"/>
  <c r="P241" i="1"/>
  <c r="U241" i="1" s="1"/>
  <c r="I241" i="1"/>
  <c r="E241" i="1"/>
  <c r="J241" i="1" s="1"/>
  <c r="T240" i="1"/>
  <c r="P240" i="1"/>
  <c r="U240" i="1" s="1"/>
  <c r="I240" i="1"/>
  <c r="E240" i="1"/>
  <c r="J240" i="1" s="1"/>
  <c r="T239" i="1"/>
  <c r="P239" i="1"/>
  <c r="U239" i="1" s="1"/>
  <c r="I239" i="1"/>
  <c r="E239" i="1"/>
  <c r="J239" i="1" s="1"/>
  <c r="T238" i="1"/>
  <c r="P238" i="1"/>
  <c r="I238" i="1"/>
  <c r="E238" i="1"/>
  <c r="J238" i="1" s="1"/>
  <c r="T237" i="1"/>
  <c r="P237" i="1"/>
  <c r="U237" i="1" s="1"/>
  <c r="I237" i="1"/>
  <c r="E237" i="1"/>
  <c r="T236" i="1"/>
  <c r="P236" i="1"/>
  <c r="I236" i="1"/>
  <c r="E236" i="1"/>
  <c r="T235" i="1"/>
  <c r="P235" i="1"/>
  <c r="U235" i="1" s="1"/>
  <c r="I235" i="1"/>
  <c r="E235" i="1"/>
  <c r="J235" i="1" s="1"/>
  <c r="T234" i="1"/>
  <c r="P234" i="1"/>
  <c r="I234" i="1"/>
  <c r="E234" i="1"/>
  <c r="I233" i="1"/>
  <c r="E233" i="1"/>
  <c r="J233" i="1" s="1"/>
  <c r="I232" i="1"/>
  <c r="E232" i="1"/>
  <c r="I231" i="1"/>
  <c r="E231" i="1"/>
  <c r="I230" i="1"/>
  <c r="E230" i="1"/>
  <c r="T227" i="1"/>
  <c r="P227" i="1"/>
  <c r="T226" i="1"/>
  <c r="P226" i="1"/>
  <c r="T225" i="1"/>
  <c r="P225" i="1"/>
  <c r="U225" i="1" s="1"/>
  <c r="T224" i="1"/>
  <c r="P224" i="1"/>
  <c r="T221" i="1"/>
  <c r="P221" i="1"/>
  <c r="U221" i="1" s="1"/>
  <c r="T220" i="1"/>
  <c r="P220" i="1"/>
  <c r="T146" i="1"/>
  <c r="P146" i="1"/>
  <c r="U146" i="1" s="1"/>
  <c r="B166" i="1"/>
  <c r="T145" i="1"/>
  <c r="P145" i="1"/>
  <c r="U145" i="1" s="1"/>
  <c r="T144" i="1"/>
  <c r="P144" i="1"/>
  <c r="U144" i="1" s="1"/>
  <c r="P109" i="1"/>
  <c r="T109" i="1"/>
  <c r="U109" i="1" s="1"/>
  <c r="T143" i="1"/>
  <c r="P143" i="1"/>
  <c r="U143" i="1" s="1"/>
  <c r="T108" i="1"/>
  <c r="P108" i="1"/>
  <c r="U108" i="1" s="1"/>
  <c r="F148" i="1"/>
  <c r="I148" i="1" s="1"/>
  <c r="T107" i="1"/>
  <c r="P107" i="1"/>
  <c r="E186" i="1"/>
  <c r="I186" i="1"/>
  <c r="E187" i="1"/>
  <c r="I187" i="1"/>
  <c r="G212" i="1"/>
  <c r="F212" i="1"/>
  <c r="D212" i="1"/>
  <c r="C212" i="1"/>
  <c r="I211" i="1"/>
  <c r="E211" i="1"/>
  <c r="I210" i="1"/>
  <c r="E210" i="1"/>
  <c r="I209" i="1"/>
  <c r="E209" i="1"/>
  <c r="J209" i="1" s="1"/>
  <c r="I208" i="1"/>
  <c r="E208" i="1"/>
  <c r="J208" i="1" s="1"/>
  <c r="I207" i="1"/>
  <c r="E207" i="1"/>
  <c r="J207" i="1" s="1"/>
  <c r="I206" i="1"/>
  <c r="E206" i="1"/>
  <c r="I205" i="1"/>
  <c r="E205" i="1"/>
  <c r="I204" i="1"/>
  <c r="J204" i="1" s="1"/>
  <c r="E204" i="1"/>
  <c r="I203" i="1"/>
  <c r="E203" i="1"/>
  <c r="I202" i="1"/>
  <c r="E202" i="1"/>
  <c r="I201" i="1"/>
  <c r="E201" i="1"/>
  <c r="I200" i="1"/>
  <c r="E200" i="1"/>
  <c r="J200" i="1" s="1"/>
  <c r="I199" i="1"/>
  <c r="E199" i="1"/>
  <c r="J199" i="1" s="1"/>
  <c r="I198" i="1"/>
  <c r="E198" i="1"/>
  <c r="E197" i="1"/>
  <c r="I196" i="1"/>
  <c r="E196" i="1"/>
  <c r="I195" i="1"/>
  <c r="E195" i="1"/>
  <c r="E194" i="1"/>
  <c r="I193" i="1"/>
  <c r="E193" i="1"/>
  <c r="I192" i="1"/>
  <c r="E192" i="1"/>
  <c r="I191" i="1"/>
  <c r="E191" i="1"/>
  <c r="I190" i="1"/>
  <c r="E190" i="1"/>
  <c r="E189" i="1"/>
  <c r="I188" i="1"/>
  <c r="E188" i="1"/>
  <c r="J188" i="1" s="1"/>
  <c r="P136" i="1"/>
  <c r="T136" i="1"/>
  <c r="U136" i="1" s="1"/>
  <c r="P137" i="1"/>
  <c r="U137" i="1" s="1"/>
  <c r="T137" i="1"/>
  <c r="P164" i="1"/>
  <c r="T164" i="1"/>
  <c r="U164" i="1"/>
  <c r="P165" i="1"/>
  <c r="T165" i="1"/>
  <c r="P166" i="1"/>
  <c r="T166" i="1"/>
  <c r="P167" i="1"/>
  <c r="T167" i="1"/>
  <c r="U167" i="1" s="1"/>
  <c r="P168" i="1"/>
  <c r="T168" i="1"/>
  <c r="U168" i="1"/>
  <c r="S212" i="1"/>
  <c r="R212" i="1"/>
  <c r="Q212" i="1"/>
  <c r="O212" i="1"/>
  <c r="N212" i="1"/>
  <c r="M212" i="1"/>
  <c r="T206" i="1"/>
  <c r="P206" i="1"/>
  <c r="U206" i="1" s="1"/>
  <c r="T205" i="1"/>
  <c r="P205" i="1"/>
  <c r="T204" i="1"/>
  <c r="P204" i="1"/>
  <c r="U204" i="1" s="1"/>
  <c r="T203" i="1"/>
  <c r="P203" i="1"/>
  <c r="U203" i="1" s="1"/>
  <c r="T202" i="1"/>
  <c r="P202" i="1"/>
  <c r="U202" i="1" s="1"/>
  <c r="T201" i="1"/>
  <c r="P201" i="1"/>
  <c r="U201" i="1" s="1"/>
  <c r="T200" i="1"/>
  <c r="P200" i="1"/>
  <c r="U200" i="1" s="1"/>
  <c r="T199" i="1"/>
  <c r="P199" i="1"/>
  <c r="U199" i="1" s="1"/>
  <c r="T198" i="1"/>
  <c r="P198" i="1"/>
  <c r="U198" i="1" s="1"/>
  <c r="T197" i="1"/>
  <c r="P197" i="1"/>
  <c r="T184" i="1"/>
  <c r="P184" i="1"/>
  <c r="T183" i="1"/>
  <c r="P183" i="1"/>
  <c r="U183" i="1" s="1"/>
  <c r="T182" i="1"/>
  <c r="P182" i="1"/>
  <c r="U182" i="1" s="1"/>
  <c r="T177" i="1"/>
  <c r="P177" i="1"/>
  <c r="T106" i="1"/>
  <c r="P106" i="1"/>
  <c r="B124" i="1"/>
  <c r="E124" i="1" s="1"/>
  <c r="T105" i="1"/>
  <c r="P105" i="1"/>
  <c r="U105" i="1" s="1"/>
  <c r="E134" i="1"/>
  <c r="I134" i="1"/>
  <c r="E135" i="1"/>
  <c r="I135" i="1"/>
  <c r="J135" i="1" s="1"/>
  <c r="E136" i="1"/>
  <c r="I136" i="1"/>
  <c r="E137" i="1"/>
  <c r="I137" i="1"/>
  <c r="E138" i="1"/>
  <c r="I138" i="1"/>
  <c r="E143" i="1"/>
  <c r="I143" i="1"/>
  <c r="E144" i="1"/>
  <c r="I144" i="1"/>
  <c r="E145" i="1"/>
  <c r="I145" i="1"/>
  <c r="J145" i="1" s="1"/>
  <c r="E146" i="1"/>
  <c r="I146" i="1"/>
  <c r="E147" i="1"/>
  <c r="I147" i="1"/>
  <c r="E148" i="1"/>
  <c r="E149" i="1"/>
  <c r="I149" i="1"/>
  <c r="E150" i="1"/>
  <c r="J150" i="1" s="1"/>
  <c r="I150" i="1"/>
  <c r="E151" i="1"/>
  <c r="I151" i="1"/>
  <c r="E152" i="1"/>
  <c r="I152" i="1"/>
  <c r="E153" i="1"/>
  <c r="I153" i="1"/>
  <c r="E154" i="1"/>
  <c r="I154" i="1"/>
  <c r="E155" i="1"/>
  <c r="I155" i="1"/>
  <c r="E156" i="1"/>
  <c r="I156" i="1"/>
  <c r="E157" i="1"/>
  <c r="I157" i="1"/>
  <c r="E158" i="1"/>
  <c r="I158" i="1"/>
  <c r="E159" i="1"/>
  <c r="I159" i="1"/>
  <c r="E160" i="1"/>
  <c r="J160" i="1" s="1"/>
  <c r="I160" i="1"/>
  <c r="E161" i="1"/>
  <c r="I161" i="1"/>
  <c r="E162" i="1"/>
  <c r="I162" i="1"/>
  <c r="E163" i="1"/>
  <c r="I163" i="1"/>
  <c r="P134" i="1"/>
  <c r="T134" i="1"/>
  <c r="S169" i="1"/>
  <c r="R169" i="1"/>
  <c r="Q169" i="1"/>
  <c r="O169" i="1"/>
  <c r="N169" i="1"/>
  <c r="M169" i="1"/>
  <c r="H169" i="1"/>
  <c r="G169" i="1"/>
  <c r="D169" i="1"/>
  <c r="C169" i="1"/>
  <c r="B169" i="1"/>
  <c r="I168" i="1"/>
  <c r="E168" i="1"/>
  <c r="I167" i="1"/>
  <c r="E167" i="1"/>
  <c r="J167" i="1" s="1"/>
  <c r="I166" i="1"/>
  <c r="E166" i="1"/>
  <c r="J166" i="1" s="1"/>
  <c r="I165" i="1"/>
  <c r="E165" i="1"/>
  <c r="J165" i="1" s="1"/>
  <c r="I164" i="1"/>
  <c r="E164" i="1"/>
  <c r="T163" i="1"/>
  <c r="P163" i="1"/>
  <c r="U163" i="1" s="1"/>
  <c r="T162" i="1"/>
  <c r="P162" i="1"/>
  <c r="U162" i="1" s="1"/>
  <c r="T161" i="1"/>
  <c r="P161" i="1"/>
  <c r="U161" i="1" s="1"/>
  <c r="T160" i="1"/>
  <c r="P160" i="1"/>
  <c r="U160" i="1" s="1"/>
  <c r="T159" i="1"/>
  <c r="P159" i="1"/>
  <c r="U159" i="1" s="1"/>
  <c r="T158" i="1"/>
  <c r="P158" i="1"/>
  <c r="U158" i="1" s="1"/>
  <c r="T157" i="1"/>
  <c r="P157" i="1"/>
  <c r="U157" i="1" s="1"/>
  <c r="T156" i="1"/>
  <c r="P156" i="1"/>
  <c r="U156" i="1" s="1"/>
  <c r="T155" i="1"/>
  <c r="P155" i="1"/>
  <c r="U155" i="1" s="1"/>
  <c r="T154" i="1"/>
  <c r="P154" i="1"/>
  <c r="U154" i="1" s="1"/>
  <c r="T153" i="1"/>
  <c r="P153" i="1"/>
  <c r="U153" i="1" s="1"/>
  <c r="T152" i="1"/>
  <c r="P152" i="1"/>
  <c r="U152" i="1" s="1"/>
  <c r="T151" i="1"/>
  <c r="P151" i="1"/>
  <c r="U151" i="1" s="1"/>
  <c r="T150" i="1"/>
  <c r="P150" i="1"/>
  <c r="T149" i="1"/>
  <c r="P149" i="1"/>
  <c r="U149" i="1" s="1"/>
  <c r="T148" i="1"/>
  <c r="P148" i="1"/>
  <c r="T141" i="1"/>
  <c r="P141" i="1"/>
  <c r="U141" i="1" s="1"/>
  <c r="I141" i="1"/>
  <c r="E141" i="1"/>
  <c r="J141" i="1" s="1"/>
  <c r="T140" i="1"/>
  <c r="P140" i="1"/>
  <c r="T139" i="1"/>
  <c r="P139" i="1"/>
  <c r="U139" i="1" s="1"/>
  <c r="I139" i="1"/>
  <c r="E139" i="1"/>
  <c r="J139" i="1" s="1"/>
  <c r="T138" i="1"/>
  <c r="P138" i="1"/>
  <c r="T104" i="1"/>
  <c r="P104" i="1"/>
  <c r="U104" i="1" s="1"/>
  <c r="F113" i="1"/>
  <c r="T103" i="1"/>
  <c r="P103" i="1"/>
  <c r="T102" i="1"/>
  <c r="P102" i="1"/>
  <c r="E112" i="1"/>
  <c r="J112" i="1" s="1"/>
  <c r="I112" i="1"/>
  <c r="F109" i="1"/>
  <c r="T101" i="1"/>
  <c r="P101" i="1"/>
  <c r="U101" i="1" s="1"/>
  <c r="T100" i="1"/>
  <c r="P100" i="1"/>
  <c r="U100" i="1" s="1"/>
  <c r="I98" i="1"/>
  <c r="E98" i="1"/>
  <c r="J98" i="1" s="1"/>
  <c r="I97" i="1"/>
  <c r="E97" i="1"/>
  <c r="J97" i="1" s="1"/>
  <c r="I96" i="1"/>
  <c r="E96" i="1"/>
  <c r="I95" i="1"/>
  <c r="E95" i="1"/>
  <c r="I94" i="1"/>
  <c r="E94" i="1"/>
  <c r="I93" i="1"/>
  <c r="J93" i="1" s="1"/>
  <c r="E93" i="1"/>
  <c r="I92" i="1"/>
  <c r="E92" i="1"/>
  <c r="I91" i="1"/>
  <c r="J91" i="1" s="1"/>
  <c r="E91" i="1"/>
  <c r="P91" i="1"/>
  <c r="T91" i="1"/>
  <c r="P92" i="1"/>
  <c r="T92" i="1"/>
  <c r="U92" i="1"/>
  <c r="P93" i="1"/>
  <c r="T93" i="1"/>
  <c r="P94" i="1"/>
  <c r="T94" i="1"/>
  <c r="U94" i="1" s="1"/>
  <c r="I125" i="1"/>
  <c r="E125" i="1"/>
  <c r="I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1" i="1"/>
  <c r="E101" i="1"/>
  <c r="I100" i="1"/>
  <c r="E100" i="1"/>
  <c r="P122" i="1"/>
  <c r="T122" i="1"/>
  <c r="U122" i="1"/>
  <c r="P123" i="1"/>
  <c r="T123" i="1"/>
  <c r="P124" i="1"/>
  <c r="T124" i="1"/>
  <c r="U124" i="1" s="1"/>
  <c r="P125" i="1"/>
  <c r="U125" i="1" s="1"/>
  <c r="T125" i="1"/>
  <c r="P110" i="1"/>
  <c r="T110" i="1"/>
  <c r="U110" i="1"/>
  <c r="P111" i="1"/>
  <c r="T111" i="1"/>
  <c r="U111" i="1" s="1"/>
  <c r="P112" i="1"/>
  <c r="T112" i="1"/>
  <c r="U112" i="1"/>
  <c r="P113" i="1"/>
  <c r="T113" i="1"/>
  <c r="U113" i="1" s="1"/>
  <c r="P114" i="1"/>
  <c r="T114" i="1"/>
  <c r="U114" i="1"/>
  <c r="P115" i="1"/>
  <c r="T115" i="1"/>
  <c r="U115" i="1" s="1"/>
  <c r="P116" i="1"/>
  <c r="T116" i="1"/>
  <c r="U116" i="1"/>
  <c r="P117" i="1"/>
  <c r="T117" i="1"/>
  <c r="U117" i="1" s="1"/>
  <c r="P118" i="1"/>
  <c r="T118" i="1"/>
  <c r="U118" i="1"/>
  <c r="P119" i="1"/>
  <c r="T119" i="1"/>
  <c r="U119" i="1" s="1"/>
  <c r="P120" i="1"/>
  <c r="T120" i="1"/>
  <c r="U120" i="1"/>
  <c r="S126" i="1"/>
  <c r="R126" i="1"/>
  <c r="Q126" i="1"/>
  <c r="O126" i="1"/>
  <c r="N126" i="1"/>
  <c r="M126" i="1"/>
  <c r="H126" i="1"/>
  <c r="G126" i="1"/>
  <c r="F126" i="1"/>
  <c r="D126" i="1"/>
  <c r="C126" i="1"/>
  <c r="B126" i="1"/>
  <c r="T121" i="1"/>
  <c r="P121" i="1"/>
  <c r="U121" i="1" s="1"/>
  <c r="T98" i="1"/>
  <c r="P98" i="1"/>
  <c r="U98" i="1" s="1"/>
  <c r="T97" i="1"/>
  <c r="P97" i="1"/>
  <c r="U97" i="1" s="1"/>
  <c r="T96" i="1"/>
  <c r="P96" i="1"/>
  <c r="U96" i="1" s="1"/>
  <c r="T95" i="1"/>
  <c r="P95" i="1"/>
  <c r="U95" i="1" s="1"/>
  <c r="P63" i="1"/>
  <c r="T63" i="1"/>
  <c r="I77" i="1"/>
  <c r="E77" i="1"/>
  <c r="T28" i="1"/>
  <c r="P28" i="1"/>
  <c r="T82" i="1"/>
  <c r="T58" i="1"/>
  <c r="P58" i="1"/>
  <c r="U58" i="1" s="1"/>
  <c r="T27" i="1"/>
  <c r="P27" i="1"/>
  <c r="U27" i="1" s="1"/>
  <c r="T26" i="1"/>
  <c r="P26" i="1"/>
  <c r="U26" i="1" s="1"/>
  <c r="T25" i="1"/>
  <c r="P25" i="1"/>
  <c r="U25" i="1" s="1"/>
  <c r="G33" i="1"/>
  <c r="B33" i="1"/>
  <c r="P36" i="1"/>
  <c r="T36" i="1"/>
  <c r="P82" i="1"/>
  <c r="T15" i="1"/>
  <c r="P15" i="1"/>
  <c r="P7" i="1"/>
  <c r="T7" i="1"/>
  <c r="H13" i="1"/>
  <c r="G13" i="1"/>
  <c r="F13" i="1"/>
  <c r="D13" i="1"/>
  <c r="C13" i="1"/>
  <c r="B13" i="1"/>
  <c r="P5" i="1"/>
  <c r="T5" i="1"/>
  <c r="P6" i="1"/>
  <c r="U6" i="1" s="1"/>
  <c r="T6" i="1"/>
  <c r="P8" i="1"/>
  <c r="T8" i="1"/>
  <c r="U8" i="1"/>
  <c r="P9" i="1"/>
  <c r="T9" i="1"/>
  <c r="U9" i="1" s="1"/>
  <c r="E5" i="1"/>
  <c r="I5" i="1"/>
  <c r="J5" i="1" s="1"/>
  <c r="E6" i="1"/>
  <c r="I6" i="1"/>
  <c r="E7" i="1"/>
  <c r="I7" i="1"/>
  <c r="J7" i="1" s="1"/>
  <c r="E14" i="1"/>
  <c r="I14" i="1"/>
  <c r="E15" i="1"/>
  <c r="I15" i="1"/>
  <c r="E16" i="1"/>
  <c r="I16" i="1"/>
  <c r="E17" i="1"/>
  <c r="I17" i="1"/>
  <c r="E48" i="1"/>
  <c r="I48" i="1"/>
  <c r="J48" i="1" s="1"/>
  <c r="E49" i="1"/>
  <c r="I49" i="1"/>
  <c r="E50" i="1"/>
  <c r="I50" i="1"/>
  <c r="J50" i="1" s="1"/>
  <c r="E51" i="1"/>
  <c r="I51" i="1"/>
  <c r="E57" i="1"/>
  <c r="I57" i="1"/>
  <c r="J57" i="1" s="1"/>
  <c r="E58" i="1"/>
  <c r="I58" i="1"/>
  <c r="J58" i="1" s="1"/>
  <c r="E59" i="1"/>
  <c r="I59" i="1"/>
  <c r="J59" i="1" s="1"/>
  <c r="E60" i="1"/>
  <c r="I60" i="1"/>
  <c r="J60" i="1" s="1"/>
  <c r="E61" i="1"/>
  <c r="I61" i="1"/>
  <c r="E62" i="1"/>
  <c r="I62" i="1"/>
  <c r="E63" i="1"/>
  <c r="I63" i="1"/>
  <c r="E64" i="1"/>
  <c r="I64" i="1"/>
  <c r="E65" i="1"/>
  <c r="I65" i="1"/>
  <c r="P49" i="1"/>
  <c r="T49" i="1"/>
  <c r="J857" i="1" l="1"/>
  <c r="J814" i="1"/>
  <c r="U857" i="1"/>
  <c r="U771" i="1"/>
  <c r="J771" i="1"/>
  <c r="J728" i="1"/>
  <c r="J568" i="1"/>
  <c r="U685" i="1"/>
  <c r="U728" i="1"/>
  <c r="J685" i="1"/>
  <c r="U585" i="1"/>
  <c r="J642" i="1"/>
  <c r="J598" i="1"/>
  <c r="U581" i="1"/>
  <c r="J593" i="1"/>
  <c r="U554" i="1"/>
  <c r="J591" i="1"/>
  <c r="J570" i="1"/>
  <c r="U577" i="1"/>
  <c r="J569" i="1"/>
  <c r="J589" i="1"/>
  <c r="T599" i="1"/>
  <c r="P599" i="1"/>
  <c r="J567" i="1"/>
  <c r="J583" i="1"/>
  <c r="U552" i="1"/>
  <c r="J566" i="1"/>
  <c r="J581" i="1"/>
  <c r="J580" i="1"/>
  <c r="J579" i="1"/>
  <c r="E599" i="1"/>
  <c r="J577" i="1"/>
  <c r="I599" i="1"/>
  <c r="U573" i="1"/>
  <c r="J573" i="1"/>
  <c r="J553" i="1"/>
  <c r="J551" i="1"/>
  <c r="J528" i="1"/>
  <c r="J550" i="1"/>
  <c r="J548" i="1"/>
  <c r="U546" i="1"/>
  <c r="U539" i="1"/>
  <c r="U537" i="1"/>
  <c r="U533" i="1"/>
  <c r="J546" i="1"/>
  <c r="J544" i="1"/>
  <c r="U544" i="1"/>
  <c r="J525" i="1"/>
  <c r="J542" i="1"/>
  <c r="J541" i="1"/>
  <c r="J540" i="1"/>
  <c r="J539" i="1"/>
  <c r="E556" i="1"/>
  <c r="J538" i="1"/>
  <c r="U540" i="1"/>
  <c r="J536" i="1"/>
  <c r="J535" i="1"/>
  <c r="U536" i="1"/>
  <c r="I556" i="1"/>
  <c r="U555" i="1"/>
  <c r="U532" i="1"/>
  <c r="J532" i="1"/>
  <c r="I511" i="1"/>
  <c r="J522" i="1"/>
  <c r="J511" i="1"/>
  <c r="J510" i="1"/>
  <c r="J509" i="1"/>
  <c r="J507" i="1"/>
  <c r="U510" i="1"/>
  <c r="J506" i="1"/>
  <c r="J505" i="1"/>
  <c r="J484" i="1"/>
  <c r="J502" i="1"/>
  <c r="J499" i="1"/>
  <c r="J498" i="1"/>
  <c r="U487" i="1"/>
  <c r="J481" i="1"/>
  <c r="J495" i="1"/>
  <c r="J494" i="1"/>
  <c r="J493" i="1"/>
  <c r="J489" i="1"/>
  <c r="J478" i="1"/>
  <c r="E513" i="1"/>
  <c r="I513" i="1"/>
  <c r="U450" i="1"/>
  <c r="J440" i="1"/>
  <c r="J468" i="1"/>
  <c r="J467" i="1"/>
  <c r="J466" i="1"/>
  <c r="J464" i="1"/>
  <c r="J463" i="1"/>
  <c r="J462" i="1"/>
  <c r="U447" i="1"/>
  <c r="J460" i="1"/>
  <c r="P556" i="1"/>
  <c r="T556" i="1"/>
  <c r="F470" i="1"/>
  <c r="I470" i="1" s="1"/>
  <c r="J459" i="1"/>
  <c r="J438" i="1"/>
  <c r="J456" i="1"/>
  <c r="J455" i="1"/>
  <c r="I453" i="1"/>
  <c r="J453" i="1"/>
  <c r="U445" i="1"/>
  <c r="U444" i="1"/>
  <c r="B470" i="1"/>
  <c r="E470" i="1" s="1"/>
  <c r="J451" i="1"/>
  <c r="J436" i="1"/>
  <c r="J448" i="1"/>
  <c r="U417" i="1"/>
  <c r="J426" i="1"/>
  <c r="U416" i="1"/>
  <c r="J425" i="1"/>
  <c r="I424" i="1"/>
  <c r="F427" i="1"/>
  <c r="U414" i="1"/>
  <c r="G427" i="1"/>
  <c r="U413" i="1"/>
  <c r="J424" i="1"/>
  <c r="U411" i="1"/>
  <c r="U410" i="1"/>
  <c r="J396" i="1"/>
  <c r="J422" i="1"/>
  <c r="U409" i="1"/>
  <c r="E421" i="1"/>
  <c r="J421" i="1" s="1"/>
  <c r="B427" i="1"/>
  <c r="E427" i="1" s="1"/>
  <c r="J419" i="1"/>
  <c r="J418" i="1"/>
  <c r="P513" i="1"/>
  <c r="T513" i="1"/>
  <c r="J417" i="1"/>
  <c r="U397" i="1"/>
  <c r="U396" i="1"/>
  <c r="J416" i="1"/>
  <c r="J415" i="1"/>
  <c r="U403" i="1"/>
  <c r="J414" i="1"/>
  <c r="U401" i="1"/>
  <c r="U394" i="1"/>
  <c r="J411" i="1"/>
  <c r="U373" i="1"/>
  <c r="J408" i="1"/>
  <c r="U381" i="1"/>
  <c r="J404" i="1"/>
  <c r="U469" i="1"/>
  <c r="J402" i="1"/>
  <c r="J401" i="1"/>
  <c r="U426" i="1"/>
  <c r="U367" i="1"/>
  <c r="J381" i="1"/>
  <c r="J379" i="1"/>
  <c r="J378" i="1"/>
  <c r="J377" i="1"/>
  <c r="U366" i="1"/>
  <c r="J372" i="1"/>
  <c r="J371" i="1"/>
  <c r="T470" i="1"/>
  <c r="P470" i="1"/>
  <c r="U436" i="1"/>
  <c r="U398" i="1"/>
  <c r="U421" i="1"/>
  <c r="U425" i="1"/>
  <c r="J352" i="1"/>
  <c r="J368" i="1"/>
  <c r="I367" i="1"/>
  <c r="J367" i="1" s="1"/>
  <c r="J366" i="1"/>
  <c r="I365" i="1"/>
  <c r="D384" i="1"/>
  <c r="U362" i="1"/>
  <c r="U383" i="1"/>
  <c r="J365" i="1"/>
  <c r="U360" i="1"/>
  <c r="J350" i="1"/>
  <c r="J349" i="1"/>
  <c r="J360" i="1"/>
  <c r="J359" i="1"/>
  <c r="J358" i="1"/>
  <c r="J313" i="1"/>
  <c r="J340" i="1"/>
  <c r="J339" i="1"/>
  <c r="J338" i="1"/>
  <c r="J337" i="1"/>
  <c r="J336" i="1"/>
  <c r="U352" i="1"/>
  <c r="U316" i="1"/>
  <c r="J310" i="1"/>
  <c r="U340" i="1"/>
  <c r="P427" i="1"/>
  <c r="U289" i="1"/>
  <c r="J330" i="1"/>
  <c r="U287" i="1"/>
  <c r="O341" i="1"/>
  <c r="P341" i="1" s="1"/>
  <c r="R341" i="1"/>
  <c r="T341" i="1" s="1"/>
  <c r="T427" i="1"/>
  <c r="U227" i="1"/>
  <c r="J328" i="1"/>
  <c r="U283" i="1"/>
  <c r="U282" i="1"/>
  <c r="J309" i="1"/>
  <c r="J326" i="1"/>
  <c r="J324" i="1"/>
  <c r="T384" i="1"/>
  <c r="T386" i="1" s="1"/>
  <c r="T387" i="1" s="1"/>
  <c r="P384" i="1"/>
  <c r="P386" i="1" s="1"/>
  <c r="P387" i="1" s="1"/>
  <c r="I384" i="1"/>
  <c r="B384" i="1"/>
  <c r="J323" i="1"/>
  <c r="J321" i="1"/>
  <c r="S298" i="1"/>
  <c r="J317" i="1"/>
  <c r="J306" i="1"/>
  <c r="M298" i="1"/>
  <c r="P298" i="1" s="1"/>
  <c r="Q298" i="1"/>
  <c r="B341" i="1"/>
  <c r="E341" i="1" s="1"/>
  <c r="J315" i="1"/>
  <c r="J297" i="1"/>
  <c r="J294" i="1"/>
  <c r="J295" i="1"/>
  <c r="U306" i="1"/>
  <c r="J293" i="1"/>
  <c r="J292" i="1"/>
  <c r="J290" i="1"/>
  <c r="F298" i="1"/>
  <c r="I298" i="1" s="1"/>
  <c r="J265" i="1"/>
  <c r="B298" i="1"/>
  <c r="E298" i="1" s="1"/>
  <c r="J289" i="1"/>
  <c r="J288" i="1"/>
  <c r="J287" i="1"/>
  <c r="U274" i="1"/>
  <c r="J284" i="1"/>
  <c r="J282" i="1"/>
  <c r="J281" i="1"/>
  <c r="J279" i="1"/>
  <c r="U290" i="1"/>
  <c r="U293" i="1"/>
  <c r="J275" i="1"/>
  <c r="J274" i="1"/>
  <c r="J272" i="1"/>
  <c r="J254" i="1"/>
  <c r="J250" i="1"/>
  <c r="J245" i="1"/>
  <c r="J243" i="1"/>
  <c r="J64" i="1"/>
  <c r="J62" i="1"/>
  <c r="J61" i="1"/>
  <c r="J17" i="1"/>
  <c r="U5" i="1"/>
  <c r="U7" i="1"/>
  <c r="U15" i="1"/>
  <c r="U36" i="1"/>
  <c r="U28" i="1"/>
  <c r="J77" i="1"/>
  <c r="J95" i="1"/>
  <c r="J124" i="1"/>
  <c r="U197" i="1"/>
  <c r="U205" i="1"/>
  <c r="J205" i="1"/>
  <c r="H212" i="1"/>
  <c r="J308" i="1"/>
  <c r="U312" i="1"/>
  <c r="U318" i="1"/>
  <c r="U328" i="1"/>
  <c r="U334" i="1"/>
  <c r="U123" i="1"/>
  <c r="J101" i="1"/>
  <c r="J104" i="1"/>
  <c r="J105" i="1"/>
  <c r="J106" i="1"/>
  <c r="J108" i="1"/>
  <c r="J110" i="1"/>
  <c r="J116" i="1"/>
  <c r="J117" i="1"/>
  <c r="J123" i="1"/>
  <c r="U93" i="1"/>
  <c r="J92" i="1"/>
  <c r="U102" i="1"/>
  <c r="U103" i="1"/>
  <c r="U134" i="1"/>
  <c r="J159" i="1"/>
  <c r="J156" i="1"/>
  <c r="J152" i="1"/>
  <c r="U106" i="1"/>
  <c r="U177" i="1"/>
  <c r="U184" i="1"/>
  <c r="U166" i="1"/>
  <c r="U165" i="1"/>
  <c r="J193" i="1"/>
  <c r="J196" i="1"/>
  <c r="J202" i="1"/>
  <c r="U107" i="1"/>
  <c r="U181" i="1"/>
  <c r="U209" i="1"/>
  <c r="U190" i="1"/>
  <c r="U192" i="1"/>
  <c r="U193" i="1"/>
  <c r="U194" i="1"/>
  <c r="B212" i="1"/>
  <c r="U251" i="1"/>
  <c r="U294" i="1"/>
  <c r="U222" i="1"/>
  <c r="U195" i="1"/>
  <c r="U196" i="1"/>
  <c r="J307" i="1"/>
  <c r="U307" i="1"/>
  <c r="U324" i="1"/>
  <c r="J325" i="1"/>
  <c r="U325" i="1"/>
  <c r="U330" i="1"/>
  <c r="J331" i="1"/>
  <c r="U331" i="1"/>
  <c r="I341" i="1"/>
  <c r="U265" i="1"/>
  <c r="U229" i="1"/>
  <c r="J237" i="1"/>
  <c r="J236" i="1"/>
  <c r="J234" i="1"/>
  <c r="E255" i="1"/>
  <c r="J232" i="1"/>
  <c r="J231" i="1"/>
  <c r="J230" i="1"/>
  <c r="U263" i="1"/>
  <c r="U267" i="1"/>
  <c r="U269" i="1"/>
  <c r="U275" i="1"/>
  <c r="J229" i="1"/>
  <c r="J211" i="1"/>
  <c r="J210" i="1"/>
  <c r="J206" i="1"/>
  <c r="J203" i="1"/>
  <c r="P255" i="1"/>
  <c r="T255" i="1"/>
  <c r="J201" i="1"/>
  <c r="J198" i="1"/>
  <c r="E212" i="1"/>
  <c r="J195" i="1"/>
  <c r="J194" i="1"/>
  <c r="J192" i="1"/>
  <c r="J191" i="1"/>
  <c r="J190" i="1"/>
  <c r="P212" i="1"/>
  <c r="J189" i="1"/>
  <c r="J187" i="1"/>
  <c r="I255" i="1"/>
  <c r="T212" i="1"/>
  <c r="U220" i="1"/>
  <c r="U224" i="1"/>
  <c r="U226" i="1"/>
  <c r="U234" i="1"/>
  <c r="U236" i="1"/>
  <c r="U238" i="1"/>
  <c r="J186" i="1"/>
  <c r="J168" i="1"/>
  <c r="J164" i="1"/>
  <c r="J163" i="1"/>
  <c r="J138" i="1"/>
  <c r="J162" i="1"/>
  <c r="J161" i="1"/>
  <c r="J137" i="1"/>
  <c r="J158" i="1"/>
  <c r="J157" i="1"/>
  <c r="J136" i="1"/>
  <c r="J155" i="1"/>
  <c r="J154" i="1"/>
  <c r="J153" i="1"/>
  <c r="J151" i="1"/>
  <c r="J149" i="1"/>
  <c r="J148" i="1"/>
  <c r="J147" i="1"/>
  <c r="J134" i="1"/>
  <c r="J146" i="1"/>
  <c r="I212" i="1"/>
  <c r="P169" i="1"/>
  <c r="J144" i="1"/>
  <c r="E169" i="1"/>
  <c r="J143" i="1"/>
  <c r="J125" i="1"/>
  <c r="J96" i="1"/>
  <c r="J122" i="1"/>
  <c r="J121" i="1"/>
  <c r="T169" i="1"/>
  <c r="F169" i="1"/>
  <c r="I169" i="1" s="1"/>
  <c r="U138" i="1"/>
  <c r="U140" i="1"/>
  <c r="U148" i="1"/>
  <c r="U150" i="1"/>
  <c r="J120" i="1"/>
  <c r="J119" i="1"/>
  <c r="J118" i="1"/>
  <c r="J115" i="1"/>
  <c r="J114" i="1"/>
  <c r="J94" i="1"/>
  <c r="J113" i="1"/>
  <c r="J111" i="1"/>
  <c r="J109" i="1"/>
  <c r="J107" i="1"/>
  <c r="J103" i="1"/>
  <c r="U91" i="1"/>
  <c r="J102" i="1"/>
  <c r="J100" i="1"/>
  <c r="I126" i="1"/>
  <c r="E126" i="1"/>
  <c r="P126" i="1"/>
  <c r="T126" i="1"/>
  <c r="J51" i="1"/>
  <c r="U63" i="1"/>
  <c r="U82" i="1"/>
  <c r="J65" i="1"/>
  <c r="J49" i="1"/>
  <c r="J63" i="1"/>
  <c r="J6" i="1"/>
  <c r="J15" i="1"/>
  <c r="J16" i="1"/>
  <c r="J14" i="1"/>
  <c r="U49" i="1"/>
  <c r="T71" i="1"/>
  <c r="P71" i="1"/>
  <c r="U599" i="1" l="1"/>
  <c r="J599" i="1"/>
  <c r="J556" i="1"/>
  <c r="U556" i="1"/>
  <c r="J513" i="1"/>
  <c r="J470" i="1"/>
  <c r="I427" i="1"/>
  <c r="J427" i="1" s="1"/>
  <c r="U513" i="1"/>
  <c r="U470" i="1"/>
  <c r="S387" i="1"/>
  <c r="R387" i="1"/>
  <c r="Q387" i="1"/>
  <c r="O387" i="1"/>
  <c r="N387" i="1"/>
  <c r="M387" i="1"/>
  <c r="E384" i="1"/>
  <c r="J384" i="1" s="1"/>
  <c r="U427" i="1"/>
  <c r="U384" i="1"/>
  <c r="U386" i="1" s="1"/>
  <c r="T298" i="1"/>
  <c r="U298" i="1" s="1"/>
  <c r="J341" i="1"/>
  <c r="U341" i="1"/>
  <c r="J255" i="1"/>
  <c r="J298" i="1"/>
  <c r="J212" i="1"/>
  <c r="U255" i="1"/>
  <c r="U212" i="1"/>
  <c r="U169" i="1"/>
  <c r="J169" i="1"/>
  <c r="J126" i="1"/>
  <c r="U126" i="1"/>
  <c r="U71" i="1"/>
  <c r="P37" i="1"/>
  <c r="T37" i="1"/>
  <c r="U37" i="1" l="1"/>
  <c r="P81" i="1"/>
  <c r="P38" i="1"/>
  <c r="T38" i="1"/>
  <c r="T81" i="1"/>
  <c r="U81" i="1" l="1"/>
  <c r="U38" i="1"/>
  <c r="Q40" i="1" l="1"/>
  <c r="N40" i="1"/>
  <c r="M40" i="1"/>
  <c r="N13" i="1"/>
  <c r="O13" i="1"/>
  <c r="Q13" i="1"/>
  <c r="R13" i="1"/>
  <c r="S13" i="1"/>
  <c r="M13" i="1"/>
  <c r="T4" i="1"/>
  <c r="S83" i="1"/>
  <c r="R83" i="1"/>
  <c r="Q83" i="1"/>
  <c r="O83" i="1"/>
  <c r="N83" i="1"/>
  <c r="M83" i="1"/>
  <c r="H83" i="1"/>
  <c r="G83" i="1"/>
  <c r="F83" i="1"/>
  <c r="D83" i="1"/>
  <c r="C83" i="1"/>
  <c r="B83" i="1"/>
  <c r="I82" i="1"/>
  <c r="E82" i="1"/>
  <c r="I81" i="1"/>
  <c r="E81" i="1"/>
  <c r="T80" i="1"/>
  <c r="P80" i="1"/>
  <c r="I80" i="1"/>
  <c r="E80" i="1"/>
  <c r="T79" i="1"/>
  <c r="P79" i="1"/>
  <c r="I79" i="1"/>
  <c r="E79" i="1"/>
  <c r="T78" i="1"/>
  <c r="P78" i="1"/>
  <c r="I78" i="1"/>
  <c r="E78" i="1"/>
  <c r="T77" i="1"/>
  <c r="P77" i="1"/>
  <c r="T76" i="1"/>
  <c r="P76" i="1"/>
  <c r="I76" i="1"/>
  <c r="E76" i="1"/>
  <c r="T75" i="1"/>
  <c r="P75" i="1"/>
  <c r="I75" i="1"/>
  <c r="E75" i="1"/>
  <c r="T74" i="1"/>
  <c r="P74" i="1"/>
  <c r="I74" i="1"/>
  <c r="E74" i="1"/>
  <c r="T73" i="1"/>
  <c r="P73" i="1"/>
  <c r="I73" i="1"/>
  <c r="E73" i="1"/>
  <c r="T72" i="1"/>
  <c r="P72" i="1"/>
  <c r="I72" i="1"/>
  <c r="E72" i="1"/>
  <c r="I71" i="1"/>
  <c r="E71" i="1"/>
  <c r="T70" i="1"/>
  <c r="P70" i="1"/>
  <c r="I70" i="1"/>
  <c r="E70" i="1"/>
  <c r="T69" i="1"/>
  <c r="P69" i="1"/>
  <c r="I69" i="1"/>
  <c r="E69" i="1"/>
  <c r="T68" i="1"/>
  <c r="P68" i="1"/>
  <c r="I68" i="1"/>
  <c r="E68" i="1"/>
  <c r="T67" i="1"/>
  <c r="P67" i="1"/>
  <c r="I67" i="1"/>
  <c r="E67" i="1"/>
  <c r="T66" i="1"/>
  <c r="P66" i="1"/>
  <c r="I66" i="1"/>
  <c r="E66" i="1"/>
  <c r="T65" i="1"/>
  <c r="P65" i="1"/>
  <c r="T64" i="1"/>
  <c r="P64" i="1"/>
  <c r="T62" i="1"/>
  <c r="P62" i="1"/>
  <c r="T61" i="1"/>
  <c r="P61" i="1"/>
  <c r="T60" i="1"/>
  <c r="P60" i="1"/>
  <c r="T59" i="1"/>
  <c r="P59" i="1"/>
  <c r="T57" i="1"/>
  <c r="P57" i="1"/>
  <c r="T55" i="1"/>
  <c r="P55" i="1"/>
  <c r="I55" i="1"/>
  <c r="E55" i="1"/>
  <c r="T54" i="1"/>
  <c r="P54" i="1"/>
  <c r="I54" i="1"/>
  <c r="E54" i="1"/>
  <c r="T53" i="1"/>
  <c r="P53" i="1"/>
  <c r="I53" i="1"/>
  <c r="E53" i="1"/>
  <c r="T52" i="1"/>
  <c r="P52" i="1"/>
  <c r="I52" i="1"/>
  <c r="E52" i="1"/>
  <c r="T51" i="1"/>
  <c r="P51" i="1"/>
  <c r="T50" i="1"/>
  <c r="P50" i="1"/>
  <c r="T48" i="1"/>
  <c r="P48" i="1"/>
  <c r="E4" i="1"/>
  <c r="H40" i="1"/>
  <c r="G40" i="1"/>
  <c r="F40" i="1"/>
  <c r="D40" i="1"/>
  <c r="C40" i="1"/>
  <c r="B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2" i="1"/>
  <c r="E12" i="1"/>
  <c r="I11" i="1"/>
  <c r="E11" i="1"/>
  <c r="I10" i="1"/>
  <c r="E10" i="1"/>
  <c r="I9" i="1"/>
  <c r="E9" i="1"/>
  <c r="I8" i="1"/>
  <c r="E8" i="1"/>
  <c r="I4" i="1"/>
  <c r="S40" i="1"/>
  <c r="R40" i="1"/>
  <c r="T39" i="1"/>
  <c r="T35" i="1"/>
  <c r="T34" i="1"/>
  <c r="T33" i="1"/>
  <c r="T32" i="1"/>
  <c r="T31" i="1"/>
  <c r="T30" i="1"/>
  <c r="T29" i="1"/>
  <c r="T24" i="1"/>
  <c r="T23" i="1"/>
  <c r="T22" i="1"/>
  <c r="T21" i="1"/>
  <c r="T20" i="1"/>
  <c r="T19" i="1"/>
  <c r="T18" i="1"/>
  <c r="T17" i="1"/>
  <c r="T16" i="1"/>
  <c r="T14" i="1"/>
  <c r="T12" i="1"/>
  <c r="T11" i="1"/>
  <c r="T10" i="1"/>
  <c r="O40" i="1"/>
  <c r="P22" i="1"/>
  <c r="P23" i="1"/>
  <c r="P24" i="1"/>
  <c r="P29" i="1"/>
  <c r="P30" i="1"/>
  <c r="P31" i="1"/>
  <c r="P32" i="1"/>
  <c r="P33" i="1"/>
  <c r="P34" i="1"/>
  <c r="P35" i="1"/>
  <c r="P21" i="1"/>
  <c r="P20" i="1"/>
  <c r="P19" i="1"/>
  <c r="P18" i="1"/>
  <c r="P17" i="1"/>
  <c r="P16" i="1"/>
  <c r="P14" i="1"/>
  <c r="P11" i="1"/>
  <c r="P12" i="1"/>
  <c r="P10" i="1"/>
  <c r="P4" i="1"/>
  <c r="E13" i="1" l="1"/>
  <c r="I13" i="1"/>
  <c r="J8" i="1"/>
  <c r="J18" i="1"/>
  <c r="U50" i="1"/>
  <c r="U17" i="1"/>
  <c r="H41" i="1"/>
  <c r="H47" i="1" s="1"/>
  <c r="H56" i="1" s="1"/>
  <c r="H84" i="1" s="1"/>
  <c r="H90" i="1" s="1"/>
  <c r="U20" i="1"/>
  <c r="J66" i="1"/>
  <c r="U10" i="1"/>
  <c r="U35" i="1"/>
  <c r="U31" i="1"/>
  <c r="U32" i="1"/>
  <c r="U29" i="1"/>
  <c r="J22" i="1"/>
  <c r="J21" i="1"/>
  <c r="U30" i="1"/>
  <c r="S41" i="1"/>
  <c r="S47" i="1" s="1"/>
  <c r="S56" i="1" s="1"/>
  <c r="S84" i="1" s="1"/>
  <c r="S90" i="1" s="1"/>
  <c r="S99" i="1" s="1"/>
  <c r="S127" i="1" s="1"/>
  <c r="S133" i="1" s="1"/>
  <c r="S142" i="1" s="1"/>
  <c r="S170" i="1" s="1"/>
  <c r="S176" i="1" s="1"/>
  <c r="S185" i="1" s="1"/>
  <c r="S213" i="1" s="1"/>
  <c r="S219" i="1" s="1"/>
  <c r="S228" i="1" s="1"/>
  <c r="S256" i="1" s="1"/>
  <c r="S262" i="1" s="1"/>
  <c r="S271" i="1" s="1"/>
  <c r="S299" i="1" s="1"/>
  <c r="S305" i="1" s="1"/>
  <c r="S314" i="1" s="1"/>
  <c r="S342" i="1" s="1"/>
  <c r="S348" i="1" s="1"/>
  <c r="S357" i="1" s="1"/>
  <c r="S385" i="1" s="1"/>
  <c r="S391" i="1" s="1"/>
  <c r="S400" i="1" s="1"/>
  <c r="S428" i="1" s="1"/>
  <c r="S434" i="1" s="1"/>
  <c r="S443" i="1" s="1"/>
  <c r="S471" i="1" s="1"/>
  <c r="S477" i="1" s="1"/>
  <c r="S486" i="1" s="1"/>
  <c r="S514" i="1" s="1"/>
  <c r="S520" i="1" s="1"/>
  <c r="U34" i="1"/>
  <c r="J24" i="1"/>
  <c r="J27" i="1"/>
  <c r="J30" i="1"/>
  <c r="J33" i="1"/>
  <c r="J36" i="1"/>
  <c r="J39" i="1"/>
  <c r="Q41" i="1"/>
  <c r="Q47" i="1" s="1"/>
  <c r="Q56" i="1" s="1"/>
  <c r="Q84" i="1" s="1"/>
  <c r="Q90" i="1" s="1"/>
  <c r="J19" i="1"/>
  <c r="J25" i="1"/>
  <c r="U48" i="1"/>
  <c r="U64" i="1"/>
  <c r="U67" i="1"/>
  <c r="U70" i="1"/>
  <c r="J72" i="1"/>
  <c r="J75" i="1"/>
  <c r="U76" i="1"/>
  <c r="J81" i="1"/>
  <c r="I83" i="1"/>
  <c r="J31" i="1"/>
  <c r="J37" i="1"/>
  <c r="J28" i="1"/>
  <c r="J34" i="1"/>
  <c r="J10" i="1"/>
  <c r="B41" i="1"/>
  <c r="B47" i="1" s="1"/>
  <c r="B56" i="1" s="1"/>
  <c r="B84" i="1" s="1"/>
  <c r="B90" i="1" s="1"/>
  <c r="G41" i="1"/>
  <c r="G47" i="1" s="1"/>
  <c r="G56" i="1" s="1"/>
  <c r="G84" i="1" s="1"/>
  <c r="G90" i="1" s="1"/>
  <c r="G99" i="1" s="1"/>
  <c r="G127" i="1" s="1"/>
  <c r="G133" i="1" s="1"/>
  <c r="G142" i="1" s="1"/>
  <c r="G170" i="1" s="1"/>
  <c r="G176" i="1" s="1"/>
  <c r="G185" i="1" s="1"/>
  <c r="G213" i="1" s="1"/>
  <c r="G219" i="1" s="1"/>
  <c r="G228" i="1" s="1"/>
  <c r="G256" i="1" s="1"/>
  <c r="G262" i="1" s="1"/>
  <c r="G271" i="1" s="1"/>
  <c r="G299" i="1" s="1"/>
  <c r="G305" i="1" s="1"/>
  <c r="G314" i="1" s="1"/>
  <c r="G342" i="1" s="1"/>
  <c r="G348" i="1" s="1"/>
  <c r="G357" i="1" s="1"/>
  <c r="G385" i="1" s="1"/>
  <c r="G391" i="1" s="1"/>
  <c r="G400" i="1" s="1"/>
  <c r="G428" i="1" s="1"/>
  <c r="G434" i="1" s="1"/>
  <c r="G443" i="1" s="1"/>
  <c r="G471" i="1" s="1"/>
  <c r="G477" i="1" s="1"/>
  <c r="G486" i="1" s="1"/>
  <c r="G514" i="1" s="1"/>
  <c r="G520" i="1" s="1"/>
  <c r="U68" i="1"/>
  <c r="J4" i="1"/>
  <c r="O41" i="1"/>
  <c r="O47" i="1" s="1"/>
  <c r="O56" i="1" s="1"/>
  <c r="O84" i="1" s="1"/>
  <c r="O90" i="1" s="1"/>
  <c r="O99" i="1" s="1"/>
  <c r="O127" i="1" s="1"/>
  <c r="O133" i="1" s="1"/>
  <c r="O142" i="1" s="1"/>
  <c r="O170" i="1" s="1"/>
  <c r="O176" i="1" s="1"/>
  <c r="O185" i="1" s="1"/>
  <c r="O213" i="1" s="1"/>
  <c r="O219" i="1" s="1"/>
  <c r="O228" i="1" s="1"/>
  <c r="O256" i="1" s="1"/>
  <c r="O262" i="1" s="1"/>
  <c r="O271" i="1" s="1"/>
  <c r="O299" i="1" s="1"/>
  <c r="O305" i="1" s="1"/>
  <c r="O314" i="1" s="1"/>
  <c r="O342" i="1" s="1"/>
  <c r="O348" i="1" s="1"/>
  <c r="O357" i="1" s="1"/>
  <c r="O385" i="1" s="1"/>
  <c r="O391" i="1" s="1"/>
  <c r="O400" i="1" s="1"/>
  <c r="O428" i="1" s="1"/>
  <c r="O434" i="1" s="1"/>
  <c r="O443" i="1" s="1"/>
  <c r="O471" i="1" s="1"/>
  <c r="O477" i="1" s="1"/>
  <c r="O486" i="1" s="1"/>
  <c r="O514" i="1" s="1"/>
  <c r="O520" i="1" s="1"/>
  <c r="U51" i="1"/>
  <c r="J53" i="1"/>
  <c r="U54" i="1"/>
  <c r="U61" i="1"/>
  <c r="J69" i="1"/>
  <c r="U73" i="1"/>
  <c r="J78" i="1"/>
  <c r="U79" i="1"/>
  <c r="R41" i="1"/>
  <c r="R47" i="1" s="1"/>
  <c r="R56" i="1" s="1"/>
  <c r="R84" i="1" s="1"/>
  <c r="R90" i="1" s="1"/>
  <c r="R99" i="1" s="1"/>
  <c r="R127" i="1" s="1"/>
  <c r="R133" i="1" s="1"/>
  <c r="R142" i="1" s="1"/>
  <c r="R170" i="1" s="1"/>
  <c r="R176" i="1" s="1"/>
  <c r="R185" i="1" s="1"/>
  <c r="R213" i="1" s="1"/>
  <c r="R219" i="1" s="1"/>
  <c r="R228" i="1" s="1"/>
  <c r="R256" i="1" s="1"/>
  <c r="R262" i="1" s="1"/>
  <c r="R271" i="1" s="1"/>
  <c r="R299" i="1" s="1"/>
  <c r="R305" i="1" s="1"/>
  <c r="R314" i="1" s="1"/>
  <c r="R342" i="1" s="1"/>
  <c r="R348" i="1" s="1"/>
  <c r="R357" i="1" s="1"/>
  <c r="R385" i="1" s="1"/>
  <c r="R391" i="1" s="1"/>
  <c r="R400" i="1" s="1"/>
  <c r="R428" i="1" s="1"/>
  <c r="R434" i="1" s="1"/>
  <c r="R443" i="1" s="1"/>
  <c r="R471" i="1" s="1"/>
  <c r="R477" i="1" s="1"/>
  <c r="R486" i="1" s="1"/>
  <c r="R514" i="1" s="1"/>
  <c r="R520" i="1" s="1"/>
  <c r="R529" i="1" s="1"/>
  <c r="R557" i="1" s="1"/>
  <c r="U12" i="1"/>
  <c r="U24" i="1"/>
  <c r="E40" i="1"/>
  <c r="U53" i="1"/>
  <c r="U57" i="1"/>
  <c r="U60" i="1"/>
  <c r="J68" i="1"/>
  <c r="U72" i="1"/>
  <c r="U75" i="1"/>
  <c r="J80" i="1"/>
  <c r="U23" i="1"/>
  <c r="T13" i="1"/>
  <c r="J52" i="1"/>
  <c r="J55" i="1"/>
  <c r="U66" i="1"/>
  <c r="U69" i="1"/>
  <c r="J71" i="1"/>
  <c r="J74" i="1"/>
  <c r="U78" i="1"/>
  <c r="P83" i="1"/>
  <c r="U21" i="1"/>
  <c r="U11" i="1"/>
  <c r="U19" i="1"/>
  <c r="C41" i="1"/>
  <c r="C47" i="1" s="1"/>
  <c r="C56" i="1" s="1"/>
  <c r="C84" i="1" s="1"/>
  <c r="C90" i="1" s="1"/>
  <c r="C99" i="1" s="1"/>
  <c r="C127" i="1" s="1"/>
  <c r="C133" i="1" s="1"/>
  <c r="C142" i="1" s="1"/>
  <c r="C170" i="1" s="1"/>
  <c r="C176" i="1" s="1"/>
  <c r="C185" i="1" s="1"/>
  <c r="C213" i="1" s="1"/>
  <c r="C219" i="1" s="1"/>
  <c r="C228" i="1" s="1"/>
  <c r="C256" i="1" s="1"/>
  <c r="C262" i="1" s="1"/>
  <c r="C271" i="1" s="1"/>
  <c r="C299" i="1" s="1"/>
  <c r="C305" i="1" s="1"/>
  <c r="C314" i="1" s="1"/>
  <c r="C342" i="1" s="1"/>
  <c r="C348" i="1" s="1"/>
  <c r="C357" i="1" s="1"/>
  <c r="C385" i="1" s="1"/>
  <c r="C391" i="1" s="1"/>
  <c r="C400" i="1" s="1"/>
  <c r="C428" i="1" s="1"/>
  <c r="C434" i="1" s="1"/>
  <c r="C443" i="1" s="1"/>
  <c r="C471" i="1" s="1"/>
  <c r="C477" i="1" s="1"/>
  <c r="C486" i="1" s="1"/>
  <c r="C514" i="1" s="1"/>
  <c r="C520" i="1" s="1"/>
  <c r="C529" i="1" s="1"/>
  <c r="C557" i="1" s="1"/>
  <c r="C563" i="1" s="1"/>
  <c r="C572" i="1" s="1"/>
  <c r="C600" i="1" s="1"/>
  <c r="C606" i="1" s="1"/>
  <c r="C615" i="1" s="1"/>
  <c r="C643" i="1" s="1"/>
  <c r="C649" i="1" s="1"/>
  <c r="C658" i="1" s="1"/>
  <c r="C686" i="1" s="1"/>
  <c r="C692" i="1" s="1"/>
  <c r="I40" i="1"/>
  <c r="U52" i="1"/>
  <c r="J54" i="1"/>
  <c r="U55" i="1"/>
  <c r="U59" i="1"/>
  <c r="U62" i="1"/>
  <c r="U65" i="1"/>
  <c r="J67" i="1"/>
  <c r="J70" i="1"/>
  <c r="J73" i="1"/>
  <c r="U74" i="1"/>
  <c r="J76" i="1"/>
  <c r="U77" i="1"/>
  <c r="J79" i="1"/>
  <c r="U80" i="1"/>
  <c r="J82" i="1"/>
  <c r="U4" i="1"/>
  <c r="P13" i="1"/>
  <c r="U18" i="1"/>
  <c r="U22" i="1"/>
  <c r="N41" i="1"/>
  <c r="N47" i="1" s="1"/>
  <c r="N56" i="1" s="1"/>
  <c r="N84" i="1" s="1"/>
  <c r="N90" i="1" s="1"/>
  <c r="N99" i="1" s="1"/>
  <c r="N127" i="1" s="1"/>
  <c r="N133" i="1" s="1"/>
  <c r="N142" i="1" s="1"/>
  <c r="N170" i="1" s="1"/>
  <c r="N176" i="1" s="1"/>
  <c r="N185" i="1" s="1"/>
  <c r="N213" i="1" s="1"/>
  <c r="N219" i="1" s="1"/>
  <c r="N228" i="1" s="1"/>
  <c r="N256" i="1" s="1"/>
  <c r="N262" i="1" s="1"/>
  <c r="N271" i="1" s="1"/>
  <c r="N305" i="1" s="1"/>
  <c r="N314" i="1" s="1"/>
  <c r="N342" i="1" s="1"/>
  <c r="N348" i="1" s="1"/>
  <c r="N357" i="1" s="1"/>
  <c r="N385" i="1" s="1"/>
  <c r="N391" i="1" s="1"/>
  <c r="N400" i="1" s="1"/>
  <c r="N428" i="1" s="1"/>
  <c r="N434" i="1" s="1"/>
  <c r="N443" i="1" s="1"/>
  <c r="N471" i="1" s="1"/>
  <c r="N477" i="1" s="1"/>
  <c r="N486" i="1" s="1"/>
  <c r="N514" i="1" s="1"/>
  <c r="N520" i="1" s="1"/>
  <c r="N529" i="1" s="1"/>
  <c r="N557" i="1" s="1"/>
  <c r="M41" i="1"/>
  <c r="M47" i="1" s="1"/>
  <c r="M56" i="1" s="1"/>
  <c r="M84" i="1" s="1"/>
  <c r="M90" i="1" s="1"/>
  <c r="U14" i="1"/>
  <c r="U33" i="1"/>
  <c r="J11" i="1"/>
  <c r="U16" i="1"/>
  <c r="T40" i="1"/>
  <c r="J9" i="1"/>
  <c r="J12" i="1"/>
  <c r="J20" i="1"/>
  <c r="J23" i="1"/>
  <c r="J26" i="1"/>
  <c r="J29" i="1"/>
  <c r="J32" i="1"/>
  <c r="J35" i="1"/>
  <c r="J38" i="1"/>
  <c r="E83" i="1"/>
  <c r="D41" i="1"/>
  <c r="D47" i="1" s="1"/>
  <c r="P39" i="1"/>
  <c r="U39" i="1" s="1"/>
  <c r="F41" i="1"/>
  <c r="F47" i="1" s="1"/>
  <c r="T83" i="1"/>
  <c r="P40" i="1"/>
  <c r="C701" i="1" l="1"/>
  <c r="C729" i="1" s="1"/>
  <c r="C735" i="1" s="1"/>
  <c r="G529" i="1"/>
  <c r="G557" i="1" s="1"/>
  <c r="G563" i="1" s="1"/>
  <c r="R563" i="1"/>
  <c r="R572" i="1" s="1"/>
  <c r="R600" i="1" s="1"/>
  <c r="R606" i="1" s="1"/>
  <c r="R615" i="1" s="1"/>
  <c r="R643" i="1" s="1"/>
  <c r="R649" i="1" s="1"/>
  <c r="O529" i="1"/>
  <c r="O557" i="1" s="1"/>
  <c r="S529" i="1"/>
  <c r="S557" i="1" s="1"/>
  <c r="N563" i="1"/>
  <c r="N572" i="1" s="1"/>
  <c r="N600" i="1" s="1"/>
  <c r="N606" i="1" s="1"/>
  <c r="N615" i="1" s="1"/>
  <c r="N643" i="1" s="1"/>
  <c r="N649" i="1" s="1"/>
  <c r="M99" i="1"/>
  <c r="M127" i="1" s="1"/>
  <c r="M133" i="1" s="1"/>
  <c r="P90" i="1"/>
  <c r="Q99" i="1"/>
  <c r="Q127" i="1" s="1"/>
  <c r="Q133" i="1" s="1"/>
  <c r="T90" i="1"/>
  <c r="T99" i="1" s="1"/>
  <c r="T127" i="1" s="1"/>
  <c r="B99" i="1"/>
  <c r="B127" i="1" s="1"/>
  <c r="B133" i="1" s="1"/>
  <c r="E90" i="1"/>
  <c r="H99" i="1"/>
  <c r="H127" i="1" s="1"/>
  <c r="H133" i="1" s="1"/>
  <c r="H142" i="1" s="1"/>
  <c r="H170" i="1" s="1"/>
  <c r="H176" i="1" s="1"/>
  <c r="H185" i="1" s="1"/>
  <c r="H213" i="1" s="1"/>
  <c r="H219" i="1" s="1"/>
  <c r="H228" i="1" s="1"/>
  <c r="H256" i="1" s="1"/>
  <c r="H262" i="1" s="1"/>
  <c r="H271" i="1" s="1"/>
  <c r="H299" i="1" s="1"/>
  <c r="H305" i="1" s="1"/>
  <c r="H314" i="1" s="1"/>
  <c r="H342" i="1" s="1"/>
  <c r="H348" i="1" s="1"/>
  <c r="H357" i="1" s="1"/>
  <c r="H385" i="1" s="1"/>
  <c r="H391" i="1" s="1"/>
  <c r="H400" i="1" s="1"/>
  <c r="H428" i="1" s="1"/>
  <c r="H434" i="1" s="1"/>
  <c r="H443" i="1" s="1"/>
  <c r="H471" i="1" s="1"/>
  <c r="H477" i="1" s="1"/>
  <c r="H486" i="1" s="1"/>
  <c r="H514" i="1" s="1"/>
  <c r="H520" i="1" s="1"/>
  <c r="H529" i="1" s="1"/>
  <c r="H557" i="1" s="1"/>
  <c r="H563" i="1" s="1"/>
  <c r="H572" i="1" s="1"/>
  <c r="H600" i="1" s="1"/>
  <c r="H606" i="1" s="1"/>
  <c r="H615" i="1" s="1"/>
  <c r="H643" i="1" s="1"/>
  <c r="H649" i="1" s="1"/>
  <c r="H658" i="1" s="1"/>
  <c r="H686" i="1" s="1"/>
  <c r="H692" i="1" s="1"/>
  <c r="H701" i="1" s="1"/>
  <c r="H729" i="1" s="1"/>
  <c r="H735" i="1" s="1"/>
  <c r="H744" i="1" s="1"/>
  <c r="H772" i="1" s="1"/>
  <c r="H778" i="1" s="1"/>
  <c r="H787" i="1" s="1"/>
  <c r="H815" i="1" s="1"/>
  <c r="H821" i="1" s="1"/>
  <c r="H830" i="1" s="1"/>
  <c r="H858" i="1" s="1"/>
  <c r="J13" i="1"/>
  <c r="U13" i="1"/>
  <c r="U83" i="1"/>
  <c r="E41" i="1"/>
  <c r="J83" i="1"/>
  <c r="T47" i="1"/>
  <c r="T56" i="1" s="1"/>
  <c r="T84" i="1" s="1"/>
  <c r="I41" i="1"/>
  <c r="T41" i="1"/>
  <c r="J40" i="1"/>
  <c r="P47" i="1"/>
  <c r="P56" i="1" s="1"/>
  <c r="P84" i="1" s="1"/>
  <c r="F56" i="1"/>
  <c r="F84" i="1" s="1"/>
  <c r="F90" i="1" s="1"/>
  <c r="F99" i="1" s="1"/>
  <c r="F127" i="1" s="1"/>
  <c r="F133" i="1" s="1"/>
  <c r="I47" i="1"/>
  <c r="I56" i="1" s="1"/>
  <c r="I84" i="1" s="1"/>
  <c r="D56" i="1"/>
  <c r="D84" i="1" s="1"/>
  <c r="D90" i="1" s="1"/>
  <c r="D99" i="1" s="1"/>
  <c r="D127" i="1" s="1"/>
  <c r="D133" i="1" s="1"/>
  <c r="D142" i="1" s="1"/>
  <c r="D170" i="1" s="1"/>
  <c r="D176" i="1" s="1"/>
  <c r="D185" i="1" s="1"/>
  <c r="D213" i="1" s="1"/>
  <c r="D219" i="1" s="1"/>
  <c r="D228" i="1" s="1"/>
  <c r="D256" i="1" s="1"/>
  <c r="D262" i="1" s="1"/>
  <c r="D271" i="1" s="1"/>
  <c r="D299" i="1" s="1"/>
  <c r="D305" i="1" s="1"/>
  <c r="D314" i="1" s="1"/>
  <c r="D342" i="1" s="1"/>
  <c r="D348" i="1" s="1"/>
  <c r="D357" i="1" s="1"/>
  <c r="D385" i="1" s="1"/>
  <c r="D391" i="1" s="1"/>
  <c r="D400" i="1" s="1"/>
  <c r="D428" i="1" s="1"/>
  <c r="D434" i="1" s="1"/>
  <c r="D443" i="1" s="1"/>
  <c r="D471" i="1" s="1"/>
  <c r="D477" i="1" s="1"/>
  <c r="E47" i="1"/>
  <c r="P41" i="1"/>
  <c r="U40" i="1"/>
  <c r="C744" i="1" l="1"/>
  <c r="C772" i="1" s="1"/>
  <c r="C778" i="1" s="1"/>
  <c r="C787" i="1" s="1"/>
  <c r="C815" i="1" s="1"/>
  <c r="C821" i="1" s="1"/>
  <c r="C830" i="1" s="1"/>
  <c r="C858" i="1" s="1"/>
  <c r="R658" i="1"/>
  <c r="R686" i="1" s="1"/>
  <c r="R692" i="1" s="1"/>
  <c r="R701" i="1" s="1"/>
  <c r="R729" i="1" s="1"/>
  <c r="R735" i="1" s="1"/>
  <c r="R744" i="1" s="1"/>
  <c r="R772" i="1" s="1"/>
  <c r="R778" i="1" s="1"/>
  <c r="R787" i="1" s="1"/>
  <c r="R815" i="1" s="1"/>
  <c r="R821" i="1" s="1"/>
  <c r="R830" i="1" s="1"/>
  <c r="R858" i="1" s="1"/>
  <c r="N658" i="1"/>
  <c r="N686" i="1" s="1"/>
  <c r="N692" i="1" s="1"/>
  <c r="N701" i="1" s="1"/>
  <c r="N729" i="1" s="1"/>
  <c r="N735" i="1" s="1"/>
  <c r="G572" i="1"/>
  <c r="G600" i="1" s="1"/>
  <c r="G606" i="1" s="1"/>
  <c r="O563" i="1"/>
  <c r="O572" i="1" s="1"/>
  <c r="O600" i="1" s="1"/>
  <c r="O606" i="1" s="1"/>
  <c r="S563" i="1"/>
  <c r="S572" i="1" s="1"/>
  <c r="S600" i="1" s="1"/>
  <c r="S606" i="1" s="1"/>
  <c r="S615" i="1" s="1"/>
  <c r="S643" i="1" s="1"/>
  <c r="S649" i="1" s="1"/>
  <c r="S658" i="1" s="1"/>
  <c r="S686" i="1" s="1"/>
  <c r="S692" i="1" s="1"/>
  <c r="S701" i="1" s="1"/>
  <c r="S729" i="1" s="1"/>
  <c r="S735" i="1" s="1"/>
  <c r="S744" i="1" s="1"/>
  <c r="S772" i="1" s="1"/>
  <c r="S778" i="1" s="1"/>
  <c r="S787" i="1" s="1"/>
  <c r="S815" i="1" s="1"/>
  <c r="S821" i="1" s="1"/>
  <c r="S830" i="1" s="1"/>
  <c r="S858" i="1" s="1"/>
  <c r="D486" i="1"/>
  <c r="D514" i="1" s="1"/>
  <c r="D520" i="1" s="1"/>
  <c r="D529" i="1" s="1"/>
  <c r="D557" i="1" s="1"/>
  <c r="D563" i="1" s="1"/>
  <c r="D572" i="1" s="1"/>
  <c r="D600" i="1" s="1"/>
  <c r="D606" i="1" s="1"/>
  <c r="D615" i="1" s="1"/>
  <c r="D643" i="1" s="1"/>
  <c r="D649" i="1" s="1"/>
  <c r="D658" i="1" s="1"/>
  <c r="D686" i="1" s="1"/>
  <c r="D692" i="1" s="1"/>
  <c r="E99" i="1"/>
  <c r="E127" i="1" s="1"/>
  <c r="J90" i="1"/>
  <c r="J99" i="1" s="1"/>
  <c r="P99" i="1"/>
  <c r="P127" i="1" s="1"/>
  <c r="U127" i="1" s="1"/>
  <c r="U90" i="1"/>
  <c r="U99" i="1" s="1"/>
  <c r="F142" i="1"/>
  <c r="F170" i="1" s="1"/>
  <c r="F176" i="1" s="1"/>
  <c r="I133" i="1"/>
  <c r="I142" i="1" s="1"/>
  <c r="I170" i="1" s="1"/>
  <c r="I90" i="1"/>
  <c r="I99" i="1" s="1"/>
  <c r="I127" i="1" s="1"/>
  <c r="B142" i="1"/>
  <c r="B170" i="1" s="1"/>
  <c r="B176" i="1" s="1"/>
  <c r="E133" i="1"/>
  <c r="Q142" i="1"/>
  <c r="Q170" i="1" s="1"/>
  <c r="Q176" i="1" s="1"/>
  <c r="T133" i="1"/>
  <c r="T142" i="1" s="1"/>
  <c r="T170" i="1" s="1"/>
  <c r="M142" i="1"/>
  <c r="M170" i="1" s="1"/>
  <c r="M176" i="1" s="1"/>
  <c r="P133" i="1"/>
  <c r="J41" i="1"/>
  <c r="U47" i="1"/>
  <c r="U56" i="1" s="1"/>
  <c r="U84" i="1"/>
  <c r="U41" i="1"/>
  <c r="E56" i="1"/>
  <c r="E84" i="1" s="1"/>
  <c r="J84" i="1" s="1"/>
  <c r="J47" i="1"/>
  <c r="J56" i="1" s="1"/>
  <c r="N744" i="1" l="1"/>
  <c r="N772" i="1" s="1"/>
  <c r="N778" i="1" s="1"/>
  <c r="N787" i="1" s="1"/>
  <c r="N815" i="1" s="1"/>
  <c r="N821" i="1" s="1"/>
  <c r="N830" i="1" s="1"/>
  <c r="N858" i="1" s="1"/>
  <c r="D701" i="1"/>
  <c r="D729" i="1" s="1"/>
  <c r="D735" i="1" s="1"/>
  <c r="G615" i="1"/>
  <c r="G643" i="1" s="1"/>
  <c r="G649" i="1" s="1"/>
  <c r="G658" i="1" s="1"/>
  <c r="G686" i="1" s="1"/>
  <c r="G692" i="1" s="1"/>
  <c r="G701" i="1" s="1"/>
  <c r="G729" i="1" s="1"/>
  <c r="G735" i="1" s="1"/>
  <c r="O615" i="1"/>
  <c r="O643" i="1" s="1"/>
  <c r="O649" i="1" s="1"/>
  <c r="O658" i="1" s="1"/>
  <c r="O686" i="1" s="1"/>
  <c r="O692" i="1" s="1"/>
  <c r="O701" i="1" s="1"/>
  <c r="O729" i="1" s="1"/>
  <c r="O735" i="1" s="1"/>
  <c r="O744" i="1" s="1"/>
  <c r="O772" i="1" s="1"/>
  <c r="O778" i="1" s="1"/>
  <c r="O787" i="1" s="1"/>
  <c r="O815" i="1" s="1"/>
  <c r="O821" i="1" s="1"/>
  <c r="O830" i="1" s="1"/>
  <c r="O858" i="1" s="1"/>
  <c r="P176" i="1"/>
  <c r="M185" i="1"/>
  <c r="M213" i="1" s="1"/>
  <c r="M219" i="1" s="1"/>
  <c r="T176" i="1"/>
  <c r="T185" i="1" s="1"/>
  <c r="T213" i="1" s="1"/>
  <c r="Q185" i="1"/>
  <c r="Q213" i="1" s="1"/>
  <c r="Q219" i="1" s="1"/>
  <c r="B185" i="1"/>
  <c r="B213" i="1" s="1"/>
  <c r="B219" i="1" s="1"/>
  <c r="E176" i="1"/>
  <c r="P142" i="1"/>
  <c r="P170" i="1" s="1"/>
  <c r="U170" i="1" s="1"/>
  <c r="U133" i="1"/>
  <c r="U142" i="1" s="1"/>
  <c r="E142" i="1"/>
  <c r="E170" i="1" s="1"/>
  <c r="J170" i="1" s="1"/>
  <c r="J133" i="1"/>
  <c r="J142" i="1" s="1"/>
  <c r="I176" i="1"/>
  <c r="I185" i="1" s="1"/>
  <c r="I213" i="1" s="1"/>
  <c r="F185" i="1"/>
  <c r="F213" i="1" s="1"/>
  <c r="F219" i="1" s="1"/>
  <c r="J127" i="1"/>
  <c r="D744" i="1" l="1"/>
  <c r="D772" i="1" s="1"/>
  <c r="D778" i="1" s="1"/>
  <c r="D787" i="1" s="1"/>
  <c r="D815" i="1" s="1"/>
  <c r="D821" i="1" s="1"/>
  <c r="D830" i="1" s="1"/>
  <c r="D858" i="1" s="1"/>
  <c r="G744" i="1"/>
  <c r="G772" i="1" s="1"/>
  <c r="G778" i="1" s="1"/>
  <c r="G787" i="1" s="1"/>
  <c r="G815" i="1" s="1"/>
  <c r="G821" i="1" s="1"/>
  <c r="F228" i="1"/>
  <c r="F256" i="1" s="1"/>
  <c r="F262" i="1" s="1"/>
  <c r="I219" i="1"/>
  <c r="I228" i="1" s="1"/>
  <c r="I256" i="1" s="1"/>
  <c r="E185" i="1"/>
  <c r="E213" i="1" s="1"/>
  <c r="J176" i="1"/>
  <c r="J185" i="1" s="1"/>
  <c r="Q228" i="1"/>
  <c r="Q256" i="1" s="1"/>
  <c r="Q262" i="1" s="1"/>
  <c r="T219" i="1"/>
  <c r="T228" i="1" s="1"/>
  <c r="T256" i="1" s="1"/>
  <c r="M228" i="1"/>
  <c r="M256" i="1" s="1"/>
  <c r="M262" i="1" s="1"/>
  <c r="P219" i="1"/>
  <c r="J213" i="1"/>
  <c r="E219" i="1"/>
  <c r="B228" i="1"/>
  <c r="B256" i="1" s="1"/>
  <c r="B262" i="1" s="1"/>
  <c r="U176" i="1"/>
  <c r="U185" i="1" s="1"/>
  <c r="P185" i="1"/>
  <c r="P213" i="1" s="1"/>
  <c r="U213" i="1" s="1"/>
  <c r="G830" i="1" l="1"/>
  <c r="G858" i="1" s="1"/>
  <c r="E228" i="1"/>
  <c r="E256" i="1" s="1"/>
  <c r="J256" i="1" s="1"/>
  <c r="J219" i="1"/>
  <c r="J228" i="1" s="1"/>
  <c r="P228" i="1"/>
  <c r="P256" i="1" s="1"/>
  <c r="U256" i="1" s="1"/>
  <c r="U219" i="1"/>
  <c r="U228" i="1" s="1"/>
  <c r="B271" i="1"/>
  <c r="B299" i="1" s="1"/>
  <c r="B305" i="1" s="1"/>
  <c r="E262" i="1"/>
  <c r="M271" i="1"/>
  <c r="M299" i="1" s="1"/>
  <c r="M305" i="1" s="1"/>
  <c r="P262" i="1"/>
  <c r="Q271" i="1"/>
  <c r="Q299" i="1" s="1"/>
  <c r="Q305" i="1" s="1"/>
  <c r="T262" i="1"/>
  <c r="T271" i="1" s="1"/>
  <c r="T299" i="1" s="1"/>
  <c r="I262" i="1"/>
  <c r="I271" i="1" s="1"/>
  <c r="I299" i="1" s="1"/>
  <c r="F271" i="1"/>
  <c r="F299" i="1" s="1"/>
  <c r="F305" i="1" s="1"/>
  <c r="Q314" i="1" l="1"/>
  <c r="Q342" i="1" s="1"/>
  <c r="Q348" i="1" s="1"/>
  <c r="T305" i="1"/>
  <c r="T314" i="1" s="1"/>
  <c r="T342" i="1" s="1"/>
  <c r="M314" i="1"/>
  <c r="M342" i="1" s="1"/>
  <c r="M348" i="1" s="1"/>
  <c r="P305" i="1"/>
  <c r="B314" i="1"/>
  <c r="B342" i="1" s="1"/>
  <c r="B348" i="1" s="1"/>
  <c r="E305" i="1"/>
  <c r="F314" i="1"/>
  <c r="F342" i="1" s="1"/>
  <c r="F348" i="1" s="1"/>
  <c r="I305" i="1"/>
  <c r="I314" i="1" s="1"/>
  <c r="I342" i="1" s="1"/>
  <c r="P271" i="1"/>
  <c r="P299" i="1" s="1"/>
  <c r="U299" i="1" s="1"/>
  <c r="U262" i="1"/>
  <c r="U271" i="1" s="1"/>
  <c r="E271" i="1"/>
  <c r="E299" i="1" s="1"/>
  <c r="J299" i="1" s="1"/>
  <c r="J262" i="1"/>
  <c r="J271" i="1" s="1"/>
  <c r="I348" i="1" l="1"/>
  <c r="I357" i="1" s="1"/>
  <c r="I385" i="1" s="1"/>
  <c r="F357" i="1"/>
  <c r="F385" i="1" s="1"/>
  <c r="F391" i="1" s="1"/>
  <c r="E348" i="1"/>
  <c r="B357" i="1"/>
  <c r="B385" i="1" s="1"/>
  <c r="B391" i="1" s="1"/>
  <c r="M357" i="1"/>
  <c r="M385" i="1" s="1"/>
  <c r="M391" i="1" s="1"/>
  <c r="P348" i="1"/>
  <c r="Q357" i="1"/>
  <c r="Q385" i="1" s="1"/>
  <c r="Q391" i="1" s="1"/>
  <c r="T348" i="1"/>
  <c r="T357" i="1" s="1"/>
  <c r="T385" i="1" s="1"/>
  <c r="E314" i="1"/>
  <c r="E342" i="1" s="1"/>
  <c r="J342" i="1" s="1"/>
  <c r="J305" i="1"/>
  <c r="J314" i="1" s="1"/>
  <c r="P314" i="1"/>
  <c r="P342" i="1" s="1"/>
  <c r="U342" i="1" s="1"/>
  <c r="U305" i="1"/>
  <c r="U314" i="1" s="1"/>
  <c r="F400" i="1" l="1"/>
  <c r="F428" i="1" s="1"/>
  <c r="F434" i="1" s="1"/>
  <c r="I391" i="1"/>
  <c r="I400" i="1" s="1"/>
  <c r="I428" i="1" s="1"/>
  <c r="B400" i="1"/>
  <c r="B428" i="1" s="1"/>
  <c r="B434" i="1" s="1"/>
  <c r="E391" i="1"/>
  <c r="Q400" i="1"/>
  <c r="Q428" i="1" s="1"/>
  <c r="Q434" i="1" s="1"/>
  <c r="T391" i="1"/>
  <c r="T400" i="1" s="1"/>
  <c r="T428" i="1" s="1"/>
  <c r="M400" i="1"/>
  <c r="M428" i="1" s="1"/>
  <c r="M434" i="1" s="1"/>
  <c r="P391" i="1"/>
  <c r="J348" i="1"/>
  <c r="J357" i="1" s="1"/>
  <c r="E357" i="1"/>
  <c r="E385" i="1" s="1"/>
  <c r="J385" i="1" s="1"/>
  <c r="U348" i="1"/>
  <c r="U357" i="1" s="1"/>
  <c r="P357" i="1"/>
  <c r="P385" i="1" s="1"/>
  <c r="U385" i="1" s="1"/>
  <c r="I434" i="1" l="1"/>
  <c r="I443" i="1" s="1"/>
  <c r="I471" i="1" s="1"/>
  <c r="F443" i="1"/>
  <c r="F471" i="1" s="1"/>
  <c r="F477" i="1" s="1"/>
  <c r="E434" i="1"/>
  <c r="B443" i="1"/>
  <c r="B471" i="1" s="1"/>
  <c r="B477" i="1" s="1"/>
  <c r="Q443" i="1"/>
  <c r="Q471" i="1" s="1"/>
  <c r="Q477" i="1" s="1"/>
  <c r="T434" i="1"/>
  <c r="T443" i="1" s="1"/>
  <c r="T471" i="1" s="1"/>
  <c r="M443" i="1"/>
  <c r="M471" i="1" s="1"/>
  <c r="M477" i="1" s="1"/>
  <c r="P434" i="1"/>
  <c r="E400" i="1"/>
  <c r="E428" i="1" s="1"/>
  <c r="J428" i="1" s="1"/>
  <c r="J391" i="1"/>
  <c r="J400" i="1" s="1"/>
  <c r="P400" i="1"/>
  <c r="P428" i="1" s="1"/>
  <c r="U428" i="1" s="1"/>
  <c r="U391" i="1"/>
  <c r="U400" i="1" s="1"/>
  <c r="F486" i="1" l="1"/>
  <c r="F514" i="1" s="1"/>
  <c r="F520" i="1" s="1"/>
  <c r="I477" i="1"/>
  <c r="I486" i="1" s="1"/>
  <c r="I514" i="1" s="1"/>
  <c r="B486" i="1"/>
  <c r="B514" i="1" s="1"/>
  <c r="B520" i="1" s="1"/>
  <c r="E477" i="1"/>
  <c r="T477" i="1"/>
  <c r="T486" i="1" s="1"/>
  <c r="T514" i="1" s="1"/>
  <c r="Q486" i="1"/>
  <c r="Q514" i="1" s="1"/>
  <c r="Q520" i="1" s="1"/>
  <c r="M486" i="1"/>
  <c r="M514" i="1" s="1"/>
  <c r="M520" i="1" s="1"/>
  <c r="P477" i="1"/>
  <c r="R472" i="1"/>
  <c r="S472" i="1"/>
  <c r="T472" i="1"/>
  <c r="Q472" i="1"/>
  <c r="E443" i="1"/>
  <c r="E471" i="1" s="1"/>
  <c r="J471" i="1" s="1"/>
  <c r="J434" i="1"/>
  <c r="J443" i="1" s="1"/>
  <c r="U434" i="1"/>
  <c r="U443" i="1" s="1"/>
  <c r="P443" i="1"/>
  <c r="P471" i="1" s="1"/>
  <c r="F529" i="1" l="1"/>
  <c r="F557" i="1" s="1"/>
  <c r="F563" i="1" s="1"/>
  <c r="I520" i="1"/>
  <c r="I529" i="1" s="1"/>
  <c r="I557" i="1" s="1"/>
  <c r="E520" i="1"/>
  <c r="B529" i="1"/>
  <c r="B557" i="1" s="1"/>
  <c r="B563" i="1" s="1"/>
  <c r="M529" i="1"/>
  <c r="M557" i="1" s="1"/>
  <c r="P520" i="1"/>
  <c r="Q529" i="1"/>
  <c r="Q557" i="1" s="1"/>
  <c r="T520" i="1"/>
  <c r="T529" i="1" s="1"/>
  <c r="T557" i="1" s="1"/>
  <c r="E486" i="1"/>
  <c r="E514" i="1" s="1"/>
  <c r="J514" i="1" s="1"/>
  <c r="J477" i="1"/>
  <c r="J486" i="1" s="1"/>
  <c r="U477" i="1"/>
  <c r="U486" i="1" s="1"/>
  <c r="P486" i="1"/>
  <c r="P514" i="1" s="1"/>
  <c r="U471" i="1"/>
  <c r="N472" i="1"/>
  <c r="O472" i="1"/>
  <c r="P472" i="1"/>
  <c r="M472" i="1"/>
  <c r="F572" i="1" l="1"/>
  <c r="F600" i="1" s="1"/>
  <c r="F606" i="1" s="1"/>
  <c r="I563" i="1"/>
  <c r="I572" i="1" s="1"/>
  <c r="I600" i="1" s="1"/>
  <c r="E563" i="1"/>
  <c r="B572" i="1"/>
  <c r="B600" i="1" s="1"/>
  <c r="B606" i="1" s="1"/>
  <c r="J520" i="1"/>
  <c r="J529" i="1" s="1"/>
  <c r="E529" i="1"/>
  <c r="E557" i="1" s="1"/>
  <c r="J557" i="1" s="1"/>
  <c r="Q563" i="1"/>
  <c r="P529" i="1"/>
  <c r="P557" i="1" s="1"/>
  <c r="U520" i="1"/>
  <c r="U529" i="1" s="1"/>
  <c r="M563" i="1"/>
  <c r="U514" i="1"/>
  <c r="F615" i="1" l="1"/>
  <c r="F643" i="1" s="1"/>
  <c r="F649" i="1" s="1"/>
  <c r="I606" i="1"/>
  <c r="I615" i="1" s="1"/>
  <c r="I643" i="1" s="1"/>
  <c r="E606" i="1"/>
  <c r="B615" i="1"/>
  <c r="B643" i="1" s="1"/>
  <c r="B649" i="1" s="1"/>
  <c r="J563" i="1"/>
  <c r="J572" i="1" s="1"/>
  <c r="E572" i="1"/>
  <c r="E600" i="1" s="1"/>
  <c r="J600" i="1" s="1"/>
  <c r="U557" i="1"/>
  <c r="M572" i="1"/>
  <c r="M600" i="1" s="1"/>
  <c r="M606" i="1" s="1"/>
  <c r="P563" i="1"/>
  <c r="T563" i="1"/>
  <c r="T572" i="1" s="1"/>
  <c r="T600" i="1" s="1"/>
  <c r="Q572" i="1"/>
  <c r="Q600" i="1" s="1"/>
  <c r="Q606" i="1" s="1"/>
  <c r="B658" i="1" l="1"/>
  <c r="B686" i="1" s="1"/>
  <c r="B692" i="1" s="1"/>
  <c r="E649" i="1"/>
  <c r="E658" i="1" s="1"/>
  <c r="E686" i="1" s="1"/>
  <c r="F658" i="1"/>
  <c r="F686" i="1" s="1"/>
  <c r="F692" i="1" s="1"/>
  <c r="I649" i="1"/>
  <c r="E615" i="1"/>
  <c r="E643" i="1" s="1"/>
  <c r="J643" i="1" s="1"/>
  <c r="J606" i="1"/>
  <c r="J615" i="1" s="1"/>
  <c r="Q615" i="1"/>
  <c r="Q643" i="1" s="1"/>
  <c r="Q649" i="1" s="1"/>
  <c r="T606" i="1"/>
  <c r="T615" i="1" s="1"/>
  <c r="T643" i="1" s="1"/>
  <c r="M615" i="1"/>
  <c r="M643" i="1" s="1"/>
  <c r="M649" i="1" s="1"/>
  <c r="P606" i="1"/>
  <c r="T601" i="1"/>
  <c r="R601" i="1"/>
  <c r="S601" i="1"/>
  <c r="Q601" i="1"/>
  <c r="U563" i="1"/>
  <c r="U572" i="1" s="1"/>
  <c r="P572" i="1"/>
  <c r="P600" i="1" s="1"/>
  <c r="M601" i="1" s="1"/>
  <c r="B701" i="1" l="1"/>
  <c r="B729" i="1" s="1"/>
  <c r="B735" i="1" s="1"/>
  <c r="E692" i="1"/>
  <c r="E701" i="1" s="1"/>
  <c r="E729" i="1" s="1"/>
  <c r="I692" i="1"/>
  <c r="F701" i="1"/>
  <c r="F729" i="1" s="1"/>
  <c r="F735" i="1" s="1"/>
  <c r="I658" i="1"/>
  <c r="I686" i="1" s="1"/>
  <c r="J686" i="1" s="1"/>
  <c r="J649" i="1"/>
  <c r="J658" i="1" s="1"/>
  <c r="Q658" i="1"/>
  <c r="Q686" i="1" s="1"/>
  <c r="Q692" i="1" s="1"/>
  <c r="T649" i="1"/>
  <c r="T658" i="1" s="1"/>
  <c r="T686" i="1" s="1"/>
  <c r="M658" i="1"/>
  <c r="M686" i="1" s="1"/>
  <c r="M692" i="1" s="1"/>
  <c r="P649" i="1"/>
  <c r="P615" i="1"/>
  <c r="P643" i="1" s="1"/>
  <c r="U643" i="1" s="1"/>
  <c r="U606" i="1"/>
  <c r="U615" i="1" s="1"/>
  <c r="U600" i="1"/>
  <c r="P601" i="1"/>
  <c r="N601" i="1"/>
  <c r="O601" i="1"/>
  <c r="B744" i="1" l="1"/>
  <c r="B772" i="1" s="1"/>
  <c r="B778" i="1" s="1"/>
  <c r="E735" i="1"/>
  <c r="E744" i="1" s="1"/>
  <c r="E772" i="1" s="1"/>
  <c r="F744" i="1"/>
  <c r="F772" i="1" s="1"/>
  <c r="F778" i="1" s="1"/>
  <c r="I735" i="1"/>
  <c r="I701" i="1"/>
  <c r="I729" i="1" s="1"/>
  <c r="J729" i="1" s="1"/>
  <c r="J692" i="1"/>
  <c r="J701" i="1" s="1"/>
  <c r="M701" i="1"/>
  <c r="M729" i="1" s="1"/>
  <c r="M735" i="1" s="1"/>
  <c r="P692" i="1"/>
  <c r="Q701" i="1"/>
  <c r="Q729" i="1" s="1"/>
  <c r="Q735" i="1" s="1"/>
  <c r="T692" i="1"/>
  <c r="T701" i="1" s="1"/>
  <c r="T729" i="1" s="1"/>
  <c r="P658" i="1"/>
  <c r="P686" i="1" s="1"/>
  <c r="U686" i="1" s="1"/>
  <c r="U649" i="1"/>
  <c r="U658" i="1" s="1"/>
  <c r="F787" i="1" l="1"/>
  <c r="F815" i="1" s="1"/>
  <c r="F821" i="1" s="1"/>
  <c r="I778" i="1"/>
  <c r="I787" i="1" s="1"/>
  <c r="I815" i="1" s="1"/>
  <c r="B787" i="1"/>
  <c r="B815" i="1" s="1"/>
  <c r="B821" i="1" s="1"/>
  <c r="E778" i="1"/>
  <c r="M744" i="1"/>
  <c r="M772" i="1" s="1"/>
  <c r="M778" i="1" s="1"/>
  <c r="P735" i="1"/>
  <c r="T735" i="1"/>
  <c r="T744" i="1" s="1"/>
  <c r="T772" i="1" s="1"/>
  <c r="Q744" i="1"/>
  <c r="Q772" i="1" s="1"/>
  <c r="Q778" i="1" s="1"/>
  <c r="I744" i="1"/>
  <c r="I772" i="1" s="1"/>
  <c r="J772" i="1" s="1"/>
  <c r="J735" i="1"/>
  <c r="J744" i="1" s="1"/>
  <c r="P701" i="1"/>
  <c r="P729" i="1" s="1"/>
  <c r="U729" i="1" s="1"/>
  <c r="U692" i="1"/>
  <c r="U701" i="1" s="1"/>
  <c r="F830" i="1" l="1"/>
  <c r="F858" i="1" s="1"/>
  <c r="I821" i="1"/>
  <c r="I830" i="1" s="1"/>
  <c r="I858" i="1" s="1"/>
  <c r="B830" i="1"/>
  <c r="B858" i="1" s="1"/>
  <c r="E821" i="1"/>
  <c r="T778" i="1"/>
  <c r="T787" i="1" s="1"/>
  <c r="T815" i="1" s="1"/>
  <c r="Q787" i="1"/>
  <c r="Q815" i="1" s="1"/>
  <c r="Q821" i="1" s="1"/>
  <c r="M787" i="1"/>
  <c r="M815" i="1" s="1"/>
  <c r="M821" i="1" s="1"/>
  <c r="P778" i="1"/>
  <c r="E787" i="1"/>
  <c r="E815" i="1" s="1"/>
  <c r="J815" i="1" s="1"/>
  <c r="J778" i="1"/>
  <c r="J787" i="1" s="1"/>
  <c r="P744" i="1"/>
  <c r="P772" i="1" s="1"/>
  <c r="U772" i="1" s="1"/>
  <c r="U735" i="1"/>
  <c r="U744" i="1" s="1"/>
  <c r="E830" i="1" l="1"/>
  <c r="E858" i="1" s="1"/>
  <c r="J858" i="1" s="1"/>
  <c r="J821" i="1"/>
  <c r="J830" i="1" s="1"/>
  <c r="U778" i="1"/>
  <c r="U787" i="1" s="1"/>
  <c r="P787" i="1"/>
  <c r="P815" i="1" s="1"/>
  <c r="U815" i="1" s="1"/>
  <c r="P821" i="1"/>
  <c r="M830" i="1"/>
  <c r="M858" i="1" s="1"/>
  <c r="Q830" i="1"/>
  <c r="Q858" i="1" s="1"/>
  <c r="T821" i="1"/>
  <c r="T830" i="1" s="1"/>
  <c r="T858" i="1" s="1"/>
  <c r="P830" i="1" l="1"/>
  <c r="P858" i="1" s="1"/>
  <c r="U858" i="1" s="1"/>
  <c r="U821" i="1"/>
  <c r="U830" i="1" s="1"/>
</calcChain>
</file>

<file path=xl/sharedStrings.xml><?xml version="1.0" encoding="utf-8"?>
<sst xmlns="http://schemas.openxmlformats.org/spreadsheetml/2006/main" count="1840" uniqueCount="235">
  <si>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</si>
  <si>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</si>
  <si>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</si>
  <si>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</si>
  <si>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</si>
  <si>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</si>
  <si>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</si>
  <si>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</si>
  <si>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</si>
  <si>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</si>
  <si>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</si>
  <si>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</si>
  <si>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</si>
  <si>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</si>
  <si>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</si>
  <si>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</si>
  <si>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</si>
  <si>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出荷数</t>
    <rPh sb="0" eb="2">
      <t>シュッカ</t>
    </rPh>
    <rPh sb="2" eb="3">
      <t>スウ</t>
    </rPh>
    <phoneticPr fontId="7"/>
  </si>
  <si>
    <t>残数</t>
    <rPh sb="0" eb="2">
      <t>ザンスウ</t>
    </rPh>
    <phoneticPr fontId="2"/>
  </si>
  <si>
    <t>ブラック</t>
    <phoneticPr fontId="7"/>
  </si>
  <si>
    <t>アテニア7月号</t>
    <rPh sb="5" eb="7">
      <t>ガツゴウ</t>
    </rPh>
    <phoneticPr fontId="7"/>
  </si>
  <si>
    <t>ホワイト</t>
    <phoneticPr fontId="7"/>
  </si>
  <si>
    <t>アテニア8月号</t>
    <rPh sb="5" eb="7">
      <t>ガツゴウ</t>
    </rPh>
    <phoneticPr fontId="7"/>
  </si>
  <si>
    <t>フィットブラ付きベアトップ　（Ｋｐｏｒｔ在庫）</t>
    <rPh sb="6" eb="7">
      <t>ツ</t>
    </rPh>
    <rPh sb="20" eb="22">
      <t>ザイコ</t>
    </rPh>
    <phoneticPr fontId="2"/>
  </si>
  <si>
    <t>フィットブラ付きベアトップ（夢販在庫）</t>
    <rPh sb="6" eb="7">
      <t>ツ</t>
    </rPh>
    <rPh sb="14" eb="15">
      <t>ユメ</t>
    </rPh>
    <rPh sb="15" eb="16">
      <t>ハン</t>
    </rPh>
    <rPh sb="16" eb="18">
      <t>ザイコ</t>
    </rPh>
    <phoneticPr fontId="2"/>
  </si>
  <si>
    <t>７月初旬</t>
    <rPh sb="1" eb="2">
      <t>ガツ</t>
    </rPh>
    <rPh sb="2" eb="4">
      <t>ショジュン</t>
    </rPh>
    <phoneticPr fontId="7"/>
  </si>
  <si>
    <t>追加２ 2-2</t>
    <rPh sb="0" eb="2">
      <t>ツイカ</t>
    </rPh>
    <phoneticPr fontId="2"/>
  </si>
  <si>
    <t>初回　2-1</t>
    <rPh sb="0" eb="2">
      <t>ショカイ</t>
    </rPh>
    <phoneticPr fontId="2"/>
  </si>
  <si>
    <t>7/4～</t>
    <phoneticPr fontId="7"/>
  </si>
  <si>
    <t>千趣会WEB</t>
    <rPh sb="0" eb="3">
      <t>センシュカイ</t>
    </rPh>
    <phoneticPr fontId="7"/>
  </si>
  <si>
    <t>6/12～</t>
    <phoneticPr fontId="7"/>
  </si>
  <si>
    <t>JODメルシー0704/2色組</t>
    <rPh sb="13" eb="15">
      <t>ショククミ</t>
    </rPh>
    <phoneticPr fontId="7"/>
  </si>
  <si>
    <t>追加１ 先入れ分</t>
    <rPh sb="0" eb="2">
      <t>ツイカ</t>
    </rPh>
    <rPh sb="4" eb="6">
      <t>サキイ</t>
    </rPh>
    <rPh sb="7" eb="8">
      <t>ブン</t>
    </rPh>
    <phoneticPr fontId="2"/>
  </si>
  <si>
    <t>千趣会①</t>
    <rPh sb="0" eb="3">
      <t>センシュカイ</t>
    </rPh>
    <phoneticPr fontId="7"/>
  </si>
  <si>
    <t>総在庫</t>
  </si>
  <si>
    <t>.@570</t>
    <phoneticPr fontId="7"/>
  </si>
  <si>
    <t>2024/6/10伝数</t>
    <rPh sb="9" eb="10">
      <t>デン</t>
    </rPh>
    <rPh sb="10" eb="11">
      <t>スウ</t>
    </rPh>
    <phoneticPr fontId="7"/>
  </si>
  <si>
    <t>ネット</t>
    <phoneticPr fontId="7"/>
  </si>
  <si>
    <t>過入荷分</t>
    <rPh sb="0" eb="4">
      <t>カニュウカブン</t>
    </rPh>
    <phoneticPr fontId="2"/>
  </si>
  <si>
    <t>(3613-900～905）</t>
    <phoneticPr fontId="7"/>
  </si>
  <si>
    <t>東都生協8月4週（別チラ）</t>
    <rPh sb="0" eb="4">
      <t>トウトセイキョウ</t>
    </rPh>
    <rPh sb="5" eb="6">
      <t>ガツ</t>
    </rPh>
    <rPh sb="7" eb="8">
      <t>シュウ</t>
    </rPh>
    <rPh sb="9" eb="10">
      <t>ベツ</t>
    </rPh>
    <phoneticPr fontId="7"/>
  </si>
  <si>
    <t>8/14～27（1～5回）</t>
    <rPh sb="11" eb="12">
      <t>カイ</t>
    </rPh>
    <phoneticPr fontId="7"/>
  </si>
  <si>
    <t>牧野</t>
    <rPh sb="0" eb="2">
      <t>マキノ</t>
    </rPh>
    <phoneticPr fontId="7"/>
  </si>
  <si>
    <t>JOD①</t>
    <phoneticPr fontId="7"/>
  </si>
  <si>
    <t>2024/7/6伝数</t>
    <rPh sb="8" eb="10">
      <t>デンスウ</t>
    </rPh>
    <phoneticPr fontId="7"/>
  </si>
  <si>
    <t>2024/7/6伝数</t>
    <rPh sb="8" eb="9">
      <t>デン</t>
    </rPh>
    <rPh sb="9" eb="10">
      <t>スウ</t>
    </rPh>
    <phoneticPr fontId="7"/>
  </si>
  <si>
    <t>夢販</t>
    <rPh sb="0" eb="2">
      <t>ユメハン</t>
    </rPh>
    <phoneticPr fontId="7"/>
  </si>
  <si>
    <t>千趣会②</t>
    <rPh sb="0" eb="3">
      <t>センシュカイ</t>
    </rPh>
    <phoneticPr fontId="7"/>
  </si>
  <si>
    <t>JOD②</t>
    <phoneticPr fontId="7"/>
  </si>
  <si>
    <t>JOD③</t>
    <phoneticPr fontId="7"/>
  </si>
  <si>
    <t>藤井</t>
    <rPh sb="0" eb="2">
      <t>フジイ</t>
    </rPh>
    <phoneticPr fontId="7"/>
  </si>
  <si>
    <t>JOD④</t>
    <phoneticPr fontId="7"/>
  </si>
  <si>
    <t>千趣会③</t>
    <rPh sb="0" eb="3">
      <t>センシュカイ</t>
    </rPh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</si>
  <si>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</si>
  <si>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</si>
  <si>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</si>
  <si>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</si>
  <si>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千趣会④</t>
    <rPh sb="0" eb="3">
      <t>センシュカイ</t>
    </rPh>
    <phoneticPr fontId="7"/>
  </si>
  <si>
    <t>JOD⑨</t>
    <phoneticPr fontId="7"/>
  </si>
  <si>
    <t>JOD返品</t>
    <rPh sb="3" eb="5">
      <t>ヘンピン</t>
    </rPh>
    <phoneticPr fontId="2"/>
  </si>
  <si>
    <t>JOD⑩</t>
    <phoneticPr fontId="7"/>
  </si>
  <si>
    <t>JOD⑪</t>
    <phoneticPr fontId="7"/>
  </si>
  <si>
    <t>千趣会⑤</t>
    <rPh sb="0" eb="3">
      <t>センシュカイ</t>
    </rPh>
    <phoneticPr fontId="7"/>
  </si>
  <si>
    <t>JOD⑫</t>
    <phoneticPr fontId="7"/>
  </si>
  <si>
    <t>JOD⑬</t>
    <phoneticPr fontId="7"/>
  </si>
  <si>
    <t>不足分</t>
    <rPh sb="0" eb="3">
      <t>フソクブン</t>
    </rPh>
    <phoneticPr fontId="2"/>
  </si>
  <si>
    <t>JOD⑭</t>
    <phoneticPr fontId="7"/>
  </si>
  <si>
    <t>東都生協8月4週（別チラ）①</t>
    <rPh sb="0" eb="4">
      <t>トウトセイキョウ</t>
    </rPh>
    <rPh sb="5" eb="6">
      <t>ガツ</t>
    </rPh>
    <rPh sb="7" eb="8">
      <t>シュウ</t>
    </rPh>
    <rPh sb="9" eb="10">
      <t>ベツ</t>
    </rPh>
    <phoneticPr fontId="7"/>
  </si>
  <si>
    <t>西本さん</t>
    <rPh sb="0" eb="2">
      <t>ニシモト</t>
    </rPh>
    <phoneticPr fontId="7"/>
  </si>
  <si>
    <t>2024/8/10数伝</t>
    <rPh sb="9" eb="11">
      <t>スウデン</t>
    </rPh>
    <phoneticPr fontId="7"/>
  </si>
  <si>
    <t>JOD⑮</t>
    <phoneticPr fontId="7"/>
  </si>
  <si>
    <t>千趣会⑥</t>
    <rPh sb="0" eb="3">
      <t>センシュカイ</t>
    </rPh>
    <phoneticPr fontId="7"/>
  </si>
  <si>
    <t>東都生協8月4週（別チラ）②</t>
    <rPh sb="0" eb="4">
      <t>トウトセイキョウ</t>
    </rPh>
    <rPh sb="5" eb="6">
      <t>ガツ</t>
    </rPh>
    <rPh sb="7" eb="8">
      <t>シュウ</t>
    </rPh>
    <rPh sb="9" eb="10">
      <t>ベツ</t>
    </rPh>
    <phoneticPr fontId="7"/>
  </si>
  <si>
    <t>東都生協8月4週（別チラ）③</t>
    <rPh sb="0" eb="4">
      <t>トウトセイキョウ</t>
    </rPh>
    <rPh sb="5" eb="6">
      <t>ガツ</t>
    </rPh>
    <rPh sb="7" eb="8">
      <t>シュウ</t>
    </rPh>
    <rPh sb="9" eb="10">
      <t>ベツ</t>
    </rPh>
    <phoneticPr fontId="7"/>
  </si>
  <si>
    <t>東都生協8月4週（別チラ）④</t>
    <rPh sb="0" eb="4">
      <t>トウトセイキョウ</t>
    </rPh>
    <rPh sb="5" eb="6">
      <t>ガツ</t>
    </rPh>
    <rPh sb="7" eb="8">
      <t>シュウ</t>
    </rPh>
    <rPh sb="9" eb="10">
      <t>ベツ</t>
    </rPh>
    <phoneticPr fontId="7"/>
  </si>
  <si>
    <t>千趣会⑦</t>
    <rPh sb="0" eb="3">
      <t>センシュカイ</t>
    </rPh>
    <phoneticPr fontId="7"/>
  </si>
  <si>
    <t>在庫確認</t>
    <rPh sb="0" eb="4">
      <t>ザイコカクニン</t>
    </rPh>
    <phoneticPr fontId="2"/>
  </si>
  <si>
    <t>JOD⑯</t>
    <phoneticPr fontId="7"/>
  </si>
  <si>
    <t>JOD⑰</t>
    <phoneticPr fontId="7"/>
  </si>
  <si>
    <t>サクラマチ返品</t>
    <rPh sb="5" eb="7">
      <t>ヘンピン</t>
    </rPh>
    <phoneticPr fontId="2"/>
  </si>
  <si>
    <t>JOD⑱</t>
    <phoneticPr fontId="7"/>
  </si>
  <si>
    <t>汚れ</t>
    <rPh sb="0" eb="1">
      <t>ヨゴ</t>
    </rPh>
    <phoneticPr fontId="7"/>
  </si>
  <si>
    <t>JOD⑲</t>
    <phoneticPr fontId="7"/>
  </si>
  <si>
    <t>JOD⑳</t>
    <phoneticPr fontId="7"/>
  </si>
  <si>
    <t>JOD㉑</t>
    <phoneticPr fontId="7"/>
  </si>
  <si>
    <t>Amazon</t>
    <phoneticPr fontId="7"/>
  </si>
  <si>
    <t>Amazon</t>
  </si>
  <si>
    <t>千趣会返品</t>
    <rPh sb="0" eb="3">
      <t>センシュカイ</t>
    </rPh>
    <rPh sb="3" eb="5">
      <t>ヘンピン</t>
    </rPh>
    <phoneticPr fontId="2"/>
  </si>
  <si>
    <t>ディノスsample</t>
    <phoneticPr fontId="7"/>
  </si>
  <si>
    <t>展示用</t>
    <rPh sb="0" eb="3">
      <t>テンジヨウ</t>
    </rPh>
    <phoneticPr fontId="7"/>
  </si>
  <si>
    <t>事前3/10～、受注4/1～</t>
    <rPh sb="0" eb="2">
      <t>ジゼン</t>
    </rPh>
    <rPh sb="8" eb="10">
      <t>ジュチュウ</t>
    </rPh>
    <phoneticPr fontId="7"/>
  </si>
  <si>
    <t>Amazon</t>
    <phoneticPr fontId="7"/>
  </si>
  <si>
    <t>追加</t>
    <rPh sb="0" eb="2">
      <t>ツイカ</t>
    </rPh>
    <phoneticPr fontId="7"/>
  </si>
  <si>
    <t>ディノス差分予測</t>
    <rPh sb="4" eb="8">
      <t>サブンヨソク</t>
    </rPh>
    <phoneticPr fontId="7"/>
  </si>
  <si>
    <t>ディノス25夏号2色組</t>
    <rPh sb="6" eb="8">
      <t>ナツゴウ</t>
    </rPh>
    <rPh sb="9" eb="11">
      <t>ショククミ</t>
    </rPh>
    <phoneticPr fontId="7"/>
  </si>
  <si>
    <t>ディノス25夏号同色2枚組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</si>
  <si>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日生協鈴木BY</t>
    <rPh sb="0" eb="3">
      <t>ニッセイキョウ</t>
    </rPh>
    <rPh sb="3" eb="5">
      <t>スズキ</t>
    </rPh>
    <phoneticPr fontId="7"/>
  </si>
  <si>
    <t>ディノス25夏号同色2枚組①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</si>
  <si>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ディノス25夏号2色組①</t>
    <rPh sb="6" eb="8">
      <t>ナツゴウ</t>
    </rPh>
    <rPh sb="9" eb="11">
      <t>ショククミ</t>
    </rPh>
    <phoneticPr fontId="7"/>
  </si>
  <si>
    <t>追加３ 2-1</t>
    <rPh sb="0" eb="2">
      <t>ツイカ</t>
    </rPh>
    <phoneticPr fontId="2"/>
  </si>
  <si>
    <t>くらし（日生協選定会議用sample）</t>
    <rPh sb="4" eb="7">
      <t>ニッセイキョウ</t>
    </rPh>
    <rPh sb="7" eb="11">
      <t>センテイカイギ</t>
    </rPh>
    <rPh sb="11" eb="12">
      <t>ヨウ</t>
    </rPh>
    <phoneticPr fontId="7"/>
  </si>
  <si>
    <t>検査用</t>
    <rPh sb="0" eb="3">
      <t>ケンサヨウ</t>
    </rPh>
    <phoneticPr fontId="7"/>
  </si>
  <si>
    <t>ここから２０２５年～フィットブラ付きベアトップ（夢販在庫）＠570</t>
    <rPh sb="8" eb="9">
      <t>ネン</t>
    </rPh>
    <rPh sb="16" eb="17">
      <t>ツ</t>
    </rPh>
    <rPh sb="24" eb="25">
      <t>ユメ</t>
    </rPh>
    <rPh sb="25" eb="26">
      <t>ハン</t>
    </rPh>
    <rPh sb="26" eb="28">
      <t>ザイコ</t>
    </rPh>
    <phoneticPr fontId="2"/>
  </si>
  <si>
    <t>4/12ship</t>
    <phoneticPr fontId="7"/>
  </si>
  <si>
    <t>千趣会（2025WEB）</t>
    <rPh sb="0" eb="3">
      <t>センシュカイ</t>
    </rPh>
    <phoneticPr fontId="7"/>
  </si>
  <si>
    <t>日生協7月18号\1780</t>
    <rPh sb="0" eb="3">
      <t>ニッセイキョウ</t>
    </rPh>
    <rPh sb="4" eb="5">
      <t>ガツ</t>
    </rPh>
    <rPh sb="7" eb="8">
      <t>ゴウ</t>
    </rPh>
    <phoneticPr fontId="7"/>
  </si>
  <si>
    <t>点6/27、前取7/4、アバウト7/8・15、最終7/23</t>
    <rPh sb="0" eb="1">
      <t>テン</t>
    </rPh>
    <rPh sb="6" eb="8">
      <t>マエトリ</t>
    </rPh>
    <rPh sb="23" eb="25">
      <t>サイシュウ</t>
    </rPh>
    <phoneticPr fontId="7"/>
  </si>
  <si>
    <t>4/9～</t>
    <phoneticPr fontId="7"/>
  </si>
  <si>
    <t>千趣会（2025WEB）①</t>
    <rPh sb="0" eb="3">
      <t>センシュカイ</t>
    </rPh>
    <phoneticPr fontId="7"/>
  </si>
  <si>
    <t>ディノス25夏号2色組②</t>
    <rPh sb="6" eb="8">
      <t>ナツゴウ</t>
    </rPh>
    <rPh sb="9" eb="11">
      <t>ショククミ</t>
    </rPh>
    <phoneticPr fontId="7"/>
  </si>
  <si>
    <t>ディノス25夏号2色組③</t>
    <rPh sb="6" eb="8">
      <t>ナツゴウ</t>
    </rPh>
    <rPh sb="9" eb="11">
      <t>ショククミ</t>
    </rPh>
    <phoneticPr fontId="7"/>
  </si>
  <si>
    <t>ディノス25夏号2色組④</t>
    <rPh sb="6" eb="8">
      <t>ナツゴウ</t>
    </rPh>
    <rPh sb="9" eb="11">
      <t>ショククミ</t>
    </rPh>
    <phoneticPr fontId="7"/>
  </si>
  <si>
    <t>ディノス25夏号2色組⑤</t>
    <rPh sb="6" eb="8">
      <t>ナツゴウ</t>
    </rPh>
    <rPh sb="9" eb="11">
      <t>ショククミ</t>
    </rPh>
    <phoneticPr fontId="7"/>
  </si>
  <si>
    <t>ディノス25夏号同色2枚組②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</si>
  <si>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ディノス25夏号2色組⑥</t>
    <rPh sb="6" eb="8">
      <t>ナツゴウ</t>
    </rPh>
    <rPh sb="9" eb="11">
      <t>ショククミ</t>
    </rPh>
    <phoneticPr fontId="7"/>
  </si>
  <si>
    <t>ディノス25夏号2色組⑦</t>
    <rPh sb="6" eb="8">
      <t>ナツゴウ</t>
    </rPh>
    <rPh sb="9" eb="11">
      <t>ショククミ</t>
    </rPh>
    <phoneticPr fontId="7"/>
  </si>
  <si>
    <t>ディノス25夏号2色組⑧</t>
    <rPh sb="6" eb="8">
      <t>ナツゴウ</t>
    </rPh>
    <rPh sb="9" eb="11">
      <t>ショククミ</t>
    </rPh>
    <phoneticPr fontId="7"/>
  </si>
  <si>
    <t>日生協7月18号差分予測</t>
    <phoneticPr fontId="7"/>
  </si>
  <si>
    <t>ディノス25夏号2色組⑨</t>
    <rPh sb="6" eb="8">
      <t>ナツゴウ</t>
    </rPh>
    <rPh sb="9" eb="11">
      <t>ショククミ</t>
    </rPh>
    <phoneticPr fontId="7"/>
  </si>
  <si>
    <t>ディノス25夏号同色2枚組③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</si>
  <si>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千趣会（2025WEB）②</t>
    <rPh sb="0" eb="3">
      <t>センシュカイ</t>
    </rPh>
    <phoneticPr fontId="7"/>
  </si>
  <si>
    <t>千趣会（2025WEB）③</t>
    <rPh sb="0" eb="3">
      <t>センシュカイ</t>
    </rPh>
    <phoneticPr fontId="7"/>
  </si>
  <si>
    <t>ディノス25夏号2色組⑩</t>
    <rPh sb="6" eb="8">
      <t>ナツゴウ</t>
    </rPh>
    <rPh sb="9" eb="11">
      <t>ショククミ</t>
    </rPh>
    <phoneticPr fontId="7"/>
  </si>
  <si>
    <t>ディノス返品</t>
    <rPh sb="4" eb="6">
      <t>ヘンピン</t>
    </rPh>
    <phoneticPr fontId="2"/>
  </si>
  <si>
    <t>2025/4/19数伝</t>
    <rPh sb="9" eb="10">
      <t>スウ</t>
    </rPh>
    <rPh sb="10" eb="11">
      <t>デン</t>
    </rPh>
    <phoneticPr fontId="7"/>
  </si>
  <si>
    <t>ディノス25秋リーフレット同色2枚組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</si>
  <si>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ディノス25秋リーフレット2色組</t>
    <rPh sb="6" eb="7">
      <t>アキ</t>
    </rPh>
    <rPh sb="14" eb="16">
      <t>ショククミ</t>
    </rPh>
    <phoneticPr fontId="7"/>
  </si>
  <si>
    <t>9/12～3/30</t>
    <phoneticPr fontId="7"/>
  </si>
  <si>
    <t>千趣会（2025WEB）④</t>
    <rPh sb="0" eb="3">
      <t>センシュカイ</t>
    </rPh>
    <phoneticPr fontId="7"/>
  </si>
  <si>
    <t>2025/5/1伝数</t>
    <rPh sb="8" eb="9">
      <t>デン</t>
    </rPh>
    <rPh sb="9" eb="10">
      <t>スウ</t>
    </rPh>
    <phoneticPr fontId="7"/>
  </si>
  <si>
    <t>ディノス25夏号2色組⑪</t>
    <rPh sb="6" eb="8">
      <t>ナツゴウ</t>
    </rPh>
    <rPh sb="9" eb="11">
      <t>ショククミ</t>
    </rPh>
    <phoneticPr fontId="7"/>
  </si>
  <si>
    <t>ディノス25夏号同色2枚組④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</si>
  <si>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ディノス25夏号2色組⑫</t>
    <rPh sb="6" eb="8">
      <t>ナツゴウ</t>
    </rPh>
    <rPh sb="9" eb="11">
      <t>ショククミ</t>
    </rPh>
    <phoneticPr fontId="7"/>
  </si>
  <si>
    <t>千趣会（2025WEB）⑤</t>
    <rPh sb="0" eb="3">
      <t>センシュカイ</t>
    </rPh>
    <phoneticPr fontId="7"/>
  </si>
  <si>
    <t>実績構成比</t>
    <rPh sb="0" eb="2">
      <t>ジッセキ</t>
    </rPh>
    <rPh sb="2" eb="5">
      <t>コウセイヒ</t>
    </rPh>
    <phoneticPr fontId="7"/>
  </si>
  <si>
    <t>在庫構成比</t>
    <rPh sb="0" eb="2">
      <t>ザイコ</t>
    </rPh>
    <rPh sb="2" eb="5">
      <t>コウセイヒ</t>
    </rPh>
    <phoneticPr fontId="7"/>
  </si>
  <si>
    <t>追加４　3-3</t>
    <rPh sb="0" eb="2">
      <t>ツイカ</t>
    </rPh>
    <phoneticPr fontId="2"/>
  </si>
  <si>
    <t>千趣会（2025WEB）⑥</t>
    <rPh sb="0" eb="3">
      <t>センシュカイ</t>
    </rPh>
    <phoneticPr fontId="7"/>
  </si>
  <si>
    <t>ディノス25夏号同色2枚組⑤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</si>
  <si>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千趣会（2025WEB）⑦</t>
    <rPh sb="0" eb="3">
      <t>センシュカイ</t>
    </rPh>
    <phoneticPr fontId="7"/>
  </si>
  <si>
    <t>西本さん個人買い</t>
    <rPh sb="0" eb="2">
      <t>ニシモト</t>
    </rPh>
    <rPh sb="4" eb="7">
      <t>コジンガ</t>
    </rPh>
    <phoneticPr fontId="7"/>
  </si>
  <si>
    <t>千趣会（2025WEB）⑧</t>
    <rPh sb="0" eb="3">
      <t>センシュカイ</t>
    </rPh>
    <phoneticPr fontId="7"/>
  </si>
  <si>
    <t>ディノス25夏号同色2枚組⑥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</si>
  <si>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千趣会（2025WEB）⑨</t>
    <rPh sb="0" eb="3">
      <t>センシュカイ</t>
    </rPh>
    <phoneticPr fontId="7"/>
  </si>
  <si>
    <t>ディノス25夏号同色2枚組⑦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</si>
  <si>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JOD特別版0726/2色組</t>
    <rPh sb="3" eb="6">
      <t>トクベツバン</t>
    </rPh>
    <rPh sb="12" eb="14">
      <t>ショククミ</t>
    </rPh>
    <phoneticPr fontId="7"/>
  </si>
  <si>
    <t>7/25～</t>
    <phoneticPr fontId="7"/>
  </si>
  <si>
    <t>千趣会（2025WEB）⑩</t>
    <rPh sb="0" eb="3">
      <t>センシュカイ</t>
    </rPh>
    <phoneticPr fontId="7"/>
  </si>
  <si>
    <t>日生協7月18号\1780東日本①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</si>
  <si>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千趣会（2025WEB）⑪</t>
    <rPh sb="0" eb="3">
      <t>センシュカイ</t>
    </rPh>
    <phoneticPr fontId="7"/>
  </si>
  <si>
    <t>日生協7月18号\1780西日本①</t>
    <rPh sb="0" eb="3">
      <t>ニッセイキョウ</t>
    </rPh>
    <rPh sb="4" eb="5">
      <t>ガツ</t>
    </rPh>
    <rPh sb="7" eb="8">
      <t>ゴウ</t>
    </rPh>
    <rPh sb="13" eb="14">
      <t>ニシ</t>
    </rPh>
    <rPh sb="14" eb="16">
      <t>ニホン</t>
    </rPh>
    <phoneticPr fontId="7"/>
  </si>
  <si>
    <t>日生協7月18号\1780東日本②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</si>
  <si>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千趣会（2025WEB）⑫</t>
    <rPh sb="0" eb="3">
      <t>センシュカイ</t>
    </rPh>
    <phoneticPr fontId="7"/>
  </si>
  <si>
    <t>2025/7/1数伝</t>
    <rPh sb="8" eb="9">
      <t>スウ</t>
    </rPh>
    <rPh sb="9" eb="10">
      <t>デン</t>
    </rPh>
    <phoneticPr fontId="7"/>
  </si>
  <si>
    <t>追加２ 3-1</t>
    <rPh sb="0" eb="2">
      <t>ツイカ</t>
    </rPh>
    <phoneticPr fontId="2"/>
  </si>
  <si>
    <t>追加４ 2-2</t>
    <rPh sb="0" eb="2">
      <t>ツイカ</t>
    </rPh>
    <phoneticPr fontId="2"/>
  </si>
  <si>
    <t>千趣会（2025WEB）⑬</t>
    <rPh sb="0" eb="3">
      <t>センシュカイ</t>
    </rPh>
    <phoneticPr fontId="7"/>
  </si>
  <si>
    <t>7/2数伝</t>
    <rPh sb="3" eb="4">
      <t>スウ</t>
    </rPh>
    <rPh sb="4" eb="5">
      <t>デン</t>
    </rPh>
    <phoneticPr fontId="7"/>
  </si>
  <si>
    <t>日生協7月18号\1780東日本③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</si>
  <si>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汚れ</t>
    <rPh sb="0" eb="1">
      <t>ヨゴ</t>
    </rPh>
    <phoneticPr fontId="2"/>
  </si>
  <si>
    <t>日生協7月18号\1780西日本②</t>
    <rPh sb="0" eb="3">
      <t>ニッセイキョウ</t>
    </rPh>
    <rPh sb="4" eb="5">
      <t>ガツ</t>
    </rPh>
    <rPh sb="7" eb="8">
      <t>ゴウ</t>
    </rPh>
    <rPh sb="13" eb="14">
      <t>ニシ</t>
    </rPh>
    <rPh sb="14" eb="16">
      <t>ニホン</t>
    </rPh>
    <phoneticPr fontId="7"/>
  </si>
  <si>
    <t>日生協7月18号\1780東日本④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</si>
  <si>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日生協7月18号\1780西日本③</t>
    <rPh sb="0" eb="3">
      <t>ニッセイキョウ</t>
    </rPh>
    <rPh sb="4" eb="5">
      <t>ガツ</t>
    </rPh>
    <rPh sb="7" eb="8">
      <t>ゴウ</t>
    </rPh>
    <rPh sb="13" eb="14">
      <t>ニシ</t>
    </rPh>
    <rPh sb="14" eb="16">
      <t>ニホン</t>
    </rPh>
    <phoneticPr fontId="7"/>
  </si>
  <si>
    <t>日生協7月18号\1780東日本⑤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</si>
  <si>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2025/7/12数伝</t>
    <rPh sb="9" eb="10">
      <t>スウ</t>
    </rPh>
    <rPh sb="10" eb="11">
      <t>デン</t>
    </rPh>
    <phoneticPr fontId="7"/>
  </si>
  <si>
    <t>千趣会（2025WEB）⑭</t>
    <rPh sb="0" eb="3">
      <t>センシュカイ</t>
    </rPh>
    <phoneticPr fontId="7"/>
  </si>
  <si>
    <t>日生協7月18号\1780東日本⑥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</si>
  <si>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日生協7月18号\1780東日本⑦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</si>
  <si>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←ここまで式確認2025/7/17</t>
    <rPh sb="5" eb="8">
      <t>シキカクニン</t>
    </rPh>
    <phoneticPr fontId="7"/>
  </si>
  <si>
    <t>ディノスsample返却</t>
    <rPh sb="10" eb="12">
      <t>ヘンキャク</t>
    </rPh>
    <phoneticPr fontId="7"/>
  </si>
  <si>
    <t>ディノス25夏号同色2枚組⑧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</si>
  <si>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JOD</t>
    <phoneticPr fontId="7"/>
  </si>
  <si>
    <t>ディノス25夏号2色組⑬</t>
    <rPh sb="6" eb="8">
      <t>ナツゴウ</t>
    </rPh>
    <rPh sb="9" eb="11">
      <t>ショククミ</t>
    </rPh>
    <phoneticPr fontId="7"/>
  </si>
  <si>
    <t>くらし返品</t>
    <rPh sb="3" eb="5">
      <t>ヘンピン</t>
    </rPh>
    <phoneticPr fontId="2"/>
  </si>
  <si>
    <t>ディノス25夏号同色2枚組⑨</t>
    <rPh sb="6" eb="8">
      <t>ナツゴウ</t>
    </rPh>
    <rPh sb="8" eb="10">
      <t>ドウショク</t>
    </rPh>
    <rPh sb="11" eb="12">
      <t>マイ</t>
    </rPh>
    <rPh sb="12" eb="13">
      <t>クミ</t>
    </rPh>
    <phoneticPr fontId="7"/>
  </si>
  <si>
    <t>ディノス25秋リーフレット2色組①</t>
    <rPh sb="6" eb="7">
      <t>アキ</t>
    </rPh>
    <rPh sb="14" eb="16">
      <t>ショククミ</t>
    </rPh>
    <phoneticPr fontId="7"/>
  </si>
  <si>
    <t>ディノス25秋リーフレット同色2枚組①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</si>
  <si>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ディノス25秋リーフレット2色組②</t>
    <rPh sb="6" eb="7">
      <t>アキ</t>
    </rPh>
    <rPh sb="14" eb="16">
      <t>ショククミ</t>
    </rPh>
    <phoneticPr fontId="7"/>
  </si>
  <si>
    <t>ディノス25秋リーフレット2色組③</t>
    <rPh sb="6" eb="7">
      <t>アキ</t>
    </rPh>
    <rPh sb="14" eb="16">
      <t>ショククミ</t>
    </rPh>
    <phoneticPr fontId="7"/>
  </si>
  <si>
    <t>ディノス25秋リーフレット同色2枚組②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</si>
  <si>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ディノス25秋リーフレット2色組④</t>
    <rPh sb="6" eb="7">
      <t>アキ</t>
    </rPh>
    <rPh sb="14" eb="15">
      <t>ショク</t>
    </rPh>
    <rPh sb="15" eb="16">
      <t>グミ</t>
    </rPh>
    <phoneticPr fontId="7"/>
  </si>
  <si>
    <t>ディノス25秋リーフレット同色2枚組③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</si>
  <si>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ディノス25秋リーフレット同色2枚組④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</si>
  <si>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ディノス25秋リーフレット2色組⑤</t>
    <rPh sb="6" eb="7">
      <t>アキ</t>
    </rPh>
    <rPh sb="14" eb="15">
      <t>ショク</t>
    </rPh>
    <rPh sb="15" eb="16">
      <t>グミ</t>
    </rPh>
    <phoneticPr fontId="7"/>
  </si>
  <si>
    <t>ディノス25秋リーフレット同色2枚組⑤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</si>
  <si>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ディノス25秋リーフレット同色2枚組⑥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</si>
  <si>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夢販</t>
    <rPh sb="0" eb="2">
      <t>ユメハン</t>
    </rPh>
    <phoneticPr fontId="7"/>
  </si>
  <si>
    <t>ディノス25秋リーフレット同色2枚組⑦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</si>
  <si>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ディノス25秋リーフレット同色2枚組⑧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</si>
  <si>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</si>
  <si>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</si>
  <si>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ディノス25秋リーフレット2色組⑥</t>
    <rPh sb="6" eb="7">
      <t>アキ</t>
    </rPh>
    <rPh sb="14" eb="15">
      <t>ショク</t>
    </rPh>
    <rPh sb="15" eb="16">
      <t>グミ</t>
    </rPh>
    <phoneticPr fontId="7"/>
  </si>
  <si>
    <t>夢販</t>
    <rPh sb="0" eb="2">
      <t>ユメハン</t>
    </rPh>
    <phoneticPr fontId="7"/>
  </si>
  <si>
    <t>ディノス25秋リーフレット同色2枚組⑨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</si>
  <si>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ディノス25秋リーフレット2色組⑦</t>
    <rPh sb="6" eb="7">
      <t>アキ</t>
    </rPh>
    <rPh sb="14" eb="15">
      <t>ショク</t>
    </rPh>
    <rPh sb="15" eb="16">
      <t>グミ</t>
    </rPh>
    <phoneticPr fontId="7"/>
  </si>
  <si>
    <t>ディノス25秋リーフレット同色2枚組⑩</t>
    <rPh sb="6" eb="7">
      <t>アキ</t>
    </rPh>
    <rPh sb="13" eb="15">
      <t>ドウショク</t>
    </rPh>
    <rPh sb="16" eb="17">
      <t>マイ</t>
    </rPh>
    <rPh sb="17" eb="18">
      <t>クミ</t>
    </rPh>
    <phoneticPr fontId="7"/>
  </si>
  <si>
    <t>くらし企画返品</t>
    <phoneticPr fontId="2"/>
  </si>
  <si>
    <t>KPORT</t>
    <phoneticPr fontId="7"/>
  </si>
  <si>
    <t>夢販移動</t>
    <rPh sb="0" eb="4">
      <t>ユメハンイドウ</t>
    </rPh>
    <phoneticPr fontId="2"/>
  </si>
  <si>
    <t>追加</t>
    <rPh sb="0" eb="2">
      <t>ツイカ</t>
    </rPh>
    <phoneticPr fontId="7"/>
  </si>
  <si>
    <t>ディノス25秋リーフレット2色組⑧</t>
    <rPh sb="6" eb="7">
      <t>アキ</t>
    </rPh>
    <rPh sb="14" eb="15">
      <t>ショク</t>
    </rPh>
    <rPh sb="15" eb="16">
      <t>グミ</t>
    </rPh>
    <phoneticPr fontId="7"/>
  </si>
  <si>
    <t>夢販</t>
    <rPh sb="0" eb="2">
      <t>ユメハン</t>
    </rPh>
    <phoneticPr fontId="7"/>
  </si>
  <si>
    <t>2026年～</t>
    <rPh sb="4" eb="5">
      <t>ネン</t>
    </rPh>
    <phoneticPr fontId="7"/>
  </si>
  <si>
    <t>追加</t>
    <rPh sb="0" eb="2">
      <t>ツイカ</t>
    </rPh>
    <phoneticPr fontId="7"/>
  </si>
  <si>
    <t>ゆめはん</t>
    <phoneticPr fontId="7"/>
  </si>
  <si>
    <t>追加</t>
    <rPh sb="0" eb="2">
      <t>t</t>
    </rPh>
    <phoneticPr fontId="7"/>
  </si>
  <si>
    <t>出荷数</t>
    <phoneticPr fontId="7"/>
  </si>
  <si>
    <t>夢販</t>
    <rPh sb="0" eb="2">
      <t>y</t>
    </rPh>
    <phoneticPr fontId="7"/>
  </si>
  <si>
    <t>サクラマチsample</t>
    <phoneticPr fontId="7"/>
  </si>
  <si>
    <t>ゆめはん</t>
    <phoneticPr fontId="7"/>
  </si>
  <si>
    <t>JOD特別版0319/2色組</t>
    <rPh sb="3" eb="6">
      <t>トクベツバン</t>
    </rPh>
    <rPh sb="12" eb="14">
      <t>ショククミ</t>
    </rPh>
    <phoneticPr fontId="7"/>
  </si>
  <si>
    <t>3/18～</t>
    <phoneticPr fontId="7"/>
  </si>
  <si>
    <t>ディノス25秋リーフレット2色組⑨</t>
    <rPh sb="6" eb="7">
      <t>アキ</t>
    </rPh>
    <rPh sb="14" eb="15">
      <t>ショク</t>
    </rPh>
    <rPh sb="15" eb="16">
      <t>グミ</t>
    </rPh>
    <phoneticPr fontId="7"/>
  </si>
  <si>
    <t>日生協キャロット5月13号差分予測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7"/>
  </si>
  <si>
    <t>日生協キャロット5月13号　￥1780</t>
    <rPh sb="0" eb="3">
      <t>ニッセイキョウ</t>
    </rPh>
    <rPh sb="9" eb="10">
      <t>ガツ</t>
    </rPh>
    <rPh sb="12" eb="13">
      <t>ゴウ</t>
    </rPh>
    <phoneticPr fontId="7"/>
  </si>
  <si>
    <t>点5/22、前取5/29、アバウト（デリパル）6/9、最終6/17</t>
    <rPh sb="0" eb="1">
      <t>テン</t>
    </rPh>
    <rPh sb="6" eb="7">
      <t>マエ</t>
    </rPh>
    <rPh sb="7" eb="8">
      <t>ト</t>
    </rPh>
    <rPh sb="27" eb="29">
      <t>サイシュウ</t>
    </rPh>
    <phoneticPr fontId="7"/>
  </si>
  <si>
    <t>ディノス25秋リーフレット2色組⑩</t>
    <rPh sb="6" eb="7">
      <t>アキ</t>
    </rPh>
    <rPh sb="14" eb="15">
      <t>ショク</t>
    </rPh>
    <rPh sb="15" eb="16">
      <t>グミ</t>
    </rPh>
    <phoneticPr fontId="7"/>
  </si>
  <si>
    <t>←ここまで在庫管理済2026/2/25</t>
    <rPh sb="5" eb="10">
      <t>ザイコカンリスミ</t>
    </rPh>
    <phoneticPr fontId="7"/>
  </si>
  <si>
    <t>←ここまで在庫管理済2026/3/9</t>
    <rPh sb="5" eb="10">
      <t>ザイコカンリスミ</t>
    </rPh>
    <phoneticPr fontId="7"/>
  </si>
  <si>
    <t>JOD</t>
    <phoneticPr fontId="7"/>
  </si>
  <si>
    <t>追加</t>
    <rPh sb="0" eb="2">
      <t>ツイカ</t>
    </rPh>
    <phoneticPr fontId="7"/>
  </si>
  <si>
    <t>ゆめはん</t>
    <phoneticPr fontId="7"/>
  </si>
  <si>
    <t>オバタsample</t>
    <phoneticPr fontId="7"/>
  </si>
  <si>
    <t>ゆめはん</t>
    <phoneticPr fontId="7"/>
  </si>
  <si>
    <t>コープきんき7月4回差分予測</t>
    <rPh sb="10" eb="14">
      <t>サブンヨソク</t>
    </rPh>
    <phoneticPr fontId="7"/>
  </si>
  <si>
    <t>コープきんき7月4回￥1780</t>
    <rPh sb="7" eb="8">
      <t>ガツ</t>
    </rPh>
    <rPh sb="9" eb="10">
      <t>カイ</t>
    </rPh>
    <phoneticPr fontId="7"/>
  </si>
  <si>
    <t>あいコープみやぎ7月3回</t>
    <rPh sb="9" eb="10">
      <t>ガツ</t>
    </rPh>
    <rPh sb="11" eb="12">
      <t>カイ</t>
    </rPh>
    <phoneticPr fontId="7"/>
  </si>
  <si>
    <t>あいコープみやぎ7月3回差分予測</t>
    <rPh sb="9" eb="10">
      <t>ガツ</t>
    </rPh>
    <rPh sb="11" eb="12">
      <t>カイ</t>
    </rPh>
    <rPh sb="12" eb="16">
      <t>サブンヨソク</t>
    </rPh>
    <phoneticPr fontId="7"/>
  </si>
  <si>
    <t>確定発注7/8</t>
    <rPh sb="0" eb="4">
      <t>カクテイハッチュウ</t>
    </rPh>
    <phoneticPr fontId="7"/>
  </si>
  <si>
    <t>点6/26、アバウト7/14、本7/14～20</t>
    <rPh sb="0" eb="1">
      <t>テン</t>
    </rPh>
    <rPh sb="15" eb="16">
      <t>ホン</t>
    </rPh>
    <phoneticPr fontId="7"/>
  </si>
  <si>
    <t>日生協キャロット5月13号　￥1780①</t>
    <rPh sb="0" eb="3">
      <t>ニッセイキョウ</t>
    </rPh>
    <rPh sb="9" eb="10">
      <t>ガツ</t>
    </rPh>
    <rPh sb="12" eb="13">
      <t>ゴウ</t>
    </rPh>
    <phoneticPr fontId="7"/>
  </si>
  <si>
    <t>2026/6/3数伝</t>
    <rPh sb="8" eb="10">
      <t>スウデン</t>
    </rPh>
    <phoneticPr fontId="7"/>
  </si>
  <si>
    <t>日生協キャロット5月13号　￥1780②</t>
    <rPh sb="0" eb="3">
      <t>ニッセイキョウ</t>
    </rPh>
    <rPh sb="9" eb="10">
      <t>ガツ</t>
    </rPh>
    <rPh sb="12" eb="13">
      <t>ゴウ</t>
    </rPh>
    <phoneticPr fontId="7"/>
  </si>
  <si>
    <t>JOD</t>
    <phoneticPr fontId="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</si>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</sst>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22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5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2" xfId="1" applyBorder="1"/>
    <xf numFmtId="0" fontId="5" fillId="0" borderId="24" xfId="1" applyFont="1" applyBorder="1" applyAlignment="1">
      <alignment horizontal="center" vertical="center"/>
    </xf>
    <xf numFmtId="56" fontId="1" fillId="0" borderId="23" xfId="1" applyNumberFormat="1" applyBorder="1" applyAlignment="1">
      <alignment horizontal="center" vertical="center"/>
    </xf>
    <xf numFmtId="56" fontId="6" fillId="0" borderId="24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6" fillId="0" borderId="10" xfId="1" applyFont="1" applyBorder="1"/>
    <xf numFmtId="0" fontId="1" fillId="0" borderId="25" xfId="1" applyBorder="1"/>
    <xf numFmtId="0" fontId="1" fillId="0" borderId="26" xfId="1" applyBorder="1"/>
    <xf numFmtId="0" fontId="6" fillId="0" borderId="24" xfId="1" applyFont="1" applyBorder="1" applyAlignment="1">
      <alignment horizontal="center" vertical="center"/>
    </xf>
    <xf numFmtId="0" fontId="6" fillId="0" borderId="14" xfId="1" applyFont="1" applyBorder="1"/>
    <xf numFmtId="0" fontId="1" fillId="0" borderId="24" xfId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27" xfId="1" applyBorder="1"/>
    <xf numFmtId="0" fontId="1" fillId="0" borderId="10" xfId="1" applyBorder="1"/>
    <xf numFmtId="0" fontId="1" fillId="0" borderId="14" xfId="1" applyBorder="1"/>
    <xf numFmtId="0" fontId="1" fillId="0" borderId="28" xfId="1" applyBorder="1"/>
    <xf numFmtId="0" fontId="1" fillId="0" borderId="30" xfId="1" applyBorder="1"/>
    <xf numFmtId="0" fontId="1" fillId="0" borderId="31" xfId="1" applyBorder="1"/>
    <xf numFmtId="0" fontId="6" fillId="0" borderId="3" xfId="1" applyFont="1" applyBorder="1"/>
    <xf numFmtId="0" fontId="9" fillId="0" borderId="0" xfId="0" applyFont="1">
      <alignment vertical="center"/>
    </xf>
    <xf numFmtId="0" fontId="1" fillId="0" borderId="32" xfId="1" applyBorder="1"/>
    <xf numFmtId="0" fontId="1" fillId="0" borderId="33" xfId="1" applyBorder="1"/>
    <xf numFmtId="0" fontId="1" fillId="0" borderId="21" xfId="1" applyBorder="1"/>
    <xf numFmtId="176" fontId="0" fillId="0" borderId="0" xfId="0" applyNumberFormat="1">
      <alignment vertical="center"/>
    </xf>
    <xf numFmtId="0" fontId="5" fillId="0" borderId="1" xfId="1" applyFont="1" applyBorder="1"/>
    <xf numFmtId="0" fontId="5" fillId="0" borderId="2" xfId="1" applyFont="1" applyBorder="1"/>
    <xf numFmtId="0" fontId="5" fillId="0" borderId="3" xfId="1" applyFont="1" applyBorder="1"/>
    <xf numFmtId="0" fontId="1" fillId="0" borderId="35" xfId="1" applyBorder="1"/>
    <xf numFmtId="0" fontId="1" fillId="0" borderId="36" xfId="1" applyBorder="1"/>
    <xf numFmtId="0" fontId="6" fillId="0" borderId="37" xfId="1" applyFont="1" applyBorder="1"/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6" fillId="0" borderId="38" xfId="1" applyFont="1" applyBorder="1"/>
    <xf numFmtId="0" fontId="6" fillId="0" borderId="39" xfId="1" applyFont="1" applyBorder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1" fillId="0" borderId="40" xfId="1" applyBorder="1"/>
    <xf numFmtId="0" fontId="8" fillId="0" borderId="0" xfId="0" applyFont="1" applyAlignment="1">
      <alignment horizontal="left" vertical="center"/>
    </xf>
    <xf numFmtId="0" fontId="1" fillId="0" borderId="9" xfId="1" applyBorder="1" applyAlignment="1">
      <alignment horizontal="center" vertical="center" shrinkToFit="1"/>
    </xf>
    <xf numFmtId="0" fontId="1" fillId="0" borderId="9" xfId="1" applyBorder="1" applyAlignment="1">
      <alignment horizontal="center" vertical="center"/>
    </xf>
    <xf numFmtId="0" fontId="1" fillId="0" borderId="5" xfId="1" applyBorder="1" applyAlignment="1">
      <alignment horizontal="center" vertical="center" shrinkToFit="1"/>
    </xf>
    <xf numFmtId="0" fontId="10" fillId="0" borderId="0" xfId="1" applyFont="1"/>
    <xf numFmtId="56" fontId="1" fillId="0" borderId="21" xfId="1" applyNumberFormat="1" applyBorder="1" applyAlignment="1">
      <alignment horizontal="center" vertical="center"/>
    </xf>
    <xf numFmtId="0" fontId="1" fillId="0" borderId="13" xfId="1" applyBorder="1"/>
    <xf numFmtId="56" fontId="0" fillId="0" borderId="0" xfId="0" applyNumberFormat="1" applyAlignment="1">
      <alignment horizontal="left" vertical="center"/>
    </xf>
    <xf numFmtId="56" fontId="1" fillId="0" borderId="9" xfId="1" applyNumberFormat="1" applyBorder="1" applyAlignment="1">
      <alignment horizontal="center" vertical="center" shrinkToFit="1"/>
    </xf>
    <xf numFmtId="0" fontId="1" fillId="0" borderId="29" xfId="1" applyBorder="1"/>
    <xf numFmtId="0" fontId="1" fillId="0" borderId="5" xfId="1" applyBorder="1"/>
    <xf numFmtId="0" fontId="1" fillId="0" borderId="23" xfId="1" applyBorder="1"/>
    <xf numFmtId="0" fontId="1" fillId="0" borderId="34" xfId="1" applyBorder="1"/>
    <xf numFmtId="56" fontId="8" fillId="0" borderId="0" xfId="0" applyNumberFormat="1" applyFont="1">
      <alignment vertical="center"/>
    </xf>
    <xf numFmtId="0" fontId="6" fillId="0" borderId="41" xfId="1" applyFont="1" applyBorder="1"/>
    <xf numFmtId="0" fontId="6" fillId="0" borderId="9" xfId="1" applyFont="1" applyBorder="1"/>
    <xf numFmtId="0" fontId="6" fillId="0" borderId="36" xfId="1" applyFont="1" applyBorder="1"/>
    <xf numFmtId="176" fontId="13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4" fillId="0" borderId="9" xfId="1" applyFont="1" applyBorder="1" applyAlignment="1">
      <alignment horizontal="center" vertical="center" shrinkToFit="1"/>
    </xf>
    <xf numFmtId="0" fontId="4" fillId="0" borderId="15" xfId="1" applyFont="1" applyBorder="1"/>
    <xf numFmtId="0" fontId="4" fillId="0" borderId="16" xfId="1" applyFont="1" applyBorder="1"/>
    <xf numFmtId="0" fontId="4" fillId="0" borderId="17" xfId="1" applyFont="1" applyBorder="1"/>
    <xf numFmtId="0" fontId="4" fillId="0" borderId="9" xfId="1" applyFont="1" applyBorder="1"/>
    <xf numFmtId="0" fontId="4" fillId="0" borderId="36" xfId="1" applyFont="1" applyBorder="1"/>
    <xf numFmtId="0" fontId="14" fillId="0" borderId="0" xfId="0" applyFont="1" applyAlignment="1">
      <alignment horizontal="left" vertical="center"/>
    </xf>
    <xf numFmtId="0" fontId="1" fillId="0" borderId="14" xfId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5" fillId="0" borderId="9" xfId="1" applyFont="1" applyBorder="1" applyAlignment="1">
      <alignment horizontal="center" vertical="center" shrinkToFit="1"/>
    </xf>
    <xf numFmtId="0" fontId="15" fillId="0" borderId="15" xfId="1" applyFont="1" applyBorder="1"/>
    <xf numFmtId="0" fontId="15" fillId="0" borderId="16" xfId="1" applyFont="1" applyBorder="1"/>
    <xf numFmtId="0" fontId="15" fillId="0" borderId="17" xfId="1" applyFont="1" applyBorder="1"/>
    <xf numFmtId="0" fontId="15" fillId="0" borderId="9" xfId="1" applyFont="1" applyBorder="1"/>
    <xf numFmtId="0" fontId="15" fillId="0" borderId="36" xfId="1" applyFont="1" applyBorder="1"/>
    <xf numFmtId="56" fontId="16" fillId="0" borderId="0" xfId="0" applyNumberFormat="1" applyFont="1" applyAlignment="1">
      <alignment horizontal="left" vertical="center"/>
    </xf>
    <xf numFmtId="56" fontId="15" fillId="0" borderId="23" xfId="1" applyNumberFormat="1" applyFont="1" applyBorder="1" applyAlignment="1">
      <alignment horizontal="center" vertical="center"/>
    </xf>
    <xf numFmtId="0" fontId="15" fillId="0" borderId="6" xfId="1" applyFont="1" applyBorder="1"/>
    <xf numFmtId="0" fontId="15" fillId="0" borderId="7" xfId="1" applyFont="1" applyBorder="1"/>
    <xf numFmtId="0" fontId="15" fillId="0" borderId="28" xfId="1" applyFont="1" applyBorder="1"/>
    <xf numFmtId="0" fontId="15" fillId="0" borderId="30" xfId="1" applyFont="1" applyBorder="1"/>
    <xf numFmtId="0" fontId="15" fillId="0" borderId="25" xfId="1" applyFont="1" applyBorder="1"/>
    <xf numFmtId="0" fontId="15" fillId="0" borderId="26" xfId="1" applyFont="1" applyBorder="1"/>
    <xf numFmtId="0" fontId="15" fillId="0" borderId="31" xfId="1" applyFont="1" applyBorder="1"/>
    <xf numFmtId="0" fontId="15" fillId="0" borderId="22" xfId="1" applyFont="1" applyBorder="1"/>
    <xf numFmtId="0" fontId="6" fillId="0" borderId="9" xfId="1" applyFont="1" applyBorder="1" applyAlignment="1">
      <alignment horizontal="center" vertical="center" shrinkToFit="1"/>
    </xf>
    <xf numFmtId="0" fontId="6" fillId="0" borderId="15" xfId="1" applyFont="1" applyBorder="1"/>
    <xf numFmtId="0" fontId="6" fillId="0" borderId="16" xfId="1" applyFont="1" applyBorder="1"/>
    <xf numFmtId="0" fontId="6" fillId="0" borderId="17" xfId="1" applyFont="1" applyBorder="1"/>
    <xf numFmtId="0" fontId="18" fillId="0" borderId="9" xfId="1" applyFont="1" applyBorder="1" applyAlignment="1">
      <alignment horizontal="center" vertical="center" shrinkToFit="1"/>
    </xf>
    <xf numFmtId="0" fontId="18" fillId="0" borderId="15" xfId="1" applyFont="1" applyBorder="1"/>
    <xf numFmtId="0" fontId="18" fillId="0" borderId="16" xfId="1" applyFont="1" applyBorder="1"/>
    <xf numFmtId="0" fontId="18" fillId="0" borderId="17" xfId="1" applyFont="1" applyBorder="1"/>
    <xf numFmtId="0" fontId="18" fillId="0" borderId="9" xfId="1" applyFont="1" applyBorder="1"/>
    <xf numFmtId="0" fontId="18" fillId="0" borderId="36" xfId="1" applyFont="1" applyBorder="1"/>
    <xf numFmtId="0" fontId="11" fillId="0" borderId="0" xfId="0" applyFont="1" applyAlignment="1">
      <alignment horizontal="left" vertical="center"/>
    </xf>
    <xf numFmtId="0" fontId="4" fillId="2" borderId="24" xfId="1" applyFont="1" applyFill="1" applyBorder="1" applyAlignment="1">
      <alignment horizontal="center" vertical="center"/>
    </xf>
    <xf numFmtId="0" fontId="4" fillId="2" borderId="39" xfId="1" applyFont="1" applyFill="1" applyBorder="1" applyAlignment="1">
      <alignment horizontal="center" vertical="center"/>
    </xf>
    <xf numFmtId="0" fontId="4" fillId="2" borderId="41" xfId="1" applyFont="1" applyFill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2" fillId="3" borderId="0" xfId="1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8"/>
  <sheetViews>
    <sheetView tabSelected="1" topLeftCell="A824" zoomScaleNormal="100" workbookViewId="0">
      <selection activeCell="A832" sqref="A832"/>
    </sheetView>
  </sheetViews>
  <sheetFormatPr defaultRowHeight="13.5" x14ac:dyDescent="0.15"/>
  <cols>
    <col min="1" max="1" width="23.75" customWidth="1"/>
    <col min="2" max="10" width="8" customWidth="1"/>
    <col min="11" max="11" width="13.125" style="55" customWidth="1"/>
    <col min="12" max="12" width="32.75" customWidth="1"/>
    <col min="13" max="21" width="8" customWidth="1"/>
    <col min="22" max="22" width="15.25" style="55" customWidth="1"/>
  </cols>
  <sheetData>
    <row r="1" spans="1:23" ht="19.5" thickBot="1" x14ac:dyDescent="0.25">
      <c r="A1" s="2" t="s">
        <v>24</v>
      </c>
      <c r="B1" s="1"/>
      <c r="C1" s="1"/>
      <c r="D1" s="1"/>
      <c r="E1" s="1"/>
      <c r="F1" s="1" t="s">
        <v>39</v>
      </c>
      <c r="G1" s="1"/>
      <c r="H1" s="1"/>
      <c r="I1" s="1"/>
      <c r="J1" s="1"/>
      <c r="L1" s="2" t="s">
        <v>23</v>
      </c>
      <c r="M1" s="1"/>
      <c r="N1" s="1"/>
      <c r="O1" s="1"/>
      <c r="P1" s="63" t="s">
        <v>35</v>
      </c>
      <c r="Q1" s="1"/>
      <c r="R1" s="1" t="s">
        <v>39</v>
      </c>
      <c r="S1" s="1"/>
      <c r="T1" s="1"/>
      <c r="U1" s="1"/>
    </row>
    <row r="2" spans="1:23" ht="14.25" thickBot="1" x14ac:dyDescent="0.2">
      <c r="A2" s="6" t="s">
        <v>0</v>
      </c>
      <c r="B2" s="128" t="s">
        <v>21</v>
      </c>
      <c r="C2" s="129"/>
      <c r="D2" s="129"/>
      <c r="E2" s="130"/>
      <c r="F2" s="125" t="s">
        <v>19</v>
      </c>
      <c r="G2" s="126"/>
      <c r="H2" s="126"/>
      <c r="I2" s="127"/>
      <c r="J2" s="131" t="s">
        <v>1</v>
      </c>
      <c r="L2" s="6" t="s">
        <v>0</v>
      </c>
      <c r="M2" s="128" t="s">
        <v>21</v>
      </c>
      <c r="N2" s="129"/>
      <c r="O2" s="129"/>
      <c r="P2" s="130"/>
      <c r="Q2" s="125" t="s">
        <v>19</v>
      </c>
      <c r="R2" s="126"/>
      <c r="S2" s="126"/>
      <c r="T2" s="127"/>
      <c r="U2" s="131" t="s">
        <v>1</v>
      </c>
    </row>
    <row r="3" spans="1:23" ht="14.25" thickBot="1" x14ac:dyDescent="0.2">
      <c r="A3" s="6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3" t="s">
        <v>3</v>
      </c>
      <c r="G3" s="4" t="s">
        <v>4</v>
      </c>
      <c r="H3" s="5" t="s">
        <v>5</v>
      </c>
      <c r="I3" s="6" t="s">
        <v>6</v>
      </c>
      <c r="J3" s="132"/>
      <c r="L3" s="6" t="s">
        <v>2</v>
      </c>
      <c r="M3" s="3" t="s">
        <v>3</v>
      </c>
      <c r="N3" s="4" t="s">
        <v>4</v>
      </c>
      <c r="O3" s="5" t="s">
        <v>5</v>
      </c>
      <c r="P3" s="6" t="s">
        <v>6</v>
      </c>
      <c r="Q3" s="3" t="s">
        <v>3</v>
      </c>
      <c r="R3" s="4" t="s">
        <v>4</v>
      </c>
      <c r="S3" s="5" t="s">
        <v>5</v>
      </c>
      <c r="T3" s="6" t="s">
        <v>6</v>
      </c>
      <c r="U3" s="132"/>
    </row>
    <row r="4" spans="1:23" x14ac:dyDescent="0.15">
      <c r="A4" s="64" t="s">
        <v>7</v>
      </c>
      <c r="B4" s="30">
        <v>20</v>
      </c>
      <c r="C4" s="31">
        <v>20</v>
      </c>
      <c r="D4" s="65">
        <v>20</v>
      </c>
      <c r="E4" s="34">
        <f t="shared" ref="E4:E10" si="0">SUM(B4:D4)</f>
        <v>60</v>
      </c>
      <c r="F4" s="30">
        <v>20</v>
      </c>
      <c r="G4" s="31">
        <v>20</v>
      </c>
      <c r="H4" s="65">
        <v>20</v>
      </c>
      <c r="I4" s="34">
        <f t="shared" ref="I4:I10" si="1">SUM(F4:H4)</f>
        <v>60</v>
      </c>
      <c r="J4" s="34">
        <f>E4+I4</f>
        <v>120</v>
      </c>
      <c r="K4" s="57" t="s">
        <v>36</v>
      </c>
      <c r="L4" s="64" t="s">
        <v>27</v>
      </c>
      <c r="M4" s="30">
        <v>510</v>
      </c>
      <c r="N4" s="31">
        <v>510</v>
      </c>
      <c r="O4" s="65">
        <v>320</v>
      </c>
      <c r="P4" s="34">
        <f t="shared" ref="P4:P10" si="2">SUM(M4:O4)</f>
        <v>1340</v>
      </c>
      <c r="Q4" s="30">
        <v>510</v>
      </c>
      <c r="R4" s="31">
        <v>510</v>
      </c>
      <c r="S4" s="65">
        <v>320</v>
      </c>
      <c r="T4" s="34">
        <f t="shared" ref="T4:T10" si="3">SUM(Q4:S4)</f>
        <v>1340</v>
      </c>
      <c r="U4" s="34">
        <f>P4+T4</f>
        <v>2680</v>
      </c>
      <c r="V4" s="57" t="s">
        <v>44</v>
      </c>
    </row>
    <row r="5" spans="1:23" x14ac:dyDescent="0.15">
      <c r="A5" s="19" t="s">
        <v>8</v>
      </c>
      <c r="B5" s="7">
        <v>5</v>
      </c>
      <c r="C5" s="8"/>
      <c r="D5" s="35"/>
      <c r="E5" s="10">
        <f t="shared" ref="E5:E7" si="4">SUM(B5:D5)</f>
        <v>5</v>
      </c>
      <c r="F5" s="7">
        <v>5</v>
      </c>
      <c r="G5" s="8"/>
      <c r="H5" s="35"/>
      <c r="I5" s="48">
        <f t="shared" ref="I5:I7" si="5">SUM(F5:H5)</f>
        <v>5</v>
      </c>
      <c r="J5" s="10">
        <f t="shared" ref="J5:J7" si="6">E5+I5</f>
        <v>10</v>
      </c>
      <c r="K5" s="57">
        <v>45482</v>
      </c>
      <c r="L5" s="19" t="s">
        <v>32</v>
      </c>
      <c r="M5" s="7">
        <v>-20</v>
      </c>
      <c r="N5" s="8">
        <v>-20</v>
      </c>
      <c r="O5" s="35">
        <v>-20</v>
      </c>
      <c r="P5" s="10">
        <f t="shared" ref="P5:P9" si="7">SUM(M5:O5)</f>
        <v>-60</v>
      </c>
      <c r="Q5" s="7">
        <v>-20</v>
      </c>
      <c r="R5" s="8">
        <v>-20</v>
      </c>
      <c r="S5" s="35">
        <v>-20</v>
      </c>
      <c r="T5" s="48">
        <f t="shared" ref="T5:T9" si="8">SUM(Q5:S5)</f>
        <v>-60</v>
      </c>
      <c r="U5" s="10">
        <f t="shared" ref="U5:U9" si="9">P5+T5</f>
        <v>-120</v>
      </c>
      <c r="V5" s="57">
        <v>45453</v>
      </c>
    </row>
    <row r="6" spans="1:23" x14ac:dyDescent="0.15">
      <c r="A6" s="19" t="s">
        <v>9</v>
      </c>
      <c r="B6" s="7">
        <v>3</v>
      </c>
      <c r="C6" s="8">
        <v>3</v>
      </c>
      <c r="D6" s="35">
        <v>3</v>
      </c>
      <c r="E6" s="10">
        <f t="shared" si="4"/>
        <v>9</v>
      </c>
      <c r="F6" s="7">
        <v>3</v>
      </c>
      <c r="G6" s="8">
        <v>3</v>
      </c>
      <c r="H6" s="35">
        <v>3</v>
      </c>
      <c r="I6" s="48">
        <f t="shared" si="5"/>
        <v>9</v>
      </c>
      <c r="J6" s="10">
        <f t="shared" si="6"/>
        <v>18</v>
      </c>
      <c r="K6" s="57">
        <v>45497</v>
      </c>
      <c r="L6" s="19" t="s">
        <v>38</v>
      </c>
      <c r="M6" s="7">
        <v>30</v>
      </c>
      <c r="N6" s="8">
        <v>30</v>
      </c>
      <c r="O6" s="35">
        <v>20</v>
      </c>
      <c r="P6" s="10">
        <f t="shared" si="7"/>
        <v>80</v>
      </c>
      <c r="Q6" s="7">
        <v>30</v>
      </c>
      <c r="R6" s="8">
        <v>30</v>
      </c>
      <c r="S6" s="35">
        <v>20</v>
      </c>
      <c r="T6" s="48">
        <f t="shared" si="8"/>
        <v>80</v>
      </c>
      <c r="U6" s="10">
        <f t="shared" si="9"/>
        <v>160</v>
      </c>
      <c r="V6" s="57" t="s">
        <v>45</v>
      </c>
      <c r="W6" s="39"/>
    </row>
    <row r="7" spans="1:23" x14ac:dyDescent="0.15">
      <c r="A7" s="19" t="s">
        <v>59</v>
      </c>
      <c r="B7" s="7"/>
      <c r="C7" s="8">
        <v>1</v>
      </c>
      <c r="D7" s="35"/>
      <c r="E7" s="10">
        <f t="shared" si="4"/>
        <v>1</v>
      </c>
      <c r="F7" s="7"/>
      <c r="G7" s="8">
        <v>1</v>
      </c>
      <c r="H7" s="35"/>
      <c r="I7" s="48">
        <f t="shared" si="5"/>
        <v>1</v>
      </c>
      <c r="J7" s="10">
        <f t="shared" si="6"/>
        <v>2</v>
      </c>
      <c r="K7" s="57">
        <v>45498</v>
      </c>
      <c r="L7" s="19" t="s">
        <v>10</v>
      </c>
      <c r="M7" s="7"/>
      <c r="N7" s="8"/>
      <c r="O7" s="35"/>
      <c r="P7" s="10">
        <f t="shared" ref="P7" si="10">SUM(M7:O7)</f>
        <v>0</v>
      </c>
      <c r="Q7" s="7"/>
      <c r="R7" s="8"/>
      <c r="S7" s="35"/>
      <c r="T7" s="48">
        <f t="shared" ref="T7" si="11">SUM(Q7:S7)</f>
        <v>0</v>
      </c>
      <c r="U7" s="10">
        <f t="shared" ref="U7" si="12">P7+T7</f>
        <v>0</v>
      </c>
      <c r="V7" s="56"/>
      <c r="W7" s="39"/>
    </row>
    <row r="8" spans="1:23" x14ac:dyDescent="0.15">
      <c r="A8" s="19" t="s">
        <v>11</v>
      </c>
      <c r="B8" s="7"/>
      <c r="C8" s="8"/>
      <c r="D8" s="35"/>
      <c r="E8" s="10">
        <f t="shared" si="0"/>
        <v>0</v>
      </c>
      <c r="F8" s="7"/>
      <c r="G8" s="8"/>
      <c r="H8" s="35">
        <v>5</v>
      </c>
      <c r="I8" s="48">
        <f t="shared" si="1"/>
        <v>5</v>
      </c>
      <c r="J8" s="10">
        <f t="shared" ref="J8:J41" si="13">E8+I8</f>
        <v>5</v>
      </c>
      <c r="K8" s="57">
        <v>45502</v>
      </c>
      <c r="L8" s="19" t="s">
        <v>11</v>
      </c>
      <c r="M8" s="7"/>
      <c r="N8" s="8"/>
      <c r="O8" s="35"/>
      <c r="P8" s="10">
        <f t="shared" si="7"/>
        <v>0</v>
      </c>
      <c r="Q8" s="7"/>
      <c r="R8" s="8"/>
      <c r="S8" s="35"/>
      <c r="T8" s="48">
        <f t="shared" si="8"/>
        <v>0</v>
      </c>
      <c r="U8" s="10">
        <f t="shared" si="9"/>
        <v>0</v>
      </c>
      <c r="V8" s="56"/>
      <c r="W8" s="39"/>
    </row>
    <row r="9" spans="1:23" x14ac:dyDescent="0.15">
      <c r="A9" s="19" t="s">
        <v>12</v>
      </c>
      <c r="B9" s="7"/>
      <c r="C9" s="8"/>
      <c r="D9" s="35"/>
      <c r="E9" s="10">
        <f t="shared" si="0"/>
        <v>0</v>
      </c>
      <c r="F9" s="7"/>
      <c r="G9" s="8"/>
      <c r="H9" s="35"/>
      <c r="I9" s="48">
        <f t="shared" si="1"/>
        <v>0</v>
      </c>
      <c r="J9" s="10">
        <f t="shared" si="13"/>
        <v>0</v>
      </c>
      <c r="K9" s="57"/>
      <c r="L9" s="19" t="s">
        <v>12</v>
      </c>
      <c r="M9" s="7"/>
      <c r="N9" s="8"/>
      <c r="O9" s="35"/>
      <c r="P9" s="10">
        <f t="shared" si="7"/>
        <v>0</v>
      </c>
      <c r="Q9" s="7"/>
      <c r="R9" s="8"/>
      <c r="S9" s="35"/>
      <c r="T9" s="48">
        <f t="shared" si="8"/>
        <v>0</v>
      </c>
      <c r="U9" s="10">
        <f t="shared" si="9"/>
        <v>0</v>
      </c>
      <c r="V9" s="56"/>
    </row>
    <row r="10" spans="1:23" x14ac:dyDescent="0.15">
      <c r="A10" s="19" t="s">
        <v>13</v>
      </c>
      <c r="B10" s="7"/>
      <c r="C10" s="8"/>
      <c r="D10" s="35"/>
      <c r="E10" s="10">
        <f t="shared" si="0"/>
        <v>0</v>
      </c>
      <c r="F10" s="7"/>
      <c r="G10" s="8"/>
      <c r="H10" s="35"/>
      <c r="I10" s="48">
        <f t="shared" si="1"/>
        <v>0</v>
      </c>
      <c r="J10" s="10">
        <f t="shared" si="13"/>
        <v>0</v>
      </c>
      <c r="K10" s="57"/>
      <c r="L10" s="19" t="s">
        <v>13</v>
      </c>
      <c r="M10" s="7"/>
      <c r="N10" s="8"/>
      <c r="O10" s="35"/>
      <c r="P10" s="10">
        <f t="shared" si="2"/>
        <v>0</v>
      </c>
      <c r="Q10" s="7"/>
      <c r="R10" s="8"/>
      <c r="S10" s="35"/>
      <c r="T10" s="48">
        <f t="shared" si="3"/>
        <v>0</v>
      </c>
      <c r="U10" s="10">
        <f t="shared" ref="U10:U41" si="14">P10+T10</f>
        <v>0</v>
      </c>
      <c r="V10" s="56"/>
    </row>
    <row r="11" spans="1:23" x14ac:dyDescent="0.15">
      <c r="A11" s="19" t="s">
        <v>14</v>
      </c>
      <c r="B11" s="11"/>
      <c r="C11" s="12"/>
      <c r="D11" s="36"/>
      <c r="E11" s="10">
        <f t="shared" ref="E11:E12" si="15">SUM(B11:D11)</f>
        <v>0</v>
      </c>
      <c r="F11" s="11"/>
      <c r="G11" s="12"/>
      <c r="H11" s="36"/>
      <c r="I11" s="48">
        <f t="shared" ref="I11:I12" si="16">SUM(F11:H11)</f>
        <v>0</v>
      </c>
      <c r="J11" s="10">
        <f t="shared" si="13"/>
        <v>0</v>
      </c>
      <c r="K11" s="56"/>
      <c r="L11" s="19" t="s">
        <v>14</v>
      </c>
      <c r="M11" s="11"/>
      <c r="N11" s="12"/>
      <c r="O11" s="36"/>
      <c r="P11" s="10">
        <f t="shared" ref="P11:P12" si="17">SUM(M11:O11)</f>
        <v>0</v>
      </c>
      <c r="Q11" s="11"/>
      <c r="R11" s="12"/>
      <c r="S11" s="36"/>
      <c r="T11" s="48">
        <f t="shared" ref="T11:T12" si="18">SUM(Q11:S11)</f>
        <v>0</v>
      </c>
      <c r="U11" s="10">
        <f t="shared" si="14"/>
        <v>0</v>
      </c>
      <c r="V11" s="56"/>
    </row>
    <row r="12" spans="1:23" ht="14.25" thickBot="1" x14ac:dyDescent="0.2">
      <c r="A12" s="19" t="s">
        <v>15</v>
      </c>
      <c r="B12" s="25"/>
      <c r="C12" s="26"/>
      <c r="D12" s="37"/>
      <c r="E12" s="10">
        <f t="shared" si="15"/>
        <v>0</v>
      </c>
      <c r="F12" s="25"/>
      <c r="G12" s="26"/>
      <c r="H12" s="37"/>
      <c r="I12" s="48">
        <f t="shared" si="16"/>
        <v>0</v>
      </c>
      <c r="J12" s="17">
        <f t="shared" si="13"/>
        <v>0</v>
      </c>
      <c r="K12" s="56"/>
      <c r="L12" s="19" t="s">
        <v>15</v>
      </c>
      <c r="M12" s="11"/>
      <c r="N12" s="12"/>
      <c r="O12" s="36"/>
      <c r="P12" s="10">
        <f t="shared" si="17"/>
        <v>0</v>
      </c>
      <c r="Q12" s="11"/>
      <c r="R12" s="12"/>
      <c r="S12" s="36"/>
      <c r="T12" s="48">
        <f t="shared" si="18"/>
        <v>0</v>
      </c>
      <c r="U12" s="17">
        <f t="shared" si="14"/>
        <v>0</v>
      </c>
      <c r="V12" s="56"/>
    </row>
    <row r="13" spans="1:23" ht="14.25" thickBot="1" x14ac:dyDescent="0.2">
      <c r="A13" s="27" t="s">
        <v>34</v>
      </c>
      <c r="B13" s="21">
        <f>SUM(B4:B12)</f>
        <v>28</v>
      </c>
      <c r="C13" s="22">
        <f t="shared" ref="C13:J13" si="19">SUM(C4:C12)</f>
        <v>24</v>
      </c>
      <c r="D13" s="23">
        <f t="shared" si="19"/>
        <v>23</v>
      </c>
      <c r="E13" s="24">
        <f t="shared" si="19"/>
        <v>75</v>
      </c>
      <c r="F13" s="21">
        <f t="shared" si="19"/>
        <v>28</v>
      </c>
      <c r="G13" s="22">
        <f t="shared" si="19"/>
        <v>24</v>
      </c>
      <c r="H13" s="23">
        <f t="shared" si="19"/>
        <v>28</v>
      </c>
      <c r="I13" s="24">
        <f t="shared" si="19"/>
        <v>80</v>
      </c>
      <c r="J13" s="24">
        <f t="shared" si="19"/>
        <v>155</v>
      </c>
      <c r="L13" s="27" t="s">
        <v>16</v>
      </c>
      <c r="M13" s="21">
        <f>SUM(M4:M12)</f>
        <v>520</v>
      </c>
      <c r="N13" s="22">
        <f t="shared" ref="N13:U13" si="20">SUM(N4:N12)</f>
        <v>520</v>
      </c>
      <c r="O13" s="38">
        <f t="shared" si="20"/>
        <v>320</v>
      </c>
      <c r="P13" s="54">
        <f t="shared" si="20"/>
        <v>1360</v>
      </c>
      <c r="Q13" s="21">
        <f t="shared" si="20"/>
        <v>520</v>
      </c>
      <c r="R13" s="22">
        <f t="shared" si="20"/>
        <v>520</v>
      </c>
      <c r="S13" s="38">
        <f t="shared" si="20"/>
        <v>320</v>
      </c>
      <c r="T13" s="53">
        <f t="shared" si="20"/>
        <v>1360</v>
      </c>
      <c r="U13" s="24">
        <f t="shared" si="20"/>
        <v>2720</v>
      </c>
    </row>
    <row r="14" spans="1:23" x14ac:dyDescent="0.15">
      <c r="A14" s="60" t="s">
        <v>33</v>
      </c>
      <c r="B14" s="7">
        <v>10</v>
      </c>
      <c r="C14" s="8">
        <v>10</v>
      </c>
      <c r="D14" s="9">
        <v>10</v>
      </c>
      <c r="E14" s="10">
        <f t="shared" ref="E14:E17" si="21">SUM(B14:D14)</f>
        <v>30</v>
      </c>
      <c r="F14" s="7">
        <v>10</v>
      </c>
      <c r="G14" s="8">
        <v>10</v>
      </c>
      <c r="H14" s="9">
        <v>10</v>
      </c>
      <c r="I14" s="48">
        <f t="shared" ref="I14:I17" si="22">SUM(F14:H14)</f>
        <v>30</v>
      </c>
      <c r="J14" s="10">
        <f t="shared" ref="J14:J17" si="23">E14+I14</f>
        <v>60</v>
      </c>
      <c r="K14" s="57">
        <v>45455</v>
      </c>
      <c r="L14" s="61" t="s">
        <v>20</v>
      </c>
      <c r="M14" s="14">
        <v>360</v>
      </c>
      <c r="N14" s="15">
        <v>360</v>
      </c>
      <c r="O14" s="16">
        <v>220</v>
      </c>
      <c r="P14" s="34">
        <f t="shared" ref="P14:P19" si="24">SUM(M14:O14)</f>
        <v>940</v>
      </c>
      <c r="Q14" s="14">
        <v>360</v>
      </c>
      <c r="R14" s="15">
        <v>360</v>
      </c>
      <c r="S14" s="16">
        <v>220</v>
      </c>
      <c r="T14" s="47">
        <f t="shared" ref="T14:T19" si="25">SUM(Q14:S14)</f>
        <v>940</v>
      </c>
      <c r="U14" s="42">
        <f t="shared" si="14"/>
        <v>1880</v>
      </c>
      <c r="V14" s="57">
        <v>45484</v>
      </c>
    </row>
    <row r="15" spans="1:23" x14ac:dyDescent="0.15">
      <c r="A15" s="60" t="s">
        <v>37</v>
      </c>
      <c r="B15" s="7"/>
      <c r="C15" s="8"/>
      <c r="D15" s="9">
        <v>1</v>
      </c>
      <c r="E15" s="10">
        <f t="shared" si="21"/>
        <v>1</v>
      </c>
      <c r="F15" s="7"/>
      <c r="G15" s="8"/>
      <c r="H15" s="9">
        <v>1</v>
      </c>
      <c r="I15" s="48">
        <f t="shared" si="22"/>
        <v>1</v>
      </c>
      <c r="J15" s="10">
        <f t="shared" si="23"/>
        <v>2</v>
      </c>
      <c r="K15" s="57">
        <v>45454</v>
      </c>
      <c r="L15" s="67" t="s">
        <v>46</v>
      </c>
      <c r="M15" s="7">
        <v>5</v>
      </c>
      <c r="N15" s="8"/>
      <c r="O15" s="9"/>
      <c r="P15" s="10">
        <f t="shared" si="24"/>
        <v>5</v>
      </c>
      <c r="Q15" s="7">
        <v>5</v>
      </c>
      <c r="R15" s="8"/>
      <c r="S15" s="9"/>
      <c r="T15" s="48">
        <f t="shared" si="25"/>
        <v>5</v>
      </c>
      <c r="U15" s="10">
        <f t="shared" si="14"/>
        <v>10</v>
      </c>
      <c r="V15" s="57">
        <v>45482</v>
      </c>
      <c r="W15" s="39"/>
    </row>
    <row r="16" spans="1:23" x14ac:dyDescent="0.15">
      <c r="A16" s="60" t="s">
        <v>37</v>
      </c>
      <c r="B16" s="7">
        <v>1</v>
      </c>
      <c r="C16" s="8"/>
      <c r="D16" s="9"/>
      <c r="E16" s="10">
        <f t="shared" si="21"/>
        <v>1</v>
      </c>
      <c r="F16" s="7"/>
      <c r="G16" s="8"/>
      <c r="H16" s="9"/>
      <c r="I16" s="48">
        <f t="shared" si="22"/>
        <v>0</v>
      </c>
      <c r="J16" s="10">
        <f t="shared" si="23"/>
        <v>1</v>
      </c>
      <c r="K16" s="57">
        <v>45457</v>
      </c>
      <c r="L16" s="60" t="s">
        <v>47</v>
      </c>
      <c r="M16" s="7">
        <v>2</v>
      </c>
      <c r="N16" s="8"/>
      <c r="O16" s="9"/>
      <c r="P16" s="10">
        <f t="shared" si="24"/>
        <v>2</v>
      </c>
      <c r="Q16" s="7"/>
      <c r="R16" s="8">
        <v>3</v>
      </c>
      <c r="S16" s="9"/>
      <c r="T16" s="48">
        <f t="shared" si="25"/>
        <v>3</v>
      </c>
      <c r="U16" s="10">
        <f t="shared" si="14"/>
        <v>5</v>
      </c>
      <c r="V16" s="57">
        <v>45485</v>
      </c>
      <c r="W16" s="39"/>
    </row>
    <row r="17" spans="1:23" x14ac:dyDescent="0.15">
      <c r="A17" s="60" t="s">
        <v>37</v>
      </c>
      <c r="B17" s="7"/>
      <c r="C17" s="8">
        <v>1</v>
      </c>
      <c r="D17" s="9"/>
      <c r="E17" s="10">
        <f t="shared" si="21"/>
        <v>1</v>
      </c>
      <c r="F17" s="7"/>
      <c r="G17" s="8"/>
      <c r="H17" s="9"/>
      <c r="I17" s="48">
        <f t="shared" si="22"/>
        <v>0</v>
      </c>
      <c r="J17" s="10">
        <f t="shared" si="23"/>
        <v>1</v>
      </c>
      <c r="K17" s="57">
        <v>45463</v>
      </c>
      <c r="L17" s="61" t="s">
        <v>48</v>
      </c>
      <c r="M17" s="7">
        <v>5</v>
      </c>
      <c r="N17" s="8">
        <v>7</v>
      </c>
      <c r="O17" s="9"/>
      <c r="P17" s="10">
        <f t="shared" si="24"/>
        <v>12</v>
      </c>
      <c r="Q17" s="7">
        <v>5</v>
      </c>
      <c r="R17" s="8">
        <v>7</v>
      </c>
      <c r="S17" s="9"/>
      <c r="T17" s="48">
        <f t="shared" si="25"/>
        <v>12</v>
      </c>
      <c r="U17" s="10">
        <f t="shared" si="14"/>
        <v>24</v>
      </c>
      <c r="V17" s="57">
        <v>45485</v>
      </c>
      <c r="W17" s="39"/>
    </row>
    <row r="18" spans="1:23" x14ac:dyDescent="0.15">
      <c r="A18" s="60" t="s">
        <v>37</v>
      </c>
      <c r="B18" s="7">
        <v>1</v>
      </c>
      <c r="C18" s="8"/>
      <c r="D18" s="9"/>
      <c r="E18" s="10">
        <f t="shared" ref="E18:E19" si="26">SUM(B18:D18)</f>
        <v>1</v>
      </c>
      <c r="F18" s="7"/>
      <c r="G18" s="8"/>
      <c r="H18" s="9"/>
      <c r="I18" s="48">
        <f t="shared" ref="I18:I19" si="27">SUM(F18:H18)</f>
        <v>0</v>
      </c>
      <c r="J18" s="10">
        <f t="shared" si="13"/>
        <v>1</v>
      </c>
      <c r="K18" s="57">
        <v>45464</v>
      </c>
      <c r="L18" s="61" t="s">
        <v>49</v>
      </c>
      <c r="M18" s="7"/>
      <c r="N18" s="8">
        <v>6</v>
      </c>
      <c r="O18" s="9">
        <v>7</v>
      </c>
      <c r="P18" s="10">
        <f t="shared" si="24"/>
        <v>13</v>
      </c>
      <c r="Q18" s="7"/>
      <c r="R18" s="8">
        <v>6</v>
      </c>
      <c r="S18" s="9">
        <v>7</v>
      </c>
      <c r="T18" s="48">
        <f t="shared" si="25"/>
        <v>13</v>
      </c>
      <c r="U18" s="10">
        <f t="shared" si="14"/>
        <v>26</v>
      </c>
      <c r="V18" s="57">
        <v>45489</v>
      </c>
      <c r="W18" s="39"/>
    </row>
    <row r="19" spans="1:23" x14ac:dyDescent="0.15">
      <c r="A19" s="60" t="s">
        <v>37</v>
      </c>
      <c r="B19" s="7"/>
      <c r="C19" s="8"/>
      <c r="D19" s="9"/>
      <c r="E19" s="10">
        <f t="shared" si="26"/>
        <v>0</v>
      </c>
      <c r="F19" s="7">
        <v>2</v>
      </c>
      <c r="G19" s="8"/>
      <c r="H19" s="9"/>
      <c r="I19" s="48">
        <f t="shared" si="27"/>
        <v>2</v>
      </c>
      <c r="J19" s="10">
        <f t="shared" si="13"/>
        <v>2</v>
      </c>
      <c r="K19" s="66">
        <v>45469</v>
      </c>
      <c r="L19" s="61" t="s">
        <v>51</v>
      </c>
      <c r="M19" s="7">
        <v>5</v>
      </c>
      <c r="N19" s="8">
        <v>4</v>
      </c>
      <c r="O19" s="9"/>
      <c r="P19" s="10">
        <f t="shared" si="24"/>
        <v>9</v>
      </c>
      <c r="Q19" s="7">
        <v>5</v>
      </c>
      <c r="R19" s="8">
        <v>4</v>
      </c>
      <c r="S19" s="9"/>
      <c r="T19" s="48">
        <f t="shared" si="25"/>
        <v>9</v>
      </c>
      <c r="U19" s="10">
        <f t="shared" si="14"/>
        <v>18</v>
      </c>
      <c r="V19" s="57">
        <v>45491</v>
      </c>
      <c r="W19" s="39"/>
    </row>
    <row r="20" spans="1:23" x14ac:dyDescent="0.15">
      <c r="A20" s="60" t="s">
        <v>37</v>
      </c>
      <c r="B20" s="7"/>
      <c r="C20" s="8"/>
      <c r="D20" s="9"/>
      <c r="E20" s="10">
        <f t="shared" ref="E20:E39" si="28">SUM(B20:D20)</f>
        <v>0</v>
      </c>
      <c r="F20" s="7">
        <v>1</v>
      </c>
      <c r="G20" s="8"/>
      <c r="H20" s="9"/>
      <c r="I20" s="48">
        <f t="shared" ref="I20:I39" si="29">SUM(F20:H20)</f>
        <v>1</v>
      </c>
      <c r="J20" s="10">
        <f t="shared" si="13"/>
        <v>1</v>
      </c>
      <c r="K20" s="57">
        <v>45474</v>
      </c>
      <c r="L20" s="60" t="s">
        <v>52</v>
      </c>
      <c r="M20" s="7">
        <v>5</v>
      </c>
      <c r="N20" s="8"/>
      <c r="O20" s="9"/>
      <c r="P20" s="10">
        <f t="shared" ref="P20:P39" si="30">SUM(M20:O20)</f>
        <v>5</v>
      </c>
      <c r="Q20" s="7">
        <v>5</v>
      </c>
      <c r="R20" s="8"/>
      <c r="S20" s="9"/>
      <c r="T20" s="48">
        <f t="shared" ref="T20:T39" si="31">SUM(Q20:S20)</f>
        <v>5</v>
      </c>
      <c r="U20" s="10">
        <f t="shared" si="14"/>
        <v>10</v>
      </c>
      <c r="V20" s="57">
        <v>45495</v>
      </c>
    </row>
    <row r="21" spans="1:23" x14ac:dyDescent="0.15">
      <c r="A21" s="60" t="s">
        <v>42</v>
      </c>
      <c r="B21" s="7"/>
      <c r="C21" s="8"/>
      <c r="D21" s="9"/>
      <c r="E21" s="10">
        <f t="shared" si="28"/>
        <v>0</v>
      </c>
      <c r="F21" s="7"/>
      <c r="G21" s="8"/>
      <c r="H21" s="9">
        <v>1</v>
      </c>
      <c r="I21" s="48">
        <f t="shared" si="29"/>
        <v>1</v>
      </c>
      <c r="J21" s="10">
        <f t="shared" si="13"/>
        <v>1</v>
      </c>
      <c r="K21" s="57">
        <v>45477</v>
      </c>
      <c r="L21" s="61" t="s">
        <v>54</v>
      </c>
      <c r="M21" s="7"/>
      <c r="N21" s="8"/>
      <c r="O21" s="9">
        <v>4</v>
      </c>
      <c r="P21" s="10">
        <f t="shared" si="30"/>
        <v>4</v>
      </c>
      <c r="Q21" s="7"/>
      <c r="R21" s="8"/>
      <c r="S21" s="9">
        <v>4</v>
      </c>
      <c r="T21" s="48">
        <f t="shared" si="31"/>
        <v>4</v>
      </c>
      <c r="U21" s="10">
        <f t="shared" si="14"/>
        <v>8</v>
      </c>
      <c r="V21" s="57">
        <v>45492</v>
      </c>
    </row>
    <row r="22" spans="1:23" x14ac:dyDescent="0.15">
      <c r="A22" s="61" t="s">
        <v>43</v>
      </c>
      <c r="B22" s="7">
        <v>1</v>
      </c>
      <c r="C22" s="8">
        <v>1</v>
      </c>
      <c r="D22" s="9">
        <v>1</v>
      </c>
      <c r="E22" s="10">
        <f t="shared" si="28"/>
        <v>3</v>
      </c>
      <c r="F22" s="7">
        <v>1</v>
      </c>
      <c r="G22" s="8">
        <v>1</v>
      </c>
      <c r="H22" s="9">
        <v>1</v>
      </c>
      <c r="I22" s="48">
        <f t="shared" si="29"/>
        <v>3</v>
      </c>
      <c r="J22" s="10">
        <f t="shared" si="13"/>
        <v>6</v>
      </c>
      <c r="K22" s="57">
        <v>45481</v>
      </c>
      <c r="L22" s="61" t="s">
        <v>56</v>
      </c>
      <c r="M22" s="7"/>
      <c r="N22" s="8">
        <v>4</v>
      </c>
      <c r="O22" s="9">
        <v>2</v>
      </c>
      <c r="P22" s="10">
        <f t="shared" si="30"/>
        <v>6</v>
      </c>
      <c r="Q22" s="7"/>
      <c r="R22" s="8">
        <v>4</v>
      </c>
      <c r="S22" s="9">
        <v>2</v>
      </c>
      <c r="T22" s="48">
        <f t="shared" si="31"/>
        <v>6</v>
      </c>
      <c r="U22" s="10">
        <f t="shared" si="14"/>
        <v>12</v>
      </c>
      <c r="V22" s="57">
        <v>45497</v>
      </c>
    </row>
    <row r="23" spans="1:23" x14ac:dyDescent="0.15">
      <c r="A23" s="60" t="s">
        <v>37</v>
      </c>
      <c r="B23" s="11">
        <v>1</v>
      </c>
      <c r="C23" s="12"/>
      <c r="D23" s="13"/>
      <c r="E23" s="10">
        <f t="shared" si="28"/>
        <v>1</v>
      </c>
      <c r="F23" s="11"/>
      <c r="G23" s="12"/>
      <c r="H23" s="13"/>
      <c r="I23" s="48">
        <f t="shared" si="29"/>
        <v>0</v>
      </c>
      <c r="J23" s="10">
        <f t="shared" si="13"/>
        <v>1</v>
      </c>
      <c r="K23" s="57">
        <v>45478</v>
      </c>
      <c r="L23" s="60" t="s">
        <v>57</v>
      </c>
      <c r="M23" s="11"/>
      <c r="N23" s="12"/>
      <c r="O23" s="13"/>
      <c r="P23" s="10">
        <f t="shared" si="30"/>
        <v>0</v>
      </c>
      <c r="Q23" s="11"/>
      <c r="R23" s="12">
        <v>2</v>
      </c>
      <c r="S23" s="13"/>
      <c r="T23" s="48">
        <f t="shared" si="31"/>
        <v>2</v>
      </c>
      <c r="U23" s="10">
        <f t="shared" si="14"/>
        <v>2</v>
      </c>
      <c r="V23" s="57">
        <v>45502</v>
      </c>
    </row>
    <row r="24" spans="1:23" x14ac:dyDescent="0.15">
      <c r="A24" s="60" t="s">
        <v>37</v>
      </c>
      <c r="B24" s="7">
        <v>3</v>
      </c>
      <c r="C24" s="8"/>
      <c r="D24" s="9"/>
      <c r="E24" s="10">
        <f t="shared" si="28"/>
        <v>3</v>
      </c>
      <c r="F24" s="7"/>
      <c r="G24" s="8"/>
      <c r="H24" s="9"/>
      <c r="I24" s="48">
        <f t="shared" si="29"/>
        <v>0</v>
      </c>
      <c r="J24" s="10">
        <f t="shared" si="13"/>
        <v>3</v>
      </c>
      <c r="K24" s="57">
        <v>45481</v>
      </c>
      <c r="L24" s="61" t="s">
        <v>58</v>
      </c>
      <c r="M24" s="7"/>
      <c r="N24" s="8"/>
      <c r="O24" s="9">
        <v>2</v>
      </c>
      <c r="P24" s="10">
        <f t="shared" si="30"/>
        <v>2</v>
      </c>
      <c r="Q24" s="7"/>
      <c r="R24" s="8"/>
      <c r="S24" s="9">
        <v>2</v>
      </c>
      <c r="T24" s="48">
        <f t="shared" si="31"/>
        <v>2</v>
      </c>
      <c r="U24" s="10">
        <f t="shared" si="14"/>
        <v>4</v>
      </c>
      <c r="V24" s="57">
        <v>45498</v>
      </c>
    </row>
    <row r="25" spans="1:23" x14ac:dyDescent="0.15">
      <c r="A25" s="60" t="s">
        <v>37</v>
      </c>
      <c r="B25" s="7">
        <v>1</v>
      </c>
      <c r="C25" s="8"/>
      <c r="D25" s="9"/>
      <c r="E25" s="10">
        <f t="shared" si="28"/>
        <v>1</v>
      </c>
      <c r="F25" s="7"/>
      <c r="G25" s="8"/>
      <c r="H25" s="9"/>
      <c r="I25" s="48">
        <f t="shared" si="29"/>
        <v>0</v>
      </c>
      <c r="J25" s="10">
        <f t="shared" si="13"/>
        <v>1</v>
      </c>
      <c r="K25" s="66">
        <v>45483</v>
      </c>
      <c r="L25" s="67" t="s">
        <v>46</v>
      </c>
      <c r="M25" s="7">
        <v>3</v>
      </c>
      <c r="N25" s="8">
        <v>3</v>
      </c>
      <c r="O25" s="9">
        <v>3</v>
      </c>
      <c r="P25" s="10">
        <f t="shared" si="30"/>
        <v>9</v>
      </c>
      <c r="Q25" s="7">
        <v>3</v>
      </c>
      <c r="R25" s="8">
        <v>3</v>
      </c>
      <c r="S25" s="9">
        <v>3</v>
      </c>
      <c r="T25" s="48">
        <f t="shared" si="31"/>
        <v>9</v>
      </c>
      <c r="U25" s="10">
        <f t="shared" si="14"/>
        <v>18</v>
      </c>
      <c r="V25" s="57">
        <v>45497</v>
      </c>
    </row>
    <row r="26" spans="1:23" x14ac:dyDescent="0.15">
      <c r="A26" s="60" t="s">
        <v>37</v>
      </c>
      <c r="B26" s="7"/>
      <c r="C26" s="8">
        <v>1</v>
      </c>
      <c r="D26" s="9"/>
      <c r="E26" s="10">
        <f t="shared" si="28"/>
        <v>1</v>
      </c>
      <c r="F26" s="7"/>
      <c r="G26" s="8"/>
      <c r="H26" s="9"/>
      <c r="I26" s="48">
        <f t="shared" si="29"/>
        <v>0</v>
      </c>
      <c r="J26" s="10">
        <f t="shared" si="13"/>
        <v>1</v>
      </c>
      <c r="K26" s="57">
        <v>45485</v>
      </c>
      <c r="L26" s="67" t="s">
        <v>46</v>
      </c>
      <c r="M26" s="7"/>
      <c r="N26" s="8"/>
      <c r="O26" s="9"/>
      <c r="P26" s="10">
        <f t="shared" si="30"/>
        <v>0</v>
      </c>
      <c r="Q26" s="7"/>
      <c r="R26" s="8"/>
      <c r="S26" s="9">
        <v>5</v>
      </c>
      <c r="T26" s="48">
        <f t="shared" si="31"/>
        <v>5</v>
      </c>
      <c r="U26" s="10">
        <f t="shared" si="14"/>
        <v>5</v>
      </c>
      <c r="V26" s="57">
        <v>45502</v>
      </c>
    </row>
    <row r="27" spans="1:23" x14ac:dyDescent="0.15">
      <c r="A27" s="60" t="s">
        <v>50</v>
      </c>
      <c r="B27" s="7"/>
      <c r="C27" s="8">
        <v>1</v>
      </c>
      <c r="D27" s="9"/>
      <c r="E27" s="10">
        <f t="shared" si="28"/>
        <v>1</v>
      </c>
      <c r="F27" s="7"/>
      <c r="G27" s="8"/>
      <c r="H27" s="9"/>
      <c r="I27" s="48">
        <f t="shared" si="29"/>
        <v>0</v>
      </c>
      <c r="J27" s="10">
        <f t="shared" si="13"/>
        <v>1</v>
      </c>
      <c r="K27" s="57">
        <v>45485</v>
      </c>
      <c r="L27" s="67" t="s">
        <v>46</v>
      </c>
      <c r="M27" s="7"/>
      <c r="N27" s="8"/>
      <c r="O27" s="9"/>
      <c r="P27" s="10">
        <f t="shared" si="30"/>
        <v>0</v>
      </c>
      <c r="Q27" s="7">
        <v>5</v>
      </c>
      <c r="R27" s="8"/>
      <c r="S27" s="9"/>
      <c r="T27" s="48">
        <f t="shared" si="31"/>
        <v>5</v>
      </c>
      <c r="U27" s="10">
        <f t="shared" si="14"/>
        <v>5</v>
      </c>
      <c r="V27" s="57">
        <v>45507</v>
      </c>
    </row>
    <row r="28" spans="1:23" x14ac:dyDescent="0.15">
      <c r="A28" s="60" t="s">
        <v>37</v>
      </c>
      <c r="B28" s="7">
        <v>1</v>
      </c>
      <c r="C28" s="8"/>
      <c r="D28" s="9"/>
      <c r="E28" s="10">
        <f t="shared" si="28"/>
        <v>1</v>
      </c>
      <c r="F28" s="7">
        <v>2</v>
      </c>
      <c r="G28" s="8">
        <v>1</v>
      </c>
      <c r="H28" s="9"/>
      <c r="I28" s="48">
        <f t="shared" si="29"/>
        <v>3</v>
      </c>
      <c r="J28" s="10">
        <f t="shared" si="13"/>
        <v>4</v>
      </c>
      <c r="K28" s="57">
        <v>45489</v>
      </c>
      <c r="L28" s="67" t="s">
        <v>46</v>
      </c>
      <c r="M28" s="7">
        <v>10</v>
      </c>
      <c r="N28" s="8"/>
      <c r="O28" s="9">
        <v>5</v>
      </c>
      <c r="P28" s="10">
        <f t="shared" si="30"/>
        <v>15</v>
      </c>
      <c r="Q28" s="7">
        <v>10</v>
      </c>
      <c r="R28" s="8">
        <v>5</v>
      </c>
      <c r="S28" s="9">
        <v>5</v>
      </c>
      <c r="T28" s="48">
        <f t="shared" si="31"/>
        <v>20</v>
      </c>
      <c r="U28" s="10">
        <f t="shared" si="14"/>
        <v>35</v>
      </c>
      <c r="V28" s="57">
        <v>45521</v>
      </c>
    </row>
    <row r="29" spans="1:23" x14ac:dyDescent="0.15">
      <c r="A29" s="61" t="s">
        <v>53</v>
      </c>
      <c r="B29" s="7"/>
      <c r="C29" s="8"/>
      <c r="D29" s="9">
        <v>1</v>
      </c>
      <c r="E29" s="10">
        <f t="shared" si="28"/>
        <v>1</v>
      </c>
      <c r="F29" s="7"/>
      <c r="G29" s="8"/>
      <c r="H29" s="9">
        <v>1</v>
      </c>
      <c r="I29" s="48">
        <f t="shared" si="29"/>
        <v>1</v>
      </c>
      <c r="J29" s="10">
        <f t="shared" si="13"/>
        <v>2</v>
      </c>
      <c r="K29" s="57">
        <v>45492</v>
      </c>
      <c r="L29" s="60"/>
      <c r="M29" s="7"/>
      <c r="N29" s="8"/>
      <c r="O29" s="9"/>
      <c r="P29" s="10">
        <f t="shared" si="30"/>
        <v>0</v>
      </c>
      <c r="Q29" s="7"/>
      <c r="R29" s="8"/>
      <c r="S29" s="9"/>
      <c r="T29" s="48">
        <f t="shared" si="31"/>
        <v>0</v>
      </c>
      <c r="U29" s="10">
        <f t="shared" si="14"/>
        <v>0</v>
      </c>
      <c r="V29" s="57"/>
    </row>
    <row r="30" spans="1:23" x14ac:dyDescent="0.15">
      <c r="A30" s="61" t="s">
        <v>55</v>
      </c>
      <c r="B30" s="7"/>
      <c r="C30" s="8"/>
      <c r="D30" s="9">
        <v>2</v>
      </c>
      <c r="E30" s="10">
        <f t="shared" si="28"/>
        <v>2</v>
      </c>
      <c r="F30" s="7"/>
      <c r="G30" s="8"/>
      <c r="H30" s="9">
        <v>2</v>
      </c>
      <c r="I30" s="48">
        <f t="shared" si="29"/>
        <v>2</v>
      </c>
      <c r="J30" s="10">
        <f t="shared" si="13"/>
        <v>4</v>
      </c>
      <c r="K30" s="57">
        <v>45495</v>
      </c>
      <c r="L30" s="60"/>
      <c r="M30" s="7"/>
      <c r="N30" s="8"/>
      <c r="O30" s="9"/>
      <c r="P30" s="10">
        <f t="shared" si="30"/>
        <v>0</v>
      </c>
      <c r="Q30" s="7"/>
      <c r="R30" s="8"/>
      <c r="S30" s="9"/>
      <c r="T30" s="48">
        <f t="shared" si="31"/>
        <v>0</v>
      </c>
      <c r="U30" s="10">
        <f t="shared" si="14"/>
        <v>0</v>
      </c>
      <c r="V30" s="57"/>
    </row>
    <row r="31" spans="1:23" x14ac:dyDescent="0.15">
      <c r="A31" s="60" t="s">
        <v>37</v>
      </c>
      <c r="B31" s="7"/>
      <c r="C31" s="8">
        <v>1</v>
      </c>
      <c r="D31" s="9"/>
      <c r="E31" s="10">
        <f t="shared" si="28"/>
        <v>1</v>
      </c>
      <c r="F31" s="7"/>
      <c r="G31" s="8">
        <v>1</v>
      </c>
      <c r="H31" s="9"/>
      <c r="I31" s="48">
        <f t="shared" si="29"/>
        <v>1</v>
      </c>
      <c r="J31" s="10">
        <f t="shared" si="13"/>
        <v>2</v>
      </c>
      <c r="K31" s="57">
        <v>45492</v>
      </c>
      <c r="L31" s="60"/>
      <c r="M31" s="7"/>
      <c r="N31" s="8"/>
      <c r="O31" s="9"/>
      <c r="P31" s="10">
        <f t="shared" si="30"/>
        <v>0</v>
      </c>
      <c r="Q31" s="7"/>
      <c r="R31" s="8"/>
      <c r="S31" s="9"/>
      <c r="T31" s="48">
        <f t="shared" si="31"/>
        <v>0</v>
      </c>
      <c r="U31" s="10">
        <f t="shared" si="14"/>
        <v>0</v>
      </c>
      <c r="V31" s="57"/>
    </row>
    <row r="32" spans="1:23" x14ac:dyDescent="0.15">
      <c r="A32" s="60" t="s">
        <v>37</v>
      </c>
      <c r="B32" s="7"/>
      <c r="C32" s="8">
        <v>1</v>
      </c>
      <c r="D32" s="9"/>
      <c r="E32" s="10">
        <f t="shared" si="28"/>
        <v>1</v>
      </c>
      <c r="F32" s="7">
        <v>2</v>
      </c>
      <c r="G32" s="8">
        <v>1</v>
      </c>
      <c r="H32" s="9"/>
      <c r="I32" s="48">
        <f t="shared" si="29"/>
        <v>3</v>
      </c>
      <c r="J32" s="10">
        <f t="shared" si="13"/>
        <v>4</v>
      </c>
      <c r="K32" s="66">
        <v>45493</v>
      </c>
      <c r="L32" s="60"/>
      <c r="M32" s="7"/>
      <c r="N32" s="8"/>
      <c r="O32" s="9"/>
      <c r="P32" s="10">
        <f t="shared" si="30"/>
        <v>0</v>
      </c>
      <c r="Q32" s="7"/>
      <c r="R32" s="8"/>
      <c r="S32" s="9"/>
      <c r="T32" s="48">
        <f t="shared" si="31"/>
        <v>0</v>
      </c>
      <c r="U32" s="10">
        <f t="shared" si="14"/>
        <v>0</v>
      </c>
      <c r="V32" s="57"/>
    </row>
    <row r="33" spans="1:22" x14ac:dyDescent="0.15">
      <c r="A33" s="60" t="s">
        <v>37</v>
      </c>
      <c r="B33" s="7">
        <f>1+1</f>
        <v>2</v>
      </c>
      <c r="C33" s="8">
        <v>1</v>
      </c>
      <c r="D33" s="9">
        <v>1</v>
      </c>
      <c r="E33" s="10">
        <f t="shared" si="28"/>
        <v>4</v>
      </c>
      <c r="F33" s="7">
        <v>2</v>
      </c>
      <c r="G33" s="8">
        <f>2+1</f>
        <v>3</v>
      </c>
      <c r="H33" s="9">
        <v>1</v>
      </c>
      <c r="I33" s="48">
        <f t="shared" si="29"/>
        <v>6</v>
      </c>
      <c r="J33" s="10">
        <f t="shared" si="13"/>
        <v>10</v>
      </c>
      <c r="K33" s="57">
        <v>45495</v>
      </c>
      <c r="L33" s="60"/>
      <c r="M33" s="7"/>
      <c r="N33" s="8"/>
      <c r="O33" s="9"/>
      <c r="P33" s="10">
        <f t="shared" si="30"/>
        <v>0</v>
      </c>
      <c r="Q33" s="7"/>
      <c r="R33" s="8"/>
      <c r="S33" s="9"/>
      <c r="T33" s="48">
        <f t="shared" si="31"/>
        <v>0</v>
      </c>
      <c r="U33" s="10">
        <f t="shared" si="14"/>
        <v>0</v>
      </c>
      <c r="V33" s="57"/>
    </row>
    <row r="34" spans="1:22" x14ac:dyDescent="0.15">
      <c r="A34" s="60" t="s">
        <v>37</v>
      </c>
      <c r="B34" s="7"/>
      <c r="C34" s="8"/>
      <c r="D34" s="9"/>
      <c r="E34" s="10">
        <f t="shared" si="28"/>
        <v>0</v>
      </c>
      <c r="F34" s="7"/>
      <c r="G34" s="8"/>
      <c r="H34" s="9">
        <v>1</v>
      </c>
      <c r="I34" s="48">
        <f t="shared" si="29"/>
        <v>1</v>
      </c>
      <c r="J34" s="10">
        <f t="shared" si="13"/>
        <v>1</v>
      </c>
      <c r="K34" s="57">
        <v>45496</v>
      </c>
      <c r="L34" s="60"/>
      <c r="M34" s="7"/>
      <c r="N34" s="8"/>
      <c r="O34" s="9"/>
      <c r="P34" s="10">
        <f t="shared" si="30"/>
        <v>0</v>
      </c>
      <c r="Q34" s="7"/>
      <c r="R34" s="8"/>
      <c r="S34" s="9"/>
      <c r="T34" s="48">
        <f t="shared" si="31"/>
        <v>0</v>
      </c>
      <c r="U34" s="10">
        <f t="shared" si="14"/>
        <v>0</v>
      </c>
      <c r="V34" s="57"/>
    </row>
    <row r="35" spans="1:22" x14ac:dyDescent="0.15">
      <c r="A35" s="60" t="s">
        <v>37</v>
      </c>
      <c r="B35" s="11">
        <v>1</v>
      </c>
      <c r="C35" s="12"/>
      <c r="D35" s="13"/>
      <c r="E35" s="10">
        <f t="shared" si="28"/>
        <v>1</v>
      </c>
      <c r="F35" s="11"/>
      <c r="G35" s="12"/>
      <c r="H35" s="13"/>
      <c r="I35" s="48">
        <f t="shared" si="29"/>
        <v>0</v>
      </c>
      <c r="J35" s="10">
        <f t="shared" si="13"/>
        <v>1</v>
      </c>
      <c r="K35" s="57">
        <v>45497</v>
      </c>
      <c r="L35" s="60"/>
      <c r="M35" s="11"/>
      <c r="N35" s="12"/>
      <c r="O35" s="13"/>
      <c r="P35" s="10">
        <f t="shared" si="30"/>
        <v>0</v>
      </c>
      <c r="Q35" s="11"/>
      <c r="R35" s="12"/>
      <c r="S35" s="13"/>
      <c r="T35" s="48">
        <f t="shared" si="31"/>
        <v>0</v>
      </c>
      <c r="U35" s="10">
        <f t="shared" si="14"/>
        <v>0</v>
      </c>
      <c r="V35" s="56"/>
    </row>
    <row r="36" spans="1:22" x14ac:dyDescent="0.15">
      <c r="A36" s="60" t="s">
        <v>37</v>
      </c>
      <c r="B36" s="7"/>
      <c r="C36" s="8"/>
      <c r="D36" s="9"/>
      <c r="E36" s="10">
        <f t="shared" si="28"/>
        <v>0</v>
      </c>
      <c r="F36" s="7"/>
      <c r="G36" s="8"/>
      <c r="H36" s="9">
        <v>1</v>
      </c>
      <c r="I36" s="48">
        <f t="shared" si="29"/>
        <v>1</v>
      </c>
      <c r="J36" s="10">
        <f t="shared" si="13"/>
        <v>1</v>
      </c>
      <c r="K36" s="57">
        <v>45498</v>
      </c>
      <c r="L36" s="60"/>
      <c r="M36" s="11"/>
      <c r="N36" s="12"/>
      <c r="O36" s="13"/>
      <c r="P36" s="10">
        <f t="shared" ref="P36" si="32">SUM(M36:O36)</f>
        <v>0</v>
      </c>
      <c r="Q36" s="11"/>
      <c r="R36" s="12"/>
      <c r="S36" s="13"/>
      <c r="T36" s="48">
        <f t="shared" ref="T36" si="33">SUM(Q36:S36)</f>
        <v>0</v>
      </c>
      <c r="U36" s="10">
        <f t="shared" ref="U36" si="34">P36+T36</f>
        <v>0</v>
      </c>
      <c r="V36" s="56"/>
    </row>
    <row r="37" spans="1:22" x14ac:dyDescent="0.15">
      <c r="A37" s="61" t="s">
        <v>60</v>
      </c>
      <c r="B37" s="7"/>
      <c r="C37" s="8"/>
      <c r="D37" s="9">
        <v>1</v>
      </c>
      <c r="E37" s="10">
        <f t="shared" si="28"/>
        <v>1</v>
      </c>
      <c r="F37" s="7"/>
      <c r="G37" s="8"/>
      <c r="H37" s="9">
        <v>1</v>
      </c>
      <c r="I37" s="48">
        <f t="shared" si="29"/>
        <v>1</v>
      </c>
      <c r="J37" s="10">
        <f t="shared" si="13"/>
        <v>2</v>
      </c>
      <c r="K37" s="57">
        <v>45504</v>
      </c>
      <c r="L37" s="60" t="s">
        <v>29</v>
      </c>
      <c r="M37" s="7"/>
      <c r="N37" s="8"/>
      <c r="O37" s="9"/>
      <c r="P37" s="10">
        <f t="shared" ref="P37:P38" si="35">SUM(M37:O37)</f>
        <v>0</v>
      </c>
      <c r="Q37" s="7"/>
      <c r="R37" s="8"/>
      <c r="S37" s="9"/>
      <c r="T37" s="48">
        <f t="shared" ref="T37:T38" si="36">SUM(Q37:S37)</f>
        <v>0</v>
      </c>
      <c r="U37" s="10">
        <f t="shared" ref="U37:U38" si="37">P37+T37</f>
        <v>0</v>
      </c>
      <c r="V37" s="56" t="s">
        <v>30</v>
      </c>
    </row>
    <row r="38" spans="1:22" x14ac:dyDescent="0.15">
      <c r="A38" s="60" t="s">
        <v>37</v>
      </c>
      <c r="B38" s="7">
        <v>1</v>
      </c>
      <c r="C38" s="8">
        <v>1</v>
      </c>
      <c r="D38" s="9"/>
      <c r="E38" s="10">
        <f t="shared" si="28"/>
        <v>2</v>
      </c>
      <c r="F38" s="7">
        <v>1</v>
      </c>
      <c r="G38" s="8">
        <v>1</v>
      </c>
      <c r="H38" s="9"/>
      <c r="I38" s="48">
        <f t="shared" si="29"/>
        <v>2</v>
      </c>
      <c r="J38" s="10">
        <f t="shared" si="13"/>
        <v>4</v>
      </c>
      <c r="K38" s="57">
        <v>45502</v>
      </c>
      <c r="L38" s="60" t="s">
        <v>31</v>
      </c>
      <c r="M38" s="7"/>
      <c r="N38" s="8"/>
      <c r="O38" s="9"/>
      <c r="P38" s="10">
        <f t="shared" si="35"/>
        <v>0</v>
      </c>
      <c r="Q38" s="7"/>
      <c r="R38" s="8"/>
      <c r="S38" s="9"/>
      <c r="T38" s="48">
        <f t="shared" si="36"/>
        <v>0</v>
      </c>
      <c r="U38" s="10">
        <f t="shared" si="37"/>
        <v>0</v>
      </c>
      <c r="V38" s="56" t="s">
        <v>28</v>
      </c>
    </row>
    <row r="39" spans="1:22" ht="14.25" thickBot="1" x14ac:dyDescent="0.2">
      <c r="A39" s="60" t="s">
        <v>37</v>
      </c>
      <c r="B39" s="7"/>
      <c r="C39" s="8"/>
      <c r="D39" s="9"/>
      <c r="E39" s="10">
        <f t="shared" si="28"/>
        <v>0</v>
      </c>
      <c r="F39" s="7">
        <v>1</v>
      </c>
      <c r="G39" s="8"/>
      <c r="H39" s="9"/>
      <c r="I39" s="48">
        <f t="shared" si="29"/>
        <v>1</v>
      </c>
      <c r="J39" s="17">
        <f t="shared" si="13"/>
        <v>1</v>
      </c>
      <c r="K39" s="66">
        <v>45503</v>
      </c>
      <c r="L39" s="61" t="s">
        <v>22</v>
      </c>
      <c r="M39" s="7">
        <v>0</v>
      </c>
      <c r="N39" s="8">
        <v>0</v>
      </c>
      <c r="O39" s="9">
        <v>0</v>
      </c>
      <c r="P39" s="10">
        <f t="shared" si="30"/>
        <v>0</v>
      </c>
      <c r="Q39" s="7">
        <v>0</v>
      </c>
      <c r="R39" s="8">
        <v>0</v>
      </c>
      <c r="S39" s="9">
        <v>0</v>
      </c>
      <c r="T39" s="48">
        <f t="shared" si="31"/>
        <v>0</v>
      </c>
      <c r="U39" s="17">
        <f t="shared" si="14"/>
        <v>0</v>
      </c>
      <c r="V39" s="56" t="s">
        <v>25</v>
      </c>
    </row>
    <row r="40" spans="1:22" ht="14.25" thickBot="1" x14ac:dyDescent="0.2">
      <c r="A40" s="29" t="s">
        <v>17</v>
      </c>
      <c r="B40" s="30">
        <f>SUM(B14:B39)</f>
        <v>23</v>
      </c>
      <c r="C40" s="31">
        <f>SUM(C14:C39)</f>
        <v>18</v>
      </c>
      <c r="D40" s="32">
        <f>SUM(D14:D39)</f>
        <v>17</v>
      </c>
      <c r="E40" s="33">
        <f>SUM(B40:D40)</f>
        <v>58</v>
      </c>
      <c r="F40" s="30">
        <f>SUM(F14:F39)</f>
        <v>22</v>
      </c>
      <c r="G40" s="31">
        <f>SUM(G14:G39)</f>
        <v>18</v>
      </c>
      <c r="H40" s="32">
        <f>SUM(H14:H39)</f>
        <v>20</v>
      </c>
      <c r="I40" s="33">
        <f>SUM(F40:H40)</f>
        <v>60</v>
      </c>
      <c r="J40" s="34">
        <f t="shared" si="13"/>
        <v>118</v>
      </c>
      <c r="K40" s="59"/>
      <c r="L40" s="29" t="s">
        <v>17</v>
      </c>
      <c r="M40" s="30">
        <f>SUM(M14:M39)</f>
        <v>395</v>
      </c>
      <c r="N40" s="31">
        <f>SUM(N14:N39)</f>
        <v>384</v>
      </c>
      <c r="O40" s="32">
        <f>SUM(O14:O39)</f>
        <v>243</v>
      </c>
      <c r="P40" s="33">
        <f>SUM(M40:O40)</f>
        <v>1022</v>
      </c>
      <c r="Q40" s="30">
        <f>SUM(Q14:Q39)</f>
        <v>398</v>
      </c>
      <c r="R40" s="31">
        <f>SUM(R14:R39)</f>
        <v>394</v>
      </c>
      <c r="S40" s="32">
        <f>SUM(S14:S39)</f>
        <v>248</v>
      </c>
      <c r="T40" s="33">
        <f>SUM(Q40:S40)</f>
        <v>1040</v>
      </c>
      <c r="U40" s="34">
        <f t="shared" si="14"/>
        <v>2062</v>
      </c>
    </row>
    <row r="41" spans="1:22" ht="14.25" thickBot="1" x14ac:dyDescent="0.2">
      <c r="A41" s="18" t="s">
        <v>18</v>
      </c>
      <c r="B41" s="44">
        <f>B13-B40</f>
        <v>5</v>
      </c>
      <c r="C41" s="45">
        <f t="shared" ref="C41" si="38">C13-C40</f>
        <v>6</v>
      </c>
      <c r="D41" s="46">
        <f t="shared" ref="D41" si="39">D13-D40</f>
        <v>6</v>
      </c>
      <c r="E41" s="46">
        <f t="shared" ref="E41" si="40">E13-E40</f>
        <v>17</v>
      </c>
      <c r="F41" s="44">
        <f>F13-F40</f>
        <v>6</v>
      </c>
      <c r="G41" s="45">
        <f t="shared" ref="G41" si="41">G13-G40</f>
        <v>6</v>
      </c>
      <c r="H41" s="46">
        <f t="shared" ref="H41" si="42">H13-H40</f>
        <v>8</v>
      </c>
      <c r="I41" s="46">
        <f t="shared" ref="I41" si="43">I13-I40</f>
        <v>20</v>
      </c>
      <c r="J41" s="24">
        <f t="shared" si="13"/>
        <v>37</v>
      </c>
      <c r="L41" s="18" t="s">
        <v>18</v>
      </c>
      <c r="M41" s="44">
        <f>M13-M40</f>
        <v>125</v>
      </c>
      <c r="N41" s="45">
        <f t="shared" ref="N41:P41" si="44">N13-N40</f>
        <v>136</v>
      </c>
      <c r="O41" s="46">
        <f t="shared" si="44"/>
        <v>77</v>
      </c>
      <c r="P41" s="46">
        <f t="shared" si="44"/>
        <v>338</v>
      </c>
      <c r="Q41" s="44">
        <f>Q13-Q40</f>
        <v>122</v>
      </c>
      <c r="R41" s="45">
        <f t="shared" ref="R41" si="45">R13-R40</f>
        <v>126</v>
      </c>
      <c r="S41" s="46">
        <f t="shared" ref="S41" si="46">S13-S40</f>
        <v>72</v>
      </c>
      <c r="T41" s="46">
        <f t="shared" ref="T41" si="47">T13-T40</f>
        <v>320</v>
      </c>
      <c r="U41" s="24">
        <f t="shared" si="14"/>
        <v>658</v>
      </c>
    </row>
    <row r="42" spans="1:22" x14ac:dyDescent="0.15">
      <c r="M42" s="43"/>
      <c r="N42" s="43"/>
      <c r="O42" s="43"/>
      <c r="P42" s="43"/>
    </row>
    <row r="44" spans="1:22" ht="19.5" thickBot="1" x14ac:dyDescent="0.25">
      <c r="A44" s="2" t="s">
        <v>24</v>
      </c>
      <c r="B44" s="1"/>
      <c r="C44" s="1"/>
      <c r="D44" s="1"/>
      <c r="E44" s="1"/>
      <c r="F44" s="1" t="s">
        <v>39</v>
      </c>
      <c r="G44" s="1"/>
      <c r="H44" s="1"/>
      <c r="I44" s="1"/>
      <c r="J44" s="1"/>
      <c r="L44" s="2" t="s">
        <v>23</v>
      </c>
      <c r="M44" s="1"/>
      <c r="N44" s="1"/>
      <c r="O44" s="1"/>
      <c r="P44" s="63" t="s">
        <v>35</v>
      </c>
      <c r="Q44" s="1"/>
      <c r="R44" s="1" t="s">
        <v>39</v>
      </c>
      <c r="S44" s="1"/>
      <c r="T44" s="1"/>
      <c r="U44" s="1"/>
    </row>
    <row r="45" spans="1:22" ht="14.25" thickBot="1" x14ac:dyDescent="0.2">
      <c r="A45" s="6" t="s">
        <v>0</v>
      </c>
      <c r="B45" s="128" t="s">
        <v>21</v>
      </c>
      <c r="C45" s="129"/>
      <c r="D45" s="129"/>
      <c r="E45" s="130"/>
      <c r="F45" s="125" t="s">
        <v>19</v>
      </c>
      <c r="G45" s="126"/>
      <c r="H45" s="126"/>
      <c r="I45" s="127"/>
      <c r="J45" s="131" t="s">
        <v>1</v>
      </c>
      <c r="L45" s="6" t="s">
        <v>0</v>
      </c>
      <c r="M45" s="128" t="s">
        <v>21</v>
      </c>
      <c r="N45" s="129"/>
      <c r="O45" s="129"/>
      <c r="P45" s="130"/>
      <c r="Q45" s="125" t="s">
        <v>19</v>
      </c>
      <c r="R45" s="126"/>
      <c r="S45" s="126"/>
      <c r="T45" s="127"/>
      <c r="U45" s="131" t="s">
        <v>1</v>
      </c>
    </row>
    <row r="46" spans="1:22" ht="14.25" thickBot="1" x14ac:dyDescent="0.2">
      <c r="A46" s="6" t="s">
        <v>2</v>
      </c>
      <c r="B46" s="3" t="s">
        <v>3</v>
      </c>
      <c r="C46" s="4" t="s">
        <v>4</v>
      </c>
      <c r="D46" s="5" t="s">
        <v>5</v>
      </c>
      <c r="E46" s="6" t="s">
        <v>6</v>
      </c>
      <c r="F46" s="3" t="s">
        <v>3</v>
      </c>
      <c r="G46" s="4" t="s">
        <v>4</v>
      </c>
      <c r="H46" s="5" t="s">
        <v>5</v>
      </c>
      <c r="I46" s="6" t="s">
        <v>6</v>
      </c>
      <c r="J46" s="132"/>
      <c r="L46" s="6" t="s">
        <v>2</v>
      </c>
      <c r="M46" s="50" t="s">
        <v>3</v>
      </c>
      <c r="N46" s="51" t="s">
        <v>4</v>
      </c>
      <c r="O46" s="52" t="s">
        <v>5</v>
      </c>
      <c r="P46" s="6" t="s">
        <v>6</v>
      </c>
      <c r="Q46" s="3" t="s">
        <v>3</v>
      </c>
      <c r="R46" s="4" t="s">
        <v>4</v>
      </c>
      <c r="S46" s="5" t="s">
        <v>5</v>
      </c>
      <c r="T46" s="6" t="s">
        <v>6</v>
      </c>
      <c r="U46" s="132"/>
    </row>
    <row r="47" spans="1:22" ht="14.25" thickBot="1" x14ac:dyDescent="0.2">
      <c r="A47" s="20" t="s">
        <v>18</v>
      </c>
      <c r="B47" s="21">
        <f>B41</f>
        <v>5</v>
      </c>
      <c r="C47" s="22">
        <f t="shared" ref="C47:D47" si="48">C41</f>
        <v>6</v>
      </c>
      <c r="D47" s="38">
        <f t="shared" si="48"/>
        <v>6</v>
      </c>
      <c r="E47" s="24">
        <f t="shared" ref="E47:E53" si="49">SUM(B47:D47)</f>
        <v>17</v>
      </c>
      <c r="F47" s="21">
        <f>F41</f>
        <v>6</v>
      </c>
      <c r="G47" s="22">
        <f t="shared" ref="G47:H47" si="50">G41</f>
        <v>6</v>
      </c>
      <c r="H47" s="38">
        <f t="shared" si="50"/>
        <v>8</v>
      </c>
      <c r="I47" s="24">
        <f t="shared" ref="I47:I53" si="51">SUM(F47:H47)</f>
        <v>20</v>
      </c>
      <c r="J47" s="24">
        <f>E47+I47</f>
        <v>37</v>
      </c>
      <c r="K47" s="57"/>
      <c r="L47" s="20" t="s">
        <v>18</v>
      </c>
      <c r="M47" s="21">
        <f>M41</f>
        <v>125</v>
      </c>
      <c r="N47" s="22">
        <f t="shared" ref="N47:O47" si="52">N41</f>
        <v>136</v>
      </c>
      <c r="O47" s="38">
        <f t="shared" si="52"/>
        <v>77</v>
      </c>
      <c r="P47" s="49">
        <f t="shared" ref="P47:P53" si="53">SUM(M47:O47)</f>
        <v>338</v>
      </c>
      <c r="Q47" s="21">
        <f>Q41</f>
        <v>122</v>
      </c>
      <c r="R47" s="22">
        <f t="shared" ref="R47:S47" si="54">R41</f>
        <v>126</v>
      </c>
      <c r="S47" s="38">
        <f t="shared" si="54"/>
        <v>72</v>
      </c>
      <c r="T47" s="28">
        <f t="shared" ref="T47:T53" si="55">SUM(Q47:S47)</f>
        <v>320</v>
      </c>
      <c r="U47" s="28">
        <f>P47+T47</f>
        <v>658</v>
      </c>
    </row>
    <row r="48" spans="1:22" x14ac:dyDescent="0.15">
      <c r="A48" s="19" t="s">
        <v>8</v>
      </c>
      <c r="B48" s="14"/>
      <c r="C48" s="15"/>
      <c r="D48" s="68"/>
      <c r="E48" s="69">
        <f t="shared" ref="E48:E51" si="56">SUM(B48:D48)</f>
        <v>0</v>
      </c>
      <c r="F48" s="14">
        <v>5</v>
      </c>
      <c r="G48" s="15"/>
      <c r="H48" s="68"/>
      <c r="I48" s="70">
        <f t="shared" ref="I48:I51" si="57">SUM(F48:H48)</f>
        <v>5</v>
      </c>
      <c r="J48" s="69">
        <f t="shared" ref="J48:J51" si="58">E48+I48</f>
        <v>5</v>
      </c>
      <c r="K48" s="57">
        <v>45507</v>
      </c>
      <c r="L48" s="19" t="s">
        <v>8</v>
      </c>
      <c r="M48" s="40"/>
      <c r="N48" s="41"/>
      <c r="O48" s="58"/>
      <c r="P48" s="34">
        <f t="shared" si="53"/>
        <v>0</v>
      </c>
      <c r="Q48" s="40"/>
      <c r="R48" s="41"/>
      <c r="S48" s="58"/>
      <c r="T48" s="47">
        <f t="shared" si="55"/>
        <v>0</v>
      </c>
      <c r="U48" s="42">
        <f t="shared" ref="U48:U84" si="59">P48+T48</f>
        <v>0</v>
      </c>
    </row>
    <row r="49" spans="1:23" x14ac:dyDescent="0.15">
      <c r="A49" s="19" t="s">
        <v>9</v>
      </c>
      <c r="B49" s="7">
        <v>3</v>
      </c>
      <c r="C49" s="8">
        <v>8</v>
      </c>
      <c r="D49" s="35">
        <v>3</v>
      </c>
      <c r="E49" s="10">
        <f t="shared" si="56"/>
        <v>14</v>
      </c>
      <c r="F49" s="7">
        <v>3</v>
      </c>
      <c r="G49" s="8">
        <v>3</v>
      </c>
      <c r="H49" s="35">
        <v>3</v>
      </c>
      <c r="I49" s="48">
        <f t="shared" si="57"/>
        <v>9</v>
      </c>
      <c r="J49" s="10">
        <f t="shared" si="58"/>
        <v>23</v>
      </c>
      <c r="K49" s="57">
        <v>45512</v>
      </c>
      <c r="L49" s="19" t="s">
        <v>26</v>
      </c>
      <c r="M49" s="14">
        <v>230</v>
      </c>
      <c r="N49" s="15">
        <v>250</v>
      </c>
      <c r="O49" s="68">
        <v>180</v>
      </c>
      <c r="P49" s="10">
        <f t="shared" ref="P49" si="60">SUM(M49:O49)</f>
        <v>660</v>
      </c>
      <c r="Q49" s="14">
        <v>230</v>
      </c>
      <c r="R49" s="15">
        <v>250</v>
      </c>
      <c r="S49" s="68">
        <v>180</v>
      </c>
      <c r="T49" s="10">
        <f t="shared" ref="T49" si="61">SUM(Q49:S49)</f>
        <v>660</v>
      </c>
      <c r="U49" s="10">
        <f t="shared" ref="U49" si="62">P49+T49</f>
        <v>1320</v>
      </c>
      <c r="V49" s="57" t="s">
        <v>69</v>
      </c>
    </row>
    <row r="50" spans="1:23" x14ac:dyDescent="0.15">
      <c r="A50" s="19" t="s">
        <v>10</v>
      </c>
      <c r="B50" s="7">
        <v>10</v>
      </c>
      <c r="C50" s="8"/>
      <c r="D50" s="35">
        <v>5</v>
      </c>
      <c r="E50" s="10">
        <f t="shared" si="56"/>
        <v>15</v>
      </c>
      <c r="F50" s="7">
        <v>10</v>
      </c>
      <c r="G50" s="8">
        <v>5</v>
      </c>
      <c r="H50" s="35">
        <v>5</v>
      </c>
      <c r="I50" s="48">
        <f t="shared" si="57"/>
        <v>20</v>
      </c>
      <c r="J50" s="10">
        <f t="shared" si="58"/>
        <v>35</v>
      </c>
      <c r="K50" s="57">
        <v>45521</v>
      </c>
      <c r="L50" s="19" t="s">
        <v>65</v>
      </c>
      <c r="M50" s="14">
        <v>-43</v>
      </c>
      <c r="N50" s="15">
        <v>-57</v>
      </c>
      <c r="O50" s="68">
        <v>-31</v>
      </c>
      <c r="P50" s="10">
        <f t="shared" si="53"/>
        <v>-131</v>
      </c>
      <c r="Q50" s="14">
        <v>-29</v>
      </c>
      <c r="R50" s="15">
        <v>-27</v>
      </c>
      <c r="S50" s="68">
        <v>-15</v>
      </c>
      <c r="T50" s="10">
        <f t="shared" si="55"/>
        <v>-71</v>
      </c>
      <c r="U50" s="10">
        <f t="shared" si="59"/>
        <v>-202</v>
      </c>
      <c r="V50" s="56"/>
    </row>
    <row r="51" spans="1:23" x14ac:dyDescent="0.15">
      <c r="A51" s="19" t="s">
        <v>76</v>
      </c>
      <c r="B51" s="7">
        <v>0</v>
      </c>
      <c r="C51" s="8">
        <v>0</v>
      </c>
      <c r="D51" s="35">
        <v>0</v>
      </c>
      <c r="E51" s="10">
        <f t="shared" si="56"/>
        <v>0</v>
      </c>
      <c r="F51" s="7">
        <v>-1</v>
      </c>
      <c r="G51" s="8">
        <v>0</v>
      </c>
      <c r="H51" s="35">
        <v>0</v>
      </c>
      <c r="I51" s="48">
        <f t="shared" si="57"/>
        <v>-1</v>
      </c>
      <c r="J51" s="10">
        <f t="shared" si="58"/>
        <v>-1</v>
      </c>
      <c r="K51" s="57">
        <v>45530</v>
      </c>
      <c r="L51" s="19" t="s">
        <v>11</v>
      </c>
      <c r="M51" s="7"/>
      <c r="N51" s="8"/>
      <c r="O51" s="35"/>
      <c r="P51" s="10">
        <f t="shared" si="53"/>
        <v>0</v>
      </c>
      <c r="Q51" s="7"/>
      <c r="R51" s="8"/>
      <c r="S51" s="35"/>
      <c r="T51" s="48">
        <f t="shared" si="55"/>
        <v>0</v>
      </c>
      <c r="U51" s="10">
        <f t="shared" si="59"/>
        <v>0</v>
      </c>
      <c r="V51" s="56"/>
    </row>
    <row r="52" spans="1:23" x14ac:dyDescent="0.15">
      <c r="A52" s="19" t="s">
        <v>59</v>
      </c>
      <c r="B52" s="7"/>
      <c r="C52" s="8"/>
      <c r="D52" s="35">
        <v>1</v>
      </c>
      <c r="E52" s="10">
        <f t="shared" si="49"/>
        <v>1</v>
      </c>
      <c r="F52" s="7"/>
      <c r="G52" s="8"/>
      <c r="H52" s="35">
        <v>1</v>
      </c>
      <c r="I52" s="48">
        <f t="shared" si="51"/>
        <v>1</v>
      </c>
      <c r="J52" s="10">
        <f t="shared" ref="J52:J84" si="63">E52+I52</f>
        <v>2</v>
      </c>
      <c r="K52" s="57">
        <v>45533</v>
      </c>
      <c r="L52" s="19" t="s">
        <v>12</v>
      </c>
      <c r="M52" s="7"/>
      <c r="N52" s="8"/>
      <c r="O52" s="35"/>
      <c r="P52" s="10">
        <f t="shared" si="53"/>
        <v>0</v>
      </c>
      <c r="Q52" s="7"/>
      <c r="R52" s="8"/>
      <c r="S52" s="35"/>
      <c r="T52" s="48">
        <f t="shared" si="55"/>
        <v>0</v>
      </c>
      <c r="U52" s="10">
        <f t="shared" si="59"/>
        <v>0</v>
      </c>
    </row>
    <row r="53" spans="1:23" x14ac:dyDescent="0.15">
      <c r="A53" s="19" t="s">
        <v>13</v>
      </c>
      <c r="B53" s="7"/>
      <c r="C53" s="8"/>
      <c r="D53" s="35"/>
      <c r="E53" s="10">
        <f t="shared" si="49"/>
        <v>0</v>
      </c>
      <c r="F53" s="7"/>
      <c r="G53" s="8"/>
      <c r="H53" s="35"/>
      <c r="I53" s="48">
        <f t="shared" si="51"/>
        <v>0</v>
      </c>
      <c r="J53" s="10">
        <f t="shared" si="63"/>
        <v>0</v>
      </c>
      <c r="K53" s="57"/>
      <c r="L53" s="19" t="s">
        <v>13</v>
      </c>
      <c r="M53" s="7"/>
      <c r="N53" s="8"/>
      <c r="O53" s="35"/>
      <c r="P53" s="10">
        <f t="shared" si="53"/>
        <v>0</v>
      </c>
      <c r="Q53" s="7"/>
      <c r="R53" s="8"/>
      <c r="S53" s="35"/>
      <c r="T53" s="48">
        <f t="shared" si="55"/>
        <v>0</v>
      </c>
      <c r="U53" s="10">
        <f t="shared" si="59"/>
        <v>0</v>
      </c>
    </row>
    <row r="54" spans="1:23" x14ac:dyDescent="0.15">
      <c r="A54" s="19" t="s">
        <v>14</v>
      </c>
      <c r="B54" s="11"/>
      <c r="C54" s="12"/>
      <c r="D54" s="36"/>
      <c r="E54" s="10">
        <f t="shared" ref="E54:E55" si="64">SUM(B54:D54)</f>
        <v>0</v>
      </c>
      <c r="F54" s="11"/>
      <c r="G54" s="12"/>
      <c r="H54" s="36"/>
      <c r="I54" s="48">
        <f t="shared" ref="I54:I55" si="65">SUM(F54:H54)</f>
        <v>0</v>
      </c>
      <c r="J54" s="10">
        <f t="shared" si="63"/>
        <v>0</v>
      </c>
      <c r="K54" s="56"/>
      <c r="L54" s="19" t="s">
        <v>14</v>
      </c>
      <c r="M54" s="11"/>
      <c r="N54" s="12"/>
      <c r="O54" s="36"/>
      <c r="P54" s="10">
        <f t="shared" ref="P54:P55" si="66">SUM(M54:O54)</f>
        <v>0</v>
      </c>
      <c r="Q54" s="11"/>
      <c r="R54" s="12"/>
      <c r="S54" s="36"/>
      <c r="T54" s="48">
        <f t="shared" ref="T54:T55" si="67">SUM(Q54:S54)</f>
        <v>0</v>
      </c>
      <c r="U54" s="10">
        <f t="shared" si="59"/>
        <v>0</v>
      </c>
    </row>
    <row r="55" spans="1:23" ht="14.25" thickBot="1" x14ac:dyDescent="0.2">
      <c r="A55" s="19" t="s">
        <v>15</v>
      </c>
      <c r="B55" s="25"/>
      <c r="C55" s="26"/>
      <c r="D55" s="37"/>
      <c r="E55" s="10">
        <f t="shared" si="64"/>
        <v>0</v>
      </c>
      <c r="F55" s="25"/>
      <c r="G55" s="26"/>
      <c r="H55" s="37"/>
      <c r="I55" s="48">
        <f t="shared" si="65"/>
        <v>0</v>
      </c>
      <c r="J55" s="17">
        <f t="shared" si="63"/>
        <v>0</v>
      </c>
      <c r="K55" s="56"/>
      <c r="L55" s="19" t="s">
        <v>15</v>
      </c>
      <c r="M55" s="25"/>
      <c r="N55" s="26"/>
      <c r="O55" s="37"/>
      <c r="P55" s="10">
        <f t="shared" si="66"/>
        <v>0</v>
      </c>
      <c r="Q55" s="25"/>
      <c r="R55" s="26"/>
      <c r="S55" s="37"/>
      <c r="T55" s="48">
        <f t="shared" si="67"/>
        <v>0</v>
      </c>
      <c r="U55" s="17">
        <f t="shared" si="59"/>
        <v>0</v>
      </c>
    </row>
    <row r="56" spans="1:23" ht="14.25" thickBot="1" x14ac:dyDescent="0.2">
      <c r="A56" s="27" t="s">
        <v>16</v>
      </c>
      <c r="B56" s="21">
        <f>SUM(B47:B55)</f>
        <v>18</v>
      </c>
      <c r="C56" s="22">
        <f t="shared" ref="C56" si="68">SUM(C47:C55)</f>
        <v>14</v>
      </c>
      <c r="D56" s="38">
        <f t="shared" ref="D56" si="69">SUM(D47:D55)</f>
        <v>15</v>
      </c>
      <c r="E56" s="54">
        <f t="shared" ref="E56" si="70">SUM(E47:E55)</f>
        <v>47</v>
      </c>
      <c r="F56" s="21">
        <f t="shared" ref="F56" si="71">SUM(F47:F55)</f>
        <v>23</v>
      </c>
      <c r="G56" s="22">
        <f t="shared" ref="G56" si="72">SUM(G47:G55)</f>
        <v>14</v>
      </c>
      <c r="H56" s="38">
        <f t="shared" ref="H56" si="73">SUM(H47:H55)</f>
        <v>17</v>
      </c>
      <c r="I56" s="53">
        <f t="shared" ref="I56" si="74">SUM(I47:I55)</f>
        <v>54</v>
      </c>
      <c r="J56" s="24">
        <f t="shared" ref="J56" si="75">SUM(J47:J55)</f>
        <v>101</v>
      </c>
      <c r="L56" s="27" t="s">
        <v>16</v>
      </c>
      <c r="M56" s="21">
        <f>SUM(M47:M55)</f>
        <v>312</v>
      </c>
      <c r="N56" s="22">
        <f t="shared" ref="N56" si="76">SUM(N47:N55)</f>
        <v>329</v>
      </c>
      <c r="O56" s="38">
        <f t="shared" ref="O56" si="77">SUM(O47:O55)</f>
        <v>226</v>
      </c>
      <c r="P56" s="54">
        <f t="shared" ref="P56" si="78">SUM(P47:P55)</f>
        <v>867</v>
      </c>
      <c r="Q56" s="21">
        <f t="shared" ref="Q56" si="79">SUM(Q47:Q55)</f>
        <v>323</v>
      </c>
      <c r="R56" s="22">
        <f t="shared" ref="R56" si="80">SUM(R47:R55)</f>
        <v>349</v>
      </c>
      <c r="S56" s="38">
        <f t="shared" ref="S56" si="81">SUM(S47:S55)</f>
        <v>237</v>
      </c>
      <c r="T56" s="53">
        <f t="shared" ref="T56" si="82">SUM(T47:T55)</f>
        <v>909</v>
      </c>
      <c r="U56" s="24">
        <f t="shared" ref="U56" si="83">SUM(U47:U55)</f>
        <v>1776</v>
      </c>
    </row>
    <row r="57" spans="1:23" x14ac:dyDescent="0.15">
      <c r="A57" s="60" t="s">
        <v>37</v>
      </c>
      <c r="B57" s="11"/>
      <c r="C57" s="12"/>
      <c r="D57" s="13"/>
      <c r="E57" s="10">
        <f t="shared" ref="E57:E65" si="84">SUM(B57:D57)</f>
        <v>0</v>
      </c>
      <c r="F57" s="11">
        <v>1</v>
      </c>
      <c r="G57" s="12"/>
      <c r="H57" s="13"/>
      <c r="I57" s="48">
        <f t="shared" ref="I57:I65" si="85">SUM(F57:H57)</f>
        <v>1</v>
      </c>
      <c r="J57" s="10">
        <f t="shared" ref="J57:J65" si="86">E57+I57</f>
        <v>1</v>
      </c>
      <c r="K57" s="57">
        <v>45504</v>
      </c>
      <c r="L57" s="60" t="s">
        <v>62</v>
      </c>
      <c r="M57" s="40">
        <v>2</v>
      </c>
      <c r="N57" s="41">
        <v>2</v>
      </c>
      <c r="O57" s="71"/>
      <c r="P57" s="34">
        <f t="shared" ref="P57:P63" si="87">SUM(M57:O57)</f>
        <v>4</v>
      </c>
      <c r="Q57" s="40">
        <v>2</v>
      </c>
      <c r="R57" s="41">
        <v>1</v>
      </c>
      <c r="S57" s="71"/>
      <c r="T57" s="47">
        <f t="shared" ref="T57:T63" si="88">SUM(Q57:S57)</f>
        <v>3</v>
      </c>
      <c r="U57" s="42">
        <f t="shared" si="59"/>
        <v>7</v>
      </c>
      <c r="V57" s="57">
        <v>45513</v>
      </c>
    </row>
    <row r="58" spans="1:23" x14ac:dyDescent="0.15">
      <c r="A58" s="60" t="s">
        <v>37</v>
      </c>
      <c r="B58" s="11"/>
      <c r="C58" s="12"/>
      <c r="D58" s="13"/>
      <c r="E58" s="10">
        <f t="shared" si="84"/>
        <v>0</v>
      </c>
      <c r="F58" s="11">
        <v>1</v>
      </c>
      <c r="G58" s="12"/>
      <c r="H58" s="13"/>
      <c r="I58" s="48">
        <f t="shared" si="85"/>
        <v>1</v>
      </c>
      <c r="J58" s="10">
        <f t="shared" si="86"/>
        <v>1</v>
      </c>
      <c r="K58" s="57">
        <v>45505</v>
      </c>
      <c r="L58" s="67" t="s">
        <v>46</v>
      </c>
      <c r="M58" s="14">
        <v>3</v>
      </c>
      <c r="N58" s="15">
        <v>8</v>
      </c>
      <c r="O58" s="16">
        <v>3</v>
      </c>
      <c r="P58" s="10">
        <f t="shared" si="87"/>
        <v>14</v>
      </c>
      <c r="Q58" s="14">
        <v>3</v>
      </c>
      <c r="R58" s="15">
        <v>3</v>
      </c>
      <c r="S58" s="16">
        <v>3</v>
      </c>
      <c r="T58" s="48">
        <f t="shared" si="88"/>
        <v>9</v>
      </c>
      <c r="U58" s="10">
        <f t="shared" si="59"/>
        <v>23</v>
      </c>
      <c r="V58" s="57">
        <v>45512</v>
      </c>
    </row>
    <row r="59" spans="1:23" x14ac:dyDescent="0.15">
      <c r="A59" s="60" t="s">
        <v>37</v>
      </c>
      <c r="B59" s="11"/>
      <c r="C59" s="12"/>
      <c r="D59" s="13"/>
      <c r="E59" s="10">
        <f t="shared" si="84"/>
        <v>0</v>
      </c>
      <c r="F59" s="11">
        <v>1</v>
      </c>
      <c r="G59" s="12"/>
      <c r="H59" s="13"/>
      <c r="I59" s="48">
        <f t="shared" si="85"/>
        <v>1</v>
      </c>
      <c r="J59" s="10">
        <f t="shared" si="86"/>
        <v>1</v>
      </c>
      <c r="K59" s="57">
        <v>45506</v>
      </c>
      <c r="L59" s="60" t="s">
        <v>67</v>
      </c>
      <c r="M59" s="7">
        <v>5</v>
      </c>
      <c r="N59" s="8">
        <v>4</v>
      </c>
      <c r="O59" s="9">
        <v>4</v>
      </c>
      <c r="P59" s="10">
        <f t="shared" si="87"/>
        <v>13</v>
      </c>
      <c r="Q59" s="7">
        <v>5</v>
      </c>
      <c r="R59" s="8">
        <v>4</v>
      </c>
      <c r="S59" s="9">
        <v>4</v>
      </c>
      <c r="T59" s="48">
        <f t="shared" si="88"/>
        <v>13</v>
      </c>
      <c r="U59" s="10">
        <f t="shared" si="59"/>
        <v>26</v>
      </c>
      <c r="V59" s="57">
        <v>45523</v>
      </c>
    </row>
    <row r="60" spans="1:23" x14ac:dyDescent="0.15">
      <c r="A60" s="60" t="s">
        <v>37</v>
      </c>
      <c r="B60" s="11"/>
      <c r="C60" s="12"/>
      <c r="D60" s="13">
        <v>1</v>
      </c>
      <c r="E60" s="10">
        <f t="shared" si="84"/>
        <v>1</v>
      </c>
      <c r="F60" s="11"/>
      <c r="G60" s="12"/>
      <c r="H60" s="13">
        <v>1</v>
      </c>
      <c r="I60" s="48">
        <f t="shared" si="85"/>
        <v>1</v>
      </c>
      <c r="J60" s="10">
        <f t="shared" si="86"/>
        <v>2</v>
      </c>
      <c r="K60" s="57">
        <v>45507</v>
      </c>
      <c r="L60" s="60" t="s">
        <v>71</v>
      </c>
      <c r="M60" s="7">
        <v>3</v>
      </c>
      <c r="N60" s="8">
        <v>1</v>
      </c>
      <c r="O60" s="9">
        <v>4</v>
      </c>
      <c r="P60" s="10">
        <f t="shared" si="87"/>
        <v>8</v>
      </c>
      <c r="Q60" s="7">
        <v>2</v>
      </c>
      <c r="R60" s="8"/>
      <c r="S60" s="9"/>
      <c r="T60" s="48">
        <f t="shared" si="88"/>
        <v>2</v>
      </c>
      <c r="U60" s="10">
        <f t="shared" si="59"/>
        <v>10</v>
      </c>
      <c r="V60" s="57">
        <v>45530</v>
      </c>
    </row>
    <row r="61" spans="1:23" x14ac:dyDescent="0.15">
      <c r="A61" s="61" t="s">
        <v>61</v>
      </c>
      <c r="B61" s="11">
        <v>1</v>
      </c>
      <c r="C61" s="12"/>
      <c r="D61" s="13"/>
      <c r="E61" s="10">
        <f t="shared" si="84"/>
        <v>1</v>
      </c>
      <c r="F61" s="11">
        <v>1</v>
      </c>
      <c r="G61" s="12"/>
      <c r="H61" s="13"/>
      <c r="I61" s="48">
        <f t="shared" si="85"/>
        <v>1</v>
      </c>
      <c r="J61" s="10">
        <f t="shared" si="86"/>
        <v>2</v>
      </c>
      <c r="K61" s="57">
        <v>45511</v>
      </c>
      <c r="L61" s="60" t="s">
        <v>72</v>
      </c>
      <c r="M61" s="7">
        <v>3</v>
      </c>
      <c r="N61" s="8"/>
      <c r="O61" s="9">
        <v>4</v>
      </c>
      <c r="P61" s="10">
        <f t="shared" si="87"/>
        <v>7</v>
      </c>
      <c r="Q61" s="7"/>
      <c r="R61" s="8">
        <v>6</v>
      </c>
      <c r="S61" s="9">
        <v>1</v>
      </c>
      <c r="T61" s="48">
        <f t="shared" si="88"/>
        <v>7</v>
      </c>
      <c r="U61" s="10">
        <f t="shared" si="59"/>
        <v>14</v>
      </c>
      <c r="V61" s="57">
        <v>45527</v>
      </c>
    </row>
    <row r="62" spans="1:23" x14ac:dyDescent="0.15">
      <c r="A62" s="60" t="s">
        <v>37</v>
      </c>
      <c r="B62" s="11"/>
      <c r="C62" s="12"/>
      <c r="D62" s="13"/>
      <c r="E62" s="10">
        <f t="shared" si="84"/>
        <v>0</v>
      </c>
      <c r="F62" s="11">
        <v>1</v>
      </c>
      <c r="G62" s="12"/>
      <c r="H62" s="13">
        <v>1</v>
      </c>
      <c r="I62" s="48">
        <f t="shared" si="85"/>
        <v>2</v>
      </c>
      <c r="J62" s="10">
        <f t="shared" si="86"/>
        <v>2</v>
      </c>
      <c r="K62" s="57">
        <v>45509</v>
      </c>
      <c r="L62" s="60" t="s">
        <v>73</v>
      </c>
      <c r="M62" s="7">
        <v>5</v>
      </c>
      <c r="N62" s="8">
        <v>8</v>
      </c>
      <c r="O62" s="9">
        <v>2</v>
      </c>
      <c r="P62" s="10">
        <f t="shared" si="87"/>
        <v>15</v>
      </c>
      <c r="Q62" s="7"/>
      <c r="R62" s="8">
        <v>5</v>
      </c>
      <c r="S62" s="9">
        <v>2</v>
      </c>
      <c r="T62" s="48">
        <f t="shared" si="88"/>
        <v>7</v>
      </c>
      <c r="U62" s="10">
        <f t="shared" si="59"/>
        <v>22</v>
      </c>
      <c r="V62" s="57">
        <v>45528</v>
      </c>
      <c r="W62" s="39"/>
    </row>
    <row r="63" spans="1:23" x14ac:dyDescent="0.15">
      <c r="A63" s="61" t="s">
        <v>63</v>
      </c>
      <c r="B63" s="11">
        <v>1</v>
      </c>
      <c r="C63" s="12"/>
      <c r="D63" s="13">
        <v>1</v>
      </c>
      <c r="E63" s="10">
        <f t="shared" si="84"/>
        <v>2</v>
      </c>
      <c r="F63" s="11">
        <v>1</v>
      </c>
      <c r="G63" s="12"/>
      <c r="H63" s="13">
        <v>1</v>
      </c>
      <c r="I63" s="48">
        <f t="shared" si="85"/>
        <v>2</v>
      </c>
      <c r="J63" s="10">
        <f t="shared" si="86"/>
        <v>4</v>
      </c>
      <c r="K63" s="57">
        <v>45512</v>
      </c>
      <c r="L63" s="60" t="s">
        <v>75</v>
      </c>
      <c r="M63" s="7">
        <v>1</v>
      </c>
      <c r="N63" s="8">
        <v>2</v>
      </c>
      <c r="O63" s="9"/>
      <c r="P63" s="10">
        <f t="shared" si="87"/>
        <v>3</v>
      </c>
      <c r="Q63" s="7">
        <v>2</v>
      </c>
      <c r="R63" s="8">
        <v>2</v>
      </c>
      <c r="S63" s="9"/>
      <c r="T63" s="48">
        <f t="shared" si="88"/>
        <v>4</v>
      </c>
      <c r="U63" s="10">
        <f t="shared" ref="U63" si="89">P63+T63</f>
        <v>7</v>
      </c>
      <c r="V63" s="57">
        <v>45534</v>
      </c>
      <c r="W63" s="72"/>
    </row>
    <row r="64" spans="1:23" x14ac:dyDescent="0.15">
      <c r="A64" s="61" t="s">
        <v>64</v>
      </c>
      <c r="B64" s="11">
        <v>1</v>
      </c>
      <c r="C64" s="12"/>
      <c r="D64" s="13"/>
      <c r="E64" s="10">
        <f t="shared" si="84"/>
        <v>1</v>
      </c>
      <c r="F64" s="11">
        <v>1</v>
      </c>
      <c r="G64" s="12"/>
      <c r="H64" s="13"/>
      <c r="I64" s="48">
        <f t="shared" si="85"/>
        <v>1</v>
      </c>
      <c r="J64" s="10">
        <f t="shared" si="86"/>
        <v>2</v>
      </c>
      <c r="K64" s="57">
        <v>45513</v>
      </c>
      <c r="L64" s="60"/>
      <c r="M64" s="7"/>
      <c r="N64" s="8"/>
      <c r="O64" s="9"/>
      <c r="P64" s="10">
        <f t="shared" ref="P64:P80" si="90">SUM(M64:O64)</f>
        <v>0</v>
      </c>
      <c r="Q64" s="7"/>
      <c r="R64" s="8"/>
      <c r="S64" s="9"/>
      <c r="T64" s="48">
        <f t="shared" ref="T64:T80" si="91">SUM(Q64:S64)</f>
        <v>0</v>
      </c>
      <c r="U64" s="10">
        <f t="shared" si="59"/>
        <v>0</v>
      </c>
      <c r="V64" s="57"/>
    </row>
    <row r="65" spans="1:24" x14ac:dyDescent="0.15">
      <c r="A65" s="61" t="s">
        <v>66</v>
      </c>
      <c r="B65" s="11">
        <v>1</v>
      </c>
      <c r="C65" s="12"/>
      <c r="D65" s="13"/>
      <c r="E65" s="10">
        <f t="shared" si="84"/>
        <v>1</v>
      </c>
      <c r="F65" s="11">
        <v>1</v>
      </c>
      <c r="G65" s="12"/>
      <c r="H65" s="13"/>
      <c r="I65" s="48">
        <f t="shared" si="85"/>
        <v>1</v>
      </c>
      <c r="J65" s="10">
        <f t="shared" si="86"/>
        <v>2</v>
      </c>
      <c r="K65" s="57">
        <v>45520</v>
      </c>
      <c r="L65" s="60"/>
      <c r="M65" s="7"/>
      <c r="N65" s="8"/>
      <c r="O65" s="9"/>
      <c r="P65" s="10">
        <f t="shared" si="90"/>
        <v>0</v>
      </c>
      <c r="Q65" s="7"/>
      <c r="R65" s="8"/>
      <c r="S65" s="9"/>
      <c r="T65" s="48">
        <f t="shared" si="91"/>
        <v>0</v>
      </c>
      <c r="U65" s="10">
        <f t="shared" si="59"/>
        <v>0</v>
      </c>
      <c r="V65" s="57"/>
    </row>
    <row r="66" spans="1:24" x14ac:dyDescent="0.15">
      <c r="A66" s="60" t="s">
        <v>37</v>
      </c>
      <c r="B66" s="11"/>
      <c r="C66" s="12">
        <v>1</v>
      </c>
      <c r="D66" s="13"/>
      <c r="E66" s="10">
        <f t="shared" ref="E66:E82" si="92">SUM(B66:D66)</f>
        <v>1</v>
      </c>
      <c r="F66" s="11"/>
      <c r="G66" s="12"/>
      <c r="H66" s="13"/>
      <c r="I66" s="48">
        <f t="shared" ref="I66:I82" si="93">SUM(F66:H66)</f>
        <v>0</v>
      </c>
      <c r="J66" s="10">
        <f t="shared" si="63"/>
        <v>1</v>
      </c>
      <c r="K66" s="57">
        <v>45513</v>
      </c>
      <c r="L66" s="62"/>
      <c r="M66" s="11"/>
      <c r="N66" s="12"/>
      <c r="O66" s="13"/>
      <c r="P66" s="10">
        <f t="shared" si="90"/>
        <v>0</v>
      </c>
      <c r="Q66" s="11"/>
      <c r="R66" s="12"/>
      <c r="S66" s="13"/>
      <c r="T66" s="48">
        <f t="shared" si="91"/>
        <v>0</v>
      </c>
      <c r="U66" s="10">
        <f t="shared" si="59"/>
        <v>0</v>
      </c>
      <c r="V66" s="57"/>
    </row>
    <row r="67" spans="1:24" x14ac:dyDescent="0.15">
      <c r="A67" s="60" t="s">
        <v>68</v>
      </c>
      <c r="B67" s="7">
        <v>2</v>
      </c>
      <c r="C67" s="8"/>
      <c r="D67" s="9"/>
      <c r="E67" s="10">
        <f t="shared" si="92"/>
        <v>2</v>
      </c>
      <c r="F67" s="7"/>
      <c r="G67" s="8"/>
      <c r="H67" s="9"/>
      <c r="I67" s="48">
        <f t="shared" si="93"/>
        <v>0</v>
      </c>
      <c r="J67" s="10">
        <f t="shared" si="63"/>
        <v>2</v>
      </c>
      <c r="K67" s="57">
        <v>45513</v>
      </c>
      <c r="L67" s="60"/>
      <c r="M67" s="7"/>
      <c r="N67" s="8"/>
      <c r="O67" s="9"/>
      <c r="P67" s="10">
        <f t="shared" si="90"/>
        <v>0</v>
      </c>
      <c r="Q67" s="7"/>
      <c r="R67" s="8"/>
      <c r="S67" s="9"/>
      <c r="T67" s="48">
        <f t="shared" si="91"/>
        <v>0</v>
      </c>
      <c r="U67" s="10">
        <f t="shared" si="59"/>
        <v>0</v>
      </c>
      <c r="V67" s="57"/>
      <c r="W67" s="39"/>
    </row>
    <row r="68" spans="1:24" x14ac:dyDescent="0.15">
      <c r="A68" s="60" t="s">
        <v>37</v>
      </c>
      <c r="B68" s="7"/>
      <c r="C68" s="8"/>
      <c r="D68" s="9"/>
      <c r="E68" s="10">
        <f t="shared" si="92"/>
        <v>0</v>
      </c>
      <c r="F68" s="7"/>
      <c r="G68" s="8">
        <v>1</v>
      </c>
      <c r="H68" s="9"/>
      <c r="I68" s="48">
        <f t="shared" si="93"/>
        <v>1</v>
      </c>
      <c r="J68" s="10">
        <f t="shared" si="63"/>
        <v>1</v>
      </c>
      <c r="K68" s="66">
        <v>45515</v>
      </c>
      <c r="L68" s="62"/>
      <c r="M68" s="7"/>
      <c r="N68" s="8"/>
      <c r="O68" s="9"/>
      <c r="P68" s="10">
        <f t="shared" si="90"/>
        <v>0</v>
      </c>
      <c r="Q68" s="7"/>
      <c r="R68" s="8"/>
      <c r="S68" s="9"/>
      <c r="T68" s="48">
        <f t="shared" si="91"/>
        <v>0</v>
      </c>
      <c r="U68" s="10">
        <f t="shared" si="59"/>
        <v>0</v>
      </c>
      <c r="V68" s="57"/>
    </row>
    <row r="69" spans="1:24" x14ac:dyDescent="0.15">
      <c r="A69" s="60" t="s">
        <v>37</v>
      </c>
      <c r="B69" s="7">
        <v>1</v>
      </c>
      <c r="C69" s="8"/>
      <c r="D69" s="9">
        <v>1</v>
      </c>
      <c r="E69" s="10">
        <f t="shared" si="92"/>
        <v>2</v>
      </c>
      <c r="F69" s="7">
        <v>3</v>
      </c>
      <c r="G69" s="8"/>
      <c r="H69" s="9">
        <v>2</v>
      </c>
      <c r="I69" s="48">
        <f t="shared" si="93"/>
        <v>5</v>
      </c>
      <c r="J69" s="10">
        <f t="shared" si="63"/>
        <v>7</v>
      </c>
      <c r="K69" s="57">
        <v>45520</v>
      </c>
      <c r="L69" s="62"/>
      <c r="M69" s="7"/>
      <c r="N69" s="8"/>
      <c r="O69" s="9"/>
      <c r="P69" s="10">
        <f t="shared" si="90"/>
        <v>0</v>
      </c>
      <c r="Q69" s="7"/>
      <c r="R69" s="8"/>
      <c r="S69" s="9"/>
      <c r="T69" s="48">
        <f t="shared" si="91"/>
        <v>0</v>
      </c>
      <c r="U69" s="10">
        <f t="shared" si="59"/>
        <v>0</v>
      </c>
      <c r="V69" s="57"/>
    </row>
    <row r="70" spans="1:24" x14ac:dyDescent="0.15">
      <c r="A70" s="60" t="s">
        <v>37</v>
      </c>
      <c r="B70" s="7"/>
      <c r="C70" s="8"/>
      <c r="D70" s="9"/>
      <c r="E70" s="10">
        <f t="shared" si="92"/>
        <v>0</v>
      </c>
      <c r="F70" s="7">
        <v>1</v>
      </c>
      <c r="G70" s="8"/>
      <c r="H70" s="9"/>
      <c r="I70" s="48">
        <f t="shared" si="93"/>
        <v>1</v>
      </c>
      <c r="J70" s="10">
        <f t="shared" si="63"/>
        <v>1</v>
      </c>
      <c r="K70" s="57">
        <v>45521</v>
      </c>
      <c r="L70" s="62"/>
      <c r="M70" s="7"/>
      <c r="N70" s="8"/>
      <c r="O70" s="9"/>
      <c r="P70" s="10">
        <f t="shared" si="90"/>
        <v>0</v>
      </c>
      <c r="Q70" s="7"/>
      <c r="R70" s="8"/>
      <c r="S70" s="9"/>
      <c r="T70" s="48">
        <f t="shared" si="91"/>
        <v>0</v>
      </c>
      <c r="U70" s="10">
        <f t="shared" si="59"/>
        <v>0</v>
      </c>
      <c r="V70" s="57"/>
    </row>
    <row r="71" spans="1:24" x14ac:dyDescent="0.15">
      <c r="A71" s="61" t="s">
        <v>70</v>
      </c>
      <c r="B71" s="7"/>
      <c r="C71" s="8"/>
      <c r="D71" s="9">
        <v>1</v>
      </c>
      <c r="E71" s="10">
        <f t="shared" si="92"/>
        <v>1</v>
      </c>
      <c r="F71" s="7"/>
      <c r="G71" s="8"/>
      <c r="H71" s="9">
        <v>1</v>
      </c>
      <c r="I71" s="48">
        <f t="shared" si="93"/>
        <v>1</v>
      </c>
      <c r="J71" s="10">
        <f t="shared" si="63"/>
        <v>2</v>
      </c>
      <c r="K71" s="57">
        <v>45525</v>
      </c>
      <c r="L71" s="60"/>
      <c r="M71" s="7"/>
      <c r="N71" s="8"/>
      <c r="O71" s="9"/>
      <c r="P71" s="10">
        <f t="shared" si="90"/>
        <v>0</v>
      </c>
      <c r="Q71" s="7"/>
      <c r="R71" s="8"/>
      <c r="S71" s="9"/>
      <c r="T71" s="48">
        <f t="shared" si="91"/>
        <v>0</v>
      </c>
      <c r="U71" s="10">
        <f t="shared" si="59"/>
        <v>0</v>
      </c>
      <c r="V71" s="57"/>
      <c r="W71" s="39"/>
      <c r="X71" s="39"/>
    </row>
    <row r="72" spans="1:24" x14ac:dyDescent="0.15">
      <c r="A72" s="60" t="s">
        <v>37</v>
      </c>
      <c r="B72" s="7"/>
      <c r="C72" s="8">
        <v>1</v>
      </c>
      <c r="D72" s="9"/>
      <c r="E72" s="10">
        <f t="shared" si="92"/>
        <v>1</v>
      </c>
      <c r="F72" s="7"/>
      <c r="G72" s="8">
        <v>1</v>
      </c>
      <c r="H72" s="9">
        <v>1</v>
      </c>
      <c r="I72" s="48">
        <f t="shared" si="93"/>
        <v>2</v>
      </c>
      <c r="J72" s="10">
        <f t="shared" si="63"/>
        <v>3</v>
      </c>
      <c r="K72" s="57">
        <v>45523</v>
      </c>
      <c r="L72" s="60"/>
      <c r="M72" s="7"/>
      <c r="N72" s="8"/>
      <c r="O72" s="9"/>
      <c r="P72" s="10">
        <f t="shared" si="90"/>
        <v>0</v>
      </c>
      <c r="Q72" s="7"/>
      <c r="R72" s="8"/>
      <c r="S72" s="9"/>
      <c r="T72" s="48">
        <f t="shared" si="91"/>
        <v>0</v>
      </c>
      <c r="U72" s="10">
        <f t="shared" si="59"/>
        <v>0</v>
      </c>
      <c r="V72" s="57"/>
    </row>
    <row r="73" spans="1:24" x14ac:dyDescent="0.15">
      <c r="A73" s="60" t="s">
        <v>37</v>
      </c>
      <c r="B73" s="7"/>
      <c r="C73" s="8"/>
      <c r="D73" s="9"/>
      <c r="E73" s="10">
        <f t="shared" si="92"/>
        <v>0</v>
      </c>
      <c r="F73" s="7">
        <v>1</v>
      </c>
      <c r="G73" s="8"/>
      <c r="H73" s="9"/>
      <c r="I73" s="48">
        <f t="shared" si="93"/>
        <v>1</v>
      </c>
      <c r="J73" s="10">
        <f t="shared" si="63"/>
        <v>1</v>
      </c>
      <c r="K73" s="57">
        <v>45524</v>
      </c>
      <c r="L73" s="60"/>
      <c r="M73" s="7"/>
      <c r="N73" s="8"/>
      <c r="O73" s="9"/>
      <c r="P73" s="10">
        <f t="shared" si="90"/>
        <v>0</v>
      </c>
      <c r="Q73" s="7"/>
      <c r="R73" s="8"/>
      <c r="S73" s="9"/>
      <c r="T73" s="48">
        <f t="shared" si="91"/>
        <v>0</v>
      </c>
      <c r="U73" s="10">
        <f t="shared" si="59"/>
        <v>0</v>
      </c>
      <c r="V73" s="57"/>
    </row>
    <row r="74" spans="1:24" x14ac:dyDescent="0.15">
      <c r="A74" s="60" t="s">
        <v>37</v>
      </c>
      <c r="B74" s="7"/>
      <c r="C74" s="8"/>
      <c r="D74" s="9">
        <v>2</v>
      </c>
      <c r="E74" s="10">
        <f t="shared" si="92"/>
        <v>2</v>
      </c>
      <c r="F74" s="7"/>
      <c r="G74" s="8"/>
      <c r="H74" s="9">
        <v>2</v>
      </c>
      <c r="I74" s="48">
        <f t="shared" si="93"/>
        <v>2</v>
      </c>
      <c r="J74" s="10">
        <f t="shared" si="63"/>
        <v>4</v>
      </c>
      <c r="K74" s="57">
        <v>45525</v>
      </c>
      <c r="L74" s="60"/>
      <c r="M74" s="7"/>
      <c r="N74" s="8"/>
      <c r="O74" s="9"/>
      <c r="P74" s="10">
        <f t="shared" si="90"/>
        <v>0</v>
      </c>
      <c r="Q74" s="7"/>
      <c r="R74" s="8"/>
      <c r="S74" s="9"/>
      <c r="T74" s="48">
        <f t="shared" si="91"/>
        <v>0</v>
      </c>
      <c r="U74" s="10">
        <f t="shared" si="59"/>
        <v>0</v>
      </c>
      <c r="V74" s="57"/>
    </row>
    <row r="75" spans="1:24" x14ac:dyDescent="0.15">
      <c r="A75" s="60" t="s">
        <v>37</v>
      </c>
      <c r="B75" s="7"/>
      <c r="C75" s="8"/>
      <c r="D75" s="9">
        <v>1</v>
      </c>
      <c r="E75" s="10">
        <f t="shared" si="92"/>
        <v>1</v>
      </c>
      <c r="F75" s="7"/>
      <c r="G75" s="8"/>
      <c r="H75" s="9">
        <v>1</v>
      </c>
      <c r="I75" s="48">
        <f t="shared" si="93"/>
        <v>1</v>
      </c>
      <c r="J75" s="10">
        <f t="shared" si="63"/>
        <v>2</v>
      </c>
      <c r="K75" s="66">
        <v>45526</v>
      </c>
      <c r="L75" s="60"/>
      <c r="M75" s="7"/>
      <c r="N75" s="8"/>
      <c r="O75" s="9"/>
      <c r="P75" s="10">
        <f t="shared" si="90"/>
        <v>0</v>
      </c>
      <c r="Q75" s="7"/>
      <c r="R75" s="8"/>
      <c r="S75" s="9"/>
      <c r="T75" s="48">
        <f t="shared" si="91"/>
        <v>0</v>
      </c>
      <c r="U75" s="10">
        <f t="shared" si="59"/>
        <v>0</v>
      </c>
      <c r="V75" s="57"/>
    </row>
    <row r="76" spans="1:24" x14ac:dyDescent="0.15">
      <c r="A76" s="60" t="s">
        <v>37</v>
      </c>
      <c r="B76" s="7">
        <v>1</v>
      </c>
      <c r="C76" s="8">
        <v>1</v>
      </c>
      <c r="D76" s="9"/>
      <c r="E76" s="10">
        <f t="shared" si="92"/>
        <v>2</v>
      </c>
      <c r="F76" s="7"/>
      <c r="G76" s="8"/>
      <c r="H76" s="9"/>
      <c r="I76" s="48">
        <f t="shared" si="93"/>
        <v>0</v>
      </c>
      <c r="J76" s="10">
        <f t="shared" si="63"/>
        <v>2</v>
      </c>
      <c r="K76" s="57">
        <v>45527</v>
      </c>
      <c r="L76" s="60"/>
      <c r="M76" s="7"/>
      <c r="N76" s="8"/>
      <c r="O76" s="9"/>
      <c r="P76" s="10">
        <f t="shared" si="90"/>
        <v>0</v>
      </c>
      <c r="Q76" s="7"/>
      <c r="R76" s="8"/>
      <c r="S76" s="9"/>
      <c r="T76" s="48">
        <f t="shared" si="91"/>
        <v>0</v>
      </c>
      <c r="U76" s="10">
        <f t="shared" si="59"/>
        <v>0</v>
      </c>
      <c r="V76" s="57"/>
    </row>
    <row r="77" spans="1:24" x14ac:dyDescent="0.15">
      <c r="A77" s="60" t="s">
        <v>74</v>
      </c>
      <c r="B77" s="7"/>
      <c r="C77" s="8"/>
      <c r="D77" s="9"/>
      <c r="E77" s="10">
        <f t="shared" si="92"/>
        <v>0</v>
      </c>
      <c r="F77" s="7">
        <v>1</v>
      </c>
      <c r="G77" s="8"/>
      <c r="H77" s="9"/>
      <c r="I77" s="48">
        <f t="shared" si="93"/>
        <v>1</v>
      </c>
      <c r="J77" s="10">
        <f t="shared" si="63"/>
        <v>1</v>
      </c>
      <c r="K77" s="57">
        <v>45531</v>
      </c>
      <c r="L77" s="60"/>
      <c r="M77" s="7"/>
      <c r="N77" s="8"/>
      <c r="O77" s="9"/>
      <c r="P77" s="10">
        <f t="shared" si="90"/>
        <v>0</v>
      </c>
      <c r="Q77" s="7"/>
      <c r="R77" s="8"/>
      <c r="S77" s="9"/>
      <c r="T77" s="48">
        <f t="shared" si="91"/>
        <v>0</v>
      </c>
      <c r="U77" s="10">
        <f t="shared" si="59"/>
        <v>0</v>
      </c>
      <c r="V77" s="57"/>
    </row>
    <row r="78" spans="1:24" x14ac:dyDescent="0.15">
      <c r="A78" s="60" t="s">
        <v>37</v>
      </c>
      <c r="B78" s="11">
        <v>2</v>
      </c>
      <c r="C78" s="12"/>
      <c r="D78" s="13"/>
      <c r="E78" s="10">
        <f t="shared" si="92"/>
        <v>2</v>
      </c>
      <c r="F78" s="11">
        <v>2</v>
      </c>
      <c r="G78" s="12">
        <v>1</v>
      </c>
      <c r="H78" s="13"/>
      <c r="I78" s="48">
        <f t="shared" si="93"/>
        <v>3</v>
      </c>
      <c r="J78" s="10">
        <f t="shared" si="63"/>
        <v>5</v>
      </c>
      <c r="K78" s="57">
        <v>45530</v>
      </c>
      <c r="L78" s="60"/>
      <c r="M78" s="11"/>
      <c r="N78" s="12"/>
      <c r="O78" s="13"/>
      <c r="P78" s="10">
        <f t="shared" si="90"/>
        <v>0</v>
      </c>
      <c r="Q78" s="11"/>
      <c r="R78" s="12"/>
      <c r="S78" s="13"/>
      <c r="T78" s="48">
        <f t="shared" si="91"/>
        <v>0</v>
      </c>
      <c r="U78" s="10">
        <f t="shared" si="59"/>
        <v>0</v>
      </c>
      <c r="V78" s="57"/>
    </row>
    <row r="79" spans="1:24" x14ac:dyDescent="0.15">
      <c r="A79" s="60" t="s">
        <v>37</v>
      </c>
      <c r="B79" s="7"/>
      <c r="C79" s="8"/>
      <c r="D79" s="9">
        <v>1</v>
      </c>
      <c r="E79" s="10">
        <f t="shared" si="92"/>
        <v>1</v>
      </c>
      <c r="F79" s="7"/>
      <c r="G79" s="8"/>
      <c r="H79" s="9"/>
      <c r="I79" s="48">
        <f t="shared" si="93"/>
        <v>0</v>
      </c>
      <c r="J79" s="10">
        <f t="shared" si="63"/>
        <v>1</v>
      </c>
      <c r="K79" s="57">
        <v>45532</v>
      </c>
      <c r="L79" s="60"/>
      <c r="M79" s="7"/>
      <c r="N79" s="8"/>
      <c r="O79" s="9"/>
      <c r="P79" s="10">
        <f t="shared" si="90"/>
        <v>0</v>
      </c>
      <c r="Q79" s="7"/>
      <c r="R79" s="8"/>
      <c r="S79" s="9"/>
      <c r="T79" s="48">
        <f t="shared" si="91"/>
        <v>0</v>
      </c>
      <c r="U79" s="10">
        <f t="shared" si="59"/>
        <v>0</v>
      </c>
      <c r="V79" s="57"/>
    </row>
    <row r="80" spans="1:24" x14ac:dyDescent="0.15">
      <c r="A80" s="61" t="s">
        <v>77</v>
      </c>
      <c r="B80" s="7"/>
      <c r="C80" s="8"/>
      <c r="D80" s="9">
        <v>1</v>
      </c>
      <c r="E80" s="10">
        <f t="shared" si="92"/>
        <v>1</v>
      </c>
      <c r="F80" s="7"/>
      <c r="G80" s="8"/>
      <c r="H80" s="9">
        <v>1</v>
      </c>
      <c r="I80" s="48">
        <f t="shared" si="93"/>
        <v>1</v>
      </c>
      <c r="J80" s="10">
        <f t="shared" si="63"/>
        <v>2</v>
      </c>
      <c r="K80" s="57">
        <v>45537</v>
      </c>
      <c r="L80" s="60"/>
      <c r="M80" s="7"/>
      <c r="N80" s="8"/>
      <c r="O80" s="9"/>
      <c r="P80" s="10">
        <f t="shared" si="90"/>
        <v>0</v>
      </c>
      <c r="Q80" s="7"/>
      <c r="R80" s="8"/>
      <c r="S80" s="9"/>
      <c r="T80" s="48">
        <f t="shared" si="91"/>
        <v>0</v>
      </c>
      <c r="U80" s="10">
        <f t="shared" si="59"/>
        <v>0</v>
      </c>
      <c r="V80" s="57"/>
    </row>
    <row r="81" spans="1:22" x14ac:dyDescent="0.15">
      <c r="A81" s="60" t="s">
        <v>37</v>
      </c>
      <c r="B81" s="7"/>
      <c r="C81" s="8">
        <v>1</v>
      </c>
      <c r="D81" s="9"/>
      <c r="E81" s="10">
        <f t="shared" si="92"/>
        <v>1</v>
      </c>
      <c r="F81" s="7"/>
      <c r="G81" s="8"/>
      <c r="H81" s="9"/>
      <c r="I81" s="48">
        <f t="shared" si="93"/>
        <v>0</v>
      </c>
      <c r="J81" s="10">
        <f t="shared" si="63"/>
        <v>1</v>
      </c>
      <c r="K81" s="57">
        <v>45534</v>
      </c>
      <c r="L81" s="62"/>
      <c r="M81" s="7"/>
      <c r="N81" s="8"/>
      <c r="O81" s="9"/>
      <c r="P81" s="10">
        <f t="shared" ref="P81:P82" si="94">SUM(M81:O81)</f>
        <v>0</v>
      </c>
      <c r="Q81" s="7"/>
      <c r="R81" s="8"/>
      <c r="S81" s="9"/>
      <c r="T81" s="48">
        <f t="shared" ref="T81:T82" si="95">SUM(Q81:S81)</f>
        <v>0</v>
      </c>
      <c r="U81" s="10">
        <f t="shared" si="59"/>
        <v>0</v>
      </c>
      <c r="V81" s="56"/>
    </row>
    <row r="82" spans="1:22" ht="14.25" thickBot="1" x14ac:dyDescent="0.2">
      <c r="A82" s="60" t="s">
        <v>37</v>
      </c>
      <c r="B82" s="7"/>
      <c r="C82" s="8"/>
      <c r="D82" s="9"/>
      <c r="E82" s="10">
        <f t="shared" si="92"/>
        <v>0</v>
      </c>
      <c r="F82" s="7">
        <v>3</v>
      </c>
      <c r="G82" s="8"/>
      <c r="H82" s="9"/>
      <c r="I82" s="48">
        <f t="shared" si="93"/>
        <v>3</v>
      </c>
      <c r="J82" s="17">
        <f t="shared" si="63"/>
        <v>3</v>
      </c>
      <c r="K82" s="66">
        <v>45535</v>
      </c>
      <c r="L82" s="60" t="s">
        <v>40</v>
      </c>
      <c r="M82" s="11"/>
      <c r="N82" s="12"/>
      <c r="O82" s="13"/>
      <c r="P82" s="10">
        <f t="shared" si="94"/>
        <v>0</v>
      </c>
      <c r="Q82" s="11"/>
      <c r="R82" s="12"/>
      <c r="S82" s="13"/>
      <c r="T82" s="48">
        <f t="shared" si="95"/>
        <v>0</v>
      </c>
      <c r="U82" s="10">
        <f t="shared" si="59"/>
        <v>0</v>
      </c>
      <c r="V82" s="56" t="s">
        <v>41</v>
      </c>
    </row>
    <row r="83" spans="1:22" ht="14.25" thickBot="1" x14ac:dyDescent="0.2">
      <c r="A83" s="29" t="s">
        <v>17</v>
      </c>
      <c r="B83" s="30">
        <f>SUM(B57:B82)</f>
        <v>10</v>
      </c>
      <c r="C83" s="31">
        <f>SUM(C57:C82)</f>
        <v>4</v>
      </c>
      <c r="D83" s="32">
        <f>SUM(D57:D82)</f>
        <v>9</v>
      </c>
      <c r="E83" s="33">
        <f>SUM(B83:D83)</f>
        <v>23</v>
      </c>
      <c r="F83" s="30">
        <f>SUM(F57:F82)</f>
        <v>19</v>
      </c>
      <c r="G83" s="31">
        <f>SUM(G57:G82)</f>
        <v>3</v>
      </c>
      <c r="H83" s="32">
        <f>SUM(H57:H82)</f>
        <v>11</v>
      </c>
      <c r="I83" s="33">
        <f>SUM(F83:H83)</f>
        <v>33</v>
      </c>
      <c r="J83" s="34">
        <f t="shared" si="63"/>
        <v>56</v>
      </c>
      <c r="K83" s="59"/>
      <c r="L83" s="29" t="s">
        <v>17</v>
      </c>
      <c r="M83" s="30">
        <f>SUM(M57:M82)</f>
        <v>22</v>
      </c>
      <c r="N83" s="31">
        <f>SUM(N57:N82)</f>
        <v>25</v>
      </c>
      <c r="O83" s="32">
        <f>SUM(O57:O82)</f>
        <v>17</v>
      </c>
      <c r="P83" s="33">
        <f>SUM(M83:O83)</f>
        <v>64</v>
      </c>
      <c r="Q83" s="30">
        <f>SUM(Q57:Q82)</f>
        <v>14</v>
      </c>
      <c r="R83" s="31">
        <f>SUM(R57:R82)</f>
        <v>21</v>
      </c>
      <c r="S83" s="32">
        <f>SUM(S57:S82)</f>
        <v>10</v>
      </c>
      <c r="T83" s="33">
        <f>SUM(Q83:S83)</f>
        <v>45</v>
      </c>
      <c r="U83" s="34">
        <f t="shared" si="59"/>
        <v>109</v>
      </c>
    </row>
    <row r="84" spans="1:22" ht="14.25" thickBot="1" x14ac:dyDescent="0.2">
      <c r="A84" s="18" t="s">
        <v>18</v>
      </c>
      <c r="B84" s="44">
        <f>B56-B83</f>
        <v>8</v>
      </c>
      <c r="C84" s="45">
        <f t="shared" ref="C84" si="96">C56-C83</f>
        <v>10</v>
      </c>
      <c r="D84" s="46">
        <f t="shared" ref="D84" si="97">D56-D83</f>
        <v>6</v>
      </c>
      <c r="E84" s="46">
        <f t="shared" ref="E84" si="98">E56-E83</f>
        <v>24</v>
      </c>
      <c r="F84" s="44">
        <f>F56-F83</f>
        <v>4</v>
      </c>
      <c r="G84" s="45">
        <f t="shared" ref="G84" si="99">G56-G83</f>
        <v>11</v>
      </c>
      <c r="H84" s="46">
        <f t="shared" ref="H84" si="100">H56-H83</f>
        <v>6</v>
      </c>
      <c r="I84" s="46">
        <f t="shared" ref="I84" si="101">I56-I83</f>
        <v>21</v>
      </c>
      <c r="J84" s="24">
        <f t="shared" si="63"/>
        <v>45</v>
      </c>
      <c r="L84" s="18" t="s">
        <v>18</v>
      </c>
      <c r="M84" s="44">
        <f>M56-M83</f>
        <v>290</v>
      </c>
      <c r="N84" s="45">
        <f t="shared" ref="N84" si="102">N56-N83</f>
        <v>304</v>
      </c>
      <c r="O84" s="46">
        <f t="shared" ref="O84" si="103">O56-O83</f>
        <v>209</v>
      </c>
      <c r="P84" s="46">
        <f t="shared" ref="P84" si="104">P56-P83</f>
        <v>803</v>
      </c>
      <c r="Q84" s="44">
        <f>Q56-Q83</f>
        <v>309</v>
      </c>
      <c r="R84" s="45">
        <f t="shared" ref="R84" si="105">R56-R83</f>
        <v>328</v>
      </c>
      <c r="S84" s="46">
        <f t="shared" ref="S84" si="106">S56-S83</f>
        <v>227</v>
      </c>
      <c r="T84" s="46">
        <f t="shared" ref="T84" si="107">T56-T83</f>
        <v>864</v>
      </c>
      <c r="U84" s="24">
        <f t="shared" si="59"/>
        <v>1667</v>
      </c>
    </row>
    <row r="85" spans="1:22" x14ac:dyDescent="0.15">
      <c r="M85" s="43"/>
      <c r="N85" s="43"/>
      <c r="O85" s="43"/>
      <c r="P85" s="43"/>
    </row>
    <row r="87" spans="1:22" ht="19.5" thickBot="1" x14ac:dyDescent="0.25">
      <c r="A87" s="2" t="s">
        <v>24</v>
      </c>
      <c r="B87" s="1"/>
      <c r="C87" s="1"/>
      <c r="D87" s="1"/>
      <c r="E87" s="1"/>
      <c r="F87" s="1" t="s">
        <v>39</v>
      </c>
      <c r="G87" s="1"/>
      <c r="H87" s="1"/>
      <c r="I87" s="1"/>
      <c r="J87" s="1"/>
      <c r="L87" s="2" t="s">
        <v>23</v>
      </c>
      <c r="M87" s="1"/>
      <c r="N87" s="1"/>
      <c r="O87" s="1"/>
      <c r="P87" s="63" t="s">
        <v>35</v>
      </c>
      <c r="Q87" s="1"/>
      <c r="R87" s="1" t="s">
        <v>39</v>
      </c>
      <c r="S87" s="1"/>
      <c r="T87" s="1"/>
      <c r="U87" s="1"/>
    </row>
    <row r="88" spans="1:22" ht="14.25" thickBot="1" x14ac:dyDescent="0.2">
      <c r="A88" s="6" t="s">
        <v>0</v>
      </c>
      <c r="B88" s="128" t="s">
        <v>21</v>
      </c>
      <c r="C88" s="129"/>
      <c r="D88" s="129"/>
      <c r="E88" s="130"/>
      <c r="F88" s="125" t="s">
        <v>19</v>
      </c>
      <c r="G88" s="126"/>
      <c r="H88" s="126"/>
      <c r="I88" s="127"/>
      <c r="J88" s="131" t="s">
        <v>1</v>
      </c>
      <c r="L88" s="6" t="s">
        <v>0</v>
      </c>
      <c r="M88" s="128" t="s">
        <v>21</v>
      </c>
      <c r="N88" s="129"/>
      <c r="O88" s="129"/>
      <c r="P88" s="130"/>
      <c r="Q88" s="125" t="s">
        <v>19</v>
      </c>
      <c r="R88" s="126"/>
      <c r="S88" s="126"/>
      <c r="T88" s="127"/>
      <c r="U88" s="131" t="s">
        <v>1</v>
      </c>
    </row>
    <row r="89" spans="1:22" ht="14.25" thickBot="1" x14ac:dyDescent="0.2">
      <c r="A89" s="6" t="s">
        <v>2</v>
      </c>
      <c r="B89" s="3" t="s">
        <v>3</v>
      </c>
      <c r="C89" s="4" t="s">
        <v>4</v>
      </c>
      <c r="D89" s="5" t="s">
        <v>5</v>
      </c>
      <c r="E89" s="6" t="s">
        <v>6</v>
      </c>
      <c r="F89" s="3" t="s">
        <v>3</v>
      </c>
      <c r="G89" s="4" t="s">
        <v>4</v>
      </c>
      <c r="H89" s="5" t="s">
        <v>5</v>
      </c>
      <c r="I89" s="6" t="s">
        <v>6</v>
      </c>
      <c r="J89" s="132"/>
      <c r="L89" s="6" t="s">
        <v>2</v>
      </c>
      <c r="M89" s="50" t="s">
        <v>3</v>
      </c>
      <c r="N89" s="51" t="s">
        <v>4</v>
      </c>
      <c r="O89" s="52" t="s">
        <v>5</v>
      </c>
      <c r="P89" s="6" t="s">
        <v>6</v>
      </c>
      <c r="Q89" s="3" t="s">
        <v>3</v>
      </c>
      <c r="R89" s="4" t="s">
        <v>4</v>
      </c>
      <c r="S89" s="5" t="s">
        <v>5</v>
      </c>
      <c r="T89" s="6" t="s">
        <v>6</v>
      </c>
      <c r="U89" s="132"/>
    </row>
    <row r="90" spans="1:22" ht="14.25" thickBot="1" x14ac:dyDescent="0.2">
      <c r="A90" s="20" t="s">
        <v>18</v>
      </c>
      <c r="B90" s="21">
        <f>B84</f>
        <v>8</v>
      </c>
      <c r="C90" s="22">
        <f t="shared" ref="C90:D90" si="108">C84</f>
        <v>10</v>
      </c>
      <c r="D90" s="38">
        <f t="shared" si="108"/>
        <v>6</v>
      </c>
      <c r="E90" s="24">
        <f t="shared" ref="E90:E98" si="109">SUM(B90:D90)</f>
        <v>24</v>
      </c>
      <c r="F90" s="21">
        <f>F84</f>
        <v>4</v>
      </c>
      <c r="G90" s="22">
        <f t="shared" ref="G90:H90" si="110">G84</f>
        <v>11</v>
      </c>
      <c r="H90" s="38">
        <f t="shared" si="110"/>
        <v>6</v>
      </c>
      <c r="I90" s="24">
        <f t="shared" ref="I90:I98" si="111">SUM(F90:H90)</f>
        <v>21</v>
      </c>
      <c r="J90" s="24">
        <f>E90+I90</f>
        <v>45</v>
      </c>
      <c r="K90" s="57"/>
      <c r="L90" s="20" t="s">
        <v>18</v>
      </c>
      <c r="M90" s="21">
        <f>M84</f>
        <v>290</v>
      </c>
      <c r="N90" s="22">
        <f t="shared" ref="N90:O90" si="112">N84</f>
        <v>304</v>
      </c>
      <c r="O90" s="38">
        <f t="shared" si="112"/>
        <v>209</v>
      </c>
      <c r="P90" s="73">
        <f t="shared" ref="P90:P98" si="113">SUM(M90:O90)</f>
        <v>803</v>
      </c>
      <c r="Q90" s="21">
        <f>Q84</f>
        <v>309</v>
      </c>
      <c r="R90" s="22">
        <f t="shared" ref="R90:S90" si="114">R84</f>
        <v>328</v>
      </c>
      <c r="S90" s="38">
        <f t="shared" si="114"/>
        <v>227</v>
      </c>
      <c r="T90" s="24">
        <f t="shared" ref="T90:T98" si="115">SUM(Q90:S90)</f>
        <v>864</v>
      </c>
      <c r="U90" s="24">
        <f>P90+T90</f>
        <v>1667</v>
      </c>
    </row>
    <row r="91" spans="1:22" x14ac:dyDescent="0.15">
      <c r="A91" s="19" t="s">
        <v>8</v>
      </c>
      <c r="B91" s="7"/>
      <c r="C91" s="8"/>
      <c r="D91" s="35"/>
      <c r="E91" s="10">
        <f t="shared" si="109"/>
        <v>0</v>
      </c>
      <c r="F91" s="7">
        <v>5</v>
      </c>
      <c r="G91" s="8"/>
      <c r="H91" s="35"/>
      <c r="I91" s="48">
        <f t="shared" si="111"/>
        <v>5</v>
      </c>
      <c r="J91" s="10">
        <f t="shared" ref="J91:J98" si="116">E91+I91</f>
        <v>5</v>
      </c>
      <c r="K91" s="57">
        <v>45540</v>
      </c>
      <c r="L91" s="19" t="s">
        <v>79</v>
      </c>
      <c r="M91" s="14">
        <v>4</v>
      </c>
      <c r="N91" s="15">
        <v>6</v>
      </c>
      <c r="O91" s="68">
        <v>6</v>
      </c>
      <c r="P91" s="69">
        <f t="shared" ref="P91:P94" si="117">SUM(M91:O91)</f>
        <v>16</v>
      </c>
      <c r="Q91" s="14"/>
      <c r="R91" s="15">
        <v>7</v>
      </c>
      <c r="S91" s="68">
        <v>4</v>
      </c>
      <c r="T91" s="70">
        <f t="shared" ref="T91:T94" si="118">SUM(Q91:S91)</f>
        <v>11</v>
      </c>
      <c r="U91" s="69">
        <f t="shared" ref="U91:U94" si="119">P91+T91</f>
        <v>27</v>
      </c>
      <c r="V91" s="66">
        <v>45538</v>
      </c>
    </row>
    <row r="92" spans="1:22" x14ac:dyDescent="0.15">
      <c r="A92" s="19" t="s">
        <v>9</v>
      </c>
      <c r="B92" s="7">
        <v>10</v>
      </c>
      <c r="C92" s="8">
        <v>5</v>
      </c>
      <c r="D92" s="35">
        <v>5</v>
      </c>
      <c r="E92" s="10">
        <f t="shared" si="109"/>
        <v>20</v>
      </c>
      <c r="F92" s="7">
        <v>5</v>
      </c>
      <c r="G92" s="8"/>
      <c r="H92" s="35">
        <v>5</v>
      </c>
      <c r="I92" s="48">
        <f t="shared" si="111"/>
        <v>10</v>
      </c>
      <c r="J92" s="10">
        <f t="shared" si="116"/>
        <v>30</v>
      </c>
      <c r="K92" s="57">
        <v>45545</v>
      </c>
      <c r="L92" s="19" t="s">
        <v>9</v>
      </c>
      <c r="M92" s="7"/>
      <c r="N92" s="8"/>
      <c r="O92" s="35"/>
      <c r="P92" s="10">
        <f t="shared" si="117"/>
        <v>0</v>
      </c>
      <c r="Q92" s="7"/>
      <c r="R92" s="8"/>
      <c r="S92" s="35"/>
      <c r="T92" s="48">
        <f t="shared" si="118"/>
        <v>0</v>
      </c>
      <c r="U92" s="10">
        <f t="shared" si="119"/>
        <v>0</v>
      </c>
    </row>
    <row r="93" spans="1:22" x14ac:dyDescent="0.15">
      <c r="A93" s="19" t="s">
        <v>10</v>
      </c>
      <c r="B93" s="7"/>
      <c r="C93" s="8"/>
      <c r="D93" s="35"/>
      <c r="E93" s="10">
        <f t="shared" si="109"/>
        <v>0</v>
      </c>
      <c r="F93" s="7">
        <v>5</v>
      </c>
      <c r="G93" s="8"/>
      <c r="H93" s="35"/>
      <c r="I93" s="48">
        <f t="shared" si="111"/>
        <v>5</v>
      </c>
      <c r="J93" s="10">
        <f t="shared" si="116"/>
        <v>5</v>
      </c>
      <c r="K93" s="57">
        <v>45552</v>
      </c>
      <c r="L93" s="19" t="s">
        <v>10</v>
      </c>
      <c r="M93" s="7"/>
      <c r="N93" s="8"/>
      <c r="O93" s="35"/>
      <c r="P93" s="10">
        <f t="shared" si="117"/>
        <v>0</v>
      </c>
      <c r="Q93" s="7"/>
      <c r="R93" s="8"/>
      <c r="S93" s="35"/>
      <c r="T93" s="48">
        <f t="shared" si="118"/>
        <v>0</v>
      </c>
      <c r="U93" s="10">
        <f t="shared" si="119"/>
        <v>0</v>
      </c>
    </row>
    <row r="94" spans="1:22" x14ac:dyDescent="0.15">
      <c r="A94" s="19" t="s">
        <v>11</v>
      </c>
      <c r="B94" s="7"/>
      <c r="C94" s="8"/>
      <c r="D94" s="35"/>
      <c r="E94" s="10">
        <f t="shared" si="109"/>
        <v>0</v>
      </c>
      <c r="F94" s="7">
        <v>10</v>
      </c>
      <c r="G94" s="8">
        <v>3</v>
      </c>
      <c r="H94" s="35"/>
      <c r="I94" s="48">
        <f t="shared" si="111"/>
        <v>13</v>
      </c>
      <c r="J94" s="10">
        <f t="shared" si="116"/>
        <v>13</v>
      </c>
      <c r="K94" s="57">
        <v>45553</v>
      </c>
      <c r="L94" s="19" t="s">
        <v>11</v>
      </c>
      <c r="M94" s="7"/>
      <c r="N94" s="8"/>
      <c r="O94" s="35"/>
      <c r="P94" s="10">
        <f t="shared" si="117"/>
        <v>0</v>
      </c>
      <c r="Q94" s="7"/>
      <c r="R94" s="8"/>
      <c r="S94" s="35"/>
      <c r="T94" s="48">
        <f t="shared" si="118"/>
        <v>0</v>
      </c>
      <c r="U94" s="10">
        <f t="shared" si="119"/>
        <v>0</v>
      </c>
    </row>
    <row r="95" spans="1:22" x14ac:dyDescent="0.15">
      <c r="A95" s="19" t="s">
        <v>12</v>
      </c>
      <c r="B95" s="7"/>
      <c r="C95" s="8">
        <v>5</v>
      </c>
      <c r="D95" s="35"/>
      <c r="E95" s="10">
        <f t="shared" si="109"/>
        <v>5</v>
      </c>
      <c r="F95" s="7"/>
      <c r="G95" s="8"/>
      <c r="H95" s="35"/>
      <c r="I95" s="48">
        <f t="shared" si="111"/>
        <v>0</v>
      </c>
      <c r="J95" s="10">
        <f t="shared" si="116"/>
        <v>5</v>
      </c>
      <c r="K95" s="57">
        <v>45555</v>
      </c>
      <c r="L95" s="19" t="s">
        <v>12</v>
      </c>
      <c r="M95" s="7"/>
      <c r="N95" s="8"/>
      <c r="O95" s="35"/>
      <c r="P95" s="10">
        <f t="shared" si="113"/>
        <v>0</v>
      </c>
      <c r="Q95" s="7"/>
      <c r="R95" s="8"/>
      <c r="S95" s="35"/>
      <c r="T95" s="48">
        <f t="shared" si="115"/>
        <v>0</v>
      </c>
      <c r="U95" s="10">
        <f t="shared" ref="U95:U98" si="120">P95+T95</f>
        <v>0</v>
      </c>
    </row>
    <row r="96" spans="1:22" x14ac:dyDescent="0.15">
      <c r="A96" s="19" t="s">
        <v>13</v>
      </c>
      <c r="B96" s="7">
        <v>5</v>
      </c>
      <c r="C96" s="8"/>
      <c r="D96" s="35">
        <v>5</v>
      </c>
      <c r="E96" s="10">
        <f t="shared" si="109"/>
        <v>10</v>
      </c>
      <c r="F96" s="7">
        <v>10</v>
      </c>
      <c r="G96" s="8">
        <v>5</v>
      </c>
      <c r="H96" s="35">
        <v>5</v>
      </c>
      <c r="I96" s="48">
        <f t="shared" si="111"/>
        <v>20</v>
      </c>
      <c r="J96" s="10">
        <f t="shared" si="116"/>
        <v>30</v>
      </c>
      <c r="K96" s="57">
        <v>45565</v>
      </c>
      <c r="L96" s="19" t="s">
        <v>13</v>
      </c>
      <c r="M96" s="7"/>
      <c r="N96" s="8"/>
      <c r="O96" s="35"/>
      <c r="P96" s="10">
        <f t="shared" si="113"/>
        <v>0</v>
      </c>
      <c r="Q96" s="7"/>
      <c r="R96" s="8"/>
      <c r="S96" s="35"/>
      <c r="T96" s="48">
        <f t="shared" si="115"/>
        <v>0</v>
      </c>
      <c r="U96" s="10">
        <f t="shared" si="120"/>
        <v>0</v>
      </c>
    </row>
    <row r="97" spans="1:23" x14ac:dyDescent="0.15">
      <c r="A97" s="19" t="s">
        <v>14</v>
      </c>
      <c r="B97" s="11">
        <v>10</v>
      </c>
      <c r="C97" s="12"/>
      <c r="D97" s="36"/>
      <c r="E97" s="10">
        <f t="shared" si="109"/>
        <v>10</v>
      </c>
      <c r="F97" s="11">
        <v>10</v>
      </c>
      <c r="G97" s="12"/>
      <c r="H97" s="36"/>
      <c r="I97" s="48">
        <f t="shared" si="111"/>
        <v>10</v>
      </c>
      <c r="J97" s="10">
        <f t="shared" si="116"/>
        <v>20</v>
      </c>
      <c r="K97" s="57">
        <v>45569</v>
      </c>
      <c r="L97" s="19" t="s">
        <v>14</v>
      </c>
      <c r="M97" s="11"/>
      <c r="N97" s="12"/>
      <c r="O97" s="36"/>
      <c r="P97" s="10">
        <f t="shared" si="113"/>
        <v>0</v>
      </c>
      <c r="Q97" s="11"/>
      <c r="R97" s="12"/>
      <c r="S97" s="36"/>
      <c r="T97" s="48">
        <f t="shared" si="115"/>
        <v>0</v>
      </c>
      <c r="U97" s="10">
        <f t="shared" si="120"/>
        <v>0</v>
      </c>
    </row>
    <row r="98" spans="1:23" ht="14.25" thickBot="1" x14ac:dyDescent="0.2">
      <c r="A98" s="19" t="s">
        <v>15</v>
      </c>
      <c r="B98" s="25"/>
      <c r="C98" s="26"/>
      <c r="D98" s="37"/>
      <c r="E98" s="10">
        <f t="shared" si="109"/>
        <v>0</v>
      </c>
      <c r="F98" s="25"/>
      <c r="G98" s="26"/>
      <c r="H98" s="37"/>
      <c r="I98" s="48">
        <f t="shared" si="111"/>
        <v>0</v>
      </c>
      <c r="J98" s="17">
        <f t="shared" si="116"/>
        <v>0</v>
      </c>
      <c r="L98" s="19" t="s">
        <v>15</v>
      </c>
      <c r="M98" s="25"/>
      <c r="N98" s="26"/>
      <c r="O98" s="37"/>
      <c r="P98" s="10">
        <f t="shared" si="113"/>
        <v>0</v>
      </c>
      <c r="Q98" s="25">
        <v>-6</v>
      </c>
      <c r="R98" s="26"/>
      <c r="S98" s="37"/>
      <c r="T98" s="48">
        <f t="shared" si="115"/>
        <v>-6</v>
      </c>
      <c r="U98" s="17">
        <f t="shared" si="120"/>
        <v>-6</v>
      </c>
    </row>
    <row r="99" spans="1:23" ht="14.25" thickBot="1" x14ac:dyDescent="0.2">
      <c r="A99" s="27" t="s">
        <v>16</v>
      </c>
      <c r="B99" s="21">
        <f>SUM(B90:B98)</f>
        <v>33</v>
      </c>
      <c r="C99" s="22">
        <f t="shared" ref="C99:J99" si="121">SUM(C90:C98)</f>
        <v>20</v>
      </c>
      <c r="D99" s="38">
        <f t="shared" si="121"/>
        <v>16</v>
      </c>
      <c r="E99" s="54">
        <f t="shared" si="121"/>
        <v>69</v>
      </c>
      <c r="F99" s="21">
        <f t="shared" si="121"/>
        <v>49</v>
      </c>
      <c r="G99" s="22">
        <f t="shared" si="121"/>
        <v>19</v>
      </c>
      <c r="H99" s="38">
        <f t="shared" si="121"/>
        <v>16</v>
      </c>
      <c r="I99" s="53">
        <f t="shared" si="121"/>
        <v>84</v>
      </c>
      <c r="J99" s="24">
        <f t="shared" si="121"/>
        <v>153</v>
      </c>
      <c r="L99" s="27" t="s">
        <v>16</v>
      </c>
      <c r="M99" s="21">
        <f>SUM(M90:M98)</f>
        <v>294</v>
      </c>
      <c r="N99" s="22">
        <f t="shared" ref="N99:U99" si="122">SUM(N90:N98)</f>
        <v>310</v>
      </c>
      <c r="O99" s="38">
        <f t="shared" si="122"/>
        <v>215</v>
      </c>
      <c r="P99" s="54">
        <f t="shared" si="122"/>
        <v>819</v>
      </c>
      <c r="Q99" s="21">
        <f t="shared" si="122"/>
        <v>303</v>
      </c>
      <c r="R99" s="22">
        <f t="shared" si="122"/>
        <v>335</v>
      </c>
      <c r="S99" s="38">
        <f t="shared" si="122"/>
        <v>231</v>
      </c>
      <c r="T99" s="53">
        <f t="shared" si="122"/>
        <v>869</v>
      </c>
      <c r="U99" s="24">
        <f t="shared" si="122"/>
        <v>1688</v>
      </c>
    </row>
    <row r="100" spans="1:23" x14ac:dyDescent="0.15">
      <c r="A100" s="60" t="s">
        <v>37</v>
      </c>
      <c r="B100" s="11"/>
      <c r="C100" s="12"/>
      <c r="D100" s="13"/>
      <c r="E100" s="10">
        <f t="shared" ref="E100:E125" si="123">SUM(B100:D100)</f>
        <v>0</v>
      </c>
      <c r="F100" s="11"/>
      <c r="G100" s="12">
        <v>1</v>
      </c>
      <c r="H100" s="13"/>
      <c r="I100" s="48">
        <f t="shared" ref="I100:I125" si="124">SUM(F100:H100)</f>
        <v>1</v>
      </c>
      <c r="J100" s="10">
        <f t="shared" ref="J100:J125" si="125">E100+I100</f>
        <v>1</v>
      </c>
      <c r="K100" s="57">
        <v>45537</v>
      </c>
      <c r="L100" s="67" t="s">
        <v>46</v>
      </c>
      <c r="M100" s="11"/>
      <c r="N100" s="12"/>
      <c r="O100" s="13"/>
      <c r="P100" s="10">
        <f t="shared" ref="P100:P109" si="126">SUM(M100:O100)</f>
        <v>0</v>
      </c>
      <c r="Q100" s="11">
        <v>5</v>
      </c>
      <c r="R100" s="12"/>
      <c r="S100" s="13"/>
      <c r="T100" s="48">
        <f t="shared" ref="T100:T109" si="127">SUM(Q100:S100)</f>
        <v>5</v>
      </c>
      <c r="U100" s="10">
        <f t="shared" ref="U100:U109" si="128">P100+T100</f>
        <v>5</v>
      </c>
      <c r="V100" s="57">
        <v>45540</v>
      </c>
    </row>
    <row r="101" spans="1:23" x14ac:dyDescent="0.15">
      <c r="A101" s="61" t="s">
        <v>78</v>
      </c>
      <c r="B101" s="11">
        <v>1</v>
      </c>
      <c r="C101" s="12"/>
      <c r="D101" s="13"/>
      <c r="E101" s="10">
        <f t="shared" si="123"/>
        <v>1</v>
      </c>
      <c r="F101" s="11">
        <v>1</v>
      </c>
      <c r="G101" s="12"/>
      <c r="H101" s="13"/>
      <c r="I101" s="48">
        <f t="shared" si="124"/>
        <v>1</v>
      </c>
      <c r="J101" s="10">
        <f t="shared" si="125"/>
        <v>2</v>
      </c>
      <c r="K101" s="57">
        <v>45540</v>
      </c>
      <c r="L101" s="67" t="s">
        <v>46</v>
      </c>
      <c r="M101" s="11">
        <v>10</v>
      </c>
      <c r="N101" s="12">
        <v>5</v>
      </c>
      <c r="O101" s="13">
        <v>5</v>
      </c>
      <c r="P101" s="10">
        <f t="shared" si="126"/>
        <v>20</v>
      </c>
      <c r="Q101" s="11">
        <v>5</v>
      </c>
      <c r="R101" s="12"/>
      <c r="S101" s="13">
        <v>5</v>
      </c>
      <c r="T101" s="48">
        <f t="shared" si="127"/>
        <v>10</v>
      </c>
      <c r="U101" s="10">
        <f t="shared" si="128"/>
        <v>30</v>
      </c>
      <c r="V101" s="57">
        <v>45545</v>
      </c>
    </row>
    <row r="102" spans="1:23" x14ac:dyDescent="0.15">
      <c r="A102" s="60" t="s">
        <v>37</v>
      </c>
      <c r="B102" s="11"/>
      <c r="C102" s="12">
        <v>1</v>
      </c>
      <c r="D102" s="13"/>
      <c r="E102" s="10">
        <f t="shared" si="123"/>
        <v>1</v>
      </c>
      <c r="F102" s="11">
        <v>1</v>
      </c>
      <c r="G102" s="12"/>
      <c r="H102" s="13"/>
      <c r="I102" s="48">
        <f t="shared" si="124"/>
        <v>1</v>
      </c>
      <c r="J102" s="10">
        <f t="shared" si="125"/>
        <v>2</v>
      </c>
      <c r="K102" s="57">
        <v>45538</v>
      </c>
      <c r="L102" s="67" t="s">
        <v>46</v>
      </c>
      <c r="M102" s="11"/>
      <c r="N102" s="12"/>
      <c r="O102" s="13"/>
      <c r="P102" s="10">
        <f t="shared" si="126"/>
        <v>0</v>
      </c>
      <c r="Q102" s="11">
        <v>5</v>
      </c>
      <c r="R102" s="12"/>
      <c r="S102" s="13"/>
      <c r="T102" s="48">
        <f t="shared" si="127"/>
        <v>5</v>
      </c>
      <c r="U102" s="10">
        <f t="shared" si="128"/>
        <v>5</v>
      </c>
      <c r="V102" s="57">
        <v>45552</v>
      </c>
      <c r="W102" s="39"/>
    </row>
    <row r="103" spans="1:23" x14ac:dyDescent="0.15">
      <c r="A103" s="61" t="s">
        <v>80</v>
      </c>
      <c r="B103" s="11"/>
      <c r="C103" s="12">
        <v>1</v>
      </c>
      <c r="D103" s="13"/>
      <c r="E103" s="10">
        <f t="shared" si="123"/>
        <v>1</v>
      </c>
      <c r="F103" s="11"/>
      <c r="G103" s="12">
        <v>1</v>
      </c>
      <c r="H103" s="13"/>
      <c r="I103" s="48">
        <f t="shared" si="124"/>
        <v>1</v>
      </c>
      <c r="J103" s="10">
        <f t="shared" si="125"/>
        <v>2</v>
      </c>
      <c r="K103" s="57">
        <v>45540</v>
      </c>
      <c r="L103" s="67" t="s">
        <v>46</v>
      </c>
      <c r="M103" s="11"/>
      <c r="N103" s="12"/>
      <c r="O103" s="13"/>
      <c r="P103" s="10">
        <f t="shared" si="126"/>
        <v>0</v>
      </c>
      <c r="Q103" s="11">
        <v>10</v>
      </c>
      <c r="R103" s="12">
        <v>3</v>
      </c>
      <c r="S103" s="13"/>
      <c r="T103" s="48">
        <f t="shared" si="127"/>
        <v>13</v>
      </c>
      <c r="U103" s="10">
        <f t="shared" si="128"/>
        <v>13</v>
      </c>
      <c r="V103" s="57">
        <v>45553</v>
      </c>
      <c r="W103" s="39"/>
    </row>
    <row r="104" spans="1:23" x14ac:dyDescent="0.15">
      <c r="A104" s="60" t="s">
        <v>37</v>
      </c>
      <c r="B104" s="11">
        <v>1</v>
      </c>
      <c r="C104" s="12"/>
      <c r="D104" s="13">
        <v>1</v>
      </c>
      <c r="E104" s="10">
        <f t="shared" si="123"/>
        <v>2</v>
      </c>
      <c r="F104" s="11"/>
      <c r="G104" s="12"/>
      <c r="H104" s="13"/>
      <c r="I104" s="48">
        <f t="shared" si="124"/>
        <v>0</v>
      </c>
      <c r="J104" s="10">
        <f t="shared" si="125"/>
        <v>2</v>
      </c>
      <c r="K104" s="57">
        <v>45540</v>
      </c>
      <c r="L104" s="67" t="s">
        <v>46</v>
      </c>
      <c r="M104" s="11"/>
      <c r="N104" s="12">
        <v>5</v>
      </c>
      <c r="O104" s="13"/>
      <c r="P104" s="10">
        <f t="shared" si="126"/>
        <v>5</v>
      </c>
      <c r="Q104" s="11"/>
      <c r="R104" s="12"/>
      <c r="S104" s="13"/>
      <c r="T104" s="48">
        <f t="shared" si="127"/>
        <v>0</v>
      </c>
      <c r="U104" s="10">
        <f t="shared" si="128"/>
        <v>5</v>
      </c>
      <c r="V104" s="57">
        <v>45555</v>
      </c>
      <c r="W104" s="39"/>
    </row>
    <row r="105" spans="1:23" x14ac:dyDescent="0.15">
      <c r="A105" s="60" t="s">
        <v>37</v>
      </c>
      <c r="B105" s="11"/>
      <c r="C105" s="12"/>
      <c r="D105" s="13"/>
      <c r="E105" s="10">
        <f t="shared" si="123"/>
        <v>0</v>
      </c>
      <c r="F105" s="11">
        <v>1</v>
      </c>
      <c r="G105" s="12"/>
      <c r="H105" s="13">
        <v>1</v>
      </c>
      <c r="I105" s="48">
        <f t="shared" si="124"/>
        <v>2</v>
      </c>
      <c r="J105" s="10">
        <f t="shared" si="125"/>
        <v>2</v>
      </c>
      <c r="K105" s="57">
        <v>45541</v>
      </c>
      <c r="L105" s="67" t="s">
        <v>46</v>
      </c>
      <c r="M105" s="11">
        <v>5</v>
      </c>
      <c r="N105" s="12"/>
      <c r="O105" s="13">
        <v>5</v>
      </c>
      <c r="P105" s="10">
        <f t="shared" si="126"/>
        <v>10</v>
      </c>
      <c r="Q105" s="11">
        <v>10</v>
      </c>
      <c r="R105" s="12">
        <v>5</v>
      </c>
      <c r="S105" s="13">
        <v>5</v>
      </c>
      <c r="T105" s="48">
        <f t="shared" si="127"/>
        <v>20</v>
      </c>
      <c r="U105" s="10">
        <f t="shared" si="128"/>
        <v>30</v>
      </c>
      <c r="V105" s="57">
        <v>45565</v>
      </c>
    </row>
    <row r="106" spans="1:23" x14ac:dyDescent="0.15">
      <c r="A106" s="60" t="s">
        <v>37</v>
      </c>
      <c r="B106" s="11">
        <v>1</v>
      </c>
      <c r="C106" s="12"/>
      <c r="D106" s="13"/>
      <c r="E106" s="10">
        <f t="shared" si="123"/>
        <v>1</v>
      </c>
      <c r="F106" s="11"/>
      <c r="G106" s="12"/>
      <c r="H106" s="13"/>
      <c r="I106" s="48">
        <f t="shared" si="124"/>
        <v>0</v>
      </c>
      <c r="J106" s="10">
        <f t="shared" si="125"/>
        <v>1</v>
      </c>
      <c r="K106" s="57">
        <v>45542</v>
      </c>
      <c r="L106" s="67" t="s">
        <v>46</v>
      </c>
      <c r="M106" s="11">
        <v>10</v>
      </c>
      <c r="N106" s="12"/>
      <c r="O106" s="13"/>
      <c r="P106" s="10">
        <f t="shared" si="126"/>
        <v>10</v>
      </c>
      <c r="Q106" s="11">
        <v>10</v>
      </c>
      <c r="R106" s="12"/>
      <c r="S106" s="13"/>
      <c r="T106" s="48">
        <f t="shared" si="127"/>
        <v>10</v>
      </c>
      <c r="U106" s="10">
        <f t="shared" si="128"/>
        <v>20</v>
      </c>
      <c r="V106" s="57">
        <v>45569</v>
      </c>
    </row>
    <row r="107" spans="1:23" x14ac:dyDescent="0.15">
      <c r="A107" s="60" t="s">
        <v>37</v>
      </c>
      <c r="B107" s="11">
        <v>4</v>
      </c>
      <c r="C107" s="12"/>
      <c r="D107" s="13">
        <v>1</v>
      </c>
      <c r="E107" s="10">
        <f t="shared" si="123"/>
        <v>5</v>
      </c>
      <c r="F107" s="11">
        <v>2</v>
      </c>
      <c r="G107" s="12"/>
      <c r="H107" s="13"/>
      <c r="I107" s="48">
        <f t="shared" si="124"/>
        <v>2</v>
      </c>
      <c r="J107" s="10">
        <f t="shared" si="125"/>
        <v>7</v>
      </c>
      <c r="K107" s="57">
        <v>45544</v>
      </c>
      <c r="L107" s="67" t="s">
        <v>46</v>
      </c>
      <c r="M107" s="11"/>
      <c r="N107" s="12">
        <v>5</v>
      </c>
      <c r="O107" s="13">
        <v>5</v>
      </c>
      <c r="P107" s="10">
        <f t="shared" si="126"/>
        <v>10</v>
      </c>
      <c r="Q107" s="11"/>
      <c r="R107" s="12">
        <v>5</v>
      </c>
      <c r="S107" s="13">
        <v>5</v>
      </c>
      <c r="T107" s="48">
        <f t="shared" si="127"/>
        <v>10</v>
      </c>
      <c r="U107" s="10">
        <f t="shared" si="128"/>
        <v>20</v>
      </c>
      <c r="V107" s="57">
        <v>45570</v>
      </c>
    </row>
    <row r="108" spans="1:23" x14ac:dyDescent="0.15">
      <c r="A108" s="60" t="s">
        <v>37</v>
      </c>
      <c r="B108" s="11"/>
      <c r="C108" s="12">
        <v>1</v>
      </c>
      <c r="D108" s="13">
        <v>1</v>
      </c>
      <c r="E108" s="10">
        <f t="shared" si="123"/>
        <v>2</v>
      </c>
      <c r="F108" s="11">
        <v>2</v>
      </c>
      <c r="G108" s="12">
        <v>1</v>
      </c>
      <c r="H108" s="13"/>
      <c r="I108" s="48">
        <f t="shared" si="124"/>
        <v>3</v>
      </c>
      <c r="J108" s="10">
        <f t="shared" si="125"/>
        <v>5</v>
      </c>
      <c r="K108" s="57">
        <v>45545</v>
      </c>
      <c r="L108" s="67" t="s">
        <v>46</v>
      </c>
      <c r="M108" s="11">
        <v>3</v>
      </c>
      <c r="N108" s="12">
        <v>5</v>
      </c>
      <c r="O108" s="13"/>
      <c r="P108" s="10">
        <f t="shared" si="126"/>
        <v>8</v>
      </c>
      <c r="Q108" s="11">
        <v>3</v>
      </c>
      <c r="R108" s="12">
        <v>5</v>
      </c>
      <c r="S108" s="13"/>
      <c r="T108" s="48">
        <f t="shared" si="127"/>
        <v>8</v>
      </c>
      <c r="U108" s="10">
        <f t="shared" si="128"/>
        <v>16</v>
      </c>
      <c r="V108" s="57">
        <v>45580</v>
      </c>
    </row>
    <row r="109" spans="1:23" x14ac:dyDescent="0.15">
      <c r="A109" s="60" t="s">
        <v>37</v>
      </c>
      <c r="B109" s="11"/>
      <c r="C109" s="12">
        <v>2</v>
      </c>
      <c r="D109" s="13"/>
      <c r="E109" s="10">
        <f t="shared" si="123"/>
        <v>2</v>
      </c>
      <c r="F109" s="11">
        <f>1+1</f>
        <v>2</v>
      </c>
      <c r="G109" s="12"/>
      <c r="H109" s="13"/>
      <c r="I109" s="48">
        <f t="shared" si="124"/>
        <v>2</v>
      </c>
      <c r="J109" s="10">
        <f t="shared" si="125"/>
        <v>4</v>
      </c>
      <c r="K109" s="57">
        <v>45546</v>
      </c>
      <c r="L109" s="60"/>
      <c r="M109" s="11"/>
      <c r="N109" s="12"/>
      <c r="O109" s="13"/>
      <c r="P109" s="10">
        <f t="shared" si="126"/>
        <v>0</v>
      </c>
      <c r="Q109" s="11"/>
      <c r="R109" s="12"/>
      <c r="S109" s="13"/>
      <c r="T109" s="48">
        <f t="shared" si="127"/>
        <v>0</v>
      </c>
      <c r="U109" s="10">
        <f t="shared" si="128"/>
        <v>0</v>
      </c>
      <c r="V109" s="57"/>
    </row>
    <row r="110" spans="1:23" x14ac:dyDescent="0.15">
      <c r="A110" s="60" t="s">
        <v>37</v>
      </c>
      <c r="B110" s="11"/>
      <c r="C110" s="12"/>
      <c r="D110" s="13"/>
      <c r="E110" s="10">
        <f t="shared" si="123"/>
        <v>0</v>
      </c>
      <c r="F110" s="11"/>
      <c r="G110" s="12"/>
      <c r="H110" s="13">
        <v>1</v>
      </c>
      <c r="I110" s="48">
        <f t="shared" si="124"/>
        <v>1</v>
      </c>
      <c r="J110" s="10">
        <f t="shared" si="125"/>
        <v>1</v>
      </c>
      <c r="K110" s="57">
        <v>45547</v>
      </c>
      <c r="L110" s="60"/>
      <c r="M110" s="11"/>
      <c r="N110" s="12"/>
      <c r="O110" s="13"/>
      <c r="P110" s="10">
        <f t="shared" ref="P110:P120" si="129">SUM(M110:O110)</f>
        <v>0</v>
      </c>
      <c r="Q110" s="11"/>
      <c r="R110" s="12"/>
      <c r="S110" s="13"/>
      <c r="T110" s="48">
        <f t="shared" ref="T110:T120" si="130">SUM(Q110:S110)</f>
        <v>0</v>
      </c>
      <c r="U110" s="10">
        <f t="shared" ref="U110:U120" si="131">P110+T110</f>
        <v>0</v>
      </c>
      <c r="V110" s="57"/>
    </row>
    <row r="111" spans="1:23" x14ac:dyDescent="0.15">
      <c r="A111" s="60" t="s">
        <v>37</v>
      </c>
      <c r="B111" s="11"/>
      <c r="C111" s="12">
        <v>2</v>
      </c>
      <c r="D111" s="13">
        <v>1</v>
      </c>
      <c r="E111" s="10">
        <f t="shared" si="123"/>
        <v>3</v>
      </c>
      <c r="F111" s="11">
        <v>2</v>
      </c>
      <c r="G111" s="12">
        <v>1</v>
      </c>
      <c r="H111" s="13"/>
      <c r="I111" s="48">
        <f t="shared" si="124"/>
        <v>3</v>
      </c>
      <c r="J111" s="10">
        <f t="shared" si="125"/>
        <v>6</v>
      </c>
      <c r="K111" s="57">
        <v>45548</v>
      </c>
      <c r="L111" s="60"/>
      <c r="M111" s="11"/>
      <c r="N111" s="12"/>
      <c r="O111" s="13"/>
      <c r="P111" s="10">
        <f t="shared" si="129"/>
        <v>0</v>
      </c>
      <c r="Q111" s="11"/>
      <c r="R111" s="12"/>
      <c r="S111" s="13"/>
      <c r="T111" s="48">
        <f t="shared" si="130"/>
        <v>0</v>
      </c>
      <c r="U111" s="10">
        <f t="shared" si="131"/>
        <v>0</v>
      </c>
      <c r="V111" s="57"/>
    </row>
    <row r="112" spans="1:23" x14ac:dyDescent="0.15">
      <c r="A112" s="60" t="s">
        <v>81</v>
      </c>
      <c r="B112" s="11"/>
      <c r="C112" s="12">
        <v>1</v>
      </c>
      <c r="D112" s="13"/>
      <c r="E112" s="10">
        <f t="shared" si="123"/>
        <v>1</v>
      </c>
      <c r="F112" s="11"/>
      <c r="G112" s="12"/>
      <c r="H112" s="13"/>
      <c r="I112" s="48">
        <f t="shared" si="124"/>
        <v>0</v>
      </c>
      <c r="J112" s="10">
        <f t="shared" si="125"/>
        <v>1</v>
      </c>
      <c r="K112" s="57">
        <v>45548</v>
      </c>
      <c r="L112" s="60"/>
      <c r="M112" s="11"/>
      <c r="N112" s="12"/>
      <c r="O112" s="13"/>
      <c r="P112" s="10">
        <f t="shared" si="129"/>
        <v>0</v>
      </c>
      <c r="Q112" s="11"/>
      <c r="R112" s="12"/>
      <c r="S112" s="13"/>
      <c r="T112" s="48">
        <f t="shared" si="130"/>
        <v>0</v>
      </c>
      <c r="U112" s="10">
        <f t="shared" si="131"/>
        <v>0</v>
      </c>
      <c r="V112" s="57"/>
    </row>
    <row r="113" spans="1:22" x14ac:dyDescent="0.15">
      <c r="A113" s="60" t="s">
        <v>37</v>
      </c>
      <c r="B113" s="11">
        <v>2</v>
      </c>
      <c r="C113" s="12"/>
      <c r="D113" s="13"/>
      <c r="E113" s="10">
        <f t="shared" si="123"/>
        <v>2</v>
      </c>
      <c r="F113" s="11">
        <f>1+6</f>
        <v>7</v>
      </c>
      <c r="G113" s="12">
        <v>1</v>
      </c>
      <c r="H113" s="13">
        <v>1</v>
      </c>
      <c r="I113" s="48">
        <f t="shared" si="124"/>
        <v>9</v>
      </c>
      <c r="J113" s="10">
        <f t="shared" si="125"/>
        <v>11</v>
      </c>
      <c r="K113" s="57">
        <v>45552</v>
      </c>
      <c r="L113" s="60"/>
      <c r="M113" s="11"/>
      <c r="N113" s="12"/>
      <c r="O113" s="13"/>
      <c r="P113" s="10">
        <f t="shared" si="129"/>
        <v>0</v>
      </c>
      <c r="Q113" s="11"/>
      <c r="R113" s="12"/>
      <c r="S113" s="13"/>
      <c r="T113" s="48">
        <f t="shared" si="130"/>
        <v>0</v>
      </c>
      <c r="U113" s="10">
        <f t="shared" si="131"/>
        <v>0</v>
      </c>
      <c r="V113" s="57"/>
    </row>
    <row r="114" spans="1:22" x14ac:dyDescent="0.15">
      <c r="A114" s="61" t="s">
        <v>82</v>
      </c>
      <c r="B114" s="11"/>
      <c r="C114" s="12">
        <v>1</v>
      </c>
      <c r="D114" s="13"/>
      <c r="E114" s="10">
        <f t="shared" si="123"/>
        <v>1</v>
      </c>
      <c r="F114" s="11"/>
      <c r="G114" s="12">
        <v>1</v>
      </c>
      <c r="H114" s="13"/>
      <c r="I114" s="48">
        <f t="shared" si="124"/>
        <v>1</v>
      </c>
      <c r="J114" s="10">
        <f t="shared" si="125"/>
        <v>2</v>
      </c>
      <c r="K114" s="57">
        <v>45555</v>
      </c>
      <c r="L114" s="60"/>
      <c r="M114" s="11"/>
      <c r="N114" s="12"/>
      <c r="O114" s="13"/>
      <c r="P114" s="10">
        <f t="shared" si="129"/>
        <v>0</v>
      </c>
      <c r="Q114" s="11"/>
      <c r="R114" s="12"/>
      <c r="S114" s="13"/>
      <c r="T114" s="48">
        <f t="shared" si="130"/>
        <v>0</v>
      </c>
      <c r="U114" s="10">
        <f t="shared" si="131"/>
        <v>0</v>
      </c>
      <c r="V114" s="57"/>
    </row>
    <row r="115" spans="1:22" x14ac:dyDescent="0.15">
      <c r="A115" s="60" t="s">
        <v>37</v>
      </c>
      <c r="B115" s="11"/>
      <c r="C115" s="12"/>
      <c r="D115" s="13"/>
      <c r="E115" s="10">
        <f t="shared" si="123"/>
        <v>0</v>
      </c>
      <c r="F115" s="11"/>
      <c r="G115" s="12">
        <v>2</v>
      </c>
      <c r="H115" s="13">
        <v>1</v>
      </c>
      <c r="I115" s="48">
        <f t="shared" si="124"/>
        <v>3</v>
      </c>
      <c r="J115" s="10">
        <f t="shared" si="125"/>
        <v>3</v>
      </c>
      <c r="K115" s="57">
        <v>45553</v>
      </c>
      <c r="L115" s="60"/>
      <c r="M115" s="11"/>
      <c r="N115" s="12"/>
      <c r="O115" s="13"/>
      <c r="P115" s="10">
        <f t="shared" si="129"/>
        <v>0</v>
      </c>
      <c r="Q115" s="11"/>
      <c r="R115" s="12"/>
      <c r="S115" s="13"/>
      <c r="T115" s="48">
        <f t="shared" si="130"/>
        <v>0</v>
      </c>
      <c r="U115" s="10">
        <f t="shared" si="131"/>
        <v>0</v>
      </c>
      <c r="V115" s="57"/>
    </row>
    <row r="116" spans="1:22" x14ac:dyDescent="0.15">
      <c r="A116" s="60" t="s">
        <v>37</v>
      </c>
      <c r="B116" s="11"/>
      <c r="C116" s="12">
        <v>2</v>
      </c>
      <c r="D116" s="13"/>
      <c r="E116" s="10">
        <f t="shared" si="123"/>
        <v>2</v>
      </c>
      <c r="F116" s="11">
        <v>1</v>
      </c>
      <c r="G116" s="12"/>
      <c r="H116" s="13"/>
      <c r="I116" s="48">
        <f t="shared" si="124"/>
        <v>1</v>
      </c>
      <c r="J116" s="10">
        <f t="shared" si="125"/>
        <v>3</v>
      </c>
      <c r="K116" s="57">
        <v>45554</v>
      </c>
      <c r="L116" s="60"/>
      <c r="M116" s="11"/>
      <c r="N116" s="12"/>
      <c r="O116" s="13"/>
      <c r="P116" s="10">
        <f t="shared" si="129"/>
        <v>0</v>
      </c>
      <c r="Q116" s="11"/>
      <c r="R116" s="12"/>
      <c r="S116" s="13"/>
      <c r="T116" s="48">
        <f t="shared" si="130"/>
        <v>0</v>
      </c>
      <c r="U116" s="10">
        <f t="shared" si="131"/>
        <v>0</v>
      </c>
      <c r="V116" s="57"/>
    </row>
    <row r="117" spans="1:22" x14ac:dyDescent="0.15">
      <c r="A117" s="60" t="s">
        <v>37</v>
      </c>
      <c r="B117" s="11">
        <v>1</v>
      </c>
      <c r="C117" s="12"/>
      <c r="D117" s="13"/>
      <c r="E117" s="10">
        <f t="shared" si="123"/>
        <v>1</v>
      </c>
      <c r="F117" s="11">
        <v>2</v>
      </c>
      <c r="G117" s="12"/>
      <c r="H117" s="13"/>
      <c r="I117" s="48">
        <f t="shared" si="124"/>
        <v>2</v>
      </c>
      <c r="J117" s="10">
        <f t="shared" si="125"/>
        <v>3</v>
      </c>
      <c r="K117" s="57">
        <v>45555</v>
      </c>
      <c r="L117" s="60"/>
      <c r="M117" s="11"/>
      <c r="N117" s="12"/>
      <c r="O117" s="13"/>
      <c r="P117" s="10">
        <f t="shared" si="129"/>
        <v>0</v>
      </c>
      <c r="Q117" s="11"/>
      <c r="R117" s="12"/>
      <c r="S117" s="13"/>
      <c r="T117" s="48">
        <f t="shared" si="130"/>
        <v>0</v>
      </c>
      <c r="U117" s="10">
        <f t="shared" si="131"/>
        <v>0</v>
      </c>
      <c r="V117" s="57"/>
    </row>
    <row r="118" spans="1:22" x14ac:dyDescent="0.15">
      <c r="A118" s="60" t="s">
        <v>37</v>
      </c>
      <c r="B118" s="11"/>
      <c r="C118" s="12">
        <v>1</v>
      </c>
      <c r="D118" s="13"/>
      <c r="E118" s="10">
        <f t="shared" si="123"/>
        <v>1</v>
      </c>
      <c r="F118" s="11">
        <v>1</v>
      </c>
      <c r="G118" s="12"/>
      <c r="H118" s="13"/>
      <c r="I118" s="48">
        <f t="shared" si="124"/>
        <v>1</v>
      </c>
      <c r="J118" s="10">
        <f t="shared" si="125"/>
        <v>2</v>
      </c>
      <c r="K118" s="57">
        <v>45556</v>
      </c>
      <c r="L118" s="60"/>
      <c r="M118" s="11"/>
      <c r="N118" s="12"/>
      <c r="O118" s="13"/>
      <c r="P118" s="10">
        <f t="shared" si="129"/>
        <v>0</v>
      </c>
      <c r="Q118" s="11"/>
      <c r="R118" s="12"/>
      <c r="S118" s="13"/>
      <c r="T118" s="48">
        <f t="shared" si="130"/>
        <v>0</v>
      </c>
      <c r="U118" s="10">
        <f t="shared" si="131"/>
        <v>0</v>
      </c>
      <c r="V118" s="57"/>
    </row>
    <row r="119" spans="1:22" x14ac:dyDescent="0.15">
      <c r="A119" s="60" t="s">
        <v>37</v>
      </c>
      <c r="B119" s="11">
        <v>3</v>
      </c>
      <c r="C119" s="12"/>
      <c r="D119" s="13">
        <v>1</v>
      </c>
      <c r="E119" s="10">
        <f t="shared" si="123"/>
        <v>4</v>
      </c>
      <c r="F119" s="11">
        <v>4</v>
      </c>
      <c r="G119" s="12">
        <v>1</v>
      </c>
      <c r="H119" s="13">
        <v>1</v>
      </c>
      <c r="I119" s="48">
        <f t="shared" si="124"/>
        <v>6</v>
      </c>
      <c r="J119" s="10">
        <f t="shared" si="125"/>
        <v>10</v>
      </c>
      <c r="K119" s="57">
        <v>45559</v>
      </c>
      <c r="L119" s="60"/>
      <c r="M119" s="11"/>
      <c r="N119" s="12"/>
      <c r="O119" s="13"/>
      <c r="P119" s="10">
        <f t="shared" si="129"/>
        <v>0</v>
      </c>
      <c r="Q119" s="11"/>
      <c r="R119" s="12"/>
      <c r="S119" s="13"/>
      <c r="T119" s="48">
        <f t="shared" si="130"/>
        <v>0</v>
      </c>
      <c r="U119" s="10">
        <f t="shared" si="131"/>
        <v>0</v>
      </c>
      <c r="V119" s="57"/>
    </row>
    <row r="120" spans="1:22" x14ac:dyDescent="0.15">
      <c r="A120" s="60" t="s">
        <v>37</v>
      </c>
      <c r="B120" s="11"/>
      <c r="C120" s="12"/>
      <c r="D120" s="13"/>
      <c r="E120" s="10">
        <f t="shared" si="123"/>
        <v>0</v>
      </c>
      <c r="F120" s="11"/>
      <c r="G120" s="12">
        <v>1</v>
      </c>
      <c r="H120" s="13"/>
      <c r="I120" s="48">
        <f t="shared" si="124"/>
        <v>1</v>
      </c>
      <c r="J120" s="10">
        <f t="shared" si="125"/>
        <v>1</v>
      </c>
      <c r="K120" s="57">
        <v>45560</v>
      </c>
      <c r="L120" s="60"/>
      <c r="M120" s="11"/>
      <c r="N120" s="12"/>
      <c r="O120" s="13"/>
      <c r="P120" s="10">
        <f t="shared" si="129"/>
        <v>0</v>
      </c>
      <c r="Q120" s="11"/>
      <c r="R120" s="12"/>
      <c r="S120" s="13"/>
      <c r="T120" s="48">
        <f t="shared" si="130"/>
        <v>0</v>
      </c>
      <c r="U120" s="10">
        <f t="shared" si="131"/>
        <v>0</v>
      </c>
      <c r="V120" s="57"/>
    </row>
    <row r="121" spans="1:22" x14ac:dyDescent="0.15">
      <c r="A121" s="61" t="s">
        <v>83</v>
      </c>
      <c r="B121" s="11"/>
      <c r="C121" s="12"/>
      <c r="D121" s="13">
        <v>2</v>
      </c>
      <c r="E121" s="10">
        <f t="shared" si="123"/>
        <v>2</v>
      </c>
      <c r="F121" s="11"/>
      <c r="G121" s="12"/>
      <c r="H121" s="13">
        <v>2</v>
      </c>
      <c r="I121" s="48">
        <f t="shared" si="124"/>
        <v>2</v>
      </c>
      <c r="J121" s="10">
        <f t="shared" si="125"/>
        <v>4</v>
      </c>
      <c r="K121" s="57">
        <v>45565</v>
      </c>
      <c r="L121" s="60"/>
      <c r="M121" s="11"/>
      <c r="N121" s="12"/>
      <c r="O121" s="13"/>
      <c r="P121" s="10">
        <f t="shared" ref="P121:P125" si="132">SUM(M121:O121)</f>
        <v>0</v>
      </c>
      <c r="Q121" s="11"/>
      <c r="R121" s="12"/>
      <c r="S121" s="13"/>
      <c r="T121" s="48">
        <f t="shared" ref="T121:T125" si="133">SUM(Q121:S121)</f>
        <v>0</v>
      </c>
      <c r="U121" s="10">
        <f t="shared" ref="U121:U127" si="134">P121+T121</f>
        <v>0</v>
      </c>
      <c r="V121" s="57"/>
    </row>
    <row r="122" spans="1:22" x14ac:dyDescent="0.15">
      <c r="A122" s="60" t="s">
        <v>37</v>
      </c>
      <c r="B122" s="11"/>
      <c r="C122" s="12"/>
      <c r="D122" s="13"/>
      <c r="E122" s="10">
        <f t="shared" si="123"/>
        <v>0</v>
      </c>
      <c r="F122" s="11">
        <v>1</v>
      </c>
      <c r="G122" s="12"/>
      <c r="H122" s="13"/>
      <c r="I122" s="48">
        <f t="shared" si="124"/>
        <v>1</v>
      </c>
      <c r="J122" s="10">
        <f t="shared" si="125"/>
        <v>1</v>
      </c>
      <c r="K122" s="57">
        <v>45562</v>
      </c>
      <c r="L122" s="60"/>
      <c r="M122" s="11"/>
      <c r="N122" s="12"/>
      <c r="O122" s="13"/>
      <c r="P122" s="10">
        <f t="shared" si="132"/>
        <v>0</v>
      </c>
      <c r="Q122" s="11"/>
      <c r="R122" s="12"/>
      <c r="S122" s="13"/>
      <c r="T122" s="48">
        <f t="shared" si="133"/>
        <v>0</v>
      </c>
      <c r="U122" s="10">
        <f t="shared" si="134"/>
        <v>0</v>
      </c>
      <c r="V122" s="57"/>
    </row>
    <row r="123" spans="1:22" x14ac:dyDescent="0.15">
      <c r="A123" s="60" t="s">
        <v>37</v>
      </c>
      <c r="B123" s="11"/>
      <c r="C123" s="12">
        <v>1</v>
      </c>
      <c r="D123" s="13"/>
      <c r="E123" s="10">
        <f t="shared" si="123"/>
        <v>1</v>
      </c>
      <c r="F123" s="11">
        <v>2</v>
      </c>
      <c r="G123" s="12"/>
      <c r="H123" s="13"/>
      <c r="I123" s="48">
        <f t="shared" si="124"/>
        <v>2</v>
      </c>
      <c r="J123" s="10">
        <f t="shared" si="125"/>
        <v>3</v>
      </c>
      <c r="K123" s="57">
        <v>45565</v>
      </c>
      <c r="L123" s="60"/>
      <c r="M123" s="11"/>
      <c r="N123" s="12"/>
      <c r="O123" s="13"/>
      <c r="P123" s="10">
        <f t="shared" si="132"/>
        <v>0</v>
      </c>
      <c r="Q123" s="11"/>
      <c r="R123" s="12"/>
      <c r="S123" s="13"/>
      <c r="T123" s="48">
        <f t="shared" si="133"/>
        <v>0</v>
      </c>
      <c r="U123" s="10">
        <f t="shared" si="134"/>
        <v>0</v>
      </c>
      <c r="V123" s="57"/>
    </row>
    <row r="124" spans="1:22" x14ac:dyDescent="0.15">
      <c r="A124" s="60" t="s">
        <v>37</v>
      </c>
      <c r="B124" s="11">
        <f>1+3</f>
        <v>4</v>
      </c>
      <c r="C124" s="12"/>
      <c r="D124" s="13"/>
      <c r="E124" s="10">
        <f t="shared" si="123"/>
        <v>4</v>
      </c>
      <c r="F124" s="11">
        <v>1</v>
      </c>
      <c r="G124" s="12"/>
      <c r="H124" s="13"/>
      <c r="I124" s="48">
        <f t="shared" si="124"/>
        <v>1</v>
      </c>
      <c r="J124" s="10">
        <f t="shared" si="125"/>
        <v>5</v>
      </c>
      <c r="K124" s="57">
        <v>45566</v>
      </c>
      <c r="L124" s="60"/>
      <c r="M124" s="11"/>
      <c r="N124" s="12"/>
      <c r="O124" s="13"/>
      <c r="P124" s="10">
        <f t="shared" si="132"/>
        <v>0</v>
      </c>
      <c r="Q124" s="11"/>
      <c r="R124" s="12"/>
      <c r="S124" s="13"/>
      <c r="T124" s="48">
        <f t="shared" si="133"/>
        <v>0</v>
      </c>
      <c r="U124" s="10">
        <f t="shared" si="134"/>
        <v>0</v>
      </c>
      <c r="V124" s="57"/>
    </row>
    <row r="125" spans="1:22" ht="14.25" thickBot="1" x14ac:dyDescent="0.2">
      <c r="A125" s="60" t="s">
        <v>37</v>
      </c>
      <c r="B125" s="11">
        <v>1</v>
      </c>
      <c r="C125" s="12"/>
      <c r="D125" s="13">
        <v>2</v>
      </c>
      <c r="E125" s="10">
        <f t="shared" si="123"/>
        <v>3</v>
      </c>
      <c r="F125" s="11">
        <v>3</v>
      </c>
      <c r="G125" s="12">
        <v>1</v>
      </c>
      <c r="H125" s="13"/>
      <c r="I125" s="48">
        <f t="shared" si="124"/>
        <v>4</v>
      </c>
      <c r="J125" s="10">
        <f t="shared" si="125"/>
        <v>7</v>
      </c>
      <c r="K125" s="57">
        <v>45567</v>
      </c>
      <c r="L125" s="60"/>
      <c r="M125" s="11"/>
      <c r="N125" s="12"/>
      <c r="O125" s="13"/>
      <c r="P125" s="10">
        <f t="shared" si="132"/>
        <v>0</v>
      </c>
      <c r="Q125" s="11"/>
      <c r="R125" s="12"/>
      <c r="S125" s="13"/>
      <c r="T125" s="48">
        <f t="shared" si="133"/>
        <v>0</v>
      </c>
      <c r="U125" s="10">
        <f t="shared" si="134"/>
        <v>0</v>
      </c>
      <c r="V125" s="57"/>
    </row>
    <row r="126" spans="1:22" ht="14.25" thickBot="1" x14ac:dyDescent="0.2">
      <c r="A126" s="29" t="s">
        <v>17</v>
      </c>
      <c r="B126" s="30">
        <f>SUM(B100:B125)</f>
        <v>18</v>
      </c>
      <c r="C126" s="31">
        <f>SUM(C100:C125)</f>
        <v>13</v>
      </c>
      <c r="D126" s="32">
        <f>SUM(D100:D125)</f>
        <v>9</v>
      </c>
      <c r="E126" s="33">
        <f>SUM(B126:D126)</f>
        <v>40</v>
      </c>
      <c r="F126" s="30">
        <f>SUM(F100:F125)</f>
        <v>33</v>
      </c>
      <c r="G126" s="31">
        <f>SUM(G100:G125)</f>
        <v>11</v>
      </c>
      <c r="H126" s="32">
        <f>SUM(H100:H125)</f>
        <v>7</v>
      </c>
      <c r="I126" s="33">
        <f>SUM(F126:H126)</f>
        <v>51</v>
      </c>
      <c r="J126" s="34">
        <f t="shared" ref="J126:J127" si="135">E126+I126</f>
        <v>91</v>
      </c>
      <c r="K126" s="59"/>
      <c r="L126" s="29" t="s">
        <v>17</v>
      </c>
      <c r="M126" s="30">
        <f>SUM(M100:M125)</f>
        <v>28</v>
      </c>
      <c r="N126" s="31">
        <f>SUM(N100:N125)</f>
        <v>20</v>
      </c>
      <c r="O126" s="32">
        <f>SUM(O100:O125)</f>
        <v>15</v>
      </c>
      <c r="P126" s="33">
        <f>SUM(M126:O126)</f>
        <v>63</v>
      </c>
      <c r="Q126" s="30">
        <f>SUM(Q100:Q125)</f>
        <v>48</v>
      </c>
      <c r="R126" s="31">
        <f>SUM(R100:R125)</f>
        <v>18</v>
      </c>
      <c r="S126" s="32">
        <f>SUM(S100:S125)</f>
        <v>15</v>
      </c>
      <c r="T126" s="33">
        <f>SUM(Q126:S126)</f>
        <v>81</v>
      </c>
      <c r="U126" s="34">
        <f t="shared" si="134"/>
        <v>144</v>
      </c>
    </row>
    <row r="127" spans="1:22" ht="14.25" thickBot="1" x14ac:dyDescent="0.2">
      <c r="A127" s="18" t="s">
        <v>18</v>
      </c>
      <c r="B127" s="44">
        <f>B99-B126</f>
        <v>15</v>
      </c>
      <c r="C127" s="45">
        <f t="shared" ref="C127:E127" si="136">C99-C126</f>
        <v>7</v>
      </c>
      <c r="D127" s="46">
        <f t="shared" si="136"/>
        <v>7</v>
      </c>
      <c r="E127" s="46">
        <f t="shared" si="136"/>
        <v>29</v>
      </c>
      <c r="F127" s="44">
        <f>F99-F126</f>
        <v>16</v>
      </c>
      <c r="G127" s="45">
        <f t="shared" ref="G127:I127" si="137">G99-G126</f>
        <v>8</v>
      </c>
      <c r="H127" s="46">
        <f t="shared" si="137"/>
        <v>9</v>
      </c>
      <c r="I127" s="46">
        <f t="shared" si="137"/>
        <v>33</v>
      </c>
      <c r="J127" s="24">
        <f t="shared" si="135"/>
        <v>62</v>
      </c>
      <c r="L127" s="18" t="s">
        <v>18</v>
      </c>
      <c r="M127" s="44">
        <f>M99-M126</f>
        <v>266</v>
      </c>
      <c r="N127" s="45">
        <f t="shared" ref="N127:P127" si="138">N99-N126</f>
        <v>290</v>
      </c>
      <c r="O127" s="46">
        <f t="shared" si="138"/>
        <v>200</v>
      </c>
      <c r="P127" s="46">
        <f t="shared" si="138"/>
        <v>756</v>
      </c>
      <c r="Q127" s="44">
        <f>Q99-Q126</f>
        <v>255</v>
      </c>
      <c r="R127" s="45">
        <f t="shared" ref="R127:T127" si="139">R99-R126</f>
        <v>317</v>
      </c>
      <c r="S127" s="46">
        <f t="shared" si="139"/>
        <v>216</v>
      </c>
      <c r="T127" s="46">
        <f t="shared" si="139"/>
        <v>788</v>
      </c>
      <c r="U127" s="24">
        <f t="shared" si="134"/>
        <v>1544</v>
      </c>
    </row>
    <row r="128" spans="1:22" x14ac:dyDescent="0.15">
      <c r="M128" s="43"/>
      <c r="N128" s="43"/>
      <c r="O128" s="43"/>
      <c r="P128" s="43"/>
    </row>
    <row r="130" spans="1:22" ht="19.5" thickBot="1" x14ac:dyDescent="0.25">
      <c r="A130" s="2" t="s">
        <v>24</v>
      </c>
      <c r="B130" s="1"/>
      <c r="C130" s="1"/>
      <c r="D130" s="1"/>
      <c r="E130" s="1"/>
      <c r="F130" s="1" t="s">
        <v>39</v>
      </c>
      <c r="G130" s="1"/>
      <c r="H130" s="1"/>
      <c r="I130" s="1"/>
      <c r="J130" s="1"/>
      <c r="L130" s="2" t="s">
        <v>23</v>
      </c>
      <c r="M130" s="1"/>
      <c r="N130" s="1"/>
      <c r="O130" s="1"/>
      <c r="P130" s="63" t="s">
        <v>35</v>
      </c>
      <c r="Q130" s="1"/>
      <c r="R130" s="1" t="s">
        <v>39</v>
      </c>
      <c r="S130" s="1"/>
      <c r="T130" s="1"/>
      <c r="U130" s="1"/>
    </row>
    <row r="131" spans="1:22" ht="14.25" thickBot="1" x14ac:dyDescent="0.2">
      <c r="A131" s="6" t="s">
        <v>0</v>
      </c>
      <c r="B131" s="128" t="s">
        <v>21</v>
      </c>
      <c r="C131" s="129"/>
      <c r="D131" s="129"/>
      <c r="E131" s="130"/>
      <c r="F131" s="125" t="s">
        <v>19</v>
      </c>
      <c r="G131" s="126"/>
      <c r="H131" s="126"/>
      <c r="I131" s="127"/>
      <c r="J131" s="131" t="s">
        <v>1</v>
      </c>
      <c r="L131" s="6" t="s">
        <v>0</v>
      </c>
      <c r="M131" s="128" t="s">
        <v>21</v>
      </c>
      <c r="N131" s="129"/>
      <c r="O131" s="129"/>
      <c r="P131" s="130"/>
      <c r="Q131" s="125" t="s">
        <v>19</v>
      </c>
      <c r="R131" s="126"/>
      <c r="S131" s="126"/>
      <c r="T131" s="127"/>
      <c r="U131" s="131" t="s">
        <v>1</v>
      </c>
    </row>
    <row r="132" spans="1:22" ht="14.25" thickBot="1" x14ac:dyDescent="0.2">
      <c r="A132" s="6" t="s">
        <v>2</v>
      </c>
      <c r="B132" s="3" t="s">
        <v>3</v>
      </c>
      <c r="C132" s="4" t="s">
        <v>4</v>
      </c>
      <c r="D132" s="5" t="s">
        <v>5</v>
      </c>
      <c r="E132" s="6" t="s">
        <v>6</v>
      </c>
      <c r="F132" s="3" t="s">
        <v>3</v>
      </c>
      <c r="G132" s="4" t="s">
        <v>4</v>
      </c>
      <c r="H132" s="5" t="s">
        <v>5</v>
      </c>
      <c r="I132" s="6" t="s">
        <v>6</v>
      </c>
      <c r="J132" s="132"/>
      <c r="L132" s="6" t="s">
        <v>2</v>
      </c>
      <c r="M132" s="50" t="s">
        <v>3</v>
      </c>
      <c r="N132" s="51" t="s">
        <v>4</v>
      </c>
      <c r="O132" s="52" t="s">
        <v>5</v>
      </c>
      <c r="P132" s="6" t="s">
        <v>6</v>
      </c>
      <c r="Q132" s="3" t="s">
        <v>3</v>
      </c>
      <c r="R132" s="4" t="s">
        <v>4</v>
      </c>
      <c r="S132" s="5" t="s">
        <v>5</v>
      </c>
      <c r="T132" s="6" t="s">
        <v>6</v>
      </c>
      <c r="U132" s="132"/>
    </row>
    <row r="133" spans="1:22" ht="14.25" thickBot="1" x14ac:dyDescent="0.2">
      <c r="A133" s="20" t="s">
        <v>18</v>
      </c>
      <c r="B133" s="21">
        <f>B127</f>
        <v>15</v>
      </c>
      <c r="C133" s="22">
        <f t="shared" ref="C133:D133" si="140">C127</f>
        <v>7</v>
      </c>
      <c r="D133" s="38">
        <f t="shared" si="140"/>
        <v>7</v>
      </c>
      <c r="E133" s="24">
        <f t="shared" ref="E133:E141" si="141">SUM(B133:D133)</f>
        <v>29</v>
      </c>
      <c r="F133" s="21">
        <f>F127</f>
        <v>16</v>
      </c>
      <c r="G133" s="22">
        <f t="shared" ref="G133:H133" si="142">G127</f>
        <v>8</v>
      </c>
      <c r="H133" s="38">
        <f t="shared" si="142"/>
        <v>9</v>
      </c>
      <c r="I133" s="24">
        <f t="shared" ref="I133:I141" si="143">SUM(F133:H133)</f>
        <v>33</v>
      </c>
      <c r="J133" s="24">
        <f>E133+I133</f>
        <v>62</v>
      </c>
      <c r="K133" s="57"/>
      <c r="L133" s="20" t="s">
        <v>18</v>
      </c>
      <c r="M133" s="21">
        <f>M127</f>
        <v>266</v>
      </c>
      <c r="N133" s="22">
        <f t="shared" ref="N133:O133" si="144">N127</f>
        <v>290</v>
      </c>
      <c r="O133" s="38">
        <f t="shared" si="144"/>
        <v>200</v>
      </c>
      <c r="P133" s="73">
        <f t="shared" ref="P133:P141" si="145">SUM(M133:O133)</f>
        <v>756</v>
      </c>
      <c r="Q133" s="21">
        <f>Q127</f>
        <v>255</v>
      </c>
      <c r="R133" s="22">
        <f t="shared" ref="R133:S133" si="146">R127</f>
        <v>317</v>
      </c>
      <c r="S133" s="38">
        <f t="shared" si="146"/>
        <v>216</v>
      </c>
      <c r="T133" s="24">
        <f t="shared" ref="T133:T141" si="147">SUM(Q133:S133)</f>
        <v>788</v>
      </c>
      <c r="U133" s="24">
        <f>P133+T133</f>
        <v>1544</v>
      </c>
    </row>
    <row r="134" spans="1:22" x14ac:dyDescent="0.15">
      <c r="A134" s="19" t="s">
        <v>8</v>
      </c>
      <c r="B134" s="7"/>
      <c r="C134" s="8">
        <v>5</v>
      </c>
      <c r="D134" s="35">
        <v>5</v>
      </c>
      <c r="E134" s="10">
        <f t="shared" ref="E134:E138" si="148">SUM(B134:D134)</f>
        <v>10</v>
      </c>
      <c r="F134" s="7"/>
      <c r="G134" s="8">
        <v>5</v>
      </c>
      <c r="H134" s="35">
        <v>5</v>
      </c>
      <c r="I134" s="48">
        <f t="shared" ref="I134:I138" si="149">SUM(F134:H134)</f>
        <v>10</v>
      </c>
      <c r="J134" s="10">
        <f t="shared" ref="J134:J138" si="150">E134+I134</f>
        <v>20</v>
      </c>
      <c r="K134" s="57">
        <v>45570</v>
      </c>
      <c r="L134" s="19" t="s">
        <v>8</v>
      </c>
      <c r="M134" s="7"/>
      <c r="N134" s="8"/>
      <c r="O134" s="35"/>
      <c r="P134" s="10">
        <f t="shared" ref="P134:P135" si="151">SUM(M134:O134)</f>
        <v>0</v>
      </c>
      <c r="Q134" s="7"/>
      <c r="R134" s="8"/>
      <c r="S134" s="35"/>
      <c r="T134" s="48">
        <f t="shared" ref="T134:T135" si="152">SUM(Q134:S134)</f>
        <v>0</v>
      </c>
      <c r="U134" s="10">
        <f t="shared" ref="U134:U135" si="153">P134+T134</f>
        <v>0</v>
      </c>
    </row>
    <row r="135" spans="1:22" x14ac:dyDescent="0.15">
      <c r="A135" s="19" t="s">
        <v>9</v>
      </c>
      <c r="B135" s="7">
        <v>3</v>
      </c>
      <c r="C135" s="8">
        <v>5</v>
      </c>
      <c r="D135" s="35"/>
      <c r="E135" s="10">
        <f t="shared" si="148"/>
        <v>8</v>
      </c>
      <c r="F135" s="7">
        <v>3</v>
      </c>
      <c r="G135" s="8">
        <v>5</v>
      </c>
      <c r="H135" s="35"/>
      <c r="I135" s="48">
        <f t="shared" si="149"/>
        <v>8</v>
      </c>
      <c r="J135" s="10">
        <f t="shared" si="150"/>
        <v>16</v>
      </c>
      <c r="K135" s="57">
        <v>45580</v>
      </c>
      <c r="L135" s="19" t="s">
        <v>9</v>
      </c>
      <c r="M135" s="7"/>
      <c r="N135" s="8"/>
      <c r="O135" s="35"/>
      <c r="P135" s="10">
        <f t="shared" si="151"/>
        <v>0</v>
      </c>
      <c r="Q135" s="7"/>
      <c r="R135" s="8"/>
      <c r="S135" s="35"/>
      <c r="T135" s="48">
        <f t="shared" si="152"/>
        <v>0</v>
      </c>
      <c r="U135" s="10">
        <f t="shared" si="153"/>
        <v>0</v>
      </c>
    </row>
    <row r="136" spans="1:22" x14ac:dyDescent="0.15">
      <c r="A136" s="19" t="s">
        <v>10</v>
      </c>
      <c r="B136" s="7">
        <v>10</v>
      </c>
      <c r="C136" s="8">
        <v>5</v>
      </c>
      <c r="D136" s="35"/>
      <c r="E136" s="10">
        <f t="shared" si="148"/>
        <v>15</v>
      </c>
      <c r="F136" s="7">
        <v>10</v>
      </c>
      <c r="G136" s="8">
        <v>5</v>
      </c>
      <c r="H136" s="35">
        <v>5</v>
      </c>
      <c r="I136" s="48">
        <f t="shared" si="149"/>
        <v>20</v>
      </c>
      <c r="J136" s="10">
        <f t="shared" si="150"/>
        <v>35</v>
      </c>
      <c r="K136" s="57">
        <v>45584</v>
      </c>
      <c r="L136" s="19" t="s">
        <v>10</v>
      </c>
      <c r="M136" s="7"/>
      <c r="N136" s="8"/>
      <c r="O136" s="35"/>
      <c r="P136" s="10">
        <f t="shared" ref="P136:P137" si="154">SUM(M136:O136)</f>
        <v>0</v>
      </c>
      <c r="Q136" s="7"/>
      <c r="R136" s="8"/>
      <c r="S136" s="35"/>
      <c r="T136" s="48">
        <f t="shared" ref="T136:T137" si="155">SUM(Q136:S136)</f>
        <v>0</v>
      </c>
      <c r="U136" s="10">
        <f t="shared" ref="U136:U137" si="156">P136+T136</f>
        <v>0</v>
      </c>
    </row>
    <row r="137" spans="1:22" x14ac:dyDescent="0.15">
      <c r="A137" s="19" t="s">
        <v>11</v>
      </c>
      <c r="B137" s="7">
        <v>10</v>
      </c>
      <c r="C137" s="8"/>
      <c r="D137" s="35"/>
      <c r="E137" s="10">
        <f t="shared" si="148"/>
        <v>10</v>
      </c>
      <c r="F137" s="7">
        <v>10</v>
      </c>
      <c r="G137" s="8"/>
      <c r="H137" s="35"/>
      <c r="I137" s="48">
        <f t="shared" si="149"/>
        <v>10</v>
      </c>
      <c r="J137" s="10">
        <f t="shared" si="150"/>
        <v>20</v>
      </c>
      <c r="K137" s="57">
        <v>45587</v>
      </c>
      <c r="L137" s="19" t="s">
        <v>11</v>
      </c>
      <c r="M137" s="7"/>
      <c r="N137" s="8"/>
      <c r="O137" s="35"/>
      <c r="P137" s="10">
        <f t="shared" si="154"/>
        <v>0</v>
      </c>
      <c r="Q137" s="7"/>
      <c r="R137" s="8"/>
      <c r="S137" s="35"/>
      <c r="T137" s="48">
        <f t="shared" si="155"/>
        <v>0</v>
      </c>
      <c r="U137" s="10">
        <f t="shared" si="156"/>
        <v>0</v>
      </c>
    </row>
    <row r="138" spans="1:22" x14ac:dyDescent="0.15">
      <c r="A138" s="19" t="s">
        <v>12</v>
      </c>
      <c r="B138" s="7"/>
      <c r="C138" s="8">
        <v>10</v>
      </c>
      <c r="D138" s="35"/>
      <c r="E138" s="10">
        <f t="shared" si="148"/>
        <v>10</v>
      </c>
      <c r="F138" s="7"/>
      <c r="G138" s="8"/>
      <c r="H138" s="35"/>
      <c r="I138" s="48">
        <f t="shared" si="149"/>
        <v>0</v>
      </c>
      <c r="J138" s="10">
        <f t="shared" si="150"/>
        <v>10</v>
      </c>
      <c r="K138" s="57">
        <v>45594</v>
      </c>
      <c r="L138" s="19" t="s">
        <v>12</v>
      </c>
      <c r="M138" s="7"/>
      <c r="N138" s="8"/>
      <c r="O138" s="35"/>
      <c r="P138" s="10">
        <f t="shared" si="145"/>
        <v>0</v>
      </c>
      <c r="Q138" s="7"/>
      <c r="R138" s="8"/>
      <c r="S138" s="35"/>
      <c r="T138" s="48">
        <f t="shared" si="147"/>
        <v>0</v>
      </c>
      <c r="U138" s="10">
        <f t="shared" ref="U138:U141" si="157">P138+T138</f>
        <v>0</v>
      </c>
    </row>
    <row r="139" spans="1:22" x14ac:dyDescent="0.15">
      <c r="A139" s="19" t="s">
        <v>13</v>
      </c>
      <c r="B139" s="7">
        <v>10</v>
      </c>
      <c r="C139" s="8"/>
      <c r="D139" s="35"/>
      <c r="E139" s="10">
        <f t="shared" si="141"/>
        <v>10</v>
      </c>
      <c r="F139" s="7"/>
      <c r="G139" s="8"/>
      <c r="H139" s="35"/>
      <c r="I139" s="48">
        <f t="shared" si="143"/>
        <v>0</v>
      </c>
      <c r="J139" s="10">
        <f t="shared" ref="J139:J141" si="158">E139+I139</f>
        <v>10</v>
      </c>
      <c r="K139" s="57">
        <v>45602</v>
      </c>
      <c r="L139" s="19" t="s">
        <v>13</v>
      </c>
      <c r="M139" s="7"/>
      <c r="N139" s="8"/>
      <c r="O139" s="35"/>
      <c r="P139" s="10">
        <f t="shared" si="145"/>
        <v>0</v>
      </c>
      <c r="Q139" s="7"/>
      <c r="R139" s="8"/>
      <c r="S139" s="35"/>
      <c r="T139" s="48">
        <f t="shared" si="147"/>
        <v>0</v>
      </c>
      <c r="U139" s="10">
        <f t="shared" si="157"/>
        <v>0</v>
      </c>
    </row>
    <row r="140" spans="1:22" x14ac:dyDescent="0.15">
      <c r="A140" s="19" t="s">
        <v>14</v>
      </c>
      <c r="B140" s="7"/>
      <c r="C140" s="8"/>
      <c r="D140" s="35"/>
      <c r="E140" s="10">
        <f t="shared" si="141"/>
        <v>0</v>
      </c>
      <c r="F140" s="7">
        <v>10</v>
      </c>
      <c r="G140" s="8"/>
      <c r="H140" s="35"/>
      <c r="I140" s="48">
        <f t="shared" si="143"/>
        <v>10</v>
      </c>
      <c r="J140" s="10">
        <f t="shared" si="158"/>
        <v>10</v>
      </c>
      <c r="K140" s="57">
        <v>45608</v>
      </c>
      <c r="L140" s="19" t="s">
        <v>14</v>
      </c>
      <c r="M140" s="11"/>
      <c r="N140" s="12"/>
      <c r="O140" s="36"/>
      <c r="P140" s="10">
        <f t="shared" si="145"/>
        <v>0</v>
      </c>
      <c r="Q140" s="11"/>
      <c r="R140" s="12"/>
      <c r="S140" s="36"/>
      <c r="T140" s="48">
        <f t="shared" si="147"/>
        <v>0</v>
      </c>
      <c r="U140" s="10">
        <f t="shared" si="157"/>
        <v>0</v>
      </c>
    </row>
    <row r="141" spans="1:22" ht="14.25" thickBot="1" x14ac:dyDescent="0.2">
      <c r="A141" s="19" t="s">
        <v>15</v>
      </c>
      <c r="B141" s="25"/>
      <c r="C141" s="26"/>
      <c r="D141" s="37"/>
      <c r="E141" s="10">
        <f t="shared" si="141"/>
        <v>0</v>
      </c>
      <c r="F141" s="25"/>
      <c r="G141" s="26"/>
      <c r="H141" s="37"/>
      <c r="I141" s="48">
        <f t="shared" si="143"/>
        <v>0</v>
      </c>
      <c r="J141" s="17">
        <f t="shared" si="158"/>
        <v>0</v>
      </c>
      <c r="L141" s="19" t="s">
        <v>15</v>
      </c>
      <c r="M141" s="25"/>
      <c r="N141" s="26"/>
      <c r="O141" s="37"/>
      <c r="P141" s="10">
        <f t="shared" si="145"/>
        <v>0</v>
      </c>
      <c r="Q141" s="25"/>
      <c r="R141" s="26"/>
      <c r="S141" s="37"/>
      <c r="T141" s="48">
        <f t="shared" si="147"/>
        <v>0</v>
      </c>
      <c r="U141" s="17">
        <f t="shared" si="157"/>
        <v>0</v>
      </c>
    </row>
    <row r="142" spans="1:22" ht="14.25" thickBot="1" x14ac:dyDescent="0.2">
      <c r="A142" s="27" t="s">
        <v>16</v>
      </c>
      <c r="B142" s="21">
        <f>SUM(B133:B141)</f>
        <v>48</v>
      </c>
      <c r="C142" s="22">
        <f t="shared" ref="C142:J142" si="159">SUM(C133:C141)</f>
        <v>32</v>
      </c>
      <c r="D142" s="38">
        <f t="shared" si="159"/>
        <v>12</v>
      </c>
      <c r="E142" s="54">
        <f t="shared" si="159"/>
        <v>92</v>
      </c>
      <c r="F142" s="21">
        <f t="shared" si="159"/>
        <v>49</v>
      </c>
      <c r="G142" s="22">
        <f t="shared" si="159"/>
        <v>23</v>
      </c>
      <c r="H142" s="38">
        <f t="shared" si="159"/>
        <v>19</v>
      </c>
      <c r="I142" s="53">
        <f t="shared" si="159"/>
        <v>91</v>
      </c>
      <c r="J142" s="24">
        <f t="shared" si="159"/>
        <v>183</v>
      </c>
      <c r="L142" s="27" t="s">
        <v>16</v>
      </c>
      <c r="M142" s="21">
        <f>SUM(M133:M141)</f>
        <v>266</v>
      </c>
      <c r="N142" s="22">
        <f t="shared" ref="N142:U142" si="160">SUM(N133:N141)</f>
        <v>290</v>
      </c>
      <c r="O142" s="38">
        <f t="shared" si="160"/>
        <v>200</v>
      </c>
      <c r="P142" s="54">
        <f t="shared" si="160"/>
        <v>756</v>
      </c>
      <c r="Q142" s="21">
        <f t="shared" si="160"/>
        <v>255</v>
      </c>
      <c r="R142" s="22">
        <f t="shared" si="160"/>
        <v>317</v>
      </c>
      <c r="S142" s="38">
        <f t="shared" si="160"/>
        <v>216</v>
      </c>
      <c r="T142" s="53">
        <f t="shared" si="160"/>
        <v>788</v>
      </c>
      <c r="U142" s="24">
        <f t="shared" si="160"/>
        <v>1544</v>
      </c>
    </row>
    <row r="143" spans="1:22" x14ac:dyDescent="0.15">
      <c r="A143" s="61" t="s">
        <v>84</v>
      </c>
      <c r="B143" s="11"/>
      <c r="C143" s="12">
        <v>1</v>
      </c>
      <c r="D143" s="13"/>
      <c r="E143" s="10">
        <f t="shared" ref="E143:E163" si="161">SUM(B143:D143)</f>
        <v>1</v>
      </c>
      <c r="F143" s="11"/>
      <c r="G143" s="12">
        <v>1</v>
      </c>
      <c r="H143" s="13"/>
      <c r="I143" s="48">
        <f t="shared" ref="I143:I163" si="162">SUM(F143:H143)</f>
        <v>1</v>
      </c>
      <c r="J143" s="10">
        <f t="shared" ref="J143:J163" si="163">E143+I143</f>
        <v>2</v>
      </c>
      <c r="K143" s="57">
        <v>45569</v>
      </c>
      <c r="L143" s="67" t="s">
        <v>46</v>
      </c>
      <c r="M143" s="11">
        <v>10</v>
      </c>
      <c r="N143" s="12">
        <v>5</v>
      </c>
      <c r="O143" s="13"/>
      <c r="P143" s="10">
        <f t="shared" ref="P143:P147" si="164">SUM(M143:O143)</f>
        <v>15</v>
      </c>
      <c r="Q143" s="11">
        <v>10</v>
      </c>
      <c r="R143" s="12">
        <v>5</v>
      </c>
      <c r="S143" s="13">
        <v>5</v>
      </c>
      <c r="T143" s="48">
        <f t="shared" ref="T143:T147" si="165">SUM(Q143:S143)</f>
        <v>20</v>
      </c>
      <c r="U143" s="10">
        <f t="shared" ref="U143:U147" si="166">P143+T143</f>
        <v>35</v>
      </c>
      <c r="V143" s="57">
        <v>45584</v>
      </c>
    </row>
    <row r="144" spans="1:22" x14ac:dyDescent="0.15">
      <c r="A144" s="60" t="s">
        <v>37</v>
      </c>
      <c r="B144" s="11">
        <v>3</v>
      </c>
      <c r="C144" s="12"/>
      <c r="D144" s="13"/>
      <c r="E144" s="10">
        <f t="shared" si="161"/>
        <v>3</v>
      </c>
      <c r="F144" s="11">
        <v>1</v>
      </c>
      <c r="G144" s="12"/>
      <c r="H144" s="13"/>
      <c r="I144" s="48">
        <f t="shared" si="162"/>
        <v>1</v>
      </c>
      <c r="J144" s="10">
        <f t="shared" si="163"/>
        <v>4</v>
      </c>
      <c r="K144" s="57">
        <v>45568</v>
      </c>
      <c r="L144" s="67" t="s">
        <v>46</v>
      </c>
      <c r="M144" s="11">
        <v>10</v>
      </c>
      <c r="N144" s="12"/>
      <c r="O144" s="13"/>
      <c r="P144" s="10">
        <f t="shared" si="164"/>
        <v>10</v>
      </c>
      <c r="Q144" s="11">
        <v>10</v>
      </c>
      <c r="R144" s="12"/>
      <c r="S144" s="13"/>
      <c r="T144" s="48">
        <f t="shared" si="165"/>
        <v>10</v>
      </c>
      <c r="U144" s="10">
        <f t="shared" si="166"/>
        <v>20</v>
      </c>
      <c r="V144" s="57">
        <v>45587</v>
      </c>
    </row>
    <row r="145" spans="1:22" x14ac:dyDescent="0.15">
      <c r="A145" s="60" t="s">
        <v>37</v>
      </c>
      <c r="B145" s="11"/>
      <c r="C145" s="12"/>
      <c r="D145" s="13"/>
      <c r="E145" s="10">
        <f t="shared" si="161"/>
        <v>0</v>
      </c>
      <c r="F145" s="11">
        <v>2</v>
      </c>
      <c r="G145" s="12"/>
      <c r="H145" s="13"/>
      <c r="I145" s="48">
        <f t="shared" si="162"/>
        <v>2</v>
      </c>
      <c r="J145" s="10">
        <f t="shared" si="163"/>
        <v>2</v>
      </c>
      <c r="K145" s="57">
        <v>45569</v>
      </c>
      <c r="L145" s="67" t="s">
        <v>46</v>
      </c>
      <c r="M145" s="11"/>
      <c r="N145" s="12">
        <v>10</v>
      </c>
      <c r="O145" s="13"/>
      <c r="P145" s="10">
        <f t="shared" si="164"/>
        <v>10</v>
      </c>
      <c r="Q145" s="11"/>
      <c r="R145" s="12"/>
      <c r="S145" s="13"/>
      <c r="T145" s="48">
        <f t="shared" si="165"/>
        <v>0</v>
      </c>
      <c r="U145" s="10">
        <f t="shared" si="166"/>
        <v>10</v>
      </c>
      <c r="V145" s="57">
        <v>45594</v>
      </c>
    </row>
    <row r="146" spans="1:22" x14ac:dyDescent="0.15">
      <c r="A146" s="60" t="s">
        <v>85</v>
      </c>
      <c r="B146" s="11">
        <v>2</v>
      </c>
      <c r="C146" s="12">
        <v>2</v>
      </c>
      <c r="D146" s="13">
        <v>2</v>
      </c>
      <c r="E146" s="10">
        <f t="shared" si="161"/>
        <v>6</v>
      </c>
      <c r="F146" s="11">
        <v>2</v>
      </c>
      <c r="G146" s="12">
        <v>2</v>
      </c>
      <c r="H146" s="13">
        <v>2</v>
      </c>
      <c r="I146" s="48">
        <f t="shared" si="162"/>
        <v>6</v>
      </c>
      <c r="J146" s="10">
        <f t="shared" si="163"/>
        <v>12</v>
      </c>
      <c r="K146" s="57">
        <v>45570</v>
      </c>
      <c r="L146" s="67" t="s">
        <v>46</v>
      </c>
      <c r="M146" s="11">
        <v>10</v>
      </c>
      <c r="N146" s="12"/>
      <c r="O146" s="13"/>
      <c r="P146" s="10">
        <f t="shared" si="164"/>
        <v>10</v>
      </c>
      <c r="Q146" s="11"/>
      <c r="R146" s="12"/>
      <c r="S146" s="13"/>
      <c r="T146" s="48">
        <f t="shared" si="165"/>
        <v>0</v>
      </c>
      <c r="U146" s="10">
        <f t="shared" si="166"/>
        <v>10</v>
      </c>
      <c r="V146" s="57">
        <v>45602</v>
      </c>
    </row>
    <row r="147" spans="1:22" x14ac:dyDescent="0.15">
      <c r="A147" s="60" t="s">
        <v>37</v>
      </c>
      <c r="B147" s="11"/>
      <c r="C147" s="12">
        <v>1</v>
      </c>
      <c r="D147" s="13"/>
      <c r="E147" s="10">
        <f t="shared" si="161"/>
        <v>1</v>
      </c>
      <c r="F147" s="11"/>
      <c r="G147" s="12"/>
      <c r="H147" s="13"/>
      <c r="I147" s="48">
        <f t="shared" si="162"/>
        <v>0</v>
      </c>
      <c r="J147" s="10">
        <f t="shared" si="163"/>
        <v>1</v>
      </c>
      <c r="K147" s="57">
        <v>45570</v>
      </c>
      <c r="L147" s="60"/>
      <c r="M147" s="11"/>
      <c r="N147" s="12"/>
      <c r="O147" s="13"/>
      <c r="P147" s="10">
        <f t="shared" si="164"/>
        <v>0</v>
      </c>
      <c r="Q147" s="11"/>
      <c r="R147" s="12"/>
      <c r="S147" s="13"/>
      <c r="T147" s="48">
        <f t="shared" si="165"/>
        <v>0</v>
      </c>
      <c r="U147" s="10">
        <f t="shared" si="166"/>
        <v>0</v>
      </c>
      <c r="V147" s="56"/>
    </row>
    <row r="148" spans="1:22" x14ac:dyDescent="0.15">
      <c r="A148" s="60" t="s">
        <v>37</v>
      </c>
      <c r="B148" s="11">
        <v>3</v>
      </c>
      <c r="C148" s="12">
        <v>1</v>
      </c>
      <c r="D148" s="13"/>
      <c r="E148" s="10">
        <f t="shared" si="161"/>
        <v>4</v>
      </c>
      <c r="F148" s="11">
        <f>1+2</f>
        <v>3</v>
      </c>
      <c r="G148" s="12">
        <v>1</v>
      </c>
      <c r="H148" s="13"/>
      <c r="I148" s="48">
        <f t="shared" si="162"/>
        <v>4</v>
      </c>
      <c r="J148" s="10">
        <f t="shared" si="163"/>
        <v>8</v>
      </c>
      <c r="K148" s="57">
        <v>45572</v>
      </c>
      <c r="L148" s="60"/>
      <c r="M148" s="11"/>
      <c r="N148" s="12"/>
      <c r="O148" s="13"/>
      <c r="P148" s="10">
        <f t="shared" ref="P148:P163" si="167">SUM(M148:O148)</f>
        <v>0</v>
      </c>
      <c r="Q148" s="11"/>
      <c r="R148" s="12"/>
      <c r="S148" s="13"/>
      <c r="T148" s="48">
        <f t="shared" ref="T148:T163" si="168">SUM(Q148:S148)</f>
        <v>0</v>
      </c>
      <c r="U148" s="10">
        <f t="shared" ref="U148:U170" si="169">P148+T148</f>
        <v>0</v>
      </c>
      <c r="V148" s="56"/>
    </row>
    <row r="149" spans="1:22" x14ac:dyDescent="0.15">
      <c r="A149" s="60" t="s">
        <v>37</v>
      </c>
      <c r="B149" s="11"/>
      <c r="C149" s="12">
        <v>1</v>
      </c>
      <c r="D149" s="13"/>
      <c r="E149" s="10">
        <f t="shared" si="161"/>
        <v>1</v>
      </c>
      <c r="F149" s="11"/>
      <c r="G149" s="12">
        <v>1</v>
      </c>
      <c r="H149" s="13"/>
      <c r="I149" s="48">
        <f t="shared" si="162"/>
        <v>1</v>
      </c>
      <c r="J149" s="10">
        <f t="shared" si="163"/>
        <v>2</v>
      </c>
      <c r="K149" s="57">
        <v>45573</v>
      </c>
      <c r="L149" s="60"/>
      <c r="M149" s="11"/>
      <c r="N149" s="12"/>
      <c r="O149" s="13"/>
      <c r="P149" s="10">
        <f t="shared" si="167"/>
        <v>0</v>
      </c>
      <c r="Q149" s="11"/>
      <c r="R149" s="12"/>
      <c r="S149" s="13"/>
      <c r="T149" s="48">
        <f t="shared" si="168"/>
        <v>0</v>
      </c>
      <c r="U149" s="10">
        <f t="shared" si="169"/>
        <v>0</v>
      </c>
    </row>
    <row r="150" spans="1:22" x14ac:dyDescent="0.15">
      <c r="A150" s="60" t="s">
        <v>85</v>
      </c>
      <c r="B150" s="11"/>
      <c r="C150" s="12">
        <v>3</v>
      </c>
      <c r="D150" s="13"/>
      <c r="E150" s="10">
        <f t="shared" si="161"/>
        <v>3</v>
      </c>
      <c r="F150" s="11"/>
      <c r="G150" s="12">
        <v>3</v>
      </c>
      <c r="H150" s="13"/>
      <c r="I150" s="48">
        <f t="shared" si="162"/>
        <v>3</v>
      </c>
      <c r="J150" s="10">
        <f t="shared" si="163"/>
        <v>6</v>
      </c>
      <c r="K150" s="57">
        <v>45576</v>
      </c>
      <c r="L150" s="60"/>
      <c r="M150" s="11"/>
      <c r="N150" s="12"/>
      <c r="O150" s="13"/>
      <c r="P150" s="10">
        <f t="shared" si="167"/>
        <v>0</v>
      </c>
      <c r="Q150" s="11"/>
      <c r="R150" s="12"/>
      <c r="S150" s="13"/>
      <c r="T150" s="48">
        <f t="shared" si="168"/>
        <v>0</v>
      </c>
      <c r="U150" s="10">
        <f t="shared" si="169"/>
        <v>0</v>
      </c>
    </row>
    <row r="151" spans="1:22" x14ac:dyDescent="0.15">
      <c r="A151" s="60" t="s">
        <v>37</v>
      </c>
      <c r="B151" s="11">
        <v>1</v>
      </c>
      <c r="C151" s="12"/>
      <c r="D151" s="13"/>
      <c r="E151" s="10">
        <f t="shared" si="161"/>
        <v>1</v>
      </c>
      <c r="F151" s="11"/>
      <c r="G151" s="12"/>
      <c r="H151" s="13"/>
      <c r="I151" s="48">
        <f t="shared" si="162"/>
        <v>0</v>
      </c>
      <c r="J151" s="10">
        <f t="shared" si="163"/>
        <v>1</v>
      </c>
      <c r="K151" s="57">
        <v>45575</v>
      </c>
      <c r="L151" s="60"/>
      <c r="M151" s="11"/>
      <c r="N151" s="12"/>
      <c r="O151" s="13"/>
      <c r="P151" s="10">
        <f t="shared" si="167"/>
        <v>0</v>
      </c>
      <c r="Q151" s="11"/>
      <c r="R151" s="12"/>
      <c r="S151" s="13"/>
      <c r="T151" s="48">
        <f t="shared" si="168"/>
        <v>0</v>
      </c>
      <c r="U151" s="10">
        <f t="shared" si="169"/>
        <v>0</v>
      </c>
    </row>
    <row r="152" spans="1:22" x14ac:dyDescent="0.15">
      <c r="A152" s="60" t="s">
        <v>37</v>
      </c>
      <c r="B152" s="11">
        <v>2</v>
      </c>
      <c r="C152" s="12"/>
      <c r="D152" s="13"/>
      <c r="E152" s="10">
        <f t="shared" si="161"/>
        <v>2</v>
      </c>
      <c r="F152" s="11">
        <v>2</v>
      </c>
      <c r="G152" s="12"/>
      <c r="H152" s="13">
        <v>1</v>
      </c>
      <c r="I152" s="48">
        <f t="shared" si="162"/>
        <v>3</v>
      </c>
      <c r="J152" s="10">
        <f t="shared" si="163"/>
        <v>5</v>
      </c>
      <c r="K152" s="57">
        <v>45580</v>
      </c>
      <c r="L152" s="60"/>
      <c r="M152" s="11"/>
      <c r="N152" s="12"/>
      <c r="O152" s="13"/>
      <c r="P152" s="10">
        <f t="shared" si="167"/>
        <v>0</v>
      </c>
      <c r="Q152" s="11"/>
      <c r="R152" s="12"/>
      <c r="S152" s="13"/>
      <c r="T152" s="48">
        <f t="shared" si="168"/>
        <v>0</v>
      </c>
      <c r="U152" s="10">
        <f t="shared" si="169"/>
        <v>0</v>
      </c>
    </row>
    <row r="153" spans="1:22" x14ac:dyDescent="0.15">
      <c r="A153" s="60" t="s">
        <v>37</v>
      </c>
      <c r="B153" s="11">
        <v>1</v>
      </c>
      <c r="C153" s="12"/>
      <c r="D153" s="13"/>
      <c r="E153" s="10">
        <f t="shared" si="161"/>
        <v>1</v>
      </c>
      <c r="F153" s="11">
        <v>1</v>
      </c>
      <c r="G153" s="12"/>
      <c r="H153" s="13"/>
      <c r="I153" s="48">
        <f t="shared" si="162"/>
        <v>1</v>
      </c>
      <c r="J153" s="10">
        <f t="shared" si="163"/>
        <v>2</v>
      </c>
      <c r="K153" s="57">
        <v>45581</v>
      </c>
      <c r="L153" s="60"/>
      <c r="M153" s="11"/>
      <c r="N153" s="12"/>
      <c r="O153" s="13"/>
      <c r="P153" s="10">
        <f t="shared" si="167"/>
        <v>0</v>
      </c>
      <c r="Q153" s="11"/>
      <c r="R153" s="12"/>
      <c r="S153" s="13"/>
      <c r="T153" s="48">
        <f t="shared" si="168"/>
        <v>0</v>
      </c>
      <c r="U153" s="10">
        <f t="shared" si="169"/>
        <v>0</v>
      </c>
    </row>
    <row r="154" spans="1:22" x14ac:dyDescent="0.15">
      <c r="A154" s="60" t="s">
        <v>86</v>
      </c>
      <c r="B154" s="11">
        <v>3</v>
      </c>
      <c r="C154" s="12"/>
      <c r="D154" s="13"/>
      <c r="E154" s="10">
        <f t="shared" si="161"/>
        <v>3</v>
      </c>
      <c r="F154" s="11">
        <v>3</v>
      </c>
      <c r="G154" s="12"/>
      <c r="H154" s="13">
        <v>2</v>
      </c>
      <c r="I154" s="48">
        <f t="shared" si="162"/>
        <v>5</v>
      </c>
      <c r="J154" s="10">
        <f t="shared" si="163"/>
        <v>8</v>
      </c>
      <c r="K154" s="57">
        <v>45582</v>
      </c>
      <c r="L154" s="60"/>
      <c r="M154" s="11"/>
      <c r="N154" s="12"/>
      <c r="O154" s="13"/>
      <c r="P154" s="10">
        <f t="shared" si="167"/>
        <v>0</v>
      </c>
      <c r="Q154" s="11"/>
      <c r="R154" s="12"/>
      <c r="S154" s="13"/>
      <c r="T154" s="48">
        <f t="shared" si="168"/>
        <v>0</v>
      </c>
      <c r="U154" s="10">
        <f t="shared" si="169"/>
        <v>0</v>
      </c>
    </row>
    <row r="155" spans="1:22" x14ac:dyDescent="0.15">
      <c r="A155" s="60" t="s">
        <v>37</v>
      </c>
      <c r="B155" s="11"/>
      <c r="C155" s="12">
        <v>1</v>
      </c>
      <c r="D155" s="13"/>
      <c r="E155" s="10">
        <f t="shared" si="161"/>
        <v>1</v>
      </c>
      <c r="F155" s="11"/>
      <c r="G155" s="12"/>
      <c r="H155" s="13"/>
      <c r="I155" s="48">
        <f t="shared" si="162"/>
        <v>0</v>
      </c>
      <c r="J155" s="10">
        <f t="shared" si="163"/>
        <v>1</v>
      </c>
      <c r="K155" s="57">
        <v>45582</v>
      </c>
      <c r="L155" s="60"/>
      <c r="M155" s="11"/>
      <c r="N155" s="12"/>
      <c r="O155" s="13"/>
      <c r="P155" s="10">
        <f t="shared" si="167"/>
        <v>0</v>
      </c>
      <c r="Q155" s="11"/>
      <c r="R155" s="12"/>
      <c r="S155" s="13"/>
      <c r="T155" s="48">
        <f t="shared" si="168"/>
        <v>0</v>
      </c>
      <c r="U155" s="10">
        <f t="shared" si="169"/>
        <v>0</v>
      </c>
    </row>
    <row r="156" spans="1:22" x14ac:dyDescent="0.15">
      <c r="A156" s="60" t="s">
        <v>37</v>
      </c>
      <c r="B156" s="11">
        <v>2</v>
      </c>
      <c r="C156" s="12"/>
      <c r="D156" s="13"/>
      <c r="E156" s="10">
        <f t="shared" si="161"/>
        <v>2</v>
      </c>
      <c r="F156" s="11">
        <v>1</v>
      </c>
      <c r="G156" s="12"/>
      <c r="H156" s="13"/>
      <c r="I156" s="48">
        <f t="shared" si="162"/>
        <v>1</v>
      </c>
      <c r="J156" s="10">
        <f t="shared" si="163"/>
        <v>3</v>
      </c>
      <c r="K156" s="57">
        <v>45583</v>
      </c>
      <c r="L156" s="60"/>
      <c r="M156" s="11"/>
      <c r="N156" s="12"/>
      <c r="O156" s="13"/>
      <c r="P156" s="10">
        <f t="shared" si="167"/>
        <v>0</v>
      </c>
      <c r="Q156" s="11"/>
      <c r="R156" s="12"/>
      <c r="S156" s="13"/>
      <c r="T156" s="48">
        <f t="shared" si="168"/>
        <v>0</v>
      </c>
      <c r="U156" s="10">
        <f t="shared" si="169"/>
        <v>0</v>
      </c>
    </row>
    <row r="157" spans="1:22" x14ac:dyDescent="0.15">
      <c r="A157" s="60" t="s">
        <v>37</v>
      </c>
      <c r="B157" s="11">
        <v>3</v>
      </c>
      <c r="C157" s="12">
        <v>2</v>
      </c>
      <c r="D157" s="13"/>
      <c r="E157" s="10">
        <f t="shared" si="161"/>
        <v>5</v>
      </c>
      <c r="F157" s="11">
        <v>2</v>
      </c>
      <c r="G157" s="12">
        <v>1</v>
      </c>
      <c r="H157" s="13">
        <v>1</v>
      </c>
      <c r="I157" s="48">
        <f t="shared" si="162"/>
        <v>4</v>
      </c>
      <c r="J157" s="10">
        <f t="shared" si="163"/>
        <v>9</v>
      </c>
      <c r="K157" s="57">
        <v>45586</v>
      </c>
      <c r="L157" s="60"/>
      <c r="M157" s="11"/>
      <c r="N157" s="12"/>
      <c r="O157" s="13"/>
      <c r="P157" s="10">
        <f t="shared" si="167"/>
        <v>0</v>
      </c>
      <c r="Q157" s="11"/>
      <c r="R157" s="12"/>
      <c r="S157" s="13"/>
      <c r="T157" s="48">
        <f t="shared" si="168"/>
        <v>0</v>
      </c>
      <c r="U157" s="10">
        <f t="shared" si="169"/>
        <v>0</v>
      </c>
    </row>
    <row r="158" spans="1:22" x14ac:dyDescent="0.15">
      <c r="A158" s="60" t="s">
        <v>85</v>
      </c>
      <c r="B158" s="11">
        <v>2</v>
      </c>
      <c r="C158" s="12">
        <v>3</v>
      </c>
      <c r="D158" s="13"/>
      <c r="E158" s="10">
        <f t="shared" si="161"/>
        <v>5</v>
      </c>
      <c r="F158" s="11">
        <v>3</v>
      </c>
      <c r="G158" s="12"/>
      <c r="H158" s="13"/>
      <c r="I158" s="48">
        <f t="shared" si="162"/>
        <v>3</v>
      </c>
      <c r="J158" s="10">
        <f t="shared" si="163"/>
        <v>8</v>
      </c>
      <c r="K158" s="57">
        <v>45587</v>
      </c>
      <c r="L158" s="60"/>
      <c r="M158" s="11"/>
      <c r="N158" s="12"/>
      <c r="O158" s="13"/>
      <c r="P158" s="10">
        <f t="shared" si="167"/>
        <v>0</v>
      </c>
      <c r="Q158" s="11"/>
      <c r="R158" s="12"/>
      <c r="S158" s="13"/>
      <c r="T158" s="48">
        <f t="shared" si="168"/>
        <v>0</v>
      </c>
      <c r="U158" s="10">
        <f t="shared" si="169"/>
        <v>0</v>
      </c>
    </row>
    <row r="159" spans="1:22" x14ac:dyDescent="0.15">
      <c r="A159" s="60" t="s">
        <v>37</v>
      </c>
      <c r="B159" s="11">
        <v>1</v>
      </c>
      <c r="C159" s="12"/>
      <c r="D159" s="13"/>
      <c r="E159" s="10">
        <f t="shared" si="161"/>
        <v>1</v>
      </c>
      <c r="F159" s="11"/>
      <c r="G159" s="12"/>
      <c r="H159" s="13"/>
      <c r="I159" s="48">
        <f t="shared" si="162"/>
        <v>0</v>
      </c>
      <c r="J159" s="10">
        <f t="shared" si="163"/>
        <v>1</v>
      </c>
      <c r="K159" s="57">
        <v>45587</v>
      </c>
      <c r="L159" s="60"/>
      <c r="M159" s="11"/>
      <c r="N159" s="12"/>
      <c r="O159" s="13"/>
      <c r="P159" s="10">
        <f t="shared" si="167"/>
        <v>0</v>
      </c>
      <c r="Q159" s="11"/>
      <c r="R159" s="12"/>
      <c r="S159" s="13"/>
      <c r="T159" s="48">
        <f t="shared" si="168"/>
        <v>0</v>
      </c>
      <c r="U159" s="10">
        <f t="shared" si="169"/>
        <v>0</v>
      </c>
    </row>
    <row r="160" spans="1:22" x14ac:dyDescent="0.15">
      <c r="A160" s="60" t="s">
        <v>37</v>
      </c>
      <c r="B160" s="11"/>
      <c r="C160" s="12">
        <v>1</v>
      </c>
      <c r="D160" s="13"/>
      <c r="E160" s="10">
        <f t="shared" si="161"/>
        <v>1</v>
      </c>
      <c r="F160" s="11"/>
      <c r="G160" s="12"/>
      <c r="H160" s="13"/>
      <c r="I160" s="48">
        <f t="shared" si="162"/>
        <v>0</v>
      </c>
      <c r="J160" s="10">
        <f t="shared" si="163"/>
        <v>1</v>
      </c>
      <c r="K160" s="57">
        <v>45590</v>
      </c>
      <c r="L160" s="60"/>
      <c r="M160" s="11"/>
      <c r="N160" s="12"/>
      <c r="O160" s="13"/>
      <c r="P160" s="10">
        <f t="shared" si="167"/>
        <v>0</v>
      </c>
      <c r="Q160" s="11"/>
      <c r="R160" s="12"/>
      <c r="S160" s="13"/>
      <c r="T160" s="48">
        <f t="shared" si="168"/>
        <v>0</v>
      </c>
      <c r="U160" s="10">
        <f t="shared" si="169"/>
        <v>0</v>
      </c>
    </row>
    <row r="161" spans="1:21" x14ac:dyDescent="0.15">
      <c r="A161" s="60" t="s">
        <v>37</v>
      </c>
      <c r="B161" s="11">
        <v>1</v>
      </c>
      <c r="C161" s="12">
        <v>2</v>
      </c>
      <c r="D161" s="13"/>
      <c r="E161" s="10">
        <f t="shared" si="161"/>
        <v>3</v>
      </c>
      <c r="F161" s="11">
        <v>1</v>
      </c>
      <c r="G161" s="12"/>
      <c r="H161" s="13"/>
      <c r="I161" s="48">
        <f t="shared" si="162"/>
        <v>1</v>
      </c>
      <c r="J161" s="10">
        <f t="shared" si="163"/>
        <v>4</v>
      </c>
      <c r="K161" s="57">
        <v>45593</v>
      </c>
      <c r="L161" s="60"/>
      <c r="M161" s="11"/>
      <c r="N161" s="12"/>
      <c r="O161" s="13"/>
      <c r="P161" s="10">
        <f t="shared" si="167"/>
        <v>0</v>
      </c>
      <c r="Q161" s="11"/>
      <c r="R161" s="12"/>
      <c r="S161" s="13"/>
      <c r="T161" s="48">
        <f t="shared" si="168"/>
        <v>0</v>
      </c>
      <c r="U161" s="10">
        <f t="shared" si="169"/>
        <v>0</v>
      </c>
    </row>
    <row r="162" spans="1:21" x14ac:dyDescent="0.15">
      <c r="A162" s="60" t="s">
        <v>37</v>
      </c>
      <c r="B162" s="11">
        <v>1</v>
      </c>
      <c r="C162" s="12"/>
      <c r="D162" s="13"/>
      <c r="E162" s="10">
        <f t="shared" si="161"/>
        <v>1</v>
      </c>
      <c r="F162" s="11">
        <v>1</v>
      </c>
      <c r="G162" s="12"/>
      <c r="H162" s="13"/>
      <c r="I162" s="48">
        <f t="shared" si="162"/>
        <v>1</v>
      </c>
      <c r="J162" s="10">
        <f t="shared" si="163"/>
        <v>2</v>
      </c>
      <c r="K162" s="57">
        <v>45594</v>
      </c>
      <c r="L162" s="60"/>
      <c r="M162" s="11"/>
      <c r="N162" s="12"/>
      <c r="O162" s="13"/>
      <c r="P162" s="10">
        <f t="shared" si="167"/>
        <v>0</v>
      </c>
      <c r="Q162" s="11"/>
      <c r="R162" s="12"/>
      <c r="S162" s="13"/>
      <c r="T162" s="48">
        <f t="shared" si="168"/>
        <v>0</v>
      </c>
      <c r="U162" s="10">
        <f t="shared" si="169"/>
        <v>0</v>
      </c>
    </row>
    <row r="163" spans="1:21" x14ac:dyDescent="0.15">
      <c r="A163" s="60" t="s">
        <v>37</v>
      </c>
      <c r="B163" s="11">
        <v>1</v>
      </c>
      <c r="C163" s="12"/>
      <c r="D163" s="13"/>
      <c r="E163" s="10">
        <f t="shared" si="161"/>
        <v>1</v>
      </c>
      <c r="F163" s="11">
        <v>1</v>
      </c>
      <c r="G163" s="12"/>
      <c r="H163" s="13"/>
      <c r="I163" s="48">
        <f t="shared" si="162"/>
        <v>1</v>
      </c>
      <c r="J163" s="10">
        <f t="shared" si="163"/>
        <v>2</v>
      </c>
      <c r="K163" s="57">
        <v>45595</v>
      </c>
      <c r="L163" s="60"/>
      <c r="M163" s="11"/>
      <c r="N163" s="12"/>
      <c r="O163" s="13"/>
      <c r="P163" s="10">
        <f t="shared" si="167"/>
        <v>0</v>
      </c>
      <c r="Q163" s="11"/>
      <c r="R163" s="12"/>
      <c r="S163" s="13"/>
      <c r="T163" s="48">
        <f t="shared" si="168"/>
        <v>0</v>
      </c>
      <c r="U163" s="10">
        <f t="shared" si="169"/>
        <v>0</v>
      </c>
    </row>
    <row r="164" spans="1:21" x14ac:dyDescent="0.15">
      <c r="A164" s="60" t="s">
        <v>85</v>
      </c>
      <c r="B164" s="11">
        <v>5</v>
      </c>
      <c r="C164" s="12">
        <v>3</v>
      </c>
      <c r="D164" s="13">
        <v>1</v>
      </c>
      <c r="E164" s="10">
        <f t="shared" ref="E164:E168" si="170">SUM(B164:D164)</f>
        <v>9</v>
      </c>
      <c r="F164" s="11">
        <v>5</v>
      </c>
      <c r="G164" s="12">
        <v>5</v>
      </c>
      <c r="H164" s="13">
        <v>3</v>
      </c>
      <c r="I164" s="48">
        <f t="shared" ref="I164:I168" si="171">SUM(F164:H164)</f>
        <v>13</v>
      </c>
      <c r="J164" s="10">
        <f t="shared" ref="J164:J170" si="172">E164+I164</f>
        <v>22</v>
      </c>
      <c r="K164" s="57">
        <v>45598</v>
      </c>
      <c r="L164" s="60"/>
      <c r="M164" s="11"/>
      <c r="N164" s="12"/>
      <c r="O164" s="13"/>
      <c r="P164" s="10">
        <f t="shared" ref="P164:P168" si="173">SUM(M164:O164)</f>
        <v>0</v>
      </c>
      <c r="Q164" s="11"/>
      <c r="R164" s="12"/>
      <c r="S164" s="13"/>
      <c r="T164" s="48">
        <f t="shared" ref="T164:T168" si="174">SUM(Q164:S164)</f>
        <v>0</v>
      </c>
      <c r="U164" s="10">
        <f t="shared" ref="U164:U168" si="175">P164+T164</f>
        <v>0</v>
      </c>
    </row>
    <row r="165" spans="1:21" x14ac:dyDescent="0.15">
      <c r="A165" s="60" t="s">
        <v>88</v>
      </c>
      <c r="B165" s="11">
        <v>1</v>
      </c>
      <c r="C165" s="12"/>
      <c r="D165" s="13"/>
      <c r="E165" s="10">
        <f t="shared" si="170"/>
        <v>1</v>
      </c>
      <c r="F165" s="11">
        <v>1</v>
      </c>
      <c r="G165" s="12"/>
      <c r="H165" s="13"/>
      <c r="I165" s="48">
        <f t="shared" si="171"/>
        <v>1</v>
      </c>
      <c r="J165" s="10">
        <f t="shared" si="172"/>
        <v>2</v>
      </c>
      <c r="K165" s="57">
        <v>45602</v>
      </c>
      <c r="L165" s="60"/>
      <c r="M165" s="11"/>
      <c r="N165" s="12"/>
      <c r="O165" s="13"/>
      <c r="P165" s="10">
        <f t="shared" si="173"/>
        <v>0</v>
      </c>
      <c r="Q165" s="11"/>
      <c r="R165" s="12"/>
      <c r="S165" s="13"/>
      <c r="T165" s="48">
        <f t="shared" si="174"/>
        <v>0</v>
      </c>
      <c r="U165" s="10">
        <f t="shared" si="175"/>
        <v>0</v>
      </c>
    </row>
    <row r="166" spans="1:21" x14ac:dyDescent="0.15">
      <c r="A166" s="60" t="s">
        <v>37</v>
      </c>
      <c r="B166" s="11">
        <f>1+3</f>
        <v>4</v>
      </c>
      <c r="C166" s="12"/>
      <c r="D166" s="13"/>
      <c r="E166" s="10">
        <f t="shared" si="170"/>
        <v>4</v>
      </c>
      <c r="F166" s="11">
        <v>2</v>
      </c>
      <c r="G166" s="12"/>
      <c r="H166" s="13"/>
      <c r="I166" s="48">
        <f t="shared" si="171"/>
        <v>2</v>
      </c>
      <c r="J166" s="10">
        <f t="shared" si="172"/>
        <v>6</v>
      </c>
      <c r="K166" s="57">
        <v>45601</v>
      </c>
      <c r="L166" s="60"/>
      <c r="M166" s="11"/>
      <c r="N166" s="12"/>
      <c r="O166" s="13"/>
      <c r="P166" s="10">
        <f t="shared" si="173"/>
        <v>0</v>
      </c>
      <c r="Q166" s="11"/>
      <c r="R166" s="12"/>
      <c r="S166" s="13"/>
      <c r="T166" s="48">
        <f t="shared" si="174"/>
        <v>0</v>
      </c>
      <c r="U166" s="10">
        <f t="shared" si="175"/>
        <v>0</v>
      </c>
    </row>
    <row r="167" spans="1:21" x14ac:dyDescent="0.15">
      <c r="A167" s="60" t="s">
        <v>89</v>
      </c>
      <c r="B167" s="11"/>
      <c r="C167" s="12"/>
      <c r="D167" s="13"/>
      <c r="E167" s="10">
        <f t="shared" si="170"/>
        <v>0</v>
      </c>
      <c r="F167" s="11">
        <v>1</v>
      </c>
      <c r="G167" s="12"/>
      <c r="H167" s="13"/>
      <c r="I167" s="48">
        <f t="shared" si="171"/>
        <v>1</v>
      </c>
      <c r="J167" s="10">
        <f t="shared" si="172"/>
        <v>1</v>
      </c>
      <c r="K167" s="57">
        <v>45601</v>
      </c>
      <c r="L167" s="60"/>
      <c r="M167" s="11"/>
      <c r="N167" s="12"/>
      <c r="O167" s="13"/>
      <c r="P167" s="10">
        <f t="shared" si="173"/>
        <v>0</v>
      </c>
      <c r="Q167" s="11"/>
      <c r="R167" s="12"/>
      <c r="S167" s="13"/>
      <c r="T167" s="48">
        <f t="shared" si="174"/>
        <v>0</v>
      </c>
      <c r="U167" s="10">
        <f t="shared" si="175"/>
        <v>0</v>
      </c>
    </row>
    <row r="168" spans="1:21" ht="14.25" thickBot="1" x14ac:dyDescent="0.2">
      <c r="A168" s="60" t="s">
        <v>37</v>
      </c>
      <c r="B168" s="11"/>
      <c r="C168" s="12"/>
      <c r="D168" s="13"/>
      <c r="E168" s="10">
        <f t="shared" si="170"/>
        <v>0</v>
      </c>
      <c r="F168" s="11">
        <v>1</v>
      </c>
      <c r="G168" s="12"/>
      <c r="H168" s="13"/>
      <c r="I168" s="48">
        <f t="shared" si="171"/>
        <v>1</v>
      </c>
      <c r="J168" s="10">
        <f t="shared" si="172"/>
        <v>1</v>
      </c>
      <c r="K168" s="57">
        <v>45602</v>
      </c>
      <c r="L168" s="60"/>
      <c r="M168" s="11"/>
      <c r="N168" s="12"/>
      <c r="O168" s="13"/>
      <c r="P168" s="10">
        <f t="shared" si="173"/>
        <v>0</v>
      </c>
      <c r="Q168" s="11"/>
      <c r="R168" s="12"/>
      <c r="S168" s="13"/>
      <c r="T168" s="48">
        <f t="shared" si="174"/>
        <v>0</v>
      </c>
      <c r="U168" s="10">
        <f t="shared" si="175"/>
        <v>0</v>
      </c>
    </row>
    <row r="169" spans="1:21" ht="14.25" thickBot="1" x14ac:dyDescent="0.2">
      <c r="A169" s="29" t="s">
        <v>17</v>
      </c>
      <c r="B169" s="30">
        <f>SUM(B143:B168)</f>
        <v>36</v>
      </c>
      <c r="C169" s="31">
        <f>SUM(C143:C168)</f>
        <v>21</v>
      </c>
      <c r="D169" s="32">
        <f>SUM(D143:D168)</f>
        <v>3</v>
      </c>
      <c r="E169" s="33">
        <f>SUM(B169:D169)</f>
        <v>60</v>
      </c>
      <c r="F169" s="30">
        <f>SUM(F143:F168)</f>
        <v>33</v>
      </c>
      <c r="G169" s="31">
        <f>SUM(G143:G168)</f>
        <v>14</v>
      </c>
      <c r="H169" s="32">
        <f>SUM(H143:H168)</f>
        <v>9</v>
      </c>
      <c r="I169" s="33">
        <f>SUM(F169:H169)</f>
        <v>56</v>
      </c>
      <c r="J169" s="34">
        <f t="shared" si="172"/>
        <v>116</v>
      </c>
      <c r="K169" s="59"/>
      <c r="L169" s="29" t="s">
        <v>17</v>
      </c>
      <c r="M169" s="30">
        <f>SUM(M143:M168)</f>
        <v>30</v>
      </c>
      <c r="N169" s="31">
        <f>SUM(N143:N168)</f>
        <v>15</v>
      </c>
      <c r="O169" s="32">
        <f>SUM(O143:O168)</f>
        <v>0</v>
      </c>
      <c r="P169" s="33">
        <f>SUM(M169:O169)</f>
        <v>45</v>
      </c>
      <c r="Q169" s="30">
        <f>SUM(Q143:Q168)</f>
        <v>20</v>
      </c>
      <c r="R169" s="31">
        <f>SUM(R143:R168)</f>
        <v>5</v>
      </c>
      <c r="S169" s="32">
        <f>SUM(S143:S168)</f>
        <v>5</v>
      </c>
      <c r="T169" s="33">
        <f>SUM(Q169:S169)</f>
        <v>30</v>
      </c>
      <c r="U169" s="34">
        <f t="shared" si="169"/>
        <v>75</v>
      </c>
    </row>
    <row r="170" spans="1:21" ht="14.25" thickBot="1" x14ac:dyDescent="0.2">
      <c r="A170" s="18" t="s">
        <v>18</v>
      </c>
      <c r="B170" s="44">
        <f>B142-B169</f>
        <v>12</v>
      </c>
      <c r="C170" s="45">
        <f t="shared" ref="C170:E170" si="176">C142-C169</f>
        <v>11</v>
      </c>
      <c r="D170" s="46">
        <f t="shared" si="176"/>
        <v>9</v>
      </c>
      <c r="E170" s="46">
        <f t="shared" si="176"/>
        <v>32</v>
      </c>
      <c r="F170" s="44">
        <f>F142-F169</f>
        <v>16</v>
      </c>
      <c r="G170" s="45">
        <f t="shared" ref="G170:I170" si="177">G142-G169</f>
        <v>9</v>
      </c>
      <c r="H170" s="46">
        <f t="shared" si="177"/>
        <v>10</v>
      </c>
      <c r="I170" s="46">
        <f t="shared" si="177"/>
        <v>35</v>
      </c>
      <c r="J170" s="24">
        <f t="shared" si="172"/>
        <v>67</v>
      </c>
      <c r="L170" s="18" t="s">
        <v>18</v>
      </c>
      <c r="M170" s="44">
        <f>M142-M169</f>
        <v>236</v>
      </c>
      <c r="N170" s="45">
        <f t="shared" ref="N170:P170" si="178">N142-N169</f>
        <v>275</v>
      </c>
      <c r="O170" s="46">
        <f t="shared" si="178"/>
        <v>200</v>
      </c>
      <c r="P170" s="46">
        <f t="shared" si="178"/>
        <v>711</v>
      </c>
      <c r="Q170" s="44">
        <f>Q142-Q169</f>
        <v>235</v>
      </c>
      <c r="R170" s="45">
        <f t="shared" ref="R170:T170" si="179">R142-R169</f>
        <v>312</v>
      </c>
      <c r="S170" s="46">
        <f t="shared" si="179"/>
        <v>211</v>
      </c>
      <c r="T170" s="46">
        <f t="shared" si="179"/>
        <v>758</v>
      </c>
      <c r="U170" s="24">
        <f t="shared" si="169"/>
        <v>1469</v>
      </c>
    </row>
    <row r="173" spans="1:21" ht="19.5" thickBot="1" x14ac:dyDescent="0.25">
      <c r="A173" s="2" t="s">
        <v>24</v>
      </c>
      <c r="B173" s="1"/>
      <c r="C173" s="1"/>
      <c r="D173" s="1"/>
      <c r="E173" s="1"/>
      <c r="F173" s="1" t="s">
        <v>39</v>
      </c>
      <c r="G173" s="1"/>
      <c r="H173" s="1"/>
      <c r="I173" s="1"/>
      <c r="J173" s="1"/>
      <c r="L173" s="2" t="s">
        <v>23</v>
      </c>
      <c r="M173" s="1"/>
      <c r="N173" s="1"/>
      <c r="O173" s="1"/>
      <c r="P173" s="63" t="s">
        <v>35</v>
      </c>
      <c r="Q173" s="1"/>
      <c r="R173" s="1" t="s">
        <v>39</v>
      </c>
      <c r="S173" s="1"/>
      <c r="T173" s="1"/>
      <c r="U173" s="1"/>
    </row>
    <row r="174" spans="1:21" ht="14.25" thickBot="1" x14ac:dyDescent="0.2">
      <c r="A174" s="6" t="s">
        <v>0</v>
      </c>
      <c r="B174" s="128" t="s">
        <v>21</v>
      </c>
      <c r="C174" s="129"/>
      <c r="D174" s="129"/>
      <c r="E174" s="130"/>
      <c r="F174" s="125" t="s">
        <v>19</v>
      </c>
      <c r="G174" s="126"/>
      <c r="H174" s="126"/>
      <c r="I174" s="127"/>
      <c r="J174" s="131" t="s">
        <v>1</v>
      </c>
      <c r="L174" s="6" t="s">
        <v>0</v>
      </c>
      <c r="M174" s="128" t="s">
        <v>21</v>
      </c>
      <c r="N174" s="129"/>
      <c r="O174" s="129"/>
      <c r="P174" s="130"/>
      <c r="Q174" s="125" t="s">
        <v>19</v>
      </c>
      <c r="R174" s="126"/>
      <c r="S174" s="126"/>
      <c r="T174" s="127"/>
      <c r="U174" s="131" t="s">
        <v>1</v>
      </c>
    </row>
    <row r="175" spans="1:21" ht="14.25" thickBot="1" x14ac:dyDescent="0.2">
      <c r="A175" s="6" t="s">
        <v>2</v>
      </c>
      <c r="B175" s="3" t="s">
        <v>3</v>
      </c>
      <c r="C175" s="4" t="s">
        <v>4</v>
      </c>
      <c r="D175" s="5" t="s">
        <v>5</v>
      </c>
      <c r="E175" s="6" t="s">
        <v>6</v>
      </c>
      <c r="F175" s="3" t="s">
        <v>3</v>
      </c>
      <c r="G175" s="4" t="s">
        <v>4</v>
      </c>
      <c r="H175" s="5" t="s">
        <v>5</v>
      </c>
      <c r="I175" s="6" t="s">
        <v>6</v>
      </c>
      <c r="J175" s="132"/>
      <c r="L175" s="6" t="s">
        <v>2</v>
      </c>
      <c r="M175" s="50" t="s">
        <v>3</v>
      </c>
      <c r="N175" s="51" t="s">
        <v>4</v>
      </c>
      <c r="O175" s="52" t="s">
        <v>5</v>
      </c>
      <c r="P175" s="6" t="s">
        <v>6</v>
      </c>
      <c r="Q175" s="3" t="s">
        <v>3</v>
      </c>
      <c r="R175" s="4" t="s">
        <v>4</v>
      </c>
      <c r="S175" s="5" t="s">
        <v>5</v>
      </c>
      <c r="T175" s="6" t="s">
        <v>6</v>
      </c>
      <c r="U175" s="132"/>
    </row>
    <row r="176" spans="1:21" ht="14.25" thickBot="1" x14ac:dyDescent="0.2">
      <c r="A176" s="20" t="s">
        <v>18</v>
      </c>
      <c r="B176" s="21">
        <f>B170</f>
        <v>12</v>
      </c>
      <c r="C176" s="22">
        <f t="shared" ref="C176:D176" si="180">C170</f>
        <v>11</v>
      </c>
      <c r="D176" s="38">
        <f t="shared" si="180"/>
        <v>9</v>
      </c>
      <c r="E176" s="24">
        <f t="shared" ref="E176" si="181">SUM(B176:D176)</f>
        <v>32</v>
      </c>
      <c r="F176" s="21">
        <f>F170</f>
        <v>16</v>
      </c>
      <c r="G176" s="22">
        <f t="shared" ref="G176:H176" si="182">G170</f>
        <v>9</v>
      </c>
      <c r="H176" s="38">
        <f t="shared" si="182"/>
        <v>10</v>
      </c>
      <c r="I176" s="24">
        <f t="shared" ref="I176" si="183">SUM(F176:H176)</f>
        <v>35</v>
      </c>
      <c r="J176" s="24">
        <f>E176+I176</f>
        <v>67</v>
      </c>
      <c r="L176" s="20" t="s">
        <v>18</v>
      </c>
      <c r="M176" s="21">
        <f>M170</f>
        <v>236</v>
      </c>
      <c r="N176" s="22">
        <f t="shared" ref="N176:O176" si="184">N170</f>
        <v>275</v>
      </c>
      <c r="O176" s="38">
        <f t="shared" si="184"/>
        <v>200</v>
      </c>
      <c r="P176" s="73">
        <f t="shared" ref="P176:P184" si="185">SUM(M176:O176)</f>
        <v>711</v>
      </c>
      <c r="Q176" s="21">
        <f>Q170</f>
        <v>235</v>
      </c>
      <c r="R176" s="22">
        <f t="shared" ref="R176:S176" si="186">R170</f>
        <v>312</v>
      </c>
      <c r="S176" s="38">
        <f t="shared" si="186"/>
        <v>211</v>
      </c>
      <c r="T176" s="24">
        <f t="shared" ref="T176:T184" si="187">SUM(Q176:S176)</f>
        <v>758</v>
      </c>
      <c r="U176" s="24">
        <f>P176+T176</f>
        <v>1469</v>
      </c>
    </row>
    <row r="177" spans="1:23" x14ac:dyDescent="0.15">
      <c r="A177" s="19" t="s">
        <v>8</v>
      </c>
      <c r="B177" s="7">
        <v>5</v>
      </c>
      <c r="C177" s="8"/>
      <c r="D177" s="35"/>
      <c r="E177" s="10">
        <f t="shared" ref="E177:E184" si="188">SUM(B177:D177)</f>
        <v>5</v>
      </c>
      <c r="F177" s="7"/>
      <c r="G177" s="8">
        <v>5</v>
      </c>
      <c r="H177" s="35"/>
      <c r="I177" s="48">
        <f t="shared" ref="I177:I184" si="189">SUM(F177:H177)</f>
        <v>5</v>
      </c>
      <c r="J177" s="10">
        <f t="shared" ref="J177:J184" si="190">E177+I177</f>
        <v>10</v>
      </c>
      <c r="K177" s="57">
        <v>45615</v>
      </c>
      <c r="L177" s="19" t="s">
        <v>8</v>
      </c>
      <c r="M177" s="7"/>
      <c r="N177" s="8"/>
      <c r="O177" s="35"/>
      <c r="P177" s="10">
        <f t="shared" si="185"/>
        <v>0</v>
      </c>
      <c r="Q177" s="7"/>
      <c r="R177" s="8"/>
      <c r="S177" s="35"/>
      <c r="T177" s="48">
        <f t="shared" si="187"/>
        <v>0</v>
      </c>
      <c r="U177" s="10">
        <f t="shared" ref="U177:U184" si="191">P177+T177</f>
        <v>0</v>
      </c>
    </row>
    <row r="178" spans="1:23" x14ac:dyDescent="0.15">
      <c r="A178" s="19" t="s">
        <v>9</v>
      </c>
      <c r="B178" s="7">
        <v>5</v>
      </c>
      <c r="C178" s="8"/>
      <c r="D178" s="35"/>
      <c r="E178" s="10">
        <f t="shared" si="188"/>
        <v>5</v>
      </c>
      <c r="F178" s="7">
        <v>10</v>
      </c>
      <c r="G178" s="8"/>
      <c r="H178" s="35"/>
      <c r="I178" s="48">
        <f t="shared" si="189"/>
        <v>10</v>
      </c>
      <c r="J178" s="10">
        <f t="shared" si="190"/>
        <v>15</v>
      </c>
      <c r="K178" s="57">
        <v>45617</v>
      </c>
      <c r="L178" s="19" t="s">
        <v>9</v>
      </c>
      <c r="M178" s="7"/>
      <c r="N178" s="8"/>
      <c r="O178" s="35"/>
      <c r="P178" s="10">
        <f t="shared" si="185"/>
        <v>0</v>
      </c>
      <c r="Q178" s="7"/>
      <c r="R178" s="8"/>
      <c r="S178" s="35"/>
      <c r="T178" s="48">
        <f t="shared" si="187"/>
        <v>0</v>
      </c>
      <c r="U178" s="10">
        <f t="shared" si="191"/>
        <v>0</v>
      </c>
      <c r="V178" s="56"/>
      <c r="W178" s="39"/>
    </row>
    <row r="179" spans="1:23" x14ac:dyDescent="0.15">
      <c r="A179" s="19" t="s">
        <v>10</v>
      </c>
      <c r="B179" s="7"/>
      <c r="C179" s="8"/>
      <c r="D179" s="35"/>
      <c r="E179" s="10">
        <f t="shared" si="188"/>
        <v>0</v>
      </c>
      <c r="F179" s="7"/>
      <c r="G179" s="8">
        <v>5</v>
      </c>
      <c r="H179" s="35"/>
      <c r="I179" s="48">
        <f t="shared" si="189"/>
        <v>5</v>
      </c>
      <c r="J179" s="10">
        <f t="shared" si="190"/>
        <v>5</v>
      </c>
      <c r="K179" s="57">
        <v>45618</v>
      </c>
      <c r="L179" s="19" t="s">
        <v>10</v>
      </c>
      <c r="M179" s="7"/>
      <c r="N179" s="8"/>
      <c r="O179" s="35"/>
      <c r="P179" s="10">
        <f t="shared" ref="P179:P181" si="192">SUM(M179:O179)</f>
        <v>0</v>
      </c>
      <c r="Q179" s="7"/>
      <c r="R179" s="8"/>
      <c r="S179" s="35"/>
      <c r="T179" s="48">
        <f t="shared" ref="T179:T181" si="193">SUM(Q179:S179)</f>
        <v>0</v>
      </c>
      <c r="U179" s="10">
        <f t="shared" ref="U179:U181" si="194">P179+T179</f>
        <v>0</v>
      </c>
      <c r="V179" s="56"/>
      <c r="W179" s="39"/>
    </row>
    <row r="180" spans="1:23" x14ac:dyDescent="0.15">
      <c r="A180" s="19" t="s">
        <v>11</v>
      </c>
      <c r="B180" s="7"/>
      <c r="C180" s="8"/>
      <c r="D180" s="35"/>
      <c r="E180" s="10">
        <f t="shared" si="188"/>
        <v>0</v>
      </c>
      <c r="F180" s="7">
        <v>5</v>
      </c>
      <c r="G180" s="8"/>
      <c r="H180" s="35"/>
      <c r="I180" s="48">
        <f t="shared" si="189"/>
        <v>5</v>
      </c>
      <c r="J180" s="10">
        <f t="shared" si="190"/>
        <v>5</v>
      </c>
      <c r="K180" s="57">
        <v>45621</v>
      </c>
      <c r="L180" s="19" t="s">
        <v>11</v>
      </c>
      <c r="M180" s="7"/>
      <c r="N180" s="8"/>
      <c r="O180" s="35"/>
      <c r="P180" s="10">
        <f t="shared" si="192"/>
        <v>0</v>
      </c>
      <c r="Q180" s="7"/>
      <c r="R180" s="8"/>
      <c r="S180" s="35"/>
      <c r="T180" s="48">
        <f t="shared" si="193"/>
        <v>0</v>
      </c>
      <c r="U180" s="10">
        <f t="shared" si="194"/>
        <v>0</v>
      </c>
    </row>
    <row r="181" spans="1:23" x14ac:dyDescent="0.15">
      <c r="A181" s="19" t="s">
        <v>12</v>
      </c>
      <c r="B181" s="7">
        <v>3</v>
      </c>
      <c r="C181" s="8">
        <v>3</v>
      </c>
      <c r="D181" s="35">
        <v>3</v>
      </c>
      <c r="E181" s="10">
        <f t="shared" si="188"/>
        <v>9</v>
      </c>
      <c r="F181" s="7">
        <v>3</v>
      </c>
      <c r="G181" s="8">
        <v>3</v>
      </c>
      <c r="H181" s="35">
        <v>3</v>
      </c>
      <c r="I181" s="48">
        <f t="shared" si="189"/>
        <v>9</v>
      </c>
      <c r="J181" s="10">
        <f t="shared" si="190"/>
        <v>18</v>
      </c>
      <c r="K181" s="57">
        <v>45622</v>
      </c>
      <c r="L181" s="19" t="s">
        <v>12</v>
      </c>
      <c r="M181" s="7"/>
      <c r="N181" s="8"/>
      <c r="O181" s="35"/>
      <c r="P181" s="10">
        <f t="shared" si="192"/>
        <v>0</v>
      </c>
      <c r="Q181" s="7"/>
      <c r="R181" s="8"/>
      <c r="S181" s="35"/>
      <c r="T181" s="48">
        <f t="shared" si="193"/>
        <v>0</v>
      </c>
      <c r="U181" s="10">
        <f t="shared" si="194"/>
        <v>0</v>
      </c>
    </row>
    <row r="182" spans="1:23" x14ac:dyDescent="0.15">
      <c r="A182" s="19" t="s">
        <v>87</v>
      </c>
      <c r="B182" s="11"/>
      <c r="C182" s="12"/>
      <c r="D182" s="36">
        <v>3</v>
      </c>
      <c r="E182" s="10">
        <f t="shared" si="188"/>
        <v>3</v>
      </c>
      <c r="F182" s="11"/>
      <c r="G182" s="12"/>
      <c r="H182" s="36">
        <v>1</v>
      </c>
      <c r="I182" s="48">
        <f t="shared" si="189"/>
        <v>1</v>
      </c>
      <c r="J182" s="10">
        <f t="shared" si="190"/>
        <v>4</v>
      </c>
      <c r="K182" s="57">
        <v>45626</v>
      </c>
      <c r="L182" s="19" t="s">
        <v>13</v>
      </c>
      <c r="M182" s="7"/>
      <c r="N182" s="8"/>
      <c r="O182" s="35"/>
      <c r="P182" s="10">
        <f t="shared" si="185"/>
        <v>0</v>
      </c>
      <c r="Q182" s="7"/>
      <c r="R182" s="8"/>
      <c r="S182" s="35"/>
      <c r="T182" s="48">
        <f t="shared" si="187"/>
        <v>0</v>
      </c>
      <c r="U182" s="10">
        <f t="shared" si="191"/>
        <v>0</v>
      </c>
    </row>
    <row r="183" spans="1:23" x14ac:dyDescent="0.15">
      <c r="A183" s="19" t="s">
        <v>14</v>
      </c>
      <c r="B183" s="7">
        <v>5</v>
      </c>
      <c r="C183" s="8"/>
      <c r="D183" s="35"/>
      <c r="E183" s="10">
        <f t="shared" si="188"/>
        <v>5</v>
      </c>
      <c r="F183" s="7">
        <v>5</v>
      </c>
      <c r="G183" s="8"/>
      <c r="H183" s="35"/>
      <c r="I183" s="48">
        <f t="shared" si="189"/>
        <v>5</v>
      </c>
      <c r="J183" s="10">
        <f t="shared" si="190"/>
        <v>10</v>
      </c>
      <c r="K183" s="57">
        <v>45633</v>
      </c>
      <c r="L183" s="19" t="s">
        <v>14</v>
      </c>
      <c r="M183" s="11"/>
      <c r="N183" s="12"/>
      <c r="O183" s="36"/>
      <c r="P183" s="10">
        <f t="shared" si="185"/>
        <v>0</v>
      </c>
      <c r="Q183" s="11"/>
      <c r="R183" s="12"/>
      <c r="S183" s="36"/>
      <c r="T183" s="48">
        <f t="shared" si="187"/>
        <v>0</v>
      </c>
      <c r="U183" s="10">
        <f t="shared" si="191"/>
        <v>0</v>
      </c>
    </row>
    <row r="184" spans="1:23" ht="14.25" thickBot="1" x14ac:dyDescent="0.2">
      <c r="A184" s="19" t="s">
        <v>15</v>
      </c>
      <c r="B184" s="7">
        <v>5</v>
      </c>
      <c r="C184" s="8">
        <v>5</v>
      </c>
      <c r="D184" s="35"/>
      <c r="E184" s="10">
        <f t="shared" si="188"/>
        <v>10</v>
      </c>
      <c r="F184" s="7">
        <v>5</v>
      </c>
      <c r="G184" s="8"/>
      <c r="H184" s="35"/>
      <c r="I184" s="48">
        <f t="shared" si="189"/>
        <v>5</v>
      </c>
      <c r="J184" s="10">
        <f t="shared" si="190"/>
        <v>15</v>
      </c>
      <c r="K184" s="57">
        <v>45649</v>
      </c>
      <c r="L184" s="19" t="s">
        <v>15</v>
      </c>
      <c r="M184" s="25"/>
      <c r="N184" s="26"/>
      <c r="O184" s="37"/>
      <c r="P184" s="10">
        <f t="shared" si="185"/>
        <v>0</v>
      </c>
      <c r="Q184" s="25"/>
      <c r="R184" s="26"/>
      <c r="S184" s="37"/>
      <c r="T184" s="48">
        <f t="shared" si="187"/>
        <v>0</v>
      </c>
      <c r="U184" s="17">
        <f t="shared" si="191"/>
        <v>0</v>
      </c>
    </row>
    <row r="185" spans="1:23" ht="14.25" thickBot="1" x14ac:dyDescent="0.2">
      <c r="A185" s="27" t="s">
        <v>16</v>
      </c>
      <c r="B185" s="21">
        <f>SUM(B176:B184)</f>
        <v>35</v>
      </c>
      <c r="C185" s="22">
        <f t="shared" ref="C185:J185" si="195">SUM(C176:C184)</f>
        <v>19</v>
      </c>
      <c r="D185" s="38">
        <f t="shared" si="195"/>
        <v>15</v>
      </c>
      <c r="E185" s="54">
        <f t="shared" si="195"/>
        <v>69</v>
      </c>
      <c r="F185" s="21">
        <f t="shared" si="195"/>
        <v>44</v>
      </c>
      <c r="G185" s="22">
        <f t="shared" si="195"/>
        <v>22</v>
      </c>
      <c r="H185" s="38">
        <f t="shared" si="195"/>
        <v>14</v>
      </c>
      <c r="I185" s="53">
        <f t="shared" si="195"/>
        <v>80</v>
      </c>
      <c r="J185" s="24">
        <f t="shared" si="195"/>
        <v>149</v>
      </c>
      <c r="L185" s="27" t="s">
        <v>16</v>
      </c>
      <c r="M185" s="21">
        <f>SUM(M176:M184)</f>
        <v>236</v>
      </c>
      <c r="N185" s="22">
        <f t="shared" ref="N185:U185" si="196">SUM(N176:N184)</f>
        <v>275</v>
      </c>
      <c r="O185" s="38">
        <f t="shared" si="196"/>
        <v>200</v>
      </c>
      <c r="P185" s="54">
        <f t="shared" si="196"/>
        <v>711</v>
      </c>
      <c r="Q185" s="21">
        <f t="shared" si="196"/>
        <v>235</v>
      </c>
      <c r="R185" s="22">
        <f t="shared" si="196"/>
        <v>312</v>
      </c>
      <c r="S185" s="38">
        <f t="shared" si="196"/>
        <v>211</v>
      </c>
      <c r="T185" s="53">
        <f t="shared" si="196"/>
        <v>758</v>
      </c>
      <c r="U185" s="24">
        <f t="shared" si="196"/>
        <v>1469</v>
      </c>
    </row>
    <row r="186" spans="1:23" x14ac:dyDescent="0.15">
      <c r="A186" s="60" t="s">
        <v>37</v>
      </c>
      <c r="B186" s="11">
        <v>2</v>
      </c>
      <c r="C186" s="12">
        <v>2</v>
      </c>
      <c r="D186" s="13"/>
      <c r="E186" s="10">
        <f t="shared" ref="E186:E187" si="197">SUM(B186:D186)</f>
        <v>4</v>
      </c>
      <c r="F186" s="11">
        <v>4</v>
      </c>
      <c r="G186" s="12"/>
      <c r="H186" s="13"/>
      <c r="I186" s="48">
        <f t="shared" ref="I186:I187" si="198">SUM(F186:H186)</f>
        <v>4</v>
      </c>
      <c r="J186" s="10">
        <f t="shared" ref="J186:J187" si="199">E186+I186</f>
        <v>8</v>
      </c>
      <c r="K186" s="66">
        <v>45607</v>
      </c>
      <c r="L186" s="67" t="s">
        <v>46</v>
      </c>
      <c r="M186" s="11"/>
      <c r="N186" s="12"/>
      <c r="O186" s="13"/>
      <c r="P186" s="10">
        <f t="shared" ref="P186:P196" si="200">SUM(M186:O186)</f>
        <v>0</v>
      </c>
      <c r="Q186" s="11">
        <v>10</v>
      </c>
      <c r="R186" s="12"/>
      <c r="S186" s="13"/>
      <c r="T186" s="48">
        <f t="shared" ref="T186:T196" si="201">SUM(Q186:S186)</f>
        <v>10</v>
      </c>
      <c r="U186" s="10">
        <f t="shared" ref="U186:U196" si="202">P186+T186</f>
        <v>10</v>
      </c>
      <c r="V186" s="57">
        <v>45608</v>
      </c>
    </row>
    <row r="187" spans="1:23" x14ac:dyDescent="0.15">
      <c r="A187" s="60" t="s">
        <v>37</v>
      </c>
      <c r="B187" s="11"/>
      <c r="C187" s="12"/>
      <c r="D187" s="13"/>
      <c r="E187" s="10">
        <f t="shared" si="197"/>
        <v>0</v>
      </c>
      <c r="F187" s="11"/>
      <c r="G187" s="12">
        <v>1</v>
      </c>
      <c r="H187" s="13"/>
      <c r="I187" s="48">
        <f t="shared" si="198"/>
        <v>1</v>
      </c>
      <c r="J187" s="10">
        <f t="shared" si="199"/>
        <v>1</v>
      </c>
      <c r="K187" s="66">
        <v>45609</v>
      </c>
      <c r="L187" s="67" t="s">
        <v>46</v>
      </c>
      <c r="M187" s="11">
        <v>5</v>
      </c>
      <c r="N187" s="12"/>
      <c r="O187" s="13"/>
      <c r="P187" s="10">
        <f t="shared" si="200"/>
        <v>5</v>
      </c>
      <c r="Q187" s="11"/>
      <c r="R187" s="12">
        <v>5</v>
      </c>
      <c r="S187" s="13"/>
      <c r="T187" s="48">
        <f t="shared" si="201"/>
        <v>5</v>
      </c>
      <c r="U187" s="10">
        <f t="shared" si="202"/>
        <v>10</v>
      </c>
      <c r="V187" s="57">
        <v>45615</v>
      </c>
    </row>
    <row r="188" spans="1:23" x14ac:dyDescent="0.15">
      <c r="A188" s="60" t="s">
        <v>37</v>
      </c>
      <c r="B188" s="11">
        <v>1</v>
      </c>
      <c r="C188" s="12"/>
      <c r="D188" s="13"/>
      <c r="E188" s="10">
        <f t="shared" ref="E188:E211" si="203">SUM(B188:D188)</f>
        <v>1</v>
      </c>
      <c r="F188" s="11"/>
      <c r="G188" s="12">
        <v>2</v>
      </c>
      <c r="H188" s="13"/>
      <c r="I188" s="48">
        <f t="shared" ref="I188:I211" si="204">SUM(F188:H188)</f>
        <v>2</v>
      </c>
      <c r="J188" s="10">
        <f t="shared" ref="J188:J213" si="205">E188+I188</f>
        <v>3</v>
      </c>
      <c r="K188" s="66">
        <v>45612</v>
      </c>
      <c r="L188" s="67" t="s">
        <v>46</v>
      </c>
      <c r="M188" s="11">
        <v>5</v>
      </c>
      <c r="N188" s="12"/>
      <c r="O188" s="13"/>
      <c r="P188" s="10">
        <f t="shared" si="200"/>
        <v>5</v>
      </c>
      <c r="Q188" s="11">
        <v>10</v>
      </c>
      <c r="R188" s="12"/>
      <c r="S188" s="13"/>
      <c r="T188" s="48">
        <f t="shared" si="201"/>
        <v>10</v>
      </c>
      <c r="U188" s="10">
        <f t="shared" si="202"/>
        <v>15</v>
      </c>
      <c r="V188" s="57">
        <v>45617</v>
      </c>
    </row>
    <row r="189" spans="1:23" x14ac:dyDescent="0.15">
      <c r="A189" s="60" t="s">
        <v>37</v>
      </c>
      <c r="B189" s="11">
        <f>2+1</f>
        <v>3</v>
      </c>
      <c r="C189" s="12"/>
      <c r="D189" s="13"/>
      <c r="E189" s="10">
        <f t="shared" si="203"/>
        <v>3</v>
      </c>
      <c r="F189" s="11">
        <f>1+3</f>
        <v>4</v>
      </c>
      <c r="G189" s="12">
        <v>3</v>
      </c>
      <c r="H189" s="13"/>
      <c r="I189" s="48">
        <f t="shared" si="204"/>
        <v>7</v>
      </c>
      <c r="J189" s="10">
        <f t="shared" si="205"/>
        <v>10</v>
      </c>
      <c r="K189" s="66">
        <v>45614</v>
      </c>
      <c r="L189" s="67" t="s">
        <v>46</v>
      </c>
      <c r="M189" s="11"/>
      <c r="N189" s="12"/>
      <c r="O189" s="13"/>
      <c r="P189" s="10">
        <f t="shared" si="200"/>
        <v>0</v>
      </c>
      <c r="Q189" s="11"/>
      <c r="R189" s="12">
        <v>5</v>
      </c>
      <c r="S189" s="13"/>
      <c r="T189" s="48">
        <f t="shared" si="201"/>
        <v>5</v>
      </c>
      <c r="U189" s="10">
        <f t="shared" si="202"/>
        <v>5</v>
      </c>
      <c r="V189" s="57">
        <v>45618</v>
      </c>
    </row>
    <row r="190" spans="1:23" x14ac:dyDescent="0.15">
      <c r="A190" s="60" t="s">
        <v>37</v>
      </c>
      <c r="B190" s="11">
        <v>1</v>
      </c>
      <c r="C190" s="12"/>
      <c r="D190" s="13"/>
      <c r="E190" s="10">
        <f t="shared" si="203"/>
        <v>1</v>
      </c>
      <c r="F190" s="11">
        <v>1</v>
      </c>
      <c r="G190" s="12">
        <v>1</v>
      </c>
      <c r="H190" s="13"/>
      <c r="I190" s="48">
        <f t="shared" si="204"/>
        <v>2</v>
      </c>
      <c r="J190" s="10">
        <f t="shared" si="205"/>
        <v>3</v>
      </c>
      <c r="K190" s="66">
        <v>45615</v>
      </c>
      <c r="L190" s="67" t="s">
        <v>46</v>
      </c>
      <c r="M190" s="11"/>
      <c r="N190" s="12"/>
      <c r="O190" s="13"/>
      <c r="P190" s="10">
        <f t="shared" si="200"/>
        <v>0</v>
      </c>
      <c r="Q190" s="11">
        <v>5</v>
      </c>
      <c r="R190" s="12"/>
      <c r="S190" s="13"/>
      <c r="T190" s="48">
        <f t="shared" si="201"/>
        <v>5</v>
      </c>
      <c r="U190" s="10">
        <f t="shared" si="202"/>
        <v>5</v>
      </c>
      <c r="V190" s="57">
        <v>45621</v>
      </c>
    </row>
    <row r="191" spans="1:23" x14ac:dyDescent="0.15">
      <c r="A191" s="60" t="s">
        <v>37</v>
      </c>
      <c r="B191" s="11">
        <v>1</v>
      </c>
      <c r="C191" s="12"/>
      <c r="D191" s="13"/>
      <c r="E191" s="10">
        <f t="shared" si="203"/>
        <v>1</v>
      </c>
      <c r="F191" s="11">
        <v>3</v>
      </c>
      <c r="G191" s="12"/>
      <c r="H191" s="13"/>
      <c r="I191" s="48">
        <f t="shared" si="204"/>
        <v>3</v>
      </c>
      <c r="J191" s="10">
        <f t="shared" si="205"/>
        <v>4</v>
      </c>
      <c r="K191" s="57">
        <v>45616</v>
      </c>
      <c r="L191" s="67" t="s">
        <v>46</v>
      </c>
      <c r="M191" s="11">
        <v>3</v>
      </c>
      <c r="N191" s="12">
        <v>3</v>
      </c>
      <c r="O191" s="13">
        <v>3</v>
      </c>
      <c r="P191" s="10">
        <f t="shared" si="200"/>
        <v>9</v>
      </c>
      <c r="Q191" s="11">
        <v>3</v>
      </c>
      <c r="R191" s="12">
        <v>3</v>
      </c>
      <c r="S191" s="13">
        <v>3</v>
      </c>
      <c r="T191" s="48">
        <f t="shared" si="201"/>
        <v>9</v>
      </c>
      <c r="U191" s="10">
        <f t="shared" si="202"/>
        <v>18</v>
      </c>
      <c r="V191" s="57">
        <v>45622</v>
      </c>
    </row>
    <row r="192" spans="1:23" x14ac:dyDescent="0.15">
      <c r="A192" s="60" t="s">
        <v>91</v>
      </c>
      <c r="B192" s="11">
        <v>5</v>
      </c>
      <c r="C192" s="12"/>
      <c r="D192" s="13"/>
      <c r="E192" s="10">
        <f t="shared" si="203"/>
        <v>5</v>
      </c>
      <c r="F192" s="11">
        <v>5</v>
      </c>
      <c r="G192" s="12">
        <v>2</v>
      </c>
      <c r="H192" s="13">
        <v>1</v>
      </c>
      <c r="I192" s="48">
        <f t="shared" si="204"/>
        <v>8</v>
      </c>
      <c r="J192" s="10">
        <f t="shared" si="205"/>
        <v>13</v>
      </c>
      <c r="K192" s="57">
        <v>45617</v>
      </c>
      <c r="L192" s="67" t="s">
        <v>46</v>
      </c>
      <c r="M192" s="11">
        <v>5</v>
      </c>
      <c r="N192" s="12"/>
      <c r="O192" s="13"/>
      <c r="P192" s="10">
        <f t="shared" si="200"/>
        <v>5</v>
      </c>
      <c r="Q192" s="11">
        <v>5</v>
      </c>
      <c r="R192" s="12"/>
      <c r="S192" s="13"/>
      <c r="T192" s="48">
        <f t="shared" si="201"/>
        <v>5</v>
      </c>
      <c r="U192" s="10">
        <f t="shared" si="202"/>
        <v>10</v>
      </c>
      <c r="V192" s="57">
        <v>45633</v>
      </c>
    </row>
    <row r="193" spans="1:22" x14ac:dyDescent="0.15">
      <c r="A193" s="60" t="s">
        <v>37</v>
      </c>
      <c r="B193" s="11"/>
      <c r="C193" s="12">
        <v>1</v>
      </c>
      <c r="D193" s="13"/>
      <c r="E193" s="10">
        <f t="shared" si="203"/>
        <v>1</v>
      </c>
      <c r="F193" s="11">
        <v>1</v>
      </c>
      <c r="G193" s="12"/>
      <c r="H193" s="13"/>
      <c r="I193" s="48">
        <f t="shared" si="204"/>
        <v>1</v>
      </c>
      <c r="J193" s="10">
        <f t="shared" si="205"/>
        <v>2</v>
      </c>
      <c r="K193" s="57">
        <v>45617</v>
      </c>
      <c r="L193" s="67" t="s">
        <v>46</v>
      </c>
      <c r="M193" s="11"/>
      <c r="N193" s="12"/>
      <c r="O193" s="13"/>
      <c r="P193" s="10">
        <f t="shared" si="200"/>
        <v>0</v>
      </c>
      <c r="Q193" s="11">
        <v>10</v>
      </c>
      <c r="R193" s="12"/>
      <c r="S193" s="13"/>
      <c r="T193" s="48">
        <f t="shared" si="201"/>
        <v>10</v>
      </c>
      <c r="U193" s="10">
        <f t="shared" si="202"/>
        <v>10</v>
      </c>
      <c r="V193" s="57">
        <v>45636</v>
      </c>
    </row>
    <row r="194" spans="1:22" x14ac:dyDescent="0.15">
      <c r="A194" s="60" t="s">
        <v>37</v>
      </c>
      <c r="B194" s="11"/>
      <c r="C194" s="12"/>
      <c r="D194" s="13"/>
      <c r="E194" s="10">
        <f t="shared" si="203"/>
        <v>0</v>
      </c>
      <c r="F194" s="11">
        <f>1+1</f>
        <v>2</v>
      </c>
      <c r="G194" s="12"/>
      <c r="H194" s="13"/>
      <c r="I194" s="48">
        <f t="shared" si="204"/>
        <v>2</v>
      </c>
      <c r="J194" s="10">
        <f t="shared" si="205"/>
        <v>2</v>
      </c>
      <c r="K194" s="57">
        <v>45618</v>
      </c>
      <c r="L194" s="67" t="s">
        <v>46</v>
      </c>
      <c r="M194" s="11">
        <v>5</v>
      </c>
      <c r="N194" s="12">
        <v>5</v>
      </c>
      <c r="O194" s="13"/>
      <c r="P194" s="10">
        <f t="shared" si="200"/>
        <v>10</v>
      </c>
      <c r="Q194" s="11">
        <v>5</v>
      </c>
      <c r="R194" s="12"/>
      <c r="S194" s="13"/>
      <c r="T194" s="48">
        <f t="shared" si="201"/>
        <v>5</v>
      </c>
      <c r="U194" s="10">
        <f t="shared" si="202"/>
        <v>15</v>
      </c>
      <c r="V194" s="57">
        <v>45649</v>
      </c>
    </row>
    <row r="195" spans="1:22" x14ac:dyDescent="0.15">
      <c r="A195" s="60" t="s">
        <v>37</v>
      </c>
      <c r="B195" s="11">
        <v>2</v>
      </c>
      <c r="C195" s="12">
        <v>1</v>
      </c>
      <c r="D195" s="13"/>
      <c r="E195" s="10">
        <f t="shared" si="203"/>
        <v>3</v>
      </c>
      <c r="F195" s="11">
        <v>3</v>
      </c>
      <c r="G195" s="12">
        <v>1</v>
      </c>
      <c r="H195" s="13"/>
      <c r="I195" s="48">
        <f t="shared" si="204"/>
        <v>4</v>
      </c>
      <c r="J195" s="10">
        <f t="shared" si="205"/>
        <v>7</v>
      </c>
      <c r="K195" s="57">
        <v>45622</v>
      </c>
      <c r="L195" s="67" t="s">
        <v>46</v>
      </c>
      <c r="M195" s="11">
        <v>5</v>
      </c>
      <c r="N195" s="12">
        <v>5</v>
      </c>
      <c r="O195" s="13"/>
      <c r="P195" s="10">
        <f t="shared" si="200"/>
        <v>10</v>
      </c>
      <c r="Q195" s="11">
        <v>5</v>
      </c>
      <c r="R195" s="12"/>
      <c r="S195" s="13">
        <v>5</v>
      </c>
      <c r="T195" s="48">
        <f t="shared" si="201"/>
        <v>10</v>
      </c>
      <c r="U195" s="10">
        <f t="shared" si="202"/>
        <v>20</v>
      </c>
      <c r="V195" s="57">
        <v>45652</v>
      </c>
    </row>
    <row r="196" spans="1:22" x14ac:dyDescent="0.15">
      <c r="A196" s="60" t="s">
        <v>37</v>
      </c>
      <c r="B196" s="11"/>
      <c r="C196" s="12"/>
      <c r="D196" s="13"/>
      <c r="E196" s="10">
        <f t="shared" si="203"/>
        <v>0</v>
      </c>
      <c r="F196" s="11">
        <v>1</v>
      </c>
      <c r="G196" s="12"/>
      <c r="H196" s="13">
        <v>1</v>
      </c>
      <c r="I196" s="48">
        <f t="shared" si="204"/>
        <v>2</v>
      </c>
      <c r="J196" s="10">
        <f t="shared" si="205"/>
        <v>2</v>
      </c>
      <c r="K196" s="57">
        <v>45623</v>
      </c>
      <c r="L196" s="67" t="s">
        <v>46</v>
      </c>
      <c r="M196" s="11">
        <v>5</v>
      </c>
      <c r="N196" s="12">
        <v>5</v>
      </c>
      <c r="O196" s="13">
        <v>5</v>
      </c>
      <c r="P196" s="10">
        <f t="shared" si="200"/>
        <v>15</v>
      </c>
      <c r="Q196" s="11">
        <v>5</v>
      </c>
      <c r="R196" s="12">
        <v>5</v>
      </c>
      <c r="S196" s="13">
        <v>5</v>
      </c>
      <c r="T196" s="48">
        <f t="shared" si="201"/>
        <v>15</v>
      </c>
      <c r="U196" s="10">
        <f t="shared" si="202"/>
        <v>30</v>
      </c>
      <c r="V196" s="57">
        <v>45653</v>
      </c>
    </row>
    <row r="197" spans="1:22" x14ac:dyDescent="0.15">
      <c r="A197" s="60" t="s">
        <v>37</v>
      </c>
      <c r="B197" s="11"/>
      <c r="C197" s="12"/>
      <c r="D197" s="13"/>
      <c r="E197" s="10">
        <f t="shared" si="203"/>
        <v>0</v>
      </c>
      <c r="F197" s="11"/>
      <c r="G197" s="12"/>
      <c r="H197" s="13">
        <f>1+1</f>
        <v>2</v>
      </c>
      <c r="I197" s="48">
        <f t="shared" si="204"/>
        <v>2</v>
      </c>
      <c r="J197" s="10">
        <f t="shared" si="205"/>
        <v>2</v>
      </c>
      <c r="K197" s="66">
        <v>45624</v>
      </c>
      <c r="L197" s="60"/>
      <c r="M197" s="11"/>
      <c r="N197" s="12"/>
      <c r="O197" s="13"/>
      <c r="P197" s="10">
        <f t="shared" ref="P197:P206" si="206">SUM(M197:O197)</f>
        <v>0</v>
      </c>
      <c r="Q197" s="11"/>
      <c r="R197" s="12"/>
      <c r="S197" s="13"/>
      <c r="T197" s="48">
        <f t="shared" ref="T197:T206" si="207">SUM(Q197:S197)</f>
        <v>0</v>
      </c>
      <c r="U197" s="10">
        <f t="shared" ref="U197:U213" si="208">P197+T197</f>
        <v>0</v>
      </c>
      <c r="V197" s="56"/>
    </row>
    <row r="198" spans="1:22" x14ac:dyDescent="0.15">
      <c r="A198" s="60" t="s">
        <v>37</v>
      </c>
      <c r="B198" s="11"/>
      <c r="C198" s="12"/>
      <c r="D198" s="13"/>
      <c r="E198" s="10">
        <f t="shared" si="203"/>
        <v>0</v>
      </c>
      <c r="F198" s="11">
        <v>1</v>
      </c>
      <c r="G198" s="12">
        <v>1</v>
      </c>
      <c r="H198" s="13"/>
      <c r="I198" s="48">
        <f t="shared" si="204"/>
        <v>2</v>
      </c>
      <c r="J198" s="10">
        <f t="shared" si="205"/>
        <v>2</v>
      </c>
      <c r="K198" s="66">
        <v>45628</v>
      </c>
      <c r="L198" s="60"/>
      <c r="M198" s="11"/>
      <c r="N198" s="12"/>
      <c r="O198" s="13"/>
      <c r="P198" s="10">
        <f t="shared" si="206"/>
        <v>0</v>
      </c>
      <c r="Q198" s="11"/>
      <c r="R198" s="12"/>
      <c r="S198" s="13"/>
      <c r="T198" s="48">
        <f t="shared" si="207"/>
        <v>0</v>
      </c>
      <c r="U198" s="10">
        <f t="shared" si="208"/>
        <v>0</v>
      </c>
      <c r="V198" s="56"/>
    </row>
    <row r="199" spans="1:22" x14ac:dyDescent="0.15">
      <c r="A199" s="60" t="s">
        <v>37</v>
      </c>
      <c r="B199" s="11">
        <v>1</v>
      </c>
      <c r="C199" s="12"/>
      <c r="D199" s="13"/>
      <c r="E199" s="10">
        <f t="shared" si="203"/>
        <v>1</v>
      </c>
      <c r="F199" s="11">
        <v>1</v>
      </c>
      <c r="G199" s="12"/>
      <c r="H199" s="13"/>
      <c r="I199" s="48">
        <f t="shared" si="204"/>
        <v>1</v>
      </c>
      <c r="J199" s="10">
        <f t="shared" si="205"/>
        <v>2</v>
      </c>
      <c r="K199" s="66">
        <v>45630</v>
      </c>
      <c r="L199" s="60"/>
      <c r="M199" s="11"/>
      <c r="N199" s="12"/>
      <c r="O199" s="13"/>
      <c r="P199" s="10">
        <f t="shared" si="206"/>
        <v>0</v>
      </c>
      <c r="Q199" s="11"/>
      <c r="R199" s="12"/>
      <c r="S199" s="13"/>
      <c r="T199" s="48">
        <f t="shared" si="207"/>
        <v>0</v>
      </c>
      <c r="U199" s="10">
        <f t="shared" si="208"/>
        <v>0</v>
      </c>
    </row>
    <row r="200" spans="1:22" x14ac:dyDescent="0.15">
      <c r="A200" s="60" t="s">
        <v>37</v>
      </c>
      <c r="B200" s="11">
        <v>1</v>
      </c>
      <c r="C200" s="12"/>
      <c r="D200" s="13"/>
      <c r="E200" s="10">
        <f t="shared" si="203"/>
        <v>1</v>
      </c>
      <c r="F200" s="11">
        <v>1</v>
      </c>
      <c r="G200" s="12"/>
      <c r="H200" s="13"/>
      <c r="I200" s="48">
        <f t="shared" si="204"/>
        <v>1</v>
      </c>
      <c r="J200" s="10">
        <f t="shared" si="205"/>
        <v>2</v>
      </c>
      <c r="K200" s="66">
        <v>45631</v>
      </c>
      <c r="L200" s="60"/>
      <c r="M200" s="11"/>
      <c r="N200" s="12"/>
      <c r="O200" s="13"/>
      <c r="P200" s="10">
        <f t="shared" si="206"/>
        <v>0</v>
      </c>
      <c r="Q200" s="11"/>
      <c r="R200" s="12"/>
      <c r="S200" s="13"/>
      <c r="T200" s="48">
        <f t="shared" si="207"/>
        <v>0</v>
      </c>
      <c r="U200" s="10">
        <f t="shared" si="208"/>
        <v>0</v>
      </c>
    </row>
    <row r="201" spans="1:22" x14ac:dyDescent="0.15">
      <c r="A201" s="60" t="s">
        <v>37</v>
      </c>
      <c r="B201" s="11">
        <v>1</v>
      </c>
      <c r="C201" s="12"/>
      <c r="D201" s="13"/>
      <c r="E201" s="10">
        <f t="shared" si="203"/>
        <v>1</v>
      </c>
      <c r="F201" s="11">
        <v>1</v>
      </c>
      <c r="G201" s="12"/>
      <c r="H201" s="13"/>
      <c r="I201" s="48">
        <f t="shared" si="204"/>
        <v>1</v>
      </c>
      <c r="J201" s="10">
        <f t="shared" si="205"/>
        <v>2</v>
      </c>
      <c r="K201" s="66">
        <v>45632</v>
      </c>
      <c r="L201" s="60"/>
      <c r="M201" s="11"/>
      <c r="N201" s="12"/>
      <c r="O201" s="13"/>
      <c r="P201" s="10">
        <f t="shared" si="206"/>
        <v>0</v>
      </c>
      <c r="Q201" s="11"/>
      <c r="R201" s="12"/>
      <c r="S201" s="13"/>
      <c r="T201" s="48">
        <f t="shared" si="207"/>
        <v>0</v>
      </c>
      <c r="U201" s="10">
        <f t="shared" si="208"/>
        <v>0</v>
      </c>
    </row>
    <row r="202" spans="1:22" x14ac:dyDescent="0.15">
      <c r="A202" s="60" t="s">
        <v>37</v>
      </c>
      <c r="B202" s="11"/>
      <c r="C202" s="12"/>
      <c r="D202" s="13"/>
      <c r="E202" s="10">
        <f t="shared" si="203"/>
        <v>0</v>
      </c>
      <c r="F202" s="11">
        <v>3</v>
      </c>
      <c r="G202" s="12"/>
      <c r="H202" s="13"/>
      <c r="I202" s="48">
        <f t="shared" si="204"/>
        <v>3</v>
      </c>
      <c r="J202" s="10">
        <f t="shared" si="205"/>
        <v>3</v>
      </c>
      <c r="K202" s="66">
        <v>45633</v>
      </c>
      <c r="L202" s="60"/>
      <c r="M202" s="11"/>
      <c r="N202" s="12"/>
      <c r="O202" s="13"/>
      <c r="P202" s="10">
        <f t="shared" si="206"/>
        <v>0</v>
      </c>
      <c r="Q202" s="11"/>
      <c r="R202" s="12"/>
      <c r="S202" s="13"/>
      <c r="T202" s="48">
        <f t="shared" si="207"/>
        <v>0</v>
      </c>
      <c r="U202" s="10">
        <f t="shared" si="208"/>
        <v>0</v>
      </c>
    </row>
    <row r="203" spans="1:22" x14ac:dyDescent="0.15">
      <c r="A203" s="60" t="s">
        <v>37</v>
      </c>
      <c r="B203" s="11">
        <v>1</v>
      </c>
      <c r="C203" s="12"/>
      <c r="D203" s="13"/>
      <c r="E203" s="10">
        <f t="shared" si="203"/>
        <v>1</v>
      </c>
      <c r="F203" s="11">
        <f>1+3</f>
        <v>4</v>
      </c>
      <c r="G203" s="12"/>
      <c r="H203" s="13"/>
      <c r="I203" s="48">
        <f t="shared" si="204"/>
        <v>4</v>
      </c>
      <c r="J203" s="10">
        <f t="shared" si="205"/>
        <v>5</v>
      </c>
      <c r="K203" s="66">
        <v>45635</v>
      </c>
      <c r="L203" s="60"/>
      <c r="M203" s="11"/>
      <c r="N203" s="12"/>
      <c r="O203" s="13"/>
      <c r="P203" s="10">
        <f t="shared" si="206"/>
        <v>0</v>
      </c>
      <c r="Q203" s="11"/>
      <c r="R203" s="12"/>
      <c r="S203" s="13"/>
      <c r="T203" s="48">
        <f t="shared" si="207"/>
        <v>0</v>
      </c>
      <c r="U203" s="10">
        <f t="shared" si="208"/>
        <v>0</v>
      </c>
    </row>
    <row r="204" spans="1:22" x14ac:dyDescent="0.15">
      <c r="A204" s="60" t="s">
        <v>92</v>
      </c>
      <c r="B204" s="11"/>
      <c r="C204" s="12"/>
      <c r="D204" s="13"/>
      <c r="E204" s="10">
        <f t="shared" si="203"/>
        <v>0</v>
      </c>
      <c r="F204" s="11">
        <v>-10</v>
      </c>
      <c r="G204" s="12"/>
      <c r="H204" s="13"/>
      <c r="I204" s="48">
        <f t="shared" si="204"/>
        <v>-10</v>
      </c>
      <c r="J204" s="10">
        <f t="shared" si="205"/>
        <v>-10</v>
      </c>
      <c r="K204" s="57">
        <v>45636</v>
      </c>
      <c r="L204" s="60"/>
      <c r="M204" s="11"/>
      <c r="N204" s="12"/>
      <c r="O204" s="13"/>
      <c r="P204" s="10">
        <f t="shared" si="206"/>
        <v>0</v>
      </c>
      <c r="Q204" s="11"/>
      <c r="R204" s="12"/>
      <c r="S204" s="13"/>
      <c r="T204" s="48">
        <f t="shared" si="207"/>
        <v>0</v>
      </c>
      <c r="U204" s="10">
        <f t="shared" si="208"/>
        <v>0</v>
      </c>
    </row>
    <row r="205" spans="1:22" x14ac:dyDescent="0.15">
      <c r="A205" s="60" t="s">
        <v>37</v>
      </c>
      <c r="B205" s="11"/>
      <c r="C205" s="12"/>
      <c r="D205" s="13"/>
      <c r="E205" s="10">
        <f t="shared" si="203"/>
        <v>0</v>
      </c>
      <c r="F205" s="11">
        <v>1</v>
      </c>
      <c r="G205" s="12"/>
      <c r="H205" s="13"/>
      <c r="I205" s="48">
        <f t="shared" si="204"/>
        <v>1</v>
      </c>
      <c r="J205" s="10">
        <f t="shared" si="205"/>
        <v>1</v>
      </c>
      <c r="K205" s="66">
        <v>45636</v>
      </c>
      <c r="L205" s="60"/>
      <c r="M205" s="11"/>
      <c r="N205" s="12"/>
      <c r="O205" s="13"/>
      <c r="P205" s="10">
        <f t="shared" si="206"/>
        <v>0</v>
      </c>
      <c r="Q205" s="11"/>
      <c r="R205" s="12"/>
      <c r="S205" s="13"/>
      <c r="T205" s="48">
        <f t="shared" si="207"/>
        <v>0</v>
      </c>
      <c r="U205" s="10">
        <f t="shared" si="208"/>
        <v>0</v>
      </c>
    </row>
    <row r="206" spans="1:22" x14ac:dyDescent="0.15">
      <c r="A206" s="60" t="s">
        <v>37</v>
      </c>
      <c r="B206" s="11">
        <v>1</v>
      </c>
      <c r="C206" s="12"/>
      <c r="D206" s="13"/>
      <c r="E206" s="10">
        <f t="shared" si="203"/>
        <v>1</v>
      </c>
      <c r="F206" s="11">
        <v>1</v>
      </c>
      <c r="G206" s="12">
        <v>1</v>
      </c>
      <c r="H206" s="13"/>
      <c r="I206" s="48">
        <f t="shared" si="204"/>
        <v>2</v>
      </c>
      <c r="J206" s="10">
        <f t="shared" si="205"/>
        <v>3</v>
      </c>
      <c r="K206" s="66">
        <v>45637</v>
      </c>
      <c r="L206" s="60"/>
      <c r="M206" s="11"/>
      <c r="N206" s="12"/>
      <c r="O206" s="13"/>
      <c r="P206" s="10">
        <f t="shared" si="206"/>
        <v>0</v>
      </c>
      <c r="Q206" s="11"/>
      <c r="R206" s="12"/>
      <c r="S206" s="13"/>
      <c r="T206" s="48">
        <f t="shared" si="207"/>
        <v>0</v>
      </c>
      <c r="U206" s="10">
        <f t="shared" si="208"/>
        <v>0</v>
      </c>
    </row>
    <row r="207" spans="1:22" x14ac:dyDescent="0.15">
      <c r="A207" s="60" t="s">
        <v>37</v>
      </c>
      <c r="B207" s="11">
        <v>1</v>
      </c>
      <c r="C207" s="12"/>
      <c r="D207" s="13"/>
      <c r="E207" s="10">
        <f t="shared" si="203"/>
        <v>1</v>
      </c>
      <c r="F207" s="11"/>
      <c r="G207" s="12"/>
      <c r="H207" s="13"/>
      <c r="I207" s="48">
        <f t="shared" si="204"/>
        <v>0</v>
      </c>
      <c r="J207" s="10">
        <f t="shared" si="205"/>
        <v>1</v>
      </c>
      <c r="K207" s="66">
        <v>45638</v>
      </c>
      <c r="L207" s="60"/>
      <c r="M207" s="11"/>
      <c r="N207" s="12"/>
      <c r="O207" s="13"/>
      <c r="P207" s="10">
        <f t="shared" ref="P207:P211" si="209">SUM(M207:O207)</f>
        <v>0</v>
      </c>
      <c r="Q207" s="11"/>
      <c r="R207" s="12"/>
      <c r="S207" s="13"/>
      <c r="T207" s="48">
        <f t="shared" ref="T207:T211" si="210">SUM(Q207:S207)</f>
        <v>0</v>
      </c>
      <c r="U207" s="10">
        <f t="shared" ref="U207:U211" si="211">P207+T207</f>
        <v>0</v>
      </c>
    </row>
    <row r="208" spans="1:22" x14ac:dyDescent="0.15">
      <c r="A208" s="60" t="s">
        <v>37</v>
      </c>
      <c r="B208" s="11">
        <v>1</v>
      </c>
      <c r="C208" s="12"/>
      <c r="D208" s="13"/>
      <c r="E208" s="10">
        <f t="shared" si="203"/>
        <v>1</v>
      </c>
      <c r="F208" s="11">
        <v>1</v>
      </c>
      <c r="G208" s="12"/>
      <c r="H208" s="13"/>
      <c r="I208" s="48">
        <f t="shared" si="204"/>
        <v>1</v>
      </c>
      <c r="J208" s="10">
        <f t="shared" si="205"/>
        <v>2</v>
      </c>
      <c r="K208" s="66">
        <v>45642</v>
      </c>
      <c r="L208" s="60"/>
      <c r="M208" s="11"/>
      <c r="N208" s="12"/>
      <c r="O208" s="13"/>
      <c r="P208" s="10">
        <f t="shared" si="209"/>
        <v>0</v>
      </c>
      <c r="Q208" s="11"/>
      <c r="R208" s="12"/>
      <c r="S208" s="13"/>
      <c r="T208" s="48">
        <f t="shared" si="210"/>
        <v>0</v>
      </c>
      <c r="U208" s="10">
        <f t="shared" si="211"/>
        <v>0</v>
      </c>
    </row>
    <row r="209" spans="1:21" x14ac:dyDescent="0.15">
      <c r="A209" s="60" t="s">
        <v>37</v>
      </c>
      <c r="B209" s="11"/>
      <c r="C209" s="12">
        <v>1</v>
      </c>
      <c r="D209" s="13"/>
      <c r="E209" s="10">
        <f t="shared" si="203"/>
        <v>1</v>
      </c>
      <c r="F209" s="11"/>
      <c r="G209" s="12"/>
      <c r="H209" s="13"/>
      <c r="I209" s="48">
        <f t="shared" si="204"/>
        <v>0</v>
      </c>
      <c r="J209" s="10">
        <f t="shared" si="205"/>
        <v>1</v>
      </c>
      <c r="K209" s="66">
        <v>45643</v>
      </c>
      <c r="L209" s="60"/>
      <c r="M209" s="11"/>
      <c r="N209" s="12"/>
      <c r="O209" s="13"/>
      <c r="P209" s="10">
        <f t="shared" si="209"/>
        <v>0</v>
      </c>
      <c r="Q209" s="11"/>
      <c r="R209" s="12"/>
      <c r="S209" s="13"/>
      <c r="T209" s="48">
        <f t="shared" si="210"/>
        <v>0</v>
      </c>
      <c r="U209" s="10">
        <f t="shared" si="211"/>
        <v>0</v>
      </c>
    </row>
    <row r="210" spans="1:21" x14ac:dyDescent="0.15">
      <c r="A210" s="60" t="s">
        <v>37</v>
      </c>
      <c r="B210" s="11">
        <v>1</v>
      </c>
      <c r="C210" s="12">
        <v>3</v>
      </c>
      <c r="D210" s="13"/>
      <c r="E210" s="10">
        <f t="shared" si="203"/>
        <v>4</v>
      </c>
      <c r="F210" s="11"/>
      <c r="G210" s="12"/>
      <c r="H210" s="13"/>
      <c r="I210" s="48">
        <f t="shared" si="204"/>
        <v>0</v>
      </c>
      <c r="J210" s="10">
        <f t="shared" si="205"/>
        <v>4</v>
      </c>
      <c r="K210" s="66">
        <v>45647</v>
      </c>
      <c r="L210" s="60"/>
      <c r="M210" s="11"/>
      <c r="N210" s="12"/>
      <c r="O210" s="13"/>
      <c r="P210" s="10">
        <f t="shared" si="209"/>
        <v>0</v>
      </c>
      <c r="Q210" s="11"/>
      <c r="R210" s="12"/>
      <c r="S210" s="13"/>
      <c r="T210" s="48">
        <f t="shared" si="210"/>
        <v>0</v>
      </c>
      <c r="U210" s="10">
        <f t="shared" si="211"/>
        <v>0</v>
      </c>
    </row>
    <row r="211" spans="1:21" ht="14.25" thickBot="1" x14ac:dyDescent="0.2">
      <c r="A211" s="60" t="s">
        <v>37</v>
      </c>
      <c r="B211" s="11">
        <f>1+1</f>
        <v>2</v>
      </c>
      <c r="C211" s="12"/>
      <c r="D211" s="13"/>
      <c r="E211" s="10">
        <f t="shared" si="203"/>
        <v>2</v>
      </c>
      <c r="F211" s="11">
        <v>3</v>
      </c>
      <c r="G211" s="12"/>
      <c r="H211" s="13">
        <v>1</v>
      </c>
      <c r="I211" s="48">
        <f t="shared" si="204"/>
        <v>4</v>
      </c>
      <c r="J211" s="10">
        <f t="shared" si="205"/>
        <v>6</v>
      </c>
      <c r="K211" s="66">
        <v>45649</v>
      </c>
      <c r="L211" s="60"/>
      <c r="M211" s="11"/>
      <c r="N211" s="12"/>
      <c r="O211" s="13"/>
      <c r="P211" s="10">
        <f t="shared" si="209"/>
        <v>0</v>
      </c>
      <c r="Q211" s="11"/>
      <c r="R211" s="12"/>
      <c r="S211" s="13"/>
      <c r="T211" s="48">
        <f t="shared" si="210"/>
        <v>0</v>
      </c>
      <c r="U211" s="10">
        <f t="shared" si="211"/>
        <v>0</v>
      </c>
    </row>
    <row r="212" spans="1:21" ht="14.25" thickBot="1" x14ac:dyDescent="0.2">
      <c r="A212" s="29" t="s">
        <v>17</v>
      </c>
      <c r="B212" s="30">
        <f>SUM(B186:B211)</f>
        <v>25</v>
      </c>
      <c r="C212" s="31">
        <f>SUM(C186:C211)</f>
        <v>8</v>
      </c>
      <c r="D212" s="32">
        <f>SUM(D186:D211)</f>
        <v>0</v>
      </c>
      <c r="E212" s="33">
        <f>SUM(B212:D212)</f>
        <v>33</v>
      </c>
      <c r="F212" s="30">
        <f>SUM(F186:F211)</f>
        <v>31</v>
      </c>
      <c r="G212" s="31">
        <f>SUM(G186:G211)</f>
        <v>12</v>
      </c>
      <c r="H212" s="32">
        <f>SUM(H186:H211)</f>
        <v>5</v>
      </c>
      <c r="I212" s="33">
        <f>SUM(F212:H212)</f>
        <v>48</v>
      </c>
      <c r="J212" s="34">
        <f t="shared" si="205"/>
        <v>81</v>
      </c>
      <c r="L212" s="29" t="s">
        <v>17</v>
      </c>
      <c r="M212" s="30">
        <f>SUM(M186:M211)</f>
        <v>33</v>
      </c>
      <c r="N212" s="31">
        <f>SUM(N186:N211)</f>
        <v>18</v>
      </c>
      <c r="O212" s="32">
        <f>SUM(O186:O211)</f>
        <v>8</v>
      </c>
      <c r="P212" s="33">
        <f>SUM(M212:O212)</f>
        <v>59</v>
      </c>
      <c r="Q212" s="30">
        <f>SUM(Q186:Q211)</f>
        <v>58</v>
      </c>
      <c r="R212" s="31">
        <f>SUM(R186:R211)</f>
        <v>18</v>
      </c>
      <c r="S212" s="32">
        <f>SUM(S186:S211)</f>
        <v>13</v>
      </c>
      <c r="T212" s="33">
        <f>SUM(Q212:S212)</f>
        <v>89</v>
      </c>
      <c r="U212" s="34">
        <f t="shared" si="208"/>
        <v>148</v>
      </c>
    </row>
    <row r="213" spans="1:21" ht="14.25" thickBot="1" x14ac:dyDescent="0.2">
      <c r="A213" s="18" t="s">
        <v>18</v>
      </c>
      <c r="B213" s="44">
        <f>B185-B212</f>
        <v>10</v>
      </c>
      <c r="C213" s="45">
        <f t="shared" ref="C213:E213" si="212">C185-C212</f>
        <v>11</v>
      </c>
      <c r="D213" s="46">
        <f t="shared" si="212"/>
        <v>15</v>
      </c>
      <c r="E213" s="46">
        <f t="shared" si="212"/>
        <v>36</v>
      </c>
      <c r="F213" s="44">
        <f>F185-F212</f>
        <v>13</v>
      </c>
      <c r="G213" s="45">
        <f t="shared" ref="G213:I213" si="213">G185-G212</f>
        <v>10</v>
      </c>
      <c r="H213" s="46">
        <f t="shared" si="213"/>
        <v>9</v>
      </c>
      <c r="I213" s="46">
        <f t="shared" si="213"/>
        <v>32</v>
      </c>
      <c r="J213" s="24">
        <f t="shared" si="205"/>
        <v>68</v>
      </c>
      <c r="L213" s="18" t="s">
        <v>18</v>
      </c>
      <c r="M213" s="44">
        <f>M185-M212</f>
        <v>203</v>
      </c>
      <c r="N213" s="45">
        <f t="shared" ref="N213:P213" si="214">N185-N212</f>
        <v>257</v>
      </c>
      <c r="O213" s="46">
        <f t="shared" si="214"/>
        <v>192</v>
      </c>
      <c r="P213" s="46">
        <f t="shared" si="214"/>
        <v>652</v>
      </c>
      <c r="Q213" s="44">
        <f>Q185-Q212</f>
        <v>177</v>
      </c>
      <c r="R213" s="45">
        <f t="shared" ref="R213:T213" si="215">R185-R212</f>
        <v>294</v>
      </c>
      <c r="S213" s="46">
        <f t="shared" si="215"/>
        <v>198</v>
      </c>
      <c r="T213" s="46">
        <f t="shared" si="215"/>
        <v>669</v>
      </c>
      <c r="U213" s="24">
        <f t="shared" si="208"/>
        <v>1321</v>
      </c>
    </row>
    <row r="216" spans="1:21" ht="45.75" customHeight="1" thickBot="1" x14ac:dyDescent="0.3">
      <c r="A216" s="133" t="s">
        <v>102</v>
      </c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</row>
    <row r="217" spans="1:21" ht="14.25" thickBot="1" x14ac:dyDescent="0.2">
      <c r="A217" s="6" t="s">
        <v>0</v>
      </c>
      <c r="B217" s="128" t="s">
        <v>21</v>
      </c>
      <c r="C217" s="129"/>
      <c r="D217" s="129"/>
      <c r="E217" s="130"/>
      <c r="F217" s="125" t="s">
        <v>19</v>
      </c>
      <c r="G217" s="126"/>
      <c r="H217" s="126"/>
      <c r="I217" s="127"/>
      <c r="J217" s="131" t="s">
        <v>1</v>
      </c>
      <c r="L217" s="6" t="s">
        <v>0</v>
      </c>
      <c r="M217" s="128" t="s">
        <v>21</v>
      </c>
      <c r="N217" s="129"/>
      <c r="O217" s="129"/>
      <c r="P217" s="130"/>
      <c r="Q217" s="125" t="s">
        <v>19</v>
      </c>
      <c r="R217" s="126"/>
      <c r="S217" s="126"/>
      <c r="T217" s="127"/>
      <c r="U217" s="131" t="s">
        <v>1</v>
      </c>
    </row>
    <row r="218" spans="1:21" ht="14.25" thickBot="1" x14ac:dyDescent="0.2">
      <c r="A218" s="6" t="s">
        <v>2</v>
      </c>
      <c r="B218" s="3" t="s">
        <v>3</v>
      </c>
      <c r="C218" s="4" t="s">
        <v>4</v>
      </c>
      <c r="D218" s="5" t="s">
        <v>5</v>
      </c>
      <c r="E218" s="6" t="s">
        <v>6</v>
      </c>
      <c r="F218" s="3" t="s">
        <v>3</v>
      </c>
      <c r="G218" s="4" t="s">
        <v>4</v>
      </c>
      <c r="H218" s="5" t="s">
        <v>5</v>
      </c>
      <c r="I218" s="6" t="s">
        <v>6</v>
      </c>
      <c r="J218" s="132"/>
      <c r="L218" s="6" t="s">
        <v>2</v>
      </c>
      <c r="M218" s="50" t="s">
        <v>3</v>
      </c>
      <c r="N218" s="51" t="s">
        <v>4</v>
      </c>
      <c r="O218" s="52" t="s">
        <v>5</v>
      </c>
      <c r="P218" s="6" t="s">
        <v>6</v>
      </c>
      <c r="Q218" s="3" t="s">
        <v>3</v>
      </c>
      <c r="R218" s="4" t="s">
        <v>4</v>
      </c>
      <c r="S218" s="5" t="s">
        <v>5</v>
      </c>
      <c r="T218" s="6" t="s">
        <v>6</v>
      </c>
      <c r="U218" s="132"/>
    </row>
    <row r="219" spans="1:21" ht="14.25" thickBot="1" x14ac:dyDescent="0.2">
      <c r="A219" s="20" t="s">
        <v>18</v>
      </c>
      <c r="B219" s="21">
        <f>B213</f>
        <v>10</v>
      </c>
      <c r="C219" s="22">
        <f t="shared" ref="C219:D219" si="216">C213</f>
        <v>11</v>
      </c>
      <c r="D219" s="38">
        <f t="shared" si="216"/>
        <v>15</v>
      </c>
      <c r="E219" s="24">
        <f t="shared" ref="E219" si="217">SUM(B219:D219)</f>
        <v>36</v>
      </c>
      <c r="F219" s="21">
        <f>F213</f>
        <v>13</v>
      </c>
      <c r="G219" s="22">
        <f t="shared" ref="G219:H219" si="218">G213</f>
        <v>10</v>
      </c>
      <c r="H219" s="38">
        <f t="shared" si="218"/>
        <v>9</v>
      </c>
      <c r="I219" s="24">
        <f t="shared" ref="I219" si="219">SUM(F219:H219)</f>
        <v>32</v>
      </c>
      <c r="J219" s="24">
        <f>E219+I219</f>
        <v>68</v>
      </c>
      <c r="L219" s="20" t="s">
        <v>18</v>
      </c>
      <c r="M219" s="21">
        <f>M213</f>
        <v>203</v>
      </c>
      <c r="N219" s="22">
        <f t="shared" ref="N219:O219" si="220">N213</f>
        <v>257</v>
      </c>
      <c r="O219" s="38">
        <f t="shared" si="220"/>
        <v>192</v>
      </c>
      <c r="P219" s="73">
        <f t="shared" ref="P219:P227" si="221">SUM(M219:O219)</f>
        <v>652</v>
      </c>
      <c r="Q219" s="21">
        <f>Q213</f>
        <v>177</v>
      </c>
      <c r="R219" s="22">
        <f t="shared" ref="R219:S219" si="222">R213</f>
        <v>294</v>
      </c>
      <c r="S219" s="38">
        <f t="shared" si="222"/>
        <v>198</v>
      </c>
      <c r="T219" s="24">
        <f t="shared" ref="T219:T227" si="223">SUM(Q219:S219)</f>
        <v>669</v>
      </c>
      <c r="U219" s="24">
        <f>P219+T219</f>
        <v>1321</v>
      </c>
    </row>
    <row r="220" spans="1:21" x14ac:dyDescent="0.15">
      <c r="A220" s="19" t="s">
        <v>8</v>
      </c>
      <c r="B220" s="7">
        <v>5</v>
      </c>
      <c r="C220" s="8">
        <v>5</v>
      </c>
      <c r="D220" s="35"/>
      <c r="E220" s="10">
        <f t="shared" ref="E220:E227" si="224">SUM(B220:D220)</f>
        <v>10</v>
      </c>
      <c r="F220" s="7">
        <v>5</v>
      </c>
      <c r="G220" s="8"/>
      <c r="H220" s="35">
        <v>5</v>
      </c>
      <c r="I220" s="48">
        <f t="shared" ref="I220:I227" si="225">SUM(F220:H220)</f>
        <v>10</v>
      </c>
      <c r="J220" s="10">
        <f t="shared" ref="J220:J227" si="226">E220+I220</f>
        <v>20</v>
      </c>
      <c r="K220" s="57">
        <v>45652</v>
      </c>
      <c r="L220" s="19" t="s">
        <v>8</v>
      </c>
      <c r="M220" s="7"/>
      <c r="N220" s="8"/>
      <c r="O220" s="35"/>
      <c r="P220" s="10">
        <f t="shared" si="221"/>
        <v>0</v>
      </c>
      <c r="Q220" s="7"/>
      <c r="R220" s="8"/>
      <c r="S220" s="35"/>
      <c r="T220" s="48">
        <f t="shared" si="223"/>
        <v>0</v>
      </c>
      <c r="U220" s="10">
        <f t="shared" ref="U220:U227" si="227">P220+T220</f>
        <v>0</v>
      </c>
    </row>
    <row r="221" spans="1:21" x14ac:dyDescent="0.15">
      <c r="A221" s="19" t="s">
        <v>9</v>
      </c>
      <c r="B221" s="7">
        <v>5</v>
      </c>
      <c r="C221" s="8">
        <v>5</v>
      </c>
      <c r="D221" s="35">
        <v>5</v>
      </c>
      <c r="E221" s="10">
        <f t="shared" si="224"/>
        <v>15</v>
      </c>
      <c r="F221" s="7">
        <v>5</v>
      </c>
      <c r="G221" s="8">
        <v>5</v>
      </c>
      <c r="H221" s="35">
        <v>5</v>
      </c>
      <c r="I221" s="48">
        <f t="shared" si="225"/>
        <v>15</v>
      </c>
      <c r="J221" s="10">
        <f t="shared" si="226"/>
        <v>30</v>
      </c>
      <c r="K221" s="57">
        <v>45653</v>
      </c>
      <c r="L221" s="19" t="s">
        <v>9</v>
      </c>
      <c r="M221" s="7"/>
      <c r="N221" s="8"/>
      <c r="O221" s="35"/>
      <c r="P221" s="10">
        <f t="shared" si="221"/>
        <v>0</v>
      </c>
      <c r="Q221" s="7"/>
      <c r="R221" s="8"/>
      <c r="S221" s="35"/>
      <c r="T221" s="48">
        <f t="shared" si="223"/>
        <v>0</v>
      </c>
      <c r="U221" s="10">
        <f t="shared" si="227"/>
        <v>0</v>
      </c>
    </row>
    <row r="222" spans="1:21" x14ac:dyDescent="0.15">
      <c r="A222" s="19" t="s">
        <v>10</v>
      </c>
      <c r="B222" s="7">
        <v>10</v>
      </c>
      <c r="C222" s="8">
        <v>10</v>
      </c>
      <c r="D222" s="35"/>
      <c r="E222" s="10">
        <f t="shared" si="224"/>
        <v>20</v>
      </c>
      <c r="F222" s="7">
        <v>10</v>
      </c>
      <c r="G222" s="8">
        <v>10</v>
      </c>
      <c r="H222" s="35">
        <v>5</v>
      </c>
      <c r="I222" s="48">
        <f t="shared" si="225"/>
        <v>25</v>
      </c>
      <c r="J222" s="10">
        <f t="shared" si="226"/>
        <v>45</v>
      </c>
      <c r="K222" s="57">
        <v>45668</v>
      </c>
      <c r="L222" s="19" t="s">
        <v>10</v>
      </c>
      <c r="M222" s="7"/>
      <c r="N222" s="8"/>
      <c r="O222" s="35"/>
      <c r="P222" s="10">
        <f t="shared" si="221"/>
        <v>0</v>
      </c>
      <c r="Q222" s="7"/>
      <c r="R222" s="8"/>
      <c r="S222" s="35"/>
      <c r="T222" s="48">
        <f t="shared" si="223"/>
        <v>0</v>
      </c>
      <c r="U222" s="10">
        <f t="shared" si="227"/>
        <v>0</v>
      </c>
    </row>
    <row r="223" spans="1:21" x14ac:dyDescent="0.15">
      <c r="A223" s="19" t="s">
        <v>11</v>
      </c>
      <c r="B223" s="7">
        <v>5</v>
      </c>
      <c r="C223" s="8"/>
      <c r="D223" s="35"/>
      <c r="E223" s="10">
        <f t="shared" si="224"/>
        <v>5</v>
      </c>
      <c r="F223" s="7">
        <v>10</v>
      </c>
      <c r="G223" s="8"/>
      <c r="H223" s="35"/>
      <c r="I223" s="48">
        <f t="shared" si="225"/>
        <v>10</v>
      </c>
      <c r="J223" s="10">
        <f t="shared" si="226"/>
        <v>15</v>
      </c>
      <c r="K223" s="57">
        <v>45675</v>
      </c>
      <c r="L223" s="19" t="s">
        <v>11</v>
      </c>
      <c r="M223" s="7"/>
      <c r="N223" s="8"/>
      <c r="O223" s="35"/>
      <c r="P223" s="10">
        <f t="shared" ref="P223" si="228">SUM(M223:O223)</f>
        <v>0</v>
      </c>
      <c r="Q223" s="7"/>
      <c r="R223" s="8"/>
      <c r="S223" s="35"/>
      <c r="T223" s="48">
        <f t="shared" ref="T223" si="229">SUM(Q223:S223)</f>
        <v>0</v>
      </c>
      <c r="U223" s="10">
        <f t="shared" ref="U223" si="230">P223+T223</f>
        <v>0</v>
      </c>
    </row>
    <row r="224" spans="1:21" x14ac:dyDescent="0.15">
      <c r="A224" s="19" t="s">
        <v>12</v>
      </c>
      <c r="B224" s="7"/>
      <c r="C224" s="8"/>
      <c r="D224" s="35"/>
      <c r="E224" s="10">
        <f t="shared" si="224"/>
        <v>0</v>
      </c>
      <c r="F224" s="7">
        <v>10</v>
      </c>
      <c r="G224" s="8">
        <v>5</v>
      </c>
      <c r="H224" s="35"/>
      <c r="I224" s="48">
        <f t="shared" si="225"/>
        <v>15</v>
      </c>
      <c r="J224" s="10">
        <f t="shared" si="226"/>
        <v>15</v>
      </c>
      <c r="K224" s="57">
        <v>45681</v>
      </c>
      <c r="L224" s="19" t="s">
        <v>12</v>
      </c>
      <c r="M224" s="7"/>
      <c r="N224" s="8"/>
      <c r="O224" s="35"/>
      <c r="P224" s="10">
        <f t="shared" si="221"/>
        <v>0</v>
      </c>
      <c r="Q224" s="7"/>
      <c r="R224" s="8"/>
      <c r="S224" s="35"/>
      <c r="T224" s="48">
        <f t="shared" si="223"/>
        <v>0</v>
      </c>
      <c r="U224" s="10">
        <f t="shared" si="227"/>
        <v>0</v>
      </c>
    </row>
    <row r="225" spans="1:23" x14ac:dyDescent="0.15">
      <c r="A225" s="19" t="s">
        <v>76</v>
      </c>
      <c r="B225" s="11">
        <v>-3</v>
      </c>
      <c r="C225" s="12"/>
      <c r="D225" s="36"/>
      <c r="E225" s="10">
        <f t="shared" si="224"/>
        <v>-3</v>
      </c>
      <c r="F225" s="11">
        <v>-1</v>
      </c>
      <c r="G225" s="12"/>
      <c r="H225" s="36"/>
      <c r="I225" s="48">
        <f t="shared" si="225"/>
        <v>-1</v>
      </c>
      <c r="J225" s="10">
        <f t="shared" si="226"/>
        <v>-4</v>
      </c>
      <c r="K225" s="57">
        <v>45684</v>
      </c>
      <c r="L225" s="19" t="s">
        <v>13</v>
      </c>
      <c r="M225" s="7"/>
      <c r="N225" s="8"/>
      <c r="O225" s="35"/>
      <c r="P225" s="10">
        <f t="shared" si="221"/>
        <v>0</v>
      </c>
      <c r="Q225" s="7"/>
      <c r="R225" s="8"/>
      <c r="S225" s="35"/>
      <c r="T225" s="48">
        <f t="shared" si="223"/>
        <v>0</v>
      </c>
      <c r="U225" s="10">
        <f t="shared" si="227"/>
        <v>0</v>
      </c>
    </row>
    <row r="226" spans="1:23" x14ac:dyDescent="0.15">
      <c r="A226" s="19" t="s">
        <v>14</v>
      </c>
      <c r="B226" s="7">
        <v>10</v>
      </c>
      <c r="C226" s="8"/>
      <c r="D226" s="35"/>
      <c r="E226" s="10">
        <f t="shared" si="224"/>
        <v>10</v>
      </c>
      <c r="F226" s="7">
        <v>10</v>
      </c>
      <c r="G226" s="8">
        <v>5</v>
      </c>
      <c r="H226" s="35"/>
      <c r="I226" s="48">
        <f t="shared" si="225"/>
        <v>15</v>
      </c>
      <c r="J226" s="10">
        <f t="shared" si="226"/>
        <v>25</v>
      </c>
      <c r="K226" s="57">
        <v>45686</v>
      </c>
      <c r="L226" s="19" t="s">
        <v>14</v>
      </c>
      <c r="M226" s="11"/>
      <c r="N226" s="12"/>
      <c r="O226" s="36"/>
      <c r="P226" s="10">
        <f t="shared" si="221"/>
        <v>0</v>
      </c>
      <c r="Q226" s="11"/>
      <c r="R226" s="12"/>
      <c r="S226" s="36"/>
      <c r="T226" s="48">
        <f t="shared" si="223"/>
        <v>0</v>
      </c>
      <c r="U226" s="10">
        <f t="shared" si="227"/>
        <v>0</v>
      </c>
    </row>
    <row r="227" spans="1:23" ht="14.25" thickBot="1" x14ac:dyDescent="0.2">
      <c r="A227" s="19" t="s">
        <v>15</v>
      </c>
      <c r="B227" s="7">
        <v>5</v>
      </c>
      <c r="C227" s="8"/>
      <c r="D227" s="35"/>
      <c r="E227" s="10">
        <f t="shared" si="224"/>
        <v>5</v>
      </c>
      <c r="F227" s="7">
        <v>10</v>
      </c>
      <c r="G227" s="8">
        <v>5</v>
      </c>
      <c r="H227" s="35"/>
      <c r="I227" s="48">
        <f t="shared" si="225"/>
        <v>15</v>
      </c>
      <c r="J227" s="10">
        <f t="shared" si="226"/>
        <v>20</v>
      </c>
      <c r="K227" s="57">
        <v>45700</v>
      </c>
      <c r="L227" s="19" t="s">
        <v>15</v>
      </c>
      <c r="M227" s="25"/>
      <c r="N227" s="26"/>
      <c r="O227" s="37"/>
      <c r="P227" s="10">
        <f t="shared" si="221"/>
        <v>0</v>
      </c>
      <c r="Q227" s="25"/>
      <c r="R227" s="26"/>
      <c r="S227" s="37"/>
      <c r="T227" s="48">
        <f t="shared" si="223"/>
        <v>0</v>
      </c>
      <c r="U227" s="17">
        <f t="shared" si="227"/>
        <v>0</v>
      </c>
      <c r="V227" s="66"/>
    </row>
    <row r="228" spans="1:23" ht="14.25" thickBot="1" x14ac:dyDescent="0.2">
      <c r="A228" s="27" t="s">
        <v>16</v>
      </c>
      <c r="B228" s="21">
        <f>SUM(B219:B227)</f>
        <v>47</v>
      </c>
      <c r="C228" s="22">
        <f t="shared" ref="C228:J228" si="231">SUM(C219:C227)</f>
        <v>31</v>
      </c>
      <c r="D228" s="38">
        <f t="shared" si="231"/>
        <v>20</v>
      </c>
      <c r="E228" s="54">
        <f t="shared" si="231"/>
        <v>98</v>
      </c>
      <c r="F228" s="21">
        <f t="shared" si="231"/>
        <v>72</v>
      </c>
      <c r="G228" s="22">
        <f t="shared" si="231"/>
        <v>40</v>
      </c>
      <c r="H228" s="38">
        <f t="shared" si="231"/>
        <v>24</v>
      </c>
      <c r="I228" s="53">
        <f t="shared" si="231"/>
        <v>136</v>
      </c>
      <c r="J228" s="24">
        <f t="shared" si="231"/>
        <v>234</v>
      </c>
      <c r="L228" s="27" t="s">
        <v>16</v>
      </c>
      <c r="M228" s="21">
        <f>SUM(M219:M227)</f>
        <v>203</v>
      </c>
      <c r="N228" s="22">
        <f t="shared" ref="N228:U228" si="232">SUM(N219:N227)</f>
        <v>257</v>
      </c>
      <c r="O228" s="38">
        <f t="shared" si="232"/>
        <v>192</v>
      </c>
      <c r="P228" s="54">
        <f t="shared" si="232"/>
        <v>652</v>
      </c>
      <c r="Q228" s="21">
        <f t="shared" si="232"/>
        <v>177</v>
      </c>
      <c r="R228" s="22">
        <f t="shared" si="232"/>
        <v>294</v>
      </c>
      <c r="S228" s="38">
        <f t="shared" si="232"/>
        <v>198</v>
      </c>
      <c r="T228" s="53">
        <f t="shared" si="232"/>
        <v>669</v>
      </c>
      <c r="U228" s="24">
        <f t="shared" si="232"/>
        <v>1321</v>
      </c>
    </row>
    <row r="229" spans="1:23" x14ac:dyDescent="0.15">
      <c r="A229" s="60" t="s">
        <v>37</v>
      </c>
      <c r="B229" s="11">
        <v>1</v>
      </c>
      <c r="C229" s="12"/>
      <c r="D229" s="13"/>
      <c r="E229" s="10">
        <f t="shared" ref="E229" si="233">SUM(B229:D229)</f>
        <v>1</v>
      </c>
      <c r="F229" s="11">
        <v>1</v>
      </c>
      <c r="G229" s="12"/>
      <c r="H229" s="13"/>
      <c r="I229" s="48">
        <f t="shared" ref="I229" si="234">SUM(F229:H229)</f>
        <v>1</v>
      </c>
      <c r="J229" s="10">
        <f t="shared" ref="J229" si="235">E229+I229</f>
        <v>2</v>
      </c>
      <c r="K229" s="66">
        <v>45649</v>
      </c>
      <c r="L229" s="67" t="s">
        <v>46</v>
      </c>
      <c r="M229" s="11">
        <v>10</v>
      </c>
      <c r="N229" s="12">
        <v>10</v>
      </c>
      <c r="O229" s="13"/>
      <c r="P229" s="10">
        <f t="shared" ref="P229:P233" si="236">SUM(M229:O229)</f>
        <v>20</v>
      </c>
      <c r="Q229" s="11">
        <v>10</v>
      </c>
      <c r="R229" s="12">
        <v>10</v>
      </c>
      <c r="S229" s="13">
        <v>5</v>
      </c>
      <c r="T229" s="48">
        <f t="shared" ref="T229:T233" si="237">SUM(Q229:S229)</f>
        <v>25</v>
      </c>
      <c r="U229" s="10">
        <f t="shared" ref="U229:U233" si="238">P229+T229</f>
        <v>45</v>
      </c>
      <c r="V229" s="57">
        <v>45668</v>
      </c>
      <c r="W229" s="39"/>
    </row>
    <row r="230" spans="1:23" x14ac:dyDescent="0.15">
      <c r="A230" s="60" t="s">
        <v>37</v>
      </c>
      <c r="B230" s="11">
        <v>1</v>
      </c>
      <c r="C230" s="12">
        <v>1</v>
      </c>
      <c r="D230" s="13"/>
      <c r="E230" s="10">
        <f t="shared" ref="E230:E254" si="239">SUM(B230:D230)</f>
        <v>2</v>
      </c>
      <c r="F230" s="11">
        <v>2</v>
      </c>
      <c r="G230" s="12"/>
      <c r="H230" s="13">
        <v>1</v>
      </c>
      <c r="I230" s="48">
        <f t="shared" ref="I230:I254" si="240">SUM(F230:H230)</f>
        <v>3</v>
      </c>
      <c r="J230" s="10">
        <f t="shared" ref="J230:J256" si="241">E230+I230</f>
        <v>5</v>
      </c>
      <c r="K230" s="66">
        <v>45650</v>
      </c>
      <c r="L230" s="67" t="s">
        <v>46</v>
      </c>
      <c r="M230" s="11">
        <v>5</v>
      </c>
      <c r="N230" s="12"/>
      <c r="O230" s="13"/>
      <c r="P230" s="10">
        <f t="shared" si="236"/>
        <v>5</v>
      </c>
      <c r="Q230" s="11">
        <v>10</v>
      </c>
      <c r="R230" s="12"/>
      <c r="S230" s="13"/>
      <c r="T230" s="48">
        <f t="shared" si="237"/>
        <v>10</v>
      </c>
      <c r="U230" s="10">
        <f t="shared" si="238"/>
        <v>15</v>
      </c>
      <c r="V230" s="57">
        <v>45675</v>
      </c>
      <c r="W230" s="39"/>
    </row>
    <row r="231" spans="1:23" x14ac:dyDescent="0.15">
      <c r="A231" s="60" t="s">
        <v>37</v>
      </c>
      <c r="B231" s="11"/>
      <c r="C231" s="12">
        <v>2</v>
      </c>
      <c r="D231" s="13"/>
      <c r="E231" s="10">
        <f t="shared" si="239"/>
        <v>2</v>
      </c>
      <c r="F231" s="11">
        <v>2</v>
      </c>
      <c r="G231" s="12"/>
      <c r="H231" s="13">
        <v>1</v>
      </c>
      <c r="I231" s="48">
        <f t="shared" si="240"/>
        <v>3</v>
      </c>
      <c r="J231" s="10">
        <f t="shared" si="241"/>
        <v>5</v>
      </c>
      <c r="K231" s="66">
        <v>45651</v>
      </c>
      <c r="L231" s="67" t="s">
        <v>46</v>
      </c>
      <c r="M231" s="11"/>
      <c r="N231" s="12"/>
      <c r="O231" s="13"/>
      <c r="P231" s="10">
        <f t="shared" si="236"/>
        <v>0</v>
      </c>
      <c r="Q231" s="11">
        <v>10</v>
      </c>
      <c r="R231" s="12">
        <v>5</v>
      </c>
      <c r="S231" s="13"/>
      <c r="T231" s="48">
        <f t="shared" si="237"/>
        <v>15</v>
      </c>
      <c r="U231" s="10">
        <f t="shared" si="238"/>
        <v>15</v>
      </c>
      <c r="V231" s="57">
        <v>45681</v>
      </c>
      <c r="W231" s="39"/>
    </row>
    <row r="232" spans="1:23" x14ac:dyDescent="0.15">
      <c r="A232" s="60" t="s">
        <v>37</v>
      </c>
      <c r="B232" s="11"/>
      <c r="C232" s="12">
        <v>1</v>
      </c>
      <c r="D232" s="13"/>
      <c r="E232" s="10">
        <f t="shared" si="239"/>
        <v>1</v>
      </c>
      <c r="F232" s="11">
        <v>4</v>
      </c>
      <c r="G232" s="12"/>
      <c r="H232" s="13">
        <v>1</v>
      </c>
      <c r="I232" s="48">
        <f t="shared" si="240"/>
        <v>5</v>
      </c>
      <c r="J232" s="10">
        <f t="shared" si="241"/>
        <v>6</v>
      </c>
      <c r="K232" s="66">
        <v>45652</v>
      </c>
      <c r="L232" s="67" t="s">
        <v>46</v>
      </c>
      <c r="M232" s="11">
        <v>10</v>
      </c>
      <c r="N232" s="12"/>
      <c r="O232" s="13"/>
      <c r="P232" s="10">
        <f t="shared" si="236"/>
        <v>10</v>
      </c>
      <c r="Q232" s="11">
        <v>10</v>
      </c>
      <c r="R232" s="12">
        <v>5</v>
      </c>
      <c r="S232" s="13"/>
      <c r="T232" s="48">
        <f t="shared" si="237"/>
        <v>15</v>
      </c>
      <c r="U232" s="10">
        <f t="shared" si="238"/>
        <v>25</v>
      </c>
      <c r="V232" s="57">
        <v>45686</v>
      </c>
    </row>
    <row r="233" spans="1:23" x14ac:dyDescent="0.15">
      <c r="A233" s="60" t="s">
        <v>37</v>
      </c>
      <c r="B233" s="11"/>
      <c r="C233" s="12"/>
      <c r="D233" s="13"/>
      <c r="E233" s="10">
        <f t="shared" si="239"/>
        <v>0</v>
      </c>
      <c r="F233" s="11"/>
      <c r="G233" s="12"/>
      <c r="H233" s="13">
        <v>1</v>
      </c>
      <c r="I233" s="48">
        <f t="shared" si="240"/>
        <v>1</v>
      </c>
      <c r="J233" s="10">
        <f t="shared" si="241"/>
        <v>1</v>
      </c>
      <c r="K233" s="66">
        <v>45653</v>
      </c>
      <c r="L233" s="67" t="s">
        <v>46</v>
      </c>
      <c r="M233" s="11">
        <v>5</v>
      </c>
      <c r="N233" s="12"/>
      <c r="O233" s="13"/>
      <c r="P233" s="10">
        <f t="shared" si="236"/>
        <v>5</v>
      </c>
      <c r="Q233" s="11">
        <v>10</v>
      </c>
      <c r="R233" s="12">
        <v>5</v>
      </c>
      <c r="S233" s="13"/>
      <c r="T233" s="48">
        <f t="shared" si="237"/>
        <v>15</v>
      </c>
      <c r="U233" s="10">
        <f t="shared" si="238"/>
        <v>20</v>
      </c>
      <c r="V233" s="57">
        <v>45700</v>
      </c>
    </row>
    <row r="234" spans="1:23" x14ac:dyDescent="0.15">
      <c r="A234" s="60" t="s">
        <v>85</v>
      </c>
      <c r="B234" s="11">
        <v>5</v>
      </c>
      <c r="C234" s="12">
        <v>5</v>
      </c>
      <c r="D234" s="13">
        <v>5</v>
      </c>
      <c r="E234" s="10">
        <f t="shared" si="239"/>
        <v>15</v>
      </c>
      <c r="F234" s="11">
        <v>5</v>
      </c>
      <c r="G234" s="12">
        <v>5</v>
      </c>
      <c r="H234" s="13">
        <v>5</v>
      </c>
      <c r="I234" s="48">
        <f t="shared" si="240"/>
        <v>15</v>
      </c>
      <c r="J234" s="10">
        <f t="shared" si="241"/>
        <v>30</v>
      </c>
      <c r="K234" s="66">
        <v>45653</v>
      </c>
      <c r="L234" s="60"/>
      <c r="M234" s="11"/>
      <c r="N234" s="12"/>
      <c r="O234" s="13"/>
      <c r="P234" s="10">
        <f t="shared" ref="P234:P250" si="242">SUM(M234:O234)</f>
        <v>0</v>
      </c>
      <c r="Q234" s="11"/>
      <c r="R234" s="12"/>
      <c r="S234" s="13"/>
      <c r="T234" s="48">
        <f t="shared" ref="T234:T250" si="243">SUM(Q234:S234)</f>
        <v>0</v>
      </c>
      <c r="U234" s="10">
        <f t="shared" ref="U234:U256" si="244">P234+T234</f>
        <v>0</v>
      </c>
      <c r="V234" s="56"/>
    </row>
    <row r="235" spans="1:23" x14ac:dyDescent="0.15">
      <c r="A235" s="60" t="s">
        <v>37</v>
      </c>
      <c r="B235" s="11">
        <v>3</v>
      </c>
      <c r="C235" s="12"/>
      <c r="D235" s="13"/>
      <c r="E235" s="10">
        <f t="shared" si="239"/>
        <v>3</v>
      </c>
      <c r="F235" s="11">
        <v>1</v>
      </c>
      <c r="G235" s="12"/>
      <c r="H235" s="13"/>
      <c r="I235" s="48">
        <f t="shared" si="240"/>
        <v>1</v>
      </c>
      <c r="J235" s="10">
        <f t="shared" si="241"/>
        <v>4</v>
      </c>
      <c r="K235" s="66">
        <v>45663</v>
      </c>
      <c r="L235" s="60"/>
      <c r="M235" s="11"/>
      <c r="N235" s="12"/>
      <c r="O235" s="13"/>
      <c r="P235" s="10">
        <f t="shared" si="242"/>
        <v>0</v>
      </c>
      <c r="Q235" s="11"/>
      <c r="R235" s="12"/>
      <c r="S235" s="13"/>
      <c r="T235" s="48">
        <f t="shared" si="243"/>
        <v>0</v>
      </c>
      <c r="U235" s="10">
        <f t="shared" si="244"/>
        <v>0</v>
      </c>
      <c r="V235" s="56"/>
    </row>
    <row r="236" spans="1:23" x14ac:dyDescent="0.15">
      <c r="A236" s="60" t="s">
        <v>37</v>
      </c>
      <c r="B236" s="11">
        <v>1</v>
      </c>
      <c r="C236" s="12"/>
      <c r="D236" s="13"/>
      <c r="E236" s="10">
        <f t="shared" si="239"/>
        <v>1</v>
      </c>
      <c r="F236" s="11">
        <v>1</v>
      </c>
      <c r="G236" s="12">
        <v>1</v>
      </c>
      <c r="H236" s="13"/>
      <c r="I236" s="48">
        <f t="shared" si="240"/>
        <v>2</v>
      </c>
      <c r="J236" s="10">
        <f t="shared" si="241"/>
        <v>3</v>
      </c>
      <c r="K236" s="66">
        <v>45665</v>
      </c>
      <c r="L236" s="60"/>
      <c r="M236" s="11"/>
      <c r="N236" s="12"/>
      <c r="O236" s="13"/>
      <c r="P236" s="10">
        <f t="shared" si="242"/>
        <v>0</v>
      </c>
      <c r="Q236" s="11"/>
      <c r="R236" s="12"/>
      <c r="S236" s="13"/>
      <c r="T236" s="48">
        <f t="shared" si="243"/>
        <v>0</v>
      </c>
      <c r="U236" s="10">
        <f t="shared" si="244"/>
        <v>0</v>
      </c>
    </row>
    <row r="237" spans="1:23" x14ac:dyDescent="0.15">
      <c r="A237" s="60" t="s">
        <v>37</v>
      </c>
      <c r="B237" s="11"/>
      <c r="C237" s="12"/>
      <c r="D237" s="13"/>
      <c r="E237" s="10">
        <f t="shared" si="239"/>
        <v>0</v>
      </c>
      <c r="F237" s="11">
        <f>1+1</f>
        <v>2</v>
      </c>
      <c r="G237" s="12"/>
      <c r="H237" s="13"/>
      <c r="I237" s="48">
        <f t="shared" si="240"/>
        <v>2</v>
      </c>
      <c r="J237" s="10">
        <f t="shared" si="241"/>
        <v>2</v>
      </c>
      <c r="K237" s="57">
        <v>45666</v>
      </c>
      <c r="L237" s="60"/>
      <c r="M237" s="11"/>
      <c r="N237" s="12"/>
      <c r="O237" s="13"/>
      <c r="P237" s="10">
        <f t="shared" si="242"/>
        <v>0</v>
      </c>
      <c r="Q237" s="11"/>
      <c r="R237" s="12"/>
      <c r="S237" s="13"/>
      <c r="T237" s="48">
        <f t="shared" si="243"/>
        <v>0</v>
      </c>
      <c r="U237" s="10">
        <f t="shared" si="244"/>
        <v>0</v>
      </c>
    </row>
    <row r="238" spans="1:23" x14ac:dyDescent="0.15">
      <c r="A238" s="60" t="s">
        <v>85</v>
      </c>
      <c r="B238" s="11">
        <v>4</v>
      </c>
      <c r="C238" s="12">
        <v>4</v>
      </c>
      <c r="D238" s="13"/>
      <c r="E238" s="10">
        <f t="shared" si="239"/>
        <v>8</v>
      </c>
      <c r="F238" s="11">
        <v>4</v>
      </c>
      <c r="G238" s="12">
        <v>4</v>
      </c>
      <c r="H238" s="13"/>
      <c r="I238" s="48">
        <f t="shared" si="240"/>
        <v>8</v>
      </c>
      <c r="J238" s="10">
        <f t="shared" si="241"/>
        <v>16</v>
      </c>
      <c r="K238" s="57">
        <v>45668</v>
      </c>
      <c r="L238" s="60"/>
      <c r="M238" s="11"/>
      <c r="N238" s="12"/>
      <c r="O238" s="13"/>
      <c r="P238" s="10">
        <f t="shared" si="242"/>
        <v>0</v>
      </c>
      <c r="Q238" s="11"/>
      <c r="R238" s="12"/>
      <c r="S238" s="13"/>
      <c r="T238" s="48">
        <f t="shared" si="243"/>
        <v>0</v>
      </c>
      <c r="U238" s="10">
        <f t="shared" si="244"/>
        <v>0</v>
      </c>
    </row>
    <row r="239" spans="1:23" x14ac:dyDescent="0.15">
      <c r="A239" s="60" t="s">
        <v>37</v>
      </c>
      <c r="B239" s="11"/>
      <c r="C239" s="12"/>
      <c r="D239" s="13"/>
      <c r="E239" s="10">
        <f t="shared" si="239"/>
        <v>0</v>
      </c>
      <c r="F239" s="11">
        <v>2</v>
      </c>
      <c r="G239" s="12">
        <v>1</v>
      </c>
      <c r="H239" s="13"/>
      <c r="I239" s="48">
        <f t="shared" si="240"/>
        <v>3</v>
      </c>
      <c r="J239" s="10">
        <f t="shared" si="241"/>
        <v>3</v>
      </c>
      <c r="K239" s="57">
        <v>45671</v>
      </c>
      <c r="L239" s="60"/>
      <c r="M239" s="11"/>
      <c r="N239" s="12"/>
      <c r="O239" s="13"/>
      <c r="P239" s="10">
        <f t="shared" si="242"/>
        <v>0</v>
      </c>
      <c r="Q239" s="11"/>
      <c r="R239" s="12"/>
      <c r="S239" s="13"/>
      <c r="T239" s="48">
        <f t="shared" si="243"/>
        <v>0</v>
      </c>
      <c r="U239" s="10">
        <f t="shared" si="244"/>
        <v>0</v>
      </c>
    </row>
    <row r="240" spans="1:23" x14ac:dyDescent="0.15">
      <c r="A240" s="60" t="s">
        <v>37</v>
      </c>
      <c r="B240" s="11"/>
      <c r="C240" s="12"/>
      <c r="D240" s="13">
        <v>1</v>
      </c>
      <c r="E240" s="10">
        <f t="shared" si="239"/>
        <v>1</v>
      </c>
      <c r="F240" s="11">
        <v>1</v>
      </c>
      <c r="G240" s="12"/>
      <c r="H240" s="13"/>
      <c r="I240" s="48">
        <f t="shared" si="240"/>
        <v>1</v>
      </c>
      <c r="J240" s="10">
        <f t="shared" si="241"/>
        <v>2</v>
      </c>
      <c r="K240" s="57">
        <v>45673</v>
      </c>
      <c r="L240" s="60"/>
      <c r="M240" s="11"/>
      <c r="N240" s="12"/>
      <c r="O240" s="13"/>
      <c r="P240" s="10">
        <f t="shared" si="242"/>
        <v>0</v>
      </c>
      <c r="Q240" s="11"/>
      <c r="R240" s="12"/>
      <c r="S240" s="13"/>
      <c r="T240" s="48">
        <f t="shared" si="243"/>
        <v>0</v>
      </c>
      <c r="U240" s="10">
        <f t="shared" si="244"/>
        <v>0</v>
      </c>
    </row>
    <row r="241" spans="1:24" x14ac:dyDescent="0.15">
      <c r="A241" s="60" t="s">
        <v>85</v>
      </c>
      <c r="B241" s="11">
        <v>5</v>
      </c>
      <c r="C241" s="12"/>
      <c r="D241" s="13"/>
      <c r="E241" s="10">
        <f t="shared" si="239"/>
        <v>5</v>
      </c>
      <c r="F241" s="11">
        <v>5</v>
      </c>
      <c r="G241" s="12"/>
      <c r="H241" s="13"/>
      <c r="I241" s="48">
        <f t="shared" si="240"/>
        <v>5</v>
      </c>
      <c r="J241" s="10">
        <f t="shared" si="241"/>
        <v>10</v>
      </c>
      <c r="K241" s="57">
        <v>45674</v>
      </c>
      <c r="L241" s="60"/>
      <c r="M241" s="11"/>
      <c r="N241" s="12"/>
      <c r="O241" s="13"/>
      <c r="P241" s="10">
        <f t="shared" si="242"/>
        <v>0</v>
      </c>
      <c r="Q241" s="11"/>
      <c r="R241" s="12"/>
      <c r="S241" s="13"/>
      <c r="T241" s="48">
        <f t="shared" si="243"/>
        <v>0</v>
      </c>
      <c r="U241" s="10">
        <f t="shared" si="244"/>
        <v>0</v>
      </c>
    </row>
    <row r="242" spans="1:24" x14ac:dyDescent="0.15">
      <c r="A242" s="60" t="s">
        <v>37</v>
      </c>
      <c r="B242" s="11"/>
      <c r="C242" s="12">
        <v>1</v>
      </c>
      <c r="D242" s="13"/>
      <c r="E242" s="10">
        <f t="shared" si="239"/>
        <v>1</v>
      </c>
      <c r="F242" s="11"/>
      <c r="G242" s="12"/>
      <c r="H242" s="13"/>
      <c r="I242" s="48">
        <f t="shared" si="240"/>
        <v>0</v>
      </c>
      <c r="J242" s="10">
        <f t="shared" si="241"/>
        <v>1</v>
      </c>
      <c r="K242" s="57">
        <v>45674</v>
      </c>
      <c r="L242" s="60"/>
      <c r="M242" s="11"/>
      <c r="N242" s="12"/>
      <c r="O242" s="13"/>
      <c r="P242" s="10">
        <f t="shared" si="242"/>
        <v>0</v>
      </c>
      <c r="Q242" s="11"/>
      <c r="R242" s="12"/>
      <c r="S242" s="13"/>
      <c r="T242" s="48">
        <f t="shared" si="243"/>
        <v>0</v>
      </c>
      <c r="U242" s="10">
        <f t="shared" si="244"/>
        <v>0</v>
      </c>
    </row>
    <row r="243" spans="1:24" x14ac:dyDescent="0.15">
      <c r="A243" s="60" t="s">
        <v>37</v>
      </c>
      <c r="B243" s="11"/>
      <c r="C243" s="12"/>
      <c r="D243" s="13"/>
      <c r="E243" s="10">
        <f t="shared" si="239"/>
        <v>0</v>
      </c>
      <c r="F243" s="11">
        <v>1</v>
      </c>
      <c r="G243" s="12">
        <v>1</v>
      </c>
      <c r="H243" s="13"/>
      <c r="I243" s="48">
        <f t="shared" si="240"/>
        <v>2</v>
      </c>
      <c r="J243" s="10">
        <f t="shared" si="241"/>
        <v>2</v>
      </c>
      <c r="K243" s="57">
        <v>45677</v>
      </c>
      <c r="L243" s="60"/>
      <c r="M243" s="11"/>
      <c r="N243" s="12"/>
      <c r="O243" s="13"/>
      <c r="P243" s="10">
        <f t="shared" si="242"/>
        <v>0</v>
      </c>
      <c r="Q243" s="11"/>
      <c r="R243" s="12"/>
      <c r="S243" s="13"/>
      <c r="T243" s="48">
        <f t="shared" si="243"/>
        <v>0</v>
      </c>
      <c r="U243" s="10">
        <f t="shared" si="244"/>
        <v>0</v>
      </c>
    </row>
    <row r="244" spans="1:24" x14ac:dyDescent="0.15">
      <c r="A244" s="60" t="s">
        <v>85</v>
      </c>
      <c r="B244" s="11"/>
      <c r="C244" s="12">
        <v>4</v>
      </c>
      <c r="D244" s="13"/>
      <c r="E244" s="10">
        <f t="shared" si="239"/>
        <v>4</v>
      </c>
      <c r="F244" s="11">
        <v>7</v>
      </c>
      <c r="G244" s="12">
        <v>4</v>
      </c>
      <c r="H244" s="13"/>
      <c r="I244" s="48">
        <f t="shared" si="240"/>
        <v>11</v>
      </c>
      <c r="J244" s="10">
        <f t="shared" si="241"/>
        <v>15</v>
      </c>
      <c r="K244" s="57">
        <v>45678</v>
      </c>
      <c r="L244" s="60"/>
      <c r="M244" s="11"/>
      <c r="N244" s="12"/>
      <c r="O244" s="13"/>
      <c r="P244" s="10">
        <f t="shared" si="242"/>
        <v>0</v>
      </c>
      <c r="Q244" s="11"/>
      <c r="R244" s="12"/>
      <c r="S244" s="13"/>
      <c r="T244" s="48">
        <f t="shared" si="243"/>
        <v>0</v>
      </c>
      <c r="U244" s="10">
        <f t="shared" si="244"/>
        <v>0</v>
      </c>
    </row>
    <row r="245" spans="1:24" x14ac:dyDescent="0.15">
      <c r="A245" s="60" t="s">
        <v>37</v>
      </c>
      <c r="B245" s="11"/>
      <c r="C245" s="12"/>
      <c r="D245" s="13"/>
      <c r="E245" s="10">
        <f t="shared" si="239"/>
        <v>0</v>
      </c>
      <c r="F245" s="11">
        <v>1</v>
      </c>
      <c r="G245" s="12"/>
      <c r="H245" s="13"/>
      <c r="I245" s="48">
        <f t="shared" si="240"/>
        <v>1</v>
      </c>
      <c r="J245" s="10">
        <f t="shared" si="241"/>
        <v>1</v>
      </c>
      <c r="K245" s="57">
        <v>45679</v>
      </c>
      <c r="L245" s="60"/>
      <c r="M245" s="11"/>
      <c r="N245" s="12"/>
      <c r="O245" s="13"/>
      <c r="P245" s="10">
        <f t="shared" si="242"/>
        <v>0</v>
      </c>
      <c r="Q245" s="11"/>
      <c r="R245" s="12"/>
      <c r="S245" s="13"/>
      <c r="T245" s="48">
        <f t="shared" si="243"/>
        <v>0</v>
      </c>
      <c r="U245" s="10">
        <f t="shared" si="244"/>
        <v>0</v>
      </c>
    </row>
    <row r="246" spans="1:24" x14ac:dyDescent="0.15">
      <c r="A246" s="60" t="s">
        <v>37</v>
      </c>
      <c r="B246" s="11"/>
      <c r="C246" s="12"/>
      <c r="D246" s="13"/>
      <c r="E246" s="10">
        <f t="shared" si="239"/>
        <v>0</v>
      </c>
      <c r="F246" s="11">
        <v>1</v>
      </c>
      <c r="G246" s="12">
        <v>1</v>
      </c>
      <c r="H246" s="13"/>
      <c r="I246" s="48">
        <f t="shared" si="240"/>
        <v>2</v>
      </c>
      <c r="J246" s="10">
        <f t="shared" si="241"/>
        <v>2</v>
      </c>
      <c r="K246" s="66">
        <v>45680</v>
      </c>
      <c r="L246" s="60"/>
      <c r="M246" s="11"/>
      <c r="N246" s="12"/>
      <c r="O246" s="13"/>
      <c r="P246" s="10">
        <f t="shared" si="242"/>
        <v>0</v>
      </c>
      <c r="Q246" s="11"/>
      <c r="R246" s="12"/>
      <c r="S246" s="13"/>
      <c r="T246" s="48">
        <f t="shared" si="243"/>
        <v>0</v>
      </c>
      <c r="U246" s="10">
        <f t="shared" si="244"/>
        <v>0</v>
      </c>
    </row>
    <row r="247" spans="1:24" x14ac:dyDescent="0.15">
      <c r="A247" s="60" t="s">
        <v>37</v>
      </c>
      <c r="B247" s="11"/>
      <c r="C247" s="12"/>
      <c r="D247" s="13"/>
      <c r="E247" s="10">
        <f t="shared" si="239"/>
        <v>0</v>
      </c>
      <c r="F247" s="11">
        <v>1</v>
      </c>
      <c r="G247" s="12"/>
      <c r="H247" s="13"/>
      <c r="I247" s="48">
        <f t="shared" si="240"/>
        <v>1</v>
      </c>
      <c r="J247" s="10">
        <f t="shared" si="241"/>
        <v>1</v>
      </c>
      <c r="K247" s="57">
        <v>45681</v>
      </c>
      <c r="L247" s="60"/>
      <c r="M247" s="11"/>
      <c r="N247" s="12"/>
      <c r="O247" s="13"/>
      <c r="P247" s="10">
        <f t="shared" si="242"/>
        <v>0</v>
      </c>
      <c r="Q247" s="11"/>
      <c r="R247" s="12"/>
      <c r="S247" s="13"/>
      <c r="T247" s="48">
        <f t="shared" si="243"/>
        <v>0</v>
      </c>
      <c r="U247" s="10">
        <f t="shared" si="244"/>
        <v>0</v>
      </c>
    </row>
    <row r="248" spans="1:24" x14ac:dyDescent="0.15">
      <c r="A248" s="60" t="s">
        <v>37</v>
      </c>
      <c r="B248" s="11"/>
      <c r="C248" s="12"/>
      <c r="D248" s="13"/>
      <c r="E248" s="10">
        <f t="shared" si="239"/>
        <v>0</v>
      </c>
      <c r="F248" s="11">
        <v>4</v>
      </c>
      <c r="G248" s="12">
        <v>1</v>
      </c>
      <c r="H248" s="13">
        <v>1</v>
      </c>
      <c r="I248" s="48">
        <f t="shared" si="240"/>
        <v>6</v>
      </c>
      <c r="J248" s="10">
        <f t="shared" si="241"/>
        <v>6</v>
      </c>
      <c r="K248" s="57">
        <v>45684</v>
      </c>
      <c r="L248" s="60"/>
      <c r="M248" s="11"/>
      <c r="N248" s="12"/>
      <c r="O248" s="13"/>
      <c r="P248" s="10">
        <f t="shared" si="242"/>
        <v>0</v>
      </c>
      <c r="Q248" s="11"/>
      <c r="R248" s="12"/>
      <c r="S248" s="13"/>
      <c r="T248" s="48">
        <f t="shared" si="243"/>
        <v>0</v>
      </c>
      <c r="U248" s="10">
        <f t="shared" si="244"/>
        <v>0</v>
      </c>
    </row>
    <row r="249" spans="1:24" x14ac:dyDescent="0.15">
      <c r="A249" s="60" t="s">
        <v>85</v>
      </c>
      <c r="B249" s="11">
        <v>10</v>
      </c>
      <c r="C249" s="12">
        <v>3</v>
      </c>
      <c r="D249" s="13"/>
      <c r="E249" s="10">
        <f t="shared" si="239"/>
        <v>13</v>
      </c>
      <c r="F249" s="11">
        <v>5</v>
      </c>
      <c r="G249" s="12">
        <v>5</v>
      </c>
      <c r="H249" s="13"/>
      <c r="I249" s="48">
        <f t="shared" si="240"/>
        <v>10</v>
      </c>
      <c r="J249" s="10">
        <f t="shared" si="241"/>
        <v>23</v>
      </c>
      <c r="K249" s="57">
        <v>45685</v>
      </c>
      <c r="L249" s="60"/>
      <c r="M249" s="11"/>
      <c r="N249" s="12"/>
      <c r="O249" s="13"/>
      <c r="P249" s="10">
        <f t="shared" si="242"/>
        <v>0</v>
      </c>
      <c r="Q249" s="11"/>
      <c r="R249" s="12"/>
      <c r="S249" s="13"/>
      <c r="T249" s="48">
        <f t="shared" si="243"/>
        <v>0</v>
      </c>
      <c r="U249" s="10">
        <f t="shared" si="244"/>
        <v>0</v>
      </c>
    </row>
    <row r="250" spans="1:24" x14ac:dyDescent="0.15">
      <c r="A250" s="60" t="s">
        <v>37</v>
      </c>
      <c r="B250" s="11">
        <v>1</v>
      </c>
      <c r="C250" s="12"/>
      <c r="D250" s="13"/>
      <c r="E250" s="10">
        <f t="shared" si="239"/>
        <v>1</v>
      </c>
      <c r="F250" s="11">
        <v>1</v>
      </c>
      <c r="G250" s="12"/>
      <c r="H250" s="13"/>
      <c r="I250" s="48">
        <f t="shared" si="240"/>
        <v>1</v>
      </c>
      <c r="J250" s="10">
        <f t="shared" si="241"/>
        <v>2</v>
      </c>
      <c r="K250" s="57">
        <v>45685</v>
      </c>
      <c r="L250" s="60"/>
      <c r="M250" s="11"/>
      <c r="N250" s="12"/>
      <c r="O250" s="13"/>
      <c r="P250" s="10">
        <f t="shared" si="242"/>
        <v>0</v>
      </c>
      <c r="Q250" s="11"/>
      <c r="R250" s="12"/>
      <c r="S250" s="13"/>
      <c r="T250" s="48">
        <f t="shared" si="243"/>
        <v>0</v>
      </c>
      <c r="U250" s="10">
        <f t="shared" si="244"/>
        <v>0</v>
      </c>
    </row>
    <row r="251" spans="1:24" x14ac:dyDescent="0.15">
      <c r="A251" s="60" t="s">
        <v>37</v>
      </c>
      <c r="B251" s="11"/>
      <c r="C251" s="12"/>
      <c r="D251" s="13">
        <v>2</v>
      </c>
      <c r="E251" s="10">
        <f t="shared" si="239"/>
        <v>2</v>
      </c>
      <c r="F251" s="11"/>
      <c r="G251" s="12"/>
      <c r="H251" s="13">
        <v>1</v>
      </c>
      <c r="I251" s="48">
        <f t="shared" si="240"/>
        <v>1</v>
      </c>
      <c r="J251" s="10">
        <f t="shared" si="241"/>
        <v>3</v>
      </c>
      <c r="K251" s="57">
        <v>45686</v>
      </c>
      <c r="L251" s="60"/>
      <c r="M251" s="11"/>
      <c r="N251" s="12"/>
      <c r="O251" s="13"/>
      <c r="P251" s="10">
        <f t="shared" ref="P251:P253" si="245">SUM(M251:O251)</f>
        <v>0</v>
      </c>
      <c r="Q251" s="11"/>
      <c r="R251" s="12"/>
      <c r="S251" s="13"/>
      <c r="T251" s="48">
        <f t="shared" ref="T251:T253" si="246">SUM(Q251:S251)</f>
        <v>0</v>
      </c>
      <c r="U251" s="10">
        <f t="shared" ref="U251:U253" si="247">P251+T251</f>
        <v>0</v>
      </c>
      <c r="W251" s="39"/>
      <c r="X251" s="39"/>
    </row>
    <row r="252" spans="1:24" x14ac:dyDescent="0.15">
      <c r="A252" s="60" t="s">
        <v>37</v>
      </c>
      <c r="B252" s="11"/>
      <c r="C252" s="12"/>
      <c r="D252" s="13"/>
      <c r="E252" s="10">
        <f t="shared" si="239"/>
        <v>0</v>
      </c>
      <c r="F252" s="11">
        <v>1</v>
      </c>
      <c r="G252" s="12"/>
      <c r="H252" s="13"/>
      <c r="I252" s="48">
        <f t="shared" si="240"/>
        <v>1</v>
      </c>
      <c r="J252" s="10">
        <f t="shared" si="241"/>
        <v>1</v>
      </c>
      <c r="K252" s="57">
        <v>45687</v>
      </c>
      <c r="L252" s="60"/>
      <c r="M252" s="11"/>
      <c r="N252" s="12"/>
      <c r="O252" s="13"/>
      <c r="P252" s="10">
        <f t="shared" si="245"/>
        <v>0</v>
      </c>
      <c r="Q252" s="11"/>
      <c r="R252" s="12"/>
      <c r="S252" s="13"/>
      <c r="T252" s="48">
        <f t="shared" si="246"/>
        <v>0</v>
      </c>
      <c r="U252" s="10">
        <f t="shared" si="247"/>
        <v>0</v>
      </c>
    </row>
    <row r="253" spans="1:24" x14ac:dyDescent="0.15">
      <c r="A253" s="60" t="s">
        <v>37</v>
      </c>
      <c r="B253" s="11"/>
      <c r="C253" s="12"/>
      <c r="D253" s="13">
        <v>1</v>
      </c>
      <c r="E253" s="10">
        <f t="shared" si="239"/>
        <v>1</v>
      </c>
      <c r="F253" s="11">
        <v>1</v>
      </c>
      <c r="G253" s="12"/>
      <c r="H253" s="13">
        <v>1</v>
      </c>
      <c r="I253" s="48">
        <f t="shared" si="240"/>
        <v>2</v>
      </c>
      <c r="J253" s="10">
        <f t="shared" si="241"/>
        <v>3</v>
      </c>
      <c r="K253" s="57">
        <v>45691</v>
      </c>
      <c r="L253" s="60"/>
      <c r="M253" s="11"/>
      <c r="N253" s="12"/>
      <c r="O253" s="13"/>
      <c r="P253" s="10">
        <f t="shared" si="245"/>
        <v>0</v>
      </c>
      <c r="Q253" s="11"/>
      <c r="R253" s="12"/>
      <c r="S253" s="13"/>
      <c r="T253" s="48">
        <f t="shared" si="246"/>
        <v>0</v>
      </c>
      <c r="U253" s="10">
        <f t="shared" si="247"/>
        <v>0</v>
      </c>
    </row>
    <row r="254" spans="1:24" ht="14.25" thickBot="1" x14ac:dyDescent="0.2">
      <c r="A254" s="60" t="s">
        <v>37</v>
      </c>
      <c r="B254" s="11"/>
      <c r="C254" s="12"/>
      <c r="D254" s="13"/>
      <c r="E254" s="10">
        <f t="shared" si="239"/>
        <v>0</v>
      </c>
      <c r="F254" s="11">
        <v>1</v>
      </c>
      <c r="G254" s="12"/>
      <c r="H254" s="13"/>
      <c r="I254" s="48">
        <f t="shared" si="240"/>
        <v>1</v>
      </c>
      <c r="J254" s="10">
        <f t="shared" si="241"/>
        <v>1</v>
      </c>
      <c r="K254" s="66">
        <v>45692</v>
      </c>
      <c r="L254" s="60"/>
      <c r="M254" s="11"/>
      <c r="N254" s="12"/>
      <c r="O254" s="13"/>
      <c r="P254" s="10">
        <f t="shared" ref="P254" si="248">SUM(M254:O254)</f>
        <v>0</v>
      </c>
      <c r="Q254" s="11"/>
      <c r="R254" s="12"/>
      <c r="S254" s="13"/>
      <c r="T254" s="48">
        <f t="shared" ref="T254" si="249">SUM(Q254:S254)</f>
        <v>0</v>
      </c>
      <c r="U254" s="10">
        <f t="shared" ref="U254" si="250">P254+T254</f>
        <v>0</v>
      </c>
    </row>
    <row r="255" spans="1:24" ht="14.25" thickBot="1" x14ac:dyDescent="0.2">
      <c r="A255" s="29" t="s">
        <v>17</v>
      </c>
      <c r="B255" s="30">
        <f>SUM(B229:B254)</f>
        <v>31</v>
      </c>
      <c r="C255" s="31">
        <f>SUM(C229:C254)</f>
        <v>21</v>
      </c>
      <c r="D255" s="32">
        <f>SUM(D229:D254)</f>
        <v>9</v>
      </c>
      <c r="E255" s="33">
        <f>SUM(B255:D255)</f>
        <v>61</v>
      </c>
      <c r="F255" s="30">
        <f>SUM(F229:F254)</f>
        <v>54</v>
      </c>
      <c r="G255" s="31">
        <f>SUM(G229:G254)</f>
        <v>23</v>
      </c>
      <c r="H255" s="32">
        <f>SUM(H229:H254)</f>
        <v>12</v>
      </c>
      <c r="I255" s="33">
        <f>SUM(F255:H255)</f>
        <v>89</v>
      </c>
      <c r="J255" s="34">
        <f t="shared" si="241"/>
        <v>150</v>
      </c>
      <c r="L255" s="29" t="s">
        <v>17</v>
      </c>
      <c r="M255" s="30">
        <f>SUM(M229:M254)</f>
        <v>30</v>
      </c>
      <c r="N255" s="31">
        <f>SUM(N229:N254)</f>
        <v>10</v>
      </c>
      <c r="O255" s="32">
        <f>SUM(O229:O254)</f>
        <v>0</v>
      </c>
      <c r="P255" s="33">
        <f>SUM(M255:O255)</f>
        <v>40</v>
      </c>
      <c r="Q255" s="30">
        <f>SUM(Q229:Q254)</f>
        <v>50</v>
      </c>
      <c r="R255" s="31">
        <f>SUM(R229:R254)</f>
        <v>25</v>
      </c>
      <c r="S255" s="32">
        <f>SUM(S229:S254)</f>
        <v>5</v>
      </c>
      <c r="T255" s="33">
        <f>SUM(Q255:S255)</f>
        <v>80</v>
      </c>
      <c r="U255" s="34">
        <f t="shared" si="244"/>
        <v>120</v>
      </c>
    </row>
    <row r="256" spans="1:24" ht="14.25" thickBot="1" x14ac:dyDescent="0.2">
      <c r="A256" s="18" t="s">
        <v>18</v>
      </c>
      <c r="B256" s="44">
        <f>B228-B255</f>
        <v>16</v>
      </c>
      <c r="C256" s="45">
        <f t="shared" ref="C256:E256" si="251">C228-C255</f>
        <v>10</v>
      </c>
      <c r="D256" s="46">
        <f t="shared" si="251"/>
        <v>11</v>
      </c>
      <c r="E256" s="46">
        <f t="shared" si="251"/>
        <v>37</v>
      </c>
      <c r="F256" s="44">
        <f>F228-F255</f>
        <v>18</v>
      </c>
      <c r="G256" s="45">
        <f t="shared" ref="G256:I256" si="252">G228-G255</f>
        <v>17</v>
      </c>
      <c r="H256" s="46">
        <f t="shared" si="252"/>
        <v>12</v>
      </c>
      <c r="I256" s="46">
        <f t="shared" si="252"/>
        <v>47</v>
      </c>
      <c r="J256" s="24">
        <f t="shared" si="241"/>
        <v>84</v>
      </c>
      <c r="L256" s="18" t="s">
        <v>18</v>
      </c>
      <c r="M256" s="44">
        <f>M228-M255</f>
        <v>173</v>
      </c>
      <c r="N256" s="45">
        <f t="shared" ref="N256:P256" si="253">N228-N255</f>
        <v>247</v>
      </c>
      <c r="O256" s="46">
        <f t="shared" si="253"/>
        <v>192</v>
      </c>
      <c r="P256" s="46">
        <f t="shared" si="253"/>
        <v>612</v>
      </c>
      <c r="Q256" s="44">
        <f>Q228-Q255</f>
        <v>127</v>
      </c>
      <c r="R256" s="45">
        <f t="shared" ref="R256:T256" si="254">R228-R255</f>
        <v>269</v>
      </c>
      <c r="S256" s="46">
        <f t="shared" si="254"/>
        <v>193</v>
      </c>
      <c r="T256" s="46">
        <f t="shared" si="254"/>
        <v>589</v>
      </c>
      <c r="U256" s="24">
        <f t="shared" si="244"/>
        <v>1201</v>
      </c>
    </row>
    <row r="259" spans="1:22" ht="19.5" thickBot="1" x14ac:dyDescent="0.25">
      <c r="A259" s="2" t="s">
        <v>24</v>
      </c>
      <c r="B259" s="1"/>
      <c r="C259" s="1"/>
      <c r="D259" s="1"/>
      <c r="E259" s="1"/>
      <c r="F259" s="1" t="s">
        <v>39</v>
      </c>
      <c r="G259" s="1"/>
      <c r="H259" s="1"/>
      <c r="I259" s="1"/>
      <c r="J259" s="1"/>
      <c r="L259" s="2" t="s">
        <v>23</v>
      </c>
      <c r="M259" s="1"/>
      <c r="N259" s="1"/>
      <c r="O259" s="1"/>
      <c r="P259" s="63" t="s">
        <v>35</v>
      </c>
      <c r="Q259" s="1"/>
      <c r="R259" s="1" t="s">
        <v>39</v>
      </c>
      <c r="S259" s="1"/>
      <c r="T259" s="1"/>
      <c r="U259" s="1"/>
    </row>
    <row r="260" spans="1:22" ht="14.25" thickBot="1" x14ac:dyDescent="0.2">
      <c r="A260" s="6" t="s">
        <v>0</v>
      </c>
      <c r="B260" s="128" t="s">
        <v>21</v>
      </c>
      <c r="C260" s="129"/>
      <c r="D260" s="129"/>
      <c r="E260" s="130"/>
      <c r="F260" s="125" t="s">
        <v>19</v>
      </c>
      <c r="G260" s="126"/>
      <c r="H260" s="126"/>
      <c r="I260" s="127"/>
      <c r="J260" s="131" t="s">
        <v>1</v>
      </c>
      <c r="L260" s="6" t="s">
        <v>0</v>
      </c>
      <c r="M260" s="128" t="s">
        <v>21</v>
      </c>
      <c r="N260" s="129"/>
      <c r="O260" s="129"/>
      <c r="P260" s="130"/>
      <c r="Q260" s="125" t="s">
        <v>19</v>
      </c>
      <c r="R260" s="126"/>
      <c r="S260" s="126"/>
      <c r="T260" s="127"/>
      <c r="U260" s="131" t="s">
        <v>1</v>
      </c>
    </row>
    <row r="261" spans="1:22" ht="14.25" thickBot="1" x14ac:dyDescent="0.2">
      <c r="A261" s="6" t="s">
        <v>2</v>
      </c>
      <c r="B261" s="3" t="s">
        <v>3</v>
      </c>
      <c r="C261" s="4" t="s">
        <v>4</v>
      </c>
      <c r="D261" s="5" t="s">
        <v>5</v>
      </c>
      <c r="E261" s="6" t="s">
        <v>6</v>
      </c>
      <c r="F261" s="3" t="s">
        <v>3</v>
      </c>
      <c r="G261" s="4" t="s">
        <v>4</v>
      </c>
      <c r="H261" s="5" t="s">
        <v>5</v>
      </c>
      <c r="I261" s="6" t="s">
        <v>6</v>
      </c>
      <c r="J261" s="132"/>
      <c r="L261" s="6" t="s">
        <v>2</v>
      </c>
      <c r="M261" s="50" t="s">
        <v>3</v>
      </c>
      <c r="N261" s="51" t="s">
        <v>4</v>
      </c>
      <c r="O261" s="52" t="s">
        <v>5</v>
      </c>
      <c r="P261" s="6" t="s">
        <v>6</v>
      </c>
      <c r="Q261" s="3" t="s">
        <v>3</v>
      </c>
      <c r="R261" s="4" t="s">
        <v>4</v>
      </c>
      <c r="S261" s="5" t="s">
        <v>5</v>
      </c>
      <c r="T261" s="6" t="s">
        <v>6</v>
      </c>
      <c r="U261" s="132"/>
    </row>
    <row r="262" spans="1:22" ht="14.25" thickBot="1" x14ac:dyDescent="0.2">
      <c r="A262" s="20" t="s">
        <v>18</v>
      </c>
      <c r="B262" s="21">
        <f>B256</f>
        <v>16</v>
      </c>
      <c r="C262" s="22">
        <f t="shared" ref="C262:D262" si="255">C256</f>
        <v>10</v>
      </c>
      <c r="D262" s="38">
        <f t="shared" si="255"/>
        <v>11</v>
      </c>
      <c r="E262" s="24">
        <f t="shared" ref="E262:E270" si="256">SUM(B262:D262)</f>
        <v>37</v>
      </c>
      <c r="F262" s="21">
        <f>F256</f>
        <v>18</v>
      </c>
      <c r="G262" s="22">
        <f t="shared" ref="G262:H262" si="257">G256</f>
        <v>17</v>
      </c>
      <c r="H262" s="38">
        <f t="shared" si="257"/>
        <v>12</v>
      </c>
      <c r="I262" s="24">
        <f t="shared" ref="I262:I270" si="258">SUM(F262:H262)</f>
        <v>47</v>
      </c>
      <c r="J262" s="24">
        <f>E262+I262</f>
        <v>84</v>
      </c>
      <c r="L262" s="20" t="s">
        <v>18</v>
      </c>
      <c r="M262" s="21">
        <f>M256</f>
        <v>173</v>
      </c>
      <c r="N262" s="22">
        <f t="shared" ref="N262:O262" si="259">N256</f>
        <v>247</v>
      </c>
      <c r="O262" s="38">
        <f t="shared" si="259"/>
        <v>192</v>
      </c>
      <c r="P262" s="73">
        <f t="shared" ref="P262:P270" si="260">SUM(M262:O262)</f>
        <v>612</v>
      </c>
      <c r="Q262" s="21">
        <f>Q256</f>
        <v>127</v>
      </c>
      <c r="R262" s="22">
        <f t="shared" ref="R262:S262" si="261">R256</f>
        <v>269</v>
      </c>
      <c r="S262" s="38">
        <f t="shared" si="261"/>
        <v>193</v>
      </c>
      <c r="T262" s="24">
        <f t="shared" ref="T262:T270" si="262">SUM(Q262:S262)</f>
        <v>589</v>
      </c>
      <c r="U262" s="24">
        <f>P262+T262</f>
        <v>1201</v>
      </c>
    </row>
    <row r="263" spans="1:22" x14ac:dyDescent="0.15">
      <c r="A263" s="19" t="s">
        <v>8</v>
      </c>
      <c r="B263" s="7">
        <v>5</v>
      </c>
      <c r="C263" s="8"/>
      <c r="D263" s="35"/>
      <c r="E263" s="10">
        <f t="shared" ref="E263" si="263">SUM(B263:D263)</f>
        <v>5</v>
      </c>
      <c r="F263" s="7">
        <v>10</v>
      </c>
      <c r="G263" s="8">
        <v>5</v>
      </c>
      <c r="H263" s="35">
        <v>5</v>
      </c>
      <c r="I263" s="48">
        <f t="shared" ref="I263" si="264">SUM(F263:H263)</f>
        <v>20</v>
      </c>
      <c r="J263" s="10">
        <f t="shared" ref="J263" si="265">E263+I263</f>
        <v>25</v>
      </c>
      <c r="K263" s="57">
        <v>45707</v>
      </c>
      <c r="L263" s="19" t="s">
        <v>8</v>
      </c>
      <c r="M263" s="7"/>
      <c r="N263" s="8"/>
      <c r="O263" s="35"/>
      <c r="P263" s="10">
        <f t="shared" si="260"/>
        <v>0</v>
      </c>
      <c r="Q263" s="7"/>
      <c r="R263" s="8"/>
      <c r="S263" s="35"/>
      <c r="T263" s="48">
        <f t="shared" si="262"/>
        <v>0</v>
      </c>
      <c r="U263" s="10">
        <f t="shared" ref="U263:U270" si="266">P263+T263</f>
        <v>0</v>
      </c>
    </row>
    <row r="264" spans="1:22" x14ac:dyDescent="0.15">
      <c r="A264" s="19" t="s">
        <v>9</v>
      </c>
      <c r="B264" s="7">
        <v>5</v>
      </c>
      <c r="C264" s="8"/>
      <c r="D264" s="35">
        <v>5</v>
      </c>
      <c r="E264" s="10">
        <f t="shared" si="256"/>
        <v>10</v>
      </c>
      <c r="F264" s="7">
        <v>5</v>
      </c>
      <c r="G264" s="8"/>
      <c r="H264" s="35"/>
      <c r="I264" s="48">
        <f t="shared" si="258"/>
        <v>5</v>
      </c>
      <c r="J264" s="10">
        <f t="shared" ref="J264:J270" si="267">E264+I264</f>
        <v>15</v>
      </c>
      <c r="K264" s="57">
        <v>45714</v>
      </c>
      <c r="L264" s="19" t="s">
        <v>9</v>
      </c>
      <c r="M264" s="7"/>
      <c r="N264" s="8"/>
      <c r="O264" s="35"/>
      <c r="P264" s="10">
        <f t="shared" si="260"/>
        <v>0</v>
      </c>
      <c r="Q264" s="7"/>
      <c r="R264" s="8"/>
      <c r="S264" s="35"/>
      <c r="T264" s="48">
        <f t="shared" si="262"/>
        <v>0</v>
      </c>
      <c r="U264" s="10">
        <f t="shared" si="266"/>
        <v>0</v>
      </c>
    </row>
    <row r="265" spans="1:22" x14ac:dyDescent="0.15">
      <c r="A265" s="19" t="s">
        <v>10</v>
      </c>
      <c r="B265" s="7">
        <v>10</v>
      </c>
      <c r="C265" s="8">
        <v>5</v>
      </c>
      <c r="D265" s="35"/>
      <c r="E265" s="10">
        <f t="shared" si="256"/>
        <v>15</v>
      </c>
      <c r="F265" s="7">
        <v>10</v>
      </c>
      <c r="G265" s="8">
        <v>5</v>
      </c>
      <c r="H265" s="35"/>
      <c r="I265" s="48">
        <f t="shared" si="258"/>
        <v>15</v>
      </c>
      <c r="J265" s="10">
        <f t="shared" si="267"/>
        <v>30</v>
      </c>
      <c r="K265" s="57">
        <v>45720</v>
      </c>
      <c r="L265" s="19" t="s">
        <v>10</v>
      </c>
      <c r="M265" s="7"/>
      <c r="N265" s="8"/>
      <c r="O265" s="35"/>
      <c r="P265" s="10">
        <f t="shared" ref="P265" si="268">SUM(M265:O265)</f>
        <v>0</v>
      </c>
      <c r="Q265" s="7"/>
      <c r="R265" s="8"/>
      <c r="S265" s="35"/>
      <c r="T265" s="48">
        <f t="shared" ref="T265" si="269">SUM(Q265:S265)</f>
        <v>0</v>
      </c>
      <c r="U265" s="10">
        <f t="shared" ref="U265" si="270">P265+T265</f>
        <v>0</v>
      </c>
    </row>
    <row r="266" spans="1:22" x14ac:dyDescent="0.15">
      <c r="A266" s="19" t="s">
        <v>11</v>
      </c>
      <c r="B266" s="7">
        <v>10</v>
      </c>
      <c r="C266" s="8"/>
      <c r="D266" s="35">
        <v>5</v>
      </c>
      <c r="E266" s="10">
        <f t="shared" si="256"/>
        <v>15</v>
      </c>
      <c r="F266" s="7">
        <v>10</v>
      </c>
      <c r="G266" s="8"/>
      <c r="H266" s="35"/>
      <c r="I266" s="48">
        <f t="shared" si="258"/>
        <v>10</v>
      </c>
      <c r="J266" s="10">
        <f t="shared" si="267"/>
        <v>25</v>
      </c>
      <c r="K266" s="57">
        <v>45727</v>
      </c>
      <c r="L266" s="19" t="s">
        <v>11</v>
      </c>
      <c r="M266" s="7"/>
      <c r="N266" s="8"/>
      <c r="O266" s="35"/>
      <c r="P266" s="10">
        <f t="shared" si="260"/>
        <v>0</v>
      </c>
      <c r="Q266" s="7"/>
      <c r="R266" s="8"/>
      <c r="S266" s="35"/>
      <c r="T266" s="48">
        <f t="shared" si="262"/>
        <v>0</v>
      </c>
      <c r="U266" s="10">
        <f t="shared" si="266"/>
        <v>0</v>
      </c>
    </row>
    <row r="267" spans="1:22" x14ac:dyDescent="0.15">
      <c r="A267" s="19" t="s">
        <v>12</v>
      </c>
      <c r="B267" s="7"/>
      <c r="C267" s="8"/>
      <c r="D267" s="35"/>
      <c r="E267" s="10">
        <f t="shared" si="256"/>
        <v>0</v>
      </c>
      <c r="F267" s="7"/>
      <c r="G267" s="8"/>
      <c r="H267" s="35"/>
      <c r="I267" s="48">
        <f t="shared" si="258"/>
        <v>0</v>
      </c>
      <c r="J267" s="10">
        <f t="shared" si="267"/>
        <v>0</v>
      </c>
      <c r="K267" s="56"/>
      <c r="L267" s="19" t="s">
        <v>12</v>
      </c>
      <c r="M267" s="7"/>
      <c r="N267" s="8"/>
      <c r="O267" s="35"/>
      <c r="P267" s="10">
        <f t="shared" si="260"/>
        <v>0</v>
      </c>
      <c r="Q267" s="7"/>
      <c r="R267" s="8"/>
      <c r="S267" s="35"/>
      <c r="T267" s="48">
        <f t="shared" si="262"/>
        <v>0</v>
      </c>
      <c r="U267" s="10">
        <f t="shared" si="266"/>
        <v>0</v>
      </c>
    </row>
    <row r="268" spans="1:22" x14ac:dyDescent="0.15">
      <c r="A268" s="19" t="s">
        <v>13</v>
      </c>
      <c r="B268" s="7"/>
      <c r="C268" s="8"/>
      <c r="D268" s="35"/>
      <c r="E268" s="10">
        <f t="shared" si="256"/>
        <v>0</v>
      </c>
      <c r="F268" s="7"/>
      <c r="G268" s="8"/>
      <c r="H268" s="35"/>
      <c r="I268" s="48">
        <f t="shared" si="258"/>
        <v>0</v>
      </c>
      <c r="J268" s="10">
        <f t="shared" si="267"/>
        <v>0</v>
      </c>
      <c r="L268" s="19" t="s">
        <v>13</v>
      </c>
      <c r="M268" s="7"/>
      <c r="N268" s="8"/>
      <c r="O268" s="35"/>
      <c r="P268" s="10">
        <f t="shared" si="260"/>
        <v>0</v>
      </c>
      <c r="Q268" s="7"/>
      <c r="R268" s="8"/>
      <c r="S268" s="35"/>
      <c r="T268" s="48">
        <f t="shared" si="262"/>
        <v>0</v>
      </c>
      <c r="U268" s="10">
        <f t="shared" si="266"/>
        <v>0</v>
      </c>
    </row>
    <row r="269" spans="1:22" x14ac:dyDescent="0.15">
      <c r="A269" s="19" t="s">
        <v>14</v>
      </c>
      <c r="B269" s="11"/>
      <c r="C269" s="12"/>
      <c r="D269" s="36"/>
      <c r="E269" s="10">
        <f t="shared" si="256"/>
        <v>0</v>
      </c>
      <c r="F269" s="11"/>
      <c r="G269" s="12"/>
      <c r="H269" s="36"/>
      <c r="I269" s="48">
        <f t="shared" si="258"/>
        <v>0</v>
      </c>
      <c r="J269" s="10">
        <f t="shared" si="267"/>
        <v>0</v>
      </c>
      <c r="L269" s="19" t="s">
        <v>14</v>
      </c>
      <c r="M269" s="11"/>
      <c r="N269" s="12"/>
      <c r="O269" s="36"/>
      <c r="P269" s="10">
        <f t="shared" si="260"/>
        <v>0</v>
      </c>
      <c r="Q269" s="11"/>
      <c r="R269" s="12"/>
      <c r="S269" s="36"/>
      <c r="T269" s="48">
        <f t="shared" si="262"/>
        <v>0</v>
      </c>
      <c r="U269" s="10">
        <f t="shared" si="266"/>
        <v>0</v>
      </c>
    </row>
    <row r="270" spans="1:22" ht="14.25" thickBot="1" x14ac:dyDescent="0.2">
      <c r="A270" s="19" t="s">
        <v>76</v>
      </c>
      <c r="B270" s="25">
        <v>1</v>
      </c>
      <c r="C270" s="26"/>
      <c r="D270" s="37"/>
      <c r="E270" s="10">
        <f t="shared" si="256"/>
        <v>1</v>
      </c>
      <c r="F270" s="25"/>
      <c r="G270" s="26"/>
      <c r="H270" s="37"/>
      <c r="I270" s="48">
        <f t="shared" si="258"/>
        <v>0</v>
      </c>
      <c r="J270" s="17">
        <f t="shared" si="267"/>
        <v>1</v>
      </c>
      <c r="K270" s="66">
        <v>45764</v>
      </c>
      <c r="L270" s="19" t="s">
        <v>15</v>
      </c>
      <c r="M270" s="25"/>
      <c r="N270" s="26"/>
      <c r="O270" s="37"/>
      <c r="P270" s="10">
        <f t="shared" si="260"/>
        <v>0</v>
      </c>
      <c r="Q270" s="25"/>
      <c r="R270" s="26"/>
      <c r="S270" s="37"/>
      <c r="T270" s="48">
        <f t="shared" si="262"/>
        <v>0</v>
      </c>
      <c r="U270" s="17">
        <f t="shared" si="266"/>
        <v>0</v>
      </c>
    </row>
    <row r="271" spans="1:22" ht="14.25" thickBot="1" x14ac:dyDescent="0.2">
      <c r="A271" s="27" t="s">
        <v>16</v>
      </c>
      <c r="B271" s="21">
        <f>SUM(B262:B270)</f>
        <v>47</v>
      </c>
      <c r="C271" s="22">
        <f t="shared" ref="C271:J271" si="271">SUM(C262:C270)</f>
        <v>15</v>
      </c>
      <c r="D271" s="38">
        <f t="shared" si="271"/>
        <v>21</v>
      </c>
      <c r="E271" s="54">
        <f t="shared" si="271"/>
        <v>83</v>
      </c>
      <c r="F271" s="21">
        <f t="shared" si="271"/>
        <v>53</v>
      </c>
      <c r="G271" s="22">
        <f t="shared" si="271"/>
        <v>27</v>
      </c>
      <c r="H271" s="38">
        <f t="shared" si="271"/>
        <v>17</v>
      </c>
      <c r="I271" s="53">
        <f t="shared" si="271"/>
        <v>97</v>
      </c>
      <c r="J271" s="24">
        <f t="shared" si="271"/>
        <v>180</v>
      </c>
      <c r="L271" s="27" t="s">
        <v>16</v>
      </c>
      <c r="M271" s="21">
        <f>SUM(M262:M270)</f>
        <v>173</v>
      </c>
      <c r="N271" s="22">
        <f t="shared" ref="N271:U271" si="272">SUM(N262:N270)</f>
        <v>247</v>
      </c>
      <c r="O271" s="38">
        <f t="shared" si="272"/>
        <v>192</v>
      </c>
      <c r="P271" s="54">
        <f t="shared" si="272"/>
        <v>612</v>
      </c>
      <c r="Q271" s="21">
        <f t="shared" si="272"/>
        <v>127</v>
      </c>
      <c r="R271" s="22">
        <f t="shared" si="272"/>
        <v>269</v>
      </c>
      <c r="S271" s="38">
        <f t="shared" si="272"/>
        <v>193</v>
      </c>
      <c r="T271" s="53">
        <f t="shared" si="272"/>
        <v>589</v>
      </c>
      <c r="U271" s="24">
        <f t="shared" si="272"/>
        <v>1201</v>
      </c>
    </row>
    <row r="272" spans="1:22" x14ac:dyDescent="0.15">
      <c r="A272" s="60" t="s">
        <v>85</v>
      </c>
      <c r="B272" s="11">
        <v>5</v>
      </c>
      <c r="C272" s="12"/>
      <c r="D272" s="13"/>
      <c r="E272" s="10">
        <f t="shared" ref="E272" si="273">SUM(B272:D272)</f>
        <v>5</v>
      </c>
      <c r="F272" s="11"/>
      <c r="G272" s="12">
        <v>5</v>
      </c>
      <c r="H272" s="13"/>
      <c r="I272" s="48">
        <f t="shared" ref="I272" si="274">SUM(F272:H272)</f>
        <v>5</v>
      </c>
      <c r="J272" s="10">
        <f t="shared" ref="J272" si="275">E272+I272</f>
        <v>10</v>
      </c>
      <c r="K272" s="57">
        <v>45693</v>
      </c>
      <c r="L272" s="67" t="s">
        <v>46</v>
      </c>
      <c r="M272" s="11">
        <v>5</v>
      </c>
      <c r="N272" s="12"/>
      <c r="O272" s="13"/>
      <c r="P272" s="10">
        <f t="shared" ref="P272:P273" si="276">SUM(M272:O272)</f>
        <v>5</v>
      </c>
      <c r="Q272" s="11">
        <v>10</v>
      </c>
      <c r="R272" s="12">
        <v>5</v>
      </c>
      <c r="S272" s="13">
        <v>5</v>
      </c>
      <c r="T272" s="48">
        <f t="shared" ref="T272:T273" si="277">SUM(Q272:S272)</f>
        <v>20</v>
      </c>
      <c r="U272" s="10">
        <f t="shared" ref="U272:U273" si="278">P272+T272</f>
        <v>25</v>
      </c>
      <c r="V272" s="57">
        <v>45707</v>
      </c>
    </row>
    <row r="273" spans="1:22" x14ac:dyDescent="0.15">
      <c r="A273" s="60" t="s">
        <v>37</v>
      </c>
      <c r="B273" s="11">
        <v>1</v>
      </c>
      <c r="C273" s="12"/>
      <c r="D273" s="13"/>
      <c r="E273" s="10">
        <f t="shared" ref="E273:E297" si="279">SUM(B273:D273)</f>
        <v>1</v>
      </c>
      <c r="F273" s="11">
        <v>1</v>
      </c>
      <c r="G273" s="12"/>
      <c r="H273" s="13"/>
      <c r="I273" s="48">
        <f t="shared" ref="I273:I297" si="280">SUM(F273:H273)</f>
        <v>1</v>
      </c>
      <c r="J273" s="10">
        <f t="shared" ref="J273:J299" si="281">E273+I273</f>
        <v>2</v>
      </c>
      <c r="K273" s="57">
        <v>45694</v>
      </c>
      <c r="L273" s="67" t="s">
        <v>46</v>
      </c>
      <c r="M273" s="11">
        <v>5</v>
      </c>
      <c r="N273" s="12"/>
      <c r="O273" s="13">
        <v>5</v>
      </c>
      <c r="P273" s="10">
        <f t="shared" si="276"/>
        <v>10</v>
      </c>
      <c r="Q273" s="11">
        <v>5</v>
      </c>
      <c r="R273" s="12"/>
      <c r="S273" s="13"/>
      <c r="T273" s="48">
        <f t="shared" si="277"/>
        <v>5</v>
      </c>
      <c r="U273" s="10">
        <f t="shared" si="278"/>
        <v>15</v>
      </c>
      <c r="V273" s="57">
        <v>45714</v>
      </c>
    </row>
    <row r="274" spans="1:22" x14ac:dyDescent="0.15">
      <c r="A274" s="60" t="s">
        <v>37</v>
      </c>
      <c r="B274" s="11"/>
      <c r="C274" s="12"/>
      <c r="D274" s="13"/>
      <c r="E274" s="10">
        <f t="shared" si="279"/>
        <v>0</v>
      </c>
      <c r="F274" s="11">
        <v>1</v>
      </c>
      <c r="G274" s="12"/>
      <c r="H274" s="13"/>
      <c r="I274" s="48">
        <f t="shared" si="280"/>
        <v>1</v>
      </c>
      <c r="J274" s="10">
        <f t="shared" si="281"/>
        <v>1</v>
      </c>
      <c r="K274" s="66">
        <v>45695</v>
      </c>
      <c r="L274" s="60" t="s">
        <v>97</v>
      </c>
      <c r="M274" s="11">
        <v>16</v>
      </c>
      <c r="N274" s="12">
        <v>20</v>
      </c>
      <c r="O274" s="13">
        <v>12</v>
      </c>
      <c r="P274" s="10">
        <f t="shared" ref="P274:P293" si="282">SUM(M274:O274)</f>
        <v>48</v>
      </c>
      <c r="Q274" s="11">
        <v>28</v>
      </c>
      <c r="R274" s="12">
        <v>32</v>
      </c>
      <c r="S274" s="13">
        <v>20</v>
      </c>
      <c r="T274" s="48">
        <f t="shared" ref="T274:T293" si="283">SUM(Q274:S274)</f>
        <v>80</v>
      </c>
      <c r="U274" s="10">
        <f t="shared" ref="U274:U299" si="284">P274+T274</f>
        <v>128</v>
      </c>
      <c r="V274" s="57">
        <v>45728</v>
      </c>
    </row>
    <row r="275" spans="1:22" x14ac:dyDescent="0.15">
      <c r="A275" s="60" t="s">
        <v>37</v>
      </c>
      <c r="B275" s="11">
        <v>2</v>
      </c>
      <c r="C275" s="12"/>
      <c r="D275" s="13">
        <v>1</v>
      </c>
      <c r="E275" s="10">
        <f t="shared" si="279"/>
        <v>3</v>
      </c>
      <c r="F275" s="11">
        <v>4</v>
      </c>
      <c r="G275" s="12"/>
      <c r="H275" s="13"/>
      <c r="I275" s="48">
        <f t="shared" si="280"/>
        <v>4</v>
      </c>
      <c r="J275" s="10">
        <f t="shared" si="281"/>
        <v>7</v>
      </c>
      <c r="K275" s="57">
        <v>45698</v>
      </c>
      <c r="L275" s="60" t="s">
        <v>98</v>
      </c>
      <c r="M275" s="11">
        <v>18</v>
      </c>
      <c r="N275" s="12">
        <v>20</v>
      </c>
      <c r="O275" s="13">
        <v>14</v>
      </c>
      <c r="P275" s="10">
        <f t="shared" si="282"/>
        <v>52</v>
      </c>
      <c r="Q275" s="11">
        <v>18</v>
      </c>
      <c r="R275" s="12">
        <v>20</v>
      </c>
      <c r="S275" s="13">
        <v>14</v>
      </c>
      <c r="T275" s="48">
        <f t="shared" si="283"/>
        <v>52</v>
      </c>
      <c r="U275" s="10">
        <f t="shared" si="284"/>
        <v>104</v>
      </c>
      <c r="V275" s="57">
        <v>45728</v>
      </c>
    </row>
    <row r="276" spans="1:22" x14ac:dyDescent="0.15">
      <c r="A276" s="60" t="s">
        <v>37</v>
      </c>
      <c r="B276" s="11">
        <v>1</v>
      </c>
      <c r="C276" s="12"/>
      <c r="D276" s="13"/>
      <c r="E276" s="10">
        <f t="shared" si="279"/>
        <v>1</v>
      </c>
      <c r="F276" s="11">
        <v>3</v>
      </c>
      <c r="G276" s="12">
        <v>1</v>
      </c>
      <c r="H276" s="13">
        <v>2</v>
      </c>
      <c r="I276" s="48">
        <f t="shared" si="280"/>
        <v>6</v>
      </c>
      <c r="J276" s="10">
        <f t="shared" si="281"/>
        <v>7</v>
      </c>
      <c r="K276" s="57">
        <v>45700</v>
      </c>
      <c r="L276" s="67" t="s">
        <v>46</v>
      </c>
      <c r="M276" s="11">
        <v>10</v>
      </c>
      <c r="N276" s="12">
        <v>5</v>
      </c>
      <c r="O276" s="13"/>
      <c r="P276" s="10">
        <f t="shared" si="282"/>
        <v>15</v>
      </c>
      <c r="Q276" s="11">
        <v>10</v>
      </c>
      <c r="R276" s="12">
        <v>5</v>
      </c>
      <c r="S276" s="13"/>
      <c r="T276" s="48">
        <f t="shared" si="283"/>
        <v>15</v>
      </c>
      <c r="U276" s="10">
        <f t="shared" si="284"/>
        <v>30</v>
      </c>
      <c r="V276" s="57">
        <v>45720</v>
      </c>
    </row>
    <row r="277" spans="1:22" x14ac:dyDescent="0.15">
      <c r="A277" s="60" t="s">
        <v>85</v>
      </c>
      <c r="B277" s="11"/>
      <c r="C277" s="12"/>
      <c r="D277" s="13">
        <v>3</v>
      </c>
      <c r="E277" s="10">
        <f t="shared" si="279"/>
        <v>3</v>
      </c>
      <c r="F277" s="11"/>
      <c r="G277" s="12">
        <v>3</v>
      </c>
      <c r="H277" s="13"/>
      <c r="I277" s="48">
        <f t="shared" si="280"/>
        <v>3</v>
      </c>
      <c r="J277" s="10">
        <f t="shared" si="281"/>
        <v>6</v>
      </c>
      <c r="K277" s="57">
        <v>45703</v>
      </c>
      <c r="L277" s="67" t="s">
        <v>46</v>
      </c>
      <c r="M277" s="11">
        <v>10</v>
      </c>
      <c r="N277" s="12"/>
      <c r="O277" s="13">
        <v>5</v>
      </c>
      <c r="P277" s="10">
        <f t="shared" si="282"/>
        <v>15</v>
      </c>
      <c r="Q277" s="11">
        <v>10</v>
      </c>
      <c r="R277" s="12"/>
      <c r="S277" s="13"/>
      <c r="T277" s="48">
        <f t="shared" si="283"/>
        <v>10</v>
      </c>
      <c r="U277" s="10">
        <f t="shared" si="284"/>
        <v>25</v>
      </c>
      <c r="V277" s="57">
        <v>45727</v>
      </c>
    </row>
    <row r="278" spans="1:22" x14ac:dyDescent="0.15">
      <c r="A278" s="60" t="s">
        <v>37</v>
      </c>
      <c r="B278" s="11"/>
      <c r="C278" s="12"/>
      <c r="D278" s="13"/>
      <c r="E278" s="10">
        <f t="shared" si="279"/>
        <v>0</v>
      </c>
      <c r="F278" s="11"/>
      <c r="G278" s="12"/>
      <c r="H278" s="13">
        <v>1</v>
      </c>
      <c r="I278" s="48">
        <f t="shared" si="280"/>
        <v>1</v>
      </c>
      <c r="J278" s="10">
        <f t="shared" si="281"/>
        <v>1</v>
      </c>
      <c r="K278" s="57">
        <v>45703</v>
      </c>
      <c r="L278" s="67" t="s">
        <v>46</v>
      </c>
      <c r="M278" s="11">
        <v>10</v>
      </c>
      <c r="N278" s="12"/>
      <c r="O278" s="13"/>
      <c r="P278" s="10">
        <f t="shared" si="282"/>
        <v>10</v>
      </c>
      <c r="Q278" s="11">
        <v>5</v>
      </c>
      <c r="R278" s="12"/>
      <c r="S278" s="13">
        <v>5</v>
      </c>
      <c r="T278" s="48">
        <f t="shared" si="283"/>
        <v>10</v>
      </c>
      <c r="U278" s="10">
        <f t="shared" si="284"/>
        <v>20</v>
      </c>
      <c r="V278" s="57">
        <v>45729</v>
      </c>
    </row>
    <row r="279" spans="1:22" x14ac:dyDescent="0.15">
      <c r="A279" s="60" t="s">
        <v>37</v>
      </c>
      <c r="B279" s="11"/>
      <c r="C279" s="12"/>
      <c r="D279" s="13"/>
      <c r="E279" s="10">
        <f t="shared" si="279"/>
        <v>0</v>
      </c>
      <c r="F279" s="11">
        <f>3+1</f>
        <v>4</v>
      </c>
      <c r="G279" s="12">
        <v>1</v>
      </c>
      <c r="H279" s="13">
        <v>1</v>
      </c>
      <c r="I279" s="48">
        <f t="shared" si="280"/>
        <v>6</v>
      </c>
      <c r="J279" s="10">
        <f t="shared" si="281"/>
        <v>6</v>
      </c>
      <c r="K279" s="57">
        <v>45705</v>
      </c>
      <c r="L279" s="67" t="s">
        <v>46</v>
      </c>
      <c r="M279" s="11">
        <v>5</v>
      </c>
      <c r="N279" s="12"/>
      <c r="O279" s="13"/>
      <c r="P279" s="10">
        <f t="shared" si="282"/>
        <v>5</v>
      </c>
      <c r="Q279" s="11"/>
      <c r="R279" s="12"/>
      <c r="S279" s="13"/>
      <c r="T279" s="48">
        <f t="shared" si="283"/>
        <v>0</v>
      </c>
      <c r="U279" s="10">
        <f t="shared" si="284"/>
        <v>5</v>
      </c>
      <c r="V279" s="57">
        <v>45735</v>
      </c>
    </row>
    <row r="280" spans="1:22" x14ac:dyDescent="0.15">
      <c r="A280" s="60" t="s">
        <v>37</v>
      </c>
      <c r="B280" s="11">
        <v>2</v>
      </c>
      <c r="C280" s="12"/>
      <c r="D280" s="13"/>
      <c r="E280" s="10">
        <f t="shared" si="279"/>
        <v>2</v>
      </c>
      <c r="F280" s="11">
        <v>3</v>
      </c>
      <c r="G280" s="12">
        <v>1</v>
      </c>
      <c r="H280" s="13">
        <v>1</v>
      </c>
      <c r="I280" s="48">
        <f t="shared" si="280"/>
        <v>5</v>
      </c>
      <c r="J280" s="10">
        <f t="shared" si="281"/>
        <v>7</v>
      </c>
      <c r="K280" s="66">
        <v>45706</v>
      </c>
      <c r="L280" s="67" t="s">
        <v>46</v>
      </c>
      <c r="M280" s="11">
        <v>5</v>
      </c>
      <c r="N280" s="12"/>
      <c r="O280" s="13"/>
      <c r="P280" s="10">
        <f t="shared" si="282"/>
        <v>5</v>
      </c>
      <c r="Q280" s="11"/>
      <c r="R280" s="12"/>
      <c r="S280" s="13"/>
      <c r="T280" s="48">
        <f t="shared" si="283"/>
        <v>0</v>
      </c>
      <c r="U280" s="10">
        <f t="shared" si="284"/>
        <v>5</v>
      </c>
      <c r="V280" s="57">
        <v>45741</v>
      </c>
    </row>
    <row r="281" spans="1:22" x14ac:dyDescent="0.15">
      <c r="A281" s="60" t="s">
        <v>37</v>
      </c>
      <c r="B281" s="11">
        <v>2</v>
      </c>
      <c r="C281" s="12"/>
      <c r="D281" s="13"/>
      <c r="E281" s="10">
        <f t="shared" si="279"/>
        <v>2</v>
      </c>
      <c r="F281" s="11">
        <f>1+1</f>
        <v>2</v>
      </c>
      <c r="G281" s="12"/>
      <c r="H281" s="13"/>
      <c r="I281" s="48">
        <f t="shared" si="280"/>
        <v>2</v>
      </c>
      <c r="J281" s="10">
        <f t="shared" si="281"/>
        <v>4</v>
      </c>
      <c r="K281" s="66">
        <v>45707</v>
      </c>
      <c r="L281" s="67" t="s">
        <v>46</v>
      </c>
      <c r="M281" s="11"/>
      <c r="N281" s="12">
        <v>5</v>
      </c>
      <c r="O281" s="13">
        <v>5</v>
      </c>
      <c r="P281" s="10">
        <f t="shared" si="282"/>
        <v>10</v>
      </c>
      <c r="Q281" s="11"/>
      <c r="R281" s="12">
        <v>5</v>
      </c>
      <c r="S281" s="13">
        <v>5</v>
      </c>
      <c r="T281" s="48">
        <f t="shared" si="283"/>
        <v>10</v>
      </c>
      <c r="U281" s="10">
        <f t="shared" si="284"/>
        <v>20</v>
      </c>
      <c r="V281" s="57">
        <v>45748</v>
      </c>
    </row>
    <row r="282" spans="1:22" x14ac:dyDescent="0.15">
      <c r="A282" s="60" t="s">
        <v>37</v>
      </c>
      <c r="B282" s="11"/>
      <c r="C282" s="12"/>
      <c r="D282" s="13"/>
      <c r="E282" s="10">
        <f t="shared" si="279"/>
        <v>0</v>
      </c>
      <c r="F282" s="11">
        <f>1+1</f>
        <v>2</v>
      </c>
      <c r="G282" s="12"/>
      <c r="H282" s="13"/>
      <c r="I282" s="48">
        <f t="shared" si="280"/>
        <v>2</v>
      </c>
      <c r="J282" s="10">
        <f t="shared" si="281"/>
        <v>2</v>
      </c>
      <c r="K282" s="66">
        <v>45708</v>
      </c>
      <c r="L282" s="60" t="s">
        <v>108</v>
      </c>
      <c r="M282" s="11">
        <v>3</v>
      </c>
      <c r="N282" s="12">
        <v>3</v>
      </c>
      <c r="O282" s="13">
        <v>2</v>
      </c>
      <c r="P282" s="10">
        <f t="shared" si="282"/>
        <v>8</v>
      </c>
      <c r="Q282" s="11">
        <v>3</v>
      </c>
      <c r="R282" s="12">
        <v>3</v>
      </c>
      <c r="S282" s="13">
        <v>2</v>
      </c>
      <c r="T282" s="48">
        <f t="shared" si="283"/>
        <v>8</v>
      </c>
      <c r="U282" s="10">
        <f t="shared" si="284"/>
        <v>16</v>
      </c>
      <c r="V282" s="57">
        <v>45756</v>
      </c>
    </row>
    <row r="283" spans="1:22" x14ac:dyDescent="0.15">
      <c r="A283" s="60" t="s">
        <v>96</v>
      </c>
      <c r="B283" s="11"/>
      <c r="C283" s="12"/>
      <c r="D283" s="13">
        <v>1</v>
      </c>
      <c r="E283" s="10">
        <f t="shared" si="279"/>
        <v>1</v>
      </c>
      <c r="F283" s="11"/>
      <c r="G283" s="12"/>
      <c r="H283" s="13"/>
      <c r="I283" s="48">
        <f t="shared" si="280"/>
        <v>0</v>
      </c>
      <c r="J283" s="10">
        <f t="shared" si="281"/>
        <v>1</v>
      </c>
      <c r="K283" s="66">
        <v>45708</v>
      </c>
      <c r="L283" s="60" t="s">
        <v>109</v>
      </c>
      <c r="M283" s="11">
        <v>13</v>
      </c>
      <c r="N283" s="12"/>
      <c r="O283" s="13"/>
      <c r="P283" s="10">
        <f t="shared" si="282"/>
        <v>13</v>
      </c>
      <c r="Q283" s="11">
        <v>13</v>
      </c>
      <c r="R283" s="12"/>
      <c r="S283" s="13"/>
      <c r="T283" s="48">
        <f t="shared" si="283"/>
        <v>13</v>
      </c>
      <c r="U283" s="10">
        <f t="shared" si="284"/>
        <v>26</v>
      </c>
      <c r="V283" s="57">
        <v>45756</v>
      </c>
    </row>
    <row r="284" spans="1:22" x14ac:dyDescent="0.15">
      <c r="A284" s="60" t="s">
        <v>37</v>
      </c>
      <c r="B284" s="11">
        <f>2+1</f>
        <v>3</v>
      </c>
      <c r="C284" s="12"/>
      <c r="D284" s="13">
        <v>2</v>
      </c>
      <c r="E284" s="10">
        <f t="shared" si="279"/>
        <v>5</v>
      </c>
      <c r="F284" s="11">
        <v>3</v>
      </c>
      <c r="G284" s="12"/>
      <c r="H284" s="13">
        <f>1+2</f>
        <v>3</v>
      </c>
      <c r="I284" s="48">
        <f t="shared" si="280"/>
        <v>6</v>
      </c>
      <c r="J284" s="10">
        <f t="shared" si="281"/>
        <v>11</v>
      </c>
      <c r="K284" s="66">
        <v>45713</v>
      </c>
      <c r="L284" s="60" t="s">
        <v>110</v>
      </c>
      <c r="M284" s="11"/>
      <c r="N284" s="12"/>
      <c r="O284" s="13">
        <v>10</v>
      </c>
      <c r="P284" s="10">
        <f t="shared" si="282"/>
        <v>10</v>
      </c>
      <c r="Q284" s="11"/>
      <c r="R284" s="12"/>
      <c r="S284" s="13">
        <v>10</v>
      </c>
      <c r="T284" s="48">
        <f t="shared" si="283"/>
        <v>10</v>
      </c>
      <c r="U284" s="10">
        <f t="shared" si="284"/>
        <v>20</v>
      </c>
      <c r="V284" s="57">
        <v>45756</v>
      </c>
    </row>
    <row r="285" spans="1:22" x14ac:dyDescent="0.15">
      <c r="A285" s="60" t="s">
        <v>37</v>
      </c>
      <c r="B285" s="11">
        <f>1+2</f>
        <v>3</v>
      </c>
      <c r="C285" s="12"/>
      <c r="D285" s="13"/>
      <c r="E285" s="10">
        <f t="shared" si="279"/>
        <v>3</v>
      </c>
      <c r="F285" s="11"/>
      <c r="G285" s="12"/>
      <c r="H285" s="13"/>
      <c r="I285" s="48">
        <f t="shared" si="280"/>
        <v>0</v>
      </c>
      <c r="J285" s="10">
        <f t="shared" si="281"/>
        <v>3</v>
      </c>
      <c r="K285" s="66">
        <v>45714</v>
      </c>
      <c r="L285" s="60" t="s">
        <v>111</v>
      </c>
      <c r="M285" s="11">
        <v>7</v>
      </c>
      <c r="N285" s="12"/>
      <c r="O285" s="13"/>
      <c r="P285" s="10">
        <f t="shared" si="282"/>
        <v>7</v>
      </c>
      <c r="Q285" s="11">
        <v>7</v>
      </c>
      <c r="R285" s="12"/>
      <c r="S285" s="13"/>
      <c r="T285" s="48">
        <f t="shared" si="283"/>
        <v>7</v>
      </c>
      <c r="U285" s="10">
        <f t="shared" si="284"/>
        <v>14</v>
      </c>
      <c r="V285" s="57">
        <v>45757</v>
      </c>
    </row>
    <row r="286" spans="1:22" x14ac:dyDescent="0.15">
      <c r="A286" s="60" t="s">
        <v>37</v>
      </c>
      <c r="B286" s="11"/>
      <c r="C286" s="12"/>
      <c r="D286" s="13"/>
      <c r="E286" s="10">
        <f t="shared" si="279"/>
        <v>0</v>
      </c>
      <c r="F286" s="11">
        <v>1</v>
      </c>
      <c r="G286" s="12"/>
      <c r="H286" s="13"/>
      <c r="I286" s="48">
        <f t="shared" si="280"/>
        <v>1</v>
      </c>
      <c r="J286" s="10">
        <f t="shared" si="281"/>
        <v>1</v>
      </c>
      <c r="K286" s="66">
        <v>45715</v>
      </c>
      <c r="L286" s="60" t="s">
        <v>113</v>
      </c>
      <c r="M286" s="11">
        <v>4</v>
      </c>
      <c r="N286" s="12"/>
      <c r="O286" s="13"/>
      <c r="P286" s="10">
        <f t="shared" si="282"/>
        <v>4</v>
      </c>
      <c r="Q286" s="11"/>
      <c r="R286" s="12"/>
      <c r="S286" s="13"/>
      <c r="T286" s="48">
        <f t="shared" si="283"/>
        <v>0</v>
      </c>
      <c r="U286" s="10">
        <f t="shared" si="284"/>
        <v>4</v>
      </c>
      <c r="V286" s="57">
        <v>45758</v>
      </c>
    </row>
    <row r="287" spans="1:22" x14ac:dyDescent="0.15">
      <c r="A287" s="60" t="s">
        <v>37</v>
      </c>
      <c r="B287" s="11"/>
      <c r="C287" s="12">
        <v>1</v>
      </c>
      <c r="D287" s="13"/>
      <c r="E287" s="10">
        <f t="shared" si="279"/>
        <v>1</v>
      </c>
      <c r="F287" s="11">
        <v>1</v>
      </c>
      <c r="G287" s="12"/>
      <c r="H287" s="13"/>
      <c r="I287" s="48">
        <f t="shared" si="280"/>
        <v>1</v>
      </c>
      <c r="J287" s="10">
        <f t="shared" si="281"/>
        <v>2</v>
      </c>
      <c r="K287" s="66">
        <v>45716</v>
      </c>
      <c r="L287" s="60" t="s">
        <v>112</v>
      </c>
      <c r="M287" s="11">
        <v>15</v>
      </c>
      <c r="N287" s="12">
        <v>18</v>
      </c>
      <c r="O287" s="13">
        <v>6</v>
      </c>
      <c r="P287" s="10">
        <f t="shared" si="282"/>
        <v>39</v>
      </c>
      <c r="Q287" s="11">
        <v>15</v>
      </c>
      <c r="R287" s="12">
        <v>18</v>
      </c>
      <c r="S287" s="13">
        <v>6</v>
      </c>
      <c r="T287" s="48">
        <f t="shared" si="283"/>
        <v>39</v>
      </c>
      <c r="U287" s="10">
        <f t="shared" si="284"/>
        <v>78</v>
      </c>
      <c r="V287" s="57">
        <v>45758</v>
      </c>
    </row>
    <row r="288" spans="1:22" x14ac:dyDescent="0.15">
      <c r="A288" s="60" t="s">
        <v>37</v>
      </c>
      <c r="B288" s="11"/>
      <c r="C288" s="12">
        <v>1</v>
      </c>
      <c r="D288" s="13">
        <v>1</v>
      </c>
      <c r="E288" s="10">
        <f t="shared" si="279"/>
        <v>2</v>
      </c>
      <c r="F288" s="11">
        <v>2</v>
      </c>
      <c r="G288" s="12">
        <v>1</v>
      </c>
      <c r="H288" s="13">
        <v>1</v>
      </c>
      <c r="I288" s="48">
        <f t="shared" si="280"/>
        <v>4</v>
      </c>
      <c r="J288" s="10">
        <f t="shared" si="281"/>
        <v>6</v>
      </c>
      <c r="K288" s="66">
        <v>45717</v>
      </c>
      <c r="L288" s="60" t="s">
        <v>114</v>
      </c>
      <c r="M288" s="11"/>
      <c r="N288" s="12">
        <v>3</v>
      </c>
      <c r="O288" s="13">
        <v>3</v>
      </c>
      <c r="P288" s="10">
        <f t="shared" si="282"/>
        <v>6</v>
      </c>
      <c r="Q288" s="11"/>
      <c r="R288" s="12">
        <v>3</v>
      </c>
      <c r="S288" s="13">
        <v>3</v>
      </c>
      <c r="T288" s="48">
        <f t="shared" si="283"/>
        <v>6</v>
      </c>
      <c r="U288" s="10">
        <f t="shared" si="284"/>
        <v>12</v>
      </c>
      <c r="V288" s="57">
        <v>45761</v>
      </c>
    </row>
    <row r="289" spans="1:23" x14ac:dyDescent="0.15">
      <c r="A289" s="60" t="s">
        <v>37</v>
      </c>
      <c r="B289" s="11">
        <f>1+3+3</f>
        <v>7</v>
      </c>
      <c r="C289" s="12">
        <v>1</v>
      </c>
      <c r="D289" s="13"/>
      <c r="E289" s="10">
        <f t="shared" si="279"/>
        <v>8</v>
      </c>
      <c r="F289" s="11">
        <v>4</v>
      </c>
      <c r="G289" s="12">
        <v>1</v>
      </c>
      <c r="H289" s="13"/>
      <c r="I289" s="48">
        <f t="shared" si="280"/>
        <v>5</v>
      </c>
      <c r="J289" s="10">
        <f t="shared" si="281"/>
        <v>13</v>
      </c>
      <c r="K289" s="66">
        <v>45719</v>
      </c>
      <c r="L289" s="60" t="s">
        <v>115</v>
      </c>
      <c r="M289" s="11"/>
      <c r="N289" s="12">
        <v>3</v>
      </c>
      <c r="O289" s="13"/>
      <c r="P289" s="10">
        <f t="shared" si="282"/>
        <v>3</v>
      </c>
      <c r="Q289" s="11"/>
      <c r="R289" s="12">
        <v>3</v>
      </c>
      <c r="S289" s="13"/>
      <c r="T289" s="48">
        <f t="shared" si="283"/>
        <v>3</v>
      </c>
      <c r="U289" s="10">
        <f t="shared" si="284"/>
        <v>6</v>
      </c>
      <c r="V289" s="57">
        <v>45761</v>
      </c>
      <c r="W289" s="39"/>
    </row>
    <row r="290" spans="1:23" x14ac:dyDescent="0.15">
      <c r="A290" s="60" t="s">
        <v>37</v>
      </c>
      <c r="B290" s="11"/>
      <c r="C290" s="12"/>
      <c r="D290" s="13"/>
      <c r="E290" s="10">
        <f t="shared" si="279"/>
        <v>0</v>
      </c>
      <c r="F290" s="11">
        <f>2+1</f>
        <v>3</v>
      </c>
      <c r="G290" s="12"/>
      <c r="H290" s="13"/>
      <c r="I290" s="48">
        <f t="shared" si="280"/>
        <v>3</v>
      </c>
      <c r="J290" s="10">
        <f t="shared" si="281"/>
        <v>3</v>
      </c>
      <c r="K290" s="66">
        <v>45720</v>
      </c>
      <c r="L290" s="60" t="s">
        <v>118</v>
      </c>
      <c r="M290" s="11"/>
      <c r="N290" s="12">
        <v>8</v>
      </c>
      <c r="O290" s="13"/>
      <c r="P290" s="10">
        <f t="shared" si="282"/>
        <v>8</v>
      </c>
      <c r="Q290" s="11"/>
      <c r="R290" s="12">
        <v>8</v>
      </c>
      <c r="S290" s="13"/>
      <c r="T290" s="48">
        <f t="shared" si="283"/>
        <v>8</v>
      </c>
      <c r="U290" s="10">
        <f t="shared" si="284"/>
        <v>16</v>
      </c>
      <c r="V290" s="57">
        <v>45762</v>
      </c>
      <c r="W290" s="39"/>
    </row>
    <row r="291" spans="1:23" x14ac:dyDescent="0.15">
      <c r="A291" s="60" t="s">
        <v>37</v>
      </c>
      <c r="B291" s="11">
        <v>2</v>
      </c>
      <c r="C291" s="12"/>
      <c r="D291" s="13">
        <v>1</v>
      </c>
      <c r="E291" s="10">
        <f t="shared" si="279"/>
        <v>3</v>
      </c>
      <c r="F291" s="11">
        <v>2</v>
      </c>
      <c r="G291" s="12"/>
      <c r="H291" s="13"/>
      <c r="I291" s="48">
        <f t="shared" si="280"/>
        <v>2</v>
      </c>
      <c r="J291" s="10">
        <f t="shared" si="281"/>
        <v>5</v>
      </c>
      <c r="K291" s="66">
        <v>45721</v>
      </c>
      <c r="L291" s="60" t="s">
        <v>119</v>
      </c>
      <c r="M291" s="11"/>
      <c r="N291" s="12"/>
      <c r="O291" s="13">
        <v>6</v>
      </c>
      <c r="P291" s="10">
        <f t="shared" si="282"/>
        <v>6</v>
      </c>
      <c r="Q291" s="11"/>
      <c r="R291" s="12"/>
      <c r="S291" s="13"/>
      <c r="T291" s="48">
        <f t="shared" si="283"/>
        <v>0</v>
      </c>
      <c r="U291" s="10">
        <f t="shared" si="284"/>
        <v>6</v>
      </c>
      <c r="V291" s="57">
        <v>45764</v>
      </c>
      <c r="W291" s="39"/>
    </row>
    <row r="292" spans="1:23" x14ac:dyDescent="0.15">
      <c r="A292" s="60" t="s">
        <v>37</v>
      </c>
      <c r="B292" s="11">
        <v>2</v>
      </c>
      <c r="C292" s="12">
        <v>1</v>
      </c>
      <c r="D292" s="13">
        <v>2</v>
      </c>
      <c r="E292" s="10">
        <f t="shared" si="279"/>
        <v>5</v>
      </c>
      <c r="F292" s="11">
        <v>1</v>
      </c>
      <c r="G292" s="12">
        <v>1</v>
      </c>
      <c r="H292" s="13"/>
      <c r="I292" s="48">
        <f t="shared" si="280"/>
        <v>2</v>
      </c>
      <c r="J292" s="10">
        <f t="shared" si="281"/>
        <v>7</v>
      </c>
      <c r="K292" s="66">
        <v>45722</v>
      </c>
      <c r="L292" s="67" t="s">
        <v>46</v>
      </c>
      <c r="M292" s="11">
        <v>10</v>
      </c>
      <c r="N292" s="12"/>
      <c r="O292" s="13"/>
      <c r="P292" s="10">
        <f t="shared" si="282"/>
        <v>10</v>
      </c>
      <c r="Q292" s="11">
        <v>3</v>
      </c>
      <c r="R292" s="12"/>
      <c r="S292" s="13"/>
      <c r="T292" s="48">
        <f t="shared" si="283"/>
        <v>3</v>
      </c>
      <c r="U292" s="10">
        <f t="shared" si="284"/>
        <v>13</v>
      </c>
      <c r="V292" s="57">
        <v>45765</v>
      </c>
      <c r="W292" s="39"/>
    </row>
    <row r="293" spans="1:23" x14ac:dyDescent="0.15">
      <c r="A293" s="60" t="s">
        <v>37</v>
      </c>
      <c r="B293" s="11">
        <v>1</v>
      </c>
      <c r="C293" s="12">
        <v>1</v>
      </c>
      <c r="D293" s="13"/>
      <c r="E293" s="10">
        <f t="shared" si="279"/>
        <v>2</v>
      </c>
      <c r="F293" s="11">
        <v>1</v>
      </c>
      <c r="G293" s="12"/>
      <c r="H293" s="13">
        <v>1</v>
      </c>
      <c r="I293" s="48">
        <f t="shared" si="280"/>
        <v>2</v>
      </c>
      <c r="J293" s="10">
        <f t="shared" si="281"/>
        <v>4</v>
      </c>
      <c r="K293" s="66">
        <v>45723</v>
      </c>
      <c r="L293" s="60"/>
      <c r="M293" s="11"/>
      <c r="N293" s="12"/>
      <c r="O293" s="13"/>
      <c r="P293" s="10">
        <f t="shared" si="282"/>
        <v>0</v>
      </c>
      <c r="Q293" s="11"/>
      <c r="R293" s="12"/>
      <c r="S293" s="13"/>
      <c r="T293" s="48">
        <f t="shared" si="283"/>
        <v>0</v>
      </c>
      <c r="U293" s="10">
        <f t="shared" si="284"/>
        <v>0</v>
      </c>
    </row>
    <row r="294" spans="1:23" x14ac:dyDescent="0.15">
      <c r="A294" s="60" t="s">
        <v>37</v>
      </c>
      <c r="B294" s="11">
        <v>6</v>
      </c>
      <c r="C294" s="12">
        <f>1-1</f>
        <v>0</v>
      </c>
      <c r="D294" s="13"/>
      <c r="E294" s="10">
        <f t="shared" si="279"/>
        <v>6</v>
      </c>
      <c r="F294" s="11">
        <f>1+1+1</f>
        <v>3</v>
      </c>
      <c r="G294" s="12">
        <v>1</v>
      </c>
      <c r="H294" s="13"/>
      <c r="I294" s="48">
        <f t="shared" si="280"/>
        <v>4</v>
      </c>
      <c r="J294" s="10">
        <f t="shared" si="281"/>
        <v>10</v>
      </c>
      <c r="K294" s="66">
        <v>45726</v>
      </c>
      <c r="L294" s="60"/>
      <c r="M294" s="11"/>
      <c r="N294" s="12"/>
      <c r="O294" s="13"/>
      <c r="P294" s="10">
        <f t="shared" ref="P294" si="285">SUM(M294:O294)</f>
        <v>0</v>
      </c>
      <c r="Q294" s="11"/>
      <c r="R294" s="12"/>
      <c r="S294" s="13"/>
      <c r="T294" s="48">
        <f t="shared" ref="T294" si="286">SUM(Q294:S294)</f>
        <v>0</v>
      </c>
      <c r="U294" s="10">
        <f t="shared" ref="U294" si="287">P294+T294</f>
        <v>0</v>
      </c>
    </row>
    <row r="295" spans="1:23" x14ac:dyDescent="0.15">
      <c r="A295" s="60" t="s">
        <v>100</v>
      </c>
      <c r="B295" s="11">
        <v>1</v>
      </c>
      <c r="C295" s="12"/>
      <c r="D295" s="13">
        <v>1</v>
      </c>
      <c r="E295" s="10">
        <f t="shared" si="279"/>
        <v>2</v>
      </c>
      <c r="F295" s="11"/>
      <c r="G295" s="12">
        <v>1</v>
      </c>
      <c r="H295" s="13"/>
      <c r="I295" s="48">
        <f t="shared" si="280"/>
        <v>1</v>
      </c>
      <c r="J295" s="10">
        <f t="shared" si="281"/>
        <v>3</v>
      </c>
      <c r="K295" s="66">
        <v>45727</v>
      </c>
      <c r="L295" s="60"/>
      <c r="M295" s="11"/>
      <c r="N295" s="12"/>
      <c r="O295" s="13"/>
      <c r="P295" s="10">
        <f t="shared" ref="P295:P297" si="288">SUM(M295:O295)</f>
        <v>0</v>
      </c>
      <c r="Q295" s="11"/>
      <c r="R295" s="12"/>
      <c r="S295" s="13"/>
      <c r="T295" s="48">
        <f t="shared" ref="T295:T297" si="289">SUM(Q295:S295)</f>
        <v>0</v>
      </c>
      <c r="U295" s="10">
        <f t="shared" ref="U295:U297" si="290">P295+T295</f>
        <v>0</v>
      </c>
    </row>
    <row r="296" spans="1:23" x14ac:dyDescent="0.15">
      <c r="A296" s="60" t="s">
        <v>37</v>
      </c>
      <c r="B296" s="11">
        <v>2</v>
      </c>
      <c r="C296" s="12"/>
      <c r="D296" s="13"/>
      <c r="E296" s="10">
        <f t="shared" si="279"/>
        <v>2</v>
      </c>
      <c r="F296" s="11"/>
      <c r="G296" s="12"/>
      <c r="H296" s="13"/>
      <c r="I296" s="48">
        <f t="shared" si="280"/>
        <v>0</v>
      </c>
      <c r="J296" s="10">
        <f t="shared" si="281"/>
        <v>2</v>
      </c>
      <c r="K296" s="66">
        <v>45727</v>
      </c>
      <c r="L296" s="60"/>
      <c r="M296" s="11"/>
      <c r="N296" s="12"/>
      <c r="O296" s="13"/>
      <c r="P296" s="10">
        <f t="shared" si="288"/>
        <v>0</v>
      </c>
      <c r="Q296" s="11"/>
      <c r="R296" s="12"/>
      <c r="S296" s="13"/>
      <c r="T296" s="48">
        <f t="shared" si="289"/>
        <v>0</v>
      </c>
      <c r="U296" s="10">
        <f t="shared" si="290"/>
        <v>0</v>
      </c>
    </row>
    <row r="297" spans="1:23" ht="14.25" thickBot="1" x14ac:dyDescent="0.2">
      <c r="A297" s="60" t="s">
        <v>37</v>
      </c>
      <c r="B297" s="11">
        <v>1</v>
      </c>
      <c r="C297" s="12"/>
      <c r="D297" s="13"/>
      <c r="E297" s="10">
        <f t="shared" si="279"/>
        <v>1</v>
      </c>
      <c r="F297" s="11">
        <f>1+1</f>
        <v>2</v>
      </c>
      <c r="G297" s="12"/>
      <c r="H297" s="13"/>
      <c r="I297" s="48">
        <f t="shared" si="280"/>
        <v>2</v>
      </c>
      <c r="J297" s="10">
        <f t="shared" si="281"/>
        <v>3</v>
      </c>
      <c r="K297" s="66">
        <v>45728</v>
      </c>
      <c r="L297" s="60"/>
      <c r="M297" s="11"/>
      <c r="N297" s="12"/>
      <c r="O297" s="13"/>
      <c r="P297" s="10">
        <f t="shared" si="288"/>
        <v>0</v>
      </c>
      <c r="Q297" s="11"/>
      <c r="R297" s="12"/>
      <c r="S297" s="13"/>
      <c r="T297" s="48">
        <f t="shared" si="289"/>
        <v>0</v>
      </c>
      <c r="U297" s="10">
        <f t="shared" si="290"/>
        <v>0</v>
      </c>
    </row>
    <row r="298" spans="1:23" ht="14.25" thickBot="1" x14ac:dyDescent="0.2">
      <c r="A298" s="29" t="s">
        <v>17</v>
      </c>
      <c r="B298" s="30">
        <f>SUM(B272:B297)</f>
        <v>41</v>
      </c>
      <c r="C298" s="31">
        <f>SUM(C272:C297)</f>
        <v>5</v>
      </c>
      <c r="D298" s="32">
        <f>SUM(D272:D297)</f>
        <v>12</v>
      </c>
      <c r="E298" s="33">
        <f>SUM(B298:D298)</f>
        <v>58</v>
      </c>
      <c r="F298" s="30">
        <f>SUM(F272:F297)</f>
        <v>43</v>
      </c>
      <c r="G298" s="31">
        <f>SUM(G272:G297)</f>
        <v>16</v>
      </c>
      <c r="H298" s="32">
        <f>SUM(H272:H297)</f>
        <v>10</v>
      </c>
      <c r="I298" s="33">
        <f>SUM(F298:H298)</f>
        <v>69</v>
      </c>
      <c r="J298" s="34">
        <f t="shared" si="281"/>
        <v>127</v>
      </c>
      <c r="L298" s="29" t="s">
        <v>17</v>
      </c>
      <c r="M298" s="30">
        <f>SUM(M272:M297)</f>
        <v>136</v>
      </c>
      <c r="N298" s="31">
        <f>SUM(N272:N297)</f>
        <v>85</v>
      </c>
      <c r="O298" s="32">
        <f>SUM(O272:O297)</f>
        <v>68</v>
      </c>
      <c r="P298" s="33">
        <f>SUM(M298:O298)</f>
        <v>289</v>
      </c>
      <c r="Q298" s="30">
        <f>SUM(Q272:Q297)</f>
        <v>127</v>
      </c>
      <c r="R298" s="31">
        <f>SUM(R272:R297)</f>
        <v>102</v>
      </c>
      <c r="S298" s="32">
        <f>SUM(S272:S297)</f>
        <v>70</v>
      </c>
      <c r="T298" s="33">
        <f>SUM(Q298:S298)</f>
        <v>299</v>
      </c>
      <c r="U298" s="34">
        <f t="shared" si="284"/>
        <v>588</v>
      </c>
    </row>
    <row r="299" spans="1:23" ht="14.25" thickBot="1" x14ac:dyDescent="0.2">
      <c r="A299" s="18" t="s">
        <v>18</v>
      </c>
      <c r="B299" s="44">
        <f>B271-B298</f>
        <v>6</v>
      </c>
      <c r="C299" s="45">
        <f t="shared" ref="C299:E299" si="291">C271-C298</f>
        <v>10</v>
      </c>
      <c r="D299" s="46">
        <f t="shared" si="291"/>
        <v>9</v>
      </c>
      <c r="E299" s="46">
        <f t="shared" si="291"/>
        <v>25</v>
      </c>
      <c r="F299" s="44">
        <f>F271-F298</f>
        <v>10</v>
      </c>
      <c r="G299" s="45">
        <f t="shared" ref="G299:I299" si="292">G271-G298</f>
        <v>11</v>
      </c>
      <c r="H299" s="46">
        <f t="shared" si="292"/>
        <v>7</v>
      </c>
      <c r="I299" s="46">
        <f t="shared" si="292"/>
        <v>28</v>
      </c>
      <c r="J299" s="24">
        <f t="shared" si="281"/>
        <v>53</v>
      </c>
      <c r="L299" s="18" t="s">
        <v>18</v>
      </c>
      <c r="M299" s="44">
        <f>M271-M298</f>
        <v>37</v>
      </c>
      <c r="N299" s="45">
        <f>N271-N298</f>
        <v>162</v>
      </c>
      <c r="O299" s="46">
        <f t="shared" ref="O299:P299" si="293">O271-O298</f>
        <v>124</v>
      </c>
      <c r="P299" s="46">
        <f t="shared" si="293"/>
        <v>323</v>
      </c>
      <c r="Q299" s="44">
        <f>Q271-Q298</f>
        <v>0</v>
      </c>
      <c r="R299" s="45">
        <f t="shared" ref="R299:T299" si="294">R271-R298</f>
        <v>167</v>
      </c>
      <c r="S299" s="46">
        <f t="shared" si="294"/>
        <v>123</v>
      </c>
      <c r="T299" s="46">
        <f t="shared" si="294"/>
        <v>290</v>
      </c>
      <c r="U299" s="24">
        <f t="shared" si="284"/>
        <v>613</v>
      </c>
    </row>
    <row r="302" spans="1:23" ht="19.5" thickBot="1" x14ac:dyDescent="0.25">
      <c r="A302" s="2" t="s">
        <v>24</v>
      </c>
      <c r="B302" s="1"/>
      <c r="C302" s="1"/>
      <c r="D302" s="1"/>
      <c r="E302" s="1"/>
      <c r="F302" s="1" t="s">
        <v>39</v>
      </c>
      <c r="G302" s="1"/>
      <c r="H302" s="1"/>
      <c r="I302" s="1"/>
      <c r="J302" s="1"/>
      <c r="L302" s="2" t="s">
        <v>23</v>
      </c>
      <c r="M302" s="1"/>
      <c r="N302" s="1"/>
      <c r="O302" s="1"/>
      <c r="P302" s="63" t="s">
        <v>35</v>
      </c>
      <c r="Q302" s="1"/>
      <c r="R302" s="1" t="s">
        <v>39</v>
      </c>
      <c r="S302" s="1"/>
      <c r="T302" s="1"/>
      <c r="U302" s="1"/>
    </row>
    <row r="303" spans="1:23" ht="14.25" thickBot="1" x14ac:dyDescent="0.2">
      <c r="A303" s="6" t="s">
        <v>0</v>
      </c>
      <c r="B303" s="128" t="s">
        <v>21</v>
      </c>
      <c r="C303" s="129"/>
      <c r="D303" s="129"/>
      <c r="E303" s="130"/>
      <c r="F303" s="125" t="s">
        <v>19</v>
      </c>
      <c r="G303" s="126"/>
      <c r="H303" s="126"/>
      <c r="I303" s="127"/>
      <c r="J303" s="131" t="s">
        <v>1</v>
      </c>
      <c r="L303" s="6" t="s">
        <v>0</v>
      </c>
      <c r="M303" s="128" t="s">
        <v>21</v>
      </c>
      <c r="N303" s="129"/>
      <c r="O303" s="129"/>
      <c r="P303" s="130"/>
      <c r="Q303" s="125" t="s">
        <v>19</v>
      </c>
      <c r="R303" s="126"/>
      <c r="S303" s="126"/>
      <c r="T303" s="127"/>
      <c r="U303" s="131" t="s">
        <v>1</v>
      </c>
    </row>
    <row r="304" spans="1:23" ht="14.25" thickBot="1" x14ac:dyDescent="0.2">
      <c r="A304" s="6" t="s">
        <v>2</v>
      </c>
      <c r="B304" s="3" t="s">
        <v>3</v>
      </c>
      <c r="C304" s="4" t="s">
        <v>4</v>
      </c>
      <c r="D304" s="5" t="s">
        <v>5</v>
      </c>
      <c r="E304" s="6" t="s">
        <v>6</v>
      </c>
      <c r="F304" s="3" t="s">
        <v>3</v>
      </c>
      <c r="G304" s="4" t="s">
        <v>4</v>
      </c>
      <c r="H304" s="5" t="s">
        <v>5</v>
      </c>
      <c r="I304" s="6" t="s">
        <v>6</v>
      </c>
      <c r="J304" s="132"/>
      <c r="L304" s="6" t="s">
        <v>2</v>
      </c>
      <c r="M304" s="50" t="s">
        <v>3</v>
      </c>
      <c r="N304" s="51" t="s">
        <v>4</v>
      </c>
      <c r="O304" s="52" t="s">
        <v>5</v>
      </c>
      <c r="P304" s="6" t="s">
        <v>6</v>
      </c>
      <c r="Q304" s="3" t="s">
        <v>3</v>
      </c>
      <c r="R304" s="4" t="s">
        <v>4</v>
      </c>
      <c r="S304" s="5" t="s">
        <v>5</v>
      </c>
      <c r="T304" s="6" t="s">
        <v>6</v>
      </c>
      <c r="U304" s="132"/>
    </row>
    <row r="305" spans="1:22" ht="14.25" thickBot="1" x14ac:dyDescent="0.2">
      <c r="A305" s="20" t="s">
        <v>18</v>
      </c>
      <c r="B305" s="21">
        <f>B299</f>
        <v>6</v>
      </c>
      <c r="C305" s="22">
        <f t="shared" ref="C305:D305" si="295">C299</f>
        <v>10</v>
      </c>
      <c r="D305" s="38">
        <f t="shared" si="295"/>
        <v>9</v>
      </c>
      <c r="E305" s="24">
        <f t="shared" ref="E305:E313" si="296">SUM(B305:D305)</f>
        <v>25</v>
      </c>
      <c r="F305" s="21">
        <f>F299</f>
        <v>10</v>
      </c>
      <c r="G305" s="22">
        <f t="shared" ref="G305:H305" si="297">G299</f>
        <v>11</v>
      </c>
      <c r="H305" s="38">
        <f t="shared" si="297"/>
        <v>7</v>
      </c>
      <c r="I305" s="24">
        <f t="shared" ref="I305:I313" si="298">SUM(F305:H305)</f>
        <v>28</v>
      </c>
      <c r="J305" s="24">
        <f>E305+I305</f>
        <v>53</v>
      </c>
      <c r="L305" s="20" t="s">
        <v>18</v>
      </c>
      <c r="M305" s="21">
        <f>M299</f>
        <v>37</v>
      </c>
      <c r="N305" s="22">
        <f t="shared" ref="N305:O305" si="299">N299</f>
        <v>162</v>
      </c>
      <c r="O305" s="38">
        <f t="shared" si="299"/>
        <v>124</v>
      </c>
      <c r="P305" s="73">
        <f t="shared" ref="P305:P313" si="300">SUM(M305:O305)</f>
        <v>323</v>
      </c>
      <c r="Q305" s="21">
        <f>Q299</f>
        <v>0</v>
      </c>
      <c r="R305" s="22">
        <f t="shared" ref="R305:S305" si="301">R299</f>
        <v>167</v>
      </c>
      <c r="S305" s="38">
        <f t="shared" si="301"/>
        <v>123</v>
      </c>
      <c r="T305" s="24">
        <f t="shared" ref="T305:T313" si="302">SUM(Q305:S305)</f>
        <v>290</v>
      </c>
      <c r="U305" s="24">
        <f>P305+T305</f>
        <v>613</v>
      </c>
    </row>
    <row r="306" spans="1:22" x14ac:dyDescent="0.15">
      <c r="A306" s="19" t="s">
        <v>8</v>
      </c>
      <c r="B306" s="7">
        <v>10</v>
      </c>
      <c r="C306" s="8"/>
      <c r="D306" s="35"/>
      <c r="E306" s="10">
        <f t="shared" si="296"/>
        <v>10</v>
      </c>
      <c r="F306" s="7">
        <v>5</v>
      </c>
      <c r="G306" s="8"/>
      <c r="H306" s="35">
        <v>5</v>
      </c>
      <c r="I306" s="48">
        <f t="shared" si="298"/>
        <v>10</v>
      </c>
      <c r="J306" s="10">
        <f t="shared" ref="J306:J313" si="303">E306+I306</f>
        <v>20</v>
      </c>
      <c r="K306" s="57">
        <v>45729</v>
      </c>
      <c r="L306" s="19" t="s">
        <v>8</v>
      </c>
      <c r="M306" s="7">
        <v>300</v>
      </c>
      <c r="N306" s="8"/>
      <c r="O306" s="35"/>
      <c r="P306" s="10">
        <f t="shared" si="300"/>
        <v>300</v>
      </c>
      <c r="Q306" s="7">
        <v>480</v>
      </c>
      <c r="R306" s="8"/>
      <c r="S306" s="35"/>
      <c r="T306" s="48">
        <f t="shared" si="302"/>
        <v>480</v>
      </c>
      <c r="U306" s="10">
        <f t="shared" ref="U306:U313" si="304">P306+T306</f>
        <v>780</v>
      </c>
      <c r="V306" s="57" t="s">
        <v>124</v>
      </c>
    </row>
    <row r="307" spans="1:22" x14ac:dyDescent="0.15">
      <c r="A307" s="19" t="s">
        <v>9</v>
      </c>
      <c r="B307" s="7">
        <v>5</v>
      </c>
      <c r="C307" s="8"/>
      <c r="D307" s="35"/>
      <c r="E307" s="10">
        <f t="shared" si="296"/>
        <v>5</v>
      </c>
      <c r="F307" s="7"/>
      <c r="G307" s="8"/>
      <c r="H307" s="35"/>
      <c r="I307" s="48">
        <f t="shared" si="298"/>
        <v>0</v>
      </c>
      <c r="J307" s="10">
        <f t="shared" si="303"/>
        <v>5</v>
      </c>
      <c r="K307" s="57">
        <v>45735</v>
      </c>
      <c r="L307" s="19" t="s">
        <v>9</v>
      </c>
      <c r="M307" s="7"/>
      <c r="N307" s="8"/>
      <c r="O307" s="35"/>
      <c r="P307" s="10">
        <f t="shared" si="300"/>
        <v>0</v>
      </c>
      <c r="Q307" s="7"/>
      <c r="R307" s="8"/>
      <c r="S307" s="35"/>
      <c r="T307" s="48">
        <f t="shared" si="302"/>
        <v>0</v>
      </c>
      <c r="U307" s="10">
        <f t="shared" si="304"/>
        <v>0</v>
      </c>
      <c r="V307" s="56" t="s">
        <v>103</v>
      </c>
    </row>
    <row r="308" spans="1:22" x14ac:dyDescent="0.15">
      <c r="A308" s="19" t="s">
        <v>10</v>
      </c>
      <c r="B308" s="7">
        <v>5</v>
      </c>
      <c r="C308" s="8"/>
      <c r="D308" s="35"/>
      <c r="E308" s="10">
        <f t="shared" si="296"/>
        <v>5</v>
      </c>
      <c r="F308" s="7"/>
      <c r="G308" s="8"/>
      <c r="H308" s="35"/>
      <c r="I308" s="48">
        <f t="shared" si="298"/>
        <v>0</v>
      </c>
      <c r="J308" s="10">
        <f t="shared" si="303"/>
        <v>5</v>
      </c>
      <c r="K308" s="57">
        <v>45741</v>
      </c>
      <c r="L308" s="19" t="s">
        <v>10</v>
      </c>
      <c r="M308" s="11"/>
      <c r="N308" s="12"/>
      <c r="O308" s="36"/>
      <c r="P308" s="10">
        <f t="shared" si="300"/>
        <v>0</v>
      </c>
      <c r="Q308" s="11"/>
      <c r="R308" s="12"/>
      <c r="S308" s="36"/>
      <c r="T308" s="48">
        <f t="shared" si="302"/>
        <v>0</v>
      </c>
      <c r="U308" s="10">
        <f t="shared" si="304"/>
        <v>0</v>
      </c>
      <c r="V308" s="56"/>
    </row>
    <row r="309" spans="1:22" x14ac:dyDescent="0.15">
      <c r="A309" s="19" t="s">
        <v>11</v>
      </c>
      <c r="B309" s="7"/>
      <c r="C309" s="8">
        <v>5</v>
      </c>
      <c r="D309" s="35">
        <v>5</v>
      </c>
      <c r="E309" s="10">
        <f t="shared" si="296"/>
        <v>10</v>
      </c>
      <c r="F309" s="7"/>
      <c r="G309" s="8">
        <v>5</v>
      </c>
      <c r="H309" s="35">
        <v>5</v>
      </c>
      <c r="I309" s="48">
        <f t="shared" si="298"/>
        <v>10</v>
      </c>
      <c r="J309" s="10">
        <f t="shared" si="303"/>
        <v>20</v>
      </c>
      <c r="K309" s="57">
        <v>45748</v>
      </c>
      <c r="L309" s="19" t="s">
        <v>11</v>
      </c>
      <c r="M309" s="11"/>
      <c r="N309" s="12"/>
      <c r="O309" s="36"/>
      <c r="P309" s="10">
        <f t="shared" si="300"/>
        <v>0</v>
      </c>
      <c r="Q309" s="11"/>
      <c r="R309" s="12"/>
      <c r="S309" s="36"/>
      <c r="T309" s="48">
        <f t="shared" si="302"/>
        <v>0</v>
      </c>
      <c r="U309" s="10">
        <f t="shared" si="304"/>
        <v>0</v>
      </c>
    </row>
    <row r="310" spans="1:22" x14ac:dyDescent="0.15">
      <c r="A310" s="19" t="s">
        <v>12</v>
      </c>
      <c r="B310" s="7">
        <v>10</v>
      </c>
      <c r="C310" s="8"/>
      <c r="D310" s="35"/>
      <c r="E310" s="10">
        <f t="shared" si="296"/>
        <v>10</v>
      </c>
      <c r="F310" s="7">
        <v>3</v>
      </c>
      <c r="G310" s="8"/>
      <c r="H310" s="35"/>
      <c r="I310" s="48">
        <f t="shared" si="298"/>
        <v>3</v>
      </c>
      <c r="J310" s="10">
        <f t="shared" si="303"/>
        <v>13</v>
      </c>
      <c r="K310" s="57">
        <v>45765</v>
      </c>
      <c r="L310" s="19" t="s">
        <v>12</v>
      </c>
      <c r="M310" s="11"/>
      <c r="N310" s="12"/>
      <c r="O310" s="36"/>
      <c r="P310" s="10">
        <f t="shared" ref="P310" si="305">SUM(M310:O310)</f>
        <v>0</v>
      </c>
      <c r="Q310" s="11"/>
      <c r="R310" s="12"/>
      <c r="S310" s="36"/>
      <c r="T310" s="48">
        <f t="shared" ref="T310" si="306">SUM(Q310:S310)</f>
        <v>0</v>
      </c>
      <c r="U310" s="10">
        <f t="shared" ref="U310" si="307">P310+T310</f>
        <v>0</v>
      </c>
    </row>
    <row r="311" spans="1:22" x14ac:dyDescent="0.15">
      <c r="A311" s="19" t="s">
        <v>13</v>
      </c>
      <c r="B311" s="7">
        <v>40</v>
      </c>
      <c r="C311" s="8"/>
      <c r="D311" s="35"/>
      <c r="E311" s="10">
        <f t="shared" si="296"/>
        <v>40</v>
      </c>
      <c r="F311" s="7">
        <v>40</v>
      </c>
      <c r="G311" s="8"/>
      <c r="H311" s="35"/>
      <c r="I311" s="48">
        <f t="shared" si="298"/>
        <v>40</v>
      </c>
      <c r="J311" s="10">
        <f t="shared" si="303"/>
        <v>80</v>
      </c>
      <c r="K311" s="57">
        <v>45766</v>
      </c>
      <c r="L311" s="19" t="s">
        <v>13</v>
      </c>
      <c r="M311" s="7"/>
      <c r="N311" s="8"/>
      <c r="O311" s="35"/>
      <c r="P311" s="10">
        <f t="shared" si="300"/>
        <v>0</v>
      </c>
      <c r="Q311" s="7"/>
      <c r="R311" s="8"/>
      <c r="S311" s="35"/>
      <c r="T311" s="48">
        <f t="shared" si="302"/>
        <v>0</v>
      </c>
      <c r="U311" s="10">
        <f t="shared" si="304"/>
        <v>0</v>
      </c>
    </row>
    <row r="312" spans="1:22" x14ac:dyDescent="0.15">
      <c r="A312" s="19" t="s">
        <v>123</v>
      </c>
      <c r="B312" s="11"/>
      <c r="C312" s="12">
        <v>2</v>
      </c>
      <c r="D312" s="36"/>
      <c r="E312" s="10">
        <f t="shared" si="296"/>
        <v>2</v>
      </c>
      <c r="F312" s="11"/>
      <c r="G312" s="12">
        <v>2</v>
      </c>
      <c r="H312" s="36"/>
      <c r="I312" s="48">
        <f t="shared" si="298"/>
        <v>2</v>
      </c>
      <c r="J312" s="10">
        <f t="shared" si="303"/>
        <v>4</v>
      </c>
      <c r="K312" s="57">
        <v>45770</v>
      </c>
      <c r="L312" s="19" t="s">
        <v>14</v>
      </c>
      <c r="M312" s="11"/>
      <c r="N312" s="12"/>
      <c r="O312" s="36"/>
      <c r="P312" s="10">
        <f t="shared" si="300"/>
        <v>0</v>
      </c>
      <c r="Q312" s="11"/>
      <c r="R312" s="12"/>
      <c r="S312" s="36"/>
      <c r="T312" s="48">
        <f t="shared" si="302"/>
        <v>0</v>
      </c>
      <c r="U312" s="10">
        <f t="shared" si="304"/>
        <v>0</v>
      </c>
    </row>
    <row r="313" spans="1:22" ht="14.25" thickBot="1" x14ac:dyDescent="0.2">
      <c r="A313" s="19" t="s">
        <v>15</v>
      </c>
      <c r="B313" s="25"/>
      <c r="C313" s="26"/>
      <c r="D313" s="37">
        <v>5</v>
      </c>
      <c r="E313" s="10">
        <f t="shared" si="296"/>
        <v>5</v>
      </c>
      <c r="F313" s="25"/>
      <c r="G313" s="26">
        <v>5</v>
      </c>
      <c r="H313" s="37"/>
      <c r="I313" s="48">
        <f t="shared" si="298"/>
        <v>5</v>
      </c>
      <c r="J313" s="17">
        <f t="shared" si="303"/>
        <v>10</v>
      </c>
      <c r="K313" s="57">
        <v>45777</v>
      </c>
      <c r="L313" s="19" t="s">
        <v>15</v>
      </c>
      <c r="M313" s="25"/>
      <c r="N313" s="26"/>
      <c r="O313" s="37"/>
      <c r="P313" s="10">
        <f t="shared" si="300"/>
        <v>0</v>
      </c>
      <c r="Q313" s="25"/>
      <c r="R313" s="26"/>
      <c r="S313" s="37"/>
      <c r="T313" s="48">
        <f t="shared" si="302"/>
        <v>0</v>
      </c>
      <c r="U313" s="17">
        <f t="shared" si="304"/>
        <v>0</v>
      </c>
    </row>
    <row r="314" spans="1:22" ht="14.25" thickBot="1" x14ac:dyDescent="0.2">
      <c r="A314" s="27" t="s">
        <v>16</v>
      </c>
      <c r="B314" s="21">
        <f>SUM(B305:B313)</f>
        <v>76</v>
      </c>
      <c r="C314" s="22">
        <f t="shared" ref="C314:J314" si="308">SUM(C305:C313)</f>
        <v>17</v>
      </c>
      <c r="D314" s="38">
        <f t="shared" si="308"/>
        <v>19</v>
      </c>
      <c r="E314" s="54">
        <f t="shared" si="308"/>
        <v>112</v>
      </c>
      <c r="F314" s="21">
        <f t="shared" si="308"/>
        <v>58</v>
      </c>
      <c r="G314" s="22">
        <f t="shared" si="308"/>
        <v>23</v>
      </c>
      <c r="H314" s="38">
        <f t="shared" si="308"/>
        <v>17</v>
      </c>
      <c r="I314" s="53">
        <f t="shared" si="308"/>
        <v>98</v>
      </c>
      <c r="J314" s="24">
        <f t="shared" si="308"/>
        <v>210</v>
      </c>
      <c r="L314" s="27" t="s">
        <v>16</v>
      </c>
      <c r="M314" s="21">
        <f>SUM(M305:M313)</f>
        <v>337</v>
      </c>
      <c r="N314" s="22">
        <f t="shared" ref="N314:U314" si="309">SUM(N305:N313)</f>
        <v>162</v>
      </c>
      <c r="O314" s="38">
        <f t="shared" si="309"/>
        <v>124</v>
      </c>
      <c r="P314" s="54">
        <f t="shared" si="309"/>
        <v>623</v>
      </c>
      <c r="Q314" s="21">
        <f t="shared" si="309"/>
        <v>480</v>
      </c>
      <c r="R314" s="22">
        <f t="shared" si="309"/>
        <v>167</v>
      </c>
      <c r="S314" s="38">
        <f t="shared" si="309"/>
        <v>123</v>
      </c>
      <c r="T314" s="53">
        <f t="shared" si="309"/>
        <v>770</v>
      </c>
      <c r="U314" s="24">
        <f t="shared" si="309"/>
        <v>1393</v>
      </c>
    </row>
    <row r="315" spans="1:22" x14ac:dyDescent="0.15">
      <c r="A315" s="60" t="s">
        <v>37</v>
      </c>
      <c r="B315" s="11">
        <f>1+3+1</f>
        <v>5</v>
      </c>
      <c r="C315" s="12">
        <v>1</v>
      </c>
      <c r="D315" s="13"/>
      <c r="E315" s="10">
        <f t="shared" ref="E315:E340" si="310">SUM(B315:D315)</f>
        <v>6</v>
      </c>
      <c r="F315" s="11">
        <f>2+1</f>
        <v>3</v>
      </c>
      <c r="G315" s="12">
        <v>1</v>
      </c>
      <c r="H315" s="13"/>
      <c r="I315" s="48">
        <f t="shared" ref="I315:I340" si="311">SUM(F315:H315)</f>
        <v>4</v>
      </c>
      <c r="J315" s="10">
        <f t="shared" ref="J315:J342" si="312">E315+I315</f>
        <v>10</v>
      </c>
      <c r="K315" s="66">
        <v>45729</v>
      </c>
      <c r="L315" s="60" t="s">
        <v>116</v>
      </c>
      <c r="M315" s="11">
        <v>6</v>
      </c>
      <c r="N315" s="12"/>
      <c r="O315" s="13"/>
      <c r="P315" s="10">
        <f t="shared" ref="P315:P336" si="313">SUM(M315:O315)</f>
        <v>6</v>
      </c>
      <c r="Q315" s="11">
        <v>6</v>
      </c>
      <c r="R315" s="12"/>
      <c r="S315" s="13"/>
      <c r="T315" s="48">
        <f t="shared" ref="T315:T336" si="314">SUM(Q315:S315)</f>
        <v>6</v>
      </c>
      <c r="U315" s="10">
        <f t="shared" ref="U315:U342" si="315">P315+T315</f>
        <v>12</v>
      </c>
      <c r="V315" s="57">
        <v>45770</v>
      </c>
    </row>
    <row r="316" spans="1:22" x14ac:dyDescent="0.15">
      <c r="A316" s="60" t="s">
        <v>37</v>
      </c>
      <c r="B316" s="11">
        <v>1</v>
      </c>
      <c r="C316" s="12"/>
      <c r="D316" s="13"/>
      <c r="E316" s="10">
        <f t="shared" si="310"/>
        <v>1</v>
      </c>
      <c r="F316" s="11">
        <v>1</v>
      </c>
      <c r="G316" s="12"/>
      <c r="H316" s="13"/>
      <c r="I316" s="48">
        <f t="shared" si="311"/>
        <v>1</v>
      </c>
      <c r="J316" s="10">
        <f t="shared" si="312"/>
        <v>2</v>
      </c>
      <c r="K316" s="66">
        <v>45730</v>
      </c>
      <c r="L316" s="60" t="s">
        <v>118</v>
      </c>
      <c r="M316" s="11">
        <f>17+7</f>
        <v>24</v>
      </c>
      <c r="N316" s="12"/>
      <c r="O316" s="13"/>
      <c r="P316" s="10">
        <f t="shared" si="313"/>
        <v>24</v>
      </c>
      <c r="Q316" s="11">
        <f>17+7</f>
        <v>24</v>
      </c>
      <c r="R316" s="12"/>
      <c r="S316" s="13"/>
      <c r="T316" s="48">
        <f t="shared" si="314"/>
        <v>24</v>
      </c>
      <c r="U316" s="10">
        <f t="shared" si="315"/>
        <v>48</v>
      </c>
      <c r="V316" s="57">
        <v>45770</v>
      </c>
    </row>
    <row r="317" spans="1:22" x14ac:dyDescent="0.15">
      <c r="A317" s="60" t="s">
        <v>37</v>
      </c>
      <c r="B317" s="11">
        <v>2</v>
      </c>
      <c r="C317" s="12">
        <v>1</v>
      </c>
      <c r="D317" s="13"/>
      <c r="E317" s="10">
        <f t="shared" si="310"/>
        <v>3</v>
      </c>
      <c r="F317" s="11">
        <v>1</v>
      </c>
      <c r="G317" s="12"/>
      <c r="H317" s="13">
        <v>1</v>
      </c>
      <c r="I317" s="48">
        <f t="shared" si="311"/>
        <v>2</v>
      </c>
      <c r="J317" s="10">
        <f t="shared" si="312"/>
        <v>5</v>
      </c>
      <c r="K317" s="66">
        <v>45731</v>
      </c>
      <c r="L317" s="67" t="s">
        <v>46</v>
      </c>
      <c r="M317" s="11">
        <v>40</v>
      </c>
      <c r="N317" s="12"/>
      <c r="O317" s="13"/>
      <c r="P317" s="10">
        <f t="shared" si="313"/>
        <v>40</v>
      </c>
      <c r="Q317" s="11">
        <v>40</v>
      </c>
      <c r="R317" s="12"/>
      <c r="S317" s="13"/>
      <c r="T317" s="48">
        <f t="shared" si="314"/>
        <v>40</v>
      </c>
      <c r="U317" s="10">
        <f t="shared" si="315"/>
        <v>80</v>
      </c>
      <c r="V317" s="66">
        <v>45766</v>
      </c>
    </row>
    <row r="318" spans="1:22" x14ac:dyDescent="0.15">
      <c r="A318" s="60" t="s">
        <v>37</v>
      </c>
      <c r="B318" s="11">
        <v>3</v>
      </c>
      <c r="C318" s="12"/>
      <c r="D318" s="13"/>
      <c r="E318" s="10">
        <f t="shared" si="310"/>
        <v>3</v>
      </c>
      <c r="F318" s="11"/>
      <c r="G318" s="12"/>
      <c r="H318" s="13"/>
      <c r="I318" s="48">
        <f t="shared" si="311"/>
        <v>0</v>
      </c>
      <c r="J318" s="10">
        <f t="shared" si="312"/>
        <v>3</v>
      </c>
      <c r="K318" s="66">
        <v>45733</v>
      </c>
      <c r="L318" s="60" t="s">
        <v>121</v>
      </c>
      <c r="M318" s="11">
        <v>1</v>
      </c>
      <c r="N318" s="12"/>
      <c r="O318" s="13"/>
      <c r="P318" s="10">
        <f t="shared" si="313"/>
        <v>1</v>
      </c>
      <c r="Q318" s="11">
        <v>1</v>
      </c>
      <c r="R318" s="12">
        <v>1</v>
      </c>
      <c r="S318" s="13">
        <v>1</v>
      </c>
      <c r="T318" s="48">
        <f t="shared" si="314"/>
        <v>3</v>
      </c>
      <c r="U318" s="10">
        <f t="shared" si="315"/>
        <v>4</v>
      </c>
      <c r="V318" s="57">
        <v>45775</v>
      </c>
    </row>
    <row r="319" spans="1:22" x14ac:dyDescent="0.15">
      <c r="A319" s="60" t="s">
        <v>37</v>
      </c>
      <c r="B319" s="11">
        <v>1</v>
      </c>
      <c r="C319" s="12"/>
      <c r="D319" s="13"/>
      <c r="E319" s="10">
        <f t="shared" si="310"/>
        <v>1</v>
      </c>
      <c r="F319" s="11"/>
      <c r="G319" s="12"/>
      <c r="H319" s="13">
        <v>1</v>
      </c>
      <c r="I319" s="48">
        <f t="shared" si="311"/>
        <v>1</v>
      </c>
      <c r="J319" s="10">
        <f t="shared" si="312"/>
        <v>2</v>
      </c>
      <c r="K319" s="66">
        <v>45733</v>
      </c>
      <c r="L319" s="60" t="s">
        <v>122</v>
      </c>
      <c r="M319" s="11">
        <v>30</v>
      </c>
      <c r="N319" s="12">
        <v>8</v>
      </c>
      <c r="O319" s="13">
        <v>4</v>
      </c>
      <c r="P319" s="10">
        <f t="shared" si="313"/>
        <v>42</v>
      </c>
      <c r="Q319" s="11">
        <v>30</v>
      </c>
      <c r="R319" s="12">
        <v>8</v>
      </c>
      <c r="S319" s="13">
        <v>4</v>
      </c>
      <c r="T319" s="48">
        <f t="shared" si="314"/>
        <v>42</v>
      </c>
      <c r="U319" s="10">
        <f t="shared" si="315"/>
        <v>84</v>
      </c>
      <c r="V319" s="57">
        <v>45775</v>
      </c>
    </row>
    <row r="320" spans="1:22" x14ac:dyDescent="0.15">
      <c r="A320" s="60" t="s">
        <v>101</v>
      </c>
      <c r="B320" s="11"/>
      <c r="C320" s="12"/>
      <c r="D320" s="13">
        <v>1</v>
      </c>
      <c r="E320" s="10">
        <f t="shared" si="310"/>
        <v>1</v>
      </c>
      <c r="F320" s="11"/>
      <c r="G320" s="12"/>
      <c r="H320" s="13">
        <v>1</v>
      </c>
      <c r="I320" s="48">
        <f t="shared" si="311"/>
        <v>1</v>
      </c>
      <c r="J320" s="10">
        <f t="shared" si="312"/>
        <v>2</v>
      </c>
      <c r="K320" s="66">
        <v>45734</v>
      </c>
      <c r="L320" s="67" t="s">
        <v>46</v>
      </c>
      <c r="M320" s="11"/>
      <c r="N320" s="12"/>
      <c r="O320" s="13">
        <v>5</v>
      </c>
      <c r="P320" s="10">
        <f t="shared" si="313"/>
        <v>5</v>
      </c>
      <c r="Q320" s="11"/>
      <c r="R320" s="12">
        <v>5</v>
      </c>
      <c r="S320" s="13"/>
      <c r="T320" s="48">
        <f t="shared" si="314"/>
        <v>5</v>
      </c>
      <c r="U320" s="10">
        <f t="shared" si="315"/>
        <v>10</v>
      </c>
      <c r="V320" s="57">
        <v>45777</v>
      </c>
    </row>
    <row r="321" spans="1:22" x14ac:dyDescent="0.15">
      <c r="A321" s="60" t="s">
        <v>37</v>
      </c>
      <c r="B321" s="11">
        <v>1</v>
      </c>
      <c r="C321" s="12"/>
      <c r="D321" s="13"/>
      <c r="E321" s="10">
        <f t="shared" si="310"/>
        <v>1</v>
      </c>
      <c r="F321" s="11">
        <v>1</v>
      </c>
      <c r="G321" s="12">
        <v>1</v>
      </c>
      <c r="H321" s="13"/>
      <c r="I321" s="48">
        <f t="shared" si="311"/>
        <v>2</v>
      </c>
      <c r="J321" s="10">
        <f t="shared" si="312"/>
        <v>3</v>
      </c>
      <c r="K321" s="66">
        <v>45734</v>
      </c>
      <c r="L321" s="67" t="s">
        <v>46</v>
      </c>
      <c r="M321" s="11"/>
      <c r="N321" s="12">
        <v>5</v>
      </c>
      <c r="O321" s="13">
        <v>5</v>
      </c>
      <c r="P321" s="10">
        <f t="shared" si="313"/>
        <v>10</v>
      </c>
      <c r="Q321" s="11">
        <v>5</v>
      </c>
      <c r="R321" s="12">
        <v>5</v>
      </c>
      <c r="S321" s="13">
        <v>5</v>
      </c>
      <c r="T321" s="48">
        <f t="shared" si="314"/>
        <v>15</v>
      </c>
      <c r="U321" s="10">
        <f t="shared" si="315"/>
        <v>25</v>
      </c>
      <c r="V321" s="57">
        <v>45785</v>
      </c>
    </row>
    <row r="322" spans="1:22" x14ac:dyDescent="0.15">
      <c r="A322" s="60" t="s">
        <v>37</v>
      </c>
      <c r="B322" s="11"/>
      <c r="C322" s="12"/>
      <c r="D322" s="13"/>
      <c r="E322" s="10">
        <f t="shared" si="310"/>
        <v>0</v>
      </c>
      <c r="F322" s="11">
        <v>2</v>
      </c>
      <c r="G322" s="12"/>
      <c r="H322" s="13"/>
      <c r="I322" s="48">
        <f t="shared" si="311"/>
        <v>2</v>
      </c>
      <c r="J322" s="10">
        <f t="shared" si="312"/>
        <v>2</v>
      </c>
      <c r="K322" s="66">
        <v>45735</v>
      </c>
      <c r="L322" s="60"/>
      <c r="M322" s="11"/>
      <c r="N322" s="12"/>
      <c r="O322" s="13"/>
      <c r="P322" s="10">
        <f t="shared" ref="P322:P323" si="316">SUM(M322:O322)</f>
        <v>0</v>
      </c>
      <c r="Q322" s="11"/>
      <c r="R322" s="12"/>
      <c r="S322" s="13"/>
      <c r="T322" s="48">
        <f t="shared" ref="T322:T323" si="317">SUM(Q322:S322)</f>
        <v>0</v>
      </c>
      <c r="U322" s="10">
        <f t="shared" ref="U322:U323" si="318">P322+T322</f>
        <v>0</v>
      </c>
      <c r="V322" s="56"/>
    </row>
    <row r="323" spans="1:22" x14ac:dyDescent="0.15">
      <c r="A323" s="60" t="s">
        <v>37</v>
      </c>
      <c r="B323" s="11">
        <f>2+1</f>
        <v>3</v>
      </c>
      <c r="C323" s="12">
        <v>1</v>
      </c>
      <c r="D323" s="13"/>
      <c r="E323" s="10">
        <f t="shared" si="310"/>
        <v>4</v>
      </c>
      <c r="F323" s="11">
        <v>1</v>
      </c>
      <c r="G323" s="12"/>
      <c r="H323" s="13"/>
      <c r="I323" s="48">
        <f t="shared" si="311"/>
        <v>1</v>
      </c>
      <c r="J323" s="10">
        <f t="shared" si="312"/>
        <v>5</v>
      </c>
      <c r="K323" s="66">
        <v>45737</v>
      </c>
      <c r="L323" s="60"/>
      <c r="M323" s="11"/>
      <c r="N323" s="12"/>
      <c r="O323" s="13"/>
      <c r="P323" s="10">
        <f t="shared" si="316"/>
        <v>0</v>
      </c>
      <c r="Q323" s="11"/>
      <c r="R323" s="12"/>
      <c r="S323" s="13"/>
      <c r="T323" s="48">
        <f t="shared" si="317"/>
        <v>0</v>
      </c>
      <c r="U323" s="10">
        <f t="shared" si="318"/>
        <v>0</v>
      </c>
      <c r="V323" s="56"/>
    </row>
    <row r="324" spans="1:22" x14ac:dyDescent="0.15">
      <c r="A324" s="60" t="s">
        <v>37</v>
      </c>
      <c r="B324" s="11">
        <f>1+4</f>
        <v>5</v>
      </c>
      <c r="C324" s="12">
        <v>2</v>
      </c>
      <c r="D324" s="13">
        <f>1+1</f>
        <v>2</v>
      </c>
      <c r="E324" s="10">
        <f t="shared" si="310"/>
        <v>9</v>
      </c>
      <c r="F324" s="11">
        <v>2</v>
      </c>
      <c r="G324" s="12">
        <f>1+1</f>
        <v>2</v>
      </c>
      <c r="H324" s="13">
        <f>1+1</f>
        <v>2</v>
      </c>
      <c r="I324" s="48">
        <f t="shared" si="311"/>
        <v>6</v>
      </c>
      <c r="J324" s="10">
        <f t="shared" si="312"/>
        <v>15</v>
      </c>
      <c r="K324" s="66">
        <v>45740</v>
      </c>
      <c r="L324" s="60"/>
      <c r="M324" s="11"/>
      <c r="N324" s="12"/>
      <c r="O324" s="13"/>
      <c r="P324" s="10">
        <f t="shared" si="313"/>
        <v>0</v>
      </c>
      <c r="Q324" s="11"/>
      <c r="R324" s="12"/>
      <c r="S324" s="13"/>
      <c r="T324" s="48">
        <f t="shared" si="314"/>
        <v>0</v>
      </c>
      <c r="U324" s="10">
        <f t="shared" si="315"/>
        <v>0</v>
      </c>
      <c r="V324" s="56"/>
    </row>
    <row r="325" spans="1:22" x14ac:dyDescent="0.15">
      <c r="A325" s="60" t="s">
        <v>37</v>
      </c>
      <c r="B325" s="11">
        <v>1</v>
      </c>
      <c r="C325" s="12"/>
      <c r="D325" s="13"/>
      <c r="E325" s="10">
        <f t="shared" si="310"/>
        <v>1</v>
      </c>
      <c r="F325" s="11"/>
      <c r="G325" s="12"/>
      <c r="H325" s="13"/>
      <c r="I325" s="48">
        <f t="shared" si="311"/>
        <v>0</v>
      </c>
      <c r="J325" s="10">
        <f t="shared" si="312"/>
        <v>1</v>
      </c>
      <c r="K325" s="66">
        <v>45741</v>
      </c>
      <c r="L325" s="60"/>
      <c r="M325" s="11"/>
      <c r="N325" s="12"/>
      <c r="O325" s="13"/>
      <c r="P325" s="10">
        <f t="shared" si="313"/>
        <v>0</v>
      </c>
      <c r="Q325" s="11"/>
      <c r="R325" s="12"/>
      <c r="S325" s="13"/>
      <c r="T325" s="48">
        <f t="shared" si="314"/>
        <v>0</v>
      </c>
      <c r="U325" s="10">
        <f t="shared" si="315"/>
        <v>0</v>
      </c>
    </row>
    <row r="326" spans="1:22" x14ac:dyDescent="0.15">
      <c r="A326" s="60" t="s">
        <v>37</v>
      </c>
      <c r="B326" s="11"/>
      <c r="C326" s="12">
        <v>1</v>
      </c>
      <c r="D326" s="13"/>
      <c r="E326" s="10">
        <f t="shared" si="310"/>
        <v>1</v>
      </c>
      <c r="F326" s="11"/>
      <c r="G326" s="12">
        <f>1+1</f>
        <v>2</v>
      </c>
      <c r="H326" s="13"/>
      <c r="I326" s="48">
        <f t="shared" si="311"/>
        <v>2</v>
      </c>
      <c r="J326" s="10">
        <f t="shared" si="312"/>
        <v>3</v>
      </c>
      <c r="K326" s="66">
        <v>45745</v>
      </c>
      <c r="L326" s="60"/>
      <c r="M326" s="11"/>
      <c r="N326" s="12"/>
      <c r="O326" s="13"/>
      <c r="P326" s="10">
        <f t="shared" si="313"/>
        <v>0</v>
      </c>
      <c r="Q326" s="11"/>
      <c r="R326" s="12"/>
      <c r="S326" s="13"/>
      <c r="T326" s="48">
        <f t="shared" si="314"/>
        <v>0</v>
      </c>
      <c r="U326" s="10">
        <f t="shared" si="315"/>
        <v>0</v>
      </c>
    </row>
    <row r="327" spans="1:22" x14ac:dyDescent="0.15">
      <c r="A327" s="60" t="s">
        <v>37</v>
      </c>
      <c r="B327" s="11">
        <v>2</v>
      </c>
      <c r="C327" s="12"/>
      <c r="D327" s="13"/>
      <c r="E327" s="10">
        <f t="shared" si="310"/>
        <v>2</v>
      </c>
      <c r="F327" s="11"/>
      <c r="G327" s="12"/>
      <c r="H327" s="13"/>
      <c r="I327" s="48">
        <f t="shared" si="311"/>
        <v>0</v>
      </c>
      <c r="J327" s="10">
        <f t="shared" si="312"/>
        <v>2</v>
      </c>
      <c r="K327" s="57">
        <v>45747</v>
      </c>
      <c r="L327" s="60"/>
      <c r="M327" s="11"/>
      <c r="N327" s="12"/>
      <c r="O327" s="13"/>
      <c r="P327" s="10">
        <f t="shared" si="313"/>
        <v>0</v>
      </c>
      <c r="Q327" s="11"/>
      <c r="R327" s="12"/>
      <c r="S327" s="13"/>
      <c r="T327" s="48">
        <f t="shared" si="314"/>
        <v>0</v>
      </c>
      <c r="U327" s="10">
        <f t="shared" si="315"/>
        <v>0</v>
      </c>
    </row>
    <row r="328" spans="1:22" x14ac:dyDescent="0.15">
      <c r="A328" s="60" t="s">
        <v>37</v>
      </c>
      <c r="B328" s="11">
        <v>1</v>
      </c>
      <c r="C328" s="12"/>
      <c r="D328" s="13">
        <v>1</v>
      </c>
      <c r="E328" s="10">
        <f t="shared" si="310"/>
        <v>2</v>
      </c>
      <c r="F328" s="11">
        <v>1</v>
      </c>
      <c r="G328" s="12">
        <f>1+1</f>
        <v>2</v>
      </c>
      <c r="H328" s="13"/>
      <c r="I328" s="48">
        <f t="shared" si="311"/>
        <v>3</v>
      </c>
      <c r="J328" s="10">
        <f t="shared" si="312"/>
        <v>5</v>
      </c>
      <c r="K328" s="57">
        <v>45754</v>
      </c>
      <c r="L328" s="60"/>
      <c r="M328" s="11"/>
      <c r="N328" s="12"/>
      <c r="O328" s="13"/>
      <c r="P328" s="10">
        <f t="shared" si="313"/>
        <v>0</v>
      </c>
      <c r="Q328" s="11"/>
      <c r="R328" s="12"/>
      <c r="S328" s="13"/>
      <c r="T328" s="48">
        <f t="shared" si="314"/>
        <v>0</v>
      </c>
      <c r="U328" s="10">
        <f t="shared" si="315"/>
        <v>0</v>
      </c>
    </row>
    <row r="329" spans="1:22" x14ac:dyDescent="0.15">
      <c r="A329" s="60" t="s">
        <v>37</v>
      </c>
      <c r="B329" s="11">
        <v>1</v>
      </c>
      <c r="C329" s="12"/>
      <c r="D329" s="13"/>
      <c r="E329" s="10">
        <f t="shared" si="310"/>
        <v>1</v>
      </c>
      <c r="F329" s="11"/>
      <c r="G329" s="12"/>
      <c r="H329" s="13"/>
      <c r="I329" s="48">
        <f t="shared" si="311"/>
        <v>0</v>
      </c>
      <c r="J329" s="10">
        <f t="shared" si="312"/>
        <v>1</v>
      </c>
      <c r="K329" s="57">
        <v>45755</v>
      </c>
      <c r="L329" s="60"/>
      <c r="M329" s="11"/>
      <c r="N329" s="12"/>
      <c r="O329" s="13"/>
      <c r="P329" s="10">
        <f t="shared" si="313"/>
        <v>0</v>
      </c>
      <c r="Q329" s="11"/>
      <c r="R329" s="12"/>
      <c r="S329" s="13"/>
      <c r="T329" s="48">
        <f t="shared" si="314"/>
        <v>0</v>
      </c>
      <c r="U329" s="10">
        <f t="shared" si="315"/>
        <v>0</v>
      </c>
    </row>
    <row r="330" spans="1:22" x14ac:dyDescent="0.15">
      <c r="A330" s="60" t="s">
        <v>37</v>
      </c>
      <c r="B330" s="11"/>
      <c r="C330" s="12"/>
      <c r="D330" s="13"/>
      <c r="E330" s="10">
        <f t="shared" si="310"/>
        <v>0</v>
      </c>
      <c r="F330" s="11">
        <v>1</v>
      </c>
      <c r="G330" s="12"/>
      <c r="H330" s="13"/>
      <c r="I330" s="48">
        <f t="shared" si="311"/>
        <v>1</v>
      </c>
      <c r="J330" s="10">
        <f t="shared" si="312"/>
        <v>1</v>
      </c>
      <c r="K330" s="57">
        <v>45756</v>
      </c>
      <c r="L330" s="60"/>
      <c r="M330" s="11"/>
      <c r="N330" s="12"/>
      <c r="O330" s="13"/>
      <c r="P330" s="10">
        <f t="shared" si="313"/>
        <v>0</v>
      </c>
      <c r="Q330" s="11"/>
      <c r="R330" s="12"/>
      <c r="S330" s="13"/>
      <c r="T330" s="48">
        <f t="shared" si="314"/>
        <v>0</v>
      </c>
      <c r="U330" s="10">
        <f t="shared" si="315"/>
        <v>0</v>
      </c>
    </row>
    <row r="331" spans="1:22" x14ac:dyDescent="0.15">
      <c r="A331" s="60" t="s">
        <v>37</v>
      </c>
      <c r="B331" s="11"/>
      <c r="C331" s="12"/>
      <c r="D331" s="13">
        <v>2</v>
      </c>
      <c r="E331" s="10">
        <f t="shared" si="310"/>
        <v>2</v>
      </c>
      <c r="F331" s="11"/>
      <c r="G331" s="12"/>
      <c r="H331" s="13">
        <v>1</v>
      </c>
      <c r="I331" s="48">
        <f t="shared" si="311"/>
        <v>1</v>
      </c>
      <c r="J331" s="10">
        <f t="shared" si="312"/>
        <v>3</v>
      </c>
      <c r="K331" s="57">
        <v>45757</v>
      </c>
      <c r="L331" s="60"/>
      <c r="M331" s="11"/>
      <c r="N331" s="12"/>
      <c r="O331" s="13"/>
      <c r="P331" s="10">
        <f t="shared" si="313"/>
        <v>0</v>
      </c>
      <c r="Q331" s="11"/>
      <c r="R331" s="12"/>
      <c r="S331" s="13"/>
      <c r="T331" s="48">
        <f t="shared" si="314"/>
        <v>0</v>
      </c>
      <c r="U331" s="10">
        <f t="shared" si="315"/>
        <v>0</v>
      </c>
    </row>
    <row r="332" spans="1:22" x14ac:dyDescent="0.15">
      <c r="A332" s="60" t="s">
        <v>120</v>
      </c>
      <c r="B332" s="11"/>
      <c r="C332" s="12"/>
      <c r="D332" s="13"/>
      <c r="E332" s="10">
        <f t="shared" si="310"/>
        <v>0</v>
      </c>
      <c r="F332" s="11"/>
      <c r="G332" s="12"/>
      <c r="H332" s="13">
        <v>1</v>
      </c>
      <c r="I332" s="48">
        <f t="shared" si="311"/>
        <v>1</v>
      </c>
      <c r="J332" s="10">
        <f t="shared" si="312"/>
        <v>1</v>
      </c>
      <c r="K332" s="57">
        <v>45765</v>
      </c>
      <c r="L332" s="60"/>
      <c r="M332" s="11"/>
      <c r="N332" s="12"/>
      <c r="O332" s="13"/>
      <c r="P332" s="10">
        <f t="shared" si="313"/>
        <v>0</v>
      </c>
      <c r="Q332" s="11"/>
      <c r="R332" s="12"/>
      <c r="S332" s="13"/>
      <c r="T332" s="48">
        <f t="shared" si="314"/>
        <v>0</v>
      </c>
      <c r="U332" s="10">
        <f t="shared" si="315"/>
        <v>0</v>
      </c>
    </row>
    <row r="333" spans="1:22" x14ac:dyDescent="0.15">
      <c r="A333" s="60" t="s">
        <v>37</v>
      </c>
      <c r="B333" s="11"/>
      <c r="C333" s="12"/>
      <c r="D333" s="13">
        <v>1</v>
      </c>
      <c r="E333" s="10">
        <f t="shared" si="310"/>
        <v>1</v>
      </c>
      <c r="F333" s="11"/>
      <c r="G333" s="12"/>
      <c r="H333" s="13"/>
      <c r="I333" s="48">
        <f t="shared" si="311"/>
        <v>0</v>
      </c>
      <c r="J333" s="10">
        <f t="shared" si="312"/>
        <v>1</v>
      </c>
      <c r="K333" s="57">
        <v>45762</v>
      </c>
      <c r="L333" s="60"/>
      <c r="M333" s="11"/>
      <c r="N333" s="12"/>
      <c r="O333" s="13"/>
      <c r="P333" s="10">
        <f t="shared" si="313"/>
        <v>0</v>
      </c>
      <c r="Q333" s="11"/>
      <c r="R333" s="12"/>
      <c r="S333" s="13"/>
      <c r="T333" s="48">
        <f t="shared" si="314"/>
        <v>0</v>
      </c>
      <c r="U333" s="10">
        <f t="shared" si="315"/>
        <v>0</v>
      </c>
    </row>
    <row r="334" spans="1:22" x14ac:dyDescent="0.15">
      <c r="A334" s="60" t="s">
        <v>37</v>
      </c>
      <c r="B334" s="11">
        <v>1</v>
      </c>
      <c r="C334" s="12"/>
      <c r="D334" s="13"/>
      <c r="E334" s="10">
        <f t="shared" si="310"/>
        <v>1</v>
      </c>
      <c r="F334" s="11"/>
      <c r="G334" s="12"/>
      <c r="H334" s="13"/>
      <c r="I334" s="48">
        <f t="shared" si="311"/>
        <v>0</v>
      </c>
      <c r="J334" s="10">
        <f t="shared" si="312"/>
        <v>1</v>
      </c>
      <c r="K334" s="66">
        <v>45764</v>
      </c>
      <c r="L334" s="60"/>
      <c r="M334" s="11"/>
      <c r="N334" s="12"/>
      <c r="O334" s="13"/>
      <c r="P334" s="10">
        <f t="shared" si="313"/>
        <v>0</v>
      </c>
      <c r="Q334" s="11"/>
      <c r="R334" s="12"/>
      <c r="S334" s="13"/>
      <c r="T334" s="48">
        <f t="shared" si="314"/>
        <v>0</v>
      </c>
      <c r="U334" s="10">
        <f t="shared" si="315"/>
        <v>0</v>
      </c>
    </row>
    <row r="335" spans="1:22" x14ac:dyDescent="0.15">
      <c r="A335" s="60" t="s">
        <v>37</v>
      </c>
      <c r="B335" s="11">
        <f>1+1</f>
        <v>2</v>
      </c>
      <c r="C335" s="12">
        <v>1</v>
      </c>
      <c r="D335" s="13">
        <v>1</v>
      </c>
      <c r="E335" s="10">
        <f t="shared" si="310"/>
        <v>4</v>
      </c>
      <c r="F335" s="11">
        <v>3</v>
      </c>
      <c r="G335" s="12">
        <v>1</v>
      </c>
      <c r="H335" s="13"/>
      <c r="I335" s="48">
        <f t="shared" si="311"/>
        <v>4</v>
      </c>
      <c r="J335" s="10">
        <f t="shared" si="312"/>
        <v>8</v>
      </c>
      <c r="K335" s="66">
        <v>45768</v>
      </c>
      <c r="L335" s="60"/>
      <c r="M335" s="11"/>
      <c r="N335" s="12"/>
      <c r="O335" s="13"/>
      <c r="P335" s="10">
        <f t="shared" si="313"/>
        <v>0</v>
      </c>
      <c r="Q335" s="11"/>
      <c r="R335" s="12"/>
      <c r="S335" s="13"/>
      <c r="T335" s="48">
        <f t="shared" si="314"/>
        <v>0</v>
      </c>
      <c r="U335" s="10">
        <f t="shared" si="315"/>
        <v>0</v>
      </c>
    </row>
    <row r="336" spans="1:22" x14ac:dyDescent="0.15">
      <c r="A336" s="60" t="s">
        <v>37</v>
      </c>
      <c r="B336" s="11">
        <f>1+2+1</f>
        <v>4</v>
      </c>
      <c r="C336" s="12"/>
      <c r="D336" s="13"/>
      <c r="E336" s="10">
        <f t="shared" si="310"/>
        <v>4</v>
      </c>
      <c r="F336" s="11">
        <f>3+2+1</f>
        <v>6</v>
      </c>
      <c r="G336" s="12"/>
      <c r="H336" s="13"/>
      <c r="I336" s="48">
        <f t="shared" si="311"/>
        <v>6</v>
      </c>
      <c r="J336" s="10">
        <f t="shared" si="312"/>
        <v>10</v>
      </c>
      <c r="K336" s="66">
        <v>45769</v>
      </c>
      <c r="L336" s="60"/>
      <c r="M336" s="11"/>
      <c r="N336" s="12"/>
      <c r="O336" s="13"/>
      <c r="P336" s="10">
        <f t="shared" si="313"/>
        <v>0</v>
      </c>
      <c r="Q336" s="11"/>
      <c r="R336" s="12"/>
      <c r="S336" s="13"/>
      <c r="T336" s="48">
        <f t="shared" si="314"/>
        <v>0</v>
      </c>
      <c r="U336" s="10">
        <f t="shared" si="315"/>
        <v>0</v>
      </c>
    </row>
    <row r="337" spans="1:22" x14ac:dyDescent="0.15">
      <c r="A337" s="60" t="s">
        <v>37</v>
      </c>
      <c r="B337" s="11">
        <f>1+1</f>
        <v>2</v>
      </c>
      <c r="C337" s="12"/>
      <c r="D337" s="13"/>
      <c r="E337" s="10">
        <f t="shared" si="310"/>
        <v>2</v>
      </c>
      <c r="F337" s="11">
        <v>1</v>
      </c>
      <c r="G337" s="12"/>
      <c r="H337" s="13"/>
      <c r="I337" s="48">
        <f t="shared" si="311"/>
        <v>1</v>
      </c>
      <c r="J337" s="10">
        <f t="shared" si="312"/>
        <v>3</v>
      </c>
      <c r="K337" s="66">
        <v>45770</v>
      </c>
      <c r="L337" s="60"/>
      <c r="M337" s="11"/>
      <c r="N337" s="12"/>
      <c r="O337" s="13"/>
      <c r="P337" s="10">
        <f t="shared" ref="P337:P339" si="319">SUM(M337:O337)</f>
        <v>0</v>
      </c>
      <c r="Q337" s="11"/>
      <c r="R337" s="12"/>
      <c r="S337" s="13"/>
      <c r="T337" s="48">
        <f t="shared" ref="T337:T339" si="320">SUM(Q337:S337)</f>
        <v>0</v>
      </c>
      <c r="U337" s="10">
        <f t="shared" ref="U337:U339" si="321">P337+T337</f>
        <v>0</v>
      </c>
    </row>
    <row r="338" spans="1:22" x14ac:dyDescent="0.15">
      <c r="A338" s="60" t="s">
        <v>37</v>
      </c>
      <c r="B338" s="11">
        <v>2</v>
      </c>
      <c r="C338" s="12"/>
      <c r="D338" s="13"/>
      <c r="E338" s="10">
        <f t="shared" si="310"/>
        <v>2</v>
      </c>
      <c r="F338" s="11">
        <f>1+3</f>
        <v>4</v>
      </c>
      <c r="G338" s="12"/>
      <c r="H338" s="13"/>
      <c r="I338" s="48">
        <f t="shared" si="311"/>
        <v>4</v>
      </c>
      <c r="J338" s="10">
        <f t="shared" si="312"/>
        <v>6</v>
      </c>
      <c r="K338" s="66">
        <v>45771</v>
      </c>
      <c r="L338" s="60"/>
      <c r="M338" s="11"/>
      <c r="N338" s="12"/>
      <c r="O338" s="13"/>
      <c r="P338" s="10">
        <f t="shared" si="319"/>
        <v>0</v>
      </c>
      <c r="Q338" s="11"/>
      <c r="R338" s="12"/>
      <c r="S338" s="13"/>
      <c r="T338" s="48">
        <f t="shared" si="320"/>
        <v>0</v>
      </c>
      <c r="U338" s="10">
        <f t="shared" si="321"/>
        <v>0</v>
      </c>
    </row>
    <row r="339" spans="1:22" x14ac:dyDescent="0.15">
      <c r="A339" s="60" t="s">
        <v>37</v>
      </c>
      <c r="B339" s="11">
        <v>2</v>
      </c>
      <c r="C339" s="12"/>
      <c r="D339" s="13"/>
      <c r="E339" s="10">
        <f t="shared" si="310"/>
        <v>2</v>
      </c>
      <c r="F339" s="11">
        <f>1+1</f>
        <v>2</v>
      </c>
      <c r="G339" s="12"/>
      <c r="H339" s="13">
        <v>1</v>
      </c>
      <c r="I339" s="48">
        <f t="shared" si="311"/>
        <v>3</v>
      </c>
      <c r="J339" s="10">
        <f t="shared" si="312"/>
        <v>5</v>
      </c>
      <c r="K339" s="66">
        <v>45772</v>
      </c>
      <c r="L339" s="60"/>
      <c r="M339" s="11"/>
      <c r="N339" s="12"/>
      <c r="O339" s="13"/>
      <c r="P339" s="10">
        <f t="shared" si="319"/>
        <v>0</v>
      </c>
      <c r="Q339" s="11"/>
      <c r="R339" s="12"/>
      <c r="S339" s="13"/>
      <c r="T339" s="48">
        <f t="shared" si="320"/>
        <v>0</v>
      </c>
      <c r="U339" s="10">
        <f t="shared" si="321"/>
        <v>0</v>
      </c>
    </row>
    <row r="340" spans="1:22" ht="14.25" thickBot="1" x14ac:dyDescent="0.2">
      <c r="A340" s="60" t="s">
        <v>37</v>
      </c>
      <c r="B340" s="11">
        <v>3</v>
      </c>
      <c r="C340" s="12">
        <v>1</v>
      </c>
      <c r="D340" s="13"/>
      <c r="E340" s="10">
        <f t="shared" si="310"/>
        <v>4</v>
      </c>
      <c r="F340" s="11">
        <f>1+2</f>
        <v>3</v>
      </c>
      <c r="G340" s="12">
        <f>2+2</f>
        <v>4</v>
      </c>
      <c r="H340" s="13">
        <v>1</v>
      </c>
      <c r="I340" s="48">
        <f t="shared" si="311"/>
        <v>8</v>
      </c>
      <c r="J340" s="10">
        <f t="shared" si="312"/>
        <v>12</v>
      </c>
      <c r="K340" s="66">
        <v>45775</v>
      </c>
      <c r="L340" s="60" t="s">
        <v>104</v>
      </c>
      <c r="M340" s="11"/>
      <c r="N340" s="12"/>
      <c r="O340" s="13"/>
      <c r="P340" s="10">
        <f t="shared" ref="P340" si="322">SUM(M340:O340)</f>
        <v>0</v>
      </c>
      <c r="Q340" s="11"/>
      <c r="R340" s="12"/>
      <c r="S340" s="13"/>
      <c r="T340" s="48">
        <f t="shared" ref="T340" si="323">SUM(Q340:S340)</f>
        <v>0</v>
      </c>
      <c r="U340" s="10">
        <f t="shared" ref="U340" si="324">P340+T340</f>
        <v>0</v>
      </c>
      <c r="V340" s="56" t="s">
        <v>107</v>
      </c>
    </row>
    <row r="341" spans="1:22" ht="14.25" thickBot="1" x14ac:dyDescent="0.2">
      <c r="A341" s="29" t="s">
        <v>17</v>
      </c>
      <c r="B341" s="30">
        <f>SUM(B315:B340)</f>
        <v>42</v>
      </c>
      <c r="C341" s="31">
        <f>SUM(C315:C340)</f>
        <v>8</v>
      </c>
      <c r="D341" s="32">
        <f>SUM(D315:D340)</f>
        <v>8</v>
      </c>
      <c r="E341" s="33">
        <f>SUM(B341:D341)</f>
        <v>58</v>
      </c>
      <c r="F341" s="30">
        <f>SUM(F315:F340)</f>
        <v>32</v>
      </c>
      <c r="G341" s="31">
        <f>SUM(G315:G340)</f>
        <v>13</v>
      </c>
      <c r="H341" s="32">
        <f>SUM(H315:H340)</f>
        <v>9</v>
      </c>
      <c r="I341" s="33">
        <f>SUM(F341:H341)</f>
        <v>54</v>
      </c>
      <c r="J341" s="34">
        <f t="shared" si="312"/>
        <v>112</v>
      </c>
      <c r="L341" s="29" t="s">
        <v>17</v>
      </c>
      <c r="M341" s="30">
        <f>SUM(M315:M340)</f>
        <v>101</v>
      </c>
      <c r="N341" s="31">
        <f>SUM(N315:N340)</f>
        <v>13</v>
      </c>
      <c r="O341" s="32">
        <f>SUM(O315:O340)</f>
        <v>14</v>
      </c>
      <c r="P341" s="33">
        <f>SUM(M341:O341)</f>
        <v>128</v>
      </c>
      <c r="Q341" s="30">
        <f>SUM(Q315:Q340)</f>
        <v>106</v>
      </c>
      <c r="R341" s="31">
        <f>SUM(R315:R340)</f>
        <v>19</v>
      </c>
      <c r="S341" s="32">
        <f>SUM(S315:S340)</f>
        <v>10</v>
      </c>
      <c r="T341" s="33">
        <f>SUM(Q341:S341)</f>
        <v>135</v>
      </c>
      <c r="U341" s="34">
        <f t="shared" si="315"/>
        <v>263</v>
      </c>
    </row>
    <row r="342" spans="1:22" ht="14.25" thickBot="1" x14ac:dyDescent="0.2">
      <c r="A342" s="18" t="s">
        <v>18</v>
      </c>
      <c r="B342" s="44">
        <f>B314-B341</f>
        <v>34</v>
      </c>
      <c r="C342" s="45">
        <f t="shared" ref="C342:E342" si="325">C314-C341</f>
        <v>9</v>
      </c>
      <c r="D342" s="46">
        <f t="shared" si="325"/>
        <v>11</v>
      </c>
      <c r="E342" s="46">
        <f t="shared" si="325"/>
        <v>54</v>
      </c>
      <c r="F342" s="44">
        <f>F314-F341</f>
        <v>26</v>
      </c>
      <c r="G342" s="45">
        <f t="shared" ref="G342:I342" si="326">G314-G341</f>
        <v>10</v>
      </c>
      <c r="H342" s="46">
        <f t="shared" si="326"/>
        <v>8</v>
      </c>
      <c r="I342" s="46">
        <f t="shared" si="326"/>
        <v>44</v>
      </c>
      <c r="J342" s="24">
        <f t="shared" si="312"/>
        <v>98</v>
      </c>
      <c r="L342" s="18" t="s">
        <v>18</v>
      </c>
      <c r="M342" s="44">
        <f>M314-M341</f>
        <v>236</v>
      </c>
      <c r="N342" s="45">
        <f t="shared" ref="N342:P342" si="327">N314-N341</f>
        <v>149</v>
      </c>
      <c r="O342" s="46">
        <f t="shared" si="327"/>
        <v>110</v>
      </c>
      <c r="P342" s="46">
        <f t="shared" si="327"/>
        <v>495</v>
      </c>
      <c r="Q342" s="44">
        <f>Q314-Q341</f>
        <v>374</v>
      </c>
      <c r="R342" s="45">
        <f t="shared" ref="R342:T342" si="328">R314-R341</f>
        <v>148</v>
      </c>
      <c r="S342" s="46">
        <f t="shared" si="328"/>
        <v>113</v>
      </c>
      <c r="T342" s="46">
        <f t="shared" si="328"/>
        <v>635</v>
      </c>
      <c r="U342" s="24">
        <f t="shared" si="315"/>
        <v>1130</v>
      </c>
    </row>
    <row r="345" spans="1:22" ht="19.5" thickBot="1" x14ac:dyDescent="0.25">
      <c r="A345" s="2" t="s">
        <v>24</v>
      </c>
      <c r="B345" s="1"/>
      <c r="C345" s="1"/>
      <c r="D345" s="1"/>
      <c r="E345" s="1"/>
      <c r="F345" s="1" t="s">
        <v>39</v>
      </c>
      <c r="G345" s="1"/>
      <c r="H345" s="1"/>
      <c r="I345" s="1"/>
      <c r="J345" s="1"/>
      <c r="L345" s="2" t="s">
        <v>23</v>
      </c>
      <c r="M345" s="1"/>
      <c r="N345" s="1"/>
      <c r="O345" s="1"/>
      <c r="P345" s="63" t="s">
        <v>35</v>
      </c>
      <c r="Q345" s="1"/>
      <c r="R345" s="1" t="s">
        <v>39</v>
      </c>
      <c r="S345" s="1"/>
      <c r="T345" s="1"/>
      <c r="U345" s="1"/>
    </row>
    <row r="346" spans="1:22" ht="14.25" thickBot="1" x14ac:dyDescent="0.2">
      <c r="A346" s="6" t="s">
        <v>0</v>
      </c>
      <c r="B346" s="128" t="s">
        <v>21</v>
      </c>
      <c r="C346" s="129"/>
      <c r="D346" s="129"/>
      <c r="E346" s="130"/>
      <c r="F346" s="125" t="s">
        <v>19</v>
      </c>
      <c r="G346" s="126"/>
      <c r="H346" s="126"/>
      <c r="I346" s="127"/>
      <c r="J346" s="131" t="s">
        <v>1</v>
      </c>
      <c r="L346" s="6" t="s">
        <v>0</v>
      </c>
      <c r="M346" s="128" t="s">
        <v>21</v>
      </c>
      <c r="N346" s="129"/>
      <c r="O346" s="129"/>
      <c r="P346" s="130"/>
      <c r="Q346" s="125" t="s">
        <v>19</v>
      </c>
      <c r="R346" s="126"/>
      <c r="S346" s="126"/>
      <c r="T346" s="127"/>
      <c r="U346" s="131" t="s">
        <v>1</v>
      </c>
    </row>
    <row r="347" spans="1:22" ht="14.25" thickBot="1" x14ac:dyDescent="0.2">
      <c r="A347" s="6" t="s">
        <v>2</v>
      </c>
      <c r="B347" s="3" t="s">
        <v>3</v>
      </c>
      <c r="C347" s="4" t="s">
        <v>4</v>
      </c>
      <c r="D347" s="5" t="s">
        <v>5</v>
      </c>
      <c r="E347" s="6" t="s">
        <v>6</v>
      </c>
      <c r="F347" s="3" t="s">
        <v>3</v>
      </c>
      <c r="G347" s="4" t="s">
        <v>4</v>
      </c>
      <c r="H347" s="5" t="s">
        <v>5</v>
      </c>
      <c r="I347" s="6" t="s">
        <v>6</v>
      </c>
      <c r="J347" s="132"/>
      <c r="L347" s="6" t="s">
        <v>2</v>
      </c>
      <c r="M347" s="50" t="s">
        <v>3</v>
      </c>
      <c r="N347" s="51" t="s">
        <v>4</v>
      </c>
      <c r="O347" s="52" t="s">
        <v>5</v>
      </c>
      <c r="P347" s="6" t="s">
        <v>6</v>
      </c>
      <c r="Q347" s="3" t="s">
        <v>3</v>
      </c>
      <c r="R347" s="4" t="s">
        <v>4</v>
      </c>
      <c r="S347" s="5" t="s">
        <v>5</v>
      </c>
      <c r="T347" s="6" t="s">
        <v>6</v>
      </c>
      <c r="U347" s="132"/>
    </row>
    <row r="348" spans="1:22" ht="14.25" thickBot="1" x14ac:dyDescent="0.2">
      <c r="A348" s="20" t="s">
        <v>18</v>
      </c>
      <c r="B348" s="21">
        <f>B342</f>
        <v>34</v>
      </c>
      <c r="C348" s="22">
        <f t="shared" ref="C348:D348" si="329">C342</f>
        <v>9</v>
      </c>
      <c r="D348" s="38">
        <f t="shared" si="329"/>
        <v>11</v>
      </c>
      <c r="E348" s="24">
        <f t="shared" ref="E348:E356" si="330">SUM(B348:D348)</f>
        <v>54</v>
      </c>
      <c r="F348" s="21">
        <f>F342</f>
        <v>26</v>
      </c>
      <c r="G348" s="22">
        <f t="shared" ref="G348:H348" si="331">G342</f>
        <v>10</v>
      </c>
      <c r="H348" s="38">
        <f t="shared" si="331"/>
        <v>8</v>
      </c>
      <c r="I348" s="24">
        <f t="shared" ref="I348:I356" si="332">SUM(F348:H348)</f>
        <v>44</v>
      </c>
      <c r="J348" s="24">
        <f>E348+I348</f>
        <v>98</v>
      </c>
      <c r="L348" s="20" t="s">
        <v>18</v>
      </c>
      <c r="M348" s="21">
        <f>M342</f>
        <v>236</v>
      </c>
      <c r="N348" s="22">
        <f t="shared" ref="N348:O348" si="333">N342</f>
        <v>149</v>
      </c>
      <c r="O348" s="38">
        <f t="shared" si="333"/>
        <v>110</v>
      </c>
      <c r="P348" s="73">
        <f t="shared" ref="P348:P356" si="334">SUM(M348:O348)</f>
        <v>495</v>
      </c>
      <c r="Q348" s="21">
        <f>Q342</f>
        <v>374</v>
      </c>
      <c r="R348" s="22">
        <f t="shared" ref="R348:S348" si="335">R342</f>
        <v>148</v>
      </c>
      <c r="S348" s="38">
        <f t="shared" si="335"/>
        <v>113</v>
      </c>
      <c r="T348" s="24">
        <f t="shared" ref="T348:T356" si="336">SUM(Q348:S348)</f>
        <v>635</v>
      </c>
      <c r="U348" s="24">
        <f>P348+T348</f>
        <v>1130</v>
      </c>
    </row>
    <row r="349" spans="1:22" x14ac:dyDescent="0.15">
      <c r="A349" s="19" t="s">
        <v>8</v>
      </c>
      <c r="B349" s="7"/>
      <c r="C349" s="8">
        <v>5</v>
      </c>
      <c r="D349" s="35">
        <v>5</v>
      </c>
      <c r="E349" s="10">
        <f t="shared" ref="E349:E350" si="337">SUM(B349:D349)</f>
        <v>10</v>
      </c>
      <c r="F349" s="7">
        <v>5</v>
      </c>
      <c r="G349" s="8">
        <v>5</v>
      </c>
      <c r="H349" s="35">
        <v>5</v>
      </c>
      <c r="I349" s="48">
        <f t="shared" ref="I349:I350" si="338">SUM(F349:H349)</f>
        <v>15</v>
      </c>
      <c r="J349" s="10">
        <f t="shared" ref="J349:J350" si="339">E349+I349</f>
        <v>25</v>
      </c>
      <c r="K349" s="57">
        <v>45785</v>
      </c>
      <c r="L349" s="19" t="s">
        <v>8</v>
      </c>
      <c r="M349" s="7"/>
      <c r="N349" s="8"/>
      <c r="O349" s="35"/>
      <c r="P349" s="10">
        <f t="shared" ref="P349" si="340">SUM(M349:O349)</f>
        <v>0</v>
      </c>
      <c r="Q349" s="7"/>
      <c r="R349" s="8"/>
      <c r="S349" s="35"/>
      <c r="T349" s="48">
        <f t="shared" ref="T349" si="341">SUM(Q349:S349)</f>
        <v>0</v>
      </c>
      <c r="U349" s="10">
        <f t="shared" ref="U349" si="342">P349+T349</f>
        <v>0</v>
      </c>
    </row>
    <row r="350" spans="1:22" x14ac:dyDescent="0.15">
      <c r="A350" s="19" t="s">
        <v>9</v>
      </c>
      <c r="B350" s="7">
        <v>40</v>
      </c>
      <c r="C350" s="8"/>
      <c r="D350" s="35"/>
      <c r="E350" s="10">
        <f t="shared" si="337"/>
        <v>40</v>
      </c>
      <c r="F350" s="7">
        <v>40</v>
      </c>
      <c r="G350" s="8"/>
      <c r="H350" s="35"/>
      <c r="I350" s="48">
        <f t="shared" si="338"/>
        <v>40</v>
      </c>
      <c r="J350" s="10">
        <f t="shared" si="339"/>
        <v>80</v>
      </c>
      <c r="K350" s="57">
        <v>45786</v>
      </c>
      <c r="L350" s="19" t="s">
        <v>9</v>
      </c>
      <c r="M350" s="7"/>
      <c r="N350" s="8"/>
      <c r="O350" s="35"/>
      <c r="P350" s="10">
        <f t="shared" si="334"/>
        <v>0</v>
      </c>
      <c r="Q350" s="7"/>
      <c r="R350" s="8"/>
      <c r="S350" s="35"/>
      <c r="T350" s="48">
        <f t="shared" si="336"/>
        <v>0</v>
      </c>
      <c r="U350" s="10">
        <f t="shared" ref="U350:U356" si="343">P350+T350</f>
        <v>0</v>
      </c>
    </row>
    <row r="351" spans="1:22" x14ac:dyDescent="0.15">
      <c r="A351" s="19" t="s">
        <v>10</v>
      </c>
      <c r="B351" s="7"/>
      <c r="C351" s="8">
        <v>10</v>
      </c>
      <c r="D351" s="35">
        <v>10</v>
      </c>
      <c r="E351" s="10">
        <f t="shared" si="330"/>
        <v>20</v>
      </c>
      <c r="F351" s="7"/>
      <c r="G351" s="8">
        <v>10</v>
      </c>
      <c r="H351" s="35">
        <v>10</v>
      </c>
      <c r="I351" s="48">
        <f t="shared" si="332"/>
        <v>20</v>
      </c>
      <c r="J351" s="10">
        <f t="shared" ref="J351:J356" si="344">E351+I351</f>
        <v>40</v>
      </c>
      <c r="K351" s="57">
        <v>45792</v>
      </c>
      <c r="L351" s="19" t="s">
        <v>99</v>
      </c>
      <c r="M351" s="7">
        <v>0</v>
      </c>
      <c r="N351" s="8">
        <v>200</v>
      </c>
      <c r="O351" s="35">
        <v>100</v>
      </c>
      <c r="P351" s="10">
        <f t="shared" si="334"/>
        <v>300</v>
      </c>
      <c r="Q351" s="7">
        <v>0</v>
      </c>
      <c r="R351" s="8">
        <v>300</v>
      </c>
      <c r="S351" s="35">
        <v>150</v>
      </c>
      <c r="T351" s="48">
        <f t="shared" si="336"/>
        <v>450</v>
      </c>
      <c r="U351" s="10">
        <f t="shared" si="343"/>
        <v>750</v>
      </c>
      <c r="V351" s="57" t="s">
        <v>129</v>
      </c>
    </row>
    <row r="352" spans="1:22" x14ac:dyDescent="0.15">
      <c r="A352" s="19" t="s">
        <v>123</v>
      </c>
      <c r="B352" s="7">
        <v>3</v>
      </c>
      <c r="C352" s="8">
        <v>1</v>
      </c>
      <c r="D352" s="35">
        <v>1</v>
      </c>
      <c r="E352" s="10">
        <f t="shared" si="330"/>
        <v>5</v>
      </c>
      <c r="F352" s="7">
        <v>3</v>
      </c>
      <c r="G352" s="8">
        <v>1</v>
      </c>
      <c r="H352" s="35">
        <v>1</v>
      </c>
      <c r="I352" s="48">
        <f t="shared" si="332"/>
        <v>5</v>
      </c>
      <c r="J352" s="10">
        <f t="shared" si="344"/>
        <v>10</v>
      </c>
      <c r="K352" s="57">
        <v>45793</v>
      </c>
      <c r="L352" s="19" t="s">
        <v>38</v>
      </c>
      <c r="M352" s="7"/>
      <c r="N352" s="8"/>
      <c r="O352" s="35"/>
      <c r="P352" s="10">
        <f t="shared" si="334"/>
        <v>0</v>
      </c>
      <c r="Q352" s="7"/>
      <c r="R352" s="8"/>
      <c r="S352" s="35">
        <v>10</v>
      </c>
      <c r="T352" s="48">
        <f t="shared" si="336"/>
        <v>10</v>
      </c>
      <c r="U352" s="10">
        <f t="shared" si="343"/>
        <v>10</v>
      </c>
      <c r="V352" s="56"/>
    </row>
    <row r="353" spans="1:23" x14ac:dyDescent="0.15">
      <c r="A353" s="19" t="s">
        <v>123</v>
      </c>
      <c r="B353" s="7"/>
      <c r="C353" s="8">
        <v>2</v>
      </c>
      <c r="D353" s="35">
        <v>1</v>
      </c>
      <c r="E353" s="10">
        <f t="shared" si="330"/>
        <v>3</v>
      </c>
      <c r="F353" s="7"/>
      <c r="G353" s="8">
        <v>2</v>
      </c>
      <c r="H353" s="35">
        <v>1</v>
      </c>
      <c r="I353" s="48">
        <f t="shared" si="332"/>
        <v>3</v>
      </c>
      <c r="J353" s="10">
        <f t="shared" si="344"/>
        <v>6</v>
      </c>
      <c r="K353" s="57">
        <v>45799</v>
      </c>
      <c r="L353" s="19" t="s">
        <v>12</v>
      </c>
      <c r="M353" s="7"/>
      <c r="N353" s="8"/>
      <c r="O353" s="35"/>
      <c r="P353" s="10">
        <f t="shared" ref="P353" si="345">SUM(M353:O353)</f>
        <v>0</v>
      </c>
      <c r="Q353" s="7"/>
      <c r="R353" s="8"/>
      <c r="S353" s="35"/>
      <c r="T353" s="48">
        <f t="shared" ref="T353" si="346">SUM(Q353:S353)</f>
        <v>0</v>
      </c>
      <c r="U353" s="10">
        <f t="shared" ref="U353" si="347">P353+T353</f>
        <v>0</v>
      </c>
    </row>
    <row r="354" spans="1:23" x14ac:dyDescent="0.15">
      <c r="A354" s="19" t="s">
        <v>123</v>
      </c>
      <c r="B354" s="7">
        <v>3</v>
      </c>
      <c r="C354" s="8">
        <v>2</v>
      </c>
      <c r="D354" s="35"/>
      <c r="E354" s="10">
        <f t="shared" si="330"/>
        <v>5</v>
      </c>
      <c r="F354" s="7">
        <v>3</v>
      </c>
      <c r="G354" s="8">
        <v>2</v>
      </c>
      <c r="H354" s="35"/>
      <c r="I354" s="48">
        <f t="shared" si="332"/>
        <v>5</v>
      </c>
      <c r="J354" s="10">
        <f t="shared" si="344"/>
        <v>10</v>
      </c>
      <c r="K354" s="57">
        <v>45824</v>
      </c>
      <c r="L354" s="19" t="s">
        <v>13</v>
      </c>
      <c r="M354" s="7"/>
      <c r="N354" s="8"/>
      <c r="O354" s="35"/>
      <c r="P354" s="10">
        <f t="shared" si="334"/>
        <v>0</v>
      </c>
      <c r="Q354" s="7"/>
      <c r="R354" s="8"/>
      <c r="S354" s="35"/>
      <c r="T354" s="48">
        <f t="shared" si="336"/>
        <v>0</v>
      </c>
      <c r="U354" s="10">
        <f t="shared" si="343"/>
        <v>0</v>
      </c>
    </row>
    <row r="355" spans="1:23" x14ac:dyDescent="0.15">
      <c r="A355" s="19" t="s">
        <v>14</v>
      </c>
      <c r="B355" s="11"/>
      <c r="C355" s="12"/>
      <c r="D355" s="36"/>
      <c r="E355" s="10">
        <f t="shared" si="330"/>
        <v>0</v>
      </c>
      <c r="F355" s="11"/>
      <c r="G355" s="12"/>
      <c r="H355" s="36"/>
      <c r="I355" s="48">
        <f t="shared" si="332"/>
        <v>0</v>
      </c>
      <c r="J355" s="10">
        <f t="shared" si="344"/>
        <v>0</v>
      </c>
      <c r="K355" s="56"/>
      <c r="L355" s="19" t="s">
        <v>14</v>
      </c>
      <c r="M355" s="11"/>
      <c r="N355" s="12"/>
      <c r="O355" s="36"/>
      <c r="P355" s="10">
        <f t="shared" si="334"/>
        <v>0</v>
      </c>
      <c r="Q355" s="11"/>
      <c r="R355" s="12"/>
      <c r="S355" s="36"/>
      <c r="T355" s="48">
        <f t="shared" si="336"/>
        <v>0</v>
      </c>
      <c r="U355" s="10">
        <f t="shared" si="343"/>
        <v>0</v>
      </c>
    </row>
    <row r="356" spans="1:23" ht="14.25" thickBot="1" x14ac:dyDescent="0.2">
      <c r="A356" s="19" t="s">
        <v>159</v>
      </c>
      <c r="B356" s="25">
        <v>-1</v>
      </c>
      <c r="C356" s="26"/>
      <c r="D356" s="37"/>
      <c r="E356" s="10">
        <f t="shared" si="330"/>
        <v>-1</v>
      </c>
      <c r="F356" s="25"/>
      <c r="G356" s="26"/>
      <c r="H356" s="37"/>
      <c r="I356" s="48">
        <f t="shared" si="332"/>
        <v>0</v>
      </c>
      <c r="J356" s="17">
        <f t="shared" si="344"/>
        <v>-1</v>
      </c>
      <c r="K356" s="66">
        <v>45848</v>
      </c>
      <c r="L356" s="19" t="s">
        <v>15</v>
      </c>
      <c r="M356" s="25"/>
      <c r="N356" s="26"/>
      <c r="O356" s="37"/>
      <c r="P356" s="10">
        <f t="shared" si="334"/>
        <v>0</v>
      </c>
      <c r="Q356" s="25"/>
      <c r="R356" s="26"/>
      <c r="S356" s="37"/>
      <c r="T356" s="48">
        <f t="shared" si="336"/>
        <v>0</v>
      </c>
      <c r="U356" s="17">
        <f t="shared" si="343"/>
        <v>0</v>
      </c>
    </row>
    <row r="357" spans="1:23" ht="14.25" thickBot="1" x14ac:dyDescent="0.2">
      <c r="A357" s="27" t="s">
        <v>16</v>
      </c>
      <c r="B357" s="21">
        <f>SUM(B348:B356)</f>
        <v>79</v>
      </c>
      <c r="C357" s="22">
        <f t="shared" ref="C357:J357" si="348">SUM(C348:C356)</f>
        <v>29</v>
      </c>
      <c r="D357" s="38">
        <f t="shared" si="348"/>
        <v>28</v>
      </c>
      <c r="E357" s="54">
        <f t="shared" si="348"/>
        <v>136</v>
      </c>
      <c r="F357" s="21">
        <f t="shared" si="348"/>
        <v>77</v>
      </c>
      <c r="G357" s="22">
        <f t="shared" si="348"/>
        <v>30</v>
      </c>
      <c r="H357" s="38">
        <f t="shared" si="348"/>
        <v>25</v>
      </c>
      <c r="I357" s="53">
        <f t="shared" si="348"/>
        <v>132</v>
      </c>
      <c r="J357" s="24">
        <f t="shared" si="348"/>
        <v>268</v>
      </c>
      <c r="L357" s="27" t="s">
        <v>16</v>
      </c>
      <c r="M357" s="21">
        <f>SUM(M348:M356)</f>
        <v>236</v>
      </c>
      <c r="N357" s="22">
        <f t="shared" ref="N357:U357" si="349">SUM(N348:N356)</f>
        <v>349</v>
      </c>
      <c r="O357" s="38">
        <f t="shared" si="349"/>
        <v>210</v>
      </c>
      <c r="P357" s="54">
        <f t="shared" si="349"/>
        <v>795</v>
      </c>
      <c r="Q357" s="21">
        <f t="shared" si="349"/>
        <v>374</v>
      </c>
      <c r="R357" s="22">
        <f t="shared" si="349"/>
        <v>448</v>
      </c>
      <c r="S357" s="38">
        <f t="shared" si="349"/>
        <v>273</v>
      </c>
      <c r="T357" s="53">
        <f t="shared" si="349"/>
        <v>1095</v>
      </c>
      <c r="U357" s="24">
        <f t="shared" si="349"/>
        <v>1890</v>
      </c>
    </row>
    <row r="358" spans="1:23" x14ac:dyDescent="0.15">
      <c r="A358" s="60" t="s">
        <v>128</v>
      </c>
      <c r="B358" s="11">
        <v>1</v>
      </c>
      <c r="C358" s="12">
        <v>1</v>
      </c>
      <c r="D358" s="13"/>
      <c r="E358" s="10">
        <f t="shared" ref="E358:E366" si="350">SUM(B358:D358)</f>
        <v>2</v>
      </c>
      <c r="F358" s="11">
        <v>1</v>
      </c>
      <c r="G358" s="12">
        <v>1</v>
      </c>
      <c r="H358" s="13"/>
      <c r="I358" s="48">
        <f t="shared" ref="I358:I366" si="351">SUM(F358:H358)</f>
        <v>2</v>
      </c>
      <c r="J358" s="10">
        <f t="shared" ref="J358:J366" si="352">E358+I358</f>
        <v>4</v>
      </c>
      <c r="K358" s="57">
        <v>45779</v>
      </c>
      <c r="L358" s="60" t="s">
        <v>130</v>
      </c>
      <c r="M358" s="11"/>
      <c r="N358" s="12"/>
      <c r="O358" s="13">
        <v>5</v>
      </c>
      <c r="P358" s="10">
        <f t="shared" ref="P358:P359" si="353">SUM(M358:O358)</f>
        <v>5</v>
      </c>
      <c r="Q358" s="11"/>
      <c r="R358" s="12"/>
      <c r="S358" s="13">
        <v>5</v>
      </c>
      <c r="T358" s="48">
        <f t="shared" ref="T358:T359" si="354">SUM(Q358:S358)</f>
        <v>5</v>
      </c>
      <c r="U358" s="10">
        <f t="shared" ref="U358:U359" si="355">P358+T358</f>
        <v>10</v>
      </c>
      <c r="V358" s="57">
        <v>45790</v>
      </c>
    </row>
    <row r="359" spans="1:23" x14ac:dyDescent="0.15">
      <c r="A359" s="60" t="s">
        <v>37</v>
      </c>
      <c r="B359" s="11">
        <v>3</v>
      </c>
      <c r="C359" s="12"/>
      <c r="D359" s="13"/>
      <c r="E359" s="10">
        <f t="shared" si="350"/>
        <v>3</v>
      </c>
      <c r="F359" s="11">
        <f>2+1</f>
        <v>3</v>
      </c>
      <c r="G359" s="12">
        <v>1</v>
      </c>
      <c r="H359" s="13">
        <v>1</v>
      </c>
      <c r="I359" s="48">
        <f t="shared" si="351"/>
        <v>5</v>
      </c>
      <c r="J359" s="10">
        <f t="shared" si="352"/>
        <v>8</v>
      </c>
      <c r="K359" s="57">
        <v>45777</v>
      </c>
      <c r="L359" s="67" t="s">
        <v>46</v>
      </c>
      <c r="M359" s="11">
        <v>40</v>
      </c>
      <c r="N359" s="12"/>
      <c r="O359" s="13"/>
      <c r="P359" s="10">
        <f t="shared" si="353"/>
        <v>40</v>
      </c>
      <c r="Q359" s="11">
        <v>40</v>
      </c>
      <c r="R359" s="12"/>
      <c r="S359" s="13"/>
      <c r="T359" s="48">
        <f t="shared" si="354"/>
        <v>40</v>
      </c>
      <c r="U359" s="10">
        <f t="shared" si="355"/>
        <v>80</v>
      </c>
      <c r="V359" s="57">
        <v>45787</v>
      </c>
    </row>
    <row r="360" spans="1:23" x14ac:dyDescent="0.15">
      <c r="A360" s="60" t="s">
        <v>37</v>
      </c>
      <c r="B360" s="11">
        <v>1</v>
      </c>
      <c r="C360" s="12"/>
      <c r="D360" s="13"/>
      <c r="E360" s="10">
        <f t="shared" si="350"/>
        <v>1</v>
      </c>
      <c r="F360" s="11">
        <f>2+2</f>
        <v>4</v>
      </c>
      <c r="G360" s="12"/>
      <c r="H360" s="13"/>
      <c r="I360" s="48">
        <f t="shared" si="351"/>
        <v>4</v>
      </c>
      <c r="J360" s="10">
        <f t="shared" si="352"/>
        <v>5</v>
      </c>
      <c r="K360" s="57">
        <v>45778</v>
      </c>
      <c r="L360" s="60" t="s">
        <v>131</v>
      </c>
      <c r="M360" s="11"/>
      <c r="N360" s="12">
        <v>16</v>
      </c>
      <c r="O360" s="13"/>
      <c r="P360" s="10">
        <f t="shared" ref="P360:P379" si="356">SUM(M360:O360)</f>
        <v>16</v>
      </c>
      <c r="Q360" s="11"/>
      <c r="R360" s="12">
        <v>4</v>
      </c>
      <c r="S360" s="13"/>
      <c r="T360" s="48">
        <f t="shared" ref="T360:T379" si="357">SUM(Q360:S360)</f>
        <v>4</v>
      </c>
      <c r="U360" s="10">
        <f t="shared" ref="U360:U385" si="358">P360+T360</f>
        <v>20</v>
      </c>
      <c r="V360" s="57">
        <v>45793</v>
      </c>
    </row>
    <row r="361" spans="1:23" x14ac:dyDescent="0.15">
      <c r="A361" s="60" t="s">
        <v>37</v>
      </c>
      <c r="B361" s="11"/>
      <c r="C361" s="12"/>
      <c r="D361" s="13"/>
      <c r="E361" s="10">
        <f t="shared" si="350"/>
        <v>0</v>
      </c>
      <c r="F361" s="11">
        <v>1</v>
      </c>
      <c r="G361" s="12"/>
      <c r="H361" s="13"/>
      <c r="I361" s="48">
        <f t="shared" si="351"/>
        <v>1</v>
      </c>
      <c r="J361" s="10">
        <f t="shared" si="352"/>
        <v>1</v>
      </c>
      <c r="K361" s="57">
        <v>45779</v>
      </c>
      <c r="L361" s="60" t="s">
        <v>132</v>
      </c>
      <c r="M361" s="11">
        <v>39</v>
      </c>
      <c r="N361" s="12">
        <v>29</v>
      </c>
      <c r="O361" s="13">
        <v>24</v>
      </c>
      <c r="P361" s="10">
        <f t="shared" si="356"/>
        <v>92</v>
      </c>
      <c r="Q361" s="11">
        <v>39</v>
      </c>
      <c r="R361" s="12">
        <v>29</v>
      </c>
      <c r="S361" s="13">
        <v>24</v>
      </c>
      <c r="T361" s="48">
        <f t="shared" si="357"/>
        <v>92</v>
      </c>
      <c r="U361" s="10">
        <f t="shared" si="358"/>
        <v>184</v>
      </c>
      <c r="V361" s="57">
        <v>45793</v>
      </c>
    </row>
    <row r="362" spans="1:23" x14ac:dyDescent="0.15">
      <c r="A362" s="60" t="s">
        <v>37</v>
      </c>
      <c r="B362" s="11">
        <f>2+8+2</f>
        <v>12</v>
      </c>
      <c r="C362" s="12">
        <f>1+2</f>
        <v>3</v>
      </c>
      <c r="D362" s="13">
        <f>1+4</f>
        <v>5</v>
      </c>
      <c r="E362" s="10">
        <f t="shared" si="350"/>
        <v>20</v>
      </c>
      <c r="F362" s="11">
        <f>1+8</f>
        <v>9</v>
      </c>
      <c r="G362" s="12">
        <v>1</v>
      </c>
      <c r="H362" s="13">
        <v>1</v>
      </c>
      <c r="I362" s="48">
        <f t="shared" si="351"/>
        <v>11</v>
      </c>
      <c r="J362" s="10">
        <f t="shared" si="352"/>
        <v>31</v>
      </c>
      <c r="K362" s="66">
        <v>45784</v>
      </c>
      <c r="L362" s="60" t="s">
        <v>133</v>
      </c>
      <c r="M362" s="11">
        <v>1</v>
      </c>
      <c r="N362" s="12">
        <v>2</v>
      </c>
      <c r="O362" s="13">
        <v>2</v>
      </c>
      <c r="P362" s="10">
        <f t="shared" si="356"/>
        <v>5</v>
      </c>
      <c r="Q362" s="11">
        <v>1</v>
      </c>
      <c r="R362" s="12"/>
      <c r="S362" s="13"/>
      <c r="T362" s="48">
        <f t="shared" si="357"/>
        <v>1</v>
      </c>
      <c r="U362" s="10">
        <f t="shared" si="358"/>
        <v>6</v>
      </c>
      <c r="V362" s="57">
        <v>45796</v>
      </c>
    </row>
    <row r="363" spans="1:23" x14ac:dyDescent="0.15">
      <c r="A363" s="60" t="s">
        <v>37</v>
      </c>
      <c r="B363" s="11"/>
      <c r="C363" s="12"/>
      <c r="D363" s="13">
        <v>1</v>
      </c>
      <c r="E363" s="10">
        <f t="shared" si="350"/>
        <v>1</v>
      </c>
      <c r="F363" s="11"/>
      <c r="G363" s="12"/>
      <c r="H363" s="13"/>
      <c r="I363" s="48">
        <f t="shared" si="351"/>
        <v>0</v>
      </c>
      <c r="J363" s="10">
        <f t="shared" si="352"/>
        <v>1</v>
      </c>
      <c r="K363" s="66">
        <v>45785</v>
      </c>
      <c r="L363" s="67" t="s">
        <v>46</v>
      </c>
      <c r="M363" s="11"/>
      <c r="N363" s="12">
        <v>10</v>
      </c>
      <c r="O363" s="13">
        <v>10</v>
      </c>
      <c r="P363" s="10">
        <f t="shared" si="356"/>
        <v>20</v>
      </c>
      <c r="Q363" s="11"/>
      <c r="R363" s="12">
        <v>10</v>
      </c>
      <c r="S363" s="13">
        <v>10</v>
      </c>
      <c r="T363" s="48">
        <f t="shared" si="357"/>
        <v>20</v>
      </c>
      <c r="U363" s="10">
        <f t="shared" si="358"/>
        <v>40</v>
      </c>
      <c r="V363" s="57">
        <v>45792</v>
      </c>
    </row>
    <row r="364" spans="1:23" x14ac:dyDescent="0.15">
      <c r="A364" s="60" t="s">
        <v>37</v>
      </c>
      <c r="B364" s="11"/>
      <c r="C364" s="12"/>
      <c r="D364" s="13">
        <v>1</v>
      </c>
      <c r="E364" s="10">
        <f t="shared" si="350"/>
        <v>1</v>
      </c>
      <c r="F364" s="11"/>
      <c r="G364" s="12">
        <f>1+1</f>
        <v>2</v>
      </c>
      <c r="H364" s="13"/>
      <c r="I364" s="48">
        <f t="shared" si="351"/>
        <v>2</v>
      </c>
      <c r="J364" s="10">
        <f t="shared" si="352"/>
        <v>3</v>
      </c>
      <c r="K364" s="66">
        <v>45786</v>
      </c>
      <c r="L364" s="60" t="s">
        <v>137</v>
      </c>
      <c r="M364" s="11"/>
      <c r="N364" s="12"/>
      <c r="O364" s="13"/>
      <c r="P364" s="10">
        <f t="shared" si="356"/>
        <v>0</v>
      </c>
      <c r="Q364" s="11"/>
      <c r="R364" s="12">
        <v>2</v>
      </c>
      <c r="S364" s="13">
        <v>2</v>
      </c>
      <c r="T364" s="48">
        <f t="shared" si="357"/>
        <v>4</v>
      </c>
      <c r="U364" s="10">
        <f t="shared" si="358"/>
        <v>4</v>
      </c>
      <c r="V364" s="57">
        <v>45803</v>
      </c>
    </row>
    <row r="365" spans="1:23" x14ac:dyDescent="0.15">
      <c r="A365" s="60" t="s">
        <v>37</v>
      </c>
      <c r="B365" s="11">
        <f>4+1</f>
        <v>5</v>
      </c>
      <c r="C365" s="12">
        <v>1</v>
      </c>
      <c r="D365" s="13">
        <f>1+1</f>
        <v>2</v>
      </c>
      <c r="E365" s="10">
        <f t="shared" si="350"/>
        <v>8</v>
      </c>
      <c r="F365" s="11">
        <v>4</v>
      </c>
      <c r="G365" s="12">
        <v>2</v>
      </c>
      <c r="H365" s="13">
        <f>1+1</f>
        <v>2</v>
      </c>
      <c r="I365" s="48">
        <f t="shared" si="351"/>
        <v>8</v>
      </c>
      <c r="J365" s="10">
        <f t="shared" si="352"/>
        <v>16</v>
      </c>
      <c r="K365" s="66">
        <v>45789</v>
      </c>
      <c r="L365" s="60" t="s">
        <v>138</v>
      </c>
      <c r="M365" s="11">
        <v>10</v>
      </c>
      <c r="N365" s="12"/>
      <c r="O365" s="13"/>
      <c r="P365" s="10">
        <f t="shared" si="356"/>
        <v>10</v>
      </c>
      <c r="Q365" s="11"/>
      <c r="R365" s="12"/>
      <c r="S365" s="13"/>
      <c r="T365" s="48">
        <f t="shared" si="357"/>
        <v>0</v>
      </c>
      <c r="U365" s="10">
        <f t="shared" si="358"/>
        <v>10</v>
      </c>
      <c r="V365" s="57">
        <v>45803</v>
      </c>
    </row>
    <row r="366" spans="1:23" x14ac:dyDescent="0.15">
      <c r="A366" s="60" t="s">
        <v>37</v>
      </c>
      <c r="B366" s="11">
        <v>1</v>
      </c>
      <c r="C366" s="12">
        <v>3</v>
      </c>
      <c r="D366" s="13"/>
      <c r="E366" s="10">
        <f t="shared" si="350"/>
        <v>4</v>
      </c>
      <c r="F366" s="11">
        <v>1</v>
      </c>
      <c r="G366" s="12">
        <v>1</v>
      </c>
      <c r="H366" s="13"/>
      <c r="I366" s="48">
        <f t="shared" si="351"/>
        <v>2</v>
      </c>
      <c r="J366" s="10">
        <f t="shared" si="352"/>
        <v>6</v>
      </c>
      <c r="K366" s="66">
        <v>45790</v>
      </c>
      <c r="L366" s="60" t="s">
        <v>139</v>
      </c>
      <c r="M366" s="11">
        <v>1</v>
      </c>
      <c r="N366" s="12"/>
      <c r="O366" s="13">
        <v>1</v>
      </c>
      <c r="P366" s="10">
        <f t="shared" si="356"/>
        <v>2</v>
      </c>
      <c r="Q366" s="11">
        <v>1</v>
      </c>
      <c r="R366" s="12"/>
      <c r="S366" s="13"/>
      <c r="T366" s="48">
        <f t="shared" si="357"/>
        <v>1</v>
      </c>
      <c r="U366" s="10">
        <f t="shared" si="358"/>
        <v>3</v>
      </c>
      <c r="V366" s="57">
        <v>45807</v>
      </c>
      <c r="W366" s="39"/>
    </row>
    <row r="367" spans="1:23" x14ac:dyDescent="0.15">
      <c r="A367" s="60" t="s">
        <v>37</v>
      </c>
      <c r="B367" s="11"/>
      <c r="C367" s="12"/>
      <c r="D367" s="13"/>
      <c r="E367" s="10">
        <f t="shared" ref="E367:E383" si="359">SUM(B367:D367)</f>
        <v>0</v>
      </c>
      <c r="F367" s="11">
        <v>1</v>
      </c>
      <c r="G367" s="12">
        <f>1+1</f>
        <v>2</v>
      </c>
      <c r="H367" s="13"/>
      <c r="I367" s="48">
        <f t="shared" ref="I367:I383" si="360">SUM(F367:H367)</f>
        <v>3</v>
      </c>
      <c r="J367" s="10">
        <f t="shared" ref="J367:J385" si="361">E367+I367</f>
        <v>3</v>
      </c>
      <c r="K367" s="66">
        <v>45791</v>
      </c>
      <c r="L367" s="60" t="s">
        <v>141</v>
      </c>
      <c r="M367" s="11">
        <v>1</v>
      </c>
      <c r="N367" s="12">
        <v>1</v>
      </c>
      <c r="O367" s="13">
        <v>2</v>
      </c>
      <c r="P367" s="10">
        <f t="shared" si="356"/>
        <v>4</v>
      </c>
      <c r="Q367" s="11">
        <v>2</v>
      </c>
      <c r="R367" s="12"/>
      <c r="S367" s="13">
        <v>1</v>
      </c>
      <c r="T367" s="48">
        <f t="shared" si="357"/>
        <v>3</v>
      </c>
      <c r="U367" s="10">
        <f t="shared" si="358"/>
        <v>7</v>
      </c>
      <c r="V367" s="57">
        <v>45814</v>
      </c>
      <c r="W367" s="39"/>
    </row>
    <row r="368" spans="1:23" x14ac:dyDescent="0.15">
      <c r="A368" s="60" t="s">
        <v>37</v>
      </c>
      <c r="B368" s="11">
        <v>1</v>
      </c>
      <c r="C368" s="12">
        <v>1</v>
      </c>
      <c r="D368" s="13">
        <v>1</v>
      </c>
      <c r="E368" s="10">
        <f t="shared" si="359"/>
        <v>3</v>
      </c>
      <c r="F368" s="11">
        <v>1</v>
      </c>
      <c r="G368" s="12"/>
      <c r="H368" s="13">
        <v>1</v>
      </c>
      <c r="I368" s="48">
        <f t="shared" si="360"/>
        <v>2</v>
      </c>
      <c r="J368" s="10">
        <f t="shared" si="361"/>
        <v>5</v>
      </c>
      <c r="K368" s="66">
        <v>45792</v>
      </c>
      <c r="L368" s="60" t="s">
        <v>142</v>
      </c>
      <c r="M368" s="11">
        <v>14</v>
      </c>
      <c r="N368" s="12"/>
      <c r="O368" s="13"/>
      <c r="P368" s="10">
        <f t="shared" si="356"/>
        <v>14</v>
      </c>
      <c r="Q368" s="11"/>
      <c r="R368" s="12"/>
      <c r="S368" s="13"/>
      <c r="T368" s="48">
        <f t="shared" si="357"/>
        <v>0</v>
      </c>
      <c r="U368" s="10">
        <f t="shared" si="358"/>
        <v>14</v>
      </c>
      <c r="V368" s="57">
        <v>45818</v>
      </c>
      <c r="W368" s="39"/>
    </row>
    <row r="369" spans="1:23" x14ac:dyDescent="0.15">
      <c r="A369" s="60" t="s">
        <v>37</v>
      </c>
      <c r="B369" s="11">
        <f>1+1</f>
        <v>2</v>
      </c>
      <c r="C369" s="12"/>
      <c r="D369" s="13"/>
      <c r="E369" s="10">
        <f t="shared" si="359"/>
        <v>2</v>
      </c>
      <c r="F369" s="11"/>
      <c r="G369" s="12">
        <v>1</v>
      </c>
      <c r="H369" s="13"/>
      <c r="I369" s="48">
        <f t="shared" si="360"/>
        <v>1</v>
      </c>
      <c r="J369" s="10">
        <f t="shared" si="361"/>
        <v>3</v>
      </c>
      <c r="K369" s="66">
        <v>45793</v>
      </c>
      <c r="L369" s="60" t="s">
        <v>143</v>
      </c>
      <c r="M369" s="11">
        <v>2</v>
      </c>
      <c r="N369" s="12">
        <v>1</v>
      </c>
      <c r="O369" s="13">
        <v>2</v>
      </c>
      <c r="P369" s="10">
        <f t="shared" si="356"/>
        <v>5</v>
      </c>
      <c r="Q369" s="11"/>
      <c r="R369" s="12">
        <v>1</v>
      </c>
      <c r="S369" s="13"/>
      <c r="T369" s="48">
        <f t="shared" si="357"/>
        <v>1</v>
      </c>
      <c r="U369" s="10">
        <f t="shared" si="358"/>
        <v>6</v>
      </c>
      <c r="V369" s="57">
        <v>45821</v>
      </c>
      <c r="W369" s="39"/>
    </row>
    <row r="370" spans="1:23" x14ac:dyDescent="0.15">
      <c r="A370" s="60" t="s">
        <v>37</v>
      </c>
      <c r="B370" s="11">
        <v>2</v>
      </c>
      <c r="C370" s="12"/>
      <c r="D370" s="13"/>
      <c r="E370" s="10">
        <f t="shared" si="359"/>
        <v>2</v>
      </c>
      <c r="F370" s="11">
        <v>4</v>
      </c>
      <c r="G370" s="12">
        <v>2</v>
      </c>
      <c r="H370" s="13">
        <f>2+1</f>
        <v>3</v>
      </c>
      <c r="I370" s="48">
        <f t="shared" si="360"/>
        <v>9</v>
      </c>
      <c r="J370" s="10">
        <f t="shared" si="361"/>
        <v>11</v>
      </c>
      <c r="K370" s="66">
        <v>45796</v>
      </c>
      <c r="L370" s="60" t="s">
        <v>144</v>
      </c>
      <c r="M370" s="11"/>
      <c r="N370" s="12"/>
      <c r="O370" s="13">
        <v>4</v>
      </c>
      <c r="P370" s="10">
        <f t="shared" si="356"/>
        <v>4</v>
      </c>
      <c r="Q370" s="11"/>
      <c r="R370" s="12"/>
      <c r="S370" s="13"/>
      <c r="T370" s="48">
        <f t="shared" si="357"/>
        <v>0</v>
      </c>
      <c r="U370" s="10">
        <f t="shared" si="358"/>
        <v>4</v>
      </c>
      <c r="V370" s="57">
        <v>45821</v>
      </c>
      <c r="W370" s="39"/>
    </row>
    <row r="371" spans="1:23" x14ac:dyDescent="0.15">
      <c r="A371" s="60" t="s">
        <v>37</v>
      </c>
      <c r="B371" s="11"/>
      <c r="C371" s="12">
        <v>1</v>
      </c>
      <c r="D371" s="13"/>
      <c r="E371" s="10">
        <f t="shared" si="359"/>
        <v>1</v>
      </c>
      <c r="F371" s="11">
        <v>3</v>
      </c>
      <c r="G371" s="12"/>
      <c r="H371" s="13">
        <v>2</v>
      </c>
      <c r="I371" s="48">
        <f t="shared" si="360"/>
        <v>5</v>
      </c>
      <c r="J371" s="10">
        <f t="shared" si="361"/>
        <v>6</v>
      </c>
      <c r="K371" s="66">
        <v>45797</v>
      </c>
      <c r="L371" s="60" t="s">
        <v>147</v>
      </c>
      <c r="M371" s="11">
        <v>1</v>
      </c>
      <c r="N371" s="12"/>
      <c r="O371" s="13"/>
      <c r="P371" s="10">
        <f t="shared" si="356"/>
        <v>1</v>
      </c>
      <c r="Q371" s="11">
        <v>2</v>
      </c>
      <c r="R371" s="12"/>
      <c r="S371" s="13"/>
      <c r="T371" s="48">
        <f t="shared" si="357"/>
        <v>2</v>
      </c>
      <c r="U371" s="10">
        <f t="shared" si="358"/>
        <v>3</v>
      </c>
      <c r="V371" s="57">
        <v>45828</v>
      </c>
      <c r="W371" s="39"/>
    </row>
    <row r="372" spans="1:23" x14ac:dyDescent="0.15">
      <c r="A372" s="60" t="s">
        <v>37</v>
      </c>
      <c r="B372" s="11">
        <v>1</v>
      </c>
      <c r="C372" s="12">
        <v>1</v>
      </c>
      <c r="D372" s="13"/>
      <c r="E372" s="10">
        <f t="shared" si="359"/>
        <v>2</v>
      </c>
      <c r="F372" s="11">
        <f>1+1</f>
        <v>2</v>
      </c>
      <c r="G372" s="12"/>
      <c r="H372" s="13"/>
      <c r="I372" s="48">
        <f t="shared" si="360"/>
        <v>2</v>
      </c>
      <c r="J372" s="10">
        <f t="shared" si="361"/>
        <v>4</v>
      </c>
      <c r="K372" s="66">
        <v>45798</v>
      </c>
      <c r="L372" s="67" t="s">
        <v>46</v>
      </c>
      <c r="M372" s="11"/>
      <c r="N372" s="12"/>
      <c r="O372" s="13"/>
      <c r="P372" s="10">
        <f t="shared" ref="P372" si="362">SUM(M372:O372)</f>
        <v>0</v>
      </c>
      <c r="Q372" s="11"/>
      <c r="R372" s="12"/>
      <c r="S372" s="13">
        <v>5</v>
      </c>
      <c r="T372" s="48">
        <f t="shared" si="357"/>
        <v>5</v>
      </c>
      <c r="U372" s="10">
        <f t="shared" si="358"/>
        <v>5</v>
      </c>
      <c r="V372" s="57">
        <v>45829</v>
      </c>
    </row>
    <row r="373" spans="1:23" x14ac:dyDescent="0.15">
      <c r="A373" s="60" t="s">
        <v>37</v>
      </c>
      <c r="B373" s="11"/>
      <c r="C373" s="12"/>
      <c r="D373" s="13"/>
      <c r="E373" s="10">
        <f t="shared" si="359"/>
        <v>0</v>
      </c>
      <c r="F373" s="11">
        <v>1</v>
      </c>
      <c r="G373" s="12"/>
      <c r="H373" s="13"/>
      <c r="I373" s="48">
        <f t="shared" si="360"/>
        <v>1</v>
      </c>
      <c r="J373" s="10">
        <f t="shared" si="361"/>
        <v>1</v>
      </c>
      <c r="K373" s="66">
        <v>45799</v>
      </c>
      <c r="L373" s="60" t="s">
        <v>148</v>
      </c>
      <c r="M373" s="11">
        <v>10</v>
      </c>
      <c r="N373" s="12">
        <v>10</v>
      </c>
      <c r="O373" s="13">
        <v>10</v>
      </c>
      <c r="P373" s="10">
        <f t="shared" si="356"/>
        <v>30</v>
      </c>
      <c r="Q373" s="11">
        <v>10</v>
      </c>
      <c r="R373" s="12">
        <v>10</v>
      </c>
      <c r="S373" s="13">
        <v>10</v>
      </c>
      <c r="T373" s="48">
        <f t="shared" si="357"/>
        <v>30</v>
      </c>
      <c r="U373" s="10">
        <f t="shared" si="358"/>
        <v>60</v>
      </c>
      <c r="V373" s="57">
        <v>45835</v>
      </c>
    </row>
    <row r="374" spans="1:23" x14ac:dyDescent="0.15">
      <c r="A374" s="60" t="s">
        <v>37</v>
      </c>
      <c r="B374" s="11"/>
      <c r="C374" s="12"/>
      <c r="D374" s="13">
        <v>1</v>
      </c>
      <c r="E374" s="10">
        <f t="shared" si="359"/>
        <v>1</v>
      </c>
      <c r="F374" s="11">
        <v>1</v>
      </c>
      <c r="G374" s="12">
        <v>1</v>
      </c>
      <c r="H374" s="13">
        <f>3+1</f>
        <v>4</v>
      </c>
      <c r="I374" s="48">
        <f t="shared" si="360"/>
        <v>6</v>
      </c>
      <c r="J374" s="10">
        <f t="shared" si="361"/>
        <v>7</v>
      </c>
      <c r="K374" s="66">
        <v>45800</v>
      </c>
      <c r="L374" s="60" t="s">
        <v>149</v>
      </c>
      <c r="M374" s="11">
        <v>2</v>
      </c>
      <c r="N374" s="12"/>
      <c r="O374" s="13"/>
      <c r="P374" s="10">
        <f t="shared" si="356"/>
        <v>2</v>
      </c>
      <c r="Q374" s="11">
        <v>1</v>
      </c>
      <c r="R374" s="12"/>
      <c r="S374" s="13"/>
      <c r="T374" s="48">
        <f t="shared" si="357"/>
        <v>1</v>
      </c>
      <c r="U374" s="10">
        <f t="shared" si="358"/>
        <v>3</v>
      </c>
      <c r="V374" s="57">
        <v>45835</v>
      </c>
    </row>
    <row r="375" spans="1:23" x14ac:dyDescent="0.15">
      <c r="A375" s="60" t="s">
        <v>37</v>
      </c>
      <c r="B375" s="11">
        <v>1</v>
      </c>
      <c r="C375" s="12"/>
      <c r="D375" s="13"/>
      <c r="E375" s="10">
        <f t="shared" si="359"/>
        <v>1</v>
      </c>
      <c r="F375" s="11"/>
      <c r="G375" s="12"/>
      <c r="H375" s="13"/>
      <c r="I375" s="48">
        <f t="shared" si="360"/>
        <v>0</v>
      </c>
      <c r="J375" s="10">
        <f t="shared" si="361"/>
        <v>1</v>
      </c>
      <c r="K375" s="66">
        <v>45803</v>
      </c>
      <c r="L375" s="60"/>
      <c r="M375" s="11"/>
      <c r="N375" s="12"/>
      <c r="O375" s="13"/>
      <c r="P375" s="10">
        <f t="shared" si="356"/>
        <v>0</v>
      </c>
      <c r="Q375" s="11"/>
      <c r="R375" s="12"/>
      <c r="S375" s="13"/>
      <c r="T375" s="48">
        <f t="shared" si="357"/>
        <v>0</v>
      </c>
      <c r="U375" s="10">
        <f t="shared" si="358"/>
        <v>0</v>
      </c>
      <c r="V375" s="56"/>
    </row>
    <row r="376" spans="1:23" x14ac:dyDescent="0.15">
      <c r="A376" s="60" t="s">
        <v>37</v>
      </c>
      <c r="B376" s="11"/>
      <c r="C376" s="12"/>
      <c r="D376" s="13"/>
      <c r="E376" s="10">
        <f t="shared" si="359"/>
        <v>0</v>
      </c>
      <c r="F376" s="11">
        <v>2</v>
      </c>
      <c r="G376" s="12"/>
      <c r="H376" s="13">
        <f>1+1</f>
        <v>2</v>
      </c>
      <c r="I376" s="48">
        <f t="shared" si="360"/>
        <v>4</v>
      </c>
      <c r="J376" s="10">
        <f t="shared" si="361"/>
        <v>4</v>
      </c>
      <c r="K376" s="66">
        <v>45804</v>
      </c>
      <c r="L376" s="60"/>
      <c r="M376" s="11"/>
      <c r="N376" s="12"/>
      <c r="O376" s="13"/>
      <c r="P376" s="10">
        <f t="shared" si="356"/>
        <v>0</v>
      </c>
      <c r="Q376" s="11"/>
      <c r="R376" s="12"/>
      <c r="S376" s="13"/>
      <c r="T376" s="48">
        <f t="shared" si="357"/>
        <v>0</v>
      </c>
      <c r="U376" s="10">
        <f t="shared" si="358"/>
        <v>0</v>
      </c>
      <c r="V376" s="56"/>
    </row>
    <row r="377" spans="1:23" x14ac:dyDescent="0.15">
      <c r="A377" s="60" t="s">
        <v>140</v>
      </c>
      <c r="B377" s="11">
        <v>1</v>
      </c>
      <c r="C377" s="12"/>
      <c r="D377" s="13"/>
      <c r="E377" s="10">
        <f t="shared" si="359"/>
        <v>1</v>
      </c>
      <c r="F377" s="11">
        <v>1</v>
      </c>
      <c r="G377" s="12"/>
      <c r="H377" s="13"/>
      <c r="I377" s="48">
        <f t="shared" si="360"/>
        <v>1</v>
      </c>
      <c r="J377" s="10">
        <f t="shared" si="361"/>
        <v>2</v>
      </c>
      <c r="K377" s="66">
        <v>45804</v>
      </c>
      <c r="L377" s="60"/>
      <c r="M377" s="11"/>
      <c r="N377" s="12"/>
      <c r="O377" s="13"/>
      <c r="P377" s="10">
        <f t="shared" si="356"/>
        <v>0</v>
      </c>
      <c r="Q377" s="11"/>
      <c r="R377" s="12"/>
      <c r="S377" s="13"/>
      <c r="T377" s="48">
        <f t="shared" si="357"/>
        <v>0</v>
      </c>
      <c r="U377" s="10">
        <f t="shared" si="358"/>
        <v>0</v>
      </c>
      <c r="V377" s="56"/>
    </row>
    <row r="378" spans="1:23" x14ac:dyDescent="0.15">
      <c r="A378" s="60" t="s">
        <v>37</v>
      </c>
      <c r="B378" s="11"/>
      <c r="C378" s="12">
        <f>-1+1</f>
        <v>0</v>
      </c>
      <c r="D378" s="13"/>
      <c r="E378" s="10">
        <f t="shared" si="359"/>
        <v>0</v>
      </c>
      <c r="F378" s="11"/>
      <c r="G378" s="12"/>
      <c r="H378" s="13"/>
      <c r="I378" s="48">
        <f t="shared" si="360"/>
        <v>0</v>
      </c>
      <c r="J378" s="10">
        <f t="shared" si="361"/>
        <v>0</v>
      </c>
      <c r="K378" s="66">
        <v>45805</v>
      </c>
      <c r="L378" s="60"/>
      <c r="M378" s="11"/>
      <c r="N378" s="12"/>
      <c r="O378" s="13"/>
      <c r="P378" s="10">
        <f t="shared" si="356"/>
        <v>0</v>
      </c>
      <c r="Q378" s="11"/>
      <c r="R378" s="12"/>
      <c r="S378" s="13"/>
      <c r="T378" s="48">
        <f t="shared" si="357"/>
        <v>0</v>
      </c>
      <c r="U378" s="10">
        <f t="shared" si="358"/>
        <v>0</v>
      </c>
    </row>
    <row r="379" spans="1:23" x14ac:dyDescent="0.15">
      <c r="A379" s="60" t="s">
        <v>37</v>
      </c>
      <c r="B379" s="11">
        <v>1</v>
      </c>
      <c r="C379" s="12"/>
      <c r="D379" s="13"/>
      <c r="E379" s="10">
        <f t="shared" si="359"/>
        <v>1</v>
      </c>
      <c r="F379" s="11">
        <f>1+1</f>
        <v>2</v>
      </c>
      <c r="G379" s="12">
        <v>1</v>
      </c>
      <c r="H379" s="13"/>
      <c r="I379" s="48">
        <f t="shared" si="360"/>
        <v>3</v>
      </c>
      <c r="J379" s="10">
        <f t="shared" si="361"/>
        <v>4</v>
      </c>
      <c r="K379" s="66">
        <v>45806</v>
      </c>
      <c r="L379" s="60"/>
      <c r="M379" s="11"/>
      <c r="N379" s="12"/>
      <c r="O379" s="13"/>
      <c r="P379" s="10">
        <f t="shared" si="356"/>
        <v>0</v>
      </c>
      <c r="Q379" s="11"/>
      <c r="R379" s="12"/>
      <c r="S379" s="13"/>
      <c r="T379" s="48">
        <f t="shared" si="357"/>
        <v>0</v>
      </c>
      <c r="U379" s="10">
        <f t="shared" si="358"/>
        <v>0</v>
      </c>
    </row>
    <row r="380" spans="1:23" x14ac:dyDescent="0.15">
      <c r="A380" s="60" t="s">
        <v>37</v>
      </c>
      <c r="B380" s="11"/>
      <c r="C380" s="12"/>
      <c r="D380" s="13"/>
      <c r="E380" s="10">
        <f t="shared" si="359"/>
        <v>0</v>
      </c>
      <c r="F380" s="11"/>
      <c r="G380" s="12"/>
      <c r="H380" s="13">
        <v>1</v>
      </c>
      <c r="I380" s="48">
        <f t="shared" si="360"/>
        <v>1</v>
      </c>
      <c r="J380" s="10">
        <f t="shared" si="361"/>
        <v>1</v>
      </c>
      <c r="K380" s="66">
        <v>45807</v>
      </c>
      <c r="L380" s="60"/>
      <c r="M380" s="11"/>
      <c r="N380" s="12"/>
      <c r="O380" s="13"/>
      <c r="P380" s="10">
        <f t="shared" ref="P380:P383" si="363">SUM(M380:O380)</f>
        <v>0</v>
      </c>
      <c r="Q380" s="11"/>
      <c r="R380" s="12"/>
      <c r="S380" s="13"/>
      <c r="T380" s="48">
        <f t="shared" ref="T380:T383" si="364">SUM(Q380:S380)</f>
        <v>0</v>
      </c>
      <c r="U380" s="10">
        <f t="shared" ref="U380:U383" si="365">P380+T380</f>
        <v>0</v>
      </c>
    </row>
    <row r="381" spans="1:23" x14ac:dyDescent="0.15">
      <c r="A381" s="60" t="s">
        <v>37</v>
      </c>
      <c r="B381" s="11">
        <f>3+1</f>
        <v>4</v>
      </c>
      <c r="C381" s="12"/>
      <c r="D381" s="13">
        <v>1</v>
      </c>
      <c r="E381" s="10">
        <f t="shared" si="359"/>
        <v>5</v>
      </c>
      <c r="F381" s="11">
        <v>3</v>
      </c>
      <c r="G381" s="12">
        <v>1</v>
      </c>
      <c r="H381" s="13"/>
      <c r="I381" s="48">
        <f t="shared" si="360"/>
        <v>4</v>
      </c>
      <c r="J381" s="10">
        <f t="shared" si="361"/>
        <v>9</v>
      </c>
      <c r="K381" s="66">
        <v>45810</v>
      </c>
      <c r="L381" s="81" t="s">
        <v>93</v>
      </c>
      <c r="M381" s="82"/>
      <c r="N381" s="83"/>
      <c r="O381" s="84"/>
      <c r="P381" s="85">
        <f t="shared" si="363"/>
        <v>0</v>
      </c>
      <c r="Q381" s="82"/>
      <c r="R381" s="83"/>
      <c r="S381" s="84"/>
      <c r="T381" s="86">
        <f t="shared" si="364"/>
        <v>0</v>
      </c>
      <c r="U381" s="85">
        <f t="shared" si="365"/>
        <v>0</v>
      </c>
      <c r="V381" s="87"/>
    </row>
    <row r="382" spans="1:23" x14ac:dyDescent="0.15">
      <c r="A382" s="60" t="s">
        <v>37</v>
      </c>
      <c r="B382" s="11"/>
      <c r="C382" s="12"/>
      <c r="D382" s="13">
        <v>1</v>
      </c>
      <c r="E382" s="10">
        <f t="shared" si="359"/>
        <v>1</v>
      </c>
      <c r="F382" s="11"/>
      <c r="G382" s="12"/>
      <c r="H382" s="13"/>
      <c r="I382" s="48">
        <f t="shared" si="360"/>
        <v>0</v>
      </c>
      <c r="J382" s="10">
        <f t="shared" si="361"/>
        <v>1</v>
      </c>
      <c r="K382" s="66">
        <v>45811</v>
      </c>
      <c r="L382" s="60" t="s">
        <v>95</v>
      </c>
      <c r="M382" s="11"/>
      <c r="N382" s="12"/>
      <c r="O382" s="13"/>
      <c r="P382" s="10">
        <f t="shared" si="363"/>
        <v>0</v>
      </c>
      <c r="Q382" s="11"/>
      <c r="R382" s="12"/>
      <c r="S382" s="13"/>
      <c r="T382" s="48">
        <f t="shared" si="364"/>
        <v>0</v>
      </c>
      <c r="U382" s="10">
        <f t="shared" si="365"/>
        <v>0</v>
      </c>
      <c r="V382" s="56" t="s">
        <v>90</v>
      </c>
    </row>
    <row r="383" spans="1:23" ht="14.25" thickBot="1" x14ac:dyDescent="0.2">
      <c r="A383" s="60" t="s">
        <v>37</v>
      </c>
      <c r="B383" s="11">
        <f>1+1</f>
        <v>2</v>
      </c>
      <c r="C383" s="12"/>
      <c r="D383" s="13"/>
      <c r="E383" s="10">
        <f t="shared" si="359"/>
        <v>2</v>
      </c>
      <c r="F383" s="11">
        <v>1</v>
      </c>
      <c r="G383" s="12"/>
      <c r="H383" s="13"/>
      <c r="I383" s="48">
        <f t="shared" si="360"/>
        <v>1</v>
      </c>
      <c r="J383" s="10">
        <f t="shared" si="361"/>
        <v>3</v>
      </c>
      <c r="K383" s="66">
        <v>45812</v>
      </c>
      <c r="L383" s="60" t="s">
        <v>94</v>
      </c>
      <c r="M383" s="11"/>
      <c r="N383" s="12"/>
      <c r="O383" s="13"/>
      <c r="P383" s="10">
        <f t="shared" si="363"/>
        <v>0</v>
      </c>
      <c r="Q383" s="11"/>
      <c r="R383" s="12"/>
      <c r="S383" s="13"/>
      <c r="T383" s="48">
        <f t="shared" si="364"/>
        <v>0</v>
      </c>
      <c r="U383" s="10">
        <f t="shared" si="365"/>
        <v>0</v>
      </c>
      <c r="V383" s="56" t="s">
        <v>90</v>
      </c>
    </row>
    <row r="384" spans="1:23" ht="14.25" thickBot="1" x14ac:dyDescent="0.2">
      <c r="A384" s="29" t="s">
        <v>17</v>
      </c>
      <c r="B384" s="30">
        <f>SUM(B358:B383)</f>
        <v>38</v>
      </c>
      <c r="C384" s="31">
        <f>SUM(C358:C383)</f>
        <v>11</v>
      </c>
      <c r="D384" s="32">
        <f>SUM(D358:D383)</f>
        <v>13</v>
      </c>
      <c r="E384" s="33">
        <f>SUM(B384:D384)</f>
        <v>62</v>
      </c>
      <c r="F384" s="30">
        <f>SUM(F358:F383)</f>
        <v>45</v>
      </c>
      <c r="G384" s="31">
        <f>SUM(G358:G383)</f>
        <v>16</v>
      </c>
      <c r="H384" s="32">
        <f>SUM(H358:H383)</f>
        <v>17</v>
      </c>
      <c r="I384" s="33">
        <f>SUM(F384:H384)</f>
        <v>78</v>
      </c>
      <c r="J384" s="34">
        <f t="shared" si="361"/>
        <v>140</v>
      </c>
      <c r="L384" s="29" t="s">
        <v>17</v>
      </c>
      <c r="M384" s="30">
        <f>SUM(M358:M383)</f>
        <v>121</v>
      </c>
      <c r="N384" s="31">
        <f>SUM(N358:N383)</f>
        <v>69</v>
      </c>
      <c r="O384" s="32">
        <f>SUM(O358:O383)</f>
        <v>60</v>
      </c>
      <c r="P384" s="33">
        <f>SUM(M384:O384)</f>
        <v>250</v>
      </c>
      <c r="Q384" s="30">
        <f>SUM(Q358:Q383)</f>
        <v>96</v>
      </c>
      <c r="R384" s="31">
        <f>SUM(R358:R383)</f>
        <v>56</v>
      </c>
      <c r="S384" s="32">
        <f>SUM(S358:S383)</f>
        <v>57</v>
      </c>
      <c r="T384" s="33">
        <f>SUM(Q384:S384)</f>
        <v>209</v>
      </c>
      <c r="U384" s="34">
        <f t="shared" si="358"/>
        <v>459</v>
      </c>
    </row>
    <row r="385" spans="1:22" ht="14.25" thickBot="1" x14ac:dyDescent="0.2">
      <c r="A385" s="18" t="s">
        <v>18</v>
      </c>
      <c r="B385" s="44">
        <f>B357-B384</f>
        <v>41</v>
      </c>
      <c r="C385" s="45">
        <f t="shared" ref="C385:E385" si="366">C357-C384</f>
        <v>18</v>
      </c>
      <c r="D385" s="46">
        <f t="shared" si="366"/>
        <v>15</v>
      </c>
      <c r="E385" s="46">
        <f t="shared" si="366"/>
        <v>74</v>
      </c>
      <c r="F385" s="44">
        <f>F357-F384</f>
        <v>32</v>
      </c>
      <c r="G385" s="45">
        <f t="shared" ref="G385:I385" si="367">G357-G384</f>
        <v>14</v>
      </c>
      <c r="H385" s="46">
        <f t="shared" si="367"/>
        <v>8</v>
      </c>
      <c r="I385" s="46">
        <f t="shared" si="367"/>
        <v>54</v>
      </c>
      <c r="J385" s="24">
        <f t="shared" si="361"/>
        <v>128</v>
      </c>
      <c r="L385" s="18" t="s">
        <v>18</v>
      </c>
      <c r="M385" s="44">
        <f>M357-M384</f>
        <v>115</v>
      </c>
      <c r="N385" s="45">
        <f t="shared" ref="N385:P385" si="368">N357-N384</f>
        <v>280</v>
      </c>
      <c r="O385" s="46">
        <f t="shared" si="368"/>
        <v>150</v>
      </c>
      <c r="P385" s="46">
        <f t="shared" si="368"/>
        <v>545</v>
      </c>
      <c r="Q385" s="44">
        <f>Q357-Q384</f>
        <v>278</v>
      </c>
      <c r="R385" s="45">
        <f t="shared" ref="R385:T385" si="369">R357-R384</f>
        <v>392</v>
      </c>
      <c r="S385" s="46">
        <f t="shared" si="369"/>
        <v>216</v>
      </c>
      <c r="T385" s="46">
        <f t="shared" si="369"/>
        <v>886</v>
      </c>
      <c r="U385" s="24">
        <f t="shared" si="358"/>
        <v>1431</v>
      </c>
    </row>
    <row r="386" spans="1:22" x14ac:dyDescent="0.15">
      <c r="M386" s="78">
        <f>M384+M341+M298+M255+M212+M169+M126+M83+M40</f>
        <v>896</v>
      </c>
      <c r="N386" s="78">
        <f t="shared" ref="N386:U386" si="370">N384+N341+N298+N255+N212+N169+N126+N83+N40</f>
        <v>639</v>
      </c>
      <c r="O386" s="78">
        <f t="shared" si="370"/>
        <v>425</v>
      </c>
      <c r="P386" s="78">
        <f t="shared" si="370"/>
        <v>1960</v>
      </c>
      <c r="Q386" s="78">
        <f t="shared" si="370"/>
        <v>917</v>
      </c>
      <c r="R386" s="78">
        <f t="shared" si="370"/>
        <v>658</v>
      </c>
      <c r="S386" s="78">
        <f t="shared" si="370"/>
        <v>433</v>
      </c>
      <c r="T386" s="78">
        <f t="shared" si="370"/>
        <v>2008</v>
      </c>
      <c r="U386" s="78">
        <f t="shared" si="370"/>
        <v>3968</v>
      </c>
    </row>
    <row r="387" spans="1:22" x14ac:dyDescent="0.15">
      <c r="M387" s="77">
        <f>M386/$P$386*100</f>
        <v>45.714285714285715</v>
      </c>
      <c r="N387" s="77">
        <f t="shared" ref="N387:P387" si="371">N386/$P$386*100</f>
        <v>32.602040816326536</v>
      </c>
      <c r="O387" s="77">
        <f t="shared" si="371"/>
        <v>21.683673469387756</v>
      </c>
      <c r="P387" s="77">
        <f t="shared" si="371"/>
        <v>100</v>
      </c>
      <c r="Q387" s="77">
        <f>Q386/$T$386*100</f>
        <v>45.667330677290835</v>
      </c>
      <c r="R387" s="77">
        <f t="shared" ref="R387:T387" si="372">R386/$T$386*100</f>
        <v>32.768924302788847</v>
      </c>
      <c r="S387" s="77">
        <f t="shared" si="372"/>
        <v>21.563745019920319</v>
      </c>
      <c r="T387" s="77">
        <f t="shared" si="372"/>
        <v>100</v>
      </c>
    </row>
    <row r="388" spans="1:22" ht="19.5" thickBot="1" x14ac:dyDescent="0.25">
      <c r="A388" s="2" t="s">
        <v>24</v>
      </c>
      <c r="B388" s="1"/>
      <c r="C388" s="1"/>
      <c r="D388" s="1"/>
      <c r="E388" s="1"/>
      <c r="F388" s="1" t="s">
        <v>39</v>
      </c>
      <c r="G388" s="1"/>
      <c r="H388" s="1"/>
      <c r="I388" s="1"/>
      <c r="J388" s="1"/>
      <c r="L388" s="2" t="s">
        <v>23</v>
      </c>
      <c r="M388" s="1"/>
      <c r="N388" s="1"/>
      <c r="O388" s="1"/>
      <c r="P388" s="63" t="s">
        <v>35</v>
      </c>
      <c r="Q388" s="1"/>
      <c r="R388" s="1" t="s">
        <v>39</v>
      </c>
      <c r="S388" s="1"/>
      <c r="T388" s="1"/>
      <c r="U388" s="1"/>
    </row>
    <row r="389" spans="1:22" ht="14.25" thickBot="1" x14ac:dyDescent="0.2">
      <c r="A389" s="6" t="s">
        <v>0</v>
      </c>
      <c r="B389" s="128" t="s">
        <v>21</v>
      </c>
      <c r="C389" s="129"/>
      <c r="D389" s="129"/>
      <c r="E389" s="130"/>
      <c r="F389" s="125" t="s">
        <v>19</v>
      </c>
      <c r="G389" s="126"/>
      <c r="H389" s="126"/>
      <c r="I389" s="127"/>
      <c r="J389" s="131" t="s">
        <v>1</v>
      </c>
      <c r="L389" s="6" t="s">
        <v>0</v>
      </c>
      <c r="M389" s="128" t="s">
        <v>21</v>
      </c>
      <c r="N389" s="129"/>
      <c r="O389" s="129"/>
      <c r="P389" s="130"/>
      <c r="Q389" s="125" t="s">
        <v>19</v>
      </c>
      <c r="R389" s="126"/>
      <c r="S389" s="126"/>
      <c r="T389" s="127"/>
      <c r="U389" s="131" t="s">
        <v>1</v>
      </c>
    </row>
    <row r="390" spans="1:22" ht="14.25" thickBot="1" x14ac:dyDescent="0.2">
      <c r="A390" s="6" t="s">
        <v>2</v>
      </c>
      <c r="B390" s="3" t="s">
        <v>3</v>
      </c>
      <c r="C390" s="4" t="s">
        <v>4</v>
      </c>
      <c r="D390" s="5" t="s">
        <v>5</v>
      </c>
      <c r="E390" s="6" t="s">
        <v>6</v>
      </c>
      <c r="F390" s="3" t="s">
        <v>3</v>
      </c>
      <c r="G390" s="4" t="s">
        <v>4</v>
      </c>
      <c r="H390" s="5" t="s">
        <v>5</v>
      </c>
      <c r="I390" s="6" t="s">
        <v>6</v>
      </c>
      <c r="J390" s="132"/>
      <c r="L390" s="6" t="s">
        <v>2</v>
      </c>
      <c r="M390" s="50" t="s">
        <v>3</v>
      </c>
      <c r="N390" s="51" t="s">
        <v>4</v>
      </c>
      <c r="O390" s="52" t="s">
        <v>5</v>
      </c>
      <c r="P390" s="6" t="s">
        <v>6</v>
      </c>
      <c r="Q390" s="3" t="s">
        <v>3</v>
      </c>
      <c r="R390" s="4" t="s">
        <v>4</v>
      </c>
      <c r="S390" s="5" t="s">
        <v>5</v>
      </c>
      <c r="T390" s="6" t="s">
        <v>6</v>
      </c>
      <c r="U390" s="132"/>
    </row>
    <row r="391" spans="1:22" ht="14.25" thickBot="1" x14ac:dyDescent="0.2">
      <c r="A391" s="20" t="s">
        <v>18</v>
      </c>
      <c r="B391" s="21">
        <f>B385</f>
        <v>41</v>
      </c>
      <c r="C391" s="22">
        <f t="shared" ref="C391:D391" si="373">C385</f>
        <v>18</v>
      </c>
      <c r="D391" s="38">
        <f t="shared" si="373"/>
        <v>15</v>
      </c>
      <c r="E391" s="24">
        <f t="shared" ref="E391:E399" si="374">SUM(B391:D391)</f>
        <v>74</v>
      </c>
      <c r="F391" s="21">
        <f>F385</f>
        <v>32</v>
      </c>
      <c r="G391" s="22">
        <f t="shared" ref="G391:H391" si="375">G385</f>
        <v>14</v>
      </c>
      <c r="H391" s="38">
        <f t="shared" si="375"/>
        <v>8</v>
      </c>
      <c r="I391" s="24">
        <f t="shared" ref="I391:I399" si="376">SUM(F391:H391)</f>
        <v>54</v>
      </c>
      <c r="J391" s="24">
        <f>E391+I391</f>
        <v>128</v>
      </c>
      <c r="L391" s="20" t="s">
        <v>18</v>
      </c>
      <c r="M391" s="21">
        <f>M385</f>
        <v>115</v>
      </c>
      <c r="N391" s="22">
        <f t="shared" ref="N391:O391" si="377">N385</f>
        <v>280</v>
      </c>
      <c r="O391" s="38">
        <f t="shared" si="377"/>
        <v>150</v>
      </c>
      <c r="P391" s="73">
        <f t="shared" ref="P391:P399" si="378">SUM(M391:O391)</f>
        <v>545</v>
      </c>
      <c r="Q391" s="21">
        <f>Q385</f>
        <v>278</v>
      </c>
      <c r="R391" s="22">
        <f t="shared" ref="R391:S391" si="379">R385</f>
        <v>392</v>
      </c>
      <c r="S391" s="38">
        <f t="shared" si="379"/>
        <v>216</v>
      </c>
      <c r="T391" s="24">
        <f t="shared" ref="T391:T399" si="380">SUM(Q391:S391)</f>
        <v>886</v>
      </c>
      <c r="U391" s="24">
        <f>P391+T391</f>
        <v>1431</v>
      </c>
    </row>
    <row r="392" spans="1:22" x14ac:dyDescent="0.15">
      <c r="A392" s="19" t="s">
        <v>8</v>
      </c>
      <c r="B392" s="7"/>
      <c r="C392" s="8"/>
      <c r="D392" s="35"/>
      <c r="E392" s="10">
        <f t="shared" si="374"/>
        <v>0</v>
      </c>
      <c r="F392" s="7"/>
      <c r="G392" s="8"/>
      <c r="H392" s="35">
        <v>5</v>
      </c>
      <c r="I392" s="48">
        <f t="shared" si="376"/>
        <v>5</v>
      </c>
      <c r="J392" s="10">
        <f t="shared" ref="J392:J399" si="381">E392+I392</f>
        <v>5</v>
      </c>
      <c r="K392" s="57">
        <v>45829</v>
      </c>
      <c r="L392" s="19" t="s">
        <v>8</v>
      </c>
      <c r="M392" s="7"/>
      <c r="N392" s="8"/>
      <c r="O392" s="35"/>
      <c r="P392" s="10">
        <f t="shared" si="378"/>
        <v>0</v>
      </c>
      <c r="Q392" s="7"/>
      <c r="R392" s="8"/>
      <c r="S392" s="35"/>
      <c r="T392" s="48">
        <f t="shared" si="380"/>
        <v>0</v>
      </c>
      <c r="U392" s="10">
        <f t="shared" ref="U392:U399" si="382">P392+T392</f>
        <v>0</v>
      </c>
    </row>
    <row r="393" spans="1:22" x14ac:dyDescent="0.15">
      <c r="A393" s="19" t="s">
        <v>9</v>
      </c>
      <c r="B393" s="7"/>
      <c r="C393" s="8"/>
      <c r="D393" s="35"/>
      <c r="E393" s="10">
        <f t="shared" si="374"/>
        <v>0</v>
      </c>
      <c r="F393" s="7">
        <v>10</v>
      </c>
      <c r="G393" s="8"/>
      <c r="H393" s="35">
        <v>10</v>
      </c>
      <c r="I393" s="48">
        <f t="shared" si="376"/>
        <v>20</v>
      </c>
      <c r="J393" s="10">
        <f t="shared" si="381"/>
        <v>20</v>
      </c>
      <c r="K393" s="57">
        <v>45846</v>
      </c>
      <c r="L393" s="19" t="s">
        <v>154</v>
      </c>
      <c r="M393" s="11">
        <v>100</v>
      </c>
      <c r="N393" s="12">
        <v>100</v>
      </c>
      <c r="O393" s="36">
        <v>100</v>
      </c>
      <c r="P393" s="10">
        <f t="shared" ref="P393" si="383">SUM(M393:O393)</f>
        <v>300</v>
      </c>
      <c r="Q393" s="11">
        <v>100</v>
      </c>
      <c r="R393" s="12">
        <v>100</v>
      </c>
      <c r="S393" s="36">
        <v>100</v>
      </c>
      <c r="T393" s="48">
        <f t="shared" ref="T393" si="384">SUM(Q393:S393)</f>
        <v>300</v>
      </c>
      <c r="U393" s="10">
        <f t="shared" ref="U393" si="385">P393+T393</f>
        <v>600</v>
      </c>
      <c r="V393" s="57" t="s">
        <v>153</v>
      </c>
    </row>
    <row r="394" spans="1:22" x14ac:dyDescent="0.15">
      <c r="A394" s="19" t="s">
        <v>10</v>
      </c>
      <c r="B394" s="7"/>
      <c r="C394" s="8"/>
      <c r="D394" s="35"/>
      <c r="E394" s="10">
        <f t="shared" si="374"/>
        <v>0</v>
      </c>
      <c r="F394" s="7"/>
      <c r="G394" s="8">
        <v>5</v>
      </c>
      <c r="H394" s="35"/>
      <c r="I394" s="48">
        <f t="shared" si="376"/>
        <v>5</v>
      </c>
      <c r="J394" s="10">
        <f t="shared" si="381"/>
        <v>5</v>
      </c>
      <c r="K394" s="57">
        <v>45847</v>
      </c>
      <c r="L394" s="19" t="s">
        <v>10</v>
      </c>
      <c r="M394" s="7"/>
      <c r="N394" s="8"/>
      <c r="O394" s="35"/>
      <c r="P394" s="10">
        <f t="shared" si="378"/>
        <v>0</v>
      </c>
      <c r="Q394" s="7"/>
      <c r="R394" s="8"/>
      <c r="S394" s="35"/>
      <c r="T394" s="48">
        <f t="shared" si="380"/>
        <v>0</v>
      </c>
      <c r="U394" s="10">
        <f t="shared" si="382"/>
        <v>0</v>
      </c>
      <c r="V394" s="57"/>
    </row>
    <row r="395" spans="1:22" x14ac:dyDescent="0.15">
      <c r="A395" s="19" t="s">
        <v>11</v>
      </c>
      <c r="B395" s="7">
        <v>15</v>
      </c>
      <c r="C395" s="8">
        <v>10</v>
      </c>
      <c r="D395" s="35">
        <v>5</v>
      </c>
      <c r="E395" s="10">
        <f t="shared" si="374"/>
        <v>30</v>
      </c>
      <c r="F395" s="7"/>
      <c r="G395" s="8">
        <v>5</v>
      </c>
      <c r="H395" s="35"/>
      <c r="I395" s="48">
        <f t="shared" si="376"/>
        <v>5</v>
      </c>
      <c r="J395" s="10">
        <f t="shared" si="381"/>
        <v>35</v>
      </c>
      <c r="K395" s="57">
        <v>45848</v>
      </c>
      <c r="L395" s="19" t="s">
        <v>155</v>
      </c>
      <c r="M395" s="7">
        <v>80</v>
      </c>
      <c r="N395" s="8">
        <v>40</v>
      </c>
      <c r="O395" s="35">
        <v>40</v>
      </c>
      <c r="P395" s="10">
        <f t="shared" si="378"/>
        <v>160</v>
      </c>
      <c r="Q395" s="7"/>
      <c r="R395" s="8"/>
      <c r="S395" s="35"/>
      <c r="T395" s="48">
        <f t="shared" si="380"/>
        <v>0</v>
      </c>
      <c r="U395" s="10">
        <f t="shared" si="382"/>
        <v>160</v>
      </c>
      <c r="V395" s="57" t="s">
        <v>157</v>
      </c>
    </row>
    <row r="396" spans="1:22" x14ac:dyDescent="0.15">
      <c r="A396" s="19" t="s">
        <v>123</v>
      </c>
      <c r="B396" s="7">
        <v>1</v>
      </c>
      <c r="C396" s="8"/>
      <c r="D396" s="35">
        <v>1</v>
      </c>
      <c r="E396" s="10">
        <f t="shared" si="374"/>
        <v>2</v>
      </c>
      <c r="F396" s="7">
        <v>1</v>
      </c>
      <c r="G396" s="8"/>
      <c r="H396" s="35">
        <v>1</v>
      </c>
      <c r="I396" s="48">
        <f t="shared" si="376"/>
        <v>2</v>
      </c>
      <c r="J396" s="10">
        <f t="shared" si="381"/>
        <v>4</v>
      </c>
      <c r="K396" s="57">
        <v>45847</v>
      </c>
      <c r="L396" s="19" t="s">
        <v>12</v>
      </c>
      <c r="M396" s="7"/>
      <c r="N396" s="8"/>
      <c r="O396" s="35"/>
      <c r="P396" s="10">
        <f t="shared" ref="P396:P397" si="386">SUM(M396:O396)</f>
        <v>0</v>
      </c>
      <c r="Q396" s="7"/>
      <c r="R396" s="8"/>
      <c r="S396" s="35"/>
      <c r="T396" s="48">
        <f t="shared" ref="T396:T397" si="387">SUM(Q396:S396)</f>
        <v>0</v>
      </c>
      <c r="U396" s="10">
        <f t="shared" ref="U396:U397" si="388">P396+T396</f>
        <v>0</v>
      </c>
      <c r="V396" s="57"/>
    </row>
    <row r="397" spans="1:22" x14ac:dyDescent="0.15">
      <c r="A397" s="19" t="s">
        <v>13</v>
      </c>
      <c r="B397" s="7">
        <v>5</v>
      </c>
      <c r="C397" s="8"/>
      <c r="D397" s="35">
        <v>5</v>
      </c>
      <c r="E397" s="10">
        <f t="shared" si="374"/>
        <v>10</v>
      </c>
      <c r="F397" s="7">
        <v>5</v>
      </c>
      <c r="G397" s="8"/>
      <c r="H397" s="35">
        <v>5</v>
      </c>
      <c r="I397" s="48">
        <f t="shared" si="376"/>
        <v>10</v>
      </c>
      <c r="J397" s="10">
        <f t="shared" si="381"/>
        <v>20</v>
      </c>
      <c r="K397" s="57">
        <v>45852</v>
      </c>
      <c r="L397" s="19" t="s">
        <v>13</v>
      </c>
      <c r="M397" s="7">
        <f>300-80</f>
        <v>220</v>
      </c>
      <c r="N397" s="8">
        <f>200-40</f>
        <v>160</v>
      </c>
      <c r="O397" s="35">
        <f>120-40</f>
        <v>80</v>
      </c>
      <c r="P397" s="10">
        <f t="shared" si="386"/>
        <v>460</v>
      </c>
      <c r="Q397" s="7">
        <v>400</v>
      </c>
      <c r="R397" s="8">
        <v>300</v>
      </c>
      <c r="S397" s="35">
        <v>150</v>
      </c>
      <c r="T397" s="48">
        <f t="shared" si="387"/>
        <v>850</v>
      </c>
      <c r="U397" s="10">
        <f t="shared" si="388"/>
        <v>1310</v>
      </c>
      <c r="V397" s="57" t="s">
        <v>164</v>
      </c>
    </row>
    <row r="398" spans="1:22" x14ac:dyDescent="0.15">
      <c r="A398" s="19" t="s">
        <v>14</v>
      </c>
      <c r="B398" s="11">
        <v>20</v>
      </c>
      <c r="C398" s="12">
        <v>10</v>
      </c>
      <c r="D398" s="36"/>
      <c r="E398" s="10">
        <f t="shared" si="374"/>
        <v>30</v>
      </c>
      <c r="F398" s="11">
        <v>20</v>
      </c>
      <c r="G398" s="12">
        <v>10</v>
      </c>
      <c r="H398" s="36"/>
      <c r="I398" s="48">
        <f t="shared" si="376"/>
        <v>30</v>
      </c>
      <c r="J398" s="10">
        <f t="shared" si="381"/>
        <v>60</v>
      </c>
      <c r="K398" s="57">
        <v>45853</v>
      </c>
      <c r="L398" s="19" t="s">
        <v>38</v>
      </c>
      <c r="M398" s="11">
        <v>20</v>
      </c>
      <c r="N398" s="12"/>
      <c r="O398" s="36"/>
      <c r="P398" s="10">
        <f t="shared" si="378"/>
        <v>20</v>
      </c>
      <c r="Q398" s="11"/>
      <c r="R398" s="12">
        <v>20</v>
      </c>
      <c r="S398" s="36">
        <v>10</v>
      </c>
      <c r="T398" s="48">
        <f t="shared" si="380"/>
        <v>30</v>
      </c>
      <c r="U398" s="10">
        <f t="shared" si="382"/>
        <v>50</v>
      </c>
      <c r="V398" s="57"/>
    </row>
    <row r="399" spans="1:22" ht="14.25" thickBot="1" x14ac:dyDescent="0.2">
      <c r="A399" s="19" t="s">
        <v>15</v>
      </c>
      <c r="B399" s="25"/>
      <c r="C399" s="26"/>
      <c r="D399" s="37"/>
      <c r="E399" s="10">
        <f t="shared" si="374"/>
        <v>0</v>
      </c>
      <c r="F399" s="25"/>
      <c r="G399" s="26"/>
      <c r="H399" s="37"/>
      <c r="I399" s="48">
        <f t="shared" si="376"/>
        <v>0</v>
      </c>
      <c r="J399" s="17">
        <f t="shared" si="381"/>
        <v>0</v>
      </c>
      <c r="L399" s="19" t="s">
        <v>15</v>
      </c>
      <c r="M399" s="25"/>
      <c r="N399" s="26"/>
      <c r="O399" s="37"/>
      <c r="P399" s="10">
        <f t="shared" si="378"/>
        <v>0</v>
      </c>
      <c r="Q399" s="25"/>
      <c r="R399" s="26"/>
      <c r="S399" s="37"/>
      <c r="T399" s="48">
        <f t="shared" si="380"/>
        <v>0</v>
      </c>
      <c r="U399" s="17">
        <f t="shared" si="382"/>
        <v>0</v>
      </c>
    </row>
    <row r="400" spans="1:22" ht="14.25" thickBot="1" x14ac:dyDescent="0.2">
      <c r="A400" s="27" t="s">
        <v>16</v>
      </c>
      <c r="B400" s="21">
        <f>SUM(B391:B399)</f>
        <v>82</v>
      </c>
      <c r="C400" s="22">
        <f t="shared" ref="C400:J400" si="389">SUM(C391:C399)</f>
        <v>38</v>
      </c>
      <c r="D400" s="38">
        <f t="shared" si="389"/>
        <v>26</v>
      </c>
      <c r="E400" s="54">
        <f t="shared" si="389"/>
        <v>146</v>
      </c>
      <c r="F400" s="21">
        <f t="shared" si="389"/>
        <v>68</v>
      </c>
      <c r="G400" s="22">
        <f t="shared" si="389"/>
        <v>34</v>
      </c>
      <c r="H400" s="38">
        <f t="shared" si="389"/>
        <v>29</v>
      </c>
      <c r="I400" s="53">
        <f t="shared" si="389"/>
        <v>131</v>
      </c>
      <c r="J400" s="24">
        <f t="shared" si="389"/>
        <v>277</v>
      </c>
      <c r="L400" s="27" t="s">
        <v>16</v>
      </c>
      <c r="M400" s="21">
        <f>SUM(M391:M399)</f>
        <v>535</v>
      </c>
      <c r="N400" s="22">
        <f t="shared" ref="N400:U400" si="390">SUM(N391:N399)</f>
        <v>580</v>
      </c>
      <c r="O400" s="38">
        <f t="shared" si="390"/>
        <v>370</v>
      </c>
      <c r="P400" s="54">
        <f t="shared" si="390"/>
        <v>1485</v>
      </c>
      <c r="Q400" s="21">
        <f t="shared" si="390"/>
        <v>778</v>
      </c>
      <c r="R400" s="22">
        <f t="shared" si="390"/>
        <v>812</v>
      </c>
      <c r="S400" s="38">
        <f t="shared" si="390"/>
        <v>476</v>
      </c>
      <c r="T400" s="53">
        <f t="shared" si="390"/>
        <v>2066</v>
      </c>
      <c r="U400" s="24">
        <f t="shared" si="390"/>
        <v>3551</v>
      </c>
    </row>
    <row r="401" spans="1:22" x14ac:dyDescent="0.15">
      <c r="A401" s="60" t="s">
        <v>37</v>
      </c>
      <c r="B401" s="11">
        <v>5</v>
      </c>
      <c r="C401" s="12">
        <v>1</v>
      </c>
      <c r="D401" s="13"/>
      <c r="E401" s="10">
        <f t="shared" ref="E401:E426" si="391">SUM(B401:D401)</f>
        <v>6</v>
      </c>
      <c r="F401" s="11">
        <v>3</v>
      </c>
      <c r="G401" s="12"/>
      <c r="H401" s="13"/>
      <c r="I401" s="48">
        <f t="shared" ref="I401:I426" si="392">SUM(F401:H401)</f>
        <v>3</v>
      </c>
      <c r="J401" s="10">
        <f t="shared" ref="J401:J428" si="393">E401+I401</f>
        <v>9</v>
      </c>
      <c r="K401" s="66">
        <v>45813</v>
      </c>
      <c r="L401" s="60" t="s">
        <v>150</v>
      </c>
      <c r="M401" s="11">
        <v>20</v>
      </c>
      <c r="N401" s="12">
        <v>20</v>
      </c>
      <c r="O401" s="13">
        <v>20</v>
      </c>
      <c r="P401" s="10">
        <f t="shared" ref="P401:P426" si="394">SUM(M401:O401)</f>
        <v>60</v>
      </c>
      <c r="Q401" s="11">
        <v>20</v>
      </c>
      <c r="R401" s="12">
        <v>20</v>
      </c>
      <c r="S401" s="13">
        <v>20</v>
      </c>
      <c r="T401" s="48">
        <f t="shared" ref="T401:T426" si="395">SUM(Q401:S401)</f>
        <v>60</v>
      </c>
      <c r="U401" s="10">
        <f t="shared" ref="U401:U428" si="396">P401+T401</f>
        <v>120</v>
      </c>
      <c r="V401" s="57">
        <v>45842</v>
      </c>
    </row>
    <row r="402" spans="1:22" x14ac:dyDescent="0.15">
      <c r="A402" s="60" t="s">
        <v>37</v>
      </c>
      <c r="B402" s="11">
        <f>1+1</f>
        <v>2</v>
      </c>
      <c r="C402" s="12">
        <f>1+1</f>
        <v>2</v>
      </c>
      <c r="D402" s="13"/>
      <c r="E402" s="10">
        <f t="shared" si="391"/>
        <v>4</v>
      </c>
      <c r="F402" s="11"/>
      <c r="G402" s="12"/>
      <c r="H402" s="13">
        <v>1</v>
      </c>
      <c r="I402" s="48">
        <f t="shared" si="392"/>
        <v>1</v>
      </c>
      <c r="J402" s="10">
        <f t="shared" si="393"/>
        <v>5</v>
      </c>
      <c r="K402" s="66">
        <v>45817</v>
      </c>
      <c r="L402" s="60" t="s">
        <v>151</v>
      </c>
      <c r="M402" s="11">
        <v>20</v>
      </c>
      <c r="N402" s="12">
        <v>40</v>
      </c>
      <c r="O402" s="13">
        <v>30</v>
      </c>
      <c r="P402" s="10">
        <f t="shared" si="394"/>
        <v>90</v>
      </c>
      <c r="Q402" s="11">
        <v>30</v>
      </c>
      <c r="R402" s="12">
        <v>40</v>
      </c>
      <c r="S402" s="13">
        <v>30</v>
      </c>
      <c r="T402" s="48">
        <f t="shared" si="395"/>
        <v>100</v>
      </c>
      <c r="U402" s="10">
        <f t="shared" si="396"/>
        <v>190</v>
      </c>
      <c r="V402" s="57">
        <v>45842</v>
      </c>
    </row>
    <row r="403" spans="1:22" x14ac:dyDescent="0.15">
      <c r="A403" s="60" t="s">
        <v>37</v>
      </c>
      <c r="B403" s="11">
        <v>2</v>
      </c>
      <c r="C403" s="12"/>
      <c r="D403" s="13">
        <v>1</v>
      </c>
      <c r="E403" s="10">
        <f t="shared" si="391"/>
        <v>3</v>
      </c>
      <c r="F403" s="11"/>
      <c r="G403" s="12">
        <v>1</v>
      </c>
      <c r="H403" s="13"/>
      <c r="I403" s="48">
        <f t="shared" si="392"/>
        <v>1</v>
      </c>
      <c r="J403" s="10">
        <f t="shared" si="393"/>
        <v>4</v>
      </c>
      <c r="K403" s="66">
        <v>45818</v>
      </c>
      <c r="L403" s="60" t="s">
        <v>152</v>
      </c>
      <c r="M403" s="11">
        <v>2</v>
      </c>
      <c r="N403" s="12"/>
      <c r="O403" s="13"/>
      <c r="P403" s="10">
        <f t="shared" si="394"/>
        <v>2</v>
      </c>
      <c r="Q403" s="11">
        <v>2</v>
      </c>
      <c r="R403" s="12">
        <v>2</v>
      </c>
      <c r="S403" s="13">
        <v>1</v>
      </c>
      <c r="T403" s="48">
        <f t="shared" si="395"/>
        <v>5</v>
      </c>
      <c r="U403" s="10">
        <f t="shared" si="396"/>
        <v>7</v>
      </c>
      <c r="V403" s="57">
        <v>45842</v>
      </c>
    </row>
    <row r="404" spans="1:22" x14ac:dyDescent="0.15">
      <c r="A404" s="60" t="s">
        <v>37</v>
      </c>
      <c r="B404" s="11"/>
      <c r="C404" s="12"/>
      <c r="D404" s="13"/>
      <c r="E404" s="10">
        <f t="shared" si="391"/>
        <v>0</v>
      </c>
      <c r="F404" s="11">
        <v>1</v>
      </c>
      <c r="G404" s="12"/>
      <c r="H404" s="13"/>
      <c r="I404" s="48">
        <f t="shared" si="392"/>
        <v>1</v>
      </c>
      <c r="J404" s="10">
        <f t="shared" si="393"/>
        <v>1</v>
      </c>
      <c r="K404" s="66">
        <v>45821</v>
      </c>
      <c r="L404" s="67" t="s">
        <v>46</v>
      </c>
      <c r="M404" s="11"/>
      <c r="N404" s="12"/>
      <c r="O404" s="13"/>
      <c r="P404" s="10">
        <f t="shared" ref="P404" si="397">SUM(M404:O404)</f>
        <v>0</v>
      </c>
      <c r="Q404" s="11"/>
      <c r="R404" s="12"/>
      <c r="S404" s="13">
        <v>10</v>
      </c>
      <c r="T404" s="48">
        <f t="shared" si="395"/>
        <v>10</v>
      </c>
      <c r="U404" s="10">
        <f t="shared" si="396"/>
        <v>10</v>
      </c>
      <c r="V404" s="57">
        <v>45846</v>
      </c>
    </row>
    <row r="405" spans="1:22" x14ac:dyDescent="0.15">
      <c r="A405" s="60" t="s">
        <v>37</v>
      </c>
      <c r="B405" s="11">
        <v>2</v>
      </c>
      <c r="C405" s="12">
        <v>1</v>
      </c>
      <c r="D405" s="13"/>
      <c r="E405" s="10">
        <f t="shared" si="391"/>
        <v>3</v>
      </c>
      <c r="F405" s="11"/>
      <c r="G405" s="12"/>
      <c r="H405" s="13"/>
      <c r="I405" s="48">
        <f t="shared" si="392"/>
        <v>0</v>
      </c>
      <c r="J405" s="10">
        <f t="shared" si="393"/>
        <v>3</v>
      </c>
      <c r="K405" s="66">
        <v>45824</v>
      </c>
      <c r="L405" s="60" t="s">
        <v>156</v>
      </c>
      <c r="M405" s="11"/>
      <c r="N405" s="12">
        <v>2</v>
      </c>
      <c r="O405" s="13"/>
      <c r="P405" s="10">
        <f t="shared" si="394"/>
        <v>2</v>
      </c>
      <c r="Q405" s="11"/>
      <c r="R405" s="12">
        <v>2</v>
      </c>
      <c r="S405" s="13"/>
      <c r="T405" s="48">
        <f t="shared" si="395"/>
        <v>2</v>
      </c>
      <c r="U405" s="10">
        <f t="shared" si="396"/>
        <v>4</v>
      </c>
      <c r="V405" s="57">
        <v>45849</v>
      </c>
    </row>
    <row r="406" spans="1:22" x14ac:dyDescent="0.15">
      <c r="A406" s="60" t="s">
        <v>37</v>
      </c>
      <c r="B406" s="11">
        <v>1</v>
      </c>
      <c r="C406" s="12"/>
      <c r="D406" s="13"/>
      <c r="E406" s="10">
        <f t="shared" si="391"/>
        <v>1</v>
      </c>
      <c r="F406" s="11">
        <v>1</v>
      </c>
      <c r="G406" s="12"/>
      <c r="H406" s="13"/>
      <c r="I406" s="48">
        <f t="shared" si="392"/>
        <v>1</v>
      </c>
      <c r="J406" s="10">
        <f t="shared" si="393"/>
        <v>2</v>
      </c>
      <c r="K406" s="66">
        <v>45825</v>
      </c>
      <c r="L406" s="67" t="s">
        <v>46</v>
      </c>
      <c r="M406" s="11"/>
      <c r="N406" s="12"/>
      <c r="O406" s="13"/>
      <c r="P406" s="10">
        <f t="shared" ref="P406" si="398">SUM(M406:O406)</f>
        <v>0</v>
      </c>
      <c r="Q406" s="11"/>
      <c r="R406" s="12">
        <v>5</v>
      </c>
      <c r="S406" s="13"/>
      <c r="T406" s="48">
        <f t="shared" si="395"/>
        <v>5</v>
      </c>
      <c r="U406" s="10">
        <f t="shared" si="396"/>
        <v>5</v>
      </c>
      <c r="V406" s="57">
        <v>45847</v>
      </c>
    </row>
    <row r="407" spans="1:22" x14ac:dyDescent="0.15">
      <c r="A407" s="60" t="s">
        <v>37</v>
      </c>
      <c r="B407" s="11"/>
      <c r="C407" s="12"/>
      <c r="D407" s="13"/>
      <c r="E407" s="10">
        <f t="shared" si="391"/>
        <v>0</v>
      </c>
      <c r="F407" s="11"/>
      <c r="G407" s="12">
        <v>2</v>
      </c>
      <c r="H407" s="13">
        <v>1</v>
      </c>
      <c r="I407" s="48">
        <f t="shared" si="392"/>
        <v>3</v>
      </c>
      <c r="J407" s="10">
        <f t="shared" si="393"/>
        <v>3</v>
      </c>
      <c r="K407" s="66">
        <v>45826</v>
      </c>
      <c r="L407" s="60" t="s">
        <v>158</v>
      </c>
      <c r="M407" s="11">
        <v>40</v>
      </c>
      <c r="N407" s="12">
        <v>50</v>
      </c>
      <c r="O407" s="13">
        <v>20</v>
      </c>
      <c r="P407" s="10">
        <f t="shared" si="394"/>
        <v>110</v>
      </c>
      <c r="Q407" s="11">
        <v>20</v>
      </c>
      <c r="R407" s="12">
        <v>70</v>
      </c>
      <c r="S407" s="13"/>
      <c r="T407" s="48">
        <f t="shared" si="395"/>
        <v>90</v>
      </c>
      <c r="U407" s="10">
        <f t="shared" si="396"/>
        <v>200</v>
      </c>
      <c r="V407" s="57">
        <v>45848</v>
      </c>
    </row>
    <row r="408" spans="1:22" x14ac:dyDescent="0.15">
      <c r="A408" s="60" t="s">
        <v>37</v>
      </c>
      <c r="B408" s="11">
        <f>2+2</f>
        <v>4</v>
      </c>
      <c r="C408" s="12">
        <v>1</v>
      </c>
      <c r="D408" s="13">
        <v>1</v>
      </c>
      <c r="E408" s="10">
        <f t="shared" si="391"/>
        <v>6</v>
      </c>
      <c r="F408" s="11">
        <v>1</v>
      </c>
      <c r="G408" s="12"/>
      <c r="H408" s="13">
        <v>1</v>
      </c>
      <c r="I408" s="48">
        <f t="shared" si="392"/>
        <v>2</v>
      </c>
      <c r="J408" s="10">
        <f t="shared" si="393"/>
        <v>8</v>
      </c>
      <c r="K408" s="66">
        <v>45827</v>
      </c>
      <c r="L408" s="67" t="s">
        <v>46</v>
      </c>
      <c r="M408" s="11">
        <v>15</v>
      </c>
      <c r="N408" s="12">
        <v>10</v>
      </c>
      <c r="O408" s="13">
        <v>5</v>
      </c>
      <c r="P408" s="10">
        <f t="shared" ref="P408" si="399">SUM(M408:O408)</f>
        <v>30</v>
      </c>
      <c r="Q408" s="11"/>
      <c r="R408" s="12">
        <v>5</v>
      </c>
      <c r="S408" s="13"/>
      <c r="T408" s="48">
        <f t="shared" si="395"/>
        <v>5</v>
      </c>
      <c r="U408" s="10">
        <f t="shared" si="396"/>
        <v>35</v>
      </c>
      <c r="V408" s="57">
        <v>45848</v>
      </c>
    </row>
    <row r="409" spans="1:22" x14ac:dyDescent="0.15">
      <c r="A409" s="60" t="s">
        <v>37</v>
      </c>
      <c r="B409" s="11"/>
      <c r="C409" s="12"/>
      <c r="D409" s="13"/>
      <c r="E409" s="10">
        <f t="shared" si="391"/>
        <v>0</v>
      </c>
      <c r="F409" s="11"/>
      <c r="G409" s="12">
        <v>1</v>
      </c>
      <c r="H409" s="13"/>
      <c r="I409" s="48">
        <f t="shared" si="392"/>
        <v>1</v>
      </c>
      <c r="J409" s="10">
        <f t="shared" si="393"/>
        <v>1</v>
      </c>
      <c r="K409" s="66">
        <v>45828</v>
      </c>
      <c r="L409" s="60" t="s">
        <v>160</v>
      </c>
      <c r="M409" s="11">
        <v>5</v>
      </c>
      <c r="N409" s="12">
        <v>10</v>
      </c>
      <c r="O409" s="13">
        <v>15</v>
      </c>
      <c r="P409" s="10">
        <f t="shared" si="394"/>
        <v>30</v>
      </c>
      <c r="Q409" s="11">
        <v>5</v>
      </c>
      <c r="R409" s="12">
        <v>5</v>
      </c>
      <c r="S409" s="13"/>
      <c r="T409" s="48">
        <f t="shared" si="395"/>
        <v>10</v>
      </c>
      <c r="U409" s="10">
        <f t="shared" si="396"/>
        <v>40</v>
      </c>
      <c r="V409" s="57">
        <v>45849</v>
      </c>
    </row>
    <row r="410" spans="1:22" x14ac:dyDescent="0.15">
      <c r="A410" s="60" t="s">
        <v>37</v>
      </c>
      <c r="B410" s="11">
        <f>3+1</f>
        <v>4</v>
      </c>
      <c r="C410" s="12"/>
      <c r="D410" s="13"/>
      <c r="E410" s="10">
        <f t="shared" si="391"/>
        <v>4</v>
      </c>
      <c r="F410" s="11">
        <v>3</v>
      </c>
      <c r="G410" s="12"/>
      <c r="H410" s="13">
        <v>1</v>
      </c>
      <c r="I410" s="48">
        <f t="shared" si="392"/>
        <v>4</v>
      </c>
      <c r="J410" s="10">
        <f t="shared" si="393"/>
        <v>8</v>
      </c>
      <c r="K410" s="66">
        <v>45831</v>
      </c>
      <c r="L410" s="60" t="s">
        <v>161</v>
      </c>
      <c r="M410" s="11"/>
      <c r="N410" s="12">
        <v>10</v>
      </c>
      <c r="O410" s="13">
        <v>15</v>
      </c>
      <c r="P410" s="10">
        <f t="shared" si="394"/>
        <v>25</v>
      </c>
      <c r="Q410" s="11">
        <v>10</v>
      </c>
      <c r="R410" s="12"/>
      <c r="S410" s="13"/>
      <c r="T410" s="48">
        <f t="shared" si="395"/>
        <v>10</v>
      </c>
      <c r="U410" s="10">
        <f t="shared" si="396"/>
        <v>35</v>
      </c>
      <c r="V410" s="57">
        <v>45850</v>
      </c>
    </row>
    <row r="411" spans="1:22" x14ac:dyDescent="0.15">
      <c r="A411" s="60" t="s">
        <v>37</v>
      </c>
      <c r="B411" s="11">
        <f>1+2</f>
        <v>3</v>
      </c>
      <c r="C411" s="12">
        <v>2</v>
      </c>
      <c r="D411" s="13"/>
      <c r="E411" s="10">
        <f t="shared" si="391"/>
        <v>5</v>
      </c>
      <c r="F411" s="11">
        <v>2</v>
      </c>
      <c r="G411" s="12">
        <v>2</v>
      </c>
      <c r="H411" s="13"/>
      <c r="I411" s="48">
        <f t="shared" si="392"/>
        <v>4</v>
      </c>
      <c r="J411" s="10">
        <f t="shared" si="393"/>
        <v>9</v>
      </c>
      <c r="K411" s="66">
        <v>45832</v>
      </c>
      <c r="L411" s="60" t="s">
        <v>162</v>
      </c>
      <c r="M411" s="11">
        <v>5</v>
      </c>
      <c r="N411" s="12"/>
      <c r="O411" s="13"/>
      <c r="P411" s="10">
        <f t="shared" si="394"/>
        <v>5</v>
      </c>
      <c r="Q411" s="11">
        <v>5</v>
      </c>
      <c r="R411" s="12"/>
      <c r="S411" s="13"/>
      <c r="T411" s="48">
        <f t="shared" si="395"/>
        <v>5</v>
      </c>
      <c r="U411" s="10">
        <f t="shared" si="396"/>
        <v>10</v>
      </c>
      <c r="V411" s="57">
        <v>45850</v>
      </c>
    </row>
    <row r="412" spans="1:22" x14ac:dyDescent="0.15">
      <c r="A412" s="60" t="s">
        <v>37</v>
      </c>
      <c r="B412" s="11"/>
      <c r="C412" s="12"/>
      <c r="D412" s="13">
        <v>1</v>
      </c>
      <c r="E412" s="10">
        <f t="shared" si="391"/>
        <v>1</v>
      </c>
      <c r="F412" s="11">
        <v>1</v>
      </c>
      <c r="G412" s="12"/>
      <c r="H412" s="13"/>
      <c r="I412" s="48">
        <f t="shared" si="392"/>
        <v>1</v>
      </c>
      <c r="J412" s="10">
        <f t="shared" si="393"/>
        <v>2</v>
      </c>
      <c r="K412" s="66">
        <v>45833</v>
      </c>
      <c r="L412" s="67" t="s">
        <v>46</v>
      </c>
      <c r="M412" s="11">
        <v>5</v>
      </c>
      <c r="N412" s="12"/>
      <c r="O412" s="13">
        <v>5</v>
      </c>
      <c r="P412" s="10">
        <f t="shared" ref="P412" si="400">SUM(M412:O412)</f>
        <v>10</v>
      </c>
      <c r="Q412" s="11">
        <v>5</v>
      </c>
      <c r="R412" s="12"/>
      <c r="S412" s="13">
        <v>5</v>
      </c>
      <c r="T412" s="48">
        <f t="shared" si="395"/>
        <v>10</v>
      </c>
      <c r="U412" s="10">
        <f t="shared" si="396"/>
        <v>20</v>
      </c>
      <c r="V412" s="57">
        <v>45852</v>
      </c>
    </row>
    <row r="413" spans="1:22" x14ac:dyDescent="0.15">
      <c r="A413" s="60" t="s">
        <v>37</v>
      </c>
      <c r="B413" s="11">
        <v>1</v>
      </c>
      <c r="C413" s="12"/>
      <c r="D413" s="13">
        <v>1</v>
      </c>
      <c r="E413" s="10">
        <f t="shared" si="391"/>
        <v>2</v>
      </c>
      <c r="F413" s="11"/>
      <c r="G413" s="12"/>
      <c r="H413" s="13"/>
      <c r="I413" s="48">
        <f t="shared" si="392"/>
        <v>0</v>
      </c>
      <c r="J413" s="10">
        <f t="shared" si="393"/>
        <v>2</v>
      </c>
      <c r="K413" s="66">
        <v>45834</v>
      </c>
      <c r="L413" s="60" t="s">
        <v>163</v>
      </c>
      <c r="M413" s="11">
        <v>20</v>
      </c>
      <c r="N413" s="12"/>
      <c r="O413" s="13"/>
      <c r="P413" s="10">
        <f t="shared" si="394"/>
        <v>20</v>
      </c>
      <c r="Q413" s="11">
        <v>10</v>
      </c>
      <c r="R413" s="12">
        <v>5</v>
      </c>
      <c r="S413" s="13"/>
      <c r="T413" s="48">
        <f t="shared" si="395"/>
        <v>15</v>
      </c>
      <c r="U413" s="10">
        <f t="shared" si="396"/>
        <v>35</v>
      </c>
      <c r="V413" s="57">
        <v>45853</v>
      </c>
    </row>
    <row r="414" spans="1:22" x14ac:dyDescent="0.15">
      <c r="A414" s="60" t="s">
        <v>37</v>
      </c>
      <c r="B414" s="11"/>
      <c r="C414" s="12">
        <v>2</v>
      </c>
      <c r="D414" s="13">
        <v>1</v>
      </c>
      <c r="E414" s="10">
        <f t="shared" si="391"/>
        <v>3</v>
      </c>
      <c r="F414" s="11">
        <v>1</v>
      </c>
      <c r="G414" s="12"/>
      <c r="H414" s="13">
        <f>1+1</f>
        <v>2</v>
      </c>
      <c r="I414" s="48">
        <f t="shared" si="392"/>
        <v>3</v>
      </c>
      <c r="J414" s="10">
        <f t="shared" si="393"/>
        <v>6</v>
      </c>
      <c r="K414" s="66">
        <v>45838</v>
      </c>
      <c r="L414" s="67" t="s">
        <v>46</v>
      </c>
      <c r="M414" s="11">
        <v>20</v>
      </c>
      <c r="N414" s="12">
        <v>10</v>
      </c>
      <c r="O414" s="13"/>
      <c r="P414" s="10">
        <f t="shared" ref="P414" si="401">SUM(M414:O414)</f>
        <v>30</v>
      </c>
      <c r="Q414" s="11">
        <v>20</v>
      </c>
      <c r="R414" s="12">
        <v>10</v>
      </c>
      <c r="S414" s="13"/>
      <c r="T414" s="48">
        <f t="shared" si="395"/>
        <v>30</v>
      </c>
      <c r="U414" s="10">
        <f t="shared" si="396"/>
        <v>60</v>
      </c>
      <c r="V414" s="57">
        <v>45853</v>
      </c>
    </row>
    <row r="415" spans="1:22" x14ac:dyDescent="0.15">
      <c r="A415" s="60" t="s">
        <v>37</v>
      </c>
      <c r="B415" s="11">
        <v>1</v>
      </c>
      <c r="C415" s="12">
        <v>1</v>
      </c>
      <c r="D415" s="13"/>
      <c r="E415" s="10">
        <f t="shared" si="391"/>
        <v>2</v>
      </c>
      <c r="F415" s="11">
        <v>2</v>
      </c>
      <c r="G415" s="12">
        <v>1</v>
      </c>
      <c r="H415" s="13">
        <v>2</v>
      </c>
      <c r="I415" s="48">
        <f t="shared" si="392"/>
        <v>5</v>
      </c>
      <c r="J415" s="10">
        <f t="shared" si="393"/>
        <v>7</v>
      </c>
      <c r="K415" s="66">
        <v>45839</v>
      </c>
      <c r="L415" s="60" t="s">
        <v>165</v>
      </c>
      <c r="M415" s="11"/>
      <c r="N415" s="12"/>
      <c r="O415" s="13">
        <v>1</v>
      </c>
      <c r="P415" s="10">
        <f t="shared" si="394"/>
        <v>1</v>
      </c>
      <c r="Q415" s="11">
        <v>2</v>
      </c>
      <c r="R415" s="12"/>
      <c r="S415" s="13">
        <v>2</v>
      </c>
      <c r="T415" s="48">
        <f t="shared" si="395"/>
        <v>4</v>
      </c>
      <c r="U415" s="10">
        <f t="shared" si="396"/>
        <v>5</v>
      </c>
      <c r="V415" s="57">
        <v>45856</v>
      </c>
    </row>
    <row r="416" spans="1:22" x14ac:dyDescent="0.15">
      <c r="A416" s="60" t="s">
        <v>37</v>
      </c>
      <c r="B416" s="11"/>
      <c r="C416" s="12"/>
      <c r="D416" s="13">
        <v>1</v>
      </c>
      <c r="E416" s="10">
        <f t="shared" si="391"/>
        <v>1</v>
      </c>
      <c r="F416" s="11">
        <v>1</v>
      </c>
      <c r="G416" s="12"/>
      <c r="H416" s="13"/>
      <c r="I416" s="48">
        <f t="shared" si="392"/>
        <v>1</v>
      </c>
      <c r="J416" s="10">
        <f t="shared" si="393"/>
        <v>2</v>
      </c>
      <c r="K416" s="66">
        <v>45841</v>
      </c>
      <c r="L416" s="60" t="s">
        <v>166</v>
      </c>
      <c r="M416" s="11">
        <v>60</v>
      </c>
      <c r="N416" s="12">
        <v>30</v>
      </c>
      <c r="O416" s="13">
        <v>10</v>
      </c>
      <c r="P416" s="10">
        <f t="shared" si="394"/>
        <v>100</v>
      </c>
      <c r="Q416" s="11">
        <v>25</v>
      </c>
      <c r="R416" s="12">
        <v>10</v>
      </c>
      <c r="S416" s="13">
        <v>25</v>
      </c>
      <c r="T416" s="48">
        <f t="shared" si="395"/>
        <v>60</v>
      </c>
      <c r="U416" s="10">
        <f t="shared" si="396"/>
        <v>160</v>
      </c>
      <c r="V416" s="57">
        <v>45855</v>
      </c>
    </row>
    <row r="417" spans="1:22" x14ac:dyDescent="0.15">
      <c r="A417" s="60" t="s">
        <v>37</v>
      </c>
      <c r="B417" s="11">
        <v>2</v>
      </c>
      <c r="C417" s="12"/>
      <c r="D417" s="13"/>
      <c r="E417" s="10">
        <f t="shared" si="391"/>
        <v>2</v>
      </c>
      <c r="F417" s="11">
        <v>1</v>
      </c>
      <c r="G417" s="12"/>
      <c r="H417" s="13"/>
      <c r="I417" s="48">
        <f t="shared" si="392"/>
        <v>1</v>
      </c>
      <c r="J417" s="10">
        <f t="shared" si="393"/>
        <v>3</v>
      </c>
      <c r="K417" s="66">
        <v>45842</v>
      </c>
      <c r="L417" s="60" t="s">
        <v>167</v>
      </c>
      <c r="M417" s="11"/>
      <c r="N417" s="12"/>
      <c r="O417" s="13"/>
      <c r="P417" s="10">
        <f t="shared" si="394"/>
        <v>0</v>
      </c>
      <c r="Q417" s="11"/>
      <c r="R417" s="12"/>
      <c r="S417" s="13">
        <v>15</v>
      </c>
      <c r="T417" s="48">
        <f t="shared" si="395"/>
        <v>15</v>
      </c>
      <c r="U417" s="10">
        <f t="shared" si="396"/>
        <v>15</v>
      </c>
      <c r="V417" s="57">
        <v>45857</v>
      </c>
    </row>
    <row r="418" spans="1:22" x14ac:dyDescent="0.15">
      <c r="A418" s="60" t="s">
        <v>37</v>
      </c>
      <c r="B418" s="11">
        <v>1</v>
      </c>
      <c r="C418" s="12">
        <v>1</v>
      </c>
      <c r="D418" s="13"/>
      <c r="E418" s="10">
        <f t="shared" si="391"/>
        <v>2</v>
      </c>
      <c r="F418" s="11"/>
      <c r="G418" s="12"/>
      <c r="H418" s="13">
        <v>2</v>
      </c>
      <c r="I418" s="48">
        <f t="shared" si="392"/>
        <v>2</v>
      </c>
      <c r="J418" s="10">
        <f t="shared" si="393"/>
        <v>4</v>
      </c>
      <c r="K418" s="66">
        <v>45843</v>
      </c>
      <c r="L418" s="67" t="s">
        <v>46</v>
      </c>
      <c r="M418" s="11">
        <v>5</v>
      </c>
      <c r="N418" s="12"/>
      <c r="O418" s="13"/>
      <c r="P418" s="10">
        <f t="shared" si="394"/>
        <v>5</v>
      </c>
      <c r="Q418" s="11">
        <v>10</v>
      </c>
      <c r="R418" s="12">
        <v>5</v>
      </c>
      <c r="S418" s="13"/>
      <c r="T418" s="48">
        <f t="shared" si="395"/>
        <v>15</v>
      </c>
      <c r="U418" s="10">
        <f t="shared" si="396"/>
        <v>20</v>
      </c>
      <c r="V418" s="57">
        <v>45862</v>
      </c>
    </row>
    <row r="419" spans="1:22" x14ac:dyDescent="0.15">
      <c r="A419" s="60" t="s">
        <v>37</v>
      </c>
      <c r="B419" s="11">
        <f>3+3+1</f>
        <v>7</v>
      </c>
      <c r="C419" s="12">
        <f>1+1</f>
        <v>2</v>
      </c>
      <c r="D419" s="13">
        <f>1+2</f>
        <v>3</v>
      </c>
      <c r="E419" s="10">
        <f t="shared" si="391"/>
        <v>12</v>
      </c>
      <c r="F419" s="11">
        <f>4+3+1</f>
        <v>8</v>
      </c>
      <c r="G419" s="12">
        <f>1+2</f>
        <v>3</v>
      </c>
      <c r="H419" s="13">
        <f>1+1</f>
        <v>2</v>
      </c>
      <c r="I419" s="48">
        <f t="shared" si="392"/>
        <v>13</v>
      </c>
      <c r="J419" s="10">
        <f t="shared" si="393"/>
        <v>25</v>
      </c>
      <c r="K419" s="66">
        <v>45845</v>
      </c>
      <c r="L419" s="67" t="s">
        <v>46</v>
      </c>
      <c r="M419" s="11">
        <v>10</v>
      </c>
      <c r="N419" s="12">
        <v>5</v>
      </c>
      <c r="O419" s="13"/>
      <c r="P419" s="10">
        <f t="shared" si="394"/>
        <v>15</v>
      </c>
      <c r="Q419" s="11">
        <v>10</v>
      </c>
      <c r="R419" s="12"/>
      <c r="S419" s="13"/>
      <c r="T419" s="48">
        <f t="shared" si="395"/>
        <v>10</v>
      </c>
      <c r="U419" s="10">
        <f t="shared" si="396"/>
        <v>25</v>
      </c>
      <c r="V419" s="57">
        <v>45867</v>
      </c>
    </row>
    <row r="420" spans="1:22" x14ac:dyDescent="0.15">
      <c r="A420" s="60" t="s">
        <v>37</v>
      </c>
      <c r="B420" s="11">
        <f>2+1</f>
        <v>3</v>
      </c>
      <c r="C420" s="12"/>
      <c r="D420" s="13"/>
      <c r="E420" s="10">
        <f t="shared" si="391"/>
        <v>3</v>
      </c>
      <c r="F420" s="11"/>
      <c r="G420" s="12">
        <v>1</v>
      </c>
      <c r="H420" s="13"/>
      <c r="I420" s="48">
        <f t="shared" si="392"/>
        <v>1</v>
      </c>
      <c r="J420" s="10">
        <f t="shared" si="393"/>
        <v>4</v>
      </c>
      <c r="K420" s="66">
        <v>45846</v>
      </c>
      <c r="L420" s="60"/>
      <c r="M420" s="11"/>
      <c r="N420" s="12"/>
      <c r="O420" s="13"/>
      <c r="P420" s="10">
        <f t="shared" si="394"/>
        <v>0</v>
      </c>
      <c r="Q420" s="11"/>
      <c r="R420" s="12"/>
      <c r="S420" s="13"/>
      <c r="T420" s="48">
        <f t="shared" si="395"/>
        <v>0</v>
      </c>
      <c r="U420" s="10">
        <f t="shared" si="396"/>
        <v>0</v>
      </c>
      <c r="V420" s="56"/>
    </row>
    <row r="421" spans="1:22" x14ac:dyDescent="0.15">
      <c r="A421" s="60" t="s">
        <v>37</v>
      </c>
      <c r="B421" s="11">
        <v>3</v>
      </c>
      <c r="C421" s="12">
        <v>2</v>
      </c>
      <c r="D421" s="13">
        <f>1+1</f>
        <v>2</v>
      </c>
      <c r="E421" s="10">
        <f t="shared" si="391"/>
        <v>7</v>
      </c>
      <c r="F421" s="11">
        <f>1+2</f>
        <v>3</v>
      </c>
      <c r="G421" s="12"/>
      <c r="H421" s="13"/>
      <c r="I421" s="48">
        <f t="shared" si="392"/>
        <v>3</v>
      </c>
      <c r="J421" s="10">
        <f t="shared" si="393"/>
        <v>10</v>
      </c>
      <c r="K421" s="66">
        <v>45847</v>
      </c>
      <c r="L421" s="60"/>
      <c r="M421" s="11"/>
      <c r="N421" s="12"/>
      <c r="O421" s="13"/>
      <c r="P421" s="10">
        <f t="shared" si="394"/>
        <v>0</v>
      </c>
      <c r="Q421" s="11"/>
      <c r="R421" s="12"/>
      <c r="S421" s="13"/>
      <c r="T421" s="48">
        <f t="shared" si="395"/>
        <v>0</v>
      </c>
      <c r="U421" s="10">
        <f t="shared" si="396"/>
        <v>0</v>
      </c>
      <c r="V421" s="56"/>
    </row>
    <row r="422" spans="1:22" x14ac:dyDescent="0.15">
      <c r="A422" s="60" t="s">
        <v>37</v>
      </c>
      <c r="B422" s="11">
        <v>3</v>
      </c>
      <c r="C422" s="12">
        <v>1</v>
      </c>
      <c r="D422" s="13"/>
      <c r="E422" s="10">
        <f t="shared" si="391"/>
        <v>4</v>
      </c>
      <c r="F422" s="11">
        <f>3+2</f>
        <v>5</v>
      </c>
      <c r="G422" s="12">
        <v>1</v>
      </c>
      <c r="H422" s="13"/>
      <c r="I422" s="48">
        <f t="shared" si="392"/>
        <v>6</v>
      </c>
      <c r="J422" s="10">
        <f t="shared" si="393"/>
        <v>10</v>
      </c>
      <c r="K422" s="66">
        <v>45848</v>
      </c>
      <c r="L422" s="60"/>
      <c r="M422" s="11"/>
      <c r="N422" s="12"/>
      <c r="O422" s="13"/>
      <c r="P422" s="10">
        <f t="shared" ref="P422" si="402">SUM(M422:O422)</f>
        <v>0</v>
      </c>
      <c r="Q422" s="11"/>
      <c r="R422" s="12"/>
      <c r="S422" s="13"/>
      <c r="T422" s="48">
        <f t="shared" ref="T422" si="403">SUM(Q422:S422)</f>
        <v>0</v>
      </c>
      <c r="U422" s="10">
        <f t="shared" ref="U422" si="404">P422+T422</f>
        <v>0</v>
      </c>
    </row>
    <row r="423" spans="1:22" x14ac:dyDescent="0.15">
      <c r="A423" s="60" t="s">
        <v>37</v>
      </c>
      <c r="B423" s="11">
        <v>4</v>
      </c>
      <c r="C423" s="12"/>
      <c r="D423" s="13">
        <v>2</v>
      </c>
      <c r="E423" s="10">
        <f t="shared" si="391"/>
        <v>6</v>
      </c>
      <c r="F423" s="11">
        <v>1</v>
      </c>
      <c r="G423" s="12"/>
      <c r="H423" s="13">
        <v>2</v>
      </c>
      <c r="I423" s="48">
        <f t="shared" si="392"/>
        <v>3</v>
      </c>
      <c r="J423" s="10">
        <f t="shared" si="393"/>
        <v>9</v>
      </c>
      <c r="K423" s="66">
        <v>45849</v>
      </c>
      <c r="L423" s="60"/>
      <c r="M423" s="11"/>
      <c r="N423" s="12"/>
      <c r="O423" s="13"/>
      <c r="P423" s="10">
        <f t="shared" ref="P423" si="405">SUM(M423:O423)</f>
        <v>0</v>
      </c>
      <c r="Q423" s="11"/>
      <c r="R423" s="12"/>
      <c r="S423" s="13"/>
      <c r="T423" s="48">
        <f t="shared" ref="T423" si="406">SUM(Q423:S423)</f>
        <v>0</v>
      </c>
      <c r="U423" s="10">
        <f t="shared" ref="U423" si="407">P423+T423</f>
        <v>0</v>
      </c>
    </row>
    <row r="424" spans="1:22" x14ac:dyDescent="0.15">
      <c r="A424" s="60" t="s">
        <v>37</v>
      </c>
      <c r="B424" s="11">
        <f>6+1+4+1</f>
        <v>12</v>
      </c>
      <c r="C424" s="12">
        <f>3+1+1</f>
        <v>5</v>
      </c>
      <c r="D424" s="13">
        <v>1</v>
      </c>
      <c r="E424" s="10">
        <f t="shared" si="391"/>
        <v>18</v>
      </c>
      <c r="F424" s="11">
        <f>1+1+1+7+1</f>
        <v>11</v>
      </c>
      <c r="G424" s="12">
        <f>4+5+1</f>
        <v>10</v>
      </c>
      <c r="H424" s="13"/>
      <c r="I424" s="48">
        <f t="shared" si="392"/>
        <v>21</v>
      </c>
      <c r="J424" s="10">
        <f t="shared" si="393"/>
        <v>39</v>
      </c>
      <c r="K424" s="66">
        <v>45852</v>
      </c>
      <c r="L424" s="60"/>
      <c r="M424" s="11"/>
      <c r="N424" s="12"/>
      <c r="O424" s="13"/>
      <c r="P424" s="10">
        <f t="shared" ref="P424" si="408">SUM(M424:O424)</f>
        <v>0</v>
      </c>
      <c r="Q424" s="11"/>
      <c r="R424" s="12"/>
      <c r="S424" s="13"/>
      <c r="T424" s="48">
        <f t="shared" ref="T424" si="409">SUM(Q424:S424)</f>
        <v>0</v>
      </c>
      <c r="U424" s="10">
        <f t="shared" ref="U424" si="410">P424+T424</f>
        <v>0</v>
      </c>
    </row>
    <row r="425" spans="1:22" x14ac:dyDescent="0.15">
      <c r="A425" s="60" t="s">
        <v>37</v>
      </c>
      <c r="B425" s="11">
        <f>1+6</f>
        <v>7</v>
      </c>
      <c r="C425" s="12">
        <v>3</v>
      </c>
      <c r="D425" s="13"/>
      <c r="E425" s="10">
        <f t="shared" si="391"/>
        <v>10</v>
      </c>
      <c r="F425" s="11">
        <v>5</v>
      </c>
      <c r="G425" s="12"/>
      <c r="H425" s="13">
        <f>1+1</f>
        <v>2</v>
      </c>
      <c r="I425" s="48">
        <f t="shared" si="392"/>
        <v>7</v>
      </c>
      <c r="J425" s="10">
        <f t="shared" si="393"/>
        <v>17</v>
      </c>
      <c r="K425" s="66">
        <v>45853</v>
      </c>
      <c r="L425" s="81" t="s">
        <v>117</v>
      </c>
      <c r="M425" s="82"/>
      <c r="N425" s="83"/>
      <c r="O425" s="84"/>
      <c r="P425" s="85">
        <f t="shared" si="394"/>
        <v>0</v>
      </c>
      <c r="Q425" s="82"/>
      <c r="R425" s="83"/>
      <c r="S425" s="84"/>
      <c r="T425" s="86">
        <f t="shared" si="395"/>
        <v>0</v>
      </c>
      <c r="U425" s="85">
        <f t="shared" si="396"/>
        <v>0</v>
      </c>
      <c r="V425" s="56"/>
    </row>
    <row r="426" spans="1:22" ht="14.25" thickBot="1" x14ac:dyDescent="0.2">
      <c r="A426" s="60" t="s">
        <v>37</v>
      </c>
      <c r="B426" s="11">
        <v>2</v>
      </c>
      <c r="C426" s="12">
        <v>1</v>
      </c>
      <c r="D426" s="13">
        <v>1</v>
      </c>
      <c r="E426" s="10">
        <f t="shared" si="391"/>
        <v>4</v>
      </c>
      <c r="F426" s="11">
        <v>3</v>
      </c>
      <c r="G426" s="12">
        <v>1</v>
      </c>
      <c r="H426" s="13"/>
      <c r="I426" s="48">
        <f t="shared" si="392"/>
        <v>4</v>
      </c>
      <c r="J426" s="10">
        <f t="shared" si="393"/>
        <v>8</v>
      </c>
      <c r="K426" s="66">
        <v>45854</v>
      </c>
      <c r="L426" s="60" t="s">
        <v>105</v>
      </c>
      <c r="M426" s="11"/>
      <c r="N426" s="12"/>
      <c r="O426" s="13"/>
      <c r="P426" s="10">
        <f t="shared" si="394"/>
        <v>0</v>
      </c>
      <c r="Q426" s="11"/>
      <c r="R426" s="12"/>
      <c r="S426" s="13"/>
      <c r="T426" s="48">
        <f t="shared" si="395"/>
        <v>0</v>
      </c>
      <c r="U426" s="10">
        <f t="shared" si="396"/>
        <v>0</v>
      </c>
      <c r="V426" s="56" t="s">
        <v>106</v>
      </c>
    </row>
    <row r="427" spans="1:22" ht="14.25" thickBot="1" x14ac:dyDescent="0.2">
      <c r="A427" s="29" t="s">
        <v>17</v>
      </c>
      <c r="B427" s="30">
        <f>SUM(B401:B426)</f>
        <v>69</v>
      </c>
      <c r="C427" s="31">
        <f>SUM(C401:C426)</f>
        <v>25</v>
      </c>
      <c r="D427" s="32">
        <f>SUM(D401:D426)</f>
        <v>15</v>
      </c>
      <c r="E427" s="33">
        <f>SUM(B427:D427)</f>
        <v>109</v>
      </c>
      <c r="F427" s="30">
        <f>SUM(F401:F426)</f>
        <v>53</v>
      </c>
      <c r="G427" s="31">
        <f>SUM(G401:G426)</f>
        <v>23</v>
      </c>
      <c r="H427" s="32">
        <f>SUM(H401:H426)</f>
        <v>16</v>
      </c>
      <c r="I427" s="33">
        <f>SUM(F427:H427)</f>
        <v>92</v>
      </c>
      <c r="J427" s="34">
        <f t="shared" si="393"/>
        <v>201</v>
      </c>
      <c r="L427" s="29" t="s">
        <v>17</v>
      </c>
      <c r="M427" s="30">
        <f>SUM(M401:M426)</f>
        <v>227</v>
      </c>
      <c r="N427" s="31">
        <f>SUM(N401:N426)</f>
        <v>187</v>
      </c>
      <c r="O427" s="32">
        <f>SUM(O401:O426)</f>
        <v>121</v>
      </c>
      <c r="P427" s="33">
        <f>SUM(M427:O427)</f>
        <v>535</v>
      </c>
      <c r="Q427" s="30">
        <f>SUM(Q401:Q426)</f>
        <v>174</v>
      </c>
      <c r="R427" s="31">
        <f>SUM(R401:R426)</f>
        <v>179</v>
      </c>
      <c r="S427" s="32">
        <f>SUM(S401:S426)</f>
        <v>108</v>
      </c>
      <c r="T427" s="33">
        <f>SUM(Q427:S427)</f>
        <v>461</v>
      </c>
      <c r="U427" s="34">
        <f t="shared" si="396"/>
        <v>996</v>
      </c>
    </row>
    <row r="428" spans="1:22" ht="14.25" thickBot="1" x14ac:dyDescent="0.2">
      <c r="A428" s="18" t="s">
        <v>18</v>
      </c>
      <c r="B428" s="44">
        <f>B400-B427</f>
        <v>13</v>
      </c>
      <c r="C428" s="45">
        <f t="shared" ref="C428:E428" si="411">C400-C427</f>
        <v>13</v>
      </c>
      <c r="D428" s="46">
        <f t="shared" si="411"/>
        <v>11</v>
      </c>
      <c r="E428" s="46">
        <f t="shared" si="411"/>
        <v>37</v>
      </c>
      <c r="F428" s="44">
        <f>F400-F427</f>
        <v>15</v>
      </c>
      <c r="G428" s="45">
        <f t="shared" ref="G428:I428" si="412">G400-G427</f>
        <v>11</v>
      </c>
      <c r="H428" s="46">
        <f t="shared" si="412"/>
        <v>13</v>
      </c>
      <c r="I428" s="46">
        <f t="shared" si="412"/>
        <v>39</v>
      </c>
      <c r="J428" s="24">
        <f t="shared" si="393"/>
        <v>76</v>
      </c>
      <c r="L428" s="18" t="s">
        <v>18</v>
      </c>
      <c r="M428" s="44">
        <f>M400-M427</f>
        <v>308</v>
      </c>
      <c r="N428" s="45">
        <f t="shared" ref="N428:P428" si="413">N400-N427</f>
        <v>393</v>
      </c>
      <c r="O428" s="46">
        <f t="shared" si="413"/>
        <v>249</v>
      </c>
      <c r="P428" s="46">
        <f t="shared" si="413"/>
        <v>950</v>
      </c>
      <c r="Q428" s="44">
        <f>Q400-Q427</f>
        <v>604</v>
      </c>
      <c r="R428" s="45">
        <f t="shared" ref="R428:T428" si="414">R400-R427</f>
        <v>633</v>
      </c>
      <c r="S428" s="46">
        <f t="shared" si="414"/>
        <v>368</v>
      </c>
      <c r="T428" s="46">
        <f t="shared" si="414"/>
        <v>1605</v>
      </c>
      <c r="U428" s="24">
        <f t="shared" si="396"/>
        <v>2555</v>
      </c>
    </row>
    <row r="431" spans="1:22" ht="19.5" thickBot="1" x14ac:dyDescent="0.25">
      <c r="A431" s="2" t="s">
        <v>24</v>
      </c>
      <c r="B431" s="1"/>
      <c r="C431" s="1"/>
      <c r="D431" s="1"/>
      <c r="E431" s="1"/>
      <c r="F431" s="1" t="s">
        <v>39</v>
      </c>
      <c r="G431" s="1"/>
      <c r="H431" s="1"/>
      <c r="I431" s="1"/>
      <c r="J431" s="1"/>
      <c r="L431" s="2" t="s">
        <v>23</v>
      </c>
      <c r="M431" s="1"/>
      <c r="N431" s="1"/>
      <c r="O431" s="1"/>
      <c r="P431" s="63" t="s">
        <v>35</v>
      </c>
      <c r="Q431" s="1"/>
      <c r="R431" s="1" t="s">
        <v>39</v>
      </c>
      <c r="S431" s="1"/>
      <c r="T431" s="1"/>
      <c r="U431" s="1"/>
    </row>
    <row r="432" spans="1:22" ht="14.25" thickBot="1" x14ac:dyDescent="0.2">
      <c r="A432" s="6" t="s">
        <v>0</v>
      </c>
      <c r="B432" s="128" t="s">
        <v>21</v>
      </c>
      <c r="C432" s="129"/>
      <c r="D432" s="129"/>
      <c r="E432" s="130"/>
      <c r="F432" s="125" t="s">
        <v>19</v>
      </c>
      <c r="G432" s="126"/>
      <c r="H432" s="126"/>
      <c r="I432" s="127"/>
      <c r="J432" s="131" t="s">
        <v>1</v>
      </c>
      <c r="L432" s="6" t="s">
        <v>0</v>
      </c>
      <c r="M432" s="128" t="s">
        <v>21</v>
      </c>
      <c r="N432" s="129"/>
      <c r="O432" s="129"/>
      <c r="P432" s="130"/>
      <c r="Q432" s="125" t="s">
        <v>19</v>
      </c>
      <c r="R432" s="126"/>
      <c r="S432" s="126"/>
      <c r="T432" s="127"/>
      <c r="U432" s="131" t="s">
        <v>1</v>
      </c>
    </row>
    <row r="433" spans="1:22" ht="14.25" thickBot="1" x14ac:dyDescent="0.2">
      <c r="A433" s="6" t="s">
        <v>2</v>
      </c>
      <c r="B433" s="3" t="s">
        <v>3</v>
      </c>
      <c r="C433" s="4" t="s">
        <v>4</v>
      </c>
      <c r="D433" s="5" t="s">
        <v>5</v>
      </c>
      <c r="E433" s="6" t="s">
        <v>6</v>
      </c>
      <c r="F433" s="3" t="s">
        <v>3</v>
      </c>
      <c r="G433" s="4" t="s">
        <v>4</v>
      </c>
      <c r="H433" s="5" t="s">
        <v>5</v>
      </c>
      <c r="I433" s="6" t="s">
        <v>6</v>
      </c>
      <c r="J433" s="132"/>
      <c r="L433" s="6" t="s">
        <v>2</v>
      </c>
      <c r="M433" s="50" t="s">
        <v>3</v>
      </c>
      <c r="N433" s="51" t="s">
        <v>4</v>
      </c>
      <c r="O433" s="52" t="s">
        <v>5</v>
      </c>
      <c r="P433" s="6" t="s">
        <v>6</v>
      </c>
      <c r="Q433" s="3" t="s">
        <v>3</v>
      </c>
      <c r="R433" s="4" t="s">
        <v>4</v>
      </c>
      <c r="S433" s="5" t="s">
        <v>5</v>
      </c>
      <c r="T433" s="6" t="s">
        <v>6</v>
      </c>
      <c r="U433" s="132"/>
    </row>
    <row r="434" spans="1:22" ht="14.25" thickBot="1" x14ac:dyDescent="0.2">
      <c r="A434" s="20" t="s">
        <v>18</v>
      </c>
      <c r="B434" s="21">
        <f>B428</f>
        <v>13</v>
      </c>
      <c r="C434" s="22">
        <f t="shared" ref="C434:D434" si="415">C428</f>
        <v>13</v>
      </c>
      <c r="D434" s="38">
        <f t="shared" si="415"/>
        <v>11</v>
      </c>
      <c r="E434" s="24">
        <f t="shared" ref="E434:E442" si="416">SUM(B434:D434)</f>
        <v>37</v>
      </c>
      <c r="F434" s="21">
        <f>F428</f>
        <v>15</v>
      </c>
      <c r="G434" s="22">
        <f t="shared" ref="G434:H434" si="417">G428</f>
        <v>11</v>
      </c>
      <c r="H434" s="38">
        <f t="shared" si="417"/>
        <v>13</v>
      </c>
      <c r="I434" s="24">
        <f t="shared" ref="I434:I442" si="418">SUM(F434:H434)</f>
        <v>39</v>
      </c>
      <c r="J434" s="24">
        <f>E434+I434</f>
        <v>76</v>
      </c>
      <c r="L434" s="20" t="s">
        <v>18</v>
      </c>
      <c r="M434" s="21">
        <f>M428</f>
        <v>308</v>
      </c>
      <c r="N434" s="22">
        <f t="shared" ref="N434:O434" si="419">N428</f>
        <v>393</v>
      </c>
      <c r="O434" s="38">
        <f t="shared" si="419"/>
        <v>249</v>
      </c>
      <c r="P434" s="73">
        <f t="shared" ref="P434:P442" si="420">SUM(M434:O434)</f>
        <v>950</v>
      </c>
      <c r="Q434" s="21">
        <f>Q428</f>
        <v>604</v>
      </c>
      <c r="R434" s="22">
        <f t="shared" ref="R434:S434" si="421">R428</f>
        <v>633</v>
      </c>
      <c r="S434" s="38">
        <f t="shared" si="421"/>
        <v>368</v>
      </c>
      <c r="T434" s="24">
        <f t="shared" ref="T434:T442" si="422">SUM(Q434:S434)</f>
        <v>1605</v>
      </c>
      <c r="U434" s="24">
        <f>P434+T434</f>
        <v>2555</v>
      </c>
    </row>
    <row r="435" spans="1:22" x14ac:dyDescent="0.15">
      <c r="A435" s="60" t="s">
        <v>169</v>
      </c>
      <c r="B435" s="11">
        <v>1</v>
      </c>
      <c r="C435" s="12"/>
      <c r="D435" s="13"/>
      <c r="E435" s="10">
        <f t="shared" si="416"/>
        <v>1</v>
      </c>
      <c r="F435" s="11">
        <v>1</v>
      </c>
      <c r="G435" s="12"/>
      <c r="H435" s="13"/>
      <c r="I435" s="48">
        <f t="shared" si="418"/>
        <v>1</v>
      </c>
      <c r="J435" s="10">
        <f t="shared" ref="J435" si="423">E435+I435</f>
        <v>2</v>
      </c>
      <c r="K435" s="57">
        <v>45855</v>
      </c>
      <c r="L435" s="19" t="s">
        <v>8</v>
      </c>
      <c r="M435" s="7"/>
      <c r="N435" s="8"/>
      <c r="O435" s="35"/>
      <c r="P435" s="10">
        <f t="shared" si="420"/>
        <v>0</v>
      </c>
      <c r="Q435" s="7"/>
      <c r="R435" s="8"/>
      <c r="S435" s="35"/>
      <c r="T435" s="48">
        <f t="shared" si="422"/>
        <v>0</v>
      </c>
      <c r="U435" s="10">
        <f t="shared" ref="U435:U442" si="424">P435+T435</f>
        <v>0</v>
      </c>
    </row>
    <row r="436" spans="1:22" x14ac:dyDescent="0.15">
      <c r="A436" s="19" t="s">
        <v>9</v>
      </c>
      <c r="B436" s="7">
        <v>5</v>
      </c>
      <c r="C436" s="8"/>
      <c r="D436" s="35"/>
      <c r="E436" s="10">
        <f t="shared" si="416"/>
        <v>5</v>
      </c>
      <c r="F436" s="7">
        <v>10</v>
      </c>
      <c r="G436" s="8">
        <v>5</v>
      </c>
      <c r="H436" s="35"/>
      <c r="I436" s="48">
        <f t="shared" si="418"/>
        <v>15</v>
      </c>
      <c r="J436" s="10">
        <f t="shared" ref="J436:J442" si="425">E436+I436</f>
        <v>20</v>
      </c>
      <c r="K436" s="57">
        <v>45862</v>
      </c>
      <c r="L436" s="19" t="s">
        <v>9</v>
      </c>
      <c r="M436" s="7"/>
      <c r="N436" s="8"/>
      <c r="O436" s="35"/>
      <c r="P436" s="10">
        <f t="shared" si="420"/>
        <v>0</v>
      </c>
      <c r="Q436" s="7"/>
      <c r="R436" s="8"/>
      <c r="S436" s="35"/>
      <c r="T436" s="48">
        <f t="shared" si="422"/>
        <v>0</v>
      </c>
      <c r="U436" s="10">
        <f t="shared" si="424"/>
        <v>0</v>
      </c>
    </row>
    <row r="437" spans="1:22" x14ac:dyDescent="0.15">
      <c r="A437" s="19" t="s">
        <v>10</v>
      </c>
      <c r="B437" s="7">
        <v>10</v>
      </c>
      <c r="C437" s="8">
        <v>5</v>
      </c>
      <c r="D437" s="35"/>
      <c r="E437" s="10">
        <f t="shared" si="416"/>
        <v>15</v>
      </c>
      <c r="F437" s="7">
        <v>10</v>
      </c>
      <c r="G437" s="8"/>
      <c r="H437" s="35"/>
      <c r="I437" s="48">
        <f t="shared" si="418"/>
        <v>10</v>
      </c>
      <c r="J437" s="10">
        <f t="shared" si="425"/>
        <v>25</v>
      </c>
      <c r="K437" s="57">
        <v>45867</v>
      </c>
      <c r="L437" s="19" t="s">
        <v>10</v>
      </c>
      <c r="M437" s="7"/>
      <c r="N437" s="8"/>
      <c r="O437" s="35"/>
      <c r="P437" s="10">
        <f t="shared" ref="P437" si="426">SUM(M437:O437)</f>
        <v>0</v>
      </c>
      <c r="Q437" s="7"/>
      <c r="R437" s="8"/>
      <c r="S437" s="35"/>
      <c r="T437" s="48">
        <f t="shared" ref="T437" si="427">SUM(Q437:S437)</f>
        <v>0</v>
      </c>
      <c r="U437" s="10">
        <f t="shared" ref="U437" si="428">P437+T437</f>
        <v>0</v>
      </c>
    </row>
    <row r="438" spans="1:22" x14ac:dyDescent="0.15">
      <c r="A438" s="19" t="s">
        <v>11</v>
      </c>
      <c r="B438" s="7">
        <v>15</v>
      </c>
      <c r="C438" s="8">
        <v>5</v>
      </c>
      <c r="D438" s="35">
        <v>10</v>
      </c>
      <c r="E438" s="10">
        <f t="shared" si="416"/>
        <v>30</v>
      </c>
      <c r="F438" s="7">
        <v>5</v>
      </c>
      <c r="G438" s="8">
        <v>5</v>
      </c>
      <c r="H438" s="35">
        <v>10</v>
      </c>
      <c r="I438" s="48">
        <f t="shared" si="418"/>
        <v>20</v>
      </c>
      <c r="J438" s="10">
        <f t="shared" si="425"/>
        <v>50</v>
      </c>
      <c r="K438" s="57">
        <v>45871</v>
      </c>
      <c r="L438" s="19" t="s">
        <v>11</v>
      </c>
      <c r="M438" s="7"/>
      <c r="N438" s="8"/>
      <c r="O438" s="35"/>
      <c r="P438" s="10">
        <f t="shared" ref="P438" si="429">SUM(M438:O438)</f>
        <v>0</v>
      </c>
      <c r="Q438" s="7"/>
      <c r="R438" s="8"/>
      <c r="S438" s="35"/>
      <c r="T438" s="48">
        <f t="shared" ref="T438" si="430">SUM(Q438:S438)</f>
        <v>0</v>
      </c>
      <c r="U438" s="10">
        <f t="shared" ref="U438" si="431">P438+T438</f>
        <v>0</v>
      </c>
    </row>
    <row r="439" spans="1:22" x14ac:dyDescent="0.15">
      <c r="A439" s="19" t="s">
        <v>12</v>
      </c>
      <c r="B439" s="7">
        <v>5</v>
      </c>
      <c r="C439" s="8">
        <v>5</v>
      </c>
      <c r="D439" s="35"/>
      <c r="E439" s="10">
        <f t="shared" si="416"/>
        <v>10</v>
      </c>
      <c r="F439" s="7">
        <v>3</v>
      </c>
      <c r="G439" s="8">
        <v>5</v>
      </c>
      <c r="H439" s="35"/>
      <c r="I439" s="48">
        <f t="shared" si="418"/>
        <v>8</v>
      </c>
      <c r="J439" s="10">
        <f t="shared" si="425"/>
        <v>18</v>
      </c>
      <c r="K439" s="57">
        <v>45877</v>
      </c>
      <c r="L439" s="19" t="s">
        <v>12</v>
      </c>
      <c r="M439" s="7"/>
      <c r="N439" s="8"/>
      <c r="O439" s="35"/>
      <c r="P439" s="10">
        <f t="shared" si="420"/>
        <v>0</v>
      </c>
      <c r="Q439" s="7"/>
      <c r="R439" s="8"/>
      <c r="S439" s="35"/>
      <c r="T439" s="48">
        <f t="shared" si="422"/>
        <v>0</v>
      </c>
      <c r="U439" s="10">
        <f t="shared" si="424"/>
        <v>0</v>
      </c>
    </row>
    <row r="440" spans="1:22" x14ac:dyDescent="0.15">
      <c r="A440" s="19" t="s">
        <v>13</v>
      </c>
      <c r="B440" s="7"/>
      <c r="C440" s="8"/>
      <c r="D440" s="35">
        <v>5</v>
      </c>
      <c r="E440" s="10">
        <f t="shared" si="416"/>
        <v>5</v>
      </c>
      <c r="F440" s="7">
        <v>10</v>
      </c>
      <c r="G440" s="8"/>
      <c r="H440" s="35"/>
      <c r="I440" s="48">
        <f t="shared" si="418"/>
        <v>10</v>
      </c>
      <c r="J440" s="10">
        <f t="shared" si="425"/>
        <v>15</v>
      </c>
      <c r="K440" s="57">
        <v>45888</v>
      </c>
      <c r="L440" s="19" t="s">
        <v>13</v>
      </c>
      <c r="M440" s="7"/>
      <c r="N440" s="8"/>
      <c r="O440" s="35"/>
      <c r="P440" s="10">
        <f t="shared" si="420"/>
        <v>0</v>
      </c>
      <c r="Q440" s="7"/>
      <c r="R440" s="8"/>
      <c r="S440" s="35"/>
      <c r="T440" s="48">
        <f t="shared" si="422"/>
        <v>0</v>
      </c>
      <c r="U440" s="10">
        <f t="shared" si="424"/>
        <v>0</v>
      </c>
    </row>
    <row r="441" spans="1:22" x14ac:dyDescent="0.15">
      <c r="A441" s="19" t="s">
        <v>14</v>
      </c>
      <c r="B441" s="11"/>
      <c r="C441" s="12"/>
      <c r="D441" s="36"/>
      <c r="E441" s="10">
        <f t="shared" si="416"/>
        <v>0</v>
      </c>
      <c r="F441" s="11"/>
      <c r="G441" s="12"/>
      <c r="H441" s="36"/>
      <c r="I441" s="48">
        <f t="shared" si="418"/>
        <v>0</v>
      </c>
      <c r="J441" s="10">
        <f t="shared" si="425"/>
        <v>0</v>
      </c>
      <c r="L441" s="19" t="s">
        <v>14</v>
      </c>
      <c r="M441" s="11"/>
      <c r="N441" s="12"/>
      <c r="O441" s="36"/>
      <c r="P441" s="10">
        <f t="shared" si="420"/>
        <v>0</v>
      </c>
      <c r="Q441" s="11"/>
      <c r="R441" s="12"/>
      <c r="S441" s="36"/>
      <c r="T441" s="48">
        <f t="shared" si="422"/>
        <v>0</v>
      </c>
      <c r="U441" s="10">
        <f t="shared" si="424"/>
        <v>0</v>
      </c>
    </row>
    <row r="442" spans="1:22" ht="14.25" thickBot="1" x14ac:dyDescent="0.2">
      <c r="A442" s="19" t="s">
        <v>15</v>
      </c>
      <c r="B442" s="25"/>
      <c r="C442" s="26"/>
      <c r="D442" s="37"/>
      <c r="E442" s="10">
        <f t="shared" si="416"/>
        <v>0</v>
      </c>
      <c r="F442" s="25"/>
      <c r="G442" s="26"/>
      <c r="H442" s="37"/>
      <c r="I442" s="48">
        <f t="shared" si="418"/>
        <v>0</v>
      </c>
      <c r="J442" s="17">
        <f t="shared" si="425"/>
        <v>0</v>
      </c>
      <c r="L442" s="19" t="s">
        <v>15</v>
      </c>
      <c r="M442" s="25"/>
      <c r="N442" s="26"/>
      <c r="O442" s="37"/>
      <c r="P442" s="10">
        <f t="shared" si="420"/>
        <v>0</v>
      </c>
      <c r="Q442" s="25"/>
      <c r="R442" s="26"/>
      <c r="S442" s="37"/>
      <c r="T442" s="48">
        <f t="shared" si="422"/>
        <v>0</v>
      </c>
      <c r="U442" s="17">
        <f t="shared" si="424"/>
        <v>0</v>
      </c>
    </row>
    <row r="443" spans="1:22" ht="14.25" thickBot="1" x14ac:dyDescent="0.2">
      <c r="A443" s="27" t="s">
        <v>16</v>
      </c>
      <c r="B443" s="21">
        <f>SUM(B434:B442)</f>
        <v>49</v>
      </c>
      <c r="C443" s="22">
        <f t="shared" ref="C443:J443" si="432">SUM(C434:C442)</f>
        <v>28</v>
      </c>
      <c r="D443" s="38">
        <f t="shared" si="432"/>
        <v>26</v>
      </c>
      <c r="E443" s="54">
        <f t="shared" si="432"/>
        <v>103</v>
      </c>
      <c r="F443" s="21">
        <f t="shared" si="432"/>
        <v>54</v>
      </c>
      <c r="G443" s="22">
        <f t="shared" si="432"/>
        <v>26</v>
      </c>
      <c r="H443" s="38">
        <f t="shared" si="432"/>
        <v>23</v>
      </c>
      <c r="I443" s="53">
        <f t="shared" si="432"/>
        <v>103</v>
      </c>
      <c r="J443" s="24">
        <f t="shared" si="432"/>
        <v>206</v>
      </c>
      <c r="L443" s="27" t="s">
        <v>16</v>
      </c>
      <c r="M443" s="21">
        <f>SUM(M434:M442)</f>
        <v>308</v>
      </c>
      <c r="N443" s="22">
        <f t="shared" ref="N443:U443" si="433">SUM(N434:N442)</f>
        <v>393</v>
      </c>
      <c r="O443" s="38">
        <f t="shared" si="433"/>
        <v>249</v>
      </c>
      <c r="P443" s="54">
        <f t="shared" si="433"/>
        <v>950</v>
      </c>
      <c r="Q443" s="21">
        <f t="shared" si="433"/>
        <v>604</v>
      </c>
      <c r="R443" s="22">
        <f t="shared" si="433"/>
        <v>633</v>
      </c>
      <c r="S443" s="38">
        <f t="shared" si="433"/>
        <v>368</v>
      </c>
      <c r="T443" s="53">
        <f t="shared" si="433"/>
        <v>1605</v>
      </c>
      <c r="U443" s="24">
        <f t="shared" si="433"/>
        <v>2555</v>
      </c>
    </row>
    <row r="444" spans="1:22" x14ac:dyDescent="0.15">
      <c r="A444" s="60" t="s">
        <v>37</v>
      </c>
      <c r="B444" s="11">
        <v>2</v>
      </c>
      <c r="C444" s="12"/>
      <c r="D444" s="13"/>
      <c r="E444" s="10">
        <f t="shared" ref="E444:E469" si="434">SUM(B444:D444)</f>
        <v>2</v>
      </c>
      <c r="F444" s="11">
        <f>1+2</f>
        <v>3</v>
      </c>
      <c r="G444" s="12">
        <v>1</v>
      </c>
      <c r="H444" s="13"/>
      <c r="I444" s="48">
        <f t="shared" ref="I444:I469" si="435">SUM(F444:H444)</f>
        <v>4</v>
      </c>
      <c r="J444" s="10">
        <f t="shared" ref="J444:J471" si="436">E444+I444</f>
        <v>6</v>
      </c>
      <c r="K444" s="66">
        <v>45855</v>
      </c>
      <c r="L444" s="60" t="s">
        <v>170</v>
      </c>
      <c r="M444" s="11">
        <v>2</v>
      </c>
      <c r="N444" s="12"/>
      <c r="O444" s="13"/>
      <c r="P444" s="10">
        <f t="shared" ref="P444:P464" si="437">SUM(M444:O444)</f>
        <v>2</v>
      </c>
      <c r="Q444" s="11"/>
      <c r="R444" s="12"/>
      <c r="S444" s="13"/>
      <c r="T444" s="48">
        <f t="shared" ref="T444:T464" si="438">SUM(Q444:S444)</f>
        <v>0</v>
      </c>
      <c r="U444" s="10">
        <f t="shared" ref="U444:U471" si="439">P444+T444</f>
        <v>2</v>
      </c>
      <c r="V444" s="57">
        <v>45873</v>
      </c>
    </row>
    <row r="445" spans="1:22" x14ac:dyDescent="0.15">
      <c r="A445" s="60" t="s">
        <v>37</v>
      </c>
      <c r="B445" s="11"/>
      <c r="C445" s="12"/>
      <c r="D445" s="13"/>
      <c r="E445" s="10">
        <f t="shared" si="434"/>
        <v>0</v>
      </c>
      <c r="F445" s="11">
        <v>1</v>
      </c>
      <c r="G445" s="12"/>
      <c r="H445" s="13">
        <v>1</v>
      </c>
      <c r="I445" s="48">
        <f t="shared" si="435"/>
        <v>2</v>
      </c>
      <c r="J445" s="10">
        <f t="shared" si="436"/>
        <v>2</v>
      </c>
      <c r="K445" s="66">
        <v>45856</v>
      </c>
      <c r="L445" s="60" t="s">
        <v>171</v>
      </c>
      <c r="M445" s="11">
        <v>6</v>
      </c>
      <c r="N445" s="12"/>
      <c r="O445" s="13">
        <v>1</v>
      </c>
      <c r="P445" s="10">
        <f t="shared" si="437"/>
        <v>7</v>
      </c>
      <c r="Q445" s="11">
        <v>6</v>
      </c>
      <c r="R445" s="12"/>
      <c r="S445" s="13">
        <v>1</v>
      </c>
      <c r="T445" s="48">
        <f t="shared" si="438"/>
        <v>7</v>
      </c>
      <c r="U445" s="10">
        <f t="shared" si="439"/>
        <v>14</v>
      </c>
      <c r="V445" s="57">
        <v>45870</v>
      </c>
    </row>
    <row r="446" spans="1:22" x14ac:dyDescent="0.15">
      <c r="A446" s="60" t="s">
        <v>37</v>
      </c>
      <c r="B446" s="11"/>
      <c r="C446" s="12">
        <v>1</v>
      </c>
      <c r="D446" s="13"/>
      <c r="E446" s="10">
        <f t="shared" si="434"/>
        <v>1</v>
      </c>
      <c r="F446" s="11"/>
      <c r="G446" s="12"/>
      <c r="H446" s="13"/>
      <c r="I446" s="48">
        <f t="shared" si="435"/>
        <v>0</v>
      </c>
      <c r="J446" s="10">
        <f t="shared" si="436"/>
        <v>1</v>
      </c>
      <c r="K446" s="66">
        <v>45857</v>
      </c>
      <c r="L446" s="67" t="s">
        <v>46</v>
      </c>
      <c r="M446" s="11">
        <v>15</v>
      </c>
      <c r="N446" s="12">
        <v>5</v>
      </c>
      <c r="O446" s="13">
        <v>10</v>
      </c>
      <c r="P446" s="10">
        <f t="shared" si="437"/>
        <v>30</v>
      </c>
      <c r="Q446" s="11">
        <v>5</v>
      </c>
      <c r="R446" s="12">
        <v>5</v>
      </c>
      <c r="S446" s="13">
        <v>10</v>
      </c>
      <c r="T446" s="48">
        <f t="shared" si="438"/>
        <v>20</v>
      </c>
      <c r="U446" s="10">
        <f t="shared" si="439"/>
        <v>50</v>
      </c>
      <c r="V446" s="57">
        <v>45871</v>
      </c>
    </row>
    <row r="447" spans="1:22" x14ac:dyDescent="0.15">
      <c r="A447" s="60" t="s">
        <v>37</v>
      </c>
      <c r="B447" s="11">
        <f>1+2</f>
        <v>3</v>
      </c>
      <c r="C447" s="12"/>
      <c r="D447" s="13"/>
      <c r="E447" s="10">
        <f t="shared" si="434"/>
        <v>3</v>
      </c>
      <c r="F447" s="11">
        <v>5</v>
      </c>
      <c r="G447" s="12">
        <f>1+2</f>
        <v>3</v>
      </c>
      <c r="H447" s="13"/>
      <c r="I447" s="48">
        <f t="shared" si="435"/>
        <v>8</v>
      </c>
      <c r="J447" s="10">
        <f t="shared" si="436"/>
        <v>11</v>
      </c>
      <c r="K447" s="66">
        <v>45860</v>
      </c>
      <c r="L447" s="60" t="s">
        <v>171</v>
      </c>
      <c r="M447" s="11">
        <v>4</v>
      </c>
      <c r="N447" s="12">
        <v>8</v>
      </c>
      <c r="O447" s="13"/>
      <c r="P447" s="10">
        <f t="shared" si="437"/>
        <v>12</v>
      </c>
      <c r="Q447" s="11">
        <v>4</v>
      </c>
      <c r="R447" s="12">
        <v>8</v>
      </c>
      <c r="S447" s="13"/>
      <c r="T447" s="48">
        <f t="shared" si="438"/>
        <v>12</v>
      </c>
      <c r="U447" s="10">
        <f t="shared" si="439"/>
        <v>24</v>
      </c>
      <c r="V447" s="57">
        <v>45877</v>
      </c>
    </row>
    <row r="448" spans="1:22" x14ac:dyDescent="0.15">
      <c r="A448" s="60" t="s">
        <v>37</v>
      </c>
      <c r="B448" s="11">
        <v>2</v>
      </c>
      <c r="C448" s="12"/>
      <c r="D448" s="13">
        <v>1</v>
      </c>
      <c r="E448" s="10">
        <f t="shared" si="434"/>
        <v>3</v>
      </c>
      <c r="F448" s="11">
        <v>3</v>
      </c>
      <c r="G448" s="12"/>
      <c r="H448" s="13"/>
      <c r="I448" s="48">
        <f t="shared" si="435"/>
        <v>3</v>
      </c>
      <c r="J448" s="10">
        <f t="shared" si="436"/>
        <v>6</v>
      </c>
      <c r="K448" s="66">
        <v>45861</v>
      </c>
      <c r="L448" s="67" t="s">
        <v>46</v>
      </c>
      <c r="M448" s="11">
        <v>5</v>
      </c>
      <c r="N448" s="12">
        <v>5</v>
      </c>
      <c r="O448" s="13"/>
      <c r="P448" s="10">
        <f t="shared" si="437"/>
        <v>10</v>
      </c>
      <c r="Q448" s="11">
        <v>5</v>
      </c>
      <c r="R448" s="12">
        <v>5</v>
      </c>
      <c r="S448" s="13"/>
      <c r="T448" s="48">
        <f t="shared" si="438"/>
        <v>10</v>
      </c>
      <c r="U448" s="10">
        <f t="shared" si="439"/>
        <v>20</v>
      </c>
      <c r="V448" s="57">
        <v>45877</v>
      </c>
    </row>
    <row r="449" spans="1:22" x14ac:dyDescent="0.15">
      <c r="A449" s="60" t="s">
        <v>37</v>
      </c>
      <c r="B449" s="11">
        <v>2</v>
      </c>
      <c r="C449" s="12">
        <v>1</v>
      </c>
      <c r="D449" s="13"/>
      <c r="E449" s="10">
        <f t="shared" si="434"/>
        <v>3</v>
      </c>
      <c r="F449" s="11">
        <v>1</v>
      </c>
      <c r="G449" s="12"/>
      <c r="H449" s="13"/>
      <c r="I449" s="48">
        <f t="shared" si="435"/>
        <v>1</v>
      </c>
      <c r="J449" s="10">
        <f t="shared" si="436"/>
        <v>4</v>
      </c>
      <c r="K449" s="66">
        <v>45862</v>
      </c>
      <c r="L449" s="67" t="s">
        <v>46</v>
      </c>
      <c r="M449" s="11"/>
      <c r="N449" s="12"/>
      <c r="O449" s="13">
        <v>5</v>
      </c>
      <c r="P449" s="10">
        <f t="shared" si="437"/>
        <v>5</v>
      </c>
      <c r="Q449" s="11">
        <v>10</v>
      </c>
      <c r="R449" s="12"/>
      <c r="S449" s="13"/>
      <c r="T449" s="48">
        <f t="shared" si="438"/>
        <v>10</v>
      </c>
      <c r="U449" s="10">
        <f t="shared" si="439"/>
        <v>15</v>
      </c>
      <c r="V449" s="57">
        <v>45888</v>
      </c>
    </row>
    <row r="450" spans="1:22" x14ac:dyDescent="0.15">
      <c r="A450" s="60" t="s">
        <v>37</v>
      </c>
      <c r="B450" s="11"/>
      <c r="C450" s="12">
        <v>1</v>
      </c>
      <c r="D450" s="13"/>
      <c r="E450" s="10">
        <f t="shared" ref="E450:E451" si="440">SUM(B450:D450)</f>
        <v>1</v>
      </c>
      <c r="F450" s="11"/>
      <c r="G450" s="12"/>
      <c r="H450" s="13">
        <v>1</v>
      </c>
      <c r="I450" s="48">
        <f t="shared" ref="I450:I451" si="441">SUM(F450:H450)</f>
        <v>1</v>
      </c>
      <c r="J450" s="10">
        <f t="shared" ref="J450:J451" si="442">E450+I450</f>
        <v>2</v>
      </c>
      <c r="K450" s="66">
        <v>45863</v>
      </c>
      <c r="L450" s="60" t="s">
        <v>172</v>
      </c>
      <c r="M450" s="11"/>
      <c r="N450" s="12">
        <v>4</v>
      </c>
      <c r="O450" s="13"/>
      <c r="P450" s="10">
        <f t="shared" si="437"/>
        <v>4</v>
      </c>
      <c r="Q450" s="11"/>
      <c r="R450" s="12">
        <v>4</v>
      </c>
      <c r="S450" s="13"/>
      <c r="T450" s="48">
        <f t="shared" si="438"/>
        <v>4</v>
      </c>
      <c r="U450" s="10">
        <f t="shared" si="439"/>
        <v>8</v>
      </c>
      <c r="V450" s="57">
        <v>45897</v>
      </c>
    </row>
    <row r="451" spans="1:22" x14ac:dyDescent="0.15">
      <c r="A451" s="60" t="s">
        <v>37</v>
      </c>
      <c r="B451" s="11">
        <f>2+4</f>
        <v>6</v>
      </c>
      <c r="C451" s="12">
        <v>3</v>
      </c>
      <c r="D451" s="13"/>
      <c r="E451" s="10">
        <f t="shared" si="440"/>
        <v>9</v>
      </c>
      <c r="F451" s="11">
        <f>2+2</f>
        <v>4</v>
      </c>
      <c r="G451" s="12"/>
      <c r="H451" s="13">
        <v>2</v>
      </c>
      <c r="I451" s="48">
        <f t="shared" si="441"/>
        <v>6</v>
      </c>
      <c r="J451" s="10">
        <f t="shared" si="442"/>
        <v>15</v>
      </c>
      <c r="K451" s="66">
        <v>45866</v>
      </c>
      <c r="L451" s="67" t="s">
        <v>46</v>
      </c>
      <c r="M451" s="11">
        <v>5</v>
      </c>
      <c r="N451" s="12"/>
      <c r="O451" s="13"/>
      <c r="P451" s="10">
        <f t="shared" ref="P451" si="443">SUM(M451:O451)</f>
        <v>5</v>
      </c>
      <c r="Q451" s="11">
        <v>8</v>
      </c>
      <c r="R451" s="12"/>
      <c r="S451" s="13"/>
      <c r="T451" s="48">
        <f t="shared" si="438"/>
        <v>8</v>
      </c>
      <c r="U451" s="10">
        <f t="shared" si="439"/>
        <v>13</v>
      </c>
      <c r="V451" s="57">
        <v>45891</v>
      </c>
    </row>
    <row r="452" spans="1:22" x14ac:dyDescent="0.15">
      <c r="A452" s="60" t="s">
        <v>37</v>
      </c>
      <c r="B452" s="11">
        <f>2+1</f>
        <v>3</v>
      </c>
      <c r="C452" s="12"/>
      <c r="D452" s="13">
        <v>1</v>
      </c>
      <c r="E452" s="10">
        <f t="shared" si="434"/>
        <v>4</v>
      </c>
      <c r="F452" s="11"/>
      <c r="G452" s="12">
        <f>1+2</f>
        <v>3</v>
      </c>
      <c r="H452" s="13"/>
      <c r="I452" s="48">
        <f t="shared" si="435"/>
        <v>3</v>
      </c>
      <c r="J452" s="10">
        <f t="shared" si="436"/>
        <v>7</v>
      </c>
      <c r="K452" s="66">
        <v>45867</v>
      </c>
      <c r="L452" s="67" t="s">
        <v>46</v>
      </c>
      <c r="M452" s="11"/>
      <c r="N452" s="12"/>
      <c r="O452" s="13"/>
      <c r="P452" s="10">
        <f t="shared" ref="P452" si="444">SUM(M452:O452)</f>
        <v>0</v>
      </c>
      <c r="Q452" s="11"/>
      <c r="R452" s="12">
        <v>5</v>
      </c>
      <c r="S452" s="13"/>
      <c r="T452" s="48">
        <f t="shared" si="438"/>
        <v>5</v>
      </c>
      <c r="U452" s="10">
        <f t="shared" si="439"/>
        <v>5</v>
      </c>
      <c r="V452" s="57">
        <v>45894</v>
      </c>
    </row>
    <row r="453" spans="1:22" x14ac:dyDescent="0.15">
      <c r="A453" s="60" t="s">
        <v>37</v>
      </c>
      <c r="B453" s="11">
        <f>1+1</f>
        <v>2</v>
      </c>
      <c r="C453" s="12"/>
      <c r="D453" s="13"/>
      <c r="E453" s="10">
        <f t="shared" si="434"/>
        <v>2</v>
      </c>
      <c r="F453" s="11">
        <f>1+1</f>
        <v>2</v>
      </c>
      <c r="G453" s="12"/>
      <c r="H453" s="13"/>
      <c r="I453" s="48">
        <f t="shared" si="435"/>
        <v>2</v>
      </c>
      <c r="J453" s="10">
        <f t="shared" si="436"/>
        <v>4</v>
      </c>
      <c r="K453" s="57">
        <v>45868</v>
      </c>
      <c r="L453" s="67" t="s">
        <v>46</v>
      </c>
      <c r="M453" s="11">
        <v>5</v>
      </c>
      <c r="N453" s="12">
        <v>5</v>
      </c>
      <c r="O453" s="13">
        <v>5</v>
      </c>
      <c r="P453" s="10">
        <f t="shared" ref="P453" si="445">SUM(M453:O453)</f>
        <v>15</v>
      </c>
      <c r="Q453" s="11"/>
      <c r="R453" s="12">
        <v>5</v>
      </c>
      <c r="S453" s="13">
        <v>10</v>
      </c>
      <c r="T453" s="48">
        <f t="shared" si="438"/>
        <v>15</v>
      </c>
      <c r="U453" s="10">
        <f t="shared" si="439"/>
        <v>30</v>
      </c>
      <c r="V453" s="57">
        <v>45895</v>
      </c>
    </row>
    <row r="454" spans="1:22" x14ac:dyDescent="0.15">
      <c r="A454" s="60" t="s">
        <v>171</v>
      </c>
      <c r="B454" s="11">
        <v>1</v>
      </c>
      <c r="C454" s="12">
        <v>1</v>
      </c>
      <c r="D454" s="13">
        <v>1</v>
      </c>
      <c r="E454" s="10">
        <f t="shared" si="434"/>
        <v>3</v>
      </c>
      <c r="F454" s="11">
        <v>1</v>
      </c>
      <c r="G454" s="12">
        <v>1</v>
      </c>
      <c r="H454" s="13">
        <v>1</v>
      </c>
      <c r="I454" s="48">
        <f t="shared" si="435"/>
        <v>3</v>
      </c>
      <c r="J454" s="10">
        <f t="shared" si="436"/>
        <v>6</v>
      </c>
      <c r="K454" s="57">
        <v>45870</v>
      </c>
      <c r="L454" s="60"/>
      <c r="M454" s="11"/>
      <c r="N454" s="12"/>
      <c r="O454" s="13"/>
      <c r="P454" s="10">
        <f t="shared" si="437"/>
        <v>0</v>
      </c>
      <c r="Q454" s="11"/>
      <c r="R454" s="12"/>
      <c r="S454" s="13"/>
      <c r="T454" s="48">
        <f t="shared" si="438"/>
        <v>0</v>
      </c>
      <c r="U454" s="10">
        <f t="shared" si="439"/>
        <v>0</v>
      </c>
      <c r="V454" s="56"/>
    </row>
    <row r="455" spans="1:22" x14ac:dyDescent="0.15">
      <c r="A455" s="60" t="s">
        <v>37</v>
      </c>
      <c r="B455" s="11">
        <v>1</v>
      </c>
      <c r="C455" s="12"/>
      <c r="D455" s="13"/>
      <c r="E455" s="10">
        <f t="shared" si="434"/>
        <v>1</v>
      </c>
      <c r="F455" s="11"/>
      <c r="G455" s="12">
        <v>1</v>
      </c>
      <c r="H455" s="13"/>
      <c r="I455" s="48">
        <f t="shared" si="435"/>
        <v>1</v>
      </c>
      <c r="J455" s="10">
        <f t="shared" si="436"/>
        <v>2</v>
      </c>
      <c r="K455" s="57">
        <v>45869</v>
      </c>
      <c r="L455" s="60"/>
      <c r="M455" s="11"/>
      <c r="N455" s="12"/>
      <c r="O455" s="13"/>
      <c r="P455" s="10">
        <f t="shared" si="437"/>
        <v>0</v>
      </c>
      <c r="Q455" s="11"/>
      <c r="R455" s="12"/>
      <c r="S455" s="13"/>
      <c r="T455" s="48">
        <f t="shared" si="438"/>
        <v>0</v>
      </c>
      <c r="U455" s="10">
        <f t="shared" si="439"/>
        <v>0</v>
      </c>
      <c r="V455" s="56"/>
    </row>
    <row r="456" spans="1:22" x14ac:dyDescent="0.15">
      <c r="A456" s="60" t="s">
        <v>171</v>
      </c>
      <c r="B456" s="11">
        <v>2</v>
      </c>
      <c r="C456" s="12"/>
      <c r="D456" s="13">
        <v>3</v>
      </c>
      <c r="E456" s="10">
        <f t="shared" si="434"/>
        <v>5</v>
      </c>
      <c r="F456" s="11">
        <v>2</v>
      </c>
      <c r="G456" s="12"/>
      <c r="H456" s="13">
        <v>3</v>
      </c>
      <c r="I456" s="48">
        <f t="shared" si="435"/>
        <v>5</v>
      </c>
      <c r="J456" s="10">
        <f t="shared" si="436"/>
        <v>10</v>
      </c>
      <c r="K456" s="57">
        <v>45873</v>
      </c>
      <c r="L456" s="60"/>
      <c r="M456" s="11"/>
      <c r="N456" s="12"/>
      <c r="O456" s="13"/>
      <c r="P456" s="10">
        <f t="shared" si="437"/>
        <v>0</v>
      </c>
      <c r="Q456" s="11"/>
      <c r="R456" s="12"/>
      <c r="S456" s="13"/>
      <c r="T456" s="48">
        <f t="shared" si="438"/>
        <v>0</v>
      </c>
      <c r="U456" s="10">
        <f t="shared" si="439"/>
        <v>0</v>
      </c>
      <c r="V456" s="56"/>
    </row>
    <row r="457" spans="1:22" x14ac:dyDescent="0.15">
      <c r="A457" s="60" t="s">
        <v>37</v>
      </c>
      <c r="B457" s="11"/>
      <c r="C457" s="12">
        <v>1</v>
      </c>
      <c r="D457" s="13">
        <v>1</v>
      </c>
      <c r="E457" s="10">
        <f t="shared" si="434"/>
        <v>2</v>
      </c>
      <c r="F457" s="11"/>
      <c r="G457" s="12"/>
      <c r="H457" s="13"/>
      <c r="I457" s="48">
        <f t="shared" si="435"/>
        <v>0</v>
      </c>
      <c r="J457" s="10">
        <f t="shared" si="436"/>
        <v>2</v>
      </c>
      <c r="K457" s="57">
        <v>45870</v>
      </c>
      <c r="L457" s="60"/>
      <c r="M457" s="11"/>
      <c r="N457" s="12"/>
      <c r="O457" s="13"/>
      <c r="P457" s="10">
        <f t="shared" si="437"/>
        <v>0</v>
      </c>
      <c r="Q457" s="11"/>
      <c r="R457" s="12"/>
      <c r="S457" s="13"/>
      <c r="T457" s="48">
        <f t="shared" si="438"/>
        <v>0</v>
      </c>
      <c r="U457" s="10">
        <f t="shared" si="439"/>
        <v>0</v>
      </c>
    </row>
    <row r="458" spans="1:22" x14ac:dyDescent="0.15">
      <c r="A458" s="60" t="s">
        <v>171</v>
      </c>
      <c r="B458" s="11">
        <v>3</v>
      </c>
      <c r="C458" s="12"/>
      <c r="D458" s="13">
        <v>2</v>
      </c>
      <c r="E458" s="10">
        <f t="shared" si="434"/>
        <v>5</v>
      </c>
      <c r="F458" s="11">
        <v>3</v>
      </c>
      <c r="G458" s="12"/>
      <c r="H458" s="13">
        <v>2</v>
      </c>
      <c r="I458" s="48">
        <f t="shared" si="435"/>
        <v>5</v>
      </c>
      <c r="J458" s="10">
        <f t="shared" si="436"/>
        <v>10</v>
      </c>
      <c r="K458" s="57">
        <v>45875</v>
      </c>
      <c r="L458" s="60"/>
      <c r="M458" s="11"/>
      <c r="N458" s="12"/>
      <c r="O458" s="13"/>
      <c r="P458" s="10">
        <f t="shared" si="437"/>
        <v>0</v>
      </c>
      <c r="Q458" s="11"/>
      <c r="R458" s="12"/>
      <c r="S458" s="13"/>
      <c r="T458" s="48">
        <f t="shared" si="438"/>
        <v>0</v>
      </c>
      <c r="U458" s="10">
        <f t="shared" si="439"/>
        <v>0</v>
      </c>
    </row>
    <row r="459" spans="1:22" x14ac:dyDescent="0.15">
      <c r="A459" s="60" t="s">
        <v>37</v>
      </c>
      <c r="B459" s="11">
        <f>4+1</f>
        <v>5</v>
      </c>
      <c r="C459" s="12">
        <v>1</v>
      </c>
      <c r="D459" s="13">
        <v>1</v>
      </c>
      <c r="E459" s="10">
        <f t="shared" si="434"/>
        <v>7</v>
      </c>
      <c r="F459" s="11">
        <f>1+1+3</f>
        <v>5</v>
      </c>
      <c r="G459" s="12"/>
      <c r="H459" s="13"/>
      <c r="I459" s="48">
        <f t="shared" si="435"/>
        <v>5</v>
      </c>
      <c r="J459" s="10">
        <f t="shared" si="436"/>
        <v>12</v>
      </c>
      <c r="K459" s="66">
        <v>45873</v>
      </c>
      <c r="L459" s="60"/>
      <c r="M459" s="11"/>
      <c r="N459" s="12"/>
      <c r="O459" s="13"/>
      <c r="P459" s="10">
        <f t="shared" si="437"/>
        <v>0</v>
      </c>
      <c r="Q459" s="11"/>
      <c r="R459" s="12"/>
      <c r="S459" s="13"/>
      <c r="T459" s="48">
        <f t="shared" si="438"/>
        <v>0</v>
      </c>
      <c r="U459" s="10">
        <f t="shared" si="439"/>
        <v>0</v>
      </c>
    </row>
    <row r="460" spans="1:22" x14ac:dyDescent="0.15">
      <c r="A460" s="60" t="s">
        <v>171</v>
      </c>
      <c r="B460" s="11"/>
      <c r="C460" s="12">
        <v>3</v>
      </c>
      <c r="D460" s="13"/>
      <c r="E460" s="10">
        <f t="shared" si="434"/>
        <v>3</v>
      </c>
      <c r="F460" s="11"/>
      <c r="G460" s="12">
        <v>3</v>
      </c>
      <c r="H460" s="13"/>
      <c r="I460" s="48">
        <f t="shared" si="435"/>
        <v>3</v>
      </c>
      <c r="J460" s="10">
        <f t="shared" si="436"/>
        <v>6</v>
      </c>
      <c r="K460" s="57">
        <v>45876</v>
      </c>
      <c r="L460" s="60"/>
      <c r="M460" s="11"/>
      <c r="N460" s="12"/>
      <c r="O460" s="13"/>
      <c r="P460" s="10">
        <f t="shared" si="437"/>
        <v>0</v>
      </c>
      <c r="Q460" s="11"/>
      <c r="R460" s="12"/>
      <c r="S460" s="13"/>
      <c r="T460" s="48">
        <f t="shared" si="438"/>
        <v>0</v>
      </c>
      <c r="U460" s="10">
        <f t="shared" si="439"/>
        <v>0</v>
      </c>
    </row>
    <row r="461" spans="1:22" x14ac:dyDescent="0.15">
      <c r="A461" s="60" t="s">
        <v>37</v>
      </c>
      <c r="B461" s="11">
        <v>1</v>
      </c>
      <c r="C461" s="12"/>
      <c r="D461" s="13"/>
      <c r="E461" s="10">
        <f t="shared" si="434"/>
        <v>1</v>
      </c>
      <c r="F461" s="11"/>
      <c r="G461" s="12"/>
      <c r="H461" s="13"/>
      <c r="I461" s="48">
        <f t="shared" si="435"/>
        <v>0</v>
      </c>
      <c r="J461" s="10">
        <f t="shared" si="436"/>
        <v>1</v>
      </c>
      <c r="K461" s="57">
        <v>45874</v>
      </c>
      <c r="L461" s="60"/>
      <c r="M461" s="11"/>
      <c r="N461" s="12"/>
      <c r="O461" s="13"/>
      <c r="P461" s="10">
        <f t="shared" si="437"/>
        <v>0</v>
      </c>
      <c r="Q461" s="11"/>
      <c r="R461" s="12"/>
      <c r="S461" s="13"/>
      <c r="T461" s="48">
        <f t="shared" si="438"/>
        <v>0</v>
      </c>
      <c r="U461" s="10">
        <f t="shared" si="439"/>
        <v>0</v>
      </c>
    </row>
    <row r="462" spans="1:22" x14ac:dyDescent="0.15">
      <c r="A462" s="60" t="s">
        <v>37</v>
      </c>
      <c r="B462" s="11">
        <f>1+1</f>
        <v>2</v>
      </c>
      <c r="C462" s="12">
        <v>2</v>
      </c>
      <c r="D462" s="13">
        <v>1</v>
      </c>
      <c r="E462" s="10">
        <f t="shared" si="434"/>
        <v>5</v>
      </c>
      <c r="F462" s="11">
        <v>3</v>
      </c>
      <c r="G462" s="12">
        <v>1</v>
      </c>
      <c r="H462" s="13">
        <v>1</v>
      </c>
      <c r="I462" s="48">
        <f t="shared" si="435"/>
        <v>5</v>
      </c>
      <c r="J462" s="10">
        <f t="shared" si="436"/>
        <v>10</v>
      </c>
      <c r="K462" s="57">
        <v>45875</v>
      </c>
      <c r="L462" s="60"/>
      <c r="M462" s="11"/>
      <c r="N462" s="12"/>
      <c r="O462" s="13"/>
      <c r="P462" s="10">
        <f t="shared" si="437"/>
        <v>0</v>
      </c>
      <c r="Q462" s="11"/>
      <c r="R462" s="12"/>
      <c r="S462" s="13"/>
      <c r="T462" s="48">
        <f t="shared" si="438"/>
        <v>0</v>
      </c>
      <c r="U462" s="10">
        <f t="shared" si="439"/>
        <v>0</v>
      </c>
    </row>
    <row r="463" spans="1:22" x14ac:dyDescent="0.15">
      <c r="A463" s="60" t="s">
        <v>37</v>
      </c>
      <c r="B463" s="11">
        <v>1</v>
      </c>
      <c r="C463" s="12">
        <f>1+1</f>
        <v>2</v>
      </c>
      <c r="D463" s="13"/>
      <c r="E463" s="10">
        <f t="shared" si="434"/>
        <v>3</v>
      </c>
      <c r="F463" s="11">
        <v>1</v>
      </c>
      <c r="G463" s="12"/>
      <c r="H463" s="13"/>
      <c r="I463" s="48">
        <f t="shared" si="435"/>
        <v>1</v>
      </c>
      <c r="J463" s="10">
        <f t="shared" si="436"/>
        <v>4</v>
      </c>
      <c r="K463" s="57">
        <v>45876</v>
      </c>
      <c r="L463" s="60"/>
      <c r="M463" s="11"/>
      <c r="N463" s="12"/>
      <c r="O463" s="13"/>
      <c r="P463" s="10">
        <f t="shared" si="437"/>
        <v>0</v>
      </c>
      <c r="Q463" s="11"/>
      <c r="R463" s="12"/>
      <c r="S463" s="13"/>
      <c r="T463" s="48">
        <f t="shared" si="438"/>
        <v>0</v>
      </c>
      <c r="U463" s="10">
        <f t="shared" si="439"/>
        <v>0</v>
      </c>
    </row>
    <row r="464" spans="1:22" x14ac:dyDescent="0.15">
      <c r="A464" s="60" t="s">
        <v>171</v>
      </c>
      <c r="B464" s="11">
        <v>1</v>
      </c>
      <c r="C464" s="12"/>
      <c r="D464" s="13">
        <v>2</v>
      </c>
      <c r="E464" s="10">
        <f t="shared" si="434"/>
        <v>3</v>
      </c>
      <c r="F464" s="11">
        <v>1</v>
      </c>
      <c r="G464" s="12"/>
      <c r="H464" s="13">
        <v>2</v>
      </c>
      <c r="I464" s="48">
        <f t="shared" si="435"/>
        <v>3</v>
      </c>
      <c r="J464" s="10">
        <f t="shared" si="436"/>
        <v>6</v>
      </c>
      <c r="K464" s="57">
        <v>45885</v>
      </c>
      <c r="L464" s="60"/>
      <c r="M464" s="11"/>
      <c r="N464" s="12"/>
      <c r="O464" s="13"/>
      <c r="P464" s="10">
        <f t="shared" si="437"/>
        <v>0</v>
      </c>
      <c r="Q464" s="11"/>
      <c r="R464" s="12"/>
      <c r="S464" s="13"/>
      <c r="T464" s="48">
        <f t="shared" si="438"/>
        <v>0</v>
      </c>
      <c r="U464" s="10">
        <f t="shared" si="439"/>
        <v>0</v>
      </c>
    </row>
    <row r="465" spans="1:22" x14ac:dyDescent="0.15">
      <c r="A465" s="60" t="s">
        <v>37</v>
      </c>
      <c r="B465" s="11"/>
      <c r="C465" s="12"/>
      <c r="D465" s="13"/>
      <c r="E465" s="10">
        <f t="shared" si="434"/>
        <v>0</v>
      </c>
      <c r="F465" s="11">
        <v>1</v>
      </c>
      <c r="G465" s="12"/>
      <c r="H465" s="13"/>
      <c r="I465" s="48">
        <f t="shared" si="435"/>
        <v>1</v>
      </c>
      <c r="J465" s="10">
        <f t="shared" si="436"/>
        <v>1</v>
      </c>
      <c r="K465" s="66">
        <v>45877</v>
      </c>
      <c r="L465" s="60"/>
      <c r="M465" s="11"/>
      <c r="N465" s="12"/>
      <c r="O465" s="13"/>
      <c r="P465" s="10">
        <f t="shared" ref="P465:P466" si="446">SUM(M465:O465)</f>
        <v>0</v>
      </c>
      <c r="Q465" s="11"/>
      <c r="R465" s="12"/>
      <c r="S465" s="13"/>
      <c r="T465" s="48">
        <f t="shared" ref="T465:T466" si="447">SUM(Q465:S465)</f>
        <v>0</v>
      </c>
      <c r="U465" s="10">
        <f t="shared" ref="U465:U466" si="448">P465+T465</f>
        <v>0</v>
      </c>
    </row>
    <row r="466" spans="1:22" x14ac:dyDescent="0.15">
      <c r="A466" s="60" t="s">
        <v>37</v>
      </c>
      <c r="B466" s="11">
        <v>1</v>
      </c>
      <c r="C466" s="12">
        <v>1</v>
      </c>
      <c r="D466" s="13">
        <v>1</v>
      </c>
      <c r="E466" s="10">
        <f t="shared" si="434"/>
        <v>3</v>
      </c>
      <c r="F466" s="11"/>
      <c r="G466" s="12">
        <v>1</v>
      </c>
      <c r="H466" s="13"/>
      <c r="I466" s="48">
        <f t="shared" si="435"/>
        <v>1</v>
      </c>
      <c r="J466" s="10">
        <f t="shared" si="436"/>
        <v>4</v>
      </c>
      <c r="K466" s="57">
        <v>45878</v>
      </c>
      <c r="L466" s="60"/>
      <c r="M466" s="11"/>
      <c r="N466" s="12"/>
      <c r="O466" s="13"/>
      <c r="P466" s="10">
        <f t="shared" si="446"/>
        <v>0</v>
      </c>
      <c r="Q466" s="11"/>
      <c r="R466" s="12"/>
      <c r="S466" s="13"/>
      <c r="T466" s="48">
        <f t="shared" si="447"/>
        <v>0</v>
      </c>
      <c r="U466" s="10">
        <f t="shared" si="448"/>
        <v>0</v>
      </c>
    </row>
    <row r="467" spans="1:22" x14ac:dyDescent="0.15">
      <c r="A467" s="60" t="s">
        <v>171</v>
      </c>
      <c r="B467" s="11"/>
      <c r="C467" s="12"/>
      <c r="D467" s="13">
        <v>2</v>
      </c>
      <c r="E467" s="10">
        <f t="shared" si="434"/>
        <v>2</v>
      </c>
      <c r="F467" s="11"/>
      <c r="G467" s="12"/>
      <c r="H467" s="13">
        <v>2</v>
      </c>
      <c r="I467" s="48">
        <f t="shared" si="435"/>
        <v>2</v>
      </c>
      <c r="J467" s="10">
        <f t="shared" si="436"/>
        <v>4</v>
      </c>
      <c r="K467" s="57">
        <v>45889</v>
      </c>
      <c r="L467" s="60"/>
      <c r="M467" s="11"/>
      <c r="N467" s="12"/>
      <c r="O467" s="13"/>
      <c r="P467" s="10">
        <f t="shared" ref="P467" si="449">SUM(M467:O467)</f>
        <v>0</v>
      </c>
      <c r="Q467" s="11"/>
      <c r="R467" s="12"/>
      <c r="S467" s="13"/>
      <c r="T467" s="48">
        <f t="shared" ref="T467" si="450">SUM(Q467:S467)</f>
        <v>0</v>
      </c>
      <c r="U467" s="10">
        <f t="shared" ref="U467" si="451">P467+T467</f>
        <v>0</v>
      </c>
    </row>
    <row r="468" spans="1:22" x14ac:dyDescent="0.15">
      <c r="A468" s="60" t="s">
        <v>37</v>
      </c>
      <c r="B468" s="11">
        <v>2</v>
      </c>
      <c r="C468" s="12">
        <v>1</v>
      </c>
      <c r="D468" s="13"/>
      <c r="E468" s="10">
        <f t="shared" si="434"/>
        <v>3</v>
      </c>
      <c r="F468" s="11">
        <v>8</v>
      </c>
      <c r="G468" s="12">
        <v>3</v>
      </c>
      <c r="H468" s="13"/>
      <c r="I468" s="48">
        <f t="shared" si="435"/>
        <v>11</v>
      </c>
      <c r="J468" s="10">
        <f t="shared" si="436"/>
        <v>14</v>
      </c>
      <c r="K468" s="57">
        <v>45887</v>
      </c>
      <c r="L468" s="60"/>
      <c r="M468" s="11"/>
      <c r="N468" s="12"/>
      <c r="O468" s="13"/>
      <c r="P468" s="10">
        <f t="shared" ref="P468" si="452">SUM(M468:O468)</f>
        <v>0</v>
      </c>
      <c r="Q468" s="11"/>
      <c r="R468" s="12"/>
      <c r="S468" s="13"/>
      <c r="T468" s="48">
        <f t="shared" ref="T468" si="453">SUM(Q468:S468)</f>
        <v>0</v>
      </c>
      <c r="U468" s="10">
        <f t="shared" ref="U468" si="454">P468+T468</f>
        <v>0</v>
      </c>
    </row>
    <row r="469" spans="1:22" ht="14.25" thickBot="1" x14ac:dyDescent="0.2">
      <c r="A469" s="60" t="s">
        <v>171</v>
      </c>
      <c r="B469" s="11"/>
      <c r="C469" s="12">
        <v>1</v>
      </c>
      <c r="D469" s="13">
        <v>2</v>
      </c>
      <c r="E469" s="10">
        <f t="shared" si="434"/>
        <v>3</v>
      </c>
      <c r="F469" s="11"/>
      <c r="G469" s="12">
        <v>1</v>
      </c>
      <c r="H469" s="13">
        <v>2</v>
      </c>
      <c r="I469" s="48">
        <f t="shared" si="435"/>
        <v>3</v>
      </c>
      <c r="J469" s="10">
        <f t="shared" si="436"/>
        <v>6</v>
      </c>
      <c r="K469" s="57">
        <v>45890</v>
      </c>
      <c r="L469" s="60" t="s">
        <v>145</v>
      </c>
      <c r="M469" s="11"/>
      <c r="N469" s="12"/>
      <c r="O469" s="13"/>
      <c r="P469" s="10">
        <f t="shared" ref="P469" si="455">SUM(M469:O469)</f>
        <v>0</v>
      </c>
      <c r="Q469" s="11"/>
      <c r="R469" s="12"/>
      <c r="S469" s="13"/>
      <c r="T469" s="48">
        <f t="shared" ref="T469" si="456">SUM(Q469:S469)</f>
        <v>0</v>
      </c>
      <c r="U469" s="10">
        <f t="shared" ref="U469" si="457">P469+T469</f>
        <v>0</v>
      </c>
      <c r="V469" s="56" t="s">
        <v>146</v>
      </c>
    </row>
    <row r="470" spans="1:22" ht="14.25" thickBot="1" x14ac:dyDescent="0.2">
      <c r="A470" s="29" t="s">
        <v>17</v>
      </c>
      <c r="B470" s="30">
        <f>SUM(B444:B469)</f>
        <v>40</v>
      </c>
      <c r="C470" s="31">
        <f>SUM(C444:C469)</f>
        <v>19</v>
      </c>
      <c r="D470" s="32">
        <f>SUM(D444:D469)</f>
        <v>18</v>
      </c>
      <c r="E470" s="33">
        <f>SUM(B470:D470)</f>
        <v>77</v>
      </c>
      <c r="F470" s="30">
        <f>SUM(F444:F469)</f>
        <v>44</v>
      </c>
      <c r="G470" s="31">
        <f>SUM(G444:G469)</f>
        <v>18</v>
      </c>
      <c r="H470" s="32">
        <f>SUM(H444:H469)</f>
        <v>17</v>
      </c>
      <c r="I470" s="33">
        <f>SUM(F470:H470)</f>
        <v>79</v>
      </c>
      <c r="J470" s="34">
        <f t="shared" si="436"/>
        <v>156</v>
      </c>
      <c r="L470" s="29" t="s">
        <v>17</v>
      </c>
      <c r="M470" s="30">
        <f>SUM(M444:M469)</f>
        <v>42</v>
      </c>
      <c r="N470" s="31">
        <f>SUM(N444:N469)</f>
        <v>27</v>
      </c>
      <c r="O470" s="32">
        <f>SUM(O444:O469)</f>
        <v>21</v>
      </c>
      <c r="P470" s="33">
        <f>SUM(M470:O470)</f>
        <v>90</v>
      </c>
      <c r="Q470" s="30">
        <f>SUM(Q444:Q469)</f>
        <v>38</v>
      </c>
      <c r="R470" s="31">
        <f>SUM(R444:R469)</f>
        <v>32</v>
      </c>
      <c r="S470" s="32">
        <f>SUM(S444:S469)</f>
        <v>21</v>
      </c>
      <c r="T470" s="33">
        <f>SUM(Q470:S470)</f>
        <v>91</v>
      </c>
      <c r="U470" s="34">
        <f t="shared" si="439"/>
        <v>181</v>
      </c>
    </row>
    <row r="471" spans="1:22" ht="14.25" thickBot="1" x14ac:dyDescent="0.2">
      <c r="A471" s="18" t="s">
        <v>18</v>
      </c>
      <c r="B471" s="44">
        <f>B443-B470</f>
        <v>9</v>
      </c>
      <c r="C471" s="45">
        <f t="shared" ref="C471:E471" si="458">C443-C470</f>
        <v>9</v>
      </c>
      <c r="D471" s="46">
        <f t="shared" si="458"/>
        <v>8</v>
      </c>
      <c r="E471" s="46">
        <f t="shared" si="458"/>
        <v>26</v>
      </c>
      <c r="F471" s="44">
        <f>F443-F470</f>
        <v>10</v>
      </c>
      <c r="G471" s="45">
        <f t="shared" ref="G471:I471" si="459">G443-G470</f>
        <v>8</v>
      </c>
      <c r="H471" s="46">
        <f t="shared" si="459"/>
        <v>6</v>
      </c>
      <c r="I471" s="46">
        <f t="shared" si="459"/>
        <v>24</v>
      </c>
      <c r="J471" s="24">
        <f t="shared" si="436"/>
        <v>50</v>
      </c>
      <c r="L471" s="18" t="s">
        <v>18</v>
      </c>
      <c r="M471" s="44">
        <f>M443-M470</f>
        <v>266</v>
      </c>
      <c r="N471" s="45">
        <f t="shared" ref="N471:P471" si="460">N443-N470</f>
        <v>366</v>
      </c>
      <c r="O471" s="46">
        <f t="shared" si="460"/>
        <v>228</v>
      </c>
      <c r="P471" s="46">
        <f t="shared" si="460"/>
        <v>860</v>
      </c>
      <c r="Q471" s="44">
        <f>Q443-Q470</f>
        <v>566</v>
      </c>
      <c r="R471" s="45">
        <f t="shared" ref="R471:T471" si="461">R443-R470</f>
        <v>601</v>
      </c>
      <c r="S471" s="46">
        <f t="shared" si="461"/>
        <v>347</v>
      </c>
      <c r="T471" s="46">
        <f t="shared" si="461"/>
        <v>1514</v>
      </c>
      <c r="U471" s="24">
        <f t="shared" si="439"/>
        <v>2374</v>
      </c>
    </row>
    <row r="472" spans="1:22" x14ac:dyDescent="0.15">
      <c r="L472" s="79" t="s">
        <v>135</v>
      </c>
      <c r="M472" s="76">
        <f>M471/$P$471*100</f>
        <v>30.930232558139537</v>
      </c>
      <c r="N472" s="76">
        <f t="shared" ref="N472:P472" si="462">N471/$P$471*100</f>
        <v>42.558139534883722</v>
      </c>
      <c r="O472" s="76">
        <f t="shared" si="462"/>
        <v>26.511627906976742</v>
      </c>
      <c r="P472" s="76">
        <f t="shared" si="462"/>
        <v>100</v>
      </c>
      <c r="Q472" s="76">
        <f>Q471/$T$471*100</f>
        <v>37.384412153236454</v>
      </c>
      <c r="R472" s="76">
        <f t="shared" ref="R472:T472" si="463">R471/$T$471*100</f>
        <v>39.696169088507268</v>
      </c>
      <c r="S472" s="76">
        <f t="shared" si="463"/>
        <v>22.919418758256274</v>
      </c>
      <c r="T472" s="76">
        <f t="shared" si="463"/>
        <v>100</v>
      </c>
    </row>
    <row r="473" spans="1:22" x14ac:dyDescent="0.15">
      <c r="L473" s="80" t="s">
        <v>134</v>
      </c>
      <c r="M473" s="77">
        <v>45.5</v>
      </c>
      <c r="N473" s="77">
        <v>33.4</v>
      </c>
      <c r="O473" s="77">
        <v>21.2</v>
      </c>
      <c r="P473" s="77">
        <v>100</v>
      </c>
      <c r="Q473" s="77">
        <v>45.9</v>
      </c>
      <c r="R473" s="77">
        <v>32.9</v>
      </c>
      <c r="S473" s="77">
        <v>21.2</v>
      </c>
      <c r="T473" s="77">
        <v>100</v>
      </c>
    </row>
    <row r="474" spans="1:22" ht="19.5" thickBot="1" x14ac:dyDescent="0.25">
      <c r="A474" s="2" t="s">
        <v>24</v>
      </c>
      <c r="B474" s="1"/>
      <c r="C474" s="1"/>
      <c r="D474" s="1"/>
      <c r="E474" s="1"/>
      <c r="F474" s="1" t="s">
        <v>39</v>
      </c>
      <c r="G474" s="1"/>
      <c r="H474" s="1"/>
      <c r="I474" s="1"/>
      <c r="J474" s="1"/>
      <c r="L474" s="2" t="s">
        <v>23</v>
      </c>
      <c r="M474" s="1"/>
      <c r="N474" s="1"/>
      <c r="O474" s="1"/>
      <c r="P474" s="63" t="s">
        <v>35</v>
      </c>
      <c r="Q474" s="1"/>
      <c r="R474" s="1" t="s">
        <v>39</v>
      </c>
      <c r="S474" s="1"/>
      <c r="T474" s="1"/>
      <c r="U474" s="1"/>
    </row>
    <row r="475" spans="1:22" ht="14.25" thickBot="1" x14ac:dyDescent="0.2">
      <c r="A475" s="6" t="s">
        <v>0</v>
      </c>
      <c r="B475" s="128" t="s">
        <v>21</v>
      </c>
      <c r="C475" s="129"/>
      <c r="D475" s="129"/>
      <c r="E475" s="130"/>
      <c r="F475" s="125" t="s">
        <v>19</v>
      </c>
      <c r="G475" s="126"/>
      <c r="H475" s="126"/>
      <c r="I475" s="127"/>
      <c r="J475" s="131" t="s">
        <v>1</v>
      </c>
      <c r="L475" s="6" t="s">
        <v>0</v>
      </c>
      <c r="M475" s="128" t="s">
        <v>21</v>
      </c>
      <c r="N475" s="129"/>
      <c r="O475" s="129"/>
      <c r="P475" s="130"/>
      <c r="Q475" s="125" t="s">
        <v>19</v>
      </c>
      <c r="R475" s="126"/>
      <c r="S475" s="126"/>
      <c r="T475" s="127"/>
      <c r="U475" s="131" t="s">
        <v>1</v>
      </c>
    </row>
    <row r="476" spans="1:22" ht="14.25" thickBot="1" x14ac:dyDescent="0.2">
      <c r="A476" s="6" t="s">
        <v>2</v>
      </c>
      <c r="B476" s="3" t="s">
        <v>3</v>
      </c>
      <c r="C476" s="4" t="s">
        <v>4</v>
      </c>
      <c r="D476" s="5" t="s">
        <v>5</v>
      </c>
      <c r="E476" s="6" t="s">
        <v>6</v>
      </c>
      <c r="F476" s="3" t="s">
        <v>3</v>
      </c>
      <c r="G476" s="4" t="s">
        <v>4</v>
      </c>
      <c r="H476" s="5" t="s">
        <v>5</v>
      </c>
      <c r="I476" s="6" t="s">
        <v>6</v>
      </c>
      <c r="J476" s="132"/>
      <c r="L476" s="6" t="s">
        <v>2</v>
      </c>
      <c r="M476" s="50" t="s">
        <v>3</v>
      </c>
      <c r="N476" s="51" t="s">
        <v>4</v>
      </c>
      <c r="O476" s="52" t="s">
        <v>5</v>
      </c>
      <c r="P476" s="6" t="s">
        <v>6</v>
      </c>
      <c r="Q476" s="3" t="s">
        <v>3</v>
      </c>
      <c r="R476" s="4" t="s">
        <v>4</v>
      </c>
      <c r="S476" s="5" t="s">
        <v>5</v>
      </c>
      <c r="T476" s="6" t="s">
        <v>6</v>
      </c>
      <c r="U476" s="132"/>
    </row>
    <row r="477" spans="1:22" ht="14.25" thickBot="1" x14ac:dyDescent="0.2">
      <c r="A477" s="20" t="s">
        <v>18</v>
      </c>
      <c r="B477" s="21">
        <f>B471</f>
        <v>9</v>
      </c>
      <c r="C477" s="22">
        <f t="shared" ref="C477:D477" si="464">C471</f>
        <v>9</v>
      </c>
      <c r="D477" s="38">
        <f t="shared" si="464"/>
        <v>8</v>
      </c>
      <c r="E477" s="24">
        <f t="shared" ref="E477:E485" si="465">SUM(B477:D477)</f>
        <v>26</v>
      </c>
      <c r="F477" s="21">
        <f>F471</f>
        <v>10</v>
      </c>
      <c r="G477" s="22">
        <f t="shared" ref="G477:H477" si="466">G471</f>
        <v>8</v>
      </c>
      <c r="H477" s="38">
        <f t="shared" si="466"/>
        <v>6</v>
      </c>
      <c r="I477" s="24">
        <f t="shared" ref="I477:I485" si="467">SUM(F477:H477)</f>
        <v>24</v>
      </c>
      <c r="J477" s="24">
        <f>E477+I477</f>
        <v>50</v>
      </c>
      <c r="L477" s="20" t="s">
        <v>18</v>
      </c>
      <c r="M477" s="21">
        <f>M471</f>
        <v>266</v>
      </c>
      <c r="N477" s="22">
        <f t="shared" ref="N477:O477" si="468">N471</f>
        <v>366</v>
      </c>
      <c r="O477" s="38">
        <f t="shared" si="468"/>
        <v>228</v>
      </c>
      <c r="P477" s="73">
        <f t="shared" ref="P477:P485" si="469">SUM(M477:O477)</f>
        <v>860</v>
      </c>
      <c r="Q477" s="21">
        <f>Q471</f>
        <v>566</v>
      </c>
      <c r="R477" s="22">
        <f t="shared" ref="R477:S477" si="470">R471</f>
        <v>601</v>
      </c>
      <c r="S477" s="38">
        <f t="shared" si="470"/>
        <v>347</v>
      </c>
      <c r="T477" s="24">
        <f t="shared" ref="T477:T485" si="471">SUM(Q477:S477)</f>
        <v>1514</v>
      </c>
      <c r="U477" s="24">
        <f>P477+T477</f>
        <v>2374</v>
      </c>
    </row>
    <row r="478" spans="1:22" x14ac:dyDescent="0.15">
      <c r="A478" s="19" t="s">
        <v>76</v>
      </c>
      <c r="B478" s="7">
        <v>0</v>
      </c>
      <c r="C478" s="8">
        <v>0</v>
      </c>
      <c r="D478" s="35">
        <v>-2</v>
      </c>
      <c r="E478" s="10">
        <f t="shared" si="465"/>
        <v>-2</v>
      </c>
      <c r="F478" s="7">
        <v>0</v>
      </c>
      <c r="G478" s="8">
        <v>-2</v>
      </c>
      <c r="H478" s="35">
        <v>1</v>
      </c>
      <c r="I478" s="48">
        <f t="shared" si="467"/>
        <v>-1</v>
      </c>
      <c r="J478" s="10">
        <f t="shared" ref="J478:J485" si="472">E478+I478</f>
        <v>-3</v>
      </c>
      <c r="K478" s="66">
        <v>45890</v>
      </c>
      <c r="L478" s="19" t="s">
        <v>8</v>
      </c>
      <c r="M478" s="7"/>
      <c r="N478" s="8"/>
      <c r="O478" s="35"/>
      <c r="P478" s="10">
        <f t="shared" si="469"/>
        <v>0</v>
      </c>
      <c r="Q478" s="7"/>
      <c r="R478" s="8"/>
      <c r="S478" s="35"/>
      <c r="T478" s="48">
        <f t="shared" si="471"/>
        <v>0</v>
      </c>
      <c r="U478" s="10">
        <f t="shared" ref="U478:U485" si="473">P478+T478</f>
        <v>0</v>
      </c>
    </row>
    <row r="479" spans="1:22" x14ac:dyDescent="0.15">
      <c r="A479" s="19" t="s">
        <v>9</v>
      </c>
      <c r="B479" s="7">
        <v>5</v>
      </c>
      <c r="C479" s="8"/>
      <c r="D479" s="35"/>
      <c r="E479" s="10">
        <f t="shared" si="465"/>
        <v>5</v>
      </c>
      <c r="F479" s="7">
        <v>8</v>
      </c>
      <c r="G479" s="8"/>
      <c r="H479" s="35"/>
      <c r="I479" s="48">
        <f t="shared" si="467"/>
        <v>8</v>
      </c>
      <c r="J479" s="10">
        <f t="shared" si="472"/>
        <v>13</v>
      </c>
      <c r="K479" s="57">
        <v>45891</v>
      </c>
      <c r="L479" s="19" t="s">
        <v>173</v>
      </c>
      <c r="M479" s="7">
        <v>24</v>
      </c>
      <c r="N479" s="8">
        <v>38</v>
      </c>
      <c r="O479" s="35">
        <v>7</v>
      </c>
      <c r="P479" s="10">
        <f t="shared" si="469"/>
        <v>69</v>
      </c>
      <c r="Q479" s="7">
        <v>18</v>
      </c>
      <c r="R479" s="8">
        <v>51</v>
      </c>
      <c r="S479" s="35">
        <v>13</v>
      </c>
      <c r="T479" s="48">
        <f t="shared" si="471"/>
        <v>82</v>
      </c>
      <c r="U479" s="10">
        <f t="shared" si="473"/>
        <v>151</v>
      </c>
      <c r="V479" s="57">
        <v>45905</v>
      </c>
    </row>
    <row r="480" spans="1:22" x14ac:dyDescent="0.15">
      <c r="A480" s="19" t="s">
        <v>10</v>
      </c>
      <c r="B480" s="7"/>
      <c r="C480" s="8"/>
      <c r="D480" s="35"/>
      <c r="E480" s="10">
        <f t="shared" si="465"/>
        <v>0</v>
      </c>
      <c r="F480" s="7"/>
      <c r="G480" s="8">
        <v>5</v>
      </c>
      <c r="H480" s="35"/>
      <c r="I480" s="48">
        <f t="shared" si="467"/>
        <v>5</v>
      </c>
      <c r="J480" s="10">
        <f t="shared" si="472"/>
        <v>5</v>
      </c>
      <c r="K480" s="57">
        <v>45894</v>
      </c>
      <c r="L480" s="19" t="s">
        <v>10</v>
      </c>
      <c r="M480" s="7"/>
      <c r="N480" s="8"/>
      <c r="O480" s="35"/>
      <c r="P480" s="10">
        <f t="shared" ref="P480" si="474">SUM(M480:O480)</f>
        <v>0</v>
      </c>
      <c r="Q480" s="7"/>
      <c r="R480" s="8"/>
      <c r="S480" s="35"/>
      <c r="T480" s="48">
        <f t="shared" ref="T480" si="475">SUM(Q480:S480)</f>
        <v>0</v>
      </c>
      <c r="U480" s="10">
        <f t="shared" ref="U480" si="476">P480+T480</f>
        <v>0</v>
      </c>
      <c r="V480" s="56"/>
    </row>
    <row r="481" spans="1:23" x14ac:dyDescent="0.15">
      <c r="A481" s="19" t="s">
        <v>11</v>
      </c>
      <c r="B481" s="7">
        <v>5</v>
      </c>
      <c r="C481" s="8">
        <v>5</v>
      </c>
      <c r="D481" s="35">
        <v>5</v>
      </c>
      <c r="E481" s="10">
        <f t="shared" si="465"/>
        <v>15</v>
      </c>
      <c r="F481" s="7"/>
      <c r="G481" s="8">
        <v>5</v>
      </c>
      <c r="H481" s="35">
        <v>10</v>
      </c>
      <c r="I481" s="48">
        <f t="shared" si="467"/>
        <v>15</v>
      </c>
      <c r="J481" s="10">
        <f t="shared" si="472"/>
        <v>30</v>
      </c>
      <c r="K481" s="57">
        <v>45895</v>
      </c>
      <c r="L481" s="19" t="s">
        <v>11</v>
      </c>
      <c r="M481" s="7"/>
      <c r="N481" s="8"/>
      <c r="O481" s="35"/>
      <c r="P481" s="10">
        <f t="shared" si="469"/>
        <v>0</v>
      </c>
      <c r="Q481" s="7"/>
      <c r="R481" s="8"/>
      <c r="S481" s="35"/>
      <c r="T481" s="48">
        <f t="shared" si="471"/>
        <v>0</v>
      </c>
      <c r="U481" s="10">
        <f t="shared" si="473"/>
        <v>0</v>
      </c>
    </row>
    <row r="482" spans="1:23" x14ac:dyDescent="0.15">
      <c r="A482" s="19" t="s">
        <v>59</v>
      </c>
      <c r="B482" s="7">
        <v>1</v>
      </c>
      <c r="C482" s="8">
        <v>1</v>
      </c>
      <c r="D482" s="35"/>
      <c r="E482" s="10">
        <f t="shared" si="465"/>
        <v>2</v>
      </c>
      <c r="F482" s="7">
        <v>1</v>
      </c>
      <c r="G482" s="8">
        <v>1</v>
      </c>
      <c r="H482" s="35"/>
      <c r="I482" s="48">
        <f t="shared" si="467"/>
        <v>2</v>
      </c>
      <c r="J482" s="10">
        <f t="shared" si="472"/>
        <v>4</v>
      </c>
      <c r="K482" s="57">
        <v>45895</v>
      </c>
      <c r="L482" s="19" t="s">
        <v>12</v>
      </c>
      <c r="M482" s="7"/>
      <c r="N482" s="8"/>
      <c r="O482" s="35"/>
      <c r="P482" s="10">
        <f t="shared" si="469"/>
        <v>0</v>
      </c>
      <c r="Q482" s="7"/>
      <c r="R482" s="8"/>
      <c r="S482" s="35"/>
      <c r="T482" s="48">
        <f t="shared" si="471"/>
        <v>0</v>
      </c>
      <c r="U482" s="10">
        <f t="shared" si="473"/>
        <v>0</v>
      </c>
    </row>
    <row r="483" spans="1:23" x14ac:dyDescent="0.15">
      <c r="A483" s="19" t="s">
        <v>123</v>
      </c>
      <c r="B483" s="7">
        <f>2+2</f>
        <v>4</v>
      </c>
      <c r="C483" s="8">
        <v>1</v>
      </c>
      <c r="D483" s="35">
        <v>1</v>
      </c>
      <c r="E483" s="10">
        <f t="shared" si="465"/>
        <v>6</v>
      </c>
      <c r="F483" s="7"/>
      <c r="G483" s="8">
        <v>1</v>
      </c>
      <c r="H483" s="35">
        <v>1</v>
      </c>
      <c r="I483" s="48">
        <f t="shared" si="467"/>
        <v>2</v>
      </c>
      <c r="J483" s="10">
        <f t="shared" si="472"/>
        <v>8</v>
      </c>
      <c r="K483" s="66">
        <v>45899</v>
      </c>
      <c r="L483" s="19" t="s">
        <v>13</v>
      </c>
      <c r="M483" s="7"/>
      <c r="N483" s="8"/>
      <c r="O483" s="35"/>
      <c r="P483" s="10">
        <f t="shared" si="469"/>
        <v>0</v>
      </c>
      <c r="Q483" s="7"/>
      <c r="R483" s="8"/>
      <c r="S483" s="35"/>
      <c r="T483" s="48">
        <f t="shared" si="471"/>
        <v>0</v>
      </c>
      <c r="U483" s="10">
        <f t="shared" si="473"/>
        <v>0</v>
      </c>
    </row>
    <row r="484" spans="1:23" x14ac:dyDescent="0.15">
      <c r="A484" s="19" t="s">
        <v>14</v>
      </c>
      <c r="B484" s="11"/>
      <c r="C484" s="12"/>
      <c r="D484" s="36"/>
      <c r="E484" s="10">
        <f t="shared" si="465"/>
        <v>0</v>
      </c>
      <c r="F484" s="11">
        <v>5</v>
      </c>
      <c r="G484" s="12"/>
      <c r="H484" s="36">
        <v>5</v>
      </c>
      <c r="I484" s="48">
        <f t="shared" si="467"/>
        <v>10</v>
      </c>
      <c r="J484" s="10">
        <f t="shared" si="472"/>
        <v>10</v>
      </c>
      <c r="K484" s="57">
        <v>45902</v>
      </c>
      <c r="L484" s="19" t="s">
        <v>14</v>
      </c>
      <c r="M484" s="11"/>
      <c r="N484" s="12"/>
      <c r="O484" s="36"/>
      <c r="P484" s="10">
        <f t="shared" si="469"/>
        <v>0</v>
      </c>
      <c r="Q484" s="11"/>
      <c r="R484" s="12"/>
      <c r="S484" s="36"/>
      <c r="T484" s="48">
        <f t="shared" si="471"/>
        <v>0</v>
      </c>
      <c r="U484" s="10">
        <f t="shared" si="473"/>
        <v>0</v>
      </c>
    </row>
    <row r="485" spans="1:23" ht="14.25" thickBot="1" x14ac:dyDescent="0.2">
      <c r="A485" s="19" t="s">
        <v>15</v>
      </c>
      <c r="B485" s="25">
        <v>5</v>
      </c>
      <c r="C485" s="26">
        <v>5</v>
      </c>
      <c r="D485" s="37"/>
      <c r="E485" s="10">
        <f t="shared" si="465"/>
        <v>10</v>
      </c>
      <c r="F485" s="25">
        <v>10</v>
      </c>
      <c r="G485" s="26"/>
      <c r="H485" s="37"/>
      <c r="I485" s="48">
        <f t="shared" si="467"/>
        <v>10</v>
      </c>
      <c r="J485" s="17">
        <f t="shared" si="472"/>
        <v>20</v>
      </c>
      <c r="K485" s="57">
        <v>45903</v>
      </c>
      <c r="L485" s="19" t="s">
        <v>15</v>
      </c>
      <c r="M485" s="25"/>
      <c r="N485" s="26"/>
      <c r="O485" s="37"/>
      <c r="P485" s="10">
        <f t="shared" si="469"/>
        <v>0</v>
      </c>
      <c r="Q485" s="25"/>
      <c r="R485" s="26"/>
      <c r="S485" s="37"/>
      <c r="T485" s="48">
        <f t="shared" si="471"/>
        <v>0</v>
      </c>
      <c r="U485" s="17">
        <f t="shared" si="473"/>
        <v>0</v>
      </c>
    </row>
    <row r="486" spans="1:23" ht="14.25" thickBot="1" x14ac:dyDescent="0.2">
      <c r="A486" s="27" t="s">
        <v>16</v>
      </c>
      <c r="B486" s="21">
        <f>SUM(B477:B485)</f>
        <v>29</v>
      </c>
      <c r="C486" s="22">
        <f t="shared" ref="C486:J486" si="477">SUM(C477:C485)</f>
        <v>21</v>
      </c>
      <c r="D486" s="38">
        <f t="shared" si="477"/>
        <v>12</v>
      </c>
      <c r="E486" s="54">
        <f t="shared" si="477"/>
        <v>62</v>
      </c>
      <c r="F486" s="21">
        <f t="shared" si="477"/>
        <v>34</v>
      </c>
      <c r="G486" s="22">
        <f t="shared" si="477"/>
        <v>18</v>
      </c>
      <c r="H486" s="38">
        <f t="shared" si="477"/>
        <v>23</v>
      </c>
      <c r="I486" s="53">
        <f t="shared" si="477"/>
        <v>75</v>
      </c>
      <c r="J486" s="24">
        <f t="shared" si="477"/>
        <v>137</v>
      </c>
      <c r="L486" s="27" t="s">
        <v>16</v>
      </c>
      <c r="M486" s="21">
        <f>SUM(M477:M485)</f>
        <v>290</v>
      </c>
      <c r="N486" s="22">
        <f t="shared" ref="N486:U486" si="478">SUM(N477:N485)</f>
        <v>404</v>
      </c>
      <c r="O486" s="38">
        <f t="shared" si="478"/>
        <v>235</v>
      </c>
      <c r="P486" s="54">
        <f t="shared" si="478"/>
        <v>929</v>
      </c>
      <c r="Q486" s="21">
        <f t="shared" si="478"/>
        <v>584</v>
      </c>
      <c r="R486" s="22">
        <f t="shared" si="478"/>
        <v>652</v>
      </c>
      <c r="S486" s="38">
        <f t="shared" si="478"/>
        <v>360</v>
      </c>
      <c r="T486" s="53">
        <f t="shared" si="478"/>
        <v>1596</v>
      </c>
      <c r="U486" s="24">
        <f t="shared" si="478"/>
        <v>2525</v>
      </c>
    </row>
    <row r="487" spans="1:23" x14ac:dyDescent="0.15">
      <c r="A487" s="60" t="s">
        <v>37</v>
      </c>
      <c r="B487" s="11"/>
      <c r="C487" s="12"/>
      <c r="D487" s="13"/>
      <c r="E487" s="10">
        <f t="shared" ref="E487:E512" si="479">SUM(B487:D487)</f>
        <v>0</v>
      </c>
      <c r="F487" s="11">
        <v>1</v>
      </c>
      <c r="G487" s="12"/>
      <c r="H487" s="13"/>
      <c r="I487" s="48">
        <f t="shared" ref="I487:I512" si="480">SUM(F487:H487)</f>
        <v>1</v>
      </c>
      <c r="J487" s="10">
        <f t="shared" ref="J487:J514" si="481">E487+I487</f>
        <v>1</v>
      </c>
      <c r="K487" s="66">
        <v>45888</v>
      </c>
      <c r="L487" s="60" t="s">
        <v>174</v>
      </c>
      <c r="M487" s="11"/>
      <c r="N487" s="12"/>
      <c r="O487" s="13">
        <v>4</v>
      </c>
      <c r="P487" s="10">
        <f t="shared" ref="P487:P510" si="482">SUM(M487:O487)</f>
        <v>4</v>
      </c>
      <c r="Q487" s="11"/>
      <c r="R487" s="12"/>
      <c r="S487" s="13"/>
      <c r="T487" s="48">
        <f t="shared" ref="T487:T510" si="483">SUM(Q487:S487)</f>
        <v>0</v>
      </c>
      <c r="U487" s="10">
        <f t="shared" ref="U487:U514" si="484">P487+T487</f>
        <v>4</v>
      </c>
      <c r="V487" s="57">
        <v>45902</v>
      </c>
    </row>
    <row r="488" spans="1:23" x14ac:dyDescent="0.15">
      <c r="A488" s="60" t="s">
        <v>171</v>
      </c>
      <c r="B488" s="11"/>
      <c r="C488" s="12">
        <v>1</v>
      </c>
      <c r="D488" s="13"/>
      <c r="E488" s="10">
        <f t="shared" si="479"/>
        <v>1</v>
      </c>
      <c r="F488" s="11"/>
      <c r="G488" s="12">
        <v>1</v>
      </c>
      <c r="H488" s="13"/>
      <c r="I488" s="48">
        <f t="shared" si="480"/>
        <v>1</v>
      </c>
      <c r="J488" s="10">
        <f t="shared" si="481"/>
        <v>2</v>
      </c>
      <c r="K488" s="57">
        <v>45891</v>
      </c>
      <c r="L488" s="67" t="s">
        <v>46</v>
      </c>
      <c r="M488" s="11"/>
      <c r="N488" s="12"/>
      <c r="O488" s="13"/>
      <c r="P488" s="10">
        <f t="shared" ref="P488" si="485">SUM(M488:O488)</f>
        <v>0</v>
      </c>
      <c r="Q488" s="11">
        <v>5</v>
      </c>
      <c r="R488" s="12"/>
      <c r="S488" s="13">
        <v>5</v>
      </c>
      <c r="T488" s="48">
        <f t="shared" si="483"/>
        <v>10</v>
      </c>
      <c r="U488" s="10">
        <f t="shared" si="484"/>
        <v>10</v>
      </c>
      <c r="V488" s="57">
        <v>45902</v>
      </c>
      <c r="W488" s="39"/>
    </row>
    <row r="489" spans="1:23" x14ac:dyDescent="0.15">
      <c r="A489" s="60" t="s">
        <v>37</v>
      </c>
      <c r="B489" s="11">
        <v>1</v>
      </c>
      <c r="C489" s="12">
        <v>1</v>
      </c>
      <c r="D489" s="13"/>
      <c r="E489" s="10">
        <f t="shared" si="479"/>
        <v>2</v>
      </c>
      <c r="F489" s="11">
        <v>1</v>
      </c>
      <c r="G489" s="12">
        <v>1</v>
      </c>
      <c r="H489" s="13">
        <v>1</v>
      </c>
      <c r="I489" s="48">
        <f t="shared" si="480"/>
        <v>3</v>
      </c>
      <c r="J489" s="10">
        <f t="shared" si="481"/>
        <v>5</v>
      </c>
      <c r="K489" s="57">
        <v>45889</v>
      </c>
      <c r="L489" s="67" t="s">
        <v>46</v>
      </c>
      <c r="M489" s="11">
        <v>5</v>
      </c>
      <c r="N489" s="12">
        <v>5</v>
      </c>
      <c r="O489" s="13"/>
      <c r="P489" s="10">
        <f t="shared" ref="P489" si="486">SUM(M489:O489)</f>
        <v>10</v>
      </c>
      <c r="Q489" s="11">
        <v>10</v>
      </c>
      <c r="R489" s="12"/>
      <c r="S489" s="13"/>
      <c r="T489" s="48">
        <f t="shared" si="483"/>
        <v>10</v>
      </c>
      <c r="U489" s="10">
        <f t="shared" si="484"/>
        <v>20</v>
      </c>
      <c r="V489" s="57">
        <v>45903</v>
      </c>
      <c r="W489" s="39"/>
    </row>
    <row r="490" spans="1:23" x14ac:dyDescent="0.15">
      <c r="A490" s="60" t="s">
        <v>171</v>
      </c>
      <c r="B490" s="11">
        <v>2</v>
      </c>
      <c r="C490" s="12">
        <v>1</v>
      </c>
      <c r="D490" s="13"/>
      <c r="E490" s="10">
        <f t="shared" si="479"/>
        <v>3</v>
      </c>
      <c r="F490" s="11">
        <v>2</v>
      </c>
      <c r="G490" s="12">
        <v>1</v>
      </c>
      <c r="H490" s="13"/>
      <c r="I490" s="48">
        <f t="shared" si="480"/>
        <v>3</v>
      </c>
      <c r="J490" s="10">
        <f t="shared" si="481"/>
        <v>6</v>
      </c>
      <c r="K490" s="57">
        <v>45891</v>
      </c>
      <c r="L490" s="60"/>
      <c r="M490" s="11"/>
      <c r="N490" s="12"/>
      <c r="O490" s="13"/>
      <c r="P490" s="10">
        <f t="shared" si="482"/>
        <v>0</v>
      </c>
      <c r="Q490" s="11"/>
      <c r="R490" s="12"/>
      <c r="S490" s="13"/>
      <c r="T490" s="48">
        <f t="shared" si="483"/>
        <v>0</v>
      </c>
      <c r="U490" s="10">
        <f t="shared" si="484"/>
        <v>0</v>
      </c>
      <c r="V490" s="56"/>
      <c r="W490" s="39"/>
    </row>
    <row r="491" spans="1:23" x14ac:dyDescent="0.15">
      <c r="A491" s="60" t="s">
        <v>37</v>
      </c>
      <c r="B491" s="11">
        <v>1</v>
      </c>
      <c r="C491" s="12"/>
      <c r="D491" s="13"/>
      <c r="E491" s="10">
        <f t="shared" si="479"/>
        <v>1</v>
      </c>
      <c r="F491" s="11">
        <v>1</v>
      </c>
      <c r="G491" s="12"/>
      <c r="H491" s="13"/>
      <c r="I491" s="48">
        <f t="shared" si="480"/>
        <v>1</v>
      </c>
      <c r="J491" s="10">
        <f t="shared" si="481"/>
        <v>2</v>
      </c>
      <c r="K491" s="66">
        <v>45890</v>
      </c>
      <c r="L491" s="60"/>
      <c r="M491" s="11"/>
      <c r="N491" s="12"/>
      <c r="O491" s="13"/>
      <c r="P491" s="10">
        <f t="shared" si="482"/>
        <v>0</v>
      </c>
      <c r="Q491" s="11"/>
      <c r="R491" s="12"/>
      <c r="S491" s="13"/>
      <c r="T491" s="48">
        <f t="shared" si="483"/>
        <v>0</v>
      </c>
      <c r="U491" s="10">
        <f t="shared" si="484"/>
        <v>0</v>
      </c>
      <c r="V491" s="56"/>
      <c r="W491" s="39"/>
    </row>
    <row r="492" spans="1:23" x14ac:dyDescent="0.15">
      <c r="A492" s="60" t="s">
        <v>37</v>
      </c>
      <c r="B492" s="11"/>
      <c r="C492" s="12"/>
      <c r="D492" s="13"/>
      <c r="E492" s="10">
        <f t="shared" si="479"/>
        <v>0</v>
      </c>
      <c r="F492" s="11">
        <v>1</v>
      </c>
      <c r="G492" s="12"/>
      <c r="H492" s="13"/>
      <c r="I492" s="48">
        <f t="shared" si="480"/>
        <v>1</v>
      </c>
      <c r="J492" s="10">
        <f t="shared" si="481"/>
        <v>1</v>
      </c>
      <c r="K492" s="66">
        <v>45891</v>
      </c>
      <c r="L492" s="60"/>
      <c r="M492" s="11"/>
      <c r="N492" s="12"/>
      <c r="O492" s="13"/>
      <c r="P492" s="10">
        <f t="shared" si="482"/>
        <v>0</v>
      </c>
      <c r="Q492" s="11"/>
      <c r="R492" s="12"/>
      <c r="S492" s="13"/>
      <c r="T492" s="48">
        <f t="shared" si="483"/>
        <v>0</v>
      </c>
      <c r="U492" s="10">
        <f t="shared" si="484"/>
        <v>0</v>
      </c>
      <c r="V492" s="56"/>
      <c r="W492" s="39"/>
    </row>
    <row r="493" spans="1:23" x14ac:dyDescent="0.15">
      <c r="A493" s="60" t="s">
        <v>171</v>
      </c>
      <c r="B493" s="11"/>
      <c r="C493" s="12">
        <v>1</v>
      </c>
      <c r="D493" s="13"/>
      <c r="E493" s="10">
        <f t="shared" si="479"/>
        <v>1</v>
      </c>
      <c r="F493" s="11"/>
      <c r="G493" s="12">
        <v>1</v>
      </c>
      <c r="H493" s="13"/>
      <c r="I493" s="48">
        <f t="shared" si="480"/>
        <v>1</v>
      </c>
      <c r="J493" s="10">
        <f t="shared" si="481"/>
        <v>2</v>
      </c>
      <c r="K493" s="57">
        <v>45896</v>
      </c>
      <c r="L493" s="60"/>
      <c r="M493" s="11"/>
      <c r="N493" s="12"/>
      <c r="O493" s="13"/>
      <c r="P493" s="10">
        <f t="shared" si="482"/>
        <v>0</v>
      </c>
      <c r="Q493" s="11"/>
      <c r="R493" s="12"/>
      <c r="S493" s="13"/>
      <c r="T493" s="48">
        <f t="shared" si="483"/>
        <v>0</v>
      </c>
      <c r="U493" s="10">
        <f t="shared" si="484"/>
        <v>0</v>
      </c>
      <c r="V493" s="56"/>
      <c r="W493" s="39"/>
    </row>
    <row r="494" spans="1:23" x14ac:dyDescent="0.15">
      <c r="A494" s="60" t="s">
        <v>37</v>
      </c>
      <c r="B494" s="11">
        <v>3</v>
      </c>
      <c r="C494" s="12">
        <v>1</v>
      </c>
      <c r="D494" s="13">
        <v>1</v>
      </c>
      <c r="E494" s="10">
        <f t="shared" si="479"/>
        <v>5</v>
      </c>
      <c r="F494" s="11">
        <v>2</v>
      </c>
      <c r="G494" s="12">
        <v>1</v>
      </c>
      <c r="H494" s="13">
        <v>2</v>
      </c>
      <c r="I494" s="48">
        <f t="shared" si="480"/>
        <v>5</v>
      </c>
      <c r="J494" s="10">
        <f t="shared" si="481"/>
        <v>10</v>
      </c>
      <c r="K494" s="57">
        <v>45894</v>
      </c>
      <c r="L494" s="60"/>
      <c r="M494" s="11"/>
      <c r="N494" s="12"/>
      <c r="O494" s="13"/>
      <c r="P494" s="10">
        <f t="shared" si="482"/>
        <v>0</v>
      </c>
      <c r="Q494" s="11"/>
      <c r="R494" s="12"/>
      <c r="S494" s="13"/>
      <c r="T494" s="48">
        <f t="shared" si="483"/>
        <v>0</v>
      </c>
      <c r="U494" s="10">
        <f t="shared" si="484"/>
        <v>0</v>
      </c>
    </row>
    <row r="495" spans="1:23" x14ac:dyDescent="0.15">
      <c r="A495" s="60" t="s">
        <v>37</v>
      </c>
      <c r="B495" s="11">
        <v>2</v>
      </c>
      <c r="C495" s="12"/>
      <c r="D495" s="13"/>
      <c r="E495" s="10">
        <f t="shared" si="479"/>
        <v>2</v>
      </c>
      <c r="F495" s="11"/>
      <c r="G495" s="12"/>
      <c r="H495" s="13">
        <f>3+1</f>
        <v>4</v>
      </c>
      <c r="I495" s="48">
        <f t="shared" si="480"/>
        <v>4</v>
      </c>
      <c r="J495" s="10">
        <f t="shared" si="481"/>
        <v>6</v>
      </c>
      <c r="K495" s="66">
        <v>45895</v>
      </c>
      <c r="L495" s="60"/>
      <c r="M495" s="11"/>
      <c r="N495" s="12"/>
      <c r="O495" s="13"/>
      <c r="P495" s="10">
        <f t="shared" si="482"/>
        <v>0</v>
      </c>
      <c r="Q495" s="11"/>
      <c r="R495" s="12"/>
      <c r="S495" s="13"/>
      <c r="T495" s="48">
        <f t="shared" si="483"/>
        <v>0</v>
      </c>
      <c r="U495" s="10">
        <f t="shared" si="484"/>
        <v>0</v>
      </c>
    </row>
    <row r="496" spans="1:23" x14ac:dyDescent="0.15">
      <c r="A496" s="60" t="s">
        <v>37</v>
      </c>
      <c r="B496" s="11">
        <v>2</v>
      </c>
      <c r="C496" s="12">
        <v>1</v>
      </c>
      <c r="D496" s="13"/>
      <c r="E496" s="10">
        <f t="shared" si="479"/>
        <v>3</v>
      </c>
      <c r="F496" s="11">
        <v>2</v>
      </c>
      <c r="G496" s="12"/>
      <c r="H496" s="13"/>
      <c r="I496" s="48">
        <f t="shared" si="480"/>
        <v>2</v>
      </c>
      <c r="J496" s="10">
        <f t="shared" si="481"/>
        <v>5</v>
      </c>
      <c r="K496" s="66">
        <v>45896</v>
      </c>
      <c r="L496" s="60"/>
      <c r="M496" s="11"/>
      <c r="N496" s="12"/>
      <c r="O496" s="13"/>
      <c r="P496" s="10">
        <f t="shared" si="482"/>
        <v>0</v>
      </c>
      <c r="Q496" s="11"/>
      <c r="R496" s="12"/>
      <c r="S496" s="13"/>
      <c r="T496" s="48">
        <f t="shared" si="483"/>
        <v>0</v>
      </c>
      <c r="U496" s="10">
        <f t="shared" si="484"/>
        <v>0</v>
      </c>
    </row>
    <row r="497" spans="1:21" x14ac:dyDescent="0.15">
      <c r="A497" s="60" t="s">
        <v>37</v>
      </c>
      <c r="B497" s="11"/>
      <c r="C497" s="12"/>
      <c r="D497" s="13"/>
      <c r="E497" s="10">
        <f t="shared" si="479"/>
        <v>0</v>
      </c>
      <c r="F497" s="11">
        <v>2</v>
      </c>
      <c r="G497" s="12"/>
      <c r="H497" s="13"/>
      <c r="I497" s="48">
        <f t="shared" si="480"/>
        <v>2</v>
      </c>
      <c r="J497" s="10">
        <f t="shared" si="481"/>
        <v>2</v>
      </c>
      <c r="K497" s="66">
        <v>45896</v>
      </c>
      <c r="L497" s="60"/>
      <c r="M497" s="11"/>
      <c r="N497" s="12"/>
      <c r="O497" s="13"/>
      <c r="P497" s="10">
        <f t="shared" si="482"/>
        <v>0</v>
      </c>
      <c r="Q497" s="11"/>
      <c r="R497" s="12"/>
      <c r="S497" s="13"/>
      <c r="T497" s="48">
        <f t="shared" si="483"/>
        <v>0</v>
      </c>
      <c r="U497" s="10">
        <f t="shared" si="484"/>
        <v>0</v>
      </c>
    </row>
    <row r="498" spans="1:21" x14ac:dyDescent="0.15">
      <c r="A498" s="60" t="s">
        <v>37</v>
      </c>
      <c r="B498" s="11"/>
      <c r="C498" s="12"/>
      <c r="D498" s="13"/>
      <c r="E498" s="10">
        <f t="shared" si="479"/>
        <v>0</v>
      </c>
      <c r="F498" s="11">
        <v>1</v>
      </c>
      <c r="G498" s="12">
        <v>1</v>
      </c>
      <c r="H498" s="13"/>
      <c r="I498" s="48">
        <f t="shared" si="480"/>
        <v>2</v>
      </c>
      <c r="J498" s="10">
        <f t="shared" si="481"/>
        <v>2</v>
      </c>
      <c r="K498" s="66">
        <v>45897</v>
      </c>
      <c r="L498" s="60"/>
      <c r="M498" s="11"/>
      <c r="N498" s="12"/>
      <c r="O498" s="13"/>
      <c r="P498" s="10">
        <f t="shared" si="482"/>
        <v>0</v>
      </c>
      <c r="Q498" s="11"/>
      <c r="R498" s="12"/>
      <c r="S498" s="13"/>
      <c r="T498" s="48">
        <f t="shared" si="483"/>
        <v>0</v>
      </c>
      <c r="U498" s="10">
        <f t="shared" si="484"/>
        <v>0</v>
      </c>
    </row>
    <row r="499" spans="1:21" x14ac:dyDescent="0.15">
      <c r="A499" s="60" t="s">
        <v>171</v>
      </c>
      <c r="B499" s="11"/>
      <c r="C499" s="12"/>
      <c r="D499" s="13">
        <v>1</v>
      </c>
      <c r="E499" s="10">
        <f t="shared" si="479"/>
        <v>1</v>
      </c>
      <c r="F499" s="11"/>
      <c r="G499" s="12"/>
      <c r="H499" s="13">
        <v>1</v>
      </c>
      <c r="I499" s="48">
        <f t="shared" si="480"/>
        <v>1</v>
      </c>
      <c r="J499" s="10">
        <f t="shared" si="481"/>
        <v>2</v>
      </c>
      <c r="K499" s="57">
        <v>45901</v>
      </c>
      <c r="L499" s="60"/>
      <c r="M499" s="11"/>
      <c r="N499" s="12"/>
      <c r="O499" s="13"/>
      <c r="P499" s="10">
        <f t="shared" si="482"/>
        <v>0</v>
      </c>
      <c r="Q499" s="11"/>
      <c r="R499" s="12"/>
      <c r="S499" s="13"/>
      <c r="T499" s="48">
        <f t="shared" si="483"/>
        <v>0</v>
      </c>
      <c r="U499" s="10">
        <f t="shared" si="484"/>
        <v>0</v>
      </c>
    </row>
    <row r="500" spans="1:21" x14ac:dyDescent="0.15">
      <c r="A500" s="60" t="s">
        <v>37</v>
      </c>
      <c r="B500" s="11">
        <v>1</v>
      </c>
      <c r="C500" s="12">
        <v>1</v>
      </c>
      <c r="D500" s="13"/>
      <c r="E500" s="10">
        <f t="shared" si="479"/>
        <v>2</v>
      </c>
      <c r="F500" s="11">
        <v>1</v>
      </c>
      <c r="G500" s="12"/>
      <c r="H500" s="13"/>
      <c r="I500" s="48">
        <f t="shared" si="480"/>
        <v>1</v>
      </c>
      <c r="J500" s="10">
        <f t="shared" si="481"/>
        <v>3</v>
      </c>
      <c r="K500" s="57">
        <v>45898</v>
      </c>
      <c r="L500" s="60"/>
      <c r="M500" s="11"/>
      <c r="N500" s="12"/>
      <c r="O500" s="13"/>
      <c r="P500" s="10">
        <f t="shared" si="482"/>
        <v>0</v>
      </c>
      <c r="Q500" s="11"/>
      <c r="R500" s="12"/>
      <c r="S500" s="13"/>
      <c r="T500" s="48">
        <f t="shared" si="483"/>
        <v>0</v>
      </c>
      <c r="U500" s="10">
        <f t="shared" si="484"/>
        <v>0</v>
      </c>
    </row>
    <row r="501" spans="1:21" x14ac:dyDescent="0.15">
      <c r="A501" s="60" t="s">
        <v>37</v>
      </c>
      <c r="B501" s="11"/>
      <c r="C501" s="12"/>
      <c r="D501" s="13">
        <v>1</v>
      </c>
      <c r="E501" s="10">
        <f t="shared" si="479"/>
        <v>1</v>
      </c>
      <c r="F501" s="11">
        <v>1</v>
      </c>
      <c r="G501" s="12">
        <v>1</v>
      </c>
      <c r="H501" s="13">
        <v>2</v>
      </c>
      <c r="I501" s="48">
        <f t="shared" si="480"/>
        <v>4</v>
      </c>
      <c r="J501" s="10">
        <f t="shared" si="481"/>
        <v>5</v>
      </c>
      <c r="K501" s="66">
        <v>45899</v>
      </c>
      <c r="L501" s="60"/>
      <c r="M501" s="11"/>
      <c r="N501" s="12"/>
      <c r="O501" s="13"/>
      <c r="P501" s="10">
        <f t="shared" si="482"/>
        <v>0</v>
      </c>
      <c r="Q501" s="11"/>
      <c r="R501" s="12"/>
      <c r="S501" s="13"/>
      <c r="T501" s="48">
        <f t="shared" si="483"/>
        <v>0</v>
      </c>
      <c r="U501" s="10">
        <f t="shared" si="484"/>
        <v>0</v>
      </c>
    </row>
    <row r="502" spans="1:21" x14ac:dyDescent="0.15">
      <c r="A502" s="60" t="s">
        <v>37</v>
      </c>
      <c r="B502" s="11">
        <v>4</v>
      </c>
      <c r="C502" s="12">
        <v>1</v>
      </c>
      <c r="D502" s="13"/>
      <c r="E502" s="10">
        <f t="shared" si="479"/>
        <v>5</v>
      </c>
      <c r="F502" s="11">
        <f>1+2</f>
        <v>3</v>
      </c>
      <c r="G502" s="12"/>
      <c r="H502" s="13">
        <v>2</v>
      </c>
      <c r="I502" s="48">
        <f t="shared" si="480"/>
        <v>5</v>
      </c>
      <c r="J502" s="10">
        <f t="shared" si="481"/>
        <v>10</v>
      </c>
      <c r="K502" s="57">
        <v>45901</v>
      </c>
      <c r="L502" s="60"/>
      <c r="M502" s="11"/>
      <c r="N502" s="12"/>
      <c r="O502" s="13"/>
      <c r="P502" s="10">
        <f t="shared" si="482"/>
        <v>0</v>
      </c>
      <c r="Q502" s="11"/>
      <c r="R502" s="12"/>
      <c r="S502" s="13"/>
      <c r="T502" s="48">
        <f t="shared" si="483"/>
        <v>0</v>
      </c>
      <c r="U502" s="10">
        <f t="shared" si="484"/>
        <v>0</v>
      </c>
    </row>
    <row r="503" spans="1:21" x14ac:dyDescent="0.15">
      <c r="A503" s="60" t="s">
        <v>171</v>
      </c>
      <c r="B503" s="11"/>
      <c r="C503" s="12">
        <v>1</v>
      </c>
      <c r="D503" s="13"/>
      <c r="E503" s="10">
        <f t="shared" si="479"/>
        <v>1</v>
      </c>
      <c r="F503" s="11"/>
      <c r="G503" s="12">
        <v>1</v>
      </c>
      <c r="H503" s="13"/>
      <c r="I503" s="48">
        <f t="shared" si="480"/>
        <v>1</v>
      </c>
      <c r="J503" s="10">
        <f t="shared" si="481"/>
        <v>2</v>
      </c>
      <c r="K503" s="57">
        <v>45904</v>
      </c>
      <c r="L503" s="60"/>
      <c r="M503" s="11"/>
      <c r="N503" s="12"/>
      <c r="O503" s="13"/>
      <c r="P503" s="10">
        <f t="shared" si="482"/>
        <v>0</v>
      </c>
      <c r="Q503" s="11"/>
      <c r="R503" s="12"/>
      <c r="S503" s="13"/>
      <c r="T503" s="48">
        <f t="shared" si="483"/>
        <v>0</v>
      </c>
      <c r="U503" s="10">
        <f t="shared" si="484"/>
        <v>0</v>
      </c>
    </row>
    <row r="504" spans="1:21" x14ac:dyDescent="0.15">
      <c r="A504" s="60" t="s">
        <v>37</v>
      </c>
      <c r="B504" s="11"/>
      <c r="C504" s="12"/>
      <c r="D504" s="13"/>
      <c r="E504" s="10">
        <f t="shared" si="479"/>
        <v>0</v>
      </c>
      <c r="F504" s="11">
        <v>2</v>
      </c>
      <c r="G504" s="12"/>
      <c r="H504" s="13"/>
      <c r="I504" s="48">
        <f t="shared" si="480"/>
        <v>2</v>
      </c>
      <c r="J504" s="10">
        <f t="shared" si="481"/>
        <v>2</v>
      </c>
      <c r="K504" s="57">
        <v>45902</v>
      </c>
      <c r="L504" s="60"/>
      <c r="M504" s="11"/>
      <c r="N504" s="12"/>
      <c r="O504" s="13"/>
      <c r="P504" s="10">
        <f t="shared" si="482"/>
        <v>0</v>
      </c>
      <c r="Q504" s="11"/>
      <c r="R504" s="12"/>
      <c r="S504" s="13"/>
      <c r="T504" s="48">
        <f t="shared" si="483"/>
        <v>0</v>
      </c>
      <c r="U504" s="10">
        <f t="shared" si="484"/>
        <v>0</v>
      </c>
    </row>
    <row r="505" spans="1:21" x14ac:dyDescent="0.15">
      <c r="A505" s="60" t="s">
        <v>37</v>
      </c>
      <c r="B505" s="11">
        <v>1</v>
      </c>
      <c r="C505" s="12"/>
      <c r="D505" s="13"/>
      <c r="E505" s="10">
        <f t="shared" si="479"/>
        <v>1</v>
      </c>
      <c r="F505" s="11">
        <v>2</v>
      </c>
      <c r="G505" s="12">
        <v>2</v>
      </c>
      <c r="H505" s="13">
        <v>1</v>
      </c>
      <c r="I505" s="48">
        <f t="shared" si="480"/>
        <v>5</v>
      </c>
      <c r="J505" s="10">
        <f t="shared" si="481"/>
        <v>6</v>
      </c>
      <c r="K505" s="57">
        <v>45903</v>
      </c>
      <c r="L505" s="60"/>
      <c r="M505" s="11"/>
      <c r="N505" s="12"/>
      <c r="O505" s="13"/>
      <c r="P505" s="10">
        <f t="shared" si="482"/>
        <v>0</v>
      </c>
      <c r="Q505" s="11"/>
      <c r="R505" s="12"/>
      <c r="S505" s="13"/>
      <c r="T505" s="48">
        <f t="shared" si="483"/>
        <v>0</v>
      </c>
      <c r="U505" s="10">
        <f t="shared" si="484"/>
        <v>0</v>
      </c>
    </row>
    <row r="506" spans="1:21" x14ac:dyDescent="0.15">
      <c r="A506" s="60" t="s">
        <v>37</v>
      </c>
      <c r="B506" s="11">
        <v>1</v>
      </c>
      <c r="C506" s="12"/>
      <c r="D506" s="13"/>
      <c r="E506" s="10">
        <f t="shared" si="479"/>
        <v>1</v>
      </c>
      <c r="F506" s="11">
        <v>1</v>
      </c>
      <c r="G506" s="12"/>
      <c r="H506" s="13"/>
      <c r="I506" s="48">
        <f t="shared" si="480"/>
        <v>1</v>
      </c>
      <c r="J506" s="10">
        <f t="shared" si="481"/>
        <v>2</v>
      </c>
      <c r="K506" s="66">
        <v>45904</v>
      </c>
      <c r="L506" s="60"/>
      <c r="M506" s="11"/>
      <c r="N506" s="12"/>
      <c r="O506" s="13"/>
      <c r="P506" s="10">
        <f t="shared" si="482"/>
        <v>0</v>
      </c>
      <c r="Q506" s="11"/>
      <c r="R506" s="12"/>
      <c r="S506" s="13"/>
      <c r="T506" s="48">
        <f t="shared" si="483"/>
        <v>0</v>
      </c>
      <c r="U506" s="10">
        <f t="shared" si="484"/>
        <v>0</v>
      </c>
    </row>
    <row r="507" spans="1:21" x14ac:dyDescent="0.15">
      <c r="A507" s="60" t="s">
        <v>37</v>
      </c>
      <c r="B507" s="11">
        <v>1</v>
      </c>
      <c r="C507" s="12"/>
      <c r="D507" s="13"/>
      <c r="E507" s="10">
        <f t="shared" si="479"/>
        <v>1</v>
      </c>
      <c r="F507" s="11">
        <f>1+2</f>
        <v>3</v>
      </c>
      <c r="G507" s="12">
        <f>1+1</f>
        <v>2</v>
      </c>
      <c r="H507" s="13"/>
      <c r="I507" s="48">
        <f t="shared" si="480"/>
        <v>5</v>
      </c>
      <c r="J507" s="10">
        <f t="shared" si="481"/>
        <v>6</v>
      </c>
      <c r="K507" s="66">
        <v>45905</v>
      </c>
      <c r="L507" s="60"/>
      <c r="M507" s="11"/>
      <c r="N507" s="12"/>
      <c r="O507" s="13"/>
      <c r="P507" s="10">
        <f t="shared" si="482"/>
        <v>0</v>
      </c>
      <c r="Q507" s="11"/>
      <c r="R507" s="12"/>
      <c r="S507" s="13"/>
      <c r="T507" s="48">
        <f t="shared" si="483"/>
        <v>0</v>
      </c>
      <c r="U507" s="10">
        <f t="shared" si="484"/>
        <v>0</v>
      </c>
    </row>
    <row r="508" spans="1:21" x14ac:dyDescent="0.15">
      <c r="A508" s="60" t="s">
        <v>37</v>
      </c>
      <c r="B508" s="11">
        <v>1</v>
      </c>
      <c r="C508" s="12"/>
      <c r="D508" s="13"/>
      <c r="E508" s="10">
        <f t="shared" si="479"/>
        <v>1</v>
      </c>
      <c r="F508" s="11"/>
      <c r="G508" s="12"/>
      <c r="H508" s="13">
        <v>1</v>
      </c>
      <c r="I508" s="48">
        <f t="shared" si="480"/>
        <v>1</v>
      </c>
      <c r="J508" s="10">
        <f t="shared" si="481"/>
        <v>2</v>
      </c>
      <c r="K508" s="66">
        <v>45906</v>
      </c>
      <c r="L508" s="60"/>
      <c r="M508" s="11"/>
      <c r="N508" s="12"/>
      <c r="O508" s="13"/>
      <c r="P508" s="10">
        <f t="shared" si="482"/>
        <v>0</v>
      </c>
      <c r="Q508" s="11"/>
      <c r="R508" s="12"/>
      <c r="S508" s="13"/>
      <c r="T508" s="48">
        <f t="shared" si="483"/>
        <v>0</v>
      </c>
      <c r="U508" s="10">
        <f t="shared" si="484"/>
        <v>0</v>
      </c>
    </row>
    <row r="509" spans="1:21" x14ac:dyDescent="0.15">
      <c r="A509" s="60" t="s">
        <v>37</v>
      </c>
      <c r="B509" s="11">
        <f>2+3</f>
        <v>5</v>
      </c>
      <c r="C509" s="12"/>
      <c r="D509" s="13"/>
      <c r="E509" s="10">
        <f t="shared" si="479"/>
        <v>5</v>
      </c>
      <c r="F509" s="11">
        <f>2+1</f>
        <v>3</v>
      </c>
      <c r="G509" s="12">
        <v>1</v>
      </c>
      <c r="H509" s="13"/>
      <c r="I509" s="48">
        <f t="shared" si="480"/>
        <v>4</v>
      </c>
      <c r="J509" s="10">
        <f t="shared" si="481"/>
        <v>9</v>
      </c>
      <c r="K509" s="66">
        <v>45908</v>
      </c>
      <c r="L509" s="60"/>
      <c r="M509" s="11"/>
      <c r="N509" s="12"/>
      <c r="O509" s="13"/>
      <c r="P509" s="10">
        <f t="shared" si="482"/>
        <v>0</v>
      </c>
      <c r="Q509" s="11"/>
      <c r="R509" s="12"/>
      <c r="S509" s="13"/>
      <c r="T509" s="48">
        <f t="shared" si="483"/>
        <v>0</v>
      </c>
      <c r="U509" s="10">
        <f t="shared" si="484"/>
        <v>0</v>
      </c>
    </row>
    <row r="510" spans="1:21" x14ac:dyDescent="0.15">
      <c r="A510" s="60" t="s">
        <v>37</v>
      </c>
      <c r="B510" s="11"/>
      <c r="C510" s="12"/>
      <c r="D510" s="13"/>
      <c r="E510" s="10">
        <f t="shared" si="479"/>
        <v>0</v>
      </c>
      <c r="F510" s="11"/>
      <c r="G510" s="12">
        <f>1+1</f>
        <v>2</v>
      </c>
      <c r="H510" s="13"/>
      <c r="I510" s="48">
        <f t="shared" si="480"/>
        <v>2</v>
      </c>
      <c r="J510" s="10">
        <f t="shared" si="481"/>
        <v>2</v>
      </c>
      <c r="K510" s="66">
        <v>45909</v>
      </c>
      <c r="L510" s="60"/>
      <c r="M510" s="11"/>
      <c r="N510" s="12"/>
      <c r="O510" s="13"/>
      <c r="P510" s="10">
        <f t="shared" si="482"/>
        <v>0</v>
      </c>
      <c r="Q510" s="11"/>
      <c r="R510" s="12"/>
      <c r="S510" s="13"/>
      <c r="T510" s="48">
        <f t="shared" si="483"/>
        <v>0</v>
      </c>
      <c r="U510" s="10">
        <f t="shared" si="484"/>
        <v>0</v>
      </c>
    </row>
    <row r="511" spans="1:21" x14ac:dyDescent="0.15">
      <c r="A511" s="60" t="s">
        <v>37</v>
      </c>
      <c r="B511" s="11">
        <v>2</v>
      </c>
      <c r="C511" s="12"/>
      <c r="D511" s="13"/>
      <c r="E511" s="10">
        <f t="shared" si="479"/>
        <v>2</v>
      </c>
      <c r="F511" s="11">
        <f>1+1</f>
        <v>2</v>
      </c>
      <c r="G511" s="12">
        <v>1</v>
      </c>
      <c r="H511" s="13"/>
      <c r="I511" s="48">
        <f t="shared" si="480"/>
        <v>3</v>
      </c>
      <c r="J511" s="10">
        <f t="shared" si="481"/>
        <v>5</v>
      </c>
      <c r="K511" s="66">
        <v>45910</v>
      </c>
      <c r="L511" s="60"/>
      <c r="M511" s="11"/>
      <c r="N511" s="12"/>
      <c r="O511" s="13"/>
      <c r="P511" s="10">
        <f t="shared" ref="P511:P512" si="487">SUM(M511:O511)</f>
        <v>0</v>
      </c>
      <c r="Q511" s="11"/>
      <c r="R511" s="12"/>
      <c r="S511" s="13"/>
      <c r="T511" s="48">
        <f t="shared" ref="T511:T512" si="488">SUM(Q511:S511)</f>
        <v>0</v>
      </c>
      <c r="U511" s="10">
        <f t="shared" ref="U511:U512" si="489">P511+T511</f>
        <v>0</v>
      </c>
    </row>
    <row r="512" spans="1:21" ht="14.25" thickBot="1" x14ac:dyDescent="0.2">
      <c r="A512" s="60" t="s">
        <v>37</v>
      </c>
      <c r="B512" s="11"/>
      <c r="C512" s="12"/>
      <c r="D512" s="13"/>
      <c r="E512" s="10">
        <f t="shared" si="479"/>
        <v>0</v>
      </c>
      <c r="F512" s="11">
        <v>1</v>
      </c>
      <c r="G512" s="12"/>
      <c r="H512" s="13"/>
      <c r="I512" s="48">
        <f t="shared" si="480"/>
        <v>1</v>
      </c>
      <c r="J512" s="10">
        <f t="shared" si="481"/>
        <v>1</v>
      </c>
      <c r="K512" s="66">
        <v>45912</v>
      </c>
      <c r="L512" s="60"/>
      <c r="M512" s="11"/>
      <c r="N512" s="12"/>
      <c r="O512" s="13"/>
      <c r="P512" s="10">
        <f t="shared" si="487"/>
        <v>0</v>
      </c>
      <c r="Q512" s="11"/>
      <c r="R512" s="12"/>
      <c r="S512" s="13"/>
      <c r="T512" s="48">
        <f t="shared" si="488"/>
        <v>0</v>
      </c>
      <c r="U512" s="10">
        <f t="shared" si="489"/>
        <v>0</v>
      </c>
    </row>
    <row r="513" spans="1:21" ht="14.25" thickBot="1" x14ac:dyDescent="0.2">
      <c r="A513" s="29" t="s">
        <v>17</v>
      </c>
      <c r="B513" s="30">
        <f>SUM(B487:B512)</f>
        <v>27</v>
      </c>
      <c r="C513" s="31">
        <f>SUM(C487:C512)</f>
        <v>9</v>
      </c>
      <c r="D513" s="32">
        <f>SUM(D487:D512)</f>
        <v>3</v>
      </c>
      <c r="E513" s="33">
        <f>SUM(B513:D513)</f>
        <v>39</v>
      </c>
      <c r="F513" s="30">
        <f>SUM(F487:F512)</f>
        <v>32</v>
      </c>
      <c r="G513" s="31">
        <f>SUM(G487:G512)</f>
        <v>16</v>
      </c>
      <c r="H513" s="32">
        <f>SUM(H487:H512)</f>
        <v>14</v>
      </c>
      <c r="I513" s="33">
        <f>SUM(F513:H513)</f>
        <v>62</v>
      </c>
      <c r="J513" s="34">
        <f t="shared" si="481"/>
        <v>101</v>
      </c>
      <c r="L513" s="29" t="s">
        <v>17</v>
      </c>
      <c r="M513" s="30">
        <f>SUM(M487:M512)</f>
        <v>5</v>
      </c>
      <c r="N513" s="31">
        <f>SUM(N487:N512)</f>
        <v>5</v>
      </c>
      <c r="O513" s="32">
        <f>SUM(O487:O512)</f>
        <v>4</v>
      </c>
      <c r="P513" s="33">
        <f>SUM(M513:O513)</f>
        <v>14</v>
      </c>
      <c r="Q513" s="30">
        <f>SUM(Q487:Q512)</f>
        <v>15</v>
      </c>
      <c r="R513" s="31">
        <f>SUM(R487:R512)</f>
        <v>0</v>
      </c>
      <c r="S513" s="32">
        <f>SUM(S487:S512)</f>
        <v>5</v>
      </c>
      <c r="T513" s="33">
        <f>SUM(Q513:S513)</f>
        <v>20</v>
      </c>
      <c r="U513" s="34">
        <f t="shared" si="484"/>
        <v>34</v>
      </c>
    </row>
    <row r="514" spans="1:21" ht="14.25" thickBot="1" x14ac:dyDescent="0.2">
      <c r="A514" s="18" t="s">
        <v>18</v>
      </c>
      <c r="B514" s="44">
        <f>B486-B513</f>
        <v>2</v>
      </c>
      <c r="C514" s="45">
        <f t="shared" ref="C514:E514" si="490">C486-C513</f>
        <v>12</v>
      </c>
      <c r="D514" s="46">
        <f t="shared" si="490"/>
        <v>9</v>
      </c>
      <c r="E514" s="46">
        <f t="shared" si="490"/>
        <v>23</v>
      </c>
      <c r="F514" s="44">
        <f>F486-F513</f>
        <v>2</v>
      </c>
      <c r="G514" s="45">
        <f t="shared" ref="G514:I514" si="491">G486-G513</f>
        <v>2</v>
      </c>
      <c r="H514" s="46">
        <f t="shared" si="491"/>
        <v>9</v>
      </c>
      <c r="I514" s="46">
        <f t="shared" si="491"/>
        <v>13</v>
      </c>
      <c r="J514" s="24">
        <f t="shared" si="481"/>
        <v>36</v>
      </c>
      <c r="L514" s="18" t="s">
        <v>18</v>
      </c>
      <c r="M514" s="44">
        <f>M486-M513</f>
        <v>285</v>
      </c>
      <c r="N514" s="45">
        <f t="shared" ref="N514:P514" si="492">N486-N513</f>
        <v>399</v>
      </c>
      <c r="O514" s="46">
        <f t="shared" si="492"/>
        <v>231</v>
      </c>
      <c r="P514" s="46">
        <f t="shared" si="492"/>
        <v>915</v>
      </c>
      <c r="Q514" s="44">
        <f>Q486-Q513</f>
        <v>569</v>
      </c>
      <c r="R514" s="45">
        <f t="shared" ref="R514:T514" si="493">R486-R513</f>
        <v>652</v>
      </c>
      <c r="S514" s="46">
        <f t="shared" si="493"/>
        <v>355</v>
      </c>
      <c r="T514" s="46">
        <f t="shared" si="493"/>
        <v>1576</v>
      </c>
      <c r="U514" s="24">
        <f t="shared" si="484"/>
        <v>2491</v>
      </c>
    </row>
    <row r="515" spans="1:21" x14ac:dyDescent="0.15">
      <c r="L515" s="79"/>
      <c r="M515" s="76"/>
      <c r="N515" s="76"/>
      <c r="O515" s="76"/>
      <c r="P515" s="76"/>
      <c r="Q515" s="76"/>
      <c r="R515" s="76"/>
      <c r="S515" s="76"/>
      <c r="T515" s="76"/>
    </row>
    <row r="516" spans="1:21" x14ac:dyDescent="0.15">
      <c r="L516" s="80"/>
      <c r="M516" s="77"/>
      <c r="N516" s="77"/>
      <c r="O516" s="77"/>
      <c r="P516" s="77"/>
      <c r="Q516" s="77"/>
      <c r="R516" s="77"/>
      <c r="S516" s="77"/>
      <c r="T516" s="77"/>
    </row>
    <row r="517" spans="1:21" ht="19.5" thickBot="1" x14ac:dyDescent="0.25">
      <c r="A517" s="2" t="s">
        <v>24</v>
      </c>
      <c r="B517" s="1"/>
      <c r="C517" s="1"/>
      <c r="D517" s="1"/>
      <c r="E517" s="1"/>
      <c r="F517" s="1" t="s">
        <v>39</v>
      </c>
      <c r="G517" s="1"/>
      <c r="H517" s="1"/>
      <c r="I517" s="1"/>
      <c r="J517" s="1"/>
      <c r="L517" s="2" t="s">
        <v>23</v>
      </c>
      <c r="M517" s="1"/>
      <c r="N517" s="1"/>
      <c r="O517" s="1"/>
      <c r="P517" s="63" t="s">
        <v>35</v>
      </c>
      <c r="Q517" s="1"/>
      <c r="R517" s="1" t="s">
        <v>39</v>
      </c>
      <c r="S517" s="1"/>
      <c r="T517" s="1"/>
      <c r="U517" s="1"/>
    </row>
    <row r="518" spans="1:21" ht="14.25" thickBot="1" x14ac:dyDescent="0.2">
      <c r="A518" s="6" t="s">
        <v>0</v>
      </c>
      <c r="B518" s="128" t="s">
        <v>21</v>
      </c>
      <c r="C518" s="129"/>
      <c r="D518" s="129"/>
      <c r="E518" s="130"/>
      <c r="F518" s="125" t="s">
        <v>19</v>
      </c>
      <c r="G518" s="126"/>
      <c r="H518" s="126"/>
      <c r="I518" s="127"/>
      <c r="J518" s="131" t="s">
        <v>1</v>
      </c>
      <c r="L518" s="6" t="s">
        <v>0</v>
      </c>
      <c r="M518" s="128" t="s">
        <v>21</v>
      </c>
      <c r="N518" s="129"/>
      <c r="O518" s="129"/>
      <c r="P518" s="130"/>
      <c r="Q518" s="125" t="s">
        <v>19</v>
      </c>
      <c r="R518" s="126"/>
      <c r="S518" s="126"/>
      <c r="T518" s="127"/>
      <c r="U518" s="131" t="s">
        <v>1</v>
      </c>
    </row>
    <row r="519" spans="1:21" ht="14.25" thickBot="1" x14ac:dyDescent="0.2">
      <c r="A519" s="6" t="s">
        <v>2</v>
      </c>
      <c r="B519" s="3" t="s">
        <v>3</v>
      </c>
      <c r="C519" s="4" t="s">
        <v>4</v>
      </c>
      <c r="D519" s="5" t="s">
        <v>5</v>
      </c>
      <c r="E519" s="6" t="s">
        <v>6</v>
      </c>
      <c r="F519" s="3" t="s">
        <v>3</v>
      </c>
      <c r="G519" s="4" t="s">
        <v>4</v>
      </c>
      <c r="H519" s="5" t="s">
        <v>5</v>
      </c>
      <c r="I519" s="6" t="s">
        <v>6</v>
      </c>
      <c r="J519" s="132"/>
      <c r="L519" s="6" t="s">
        <v>2</v>
      </c>
      <c r="M519" s="50" t="s">
        <v>3</v>
      </c>
      <c r="N519" s="51" t="s">
        <v>4</v>
      </c>
      <c r="O519" s="52" t="s">
        <v>5</v>
      </c>
      <c r="P519" s="6" t="s">
        <v>6</v>
      </c>
      <c r="Q519" s="3" t="s">
        <v>3</v>
      </c>
      <c r="R519" s="4" t="s">
        <v>4</v>
      </c>
      <c r="S519" s="5" t="s">
        <v>5</v>
      </c>
      <c r="T519" s="6" t="s">
        <v>6</v>
      </c>
      <c r="U519" s="132"/>
    </row>
    <row r="520" spans="1:21" ht="14.25" thickBot="1" x14ac:dyDescent="0.2">
      <c r="A520" s="20" t="s">
        <v>18</v>
      </c>
      <c r="B520" s="21">
        <f>B514</f>
        <v>2</v>
      </c>
      <c r="C520" s="22">
        <f t="shared" ref="C520:D520" si="494">C514</f>
        <v>12</v>
      </c>
      <c r="D520" s="38">
        <f t="shared" si="494"/>
        <v>9</v>
      </c>
      <c r="E520" s="24">
        <f t="shared" ref="E520:E528" si="495">SUM(B520:D520)</f>
        <v>23</v>
      </c>
      <c r="F520" s="21">
        <f>F514</f>
        <v>2</v>
      </c>
      <c r="G520" s="22">
        <f t="shared" ref="G520:H520" si="496">G514</f>
        <v>2</v>
      </c>
      <c r="H520" s="38">
        <f t="shared" si="496"/>
        <v>9</v>
      </c>
      <c r="I520" s="24">
        <f t="shared" ref="I520:I528" si="497">SUM(F520:H520)</f>
        <v>13</v>
      </c>
      <c r="J520" s="24">
        <f>E520+I520</f>
        <v>36</v>
      </c>
      <c r="L520" s="20" t="s">
        <v>18</v>
      </c>
      <c r="M520" s="21">
        <f>M514</f>
        <v>285</v>
      </c>
      <c r="N520" s="22">
        <f t="shared" ref="N520:O520" si="498">N514</f>
        <v>399</v>
      </c>
      <c r="O520" s="38">
        <f t="shared" si="498"/>
        <v>231</v>
      </c>
      <c r="P520" s="73">
        <f t="shared" ref="P520:P528" si="499">SUM(M520:O520)</f>
        <v>915</v>
      </c>
      <c r="Q520" s="21">
        <f>Q514</f>
        <v>569</v>
      </c>
      <c r="R520" s="22">
        <f t="shared" ref="R520:S520" si="500">R514</f>
        <v>652</v>
      </c>
      <c r="S520" s="38">
        <f t="shared" si="500"/>
        <v>355</v>
      </c>
      <c r="T520" s="24">
        <f t="shared" ref="T520:T528" si="501">SUM(Q520:S520)</f>
        <v>1576</v>
      </c>
      <c r="U520" s="24">
        <f>P520+T520</f>
        <v>2491</v>
      </c>
    </row>
    <row r="521" spans="1:21" x14ac:dyDescent="0.15">
      <c r="A521" s="19" t="s">
        <v>8</v>
      </c>
      <c r="B521" s="7">
        <v>5</v>
      </c>
      <c r="C521" s="8"/>
      <c r="D521" s="35"/>
      <c r="E521" s="10">
        <f t="shared" si="495"/>
        <v>5</v>
      </c>
      <c r="F521" s="7">
        <v>5</v>
      </c>
      <c r="G521" s="8">
        <v>5</v>
      </c>
      <c r="H521" s="35"/>
      <c r="I521" s="48">
        <f t="shared" si="497"/>
        <v>10</v>
      </c>
      <c r="J521" s="10">
        <f t="shared" ref="J521:J528" si="502">E521+I521</f>
        <v>15</v>
      </c>
      <c r="K521" s="57">
        <v>45909</v>
      </c>
      <c r="L521" s="19" t="s">
        <v>8</v>
      </c>
      <c r="M521" s="7"/>
      <c r="N521" s="8"/>
      <c r="O521" s="35"/>
      <c r="P521" s="10">
        <f t="shared" si="499"/>
        <v>0</v>
      </c>
      <c r="Q521" s="7"/>
      <c r="R521" s="8"/>
      <c r="S521" s="35"/>
      <c r="T521" s="48">
        <f t="shared" si="501"/>
        <v>0</v>
      </c>
      <c r="U521" s="10">
        <f t="shared" ref="U521:U528" si="503">P521+T521</f>
        <v>0</v>
      </c>
    </row>
    <row r="522" spans="1:21" x14ac:dyDescent="0.15">
      <c r="A522" s="19" t="s">
        <v>59</v>
      </c>
      <c r="B522" s="7">
        <v>1</v>
      </c>
      <c r="C522" s="8"/>
      <c r="D522" s="35"/>
      <c r="E522" s="10">
        <f t="shared" si="495"/>
        <v>1</v>
      </c>
      <c r="F522" s="7">
        <v>1</v>
      </c>
      <c r="G522" s="8"/>
      <c r="H522" s="35"/>
      <c r="I522" s="48">
        <f t="shared" si="497"/>
        <v>1</v>
      </c>
      <c r="J522" s="10">
        <f t="shared" si="502"/>
        <v>2</v>
      </c>
      <c r="K522" s="57">
        <v>45909</v>
      </c>
      <c r="L522" s="19" t="s">
        <v>9</v>
      </c>
      <c r="M522" s="7"/>
      <c r="N522" s="8"/>
      <c r="O522" s="35"/>
      <c r="P522" s="10">
        <f t="shared" ref="P522:P523" si="504">SUM(M522:O522)</f>
        <v>0</v>
      </c>
      <c r="Q522" s="7"/>
      <c r="R522" s="8"/>
      <c r="S522" s="35"/>
      <c r="T522" s="48">
        <f t="shared" ref="T522:T523" si="505">SUM(Q522:S522)</f>
        <v>0</v>
      </c>
      <c r="U522" s="10">
        <f t="shared" ref="U522:U523" si="506">P522+T522</f>
        <v>0</v>
      </c>
    </row>
    <row r="523" spans="1:21" x14ac:dyDescent="0.15">
      <c r="A523" s="19" t="s">
        <v>10</v>
      </c>
      <c r="B523" s="7"/>
      <c r="C523" s="8"/>
      <c r="D523" s="35"/>
      <c r="E523" s="10">
        <f t="shared" si="495"/>
        <v>0</v>
      </c>
      <c r="F523" s="7">
        <v>5</v>
      </c>
      <c r="G523" s="8">
        <v>5</v>
      </c>
      <c r="H523" s="35"/>
      <c r="I523" s="48">
        <f t="shared" si="497"/>
        <v>10</v>
      </c>
      <c r="J523" s="10">
        <f t="shared" si="502"/>
        <v>10</v>
      </c>
      <c r="K523" s="57">
        <v>45924</v>
      </c>
      <c r="L523" s="19" t="s">
        <v>10</v>
      </c>
      <c r="M523" s="7"/>
      <c r="N523" s="8"/>
      <c r="O523" s="35"/>
      <c r="P523" s="10">
        <f t="shared" si="504"/>
        <v>0</v>
      </c>
      <c r="Q523" s="7"/>
      <c r="R523" s="8"/>
      <c r="S523" s="35"/>
      <c r="T523" s="48">
        <f t="shared" si="505"/>
        <v>0</v>
      </c>
      <c r="U523" s="10">
        <f t="shared" si="506"/>
        <v>0</v>
      </c>
    </row>
    <row r="524" spans="1:21" x14ac:dyDescent="0.15">
      <c r="A524" s="19" t="s">
        <v>11</v>
      </c>
      <c r="B524" s="7">
        <v>5</v>
      </c>
      <c r="C524" s="8"/>
      <c r="D524" s="35"/>
      <c r="E524" s="10">
        <f t="shared" si="495"/>
        <v>5</v>
      </c>
      <c r="F524" s="7"/>
      <c r="G524" s="8">
        <v>5</v>
      </c>
      <c r="H524" s="35"/>
      <c r="I524" s="48">
        <f t="shared" si="497"/>
        <v>5</v>
      </c>
      <c r="J524" s="10">
        <f t="shared" si="502"/>
        <v>10</v>
      </c>
      <c r="K524" s="57">
        <v>45932</v>
      </c>
      <c r="L524" s="19" t="s">
        <v>11</v>
      </c>
      <c r="M524" s="7"/>
      <c r="N524" s="8"/>
      <c r="O524" s="35"/>
      <c r="P524" s="10">
        <f t="shared" si="499"/>
        <v>0</v>
      </c>
      <c r="Q524" s="7"/>
      <c r="R524" s="8"/>
      <c r="S524" s="35"/>
      <c r="T524" s="48">
        <f t="shared" si="501"/>
        <v>0</v>
      </c>
      <c r="U524" s="10">
        <f t="shared" si="503"/>
        <v>0</v>
      </c>
    </row>
    <row r="525" spans="1:21" x14ac:dyDescent="0.15">
      <c r="A525" s="19" t="s">
        <v>12</v>
      </c>
      <c r="B525" s="7">
        <v>5</v>
      </c>
      <c r="C525" s="8">
        <v>5</v>
      </c>
      <c r="D525" s="35"/>
      <c r="E525" s="10">
        <f t="shared" si="495"/>
        <v>10</v>
      </c>
      <c r="F525" s="7">
        <v>5</v>
      </c>
      <c r="G525" s="8">
        <v>10</v>
      </c>
      <c r="H525" s="35">
        <v>5</v>
      </c>
      <c r="I525" s="48">
        <f t="shared" si="497"/>
        <v>20</v>
      </c>
      <c r="J525" s="10">
        <f t="shared" si="502"/>
        <v>30</v>
      </c>
      <c r="K525" s="57">
        <v>45937</v>
      </c>
      <c r="L525" s="19" t="s">
        <v>12</v>
      </c>
      <c r="M525" s="7"/>
      <c r="N525" s="8"/>
      <c r="O525" s="35"/>
      <c r="P525" s="10">
        <f t="shared" si="499"/>
        <v>0</v>
      </c>
      <c r="Q525" s="7"/>
      <c r="R525" s="8"/>
      <c r="S525" s="35"/>
      <c r="T525" s="48">
        <f t="shared" si="501"/>
        <v>0</v>
      </c>
      <c r="U525" s="10">
        <f t="shared" si="503"/>
        <v>0</v>
      </c>
    </row>
    <row r="526" spans="1:21" x14ac:dyDescent="0.15">
      <c r="A526" s="19" t="s">
        <v>59</v>
      </c>
      <c r="B526" s="7"/>
      <c r="C526" s="8">
        <v>1</v>
      </c>
      <c r="D526" s="35">
        <v>1</v>
      </c>
      <c r="E526" s="10">
        <f t="shared" si="495"/>
        <v>2</v>
      </c>
      <c r="F526" s="7"/>
      <c r="G526" s="8">
        <v>1</v>
      </c>
      <c r="H526" s="35">
        <v>1</v>
      </c>
      <c r="I526" s="48">
        <f t="shared" si="497"/>
        <v>2</v>
      </c>
      <c r="J526" s="10">
        <f t="shared" si="502"/>
        <v>4</v>
      </c>
      <c r="K526" s="66">
        <v>45936</v>
      </c>
      <c r="L526" s="19" t="s">
        <v>13</v>
      </c>
      <c r="M526" s="7"/>
      <c r="N526" s="8"/>
      <c r="O526" s="35"/>
      <c r="P526" s="10">
        <f t="shared" si="499"/>
        <v>0</v>
      </c>
      <c r="Q526" s="7"/>
      <c r="R526" s="8"/>
      <c r="S526" s="35"/>
      <c r="T526" s="48">
        <f t="shared" si="501"/>
        <v>0</v>
      </c>
      <c r="U526" s="10">
        <f t="shared" si="503"/>
        <v>0</v>
      </c>
    </row>
    <row r="527" spans="1:21" x14ac:dyDescent="0.15">
      <c r="A527" s="19" t="s">
        <v>14</v>
      </c>
      <c r="B527" s="11">
        <v>5</v>
      </c>
      <c r="C527" s="12"/>
      <c r="D527" s="36"/>
      <c r="E527" s="10">
        <f t="shared" si="495"/>
        <v>5</v>
      </c>
      <c r="F527" s="11">
        <v>15</v>
      </c>
      <c r="G527" s="12"/>
      <c r="H527" s="36">
        <v>5</v>
      </c>
      <c r="I527" s="48">
        <f t="shared" si="497"/>
        <v>20</v>
      </c>
      <c r="J527" s="10">
        <f t="shared" si="502"/>
        <v>25</v>
      </c>
      <c r="K527" s="57">
        <v>45940</v>
      </c>
      <c r="L527" s="19" t="s">
        <v>14</v>
      </c>
      <c r="M527" s="11"/>
      <c r="N527" s="12"/>
      <c r="O527" s="36"/>
      <c r="P527" s="10">
        <f t="shared" si="499"/>
        <v>0</v>
      </c>
      <c r="Q527" s="11"/>
      <c r="R527" s="12"/>
      <c r="S527" s="36"/>
      <c r="T527" s="48">
        <f t="shared" si="501"/>
        <v>0</v>
      </c>
      <c r="U527" s="10">
        <f t="shared" si="503"/>
        <v>0</v>
      </c>
    </row>
    <row r="528" spans="1:21" ht="14.25" thickBot="1" x14ac:dyDescent="0.2">
      <c r="A528" s="19" t="s">
        <v>173</v>
      </c>
      <c r="B528" s="25">
        <v>1</v>
      </c>
      <c r="C528" s="26">
        <v>5</v>
      </c>
      <c r="D528" s="37"/>
      <c r="E528" s="10">
        <f t="shared" si="495"/>
        <v>6</v>
      </c>
      <c r="F528" s="25">
        <v>1</v>
      </c>
      <c r="G528" s="26">
        <v>1</v>
      </c>
      <c r="H528" s="37">
        <v>1</v>
      </c>
      <c r="I528" s="48">
        <f t="shared" si="497"/>
        <v>3</v>
      </c>
      <c r="J528" s="17">
        <f t="shared" si="502"/>
        <v>9</v>
      </c>
      <c r="K528" s="66">
        <v>45945</v>
      </c>
      <c r="L528" s="19" t="s">
        <v>15</v>
      </c>
      <c r="M528" s="25"/>
      <c r="N528" s="26"/>
      <c r="O528" s="37"/>
      <c r="P528" s="10">
        <f t="shared" si="499"/>
        <v>0</v>
      </c>
      <c r="Q528" s="25"/>
      <c r="R528" s="26"/>
      <c r="S528" s="37"/>
      <c r="T528" s="48">
        <f t="shared" si="501"/>
        <v>0</v>
      </c>
      <c r="U528" s="17">
        <f t="shared" si="503"/>
        <v>0</v>
      </c>
    </row>
    <row r="529" spans="1:22" ht="14.25" thickBot="1" x14ac:dyDescent="0.2">
      <c r="A529" s="27" t="s">
        <v>16</v>
      </c>
      <c r="B529" s="21">
        <f>SUM(B520:B528)</f>
        <v>24</v>
      </c>
      <c r="C529" s="22">
        <f t="shared" ref="C529:J529" si="507">SUM(C520:C528)</f>
        <v>23</v>
      </c>
      <c r="D529" s="38">
        <f t="shared" si="507"/>
        <v>10</v>
      </c>
      <c r="E529" s="54">
        <f t="shared" si="507"/>
        <v>57</v>
      </c>
      <c r="F529" s="21">
        <f t="shared" si="507"/>
        <v>34</v>
      </c>
      <c r="G529" s="22">
        <f t="shared" si="507"/>
        <v>29</v>
      </c>
      <c r="H529" s="38">
        <f t="shared" si="507"/>
        <v>21</v>
      </c>
      <c r="I529" s="53">
        <f t="shared" si="507"/>
        <v>84</v>
      </c>
      <c r="J529" s="24">
        <f t="shared" si="507"/>
        <v>141</v>
      </c>
      <c r="L529" s="27" t="s">
        <v>16</v>
      </c>
      <c r="M529" s="21">
        <f>SUM(M520:M528)</f>
        <v>285</v>
      </c>
      <c r="N529" s="22">
        <f t="shared" ref="N529:U529" si="508">SUM(N520:N528)</f>
        <v>399</v>
      </c>
      <c r="O529" s="38">
        <f t="shared" si="508"/>
        <v>231</v>
      </c>
      <c r="P529" s="54">
        <f t="shared" si="508"/>
        <v>915</v>
      </c>
      <c r="Q529" s="21">
        <f t="shared" si="508"/>
        <v>569</v>
      </c>
      <c r="R529" s="22">
        <f t="shared" si="508"/>
        <v>652</v>
      </c>
      <c r="S529" s="38">
        <f t="shared" si="508"/>
        <v>355</v>
      </c>
      <c r="T529" s="53">
        <f t="shared" si="508"/>
        <v>1576</v>
      </c>
      <c r="U529" s="24">
        <f t="shared" si="508"/>
        <v>2491</v>
      </c>
    </row>
    <row r="530" spans="1:22" x14ac:dyDescent="0.15">
      <c r="A530" s="60" t="s">
        <v>37</v>
      </c>
      <c r="B530" s="11">
        <v>1</v>
      </c>
      <c r="C530" s="12"/>
      <c r="D530" s="13"/>
      <c r="E530" s="10">
        <f t="shared" ref="E530:E555" si="509">SUM(B530:D530)</f>
        <v>1</v>
      </c>
      <c r="F530" s="11">
        <v>3</v>
      </c>
      <c r="G530" s="12">
        <v>1</v>
      </c>
      <c r="H530" s="13"/>
      <c r="I530" s="48">
        <f t="shared" ref="I530:I555" si="510">SUM(F530:H530)</f>
        <v>4</v>
      </c>
      <c r="J530" s="10">
        <f t="shared" ref="J530:J557" si="511">E530+I530</f>
        <v>5</v>
      </c>
      <c r="K530" s="66">
        <v>45916</v>
      </c>
      <c r="L530" s="67" t="s">
        <v>46</v>
      </c>
      <c r="M530" s="11">
        <v>5</v>
      </c>
      <c r="N530" s="12"/>
      <c r="O530" s="13"/>
      <c r="P530" s="10">
        <f t="shared" ref="P530" si="512">SUM(M530:O530)</f>
        <v>5</v>
      </c>
      <c r="Q530" s="11">
        <v>5</v>
      </c>
      <c r="R530" s="12">
        <v>5</v>
      </c>
      <c r="S530" s="13"/>
      <c r="T530" s="48">
        <f t="shared" ref="T530" si="513">SUM(Q530:S530)</f>
        <v>10</v>
      </c>
      <c r="U530" s="10">
        <f t="shared" ref="U530" si="514">P530+T530</f>
        <v>15</v>
      </c>
      <c r="V530" s="57">
        <v>45909</v>
      </c>
    </row>
    <row r="531" spans="1:22" x14ac:dyDescent="0.15">
      <c r="A531" s="60" t="s">
        <v>37</v>
      </c>
      <c r="B531" s="11"/>
      <c r="C531" s="12"/>
      <c r="D531" s="13"/>
      <c r="E531" s="10">
        <f t="shared" si="509"/>
        <v>0</v>
      </c>
      <c r="F531" s="11">
        <v>1</v>
      </c>
      <c r="G531" s="12"/>
      <c r="H531" s="13"/>
      <c r="I531" s="48">
        <f t="shared" si="510"/>
        <v>1</v>
      </c>
      <c r="J531" s="10">
        <f t="shared" si="511"/>
        <v>1</v>
      </c>
      <c r="K531" s="66">
        <v>45917</v>
      </c>
      <c r="L531" s="60" t="s">
        <v>175</v>
      </c>
      <c r="M531" s="11"/>
      <c r="N531" s="12"/>
      <c r="O531" s="13"/>
      <c r="P531" s="10">
        <f t="shared" ref="P531:P555" si="515">SUM(M531:O531)</f>
        <v>0</v>
      </c>
      <c r="Q531" s="11">
        <v>6</v>
      </c>
      <c r="R531" s="12"/>
      <c r="S531" s="13">
        <v>6</v>
      </c>
      <c r="T531" s="48">
        <f t="shared" ref="T531:T555" si="516">SUM(Q531:S531)</f>
        <v>12</v>
      </c>
      <c r="U531" s="10">
        <f t="shared" ref="U531:U557" si="517">P531+T531</f>
        <v>12</v>
      </c>
      <c r="V531" s="57">
        <v>45925</v>
      </c>
    </row>
    <row r="532" spans="1:22" x14ac:dyDescent="0.15">
      <c r="A532" s="60" t="s">
        <v>37</v>
      </c>
      <c r="B532" s="11"/>
      <c r="C532" s="12"/>
      <c r="D532" s="13"/>
      <c r="E532" s="10">
        <f t="shared" si="509"/>
        <v>0</v>
      </c>
      <c r="F532" s="11"/>
      <c r="G532" s="12">
        <v>3</v>
      </c>
      <c r="H532" s="13"/>
      <c r="I532" s="48">
        <f t="shared" si="510"/>
        <v>3</v>
      </c>
      <c r="J532" s="10">
        <f t="shared" si="511"/>
        <v>3</v>
      </c>
      <c r="K532" s="66">
        <v>45918</v>
      </c>
      <c r="L532" s="60" t="s">
        <v>176</v>
      </c>
      <c r="M532" s="11"/>
      <c r="N532" s="12"/>
      <c r="O532" s="13"/>
      <c r="P532" s="10">
        <f t="shared" si="515"/>
        <v>0</v>
      </c>
      <c r="Q532" s="11">
        <v>10</v>
      </c>
      <c r="R532" s="12"/>
      <c r="S532" s="13"/>
      <c r="T532" s="48">
        <f t="shared" si="516"/>
        <v>10</v>
      </c>
      <c r="U532" s="10">
        <f t="shared" si="517"/>
        <v>10</v>
      </c>
      <c r="V532" s="57">
        <v>45926</v>
      </c>
    </row>
    <row r="533" spans="1:22" x14ac:dyDescent="0.15">
      <c r="A533" s="60" t="s">
        <v>37</v>
      </c>
      <c r="B533" s="11"/>
      <c r="C533" s="12"/>
      <c r="D533" s="13"/>
      <c r="E533" s="10">
        <f t="shared" si="509"/>
        <v>0</v>
      </c>
      <c r="F533" s="11">
        <v>1</v>
      </c>
      <c r="G533" s="12"/>
      <c r="H533" s="13"/>
      <c r="I533" s="48">
        <f t="shared" si="510"/>
        <v>1</v>
      </c>
      <c r="J533" s="10">
        <f t="shared" si="511"/>
        <v>1</v>
      </c>
      <c r="K533" s="66">
        <v>45919</v>
      </c>
      <c r="L533" s="60" t="s">
        <v>177</v>
      </c>
      <c r="M533" s="11"/>
      <c r="N533" s="12"/>
      <c r="O533" s="13">
        <v>3</v>
      </c>
      <c r="P533" s="10">
        <f t="shared" si="515"/>
        <v>3</v>
      </c>
      <c r="Q533" s="11"/>
      <c r="R533" s="12"/>
      <c r="S533" s="13">
        <v>3</v>
      </c>
      <c r="T533" s="48">
        <f t="shared" si="516"/>
        <v>3</v>
      </c>
      <c r="U533" s="10">
        <f t="shared" si="517"/>
        <v>6</v>
      </c>
      <c r="V533" s="57">
        <v>45926</v>
      </c>
    </row>
    <row r="534" spans="1:22" x14ac:dyDescent="0.15">
      <c r="A534" s="60" t="s">
        <v>37</v>
      </c>
      <c r="B534" s="11">
        <v>1</v>
      </c>
      <c r="C534" s="12"/>
      <c r="D534" s="13"/>
      <c r="E534" s="10">
        <f t="shared" si="509"/>
        <v>1</v>
      </c>
      <c r="F534" s="11"/>
      <c r="G534" s="12">
        <v>3</v>
      </c>
      <c r="H534" s="13"/>
      <c r="I534" s="48">
        <f t="shared" si="510"/>
        <v>3</v>
      </c>
      <c r="J534" s="10">
        <f t="shared" si="511"/>
        <v>4</v>
      </c>
      <c r="K534" s="66">
        <v>45922</v>
      </c>
      <c r="L534" s="60" t="s">
        <v>178</v>
      </c>
      <c r="M534" s="11"/>
      <c r="N534" s="12">
        <v>20</v>
      </c>
      <c r="O534" s="13"/>
      <c r="P534" s="10">
        <f t="shared" si="515"/>
        <v>20</v>
      </c>
      <c r="Q534" s="11"/>
      <c r="R534" s="12">
        <v>20</v>
      </c>
      <c r="S534" s="13"/>
      <c r="T534" s="48">
        <f t="shared" si="516"/>
        <v>20</v>
      </c>
      <c r="U534" s="10">
        <f t="shared" si="517"/>
        <v>40</v>
      </c>
      <c r="V534" s="57">
        <v>45926</v>
      </c>
    </row>
    <row r="535" spans="1:22" x14ac:dyDescent="0.15">
      <c r="A535" s="60" t="s">
        <v>37</v>
      </c>
      <c r="B535" s="11">
        <v>1</v>
      </c>
      <c r="C535" s="12"/>
      <c r="D535" s="13"/>
      <c r="E535" s="10">
        <f t="shared" si="509"/>
        <v>1</v>
      </c>
      <c r="F535" s="11"/>
      <c r="G535" s="12">
        <v>1</v>
      </c>
      <c r="H535" s="13"/>
      <c r="I535" s="48">
        <f t="shared" si="510"/>
        <v>1</v>
      </c>
      <c r="J535" s="10">
        <f t="shared" si="511"/>
        <v>2</v>
      </c>
      <c r="K535" s="66">
        <v>45924</v>
      </c>
      <c r="L535" s="67" t="s">
        <v>46</v>
      </c>
      <c r="M535" s="7"/>
      <c r="N535" s="8"/>
      <c r="O535" s="35"/>
      <c r="P535" s="10">
        <f t="shared" si="515"/>
        <v>0</v>
      </c>
      <c r="Q535" s="7">
        <v>5</v>
      </c>
      <c r="R535" s="8">
        <v>5</v>
      </c>
      <c r="S535" s="35"/>
      <c r="T535" s="48">
        <f t="shared" si="516"/>
        <v>10</v>
      </c>
      <c r="U535" s="10">
        <f t="shared" si="517"/>
        <v>10</v>
      </c>
      <c r="V535" s="57">
        <v>45924</v>
      </c>
    </row>
    <row r="536" spans="1:22" x14ac:dyDescent="0.15">
      <c r="A536" s="60" t="s">
        <v>37</v>
      </c>
      <c r="B536" s="11"/>
      <c r="C536" s="12">
        <v>2</v>
      </c>
      <c r="D536" s="13"/>
      <c r="E536" s="10">
        <f t="shared" si="509"/>
        <v>2</v>
      </c>
      <c r="F536" s="11"/>
      <c r="G536" s="12">
        <v>1</v>
      </c>
      <c r="H536" s="13">
        <v>5</v>
      </c>
      <c r="I536" s="48">
        <f t="shared" si="510"/>
        <v>6</v>
      </c>
      <c r="J536" s="10">
        <f t="shared" si="511"/>
        <v>8</v>
      </c>
      <c r="K536" s="66">
        <v>45925</v>
      </c>
      <c r="L536" s="60" t="s">
        <v>179</v>
      </c>
      <c r="M536" s="11"/>
      <c r="N536" s="12"/>
      <c r="O536" s="13"/>
      <c r="P536" s="10">
        <f t="shared" si="515"/>
        <v>0</v>
      </c>
      <c r="Q536" s="11"/>
      <c r="R536" s="12"/>
      <c r="S536" s="13">
        <v>4</v>
      </c>
      <c r="T536" s="48">
        <f t="shared" si="516"/>
        <v>4</v>
      </c>
      <c r="U536" s="10">
        <f t="shared" si="517"/>
        <v>4</v>
      </c>
      <c r="V536" s="57">
        <v>45930</v>
      </c>
    </row>
    <row r="537" spans="1:22" x14ac:dyDescent="0.15">
      <c r="A537" s="60" t="s">
        <v>37</v>
      </c>
      <c r="B537" s="11">
        <v>1</v>
      </c>
      <c r="C537" s="12"/>
      <c r="D537" s="13"/>
      <c r="E537" s="10">
        <f t="shared" si="509"/>
        <v>1</v>
      </c>
      <c r="F537" s="11"/>
      <c r="G537" s="12"/>
      <c r="H537" s="13">
        <v>1</v>
      </c>
      <c r="I537" s="48">
        <f t="shared" si="510"/>
        <v>1</v>
      </c>
      <c r="J537" s="10">
        <f t="shared" si="511"/>
        <v>2</v>
      </c>
      <c r="K537" s="66">
        <v>45926</v>
      </c>
      <c r="L537" s="60" t="s">
        <v>180</v>
      </c>
      <c r="M537" s="11"/>
      <c r="N537" s="12">
        <v>17</v>
      </c>
      <c r="O537" s="13">
        <v>5</v>
      </c>
      <c r="P537" s="10">
        <f t="shared" si="515"/>
        <v>22</v>
      </c>
      <c r="Q537" s="11"/>
      <c r="R537" s="12">
        <v>17</v>
      </c>
      <c r="S537" s="13">
        <v>5</v>
      </c>
      <c r="T537" s="48">
        <f t="shared" si="516"/>
        <v>22</v>
      </c>
      <c r="U537" s="10">
        <f t="shared" si="517"/>
        <v>44</v>
      </c>
      <c r="V537" s="57">
        <v>45930</v>
      </c>
    </row>
    <row r="538" spans="1:22" x14ac:dyDescent="0.15">
      <c r="A538" s="60" t="s">
        <v>37</v>
      </c>
      <c r="B538" s="11">
        <f>1+1</f>
        <v>2</v>
      </c>
      <c r="C538" s="12">
        <f>2+1</f>
        <v>3</v>
      </c>
      <c r="D538" s="13">
        <v>1</v>
      </c>
      <c r="E538" s="10">
        <f t="shared" si="509"/>
        <v>6</v>
      </c>
      <c r="F538" s="11">
        <v>2</v>
      </c>
      <c r="G538" s="12">
        <f>1+1</f>
        <v>2</v>
      </c>
      <c r="H538" s="13"/>
      <c r="I538" s="48">
        <f t="shared" si="510"/>
        <v>4</v>
      </c>
      <c r="J538" s="10">
        <f t="shared" si="511"/>
        <v>10</v>
      </c>
      <c r="K538" s="66">
        <v>45929</v>
      </c>
      <c r="L538" s="60" t="s">
        <v>181</v>
      </c>
      <c r="M538" s="11"/>
      <c r="N538" s="12">
        <v>4</v>
      </c>
      <c r="O538" s="13"/>
      <c r="P538" s="10">
        <f t="shared" si="515"/>
        <v>4</v>
      </c>
      <c r="Q538" s="11"/>
      <c r="R538" s="12"/>
      <c r="S538" s="13"/>
      <c r="T538" s="48">
        <f t="shared" si="516"/>
        <v>0</v>
      </c>
      <c r="U538" s="10">
        <f t="shared" si="517"/>
        <v>4</v>
      </c>
      <c r="V538" s="57">
        <v>45930</v>
      </c>
    </row>
    <row r="539" spans="1:22" x14ac:dyDescent="0.15">
      <c r="A539" s="60" t="s">
        <v>37</v>
      </c>
      <c r="B539" s="11">
        <v>1</v>
      </c>
      <c r="C539" s="12">
        <v>1</v>
      </c>
      <c r="D539" s="13"/>
      <c r="E539" s="10">
        <f t="shared" si="509"/>
        <v>2</v>
      </c>
      <c r="F539" s="11"/>
      <c r="G539" s="12">
        <v>1</v>
      </c>
      <c r="H539" s="13"/>
      <c r="I539" s="48">
        <f t="shared" si="510"/>
        <v>1</v>
      </c>
      <c r="J539" s="10">
        <f t="shared" si="511"/>
        <v>3</v>
      </c>
      <c r="K539" s="66">
        <v>45930</v>
      </c>
      <c r="L539" s="60" t="s">
        <v>182</v>
      </c>
      <c r="M539" s="11">
        <v>6</v>
      </c>
      <c r="N539" s="12">
        <v>6</v>
      </c>
      <c r="O539" s="13"/>
      <c r="P539" s="10">
        <f t="shared" si="515"/>
        <v>12</v>
      </c>
      <c r="Q539" s="11">
        <v>12</v>
      </c>
      <c r="R539" s="12"/>
      <c r="S539" s="13">
        <v>6</v>
      </c>
      <c r="T539" s="48">
        <f t="shared" si="516"/>
        <v>18</v>
      </c>
      <c r="U539" s="10">
        <f t="shared" si="517"/>
        <v>30</v>
      </c>
      <c r="V539" s="57">
        <v>45932</v>
      </c>
    </row>
    <row r="540" spans="1:22" x14ac:dyDescent="0.15">
      <c r="A540" s="60" t="s">
        <v>37</v>
      </c>
      <c r="B540" s="11"/>
      <c r="C540" s="12"/>
      <c r="D540" s="13"/>
      <c r="E540" s="10">
        <f t="shared" si="509"/>
        <v>0</v>
      </c>
      <c r="F540" s="11">
        <v>1</v>
      </c>
      <c r="G540" s="12">
        <v>1</v>
      </c>
      <c r="H540" s="13"/>
      <c r="I540" s="48">
        <f t="shared" si="510"/>
        <v>2</v>
      </c>
      <c r="J540" s="10">
        <f t="shared" si="511"/>
        <v>2</v>
      </c>
      <c r="K540" s="66">
        <v>45931</v>
      </c>
      <c r="L540" s="60" t="s">
        <v>183</v>
      </c>
      <c r="M540" s="11">
        <v>15</v>
      </c>
      <c r="N540" s="12">
        <v>20</v>
      </c>
      <c r="O540" s="13">
        <v>10</v>
      </c>
      <c r="P540" s="10">
        <f t="shared" si="515"/>
        <v>45</v>
      </c>
      <c r="Q540" s="11">
        <v>15</v>
      </c>
      <c r="R540" s="12">
        <v>20</v>
      </c>
      <c r="S540" s="13">
        <v>10</v>
      </c>
      <c r="T540" s="48">
        <f t="shared" si="516"/>
        <v>45</v>
      </c>
      <c r="U540" s="10">
        <f t="shared" si="517"/>
        <v>90</v>
      </c>
      <c r="V540" s="57">
        <v>45932</v>
      </c>
    </row>
    <row r="541" spans="1:22" x14ac:dyDescent="0.15">
      <c r="A541" s="60" t="s">
        <v>37</v>
      </c>
      <c r="B541" s="11">
        <v>1</v>
      </c>
      <c r="C541" s="12"/>
      <c r="D541" s="13"/>
      <c r="E541" s="10">
        <f t="shared" si="509"/>
        <v>1</v>
      </c>
      <c r="F541" s="11"/>
      <c r="G541" s="12"/>
      <c r="H541" s="13"/>
      <c r="I541" s="48">
        <f t="shared" si="510"/>
        <v>0</v>
      </c>
      <c r="J541" s="10">
        <f t="shared" si="511"/>
        <v>1</v>
      </c>
      <c r="K541" s="66">
        <v>45932</v>
      </c>
      <c r="L541" s="60" t="s">
        <v>184</v>
      </c>
      <c r="M541" s="11"/>
      <c r="N541" s="12"/>
      <c r="O541" s="13">
        <v>4</v>
      </c>
      <c r="P541" s="10">
        <f t="shared" si="515"/>
        <v>4</v>
      </c>
      <c r="Q541" s="11"/>
      <c r="R541" s="12"/>
      <c r="S541" s="13"/>
      <c r="T541" s="48">
        <f t="shared" si="516"/>
        <v>0</v>
      </c>
      <c r="U541" s="10">
        <f t="shared" si="517"/>
        <v>4</v>
      </c>
      <c r="V541" s="57">
        <v>45932</v>
      </c>
    </row>
    <row r="542" spans="1:22" x14ac:dyDescent="0.15">
      <c r="A542" s="60" t="s">
        <v>37</v>
      </c>
      <c r="B542" s="11"/>
      <c r="C542" s="12"/>
      <c r="D542" s="13"/>
      <c r="E542" s="10">
        <f t="shared" si="509"/>
        <v>0</v>
      </c>
      <c r="F542" s="11">
        <v>1</v>
      </c>
      <c r="G542" s="12">
        <v>1</v>
      </c>
      <c r="H542" s="13"/>
      <c r="I542" s="48">
        <f t="shared" si="510"/>
        <v>2</v>
      </c>
      <c r="J542" s="10">
        <f t="shared" si="511"/>
        <v>2</v>
      </c>
      <c r="K542" s="66">
        <v>45933</v>
      </c>
      <c r="L542" s="60" t="s">
        <v>185</v>
      </c>
      <c r="M542" s="11"/>
      <c r="N542" s="12"/>
      <c r="O542" s="13">
        <v>4</v>
      </c>
      <c r="P542" s="10">
        <f t="shared" si="515"/>
        <v>4</v>
      </c>
      <c r="Q542" s="11"/>
      <c r="R542" s="12"/>
      <c r="S542" s="13"/>
      <c r="T542" s="48">
        <f t="shared" si="516"/>
        <v>0</v>
      </c>
      <c r="U542" s="10">
        <f t="shared" si="517"/>
        <v>4</v>
      </c>
      <c r="V542" s="57">
        <v>45932</v>
      </c>
    </row>
    <row r="543" spans="1:22" x14ac:dyDescent="0.15">
      <c r="A543" s="60" t="s">
        <v>37</v>
      </c>
      <c r="B543" s="11">
        <v>1</v>
      </c>
      <c r="C543" s="12"/>
      <c r="D543" s="13"/>
      <c r="E543" s="10">
        <f t="shared" si="509"/>
        <v>1</v>
      </c>
      <c r="F543" s="11">
        <v>1</v>
      </c>
      <c r="G543" s="12">
        <v>1</v>
      </c>
      <c r="H543" s="13"/>
      <c r="I543" s="48">
        <f t="shared" si="510"/>
        <v>2</v>
      </c>
      <c r="J543" s="10">
        <f t="shared" si="511"/>
        <v>3</v>
      </c>
      <c r="K543" s="66">
        <v>45934</v>
      </c>
      <c r="L543" s="60" t="s">
        <v>186</v>
      </c>
      <c r="M543" s="11">
        <v>5</v>
      </c>
      <c r="N543" s="12"/>
      <c r="O543" s="13"/>
      <c r="P543" s="10">
        <f t="shared" si="515"/>
        <v>5</v>
      </c>
      <c r="Q543" s="11"/>
      <c r="R543" s="12">
        <v>5</v>
      </c>
      <c r="S543" s="13"/>
      <c r="T543" s="48">
        <f t="shared" si="516"/>
        <v>5</v>
      </c>
      <c r="U543" s="10">
        <f t="shared" si="517"/>
        <v>10</v>
      </c>
      <c r="V543" s="57">
        <v>45932</v>
      </c>
    </row>
    <row r="544" spans="1:22" x14ac:dyDescent="0.15">
      <c r="A544" s="60" t="s">
        <v>37</v>
      </c>
      <c r="B544" s="11">
        <v>2</v>
      </c>
      <c r="C544" s="12">
        <v>2</v>
      </c>
      <c r="D544" s="13">
        <v>1</v>
      </c>
      <c r="E544" s="10">
        <f t="shared" si="509"/>
        <v>5</v>
      </c>
      <c r="F544" s="11">
        <v>2</v>
      </c>
      <c r="G544" s="12">
        <v>1</v>
      </c>
      <c r="H544" s="13">
        <v>3</v>
      </c>
      <c r="I544" s="48">
        <f t="shared" si="510"/>
        <v>6</v>
      </c>
      <c r="J544" s="10">
        <f t="shared" si="511"/>
        <v>11</v>
      </c>
      <c r="K544" s="66">
        <v>45936</v>
      </c>
      <c r="L544" s="60" t="s">
        <v>46</v>
      </c>
      <c r="M544" s="11">
        <v>5</v>
      </c>
      <c r="N544" s="12">
        <v>5</v>
      </c>
      <c r="O544" s="13"/>
      <c r="P544" s="10">
        <f t="shared" si="515"/>
        <v>10</v>
      </c>
      <c r="Q544" s="11">
        <v>5</v>
      </c>
      <c r="R544" s="12">
        <v>10</v>
      </c>
      <c r="S544" s="13">
        <v>5</v>
      </c>
      <c r="T544" s="48">
        <f t="shared" si="516"/>
        <v>20</v>
      </c>
      <c r="U544" s="10">
        <f t="shared" si="517"/>
        <v>30</v>
      </c>
      <c r="V544" s="57">
        <v>45937</v>
      </c>
    </row>
    <row r="545" spans="1:23" x14ac:dyDescent="0.15">
      <c r="A545" s="60" t="s">
        <v>37</v>
      </c>
      <c r="B545" s="11">
        <v>1</v>
      </c>
      <c r="C545" s="12"/>
      <c r="D545" s="13"/>
      <c r="E545" s="10">
        <f t="shared" si="509"/>
        <v>1</v>
      </c>
      <c r="F545" s="11">
        <v>1</v>
      </c>
      <c r="G545" s="12">
        <v>1</v>
      </c>
      <c r="H545" s="13">
        <v>1</v>
      </c>
      <c r="I545" s="48">
        <f t="shared" si="510"/>
        <v>3</v>
      </c>
      <c r="J545" s="10">
        <f t="shared" si="511"/>
        <v>4</v>
      </c>
      <c r="K545" s="66">
        <v>45937</v>
      </c>
      <c r="L545" s="60" t="s">
        <v>46</v>
      </c>
      <c r="M545" s="7">
        <v>5</v>
      </c>
      <c r="N545" s="12"/>
      <c r="O545" s="13"/>
      <c r="P545" s="10">
        <f>SUM(M545:O545)</f>
        <v>5</v>
      </c>
      <c r="Q545" s="11">
        <v>15</v>
      </c>
      <c r="R545" s="12"/>
      <c r="S545" s="13">
        <v>5</v>
      </c>
      <c r="T545" s="48">
        <f t="shared" si="516"/>
        <v>20</v>
      </c>
      <c r="U545" s="10">
        <f t="shared" si="517"/>
        <v>25</v>
      </c>
      <c r="V545" s="57">
        <v>45940</v>
      </c>
      <c r="W545" s="39"/>
    </row>
    <row r="546" spans="1:23" x14ac:dyDescent="0.15">
      <c r="A546" s="60" t="s">
        <v>37</v>
      </c>
      <c r="B546" s="11">
        <v>1</v>
      </c>
      <c r="C546" s="12">
        <v>2</v>
      </c>
      <c r="D546" s="13"/>
      <c r="E546" s="10">
        <f t="shared" si="509"/>
        <v>3</v>
      </c>
      <c r="F546" s="11">
        <v>4</v>
      </c>
      <c r="G546" s="12">
        <v>2</v>
      </c>
      <c r="H546" s="13"/>
      <c r="I546" s="48">
        <f t="shared" si="510"/>
        <v>6</v>
      </c>
      <c r="J546" s="10">
        <f t="shared" si="511"/>
        <v>9</v>
      </c>
      <c r="K546" s="66">
        <v>45938</v>
      </c>
      <c r="L546" s="60" t="s">
        <v>187</v>
      </c>
      <c r="M546" s="39"/>
      <c r="N546" s="12"/>
      <c r="O546" s="13"/>
      <c r="P546" s="10">
        <f t="shared" si="515"/>
        <v>0</v>
      </c>
      <c r="Q546" s="11"/>
      <c r="R546" s="12">
        <v>2</v>
      </c>
      <c r="S546" s="13"/>
      <c r="T546" s="48">
        <f t="shared" si="516"/>
        <v>2</v>
      </c>
      <c r="U546" s="10">
        <f t="shared" si="517"/>
        <v>2</v>
      </c>
      <c r="V546" s="57">
        <v>45944</v>
      </c>
    </row>
    <row r="547" spans="1:23" x14ac:dyDescent="0.15">
      <c r="A547" s="60" t="s">
        <v>37</v>
      </c>
      <c r="B547" s="11"/>
      <c r="C547" s="12">
        <v>2</v>
      </c>
      <c r="D547" s="13"/>
      <c r="E547" s="10">
        <f t="shared" si="509"/>
        <v>2</v>
      </c>
      <c r="F547" s="11">
        <v>1</v>
      </c>
      <c r="G547" s="12">
        <v>1</v>
      </c>
      <c r="H547" s="13">
        <v>1</v>
      </c>
      <c r="I547" s="48">
        <f t="shared" si="510"/>
        <v>3</v>
      </c>
      <c r="J547" s="10">
        <f t="shared" si="511"/>
        <v>5</v>
      </c>
      <c r="K547" s="66">
        <v>45939</v>
      </c>
      <c r="L547" s="60" t="s">
        <v>188</v>
      </c>
      <c r="M547" s="11"/>
      <c r="N547" s="12"/>
      <c r="O547" s="13"/>
      <c r="P547" s="10">
        <f t="shared" si="515"/>
        <v>0</v>
      </c>
      <c r="Q547" s="11"/>
      <c r="R547" s="12">
        <v>10</v>
      </c>
      <c r="S547" s="13"/>
      <c r="T547" s="48">
        <f t="shared" si="516"/>
        <v>10</v>
      </c>
      <c r="U547" s="10">
        <f t="shared" si="517"/>
        <v>10</v>
      </c>
      <c r="V547" s="57">
        <v>45950</v>
      </c>
    </row>
    <row r="548" spans="1:23" x14ac:dyDescent="0.15">
      <c r="A548" s="60" t="s">
        <v>37</v>
      </c>
      <c r="B548" s="11"/>
      <c r="C548" s="12">
        <v>1</v>
      </c>
      <c r="D548" s="13"/>
      <c r="E548" s="10">
        <f t="shared" si="509"/>
        <v>1</v>
      </c>
      <c r="F548" s="11">
        <f>1+5</f>
        <v>6</v>
      </c>
      <c r="G548" s="12">
        <v>2</v>
      </c>
      <c r="H548" s="13"/>
      <c r="I548" s="48">
        <f t="shared" si="510"/>
        <v>8</v>
      </c>
      <c r="J548" s="10">
        <f t="shared" si="511"/>
        <v>9</v>
      </c>
      <c r="K548" s="66">
        <v>45940</v>
      </c>
      <c r="L548" s="92" t="s">
        <v>190</v>
      </c>
      <c r="M548" s="93">
        <v>5</v>
      </c>
      <c r="N548" s="94"/>
      <c r="O548" s="95"/>
      <c r="P548" s="96">
        <f t="shared" si="515"/>
        <v>5</v>
      </c>
      <c r="Q548" s="93">
        <v>5</v>
      </c>
      <c r="R548" s="94">
        <v>5</v>
      </c>
      <c r="S548" s="95"/>
      <c r="T548" s="97">
        <f t="shared" si="516"/>
        <v>10</v>
      </c>
      <c r="U548" s="96">
        <f t="shared" si="517"/>
        <v>15</v>
      </c>
      <c r="V548" s="98">
        <v>45951</v>
      </c>
    </row>
    <row r="549" spans="1:23" x14ac:dyDescent="0.15">
      <c r="A549" s="60" t="s">
        <v>37</v>
      </c>
      <c r="B549" s="11">
        <v>1</v>
      </c>
      <c r="C549" s="12">
        <v>1</v>
      </c>
      <c r="D549" s="13"/>
      <c r="E549" s="10">
        <f t="shared" si="509"/>
        <v>2</v>
      </c>
      <c r="F549" s="11">
        <v>2</v>
      </c>
      <c r="G549" s="12">
        <v>3</v>
      </c>
      <c r="H549" s="13">
        <v>1</v>
      </c>
      <c r="I549" s="48">
        <f t="shared" si="510"/>
        <v>6</v>
      </c>
      <c r="J549" s="10">
        <f t="shared" si="511"/>
        <v>8</v>
      </c>
      <c r="K549" s="66">
        <v>45944</v>
      </c>
      <c r="L549" s="60" t="s">
        <v>191</v>
      </c>
      <c r="M549" s="11">
        <v>11</v>
      </c>
      <c r="N549" s="12"/>
      <c r="O549" s="13"/>
      <c r="P549" s="10">
        <f t="shared" si="515"/>
        <v>11</v>
      </c>
      <c r="Q549" s="11">
        <v>11</v>
      </c>
      <c r="R549" s="12"/>
      <c r="S549" s="13"/>
      <c r="T549" s="48">
        <f t="shared" si="516"/>
        <v>11</v>
      </c>
      <c r="U549" s="10">
        <f t="shared" si="517"/>
        <v>22</v>
      </c>
      <c r="V549" s="57">
        <v>45954</v>
      </c>
    </row>
    <row r="550" spans="1:23" x14ac:dyDescent="0.15">
      <c r="A550" s="60" t="s">
        <v>37</v>
      </c>
      <c r="B550" s="11">
        <v>1</v>
      </c>
      <c r="C550" s="12"/>
      <c r="D550" s="13">
        <v>1</v>
      </c>
      <c r="E550" s="10">
        <f t="shared" si="509"/>
        <v>2</v>
      </c>
      <c r="F550" s="11">
        <v>2</v>
      </c>
      <c r="G550" s="12"/>
      <c r="H550" s="13">
        <v>1</v>
      </c>
      <c r="I550" s="48">
        <f t="shared" si="510"/>
        <v>3</v>
      </c>
      <c r="J550" s="10">
        <f t="shared" si="511"/>
        <v>5</v>
      </c>
      <c r="K550" s="66">
        <v>45945</v>
      </c>
      <c r="L550" s="60" t="s">
        <v>193</v>
      </c>
      <c r="M550" s="11">
        <v>16</v>
      </c>
      <c r="N550" s="12"/>
      <c r="O550" s="13"/>
      <c r="P550" s="10">
        <f t="shared" si="515"/>
        <v>16</v>
      </c>
      <c r="Q550" s="11"/>
      <c r="R550" s="12"/>
      <c r="S550" s="13"/>
      <c r="T550" s="48">
        <f t="shared" si="516"/>
        <v>0</v>
      </c>
      <c r="U550" s="10">
        <f t="shared" si="517"/>
        <v>16</v>
      </c>
      <c r="V550" s="57">
        <v>45961</v>
      </c>
    </row>
    <row r="551" spans="1:23" x14ac:dyDescent="0.15">
      <c r="A551" s="60" t="s">
        <v>37</v>
      </c>
      <c r="B551" s="11">
        <f>1+1</f>
        <v>2</v>
      </c>
      <c r="C551" s="12">
        <v>1</v>
      </c>
      <c r="D551" s="13"/>
      <c r="E551" s="10">
        <f t="shared" si="509"/>
        <v>3</v>
      </c>
      <c r="F551" s="11">
        <v>1</v>
      </c>
      <c r="G551" s="12"/>
      <c r="H551" s="13">
        <v>1</v>
      </c>
      <c r="I551" s="48">
        <f t="shared" si="510"/>
        <v>2</v>
      </c>
      <c r="J551" s="10">
        <f t="shared" si="511"/>
        <v>5</v>
      </c>
      <c r="K551" s="66">
        <v>45946</v>
      </c>
      <c r="L551" s="60" t="s">
        <v>194</v>
      </c>
      <c r="M551" s="11"/>
      <c r="N551" s="12"/>
      <c r="O551" s="13">
        <v>2</v>
      </c>
      <c r="P551" s="10">
        <f t="shared" si="515"/>
        <v>2</v>
      </c>
      <c r="Q551" s="11"/>
      <c r="R551" s="12"/>
      <c r="S551" s="13">
        <v>2</v>
      </c>
      <c r="T551" s="48">
        <f t="shared" si="516"/>
        <v>2</v>
      </c>
      <c r="U551" s="10">
        <f t="shared" si="517"/>
        <v>4</v>
      </c>
      <c r="V551" s="57">
        <v>45971</v>
      </c>
    </row>
    <row r="552" spans="1:23" x14ac:dyDescent="0.15">
      <c r="A552" s="60" t="s">
        <v>37</v>
      </c>
      <c r="B552" s="11"/>
      <c r="C552" s="12">
        <v>1</v>
      </c>
      <c r="D552" s="13"/>
      <c r="E552" s="10">
        <f t="shared" si="509"/>
        <v>1</v>
      </c>
      <c r="F552" s="11"/>
      <c r="G552" s="12"/>
      <c r="H552" s="13"/>
      <c r="I552" s="48">
        <f t="shared" si="510"/>
        <v>0</v>
      </c>
      <c r="J552" s="10">
        <f t="shared" si="511"/>
        <v>1</v>
      </c>
      <c r="K552" s="66">
        <v>45948</v>
      </c>
      <c r="L552" s="60" t="s">
        <v>195</v>
      </c>
      <c r="M552" s="11"/>
      <c r="N552" s="12"/>
      <c r="O552" s="13"/>
      <c r="P552" s="10">
        <f t="shared" si="515"/>
        <v>0</v>
      </c>
      <c r="Q552" s="11"/>
      <c r="R552" s="12">
        <v>14</v>
      </c>
      <c r="S552" s="13"/>
      <c r="T552" s="48">
        <f t="shared" si="516"/>
        <v>14</v>
      </c>
      <c r="U552" s="10">
        <f t="shared" si="517"/>
        <v>14</v>
      </c>
      <c r="V552" s="57">
        <v>45971</v>
      </c>
    </row>
    <row r="553" spans="1:23" x14ac:dyDescent="0.15">
      <c r="A553" s="60" t="s">
        <v>37</v>
      </c>
      <c r="B553" s="11">
        <v>2</v>
      </c>
      <c r="C553" s="12"/>
      <c r="D553" s="13"/>
      <c r="E553" s="10">
        <f t="shared" si="509"/>
        <v>2</v>
      </c>
      <c r="F553" s="11">
        <v>1</v>
      </c>
      <c r="G553" s="12">
        <v>1</v>
      </c>
      <c r="H553" s="13"/>
      <c r="I553" s="48">
        <f t="shared" si="510"/>
        <v>2</v>
      </c>
      <c r="J553" s="10">
        <f t="shared" si="511"/>
        <v>4</v>
      </c>
      <c r="K553" s="66">
        <v>45950</v>
      </c>
      <c r="L553" s="60"/>
      <c r="M553" s="11"/>
      <c r="N553" s="12"/>
      <c r="O553" s="13"/>
      <c r="P553" s="10">
        <f t="shared" si="515"/>
        <v>0</v>
      </c>
      <c r="Q553" s="11"/>
      <c r="R553" s="12"/>
      <c r="S553" s="13"/>
      <c r="T553" s="48">
        <f t="shared" si="516"/>
        <v>0</v>
      </c>
      <c r="U553" s="10">
        <f t="shared" si="517"/>
        <v>0</v>
      </c>
    </row>
    <row r="554" spans="1:23" x14ac:dyDescent="0.15">
      <c r="A554" s="92" t="s">
        <v>189</v>
      </c>
      <c r="B554" s="93">
        <v>-5</v>
      </c>
      <c r="C554" s="94"/>
      <c r="D554" s="95"/>
      <c r="E554" s="96">
        <f t="shared" si="509"/>
        <v>-5</v>
      </c>
      <c r="F554" s="93">
        <v>-5</v>
      </c>
      <c r="G554" s="94">
        <v>-5</v>
      </c>
      <c r="H554" s="95"/>
      <c r="I554" s="97">
        <f t="shared" si="510"/>
        <v>-10</v>
      </c>
      <c r="J554" s="96">
        <f t="shared" si="511"/>
        <v>-15</v>
      </c>
      <c r="K554" s="98">
        <v>45951</v>
      </c>
      <c r="L554" s="60" t="s">
        <v>125</v>
      </c>
      <c r="M554" s="11"/>
      <c r="N554" s="12"/>
      <c r="O554" s="13"/>
      <c r="P554" s="10">
        <f t="shared" si="515"/>
        <v>0</v>
      </c>
      <c r="Q554" s="11"/>
      <c r="R554" s="12"/>
      <c r="S554" s="13"/>
      <c r="T554" s="48">
        <f t="shared" si="516"/>
        <v>0</v>
      </c>
      <c r="U554" s="10">
        <f t="shared" si="517"/>
        <v>0</v>
      </c>
      <c r="V554" s="56" t="s">
        <v>127</v>
      </c>
    </row>
    <row r="555" spans="1:23" ht="14.25" thickBot="1" x14ac:dyDescent="0.2">
      <c r="A555" s="60" t="s">
        <v>37</v>
      </c>
      <c r="B555" s="11"/>
      <c r="C555" s="12"/>
      <c r="D555" s="13"/>
      <c r="E555" s="10">
        <f t="shared" si="509"/>
        <v>0</v>
      </c>
      <c r="F555" s="11">
        <v>1</v>
      </c>
      <c r="G555" s="12"/>
      <c r="H555" s="13"/>
      <c r="I555" s="48">
        <f t="shared" si="510"/>
        <v>1</v>
      </c>
      <c r="J555" s="10">
        <f t="shared" si="511"/>
        <v>1</v>
      </c>
      <c r="K555" s="66">
        <v>45951</v>
      </c>
      <c r="L555" s="60" t="s">
        <v>126</v>
      </c>
      <c r="M555" s="11"/>
      <c r="N555" s="12"/>
      <c r="O555" s="13"/>
      <c r="P555" s="10">
        <f t="shared" si="515"/>
        <v>0</v>
      </c>
      <c r="Q555" s="11"/>
      <c r="R555" s="12"/>
      <c r="S555" s="13"/>
      <c r="T555" s="48">
        <f t="shared" si="516"/>
        <v>0</v>
      </c>
      <c r="U555" s="10">
        <f t="shared" si="517"/>
        <v>0</v>
      </c>
      <c r="V555" s="56" t="s">
        <v>127</v>
      </c>
    </row>
    <row r="556" spans="1:23" ht="14.25" thickBot="1" x14ac:dyDescent="0.2">
      <c r="A556" s="29" t="s">
        <v>17</v>
      </c>
      <c r="B556" s="30">
        <f>SUM(B530:B555)</f>
        <v>14</v>
      </c>
      <c r="C556" s="31">
        <f>SUM(C530:C555)</f>
        <v>16</v>
      </c>
      <c r="D556" s="32">
        <f>SUM(D530:D555)</f>
        <v>3</v>
      </c>
      <c r="E556" s="33">
        <f>SUM(B556:D556)</f>
        <v>33</v>
      </c>
      <c r="F556" s="30">
        <f>SUM(F530:F555)</f>
        <v>26</v>
      </c>
      <c r="G556" s="31">
        <f>SUM(G530:G555)</f>
        <v>21</v>
      </c>
      <c r="H556" s="32">
        <f>SUM(H530:H555)</f>
        <v>14</v>
      </c>
      <c r="I556" s="33">
        <f>SUM(F556:H556)</f>
        <v>61</v>
      </c>
      <c r="J556" s="34">
        <f t="shared" si="511"/>
        <v>94</v>
      </c>
      <c r="L556" s="29" t="s">
        <v>17</v>
      </c>
      <c r="M556" s="30">
        <f>SUM(M530:M555)</f>
        <v>73</v>
      </c>
      <c r="N556" s="31">
        <f>SUM(N530:N555)</f>
        <v>72</v>
      </c>
      <c r="O556" s="32">
        <f>SUM(O530:O555)</f>
        <v>28</v>
      </c>
      <c r="P556" s="33">
        <f>SUM(M556:O556)</f>
        <v>173</v>
      </c>
      <c r="Q556" s="30">
        <f>SUM(Q530:Q555)</f>
        <v>89</v>
      </c>
      <c r="R556" s="31">
        <f>SUM(R530:R555)</f>
        <v>113</v>
      </c>
      <c r="S556" s="32">
        <f>SUM(S530:S555)</f>
        <v>46</v>
      </c>
      <c r="T556" s="33">
        <f>SUM(Q556:S556)</f>
        <v>248</v>
      </c>
      <c r="U556" s="34">
        <f t="shared" si="517"/>
        <v>421</v>
      </c>
    </row>
    <row r="557" spans="1:23" ht="14.25" thickBot="1" x14ac:dyDescent="0.2">
      <c r="A557" s="18" t="s">
        <v>18</v>
      </c>
      <c r="B557" s="44">
        <f>B529-B556</f>
        <v>10</v>
      </c>
      <c r="C557" s="45">
        <f t="shared" ref="C557:E557" si="518">C529-C556</f>
        <v>7</v>
      </c>
      <c r="D557" s="46">
        <f t="shared" si="518"/>
        <v>7</v>
      </c>
      <c r="E557" s="46">
        <f t="shared" si="518"/>
        <v>24</v>
      </c>
      <c r="F557" s="44">
        <f>F529-F556</f>
        <v>8</v>
      </c>
      <c r="G557" s="45">
        <f t="shared" ref="G557:I557" si="519">G529-G556</f>
        <v>8</v>
      </c>
      <c r="H557" s="46">
        <f t="shared" si="519"/>
        <v>7</v>
      </c>
      <c r="I557" s="46">
        <f t="shared" si="519"/>
        <v>23</v>
      </c>
      <c r="J557" s="24">
        <f t="shared" si="511"/>
        <v>47</v>
      </c>
      <c r="L557" s="18" t="s">
        <v>18</v>
      </c>
      <c r="M557" s="44">
        <f>M529-M556</f>
        <v>212</v>
      </c>
      <c r="N557" s="45">
        <f t="shared" ref="N557:P557" si="520">N529-N556</f>
        <v>327</v>
      </c>
      <c r="O557" s="46">
        <f t="shared" si="520"/>
        <v>203</v>
      </c>
      <c r="P557" s="46">
        <f t="shared" si="520"/>
        <v>742</v>
      </c>
      <c r="Q557" s="44">
        <f>Q529-Q556</f>
        <v>480</v>
      </c>
      <c r="R557" s="45">
        <f t="shared" ref="R557:T557" si="521">R529-R556</f>
        <v>539</v>
      </c>
      <c r="S557" s="46">
        <f t="shared" si="521"/>
        <v>309</v>
      </c>
      <c r="T557" s="46">
        <f t="shared" si="521"/>
        <v>1328</v>
      </c>
      <c r="U557" s="24">
        <f t="shared" si="517"/>
        <v>2070</v>
      </c>
      <c r="W557" t="s">
        <v>168</v>
      </c>
    </row>
    <row r="558" spans="1:23" x14ac:dyDescent="0.15">
      <c r="L558" s="79"/>
      <c r="M558" s="76"/>
      <c r="N558" s="76"/>
      <c r="O558" s="76"/>
      <c r="P558" s="76"/>
      <c r="Q558" s="76"/>
      <c r="R558" s="76"/>
      <c r="S558" s="76"/>
      <c r="T558" s="76"/>
    </row>
    <row r="559" spans="1:23" x14ac:dyDescent="0.15">
      <c r="L559" s="80"/>
      <c r="M559" s="77"/>
      <c r="N559" s="77"/>
      <c r="O559" s="77"/>
      <c r="P559" s="77"/>
      <c r="Q559" s="77"/>
      <c r="R559" s="77"/>
      <c r="S559" s="77"/>
      <c r="T559" s="77"/>
    </row>
    <row r="560" spans="1:23" ht="19.5" thickBot="1" x14ac:dyDescent="0.25">
      <c r="A560" s="2" t="s">
        <v>24</v>
      </c>
      <c r="B560" s="1"/>
      <c r="C560" s="1"/>
      <c r="D560" s="1"/>
      <c r="E560" s="1"/>
      <c r="F560" s="1" t="s">
        <v>39</v>
      </c>
      <c r="G560" s="1"/>
      <c r="H560" s="1"/>
      <c r="I560" s="1"/>
      <c r="J560" s="1"/>
      <c r="L560" s="2" t="s">
        <v>23</v>
      </c>
      <c r="M560" s="1"/>
      <c r="N560" s="1"/>
      <c r="O560" s="1"/>
      <c r="P560" s="63" t="s">
        <v>35</v>
      </c>
      <c r="Q560" s="1"/>
      <c r="R560" s="1" t="s">
        <v>39</v>
      </c>
      <c r="S560" s="1"/>
      <c r="T560" s="1"/>
      <c r="U560" s="1"/>
    </row>
    <row r="561" spans="1:22" ht="14.25" thickBot="1" x14ac:dyDescent="0.2">
      <c r="A561" s="6" t="s">
        <v>0</v>
      </c>
      <c r="B561" s="128" t="s">
        <v>21</v>
      </c>
      <c r="C561" s="129"/>
      <c r="D561" s="129"/>
      <c r="E561" s="130"/>
      <c r="F561" s="125" t="s">
        <v>19</v>
      </c>
      <c r="G561" s="126"/>
      <c r="H561" s="126"/>
      <c r="I561" s="127"/>
      <c r="J561" s="90" t="s">
        <v>1</v>
      </c>
      <c r="L561" s="6" t="s">
        <v>0</v>
      </c>
      <c r="M561" s="128" t="s">
        <v>21</v>
      </c>
      <c r="N561" s="129"/>
      <c r="O561" s="129"/>
      <c r="P561" s="130"/>
      <c r="Q561" s="125" t="s">
        <v>19</v>
      </c>
      <c r="R561" s="126"/>
      <c r="S561" s="126"/>
      <c r="T561" s="127"/>
      <c r="U561" s="88" t="s">
        <v>1</v>
      </c>
    </row>
    <row r="562" spans="1:22" ht="14.25" thickBot="1" x14ac:dyDescent="0.2">
      <c r="A562" s="6" t="s">
        <v>2</v>
      </c>
      <c r="B562" s="3" t="s">
        <v>3</v>
      </c>
      <c r="C562" s="4" t="s">
        <v>4</v>
      </c>
      <c r="D562" s="5" t="s">
        <v>5</v>
      </c>
      <c r="E562" s="6" t="s">
        <v>6</v>
      </c>
      <c r="F562" s="3" t="s">
        <v>3</v>
      </c>
      <c r="G562" s="4" t="s">
        <v>4</v>
      </c>
      <c r="H562" s="5" t="s">
        <v>5</v>
      </c>
      <c r="I562" s="6" t="s">
        <v>6</v>
      </c>
      <c r="J562" s="91"/>
      <c r="L562" s="6" t="s">
        <v>2</v>
      </c>
      <c r="M562" s="50" t="s">
        <v>3</v>
      </c>
      <c r="N562" s="51" t="s">
        <v>4</v>
      </c>
      <c r="O562" s="52" t="s">
        <v>5</v>
      </c>
      <c r="P562" s="6" t="s">
        <v>6</v>
      </c>
      <c r="Q562" s="3" t="s">
        <v>3</v>
      </c>
      <c r="R562" s="4" t="s">
        <v>4</v>
      </c>
      <c r="S562" s="5" t="s">
        <v>5</v>
      </c>
      <c r="T562" s="6" t="s">
        <v>6</v>
      </c>
      <c r="U562" s="89"/>
    </row>
    <row r="563" spans="1:22" ht="14.25" thickBot="1" x14ac:dyDescent="0.2">
      <c r="A563" s="20" t="s">
        <v>18</v>
      </c>
      <c r="B563" s="21">
        <f>B557</f>
        <v>10</v>
      </c>
      <c r="C563" s="22">
        <f t="shared" ref="C563:D563" si="522">C557</f>
        <v>7</v>
      </c>
      <c r="D563" s="38">
        <f t="shared" si="522"/>
        <v>7</v>
      </c>
      <c r="E563" s="24">
        <f t="shared" ref="E563:E570" si="523">SUM(B563:D563)</f>
        <v>24</v>
      </c>
      <c r="F563" s="21">
        <f>F557</f>
        <v>8</v>
      </c>
      <c r="G563" s="22">
        <f t="shared" ref="G563:H563" si="524">G557</f>
        <v>8</v>
      </c>
      <c r="H563" s="38">
        <f t="shared" si="524"/>
        <v>7</v>
      </c>
      <c r="I563" s="24">
        <f t="shared" ref="I563:I570" si="525">SUM(F563:H563)</f>
        <v>23</v>
      </c>
      <c r="J563" s="24">
        <f>E563+I563</f>
        <v>47</v>
      </c>
      <c r="L563" s="20" t="s">
        <v>18</v>
      </c>
      <c r="M563" s="21">
        <f>M557</f>
        <v>212</v>
      </c>
      <c r="N563" s="22">
        <f t="shared" ref="N563:O563" si="526">N557</f>
        <v>327</v>
      </c>
      <c r="O563" s="38">
        <f t="shared" si="526"/>
        <v>203</v>
      </c>
      <c r="P563" s="73">
        <f t="shared" ref="P563:P571" si="527">SUM(M563:O563)</f>
        <v>742</v>
      </c>
      <c r="Q563" s="21">
        <f>Q557</f>
        <v>480</v>
      </c>
      <c r="R563" s="22">
        <f t="shared" ref="R563:S563" si="528">R557</f>
        <v>539</v>
      </c>
      <c r="S563" s="38">
        <f t="shared" si="528"/>
        <v>309</v>
      </c>
      <c r="T563" s="24">
        <f t="shared" ref="T563:T571" si="529">SUM(Q563:S563)</f>
        <v>1328</v>
      </c>
      <c r="U563" s="24">
        <f>P563+T563</f>
        <v>2070</v>
      </c>
    </row>
    <row r="564" spans="1:22" x14ac:dyDescent="0.15">
      <c r="A564" s="19" t="s">
        <v>8</v>
      </c>
      <c r="B564" s="7"/>
      <c r="C564" s="8"/>
      <c r="D564" s="35"/>
      <c r="E564" s="10">
        <f t="shared" si="523"/>
        <v>0</v>
      </c>
      <c r="F564" s="7">
        <v>5</v>
      </c>
      <c r="G564" s="8"/>
      <c r="H564" s="35"/>
      <c r="I564" s="48">
        <f t="shared" si="525"/>
        <v>5</v>
      </c>
      <c r="J564" s="10">
        <f t="shared" ref="J564:J570" si="530">E564+I564</f>
        <v>5</v>
      </c>
      <c r="K564" s="57">
        <v>45954</v>
      </c>
      <c r="L564" s="19" t="s">
        <v>198</v>
      </c>
      <c r="M564" s="7">
        <v>5</v>
      </c>
      <c r="N564" s="8">
        <v>3</v>
      </c>
      <c r="O564" s="35">
        <v>2</v>
      </c>
      <c r="P564" s="10">
        <f t="shared" si="527"/>
        <v>10</v>
      </c>
      <c r="Q564" s="7">
        <v>3</v>
      </c>
      <c r="R564" s="8"/>
      <c r="S564" s="35"/>
      <c r="T564" s="48">
        <f t="shared" si="529"/>
        <v>3</v>
      </c>
      <c r="U564" s="10">
        <f t="shared" ref="U564:U571" si="531">P564+T564</f>
        <v>13</v>
      </c>
      <c r="V564" s="66">
        <v>45976</v>
      </c>
    </row>
    <row r="565" spans="1:22" x14ac:dyDescent="0.15">
      <c r="A565" s="19" t="s">
        <v>9</v>
      </c>
      <c r="B565" s="7"/>
      <c r="C565" s="8"/>
      <c r="D565" s="35"/>
      <c r="E565" s="10">
        <f t="shared" si="523"/>
        <v>0</v>
      </c>
      <c r="F565" s="7"/>
      <c r="G565" s="8">
        <v>5</v>
      </c>
      <c r="H565" s="35"/>
      <c r="I565" s="48">
        <f t="shared" si="525"/>
        <v>5</v>
      </c>
      <c r="J565" s="10">
        <f t="shared" si="530"/>
        <v>5</v>
      </c>
      <c r="K565" s="57">
        <v>45961</v>
      </c>
      <c r="L565" s="19" t="s">
        <v>9</v>
      </c>
      <c r="M565" s="7"/>
      <c r="N565" s="8"/>
      <c r="O565" s="35"/>
      <c r="P565" s="10">
        <f t="shared" si="527"/>
        <v>0</v>
      </c>
      <c r="Q565" s="7"/>
      <c r="R565" s="8"/>
      <c r="S565" s="35"/>
      <c r="T565" s="48">
        <f t="shared" si="529"/>
        <v>0</v>
      </c>
      <c r="U565" s="10">
        <f t="shared" si="531"/>
        <v>0</v>
      </c>
    </row>
    <row r="566" spans="1:22" x14ac:dyDescent="0.15">
      <c r="A566" s="99" t="s">
        <v>10</v>
      </c>
      <c r="B566" s="100">
        <v>5</v>
      </c>
      <c r="C566" s="101"/>
      <c r="D566" s="102"/>
      <c r="E566" s="96">
        <f t="shared" si="523"/>
        <v>5</v>
      </c>
      <c r="F566" s="100"/>
      <c r="G566" s="101"/>
      <c r="H566" s="102"/>
      <c r="I566" s="97">
        <f t="shared" si="525"/>
        <v>0</v>
      </c>
      <c r="J566" s="96">
        <f t="shared" si="530"/>
        <v>5</v>
      </c>
      <c r="K566" s="98">
        <v>45967</v>
      </c>
      <c r="L566" s="19" t="s">
        <v>10</v>
      </c>
      <c r="M566" s="7"/>
      <c r="N566" s="8"/>
      <c r="O566" s="35"/>
      <c r="P566" s="10">
        <f t="shared" ref="P566:P568" si="532">SUM(M566:O566)</f>
        <v>0</v>
      </c>
      <c r="Q566" s="7"/>
      <c r="R566" s="8"/>
      <c r="S566" s="35"/>
      <c r="T566" s="48">
        <f t="shared" ref="T566:T568" si="533">SUM(Q566:S566)</f>
        <v>0</v>
      </c>
      <c r="U566" s="10">
        <f t="shared" ref="U566:U568" si="534">P566+T566</f>
        <v>0</v>
      </c>
    </row>
    <row r="567" spans="1:22" x14ac:dyDescent="0.15">
      <c r="A567" s="99" t="s">
        <v>11</v>
      </c>
      <c r="B567" s="100">
        <v>3</v>
      </c>
      <c r="C567" s="101">
        <v>3</v>
      </c>
      <c r="D567" s="102"/>
      <c r="E567" s="96">
        <f t="shared" si="523"/>
        <v>6</v>
      </c>
      <c r="F567" s="100">
        <v>3</v>
      </c>
      <c r="G567" s="101"/>
      <c r="H567" s="102">
        <v>3</v>
      </c>
      <c r="I567" s="97">
        <f t="shared" si="525"/>
        <v>6</v>
      </c>
      <c r="J567" s="96">
        <f t="shared" si="530"/>
        <v>12</v>
      </c>
      <c r="K567" s="98">
        <v>45973</v>
      </c>
      <c r="L567" s="19" t="s">
        <v>11</v>
      </c>
      <c r="M567" s="7"/>
      <c r="N567" s="8"/>
      <c r="O567" s="35"/>
      <c r="P567" s="10">
        <f t="shared" si="532"/>
        <v>0</v>
      </c>
      <c r="Q567" s="7"/>
      <c r="R567" s="8"/>
      <c r="S567" s="35"/>
      <c r="T567" s="48">
        <f t="shared" si="533"/>
        <v>0</v>
      </c>
      <c r="U567" s="10">
        <f t="shared" si="534"/>
        <v>0</v>
      </c>
    </row>
    <row r="568" spans="1:22" x14ac:dyDescent="0.15">
      <c r="A568" s="19" t="s">
        <v>196</v>
      </c>
      <c r="B568" s="7">
        <v>8</v>
      </c>
      <c r="C568" s="8">
        <v>3</v>
      </c>
      <c r="D568" s="35">
        <v>2</v>
      </c>
      <c r="E568" s="10">
        <f t="shared" si="523"/>
        <v>13</v>
      </c>
      <c r="F568" s="7">
        <v>3</v>
      </c>
      <c r="G568" s="8">
        <v>1</v>
      </c>
      <c r="H568" s="35">
        <v>1</v>
      </c>
      <c r="I568" s="48">
        <f t="shared" si="525"/>
        <v>5</v>
      </c>
      <c r="J568" s="10">
        <f t="shared" si="530"/>
        <v>18</v>
      </c>
      <c r="K568" s="66">
        <v>45973</v>
      </c>
      <c r="L568" s="19" t="s">
        <v>12</v>
      </c>
      <c r="M568" s="7"/>
      <c r="N568" s="8"/>
      <c r="O568" s="35"/>
      <c r="P568" s="10">
        <f t="shared" si="532"/>
        <v>0</v>
      </c>
      <c r="Q568" s="7"/>
      <c r="R568" s="8"/>
      <c r="S568" s="35"/>
      <c r="T568" s="48">
        <f t="shared" si="533"/>
        <v>0</v>
      </c>
      <c r="U568" s="10">
        <f t="shared" si="534"/>
        <v>0</v>
      </c>
    </row>
    <row r="569" spans="1:22" x14ac:dyDescent="0.15">
      <c r="A569" s="99" t="s">
        <v>13</v>
      </c>
      <c r="B569" s="100">
        <v>3</v>
      </c>
      <c r="C569" s="101"/>
      <c r="D569" s="102"/>
      <c r="E569" s="96">
        <f t="shared" si="523"/>
        <v>3</v>
      </c>
      <c r="F569" s="100">
        <v>3</v>
      </c>
      <c r="G569" s="101">
        <v>5</v>
      </c>
      <c r="H569" s="102"/>
      <c r="I569" s="97">
        <f t="shared" si="525"/>
        <v>8</v>
      </c>
      <c r="J569" s="96">
        <f t="shared" si="530"/>
        <v>11</v>
      </c>
      <c r="K569" s="98">
        <v>45980</v>
      </c>
      <c r="L569" s="19" t="s">
        <v>13</v>
      </c>
      <c r="M569" s="7"/>
      <c r="N569" s="8"/>
      <c r="O569" s="35"/>
      <c r="P569" s="10">
        <f t="shared" si="527"/>
        <v>0</v>
      </c>
      <c r="Q569" s="7"/>
      <c r="R569" s="8"/>
      <c r="S569" s="35"/>
      <c r="T569" s="48">
        <f t="shared" si="529"/>
        <v>0</v>
      </c>
      <c r="U569" s="10">
        <f t="shared" si="531"/>
        <v>0</v>
      </c>
    </row>
    <row r="570" spans="1:22" x14ac:dyDescent="0.15">
      <c r="A570" s="19" t="s">
        <v>123</v>
      </c>
      <c r="B570" s="11"/>
      <c r="C570" s="12">
        <v>3</v>
      </c>
      <c r="D570" s="36">
        <v>3</v>
      </c>
      <c r="E570" s="10">
        <f t="shared" si="523"/>
        <v>6</v>
      </c>
      <c r="F570" s="11"/>
      <c r="G570" s="12">
        <v>3</v>
      </c>
      <c r="H570" s="36">
        <v>1</v>
      </c>
      <c r="I570" s="48">
        <f t="shared" si="525"/>
        <v>4</v>
      </c>
      <c r="J570" s="10">
        <f t="shared" si="530"/>
        <v>10</v>
      </c>
      <c r="K570" s="66">
        <v>45979</v>
      </c>
      <c r="L570" s="19" t="s">
        <v>14</v>
      </c>
      <c r="M570" s="11"/>
      <c r="N570" s="12"/>
      <c r="O570" s="36"/>
      <c r="P570" s="10">
        <f t="shared" si="527"/>
        <v>0</v>
      </c>
      <c r="Q570" s="11"/>
      <c r="R570" s="12"/>
      <c r="S570" s="36"/>
      <c r="T570" s="48">
        <f t="shared" si="529"/>
        <v>0</v>
      </c>
      <c r="U570" s="10">
        <f t="shared" si="531"/>
        <v>0</v>
      </c>
    </row>
    <row r="571" spans="1:22" ht="14.25" thickBot="1" x14ac:dyDescent="0.2">
      <c r="A571" s="19" t="s">
        <v>92</v>
      </c>
      <c r="B571" s="25">
        <v>3</v>
      </c>
      <c r="C571" s="26"/>
      <c r="D571" s="37"/>
      <c r="E571" s="10"/>
      <c r="F571" s="25">
        <v>5</v>
      </c>
      <c r="G571" s="26"/>
      <c r="H571" s="37"/>
      <c r="I571" s="48"/>
      <c r="J571" s="17"/>
      <c r="K571" s="57">
        <v>45982</v>
      </c>
      <c r="L571" s="19" t="s">
        <v>15</v>
      </c>
      <c r="M571" s="25"/>
      <c r="N571" s="26"/>
      <c r="O571" s="37"/>
      <c r="P571" s="10">
        <f t="shared" si="527"/>
        <v>0</v>
      </c>
      <c r="Q571" s="25"/>
      <c r="R571" s="26"/>
      <c r="S571" s="37"/>
      <c r="T571" s="48">
        <f t="shared" si="529"/>
        <v>0</v>
      </c>
      <c r="U571" s="17">
        <f t="shared" si="531"/>
        <v>0</v>
      </c>
    </row>
    <row r="572" spans="1:22" ht="14.25" thickBot="1" x14ac:dyDescent="0.2">
      <c r="A572" s="27" t="s">
        <v>16</v>
      </c>
      <c r="B572" s="21">
        <f>SUM(B563:B571)</f>
        <v>32</v>
      </c>
      <c r="C572" s="22">
        <f t="shared" ref="C572:J572" si="535">SUM(C563:C571)</f>
        <v>16</v>
      </c>
      <c r="D572" s="38">
        <f t="shared" si="535"/>
        <v>12</v>
      </c>
      <c r="E572" s="54">
        <f t="shared" si="535"/>
        <v>57</v>
      </c>
      <c r="F572" s="21">
        <f t="shared" si="535"/>
        <v>27</v>
      </c>
      <c r="G572" s="22">
        <f t="shared" si="535"/>
        <v>22</v>
      </c>
      <c r="H572" s="38">
        <f t="shared" si="535"/>
        <v>12</v>
      </c>
      <c r="I572" s="53">
        <f t="shared" si="535"/>
        <v>56</v>
      </c>
      <c r="J572" s="24">
        <f t="shared" si="535"/>
        <v>113</v>
      </c>
      <c r="L572" s="27" t="s">
        <v>16</v>
      </c>
      <c r="M572" s="21">
        <f>SUM(M563:M571)</f>
        <v>217</v>
      </c>
      <c r="N572" s="22">
        <f t="shared" ref="N572:U572" si="536">SUM(N563:N571)</f>
        <v>330</v>
      </c>
      <c r="O572" s="38">
        <f t="shared" si="536"/>
        <v>205</v>
      </c>
      <c r="P572" s="54">
        <f t="shared" si="536"/>
        <v>752</v>
      </c>
      <c r="Q572" s="21">
        <f t="shared" si="536"/>
        <v>483</v>
      </c>
      <c r="R572" s="22">
        <f t="shared" si="536"/>
        <v>539</v>
      </c>
      <c r="S572" s="38">
        <f t="shared" si="536"/>
        <v>309</v>
      </c>
      <c r="T572" s="53">
        <f t="shared" si="536"/>
        <v>1331</v>
      </c>
      <c r="U572" s="24">
        <f t="shared" si="536"/>
        <v>2083</v>
      </c>
    </row>
    <row r="573" spans="1:22" x14ac:dyDescent="0.15">
      <c r="A573" s="60" t="s">
        <v>37</v>
      </c>
      <c r="B573" s="11"/>
      <c r="C573" s="12"/>
      <c r="D573" s="13"/>
      <c r="E573" s="10">
        <f t="shared" ref="E573:E598" si="537">SUM(B573:D573)</f>
        <v>0</v>
      </c>
      <c r="F573" s="11">
        <f>1+1</f>
        <v>2</v>
      </c>
      <c r="G573" s="12"/>
      <c r="H573" s="13"/>
      <c r="I573" s="48">
        <f t="shared" ref="I573:I598" si="538">SUM(F573:H573)</f>
        <v>2</v>
      </c>
      <c r="J573" s="10">
        <f t="shared" ref="J573:J600" si="539">E573+I573</f>
        <v>2</v>
      </c>
      <c r="K573" s="66">
        <v>45952</v>
      </c>
      <c r="L573" s="60" t="s">
        <v>192</v>
      </c>
      <c r="M573" s="11"/>
      <c r="N573" s="12"/>
      <c r="O573" s="13"/>
      <c r="P573" s="10">
        <f t="shared" ref="P573:P598" si="540">SUM(M573:O573)</f>
        <v>0</v>
      </c>
      <c r="Q573" s="11">
        <v>5</v>
      </c>
      <c r="R573" s="12"/>
      <c r="S573" s="13"/>
      <c r="T573" s="48">
        <f t="shared" ref="T573:T598" si="541">SUM(Q573:S573)</f>
        <v>5</v>
      </c>
      <c r="U573" s="10">
        <f t="shared" ref="U573:U600" si="542">P573+T573</f>
        <v>5</v>
      </c>
      <c r="V573" s="57">
        <v>45954</v>
      </c>
    </row>
    <row r="574" spans="1:22" x14ac:dyDescent="0.15">
      <c r="A574" s="60" t="s">
        <v>37</v>
      </c>
      <c r="B574" s="11">
        <v>1</v>
      </c>
      <c r="C574" s="12"/>
      <c r="D574" s="13"/>
      <c r="E574" s="10">
        <f t="shared" si="537"/>
        <v>1</v>
      </c>
      <c r="F574" s="11">
        <v>1</v>
      </c>
      <c r="G574" s="12"/>
      <c r="H574" s="13"/>
      <c r="I574" s="48">
        <f t="shared" si="538"/>
        <v>1</v>
      </c>
      <c r="J574" s="10">
        <f t="shared" si="539"/>
        <v>2</v>
      </c>
      <c r="K574" s="66">
        <v>45953</v>
      </c>
      <c r="L574" s="60" t="s">
        <v>46</v>
      </c>
      <c r="M574" s="11"/>
      <c r="N574" s="12"/>
      <c r="O574" s="13"/>
      <c r="P574" s="10">
        <f t="shared" si="540"/>
        <v>0</v>
      </c>
      <c r="Q574" s="11"/>
      <c r="R574" s="12">
        <v>5</v>
      </c>
      <c r="S574" s="13"/>
      <c r="T574" s="48">
        <f t="shared" si="541"/>
        <v>5</v>
      </c>
      <c r="U574" s="10">
        <f t="shared" si="542"/>
        <v>5</v>
      </c>
      <c r="V574" s="57">
        <v>45961</v>
      </c>
    </row>
    <row r="575" spans="1:22" x14ac:dyDescent="0.15">
      <c r="A575" s="60" t="s">
        <v>37</v>
      </c>
      <c r="B575" s="11">
        <v>1</v>
      </c>
      <c r="C575" s="12"/>
      <c r="D575" s="13"/>
      <c r="E575" s="10">
        <f t="shared" si="537"/>
        <v>1</v>
      </c>
      <c r="F575" s="11"/>
      <c r="G575" s="12">
        <v>1</v>
      </c>
      <c r="H575" s="13"/>
      <c r="I575" s="48">
        <f t="shared" si="538"/>
        <v>1</v>
      </c>
      <c r="J575" s="10">
        <f t="shared" si="539"/>
        <v>2</v>
      </c>
      <c r="K575" s="66">
        <v>45954</v>
      </c>
      <c r="L575" s="92" t="s">
        <v>46</v>
      </c>
      <c r="M575" s="93">
        <v>5</v>
      </c>
      <c r="N575" s="94"/>
      <c r="O575" s="95"/>
      <c r="P575" s="96">
        <f t="shared" si="540"/>
        <v>5</v>
      </c>
      <c r="Q575" s="93"/>
      <c r="R575" s="94"/>
      <c r="S575" s="95"/>
      <c r="T575" s="97">
        <f t="shared" si="541"/>
        <v>0</v>
      </c>
      <c r="U575" s="96">
        <f t="shared" si="542"/>
        <v>5</v>
      </c>
      <c r="V575" s="98">
        <v>45967</v>
      </c>
    </row>
    <row r="576" spans="1:22" x14ac:dyDescent="0.15">
      <c r="A576" s="60" t="s">
        <v>37</v>
      </c>
      <c r="B576" s="11">
        <v>1</v>
      </c>
      <c r="C576" s="12"/>
      <c r="D576" s="13"/>
      <c r="E576" s="10">
        <f t="shared" si="537"/>
        <v>1</v>
      </c>
      <c r="F576" s="11"/>
      <c r="G576" s="12"/>
      <c r="H576" s="13">
        <v>1</v>
      </c>
      <c r="I576" s="48">
        <f t="shared" si="538"/>
        <v>1</v>
      </c>
      <c r="J576" s="10">
        <f t="shared" si="539"/>
        <v>2</v>
      </c>
      <c r="K576" s="66">
        <v>45957</v>
      </c>
      <c r="L576" s="92" t="s">
        <v>46</v>
      </c>
      <c r="M576" s="93">
        <v>3</v>
      </c>
      <c r="N576" s="94">
        <v>3</v>
      </c>
      <c r="O576" s="95"/>
      <c r="P576" s="96">
        <f t="shared" si="540"/>
        <v>6</v>
      </c>
      <c r="Q576" s="93">
        <v>3</v>
      </c>
      <c r="R576" s="94"/>
      <c r="S576" s="95">
        <v>3</v>
      </c>
      <c r="T576" s="97">
        <f t="shared" si="541"/>
        <v>6</v>
      </c>
      <c r="U576" s="96">
        <f t="shared" si="542"/>
        <v>12</v>
      </c>
      <c r="V576" s="98">
        <v>45973</v>
      </c>
    </row>
    <row r="577" spans="1:22" x14ac:dyDescent="0.15">
      <c r="A577" s="60" t="s">
        <v>37</v>
      </c>
      <c r="B577" s="11"/>
      <c r="C577" s="12"/>
      <c r="D577" s="13"/>
      <c r="E577" s="10">
        <f t="shared" si="537"/>
        <v>0</v>
      </c>
      <c r="F577" s="11"/>
      <c r="G577" s="12">
        <v>2</v>
      </c>
      <c r="H577" s="13"/>
      <c r="I577" s="48">
        <f t="shared" si="538"/>
        <v>2</v>
      </c>
      <c r="J577" s="10">
        <f t="shared" si="539"/>
        <v>2</v>
      </c>
      <c r="K577" s="66">
        <v>45958</v>
      </c>
      <c r="L577" s="92" t="s">
        <v>46</v>
      </c>
      <c r="M577" s="93">
        <v>3</v>
      </c>
      <c r="N577" s="94"/>
      <c r="O577" s="95"/>
      <c r="P577" s="96">
        <f t="shared" si="540"/>
        <v>3</v>
      </c>
      <c r="Q577" s="93">
        <v>3</v>
      </c>
      <c r="R577" s="94">
        <v>5</v>
      </c>
      <c r="S577" s="95"/>
      <c r="T577" s="97">
        <f t="shared" si="541"/>
        <v>8</v>
      </c>
      <c r="U577" s="96">
        <f t="shared" si="542"/>
        <v>11</v>
      </c>
      <c r="V577" s="98">
        <v>45980</v>
      </c>
    </row>
    <row r="578" spans="1:22" x14ac:dyDescent="0.15">
      <c r="A578" s="60" t="s">
        <v>37</v>
      </c>
      <c r="B578" s="11"/>
      <c r="C578" s="12">
        <v>1</v>
      </c>
      <c r="D578" s="13"/>
      <c r="E578" s="10">
        <f t="shared" si="537"/>
        <v>1</v>
      </c>
      <c r="F578" s="11">
        <v>1</v>
      </c>
      <c r="G578" s="12">
        <v>1</v>
      </c>
      <c r="H578" s="13"/>
      <c r="I578" s="48">
        <f t="shared" si="538"/>
        <v>2</v>
      </c>
      <c r="J578" s="10">
        <f t="shared" si="539"/>
        <v>3</v>
      </c>
      <c r="K578" s="57">
        <v>45959</v>
      </c>
      <c r="L578" s="60" t="s">
        <v>46</v>
      </c>
      <c r="M578" s="11">
        <v>3</v>
      </c>
      <c r="N578" s="12"/>
      <c r="O578" s="13"/>
      <c r="P578" s="10">
        <f t="shared" si="540"/>
        <v>3</v>
      </c>
      <c r="Q578" s="11">
        <v>5</v>
      </c>
      <c r="R578" s="12"/>
      <c r="S578" s="13"/>
      <c r="T578" s="48"/>
      <c r="U578" s="10"/>
      <c r="V578" s="57">
        <v>45982</v>
      </c>
    </row>
    <row r="579" spans="1:22" x14ac:dyDescent="0.15">
      <c r="A579" s="60" t="s">
        <v>37</v>
      </c>
      <c r="B579" s="11">
        <v>2</v>
      </c>
      <c r="C579" s="12"/>
      <c r="D579" s="13"/>
      <c r="E579" s="10">
        <f t="shared" si="537"/>
        <v>2</v>
      </c>
      <c r="F579" s="11"/>
      <c r="G579" s="12">
        <v>1</v>
      </c>
      <c r="H579" s="13">
        <v>1</v>
      </c>
      <c r="I579" s="48">
        <f t="shared" si="538"/>
        <v>2</v>
      </c>
      <c r="J579" s="10">
        <f t="shared" si="539"/>
        <v>4</v>
      </c>
      <c r="K579" s="57">
        <v>45960</v>
      </c>
      <c r="L579" s="60" t="s">
        <v>46</v>
      </c>
      <c r="M579" s="11"/>
      <c r="N579" s="12">
        <v>5</v>
      </c>
      <c r="O579" s="13"/>
      <c r="P579" s="10">
        <f t="shared" si="540"/>
        <v>5</v>
      </c>
      <c r="Q579" s="11"/>
      <c r="R579" s="12"/>
      <c r="S579" s="13"/>
      <c r="T579" s="48">
        <f t="shared" si="541"/>
        <v>0</v>
      </c>
      <c r="U579" s="10">
        <f t="shared" si="542"/>
        <v>5</v>
      </c>
      <c r="V579" s="57">
        <v>45987</v>
      </c>
    </row>
    <row r="580" spans="1:22" x14ac:dyDescent="0.15">
      <c r="A580" s="60" t="s">
        <v>37</v>
      </c>
      <c r="B580" s="11"/>
      <c r="C580" s="12"/>
      <c r="D580" s="13"/>
      <c r="E580" s="10">
        <f t="shared" si="537"/>
        <v>0</v>
      </c>
      <c r="F580" s="11">
        <v>1</v>
      </c>
      <c r="G580" s="12"/>
      <c r="H580" s="13"/>
      <c r="I580" s="48">
        <f t="shared" si="538"/>
        <v>1</v>
      </c>
      <c r="J580" s="10">
        <f t="shared" si="539"/>
        <v>1</v>
      </c>
      <c r="K580" s="66">
        <v>45961</v>
      </c>
      <c r="L580" s="60" t="s">
        <v>200</v>
      </c>
      <c r="M580" s="11"/>
      <c r="N580" s="12"/>
      <c r="O580" s="13">
        <v>2</v>
      </c>
      <c r="P580" s="10">
        <f t="shared" si="540"/>
        <v>2</v>
      </c>
      <c r="Q580" s="11"/>
      <c r="R580" s="12"/>
      <c r="S580" s="13">
        <v>2</v>
      </c>
      <c r="T580" s="48">
        <f t="shared" si="541"/>
        <v>2</v>
      </c>
      <c r="U580" s="10">
        <f t="shared" si="542"/>
        <v>4</v>
      </c>
      <c r="V580" s="57">
        <v>45995</v>
      </c>
    </row>
    <row r="581" spans="1:22" x14ac:dyDescent="0.15">
      <c r="A581" s="60" t="s">
        <v>37</v>
      </c>
      <c r="B581" s="11">
        <v>4</v>
      </c>
      <c r="C581" s="12"/>
      <c r="D581" s="13"/>
      <c r="E581" s="10">
        <f t="shared" si="537"/>
        <v>4</v>
      </c>
      <c r="F581" s="11">
        <v>2</v>
      </c>
      <c r="G581" s="12">
        <v>1</v>
      </c>
      <c r="H581" s="13"/>
      <c r="I581" s="48">
        <f t="shared" si="538"/>
        <v>3</v>
      </c>
      <c r="J581" s="10">
        <f t="shared" si="539"/>
        <v>7</v>
      </c>
      <c r="K581" s="66">
        <v>45965</v>
      </c>
      <c r="L581" s="92" t="s">
        <v>201</v>
      </c>
      <c r="M581" s="93"/>
      <c r="N581" s="94"/>
      <c r="O581" s="95"/>
      <c r="P581" s="96">
        <f t="shared" si="540"/>
        <v>0</v>
      </c>
      <c r="Q581" s="93">
        <v>10</v>
      </c>
      <c r="R581" s="94"/>
      <c r="S581" s="95"/>
      <c r="T581" s="97">
        <f t="shared" si="541"/>
        <v>10</v>
      </c>
      <c r="U581" s="96">
        <f t="shared" si="542"/>
        <v>10</v>
      </c>
      <c r="V581" s="98">
        <v>45993</v>
      </c>
    </row>
    <row r="582" spans="1:22" x14ac:dyDescent="0.15">
      <c r="A582" s="60" t="s">
        <v>37</v>
      </c>
      <c r="B582" s="11"/>
      <c r="C582" s="12"/>
      <c r="D582" s="13"/>
      <c r="E582" s="10">
        <f t="shared" si="537"/>
        <v>0</v>
      </c>
      <c r="F582" s="11">
        <v>2</v>
      </c>
      <c r="G582" s="12"/>
      <c r="H582" s="13"/>
      <c r="I582" s="48">
        <f t="shared" si="538"/>
        <v>2</v>
      </c>
      <c r="J582" s="10">
        <f t="shared" si="539"/>
        <v>2</v>
      </c>
      <c r="K582" s="66">
        <v>45966</v>
      </c>
      <c r="L582" s="92" t="s">
        <v>46</v>
      </c>
      <c r="M582" s="93">
        <v>5</v>
      </c>
      <c r="N582" s="94"/>
      <c r="O582" s="95"/>
      <c r="P582" s="96">
        <f t="shared" si="540"/>
        <v>5</v>
      </c>
      <c r="Q582" s="93">
        <v>10</v>
      </c>
      <c r="R582" s="94"/>
      <c r="S582" s="95"/>
      <c r="T582" s="97">
        <f t="shared" si="541"/>
        <v>10</v>
      </c>
      <c r="U582" s="96">
        <f t="shared" si="542"/>
        <v>15</v>
      </c>
      <c r="V582" s="98">
        <v>46000</v>
      </c>
    </row>
    <row r="583" spans="1:22" x14ac:dyDescent="0.15">
      <c r="A583" s="60" t="s">
        <v>37</v>
      </c>
      <c r="B583" s="11"/>
      <c r="C583" s="12"/>
      <c r="D583" s="13"/>
      <c r="E583" s="10">
        <f t="shared" si="537"/>
        <v>0</v>
      </c>
      <c r="F583" s="11"/>
      <c r="G583" s="12"/>
      <c r="H583" s="13">
        <v>1</v>
      </c>
      <c r="I583" s="48">
        <f t="shared" si="538"/>
        <v>1</v>
      </c>
      <c r="J583" s="10">
        <f t="shared" si="539"/>
        <v>1</v>
      </c>
      <c r="K583" s="66">
        <v>45968</v>
      </c>
      <c r="L583" s="92" t="s">
        <v>46</v>
      </c>
      <c r="M583" s="93"/>
      <c r="N583" s="94"/>
      <c r="O583" s="95"/>
      <c r="P583" s="96">
        <f t="shared" si="540"/>
        <v>0</v>
      </c>
      <c r="Q583" s="93"/>
      <c r="R583" s="94">
        <v>3</v>
      </c>
      <c r="S583" s="95">
        <v>3</v>
      </c>
      <c r="T583" s="97">
        <f t="shared" si="541"/>
        <v>6</v>
      </c>
      <c r="U583" s="96">
        <f t="shared" si="542"/>
        <v>6</v>
      </c>
      <c r="V583" s="98">
        <v>46001</v>
      </c>
    </row>
    <row r="584" spans="1:22" x14ac:dyDescent="0.15">
      <c r="A584" s="60" t="s">
        <v>37</v>
      </c>
      <c r="B584" s="11">
        <v>2</v>
      </c>
      <c r="C584" s="12">
        <v>2</v>
      </c>
      <c r="D584" s="13"/>
      <c r="E584" s="10">
        <f t="shared" si="537"/>
        <v>4</v>
      </c>
      <c r="F584" s="11">
        <v>1</v>
      </c>
      <c r="G584" s="12"/>
      <c r="H584" s="13">
        <v>1</v>
      </c>
      <c r="I584" s="48">
        <f t="shared" si="538"/>
        <v>2</v>
      </c>
      <c r="J584" s="10">
        <f t="shared" si="539"/>
        <v>6</v>
      </c>
      <c r="K584" s="66">
        <v>45971</v>
      </c>
      <c r="L584" s="92" t="s">
        <v>46</v>
      </c>
      <c r="M584" s="93">
        <v>10</v>
      </c>
      <c r="N584" s="94">
        <v>5</v>
      </c>
      <c r="O584" s="95"/>
      <c r="P584" s="96">
        <f t="shared" si="540"/>
        <v>15</v>
      </c>
      <c r="Q584" s="93">
        <v>10</v>
      </c>
      <c r="R584" s="94">
        <v>5</v>
      </c>
      <c r="S584" s="95">
        <v>5</v>
      </c>
      <c r="T584" s="97">
        <f t="shared" si="541"/>
        <v>20</v>
      </c>
      <c r="U584" s="96">
        <f t="shared" si="542"/>
        <v>35</v>
      </c>
      <c r="V584" s="98">
        <v>46007</v>
      </c>
    </row>
    <row r="585" spans="1:22" x14ac:dyDescent="0.15">
      <c r="A585" s="60" t="s">
        <v>37</v>
      </c>
      <c r="B585" s="11">
        <v>1</v>
      </c>
      <c r="C585" s="12">
        <v>1</v>
      </c>
      <c r="D585" s="13"/>
      <c r="E585" s="10">
        <f t="shared" si="537"/>
        <v>2</v>
      </c>
      <c r="F585" s="11"/>
      <c r="G585" s="12"/>
      <c r="H585" s="13"/>
      <c r="I585" s="48">
        <f t="shared" si="538"/>
        <v>0</v>
      </c>
      <c r="J585" s="10">
        <f t="shared" si="539"/>
        <v>2</v>
      </c>
      <c r="K585" s="66">
        <v>45972</v>
      </c>
      <c r="L585" s="60" t="s">
        <v>46</v>
      </c>
      <c r="M585" s="11"/>
      <c r="N585" s="12"/>
      <c r="O585" s="13"/>
      <c r="P585" s="10">
        <f t="shared" si="540"/>
        <v>0</v>
      </c>
      <c r="Q585" s="11">
        <v>8</v>
      </c>
      <c r="R585" s="12"/>
      <c r="S585" s="13"/>
      <c r="T585" s="48">
        <f t="shared" si="541"/>
        <v>8</v>
      </c>
      <c r="U585" s="10">
        <f t="shared" si="542"/>
        <v>8</v>
      </c>
      <c r="V585" s="57">
        <v>46017</v>
      </c>
    </row>
    <row r="586" spans="1:22" x14ac:dyDescent="0.15">
      <c r="A586" s="60" t="s">
        <v>37</v>
      </c>
      <c r="B586" s="11"/>
      <c r="C586" s="12">
        <v>1</v>
      </c>
      <c r="D586" s="13"/>
      <c r="E586" s="10">
        <f t="shared" si="537"/>
        <v>1</v>
      </c>
      <c r="F586" s="11"/>
      <c r="G586" s="12"/>
      <c r="H586" s="13"/>
      <c r="I586" s="48">
        <f t="shared" si="538"/>
        <v>0</v>
      </c>
      <c r="J586" s="10">
        <f t="shared" si="539"/>
        <v>1</v>
      </c>
      <c r="K586" s="66">
        <v>45973</v>
      </c>
      <c r="L586" s="92" t="s">
        <v>46</v>
      </c>
      <c r="M586" s="93"/>
      <c r="N586" s="94"/>
      <c r="O586" s="95"/>
      <c r="P586" s="96">
        <f t="shared" si="540"/>
        <v>0</v>
      </c>
      <c r="Q586" s="93">
        <v>5</v>
      </c>
      <c r="R586" s="94"/>
      <c r="S586" s="95"/>
      <c r="T586" s="97">
        <f t="shared" si="541"/>
        <v>5</v>
      </c>
      <c r="U586" s="96">
        <f t="shared" si="542"/>
        <v>5</v>
      </c>
      <c r="V586" s="98">
        <v>46028</v>
      </c>
    </row>
    <row r="587" spans="1:22" x14ac:dyDescent="0.15">
      <c r="A587" s="60" t="s">
        <v>37</v>
      </c>
      <c r="B587" s="11"/>
      <c r="C587" s="12"/>
      <c r="D587" s="13"/>
      <c r="E587" s="10">
        <f t="shared" si="537"/>
        <v>0</v>
      </c>
      <c r="F587" s="11"/>
      <c r="G587" s="12">
        <v>1</v>
      </c>
      <c r="H587" s="13"/>
      <c r="I587" s="48">
        <f t="shared" si="538"/>
        <v>1</v>
      </c>
      <c r="J587" s="10">
        <f t="shared" si="539"/>
        <v>1</v>
      </c>
      <c r="K587" s="66">
        <v>45975</v>
      </c>
      <c r="L587" s="92" t="s">
        <v>46</v>
      </c>
      <c r="M587" s="93"/>
      <c r="N587" s="94"/>
      <c r="O587" s="95"/>
      <c r="P587" s="96">
        <f t="shared" si="540"/>
        <v>0</v>
      </c>
      <c r="Q587" s="93">
        <v>5</v>
      </c>
      <c r="R587" s="94"/>
      <c r="S587" s="95"/>
      <c r="T587" s="97">
        <f t="shared" si="541"/>
        <v>5</v>
      </c>
      <c r="U587" s="96">
        <f t="shared" si="542"/>
        <v>5</v>
      </c>
      <c r="V587" s="98">
        <v>46029</v>
      </c>
    </row>
    <row r="588" spans="1:22" x14ac:dyDescent="0.15">
      <c r="A588" s="60" t="s">
        <v>197</v>
      </c>
      <c r="B588" s="11">
        <v>5</v>
      </c>
      <c r="C588" s="12">
        <v>3</v>
      </c>
      <c r="D588" s="13">
        <v>2</v>
      </c>
      <c r="E588" s="10">
        <f t="shared" si="537"/>
        <v>10</v>
      </c>
      <c r="F588" s="11">
        <v>3</v>
      </c>
      <c r="G588" s="12"/>
      <c r="H588" s="13"/>
      <c r="I588" s="48">
        <f t="shared" si="538"/>
        <v>3</v>
      </c>
      <c r="J588" s="10">
        <f t="shared" si="539"/>
        <v>13</v>
      </c>
      <c r="K588" s="66">
        <v>45976</v>
      </c>
      <c r="L588" s="60"/>
      <c r="M588" s="11"/>
      <c r="N588" s="12"/>
      <c r="O588" s="13"/>
      <c r="P588" s="10">
        <f t="shared" si="540"/>
        <v>0</v>
      </c>
      <c r="Q588" s="11"/>
      <c r="R588" s="12"/>
      <c r="S588" s="13"/>
      <c r="T588" s="48">
        <f t="shared" si="541"/>
        <v>0</v>
      </c>
      <c r="U588" s="10">
        <f t="shared" si="542"/>
        <v>0</v>
      </c>
    </row>
    <row r="589" spans="1:22" x14ac:dyDescent="0.15">
      <c r="A589" s="60" t="s">
        <v>37</v>
      </c>
      <c r="B589" s="11">
        <v>2</v>
      </c>
      <c r="C589" s="12"/>
      <c r="D589" s="13"/>
      <c r="E589" s="10">
        <f t="shared" si="537"/>
        <v>2</v>
      </c>
      <c r="F589" s="11">
        <v>1</v>
      </c>
      <c r="G589" s="12">
        <v>5</v>
      </c>
      <c r="H589" s="13"/>
      <c r="I589" s="48">
        <f t="shared" si="538"/>
        <v>6</v>
      </c>
      <c r="J589" s="10">
        <f t="shared" si="539"/>
        <v>8</v>
      </c>
      <c r="K589" s="66">
        <v>45978</v>
      </c>
      <c r="L589" s="60"/>
      <c r="M589" s="11"/>
      <c r="N589" s="12"/>
      <c r="O589" s="13"/>
      <c r="P589" s="10">
        <f t="shared" si="540"/>
        <v>0</v>
      </c>
      <c r="Q589" s="11"/>
      <c r="R589" s="12"/>
      <c r="S589" s="13"/>
      <c r="T589" s="48">
        <f t="shared" si="541"/>
        <v>0</v>
      </c>
      <c r="U589" s="10">
        <f t="shared" si="542"/>
        <v>0</v>
      </c>
    </row>
    <row r="590" spans="1:22" x14ac:dyDescent="0.15">
      <c r="A590" s="60" t="s">
        <v>37</v>
      </c>
      <c r="B590" s="11"/>
      <c r="C590" s="12"/>
      <c r="D590" s="13"/>
      <c r="E590" s="10">
        <f t="shared" si="537"/>
        <v>0</v>
      </c>
      <c r="F590" s="11">
        <v>2</v>
      </c>
      <c r="G590" s="12">
        <v>2</v>
      </c>
      <c r="H590" s="13">
        <v>1</v>
      </c>
      <c r="I590" s="48">
        <f t="shared" si="538"/>
        <v>5</v>
      </c>
      <c r="J590" s="10">
        <f t="shared" si="539"/>
        <v>5</v>
      </c>
      <c r="K590" s="66">
        <v>45979</v>
      </c>
      <c r="L590" s="60"/>
      <c r="M590" s="11"/>
      <c r="N590" s="12"/>
      <c r="O590" s="13"/>
      <c r="P590" s="10">
        <f t="shared" si="540"/>
        <v>0</v>
      </c>
      <c r="Q590" s="11"/>
      <c r="R590" s="12"/>
      <c r="S590" s="13"/>
      <c r="T590" s="48">
        <f t="shared" si="541"/>
        <v>0</v>
      </c>
      <c r="U590" s="10">
        <f t="shared" si="542"/>
        <v>0</v>
      </c>
    </row>
    <row r="591" spans="1:22" x14ac:dyDescent="0.15">
      <c r="A591" s="60" t="s">
        <v>37</v>
      </c>
      <c r="B591" s="11">
        <v>1</v>
      </c>
      <c r="C591" s="12"/>
      <c r="D591" s="13"/>
      <c r="E591" s="10">
        <f t="shared" si="537"/>
        <v>1</v>
      </c>
      <c r="F591" s="11">
        <v>2</v>
      </c>
      <c r="G591" s="12"/>
      <c r="H591" s="13"/>
      <c r="I591" s="48">
        <f t="shared" si="538"/>
        <v>2</v>
      </c>
      <c r="J591" s="10">
        <f t="shared" si="539"/>
        <v>3</v>
      </c>
      <c r="K591" s="66">
        <v>45980</v>
      </c>
      <c r="L591" s="60"/>
      <c r="M591" s="11"/>
      <c r="N591" s="12"/>
      <c r="O591" s="13"/>
      <c r="P591" s="10">
        <f t="shared" si="540"/>
        <v>0</v>
      </c>
      <c r="Q591" s="11"/>
      <c r="R591" s="12"/>
      <c r="S591" s="13"/>
      <c r="T591" s="48">
        <f t="shared" si="541"/>
        <v>0</v>
      </c>
      <c r="U591" s="10">
        <f t="shared" si="542"/>
        <v>0</v>
      </c>
    </row>
    <row r="592" spans="1:22" x14ac:dyDescent="0.15">
      <c r="A592" s="60" t="s">
        <v>37</v>
      </c>
      <c r="B592" s="11"/>
      <c r="C592" s="12"/>
      <c r="D592" s="13"/>
      <c r="E592" s="10">
        <f t="shared" si="537"/>
        <v>0</v>
      </c>
      <c r="F592" s="11">
        <v>1</v>
      </c>
      <c r="G592" s="12"/>
      <c r="H592" s="13"/>
      <c r="I592" s="48">
        <f t="shared" si="538"/>
        <v>1</v>
      </c>
      <c r="J592" s="10">
        <f t="shared" si="539"/>
        <v>1</v>
      </c>
      <c r="K592" s="66">
        <v>45981</v>
      </c>
      <c r="L592" s="60"/>
      <c r="M592" s="11"/>
      <c r="N592" s="12"/>
      <c r="O592" s="13"/>
      <c r="P592" s="10">
        <f t="shared" si="540"/>
        <v>0</v>
      </c>
      <c r="Q592" s="11"/>
      <c r="R592" s="12"/>
      <c r="S592" s="13"/>
      <c r="T592" s="48">
        <f t="shared" si="541"/>
        <v>0</v>
      </c>
      <c r="U592" s="10">
        <f t="shared" si="542"/>
        <v>0</v>
      </c>
    </row>
    <row r="593" spans="1:21" x14ac:dyDescent="0.15">
      <c r="A593" s="60" t="s">
        <v>37</v>
      </c>
      <c r="B593" s="11"/>
      <c r="C593" s="12"/>
      <c r="D593" s="13"/>
      <c r="E593" s="10">
        <f t="shared" si="537"/>
        <v>0</v>
      </c>
      <c r="F593" s="11">
        <v>3</v>
      </c>
      <c r="G593" s="12">
        <v>1</v>
      </c>
      <c r="H593" s="13"/>
      <c r="I593" s="48">
        <f t="shared" si="538"/>
        <v>4</v>
      </c>
      <c r="J593" s="10">
        <f t="shared" si="539"/>
        <v>4</v>
      </c>
      <c r="K593" s="66">
        <v>45982</v>
      </c>
      <c r="L593" s="60"/>
      <c r="M593" s="11"/>
      <c r="N593" s="12"/>
      <c r="O593" s="13"/>
      <c r="P593" s="10">
        <f t="shared" si="540"/>
        <v>0</v>
      </c>
      <c r="Q593" s="11"/>
      <c r="R593" s="12"/>
      <c r="S593" s="13"/>
      <c r="T593" s="48">
        <f t="shared" si="541"/>
        <v>0</v>
      </c>
      <c r="U593" s="10">
        <f t="shared" si="542"/>
        <v>0</v>
      </c>
    </row>
    <row r="594" spans="1:21" x14ac:dyDescent="0.15">
      <c r="A594" s="60" t="s">
        <v>37</v>
      </c>
      <c r="B594" s="11">
        <v>2</v>
      </c>
      <c r="C594" s="12">
        <v>6</v>
      </c>
      <c r="D594" s="13">
        <v>1</v>
      </c>
      <c r="E594" s="10">
        <f t="shared" ref="E594" si="543">SUM(B594:D594)</f>
        <v>9</v>
      </c>
      <c r="F594" s="11">
        <v>1</v>
      </c>
      <c r="G594" s="12">
        <v>1</v>
      </c>
      <c r="H594" s="13">
        <v>2</v>
      </c>
      <c r="I594" s="48">
        <f t="shared" ref="I594" si="544">SUM(F594:H594)</f>
        <v>4</v>
      </c>
      <c r="J594" s="10">
        <f t="shared" ref="J594" si="545">E594+I594</f>
        <v>13</v>
      </c>
      <c r="K594" s="66">
        <v>45986</v>
      </c>
      <c r="L594" s="60"/>
      <c r="M594" s="11"/>
      <c r="N594" s="12"/>
      <c r="O594" s="13"/>
      <c r="P594" s="10">
        <f t="shared" si="540"/>
        <v>0</v>
      </c>
      <c r="Q594" s="11"/>
      <c r="R594" s="12"/>
      <c r="S594" s="13"/>
      <c r="T594" s="48">
        <f t="shared" si="541"/>
        <v>0</v>
      </c>
      <c r="U594" s="10">
        <f t="shared" si="542"/>
        <v>0</v>
      </c>
    </row>
    <row r="595" spans="1:21" x14ac:dyDescent="0.15">
      <c r="A595" s="60" t="s">
        <v>199</v>
      </c>
      <c r="B595" s="11"/>
      <c r="C595" s="12">
        <v>-5</v>
      </c>
      <c r="D595" s="13"/>
      <c r="E595" s="10">
        <f t="shared" si="537"/>
        <v>-5</v>
      </c>
      <c r="F595" s="11"/>
      <c r="G595" s="12"/>
      <c r="H595" s="13"/>
      <c r="I595" s="48">
        <f t="shared" si="538"/>
        <v>0</v>
      </c>
      <c r="J595" s="10">
        <f t="shared" si="539"/>
        <v>-5</v>
      </c>
      <c r="K595" s="57">
        <v>45987</v>
      </c>
      <c r="L595" s="60"/>
      <c r="M595" s="11"/>
      <c r="N595" s="12"/>
      <c r="O595" s="13"/>
      <c r="P595" s="10">
        <f t="shared" si="540"/>
        <v>0</v>
      </c>
      <c r="Q595" s="11"/>
      <c r="R595" s="12"/>
      <c r="S595" s="13"/>
      <c r="T595" s="48">
        <f t="shared" si="541"/>
        <v>0</v>
      </c>
      <c r="U595" s="10">
        <f t="shared" si="542"/>
        <v>0</v>
      </c>
    </row>
    <row r="596" spans="1:21" x14ac:dyDescent="0.15">
      <c r="A596" s="60" t="s">
        <v>37</v>
      </c>
      <c r="B596" s="11">
        <v>1</v>
      </c>
      <c r="C596" s="12"/>
      <c r="D596" s="13"/>
      <c r="E596" s="10">
        <f t="shared" si="537"/>
        <v>1</v>
      </c>
      <c r="F596" s="11">
        <v>1</v>
      </c>
      <c r="G596" s="12"/>
      <c r="H596" s="13"/>
      <c r="I596" s="48">
        <f t="shared" si="538"/>
        <v>1</v>
      </c>
      <c r="J596" s="10">
        <f t="shared" si="539"/>
        <v>2</v>
      </c>
      <c r="K596" s="66">
        <v>45988</v>
      </c>
      <c r="L596" s="60"/>
      <c r="M596" s="11"/>
      <c r="N596" s="12"/>
      <c r="O596" s="13"/>
      <c r="P596" s="10">
        <f t="shared" si="540"/>
        <v>0</v>
      </c>
      <c r="Q596" s="11"/>
      <c r="R596" s="12"/>
      <c r="S596" s="13"/>
      <c r="T596" s="48">
        <f t="shared" si="541"/>
        <v>0</v>
      </c>
      <c r="U596" s="10">
        <f t="shared" si="542"/>
        <v>0</v>
      </c>
    </row>
    <row r="597" spans="1:21" x14ac:dyDescent="0.15">
      <c r="A597" s="60" t="s">
        <v>37</v>
      </c>
      <c r="B597" s="11"/>
      <c r="C597" s="12"/>
      <c r="D597" s="13"/>
      <c r="E597" s="10">
        <f t="shared" si="537"/>
        <v>0</v>
      </c>
      <c r="F597" s="11">
        <v>1</v>
      </c>
      <c r="G597" s="12"/>
      <c r="H597" s="13"/>
      <c r="I597" s="48">
        <f t="shared" si="538"/>
        <v>1</v>
      </c>
      <c r="J597" s="10">
        <f t="shared" si="539"/>
        <v>1</v>
      </c>
      <c r="K597" s="66">
        <v>45990</v>
      </c>
      <c r="L597" s="60"/>
      <c r="M597" s="11"/>
      <c r="N597" s="12"/>
      <c r="O597" s="13"/>
      <c r="P597" s="10">
        <f t="shared" si="540"/>
        <v>0</v>
      </c>
      <c r="Q597" s="11"/>
      <c r="R597" s="12"/>
      <c r="S597" s="13"/>
      <c r="T597" s="48">
        <f t="shared" si="541"/>
        <v>0</v>
      </c>
      <c r="U597" s="10">
        <f t="shared" si="542"/>
        <v>0</v>
      </c>
    </row>
    <row r="598" spans="1:21" ht="14.25" thickBot="1" x14ac:dyDescent="0.2">
      <c r="A598" s="60" t="s">
        <v>37</v>
      </c>
      <c r="B598" s="11">
        <v>1</v>
      </c>
      <c r="C598" s="12">
        <v>1</v>
      </c>
      <c r="D598" s="13"/>
      <c r="E598" s="10">
        <f t="shared" si="537"/>
        <v>2</v>
      </c>
      <c r="F598" s="11"/>
      <c r="G598" s="12"/>
      <c r="H598" s="13">
        <v>1</v>
      </c>
      <c r="I598" s="48">
        <f t="shared" si="538"/>
        <v>1</v>
      </c>
      <c r="J598" s="10">
        <f t="shared" si="539"/>
        <v>3</v>
      </c>
      <c r="K598" s="66">
        <v>45992</v>
      </c>
      <c r="L598" s="60"/>
      <c r="M598" s="11"/>
      <c r="N598" s="12"/>
      <c r="O598" s="13"/>
      <c r="P598" s="10">
        <f t="shared" si="540"/>
        <v>0</v>
      </c>
      <c r="Q598" s="11"/>
      <c r="R598" s="12"/>
      <c r="S598" s="13"/>
      <c r="T598" s="48">
        <f t="shared" si="541"/>
        <v>0</v>
      </c>
      <c r="U598" s="10">
        <f t="shared" si="542"/>
        <v>0</v>
      </c>
    </row>
    <row r="599" spans="1:21" ht="14.25" thickBot="1" x14ac:dyDescent="0.2">
      <c r="A599" s="29" t="s">
        <v>17</v>
      </c>
      <c r="B599" s="30">
        <f>SUM(B573:B598)</f>
        <v>24</v>
      </c>
      <c r="C599" s="31">
        <f>SUM(C573:C598)</f>
        <v>10</v>
      </c>
      <c r="D599" s="32">
        <f>SUM(D573:D598)</f>
        <v>3</v>
      </c>
      <c r="E599" s="33">
        <f>SUM(B599:D599)</f>
        <v>37</v>
      </c>
      <c r="F599" s="30">
        <f>SUM(F573:F598)</f>
        <v>25</v>
      </c>
      <c r="G599" s="31">
        <f>SUM(G573:G598)</f>
        <v>16</v>
      </c>
      <c r="H599" s="32">
        <f>SUM(H573:H598)</f>
        <v>8</v>
      </c>
      <c r="I599" s="33">
        <f>SUM(F599:H599)</f>
        <v>49</v>
      </c>
      <c r="J599" s="34">
        <f t="shared" si="539"/>
        <v>86</v>
      </c>
      <c r="L599" s="29" t="s">
        <v>17</v>
      </c>
      <c r="M599" s="30">
        <f>SUM(M573:M598)</f>
        <v>29</v>
      </c>
      <c r="N599" s="31">
        <f>SUM(N573:N598)</f>
        <v>13</v>
      </c>
      <c r="O599" s="32">
        <f>SUM(O573:O598)</f>
        <v>2</v>
      </c>
      <c r="P599" s="33">
        <f>SUM(M599:O599)</f>
        <v>44</v>
      </c>
      <c r="Q599" s="30">
        <f>SUM(Q573:Q598)</f>
        <v>64</v>
      </c>
      <c r="R599" s="31">
        <f>SUM(R573:R598)</f>
        <v>18</v>
      </c>
      <c r="S599" s="32">
        <f>SUM(S573:S598)</f>
        <v>13</v>
      </c>
      <c r="T599" s="33">
        <f>SUM(Q599:S599)</f>
        <v>95</v>
      </c>
      <c r="U599" s="34">
        <f t="shared" si="542"/>
        <v>139</v>
      </c>
    </row>
    <row r="600" spans="1:21" ht="14.25" thickBot="1" x14ac:dyDescent="0.2">
      <c r="A600" s="18" t="s">
        <v>18</v>
      </c>
      <c r="B600" s="44">
        <f>B572-B599</f>
        <v>8</v>
      </c>
      <c r="C600" s="45">
        <f t="shared" ref="C600:E600" si="546">C572-C599</f>
        <v>6</v>
      </c>
      <c r="D600" s="46">
        <f t="shared" si="546"/>
        <v>9</v>
      </c>
      <c r="E600" s="46">
        <f t="shared" si="546"/>
        <v>20</v>
      </c>
      <c r="F600" s="44">
        <f>F572-F599</f>
        <v>2</v>
      </c>
      <c r="G600" s="45">
        <f t="shared" ref="G600:I600" si="547">G572-G599</f>
        <v>6</v>
      </c>
      <c r="H600" s="46">
        <f t="shared" si="547"/>
        <v>4</v>
      </c>
      <c r="I600" s="46">
        <f t="shared" si="547"/>
        <v>7</v>
      </c>
      <c r="J600" s="24">
        <f t="shared" si="539"/>
        <v>27</v>
      </c>
      <c r="L600" s="18" t="s">
        <v>18</v>
      </c>
      <c r="M600" s="44">
        <f>M572-M599</f>
        <v>188</v>
      </c>
      <c r="N600" s="45">
        <f t="shared" ref="N600:P600" si="548">N572-N599</f>
        <v>317</v>
      </c>
      <c r="O600" s="46">
        <f t="shared" si="548"/>
        <v>203</v>
      </c>
      <c r="P600" s="46">
        <f t="shared" si="548"/>
        <v>708</v>
      </c>
      <c r="Q600" s="44">
        <f>Q572-Q599</f>
        <v>419</v>
      </c>
      <c r="R600" s="45">
        <f t="shared" ref="R600:T600" si="549">R572-R599</f>
        <v>521</v>
      </c>
      <c r="S600" s="46">
        <f t="shared" si="549"/>
        <v>296</v>
      </c>
      <c r="T600" s="46">
        <f t="shared" si="549"/>
        <v>1236</v>
      </c>
      <c r="U600" s="24">
        <f t="shared" si="542"/>
        <v>1944</v>
      </c>
    </row>
    <row r="601" spans="1:21" x14ac:dyDescent="0.15">
      <c r="L601" s="79" t="s">
        <v>135</v>
      </c>
      <c r="M601" s="76">
        <f>M600/$P$600*100</f>
        <v>26.55367231638418</v>
      </c>
      <c r="N601" s="76">
        <f t="shared" ref="N601:P601" si="550">N600/$P$600*100</f>
        <v>44.774011299435031</v>
      </c>
      <c r="O601" s="76">
        <f t="shared" si="550"/>
        <v>28.672316384180789</v>
      </c>
      <c r="P601" s="76">
        <f t="shared" si="550"/>
        <v>100</v>
      </c>
      <c r="Q601" s="76">
        <f>Q600/$T$600*100</f>
        <v>33.899676375404532</v>
      </c>
      <c r="R601" s="76">
        <f t="shared" ref="R601:T601" si="551">R600/$T$600*100</f>
        <v>42.152103559870554</v>
      </c>
      <c r="S601" s="76">
        <f t="shared" si="551"/>
        <v>23.948220064724918</v>
      </c>
      <c r="T601" s="76">
        <f t="shared" si="551"/>
        <v>100</v>
      </c>
    </row>
    <row r="602" spans="1:21" x14ac:dyDescent="0.15">
      <c r="L602" s="80" t="s">
        <v>134</v>
      </c>
      <c r="M602" s="77">
        <v>45.5</v>
      </c>
      <c r="N602" s="77">
        <v>33.4</v>
      </c>
      <c r="O602" s="77">
        <v>21.2</v>
      </c>
      <c r="P602" s="77">
        <v>100</v>
      </c>
      <c r="Q602" s="77">
        <v>45.9</v>
      </c>
      <c r="R602" s="77">
        <v>32.9</v>
      </c>
      <c r="S602" s="77">
        <v>21.2</v>
      </c>
      <c r="T602" s="77">
        <v>100</v>
      </c>
    </row>
    <row r="603" spans="1:21" ht="19.5" thickBot="1" x14ac:dyDescent="0.25">
      <c r="A603" s="2" t="s">
        <v>24</v>
      </c>
      <c r="B603" s="1"/>
      <c r="C603" s="1"/>
      <c r="D603" s="1"/>
      <c r="E603" s="1"/>
      <c r="F603" s="1" t="s">
        <v>39</v>
      </c>
      <c r="G603" s="1"/>
      <c r="H603" s="1"/>
      <c r="I603" s="1"/>
      <c r="J603" s="1"/>
      <c r="L603" s="2" t="s">
        <v>23</v>
      </c>
      <c r="M603" s="1"/>
      <c r="N603" s="1"/>
      <c r="O603" s="1"/>
      <c r="P603" s="63" t="s">
        <v>35</v>
      </c>
      <c r="Q603" s="1"/>
      <c r="R603" s="1" t="s">
        <v>39</v>
      </c>
      <c r="S603" s="1"/>
      <c r="T603" s="1"/>
      <c r="U603" s="1"/>
    </row>
    <row r="604" spans="1:21" ht="14.25" thickBot="1" x14ac:dyDescent="0.2">
      <c r="A604" s="6" t="s">
        <v>0</v>
      </c>
      <c r="B604" s="128" t="s">
        <v>21</v>
      </c>
      <c r="C604" s="129"/>
      <c r="D604" s="129"/>
      <c r="E604" s="130"/>
      <c r="F604" s="125" t="s">
        <v>19</v>
      </c>
      <c r="G604" s="126"/>
      <c r="H604" s="126"/>
      <c r="I604" s="127"/>
      <c r="J604" s="90" t="s">
        <v>1</v>
      </c>
      <c r="L604" s="6" t="s">
        <v>0</v>
      </c>
      <c r="M604" s="128" t="s">
        <v>21</v>
      </c>
      <c r="N604" s="129"/>
      <c r="O604" s="129"/>
      <c r="P604" s="130"/>
      <c r="Q604" s="125" t="s">
        <v>19</v>
      </c>
      <c r="R604" s="126"/>
      <c r="S604" s="126"/>
      <c r="T604" s="127"/>
      <c r="U604" s="88" t="s">
        <v>1</v>
      </c>
    </row>
    <row r="605" spans="1:21" ht="14.25" thickBot="1" x14ac:dyDescent="0.2">
      <c r="A605" s="6" t="s">
        <v>2</v>
      </c>
      <c r="B605" s="3" t="s">
        <v>3</v>
      </c>
      <c r="C605" s="4" t="s">
        <v>4</v>
      </c>
      <c r="D605" s="5" t="s">
        <v>5</v>
      </c>
      <c r="E605" s="6" t="s">
        <v>6</v>
      </c>
      <c r="F605" s="3" t="s">
        <v>3</v>
      </c>
      <c r="G605" s="4" t="s">
        <v>4</v>
      </c>
      <c r="H605" s="5" t="s">
        <v>5</v>
      </c>
      <c r="I605" s="6" t="s">
        <v>6</v>
      </c>
      <c r="J605" s="91"/>
      <c r="L605" s="6" t="s">
        <v>2</v>
      </c>
      <c r="M605" s="50" t="s">
        <v>3</v>
      </c>
      <c r="N605" s="51" t="s">
        <v>4</v>
      </c>
      <c r="O605" s="52" t="s">
        <v>5</v>
      </c>
      <c r="P605" s="6" t="s">
        <v>6</v>
      </c>
      <c r="Q605" s="3" t="s">
        <v>3</v>
      </c>
      <c r="R605" s="4" t="s">
        <v>4</v>
      </c>
      <c r="S605" s="5" t="s">
        <v>5</v>
      </c>
      <c r="T605" s="6" t="s">
        <v>6</v>
      </c>
      <c r="U605" s="89"/>
    </row>
    <row r="606" spans="1:21" ht="14.25" thickBot="1" x14ac:dyDescent="0.2">
      <c r="A606" s="20" t="s">
        <v>18</v>
      </c>
      <c r="B606" s="21">
        <f>B600</f>
        <v>8</v>
      </c>
      <c r="C606" s="22">
        <f t="shared" ref="C606:D606" si="552">C600</f>
        <v>6</v>
      </c>
      <c r="D606" s="38">
        <f t="shared" si="552"/>
        <v>9</v>
      </c>
      <c r="E606" s="24">
        <f t="shared" ref="E606:E614" si="553">SUM(B606:D606)</f>
        <v>23</v>
      </c>
      <c r="F606" s="21">
        <f>F600</f>
        <v>2</v>
      </c>
      <c r="G606" s="22">
        <f t="shared" ref="G606:H606" si="554">G600</f>
        <v>6</v>
      </c>
      <c r="H606" s="38">
        <f t="shared" si="554"/>
        <v>4</v>
      </c>
      <c r="I606" s="24">
        <f t="shared" ref="I606:I614" si="555">SUM(F606:H606)</f>
        <v>12</v>
      </c>
      <c r="J606" s="24">
        <f>E606+I606</f>
        <v>35</v>
      </c>
      <c r="L606" s="20" t="s">
        <v>18</v>
      </c>
      <c r="M606" s="21">
        <f>M600</f>
        <v>188</v>
      </c>
      <c r="N606" s="22">
        <f t="shared" ref="N606:O606" si="556">N600</f>
        <v>317</v>
      </c>
      <c r="O606" s="38">
        <f t="shared" si="556"/>
        <v>203</v>
      </c>
      <c r="P606" s="73">
        <f t="shared" ref="P606:P614" si="557">SUM(M606:O606)</f>
        <v>708</v>
      </c>
      <c r="Q606" s="21">
        <f>Q600</f>
        <v>419</v>
      </c>
      <c r="R606" s="22">
        <f t="shared" ref="R606:S606" si="558">R600</f>
        <v>521</v>
      </c>
      <c r="S606" s="38">
        <f t="shared" si="558"/>
        <v>296</v>
      </c>
      <c r="T606" s="24">
        <f t="shared" ref="T606:T614" si="559">SUM(Q606:S606)</f>
        <v>1236</v>
      </c>
      <c r="U606" s="24">
        <f>P606+T606</f>
        <v>1944</v>
      </c>
    </row>
    <row r="607" spans="1:21" x14ac:dyDescent="0.15">
      <c r="A607" s="99" t="s">
        <v>8</v>
      </c>
      <c r="B607" s="100"/>
      <c r="C607" s="101"/>
      <c r="D607" s="102"/>
      <c r="E607" s="96">
        <f t="shared" si="553"/>
        <v>0</v>
      </c>
      <c r="F607" s="100">
        <v>10</v>
      </c>
      <c r="G607" s="101"/>
      <c r="H607" s="102"/>
      <c r="I607" s="97">
        <f t="shared" si="555"/>
        <v>10</v>
      </c>
      <c r="J607" s="96">
        <f t="shared" ref="J607:J614" si="560">E607+I607</f>
        <v>10</v>
      </c>
      <c r="K607" s="98">
        <v>45993</v>
      </c>
      <c r="L607" s="19" t="s">
        <v>8</v>
      </c>
      <c r="M607" s="7"/>
      <c r="N607" s="8"/>
      <c r="O607" s="35"/>
      <c r="P607" s="10">
        <f t="shared" si="557"/>
        <v>0</v>
      </c>
      <c r="Q607" s="7"/>
      <c r="R607" s="8"/>
      <c r="S607" s="35"/>
      <c r="T607" s="48">
        <f t="shared" si="559"/>
        <v>0</v>
      </c>
      <c r="U607" s="10">
        <f t="shared" ref="U607:U614" si="561">P607+T607</f>
        <v>0</v>
      </c>
    </row>
    <row r="608" spans="1:21" x14ac:dyDescent="0.15">
      <c r="A608" s="99" t="s">
        <v>9</v>
      </c>
      <c r="B608" s="100">
        <v>5</v>
      </c>
      <c r="C608" s="101"/>
      <c r="D608" s="102"/>
      <c r="E608" s="96">
        <f t="shared" si="553"/>
        <v>5</v>
      </c>
      <c r="F608" s="100">
        <v>10</v>
      </c>
      <c r="G608" s="101"/>
      <c r="H608" s="102"/>
      <c r="I608" s="97">
        <f t="shared" si="555"/>
        <v>10</v>
      </c>
      <c r="J608" s="96">
        <f t="shared" si="560"/>
        <v>15</v>
      </c>
      <c r="K608" s="98">
        <v>46000</v>
      </c>
      <c r="L608" s="19" t="s">
        <v>9</v>
      </c>
      <c r="M608" s="7"/>
      <c r="N608" s="8"/>
      <c r="O608" s="35"/>
      <c r="P608" s="10">
        <f t="shared" ref="P608" si="562">SUM(M608:O608)</f>
        <v>0</v>
      </c>
      <c r="Q608" s="7"/>
      <c r="R608" s="8"/>
      <c r="S608" s="35"/>
      <c r="T608" s="48">
        <f t="shared" ref="T608" si="563">SUM(Q608:S608)</f>
        <v>0</v>
      </c>
      <c r="U608" s="10">
        <f t="shared" ref="U608" si="564">P608+T608</f>
        <v>0</v>
      </c>
    </row>
    <row r="609" spans="1:22" x14ac:dyDescent="0.15">
      <c r="A609" s="99" t="s">
        <v>10</v>
      </c>
      <c r="B609" s="100"/>
      <c r="C609" s="101"/>
      <c r="D609" s="102"/>
      <c r="E609" s="96">
        <f t="shared" si="553"/>
        <v>0</v>
      </c>
      <c r="F609" s="100"/>
      <c r="G609" s="101">
        <v>3</v>
      </c>
      <c r="H609" s="102">
        <v>3</v>
      </c>
      <c r="I609" s="97">
        <f t="shared" si="555"/>
        <v>6</v>
      </c>
      <c r="J609" s="96">
        <f t="shared" si="560"/>
        <v>6</v>
      </c>
      <c r="K609" s="98">
        <v>46001</v>
      </c>
      <c r="L609" s="19" t="s">
        <v>10</v>
      </c>
      <c r="M609" s="7"/>
      <c r="N609" s="8"/>
      <c r="O609" s="35"/>
      <c r="P609" s="10">
        <f t="shared" ref="P609:P611" si="565">SUM(M609:O609)</f>
        <v>0</v>
      </c>
      <c r="Q609" s="7"/>
      <c r="R609" s="8"/>
      <c r="S609" s="35"/>
      <c r="T609" s="48">
        <f t="shared" ref="T609:T611" si="566">SUM(Q609:S609)</f>
        <v>0</v>
      </c>
      <c r="U609" s="10">
        <f t="shared" ref="U609:U611" si="567">P609+T609</f>
        <v>0</v>
      </c>
    </row>
    <row r="610" spans="1:22" x14ac:dyDescent="0.15">
      <c r="A610" s="99" t="s">
        <v>11</v>
      </c>
      <c r="B610" s="100">
        <v>10</v>
      </c>
      <c r="C610" s="101">
        <v>5</v>
      </c>
      <c r="D610" s="102"/>
      <c r="E610" s="96">
        <f t="shared" si="553"/>
        <v>15</v>
      </c>
      <c r="F610" s="100">
        <v>10</v>
      </c>
      <c r="G610" s="101">
        <v>5</v>
      </c>
      <c r="H610" s="102">
        <v>5</v>
      </c>
      <c r="I610" s="97">
        <f t="shared" si="555"/>
        <v>20</v>
      </c>
      <c r="J610" s="96">
        <f t="shared" si="560"/>
        <v>35</v>
      </c>
      <c r="K610" s="98">
        <v>46007</v>
      </c>
      <c r="L610" s="19" t="s">
        <v>11</v>
      </c>
      <c r="M610" s="7"/>
      <c r="N610" s="8"/>
      <c r="O610" s="35"/>
      <c r="P610" s="10">
        <f t="shared" si="565"/>
        <v>0</v>
      </c>
      <c r="Q610" s="7"/>
      <c r="R610" s="8"/>
      <c r="S610" s="35"/>
      <c r="T610" s="48">
        <f t="shared" si="566"/>
        <v>0</v>
      </c>
      <c r="U610" s="10">
        <f t="shared" si="567"/>
        <v>0</v>
      </c>
    </row>
    <row r="611" spans="1:22" x14ac:dyDescent="0.15">
      <c r="A611" s="19" t="s">
        <v>123</v>
      </c>
      <c r="B611" s="7">
        <v>2</v>
      </c>
      <c r="C611" s="8"/>
      <c r="D611" s="35"/>
      <c r="E611" s="10">
        <f t="shared" si="553"/>
        <v>2</v>
      </c>
      <c r="F611" s="7"/>
      <c r="G611" s="8"/>
      <c r="H611" s="35"/>
      <c r="I611" s="48">
        <f t="shared" si="555"/>
        <v>0</v>
      </c>
      <c r="J611" s="10">
        <f t="shared" si="560"/>
        <v>2</v>
      </c>
      <c r="K611" s="66">
        <v>46003</v>
      </c>
      <c r="L611" s="19" t="s">
        <v>12</v>
      </c>
      <c r="M611" s="7"/>
      <c r="N611" s="8"/>
      <c r="O611" s="35"/>
      <c r="P611" s="10">
        <f t="shared" si="565"/>
        <v>0</v>
      </c>
      <c r="Q611" s="7"/>
      <c r="R611" s="8"/>
      <c r="S611" s="35"/>
      <c r="T611" s="48">
        <f t="shared" si="566"/>
        <v>0</v>
      </c>
      <c r="U611" s="10">
        <f t="shared" si="567"/>
        <v>0</v>
      </c>
    </row>
    <row r="612" spans="1:22" x14ac:dyDescent="0.15">
      <c r="A612" s="19" t="s">
        <v>13</v>
      </c>
      <c r="B612" s="7"/>
      <c r="C612" s="8"/>
      <c r="D612" s="35"/>
      <c r="E612" s="10">
        <f t="shared" si="553"/>
        <v>0</v>
      </c>
      <c r="F612" s="7">
        <v>8</v>
      </c>
      <c r="G612" s="8"/>
      <c r="H612" s="35"/>
      <c r="I612" s="48">
        <f t="shared" si="555"/>
        <v>8</v>
      </c>
      <c r="J612" s="10">
        <f t="shared" si="560"/>
        <v>8</v>
      </c>
      <c r="K612" s="57">
        <v>46017</v>
      </c>
      <c r="L612" s="19" t="s">
        <v>13</v>
      </c>
      <c r="M612" s="7"/>
      <c r="N612" s="8"/>
      <c r="O612" s="35"/>
      <c r="P612" s="10">
        <f t="shared" si="557"/>
        <v>0</v>
      </c>
      <c r="Q612" s="7"/>
      <c r="R612" s="8"/>
      <c r="S612" s="35"/>
      <c r="T612" s="48">
        <f t="shared" si="559"/>
        <v>0</v>
      </c>
      <c r="U612" s="10">
        <f t="shared" si="561"/>
        <v>0</v>
      </c>
    </row>
    <row r="613" spans="1:22" x14ac:dyDescent="0.15">
      <c r="A613" s="99" t="s">
        <v>14</v>
      </c>
      <c r="B613" s="93"/>
      <c r="C613" s="94"/>
      <c r="D613" s="103"/>
      <c r="E613" s="96">
        <f t="shared" si="553"/>
        <v>0</v>
      </c>
      <c r="F613" s="93">
        <v>5</v>
      </c>
      <c r="G613" s="94"/>
      <c r="H613" s="103"/>
      <c r="I613" s="97">
        <f t="shared" si="555"/>
        <v>5</v>
      </c>
      <c r="J613" s="96">
        <f t="shared" si="560"/>
        <v>5</v>
      </c>
      <c r="K613" s="98">
        <v>46028</v>
      </c>
      <c r="L613" s="19" t="s">
        <v>14</v>
      </c>
      <c r="M613" s="11"/>
      <c r="N613" s="12"/>
      <c r="O613" s="36"/>
      <c r="P613" s="10">
        <f t="shared" si="557"/>
        <v>0</v>
      </c>
      <c r="Q613" s="11"/>
      <c r="R613" s="12"/>
      <c r="S613" s="36"/>
      <c r="T613" s="48">
        <f t="shared" si="559"/>
        <v>0</v>
      </c>
      <c r="U613" s="10">
        <f t="shared" si="561"/>
        <v>0</v>
      </c>
    </row>
    <row r="614" spans="1:22" ht="14.25" thickBot="1" x14ac:dyDescent="0.2">
      <c r="A614" s="99" t="s">
        <v>15</v>
      </c>
      <c r="B614" s="104"/>
      <c r="C614" s="105"/>
      <c r="D614" s="106"/>
      <c r="E614" s="96">
        <f t="shared" si="553"/>
        <v>0</v>
      </c>
      <c r="F614" s="104">
        <v>5</v>
      </c>
      <c r="G614" s="105"/>
      <c r="H614" s="106"/>
      <c r="I614" s="97">
        <f t="shared" si="555"/>
        <v>5</v>
      </c>
      <c r="J614" s="107">
        <f t="shared" si="560"/>
        <v>5</v>
      </c>
      <c r="K614" s="98">
        <v>46029</v>
      </c>
      <c r="L614" s="19" t="s">
        <v>15</v>
      </c>
      <c r="M614" s="25"/>
      <c r="N614" s="26"/>
      <c r="O614" s="37"/>
      <c r="P614" s="10">
        <f t="shared" si="557"/>
        <v>0</v>
      </c>
      <c r="Q614" s="25"/>
      <c r="R614" s="26"/>
      <c r="S614" s="37"/>
      <c r="T614" s="48">
        <f t="shared" si="559"/>
        <v>0</v>
      </c>
      <c r="U614" s="17">
        <f t="shared" si="561"/>
        <v>0</v>
      </c>
    </row>
    <row r="615" spans="1:22" ht="14.25" thickBot="1" x14ac:dyDescent="0.2">
      <c r="A615" s="27" t="s">
        <v>16</v>
      </c>
      <c r="B615" s="21">
        <f>SUM(B606:B614)</f>
        <v>25</v>
      </c>
      <c r="C615" s="22">
        <f t="shared" ref="C615:J615" si="568">SUM(C606:C614)</f>
        <v>11</v>
      </c>
      <c r="D615" s="38">
        <f t="shared" si="568"/>
        <v>9</v>
      </c>
      <c r="E615" s="54">
        <f t="shared" si="568"/>
        <v>45</v>
      </c>
      <c r="F615" s="21">
        <f t="shared" si="568"/>
        <v>50</v>
      </c>
      <c r="G615" s="22">
        <f t="shared" si="568"/>
        <v>14</v>
      </c>
      <c r="H615" s="38">
        <f t="shared" si="568"/>
        <v>12</v>
      </c>
      <c r="I615" s="53">
        <f t="shared" si="568"/>
        <v>76</v>
      </c>
      <c r="J615" s="24">
        <f t="shared" si="568"/>
        <v>121</v>
      </c>
      <c r="L615" s="27" t="s">
        <v>16</v>
      </c>
      <c r="M615" s="21">
        <f>SUM(M606:M614)</f>
        <v>188</v>
      </c>
      <c r="N615" s="22">
        <f t="shared" ref="N615:U615" si="569">SUM(N606:N614)</f>
        <v>317</v>
      </c>
      <c r="O615" s="38">
        <f t="shared" si="569"/>
        <v>203</v>
      </c>
      <c r="P615" s="54">
        <f t="shared" si="569"/>
        <v>708</v>
      </c>
      <c r="Q615" s="21">
        <f t="shared" si="569"/>
        <v>419</v>
      </c>
      <c r="R615" s="22">
        <f t="shared" si="569"/>
        <v>521</v>
      </c>
      <c r="S615" s="38">
        <f t="shared" si="569"/>
        <v>296</v>
      </c>
      <c r="T615" s="53">
        <f t="shared" si="569"/>
        <v>1236</v>
      </c>
      <c r="U615" s="24">
        <f t="shared" si="569"/>
        <v>1944</v>
      </c>
    </row>
    <row r="616" spans="1:22" x14ac:dyDescent="0.15">
      <c r="A616" s="60" t="s">
        <v>37</v>
      </c>
      <c r="B616" s="11"/>
      <c r="C616" s="12">
        <v>1</v>
      </c>
      <c r="D616" s="13"/>
      <c r="E616" s="10">
        <f t="shared" ref="E616:E641" si="570">SUM(B616:D616)</f>
        <v>1</v>
      </c>
      <c r="F616" s="11">
        <v>4</v>
      </c>
      <c r="G616" s="12"/>
      <c r="H616" s="13"/>
      <c r="I616" s="48">
        <f t="shared" ref="I616:I641" si="571">SUM(F616:H616)</f>
        <v>4</v>
      </c>
      <c r="J616" s="10">
        <f t="shared" ref="J616:J643" si="572">E616+I616</f>
        <v>5</v>
      </c>
      <c r="K616" s="66">
        <v>45993</v>
      </c>
      <c r="L616" s="60" t="s">
        <v>204</v>
      </c>
      <c r="M616" s="11"/>
      <c r="N616" s="12"/>
      <c r="O616" s="13"/>
      <c r="P616" s="10">
        <f t="shared" ref="P616:P641" si="573">SUM(M616:O616)</f>
        <v>0</v>
      </c>
      <c r="Q616" s="11">
        <v>10</v>
      </c>
      <c r="R616" s="12"/>
      <c r="S616" s="13"/>
      <c r="T616" s="48">
        <f t="shared" ref="T616:T641" si="574">SUM(Q616:S616)</f>
        <v>10</v>
      </c>
      <c r="U616" s="10">
        <f t="shared" ref="U616:U643" si="575">P616+T616</f>
        <v>10</v>
      </c>
      <c r="V616" s="66">
        <v>46032</v>
      </c>
    </row>
    <row r="617" spans="1:22" x14ac:dyDescent="0.15">
      <c r="A617" s="60" t="s">
        <v>37</v>
      </c>
      <c r="B617" s="11"/>
      <c r="C617" s="12">
        <v>1</v>
      </c>
      <c r="D617" s="13"/>
      <c r="E617" s="10">
        <f t="shared" si="570"/>
        <v>1</v>
      </c>
      <c r="F617" s="11">
        <v>3</v>
      </c>
      <c r="G617" s="12"/>
      <c r="H617" s="13">
        <v>1</v>
      </c>
      <c r="I617" s="48">
        <f t="shared" si="571"/>
        <v>4</v>
      </c>
      <c r="J617" s="10">
        <f t="shared" si="572"/>
        <v>5</v>
      </c>
      <c r="K617" s="66">
        <v>45994</v>
      </c>
      <c r="L617" s="92" t="s">
        <v>207</v>
      </c>
      <c r="M617" s="93"/>
      <c r="N617" s="94"/>
      <c r="O617" s="95"/>
      <c r="P617" s="96">
        <f t="shared" si="573"/>
        <v>0</v>
      </c>
      <c r="Q617" s="93"/>
      <c r="R617" s="94">
        <v>4</v>
      </c>
      <c r="S617" s="95"/>
      <c r="T617" s="97">
        <f t="shared" si="574"/>
        <v>4</v>
      </c>
      <c r="U617" s="96">
        <f t="shared" si="575"/>
        <v>4</v>
      </c>
      <c r="V617" s="98">
        <v>46037</v>
      </c>
    </row>
    <row r="618" spans="1:22" x14ac:dyDescent="0.15">
      <c r="A618" s="60" t="s">
        <v>37</v>
      </c>
      <c r="B618" s="11">
        <v>1</v>
      </c>
      <c r="C618" s="12"/>
      <c r="D618" s="13"/>
      <c r="E618" s="10">
        <f t="shared" si="570"/>
        <v>1</v>
      </c>
      <c r="F618" s="11">
        <v>2</v>
      </c>
      <c r="G618" s="12"/>
      <c r="H618" s="13"/>
      <c r="I618" s="48">
        <f t="shared" si="571"/>
        <v>2</v>
      </c>
      <c r="J618" s="10">
        <f t="shared" si="572"/>
        <v>3</v>
      </c>
      <c r="K618" s="66">
        <v>45995</v>
      </c>
      <c r="L618" s="60"/>
      <c r="M618" s="11"/>
      <c r="N618" s="12"/>
      <c r="O618" s="13"/>
      <c r="P618" s="10">
        <f t="shared" si="573"/>
        <v>0</v>
      </c>
      <c r="Q618" s="11"/>
      <c r="R618" s="12"/>
      <c r="S618" s="13"/>
      <c r="T618" s="48">
        <f t="shared" si="574"/>
        <v>0</v>
      </c>
      <c r="U618" s="10">
        <f t="shared" si="575"/>
        <v>0</v>
      </c>
    </row>
    <row r="619" spans="1:22" x14ac:dyDescent="0.15">
      <c r="A619" s="60" t="s">
        <v>37</v>
      </c>
      <c r="B619" s="11">
        <v>1</v>
      </c>
      <c r="C619" s="12"/>
      <c r="D619" s="13"/>
      <c r="E619" s="10">
        <f t="shared" si="570"/>
        <v>1</v>
      </c>
      <c r="F619" s="11">
        <v>3</v>
      </c>
      <c r="G619" s="12"/>
      <c r="H619" s="13"/>
      <c r="I619" s="48">
        <f t="shared" si="571"/>
        <v>3</v>
      </c>
      <c r="J619" s="10">
        <f t="shared" si="572"/>
        <v>4</v>
      </c>
      <c r="K619" s="66">
        <v>45997</v>
      </c>
      <c r="L619" s="60"/>
      <c r="M619" s="11"/>
      <c r="N619" s="12"/>
      <c r="O619" s="13"/>
      <c r="P619" s="10">
        <f t="shared" si="573"/>
        <v>0</v>
      </c>
      <c r="Q619" s="11"/>
      <c r="R619" s="12"/>
      <c r="S619" s="13"/>
      <c r="T619" s="48">
        <f t="shared" si="574"/>
        <v>0</v>
      </c>
      <c r="U619" s="10">
        <f t="shared" si="575"/>
        <v>0</v>
      </c>
    </row>
    <row r="620" spans="1:22" x14ac:dyDescent="0.15">
      <c r="A620" s="60" t="s">
        <v>37</v>
      </c>
      <c r="B620" s="11"/>
      <c r="C620" s="12"/>
      <c r="D620" s="13"/>
      <c r="E620" s="10">
        <f t="shared" si="570"/>
        <v>0</v>
      </c>
      <c r="F620" s="11"/>
      <c r="G620" s="12">
        <v>2</v>
      </c>
      <c r="H620" s="13"/>
      <c r="I620" s="48">
        <f t="shared" si="571"/>
        <v>2</v>
      </c>
      <c r="J620" s="10">
        <f t="shared" si="572"/>
        <v>2</v>
      </c>
      <c r="K620" s="66">
        <v>45999</v>
      </c>
      <c r="L620" s="60"/>
      <c r="M620" s="11"/>
      <c r="N620" s="12"/>
      <c r="O620" s="13"/>
      <c r="P620" s="10">
        <f t="shared" si="573"/>
        <v>0</v>
      </c>
      <c r="Q620" s="11"/>
      <c r="R620" s="12"/>
      <c r="S620" s="13"/>
      <c r="T620" s="48">
        <f t="shared" si="574"/>
        <v>0</v>
      </c>
      <c r="U620" s="10">
        <f t="shared" si="575"/>
        <v>0</v>
      </c>
    </row>
    <row r="621" spans="1:22" x14ac:dyDescent="0.15">
      <c r="A621" s="60" t="s">
        <v>37</v>
      </c>
      <c r="B621" s="11">
        <v>1</v>
      </c>
      <c r="C621" s="12"/>
      <c r="D621" s="13"/>
      <c r="E621" s="10">
        <f t="shared" si="570"/>
        <v>1</v>
      </c>
      <c r="F621" s="11">
        <v>2</v>
      </c>
      <c r="G621" s="12"/>
      <c r="H621" s="13"/>
      <c r="I621" s="48">
        <f t="shared" si="571"/>
        <v>2</v>
      </c>
      <c r="J621" s="10">
        <f t="shared" si="572"/>
        <v>3</v>
      </c>
      <c r="K621" s="66">
        <v>46000</v>
      </c>
      <c r="L621" s="60"/>
      <c r="M621" s="11"/>
      <c r="N621" s="12"/>
      <c r="O621" s="13"/>
      <c r="P621" s="10">
        <f t="shared" si="573"/>
        <v>0</v>
      </c>
      <c r="Q621" s="11"/>
      <c r="R621" s="12"/>
      <c r="S621" s="13"/>
      <c r="T621" s="48">
        <f t="shared" si="574"/>
        <v>0</v>
      </c>
      <c r="U621" s="10">
        <f t="shared" si="575"/>
        <v>0</v>
      </c>
    </row>
    <row r="622" spans="1:22" x14ac:dyDescent="0.15">
      <c r="A622" s="60" t="s">
        <v>37</v>
      </c>
      <c r="B622" s="11"/>
      <c r="C622" s="12"/>
      <c r="D622" s="13"/>
      <c r="E622" s="10">
        <f t="shared" si="570"/>
        <v>0</v>
      </c>
      <c r="F622" s="11">
        <v>2</v>
      </c>
      <c r="G622" s="12"/>
      <c r="H622" s="13"/>
      <c r="I622" s="48">
        <f t="shared" si="571"/>
        <v>2</v>
      </c>
      <c r="J622" s="10">
        <f t="shared" si="572"/>
        <v>2</v>
      </c>
      <c r="K622" s="66">
        <v>46001</v>
      </c>
      <c r="L622" s="60"/>
      <c r="M622" s="11"/>
      <c r="N622" s="12"/>
      <c r="O622" s="13"/>
      <c r="P622" s="10">
        <f t="shared" si="573"/>
        <v>0</v>
      </c>
      <c r="Q622" s="11"/>
      <c r="R622" s="12"/>
      <c r="S622" s="13"/>
      <c r="T622" s="48">
        <f t="shared" si="574"/>
        <v>0</v>
      </c>
      <c r="U622" s="10">
        <f t="shared" si="575"/>
        <v>0</v>
      </c>
    </row>
    <row r="623" spans="1:22" x14ac:dyDescent="0.15">
      <c r="A623" s="60" t="s">
        <v>37</v>
      </c>
      <c r="B623" s="11">
        <v>1</v>
      </c>
      <c r="C623" s="12"/>
      <c r="D623" s="13"/>
      <c r="E623" s="10">
        <f t="shared" si="570"/>
        <v>1</v>
      </c>
      <c r="F623" s="11">
        <v>4</v>
      </c>
      <c r="G623" s="12"/>
      <c r="H623" s="13"/>
      <c r="I623" s="48">
        <f t="shared" si="571"/>
        <v>4</v>
      </c>
      <c r="J623" s="10">
        <f t="shared" si="572"/>
        <v>5</v>
      </c>
      <c r="K623" s="66">
        <v>46002</v>
      </c>
      <c r="L623" s="60"/>
      <c r="M623" s="11"/>
      <c r="N623" s="12"/>
      <c r="O623" s="13"/>
      <c r="P623" s="10">
        <f t="shared" si="573"/>
        <v>0</v>
      </c>
      <c r="Q623" s="11"/>
      <c r="R623" s="12"/>
      <c r="S623" s="13"/>
      <c r="T623" s="48">
        <f t="shared" si="574"/>
        <v>0</v>
      </c>
      <c r="U623" s="10">
        <f t="shared" si="575"/>
        <v>0</v>
      </c>
    </row>
    <row r="624" spans="1:22" x14ac:dyDescent="0.15">
      <c r="A624" s="60" t="s">
        <v>37</v>
      </c>
      <c r="B624" s="11"/>
      <c r="C624" s="12"/>
      <c r="D624" s="13"/>
      <c r="E624" s="10">
        <f t="shared" si="570"/>
        <v>0</v>
      </c>
      <c r="F624" s="11"/>
      <c r="G624" s="12">
        <f>1+1</f>
        <v>2</v>
      </c>
      <c r="H624" s="13">
        <f>1+1</f>
        <v>2</v>
      </c>
      <c r="I624" s="48">
        <f t="shared" si="571"/>
        <v>4</v>
      </c>
      <c r="J624" s="10">
        <f t="shared" si="572"/>
        <v>4</v>
      </c>
      <c r="K624" s="66">
        <v>46003</v>
      </c>
      <c r="L624" s="60"/>
      <c r="M624" s="11"/>
      <c r="N624" s="12"/>
      <c r="O624" s="13"/>
      <c r="P624" s="10">
        <f t="shared" si="573"/>
        <v>0</v>
      </c>
      <c r="Q624" s="11"/>
      <c r="R624" s="12"/>
      <c r="S624" s="13"/>
      <c r="T624" s="48">
        <f t="shared" si="574"/>
        <v>0</v>
      </c>
      <c r="U624" s="10">
        <f t="shared" si="575"/>
        <v>0</v>
      </c>
    </row>
    <row r="625" spans="1:21" x14ac:dyDescent="0.15">
      <c r="A625" s="60" t="s">
        <v>37</v>
      </c>
      <c r="B625" s="11">
        <v>4</v>
      </c>
      <c r="C625" s="12"/>
      <c r="D625" s="13"/>
      <c r="E625" s="10">
        <f t="shared" si="570"/>
        <v>4</v>
      </c>
      <c r="F625" s="11">
        <v>2</v>
      </c>
      <c r="G625" s="12">
        <v>2</v>
      </c>
      <c r="H625" s="13"/>
      <c r="I625" s="48">
        <f t="shared" si="571"/>
        <v>4</v>
      </c>
      <c r="J625" s="10">
        <f t="shared" si="572"/>
        <v>8</v>
      </c>
      <c r="K625" s="66">
        <v>46006</v>
      </c>
      <c r="L625" s="60"/>
      <c r="M625" s="11"/>
      <c r="N625" s="12"/>
      <c r="O625" s="13"/>
      <c r="P625" s="10">
        <f t="shared" si="573"/>
        <v>0</v>
      </c>
      <c r="Q625" s="11"/>
      <c r="R625" s="12"/>
      <c r="S625" s="13"/>
      <c r="T625" s="48">
        <f t="shared" si="574"/>
        <v>0</v>
      </c>
      <c r="U625" s="10">
        <f t="shared" si="575"/>
        <v>0</v>
      </c>
    </row>
    <row r="626" spans="1:21" x14ac:dyDescent="0.15">
      <c r="A626" s="60" t="s">
        <v>37</v>
      </c>
      <c r="B626" s="11">
        <v>1</v>
      </c>
      <c r="C626" s="12"/>
      <c r="D626" s="13"/>
      <c r="E626" s="10">
        <f t="shared" si="570"/>
        <v>1</v>
      </c>
      <c r="F626" s="11">
        <v>3</v>
      </c>
      <c r="G626" s="12"/>
      <c r="H626" s="13"/>
      <c r="I626" s="48">
        <f t="shared" si="571"/>
        <v>3</v>
      </c>
      <c r="J626" s="10">
        <f t="shared" si="572"/>
        <v>4</v>
      </c>
      <c r="K626" s="66">
        <v>46007</v>
      </c>
      <c r="L626" s="60"/>
      <c r="M626" s="11"/>
      <c r="N626" s="12"/>
      <c r="O626" s="13"/>
      <c r="P626" s="10">
        <f t="shared" si="573"/>
        <v>0</v>
      </c>
      <c r="Q626" s="11"/>
      <c r="R626" s="12"/>
      <c r="S626" s="13"/>
      <c r="T626" s="48">
        <f t="shared" si="574"/>
        <v>0</v>
      </c>
      <c r="U626" s="10">
        <f t="shared" si="575"/>
        <v>0</v>
      </c>
    </row>
    <row r="627" spans="1:21" x14ac:dyDescent="0.15">
      <c r="A627" s="60" t="s">
        <v>37</v>
      </c>
      <c r="B627" s="11"/>
      <c r="C627" s="12"/>
      <c r="D627" s="13"/>
      <c r="E627" s="10">
        <f t="shared" si="570"/>
        <v>0</v>
      </c>
      <c r="F627" s="11">
        <v>1</v>
      </c>
      <c r="G627" s="12"/>
      <c r="H627" s="13"/>
      <c r="I627" s="48">
        <f t="shared" si="571"/>
        <v>1</v>
      </c>
      <c r="J627" s="10">
        <f t="shared" si="572"/>
        <v>1</v>
      </c>
      <c r="K627" s="66">
        <v>46008</v>
      </c>
      <c r="L627" s="60"/>
      <c r="M627" s="11"/>
      <c r="N627" s="12"/>
      <c r="O627" s="13"/>
      <c r="P627" s="10">
        <f t="shared" si="573"/>
        <v>0</v>
      </c>
      <c r="Q627" s="11"/>
      <c r="R627" s="12"/>
      <c r="S627" s="13"/>
      <c r="T627" s="48">
        <f t="shared" si="574"/>
        <v>0</v>
      </c>
      <c r="U627" s="10">
        <f t="shared" si="575"/>
        <v>0</v>
      </c>
    </row>
    <row r="628" spans="1:21" x14ac:dyDescent="0.15">
      <c r="A628" s="60" t="s">
        <v>37</v>
      </c>
      <c r="B628" s="11">
        <v>1</v>
      </c>
      <c r="C628" s="12"/>
      <c r="D628" s="13"/>
      <c r="E628" s="10">
        <f t="shared" si="570"/>
        <v>1</v>
      </c>
      <c r="F628" s="11">
        <v>1</v>
      </c>
      <c r="G628" s="12"/>
      <c r="H628" s="13"/>
      <c r="I628" s="48">
        <f t="shared" si="571"/>
        <v>1</v>
      </c>
      <c r="J628" s="10">
        <f t="shared" si="572"/>
        <v>2</v>
      </c>
      <c r="K628" s="66">
        <v>46010</v>
      </c>
      <c r="L628" s="60"/>
      <c r="M628" s="11"/>
      <c r="N628" s="12"/>
      <c r="O628" s="13"/>
      <c r="P628" s="10">
        <f t="shared" si="573"/>
        <v>0</v>
      </c>
      <c r="Q628" s="11"/>
      <c r="R628" s="12"/>
      <c r="S628" s="13"/>
      <c r="T628" s="48">
        <f t="shared" si="574"/>
        <v>0</v>
      </c>
      <c r="U628" s="10">
        <f t="shared" si="575"/>
        <v>0</v>
      </c>
    </row>
    <row r="629" spans="1:21" x14ac:dyDescent="0.15">
      <c r="A629" s="60" t="s">
        <v>37</v>
      </c>
      <c r="B629" s="11">
        <v>1</v>
      </c>
      <c r="C629" s="12"/>
      <c r="D629" s="13"/>
      <c r="E629" s="10">
        <f t="shared" si="570"/>
        <v>1</v>
      </c>
      <c r="F629" s="11">
        <v>3</v>
      </c>
      <c r="G629" s="12"/>
      <c r="H629" s="13"/>
      <c r="I629" s="48">
        <f t="shared" si="571"/>
        <v>3</v>
      </c>
      <c r="J629" s="10">
        <f t="shared" si="572"/>
        <v>4</v>
      </c>
      <c r="K629" s="66">
        <v>46013</v>
      </c>
      <c r="L629" s="60"/>
      <c r="M629" s="11"/>
      <c r="N629" s="12"/>
      <c r="O629" s="13"/>
      <c r="P629" s="10">
        <f t="shared" si="573"/>
        <v>0</v>
      </c>
      <c r="Q629" s="11"/>
      <c r="R629" s="12"/>
      <c r="S629" s="13"/>
      <c r="T629" s="48">
        <f t="shared" si="574"/>
        <v>0</v>
      </c>
      <c r="U629" s="10">
        <f t="shared" si="575"/>
        <v>0</v>
      </c>
    </row>
    <row r="630" spans="1:21" x14ac:dyDescent="0.15">
      <c r="A630" s="60" t="s">
        <v>37</v>
      </c>
      <c r="B630" s="11"/>
      <c r="C630" s="12"/>
      <c r="D630" s="13"/>
      <c r="E630" s="10">
        <f t="shared" si="570"/>
        <v>0</v>
      </c>
      <c r="F630" s="11"/>
      <c r="G630" s="12">
        <v>1</v>
      </c>
      <c r="H630" s="13">
        <v>1</v>
      </c>
      <c r="I630" s="48">
        <f t="shared" si="571"/>
        <v>2</v>
      </c>
      <c r="J630" s="10">
        <f t="shared" si="572"/>
        <v>2</v>
      </c>
      <c r="K630" s="66">
        <v>46014</v>
      </c>
      <c r="L630" s="60"/>
      <c r="M630" s="11"/>
      <c r="N630" s="12"/>
      <c r="O630" s="13"/>
      <c r="P630" s="10">
        <f t="shared" si="573"/>
        <v>0</v>
      </c>
      <c r="Q630" s="11"/>
      <c r="R630" s="12"/>
      <c r="S630" s="13"/>
      <c r="T630" s="48">
        <f t="shared" si="574"/>
        <v>0</v>
      </c>
      <c r="U630" s="10">
        <f t="shared" si="575"/>
        <v>0</v>
      </c>
    </row>
    <row r="631" spans="1:21" x14ac:dyDescent="0.15">
      <c r="A631" s="60" t="s">
        <v>37</v>
      </c>
      <c r="B631" s="11"/>
      <c r="C631" s="12"/>
      <c r="D631" s="13"/>
      <c r="E631" s="10">
        <f t="shared" si="570"/>
        <v>0</v>
      </c>
      <c r="F631" s="11">
        <v>1</v>
      </c>
      <c r="G631" s="12"/>
      <c r="H631" s="13"/>
      <c r="I631" s="48">
        <f t="shared" si="571"/>
        <v>1</v>
      </c>
      <c r="J631" s="10">
        <f t="shared" si="572"/>
        <v>1</v>
      </c>
      <c r="K631" s="66">
        <v>46016</v>
      </c>
      <c r="L631" s="60"/>
      <c r="M631" s="11"/>
      <c r="N631" s="12"/>
      <c r="O631" s="13"/>
      <c r="P631" s="10">
        <f t="shared" si="573"/>
        <v>0</v>
      </c>
      <c r="Q631" s="11"/>
      <c r="R631" s="12"/>
      <c r="S631" s="13"/>
      <c r="T631" s="48">
        <f t="shared" si="574"/>
        <v>0</v>
      </c>
      <c r="U631" s="10">
        <f t="shared" si="575"/>
        <v>0</v>
      </c>
    </row>
    <row r="632" spans="1:21" x14ac:dyDescent="0.15">
      <c r="A632" s="60" t="s">
        <v>37</v>
      </c>
      <c r="B632" s="11"/>
      <c r="C632" s="12"/>
      <c r="D632" s="13"/>
      <c r="E632" s="10">
        <f t="shared" ref="E632" si="576">SUM(B632:D632)</f>
        <v>0</v>
      </c>
      <c r="F632" s="11">
        <v>1</v>
      </c>
      <c r="G632" s="12"/>
      <c r="H632" s="13"/>
      <c r="I632" s="48">
        <f t="shared" ref="I632" si="577">SUM(F632:H632)</f>
        <v>1</v>
      </c>
      <c r="J632" s="10">
        <f t="shared" ref="J632" si="578">E632+I632</f>
        <v>1</v>
      </c>
      <c r="K632" s="66">
        <v>46017</v>
      </c>
      <c r="L632" s="60"/>
      <c r="M632" s="11"/>
      <c r="N632" s="12"/>
      <c r="O632" s="13"/>
      <c r="P632" s="10">
        <f t="shared" si="573"/>
        <v>0</v>
      </c>
      <c r="Q632" s="11"/>
      <c r="R632" s="12"/>
      <c r="S632" s="13"/>
      <c r="T632" s="48">
        <f t="shared" si="574"/>
        <v>0</v>
      </c>
      <c r="U632" s="10">
        <f t="shared" si="575"/>
        <v>0</v>
      </c>
    </row>
    <row r="633" spans="1:21" x14ac:dyDescent="0.15">
      <c r="A633" s="60" t="s">
        <v>37</v>
      </c>
      <c r="B633" s="11">
        <v>2</v>
      </c>
      <c r="C633" s="12"/>
      <c r="D633" s="13">
        <v>1</v>
      </c>
      <c r="E633" s="10">
        <f t="shared" si="570"/>
        <v>3</v>
      </c>
      <c r="F633" s="11">
        <v>5</v>
      </c>
      <c r="G633" s="12">
        <v>2</v>
      </c>
      <c r="H633" s="13"/>
      <c r="I633" s="48">
        <f t="shared" si="571"/>
        <v>7</v>
      </c>
      <c r="J633" s="10">
        <f t="shared" si="572"/>
        <v>10</v>
      </c>
      <c r="K633" s="66">
        <v>46027</v>
      </c>
      <c r="L633" s="60"/>
      <c r="M633" s="11"/>
      <c r="N633" s="12"/>
      <c r="O633" s="13"/>
      <c r="P633" s="10">
        <f t="shared" si="573"/>
        <v>0</v>
      </c>
      <c r="Q633" s="11"/>
      <c r="R633" s="12"/>
      <c r="S633" s="13"/>
      <c r="T633" s="48">
        <f t="shared" si="574"/>
        <v>0</v>
      </c>
      <c r="U633" s="10">
        <f t="shared" si="575"/>
        <v>0</v>
      </c>
    </row>
    <row r="634" spans="1:21" x14ac:dyDescent="0.15">
      <c r="A634" s="60" t="s">
        <v>37</v>
      </c>
      <c r="B634" s="11">
        <v>1</v>
      </c>
      <c r="C634" s="12"/>
      <c r="D634" s="13"/>
      <c r="E634" s="10">
        <f t="shared" si="570"/>
        <v>1</v>
      </c>
      <c r="F634" s="11">
        <v>5</v>
      </c>
      <c r="G634" s="12"/>
      <c r="H634" s="13"/>
      <c r="I634" s="48">
        <f t="shared" si="571"/>
        <v>5</v>
      </c>
      <c r="J634" s="10">
        <f t="shared" si="572"/>
        <v>6</v>
      </c>
      <c r="K634" s="66">
        <v>46028</v>
      </c>
      <c r="L634" s="60"/>
      <c r="M634" s="11"/>
      <c r="N634" s="12"/>
      <c r="O634" s="13"/>
      <c r="P634" s="10">
        <f t="shared" si="573"/>
        <v>0</v>
      </c>
      <c r="Q634" s="11"/>
      <c r="R634" s="12"/>
      <c r="S634" s="13"/>
      <c r="T634" s="48">
        <f t="shared" si="574"/>
        <v>0</v>
      </c>
      <c r="U634" s="10">
        <f t="shared" si="575"/>
        <v>0</v>
      </c>
    </row>
    <row r="635" spans="1:21" x14ac:dyDescent="0.15">
      <c r="A635" s="60" t="s">
        <v>37</v>
      </c>
      <c r="B635" s="11">
        <v>1</v>
      </c>
      <c r="C635" s="12"/>
      <c r="D635" s="13"/>
      <c r="E635" s="10">
        <f t="shared" si="570"/>
        <v>1</v>
      </c>
      <c r="F635" s="11">
        <v>1</v>
      </c>
      <c r="G635" s="12"/>
      <c r="H635" s="13"/>
      <c r="I635" s="48">
        <f t="shared" si="571"/>
        <v>1</v>
      </c>
      <c r="J635" s="10">
        <f t="shared" si="572"/>
        <v>2</v>
      </c>
      <c r="K635" s="66">
        <v>46029</v>
      </c>
      <c r="L635" s="60"/>
      <c r="M635" s="11"/>
      <c r="N635" s="12"/>
      <c r="O635" s="13"/>
      <c r="P635" s="10">
        <f t="shared" si="573"/>
        <v>0</v>
      </c>
      <c r="Q635" s="11"/>
      <c r="R635" s="12"/>
      <c r="S635" s="13"/>
      <c r="T635" s="48">
        <f t="shared" si="574"/>
        <v>0</v>
      </c>
      <c r="U635" s="10">
        <f t="shared" si="575"/>
        <v>0</v>
      </c>
    </row>
    <row r="636" spans="1:21" x14ac:dyDescent="0.15">
      <c r="A636" s="60" t="s">
        <v>37</v>
      </c>
      <c r="B636" s="11">
        <v>1</v>
      </c>
      <c r="C636" s="12"/>
      <c r="D636" s="13"/>
      <c r="E636" s="10">
        <f t="shared" si="570"/>
        <v>1</v>
      </c>
      <c r="F636" s="11">
        <v>2</v>
      </c>
      <c r="G636" s="12"/>
      <c r="H636" s="13"/>
      <c r="I636" s="48">
        <f t="shared" si="571"/>
        <v>2</v>
      </c>
      <c r="J636" s="10">
        <f t="shared" si="572"/>
        <v>3</v>
      </c>
      <c r="K636" s="66">
        <v>46030</v>
      </c>
      <c r="L636" s="60"/>
      <c r="M636" s="11"/>
      <c r="N636" s="12"/>
      <c r="O636" s="13"/>
      <c r="P636" s="10">
        <f t="shared" si="573"/>
        <v>0</v>
      </c>
      <c r="Q636" s="11"/>
      <c r="R636" s="12"/>
      <c r="S636" s="13"/>
      <c r="T636" s="48">
        <f t="shared" si="574"/>
        <v>0</v>
      </c>
      <c r="U636" s="10">
        <f t="shared" si="575"/>
        <v>0</v>
      </c>
    </row>
    <row r="637" spans="1:21" x14ac:dyDescent="0.15">
      <c r="A637" s="60" t="s">
        <v>37</v>
      </c>
      <c r="B637" s="11"/>
      <c r="C637" s="12"/>
      <c r="D637" s="13"/>
      <c r="E637" s="10">
        <f t="shared" si="570"/>
        <v>0</v>
      </c>
      <c r="F637" s="11">
        <v>2</v>
      </c>
      <c r="G637" s="12"/>
      <c r="H637" s="13"/>
      <c r="I637" s="48">
        <f t="shared" si="571"/>
        <v>2</v>
      </c>
      <c r="J637" s="10">
        <f t="shared" si="572"/>
        <v>2</v>
      </c>
      <c r="K637" s="66">
        <v>46031</v>
      </c>
      <c r="L637" s="60"/>
      <c r="M637" s="11"/>
      <c r="N637" s="12"/>
      <c r="O637" s="13"/>
      <c r="P637" s="10">
        <f t="shared" si="573"/>
        <v>0</v>
      </c>
      <c r="Q637" s="11"/>
      <c r="R637" s="12"/>
      <c r="S637" s="13"/>
      <c r="T637" s="48">
        <f t="shared" si="574"/>
        <v>0</v>
      </c>
      <c r="U637" s="10">
        <f t="shared" si="575"/>
        <v>0</v>
      </c>
    </row>
    <row r="638" spans="1:21" x14ac:dyDescent="0.15">
      <c r="A638" s="60" t="s">
        <v>203</v>
      </c>
      <c r="B638" s="11"/>
      <c r="C638" s="12"/>
      <c r="D638" s="13"/>
      <c r="E638" s="10">
        <f t="shared" si="570"/>
        <v>0</v>
      </c>
      <c r="F638" s="11">
        <v>-10</v>
      </c>
      <c r="G638" s="12"/>
      <c r="H638" s="13"/>
      <c r="I638" s="48">
        <f t="shared" si="571"/>
        <v>-10</v>
      </c>
      <c r="J638" s="10">
        <f t="shared" si="572"/>
        <v>-10</v>
      </c>
      <c r="K638" s="66">
        <v>46032</v>
      </c>
      <c r="L638" s="60"/>
      <c r="M638" s="11"/>
      <c r="N638" s="12"/>
      <c r="O638" s="13"/>
      <c r="P638" s="10">
        <f t="shared" si="573"/>
        <v>0</v>
      </c>
      <c r="Q638" s="11"/>
      <c r="R638" s="12"/>
      <c r="S638" s="13"/>
      <c r="T638" s="48">
        <f t="shared" si="574"/>
        <v>0</v>
      </c>
      <c r="U638" s="10">
        <f t="shared" si="575"/>
        <v>0</v>
      </c>
    </row>
    <row r="639" spans="1:21" x14ac:dyDescent="0.15">
      <c r="A639" s="60" t="s">
        <v>37</v>
      </c>
      <c r="B639" s="11">
        <v>1</v>
      </c>
      <c r="C639" s="12"/>
      <c r="D639" s="13"/>
      <c r="E639" s="10">
        <f t="shared" si="570"/>
        <v>1</v>
      </c>
      <c r="F639" s="11"/>
      <c r="G639" s="12">
        <v>1</v>
      </c>
      <c r="H639" s="13"/>
      <c r="I639" s="48">
        <f t="shared" si="571"/>
        <v>1</v>
      </c>
      <c r="J639" s="10">
        <f t="shared" si="572"/>
        <v>2</v>
      </c>
      <c r="K639" s="66">
        <v>46035</v>
      </c>
      <c r="L639" s="60"/>
      <c r="M639" s="11"/>
      <c r="N639" s="12"/>
      <c r="O639" s="13"/>
      <c r="P639" s="10">
        <f t="shared" si="573"/>
        <v>0</v>
      </c>
      <c r="Q639" s="11"/>
      <c r="R639" s="12"/>
      <c r="S639" s="13"/>
      <c r="T639" s="48">
        <f t="shared" si="574"/>
        <v>0</v>
      </c>
      <c r="U639" s="10">
        <f t="shared" si="575"/>
        <v>0</v>
      </c>
    </row>
    <row r="640" spans="1:21" x14ac:dyDescent="0.15">
      <c r="A640" s="60" t="s">
        <v>37</v>
      </c>
      <c r="B640" s="11"/>
      <c r="C640" s="12"/>
      <c r="D640" s="13"/>
      <c r="E640" s="10">
        <f t="shared" si="570"/>
        <v>0</v>
      </c>
      <c r="F640" s="11">
        <v>1</v>
      </c>
      <c r="G640" s="12"/>
      <c r="H640" s="13"/>
      <c r="I640" s="48">
        <f t="shared" si="571"/>
        <v>1</v>
      </c>
      <c r="J640" s="10">
        <f t="shared" si="572"/>
        <v>1</v>
      </c>
      <c r="K640" s="66">
        <v>46036</v>
      </c>
      <c r="L640" s="60"/>
      <c r="M640" s="11"/>
      <c r="N640" s="12"/>
      <c r="O640" s="13"/>
      <c r="P640" s="10">
        <f t="shared" si="573"/>
        <v>0</v>
      </c>
      <c r="Q640" s="11"/>
      <c r="R640" s="12"/>
      <c r="S640" s="13"/>
      <c r="T640" s="48">
        <f t="shared" si="574"/>
        <v>0</v>
      </c>
      <c r="U640" s="10">
        <f t="shared" si="575"/>
        <v>0</v>
      </c>
    </row>
    <row r="641" spans="1:21" ht="14.25" thickBot="1" x14ac:dyDescent="0.2">
      <c r="A641" s="92" t="s">
        <v>205</v>
      </c>
      <c r="B641" s="93"/>
      <c r="C641" s="94"/>
      <c r="D641" s="95"/>
      <c r="E641" s="96">
        <f t="shared" si="570"/>
        <v>0</v>
      </c>
      <c r="F641" s="93"/>
      <c r="G641" s="94">
        <v>-4</v>
      </c>
      <c r="H641" s="95"/>
      <c r="I641" s="97">
        <f t="shared" si="571"/>
        <v>-4</v>
      </c>
      <c r="J641" s="96">
        <f t="shared" si="572"/>
        <v>-4</v>
      </c>
      <c r="K641" s="98">
        <v>46037</v>
      </c>
      <c r="L641" s="60"/>
      <c r="M641" s="11"/>
      <c r="N641" s="12"/>
      <c r="O641" s="13"/>
      <c r="P641" s="10">
        <f t="shared" si="573"/>
        <v>0</v>
      </c>
      <c r="Q641" s="11"/>
      <c r="R641" s="12"/>
      <c r="S641" s="13"/>
      <c r="T641" s="48">
        <f t="shared" si="574"/>
        <v>0</v>
      </c>
      <c r="U641" s="10">
        <f t="shared" si="575"/>
        <v>0</v>
      </c>
    </row>
    <row r="642" spans="1:21" ht="14.25" thickBot="1" x14ac:dyDescent="0.2">
      <c r="A642" s="29" t="s">
        <v>206</v>
      </c>
      <c r="B642" s="30">
        <f>SUM(B616:B641)</f>
        <v>17</v>
      </c>
      <c r="C642" s="31">
        <f>SUM(C616:C641)</f>
        <v>2</v>
      </c>
      <c r="D642" s="32">
        <f>SUM(D616:D641)</f>
        <v>1</v>
      </c>
      <c r="E642" s="33">
        <f>SUM(B642:D642)</f>
        <v>20</v>
      </c>
      <c r="F642" s="30">
        <f>SUM(F616:F641)</f>
        <v>38</v>
      </c>
      <c r="G642" s="31">
        <f>SUM(G616:G641)</f>
        <v>6</v>
      </c>
      <c r="H642" s="32">
        <f>SUM(H616:H641)</f>
        <v>4</v>
      </c>
      <c r="I642" s="33">
        <f>SUM(F642:H642)</f>
        <v>48</v>
      </c>
      <c r="J642" s="34">
        <f t="shared" si="572"/>
        <v>68</v>
      </c>
      <c r="L642" s="29" t="s">
        <v>17</v>
      </c>
      <c r="M642" s="30">
        <f>SUM(M616:M641)</f>
        <v>0</v>
      </c>
      <c r="N642" s="31">
        <f>SUM(N616:N641)</f>
        <v>0</v>
      </c>
      <c r="O642" s="32">
        <f>SUM(O616:O641)</f>
        <v>0</v>
      </c>
      <c r="P642" s="33">
        <f>SUM(M642:O642)</f>
        <v>0</v>
      </c>
      <c r="Q642" s="30">
        <f>SUM(Q616:Q641)</f>
        <v>10</v>
      </c>
      <c r="R642" s="31">
        <f>SUM(R616:R641)</f>
        <v>4</v>
      </c>
      <c r="S642" s="32">
        <f>SUM(S616:S641)</f>
        <v>0</v>
      </c>
      <c r="T642" s="33">
        <f>SUM(Q642:S642)</f>
        <v>14</v>
      </c>
      <c r="U642" s="34">
        <f t="shared" si="575"/>
        <v>14</v>
      </c>
    </row>
    <row r="643" spans="1:21" ht="14.25" thickBot="1" x14ac:dyDescent="0.2">
      <c r="A643" s="18" t="s">
        <v>18</v>
      </c>
      <c r="B643" s="44">
        <f>B615-B642</f>
        <v>8</v>
      </c>
      <c r="C643" s="45">
        <f t="shared" ref="C643:E643" si="579">C615-C642</f>
        <v>9</v>
      </c>
      <c r="D643" s="46">
        <f t="shared" si="579"/>
        <v>8</v>
      </c>
      <c r="E643" s="46">
        <f t="shared" si="579"/>
        <v>25</v>
      </c>
      <c r="F643" s="44">
        <f>F615-F642</f>
        <v>12</v>
      </c>
      <c r="G643" s="45">
        <f t="shared" ref="G643:I643" si="580">G615-G642</f>
        <v>8</v>
      </c>
      <c r="H643" s="46">
        <f t="shared" si="580"/>
        <v>8</v>
      </c>
      <c r="I643" s="46">
        <f t="shared" si="580"/>
        <v>28</v>
      </c>
      <c r="J643" s="24">
        <f t="shared" si="572"/>
        <v>53</v>
      </c>
      <c r="L643" s="18" t="s">
        <v>18</v>
      </c>
      <c r="M643" s="44">
        <f>M615-M642</f>
        <v>188</v>
      </c>
      <c r="N643" s="45">
        <f t="shared" ref="N643:P643" si="581">N615-N642</f>
        <v>317</v>
      </c>
      <c r="O643" s="46">
        <f t="shared" si="581"/>
        <v>203</v>
      </c>
      <c r="P643" s="46">
        <f t="shared" si="581"/>
        <v>708</v>
      </c>
      <c r="Q643" s="44">
        <f>Q615-Q642</f>
        <v>409</v>
      </c>
      <c r="R643" s="45">
        <f t="shared" ref="R643:T643" si="582">R615-R642</f>
        <v>517</v>
      </c>
      <c r="S643" s="46">
        <f t="shared" si="582"/>
        <v>296</v>
      </c>
      <c r="T643" s="46">
        <f t="shared" si="582"/>
        <v>1222</v>
      </c>
      <c r="U643" s="24">
        <f t="shared" si="575"/>
        <v>1930</v>
      </c>
    </row>
    <row r="645" spans="1:21" ht="42.75" customHeight="1" x14ac:dyDescent="0.15">
      <c r="A645" s="134" t="s">
        <v>202</v>
      </c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</row>
    <row r="646" spans="1:21" ht="19.5" thickBot="1" x14ac:dyDescent="0.25">
      <c r="A646" s="2" t="s">
        <v>24</v>
      </c>
      <c r="B646" s="1"/>
      <c r="C646" s="1"/>
      <c r="D646" s="1"/>
      <c r="E646" s="1"/>
      <c r="F646" s="1" t="s">
        <v>39</v>
      </c>
      <c r="G646" s="1"/>
      <c r="H646" s="1"/>
      <c r="I646" s="1"/>
      <c r="J646" s="1"/>
      <c r="L646" s="2" t="s">
        <v>23</v>
      </c>
      <c r="M646" s="1"/>
      <c r="N646" s="1"/>
      <c r="O646" s="1"/>
      <c r="P646" s="63" t="s">
        <v>35</v>
      </c>
      <c r="Q646" s="1"/>
      <c r="R646" s="1" t="s">
        <v>39</v>
      </c>
      <c r="S646" s="1"/>
      <c r="T646" s="1"/>
      <c r="U646" s="1"/>
    </row>
    <row r="647" spans="1:21" ht="14.25" thickBot="1" x14ac:dyDescent="0.2">
      <c r="A647" s="6" t="s">
        <v>0</v>
      </c>
      <c r="B647" s="128" t="s">
        <v>21</v>
      </c>
      <c r="C647" s="129"/>
      <c r="D647" s="129"/>
      <c r="E647" s="130"/>
      <c r="F647" s="125" t="s">
        <v>19</v>
      </c>
      <c r="G647" s="126"/>
      <c r="H647" s="126"/>
      <c r="I647" s="127"/>
      <c r="J647" s="90" t="s">
        <v>1</v>
      </c>
      <c r="L647" s="6" t="s">
        <v>0</v>
      </c>
      <c r="M647" s="128" t="s">
        <v>21</v>
      </c>
      <c r="N647" s="129"/>
      <c r="O647" s="129"/>
      <c r="P647" s="130"/>
      <c r="Q647" s="125" t="s">
        <v>19</v>
      </c>
      <c r="R647" s="126"/>
      <c r="S647" s="126"/>
      <c r="T647" s="127"/>
      <c r="U647" s="88" t="s">
        <v>1</v>
      </c>
    </row>
    <row r="648" spans="1:21" ht="14.25" thickBot="1" x14ac:dyDescent="0.2">
      <c r="A648" s="6" t="s">
        <v>2</v>
      </c>
      <c r="B648" s="3" t="s">
        <v>3</v>
      </c>
      <c r="C648" s="4" t="s">
        <v>4</v>
      </c>
      <c r="D648" s="5" t="s">
        <v>5</v>
      </c>
      <c r="E648" s="6" t="s">
        <v>6</v>
      </c>
      <c r="F648" s="3" t="s">
        <v>3</v>
      </c>
      <c r="G648" s="4" t="s">
        <v>4</v>
      </c>
      <c r="H648" s="5" t="s">
        <v>5</v>
      </c>
      <c r="I648" s="6" t="s">
        <v>6</v>
      </c>
      <c r="J648" s="91"/>
      <c r="L648" s="6" t="s">
        <v>2</v>
      </c>
      <c r="M648" s="50" t="s">
        <v>3</v>
      </c>
      <c r="N648" s="51" t="s">
        <v>4</v>
      </c>
      <c r="O648" s="52" t="s">
        <v>5</v>
      </c>
      <c r="P648" s="6" t="s">
        <v>6</v>
      </c>
      <c r="Q648" s="3" t="s">
        <v>3</v>
      </c>
      <c r="R648" s="4" t="s">
        <v>4</v>
      </c>
      <c r="S648" s="5" t="s">
        <v>5</v>
      </c>
      <c r="T648" s="6" t="s">
        <v>6</v>
      </c>
      <c r="U648" s="89"/>
    </row>
    <row r="649" spans="1:21" ht="14.25" thickBot="1" x14ac:dyDescent="0.2">
      <c r="A649" s="20" t="s">
        <v>18</v>
      </c>
      <c r="B649" s="21">
        <f>B643</f>
        <v>8</v>
      </c>
      <c r="C649" s="22">
        <f t="shared" ref="C649:D649" si="583">C643</f>
        <v>9</v>
      </c>
      <c r="D649" s="38">
        <f t="shared" si="583"/>
        <v>8</v>
      </c>
      <c r="E649" s="24">
        <f t="shared" ref="E649:E657" si="584">SUM(B649:D649)</f>
        <v>25</v>
      </c>
      <c r="F649" s="21">
        <f>F643</f>
        <v>12</v>
      </c>
      <c r="G649" s="22">
        <f t="shared" ref="G649:H649" si="585">G643</f>
        <v>8</v>
      </c>
      <c r="H649" s="38">
        <f t="shared" si="585"/>
        <v>8</v>
      </c>
      <c r="I649" s="24">
        <f t="shared" ref="I649:I657" si="586">SUM(F649:H649)</f>
        <v>28</v>
      </c>
      <c r="J649" s="24">
        <f>E649+I649</f>
        <v>53</v>
      </c>
      <c r="L649" s="20" t="s">
        <v>18</v>
      </c>
      <c r="M649" s="21">
        <f>M643</f>
        <v>188</v>
      </c>
      <c r="N649" s="22">
        <f t="shared" ref="N649:O649" si="587">N643</f>
        <v>317</v>
      </c>
      <c r="O649" s="38">
        <f t="shared" si="587"/>
        <v>203</v>
      </c>
      <c r="P649" s="73">
        <f t="shared" ref="P649:P657" si="588">SUM(M649:O649)</f>
        <v>708</v>
      </c>
      <c r="Q649" s="21">
        <f>Q643</f>
        <v>409</v>
      </c>
      <c r="R649" s="22">
        <f t="shared" ref="R649:S649" si="589">R643</f>
        <v>517</v>
      </c>
      <c r="S649" s="38">
        <f t="shared" si="589"/>
        <v>296</v>
      </c>
      <c r="T649" s="24">
        <f t="shared" ref="T649:T657" si="590">SUM(Q649:S649)</f>
        <v>1222</v>
      </c>
      <c r="U649" s="24">
        <f>P649+T649</f>
        <v>1930</v>
      </c>
    </row>
    <row r="650" spans="1:21" x14ac:dyDescent="0.15">
      <c r="A650" s="19" t="s">
        <v>8</v>
      </c>
      <c r="B650" s="7">
        <v>10</v>
      </c>
      <c r="C650" s="8"/>
      <c r="D650" s="35"/>
      <c r="E650" s="10">
        <f t="shared" ref="E650:E652" si="591">SUM(B650:D650)</f>
        <v>10</v>
      </c>
      <c r="F650" s="7"/>
      <c r="G650" s="8"/>
      <c r="H650" s="35"/>
      <c r="I650" s="48">
        <f t="shared" ref="I650:I652" si="592">SUM(F650:H650)</f>
        <v>0</v>
      </c>
      <c r="J650" s="10">
        <f t="shared" ref="J650:J652" si="593">E650+I650</f>
        <v>10</v>
      </c>
      <c r="K650" s="66">
        <v>46039</v>
      </c>
      <c r="L650" s="19" t="s">
        <v>8</v>
      </c>
      <c r="M650" s="7"/>
      <c r="N650" s="8"/>
      <c r="O650" s="35"/>
      <c r="P650" s="10">
        <f t="shared" si="588"/>
        <v>0</v>
      </c>
      <c r="Q650" s="7"/>
      <c r="R650" s="8"/>
      <c r="S650" s="35"/>
      <c r="T650" s="48">
        <f t="shared" si="590"/>
        <v>0</v>
      </c>
      <c r="U650" s="10">
        <f t="shared" ref="U650:U657" si="594">P650+T650</f>
        <v>0</v>
      </c>
    </row>
    <row r="651" spans="1:21" x14ac:dyDescent="0.15">
      <c r="A651" s="19" t="s">
        <v>123</v>
      </c>
      <c r="B651" s="7"/>
      <c r="C651" s="8">
        <v>1</v>
      </c>
      <c r="D651" s="35"/>
      <c r="E651" s="10">
        <f t="shared" si="591"/>
        <v>1</v>
      </c>
      <c r="F651" s="7"/>
      <c r="G651" s="8">
        <v>1</v>
      </c>
      <c r="H651" s="35"/>
      <c r="I651" s="48">
        <f t="shared" si="592"/>
        <v>1</v>
      </c>
      <c r="J651" s="10">
        <f t="shared" si="593"/>
        <v>2</v>
      </c>
      <c r="K651" s="66">
        <v>46041</v>
      </c>
      <c r="L651" s="19" t="s">
        <v>9</v>
      </c>
      <c r="M651" s="7"/>
      <c r="N651" s="8"/>
      <c r="O651" s="35"/>
      <c r="P651" s="10">
        <f t="shared" si="588"/>
        <v>0</v>
      </c>
      <c r="Q651" s="7"/>
      <c r="R651" s="8"/>
      <c r="S651" s="35"/>
      <c r="T651" s="48">
        <f t="shared" si="590"/>
        <v>0</v>
      </c>
      <c r="U651" s="10">
        <f t="shared" si="594"/>
        <v>0</v>
      </c>
    </row>
    <row r="652" spans="1:21" x14ac:dyDescent="0.15">
      <c r="A652" s="19" t="s">
        <v>10</v>
      </c>
      <c r="B652" s="7"/>
      <c r="C652" s="8"/>
      <c r="D652" s="35"/>
      <c r="E652" s="10">
        <f t="shared" si="591"/>
        <v>0</v>
      </c>
      <c r="F652" s="7">
        <v>5</v>
      </c>
      <c r="G652" s="8">
        <v>5</v>
      </c>
      <c r="H652" s="35"/>
      <c r="I652" s="48">
        <f t="shared" si="592"/>
        <v>10</v>
      </c>
      <c r="J652" s="10">
        <f t="shared" si="593"/>
        <v>10</v>
      </c>
      <c r="K652" s="66">
        <v>46053</v>
      </c>
      <c r="L652" s="19" t="s">
        <v>10</v>
      </c>
      <c r="M652" s="11"/>
      <c r="N652" s="12"/>
      <c r="O652" s="36"/>
      <c r="P652" s="10">
        <f t="shared" ref="P652:P655" si="595">SUM(M652:O652)</f>
        <v>0</v>
      </c>
      <c r="Q652" s="11"/>
      <c r="R652" s="12"/>
      <c r="S652" s="36"/>
      <c r="T652" s="48">
        <f t="shared" ref="T652:T655" si="596">SUM(Q652:S652)</f>
        <v>0</v>
      </c>
      <c r="U652" s="10">
        <f t="shared" ref="U652:U655" si="597">P652+T652</f>
        <v>0</v>
      </c>
    </row>
    <row r="653" spans="1:21" x14ac:dyDescent="0.15">
      <c r="A653" s="99" t="s">
        <v>11</v>
      </c>
      <c r="B653" s="100"/>
      <c r="C653" s="101"/>
      <c r="D653" s="102"/>
      <c r="E653" s="96">
        <f t="shared" si="584"/>
        <v>0</v>
      </c>
      <c r="F653" s="100">
        <v>5</v>
      </c>
      <c r="G653" s="101"/>
      <c r="H653" s="102"/>
      <c r="I653" s="97">
        <f t="shared" si="586"/>
        <v>5</v>
      </c>
      <c r="J653" s="96">
        <f t="shared" ref="J653:J657" si="598">E653+I653</f>
        <v>5</v>
      </c>
      <c r="K653" s="98">
        <v>46069</v>
      </c>
      <c r="L653" s="19" t="s">
        <v>11</v>
      </c>
      <c r="M653" s="11"/>
      <c r="N653" s="12"/>
      <c r="O653" s="36"/>
      <c r="P653" s="10">
        <f t="shared" si="595"/>
        <v>0</v>
      </c>
      <c r="Q653" s="11"/>
      <c r="R653" s="12"/>
      <c r="S653" s="36"/>
      <c r="T653" s="48">
        <f t="shared" si="596"/>
        <v>0</v>
      </c>
      <c r="U653" s="10">
        <f t="shared" si="597"/>
        <v>0</v>
      </c>
    </row>
    <row r="654" spans="1:21" x14ac:dyDescent="0.15">
      <c r="A654" s="19" t="s">
        <v>76</v>
      </c>
      <c r="B654" s="7">
        <v>0</v>
      </c>
      <c r="C654" s="8">
        <v>0</v>
      </c>
      <c r="D654" s="35">
        <v>0</v>
      </c>
      <c r="E654" s="10">
        <f t="shared" si="584"/>
        <v>0</v>
      </c>
      <c r="F654" s="7">
        <v>0</v>
      </c>
      <c r="G654" s="8">
        <v>0</v>
      </c>
      <c r="H654" s="35">
        <v>0</v>
      </c>
      <c r="I654" s="48">
        <f t="shared" si="586"/>
        <v>0</v>
      </c>
      <c r="J654" s="10">
        <f t="shared" si="598"/>
        <v>0</v>
      </c>
      <c r="K654" s="66">
        <v>46071</v>
      </c>
      <c r="L654" s="19" t="s">
        <v>12</v>
      </c>
      <c r="M654" s="11"/>
      <c r="N654" s="12"/>
      <c r="O654" s="36"/>
      <c r="P654" s="10">
        <f t="shared" si="595"/>
        <v>0</v>
      </c>
      <c r="Q654" s="11"/>
      <c r="R654" s="12"/>
      <c r="S654" s="36"/>
      <c r="T654" s="48">
        <f t="shared" si="596"/>
        <v>0</v>
      </c>
      <c r="U654" s="10">
        <f t="shared" si="597"/>
        <v>0</v>
      </c>
    </row>
    <row r="655" spans="1:21" x14ac:dyDescent="0.15">
      <c r="A655" s="19" t="s">
        <v>123</v>
      </c>
      <c r="B655" s="7">
        <v>1</v>
      </c>
      <c r="C655" s="8"/>
      <c r="D655" s="35"/>
      <c r="E655" s="10">
        <f t="shared" si="584"/>
        <v>1</v>
      </c>
      <c r="F655" s="7">
        <v>1</v>
      </c>
      <c r="G655" s="8"/>
      <c r="H655" s="35"/>
      <c r="I655" s="48">
        <f t="shared" si="586"/>
        <v>1</v>
      </c>
      <c r="J655" s="10">
        <f t="shared" si="598"/>
        <v>2</v>
      </c>
      <c r="K655" s="66">
        <v>46071</v>
      </c>
      <c r="L655" s="19" t="s">
        <v>13</v>
      </c>
      <c r="M655" s="11"/>
      <c r="N655" s="12"/>
      <c r="O655" s="36"/>
      <c r="P655" s="10">
        <f t="shared" si="595"/>
        <v>0</v>
      </c>
      <c r="Q655" s="11"/>
      <c r="R655" s="12"/>
      <c r="S655" s="36"/>
      <c r="T655" s="48">
        <f t="shared" si="596"/>
        <v>0</v>
      </c>
      <c r="U655" s="10">
        <f t="shared" si="597"/>
        <v>0</v>
      </c>
    </row>
    <row r="656" spans="1:21" x14ac:dyDescent="0.15">
      <c r="A656" s="19" t="s">
        <v>14</v>
      </c>
      <c r="B656" s="11"/>
      <c r="C656" s="12">
        <v>3</v>
      </c>
      <c r="D656" s="36"/>
      <c r="E656" s="10">
        <f t="shared" si="584"/>
        <v>3</v>
      </c>
      <c r="F656" s="11">
        <v>10</v>
      </c>
      <c r="G656" s="12">
        <v>3</v>
      </c>
      <c r="H656" s="36"/>
      <c r="I656" s="48">
        <f t="shared" si="586"/>
        <v>13</v>
      </c>
      <c r="J656" s="10">
        <f t="shared" si="598"/>
        <v>16</v>
      </c>
      <c r="K656" s="66">
        <v>46074</v>
      </c>
      <c r="L656" s="19" t="s">
        <v>14</v>
      </c>
      <c r="M656" s="11"/>
      <c r="N656" s="12"/>
      <c r="O656" s="36"/>
      <c r="P656" s="10">
        <f t="shared" si="588"/>
        <v>0</v>
      </c>
      <c r="Q656" s="11"/>
      <c r="R656" s="12"/>
      <c r="S656" s="36"/>
      <c r="T656" s="48">
        <f t="shared" si="590"/>
        <v>0</v>
      </c>
      <c r="U656" s="10">
        <f t="shared" si="594"/>
        <v>0</v>
      </c>
    </row>
    <row r="657" spans="1:22" ht="14.25" thickBot="1" x14ac:dyDescent="0.2">
      <c r="A657" s="19" t="s">
        <v>15</v>
      </c>
      <c r="B657" s="25">
        <v>-2</v>
      </c>
      <c r="C657" s="26"/>
      <c r="D657" s="37"/>
      <c r="E657" s="10">
        <f t="shared" si="584"/>
        <v>-2</v>
      </c>
      <c r="F657" s="25">
        <v>-1</v>
      </c>
      <c r="G657" s="26"/>
      <c r="H657" s="37"/>
      <c r="I657" s="48">
        <f t="shared" si="586"/>
        <v>-1</v>
      </c>
      <c r="J657" s="17">
        <f t="shared" si="598"/>
        <v>-3</v>
      </c>
      <c r="L657" s="19" t="s">
        <v>15</v>
      </c>
      <c r="M657" s="25"/>
      <c r="N657" s="26"/>
      <c r="O657" s="37"/>
      <c r="P657" s="10">
        <f t="shared" si="588"/>
        <v>0</v>
      </c>
      <c r="Q657" s="25"/>
      <c r="R657" s="26"/>
      <c r="S657" s="37"/>
      <c r="T657" s="48">
        <f t="shared" si="590"/>
        <v>0</v>
      </c>
      <c r="U657" s="17">
        <f t="shared" si="594"/>
        <v>0</v>
      </c>
    </row>
    <row r="658" spans="1:22" ht="14.25" thickBot="1" x14ac:dyDescent="0.2">
      <c r="A658" s="27" t="s">
        <v>16</v>
      </c>
      <c r="B658" s="21">
        <f>SUM(B649:B657)</f>
        <v>17</v>
      </c>
      <c r="C658" s="22">
        <f t="shared" ref="C658:J658" si="599">SUM(C649:C657)</f>
        <v>13</v>
      </c>
      <c r="D658" s="38">
        <f t="shared" si="599"/>
        <v>8</v>
      </c>
      <c r="E658" s="54">
        <f t="shared" si="599"/>
        <v>38</v>
      </c>
      <c r="F658" s="21">
        <f t="shared" si="599"/>
        <v>32</v>
      </c>
      <c r="G658" s="22">
        <f t="shared" si="599"/>
        <v>17</v>
      </c>
      <c r="H658" s="38">
        <f t="shared" si="599"/>
        <v>8</v>
      </c>
      <c r="I658" s="53">
        <f t="shared" si="599"/>
        <v>57</v>
      </c>
      <c r="J658" s="24">
        <f t="shared" si="599"/>
        <v>95</v>
      </c>
      <c r="L658" s="27" t="s">
        <v>16</v>
      </c>
      <c r="M658" s="21">
        <f>SUM(M649:M657)</f>
        <v>188</v>
      </c>
      <c r="N658" s="22">
        <f t="shared" ref="N658:U658" si="600">SUM(N649:N657)</f>
        <v>317</v>
      </c>
      <c r="O658" s="38">
        <f t="shared" si="600"/>
        <v>203</v>
      </c>
      <c r="P658" s="54">
        <f t="shared" si="600"/>
        <v>708</v>
      </c>
      <c r="Q658" s="21">
        <f t="shared" si="600"/>
        <v>409</v>
      </c>
      <c r="R658" s="22">
        <f t="shared" si="600"/>
        <v>517</v>
      </c>
      <c r="S658" s="38">
        <f t="shared" si="600"/>
        <v>296</v>
      </c>
      <c r="T658" s="53">
        <f t="shared" si="600"/>
        <v>1222</v>
      </c>
      <c r="U658" s="24">
        <f t="shared" si="600"/>
        <v>1930</v>
      </c>
    </row>
    <row r="659" spans="1:22" x14ac:dyDescent="0.15">
      <c r="A659" s="60" t="s">
        <v>208</v>
      </c>
      <c r="B659" s="11">
        <v>1</v>
      </c>
      <c r="C659" s="12"/>
      <c r="D659" s="13"/>
      <c r="E659" s="10">
        <f t="shared" ref="E659:E664" si="601">SUM(B659:D659)</f>
        <v>1</v>
      </c>
      <c r="F659" s="11"/>
      <c r="G659" s="12"/>
      <c r="H659" s="13"/>
      <c r="I659" s="48">
        <f t="shared" ref="I659:I664" si="602">SUM(F659:H659)</f>
        <v>0</v>
      </c>
      <c r="J659" s="10">
        <f t="shared" ref="J659:J664" si="603">E659+I659</f>
        <v>1</v>
      </c>
      <c r="K659" s="66">
        <v>46038</v>
      </c>
      <c r="L659" s="60" t="s">
        <v>209</v>
      </c>
      <c r="M659" s="11">
        <v>10</v>
      </c>
      <c r="N659" s="12"/>
      <c r="O659" s="13"/>
      <c r="P659" s="10">
        <f t="shared" ref="P659:P681" si="604">SUM(M659:O659)</f>
        <v>10</v>
      </c>
      <c r="Q659" s="11"/>
      <c r="R659" s="12"/>
      <c r="S659" s="13"/>
      <c r="T659" s="48">
        <f t="shared" ref="T659:T681" si="605">SUM(Q659:S659)</f>
        <v>0</v>
      </c>
      <c r="U659" s="10">
        <f t="shared" ref="U659:U686" si="606">P659+T659</f>
        <v>10</v>
      </c>
      <c r="V659" s="66">
        <v>46039</v>
      </c>
    </row>
    <row r="660" spans="1:22" x14ac:dyDescent="0.15">
      <c r="A660" s="60" t="s">
        <v>37</v>
      </c>
      <c r="B660" s="11">
        <v>1</v>
      </c>
      <c r="C660" s="12"/>
      <c r="D660" s="13"/>
      <c r="E660" s="10">
        <f t="shared" si="601"/>
        <v>1</v>
      </c>
      <c r="F660" s="11"/>
      <c r="G660" s="12"/>
      <c r="H660" s="13"/>
      <c r="I660" s="48">
        <f t="shared" si="602"/>
        <v>0</v>
      </c>
      <c r="J660" s="10">
        <f t="shared" si="603"/>
        <v>1</v>
      </c>
      <c r="K660" s="66">
        <v>46037</v>
      </c>
      <c r="L660" s="60" t="s">
        <v>204</v>
      </c>
      <c r="M660" s="11"/>
      <c r="N660" s="12"/>
      <c r="O660" s="13"/>
      <c r="P660" s="10">
        <f t="shared" si="604"/>
        <v>0</v>
      </c>
      <c r="Q660" s="11">
        <v>5</v>
      </c>
      <c r="R660" s="12">
        <v>5</v>
      </c>
      <c r="S660" s="13"/>
      <c r="T660" s="48">
        <f t="shared" si="605"/>
        <v>10</v>
      </c>
      <c r="U660" s="10">
        <f t="shared" si="606"/>
        <v>10</v>
      </c>
      <c r="V660" s="66">
        <v>46053</v>
      </c>
    </row>
    <row r="661" spans="1:22" x14ac:dyDescent="0.15">
      <c r="A661" s="60" t="s">
        <v>37</v>
      </c>
      <c r="B661" s="11">
        <v>1</v>
      </c>
      <c r="C661" s="12"/>
      <c r="D661" s="13"/>
      <c r="E661" s="10">
        <f t="shared" si="601"/>
        <v>1</v>
      </c>
      <c r="F661" s="11">
        <v>2</v>
      </c>
      <c r="G661" s="12"/>
      <c r="H661" s="13"/>
      <c r="I661" s="48">
        <f t="shared" si="602"/>
        <v>2</v>
      </c>
      <c r="J661" s="10">
        <f t="shared" si="603"/>
        <v>3</v>
      </c>
      <c r="K661" s="66">
        <v>46038</v>
      </c>
      <c r="L661" s="60" t="s">
        <v>212</v>
      </c>
      <c r="M661" s="11">
        <v>2</v>
      </c>
      <c r="N661" s="12"/>
      <c r="O661" s="13"/>
      <c r="P661" s="10">
        <f t="shared" si="604"/>
        <v>2</v>
      </c>
      <c r="Q661" s="11"/>
      <c r="R661" s="12"/>
      <c r="S661" s="13"/>
      <c r="T661" s="48">
        <f t="shared" si="605"/>
        <v>0</v>
      </c>
      <c r="U661" s="10">
        <f t="shared" si="606"/>
        <v>2</v>
      </c>
      <c r="V661" s="57">
        <v>46063</v>
      </c>
    </row>
    <row r="662" spans="1:22" x14ac:dyDescent="0.15">
      <c r="A662" s="60" t="s">
        <v>37</v>
      </c>
      <c r="B662" s="11"/>
      <c r="C662" s="12">
        <v>1</v>
      </c>
      <c r="D662" s="13">
        <v>1</v>
      </c>
      <c r="E662" s="10">
        <f t="shared" si="601"/>
        <v>2</v>
      </c>
      <c r="F662" s="11">
        <v>1</v>
      </c>
      <c r="G662" s="12"/>
      <c r="H662" s="13"/>
      <c r="I662" s="48">
        <f t="shared" si="602"/>
        <v>1</v>
      </c>
      <c r="J662" s="10">
        <f t="shared" si="603"/>
        <v>3</v>
      </c>
      <c r="K662" s="66">
        <v>46041</v>
      </c>
      <c r="L662" s="92" t="s">
        <v>204</v>
      </c>
      <c r="M662" s="93"/>
      <c r="N662" s="94"/>
      <c r="O662" s="95"/>
      <c r="P662" s="96">
        <f t="shared" si="604"/>
        <v>0</v>
      </c>
      <c r="Q662" s="93">
        <v>5</v>
      </c>
      <c r="R662" s="94"/>
      <c r="S662" s="95"/>
      <c r="T662" s="97">
        <f t="shared" si="605"/>
        <v>5</v>
      </c>
      <c r="U662" s="96">
        <f t="shared" si="606"/>
        <v>5</v>
      </c>
      <c r="V662" s="98">
        <v>46069</v>
      </c>
    </row>
    <row r="663" spans="1:22" x14ac:dyDescent="0.15">
      <c r="A663" s="60" t="s">
        <v>37</v>
      </c>
      <c r="B663" s="11">
        <v>1</v>
      </c>
      <c r="C663" s="12">
        <v>1</v>
      </c>
      <c r="D663" s="13"/>
      <c r="E663" s="10">
        <f t="shared" si="601"/>
        <v>2</v>
      </c>
      <c r="F663" s="11"/>
      <c r="G663" s="12">
        <v>2</v>
      </c>
      <c r="H663" s="13"/>
      <c r="I663" s="48">
        <f t="shared" si="602"/>
        <v>2</v>
      </c>
      <c r="J663" s="10">
        <f t="shared" si="603"/>
        <v>4</v>
      </c>
      <c r="K663" s="66">
        <v>46042</v>
      </c>
      <c r="L663" s="60" t="s">
        <v>204</v>
      </c>
      <c r="M663" s="11"/>
      <c r="N663" s="12">
        <v>3</v>
      </c>
      <c r="O663" s="13"/>
      <c r="P663" s="10">
        <f t="shared" si="604"/>
        <v>3</v>
      </c>
      <c r="Q663" s="11">
        <v>10</v>
      </c>
      <c r="R663" s="12">
        <v>3</v>
      </c>
      <c r="S663" s="13"/>
      <c r="T663" s="48">
        <f t="shared" si="605"/>
        <v>13</v>
      </c>
      <c r="U663" s="10">
        <f t="shared" si="606"/>
        <v>16</v>
      </c>
      <c r="V663" s="57">
        <v>46074</v>
      </c>
    </row>
    <row r="664" spans="1:22" x14ac:dyDescent="0.15">
      <c r="A664" s="60" t="s">
        <v>37</v>
      </c>
      <c r="B664" s="11"/>
      <c r="C664" s="12"/>
      <c r="D664" s="13"/>
      <c r="E664" s="10">
        <f t="shared" si="601"/>
        <v>0</v>
      </c>
      <c r="F664" s="11">
        <v>1</v>
      </c>
      <c r="G664" s="12"/>
      <c r="H664" s="13"/>
      <c r="I664" s="48">
        <f t="shared" si="602"/>
        <v>1</v>
      </c>
      <c r="J664" s="10">
        <f t="shared" si="603"/>
        <v>1</v>
      </c>
      <c r="K664" s="66">
        <v>46044</v>
      </c>
      <c r="L664" s="60" t="s">
        <v>216</v>
      </c>
      <c r="M664" s="11"/>
      <c r="N664" s="12"/>
      <c r="O664" s="13">
        <v>4</v>
      </c>
      <c r="P664" s="10">
        <f t="shared" si="604"/>
        <v>4</v>
      </c>
      <c r="Q664" s="11"/>
      <c r="R664" s="12"/>
      <c r="S664" s="13"/>
      <c r="T664" s="48">
        <f t="shared" si="605"/>
        <v>0</v>
      </c>
      <c r="U664" s="10">
        <f t="shared" si="606"/>
        <v>4</v>
      </c>
      <c r="V664" s="57">
        <v>46084</v>
      </c>
    </row>
    <row r="665" spans="1:22" x14ac:dyDescent="0.15">
      <c r="A665" s="60" t="s">
        <v>37</v>
      </c>
      <c r="B665" s="11"/>
      <c r="C665" s="12"/>
      <c r="D665" s="13"/>
      <c r="E665" s="10">
        <f t="shared" ref="E665:E684" si="607">SUM(B665:D665)</f>
        <v>0</v>
      </c>
      <c r="F665" s="11"/>
      <c r="G665" s="12"/>
      <c r="H665" s="13">
        <v>1</v>
      </c>
      <c r="I665" s="48">
        <f t="shared" ref="I665:I684" si="608">SUM(F665:H665)</f>
        <v>1</v>
      </c>
      <c r="J665" s="10">
        <f t="shared" ref="J665:J686" si="609">E665+I665</f>
        <v>1</v>
      </c>
      <c r="K665" s="66">
        <v>46045</v>
      </c>
      <c r="L665" s="60" t="s">
        <v>204</v>
      </c>
      <c r="M665" s="11"/>
      <c r="N665" s="12"/>
      <c r="O665" s="13"/>
      <c r="P665" s="10">
        <f t="shared" si="604"/>
        <v>0</v>
      </c>
      <c r="Q665" s="11">
        <v>5</v>
      </c>
      <c r="R665" s="12">
        <v>5</v>
      </c>
      <c r="S665" s="13"/>
      <c r="T665" s="48">
        <f t="shared" si="605"/>
        <v>10</v>
      </c>
      <c r="U665" s="10">
        <f t="shared" si="606"/>
        <v>10</v>
      </c>
      <c r="V665" s="66">
        <v>46088</v>
      </c>
    </row>
    <row r="666" spans="1:22" x14ac:dyDescent="0.15">
      <c r="A666" s="60" t="s">
        <v>37</v>
      </c>
      <c r="B666" s="11">
        <v>1</v>
      </c>
      <c r="C666" s="12"/>
      <c r="D666" s="13"/>
      <c r="E666" s="10">
        <f t="shared" si="607"/>
        <v>1</v>
      </c>
      <c r="F666" s="11">
        <v>1</v>
      </c>
      <c r="G666" s="12">
        <v>2</v>
      </c>
      <c r="H666" s="13"/>
      <c r="I666" s="48">
        <f t="shared" si="608"/>
        <v>3</v>
      </c>
      <c r="J666" s="10">
        <f t="shared" si="609"/>
        <v>4</v>
      </c>
      <c r="K666" s="66">
        <v>46048</v>
      </c>
      <c r="L666" s="60" t="s">
        <v>207</v>
      </c>
      <c r="M666" s="11">
        <v>3</v>
      </c>
      <c r="N666" s="12"/>
      <c r="O666" s="13"/>
      <c r="P666" s="10">
        <f t="shared" si="604"/>
        <v>3</v>
      </c>
      <c r="Q666" s="11"/>
      <c r="R666" s="12"/>
      <c r="S666" s="13"/>
      <c r="T666" s="48">
        <f t="shared" si="605"/>
        <v>0</v>
      </c>
      <c r="U666" s="10">
        <f t="shared" si="606"/>
        <v>3</v>
      </c>
      <c r="V666" s="57">
        <v>46094</v>
      </c>
    </row>
    <row r="667" spans="1:22" x14ac:dyDescent="0.15">
      <c r="A667" s="60" t="s">
        <v>37</v>
      </c>
      <c r="B667" s="11"/>
      <c r="C667" s="12"/>
      <c r="D667" s="13"/>
      <c r="E667" s="10">
        <f t="shared" si="607"/>
        <v>0</v>
      </c>
      <c r="F667" s="11"/>
      <c r="G667" s="12">
        <v>1</v>
      </c>
      <c r="H667" s="13"/>
      <c r="I667" s="48">
        <f t="shared" si="608"/>
        <v>1</v>
      </c>
      <c r="J667" s="10">
        <f t="shared" si="609"/>
        <v>1</v>
      </c>
      <c r="K667" s="66">
        <v>46051</v>
      </c>
      <c r="L667" s="60" t="s">
        <v>207</v>
      </c>
      <c r="M667" s="11">
        <v>10</v>
      </c>
      <c r="N667" s="12">
        <v>3</v>
      </c>
      <c r="O667" s="13"/>
      <c r="P667" s="10">
        <f t="shared" si="604"/>
        <v>13</v>
      </c>
      <c r="Q667" s="11">
        <v>5</v>
      </c>
      <c r="R667" s="12"/>
      <c r="S667" s="13"/>
      <c r="T667" s="48">
        <f t="shared" si="605"/>
        <v>5</v>
      </c>
      <c r="U667" s="10">
        <f t="shared" si="606"/>
        <v>18</v>
      </c>
      <c r="V667" s="57">
        <v>46097</v>
      </c>
    </row>
    <row r="668" spans="1:22" x14ac:dyDescent="0.15">
      <c r="A668" s="60" t="s">
        <v>37</v>
      </c>
      <c r="B668" s="11"/>
      <c r="C668" s="12"/>
      <c r="D668" s="13"/>
      <c r="E668" s="10">
        <f t="shared" si="607"/>
        <v>0</v>
      </c>
      <c r="F668" s="11">
        <v>1</v>
      </c>
      <c r="G668" s="12"/>
      <c r="H668" s="13"/>
      <c r="I668" s="48">
        <f t="shared" si="608"/>
        <v>1</v>
      </c>
      <c r="J668" s="10">
        <f t="shared" si="609"/>
        <v>1</v>
      </c>
      <c r="K668" s="66">
        <v>46052</v>
      </c>
      <c r="L668" s="92" t="s">
        <v>207</v>
      </c>
      <c r="M668" s="93"/>
      <c r="N668" s="94"/>
      <c r="O668" s="95"/>
      <c r="P668" s="96">
        <f t="shared" si="604"/>
        <v>0</v>
      </c>
      <c r="Q668" s="93"/>
      <c r="R668" s="94"/>
      <c r="S668" s="95">
        <v>3</v>
      </c>
      <c r="T668" s="97">
        <f t="shared" si="605"/>
        <v>3</v>
      </c>
      <c r="U668" s="96">
        <f t="shared" si="606"/>
        <v>3</v>
      </c>
      <c r="V668" s="98">
        <v>46099</v>
      </c>
    </row>
    <row r="669" spans="1:22" x14ac:dyDescent="0.15">
      <c r="A669" s="60" t="s">
        <v>37</v>
      </c>
      <c r="B669" s="11"/>
      <c r="C669" s="12">
        <v>1</v>
      </c>
      <c r="D669" s="13"/>
      <c r="E669" s="10">
        <f t="shared" si="607"/>
        <v>1</v>
      </c>
      <c r="F669" s="11">
        <v>1</v>
      </c>
      <c r="G669" s="12">
        <v>1</v>
      </c>
      <c r="H669" s="13"/>
      <c r="I669" s="48">
        <f t="shared" si="608"/>
        <v>2</v>
      </c>
      <c r="J669" s="10">
        <f t="shared" si="609"/>
        <v>3</v>
      </c>
      <c r="K669" s="66">
        <v>46055</v>
      </c>
      <c r="L669" s="60" t="s">
        <v>207</v>
      </c>
      <c r="M669" s="11"/>
      <c r="N669" s="12"/>
      <c r="O669" s="13">
        <v>3</v>
      </c>
      <c r="P669" s="10">
        <f t="shared" si="604"/>
        <v>3</v>
      </c>
      <c r="Q669" s="11">
        <v>3</v>
      </c>
      <c r="R669" s="12"/>
      <c r="S669" s="13"/>
      <c r="T669" s="48">
        <f t="shared" si="605"/>
        <v>3</v>
      </c>
      <c r="U669" s="10">
        <f t="shared" si="606"/>
        <v>6</v>
      </c>
      <c r="V669" s="57">
        <v>46102</v>
      </c>
    </row>
    <row r="670" spans="1:22" x14ac:dyDescent="0.15">
      <c r="A670" s="60" t="s">
        <v>37</v>
      </c>
      <c r="B670" s="11">
        <v>1</v>
      </c>
      <c r="C670" s="12">
        <v>1</v>
      </c>
      <c r="D670" s="13"/>
      <c r="E670" s="10">
        <f t="shared" si="607"/>
        <v>2</v>
      </c>
      <c r="F670" s="11"/>
      <c r="G670" s="12"/>
      <c r="H670" s="13"/>
      <c r="I670" s="48">
        <f t="shared" si="608"/>
        <v>0</v>
      </c>
      <c r="J670" s="10">
        <f t="shared" si="609"/>
        <v>2</v>
      </c>
      <c r="K670" s="66">
        <v>46056</v>
      </c>
      <c r="L670" s="92" t="s">
        <v>207</v>
      </c>
      <c r="M670" s="93"/>
      <c r="N670" s="94"/>
      <c r="O670" s="95"/>
      <c r="P670" s="96">
        <f t="shared" si="604"/>
        <v>0</v>
      </c>
      <c r="Q670" s="93">
        <v>10</v>
      </c>
      <c r="R670" s="94">
        <v>5</v>
      </c>
      <c r="S670" s="95"/>
      <c r="T670" s="97">
        <f t="shared" si="605"/>
        <v>15</v>
      </c>
      <c r="U670" s="96">
        <f t="shared" si="606"/>
        <v>15</v>
      </c>
      <c r="V670" s="98">
        <v>46106</v>
      </c>
    </row>
    <row r="671" spans="1:22" x14ac:dyDescent="0.15">
      <c r="A671" s="60" t="s">
        <v>37</v>
      </c>
      <c r="B671" s="11"/>
      <c r="C671" s="12"/>
      <c r="D671" s="13">
        <v>1</v>
      </c>
      <c r="E671" s="10">
        <f t="shared" si="607"/>
        <v>1</v>
      </c>
      <c r="F671" s="11"/>
      <c r="G671" s="12"/>
      <c r="H671" s="13"/>
      <c r="I671" s="48">
        <f t="shared" si="608"/>
        <v>0</v>
      </c>
      <c r="J671" s="10">
        <f t="shared" si="609"/>
        <v>1</v>
      </c>
      <c r="K671" s="66">
        <v>46057</v>
      </c>
      <c r="L671" s="60" t="s">
        <v>207</v>
      </c>
      <c r="M671" s="11"/>
      <c r="N671" s="12"/>
      <c r="O671" s="13"/>
      <c r="P671" s="10">
        <f t="shared" si="604"/>
        <v>0</v>
      </c>
      <c r="Q671" s="11"/>
      <c r="R671" s="12"/>
      <c r="S671" s="13">
        <v>3</v>
      </c>
      <c r="T671" s="48">
        <f t="shared" si="605"/>
        <v>3</v>
      </c>
      <c r="U671" s="10">
        <f t="shared" si="606"/>
        <v>3</v>
      </c>
      <c r="V671" s="57">
        <v>46112</v>
      </c>
    </row>
    <row r="672" spans="1:22" x14ac:dyDescent="0.15">
      <c r="A672" s="60" t="s">
        <v>37</v>
      </c>
      <c r="B672" s="11"/>
      <c r="C672" s="12"/>
      <c r="D672" s="13"/>
      <c r="E672" s="10">
        <f t="shared" si="607"/>
        <v>0</v>
      </c>
      <c r="F672" s="11">
        <v>3</v>
      </c>
      <c r="G672" s="12"/>
      <c r="H672" s="13"/>
      <c r="I672" s="48">
        <f t="shared" si="608"/>
        <v>3</v>
      </c>
      <c r="J672" s="10">
        <f t="shared" si="609"/>
        <v>3</v>
      </c>
      <c r="K672" s="66">
        <v>46058</v>
      </c>
      <c r="L672" s="60" t="s">
        <v>207</v>
      </c>
      <c r="M672" s="11"/>
      <c r="N672" s="12">
        <v>3</v>
      </c>
      <c r="O672" s="13"/>
      <c r="P672" s="10">
        <f t="shared" si="604"/>
        <v>3</v>
      </c>
      <c r="Q672" s="11"/>
      <c r="R672" s="12"/>
      <c r="S672" s="13">
        <v>3</v>
      </c>
      <c r="T672" s="48">
        <f t="shared" si="605"/>
        <v>3</v>
      </c>
      <c r="U672" s="10">
        <f t="shared" si="606"/>
        <v>6</v>
      </c>
      <c r="V672" s="57">
        <v>46115</v>
      </c>
    </row>
    <row r="673" spans="1:22" x14ac:dyDescent="0.15">
      <c r="A673" s="60" t="s">
        <v>37</v>
      </c>
      <c r="B673" s="11"/>
      <c r="C673" s="12"/>
      <c r="D673" s="13"/>
      <c r="E673" s="10">
        <f t="shared" si="607"/>
        <v>0</v>
      </c>
      <c r="F673" s="11">
        <v>1</v>
      </c>
      <c r="G673" s="12">
        <v>1</v>
      </c>
      <c r="H673" s="13"/>
      <c r="I673" s="48">
        <f t="shared" si="608"/>
        <v>2</v>
      </c>
      <c r="J673" s="10">
        <f t="shared" si="609"/>
        <v>2</v>
      </c>
      <c r="K673" s="66">
        <v>46062</v>
      </c>
      <c r="L673" s="60"/>
      <c r="M673" s="11"/>
      <c r="N673" s="12"/>
      <c r="O673" s="13"/>
      <c r="P673" s="10">
        <f t="shared" si="604"/>
        <v>0</v>
      </c>
      <c r="Q673" s="11"/>
      <c r="R673" s="12"/>
      <c r="S673" s="13"/>
      <c r="T673" s="48">
        <f t="shared" si="605"/>
        <v>0</v>
      </c>
      <c r="U673" s="10">
        <f t="shared" si="606"/>
        <v>0</v>
      </c>
    </row>
    <row r="674" spans="1:22" x14ac:dyDescent="0.15">
      <c r="A674" s="60" t="s">
        <v>37</v>
      </c>
      <c r="B674" s="11"/>
      <c r="C674" s="12">
        <v>1</v>
      </c>
      <c r="D674" s="13">
        <v>1</v>
      </c>
      <c r="E674" s="10">
        <f t="shared" si="607"/>
        <v>2</v>
      </c>
      <c r="F674" s="11">
        <v>1</v>
      </c>
      <c r="G674" s="12"/>
      <c r="H674" s="13"/>
      <c r="I674" s="48">
        <f t="shared" si="608"/>
        <v>1</v>
      </c>
      <c r="J674" s="10">
        <f t="shared" si="609"/>
        <v>3</v>
      </c>
      <c r="K674" s="66">
        <v>46063</v>
      </c>
      <c r="L674" s="60"/>
      <c r="M674" s="11"/>
      <c r="N674" s="12"/>
      <c r="O674" s="13"/>
      <c r="P674" s="10">
        <f t="shared" si="604"/>
        <v>0</v>
      </c>
      <c r="Q674" s="11"/>
      <c r="R674" s="12"/>
      <c r="S674" s="13"/>
      <c r="T674" s="48">
        <f t="shared" si="605"/>
        <v>0</v>
      </c>
      <c r="U674" s="10">
        <f t="shared" si="606"/>
        <v>0</v>
      </c>
    </row>
    <row r="675" spans="1:22" x14ac:dyDescent="0.15">
      <c r="A675" s="60" t="s">
        <v>37</v>
      </c>
      <c r="B675" s="11"/>
      <c r="C675" s="12"/>
      <c r="D675" s="13"/>
      <c r="E675" s="10">
        <f t="shared" si="607"/>
        <v>0</v>
      </c>
      <c r="F675" s="11">
        <v>1</v>
      </c>
      <c r="G675" s="12"/>
      <c r="H675" s="13"/>
      <c r="I675" s="48">
        <f t="shared" si="608"/>
        <v>1</v>
      </c>
      <c r="J675" s="10">
        <f t="shared" si="609"/>
        <v>1</v>
      </c>
      <c r="K675" s="66">
        <v>46065</v>
      </c>
      <c r="L675" s="60"/>
      <c r="M675" s="11"/>
      <c r="N675" s="12"/>
      <c r="O675" s="13"/>
      <c r="P675" s="10">
        <f t="shared" si="604"/>
        <v>0</v>
      </c>
      <c r="Q675" s="11"/>
      <c r="R675" s="12"/>
      <c r="S675" s="13"/>
      <c r="T675" s="48">
        <f t="shared" si="605"/>
        <v>0</v>
      </c>
      <c r="U675" s="10">
        <f t="shared" si="606"/>
        <v>0</v>
      </c>
    </row>
    <row r="676" spans="1:22" x14ac:dyDescent="0.15">
      <c r="A676" s="60" t="s">
        <v>37</v>
      </c>
      <c r="B676" s="11"/>
      <c r="C676" s="12"/>
      <c r="D676" s="13"/>
      <c r="E676" s="10">
        <f t="shared" si="607"/>
        <v>0</v>
      </c>
      <c r="F676" s="11">
        <v>1</v>
      </c>
      <c r="G676" s="12"/>
      <c r="H676" s="13"/>
      <c r="I676" s="48">
        <f t="shared" si="608"/>
        <v>1</v>
      </c>
      <c r="J676" s="10">
        <f t="shared" si="609"/>
        <v>1</v>
      </c>
      <c r="K676" s="66">
        <v>46066</v>
      </c>
      <c r="L676" s="60"/>
      <c r="M676" s="11"/>
      <c r="N676" s="12"/>
      <c r="O676" s="13"/>
      <c r="P676" s="10">
        <f t="shared" si="604"/>
        <v>0</v>
      </c>
      <c r="Q676" s="11"/>
      <c r="R676" s="12"/>
      <c r="S676" s="13"/>
      <c r="T676" s="48">
        <f t="shared" si="605"/>
        <v>0</v>
      </c>
      <c r="U676" s="10">
        <f t="shared" si="606"/>
        <v>0</v>
      </c>
    </row>
    <row r="677" spans="1:22" x14ac:dyDescent="0.15">
      <c r="A677" s="60" t="s">
        <v>37</v>
      </c>
      <c r="B677" s="11">
        <v>2</v>
      </c>
      <c r="C677" s="12">
        <v>1</v>
      </c>
      <c r="D677" s="13"/>
      <c r="E677" s="10">
        <f t="shared" si="607"/>
        <v>3</v>
      </c>
      <c r="F677" s="11">
        <v>3</v>
      </c>
      <c r="G677" s="12">
        <v>1</v>
      </c>
      <c r="H677" s="13"/>
      <c r="I677" s="48">
        <f t="shared" si="608"/>
        <v>4</v>
      </c>
      <c r="J677" s="10">
        <f t="shared" si="609"/>
        <v>7</v>
      </c>
      <c r="K677" s="66">
        <v>46069</v>
      </c>
      <c r="L677" s="60"/>
      <c r="M677" s="11"/>
      <c r="N677" s="12"/>
      <c r="O677" s="13"/>
      <c r="P677" s="10">
        <f t="shared" si="604"/>
        <v>0</v>
      </c>
      <c r="Q677" s="11"/>
      <c r="R677" s="12"/>
      <c r="S677" s="13"/>
      <c r="T677" s="48">
        <f t="shared" si="605"/>
        <v>0</v>
      </c>
      <c r="U677" s="10">
        <f t="shared" si="606"/>
        <v>0</v>
      </c>
    </row>
    <row r="678" spans="1:22" x14ac:dyDescent="0.15">
      <c r="A678" s="60" t="s">
        <v>37</v>
      </c>
      <c r="B678" s="11"/>
      <c r="C678" s="12"/>
      <c r="D678" s="13"/>
      <c r="E678" s="10">
        <f t="shared" si="607"/>
        <v>0</v>
      </c>
      <c r="F678" s="11"/>
      <c r="G678" s="12">
        <v>1</v>
      </c>
      <c r="H678" s="13"/>
      <c r="I678" s="48">
        <f t="shared" si="608"/>
        <v>1</v>
      </c>
      <c r="J678" s="10">
        <f t="shared" si="609"/>
        <v>1</v>
      </c>
      <c r="K678" s="66">
        <v>46071</v>
      </c>
      <c r="L678" s="60"/>
      <c r="M678" s="11"/>
      <c r="N678" s="12"/>
      <c r="O678" s="13"/>
      <c r="P678" s="10">
        <f t="shared" si="604"/>
        <v>0</v>
      </c>
      <c r="Q678" s="11"/>
      <c r="R678" s="12"/>
      <c r="S678" s="13"/>
      <c r="T678" s="48">
        <f t="shared" si="605"/>
        <v>0</v>
      </c>
      <c r="U678" s="10">
        <f t="shared" si="606"/>
        <v>0</v>
      </c>
    </row>
    <row r="679" spans="1:22" x14ac:dyDescent="0.15">
      <c r="A679" s="60" t="s">
        <v>37</v>
      </c>
      <c r="B679" s="11"/>
      <c r="C679" s="12"/>
      <c r="D679" s="13"/>
      <c r="E679" s="10">
        <f t="shared" si="607"/>
        <v>0</v>
      </c>
      <c r="F679" s="11">
        <v>1</v>
      </c>
      <c r="G679" s="12"/>
      <c r="H679" s="13"/>
      <c r="I679" s="48">
        <f t="shared" si="608"/>
        <v>1</v>
      </c>
      <c r="J679" s="10">
        <f t="shared" si="609"/>
        <v>1</v>
      </c>
      <c r="K679" s="66">
        <v>46072</v>
      </c>
      <c r="L679" s="60"/>
      <c r="M679" s="11"/>
      <c r="N679" s="12"/>
      <c r="O679" s="13"/>
      <c r="P679" s="10">
        <f t="shared" si="604"/>
        <v>0</v>
      </c>
      <c r="Q679" s="11"/>
      <c r="R679" s="12"/>
      <c r="S679" s="13"/>
      <c r="T679" s="48">
        <f t="shared" si="605"/>
        <v>0</v>
      </c>
      <c r="U679" s="10">
        <f t="shared" si="606"/>
        <v>0</v>
      </c>
    </row>
    <row r="680" spans="1:22" x14ac:dyDescent="0.15">
      <c r="A680" s="60" t="s">
        <v>37</v>
      </c>
      <c r="B680" s="11"/>
      <c r="C680" s="12"/>
      <c r="D680" s="13"/>
      <c r="E680" s="10">
        <f t="shared" si="607"/>
        <v>0</v>
      </c>
      <c r="F680" s="11">
        <v>2</v>
      </c>
      <c r="G680" s="12"/>
      <c r="H680" s="13">
        <v>1</v>
      </c>
      <c r="I680" s="48">
        <f t="shared" si="608"/>
        <v>3</v>
      </c>
      <c r="J680" s="10">
        <f t="shared" si="609"/>
        <v>3</v>
      </c>
      <c r="K680" s="66">
        <v>46073</v>
      </c>
      <c r="L680" s="60"/>
      <c r="M680" s="11"/>
      <c r="N680" s="12"/>
      <c r="O680" s="13"/>
      <c r="P680" s="10">
        <f t="shared" si="604"/>
        <v>0</v>
      </c>
      <c r="Q680" s="11"/>
      <c r="R680" s="12"/>
      <c r="S680" s="13"/>
      <c r="T680" s="48">
        <f t="shared" si="605"/>
        <v>0</v>
      </c>
      <c r="U680" s="10">
        <f t="shared" si="606"/>
        <v>0</v>
      </c>
    </row>
    <row r="681" spans="1:22" x14ac:dyDescent="0.15">
      <c r="A681" s="60" t="s">
        <v>37</v>
      </c>
      <c r="B681" s="11"/>
      <c r="C681" s="12">
        <v>1</v>
      </c>
      <c r="D681" s="13"/>
      <c r="E681" s="10">
        <f t="shared" si="607"/>
        <v>1</v>
      </c>
      <c r="F681" s="11">
        <v>3</v>
      </c>
      <c r="G681" s="12">
        <v>2</v>
      </c>
      <c r="H681" s="13"/>
      <c r="I681" s="48">
        <f t="shared" si="608"/>
        <v>5</v>
      </c>
      <c r="J681" s="10">
        <f t="shared" si="609"/>
        <v>6</v>
      </c>
      <c r="K681" s="66">
        <v>46077</v>
      </c>
      <c r="L681" s="60"/>
      <c r="M681" s="11"/>
      <c r="N681" s="12"/>
      <c r="O681" s="13"/>
      <c r="P681" s="10">
        <f t="shared" si="604"/>
        <v>0</v>
      </c>
      <c r="Q681" s="11"/>
      <c r="R681" s="12"/>
      <c r="S681" s="13"/>
      <c r="T681" s="48">
        <f t="shared" si="605"/>
        <v>0</v>
      </c>
      <c r="U681" s="10">
        <f t="shared" si="606"/>
        <v>0</v>
      </c>
    </row>
    <row r="682" spans="1:22" x14ac:dyDescent="0.15">
      <c r="A682" s="60" t="s">
        <v>37</v>
      </c>
      <c r="B682" s="11">
        <v>1</v>
      </c>
      <c r="C682" s="12"/>
      <c r="D682" s="13"/>
      <c r="E682" s="10">
        <f t="shared" si="607"/>
        <v>1</v>
      </c>
      <c r="F682" s="11">
        <v>1</v>
      </c>
      <c r="G682" s="12">
        <v>1</v>
      </c>
      <c r="H682" s="13"/>
      <c r="I682" s="48">
        <f t="shared" si="608"/>
        <v>2</v>
      </c>
      <c r="J682" s="10">
        <f t="shared" si="609"/>
        <v>3</v>
      </c>
      <c r="K682" s="66">
        <v>46079</v>
      </c>
      <c r="L682" s="60"/>
      <c r="M682" s="11"/>
      <c r="N682" s="12"/>
      <c r="O682" s="13"/>
      <c r="P682" s="10">
        <f t="shared" ref="P682:P683" si="610">SUM(M682:O682)</f>
        <v>0</v>
      </c>
      <c r="Q682" s="11"/>
      <c r="R682" s="12"/>
      <c r="S682" s="13"/>
      <c r="T682" s="48">
        <f t="shared" ref="T682:T683" si="611">SUM(Q682:S682)</f>
        <v>0</v>
      </c>
      <c r="U682" s="10">
        <f t="shared" ref="U682:U683" si="612">P682+T682</f>
        <v>0</v>
      </c>
    </row>
    <row r="683" spans="1:22" x14ac:dyDescent="0.15">
      <c r="A683" s="60" t="s">
        <v>37</v>
      </c>
      <c r="B683" s="11"/>
      <c r="C683" s="12"/>
      <c r="D683" s="13"/>
      <c r="E683" s="10">
        <f t="shared" si="607"/>
        <v>0</v>
      </c>
      <c r="F683" s="11">
        <v>1</v>
      </c>
      <c r="G683" s="12">
        <v>1</v>
      </c>
      <c r="H683" s="13">
        <v>1</v>
      </c>
      <c r="I683" s="48">
        <f t="shared" si="608"/>
        <v>3</v>
      </c>
      <c r="J683" s="10">
        <f t="shared" si="609"/>
        <v>3</v>
      </c>
      <c r="K683" s="66">
        <v>46080</v>
      </c>
      <c r="L683" s="60"/>
      <c r="M683" s="11"/>
      <c r="N683" s="12"/>
      <c r="O683" s="13"/>
      <c r="P683" s="10">
        <f t="shared" si="610"/>
        <v>0</v>
      </c>
      <c r="Q683" s="11"/>
      <c r="R683" s="12"/>
      <c r="S683" s="13"/>
      <c r="T683" s="48">
        <f t="shared" si="611"/>
        <v>0</v>
      </c>
      <c r="U683" s="10">
        <f t="shared" si="612"/>
        <v>0</v>
      </c>
    </row>
    <row r="684" spans="1:22" ht="14.25" thickBot="1" x14ac:dyDescent="0.2">
      <c r="A684" s="60" t="s">
        <v>37</v>
      </c>
      <c r="B684" s="11">
        <v>3</v>
      </c>
      <c r="C684" s="12">
        <v>1</v>
      </c>
      <c r="D684" s="13"/>
      <c r="E684" s="10">
        <f t="shared" si="607"/>
        <v>4</v>
      </c>
      <c r="F684" s="11"/>
      <c r="G684" s="12"/>
      <c r="H684" s="13">
        <v>1</v>
      </c>
      <c r="I684" s="48">
        <f t="shared" si="608"/>
        <v>1</v>
      </c>
      <c r="J684" s="10">
        <f t="shared" si="609"/>
        <v>5</v>
      </c>
      <c r="K684" s="66">
        <v>46083</v>
      </c>
      <c r="L684" s="60"/>
      <c r="M684" s="11"/>
      <c r="N684" s="12"/>
      <c r="O684" s="13"/>
      <c r="P684" s="10">
        <f t="shared" ref="P684" si="613">SUM(M684:O684)</f>
        <v>0</v>
      </c>
      <c r="Q684" s="11"/>
      <c r="R684" s="12"/>
      <c r="S684" s="13"/>
      <c r="T684" s="48">
        <f t="shared" ref="T684" si="614">SUM(Q684:S684)</f>
        <v>0</v>
      </c>
      <c r="U684" s="10">
        <f t="shared" ref="U684" si="615">P684+T684</f>
        <v>0</v>
      </c>
    </row>
    <row r="685" spans="1:22" ht="14.25" thickBot="1" x14ac:dyDescent="0.2">
      <c r="A685" s="29" t="s">
        <v>17</v>
      </c>
      <c r="B685" s="30">
        <f>SUM(B659:B684)</f>
        <v>12</v>
      </c>
      <c r="C685" s="31">
        <f>SUM(C659:C684)</f>
        <v>8</v>
      </c>
      <c r="D685" s="32">
        <f>SUM(D659:D684)</f>
        <v>3</v>
      </c>
      <c r="E685" s="33">
        <f>SUM(B685:D685)</f>
        <v>23</v>
      </c>
      <c r="F685" s="30">
        <f>SUM(F659:F684)</f>
        <v>25</v>
      </c>
      <c r="G685" s="31">
        <f>SUM(G659:G684)</f>
        <v>13</v>
      </c>
      <c r="H685" s="32">
        <f>SUM(H659:H684)</f>
        <v>4</v>
      </c>
      <c r="I685" s="33">
        <f>SUM(F685:H685)</f>
        <v>42</v>
      </c>
      <c r="J685" s="34">
        <f t="shared" si="609"/>
        <v>65</v>
      </c>
      <c r="L685" s="29" t="s">
        <v>17</v>
      </c>
      <c r="M685" s="30">
        <f>SUM(M659:M684)</f>
        <v>25</v>
      </c>
      <c r="N685" s="31">
        <f>SUM(N659:N684)</f>
        <v>9</v>
      </c>
      <c r="O685" s="32">
        <f>SUM(O659:O684)</f>
        <v>7</v>
      </c>
      <c r="P685" s="33">
        <f>SUM(M685:O685)</f>
        <v>41</v>
      </c>
      <c r="Q685" s="30">
        <f>SUM(Q659:Q684)</f>
        <v>43</v>
      </c>
      <c r="R685" s="31">
        <f>SUM(R659:R684)</f>
        <v>18</v>
      </c>
      <c r="S685" s="32">
        <f>SUM(S659:S684)</f>
        <v>9</v>
      </c>
      <c r="T685" s="33">
        <f>SUM(Q685:S685)</f>
        <v>70</v>
      </c>
      <c r="U685" s="34">
        <f t="shared" si="606"/>
        <v>111</v>
      </c>
    </row>
    <row r="686" spans="1:22" ht="14.25" thickBot="1" x14ac:dyDescent="0.2">
      <c r="A686" s="18" t="s">
        <v>18</v>
      </c>
      <c r="B686" s="44">
        <f>B658-B685</f>
        <v>5</v>
      </c>
      <c r="C686" s="45">
        <f t="shared" ref="C686:E686" si="616">C658-C685</f>
        <v>5</v>
      </c>
      <c r="D686" s="46">
        <f t="shared" si="616"/>
        <v>5</v>
      </c>
      <c r="E686" s="46">
        <f t="shared" si="616"/>
        <v>15</v>
      </c>
      <c r="F686" s="44">
        <f>F658-F685</f>
        <v>7</v>
      </c>
      <c r="G686" s="45">
        <f t="shared" ref="G686:I686" si="617">G658-G685</f>
        <v>4</v>
      </c>
      <c r="H686" s="46">
        <f t="shared" si="617"/>
        <v>4</v>
      </c>
      <c r="I686" s="46">
        <f t="shared" si="617"/>
        <v>15</v>
      </c>
      <c r="J686" s="24">
        <f t="shared" si="609"/>
        <v>30</v>
      </c>
      <c r="L686" s="18" t="s">
        <v>18</v>
      </c>
      <c r="M686" s="44">
        <f>M658-M685</f>
        <v>163</v>
      </c>
      <c r="N686" s="45">
        <f t="shared" ref="N686:P686" si="618">N658-N685</f>
        <v>308</v>
      </c>
      <c r="O686" s="46">
        <f t="shared" si="618"/>
        <v>196</v>
      </c>
      <c r="P686" s="46">
        <f t="shared" si="618"/>
        <v>667</v>
      </c>
      <c r="Q686" s="44">
        <f>Q658-Q685</f>
        <v>366</v>
      </c>
      <c r="R686" s="45">
        <f t="shared" ref="R686:T686" si="619">R658-R685</f>
        <v>499</v>
      </c>
      <c r="S686" s="46">
        <f t="shared" si="619"/>
        <v>287</v>
      </c>
      <c r="T686" s="46">
        <f t="shared" si="619"/>
        <v>1152</v>
      </c>
      <c r="U686" s="24">
        <f t="shared" si="606"/>
        <v>1819</v>
      </c>
      <c r="V686" s="118" t="s">
        <v>217</v>
      </c>
    </row>
    <row r="689" spans="1:22" ht="19.5" thickBot="1" x14ac:dyDescent="0.25">
      <c r="A689" s="2" t="s">
        <v>24</v>
      </c>
      <c r="B689" s="1"/>
      <c r="C689" s="1"/>
      <c r="D689" s="1"/>
      <c r="E689" s="1"/>
      <c r="F689" s="1" t="s">
        <v>39</v>
      </c>
      <c r="G689" s="1"/>
      <c r="H689" s="1"/>
      <c r="I689" s="1"/>
      <c r="J689" s="1"/>
      <c r="L689" s="2" t="s">
        <v>23</v>
      </c>
      <c r="M689" s="1"/>
      <c r="N689" s="1"/>
      <c r="O689" s="1"/>
      <c r="P689" s="63" t="s">
        <v>35</v>
      </c>
      <c r="Q689" s="1"/>
      <c r="R689" s="1" t="s">
        <v>39</v>
      </c>
      <c r="S689" s="1"/>
      <c r="T689" s="1"/>
      <c r="U689" s="1"/>
    </row>
    <row r="690" spans="1:22" ht="14.25" thickBot="1" x14ac:dyDescent="0.2">
      <c r="A690" s="6" t="s">
        <v>0</v>
      </c>
      <c r="B690" s="128" t="s">
        <v>21</v>
      </c>
      <c r="C690" s="129"/>
      <c r="D690" s="129"/>
      <c r="E690" s="130"/>
      <c r="F690" s="125" t="s">
        <v>19</v>
      </c>
      <c r="G690" s="126"/>
      <c r="H690" s="126"/>
      <c r="I690" s="127"/>
      <c r="J690" s="90" t="s">
        <v>1</v>
      </c>
      <c r="L690" s="6" t="s">
        <v>0</v>
      </c>
      <c r="M690" s="128" t="s">
        <v>21</v>
      </c>
      <c r="N690" s="129"/>
      <c r="O690" s="129"/>
      <c r="P690" s="130"/>
      <c r="Q690" s="125" t="s">
        <v>19</v>
      </c>
      <c r="R690" s="126"/>
      <c r="S690" s="126"/>
      <c r="T690" s="127"/>
      <c r="U690" s="88" t="s">
        <v>1</v>
      </c>
    </row>
    <row r="691" spans="1:22" ht="14.25" thickBot="1" x14ac:dyDescent="0.2">
      <c r="A691" s="6" t="s">
        <v>2</v>
      </c>
      <c r="B691" s="3" t="s">
        <v>3</v>
      </c>
      <c r="C691" s="4" t="s">
        <v>4</v>
      </c>
      <c r="D691" s="5" t="s">
        <v>5</v>
      </c>
      <c r="E691" s="6" t="s">
        <v>6</v>
      </c>
      <c r="F691" s="3" t="s">
        <v>3</v>
      </c>
      <c r="G691" s="4" t="s">
        <v>4</v>
      </c>
      <c r="H691" s="5" t="s">
        <v>5</v>
      </c>
      <c r="I691" s="6" t="s">
        <v>6</v>
      </c>
      <c r="J691" s="91"/>
      <c r="L691" s="6" t="s">
        <v>2</v>
      </c>
      <c r="M691" s="50" t="s">
        <v>3</v>
      </c>
      <c r="N691" s="51" t="s">
        <v>4</v>
      </c>
      <c r="O691" s="52" t="s">
        <v>5</v>
      </c>
      <c r="P691" s="6" t="s">
        <v>6</v>
      </c>
      <c r="Q691" s="3" t="s">
        <v>3</v>
      </c>
      <c r="R691" s="4" t="s">
        <v>4</v>
      </c>
      <c r="S691" s="5" t="s">
        <v>5</v>
      </c>
      <c r="T691" s="6" t="s">
        <v>6</v>
      </c>
      <c r="U691" s="89"/>
    </row>
    <row r="692" spans="1:22" ht="14.25" thickBot="1" x14ac:dyDescent="0.2">
      <c r="A692" s="20" t="s">
        <v>18</v>
      </c>
      <c r="B692" s="21">
        <f>B686</f>
        <v>5</v>
      </c>
      <c r="C692" s="22">
        <f t="shared" ref="C692:D692" si="620">C686</f>
        <v>5</v>
      </c>
      <c r="D692" s="38">
        <f t="shared" si="620"/>
        <v>5</v>
      </c>
      <c r="E692" s="24">
        <f t="shared" ref="E692:E700" si="621">SUM(B692:D692)</f>
        <v>15</v>
      </c>
      <c r="F692" s="21">
        <f>F686</f>
        <v>7</v>
      </c>
      <c r="G692" s="22">
        <f t="shared" ref="G692:H692" si="622">G686</f>
        <v>4</v>
      </c>
      <c r="H692" s="38">
        <f t="shared" si="622"/>
        <v>4</v>
      </c>
      <c r="I692" s="24">
        <f t="shared" ref="I692:I700" si="623">SUM(F692:H692)</f>
        <v>15</v>
      </c>
      <c r="J692" s="24">
        <f>E692+I692</f>
        <v>30</v>
      </c>
      <c r="L692" s="20" t="s">
        <v>18</v>
      </c>
      <c r="M692" s="21">
        <f>M686</f>
        <v>163</v>
      </c>
      <c r="N692" s="22">
        <f t="shared" ref="N692:O692" si="624">N686</f>
        <v>308</v>
      </c>
      <c r="O692" s="38">
        <f t="shared" si="624"/>
        <v>196</v>
      </c>
      <c r="P692" s="73">
        <f t="shared" ref="P692:P700" si="625">SUM(M692:O692)</f>
        <v>667</v>
      </c>
      <c r="Q692" s="21">
        <f>Q686</f>
        <v>366</v>
      </c>
      <c r="R692" s="22">
        <f t="shared" ref="R692:S692" si="626">R686</f>
        <v>499</v>
      </c>
      <c r="S692" s="38">
        <f t="shared" si="626"/>
        <v>287</v>
      </c>
      <c r="T692" s="24">
        <f t="shared" ref="T692:T700" si="627">SUM(Q692:S692)</f>
        <v>1152</v>
      </c>
      <c r="U692" s="24">
        <f>P692+T692</f>
        <v>1819</v>
      </c>
    </row>
    <row r="693" spans="1:22" x14ac:dyDescent="0.15">
      <c r="A693" s="19" t="s">
        <v>8</v>
      </c>
      <c r="B693" s="7"/>
      <c r="C693" s="8"/>
      <c r="D693" s="35"/>
      <c r="E693" s="10">
        <f t="shared" ref="E693:E694" si="628">SUM(B693:D693)</f>
        <v>0</v>
      </c>
      <c r="F693" s="7">
        <v>5</v>
      </c>
      <c r="G693" s="8">
        <v>5</v>
      </c>
      <c r="H693" s="35"/>
      <c r="I693" s="48">
        <f t="shared" ref="I693:I694" si="629">SUM(F693:H693)</f>
        <v>10</v>
      </c>
      <c r="J693" s="10">
        <f t="shared" ref="J693:J694" si="630">E693+I693</f>
        <v>10</v>
      </c>
      <c r="K693" s="66">
        <v>46088</v>
      </c>
      <c r="L693" s="19" t="s">
        <v>8</v>
      </c>
      <c r="M693" s="7"/>
      <c r="N693" s="8"/>
      <c r="O693" s="35"/>
      <c r="P693" s="10">
        <f t="shared" si="625"/>
        <v>0</v>
      </c>
      <c r="Q693" s="7"/>
      <c r="R693" s="8"/>
      <c r="S693" s="35"/>
      <c r="T693" s="48">
        <f t="shared" si="627"/>
        <v>0</v>
      </c>
      <c r="U693" s="10">
        <f t="shared" ref="U693:U700" si="631">P693+T693</f>
        <v>0</v>
      </c>
    </row>
    <row r="694" spans="1:22" x14ac:dyDescent="0.15">
      <c r="A694" s="99" t="s">
        <v>9</v>
      </c>
      <c r="B694" s="100">
        <v>3</v>
      </c>
      <c r="C694" s="101"/>
      <c r="D694" s="102"/>
      <c r="E694" s="96">
        <f t="shared" si="628"/>
        <v>3</v>
      </c>
      <c r="F694" s="100"/>
      <c r="G694" s="101"/>
      <c r="H694" s="102"/>
      <c r="I694" s="97">
        <f t="shared" si="629"/>
        <v>0</v>
      </c>
      <c r="J694" s="96">
        <f t="shared" si="630"/>
        <v>3</v>
      </c>
      <c r="K694" s="98">
        <v>46094</v>
      </c>
      <c r="L694" s="19" t="s">
        <v>9</v>
      </c>
      <c r="M694" s="7"/>
      <c r="N694" s="8"/>
      <c r="O694" s="35"/>
      <c r="P694" s="10">
        <f t="shared" si="625"/>
        <v>0</v>
      </c>
      <c r="Q694" s="7"/>
      <c r="R694" s="8"/>
      <c r="S694" s="35"/>
      <c r="T694" s="48">
        <f t="shared" si="627"/>
        <v>0</v>
      </c>
      <c r="U694" s="10">
        <f t="shared" si="631"/>
        <v>0</v>
      </c>
    </row>
    <row r="695" spans="1:22" x14ac:dyDescent="0.15">
      <c r="A695" s="19" t="s">
        <v>10</v>
      </c>
      <c r="B695" s="7">
        <v>10</v>
      </c>
      <c r="C695" s="8">
        <v>3</v>
      </c>
      <c r="D695" s="35"/>
      <c r="E695" s="10">
        <f t="shared" si="621"/>
        <v>13</v>
      </c>
      <c r="F695" s="7">
        <v>5</v>
      </c>
      <c r="G695" s="8"/>
      <c r="H695" s="35"/>
      <c r="I695" s="48">
        <f t="shared" si="623"/>
        <v>5</v>
      </c>
      <c r="J695" s="10">
        <f t="shared" ref="J695:J700" si="632">E695+I695</f>
        <v>18</v>
      </c>
      <c r="K695" s="57">
        <v>46097</v>
      </c>
      <c r="L695" s="19" t="s">
        <v>10</v>
      </c>
      <c r="M695" s="7"/>
      <c r="N695" s="8"/>
      <c r="O695" s="35"/>
      <c r="P695" s="10">
        <f t="shared" ref="P695:P696" si="633">SUM(M695:O695)</f>
        <v>0</v>
      </c>
      <c r="Q695" s="7"/>
      <c r="R695" s="8"/>
      <c r="S695" s="35"/>
      <c r="T695" s="48">
        <f t="shared" ref="T695:T696" si="634">SUM(Q695:S695)</f>
        <v>0</v>
      </c>
      <c r="U695" s="10">
        <f t="shared" ref="U695:U696" si="635">P695+T695</f>
        <v>0</v>
      </c>
    </row>
    <row r="696" spans="1:22" x14ac:dyDescent="0.15">
      <c r="A696" s="99" t="s">
        <v>11</v>
      </c>
      <c r="B696" s="100"/>
      <c r="C696" s="101"/>
      <c r="D696" s="102"/>
      <c r="E696" s="96">
        <f t="shared" si="621"/>
        <v>0</v>
      </c>
      <c r="F696" s="100"/>
      <c r="G696" s="101"/>
      <c r="H696" s="102">
        <v>3</v>
      </c>
      <c r="I696" s="97">
        <f t="shared" si="623"/>
        <v>3</v>
      </c>
      <c r="J696" s="96">
        <f t="shared" si="632"/>
        <v>3</v>
      </c>
      <c r="K696" s="98">
        <v>46099</v>
      </c>
      <c r="L696" s="19" t="s">
        <v>11</v>
      </c>
      <c r="M696" s="7"/>
      <c r="N696" s="8"/>
      <c r="O696" s="35"/>
      <c r="P696" s="10">
        <f t="shared" si="633"/>
        <v>0</v>
      </c>
      <c r="Q696" s="7"/>
      <c r="R696" s="8"/>
      <c r="S696" s="35"/>
      <c r="T696" s="48">
        <f t="shared" si="634"/>
        <v>0</v>
      </c>
      <c r="U696" s="10">
        <f t="shared" si="635"/>
        <v>0</v>
      </c>
    </row>
    <row r="697" spans="1:22" x14ac:dyDescent="0.15">
      <c r="A697" s="19" t="s">
        <v>12</v>
      </c>
      <c r="B697" s="7">
        <v>1</v>
      </c>
      <c r="C697" s="8"/>
      <c r="D697" s="35"/>
      <c r="E697" s="10">
        <f t="shared" si="621"/>
        <v>1</v>
      </c>
      <c r="F697" s="7"/>
      <c r="G697" s="8"/>
      <c r="H697" s="35"/>
      <c r="I697" s="48">
        <f t="shared" si="623"/>
        <v>0</v>
      </c>
      <c r="J697" s="10">
        <f t="shared" si="632"/>
        <v>1</v>
      </c>
      <c r="K697" s="66">
        <v>46098</v>
      </c>
      <c r="L697" s="19" t="s">
        <v>12</v>
      </c>
      <c r="M697" s="7"/>
      <c r="N697" s="8"/>
      <c r="O697" s="35"/>
      <c r="P697" s="10">
        <f t="shared" si="625"/>
        <v>0</v>
      </c>
      <c r="Q697" s="7"/>
      <c r="R697" s="8"/>
      <c r="S697" s="35"/>
      <c r="T697" s="48">
        <f t="shared" si="627"/>
        <v>0</v>
      </c>
      <c r="U697" s="10">
        <f t="shared" si="631"/>
        <v>0</v>
      </c>
    </row>
    <row r="698" spans="1:22" x14ac:dyDescent="0.15">
      <c r="A698" s="19" t="s">
        <v>13</v>
      </c>
      <c r="B698" s="7"/>
      <c r="C698" s="8"/>
      <c r="D698" s="35">
        <v>3</v>
      </c>
      <c r="E698" s="10">
        <f t="shared" si="621"/>
        <v>3</v>
      </c>
      <c r="F698" s="7">
        <v>3</v>
      </c>
      <c r="G698" s="8"/>
      <c r="H698" s="35"/>
      <c r="I698" s="48">
        <f t="shared" si="623"/>
        <v>3</v>
      </c>
      <c r="J698" s="10">
        <f t="shared" si="632"/>
        <v>6</v>
      </c>
      <c r="K698" s="57">
        <v>46102</v>
      </c>
      <c r="L698" s="19" t="s">
        <v>13</v>
      </c>
      <c r="M698" s="7"/>
      <c r="N698" s="8"/>
      <c r="O698" s="35"/>
      <c r="P698" s="10">
        <f t="shared" si="625"/>
        <v>0</v>
      </c>
      <c r="Q698" s="7"/>
      <c r="R698" s="8"/>
      <c r="S698" s="35"/>
      <c r="T698" s="48">
        <f t="shared" si="627"/>
        <v>0</v>
      </c>
      <c r="U698" s="10">
        <f t="shared" si="631"/>
        <v>0</v>
      </c>
    </row>
    <row r="699" spans="1:22" x14ac:dyDescent="0.15">
      <c r="A699" s="99" t="s">
        <v>14</v>
      </c>
      <c r="B699" s="93"/>
      <c r="C699" s="94"/>
      <c r="D699" s="103"/>
      <c r="E699" s="96">
        <f t="shared" si="621"/>
        <v>0</v>
      </c>
      <c r="F699" s="93">
        <v>10</v>
      </c>
      <c r="G699" s="94">
        <v>5</v>
      </c>
      <c r="H699" s="103"/>
      <c r="I699" s="97">
        <f t="shared" si="623"/>
        <v>15</v>
      </c>
      <c r="J699" s="96">
        <f t="shared" si="632"/>
        <v>15</v>
      </c>
      <c r="K699" s="98">
        <v>46106</v>
      </c>
      <c r="L699" s="19" t="s">
        <v>14</v>
      </c>
      <c r="M699" s="11"/>
      <c r="N699" s="12"/>
      <c r="O699" s="36"/>
      <c r="P699" s="10">
        <f t="shared" si="625"/>
        <v>0</v>
      </c>
      <c r="Q699" s="11"/>
      <c r="R699" s="12"/>
      <c r="S699" s="36"/>
      <c r="T699" s="48">
        <f t="shared" si="627"/>
        <v>0</v>
      </c>
      <c r="U699" s="10">
        <f t="shared" si="631"/>
        <v>0</v>
      </c>
    </row>
    <row r="700" spans="1:22" ht="14.25" thickBot="1" x14ac:dyDescent="0.2">
      <c r="A700" s="19" t="s">
        <v>123</v>
      </c>
      <c r="B700" s="25">
        <v>1</v>
      </c>
      <c r="C700" s="26">
        <v>1</v>
      </c>
      <c r="D700" s="37"/>
      <c r="E700" s="10">
        <f t="shared" si="621"/>
        <v>2</v>
      </c>
      <c r="F700" s="25">
        <v>1</v>
      </c>
      <c r="G700" s="26">
        <v>1</v>
      </c>
      <c r="H700" s="37"/>
      <c r="I700" s="48">
        <f t="shared" si="623"/>
        <v>2</v>
      </c>
      <c r="J700" s="17">
        <f t="shared" si="632"/>
        <v>4</v>
      </c>
      <c r="K700" s="66">
        <v>46107</v>
      </c>
      <c r="L700" s="19" t="s">
        <v>15</v>
      </c>
      <c r="M700" s="25"/>
      <c r="N700" s="26"/>
      <c r="O700" s="37"/>
      <c r="P700" s="10">
        <f t="shared" si="625"/>
        <v>0</v>
      </c>
      <c r="Q700" s="25"/>
      <c r="R700" s="26"/>
      <c r="S700" s="37"/>
      <c r="T700" s="48">
        <f t="shared" si="627"/>
        <v>0</v>
      </c>
      <c r="U700" s="17">
        <f t="shared" si="631"/>
        <v>0</v>
      </c>
    </row>
    <row r="701" spans="1:22" ht="14.25" thickBot="1" x14ac:dyDescent="0.2">
      <c r="A701" s="27" t="s">
        <v>16</v>
      </c>
      <c r="B701" s="21">
        <f>SUM(B692:B700)</f>
        <v>20</v>
      </c>
      <c r="C701" s="22">
        <f t="shared" ref="C701:J701" si="636">SUM(C692:C700)</f>
        <v>9</v>
      </c>
      <c r="D701" s="38">
        <f t="shared" si="636"/>
        <v>8</v>
      </c>
      <c r="E701" s="54">
        <f t="shared" si="636"/>
        <v>37</v>
      </c>
      <c r="F701" s="21">
        <f t="shared" si="636"/>
        <v>31</v>
      </c>
      <c r="G701" s="22">
        <f t="shared" si="636"/>
        <v>15</v>
      </c>
      <c r="H701" s="38">
        <f t="shared" si="636"/>
        <v>7</v>
      </c>
      <c r="I701" s="53">
        <f t="shared" si="636"/>
        <v>53</v>
      </c>
      <c r="J701" s="24">
        <f t="shared" si="636"/>
        <v>90</v>
      </c>
      <c r="L701" s="27" t="s">
        <v>16</v>
      </c>
      <c r="M701" s="21">
        <f>SUM(M692:M700)</f>
        <v>163</v>
      </c>
      <c r="N701" s="22">
        <f t="shared" ref="N701:U701" si="637">SUM(N692:N700)</f>
        <v>308</v>
      </c>
      <c r="O701" s="38">
        <f t="shared" si="637"/>
        <v>196</v>
      </c>
      <c r="P701" s="54">
        <f t="shared" si="637"/>
        <v>667</v>
      </c>
      <c r="Q701" s="21">
        <f t="shared" si="637"/>
        <v>366</v>
      </c>
      <c r="R701" s="22">
        <f t="shared" si="637"/>
        <v>499</v>
      </c>
      <c r="S701" s="38">
        <f t="shared" si="637"/>
        <v>287</v>
      </c>
      <c r="T701" s="53">
        <f t="shared" si="637"/>
        <v>1152</v>
      </c>
      <c r="U701" s="24">
        <f t="shared" si="637"/>
        <v>1819</v>
      </c>
    </row>
    <row r="702" spans="1:22" x14ac:dyDescent="0.15">
      <c r="A702" s="60" t="s">
        <v>37</v>
      </c>
      <c r="B702" s="11">
        <v>1</v>
      </c>
      <c r="C702" s="12"/>
      <c r="D702" s="13"/>
      <c r="E702" s="10">
        <f t="shared" ref="E702:E705" si="638">SUM(B702:D702)</f>
        <v>1</v>
      </c>
      <c r="F702" s="11"/>
      <c r="G702" s="12"/>
      <c r="H702" s="13"/>
      <c r="I702" s="48">
        <f t="shared" ref="I702:I705" si="639">SUM(F702:H702)</f>
        <v>0</v>
      </c>
      <c r="J702" s="10">
        <f t="shared" ref="J702:J705" si="640">E702+I702</f>
        <v>1</v>
      </c>
      <c r="K702" s="66">
        <v>46086</v>
      </c>
      <c r="L702" s="60" t="s">
        <v>221</v>
      </c>
      <c r="M702" s="11">
        <v>10</v>
      </c>
      <c r="N702" s="12"/>
      <c r="O702" s="13"/>
      <c r="P702" s="10">
        <f t="shared" ref="P702:P725" si="641">SUM(M702:O702)</f>
        <v>10</v>
      </c>
      <c r="Q702" s="11">
        <v>5</v>
      </c>
      <c r="R702" s="12"/>
      <c r="S702" s="13"/>
      <c r="T702" s="48">
        <f t="shared" ref="T702:T725" si="642">SUM(Q702:S702)</f>
        <v>5</v>
      </c>
      <c r="U702" s="10">
        <f t="shared" ref="U702:U729" si="643">P702+T702</f>
        <v>15</v>
      </c>
      <c r="V702" s="66">
        <v>46116</v>
      </c>
    </row>
    <row r="703" spans="1:22" x14ac:dyDescent="0.15">
      <c r="A703" s="60" t="s">
        <v>37</v>
      </c>
      <c r="B703" s="11"/>
      <c r="C703" s="12"/>
      <c r="D703" s="13"/>
      <c r="E703" s="10">
        <f t="shared" si="638"/>
        <v>0</v>
      </c>
      <c r="F703" s="11">
        <v>1</v>
      </c>
      <c r="G703" s="12">
        <v>1</v>
      </c>
      <c r="H703" s="13"/>
      <c r="I703" s="48">
        <f t="shared" si="639"/>
        <v>2</v>
      </c>
      <c r="J703" s="10">
        <f t="shared" si="640"/>
        <v>2</v>
      </c>
      <c r="K703" s="66">
        <v>46087</v>
      </c>
      <c r="L703" s="60"/>
      <c r="M703" s="11"/>
      <c r="N703" s="12"/>
      <c r="O703" s="13"/>
      <c r="P703" s="10">
        <f t="shared" si="641"/>
        <v>0</v>
      </c>
      <c r="Q703" s="11"/>
      <c r="R703" s="12"/>
      <c r="S703" s="13"/>
      <c r="T703" s="48">
        <f t="shared" si="642"/>
        <v>0</v>
      </c>
      <c r="U703" s="10">
        <f t="shared" si="643"/>
        <v>0</v>
      </c>
    </row>
    <row r="704" spans="1:22" x14ac:dyDescent="0.15">
      <c r="A704" s="60" t="s">
        <v>37</v>
      </c>
      <c r="B704" s="11">
        <v>1</v>
      </c>
      <c r="C704" s="12">
        <v>2</v>
      </c>
      <c r="D704" s="13"/>
      <c r="E704" s="10">
        <f t="shared" si="638"/>
        <v>3</v>
      </c>
      <c r="F704" s="11">
        <v>2</v>
      </c>
      <c r="G704" s="12"/>
      <c r="H704" s="13">
        <v>1</v>
      </c>
      <c r="I704" s="48">
        <f t="shared" si="639"/>
        <v>3</v>
      </c>
      <c r="J704" s="10">
        <f t="shared" si="640"/>
        <v>6</v>
      </c>
      <c r="K704" s="66">
        <v>46090</v>
      </c>
      <c r="L704" s="60"/>
      <c r="M704" s="11"/>
      <c r="N704" s="12"/>
      <c r="O704" s="13"/>
      <c r="P704" s="10">
        <f t="shared" si="641"/>
        <v>0</v>
      </c>
      <c r="Q704" s="11"/>
      <c r="R704" s="12"/>
      <c r="S704" s="13"/>
      <c r="T704" s="48">
        <f t="shared" si="642"/>
        <v>0</v>
      </c>
      <c r="U704" s="10">
        <f t="shared" si="643"/>
        <v>0</v>
      </c>
    </row>
    <row r="705" spans="1:21" x14ac:dyDescent="0.15">
      <c r="A705" s="60" t="s">
        <v>37</v>
      </c>
      <c r="B705" s="11">
        <v>1</v>
      </c>
      <c r="C705" s="12"/>
      <c r="D705" s="13"/>
      <c r="E705" s="10">
        <f t="shared" si="638"/>
        <v>1</v>
      </c>
      <c r="F705" s="11">
        <v>1</v>
      </c>
      <c r="G705" s="12"/>
      <c r="H705" s="13"/>
      <c r="I705" s="48">
        <f t="shared" si="639"/>
        <v>1</v>
      </c>
      <c r="J705" s="10">
        <f t="shared" si="640"/>
        <v>2</v>
      </c>
      <c r="K705" s="66">
        <v>46091</v>
      </c>
      <c r="L705" s="60"/>
      <c r="M705" s="11"/>
      <c r="N705" s="12"/>
      <c r="O705" s="13"/>
      <c r="P705" s="10">
        <f t="shared" si="641"/>
        <v>0</v>
      </c>
      <c r="Q705" s="11"/>
      <c r="R705" s="12"/>
      <c r="S705" s="13"/>
      <c r="T705" s="48">
        <f t="shared" si="642"/>
        <v>0</v>
      </c>
      <c r="U705" s="10">
        <f t="shared" si="643"/>
        <v>0</v>
      </c>
    </row>
    <row r="706" spans="1:21" x14ac:dyDescent="0.15">
      <c r="A706" s="60" t="s">
        <v>37</v>
      </c>
      <c r="B706" s="11">
        <v>1</v>
      </c>
      <c r="C706" s="12"/>
      <c r="D706" s="13"/>
      <c r="E706" s="10">
        <f t="shared" ref="E706:E727" si="644">SUM(B706:D706)</f>
        <v>1</v>
      </c>
      <c r="F706" s="11">
        <v>2</v>
      </c>
      <c r="G706" s="12"/>
      <c r="H706" s="13"/>
      <c r="I706" s="48">
        <f t="shared" ref="I706:I727" si="645">SUM(F706:H706)</f>
        <v>2</v>
      </c>
      <c r="J706" s="10">
        <f t="shared" ref="J706:J729" si="646">E706+I706</f>
        <v>3</v>
      </c>
      <c r="K706" s="66">
        <v>46092</v>
      </c>
      <c r="L706" s="60"/>
      <c r="M706" s="11"/>
      <c r="N706" s="12"/>
      <c r="O706" s="13"/>
      <c r="P706" s="10">
        <f t="shared" si="641"/>
        <v>0</v>
      </c>
      <c r="Q706" s="11"/>
      <c r="R706" s="12"/>
      <c r="S706" s="13"/>
      <c r="T706" s="48">
        <f t="shared" si="642"/>
        <v>0</v>
      </c>
      <c r="U706" s="10">
        <f t="shared" si="643"/>
        <v>0</v>
      </c>
    </row>
    <row r="707" spans="1:21" x14ac:dyDescent="0.15">
      <c r="A707" s="60" t="s">
        <v>37</v>
      </c>
      <c r="B707" s="11">
        <v>1</v>
      </c>
      <c r="C707" s="12"/>
      <c r="D707" s="13"/>
      <c r="E707" s="10">
        <f t="shared" si="644"/>
        <v>1</v>
      </c>
      <c r="F707" s="11">
        <v>1</v>
      </c>
      <c r="G707" s="12"/>
      <c r="H707" s="13"/>
      <c r="I707" s="48">
        <f t="shared" si="645"/>
        <v>1</v>
      </c>
      <c r="J707" s="10">
        <f t="shared" si="646"/>
        <v>2</v>
      </c>
      <c r="K707" s="66">
        <v>46093</v>
      </c>
      <c r="L707" s="60"/>
      <c r="M707" s="11"/>
      <c r="N707" s="12"/>
      <c r="O707" s="13"/>
      <c r="P707" s="10">
        <f t="shared" si="641"/>
        <v>0</v>
      </c>
      <c r="Q707" s="11"/>
      <c r="R707" s="12"/>
      <c r="S707" s="13"/>
      <c r="T707" s="48">
        <f t="shared" si="642"/>
        <v>0</v>
      </c>
      <c r="U707" s="10">
        <f t="shared" si="643"/>
        <v>0</v>
      </c>
    </row>
    <row r="708" spans="1:21" x14ac:dyDescent="0.15">
      <c r="A708" s="60" t="s">
        <v>37</v>
      </c>
      <c r="B708" s="11">
        <v>1</v>
      </c>
      <c r="C708" s="12"/>
      <c r="D708" s="13"/>
      <c r="E708" s="10">
        <f t="shared" si="644"/>
        <v>1</v>
      </c>
      <c r="F708" s="11"/>
      <c r="G708" s="12"/>
      <c r="H708" s="13"/>
      <c r="I708" s="48">
        <f t="shared" si="645"/>
        <v>0</v>
      </c>
      <c r="J708" s="10">
        <f t="shared" si="646"/>
        <v>1</v>
      </c>
      <c r="K708" s="66">
        <v>46094</v>
      </c>
      <c r="L708" s="60"/>
      <c r="M708" s="11"/>
      <c r="N708" s="12"/>
      <c r="O708" s="13"/>
      <c r="P708" s="10">
        <f t="shared" si="641"/>
        <v>0</v>
      </c>
      <c r="Q708" s="11"/>
      <c r="R708" s="12"/>
      <c r="S708" s="13"/>
      <c r="T708" s="48">
        <f t="shared" si="642"/>
        <v>0</v>
      </c>
      <c r="U708" s="10">
        <f t="shared" si="643"/>
        <v>0</v>
      </c>
    </row>
    <row r="709" spans="1:21" x14ac:dyDescent="0.15">
      <c r="A709" s="60" t="s">
        <v>37</v>
      </c>
      <c r="B709" s="11">
        <v>2</v>
      </c>
      <c r="C709" s="12"/>
      <c r="D709" s="13">
        <v>1</v>
      </c>
      <c r="E709" s="10">
        <f t="shared" si="644"/>
        <v>3</v>
      </c>
      <c r="F709" s="11">
        <v>4</v>
      </c>
      <c r="G709" s="12">
        <v>1</v>
      </c>
      <c r="H709" s="13">
        <v>1</v>
      </c>
      <c r="I709" s="48">
        <f t="shared" si="645"/>
        <v>6</v>
      </c>
      <c r="J709" s="10">
        <f t="shared" si="646"/>
        <v>9</v>
      </c>
      <c r="K709" s="66">
        <v>46097</v>
      </c>
      <c r="L709" s="60"/>
      <c r="M709" s="11"/>
      <c r="N709" s="12"/>
      <c r="O709" s="13"/>
      <c r="P709" s="10">
        <f t="shared" si="641"/>
        <v>0</v>
      </c>
      <c r="Q709" s="11"/>
      <c r="R709" s="12"/>
      <c r="S709" s="13"/>
      <c r="T709" s="48">
        <f t="shared" si="642"/>
        <v>0</v>
      </c>
      <c r="U709" s="10">
        <f t="shared" si="643"/>
        <v>0</v>
      </c>
    </row>
    <row r="710" spans="1:21" x14ac:dyDescent="0.15">
      <c r="A710" s="60" t="s">
        <v>37</v>
      </c>
      <c r="B710" s="11"/>
      <c r="C710" s="12"/>
      <c r="D710" s="13"/>
      <c r="E710" s="10">
        <f t="shared" si="644"/>
        <v>0</v>
      </c>
      <c r="F710" s="11"/>
      <c r="G710" s="12">
        <v>1</v>
      </c>
      <c r="H710" s="13"/>
      <c r="I710" s="48">
        <f t="shared" si="645"/>
        <v>1</v>
      </c>
      <c r="J710" s="10">
        <f t="shared" si="646"/>
        <v>1</v>
      </c>
      <c r="K710" s="66">
        <v>46098</v>
      </c>
      <c r="L710" s="60"/>
      <c r="M710" s="11"/>
      <c r="N710" s="12"/>
      <c r="O710" s="13"/>
      <c r="P710" s="10">
        <f t="shared" si="641"/>
        <v>0</v>
      </c>
      <c r="Q710" s="11"/>
      <c r="R710" s="12"/>
      <c r="S710" s="13"/>
      <c r="T710" s="48">
        <f t="shared" si="642"/>
        <v>0</v>
      </c>
      <c r="U710" s="10">
        <f t="shared" si="643"/>
        <v>0</v>
      </c>
    </row>
    <row r="711" spans="1:21" x14ac:dyDescent="0.15">
      <c r="A711" s="60" t="s">
        <v>37</v>
      </c>
      <c r="B711" s="11">
        <v>1</v>
      </c>
      <c r="C711" s="12"/>
      <c r="D711" s="13">
        <v>1</v>
      </c>
      <c r="E711" s="10">
        <f t="shared" si="644"/>
        <v>2</v>
      </c>
      <c r="F711" s="11">
        <v>1</v>
      </c>
      <c r="G711" s="12">
        <v>1</v>
      </c>
      <c r="H711" s="13"/>
      <c r="I711" s="48">
        <f t="shared" si="645"/>
        <v>2</v>
      </c>
      <c r="J711" s="10">
        <f t="shared" si="646"/>
        <v>4</v>
      </c>
      <c r="K711" s="66">
        <v>46099</v>
      </c>
      <c r="L711" s="60"/>
      <c r="M711" s="11"/>
      <c r="N711" s="12"/>
      <c r="O711" s="13"/>
      <c r="P711" s="10">
        <f t="shared" si="641"/>
        <v>0</v>
      </c>
      <c r="Q711" s="11"/>
      <c r="R711" s="12"/>
      <c r="S711" s="13"/>
      <c r="T711" s="48">
        <f t="shared" si="642"/>
        <v>0</v>
      </c>
      <c r="U711" s="10">
        <f t="shared" si="643"/>
        <v>0</v>
      </c>
    </row>
    <row r="712" spans="1:21" x14ac:dyDescent="0.15">
      <c r="A712" s="60" t="s">
        <v>37</v>
      </c>
      <c r="B712" s="11"/>
      <c r="C712" s="12"/>
      <c r="D712" s="13"/>
      <c r="E712" s="10">
        <f t="shared" si="644"/>
        <v>0</v>
      </c>
      <c r="F712" s="11">
        <v>2</v>
      </c>
      <c r="G712" s="12"/>
      <c r="H712" s="13"/>
      <c r="I712" s="48">
        <f t="shared" si="645"/>
        <v>2</v>
      </c>
      <c r="J712" s="10">
        <f t="shared" si="646"/>
        <v>2</v>
      </c>
      <c r="K712" s="66">
        <v>46100</v>
      </c>
      <c r="L712" s="60"/>
      <c r="M712" s="11"/>
      <c r="N712" s="12"/>
      <c r="O712" s="13"/>
      <c r="P712" s="10">
        <f t="shared" si="641"/>
        <v>0</v>
      </c>
      <c r="Q712" s="11"/>
      <c r="R712" s="12"/>
      <c r="S712" s="13"/>
      <c r="T712" s="48">
        <f t="shared" si="642"/>
        <v>0</v>
      </c>
      <c r="U712" s="10">
        <f t="shared" si="643"/>
        <v>0</v>
      </c>
    </row>
    <row r="713" spans="1:21" x14ac:dyDescent="0.15">
      <c r="A713" s="60" t="s">
        <v>37</v>
      </c>
      <c r="B713" s="11">
        <v>2</v>
      </c>
      <c r="C713" s="12"/>
      <c r="D713" s="13"/>
      <c r="E713" s="10">
        <f t="shared" si="644"/>
        <v>2</v>
      </c>
      <c r="F713" s="11">
        <v>5</v>
      </c>
      <c r="G713" s="12">
        <v>3</v>
      </c>
      <c r="H713" s="13"/>
      <c r="I713" s="48">
        <f t="shared" si="645"/>
        <v>8</v>
      </c>
      <c r="J713" s="10">
        <f t="shared" si="646"/>
        <v>10</v>
      </c>
      <c r="K713" s="66">
        <v>46104</v>
      </c>
      <c r="L713" s="60"/>
      <c r="M713" s="11"/>
      <c r="N713" s="12"/>
      <c r="O713" s="13"/>
      <c r="P713" s="10">
        <f t="shared" si="641"/>
        <v>0</v>
      </c>
      <c r="Q713" s="11"/>
      <c r="R713" s="12"/>
      <c r="S713" s="13"/>
      <c r="T713" s="48">
        <f t="shared" si="642"/>
        <v>0</v>
      </c>
      <c r="U713" s="10">
        <f t="shared" si="643"/>
        <v>0</v>
      </c>
    </row>
    <row r="714" spans="1:21" x14ac:dyDescent="0.15">
      <c r="A714" s="60" t="s">
        <v>37</v>
      </c>
      <c r="B714" s="11"/>
      <c r="C714" s="12"/>
      <c r="D714" s="13"/>
      <c r="E714" s="10">
        <f t="shared" si="644"/>
        <v>0</v>
      </c>
      <c r="F714" s="11">
        <v>1</v>
      </c>
      <c r="G714" s="12"/>
      <c r="H714" s="13"/>
      <c r="I714" s="48">
        <f t="shared" si="645"/>
        <v>1</v>
      </c>
      <c r="J714" s="10">
        <f t="shared" si="646"/>
        <v>1</v>
      </c>
      <c r="K714" s="66">
        <v>46105</v>
      </c>
      <c r="L714" s="60"/>
      <c r="M714" s="11"/>
      <c r="N714" s="12"/>
      <c r="O714" s="13"/>
      <c r="P714" s="10">
        <f t="shared" si="641"/>
        <v>0</v>
      </c>
      <c r="Q714" s="11"/>
      <c r="R714" s="12"/>
      <c r="S714" s="13"/>
      <c r="T714" s="48">
        <f t="shared" si="642"/>
        <v>0</v>
      </c>
      <c r="U714" s="10">
        <f t="shared" si="643"/>
        <v>0</v>
      </c>
    </row>
    <row r="715" spans="1:21" x14ac:dyDescent="0.15">
      <c r="A715" s="60" t="s">
        <v>37</v>
      </c>
      <c r="B715" s="11"/>
      <c r="C715" s="12">
        <v>1</v>
      </c>
      <c r="D715" s="13"/>
      <c r="E715" s="10">
        <f t="shared" si="644"/>
        <v>1</v>
      </c>
      <c r="F715" s="11"/>
      <c r="G715" s="12"/>
      <c r="H715" s="13">
        <v>1</v>
      </c>
      <c r="I715" s="48">
        <f t="shared" si="645"/>
        <v>1</v>
      </c>
      <c r="J715" s="10">
        <f t="shared" si="646"/>
        <v>2</v>
      </c>
      <c r="K715" s="66">
        <v>46106</v>
      </c>
      <c r="L715" s="60"/>
      <c r="M715" s="11"/>
      <c r="N715" s="12"/>
      <c r="O715" s="13"/>
      <c r="P715" s="10">
        <f t="shared" si="641"/>
        <v>0</v>
      </c>
      <c r="Q715" s="11"/>
      <c r="R715" s="12"/>
      <c r="S715" s="13"/>
      <c r="T715" s="48">
        <f t="shared" si="642"/>
        <v>0</v>
      </c>
      <c r="U715" s="10">
        <f t="shared" si="643"/>
        <v>0</v>
      </c>
    </row>
    <row r="716" spans="1:21" x14ac:dyDescent="0.15">
      <c r="A716" s="60" t="s">
        <v>219</v>
      </c>
      <c r="B716" s="11"/>
      <c r="C716" s="12"/>
      <c r="D716" s="13">
        <v>1</v>
      </c>
      <c r="E716" s="10">
        <f t="shared" si="644"/>
        <v>1</v>
      </c>
      <c r="F716" s="11"/>
      <c r="G716" s="12"/>
      <c r="H716" s="13">
        <v>1</v>
      </c>
      <c r="I716" s="48">
        <f t="shared" si="645"/>
        <v>1</v>
      </c>
      <c r="J716" s="10">
        <f t="shared" si="646"/>
        <v>2</v>
      </c>
      <c r="K716" s="57">
        <v>46108</v>
      </c>
      <c r="L716" s="60"/>
      <c r="M716" s="11"/>
      <c r="N716" s="12"/>
      <c r="O716" s="13"/>
      <c r="P716" s="10">
        <f t="shared" si="641"/>
        <v>0</v>
      </c>
      <c r="Q716" s="11"/>
      <c r="R716" s="12"/>
      <c r="S716" s="13"/>
      <c r="T716" s="48">
        <f t="shared" si="642"/>
        <v>0</v>
      </c>
      <c r="U716" s="10">
        <f t="shared" si="643"/>
        <v>0</v>
      </c>
    </row>
    <row r="717" spans="1:21" x14ac:dyDescent="0.15">
      <c r="A717" s="60" t="s">
        <v>37</v>
      </c>
      <c r="B717" s="11"/>
      <c r="C717" s="12">
        <v>1</v>
      </c>
      <c r="D717" s="13"/>
      <c r="E717" s="10">
        <f t="shared" si="644"/>
        <v>1</v>
      </c>
      <c r="F717" s="11"/>
      <c r="G717" s="12"/>
      <c r="H717" s="13"/>
      <c r="I717" s="48">
        <f t="shared" si="645"/>
        <v>0</v>
      </c>
      <c r="J717" s="10">
        <f t="shared" si="646"/>
        <v>1</v>
      </c>
      <c r="K717" s="57">
        <v>46108</v>
      </c>
      <c r="L717" s="60"/>
      <c r="M717" s="11"/>
      <c r="N717" s="12"/>
      <c r="O717" s="13"/>
      <c r="P717" s="10">
        <f t="shared" si="641"/>
        <v>0</v>
      </c>
      <c r="Q717" s="11"/>
      <c r="R717" s="12"/>
      <c r="S717" s="13"/>
      <c r="T717" s="48">
        <f t="shared" si="642"/>
        <v>0</v>
      </c>
      <c r="U717" s="10">
        <f t="shared" si="643"/>
        <v>0</v>
      </c>
    </row>
    <row r="718" spans="1:21" x14ac:dyDescent="0.15">
      <c r="A718" s="60" t="s">
        <v>37</v>
      </c>
      <c r="B718" s="11">
        <v>2</v>
      </c>
      <c r="C718" s="12"/>
      <c r="D718" s="13"/>
      <c r="E718" s="10">
        <f t="shared" si="644"/>
        <v>2</v>
      </c>
      <c r="F718" s="11">
        <v>1</v>
      </c>
      <c r="G718" s="12">
        <v>1</v>
      </c>
      <c r="H718" s="13"/>
      <c r="I718" s="48">
        <f t="shared" si="645"/>
        <v>2</v>
      </c>
      <c r="J718" s="10">
        <f t="shared" si="646"/>
        <v>4</v>
      </c>
      <c r="K718" s="66">
        <v>46111</v>
      </c>
      <c r="L718" s="60"/>
      <c r="M718" s="11"/>
      <c r="N718" s="12"/>
      <c r="O718" s="13"/>
      <c r="P718" s="10">
        <f t="shared" si="641"/>
        <v>0</v>
      </c>
      <c r="Q718" s="11"/>
      <c r="R718" s="12"/>
      <c r="S718" s="13"/>
      <c r="T718" s="48">
        <f t="shared" si="642"/>
        <v>0</v>
      </c>
      <c r="U718" s="10">
        <f t="shared" si="643"/>
        <v>0</v>
      </c>
    </row>
    <row r="719" spans="1:21" x14ac:dyDescent="0.15">
      <c r="A719" s="60" t="s">
        <v>92</v>
      </c>
      <c r="B719" s="11"/>
      <c r="C719" s="12"/>
      <c r="D719" s="13"/>
      <c r="E719" s="10">
        <f t="shared" si="644"/>
        <v>0</v>
      </c>
      <c r="F719" s="11"/>
      <c r="G719" s="12"/>
      <c r="H719" s="13">
        <v>-3</v>
      </c>
      <c r="I719" s="48">
        <f t="shared" si="645"/>
        <v>-3</v>
      </c>
      <c r="J719" s="10">
        <f t="shared" si="646"/>
        <v>-3</v>
      </c>
      <c r="K719" s="57">
        <v>46112</v>
      </c>
      <c r="L719" s="60"/>
      <c r="M719" s="11"/>
      <c r="N719" s="12"/>
      <c r="O719" s="13"/>
      <c r="P719" s="10">
        <f t="shared" si="641"/>
        <v>0</v>
      </c>
      <c r="Q719" s="11"/>
      <c r="R719" s="12"/>
      <c r="S719" s="13"/>
      <c r="T719" s="48">
        <f t="shared" si="642"/>
        <v>0</v>
      </c>
      <c r="U719" s="10">
        <f t="shared" si="643"/>
        <v>0</v>
      </c>
    </row>
    <row r="720" spans="1:21" x14ac:dyDescent="0.15">
      <c r="A720" s="60" t="s">
        <v>171</v>
      </c>
      <c r="B720" s="11">
        <v>1</v>
      </c>
      <c r="C720" s="12">
        <v>1</v>
      </c>
      <c r="D720" s="13"/>
      <c r="E720" s="10">
        <f t="shared" si="644"/>
        <v>2</v>
      </c>
      <c r="F720" s="11">
        <v>1</v>
      </c>
      <c r="G720" s="12">
        <v>1</v>
      </c>
      <c r="H720" s="13"/>
      <c r="I720" s="48">
        <f t="shared" si="645"/>
        <v>2</v>
      </c>
      <c r="J720" s="10">
        <f t="shared" si="646"/>
        <v>4</v>
      </c>
      <c r="K720" s="57">
        <v>46114</v>
      </c>
      <c r="L720" s="60"/>
      <c r="M720" s="11"/>
      <c r="N720" s="12"/>
      <c r="O720" s="13"/>
      <c r="P720" s="10">
        <f t="shared" si="641"/>
        <v>0</v>
      </c>
      <c r="Q720" s="11"/>
      <c r="R720" s="12"/>
      <c r="S720" s="13"/>
      <c r="T720" s="48">
        <f t="shared" si="642"/>
        <v>0</v>
      </c>
      <c r="U720" s="10">
        <f t="shared" si="643"/>
        <v>0</v>
      </c>
    </row>
    <row r="721" spans="1:22" x14ac:dyDescent="0.15">
      <c r="A721" s="60" t="s">
        <v>37</v>
      </c>
      <c r="B721" s="11"/>
      <c r="C721" s="12"/>
      <c r="D721" s="13"/>
      <c r="E721" s="10">
        <f t="shared" si="644"/>
        <v>0</v>
      </c>
      <c r="F721" s="11"/>
      <c r="G721" s="12"/>
      <c r="H721" s="13">
        <v>1</v>
      </c>
      <c r="I721" s="48">
        <f t="shared" si="645"/>
        <v>1</v>
      </c>
      <c r="J721" s="10">
        <f t="shared" si="646"/>
        <v>1</v>
      </c>
      <c r="K721" s="57">
        <v>46113</v>
      </c>
      <c r="L721" s="60"/>
      <c r="M721" s="11"/>
      <c r="N721" s="12"/>
      <c r="O721" s="13"/>
      <c r="P721" s="10">
        <f t="shared" si="641"/>
        <v>0</v>
      </c>
      <c r="Q721" s="11"/>
      <c r="R721" s="12"/>
      <c r="S721" s="13"/>
      <c r="T721" s="48">
        <f t="shared" si="642"/>
        <v>0</v>
      </c>
      <c r="U721" s="10">
        <f t="shared" si="643"/>
        <v>0</v>
      </c>
    </row>
    <row r="722" spans="1:22" x14ac:dyDescent="0.15">
      <c r="A722" s="60" t="s">
        <v>92</v>
      </c>
      <c r="B722" s="11"/>
      <c r="C722" s="12">
        <v>-3</v>
      </c>
      <c r="D722" s="13"/>
      <c r="E722" s="10">
        <f t="shared" si="644"/>
        <v>-3</v>
      </c>
      <c r="F722" s="11"/>
      <c r="G722" s="12"/>
      <c r="H722" s="13">
        <v>-3</v>
      </c>
      <c r="I722" s="48">
        <f t="shared" si="645"/>
        <v>-3</v>
      </c>
      <c r="J722" s="10">
        <f t="shared" si="646"/>
        <v>-6</v>
      </c>
      <c r="K722" s="57">
        <v>46115</v>
      </c>
      <c r="L722" s="60"/>
      <c r="M722" s="11"/>
      <c r="N722" s="12"/>
      <c r="O722" s="13"/>
      <c r="P722" s="10">
        <f t="shared" si="641"/>
        <v>0</v>
      </c>
      <c r="Q722" s="11"/>
      <c r="R722" s="12"/>
      <c r="S722" s="13"/>
      <c r="T722" s="48">
        <f t="shared" si="642"/>
        <v>0</v>
      </c>
      <c r="U722" s="10">
        <f t="shared" si="643"/>
        <v>0</v>
      </c>
    </row>
    <row r="723" spans="1:22" x14ac:dyDescent="0.15">
      <c r="A723" s="60" t="s">
        <v>171</v>
      </c>
      <c r="B723" s="11">
        <v>4</v>
      </c>
      <c r="C723" s="12"/>
      <c r="D723" s="13"/>
      <c r="E723" s="10">
        <f t="shared" si="644"/>
        <v>4</v>
      </c>
      <c r="F723" s="11">
        <v>4</v>
      </c>
      <c r="G723" s="12"/>
      <c r="H723" s="13"/>
      <c r="I723" s="48">
        <f t="shared" si="645"/>
        <v>4</v>
      </c>
      <c r="J723" s="10">
        <f t="shared" si="646"/>
        <v>8</v>
      </c>
      <c r="K723" s="57">
        <v>46118</v>
      </c>
      <c r="L723" s="60"/>
      <c r="M723" s="11"/>
      <c r="N723" s="12"/>
      <c r="O723" s="13"/>
      <c r="P723" s="10">
        <f t="shared" si="641"/>
        <v>0</v>
      </c>
      <c r="Q723" s="11"/>
      <c r="R723" s="12"/>
      <c r="S723" s="13"/>
      <c r="T723" s="48">
        <f t="shared" si="642"/>
        <v>0</v>
      </c>
      <c r="U723" s="10">
        <f t="shared" si="643"/>
        <v>0</v>
      </c>
    </row>
    <row r="724" spans="1:22" x14ac:dyDescent="0.15">
      <c r="A724" s="60" t="s">
        <v>37</v>
      </c>
      <c r="B724" s="11">
        <v>1</v>
      </c>
      <c r="C724" s="12"/>
      <c r="D724" s="13"/>
      <c r="E724" s="10">
        <f t="shared" si="644"/>
        <v>1</v>
      </c>
      <c r="F724" s="11"/>
      <c r="G724" s="12"/>
      <c r="H724" s="13"/>
      <c r="I724" s="48">
        <f t="shared" si="645"/>
        <v>0</v>
      </c>
      <c r="J724" s="10">
        <f t="shared" si="646"/>
        <v>1</v>
      </c>
      <c r="K724" s="66">
        <v>46115</v>
      </c>
      <c r="L724" s="60"/>
      <c r="M724" s="11"/>
      <c r="N724" s="12"/>
      <c r="O724" s="13"/>
      <c r="P724" s="10">
        <f t="shared" si="641"/>
        <v>0</v>
      </c>
      <c r="Q724" s="11"/>
      <c r="R724" s="12"/>
      <c r="S724" s="13"/>
      <c r="T724" s="48">
        <f t="shared" si="642"/>
        <v>0</v>
      </c>
      <c r="U724" s="10">
        <f t="shared" si="643"/>
        <v>0</v>
      </c>
    </row>
    <row r="725" spans="1:22" x14ac:dyDescent="0.15">
      <c r="A725" s="60" t="s">
        <v>220</v>
      </c>
      <c r="B725" s="11">
        <v>-10</v>
      </c>
      <c r="C725" s="12"/>
      <c r="D725" s="13"/>
      <c r="E725" s="10">
        <f t="shared" si="644"/>
        <v>-10</v>
      </c>
      <c r="F725" s="11">
        <v>-5</v>
      </c>
      <c r="G725" s="12"/>
      <c r="H725" s="13"/>
      <c r="I725" s="48">
        <f t="shared" si="645"/>
        <v>-5</v>
      </c>
      <c r="J725" s="10">
        <f t="shared" si="646"/>
        <v>-15</v>
      </c>
      <c r="K725" s="66">
        <v>46116</v>
      </c>
      <c r="L725" s="60"/>
      <c r="M725" s="11"/>
      <c r="N725" s="12"/>
      <c r="O725" s="13"/>
      <c r="P725" s="10">
        <f t="shared" si="641"/>
        <v>0</v>
      </c>
      <c r="Q725" s="11"/>
      <c r="R725" s="12"/>
      <c r="S725" s="13"/>
      <c r="T725" s="48">
        <f t="shared" si="642"/>
        <v>0</v>
      </c>
      <c r="U725" s="10">
        <f t="shared" si="643"/>
        <v>0</v>
      </c>
    </row>
    <row r="726" spans="1:22" x14ac:dyDescent="0.15">
      <c r="A726" s="60" t="s">
        <v>171</v>
      </c>
      <c r="B726" s="11">
        <v>1</v>
      </c>
      <c r="C726" s="12"/>
      <c r="D726" s="13"/>
      <c r="E726" s="10">
        <f t="shared" si="644"/>
        <v>1</v>
      </c>
      <c r="F726" s="11">
        <v>1</v>
      </c>
      <c r="G726" s="12"/>
      <c r="H726" s="13"/>
      <c r="I726" s="48">
        <f t="shared" si="645"/>
        <v>1</v>
      </c>
      <c r="J726" s="10">
        <f t="shared" si="646"/>
        <v>2</v>
      </c>
      <c r="K726" s="57">
        <v>46120</v>
      </c>
      <c r="L726" s="60"/>
      <c r="M726" s="11"/>
      <c r="N726" s="12"/>
      <c r="O726" s="13"/>
      <c r="P726" s="10">
        <f t="shared" ref="P726:P727" si="647">SUM(M726:O726)</f>
        <v>0</v>
      </c>
      <c r="Q726" s="11"/>
      <c r="R726" s="12"/>
      <c r="S726" s="13"/>
      <c r="T726" s="48">
        <f t="shared" ref="T726:T727" si="648">SUM(Q726:S726)</f>
        <v>0</v>
      </c>
      <c r="U726" s="10">
        <f t="shared" ref="U726:U727" si="649">P726+T726</f>
        <v>0</v>
      </c>
    </row>
    <row r="727" spans="1:22" ht="14.25" thickBot="1" x14ac:dyDescent="0.2">
      <c r="A727" s="60" t="s">
        <v>37</v>
      </c>
      <c r="B727" s="11">
        <v>3</v>
      </c>
      <c r="C727" s="12"/>
      <c r="D727" s="13"/>
      <c r="E727" s="10">
        <f t="shared" si="644"/>
        <v>3</v>
      </c>
      <c r="F727" s="11">
        <v>1</v>
      </c>
      <c r="G727" s="12">
        <v>1</v>
      </c>
      <c r="H727" s="13"/>
      <c r="I727" s="48">
        <f t="shared" si="645"/>
        <v>2</v>
      </c>
      <c r="J727" s="10">
        <f t="shared" si="646"/>
        <v>5</v>
      </c>
      <c r="K727" s="66">
        <v>46118</v>
      </c>
      <c r="L727" s="60" t="s">
        <v>210</v>
      </c>
      <c r="M727" s="11"/>
      <c r="N727" s="12"/>
      <c r="O727" s="13"/>
      <c r="P727" s="10">
        <f t="shared" si="647"/>
        <v>0</v>
      </c>
      <c r="Q727" s="11"/>
      <c r="R727" s="12"/>
      <c r="S727" s="13"/>
      <c r="T727" s="48">
        <f t="shared" si="648"/>
        <v>0</v>
      </c>
      <c r="U727" s="10">
        <f t="shared" si="649"/>
        <v>0</v>
      </c>
      <c r="V727" s="56" t="s">
        <v>211</v>
      </c>
    </row>
    <row r="728" spans="1:22" ht="14.25" thickBot="1" x14ac:dyDescent="0.2">
      <c r="A728" s="29" t="s">
        <v>17</v>
      </c>
      <c r="B728" s="30">
        <f>SUM(B702:B727)</f>
        <v>13</v>
      </c>
      <c r="C728" s="31">
        <f>SUM(C702:C727)</f>
        <v>2</v>
      </c>
      <c r="D728" s="32">
        <f>SUM(D702:D727)</f>
        <v>3</v>
      </c>
      <c r="E728" s="33">
        <f>SUM(B728:D728)</f>
        <v>18</v>
      </c>
      <c r="F728" s="30">
        <f>SUM(F702:F727)</f>
        <v>23</v>
      </c>
      <c r="G728" s="31">
        <f>SUM(G702:G727)</f>
        <v>10</v>
      </c>
      <c r="H728" s="32">
        <f>SUM(H702:H727)</f>
        <v>-1</v>
      </c>
      <c r="I728" s="33">
        <f>SUM(F728:H728)</f>
        <v>32</v>
      </c>
      <c r="J728" s="34">
        <f t="shared" si="646"/>
        <v>50</v>
      </c>
      <c r="L728" s="29" t="s">
        <v>17</v>
      </c>
      <c r="M728" s="30">
        <f>SUM(M702:M727)</f>
        <v>10</v>
      </c>
      <c r="N728" s="31">
        <f>SUM(N702:N727)</f>
        <v>0</v>
      </c>
      <c r="O728" s="32">
        <f>SUM(O702:O727)</f>
        <v>0</v>
      </c>
      <c r="P728" s="33">
        <f>SUM(M728:O728)</f>
        <v>10</v>
      </c>
      <c r="Q728" s="30">
        <f>SUM(Q702:Q727)</f>
        <v>5</v>
      </c>
      <c r="R728" s="31">
        <f>SUM(R702:R727)</f>
        <v>0</v>
      </c>
      <c r="S728" s="32">
        <f>SUM(S702:S727)</f>
        <v>0</v>
      </c>
      <c r="T728" s="33">
        <f>SUM(Q728:S728)</f>
        <v>5</v>
      </c>
      <c r="U728" s="34">
        <f t="shared" si="643"/>
        <v>15</v>
      </c>
    </row>
    <row r="729" spans="1:22" ht="14.25" thickBot="1" x14ac:dyDescent="0.2">
      <c r="A729" s="18" t="s">
        <v>18</v>
      </c>
      <c r="B729" s="44">
        <f>B701-B728</f>
        <v>7</v>
      </c>
      <c r="C729" s="45">
        <f t="shared" ref="C729:E729" si="650">C701-C728</f>
        <v>7</v>
      </c>
      <c r="D729" s="46">
        <f t="shared" si="650"/>
        <v>5</v>
      </c>
      <c r="E729" s="46">
        <f t="shared" si="650"/>
        <v>19</v>
      </c>
      <c r="F729" s="44">
        <f>F701-F728</f>
        <v>8</v>
      </c>
      <c r="G729" s="45">
        <f t="shared" ref="G729:I729" si="651">G701-G728</f>
        <v>5</v>
      </c>
      <c r="H729" s="46">
        <f t="shared" si="651"/>
        <v>8</v>
      </c>
      <c r="I729" s="46">
        <f t="shared" si="651"/>
        <v>21</v>
      </c>
      <c r="J729" s="24">
        <f t="shared" si="646"/>
        <v>40</v>
      </c>
      <c r="L729" s="18" t="s">
        <v>18</v>
      </c>
      <c r="M729" s="44">
        <f>M701-M728</f>
        <v>153</v>
      </c>
      <c r="N729" s="45">
        <f t="shared" ref="N729:P729" si="652">N701-N728</f>
        <v>308</v>
      </c>
      <c r="O729" s="46">
        <f t="shared" si="652"/>
        <v>196</v>
      </c>
      <c r="P729" s="46">
        <f t="shared" si="652"/>
        <v>657</v>
      </c>
      <c r="Q729" s="44">
        <f>Q701-Q728</f>
        <v>361</v>
      </c>
      <c r="R729" s="45">
        <f t="shared" ref="R729:T729" si="653">R701-R728</f>
        <v>499</v>
      </c>
      <c r="S729" s="46">
        <f t="shared" si="653"/>
        <v>287</v>
      </c>
      <c r="T729" s="46">
        <f t="shared" si="653"/>
        <v>1147</v>
      </c>
      <c r="U729" s="24">
        <f t="shared" si="643"/>
        <v>1804</v>
      </c>
      <c r="V729" s="118" t="s">
        <v>218</v>
      </c>
    </row>
    <row r="732" spans="1:22" ht="19.5" thickBot="1" x14ac:dyDescent="0.25">
      <c r="A732" s="2" t="s">
        <v>24</v>
      </c>
      <c r="B732" s="1"/>
      <c r="C732" s="1"/>
      <c r="D732" s="1"/>
      <c r="E732" s="1"/>
      <c r="F732" s="1" t="s">
        <v>39</v>
      </c>
      <c r="G732" s="1"/>
      <c r="H732" s="1"/>
      <c r="I732" s="1"/>
      <c r="J732" s="1"/>
      <c r="L732" s="2" t="s">
        <v>23</v>
      </c>
      <c r="M732" s="1"/>
      <c r="N732" s="1"/>
      <c r="O732" s="1"/>
      <c r="P732" s="63" t="s">
        <v>35</v>
      </c>
      <c r="Q732" s="1"/>
      <c r="R732" s="1" t="s">
        <v>39</v>
      </c>
      <c r="S732" s="1"/>
      <c r="T732" s="1"/>
      <c r="U732" s="1"/>
    </row>
    <row r="733" spans="1:22" ht="14.25" thickBot="1" x14ac:dyDescent="0.2">
      <c r="A733" s="6" t="s">
        <v>0</v>
      </c>
      <c r="B733" s="128" t="s">
        <v>21</v>
      </c>
      <c r="C733" s="129"/>
      <c r="D733" s="129"/>
      <c r="E733" s="130"/>
      <c r="F733" s="125" t="s">
        <v>19</v>
      </c>
      <c r="G733" s="126"/>
      <c r="H733" s="126"/>
      <c r="I733" s="127"/>
      <c r="J733" s="90" t="s">
        <v>1</v>
      </c>
      <c r="L733" s="6" t="s">
        <v>0</v>
      </c>
      <c r="M733" s="128" t="s">
        <v>21</v>
      </c>
      <c r="N733" s="129"/>
      <c r="O733" s="129"/>
      <c r="P733" s="130"/>
      <c r="Q733" s="125" t="s">
        <v>19</v>
      </c>
      <c r="R733" s="126"/>
      <c r="S733" s="126"/>
      <c r="T733" s="127"/>
      <c r="U733" s="88" t="s">
        <v>1</v>
      </c>
    </row>
    <row r="734" spans="1:22" ht="14.25" thickBot="1" x14ac:dyDescent="0.2">
      <c r="A734" s="6" t="s">
        <v>2</v>
      </c>
      <c r="B734" s="3" t="s">
        <v>3</v>
      </c>
      <c r="C734" s="4" t="s">
        <v>4</v>
      </c>
      <c r="D734" s="5" t="s">
        <v>5</v>
      </c>
      <c r="E734" s="6" t="s">
        <v>6</v>
      </c>
      <c r="F734" s="3" t="s">
        <v>3</v>
      </c>
      <c r="G734" s="4" t="s">
        <v>4</v>
      </c>
      <c r="H734" s="5" t="s">
        <v>5</v>
      </c>
      <c r="I734" s="6" t="s">
        <v>6</v>
      </c>
      <c r="J734" s="91"/>
      <c r="L734" s="6" t="s">
        <v>2</v>
      </c>
      <c r="M734" s="50" t="s">
        <v>3</v>
      </c>
      <c r="N734" s="51" t="s">
        <v>4</v>
      </c>
      <c r="O734" s="52" t="s">
        <v>5</v>
      </c>
      <c r="P734" s="6" t="s">
        <v>6</v>
      </c>
      <c r="Q734" s="3" t="s">
        <v>3</v>
      </c>
      <c r="R734" s="4" t="s">
        <v>4</v>
      </c>
      <c r="S734" s="5" t="s">
        <v>5</v>
      </c>
      <c r="T734" s="6" t="s">
        <v>6</v>
      </c>
      <c r="U734" s="89"/>
    </row>
    <row r="735" spans="1:22" ht="14.25" thickBot="1" x14ac:dyDescent="0.2">
      <c r="A735" s="20" t="s">
        <v>18</v>
      </c>
      <c r="B735" s="21">
        <f>B729</f>
        <v>7</v>
      </c>
      <c r="C735" s="22">
        <f t="shared" ref="C735:D735" si="654">C729</f>
        <v>7</v>
      </c>
      <c r="D735" s="38">
        <f t="shared" si="654"/>
        <v>5</v>
      </c>
      <c r="E735" s="24">
        <f t="shared" ref="E735:E743" si="655">SUM(B735:D735)</f>
        <v>19</v>
      </c>
      <c r="F735" s="21">
        <f>F729</f>
        <v>8</v>
      </c>
      <c r="G735" s="22">
        <f t="shared" ref="G735:H735" si="656">G729</f>
        <v>5</v>
      </c>
      <c r="H735" s="38">
        <f t="shared" si="656"/>
        <v>8</v>
      </c>
      <c r="I735" s="24">
        <f t="shared" ref="I735:I743" si="657">SUM(F735:H735)</f>
        <v>21</v>
      </c>
      <c r="J735" s="24">
        <f>E735+I735</f>
        <v>40</v>
      </c>
      <c r="L735" s="20" t="s">
        <v>18</v>
      </c>
      <c r="M735" s="21">
        <f>M729</f>
        <v>153</v>
      </c>
      <c r="N735" s="22">
        <f t="shared" ref="N735:O735" si="658">N729</f>
        <v>308</v>
      </c>
      <c r="O735" s="38">
        <f t="shared" si="658"/>
        <v>196</v>
      </c>
      <c r="P735" s="73">
        <f t="shared" ref="P735:P743" si="659">SUM(M735:O735)</f>
        <v>657</v>
      </c>
      <c r="Q735" s="21">
        <f>Q729</f>
        <v>361</v>
      </c>
      <c r="R735" s="22">
        <f t="shared" ref="R735:S735" si="660">R729</f>
        <v>499</v>
      </c>
      <c r="S735" s="38">
        <f t="shared" si="660"/>
        <v>287</v>
      </c>
      <c r="T735" s="24">
        <f t="shared" ref="T735:T743" si="661">SUM(Q735:S735)</f>
        <v>1147</v>
      </c>
      <c r="U735" s="24">
        <f>P735+T735</f>
        <v>1804</v>
      </c>
    </row>
    <row r="736" spans="1:22" x14ac:dyDescent="0.15">
      <c r="A736" s="19" t="s">
        <v>8</v>
      </c>
      <c r="B736" s="7">
        <v>10</v>
      </c>
      <c r="C736" s="8">
        <v>5</v>
      </c>
      <c r="D736" s="35">
        <v>3</v>
      </c>
      <c r="E736" s="10">
        <f t="shared" si="655"/>
        <v>18</v>
      </c>
      <c r="F736" s="7">
        <v>5</v>
      </c>
      <c r="G736" s="8">
        <v>5</v>
      </c>
      <c r="H736" s="35"/>
      <c r="I736" s="48">
        <f t="shared" si="657"/>
        <v>10</v>
      </c>
      <c r="J736" s="10">
        <f t="shared" ref="J736:J743" si="662">E736+I736</f>
        <v>28</v>
      </c>
      <c r="K736" s="57">
        <v>46125</v>
      </c>
      <c r="L736" s="19" t="s">
        <v>8</v>
      </c>
      <c r="M736" s="7"/>
      <c r="N736" s="8"/>
      <c r="O736" s="35"/>
      <c r="P736" s="10">
        <f t="shared" si="659"/>
        <v>0</v>
      </c>
      <c r="Q736" s="7"/>
      <c r="R736" s="8"/>
      <c r="S736" s="35"/>
      <c r="T736" s="48">
        <f t="shared" si="661"/>
        <v>0</v>
      </c>
      <c r="U736" s="10">
        <f t="shared" ref="U736:U743" si="663">P736+T736</f>
        <v>0</v>
      </c>
    </row>
    <row r="737" spans="1:22" x14ac:dyDescent="0.15">
      <c r="A737" s="99" t="s">
        <v>9</v>
      </c>
      <c r="B737" s="100">
        <v>8</v>
      </c>
      <c r="C737" s="101"/>
      <c r="D737" s="102"/>
      <c r="E737" s="96">
        <f t="shared" si="655"/>
        <v>8</v>
      </c>
      <c r="F737" s="100">
        <v>5</v>
      </c>
      <c r="G737" s="101"/>
      <c r="H737" s="102">
        <v>5</v>
      </c>
      <c r="I737" s="97">
        <f t="shared" si="657"/>
        <v>10</v>
      </c>
      <c r="J737" s="96">
        <f t="shared" si="662"/>
        <v>18</v>
      </c>
      <c r="K737" s="98">
        <v>46130</v>
      </c>
      <c r="L737" s="19" t="s">
        <v>9</v>
      </c>
      <c r="M737" s="7"/>
      <c r="N737" s="8"/>
      <c r="O737" s="35"/>
      <c r="P737" s="10">
        <f t="shared" si="659"/>
        <v>0</v>
      </c>
      <c r="Q737" s="7"/>
      <c r="R737" s="8"/>
      <c r="S737" s="35"/>
      <c r="T737" s="48">
        <f t="shared" si="661"/>
        <v>0</v>
      </c>
      <c r="U737" s="10">
        <f t="shared" si="663"/>
        <v>0</v>
      </c>
    </row>
    <row r="738" spans="1:22" x14ac:dyDescent="0.15">
      <c r="A738" s="19" t="s">
        <v>123</v>
      </c>
      <c r="B738" s="7">
        <v>1</v>
      </c>
      <c r="C738" s="8"/>
      <c r="D738" s="35"/>
      <c r="E738" s="10">
        <f t="shared" si="655"/>
        <v>1</v>
      </c>
      <c r="F738" s="7">
        <v>1</v>
      </c>
      <c r="G738" s="8"/>
      <c r="H738" s="35"/>
      <c r="I738" s="48">
        <f t="shared" si="657"/>
        <v>1</v>
      </c>
      <c r="J738" s="10">
        <f t="shared" si="662"/>
        <v>2</v>
      </c>
      <c r="K738" s="66">
        <v>46127</v>
      </c>
      <c r="L738" s="19" t="s">
        <v>10</v>
      </c>
      <c r="M738" s="7"/>
      <c r="N738" s="8"/>
      <c r="O738" s="35"/>
      <c r="P738" s="10">
        <f t="shared" ref="P738" si="664">SUM(M738:O738)</f>
        <v>0</v>
      </c>
      <c r="Q738" s="7"/>
      <c r="R738" s="8"/>
      <c r="S738" s="35"/>
      <c r="T738" s="48">
        <f t="shared" ref="T738" si="665">SUM(Q738:S738)</f>
        <v>0</v>
      </c>
      <c r="U738" s="10">
        <f t="shared" ref="U738" si="666">P738+T738</f>
        <v>0</v>
      </c>
    </row>
    <row r="739" spans="1:22" x14ac:dyDescent="0.15">
      <c r="A739" s="99" t="s">
        <v>11</v>
      </c>
      <c r="B739" s="100">
        <v>5</v>
      </c>
      <c r="C739" s="101"/>
      <c r="D739" s="102"/>
      <c r="E739" s="96">
        <f t="shared" si="655"/>
        <v>5</v>
      </c>
      <c r="F739" s="100">
        <v>5</v>
      </c>
      <c r="G739" s="101"/>
      <c r="H739" s="102"/>
      <c r="I739" s="97">
        <f t="shared" si="657"/>
        <v>5</v>
      </c>
      <c r="J739" s="96">
        <f t="shared" si="662"/>
        <v>10</v>
      </c>
      <c r="K739" s="98">
        <v>46134</v>
      </c>
      <c r="L739" s="19" t="s">
        <v>11</v>
      </c>
      <c r="M739" s="7"/>
      <c r="N739" s="8"/>
      <c r="O739" s="35"/>
      <c r="P739" s="10">
        <f t="shared" si="659"/>
        <v>0</v>
      </c>
      <c r="Q739" s="7"/>
      <c r="R739" s="8"/>
      <c r="S739" s="35"/>
      <c r="T739" s="48">
        <f t="shared" si="661"/>
        <v>0</v>
      </c>
      <c r="U739" s="10">
        <f t="shared" si="663"/>
        <v>0</v>
      </c>
    </row>
    <row r="740" spans="1:22" x14ac:dyDescent="0.15">
      <c r="A740" s="19" t="s">
        <v>59</v>
      </c>
      <c r="B740" s="7">
        <v>1</v>
      </c>
      <c r="C740" s="8"/>
      <c r="D740" s="35"/>
      <c r="E740" s="10">
        <f t="shared" si="655"/>
        <v>1</v>
      </c>
      <c r="F740" s="7">
        <v>1</v>
      </c>
      <c r="G740" s="8"/>
      <c r="H740" s="35"/>
      <c r="I740" s="48">
        <f t="shared" si="657"/>
        <v>1</v>
      </c>
      <c r="J740" s="10">
        <f t="shared" si="662"/>
        <v>2</v>
      </c>
      <c r="K740" s="57">
        <v>46133</v>
      </c>
      <c r="L740" s="19" t="s">
        <v>12</v>
      </c>
      <c r="M740" s="7"/>
      <c r="N740" s="8"/>
      <c r="O740" s="35"/>
      <c r="P740" s="10">
        <f t="shared" si="659"/>
        <v>0</v>
      </c>
      <c r="Q740" s="7"/>
      <c r="R740" s="8"/>
      <c r="S740" s="35"/>
      <c r="T740" s="48">
        <f t="shared" si="661"/>
        <v>0</v>
      </c>
      <c r="U740" s="10">
        <f t="shared" si="663"/>
        <v>0</v>
      </c>
    </row>
    <row r="741" spans="1:22" x14ac:dyDescent="0.15">
      <c r="A741" s="19" t="s">
        <v>13</v>
      </c>
      <c r="B741" s="7">
        <v>5</v>
      </c>
      <c r="C741" s="8">
        <v>5</v>
      </c>
      <c r="D741" s="35">
        <v>3</v>
      </c>
      <c r="E741" s="10">
        <f t="shared" si="655"/>
        <v>13</v>
      </c>
      <c r="F741" s="7">
        <v>10</v>
      </c>
      <c r="G741" s="8"/>
      <c r="H741" s="35"/>
      <c r="I741" s="48">
        <f t="shared" si="657"/>
        <v>10</v>
      </c>
      <c r="J741" s="10">
        <f t="shared" si="662"/>
        <v>23</v>
      </c>
      <c r="K741" s="57">
        <v>46144</v>
      </c>
      <c r="L741" s="19" t="s">
        <v>13</v>
      </c>
      <c r="M741" s="7"/>
      <c r="N741" s="8"/>
      <c r="O741" s="35"/>
      <c r="P741" s="10">
        <f t="shared" si="659"/>
        <v>0</v>
      </c>
      <c r="Q741" s="7"/>
      <c r="R741" s="8"/>
      <c r="S741" s="35"/>
      <c r="T741" s="48">
        <f t="shared" si="661"/>
        <v>0</v>
      </c>
      <c r="U741" s="10">
        <f t="shared" si="663"/>
        <v>0</v>
      </c>
    </row>
    <row r="742" spans="1:22" x14ac:dyDescent="0.15">
      <c r="A742" s="19" t="s">
        <v>14</v>
      </c>
      <c r="B742" s="11">
        <v>5</v>
      </c>
      <c r="C742" s="12"/>
      <c r="D742" s="36"/>
      <c r="E742" s="10">
        <f t="shared" si="655"/>
        <v>5</v>
      </c>
      <c r="F742" s="11"/>
      <c r="G742" s="12"/>
      <c r="H742" s="36"/>
      <c r="I742" s="48">
        <f t="shared" si="657"/>
        <v>0</v>
      </c>
      <c r="J742" s="10">
        <f t="shared" si="662"/>
        <v>5</v>
      </c>
      <c r="K742" s="57">
        <v>46150</v>
      </c>
      <c r="L742" s="19" t="s">
        <v>14</v>
      </c>
      <c r="M742" s="11"/>
      <c r="N742" s="12"/>
      <c r="O742" s="36"/>
      <c r="P742" s="10">
        <f t="shared" si="659"/>
        <v>0</v>
      </c>
      <c r="Q742" s="11"/>
      <c r="R742" s="12"/>
      <c r="S742" s="36"/>
      <c r="T742" s="48">
        <f t="shared" si="661"/>
        <v>0</v>
      </c>
      <c r="U742" s="10">
        <f t="shared" si="663"/>
        <v>0</v>
      </c>
    </row>
    <row r="743" spans="1:22" ht="14.25" thickBot="1" x14ac:dyDescent="0.2">
      <c r="A743" s="99" t="s">
        <v>15</v>
      </c>
      <c r="B743" s="104">
        <v>5</v>
      </c>
      <c r="C743" s="105"/>
      <c r="D743" s="106"/>
      <c r="E743" s="96">
        <f t="shared" si="655"/>
        <v>5</v>
      </c>
      <c r="F743" s="104">
        <v>5</v>
      </c>
      <c r="G743" s="105">
        <v>5</v>
      </c>
      <c r="H743" s="106"/>
      <c r="I743" s="97">
        <f t="shared" si="657"/>
        <v>10</v>
      </c>
      <c r="J743" s="107">
        <f t="shared" si="662"/>
        <v>15</v>
      </c>
      <c r="K743" s="98">
        <v>46153</v>
      </c>
      <c r="L743" s="19" t="s">
        <v>15</v>
      </c>
      <c r="M743" s="25"/>
      <c r="N743" s="26"/>
      <c r="O743" s="37"/>
      <c r="P743" s="10">
        <f t="shared" si="659"/>
        <v>0</v>
      </c>
      <c r="Q743" s="25"/>
      <c r="R743" s="26"/>
      <c r="S743" s="37"/>
      <c r="T743" s="48">
        <f t="shared" si="661"/>
        <v>0</v>
      </c>
      <c r="U743" s="17">
        <f t="shared" si="663"/>
        <v>0</v>
      </c>
    </row>
    <row r="744" spans="1:22" ht="14.25" thickBot="1" x14ac:dyDescent="0.2">
      <c r="A744" s="27" t="s">
        <v>16</v>
      </c>
      <c r="B744" s="21">
        <f>SUM(B735:B743)</f>
        <v>47</v>
      </c>
      <c r="C744" s="22">
        <f t="shared" ref="C744:J744" si="667">SUM(C735:C743)</f>
        <v>17</v>
      </c>
      <c r="D744" s="38">
        <f t="shared" si="667"/>
        <v>11</v>
      </c>
      <c r="E744" s="54">
        <f t="shared" si="667"/>
        <v>75</v>
      </c>
      <c r="F744" s="21">
        <f t="shared" si="667"/>
        <v>40</v>
      </c>
      <c r="G744" s="22">
        <f t="shared" si="667"/>
        <v>15</v>
      </c>
      <c r="H744" s="38">
        <f t="shared" si="667"/>
        <v>13</v>
      </c>
      <c r="I744" s="53">
        <f t="shared" si="667"/>
        <v>68</v>
      </c>
      <c r="J744" s="24">
        <f t="shared" si="667"/>
        <v>143</v>
      </c>
      <c r="L744" s="27" t="s">
        <v>16</v>
      </c>
      <c r="M744" s="21">
        <f>SUM(M735:M743)</f>
        <v>153</v>
      </c>
      <c r="N744" s="22">
        <f t="shared" ref="N744:U744" si="668">SUM(N735:N743)</f>
        <v>308</v>
      </c>
      <c r="O744" s="38">
        <f t="shared" si="668"/>
        <v>196</v>
      </c>
      <c r="P744" s="54">
        <f t="shared" si="668"/>
        <v>657</v>
      </c>
      <c r="Q744" s="21">
        <f t="shared" si="668"/>
        <v>361</v>
      </c>
      <c r="R744" s="22">
        <f t="shared" si="668"/>
        <v>499</v>
      </c>
      <c r="S744" s="38">
        <f t="shared" si="668"/>
        <v>287</v>
      </c>
      <c r="T744" s="53">
        <f t="shared" si="668"/>
        <v>1147</v>
      </c>
      <c r="U744" s="24">
        <f t="shared" si="668"/>
        <v>1804</v>
      </c>
    </row>
    <row r="745" spans="1:22" x14ac:dyDescent="0.15">
      <c r="A745" s="60" t="s">
        <v>171</v>
      </c>
      <c r="B745" s="11"/>
      <c r="C745" s="12">
        <v>1</v>
      </c>
      <c r="D745" s="13"/>
      <c r="E745" s="10">
        <f t="shared" ref="E745:E770" si="669">SUM(B745:D745)</f>
        <v>1</v>
      </c>
      <c r="F745" s="11"/>
      <c r="G745" s="12">
        <v>1</v>
      </c>
      <c r="H745" s="13"/>
      <c r="I745" s="48">
        <f t="shared" ref="I745:I770" si="670">SUM(F745:H745)</f>
        <v>1</v>
      </c>
      <c r="J745" s="10">
        <f t="shared" ref="J745:J772" si="671">E745+I745</f>
        <v>2</v>
      </c>
      <c r="K745" s="57">
        <v>46121</v>
      </c>
      <c r="L745" s="60" t="s">
        <v>223</v>
      </c>
      <c r="M745" s="11">
        <v>10</v>
      </c>
      <c r="N745" s="12">
        <v>5</v>
      </c>
      <c r="O745" s="13">
        <v>3</v>
      </c>
      <c r="P745" s="10">
        <f t="shared" ref="P745:P768" si="672">SUM(M745:O745)</f>
        <v>18</v>
      </c>
      <c r="Q745" s="11">
        <v>5</v>
      </c>
      <c r="R745" s="12">
        <v>5</v>
      </c>
      <c r="S745" s="13"/>
      <c r="T745" s="48">
        <f t="shared" ref="T745:T768" si="673">SUM(Q745:S745)</f>
        <v>10</v>
      </c>
      <c r="U745" s="10">
        <f t="shared" ref="U745:U772" si="674">P745+T745</f>
        <v>28</v>
      </c>
      <c r="V745" s="57">
        <v>46125</v>
      </c>
    </row>
    <row r="746" spans="1:22" x14ac:dyDescent="0.15">
      <c r="A746" s="60" t="s">
        <v>37</v>
      </c>
      <c r="B746" s="11">
        <v>1</v>
      </c>
      <c r="C746" s="12"/>
      <c r="D746" s="13"/>
      <c r="E746" s="10">
        <f t="shared" si="669"/>
        <v>1</v>
      </c>
      <c r="F746" s="11"/>
      <c r="G746" s="12"/>
      <c r="H746" s="13"/>
      <c r="I746" s="48">
        <f t="shared" si="670"/>
        <v>0</v>
      </c>
      <c r="J746" s="10">
        <f t="shared" si="671"/>
        <v>1</v>
      </c>
      <c r="K746" s="66">
        <v>46119</v>
      </c>
      <c r="L746" s="92" t="s">
        <v>207</v>
      </c>
      <c r="M746" s="93">
        <v>8</v>
      </c>
      <c r="N746" s="94"/>
      <c r="O746" s="95"/>
      <c r="P746" s="96">
        <f t="shared" si="672"/>
        <v>8</v>
      </c>
      <c r="Q746" s="93">
        <v>5</v>
      </c>
      <c r="R746" s="94"/>
      <c r="S746" s="95">
        <v>5</v>
      </c>
      <c r="T746" s="97">
        <f t="shared" si="673"/>
        <v>10</v>
      </c>
      <c r="U746" s="96">
        <f t="shared" si="674"/>
        <v>18</v>
      </c>
      <c r="V746" s="98">
        <v>46130</v>
      </c>
    </row>
    <row r="747" spans="1:22" x14ac:dyDescent="0.15">
      <c r="A747" s="60" t="s">
        <v>171</v>
      </c>
      <c r="B747" s="11"/>
      <c r="C747" s="12"/>
      <c r="D747" s="13">
        <v>1</v>
      </c>
      <c r="E747" s="10">
        <f t="shared" si="669"/>
        <v>1</v>
      </c>
      <c r="F747" s="11"/>
      <c r="G747" s="12"/>
      <c r="H747" s="13">
        <v>1</v>
      </c>
      <c r="I747" s="48">
        <f t="shared" si="670"/>
        <v>1</v>
      </c>
      <c r="J747" s="10">
        <f t="shared" si="671"/>
        <v>2</v>
      </c>
      <c r="K747" s="57">
        <v>46122</v>
      </c>
      <c r="L747" s="92" t="s">
        <v>207</v>
      </c>
      <c r="M747" s="93">
        <v>5</v>
      </c>
      <c r="N747" s="94"/>
      <c r="O747" s="95"/>
      <c r="P747" s="96">
        <f t="shared" si="672"/>
        <v>5</v>
      </c>
      <c r="Q747" s="93">
        <v>5</v>
      </c>
      <c r="R747" s="94"/>
      <c r="S747" s="95"/>
      <c r="T747" s="97">
        <f t="shared" si="673"/>
        <v>5</v>
      </c>
      <c r="U747" s="96">
        <f t="shared" si="674"/>
        <v>10</v>
      </c>
      <c r="V747" s="98">
        <v>46134</v>
      </c>
    </row>
    <row r="748" spans="1:22" x14ac:dyDescent="0.15">
      <c r="A748" s="60" t="s">
        <v>37</v>
      </c>
      <c r="B748" s="11">
        <v>2</v>
      </c>
      <c r="C748" s="12"/>
      <c r="D748" s="13"/>
      <c r="E748" s="10">
        <f t="shared" si="669"/>
        <v>2</v>
      </c>
      <c r="F748" s="11"/>
      <c r="G748" s="12"/>
      <c r="H748" s="13"/>
      <c r="I748" s="48">
        <f t="shared" si="670"/>
        <v>0</v>
      </c>
      <c r="J748" s="10">
        <f t="shared" si="671"/>
        <v>2</v>
      </c>
      <c r="K748" s="66">
        <v>46120</v>
      </c>
      <c r="L748" s="60" t="s">
        <v>207</v>
      </c>
      <c r="M748" s="11">
        <v>5</v>
      </c>
      <c r="N748" s="12">
        <v>5</v>
      </c>
      <c r="O748" s="13">
        <v>3</v>
      </c>
      <c r="P748" s="10">
        <f t="shared" si="672"/>
        <v>13</v>
      </c>
      <c r="Q748" s="11">
        <v>10</v>
      </c>
      <c r="R748" s="12"/>
      <c r="S748" s="13"/>
      <c r="T748" s="48">
        <f t="shared" si="673"/>
        <v>10</v>
      </c>
      <c r="U748" s="10">
        <f t="shared" si="674"/>
        <v>23</v>
      </c>
      <c r="V748" s="57">
        <v>46144</v>
      </c>
    </row>
    <row r="749" spans="1:22" x14ac:dyDescent="0.15">
      <c r="A749" s="60" t="s">
        <v>222</v>
      </c>
      <c r="B749" s="11">
        <v>1</v>
      </c>
      <c r="C749" s="12"/>
      <c r="D749" s="13"/>
      <c r="E749" s="10">
        <f t="shared" si="669"/>
        <v>1</v>
      </c>
      <c r="F749" s="11"/>
      <c r="G749" s="12"/>
      <c r="H749" s="13"/>
      <c r="I749" s="48">
        <f t="shared" si="670"/>
        <v>0</v>
      </c>
      <c r="J749" s="10">
        <f t="shared" si="671"/>
        <v>1</v>
      </c>
      <c r="K749" s="66">
        <v>46125</v>
      </c>
      <c r="L749" s="92" t="s">
        <v>207</v>
      </c>
      <c r="M749" s="93">
        <v>5</v>
      </c>
      <c r="N749" s="94"/>
      <c r="O749" s="95"/>
      <c r="P749" s="96">
        <f t="shared" si="672"/>
        <v>5</v>
      </c>
      <c r="Q749" s="93"/>
      <c r="R749" s="94"/>
      <c r="S749" s="95"/>
      <c r="T749" s="97">
        <f t="shared" si="673"/>
        <v>0</v>
      </c>
      <c r="U749" s="96">
        <f t="shared" si="674"/>
        <v>5</v>
      </c>
      <c r="V749" s="98">
        <v>46150</v>
      </c>
    </row>
    <row r="750" spans="1:22" x14ac:dyDescent="0.15">
      <c r="A750" s="60" t="s">
        <v>37</v>
      </c>
      <c r="B750" s="11">
        <v>1</v>
      </c>
      <c r="C750" s="12"/>
      <c r="D750" s="13"/>
      <c r="E750" s="10">
        <f t="shared" si="669"/>
        <v>1</v>
      </c>
      <c r="F750" s="11">
        <v>2</v>
      </c>
      <c r="G750" s="12"/>
      <c r="H750" s="13"/>
      <c r="I750" s="48">
        <f t="shared" si="670"/>
        <v>2</v>
      </c>
      <c r="J750" s="10">
        <f t="shared" si="671"/>
        <v>3</v>
      </c>
      <c r="K750" s="66">
        <v>46122</v>
      </c>
      <c r="L750" s="92" t="s">
        <v>207</v>
      </c>
      <c r="M750" s="93">
        <v>5</v>
      </c>
      <c r="N750" s="94"/>
      <c r="O750" s="95"/>
      <c r="P750" s="96">
        <f t="shared" si="672"/>
        <v>5</v>
      </c>
      <c r="Q750" s="93">
        <v>5</v>
      </c>
      <c r="R750" s="94">
        <v>5</v>
      </c>
      <c r="S750" s="95"/>
      <c r="T750" s="97">
        <f t="shared" si="673"/>
        <v>10</v>
      </c>
      <c r="U750" s="96">
        <f t="shared" si="674"/>
        <v>15</v>
      </c>
      <c r="V750" s="98">
        <v>46153</v>
      </c>
    </row>
    <row r="751" spans="1:22" x14ac:dyDescent="0.15">
      <c r="A751" s="60" t="s">
        <v>171</v>
      </c>
      <c r="B751" s="11">
        <v>1</v>
      </c>
      <c r="C751" s="12"/>
      <c r="D751" s="13"/>
      <c r="E751" s="10">
        <f t="shared" si="669"/>
        <v>1</v>
      </c>
      <c r="F751" s="11">
        <v>1</v>
      </c>
      <c r="G751" s="12"/>
      <c r="H751" s="13"/>
      <c r="I751" s="48">
        <f t="shared" si="670"/>
        <v>1</v>
      </c>
      <c r="J751" s="10">
        <f t="shared" si="671"/>
        <v>2</v>
      </c>
      <c r="K751" s="57">
        <v>46127</v>
      </c>
      <c r="L751" s="60"/>
      <c r="M751" s="11"/>
      <c r="N751" s="12"/>
      <c r="O751" s="13"/>
      <c r="P751" s="10">
        <f t="shared" si="672"/>
        <v>0</v>
      </c>
      <c r="Q751" s="11"/>
      <c r="R751" s="12"/>
      <c r="S751" s="13"/>
      <c r="T751" s="48">
        <f t="shared" si="673"/>
        <v>0</v>
      </c>
      <c r="U751" s="10">
        <f t="shared" si="674"/>
        <v>0</v>
      </c>
    </row>
    <row r="752" spans="1:22" x14ac:dyDescent="0.15">
      <c r="A752" s="60" t="s">
        <v>37</v>
      </c>
      <c r="B752" s="11">
        <v>5</v>
      </c>
      <c r="C752" s="12"/>
      <c r="D752" s="13"/>
      <c r="E752" s="10">
        <f t="shared" si="669"/>
        <v>5</v>
      </c>
      <c r="F752" s="11">
        <v>2</v>
      </c>
      <c r="G752" s="12">
        <v>1</v>
      </c>
      <c r="H752" s="13"/>
      <c r="I752" s="48">
        <f t="shared" si="670"/>
        <v>3</v>
      </c>
      <c r="J752" s="10">
        <f t="shared" si="671"/>
        <v>8</v>
      </c>
      <c r="K752" s="66">
        <v>46125</v>
      </c>
      <c r="L752" s="60"/>
      <c r="M752" s="11"/>
      <c r="N752" s="12"/>
      <c r="O752" s="13"/>
      <c r="P752" s="10">
        <f t="shared" si="672"/>
        <v>0</v>
      </c>
      <c r="Q752" s="11"/>
      <c r="R752" s="12"/>
      <c r="S752" s="13"/>
      <c r="T752" s="48">
        <f t="shared" si="673"/>
        <v>0</v>
      </c>
      <c r="U752" s="10">
        <f t="shared" si="674"/>
        <v>0</v>
      </c>
    </row>
    <row r="753" spans="1:21" x14ac:dyDescent="0.15">
      <c r="A753" s="60" t="s">
        <v>37</v>
      </c>
      <c r="B753" s="11"/>
      <c r="C753" s="12"/>
      <c r="D753" s="13"/>
      <c r="E753" s="10">
        <f t="shared" si="669"/>
        <v>0</v>
      </c>
      <c r="F753" s="11">
        <v>1</v>
      </c>
      <c r="G753" s="12"/>
      <c r="H753" s="13">
        <v>1</v>
      </c>
      <c r="I753" s="48">
        <f t="shared" si="670"/>
        <v>2</v>
      </c>
      <c r="J753" s="10">
        <f t="shared" si="671"/>
        <v>2</v>
      </c>
      <c r="K753" s="66">
        <v>46126</v>
      </c>
      <c r="L753" s="60"/>
      <c r="M753" s="11"/>
      <c r="N753" s="12"/>
      <c r="O753" s="13"/>
      <c r="P753" s="10">
        <f t="shared" si="672"/>
        <v>0</v>
      </c>
      <c r="Q753" s="11"/>
      <c r="R753" s="12"/>
      <c r="S753" s="13"/>
      <c r="T753" s="48">
        <f t="shared" si="673"/>
        <v>0</v>
      </c>
      <c r="U753" s="10">
        <f t="shared" si="674"/>
        <v>0</v>
      </c>
    </row>
    <row r="754" spans="1:21" x14ac:dyDescent="0.15">
      <c r="A754" s="60" t="s">
        <v>171</v>
      </c>
      <c r="B754" s="11"/>
      <c r="C754" s="12"/>
      <c r="D754" s="13">
        <v>1</v>
      </c>
      <c r="E754" s="10">
        <f t="shared" si="669"/>
        <v>1</v>
      </c>
      <c r="F754" s="11"/>
      <c r="G754" s="12"/>
      <c r="H754" s="13">
        <v>1</v>
      </c>
      <c r="I754" s="48">
        <f t="shared" si="670"/>
        <v>1</v>
      </c>
      <c r="J754" s="10">
        <f t="shared" si="671"/>
        <v>2</v>
      </c>
      <c r="K754" s="57">
        <v>46129</v>
      </c>
      <c r="L754" s="60"/>
      <c r="M754" s="11"/>
      <c r="N754" s="12"/>
      <c r="O754" s="13"/>
      <c r="P754" s="10">
        <f t="shared" si="672"/>
        <v>0</v>
      </c>
      <c r="Q754" s="11"/>
      <c r="R754" s="12"/>
      <c r="S754" s="13"/>
      <c r="T754" s="48">
        <f t="shared" si="673"/>
        <v>0</v>
      </c>
      <c r="U754" s="10">
        <f t="shared" si="674"/>
        <v>0</v>
      </c>
    </row>
    <row r="755" spans="1:21" x14ac:dyDescent="0.15">
      <c r="A755" s="60" t="s">
        <v>37</v>
      </c>
      <c r="B755" s="11">
        <v>3</v>
      </c>
      <c r="C755" s="12"/>
      <c r="D755" s="13"/>
      <c r="E755" s="10">
        <f t="shared" si="669"/>
        <v>3</v>
      </c>
      <c r="F755" s="11"/>
      <c r="G755" s="12"/>
      <c r="H755" s="13"/>
      <c r="I755" s="48">
        <f t="shared" si="670"/>
        <v>0</v>
      </c>
      <c r="J755" s="10">
        <f t="shared" si="671"/>
        <v>3</v>
      </c>
      <c r="K755" s="66">
        <v>46127</v>
      </c>
      <c r="L755" s="60"/>
      <c r="M755" s="11"/>
      <c r="N755" s="12"/>
      <c r="O755" s="13"/>
      <c r="P755" s="10">
        <f t="shared" si="672"/>
        <v>0</v>
      </c>
      <c r="Q755" s="11"/>
      <c r="R755" s="12"/>
      <c r="S755" s="13"/>
      <c r="T755" s="48">
        <f t="shared" si="673"/>
        <v>0</v>
      </c>
      <c r="U755" s="10">
        <f t="shared" si="674"/>
        <v>0</v>
      </c>
    </row>
    <row r="756" spans="1:21" x14ac:dyDescent="0.15">
      <c r="A756" s="60" t="s">
        <v>37</v>
      </c>
      <c r="B756" s="11"/>
      <c r="C756" s="12">
        <v>1</v>
      </c>
      <c r="D756" s="13"/>
      <c r="E756" s="10">
        <f t="shared" si="669"/>
        <v>1</v>
      </c>
      <c r="F756" s="11">
        <v>2</v>
      </c>
      <c r="G756" s="12"/>
      <c r="H756" s="13">
        <v>1</v>
      </c>
      <c r="I756" s="48">
        <f t="shared" si="670"/>
        <v>3</v>
      </c>
      <c r="J756" s="10">
        <f t="shared" si="671"/>
        <v>4</v>
      </c>
      <c r="K756" s="66">
        <v>46128</v>
      </c>
      <c r="L756" s="60"/>
      <c r="M756" s="11"/>
      <c r="N756" s="12"/>
      <c r="O756" s="13"/>
      <c r="P756" s="10">
        <f t="shared" si="672"/>
        <v>0</v>
      </c>
      <c r="Q756" s="11"/>
      <c r="R756" s="12"/>
      <c r="S756" s="13"/>
      <c r="T756" s="48">
        <f t="shared" si="673"/>
        <v>0</v>
      </c>
      <c r="U756" s="10">
        <f t="shared" si="674"/>
        <v>0</v>
      </c>
    </row>
    <row r="757" spans="1:21" x14ac:dyDescent="0.15">
      <c r="A757" s="60" t="s">
        <v>37</v>
      </c>
      <c r="B757" s="11">
        <v>2</v>
      </c>
      <c r="C757" s="12"/>
      <c r="D757" s="13"/>
      <c r="E757" s="10">
        <f t="shared" si="669"/>
        <v>2</v>
      </c>
      <c r="F757" s="11">
        <v>1</v>
      </c>
      <c r="G757" s="12"/>
      <c r="H757" s="13"/>
      <c r="I757" s="48">
        <f t="shared" si="670"/>
        <v>1</v>
      </c>
      <c r="J757" s="10">
        <f t="shared" si="671"/>
        <v>3</v>
      </c>
      <c r="K757" s="66">
        <v>46129</v>
      </c>
      <c r="L757" s="60"/>
      <c r="M757" s="11"/>
      <c r="N757" s="12"/>
      <c r="O757" s="13"/>
      <c r="P757" s="10">
        <f t="shared" si="672"/>
        <v>0</v>
      </c>
      <c r="Q757" s="11"/>
      <c r="R757" s="12"/>
      <c r="S757" s="13"/>
      <c r="T757" s="48">
        <f t="shared" si="673"/>
        <v>0</v>
      </c>
      <c r="U757" s="10">
        <f t="shared" si="674"/>
        <v>0</v>
      </c>
    </row>
    <row r="758" spans="1:21" x14ac:dyDescent="0.15">
      <c r="A758" s="60" t="s">
        <v>37</v>
      </c>
      <c r="B758" s="11">
        <v>4</v>
      </c>
      <c r="C758" s="12">
        <v>2</v>
      </c>
      <c r="D758" s="13"/>
      <c r="E758" s="10">
        <f t="shared" si="669"/>
        <v>6</v>
      </c>
      <c r="F758" s="11">
        <v>6</v>
      </c>
      <c r="G758" s="12">
        <v>1</v>
      </c>
      <c r="H758" s="13"/>
      <c r="I758" s="48">
        <f t="shared" si="670"/>
        <v>7</v>
      </c>
      <c r="J758" s="10">
        <f t="shared" si="671"/>
        <v>13</v>
      </c>
      <c r="K758" s="66">
        <v>46132</v>
      </c>
      <c r="L758" s="60"/>
      <c r="M758" s="11"/>
      <c r="N758" s="12"/>
      <c r="O758" s="13"/>
      <c r="P758" s="10">
        <f t="shared" si="672"/>
        <v>0</v>
      </c>
      <c r="Q758" s="11"/>
      <c r="R758" s="12"/>
      <c r="S758" s="13"/>
      <c r="T758" s="48">
        <f t="shared" si="673"/>
        <v>0</v>
      </c>
      <c r="U758" s="10">
        <f t="shared" si="674"/>
        <v>0</v>
      </c>
    </row>
    <row r="759" spans="1:21" x14ac:dyDescent="0.15">
      <c r="A759" s="60" t="s">
        <v>37</v>
      </c>
      <c r="B759" s="11">
        <v>2</v>
      </c>
      <c r="C759" s="12"/>
      <c r="D759" s="13"/>
      <c r="E759" s="10">
        <f t="shared" si="669"/>
        <v>2</v>
      </c>
      <c r="F759" s="11"/>
      <c r="G759" s="12"/>
      <c r="H759" s="13"/>
      <c r="I759" s="48">
        <f t="shared" si="670"/>
        <v>0</v>
      </c>
      <c r="J759" s="10">
        <f t="shared" si="671"/>
        <v>2</v>
      </c>
      <c r="K759" s="66">
        <v>46133</v>
      </c>
      <c r="L759" s="60"/>
      <c r="M759" s="11"/>
      <c r="N759" s="12"/>
      <c r="O759" s="13"/>
      <c r="P759" s="10">
        <f t="shared" si="672"/>
        <v>0</v>
      </c>
      <c r="Q759" s="11"/>
      <c r="R759" s="12"/>
      <c r="S759" s="13"/>
      <c r="T759" s="48">
        <f t="shared" si="673"/>
        <v>0</v>
      </c>
      <c r="U759" s="10">
        <f t="shared" si="674"/>
        <v>0</v>
      </c>
    </row>
    <row r="760" spans="1:21" x14ac:dyDescent="0.15">
      <c r="A760" s="60" t="s">
        <v>37</v>
      </c>
      <c r="B760" s="11">
        <v>1</v>
      </c>
      <c r="C760" s="12"/>
      <c r="D760" s="13"/>
      <c r="E760" s="10">
        <f t="shared" si="669"/>
        <v>1</v>
      </c>
      <c r="F760" s="11"/>
      <c r="G760" s="12"/>
      <c r="H760" s="13"/>
      <c r="I760" s="48">
        <f t="shared" si="670"/>
        <v>0</v>
      </c>
      <c r="J760" s="10">
        <f t="shared" si="671"/>
        <v>1</v>
      </c>
      <c r="K760" s="66">
        <v>46134</v>
      </c>
      <c r="L760" s="60"/>
      <c r="M760" s="11"/>
      <c r="N760" s="12"/>
      <c r="O760" s="13"/>
      <c r="P760" s="10">
        <f t="shared" si="672"/>
        <v>0</v>
      </c>
      <c r="Q760" s="11"/>
      <c r="R760" s="12"/>
      <c r="S760" s="13"/>
      <c r="T760" s="48">
        <f t="shared" si="673"/>
        <v>0</v>
      </c>
      <c r="U760" s="10">
        <f t="shared" si="674"/>
        <v>0</v>
      </c>
    </row>
    <row r="761" spans="1:21" x14ac:dyDescent="0.15">
      <c r="A761" s="60" t="s">
        <v>37</v>
      </c>
      <c r="B761" s="11">
        <v>1</v>
      </c>
      <c r="C761" s="12"/>
      <c r="D761" s="13"/>
      <c r="E761" s="10">
        <f t="shared" si="669"/>
        <v>1</v>
      </c>
      <c r="F761" s="11">
        <v>1</v>
      </c>
      <c r="G761" s="12"/>
      <c r="H761" s="13"/>
      <c r="I761" s="48">
        <f t="shared" si="670"/>
        <v>1</v>
      </c>
      <c r="J761" s="10">
        <f t="shared" si="671"/>
        <v>2</v>
      </c>
      <c r="K761" s="66">
        <v>46135</v>
      </c>
      <c r="L761" s="60"/>
      <c r="M761" s="11"/>
      <c r="N761" s="12"/>
      <c r="O761" s="13"/>
      <c r="P761" s="10">
        <f t="shared" si="672"/>
        <v>0</v>
      </c>
      <c r="Q761" s="11"/>
      <c r="R761" s="12"/>
      <c r="S761" s="13"/>
      <c r="T761" s="48">
        <f t="shared" si="673"/>
        <v>0</v>
      </c>
      <c r="U761" s="10">
        <f t="shared" si="674"/>
        <v>0</v>
      </c>
    </row>
    <row r="762" spans="1:21" x14ac:dyDescent="0.15">
      <c r="A762" s="60" t="s">
        <v>37</v>
      </c>
      <c r="B762" s="11">
        <v>2</v>
      </c>
      <c r="C762" s="12">
        <v>4</v>
      </c>
      <c r="D762" s="13">
        <v>1</v>
      </c>
      <c r="E762" s="10">
        <f t="shared" si="669"/>
        <v>7</v>
      </c>
      <c r="F762" s="11">
        <v>3</v>
      </c>
      <c r="G762" s="12"/>
      <c r="H762" s="13">
        <v>2</v>
      </c>
      <c r="I762" s="48">
        <f t="shared" si="670"/>
        <v>5</v>
      </c>
      <c r="J762" s="10">
        <f t="shared" si="671"/>
        <v>12</v>
      </c>
      <c r="K762" s="66">
        <v>46139</v>
      </c>
      <c r="L762" s="60"/>
      <c r="M762" s="11"/>
      <c r="N762" s="12"/>
      <c r="O762" s="13"/>
      <c r="P762" s="10">
        <f t="shared" si="672"/>
        <v>0</v>
      </c>
      <c r="Q762" s="11"/>
      <c r="R762" s="12"/>
      <c r="S762" s="13"/>
      <c r="T762" s="48">
        <f t="shared" si="673"/>
        <v>0</v>
      </c>
      <c r="U762" s="10">
        <f t="shared" si="674"/>
        <v>0</v>
      </c>
    </row>
    <row r="763" spans="1:21" x14ac:dyDescent="0.15">
      <c r="A763" s="60" t="s">
        <v>171</v>
      </c>
      <c r="B763" s="11"/>
      <c r="C763" s="12">
        <v>1</v>
      </c>
      <c r="D763" s="13"/>
      <c r="E763" s="10">
        <f t="shared" si="669"/>
        <v>1</v>
      </c>
      <c r="F763" s="11"/>
      <c r="G763" s="12">
        <v>1</v>
      </c>
      <c r="H763" s="13"/>
      <c r="I763" s="48">
        <f t="shared" si="670"/>
        <v>1</v>
      </c>
      <c r="J763" s="10">
        <f t="shared" si="671"/>
        <v>2</v>
      </c>
      <c r="K763" s="57">
        <v>46142</v>
      </c>
      <c r="L763" s="60"/>
      <c r="M763" s="11"/>
      <c r="N763" s="12"/>
      <c r="O763" s="13"/>
      <c r="P763" s="10">
        <f t="shared" si="672"/>
        <v>0</v>
      </c>
      <c r="Q763" s="11"/>
      <c r="R763" s="12"/>
      <c r="S763" s="13"/>
      <c r="T763" s="48">
        <f t="shared" si="673"/>
        <v>0</v>
      </c>
      <c r="U763" s="10">
        <f t="shared" si="674"/>
        <v>0</v>
      </c>
    </row>
    <row r="764" spans="1:21" x14ac:dyDescent="0.15">
      <c r="A764" s="60" t="s">
        <v>37</v>
      </c>
      <c r="B764" s="11">
        <v>1</v>
      </c>
      <c r="C764" s="12"/>
      <c r="D764" s="13">
        <v>1</v>
      </c>
      <c r="E764" s="10">
        <f t="shared" si="669"/>
        <v>2</v>
      </c>
      <c r="F764" s="11">
        <v>1</v>
      </c>
      <c r="G764" s="12"/>
      <c r="H764" s="13">
        <v>1</v>
      </c>
      <c r="I764" s="48">
        <f t="shared" si="670"/>
        <v>2</v>
      </c>
      <c r="J764" s="10">
        <f t="shared" si="671"/>
        <v>4</v>
      </c>
      <c r="K764" s="66">
        <v>46140</v>
      </c>
      <c r="L764" s="60"/>
      <c r="M764" s="11"/>
      <c r="N764" s="12"/>
      <c r="O764" s="13"/>
      <c r="P764" s="10">
        <f t="shared" si="672"/>
        <v>0</v>
      </c>
      <c r="Q764" s="11"/>
      <c r="R764" s="12"/>
      <c r="S764" s="13"/>
      <c r="T764" s="48">
        <f t="shared" si="673"/>
        <v>0</v>
      </c>
      <c r="U764" s="10">
        <f t="shared" si="674"/>
        <v>0</v>
      </c>
    </row>
    <row r="765" spans="1:21" x14ac:dyDescent="0.15">
      <c r="A765" s="60" t="s">
        <v>37</v>
      </c>
      <c r="B765" s="11">
        <v>2</v>
      </c>
      <c r="C765" s="12"/>
      <c r="D765" s="13"/>
      <c r="E765" s="10">
        <f t="shared" si="669"/>
        <v>2</v>
      </c>
      <c r="F765" s="11">
        <v>1</v>
      </c>
      <c r="G765" s="12"/>
      <c r="H765" s="13"/>
      <c r="I765" s="48">
        <f t="shared" si="670"/>
        <v>1</v>
      </c>
      <c r="J765" s="10">
        <f t="shared" si="671"/>
        <v>3</v>
      </c>
      <c r="K765" s="66">
        <v>46142</v>
      </c>
      <c r="L765" s="60"/>
      <c r="M765" s="11"/>
      <c r="N765" s="12"/>
      <c r="O765" s="13"/>
      <c r="P765" s="10">
        <f t="shared" si="672"/>
        <v>0</v>
      </c>
      <c r="Q765" s="11"/>
      <c r="R765" s="12"/>
      <c r="S765" s="13"/>
      <c r="T765" s="48">
        <f t="shared" si="673"/>
        <v>0</v>
      </c>
      <c r="U765" s="10">
        <f t="shared" si="674"/>
        <v>0</v>
      </c>
    </row>
    <row r="766" spans="1:21" x14ac:dyDescent="0.15">
      <c r="A766" s="60" t="s">
        <v>37</v>
      </c>
      <c r="B766" s="11"/>
      <c r="C766" s="12"/>
      <c r="D766" s="13"/>
      <c r="E766" s="10">
        <f t="shared" si="669"/>
        <v>0</v>
      </c>
      <c r="F766" s="11">
        <v>3</v>
      </c>
      <c r="G766" s="12"/>
      <c r="H766" s="13"/>
      <c r="I766" s="48">
        <f t="shared" si="670"/>
        <v>3</v>
      </c>
      <c r="J766" s="10">
        <f t="shared" si="671"/>
        <v>3</v>
      </c>
      <c r="K766" s="66">
        <v>46143</v>
      </c>
      <c r="L766" s="60"/>
      <c r="M766" s="11"/>
      <c r="N766" s="12"/>
      <c r="O766" s="13"/>
      <c r="P766" s="10">
        <f t="shared" si="672"/>
        <v>0</v>
      </c>
      <c r="Q766" s="11"/>
      <c r="R766" s="12"/>
      <c r="S766" s="13"/>
      <c r="T766" s="48">
        <f t="shared" si="673"/>
        <v>0</v>
      </c>
      <c r="U766" s="10">
        <f t="shared" si="674"/>
        <v>0</v>
      </c>
    </row>
    <row r="767" spans="1:21" x14ac:dyDescent="0.15">
      <c r="A767" s="60" t="s">
        <v>37</v>
      </c>
      <c r="B767" s="11">
        <v>6</v>
      </c>
      <c r="C767" s="12"/>
      <c r="D767" s="13"/>
      <c r="E767" s="10">
        <f t="shared" si="669"/>
        <v>6</v>
      </c>
      <c r="F767" s="11">
        <v>4</v>
      </c>
      <c r="G767" s="12">
        <v>1</v>
      </c>
      <c r="H767" s="13">
        <v>1</v>
      </c>
      <c r="I767" s="48">
        <f t="shared" si="670"/>
        <v>6</v>
      </c>
      <c r="J767" s="10">
        <f t="shared" si="671"/>
        <v>12</v>
      </c>
      <c r="K767" s="66">
        <v>46149</v>
      </c>
      <c r="L767" s="60"/>
      <c r="M767" s="11"/>
      <c r="N767" s="12"/>
      <c r="O767" s="13"/>
      <c r="P767" s="10">
        <f t="shared" si="672"/>
        <v>0</v>
      </c>
      <c r="Q767" s="11"/>
      <c r="R767" s="12"/>
      <c r="S767" s="13"/>
      <c r="T767" s="48">
        <f t="shared" si="673"/>
        <v>0</v>
      </c>
      <c r="U767" s="10">
        <f t="shared" si="674"/>
        <v>0</v>
      </c>
    </row>
    <row r="768" spans="1:21" x14ac:dyDescent="0.15">
      <c r="A768" s="60" t="s">
        <v>37</v>
      </c>
      <c r="B768" s="11"/>
      <c r="C768" s="12"/>
      <c r="D768" s="13">
        <v>1</v>
      </c>
      <c r="E768" s="10">
        <f t="shared" si="669"/>
        <v>1</v>
      </c>
      <c r="F768" s="11"/>
      <c r="G768" s="12">
        <v>1</v>
      </c>
      <c r="H768" s="13"/>
      <c r="I768" s="48">
        <f t="shared" si="670"/>
        <v>1</v>
      </c>
      <c r="J768" s="10">
        <f t="shared" si="671"/>
        <v>2</v>
      </c>
      <c r="K768" s="66">
        <v>46150</v>
      </c>
      <c r="L768" s="60"/>
      <c r="M768" s="11"/>
      <c r="N768" s="12"/>
      <c r="O768" s="13"/>
      <c r="P768" s="10">
        <f t="shared" si="672"/>
        <v>0</v>
      </c>
      <c r="Q768" s="11"/>
      <c r="R768" s="12"/>
      <c r="S768" s="13"/>
      <c r="T768" s="48">
        <f t="shared" si="673"/>
        <v>0</v>
      </c>
      <c r="U768" s="10">
        <f t="shared" si="674"/>
        <v>0</v>
      </c>
    </row>
    <row r="769" spans="1:22" x14ac:dyDescent="0.15">
      <c r="A769" s="60" t="s">
        <v>37</v>
      </c>
      <c r="B769" s="11">
        <v>2</v>
      </c>
      <c r="C769" s="12"/>
      <c r="D769" s="13"/>
      <c r="E769" s="10">
        <f t="shared" si="669"/>
        <v>2</v>
      </c>
      <c r="F769" s="11"/>
      <c r="G769" s="12">
        <v>1</v>
      </c>
      <c r="H769" s="13"/>
      <c r="I769" s="48">
        <f t="shared" si="670"/>
        <v>1</v>
      </c>
      <c r="J769" s="10">
        <f t="shared" si="671"/>
        <v>3</v>
      </c>
      <c r="K769" s="66">
        <v>46153</v>
      </c>
      <c r="L769" s="60"/>
      <c r="M769" s="11"/>
      <c r="N769" s="12"/>
      <c r="O769" s="13"/>
      <c r="P769" s="10">
        <f t="shared" ref="P769:P770" si="675">SUM(M769:O769)</f>
        <v>0</v>
      </c>
      <c r="Q769" s="11"/>
      <c r="R769" s="12"/>
      <c r="S769" s="13"/>
      <c r="T769" s="48">
        <f t="shared" ref="T769:T770" si="676">SUM(Q769:S769)</f>
        <v>0</v>
      </c>
      <c r="U769" s="10">
        <f t="shared" ref="U769:U770" si="677">P769+T769</f>
        <v>0</v>
      </c>
    </row>
    <row r="770" spans="1:22" ht="14.25" thickBot="1" x14ac:dyDescent="0.2">
      <c r="A770" s="60" t="s">
        <v>123</v>
      </c>
      <c r="B770" s="11">
        <v>-11</v>
      </c>
      <c r="C770" s="12">
        <v>-18</v>
      </c>
      <c r="D770" s="13"/>
      <c r="E770" s="10">
        <f t="shared" si="669"/>
        <v>-29</v>
      </c>
      <c r="F770" s="11">
        <v>-19</v>
      </c>
      <c r="G770" s="12">
        <v>-22</v>
      </c>
      <c r="H770" s="13"/>
      <c r="I770" s="48">
        <f t="shared" si="670"/>
        <v>-41</v>
      </c>
      <c r="J770" s="10">
        <f t="shared" si="671"/>
        <v>-70</v>
      </c>
      <c r="K770" s="66">
        <v>46150</v>
      </c>
      <c r="L770" s="60"/>
      <c r="M770" s="11"/>
      <c r="N770" s="12"/>
      <c r="O770" s="13"/>
      <c r="P770" s="10">
        <f t="shared" si="675"/>
        <v>0</v>
      </c>
      <c r="Q770" s="11"/>
      <c r="R770" s="12"/>
      <c r="S770" s="13"/>
      <c r="T770" s="48">
        <f t="shared" si="676"/>
        <v>0</v>
      </c>
      <c r="U770" s="10">
        <f t="shared" si="677"/>
        <v>0</v>
      </c>
    </row>
    <row r="771" spans="1:22" ht="14.25" thickBot="1" x14ac:dyDescent="0.2">
      <c r="A771" s="29" t="s">
        <v>17</v>
      </c>
      <c r="B771" s="30">
        <f>SUM(B745:B770)</f>
        <v>26</v>
      </c>
      <c r="C771" s="31">
        <f>SUM(C745:C770)</f>
        <v>-9</v>
      </c>
      <c r="D771" s="32">
        <f>SUM(D745:D770)</f>
        <v>5</v>
      </c>
      <c r="E771" s="33">
        <f>SUM(B771:D771)</f>
        <v>22</v>
      </c>
      <c r="F771" s="30">
        <f>SUM(F745:F770)</f>
        <v>9</v>
      </c>
      <c r="G771" s="31">
        <f>SUM(G745:G770)</f>
        <v>-15</v>
      </c>
      <c r="H771" s="32">
        <f>SUM(H745:H770)</f>
        <v>8</v>
      </c>
      <c r="I771" s="33">
        <f>SUM(F771:H771)</f>
        <v>2</v>
      </c>
      <c r="J771" s="34">
        <f t="shared" si="671"/>
        <v>24</v>
      </c>
      <c r="L771" s="29" t="s">
        <v>17</v>
      </c>
      <c r="M771" s="30">
        <f>SUM(M745:M770)</f>
        <v>38</v>
      </c>
      <c r="N771" s="31">
        <f>SUM(N745:N770)</f>
        <v>10</v>
      </c>
      <c r="O771" s="32">
        <f>SUM(O745:O770)</f>
        <v>6</v>
      </c>
      <c r="P771" s="33">
        <f>SUM(M771:O771)</f>
        <v>54</v>
      </c>
      <c r="Q771" s="30">
        <f>SUM(Q745:Q770)</f>
        <v>30</v>
      </c>
      <c r="R771" s="31">
        <f>SUM(R745:R770)</f>
        <v>10</v>
      </c>
      <c r="S771" s="32">
        <f>SUM(S745:S770)</f>
        <v>5</v>
      </c>
      <c r="T771" s="33">
        <f>SUM(Q771:S771)</f>
        <v>45</v>
      </c>
      <c r="U771" s="34">
        <f t="shared" si="674"/>
        <v>99</v>
      </c>
    </row>
    <row r="772" spans="1:22" ht="14.25" thickBot="1" x14ac:dyDescent="0.2">
      <c r="A772" s="18" t="s">
        <v>18</v>
      </c>
      <c r="B772" s="44">
        <f>B744-B771</f>
        <v>21</v>
      </c>
      <c r="C772" s="45">
        <f t="shared" ref="C772:E772" si="678">C744-C771</f>
        <v>26</v>
      </c>
      <c r="D772" s="46">
        <f t="shared" si="678"/>
        <v>6</v>
      </c>
      <c r="E772" s="46">
        <f t="shared" si="678"/>
        <v>53</v>
      </c>
      <c r="F772" s="44">
        <f>F744-F771</f>
        <v>31</v>
      </c>
      <c r="G772" s="45">
        <f t="shared" ref="G772:I772" si="679">G744-G771</f>
        <v>30</v>
      </c>
      <c r="H772" s="46">
        <f t="shared" si="679"/>
        <v>5</v>
      </c>
      <c r="I772" s="46">
        <f t="shared" si="679"/>
        <v>66</v>
      </c>
      <c r="J772" s="24">
        <f t="shared" si="671"/>
        <v>119</v>
      </c>
      <c r="L772" s="18" t="s">
        <v>18</v>
      </c>
      <c r="M772" s="44">
        <f>M744-M771</f>
        <v>115</v>
      </c>
      <c r="N772" s="45">
        <f t="shared" ref="N772:P772" si="680">N744-N771</f>
        <v>298</v>
      </c>
      <c r="O772" s="46">
        <f t="shared" si="680"/>
        <v>190</v>
      </c>
      <c r="P772" s="46">
        <f t="shared" si="680"/>
        <v>603</v>
      </c>
      <c r="Q772" s="44">
        <f>Q744-Q771</f>
        <v>331</v>
      </c>
      <c r="R772" s="45">
        <f t="shared" ref="R772:T772" si="681">R744-R771</f>
        <v>489</v>
      </c>
      <c r="S772" s="46">
        <f t="shared" si="681"/>
        <v>282</v>
      </c>
      <c r="T772" s="46">
        <f t="shared" si="681"/>
        <v>1102</v>
      </c>
      <c r="U772" s="24">
        <f t="shared" si="674"/>
        <v>1705</v>
      </c>
    </row>
    <row r="775" spans="1:22" ht="19.5" thickBot="1" x14ac:dyDescent="0.25">
      <c r="A775" s="2" t="s">
        <v>24</v>
      </c>
      <c r="B775" s="1"/>
      <c r="C775" s="1"/>
      <c r="D775" s="1"/>
      <c r="E775" s="1"/>
      <c r="F775" s="1" t="s">
        <v>39</v>
      </c>
      <c r="G775" s="1"/>
      <c r="H775" s="1"/>
      <c r="I775" s="1"/>
      <c r="J775" s="1"/>
      <c r="L775" s="2" t="s">
        <v>23</v>
      </c>
      <c r="M775" s="1"/>
      <c r="N775" s="1"/>
      <c r="O775" s="1"/>
      <c r="P775" s="63" t="s">
        <v>35</v>
      </c>
      <c r="Q775" s="1"/>
      <c r="R775" s="1" t="s">
        <v>39</v>
      </c>
      <c r="S775" s="1"/>
      <c r="T775" s="1"/>
      <c r="U775" s="1"/>
    </row>
    <row r="776" spans="1:22" ht="14.25" thickBot="1" x14ac:dyDescent="0.2">
      <c r="A776" s="6" t="s">
        <v>0</v>
      </c>
      <c r="B776" s="128" t="s">
        <v>21</v>
      </c>
      <c r="C776" s="129"/>
      <c r="D776" s="129"/>
      <c r="E776" s="130"/>
      <c r="F776" s="125" t="s">
        <v>19</v>
      </c>
      <c r="G776" s="126"/>
      <c r="H776" s="126"/>
      <c r="I776" s="127"/>
      <c r="J776" s="90" t="s">
        <v>1</v>
      </c>
      <c r="L776" s="6" t="s">
        <v>0</v>
      </c>
      <c r="M776" s="128" t="s">
        <v>21</v>
      </c>
      <c r="N776" s="129"/>
      <c r="O776" s="129"/>
      <c r="P776" s="130"/>
      <c r="Q776" s="125" t="s">
        <v>19</v>
      </c>
      <c r="R776" s="126"/>
      <c r="S776" s="126"/>
      <c r="T776" s="127"/>
      <c r="U776" s="88" t="s">
        <v>1</v>
      </c>
    </row>
    <row r="777" spans="1:22" ht="14.25" thickBot="1" x14ac:dyDescent="0.2">
      <c r="A777" s="6" t="s">
        <v>2</v>
      </c>
      <c r="B777" s="3" t="s">
        <v>3</v>
      </c>
      <c r="C777" s="4" t="s">
        <v>4</v>
      </c>
      <c r="D777" s="5" t="s">
        <v>5</v>
      </c>
      <c r="E777" s="6" t="s">
        <v>6</v>
      </c>
      <c r="F777" s="3" t="s">
        <v>3</v>
      </c>
      <c r="G777" s="4" t="s">
        <v>4</v>
      </c>
      <c r="H777" s="5" t="s">
        <v>5</v>
      </c>
      <c r="I777" s="6" t="s">
        <v>6</v>
      </c>
      <c r="J777" s="91"/>
      <c r="L777" s="6" t="s">
        <v>2</v>
      </c>
      <c r="M777" s="50" t="s">
        <v>3</v>
      </c>
      <c r="N777" s="51" t="s">
        <v>4</v>
      </c>
      <c r="O777" s="52" t="s">
        <v>5</v>
      </c>
      <c r="P777" s="6" t="s">
        <v>6</v>
      </c>
      <c r="Q777" s="3" t="s">
        <v>3</v>
      </c>
      <c r="R777" s="4" t="s">
        <v>4</v>
      </c>
      <c r="S777" s="5" t="s">
        <v>5</v>
      </c>
      <c r="T777" s="6" t="s">
        <v>6</v>
      </c>
      <c r="U777" s="89"/>
    </row>
    <row r="778" spans="1:22" ht="14.25" thickBot="1" x14ac:dyDescent="0.2">
      <c r="A778" s="20" t="s">
        <v>18</v>
      </c>
      <c r="B778" s="21">
        <f>B772</f>
        <v>21</v>
      </c>
      <c r="C778" s="22">
        <f t="shared" ref="C778:D778" si="682">C772</f>
        <v>26</v>
      </c>
      <c r="D778" s="38">
        <f t="shared" si="682"/>
        <v>6</v>
      </c>
      <c r="E778" s="24">
        <f t="shared" ref="E778:E786" si="683">SUM(B778:D778)</f>
        <v>53</v>
      </c>
      <c r="F778" s="21">
        <f>F772</f>
        <v>31</v>
      </c>
      <c r="G778" s="22">
        <f t="shared" ref="G778:H778" si="684">G772</f>
        <v>30</v>
      </c>
      <c r="H778" s="38">
        <f t="shared" si="684"/>
        <v>5</v>
      </c>
      <c r="I778" s="24">
        <f t="shared" ref="I778:I786" si="685">SUM(F778:H778)</f>
        <v>66</v>
      </c>
      <c r="J778" s="24">
        <f>E778+I778</f>
        <v>119</v>
      </c>
      <c r="L778" s="20" t="s">
        <v>18</v>
      </c>
      <c r="M778" s="21">
        <f>M772</f>
        <v>115</v>
      </c>
      <c r="N778" s="22">
        <f t="shared" ref="N778:O778" si="686">N772</f>
        <v>298</v>
      </c>
      <c r="O778" s="38">
        <f t="shared" si="686"/>
        <v>190</v>
      </c>
      <c r="P778" s="73">
        <f t="shared" ref="P778:P786" si="687">SUM(M778:O778)</f>
        <v>603</v>
      </c>
      <c r="Q778" s="21">
        <f>Q772</f>
        <v>331</v>
      </c>
      <c r="R778" s="22">
        <f t="shared" ref="R778:S778" si="688">R772</f>
        <v>489</v>
      </c>
      <c r="S778" s="38">
        <f t="shared" si="688"/>
        <v>282</v>
      </c>
      <c r="T778" s="24">
        <f t="shared" ref="T778:T786" si="689">SUM(Q778:S778)</f>
        <v>1102</v>
      </c>
      <c r="U778" s="24">
        <f>P778+T778</f>
        <v>1705</v>
      </c>
    </row>
    <row r="779" spans="1:22" x14ac:dyDescent="0.15">
      <c r="A779" s="19" t="s">
        <v>59</v>
      </c>
      <c r="B779" s="7">
        <v>1</v>
      </c>
      <c r="C779" s="8"/>
      <c r="D779" s="35"/>
      <c r="E779" s="10">
        <f t="shared" si="683"/>
        <v>1</v>
      </c>
      <c r="F779" s="7">
        <v>1</v>
      </c>
      <c r="G779" s="8"/>
      <c r="H779" s="35"/>
      <c r="I779" s="48">
        <f t="shared" si="685"/>
        <v>1</v>
      </c>
      <c r="J779" s="10">
        <f t="shared" ref="J779:J786" si="690">E779+I779</f>
        <v>2</v>
      </c>
      <c r="K779" s="57">
        <v>46153</v>
      </c>
      <c r="L779" s="19" t="s">
        <v>8</v>
      </c>
      <c r="M779" s="7"/>
      <c r="N779" s="8"/>
      <c r="O779" s="35"/>
      <c r="P779" s="10">
        <f t="shared" si="687"/>
        <v>0</v>
      </c>
      <c r="Q779" s="7"/>
      <c r="R779" s="8"/>
      <c r="S779" s="35"/>
      <c r="T779" s="48">
        <f t="shared" si="689"/>
        <v>0</v>
      </c>
      <c r="U779" s="10">
        <f t="shared" ref="U779:U786" si="691">P779+T779</f>
        <v>0</v>
      </c>
    </row>
    <row r="780" spans="1:22" x14ac:dyDescent="0.15">
      <c r="A780" s="99" t="s">
        <v>9</v>
      </c>
      <c r="B780" s="100"/>
      <c r="C780" s="101"/>
      <c r="D780" s="102">
        <v>5</v>
      </c>
      <c r="E780" s="96">
        <f t="shared" si="683"/>
        <v>5</v>
      </c>
      <c r="F780" s="100"/>
      <c r="G780" s="101"/>
      <c r="H780" s="102">
        <v>5</v>
      </c>
      <c r="I780" s="97">
        <f t="shared" si="685"/>
        <v>5</v>
      </c>
      <c r="J780" s="96">
        <f t="shared" si="690"/>
        <v>10</v>
      </c>
      <c r="K780" s="98">
        <v>46168</v>
      </c>
      <c r="L780" s="19" t="s">
        <v>9</v>
      </c>
      <c r="M780" s="7"/>
      <c r="N780" s="8"/>
      <c r="O780" s="35"/>
      <c r="P780" s="10">
        <f t="shared" si="687"/>
        <v>0</v>
      </c>
      <c r="Q780" s="7"/>
      <c r="R780" s="8"/>
      <c r="S780" s="35"/>
      <c r="T780" s="48">
        <f t="shared" si="689"/>
        <v>0</v>
      </c>
      <c r="U780" s="10">
        <f t="shared" si="691"/>
        <v>0</v>
      </c>
    </row>
    <row r="781" spans="1:22" x14ac:dyDescent="0.15">
      <c r="A781" s="19" t="s">
        <v>123</v>
      </c>
      <c r="B781" s="7"/>
      <c r="C781" s="8"/>
      <c r="D781" s="35">
        <v>1</v>
      </c>
      <c r="E781" s="10">
        <f t="shared" si="683"/>
        <v>1</v>
      </c>
      <c r="F781" s="7"/>
      <c r="G781" s="8"/>
      <c r="H781" s="35">
        <v>1</v>
      </c>
      <c r="I781" s="48">
        <f t="shared" si="685"/>
        <v>1</v>
      </c>
      <c r="J781" s="10">
        <f t="shared" si="690"/>
        <v>2</v>
      </c>
      <c r="K781" s="66">
        <v>46167</v>
      </c>
      <c r="L781" s="19" t="s">
        <v>136</v>
      </c>
      <c r="M781" s="7">
        <v>480</v>
      </c>
      <c r="N781" s="8">
        <v>400</v>
      </c>
      <c r="O781" s="35">
        <v>280</v>
      </c>
      <c r="P781" s="10">
        <f t="shared" si="687"/>
        <v>1160</v>
      </c>
      <c r="Q781" s="7">
        <v>450</v>
      </c>
      <c r="R781" s="8">
        <v>230</v>
      </c>
      <c r="S781" s="35">
        <v>240</v>
      </c>
      <c r="T781" s="48">
        <f t="shared" si="689"/>
        <v>920</v>
      </c>
      <c r="U781" s="10">
        <f t="shared" si="691"/>
        <v>2080</v>
      </c>
      <c r="V781" s="57" t="s">
        <v>231</v>
      </c>
    </row>
    <row r="782" spans="1:22" x14ac:dyDescent="0.15">
      <c r="A782" s="19" t="s">
        <v>11</v>
      </c>
      <c r="B782" s="7">
        <v>5</v>
      </c>
      <c r="C782" s="8"/>
      <c r="D782" s="35"/>
      <c r="E782" s="10">
        <f t="shared" si="683"/>
        <v>5</v>
      </c>
      <c r="F782" s="7"/>
      <c r="G782" s="8"/>
      <c r="H782" s="35"/>
      <c r="I782" s="48">
        <f t="shared" si="685"/>
        <v>0</v>
      </c>
      <c r="J782" s="10">
        <f t="shared" si="690"/>
        <v>5</v>
      </c>
      <c r="K782" s="57">
        <v>46176</v>
      </c>
      <c r="L782" s="19" t="s">
        <v>38</v>
      </c>
      <c r="M782" s="7"/>
      <c r="N782" s="8"/>
      <c r="O782" s="35"/>
      <c r="P782" s="10">
        <f t="shared" si="687"/>
        <v>0</v>
      </c>
      <c r="Q782" s="7">
        <v>30</v>
      </c>
      <c r="R782" s="8">
        <v>10</v>
      </c>
      <c r="S782" s="35"/>
      <c r="T782" s="48">
        <f t="shared" si="689"/>
        <v>40</v>
      </c>
      <c r="U782" s="10">
        <f t="shared" si="691"/>
        <v>40</v>
      </c>
      <c r="V782" s="56"/>
    </row>
    <row r="783" spans="1:22" x14ac:dyDescent="0.15">
      <c r="A783" s="19" t="s">
        <v>12</v>
      </c>
      <c r="B783" s="7">
        <v>5</v>
      </c>
      <c r="C783" s="8"/>
      <c r="D783" s="35"/>
      <c r="E783" s="10">
        <f t="shared" si="683"/>
        <v>5</v>
      </c>
      <c r="F783" s="7"/>
      <c r="G783" s="8"/>
      <c r="H783" s="35"/>
      <c r="I783" s="48">
        <f t="shared" si="685"/>
        <v>0</v>
      </c>
      <c r="J783" s="10">
        <f t="shared" si="690"/>
        <v>5</v>
      </c>
      <c r="K783" s="57">
        <v>46179</v>
      </c>
      <c r="L783" s="19" t="s">
        <v>12</v>
      </c>
      <c r="M783" s="7"/>
      <c r="N783" s="8"/>
      <c r="O783" s="35"/>
      <c r="P783" s="10">
        <f t="shared" ref="P783" si="692">SUM(M783:O783)</f>
        <v>0</v>
      </c>
      <c r="Q783" s="7"/>
      <c r="R783" s="8"/>
      <c r="S783" s="35"/>
      <c r="T783" s="48">
        <f t="shared" ref="T783" si="693">SUM(Q783:S783)</f>
        <v>0</v>
      </c>
      <c r="U783" s="10">
        <f t="shared" ref="U783" si="694">P783+T783</f>
        <v>0</v>
      </c>
    </row>
    <row r="784" spans="1:22" x14ac:dyDescent="0.15">
      <c r="A784" s="19" t="s">
        <v>13</v>
      </c>
      <c r="B784" s="7"/>
      <c r="C784" s="8"/>
      <c r="D784" s="35"/>
      <c r="E784" s="10">
        <f t="shared" si="683"/>
        <v>0</v>
      </c>
      <c r="F784" s="7"/>
      <c r="G784" s="8"/>
      <c r="H784" s="35"/>
      <c r="I784" s="48">
        <f t="shared" si="685"/>
        <v>0</v>
      </c>
      <c r="J784" s="10">
        <f t="shared" si="690"/>
        <v>0</v>
      </c>
      <c r="L784" s="19" t="s">
        <v>13</v>
      </c>
      <c r="M784" s="7"/>
      <c r="N784" s="8"/>
      <c r="O784" s="35"/>
      <c r="P784" s="10">
        <f t="shared" si="687"/>
        <v>0</v>
      </c>
      <c r="Q784" s="7"/>
      <c r="R784" s="8"/>
      <c r="S784" s="35"/>
      <c r="T784" s="48">
        <f t="shared" si="689"/>
        <v>0</v>
      </c>
      <c r="U784" s="10">
        <f t="shared" si="691"/>
        <v>0</v>
      </c>
    </row>
    <row r="785" spans="1:24" x14ac:dyDescent="0.15">
      <c r="A785" s="19" t="s">
        <v>14</v>
      </c>
      <c r="B785" s="11"/>
      <c r="C785" s="12"/>
      <c r="D785" s="36"/>
      <c r="E785" s="10">
        <f t="shared" si="683"/>
        <v>0</v>
      </c>
      <c r="F785" s="11"/>
      <c r="G785" s="12"/>
      <c r="H785" s="36"/>
      <c r="I785" s="48">
        <f t="shared" si="685"/>
        <v>0</v>
      </c>
      <c r="J785" s="10">
        <f t="shared" si="690"/>
        <v>0</v>
      </c>
      <c r="L785" s="19" t="s">
        <v>14</v>
      </c>
      <c r="M785" s="11"/>
      <c r="N785" s="12"/>
      <c r="O785" s="36"/>
      <c r="P785" s="10">
        <f t="shared" si="687"/>
        <v>0</v>
      </c>
      <c r="Q785" s="11"/>
      <c r="R785" s="12"/>
      <c r="S785" s="36"/>
      <c r="T785" s="48">
        <f t="shared" si="689"/>
        <v>0</v>
      </c>
      <c r="U785" s="10">
        <f t="shared" si="691"/>
        <v>0</v>
      </c>
    </row>
    <row r="786" spans="1:24" ht="14.25" thickBot="1" x14ac:dyDescent="0.2">
      <c r="A786" s="19" t="s">
        <v>15</v>
      </c>
      <c r="B786" s="25"/>
      <c r="C786" s="26"/>
      <c r="D786" s="37"/>
      <c r="E786" s="10">
        <f t="shared" si="683"/>
        <v>0</v>
      </c>
      <c r="F786" s="25"/>
      <c r="G786" s="26"/>
      <c r="H786" s="37"/>
      <c r="I786" s="48">
        <f t="shared" si="685"/>
        <v>0</v>
      </c>
      <c r="J786" s="17">
        <f t="shared" si="690"/>
        <v>0</v>
      </c>
      <c r="L786" s="19" t="s">
        <v>15</v>
      </c>
      <c r="M786" s="25"/>
      <c r="N786" s="26"/>
      <c r="O786" s="37"/>
      <c r="P786" s="10">
        <f t="shared" si="687"/>
        <v>0</v>
      </c>
      <c r="Q786" s="25"/>
      <c r="R786" s="26"/>
      <c r="S786" s="37"/>
      <c r="T786" s="48">
        <f t="shared" si="689"/>
        <v>0</v>
      </c>
      <c r="U786" s="17">
        <f t="shared" si="691"/>
        <v>0</v>
      </c>
    </row>
    <row r="787" spans="1:24" ht="14.25" thickBot="1" x14ac:dyDescent="0.2">
      <c r="A787" s="27" t="s">
        <v>16</v>
      </c>
      <c r="B787" s="21">
        <f>SUM(B778:B786)</f>
        <v>32</v>
      </c>
      <c r="C787" s="22">
        <f t="shared" ref="C787:J787" si="695">SUM(C778:C786)</f>
        <v>26</v>
      </c>
      <c r="D787" s="38">
        <f t="shared" si="695"/>
        <v>12</v>
      </c>
      <c r="E787" s="54">
        <f t="shared" si="695"/>
        <v>70</v>
      </c>
      <c r="F787" s="21">
        <f t="shared" si="695"/>
        <v>32</v>
      </c>
      <c r="G787" s="22">
        <f t="shared" si="695"/>
        <v>30</v>
      </c>
      <c r="H787" s="38">
        <f t="shared" si="695"/>
        <v>11</v>
      </c>
      <c r="I787" s="53">
        <f t="shared" si="695"/>
        <v>73</v>
      </c>
      <c r="J787" s="24">
        <f t="shared" si="695"/>
        <v>143</v>
      </c>
      <c r="L787" s="27" t="s">
        <v>16</v>
      </c>
      <c r="M787" s="21">
        <f>SUM(M778:M786)</f>
        <v>595</v>
      </c>
      <c r="N787" s="22">
        <f t="shared" ref="N787:U787" si="696">SUM(N778:N786)</f>
        <v>698</v>
      </c>
      <c r="O787" s="38">
        <f t="shared" si="696"/>
        <v>470</v>
      </c>
      <c r="P787" s="54">
        <f t="shared" si="696"/>
        <v>1763</v>
      </c>
      <c r="Q787" s="21">
        <f t="shared" si="696"/>
        <v>811</v>
      </c>
      <c r="R787" s="22">
        <f t="shared" si="696"/>
        <v>729</v>
      </c>
      <c r="S787" s="38">
        <f t="shared" si="696"/>
        <v>522</v>
      </c>
      <c r="T787" s="53">
        <f t="shared" si="696"/>
        <v>2062</v>
      </c>
      <c r="U787" s="24">
        <f t="shared" si="696"/>
        <v>3825</v>
      </c>
    </row>
    <row r="788" spans="1:24" x14ac:dyDescent="0.15">
      <c r="A788" s="60" t="s">
        <v>37</v>
      </c>
      <c r="B788" s="11"/>
      <c r="C788" s="12">
        <v>1</v>
      </c>
      <c r="D788" s="13"/>
      <c r="E788" s="10">
        <f t="shared" ref="E788:E813" si="697">SUM(B788:D788)</f>
        <v>1</v>
      </c>
      <c r="F788" s="11"/>
      <c r="G788" s="12"/>
      <c r="H788" s="13">
        <v>1</v>
      </c>
      <c r="I788" s="48">
        <f t="shared" ref="I788:I813" si="698">SUM(F788:H788)</f>
        <v>1</v>
      </c>
      <c r="J788" s="10">
        <f t="shared" ref="J788:J815" si="699">E788+I788</f>
        <v>2</v>
      </c>
      <c r="K788" s="66">
        <v>46154</v>
      </c>
      <c r="L788" s="60" t="s">
        <v>230</v>
      </c>
      <c r="M788" s="11">
        <v>40</v>
      </c>
      <c r="N788" s="12">
        <v>40</v>
      </c>
      <c r="O788" s="13">
        <v>40</v>
      </c>
      <c r="P788" s="10">
        <f t="shared" ref="P788:P813" si="700">SUM(M788:O788)</f>
        <v>120</v>
      </c>
      <c r="Q788" s="11">
        <v>40</v>
      </c>
      <c r="R788" s="12">
        <v>40</v>
      </c>
      <c r="S788" s="13">
        <v>40</v>
      </c>
      <c r="T788" s="48">
        <f t="shared" ref="T788:T813" si="701">SUM(Q788:S788)</f>
        <v>120</v>
      </c>
      <c r="U788" s="10">
        <f t="shared" ref="U788:U815" si="702">P788+T788</f>
        <v>240</v>
      </c>
      <c r="V788" s="57">
        <v>46168</v>
      </c>
      <c r="W788" s="39"/>
      <c r="X788" s="39"/>
    </row>
    <row r="789" spans="1:24" x14ac:dyDescent="0.15">
      <c r="A789" s="60" t="s">
        <v>37</v>
      </c>
      <c r="B789" s="11">
        <v>1</v>
      </c>
      <c r="C789" s="12"/>
      <c r="D789" s="13"/>
      <c r="E789" s="10">
        <f t="shared" si="697"/>
        <v>1</v>
      </c>
      <c r="F789" s="11"/>
      <c r="G789" s="12">
        <v>1</v>
      </c>
      <c r="H789" s="13"/>
      <c r="I789" s="48">
        <f t="shared" si="698"/>
        <v>1</v>
      </c>
      <c r="J789" s="10">
        <f t="shared" si="699"/>
        <v>2</v>
      </c>
      <c r="K789" s="66">
        <v>46155</v>
      </c>
      <c r="L789" s="92" t="s">
        <v>207</v>
      </c>
      <c r="M789" s="93"/>
      <c r="N789" s="94"/>
      <c r="O789" s="95">
        <v>5</v>
      </c>
      <c r="P789" s="96">
        <f t="shared" si="700"/>
        <v>5</v>
      </c>
      <c r="Q789" s="93"/>
      <c r="R789" s="94"/>
      <c r="S789" s="95">
        <v>5</v>
      </c>
      <c r="T789" s="97">
        <f t="shared" si="701"/>
        <v>5</v>
      </c>
      <c r="U789" s="96">
        <f t="shared" si="702"/>
        <v>10</v>
      </c>
      <c r="V789" s="98">
        <v>46168</v>
      </c>
    </row>
    <row r="790" spans="1:24" x14ac:dyDescent="0.15">
      <c r="A790" s="60" t="s">
        <v>37</v>
      </c>
      <c r="B790" s="11">
        <v>3</v>
      </c>
      <c r="C790" s="12"/>
      <c r="D790" s="13"/>
      <c r="E790" s="10">
        <f t="shared" si="697"/>
        <v>3</v>
      </c>
      <c r="F790" s="11"/>
      <c r="G790" s="12"/>
      <c r="H790" s="13"/>
      <c r="I790" s="48">
        <f t="shared" si="698"/>
        <v>0</v>
      </c>
      <c r="J790" s="10">
        <f t="shared" si="699"/>
        <v>3</v>
      </c>
      <c r="K790" s="66">
        <v>46157</v>
      </c>
      <c r="L790" s="60" t="s">
        <v>207</v>
      </c>
      <c r="M790" s="11">
        <v>5</v>
      </c>
      <c r="N790" s="12"/>
      <c r="O790" s="13"/>
      <c r="P790" s="10">
        <f t="shared" si="700"/>
        <v>5</v>
      </c>
      <c r="Q790" s="11"/>
      <c r="R790" s="12"/>
      <c r="S790" s="13"/>
      <c r="T790" s="48">
        <f t="shared" si="701"/>
        <v>0</v>
      </c>
      <c r="U790" s="10">
        <f t="shared" si="702"/>
        <v>5</v>
      </c>
      <c r="V790" s="57">
        <v>46176</v>
      </c>
    </row>
    <row r="791" spans="1:24" x14ac:dyDescent="0.15">
      <c r="A791" s="60" t="s">
        <v>140</v>
      </c>
      <c r="B791" s="11"/>
      <c r="C791" s="12"/>
      <c r="D791" s="13"/>
      <c r="E791" s="10">
        <f t="shared" si="697"/>
        <v>0</v>
      </c>
      <c r="F791" s="11">
        <v>1</v>
      </c>
      <c r="G791" s="12"/>
      <c r="H791" s="13"/>
      <c r="I791" s="48">
        <f t="shared" si="698"/>
        <v>1</v>
      </c>
      <c r="J791" s="10">
        <f t="shared" si="699"/>
        <v>1</v>
      </c>
      <c r="K791" s="66">
        <v>46157</v>
      </c>
      <c r="L791" s="60" t="s">
        <v>207</v>
      </c>
      <c r="M791" s="11">
        <v>5</v>
      </c>
      <c r="N791" s="12"/>
      <c r="O791" s="13"/>
      <c r="P791" s="10">
        <f t="shared" si="700"/>
        <v>5</v>
      </c>
      <c r="Q791" s="11"/>
      <c r="R791" s="12"/>
      <c r="S791" s="13"/>
      <c r="T791" s="48">
        <f t="shared" si="701"/>
        <v>0</v>
      </c>
      <c r="U791" s="10">
        <f t="shared" si="702"/>
        <v>5</v>
      </c>
      <c r="V791" s="57">
        <v>46179</v>
      </c>
    </row>
    <row r="792" spans="1:24" x14ac:dyDescent="0.15">
      <c r="A792" s="60" t="s">
        <v>37</v>
      </c>
      <c r="B792" s="11">
        <v>1</v>
      </c>
      <c r="C792" s="12">
        <v>1</v>
      </c>
      <c r="D792" s="13"/>
      <c r="E792" s="10">
        <f t="shared" si="697"/>
        <v>2</v>
      </c>
      <c r="F792" s="11">
        <v>2</v>
      </c>
      <c r="G792" s="12"/>
      <c r="H792" s="13"/>
      <c r="I792" s="48">
        <f t="shared" si="698"/>
        <v>2</v>
      </c>
      <c r="J792" s="10">
        <f t="shared" si="699"/>
        <v>4</v>
      </c>
      <c r="K792" s="66">
        <v>46157</v>
      </c>
      <c r="L792" s="60" t="s">
        <v>232</v>
      </c>
      <c r="M792" s="11"/>
      <c r="N792" s="12">
        <v>25</v>
      </c>
      <c r="O792" s="13"/>
      <c r="P792" s="10">
        <f t="shared" si="700"/>
        <v>25</v>
      </c>
      <c r="Q792" s="11"/>
      <c r="R792" s="12"/>
      <c r="S792" s="13"/>
      <c r="T792" s="48">
        <f t="shared" si="701"/>
        <v>0</v>
      </c>
      <c r="U792" s="10">
        <f t="shared" si="702"/>
        <v>25</v>
      </c>
      <c r="V792" s="57">
        <v>46184</v>
      </c>
    </row>
    <row r="793" spans="1:24" x14ac:dyDescent="0.15">
      <c r="A793" s="60" t="s">
        <v>37</v>
      </c>
      <c r="B793" s="11">
        <v>2</v>
      </c>
      <c r="C793" s="12"/>
      <c r="D793" s="13"/>
      <c r="E793" s="10">
        <f t="shared" si="697"/>
        <v>2</v>
      </c>
      <c r="F793" s="11"/>
      <c r="G793" s="12">
        <v>1</v>
      </c>
      <c r="H793" s="13">
        <v>1</v>
      </c>
      <c r="I793" s="48">
        <f t="shared" si="698"/>
        <v>2</v>
      </c>
      <c r="J793" s="10">
        <f t="shared" si="699"/>
        <v>4</v>
      </c>
      <c r="K793" s="66">
        <v>46160</v>
      </c>
      <c r="L793" s="60"/>
      <c r="M793" s="11"/>
      <c r="N793" s="12"/>
      <c r="O793" s="13"/>
      <c r="P793" s="10">
        <f t="shared" si="700"/>
        <v>0</v>
      </c>
      <c r="Q793" s="11"/>
      <c r="R793" s="12"/>
      <c r="S793" s="13"/>
      <c r="T793" s="48">
        <f t="shared" si="701"/>
        <v>0</v>
      </c>
      <c r="U793" s="10">
        <f t="shared" si="702"/>
        <v>0</v>
      </c>
      <c r="V793" s="56"/>
    </row>
    <row r="794" spans="1:24" x14ac:dyDescent="0.15">
      <c r="A794" s="60" t="s">
        <v>37</v>
      </c>
      <c r="B794" s="11">
        <v>1</v>
      </c>
      <c r="C794" s="12">
        <v>2</v>
      </c>
      <c r="D794" s="13"/>
      <c r="E794" s="10">
        <f t="shared" si="697"/>
        <v>3</v>
      </c>
      <c r="F794" s="11"/>
      <c r="G794" s="12"/>
      <c r="H794" s="13"/>
      <c r="I794" s="48">
        <f t="shared" si="698"/>
        <v>0</v>
      </c>
      <c r="J794" s="10">
        <f t="shared" si="699"/>
        <v>3</v>
      </c>
      <c r="K794" s="66">
        <v>46161</v>
      </c>
      <c r="L794" s="60"/>
      <c r="M794" s="11"/>
      <c r="N794" s="12"/>
      <c r="O794" s="13"/>
      <c r="P794" s="10">
        <f t="shared" si="700"/>
        <v>0</v>
      </c>
      <c r="Q794" s="11"/>
      <c r="R794" s="12"/>
      <c r="S794" s="13"/>
      <c r="T794" s="48">
        <f t="shared" si="701"/>
        <v>0</v>
      </c>
      <c r="U794" s="10">
        <f t="shared" si="702"/>
        <v>0</v>
      </c>
    </row>
    <row r="795" spans="1:24" x14ac:dyDescent="0.15">
      <c r="A795" s="60" t="s">
        <v>37</v>
      </c>
      <c r="B795" s="11">
        <v>1</v>
      </c>
      <c r="C795" s="12"/>
      <c r="D795" s="13"/>
      <c r="E795" s="10">
        <f t="shared" si="697"/>
        <v>1</v>
      </c>
      <c r="F795" s="11"/>
      <c r="G795" s="12"/>
      <c r="H795" s="13"/>
      <c r="I795" s="48">
        <f t="shared" si="698"/>
        <v>0</v>
      </c>
      <c r="J795" s="10">
        <f t="shared" si="699"/>
        <v>1</v>
      </c>
      <c r="K795" s="66">
        <v>46162</v>
      </c>
      <c r="L795" s="60"/>
      <c r="M795" s="11"/>
      <c r="N795" s="12"/>
      <c r="O795" s="13"/>
      <c r="P795" s="10">
        <f t="shared" si="700"/>
        <v>0</v>
      </c>
      <c r="Q795" s="11"/>
      <c r="R795" s="12"/>
      <c r="S795" s="13"/>
      <c r="T795" s="48">
        <f t="shared" si="701"/>
        <v>0</v>
      </c>
      <c r="U795" s="10">
        <f t="shared" si="702"/>
        <v>0</v>
      </c>
    </row>
    <row r="796" spans="1:24" x14ac:dyDescent="0.15">
      <c r="A796" s="60" t="s">
        <v>37</v>
      </c>
      <c r="B796" s="11"/>
      <c r="C796" s="12"/>
      <c r="D796" s="13"/>
      <c r="E796" s="10">
        <f t="shared" si="697"/>
        <v>0</v>
      </c>
      <c r="F796" s="11">
        <v>1</v>
      </c>
      <c r="G796" s="12">
        <v>1</v>
      </c>
      <c r="H796" s="13"/>
      <c r="I796" s="48">
        <f t="shared" si="698"/>
        <v>2</v>
      </c>
      <c r="J796" s="10">
        <f t="shared" si="699"/>
        <v>2</v>
      </c>
      <c r="K796" s="66">
        <v>46163</v>
      </c>
      <c r="L796" s="60"/>
      <c r="M796" s="11"/>
      <c r="N796" s="12"/>
      <c r="O796" s="13"/>
      <c r="P796" s="10">
        <f t="shared" si="700"/>
        <v>0</v>
      </c>
      <c r="Q796" s="11"/>
      <c r="R796" s="12"/>
      <c r="S796" s="13"/>
      <c r="T796" s="48">
        <f t="shared" si="701"/>
        <v>0</v>
      </c>
      <c r="U796" s="10">
        <f t="shared" si="702"/>
        <v>0</v>
      </c>
    </row>
    <row r="797" spans="1:24" x14ac:dyDescent="0.15">
      <c r="A797" s="60" t="s">
        <v>37</v>
      </c>
      <c r="B797" s="11">
        <v>1</v>
      </c>
      <c r="C797" s="12">
        <v>1</v>
      </c>
      <c r="D797" s="13"/>
      <c r="E797" s="10">
        <f t="shared" si="697"/>
        <v>2</v>
      </c>
      <c r="F797" s="11"/>
      <c r="G797" s="12">
        <v>1</v>
      </c>
      <c r="H797" s="13"/>
      <c r="I797" s="48">
        <f t="shared" si="698"/>
        <v>1</v>
      </c>
      <c r="J797" s="10">
        <f t="shared" si="699"/>
        <v>3</v>
      </c>
      <c r="K797" s="66">
        <v>46164</v>
      </c>
      <c r="L797" s="60"/>
      <c r="M797" s="11"/>
      <c r="N797" s="12"/>
      <c r="O797" s="13"/>
      <c r="P797" s="10">
        <f t="shared" si="700"/>
        <v>0</v>
      </c>
      <c r="Q797" s="11"/>
      <c r="R797" s="12"/>
      <c r="S797" s="13"/>
      <c r="T797" s="48">
        <f t="shared" si="701"/>
        <v>0</v>
      </c>
      <c r="U797" s="10">
        <f t="shared" si="702"/>
        <v>0</v>
      </c>
    </row>
    <row r="798" spans="1:24" x14ac:dyDescent="0.15">
      <c r="A798" s="60" t="s">
        <v>37</v>
      </c>
      <c r="B798" s="11">
        <v>2</v>
      </c>
      <c r="C798" s="12"/>
      <c r="D798" s="13">
        <v>1</v>
      </c>
      <c r="E798" s="10">
        <f t="shared" si="697"/>
        <v>3</v>
      </c>
      <c r="F798" s="11">
        <v>3</v>
      </c>
      <c r="G798" s="12"/>
      <c r="H798" s="13">
        <v>1</v>
      </c>
      <c r="I798" s="48">
        <f t="shared" si="698"/>
        <v>4</v>
      </c>
      <c r="J798" s="10">
        <f t="shared" si="699"/>
        <v>7</v>
      </c>
      <c r="K798" s="66">
        <v>46167</v>
      </c>
      <c r="L798" s="60"/>
      <c r="M798" s="11"/>
      <c r="N798" s="12"/>
      <c r="O798" s="13"/>
      <c r="P798" s="10">
        <f t="shared" si="700"/>
        <v>0</v>
      </c>
      <c r="Q798" s="11"/>
      <c r="R798" s="12"/>
      <c r="S798" s="13"/>
      <c r="T798" s="48">
        <f t="shared" si="701"/>
        <v>0</v>
      </c>
      <c r="U798" s="10">
        <f t="shared" si="702"/>
        <v>0</v>
      </c>
    </row>
    <row r="799" spans="1:24" x14ac:dyDescent="0.15">
      <c r="A799" s="60" t="s">
        <v>37</v>
      </c>
      <c r="B799" s="11"/>
      <c r="C799" s="12"/>
      <c r="D799" s="13"/>
      <c r="E799" s="10">
        <f t="shared" si="697"/>
        <v>0</v>
      </c>
      <c r="F799" s="11"/>
      <c r="G799" s="12">
        <v>1</v>
      </c>
      <c r="H799" s="13"/>
      <c r="I799" s="48">
        <f t="shared" si="698"/>
        <v>1</v>
      </c>
      <c r="J799" s="10">
        <f t="shared" si="699"/>
        <v>1</v>
      </c>
      <c r="K799" s="66">
        <v>46170</v>
      </c>
      <c r="L799" s="60"/>
      <c r="M799" s="11"/>
      <c r="N799" s="12"/>
      <c r="O799" s="13"/>
      <c r="P799" s="10">
        <f t="shared" si="700"/>
        <v>0</v>
      </c>
      <c r="Q799" s="11"/>
      <c r="R799" s="12"/>
      <c r="S799" s="13"/>
      <c r="T799" s="48">
        <f t="shared" si="701"/>
        <v>0</v>
      </c>
      <c r="U799" s="10">
        <f t="shared" si="702"/>
        <v>0</v>
      </c>
    </row>
    <row r="800" spans="1:24" x14ac:dyDescent="0.15">
      <c r="A800" s="60" t="s">
        <v>37</v>
      </c>
      <c r="B800" s="11"/>
      <c r="C800" s="12"/>
      <c r="D800" s="13">
        <v>1</v>
      </c>
      <c r="E800" s="10">
        <f t="shared" si="697"/>
        <v>1</v>
      </c>
      <c r="F800" s="11"/>
      <c r="G800" s="12"/>
      <c r="H800" s="13"/>
      <c r="I800" s="48">
        <f t="shared" si="698"/>
        <v>0</v>
      </c>
      <c r="J800" s="10">
        <f t="shared" si="699"/>
        <v>1</v>
      </c>
      <c r="K800" s="66">
        <v>46171</v>
      </c>
      <c r="L800" s="60"/>
      <c r="M800" s="11"/>
      <c r="N800" s="12"/>
      <c r="O800" s="13"/>
      <c r="P800" s="10">
        <f t="shared" si="700"/>
        <v>0</v>
      </c>
      <c r="Q800" s="11"/>
      <c r="R800" s="12"/>
      <c r="S800" s="13"/>
      <c r="T800" s="48">
        <f t="shared" si="701"/>
        <v>0</v>
      </c>
      <c r="U800" s="10">
        <f t="shared" si="702"/>
        <v>0</v>
      </c>
    </row>
    <row r="801" spans="1:24" x14ac:dyDescent="0.15">
      <c r="A801" s="60" t="s">
        <v>37</v>
      </c>
      <c r="B801" s="11">
        <v>6</v>
      </c>
      <c r="C801" s="12"/>
      <c r="D801" s="13"/>
      <c r="E801" s="10">
        <f t="shared" si="697"/>
        <v>6</v>
      </c>
      <c r="F801" s="11">
        <v>1</v>
      </c>
      <c r="G801" s="12">
        <v>2</v>
      </c>
      <c r="H801" s="13"/>
      <c r="I801" s="48">
        <f t="shared" si="698"/>
        <v>3</v>
      </c>
      <c r="J801" s="10">
        <f t="shared" si="699"/>
        <v>9</v>
      </c>
      <c r="K801" s="66">
        <v>46174</v>
      </c>
      <c r="L801" s="60"/>
      <c r="M801" s="11"/>
      <c r="N801" s="12"/>
      <c r="O801" s="13"/>
      <c r="P801" s="10">
        <f t="shared" si="700"/>
        <v>0</v>
      </c>
      <c r="Q801" s="11"/>
      <c r="R801" s="12"/>
      <c r="S801" s="13"/>
      <c r="T801" s="48">
        <f t="shared" si="701"/>
        <v>0</v>
      </c>
      <c r="U801" s="10">
        <f t="shared" si="702"/>
        <v>0</v>
      </c>
    </row>
    <row r="802" spans="1:24" x14ac:dyDescent="0.15">
      <c r="A802" s="60" t="s">
        <v>37</v>
      </c>
      <c r="B802" s="11">
        <v>1</v>
      </c>
      <c r="C802" s="12"/>
      <c r="D802" s="13"/>
      <c r="E802" s="10">
        <f t="shared" si="697"/>
        <v>1</v>
      </c>
      <c r="F802" s="11">
        <v>1</v>
      </c>
      <c r="G802" s="12"/>
      <c r="H802" s="13"/>
      <c r="I802" s="48">
        <f t="shared" si="698"/>
        <v>1</v>
      </c>
      <c r="J802" s="10">
        <f t="shared" si="699"/>
        <v>2</v>
      </c>
      <c r="K802" s="66">
        <v>46176</v>
      </c>
      <c r="L802" s="60"/>
      <c r="M802" s="11"/>
      <c r="N802" s="12"/>
      <c r="O802" s="13"/>
      <c r="P802" s="10">
        <f t="shared" si="700"/>
        <v>0</v>
      </c>
      <c r="Q802" s="11"/>
      <c r="R802" s="12"/>
      <c r="S802" s="13"/>
      <c r="T802" s="48">
        <f t="shared" si="701"/>
        <v>0</v>
      </c>
      <c r="U802" s="10">
        <f t="shared" si="702"/>
        <v>0</v>
      </c>
    </row>
    <row r="803" spans="1:24" x14ac:dyDescent="0.15">
      <c r="A803" s="60" t="s">
        <v>37</v>
      </c>
      <c r="B803" s="11">
        <v>2</v>
      </c>
      <c r="C803" s="12">
        <v>1</v>
      </c>
      <c r="D803" s="13">
        <v>1</v>
      </c>
      <c r="E803" s="10">
        <f t="shared" si="697"/>
        <v>4</v>
      </c>
      <c r="F803" s="11">
        <v>2</v>
      </c>
      <c r="G803" s="12"/>
      <c r="H803" s="13"/>
      <c r="I803" s="48">
        <f t="shared" si="698"/>
        <v>2</v>
      </c>
      <c r="J803" s="10">
        <f t="shared" si="699"/>
        <v>6</v>
      </c>
      <c r="K803" s="66">
        <v>46177</v>
      </c>
      <c r="L803" s="60"/>
      <c r="M803" s="11"/>
      <c r="N803" s="12"/>
      <c r="O803" s="13"/>
      <c r="P803" s="10">
        <f t="shared" si="700"/>
        <v>0</v>
      </c>
      <c r="Q803" s="11"/>
      <c r="R803" s="12"/>
      <c r="S803" s="13"/>
      <c r="T803" s="48">
        <f t="shared" si="701"/>
        <v>0</v>
      </c>
      <c r="U803" s="10">
        <f t="shared" si="702"/>
        <v>0</v>
      </c>
    </row>
    <row r="804" spans="1:24" x14ac:dyDescent="0.15">
      <c r="A804" s="60" t="s">
        <v>37</v>
      </c>
      <c r="B804" s="11">
        <v>1</v>
      </c>
      <c r="C804" s="12">
        <v>3</v>
      </c>
      <c r="D804" s="13"/>
      <c r="E804" s="10">
        <f t="shared" si="697"/>
        <v>4</v>
      </c>
      <c r="F804" s="11"/>
      <c r="G804" s="12">
        <v>1</v>
      </c>
      <c r="H804" s="13"/>
      <c r="I804" s="48">
        <f t="shared" si="698"/>
        <v>1</v>
      </c>
      <c r="J804" s="10">
        <f t="shared" si="699"/>
        <v>5</v>
      </c>
      <c r="K804" s="66">
        <v>46181</v>
      </c>
      <c r="L804" s="60"/>
      <c r="M804" s="11"/>
      <c r="N804" s="12"/>
      <c r="O804" s="13"/>
      <c r="P804" s="10">
        <f t="shared" si="700"/>
        <v>0</v>
      </c>
      <c r="Q804" s="11"/>
      <c r="R804" s="12"/>
      <c r="S804" s="13"/>
      <c r="T804" s="48">
        <f t="shared" si="701"/>
        <v>0</v>
      </c>
      <c r="U804" s="10">
        <f t="shared" si="702"/>
        <v>0</v>
      </c>
    </row>
    <row r="805" spans="1:24" x14ac:dyDescent="0.15">
      <c r="A805" s="60" t="s">
        <v>37</v>
      </c>
      <c r="B805" s="11"/>
      <c r="C805" s="12"/>
      <c r="D805" s="13">
        <v>1</v>
      </c>
      <c r="E805" s="10">
        <f t="shared" si="697"/>
        <v>1</v>
      </c>
      <c r="F805" s="11"/>
      <c r="G805" s="12"/>
      <c r="H805" s="13"/>
      <c r="I805" s="48">
        <f t="shared" si="698"/>
        <v>0</v>
      </c>
      <c r="J805" s="10">
        <f t="shared" si="699"/>
        <v>1</v>
      </c>
      <c r="K805" s="66">
        <v>46182</v>
      </c>
      <c r="L805" s="60"/>
      <c r="M805" s="11"/>
      <c r="N805" s="12"/>
      <c r="O805" s="13"/>
      <c r="P805" s="10">
        <f t="shared" si="700"/>
        <v>0</v>
      </c>
      <c r="Q805" s="11"/>
      <c r="R805" s="12"/>
      <c r="S805" s="13"/>
      <c r="T805" s="48">
        <f t="shared" si="701"/>
        <v>0</v>
      </c>
      <c r="U805" s="10">
        <f t="shared" si="702"/>
        <v>0</v>
      </c>
    </row>
    <row r="806" spans="1:24" x14ac:dyDescent="0.15">
      <c r="A806" s="60" t="s">
        <v>37</v>
      </c>
      <c r="B806" s="11">
        <v>2</v>
      </c>
      <c r="C806" s="12"/>
      <c r="D806" s="13"/>
      <c r="E806" s="10">
        <f t="shared" si="697"/>
        <v>2</v>
      </c>
      <c r="F806" s="11">
        <v>1</v>
      </c>
      <c r="G806" s="12">
        <v>1</v>
      </c>
      <c r="H806" s="13">
        <v>1</v>
      </c>
      <c r="I806" s="48">
        <f t="shared" si="698"/>
        <v>3</v>
      </c>
      <c r="J806" s="10">
        <f t="shared" si="699"/>
        <v>5</v>
      </c>
      <c r="K806" s="66">
        <v>46184</v>
      </c>
      <c r="L806" s="60"/>
      <c r="M806" s="11"/>
      <c r="N806" s="12"/>
      <c r="O806" s="13"/>
      <c r="P806" s="10">
        <f t="shared" si="700"/>
        <v>0</v>
      </c>
      <c r="Q806" s="11"/>
      <c r="R806" s="12"/>
      <c r="S806" s="13"/>
      <c r="T806" s="48">
        <f t="shared" si="701"/>
        <v>0</v>
      </c>
      <c r="U806" s="10">
        <f t="shared" si="702"/>
        <v>0</v>
      </c>
    </row>
    <row r="807" spans="1:24" x14ac:dyDescent="0.15">
      <c r="A807" s="60" t="s">
        <v>37</v>
      </c>
      <c r="B807" s="11">
        <v>1</v>
      </c>
      <c r="C807" s="12">
        <v>3</v>
      </c>
      <c r="D807" s="13"/>
      <c r="E807" s="10">
        <f t="shared" si="697"/>
        <v>4</v>
      </c>
      <c r="F807" s="11">
        <v>1</v>
      </c>
      <c r="G807" s="12">
        <v>1</v>
      </c>
      <c r="H807" s="13"/>
      <c r="I807" s="48">
        <f t="shared" si="698"/>
        <v>2</v>
      </c>
      <c r="J807" s="10">
        <f t="shared" si="699"/>
        <v>6</v>
      </c>
      <c r="K807" s="66">
        <v>46185</v>
      </c>
      <c r="L807" s="60"/>
      <c r="M807" s="11"/>
      <c r="N807" s="12"/>
      <c r="O807" s="13"/>
      <c r="P807" s="10">
        <f t="shared" si="700"/>
        <v>0</v>
      </c>
      <c r="Q807" s="11"/>
      <c r="R807" s="12"/>
      <c r="S807" s="13"/>
      <c r="T807" s="48">
        <f t="shared" si="701"/>
        <v>0</v>
      </c>
      <c r="U807" s="10">
        <f t="shared" si="702"/>
        <v>0</v>
      </c>
    </row>
    <row r="808" spans="1:24" x14ac:dyDescent="0.15">
      <c r="A808" s="60" t="s">
        <v>37</v>
      </c>
      <c r="B808" s="11">
        <v>1</v>
      </c>
      <c r="C808" s="12"/>
      <c r="D808" s="13">
        <v>1</v>
      </c>
      <c r="E808" s="10">
        <f t="shared" si="697"/>
        <v>2</v>
      </c>
      <c r="F808" s="11"/>
      <c r="G808" s="12">
        <v>1</v>
      </c>
      <c r="H808" s="13"/>
      <c r="I808" s="48">
        <f t="shared" si="698"/>
        <v>1</v>
      </c>
      <c r="J808" s="10">
        <f t="shared" si="699"/>
        <v>3</v>
      </c>
      <c r="K808" s="66">
        <v>46188</v>
      </c>
      <c r="L808" s="60"/>
      <c r="M808" s="11"/>
      <c r="N808" s="12"/>
      <c r="O808" s="13"/>
      <c r="P808" s="10">
        <f t="shared" si="700"/>
        <v>0</v>
      </c>
      <c r="Q808" s="11"/>
      <c r="R808" s="12"/>
      <c r="S808" s="13"/>
      <c r="T808" s="48">
        <f t="shared" si="701"/>
        <v>0</v>
      </c>
      <c r="U808" s="10">
        <f t="shared" si="702"/>
        <v>0</v>
      </c>
    </row>
    <row r="809" spans="1:24" x14ac:dyDescent="0.15">
      <c r="A809" s="60" t="s">
        <v>37</v>
      </c>
      <c r="B809" s="11"/>
      <c r="C809" s="12"/>
      <c r="D809" s="13">
        <v>1</v>
      </c>
      <c r="E809" s="10">
        <f t="shared" si="697"/>
        <v>1</v>
      </c>
      <c r="F809" s="11">
        <v>1</v>
      </c>
      <c r="G809" s="12"/>
      <c r="H809" s="13">
        <v>1</v>
      </c>
      <c r="I809" s="48">
        <f t="shared" si="698"/>
        <v>2</v>
      </c>
      <c r="J809" s="10">
        <f t="shared" si="699"/>
        <v>3</v>
      </c>
      <c r="K809" s="57">
        <v>46189</v>
      </c>
      <c r="L809" s="60"/>
      <c r="M809" s="11"/>
      <c r="N809" s="12"/>
      <c r="O809" s="13"/>
      <c r="P809" s="10">
        <f t="shared" si="700"/>
        <v>0</v>
      </c>
      <c r="Q809" s="11"/>
      <c r="R809" s="12"/>
      <c r="S809" s="13"/>
      <c r="T809" s="48">
        <f t="shared" si="701"/>
        <v>0</v>
      </c>
      <c r="U809" s="10">
        <f t="shared" si="702"/>
        <v>0</v>
      </c>
    </row>
    <row r="810" spans="1:24" x14ac:dyDescent="0.15">
      <c r="A810" s="60" t="s">
        <v>233</v>
      </c>
      <c r="B810" s="11"/>
      <c r="C810" s="12"/>
      <c r="D810" s="13">
        <v>1</v>
      </c>
      <c r="E810" s="10">
        <f t="shared" si="697"/>
        <v>1</v>
      </c>
      <c r="F810" s="11"/>
      <c r="G810" s="12"/>
      <c r="H810" s="13">
        <v>1</v>
      </c>
      <c r="I810" s="48">
        <f t="shared" si="698"/>
        <v>1</v>
      </c>
      <c r="J810" s="10">
        <f t="shared" si="699"/>
        <v>2</v>
      </c>
      <c r="K810" s="57">
        <v>46192</v>
      </c>
      <c r="L810" s="60"/>
      <c r="M810" s="11"/>
      <c r="N810" s="12"/>
      <c r="O810" s="13"/>
      <c r="P810" s="10">
        <f t="shared" si="700"/>
        <v>0</v>
      </c>
      <c r="Q810" s="11"/>
      <c r="R810" s="12"/>
      <c r="S810" s="13"/>
      <c r="T810" s="48">
        <f t="shared" si="701"/>
        <v>0</v>
      </c>
      <c r="U810" s="10">
        <f t="shared" si="702"/>
        <v>0</v>
      </c>
    </row>
    <row r="811" spans="1:24" x14ac:dyDescent="0.15">
      <c r="A811" s="60" t="s">
        <v>37</v>
      </c>
      <c r="B811" s="11"/>
      <c r="C811" s="12"/>
      <c r="D811" s="13"/>
      <c r="E811" s="10">
        <f t="shared" si="697"/>
        <v>0</v>
      </c>
      <c r="F811" s="11"/>
      <c r="G811" s="12"/>
      <c r="H811" s="13">
        <v>1</v>
      </c>
      <c r="I811" s="48">
        <f t="shared" si="698"/>
        <v>1</v>
      </c>
      <c r="J811" s="10">
        <f t="shared" si="699"/>
        <v>1</v>
      </c>
      <c r="K811" s="66">
        <v>46190</v>
      </c>
      <c r="L811" s="60"/>
      <c r="M811" s="11"/>
      <c r="N811" s="12"/>
      <c r="O811" s="13"/>
      <c r="P811" s="10">
        <f t="shared" si="700"/>
        <v>0</v>
      </c>
      <c r="Q811" s="11"/>
      <c r="R811" s="12"/>
      <c r="S811" s="13"/>
      <c r="T811" s="48">
        <f t="shared" si="701"/>
        <v>0</v>
      </c>
      <c r="U811" s="10">
        <f t="shared" si="702"/>
        <v>0</v>
      </c>
    </row>
    <row r="812" spans="1:24" x14ac:dyDescent="0.15">
      <c r="A812" s="60" t="s">
        <v>37</v>
      </c>
      <c r="B812" s="11">
        <v>1</v>
      </c>
      <c r="C812" s="12"/>
      <c r="D812" s="13"/>
      <c r="E812" s="10">
        <f t="shared" si="697"/>
        <v>1</v>
      </c>
      <c r="F812" s="11"/>
      <c r="G812" s="12"/>
      <c r="H812" s="13"/>
      <c r="I812" s="48">
        <f t="shared" si="698"/>
        <v>0</v>
      </c>
      <c r="J812" s="10">
        <f t="shared" si="699"/>
        <v>1</v>
      </c>
      <c r="K812" s="66">
        <v>46191</v>
      </c>
      <c r="L812" s="81" t="s">
        <v>213</v>
      </c>
      <c r="M812" s="82"/>
      <c r="N812" s="83"/>
      <c r="O812" s="84"/>
      <c r="P812" s="85">
        <f t="shared" si="700"/>
        <v>0</v>
      </c>
      <c r="Q812" s="82"/>
      <c r="R812" s="83"/>
      <c r="S812" s="84"/>
      <c r="T812" s="86">
        <f t="shared" si="701"/>
        <v>0</v>
      </c>
      <c r="U812" s="85">
        <f t="shared" si="702"/>
        <v>0</v>
      </c>
      <c r="V812" s="56"/>
      <c r="W812" s="39"/>
      <c r="X812" s="39"/>
    </row>
    <row r="813" spans="1:24" ht="14.25" thickBot="1" x14ac:dyDescent="0.2">
      <c r="A813" s="60" t="s">
        <v>234</v>
      </c>
      <c r="B813" s="11">
        <v>5</v>
      </c>
      <c r="C813" s="12">
        <v>3</v>
      </c>
      <c r="D813" s="13">
        <v>1</v>
      </c>
      <c r="E813" s="10">
        <f t="shared" si="697"/>
        <v>9</v>
      </c>
      <c r="F813" s="11">
        <v>3</v>
      </c>
      <c r="G813" s="12">
        <v>1</v>
      </c>
      <c r="H813" s="13">
        <v>1</v>
      </c>
      <c r="I813" s="48">
        <f t="shared" si="698"/>
        <v>5</v>
      </c>
      <c r="J813" s="10">
        <f t="shared" si="699"/>
        <v>14</v>
      </c>
      <c r="K813" s="66">
        <v>46217</v>
      </c>
      <c r="L813" s="60" t="s">
        <v>214</v>
      </c>
      <c r="M813" s="11"/>
      <c r="N813" s="12"/>
      <c r="O813" s="13"/>
      <c r="P813" s="10">
        <f t="shared" si="700"/>
        <v>0</v>
      </c>
      <c r="Q813" s="11"/>
      <c r="R813" s="12"/>
      <c r="S813" s="13"/>
      <c r="T813" s="48">
        <f t="shared" si="701"/>
        <v>0</v>
      </c>
      <c r="U813" s="10">
        <f t="shared" si="702"/>
        <v>0</v>
      </c>
      <c r="V813" s="56" t="s">
        <v>215</v>
      </c>
      <c r="W813" s="39"/>
      <c r="X813" s="39"/>
    </row>
    <row r="814" spans="1:24" ht="14.25" thickBot="1" x14ac:dyDescent="0.2">
      <c r="A814" s="29" t="s">
        <v>17</v>
      </c>
      <c r="B814" s="30">
        <f>SUM(B788:B813)</f>
        <v>32</v>
      </c>
      <c r="C814" s="31">
        <f>SUM(C788:C813)</f>
        <v>15</v>
      </c>
      <c r="D814" s="32">
        <f>SUM(D788:D813)</f>
        <v>8</v>
      </c>
      <c r="E814" s="33">
        <f>SUM(B814:D814)</f>
        <v>55</v>
      </c>
      <c r="F814" s="30">
        <f>SUM(F788:F813)</f>
        <v>17</v>
      </c>
      <c r="G814" s="31">
        <f>SUM(G788:G813)</f>
        <v>12</v>
      </c>
      <c r="H814" s="32">
        <f>SUM(H788:H813)</f>
        <v>8</v>
      </c>
      <c r="I814" s="33">
        <f>SUM(F814:H814)</f>
        <v>37</v>
      </c>
      <c r="J814" s="34">
        <f t="shared" si="699"/>
        <v>92</v>
      </c>
      <c r="L814" s="29" t="s">
        <v>17</v>
      </c>
      <c r="M814" s="30">
        <f>SUM(M788:M813)</f>
        <v>50</v>
      </c>
      <c r="N814" s="31">
        <f>SUM(N788:N813)</f>
        <v>65</v>
      </c>
      <c r="O814" s="32">
        <f>SUM(O788:O813)</f>
        <v>45</v>
      </c>
      <c r="P814" s="33">
        <f>SUM(M814:O814)</f>
        <v>160</v>
      </c>
      <c r="Q814" s="30">
        <f>SUM(Q788:Q813)</f>
        <v>40</v>
      </c>
      <c r="R814" s="31">
        <f>SUM(R788:R813)</f>
        <v>40</v>
      </c>
      <c r="S814" s="32">
        <f>SUM(S788:S813)</f>
        <v>45</v>
      </c>
      <c r="T814" s="33">
        <f>SUM(Q814:S814)</f>
        <v>125</v>
      </c>
      <c r="U814" s="34">
        <f t="shared" si="702"/>
        <v>285</v>
      </c>
    </row>
    <row r="815" spans="1:24" ht="14.25" thickBot="1" x14ac:dyDescent="0.2">
      <c r="A815" s="18" t="s">
        <v>18</v>
      </c>
      <c r="B815" s="44">
        <f>B787-B814</f>
        <v>0</v>
      </c>
      <c r="C815" s="45">
        <f t="shared" ref="C815:E815" si="703">C787-C814</f>
        <v>11</v>
      </c>
      <c r="D815" s="46">
        <f t="shared" si="703"/>
        <v>4</v>
      </c>
      <c r="E815" s="46">
        <f t="shared" si="703"/>
        <v>15</v>
      </c>
      <c r="F815" s="44">
        <f>F787-F814</f>
        <v>15</v>
      </c>
      <c r="G815" s="45">
        <f t="shared" ref="G815:I815" si="704">G787-G814</f>
        <v>18</v>
      </c>
      <c r="H815" s="46">
        <f t="shared" si="704"/>
        <v>3</v>
      </c>
      <c r="I815" s="46">
        <f t="shared" si="704"/>
        <v>36</v>
      </c>
      <c r="J815" s="24">
        <f t="shared" si="699"/>
        <v>51</v>
      </c>
      <c r="L815" s="18" t="s">
        <v>18</v>
      </c>
      <c r="M815" s="44">
        <f>M787-M814</f>
        <v>545</v>
      </c>
      <c r="N815" s="45">
        <f t="shared" ref="N815:P815" si="705">N787-N814</f>
        <v>633</v>
      </c>
      <c r="O815" s="46">
        <f t="shared" si="705"/>
        <v>425</v>
      </c>
      <c r="P815" s="46">
        <f t="shared" si="705"/>
        <v>1603</v>
      </c>
      <c r="Q815" s="44">
        <f>Q787-Q814</f>
        <v>771</v>
      </c>
      <c r="R815" s="45">
        <f t="shared" ref="R815:T815" si="706">R787-R814</f>
        <v>689</v>
      </c>
      <c r="S815" s="46">
        <f t="shared" si="706"/>
        <v>477</v>
      </c>
      <c r="T815" s="46">
        <f t="shared" si="706"/>
        <v>1937</v>
      </c>
      <c r="U815" s="24">
        <f t="shared" si="702"/>
        <v>3540</v>
      </c>
    </row>
    <row r="818" spans="1:21" ht="19.5" thickBot="1" x14ac:dyDescent="0.25">
      <c r="A818" s="2" t="s">
        <v>24</v>
      </c>
      <c r="B818" s="1"/>
      <c r="C818" s="1"/>
      <c r="D818" s="1"/>
      <c r="E818" s="1"/>
      <c r="F818" s="1" t="s">
        <v>39</v>
      </c>
      <c r="G818" s="1"/>
      <c r="H818" s="1"/>
      <c r="I818" s="1"/>
      <c r="J818" s="1"/>
      <c r="L818" s="2" t="s">
        <v>23</v>
      </c>
      <c r="M818" s="1"/>
      <c r="N818" s="1"/>
      <c r="O818" s="1"/>
      <c r="P818" s="63" t="s">
        <v>35</v>
      </c>
      <c r="Q818" s="1"/>
      <c r="R818" s="1" t="s">
        <v>39</v>
      </c>
      <c r="S818" s="1"/>
      <c r="T818" s="1"/>
      <c r="U818" s="1"/>
    </row>
    <row r="819" spans="1:21" ht="14.25" thickBot="1" x14ac:dyDescent="0.2">
      <c r="A819" s="6" t="s">
        <v>0</v>
      </c>
      <c r="B819" s="128" t="s">
        <v>21</v>
      </c>
      <c r="C819" s="129"/>
      <c r="D819" s="129"/>
      <c r="E819" s="130"/>
      <c r="F819" s="125" t="s">
        <v>19</v>
      </c>
      <c r="G819" s="126"/>
      <c r="H819" s="126"/>
      <c r="I819" s="127"/>
      <c r="J819" s="90" t="s">
        <v>1</v>
      </c>
      <c r="L819" s="6" t="s">
        <v>0</v>
      </c>
      <c r="M819" s="122" t="s">
        <v>21</v>
      </c>
      <c r="N819" s="123"/>
      <c r="O819" s="123"/>
      <c r="P819" s="124"/>
      <c r="Q819" s="119" t="s">
        <v>19</v>
      </c>
      <c r="R819" s="120"/>
      <c r="S819" s="120"/>
      <c r="T819" s="121"/>
      <c r="U819" s="88" t="s">
        <v>1</v>
      </c>
    </row>
    <row r="820" spans="1:21" ht="14.25" thickBot="1" x14ac:dyDescent="0.2">
      <c r="A820" s="6" t="s">
        <v>2</v>
      </c>
      <c r="B820" s="3" t="s">
        <v>3</v>
      </c>
      <c r="C820" s="4" t="s">
        <v>4</v>
      </c>
      <c r="D820" s="5" t="s">
        <v>5</v>
      </c>
      <c r="E820" s="6" t="s">
        <v>6</v>
      </c>
      <c r="F820" s="3" t="s">
        <v>3</v>
      </c>
      <c r="G820" s="4" t="s">
        <v>4</v>
      </c>
      <c r="H820" s="5" t="s">
        <v>5</v>
      </c>
      <c r="I820" s="6" t="s">
        <v>6</v>
      </c>
      <c r="J820" s="91"/>
      <c r="L820" s="6" t="s">
        <v>2</v>
      </c>
      <c r="M820" s="50" t="s">
        <v>3</v>
      </c>
      <c r="N820" s="51" t="s">
        <v>4</v>
      </c>
      <c r="O820" s="52" t="s">
        <v>5</v>
      </c>
      <c r="P820" s="6" t="s">
        <v>6</v>
      </c>
      <c r="Q820" s="3" t="s">
        <v>3</v>
      </c>
      <c r="R820" s="4" t="s">
        <v>4</v>
      </c>
      <c r="S820" s="5" t="s">
        <v>5</v>
      </c>
      <c r="T820" s="6" t="s">
        <v>6</v>
      </c>
      <c r="U820" s="89"/>
    </row>
    <row r="821" spans="1:21" ht="14.25" thickBot="1" x14ac:dyDescent="0.2">
      <c r="A821" s="20" t="s">
        <v>18</v>
      </c>
      <c r="B821" s="21">
        <f>B815</f>
        <v>0</v>
      </c>
      <c r="C821" s="22">
        <f t="shared" ref="C821:D821" si="707">C815</f>
        <v>11</v>
      </c>
      <c r="D821" s="38">
        <f t="shared" si="707"/>
        <v>4</v>
      </c>
      <c r="E821" s="24">
        <f t="shared" ref="E821:E829" si="708">SUM(B821:D821)</f>
        <v>15</v>
      </c>
      <c r="F821" s="21">
        <f>F815</f>
        <v>15</v>
      </c>
      <c r="G821" s="22">
        <f t="shared" ref="G821:H821" si="709">G815</f>
        <v>18</v>
      </c>
      <c r="H821" s="38">
        <f t="shared" si="709"/>
        <v>3</v>
      </c>
      <c r="I821" s="24">
        <f t="shared" ref="I821:I829" si="710">SUM(F821:H821)</f>
        <v>36</v>
      </c>
      <c r="J821" s="24">
        <f>E821+I821</f>
        <v>51</v>
      </c>
      <c r="L821" s="20" t="s">
        <v>18</v>
      </c>
      <c r="M821" s="21">
        <f>M815</f>
        <v>545</v>
      </c>
      <c r="N821" s="22">
        <f t="shared" ref="N821:O821" si="711">N815</f>
        <v>633</v>
      </c>
      <c r="O821" s="38">
        <f t="shared" si="711"/>
        <v>425</v>
      </c>
      <c r="P821" s="73">
        <f t="shared" ref="P821:P829" si="712">SUM(M821:O821)</f>
        <v>1603</v>
      </c>
      <c r="Q821" s="21">
        <f>Q815</f>
        <v>771</v>
      </c>
      <c r="R821" s="22">
        <f t="shared" ref="R821:S821" si="713">R815</f>
        <v>689</v>
      </c>
      <c r="S821" s="38">
        <f t="shared" si="713"/>
        <v>477</v>
      </c>
      <c r="T821" s="24">
        <f t="shared" ref="T821:T829" si="714">SUM(Q821:S821)</f>
        <v>1937</v>
      </c>
      <c r="U821" s="24">
        <f>P821+T821</f>
        <v>3540</v>
      </c>
    </row>
    <row r="822" spans="1:21" x14ac:dyDescent="0.15">
      <c r="A822" s="19" t="s">
        <v>8</v>
      </c>
      <c r="B822" s="7"/>
      <c r="C822" s="8"/>
      <c r="D822" s="35"/>
      <c r="E822" s="10">
        <f t="shared" si="708"/>
        <v>0</v>
      </c>
      <c r="F822" s="7"/>
      <c r="G822" s="8"/>
      <c r="H822" s="35"/>
      <c r="I822" s="48">
        <f t="shared" si="710"/>
        <v>0</v>
      </c>
      <c r="J822" s="10">
        <f t="shared" ref="J822:J829" si="715">E822+I822</f>
        <v>0</v>
      </c>
      <c r="L822" s="19" t="s">
        <v>8</v>
      </c>
      <c r="M822" s="7"/>
      <c r="N822" s="8"/>
      <c r="O822" s="35"/>
      <c r="P822" s="10">
        <f t="shared" si="712"/>
        <v>0</v>
      </c>
      <c r="Q822" s="7"/>
      <c r="R822" s="8"/>
      <c r="S822" s="35"/>
      <c r="T822" s="48">
        <f t="shared" si="714"/>
        <v>0</v>
      </c>
      <c r="U822" s="10">
        <f t="shared" ref="U822:U829" si="716">P822+T822</f>
        <v>0</v>
      </c>
    </row>
    <row r="823" spans="1:21" x14ac:dyDescent="0.15">
      <c r="A823" s="19" t="s">
        <v>9</v>
      </c>
      <c r="B823" s="7"/>
      <c r="C823" s="8"/>
      <c r="D823" s="35"/>
      <c r="E823" s="10">
        <f t="shared" si="708"/>
        <v>0</v>
      </c>
      <c r="F823" s="7"/>
      <c r="G823" s="8"/>
      <c r="H823" s="35"/>
      <c r="I823" s="48">
        <f t="shared" si="710"/>
        <v>0</v>
      </c>
      <c r="J823" s="10">
        <f t="shared" si="715"/>
        <v>0</v>
      </c>
      <c r="L823" s="19" t="s">
        <v>9</v>
      </c>
      <c r="M823" s="7"/>
      <c r="N823" s="8"/>
      <c r="O823" s="35"/>
      <c r="P823" s="10">
        <f t="shared" si="712"/>
        <v>0</v>
      </c>
      <c r="Q823" s="7"/>
      <c r="R823" s="8"/>
      <c r="S823" s="35"/>
      <c r="T823" s="48">
        <f t="shared" si="714"/>
        <v>0</v>
      </c>
      <c r="U823" s="10">
        <f t="shared" si="716"/>
        <v>0</v>
      </c>
    </row>
    <row r="824" spans="1:21" x14ac:dyDescent="0.15">
      <c r="A824" s="19" t="s">
        <v>10</v>
      </c>
      <c r="B824" s="7"/>
      <c r="C824" s="8"/>
      <c r="D824" s="35"/>
      <c r="E824" s="10">
        <f t="shared" si="708"/>
        <v>0</v>
      </c>
      <c r="F824" s="7"/>
      <c r="G824" s="8"/>
      <c r="H824" s="35"/>
      <c r="I824" s="48">
        <f t="shared" si="710"/>
        <v>0</v>
      </c>
      <c r="J824" s="10">
        <f t="shared" si="715"/>
        <v>0</v>
      </c>
      <c r="L824" s="19" t="s">
        <v>10</v>
      </c>
      <c r="M824" s="7"/>
      <c r="N824" s="8"/>
      <c r="O824" s="35"/>
      <c r="P824" s="10">
        <f t="shared" ref="P824:P826" si="717">SUM(M824:O824)</f>
        <v>0</v>
      </c>
      <c r="Q824" s="7"/>
      <c r="R824" s="8"/>
      <c r="S824" s="35"/>
      <c r="T824" s="48">
        <f t="shared" ref="T824:T826" si="718">SUM(Q824:S824)</f>
        <v>0</v>
      </c>
      <c r="U824" s="10">
        <f t="shared" ref="U824:U826" si="719">P824+T824</f>
        <v>0</v>
      </c>
    </row>
    <row r="825" spans="1:21" x14ac:dyDescent="0.15">
      <c r="A825" s="19" t="s">
        <v>11</v>
      </c>
      <c r="B825" s="7"/>
      <c r="C825" s="8"/>
      <c r="D825" s="35"/>
      <c r="E825" s="10">
        <f t="shared" si="708"/>
        <v>0</v>
      </c>
      <c r="F825" s="7"/>
      <c r="G825" s="8"/>
      <c r="H825" s="35"/>
      <c r="I825" s="48">
        <f t="shared" si="710"/>
        <v>0</v>
      </c>
      <c r="J825" s="10">
        <f t="shared" si="715"/>
        <v>0</v>
      </c>
      <c r="L825" s="19" t="s">
        <v>11</v>
      </c>
      <c r="M825" s="7"/>
      <c r="N825" s="8"/>
      <c r="O825" s="35"/>
      <c r="P825" s="10">
        <f t="shared" si="717"/>
        <v>0</v>
      </c>
      <c r="Q825" s="7"/>
      <c r="R825" s="8"/>
      <c r="S825" s="35"/>
      <c r="T825" s="48">
        <f t="shared" si="718"/>
        <v>0</v>
      </c>
      <c r="U825" s="10">
        <f t="shared" si="719"/>
        <v>0</v>
      </c>
    </row>
    <row r="826" spans="1:21" x14ac:dyDescent="0.15">
      <c r="A826" s="19" t="s">
        <v>12</v>
      </c>
      <c r="B826" s="7"/>
      <c r="C826" s="8"/>
      <c r="D826" s="35"/>
      <c r="E826" s="10">
        <f t="shared" si="708"/>
        <v>0</v>
      </c>
      <c r="F826" s="7"/>
      <c r="G826" s="8"/>
      <c r="H826" s="35"/>
      <c r="I826" s="48">
        <f t="shared" si="710"/>
        <v>0</v>
      </c>
      <c r="J826" s="10">
        <f t="shared" si="715"/>
        <v>0</v>
      </c>
      <c r="L826" s="19" t="s">
        <v>12</v>
      </c>
      <c r="M826" s="7"/>
      <c r="N826" s="8"/>
      <c r="O826" s="35"/>
      <c r="P826" s="10">
        <f t="shared" si="717"/>
        <v>0</v>
      </c>
      <c r="Q826" s="7"/>
      <c r="R826" s="8"/>
      <c r="S826" s="35"/>
      <c r="T826" s="48">
        <f t="shared" si="718"/>
        <v>0</v>
      </c>
      <c r="U826" s="10">
        <f t="shared" si="719"/>
        <v>0</v>
      </c>
    </row>
    <row r="827" spans="1:21" x14ac:dyDescent="0.15">
      <c r="A827" s="19" t="s">
        <v>13</v>
      </c>
      <c r="B827" s="7"/>
      <c r="C827" s="8"/>
      <c r="D827" s="35"/>
      <c r="E827" s="10">
        <f t="shared" si="708"/>
        <v>0</v>
      </c>
      <c r="F827" s="7"/>
      <c r="G827" s="8"/>
      <c r="H827" s="35"/>
      <c r="I827" s="48">
        <f t="shared" si="710"/>
        <v>0</v>
      </c>
      <c r="J827" s="10">
        <f t="shared" si="715"/>
        <v>0</v>
      </c>
      <c r="L827" s="19" t="s">
        <v>13</v>
      </c>
      <c r="M827" s="7"/>
      <c r="N827" s="8"/>
      <c r="O827" s="35"/>
      <c r="P827" s="10">
        <f t="shared" si="712"/>
        <v>0</v>
      </c>
      <c r="Q827" s="7"/>
      <c r="R827" s="8"/>
      <c r="S827" s="35"/>
      <c r="T827" s="48">
        <f t="shared" si="714"/>
        <v>0</v>
      </c>
      <c r="U827" s="10">
        <f t="shared" si="716"/>
        <v>0</v>
      </c>
    </row>
    <row r="828" spans="1:21" x14ac:dyDescent="0.15">
      <c r="A828" s="19" t="s">
        <v>14</v>
      </c>
      <c r="B828" s="11"/>
      <c r="C828" s="12"/>
      <c r="D828" s="36"/>
      <c r="E828" s="10">
        <f t="shared" si="708"/>
        <v>0</v>
      </c>
      <c r="F828" s="11"/>
      <c r="G828" s="12"/>
      <c r="H828" s="36"/>
      <c r="I828" s="48">
        <f t="shared" si="710"/>
        <v>0</v>
      </c>
      <c r="J828" s="10">
        <f t="shared" si="715"/>
        <v>0</v>
      </c>
      <c r="L828" s="19" t="s">
        <v>14</v>
      </c>
      <c r="M828" s="11"/>
      <c r="N828" s="12"/>
      <c r="O828" s="36"/>
      <c r="P828" s="10">
        <f t="shared" si="712"/>
        <v>0</v>
      </c>
      <c r="Q828" s="11"/>
      <c r="R828" s="12"/>
      <c r="S828" s="36"/>
      <c r="T828" s="48">
        <f t="shared" si="714"/>
        <v>0</v>
      </c>
      <c r="U828" s="10">
        <f t="shared" si="716"/>
        <v>0</v>
      </c>
    </row>
    <row r="829" spans="1:21" ht="14.25" thickBot="1" x14ac:dyDescent="0.2">
      <c r="A829" s="19" t="s">
        <v>15</v>
      </c>
      <c r="B829" s="25"/>
      <c r="C829" s="26"/>
      <c r="D829" s="37"/>
      <c r="E829" s="10">
        <f t="shared" si="708"/>
        <v>0</v>
      </c>
      <c r="F829" s="25"/>
      <c r="G829" s="26"/>
      <c r="H829" s="37"/>
      <c r="I829" s="48">
        <f t="shared" si="710"/>
        <v>0</v>
      </c>
      <c r="J829" s="17">
        <f t="shared" si="715"/>
        <v>0</v>
      </c>
      <c r="L829" s="19" t="s">
        <v>15</v>
      </c>
      <c r="M829" s="25"/>
      <c r="N829" s="26"/>
      <c r="O829" s="37"/>
      <c r="P829" s="10">
        <f t="shared" si="712"/>
        <v>0</v>
      </c>
      <c r="Q829" s="25"/>
      <c r="R829" s="26"/>
      <c r="S829" s="37"/>
      <c r="T829" s="48">
        <f t="shared" si="714"/>
        <v>0</v>
      </c>
      <c r="U829" s="17">
        <f t="shared" si="716"/>
        <v>0</v>
      </c>
    </row>
    <row r="830" spans="1:21" ht="14.25" thickBot="1" x14ac:dyDescent="0.2">
      <c r="A830" s="27" t="s">
        <v>16</v>
      </c>
      <c r="B830" s="21">
        <f>SUM(B821:B829)</f>
        <v>0</v>
      </c>
      <c r="C830" s="22">
        <f t="shared" ref="C830:J830" si="720">SUM(C821:C829)</f>
        <v>11</v>
      </c>
      <c r="D830" s="38">
        <f t="shared" si="720"/>
        <v>4</v>
      </c>
      <c r="E830" s="54">
        <f t="shared" si="720"/>
        <v>15</v>
      </c>
      <c r="F830" s="21">
        <f t="shared" si="720"/>
        <v>15</v>
      </c>
      <c r="G830" s="22">
        <f t="shared" si="720"/>
        <v>18</v>
      </c>
      <c r="H830" s="38">
        <f t="shared" si="720"/>
        <v>3</v>
      </c>
      <c r="I830" s="53">
        <f t="shared" si="720"/>
        <v>36</v>
      </c>
      <c r="J830" s="24">
        <f t="shared" si="720"/>
        <v>51</v>
      </c>
      <c r="L830" s="27" t="s">
        <v>16</v>
      </c>
      <c r="M830" s="21">
        <f>SUM(M821:M829)</f>
        <v>545</v>
      </c>
      <c r="N830" s="22">
        <f t="shared" ref="N830:U830" si="721">SUM(N821:N829)</f>
        <v>633</v>
      </c>
      <c r="O830" s="38">
        <f t="shared" si="721"/>
        <v>425</v>
      </c>
      <c r="P830" s="54">
        <f t="shared" si="721"/>
        <v>1603</v>
      </c>
      <c r="Q830" s="21">
        <f t="shared" si="721"/>
        <v>771</v>
      </c>
      <c r="R830" s="22">
        <f t="shared" si="721"/>
        <v>689</v>
      </c>
      <c r="S830" s="38">
        <f t="shared" si="721"/>
        <v>477</v>
      </c>
      <c r="T830" s="53">
        <f t="shared" si="721"/>
        <v>1937</v>
      </c>
      <c r="U830" s="24">
        <f t="shared" si="721"/>
        <v>3540</v>
      </c>
    </row>
    <row r="831" spans="1:21" x14ac:dyDescent="0.15">
      <c r="A831" s="60" t="s">
        <v>234</v>
      </c>
      <c r="B831" s="11"/>
      <c r="C831" s="12">
        <v>1</v>
      </c>
      <c r="D831" s="13">
        <v>1</v>
      </c>
      <c r="E831" s="10">
        <f t="shared" ref="E831:E856" si="722">SUM(B831:D831)</f>
        <v>2</v>
      </c>
      <c r="F831" s="11">
        <v>1</v>
      </c>
      <c r="G831" s="12"/>
      <c r="H831" s="13">
        <v>1</v>
      </c>
      <c r="I831" s="48">
        <f t="shared" ref="I831:I856" si="723">SUM(F831:H831)</f>
        <v>2</v>
      </c>
      <c r="J831" s="10">
        <f t="shared" ref="J831:J858" si="724">E831+I831</f>
        <v>4</v>
      </c>
      <c r="K831" s="66">
        <v>46218</v>
      </c>
      <c r="L831" s="60"/>
      <c r="M831" s="11"/>
      <c r="N831" s="12"/>
      <c r="O831" s="13"/>
      <c r="P831" s="10">
        <f t="shared" ref="P831:P856" si="725">SUM(M831:O831)</f>
        <v>0</v>
      </c>
      <c r="Q831" s="11"/>
      <c r="R831" s="12"/>
      <c r="S831" s="13"/>
      <c r="T831" s="48">
        <f t="shared" ref="T831:T856" si="726">SUM(Q831:S831)</f>
        <v>0</v>
      </c>
      <c r="U831" s="10">
        <f t="shared" ref="U831:U858" si="727">P831+T831</f>
        <v>0</v>
      </c>
    </row>
    <row r="832" spans="1:21" x14ac:dyDescent="0.15">
      <c r="A832" s="60" t="s">
        <v>234</v>
      </c>
      <c r="B832" s="11"/>
      <c r="C832" s="12">
        <v>1</v>
      </c>
      <c r="D832" s="13">
        <v>1</v>
      </c>
      <c r="E832" s="10">
        <f t="shared" si="722"/>
        <v>2</v>
      </c>
      <c r="F832" s="11">
        <v>1</v>
      </c>
      <c r="G832" s="12"/>
      <c r="H832" s="13">
        <v>1</v>
      </c>
      <c r="I832" s="48">
        <f t="shared" si="723"/>
        <v>2</v>
      </c>
      <c r="J832" s="10">
        <f t="shared" si="724"/>
        <v>4</v>
      </c>
      <c r="K832" s="66">
        <v>46218</v>
      </c>
      <c r="L832" s="60"/>
      <c r="M832" s="11"/>
      <c r="N832" s="12"/>
      <c r="O832" s="13"/>
      <c r="P832" s="10">
        <f t="shared" si="725"/>
        <v>0</v>
      </c>
      <c r="Q832" s="11"/>
      <c r="R832" s="12"/>
      <c r="S832" s="13"/>
      <c r="T832" s="48">
        <f t="shared" si="726"/>
        <v>0</v>
      </c>
      <c r="U832" s="10">
        <f t="shared" si="727"/>
        <v>0</v>
      </c>
    </row>
    <row r="833" spans="1:21" x14ac:dyDescent="0.15">
      <c r="A833" s="60"/>
      <c r="B833" s="11"/>
      <c r="C833" s="12"/>
      <c r="D833" s="13"/>
      <c r="E833" s="10">
        <f t="shared" si="722"/>
        <v>0</v>
      </c>
      <c r="F833" s="11"/>
      <c r="G833" s="12"/>
      <c r="H833" s="13"/>
      <c r="I833" s="48">
        <f t="shared" si="723"/>
        <v>0</v>
      </c>
      <c r="J833" s="10">
        <f t="shared" si="724"/>
        <v>0</v>
      </c>
      <c r="L833" s="60"/>
      <c r="M833" s="11"/>
      <c r="N833" s="12"/>
      <c r="O833" s="13"/>
      <c r="P833" s="10">
        <f t="shared" si="725"/>
        <v>0</v>
      </c>
      <c r="Q833" s="11"/>
      <c r="R833" s="12"/>
      <c r="S833" s="13"/>
      <c r="T833" s="48">
        <f t="shared" si="726"/>
        <v>0</v>
      </c>
      <c r="U833" s="10">
        <f t="shared" si="727"/>
        <v>0</v>
      </c>
    </row>
    <row r="834" spans="1:21" x14ac:dyDescent="0.15">
      <c r="A834" s="60"/>
      <c r="B834" s="11"/>
      <c r="C834" s="12"/>
      <c r="D834" s="13"/>
      <c r="E834" s="10">
        <f t="shared" si="722"/>
        <v>0</v>
      </c>
      <c r="F834" s="11"/>
      <c r="G834" s="12"/>
      <c r="H834" s="13"/>
      <c r="I834" s="48">
        <f t="shared" si="723"/>
        <v>0</v>
      </c>
      <c r="J834" s="10">
        <f t="shared" si="724"/>
        <v>0</v>
      </c>
      <c r="L834" s="60"/>
      <c r="M834" s="11"/>
      <c r="N834" s="12"/>
      <c r="O834" s="13"/>
      <c r="P834" s="10">
        <f t="shared" si="725"/>
        <v>0</v>
      </c>
      <c r="Q834" s="11"/>
      <c r="R834" s="12"/>
      <c r="S834" s="13"/>
      <c r="T834" s="48">
        <f t="shared" si="726"/>
        <v>0</v>
      </c>
      <c r="U834" s="10">
        <f t="shared" si="727"/>
        <v>0</v>
      </c>
    </row>
    <row r="835" spans="1:21" x14ac:dyDescent="0.15">
      <c r="A835" s="60"/>
      <c r="B835" s="11"/>
      <c r="C835" s="12"/>
      <c r="D835" s="13"/>
      <c r="E835" s="10">
        <f t="shared" si="722"/>
        <v>0</v>
      </c>
      <c r="F835" s="11"/>
      <c r="G835" s="12"/>
      <c r="H835" s="13"/>
      <c r="I835" s="48">
        <f t="shared" si="723"/>
        <v>0</v>
      </c>
      <c r="J835" s="10">
        <f t="shared" si="724"/>
        <v>0</v>
      </c>
      <c r="L835" s="60"/>
      <c r="M835" s="11"/>
      <c r="N835" s="12"/>
      <c r="O835" s="13"/>
      <c r="P835" s="10">
        <f t="shared" si="725"/>
        <v>0</v>
      </c>
      <c r="Q835" s="11"/>
      <c r="R835" s="12"/>
      <c r="S835" s="13"/>
      <c r="T835" s="48">
        <f t="shared" si="726"/>
        <v>0</v>
      </c>
      <c r="U835" s="10">
        <f t="shared" si="727"/>
        <v>0</v>
      </c>
    </row>
    <row r="836" spans="1:21" x14ac:dyDescent="0.15">
      <c r="A836" s="60"/>
      <c r="B836" s="11"/>
      <c r="C836" s="12"/>
      <c r="D836" s="13"/>
      <c r="E836" s="10">
        <f t="shared" si="722"/>
        <v>0</v>
      </c>
      <c r="F836" s="11"/>
      <c r="G836" s="12"/>
      <c r="H836" s="13"/>
      <c r="I836" s="48">
        <f t="shared" si="723"/>
        <v>0</v>
      </c>
      <c r="J836" s="10">
        <f t="shared" si="724"/>
        <v>0</v>
      </c>
      <c r="L836" s="60"/>
      <c r="M836" s="11"/>
      <c r="N836" s="12"/>
      <c r="O836" s="13"/>
      <c r="P836" s="10">
        <f t="shared" si="725"/>
        <v>0</v>
      </c>
      <c r="Q836" s="11"/>
      <c r="R836" s="12"/>
      <c r="S836" s="13"/>
      <c r="T836" s="48">
        <f t="shared" si="726"/>
        <v>0</v>
      </c>
      <c r="U836" s="10">
        <f t="shared" si="727"/>
        <v>0</v>
      </c>
    </row>
    <row r="837" spans="1:21" x14ac:dyDescent="0.15">
      <c r="A837" s="60"/>
      <c r="B837" s="11"/>
      <c r="C837" s="12"/>
      <c r="D837" s="13"/>
      <c r="E837" s="10">
        <f t="shared" si="722"/>
        <v>0</v>
      </c>
      <c r="F837" s="11"/>
      <c r="G837" s="12"/>
      <c r="H837" s="13"/>
      <c r="I837" s="48">
        <f t="shared" si="723"/>
        <v>0</v>
      </c>
      <c r="J837" s="10">
        <f t="shared" si="724"/>
        <v>0</v>
      </c>
      <c r="L837" s="60"/>
      <c r="M837" s="11"/>
      <c r="N837" s="12"/>
      <c r="O837" s="13"/>
      <c r="P837" s="10">
        <f t="shared" si="725"/>
        <v>0</v>
      </c>
      <c r="Q837" s="11"/>
      <c r="R837" s="12"/>
      <c r="S837" s="13"/>
      <c r="T837" s="48">
        <f t="shared" si="726"/>
        <v>0</v>
      </c>
      <c r="U837" s="10">
        <f t="shared" si="727"/>
        <v>0</v>
      </c>
    </row>
    <row r="838" spans="1:21" x14ac:dyDescent="0.15">
      <c r="A838" s="60"/>
      <c r="B838" s="11"/>
      <c r="C838" s="12"/>
      <c r="D838" s="13"/>
      <c r="E838" s="10">
        <f t="shared" si="722"/>
        <v>0</v>
      </c>
      <c r="F838" s="11"/>
      <c r="G838" s="12"/>
      <c r="H838" s="13"/>
      <c r="I838" s="48">
        <f t="shared" si="723"/>
        <v>0</v>
      </c>
      <c r="J838" s="10">
        <f t="shared" si="724"/>
        <v>0</v>
      </c>
      <c r="L838" s="60"/>
      <c r="M838" s="11"/>
      <c r="N838" s="12"/>
      <c r="O838" s="13"/>
      <c r="P838" s="10">
        <f t="shared" si="725"/>
        <v>0</v>
      </c>
      <c r="Q838" s="11"/>
      <c r="R838" s="12"/>
      <c r="S838" s="13"/>
      <c r="T838" s="48">
        <f t="shared" si="726"/>
        <v>0</v>
      </c>
      <c r="U838" s="10">
        <f t="shared" si="727"/>
        <v>0</v>
      </c>
    </row>
    <row r="839" spans="1:21" x14ac:dyDescent="0.15">
      <c r="A839" s="60"/>
      <c r="B839" s="11"/>
      <c r="C839" s="12"/>
      <c r="D839" s="13"/>
      <c r="E839" s="10">
        <f t="shared" si="722"/>
        <v>0</v>
      </c>
      <c r="F839" s="11"/>
      <c r="G839" s="12"/>
      <c r="H839" s="13"/>
      <c r="I839" s="48">
        <f t="shared" si="723"/>
        <v>0</v>
      </c>
      <c r="J839" s="10">
        <f t="shared" si="724"/>
        <v>0</v>
      </c>
      <c r="L839" s="60"/>
      <c r="M839" s="11"/>
      <c r="N839" s="12"/>
      <c r="O839" s="13"/>
      <c r="P839" s="10">
        <f t="shared" si="725"/>
        <v>0</v>
      </c>
      <c r="Q839" s="11"/>
      <c r="R839" s="12"/>
      <c r="S839" s="13"/>
      <c r="T839" s="48">
        <f t="shared" si="726"/>
        <v>0</v>
      </c>
      <c r="U839" s="10">
        <f t="shared" si="727"/>
        <v>0</v>
      </c>
    </row>
    <row r="840" spans="1:21" x14ac:dyDescent="0.15">
      <c r="A840" s="60"/>
      <c r="B840" s="11"/>
      <c r="C840" s="12"/>
      <c r="D840" s="13"/>
      <c r="E840" s="10">
        <f t="shared" si="722"/>
        <v>0</v>
      </c>
      <c r="F840" s="11"/>
      <c r="G840" s="12"/>
      <c r="H840" s="13"/>
      <c r="I840" s="48">
        <f t="shared" si="723"/>
        <v>0</v>
      </c>
      <c r="J840" s="10">
        <f t="shared" si="724"/>
        <v>0</v>
      </c>
      <c r="L840" s="60"/>
      <c r="M840" s="11"/>
      <c r="N840" s="12"/>
      <c r="O840" s="13"/>
      <c r="P840" s="10">
        <f t="shared" si="725"/>
        <v>0</v>
      </c>
      <c r="Q840" s="11"/>
      <c r="R840" s="12"/>
      <c r="S840" s="13"/>
      <c r="T840" s="48">
        <f t="shared" si="726"/>
        <v>0</v>
      </c>
      <c r="U840" s="10">
        <f t="shared" si="727"/>
        <v>0</v>
      </c>
    </row>
    <row r="841" spans="1:21" x14ac:dyDescent="0.15">
      <c r="A841" s="60"/>
      <c r="B841" s="11"/>
      <c r="C841" s="12"/>
      <c r="D841" s="13"/>
      <c r="E841" s="10">
        <f t="shared" si="722"/>
        <v>0</v>
      </c>
      <c r="F841" s="11"/>
      <c r="G841" s="12"/>
      <c r="H841" s="13"/>
      <c r="I841" s="48">
        <f t="shared" si="723"/>
        <v>0</v>
      </c>
      <c r="J841" s="10">
        <f t="shared" si="724"/>
        <v>0</v>
      </c>
      <c r="L841" s="60"/>
      <c r="M841" s="11"/>
      <c r="N841" s="12"/>
      <c r="O841" s="13"/>
      <c r="P841" s="10">
        <f t="shared" si="725"/>
        <v>0</v>
      </c>
      <c r="Q841" s="11"/>
      <c r="R841" s="12"/>
      <c r="S841" s="13"/>
      <c r="T841" s="48">
        <f t="shared" si="726"/>
        <v>0</v>
      </c>
      <c r="U841" s="10">
        <f t="shared" si="727"/>
        <v>0</v>
      </c>
    </row>
    <row r="842" spans="1:21" x14ac:dyDescent="0.15">
      <c r="A842" s="60"/>
      <c r="B842" s="11"/>
      <c r="C842" s="12"/>
      <c r="D842" s="13"/>
      <c r="E842" s="10">
        <f t="shared" si="722"/>
        <v>0</v>
      </c>
      <c r="F842" s="11"/>
      <c r="G842" s="12"/>
      <c r="H842" s="13"/>
      <c r="I842" s="48">
        <f t="shared" si="723"/>
        <v>0</v>
      </c>
      <c r="J842" s="10">
        <f t="shared" si="724"/>
        <v>0</v>
      </c>
      <c r="L842" s="60"/>
      <c r="M842" s="11"/>
      <c r="N842" s="12"/>
      <c r="O842" s="13"/>
      <c r="P842" s="10">
        <f t="shared" si="725"/>
        <v>0</v>
      </c>
      <c r="Q842" s="11"/>
      <c r="R842" s="12"/>
      <c r="S842" s="13"/>
      <c r="T842" s="48">
        <f t="shared" si="726"/>
        <v>0</v>
      </c>
      <c r="U842" s="10">
        <f t="shared" si="727"/>
        <v>0</v>
      </c>
    </row>
    <row r="843" spans="1:21" x14ac:dyDescent="0.15">
      <c r="A843" s="60"/>
      <c r="B843" s="11"/>
      <c r="C843" s="12"/>
      <c r="D843" s="13"/>
      <c r="E843" s="10">
        <f t="shared" si="722"/>
        <v>0</v>
      </c>
      <c r="F843" s="11"/>
      <c r="G843" s="12"/>
      <c r="H843" s="13"/>
      <c r="I843" s="48">
        <f t="shared" si="723"/>
        <v>0</v>
      </c>
      <c r="J843" s="10">
        <f t="shared" si="724"/>
        <v>0</v>
      </c>
      <c r="L843" s="60"/>
      <c r="M843" s="11"/>
      <c r="N843" s="12"/>
      <c r="O843" s="13"/>
      <c r="P843" s="10">
        <f t="shared" si="725"/>
        <v>0</v>
      </c>
      <c r="Q843" s="11"/>
      <c r="R843" s="12"/>
      <c r="S843" s="13"/>
      <c r="T843" s="48">
        <f t="shared" si="726"/>
        <v>0</v>
      </c>
      <c r="U843" s="10">
        <f t="shared" si="727"/>
        <v>0</v>
      </c>
    </row>
    <row r="844" spans="1:21" x14ac:dyDescent="0.15">
      <c r="A844" s="60"/>
      <c r="B844" s="11"/>
      <c r="C844" s="12"/>
      <c r="D844" s="13"/>
      <c r="E844" s="10">
        <f t="shared" si="722"/>
        <v>0</v>
      </c>
      <c r="F844" s="11"/>
      <c r="G844" s="12"/>
      <c r="H844" s="13"/>
      <c r="I844" s="48">
        <f t="shared" si="723"/>
        <v>0</v>
      </c>
      <c r="J844" s="10">
        <f t="shared" si="724"/>
        <v>0</v>
      </c>
      <c r="L844" s="60"/>
      <c r="M844" s="11"/>
      <c r="N844" s="12"/>
      <c r="O844" s="13"/>
      <c r="P844" s="10">
        <f t="shared" si="725"/>
        <v>0</v>
      </c>
      <c r="Q844" s="11"/>
      <c r="R844" s="12"/>
      <c r="S844" s="13"/>
      <c r="T844" s="48">
        <f t="shared" si="726"/>
        <v>0</v>
      </c>
      <c r="U844" s="10">
        <f t="shared" si="727"/>
        <v>0</v>
      </c>
    </row>
    <row r="845" spans="1:21" x14ac:dyDescent="0.15">
      <c r="A845" s="60"/>
      <c r="B845" s="11"/>
      <c r="C845" s="12"/>
      <c r="D845" s="13"/>
      <c r="E845" s="10">
        <f t="shared" si="722"/>
        <v>0</v>
      </c>
      <c r="F845" s="11"/>
      <c r="G845" s="12"/>
      <c r="H845" s="13"/>
      <c r="I845" s="48">
        <f t="shared" si="723"/>
        <v>0</v>
      </c>
      <c r="J845" s="10">
        <f t="shared" si="724"/>
        <v>0</v>
      </c>
      <c r="L845" s="60"/>
      <c r="M845" s="11"/>
      <c r="N845" s="12"/>
      <c r="O845" s="13"/>
      <c r="P845" s="10">
        <f t="shared" si="725"/>
        <v>0</v>
      </c>
      <c r="Q845" s="11"/>
      <c r="R845" s="12"/>
      <c r="S845" s="13"/>
      <c r="T845" s="48">
        <f t="shared" si="726"/>
        <v>0</v>
      </c>
      <c r="U845" s="10">
        <f t="shared" si="727"/>
        <v>0</v>
      </c>
    </row>
    <row r="846" spans="1:21" x14ac:dyDescent="0.15">
      <c r="A846" s="60"/>
      <c r="B846" s="11"/>
      <c r="C846" s="12"/>
      <c r="D846" s="13"/>
      <c r="E846" s="10">
        <f t="shared" si="722"/>
        <v>0</v>
      </c>
      <c r="F846" s="11"/>
      <c r="G846" s="12"/>
      <c r="H846" s="13"/>
      <c r="I846" s="48">
        <f t="shared" si="723"/>
        <v>0</v>
      </c>
      <c r="J846" s="10">
        <f t="shared" si="724"/>
        <v>0</v>
      </c>
      <c r="L846" s="60"/>
      <c r="M846" s="11"/>
      <c r="N846" s="12"/>
      <c r="O846" s="13"/>
      <c r="P846" s="10">
        <f t="shared" si="725"/>
        <v>0</v>
      </c>
      <c r="Q846" s="11"/>
      <c r="R846" s="12"/>
      <c r="S846" s="13"/>
      <c r="T846" s="48">
        <f t="shared" si="726"/>
        <v>0</v>
      </c>
      <c r="U846" s="10">
        <f t="shared" si="727"/>
        <v>0</v>
      </c>
    </row>
    <row r="847" spans="1:21" x14ac:dyDescent="0.15">
      <c r="A847" s="60"/>
      <c r="B847" s="11"/>
      <c r="C847" s="12"/>
      <c r="D847" s="13"/>
      <c r="E847" s="10">
        <f t="shared" si="722"/>
        <v>0</v>
      </c>
      <c r="F847" s="11"/>
      <c r="G847" s="12"/>
      <c r="H847" s="13"/>
      <c r="I847" s="48">
        <f t="shared" si="723"/>
        <v>0</v>
      </c>
      <c r="J847" s="10">
        <f t="shared" si="724"/>
        <v>0</v>
      </c>
      <c r="L847" s="60"/>
      <c r="M847" s="11"/>
      <c r="N847" s="12"/>
      <c r="O847" s="13"/>
      <c r="P847" s="10">
        <f t="shared" si="725"/>
        <v>0</v>
      </c>
      <c r="Q847" s="11"/>
      <c r="R847" s="12"/>
      <c r="S847" s="13"/>
      <c r="T847" s="48">
        <f t="shared" si="726"/>
        <v>0</v>
      </c>
      <c r="U847" s="10">
        <f t="shared" si="727"/>
        <v>0</v>
      </c>
    </row>
    <row r="848" spans="1:21" x14ac:dyDescent="0.15">
      <c r="A848" s="60"/>
      <c r="B848" s="11"/>
      <c r="C848" s="12"/>
      <c r="D848" s="13"/>
      <c r="E848" s="10">
        <f t="shared" si="722"/>
        <v>0</v>
      </c>
      <c r="F848" s="11"/>
      <c r="G848" s="12"/>
      <c r="H848" s="13"/>
      <c r="I848" s="48">
        <f t="shared" si="723"/>
        <v>0</v>
      </c>
      <c r="J848" s="10">
        <f t="shared" si="724"/>
        <v>0</v>
      </c>
      <c r="L848" s="60"/>
      <c r="M848" s="11"/>
      <c r="N848" s="12"/>
      <c r="O848" s="13"/>
      <c r="P848" s="10">
        <f t="shared" si="725"/>
        <v>0</v>
      </c>
      <c r="Q848" s="11"/>
      <c r="R848" s="12"/>
      <c r="S848" s="13"/>
      <c r="T848" s="48">
        <f t="shared" si="726"/>
        <v>0</v>
      </c>
      <c r="U848" s="10">
        <f t="shared" si="727"/>
        <v>0</v>
      </c>
    </row>
    <row r="849" spans="1:22" x14ac:dyDescent="0.15">
      <c r="A849" s="60"/>
      <c r="B849" s="11"/>
      <c r="C849" s="12"/>
      <c r="D849" s="13"/>
      <c r="E849" s="10">
        <f t="shared" si="722"/>
        <v>0</v>
      </c>
      <c r="F849" s="11"/>
      <c r="G849" s="12"/>
      <c r="H849" s="13"/>
      <c r="I849" s="48">
        <f t="shared" si="723"/>
        <v>0</v>
      </c>
      <c r="J849" s="10">
        <f t="shared" si="724"/>
        <v>0</v>
      </c>
      <c r="L849" s="60"/>
      <c r="M849" s="11"/>
      <c r="N849" s="12"/>
      <c r="O849" s="13"/>
      <c r="P849" s="10">
        <f t="shared" si="725"/>
        <v>0</v>
      </c>
      <c r="Q849" s="11"/>
      <c r="R849" s="12"/>
      <c r="S849" s="13"/>
      <c r="T849" s="48">
        <f t="shared" si="726"/>
        <v>0</v>
      </c>
      <c r="U849" s="10">
        <f t="shared" si="727"/>
        <v>0</v>
      </c>
    </row>
    <row r="850" spans="1:22" x14ac:dyDescent="0.15">
      <c r="A850" s="60"/>
      <c r="B850" s="11"/>
      <c r="C850" s="12"/>
      <c r="D850" s="13"/>
      <c r="E850" s="10">
        <f t="shared" si="722"/>
        <v>0</v>
      </c>
      <c r="F850" s="11"/>
      <c r="G850" s="12"/>
      <c r="H850" s="13"/>
      <c r="I850" s="48">
        <f t="shared" si="723"/>
        <v>0</v>
      </c>
      <c r="J850" s="10">
        <f t="shared" si="724"/>
        <v>0</v>
      </c>
      <c r="L850" s="60"/>
      <c r="M850" s="11"/>
      <c r="N850" s="12"/>
      <c r="O850" s="13"/>
      <c r="P850" s="10">
        <f t="shared" si="725"/>
        <v>0</v>
      </c>
      <c r="Q850" s="11"/>
      <c r="R850" s="12"/>
      <c r="S850" s="13"/>
      <c r="T850" s="48">
        <f t="shared" si="726"/>
        <v>0</v>
      </c>
      <c r="U850" s="10">
        <f t="shared" si="727"/>
        <v>0</v>
      </c>
    </row>
    <row r="851" spans="1:22" x14ac:dyDescent="0.15">
      <c r="A851" s="60"/>
      <c r="B851" s="11"/>
      <c r="C851" s="12"/>
      <c r="D851" s="13"/>
      <c r="E851" s="10">
        <f t="shared" si="722"/>
        <v>0</v>
      </c>
      <c r="F851" s="11"/>
      <c r="G851" s="12"/>
      <c r="H851" s="13"/>
      <c r="I851" s="48">
        <f t="shared" si="723"/>
        <v>0</v>
      </c>
      <c r="J851" s="10">
        <f t="shared" si="724"/>
        <v>0</v>
      </c>
      <c r="L851" s="60"/>
      <c r="M851" s="11"/>
      <c r="N851" s="12"/>
      <c r="O851" s="13"/>
      <c r="P851" s="10">
        <f t="shared" si="725"/>
        <v>0</v>
      </c>
      <c r="Q851" s="11"/>
      <c r="R851" s="12"/>
      <c r="S851" s="13"/>
      <c r="T851" s="48">
        <f t="shared" si="726"/>
        <v>0</v>
      </c>
      <c r="U851" s="10">
        <f t="shared" si="727"/>
        <v>0</v>
      </c>
    </row>
    <row r="852" spans="1:22" x14ac:dyDescent="0.15">
      <c r="A852" s="60"/>
      <c r="B852" s="11"/>
      <c r="C852" s="12"/>
      <c r="D852" s="13"/>
      <c r="E852" s="10">
        <f t="shared" si="722"/>
        <v>0</v>
      </c>
      <c r="F852" s="11"/>
      <c r="G852" s="12"/>
      <c r="H852" s="13"/>
      <c r="I852" s="48">
        <f t="shared" si="723"/>
        <v>0</v>
      </c>
      <c r="J852" s="10">
        <f t="shared" si="724"/>
        <v>0</v>
      </c>
      <c r="L852" s="60"/>
      <c r="M852" s="11"/>
      <c r="N852" s="12"/>
      <c r="O852" s="13"/>
      <c r="P852" s="10">
        <f t="shared" si="725"/>
        <v>0</v>
      </c>
      <c r="Q852" s="11"/>
      <c r="R852" s="12"/>
      <c r="S852" s="13"/>
      <c r="T852" s="48">
        <f t="shared" si="726"/>
        <v>0</v>
      </c>
      <c r="U852" s="10">
        <f t="shared" si="727"/>
        <v>0</v>
      </c>
    </row>
    <row r="853" spans="1:22" x14ac:dyDescent="0.15">
      <c r="A853" s="60"/>
      <c r="B853" s="11"/>
      <c r="C853" s="12"/>
      <c r="D853" s="13"/>
      <c r="E853" s="10">
        <f t="shared" si="722"/>
        <v>0</v>
      </c>
      <c r="F853" s="11"/>
      <c r="G853" s="12"/>
      <c r="H853" s="13"/>
      <c r="I853" s="48">
        <f t="shared" si="723"/>
        <v>0</v>
      </c>
      <c r="J853" s="10">
        <f t="shared" si="724"/>
        <v>0</v>
      </c>
      <c r="L853" s="112" t="s">
        <v>227</v>
      </c>
      <c r="M853" s="113">
        <v>-10</v>
      </c>
      <c r="N853" s="114">
        <v>-10</v>
      </c>
      <c r="O853" s="115">
        <v>-10</v>
      </c>
      <c r="P853" s="116">
        <f t="shared" si="725"/>
        <v>-30</v>
      </c>
      <c r="Q853" s="113">
        <v>-10</v>
      </c>
      <c r="R853" s="114">
        <v>-10</v>
      </c>
      <c r="S853" s="115">
        <v>-10</v>
      </c>
      <c r="T853" s="117">
        <f t="shared" si="726"/>
        <v>-30</v>
      </c>
      <c r="U853" s="116">
        <f t="shared" si="727"/>
        <v>-60</v>
      </c>
      <c r="V853" s="59"/>
    </row>
    <row r="854" spans="1:22" x14ac:dyDescent="0.15">
      <c r="A854" s="60"/>
      <c r="B854" s="11"/>
      <c r="C854" s="12"/>
      <c r="D854" s="13"/>
      <c r="E854" s="10">
        <f t="shared" si="722"/>
        <v>0</v>
      </c>
      <c r="F854" s="11"/>
      <c r="G854" s="12"/>
      <c r="H854" s="13"/>
      <c r="I854" s="48">
        <f t="shared" si="723"/>
        <v>0</v>
      </c>
      <c r="J854" s="10">
        <f t="shared" si="724"/>
        <v>0</v>
      </c>
      <c r="L854" s="108" t="s">
        <v>226</v>
      </c>
      <c r="M854" s="109">
        <v>20</v>
      </c>
      <c r="N854" s="110">
        <v>20</v>
      </c>
      <c r="O854" s="111">
        <v>20</v>
      </c>
      <c r="P854" s="74">
        <f t="shared" si="725"/>
        <v>60</v>
      </c>
      <c r="Q854" s="109">
        <v>20</v>
      </c>
      <c r="R854" s="110">
        <v>20</v>
      </c>
      <c r="S854" s="111">
        <v>20</v>
      </c>
      <c r="T854" s="75">
        <f t="shared" si="726"/>
        <v>60</v>
      </c>
      <c r="U854" s="74">
        <f t="shared" si="727"/>
        <v>120</v>
      </c>
      <c r="V854" s="59" t="s">
        <v>228</v>
      </c>
    </row>
    <row r="855" spans="1:22" x14ac:dyDescent="0.15">
      <c r="A855" s="60"/>
      <c r="B855" s="11"/>
      <c r="C855" s="12"/>
      <c r="D855" s="13"/>
      <c r="E855" s="10">
        <f t="shared" si="722"/>
        <v>0</v>
      </c>
      <c r="F855" s="11"/>
      <c r="G855" s="12"/>
      <c r="H855" s="13"/>
      <c r="I855" s="48">
        <f t="shared" si="723"/>
        <v>0</v>
      </c>
      <c r="J855" s="10">
        <f t="shared" si="724"/>
        <v>0</v>
      </c>
      <c r="L855" s="112" t="s">
        <v>224</v>
      </c>
      <c r="M855" s="113">
        <v>-20</v>
      </c>
      <c r="N855" s="114">
        <v>-20</v>
      </c>
      <c r="O855" s="115">
        <v>-20</v>
      </c>
      <c r="P855" s="116">
        <f t="shared" si="725"/>
        <v>-60</v>
      </c>
      <c r="Q855" s="113">
        <v>-30</v>
      </c>
      <c r="R855" s="114">
        <v>-30</v>
      </c>
      <c r="S855" s="115">
        <v>-30</v>
      </c>
      <c r="T855" s="117">
        <f t="shared" si="726"/>
        <v>-90</v>
      </c>
      <c r="U855" s="116">
        <f t="shared" si="727"/>
        <v>-150</v>
      </c>
      <c r="V855" s="59"/>
    </row>
    <row r="856" spans="1:22" ht="14.25" thickBot="1" x14ac:dyDescent="0.2">
      <c r="A856" s="60"/>
      <c r="B856" s="11"/>
      <c r="C856" s="12"/>
      <c r="D856" s="13"/>
      <c r="E856" s="10">
        <f t="shared" si="722"/>
        <v>0</v>
      </c>
      <c r="F856" s="11"/>
      <c r="G856" s="12"/>
      <c r="H856" s="13"/>
      <c r="I856" s="48">
        <f t="shared" si="723"/>
        <v>0</v>
      </c>
      <c r="J856" s="10">
        <f t="shared" si="724"/>
        <v>0</v>
      </c>
      <c r="L856" s="108" t="s">
        <v>225</v>
      </c>
      <c r="M856" s="109">
        <v>112</v>
      </c>
      <c r="N856" s="110">
        <v>140</v>
      </c>
      <c r="O856" s="111">
        <v>98</v>
      </c>
      <c r="P856" s="74">
        <f t="shared" si="725"/>
        <v>350</v>
      </c>
      <c r="Q856" s="109">
        <v>112</v>
      </c>
      <c r="R856" s="110">
        <v>140</v>
      </c>
      <c r="S856" s="111">
        <v>98</v>
      </c>
      <c r="T856" s="75">
        <f t="shared" si="726"/>
        <v>350</v>
      </c>
      <c r="U856" s="74">
        <f t="shared" si="727"/>
        <v>700</v>
      </c>
      <c r="V856" s="59" t="s">
        <v>229</v>
      </c>
    </row>
    <row r="857" spans="1:22" ht="14.25" thickBot="1" x14ac:dyDescent="0.2">
      <c r="A857" s="29" t="s">
        <v>17</v>
      </c>
      <c r="B857" s="30">
        <f>SUM(B831:B856)</f>
        <v>0</v>
      </c>
      <c r="C857" s="31">
        <f>SUM(C831:C856)</f>
        <v>2</v>
      </c>
      <c r="D857" s="32">
        <f>SUM(D831:D856)</f>
        <v>2</v>
      </c>
      <c r="E857" s="33">
        <f>SUM(B857:D857)</f>
        <v>4</v>
      </c>
      <c r="F857" s="30">
        <f>SUM(F831:F856)</f>
        <v>2</v>
      </c>
      <c r="G857" s="31">
        <f>SUM(G831:G856)</f>
        <v>0</v>
      </c>
      <c r="H857" s="32">
        <f>SUM(H831:H856)</f>
        <v>2</v>
      </c>
      <c r="I857" s="33">
        <f>SUM(F857:H857)</f>
        <v>4</v>
      </c>
      <c r="J857" s="34">
        <f t="shared" si="724"/>
        <v>8</v>
      </c>
      <c r="L857" s="29" t="s">
        <v>17</v>
      </c>
      <c r="M857" s="30">
        <f>SUM(M831:M856)</f>
        <v>102</v>
      </c>
      <c r="N857" s="31">
        <f>SUM(N831:N856)</f>
        <v>130</v>
      </c>
      <c r="O857" s="32">
        <f>SUM(O831:O856)</f>
        <v>88</v>
      </c>
      <c r="P857" s="33">
        <f>SUM(M857:O857)</f>
        <v>320</v>
      </c>
      <c r="Q857" s="30">
        <f>SUM(Q831:Q856)</f>
        <v>92</v>
      </c>
      <c r="R857" s="31">
        <f>SUM(R831:R856)</f>
        <v>120</v>
      </c>
      <c r="S857" s="32">
        <f>SUM(S831:S856)</f>
        <v>78</v>
      </c>
      <c r="T857" s="33">
        <f>SUM(Q857:S857)</f>
        <v>290</v>
      </c>
      <c r="U857" s="34">
        <f t="shared" si="727"/>
        <v>610</v>
      </c>
    </row>
    <row r="858" spans="1:22" ht="14.25" thickBot="1" x14ac:dyDescent="0.2">
      <c r="A858" s="18" t="s">
        <v>18</v>
      </c>
      <c r="B858" s="44">
        <f>B830-B857</f>
        <v>0</v>
      </c>
      <c r="C858" s="45">
        <f t="shared" ref="C858:E858" si="728">C830-C857</f>
        <v>9</v>
      </c>
      <c r="D858" s="46">
        <f t="shared" si="728"/>
        <v>2</v>
      </c>
      <c r="E858" s="46">
        <f t="shared" si="728"/>
        <v>11</v>
      </c>
      <c r="F858" s="44">
        <f>F830-F857</f>
        <v>13</v>
      </c>
      <c r="G858" s="45">
        <f t="shared" ref="G858:I858" si="729">G830-G857</f>
        <v>18</v>
      </c>
      <c r="H858" s="46">
        <f t="shared" si="729"/>
        <v>1</v>
      </c>
      <c r="I858" s="46">
        <f t="shared" si="729"/>
        <v>32</v>
      </c>
      <c r="J858" s="24">
        <f t="shared" si="724"/>
        <v>43</v>
      </c>
      <c r="L858" s="18" t="s">
        <v>18</v>
      </c>
      <c r="M858" s="44">
        <f>M830-M857</f>
        <v>443</v>
      </c>
      <c r="N858" s="45">
        <f t="shared" ref="N858:P858" si="730">N830-N857</f>
        <v>503</v>
      </c>
      <c r="O858" s="46">
        <f t="shared" si="730"/>
        <v>337</v>
      </c>
      <c r="P858" s="46">
        <f t="shared" si="730"/>
        <v>1283</v>
      </c>
      <c r="Q858" s="44">
        <f>Q830-Q857</f>
        <v>679</v>
      </c>
      <c r="R858" s="45">
        <f t="shared" ref="R858:T858" si="731">R830-R857</f>
        <v>569</v>
      </c>
      <c r="S858" s="46">
        <f t="shared" si="731"/>
        <v>399</v>
      </c>
      <c r="T858" s="46">
        <f t="shared" si="731"/>
        <v>1647</v>
      </c>
      <c r="U858" s="24">
        <f t="shared" si="727"/>
        <v>2930</v>
      </c>
    </row>
  </sheetData>
  <mergeCells count="108">
    <mergeCell ref="U260:U261"/>
    <mergeCell ref="B260:E260"/>
    <mergeCell ref="F260:I260"/>
    <mergeCell ref="J260:J261"/>
    <mergeCell ref="M260:P260"/>
    <mergeCell ref="Q260:T260"/>
    <mergeCell ref="B346:E346"/>
    <mergeCell ref="F346:I346"/>
    <mergeCell ref="J346:J347"/>
    <mergeCell ref="M346:P346"/>
    <mergeCell ref="Q346:T346"/>
    <mergeCell ref="U346:U347"/>
    <mergeCell ref="U303:U304"/>
    <mergeCell ref="B303:E303"/>
    <mergeCell ref="F303:I303"/>
    <mergeCell ref="J303:J304"/>
    <mergeCell ref="M303:P303"/>
    <mergeCell ref="Q303:T303"/>
    <mergeCell ref="M389:P389"/>
    <mergeCell ref="Q389:T389"/>
    <mergeCell ref="A645:U645"/>
    <mergeCell ref="M604:P604"/>
    <mergeCell ref="Q604:T604"/>
    <mergeCell ref="B604:E604"/>
    <mergeCell ref="F604:I604"/>
    <mergeCell ref="B690:E690"/>
    <mergeCell ref="F690:I690"/>
    <mergeCell ref="M690:P690"/>
    <mergeCell ref="Q690:T690"/>
    <mergeCell ref="M647:P647"/>
    <mergeCell ref="M518:P518"/>
    <mergeCell ref="U432:U433"/>
    <mergeCell ref="B432:E432"/>
    <mergeCell ref="F432:I432"/>
    <mergeCell ref="J432:J433"/>
    <mergeCell ref="M432:P432"/>
    <mergeCell ref="U389:U390"/>
    <mergeCell ref="B389:E389"/>
    <mergeCell ref="F389:I389"/>
    <mergeCell ref="J389:J390"/>
    <mergeCell ref="J518:J519"/>
    <mergeCell ref="Q518:T518"/>
    <mergeCell ref="U2:U3"/>
    <mergeCell ref="B2:E2"/>
    <mergeCell ref="F2:I2"/>
    <mergeCell ref="J2:J3"/>
    <mergeCell ref="M2:P2"/>
    <mergeCell ref="Q2:T2"/>
    <mergeCell ref="U45:U46"/>
    <mergeCell ref="B45:E45"/>
    <mergeCell ref="F45:I45"/>
    <mergeCell ref="J45:J46"/>
    <mergeCell ref="M45:P45"/>
    <mergeCell ref="Q45:T45"/>
    <mergeCell ref="U88:U89"/>
    <mergeCell ref="B88:E88"/>
    <mergeCell ref="F88:I88"/>
    <mergeCell ref="J88:J89"/>
    <mergeCell ref="M88:P88"/>
    <mergeCell ref="Q88:T88"/>
    <mergeCell ref="U131:U132"/>
    <mergeCell ref="B131:E131"/>
    <mergeCell ref="F131:I131"/>
    <mergeCell ref="J131:J132"/>
    <mergeCell ref="M131:P131"/>
    <mergeCell ref="Q131:T131"/>
    <mergeCell ref="M174:P174"/>
    <mergeCell ref="Q174:T174"/>
    <mergeCell ref="U174:U175"/>
    <mergeCell ref="B174:E174"/>
    <mergeCell ref="F174:I174"/>
    <mergeCell ref="J174:J175"/>
    <mergeCell ref="U217:U218"/>
    <mergeCell ref="B217:E217"/>
    <mergeCell ref="F217:I217"/>
    <mergeCell ref="J217:J218"/>
    <mergeCell ref="M217:P217"/>
    <mergeCell ref="Q217:T217"/>
    <mergeCell ref="A216:U216"/>
    <mergeCell ref="U475:U476"/>
    <mergeCell ref="M561:P561"/>
    <mergeCell ref="Q561:T561"/>
    <mergeCell ref="B475:E475"/>
    <mergeCell ref="F475:I475"/>
    <mergeCell ref="J475:J476"/>
    <mergeCell ref="M475:P475"/>
    <mergeCell ref="Q475:T475"/>
    <mergeCell ref="B561:E561"/>
    <mergeCell ref="F561:I561"/>
    <mergeCell ref="U518:U519"/>
    <mergeCell ref="B518:E518"/>
    <mergeCell ref="F518:I518"/>
    <mergeCell ref="Q819:T819"/>
    <mergeCell ref="M819:P819"/>
    <mergeCell ref="Q776:T776"/>
    <mergeCell ref="M776:P776"/>
    <mergeCell ref="B819:E819"/>
    <mergeCell ref="F819:I819"/>
    <mergeCell ref="Q432:T432"/>
    <mergeCell ref="Q647:T647"/>
    <mergeCell ref="B647:E647"/>
    <mergeCell ref="F647:I647"/>
    <mergeCell ref="B776:E776"/>
    <mergeCell ref="F776:I776"/>
    <mergeCell ref="M733:P733"/>
    <mergeCell ref="Q733:T733"/>
    <mergeCell ref="B733:E733"/>
    <mergeCell ref="F733:I733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2024-08-16T06:54:12Z</cp:lastPrinted>
  <dcterms:created xsi:type="dcterms:W3CDTF">2021-10-25T05:05:40Z</dcterms:created>
  <dcterms:modified xsi:type="dcterms:W3CDTF">2026-07-15T02:59:41Z</dcterms:modified>
</cp:coreProperties>
</file>