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"/>
    </mc:Choice>
  </mc:AlternateContent>
  <xr:revisionPtr revIDLastSave="0" documentId="13_ncr:1_{6C868FC4-F12D-40FF-B652-EE843A805D8F}" xr6:coauthVersionLast="47" xr6:coauthVersionMax="47" xr10:uidLastSave="{00000000-0000-0000-0000-000000000000}"/>
  <bookViews>
    <workbookView xWindow="8625" yWindow="1590" windowWidth="13335" windowHeight="12450" activeTab="1" xr2:uid="{00000000-000D-0000-FFFF-FFFF00000000}"/>
  </bookViews>
  <sheets>
    <sheet name="黒杢ブラ" sheetId="4" r:id="rId1"/>
    <sheet name="黒杢レギンス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3" i="4" l="1"/>
  <c r="L204" i="4"/>
  <c r="L205" i="4"/>
  <c r="L206" i="4"/>
  <c r="L207" i="4"/>
  <c r="L208" i="4"/>
  <c r="L209" i="4"/>
  <c r="L210" i="4"/>
  <c r="L211" i="4"/>
  <c r="E186" i="4"/>
  <c r="E187" i="4"/>
  <c r="L178" i="4"/>
  <c r="L186" i="4"/>
  <c r="L187" i="4"/>
  <c r="L188" i="4"/>
  <c r="L189" i="4"/>
  <c r="L190" i="4"/>
  <c r="L191" i="4"/>
  <c r="K212" i="4"/>
  <c r="J212" i="4"/>
  <c r="I212" i="4"/>
  <c r="D212" i="4"/>
  <c r="C212" i="4"/>
  <c r="B212" i="4"/>
  <c r="E211" i="4"/>
  <c r="E210" i="4"/>
  <c r="E209" i="4"/>
  <c r="E208" i="4"/>
  <c r="E207" i="4"/>
  <c r="E206" i="4"/>
  <c r="E205" i="4"/>
  <c r="E204" i="4"/>
  <c r="E203" i="4"/>
  <c r="L202" i="4"/>
  <c r="E202" i="4"/>
  <c r="L201" i="4"/>
  <c r="E201" i="4"/>
  <c r="L200" i="4"/>
  <c r="E200" i="4"/>
  <c r="L199" i="4"/>
  <c r="E199" i="4"/>
  <c r="L198" i="4"/>
  <c r="E198" i="4"/>
  <c r="L197" i="4"/>
  <c r="E197" i="4"/>
  <c r="L196" i="4"/>
  <c r="E196" i="4"/>
  <c r="L195" i="4"/>
  <c r="E195" i="4"/>
  <c r="L194" i="4"/>
  <c r="E194" i="4"/>
  <c r="L193" i="4"/>
  <c r="E193" i="4"/>
  <c r="L192" i="4"/>
  <c r="E192" i="4"/>
  <c r="E191" i="4"/>
  <c r="E190" i="4"/>
  <c r="E189" i="4"/>
  <c r="E188" i="4"/>
  <c r="L184" i="4"/>
  <c r="E184" i="4"/>
  <c r="L183" i="4"/>
  <c r="E183" i="4"/>
  <c r="L182" i="4"/>
  <c r="E182" i="4"/>
  <c r="L181" i="4"/>
  <c r="E181" i="4"/>
  <c r="L180" i="4"/>
  <c r="E180" i="4"/>
  <c r="L179" i="4"/>
  <c r="E179" i="4"/>
  <c r="E178" i="4"/>
  <c r="L177" i="4"/>
  <c r="E177" i="4"/>
  <c r="B176" i="4"/>
  <c r="E186" i="5"/>
  <c r="E187" i="5"/>
  <c r="L205" i="5"/>
  <c r="L206" i="5"/>
  <c r="L207" i="5"/>
  <c r="L208" i="5"/>
  <c r="L209" i="5"/>
  <c r="L210" i="5"/>
  <c r="L211" i="5"/>
  <c r="L186" i="5"/>
  <c r="L187" i="5"/>
  <c r="L188" i="5"/>
  <c r="L189" i="5"/>
  <c r="L178" i="5"/>
  <c r="D212" i="5"/>
  <c r="C212" i="5"/>
  <c r="B212" i="5"/>
  <c r="E211" i="5"/>
  <c r="E210" i="5"/>
  <c r="K212" i="5"/>
  <c r="J212" i="5"/>
  <c r="E209" i="5"/>
  <c r="E208" i="5"/>
  <c r="E207" i="5"/>
  <c r="E206" i="5"/>
  <c r="E205" i="5"/>
  <c r="L204" i="5"/>
  <c r="E204" i="5"/>
  <c r="L203" i="5"/>
  <c r="E203" i="5"/>
  <c r="L202" i="5"/>
  <c r="E202" i="5"/>
  <c r="L201" i="5"/>
  <c r="E201" i="5"/>
  <c r="L200" i="5"/>
  <c r="E200" i="5"/>
  <c r="L199" i="5"/>
  <c r="E199" i="5"/>
  <c r="L198" i="5"/>
  <c r="E198" i="5"/>
  <c r="L197" i="5"/>
  <c r="E197" i="5"/>
  <c r="L196" i="5"/>
  <c r="E196" i="5"/>
  <c r="L195" i="5"/>
  <c r="E195" i="5"/>
  <c r="L194" i="5"/>
  <c r="E194" i="5"/>
  <c r="L193" i="5"/>
  <c r="E193" i="5"/>
  <c r="L192" i="5"/>
  <c r="E192" i="5"/>
  <c r="L191" i="5"/>
  <c r="E191" i="5"/>
  <c r="L190" i="5"/>
  <c r="E190" i="5"/>
  <c r="E189" i="5"/>
  <c r="E188" i="5"/>
  <c r="L184" i="5"/>
  <c r="E184" i="5"/>
  <c r="L183" i="5"/>
  <c r="E183" i="5"/>
  <c r="L182" i="5"/>
  <c r="E182" i="5"/>
  <c r="L181" i="5"/>
  <c r="E181" i="5"/>
  <c r="L180" i="5"/>
  <c r="E180" i="5"/>
  <c r="L179" i="5"/>
  <c r="E179" i="5"/>
  <c r="E178" i="5"/>
  <c r="L177" i="5"/>
  <c r="E177" i="5"/>
  <c r="B176" i="5"/>
  <c r="B185" i="5" s="1"/>
  <c r="L135" i="5"/>
  <c r="J169" i="5"/>
  <c r="I126" i="5"/>
  <c r="J126" i="4"/>
  <c r="L166" i="4"/>
  <c r="L165" i="4"/>
  <c r="L164" i="4"/>
  <c r="L163" i="4"/>
  <c r="L162" i="4"/>
  <c r="L161" i="4"/>
  <c r="L160" i="4"/>
  <c r="L166" i="5"/>
  <c r="L165" i="5"/>
  <c r="L164" i="5"/>
  <c r="L163" i="5"/>
  <c r="L162" i="5"/>
  <c r="L101" i="5"/>
  <c r="L106" i="4"/>
  <c r="D169" i="5"/>
  <c r="C169" i="5"/>
  <c r="B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1" i="5"/>
  <c r="E140" i="5"/>
  <c r="E139" i="5"/>
  <c r="E138" i="5"/>
  <c r="E137" i="5"/>
  <c r="E136" i="5"/>
  <c r="E135" i="5"/>
  <c r="E134" i="5"/>
  <c r="L119" i="5"/>
  <c r="L120" i="5"/>
  <c r="L121" i="5"/>
  <c r="L122" i="5"/>
  <c r="L123" i="5"/>
  <c r="L124" i="5"/>
  <c r="L143" i="5"/>
  <c r="I169" i="5"/>
  <c r="L168" i="5"/>
  <c r="L167" i="5"/>
  <c r="K169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1" i="5"/>
  <c r="L140" i="5"/>
  <c r="L139" i="5"/>
  <c r="L138" i="5"/>
  <c r="L137" i="5"/>
  <c r="L136" i="5"/>
  <c r="L134" i="5"/>
  <c r="E143" i="4"/>
  <c r="D169" i="4"/>
  <c r="C169" i="4"/>
  <c r="B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1" i="4"/>
  <c r="E140" i="4"/>
  <c r="E139" i="4"/>
  <c r="E138" i="4"/>
  <c r="E137" i="4"/>
  <c r="E136" i="4"/>
  <c r="E135" i="4"/>
  <c r="E134" i="4"/>
  <c r="L115" i="4"/>
  <c r="L116" i="4"/>
  <c r="L117" i="4"/>
  <c r="L118" i="4"/>
  <c r="L119" i="4"/>
  <c r="L120" i="4"/>
  <c r="L121" i="4"/>
  <c r="L122" i="4"/>
  <c r="L123" i="4"/>
  <c r="L124" i="4"/>
  <c r="L143" i="4"/>
  <c r="L158" i="4"/>
  <c r="L159" i="4"/>
  <c r="I169" i="4"/>
  <c r="L168" i="4"/>
  <c r="L167" i="4"/>
  <c r="K169" i="4"/>
  <c r="J169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1" i="4"/>
  <c r="L140" i="4"/>
  <c r="L139" i="4"/>
  <c r="L138" i="4"/>
  <c r="L137" i="4"/>
  <c r="L136" i="4"/>
  <c r="L135" i="4"/>
  <c r="L134" i="4"/>
  <c r="L113" i="4"/>
  <c r="L114" i="4"/>
  <c r="L118" i="5"/>
  <c r="L117" i="5"/>
  <c r="L116" i="5"/>
  <c r="L93" i="5"/>
  <c r="L94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91" i="5"/>
  <c r="E92" i="5"/>
  <c r="E93" i="5"/>
  <c r="E94" i="5"/>
  <c r="E95" i="5"/>
  <c r="E96" i="5"/>
  <c r="J126" i="5"/>
  <c r="D126" i="5"/>
  <c r="C126" i="5"/>
  <c r="B126" i="5"/>
  <c r="E125" i="5"/>
  <c r="E124" i="5"/>
  <c r="E123" i="5"/>
  <c r="E122" i="5"/>
  <c r="E121" i="5"/>
  <c r="E120" i="5"/>
  <c r="E119" i="5"/>
  <c r="E118" i="5"/>
  <c r="E117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0" i="5"/>
  <c r="L98" i="5"/>
  <c r="E98" i="5"/>
  <c r="L97" i="5"/>
  <c r="E97" i="5"/>
  <c r="L96" i="5"/>
  <c r="L95" i="5"/>
  <c r="L92" i="5"/>
  <c r="L91" i="5"/>
  <c r="L100" i="4"/>
  <c r="L101" i="4"/>
  <c r="L92" i="4"/>
  <c r="L93" i="4"/>
  <c r="L94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91" i="4"/>
  <c r="E92" i="4"/>
  <c r="E93" i="4"/>
  <c r="E94" i="4"/>
  <c r="E95" i="4"/>
  <c r="I126" i="4"/>
  <c r="D126" i="4"/>
  <c r="C126" i="4"/>
  <c r="B126" i="4"/>
  <c r="E125" i="4"/>
  <c r="E124" i="4"/>
  <c r="E123" i="4"/>
  <c r="E122" i="4"/>
  <c r="E121" i="4"/>
  <c r="E120" i="4"/>
  <c r="E119" i="4"/>
  <c r="E118" i="4"/>
  <c r="E117" i="4"/>
  <c r="E116" i="4"/>
  <c r="L112" i="4"/>
  <c r="L111" i="4"/>
  <c r="L110" i="4"/>
  <c r="L109" i="4"/>
  <c r="L108" i="4"/>
  <c r="L107" i="4"/>
  <c r="L105" i="4"/>
  <c r="L104" i="4"/>
  <c r="L103" i="4"/>
  <c r="L102" i="4"/>
  <c r="L98" i="4"/>
  <c r="E98" i="4"/>
  <c r="L97" i="4"/>
  <c r="E97" i="4"/>
  <c r="L96" i="4"/>
  <c r="E96" i="4"/>
  <c r="L95" i="4"/>
  <c r="L91" i="4"/>
  <c r="E19" i="5"/>
  <c r="E70" i="5"/>
  <c r="L59" i="5"/>
  <c r="J56" i="4"/>
  <c r="K56" i="4"/>
  <c r="L56" i="4"/>
  <c r="I56" i="4"/>
  <c r="K83" i="4"/>
  <c r="K84" i="4" s="1"/>
  <c r="K90" i="4" s="1"/>
  <c r="K99" i="4" s="1"/>
  <c r="J83" i="4"/>
  <c r="J84" i="4" s="1"/>
  <c r="J90" i="4" s="1"/>
  <c r="J99" i="4" s="1"/>
  <c r="I83" i="4"/>
  <c r="J40" i="4"/>
  <c r="K40" i="4"/>
  <c r="K41" i="4" s="1"/>
  <c r="L40" i="4"/>
  <c r="L41" i="4" s="1"/>
  <c r="J41" i="4"/>
  <c r="I41" i="4"/>
  <c r="I40" i="4"/>
  <c r="J13" i="4"/>
  <c r="K13" i="4"/>
  <c r="L13" i="4"/>
  <c r="I13" i="4"/>
  <c r="J56" i="5"/>
  <c r="K56" i="5"/>
  <c r="I56" i="5"/>
  <c r="J47" i="5"/>
  <c r="K47" i="5"/>
  <c r="L47" i="5"/>
  <c r="I47" i="5"/>
  <c r="K83" i="5"/>
  <c r="J83" i="5"/>
  <c r="I83" i="5"/>
  <c r="J40" i="5"/>
  <c r="K40" i="5"/>
  <c r="K41" i="5" s="1"/>
  <c r="L40" i="5"/>
  <c r="L41" i="5" s="1"/>
  <c r="J41" i="5"/>
  <c r="I41" i="5"/>
  <c r="I40" i="5"/>
  <c r="E61" i="4"/>
  <c r="E60" i="4"/>
  <c r="E59" i="4"/>
  <c r="E58" i="4"/>
  <c r="E60" i="5"/>
  <c r="E59" i="5"/>
  <c r="E58" i="5"/>
  <c r="L57" i="4"/>
  <c r="L57" i="5"/>
  <c r="L81" i="4"/>
  <c r="L81" i="5"/>
  <c r="L17" i="4"/>
  <c r="L16" i="4"/>
  <c r="S14" i="5"/>
  <c r="S14" i="4"/>
  <c r="L82" i="4"/>
  <c r="R40" i="5"/>
  <c r="Q40" i="5"/>
  <c r="P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R13" i="5"/>
  <c r="R41" i="5" s="1"/>
  <c r="Q13" i="5"/>
  <c r="P13" i="5"/>
  <c r="S12" i="5"/>
  <c r="S11" i="5"/>
  <c r="S10" i="5"/>
  <c r="S9" i="5"/>
  <c r="S8" i="5"/>
  <c r="S7" i="5"/>
  <c r="S6" i="5"/>
  <c r="S5" i="5"/>
  <c r="S4" i="5"/>
  <c r="R40" i="4"/>
  <c r="Q40" i="4"/>
  <c r="P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R13" i="4"/>
  <c r="R41" i="4" s="1"/>
  <c r="Q13" i="4"/>
  <c r="P13" i="4"/>
  <c r="S12" i="4"/>
  <c r="S11" i="4"/>
  <c r="S10" i="4"/>
  <c r="S9" i="4"/>
  <c r="S8" i="4"/>
  <c r="S7" i="4"/>
  <c r="S6" i="4"/>
  <c r="S5" i="4"/>
  <c r="S4" i="4"/>
  <c r="D83" i="5"/>
  <c r="C83" i="5"/>
  <c r="B83" i="5"/>
  <c r="L82" i="5"/>
  <c r="E82" i="5"/>
  <c r="E81" i="5"/>
  <c r="L80" i="5"/>
  <c r="E80" i="5"/>
  <c r="L79" i="5"/>
  <c r="E79" i="5"/>
  <c r="L78" i="5"/>
  <c r="E78" i="5"/>
  <c r="L77" i="5"/>
  <c r="E77" i="5"/>
  <c r="L76" i="5"/>
  <c r="E76" i="5"/>
  <c r="L75" i="5"/>
  <c r="E75" i="5"/>
  <c r="L74" i="5"/>
  <c r="E74" i="5"/>
  <c r="L73" i="5"/>
  <c r="E73" i="5"/>
  <c r="L72" i="5"/>
  <c r="E72" i="5"/>
  <c r="L71" i="5"/>
  <c r="E71" i="5"/>
  <c r="L70" i="5"/>
  <c r="L69" i="5"/>
  <c r="E69" i="5"/>
  <c r="L68" i="5"/>
  <c r="E68" i="5"/>
  <c r="L67" i="5"/>
  <c r="E67" i="5"/>
  <c r="L66" i="5"/>
  <c r="E66" i="5"/>
  <c r="L65" i="5"/>
  <c r="E65" i="5"/>
  <c r="L64" i="5"/>
  <c r="E64" i="5"/>
  <c r="L63" i="5"/>
  <c r="E63" i="5"/>
  <c r="L62" i="5"/>
  <c r="E62" i="5"/>
  <c r="L61" i="5"/>
  <c r="E61" i="5"/>
  <c r="L60" i="5"/>
  <c r="L58" i="5"/>
  <c r="E57" i="5"/>
  <c r="L55" i="5"/>
  <c r="E55" i="5"/>
  <c r="L54" i="5"/>
  <c r="E54" i="5"/>
  <c r="L53" i="5"/>
  <c r="E53" i="5"/>
  <c r="L52" i="5"/>
  <c r="L56" i="5" s="1"/>
  <c r="E52" i="5"/>
  <c r="L51" i="5"/>
  <c r="E51" i="5"/>
  <c r="L50" i="5"/>
  <c r="E50" i="5"/>
  <c r="L49" i="5"/>
  <c r="E49" i="5"/>
  <c r="L48" i="5"/>
  <c r="E48" i="5"/>
  <c r="D40" i="5"/>
  <c r="C40" i="5"/>
  <c r="B40" i="5"/>
  <c r="L39" i="5"/>
  <c r="E39" i="5"/>
  <c r="L38" i="5"/>
  <c r="E38" i="5"/>
  <c r="L37" i="5"/>
  <c r="E37" i="5"/>
  <c r="L36" i="5"/>
  <c r="E36" i="5"/>
  <c r="L35" i="5"/>
  <c r="E35" i="5"/>
  <c r="L34" i="5"/>
  <c r="E34" i="5"/>
  <c r="L33" i="5"/>
  <c r="E33" i="5"/>
  <c r="L32" i="5"/>
  <c r="E32" i="5"/>
  <c r="L31" i="5"/>
  <c r="E31" i="5"/>
  <c r="L30" i="5"/>
  <c r="E30" i="5"/>
  <c r="L29" i="5"/>
  <c r="E29" i="5"/>
  <c r="L28" i="5"/>
  <c r="E28" i="5"/>
  <c r="L27" i="5"/>
  <c r="E27" i="5"/>
  <c r="L26" i="5"/>
  <c r="E26" i="5"/>
  <c r="L25" i="5"/>
  <c r="E25" i="5"/>
  <c r="L24" i="5"/>
  <c r="E24" i="5"/>
  <c r="L23" i="5"/>
  <c r="E23" i="5"/>
  <c r="L22" i="5"/>
  <c r="E22" i="5"/>
  <c r="L21" i="5"/>
  <c r="E21" i="5"/>
  <c r="L20" i="5"/>
  <c r="E20" i="5"/>
  <c r="L19" i="5"/>
  <c r="L18" i="5"/>
  <c r="E18" i="5"/>
  <c r="L17" i="5"/>
  <c r="E17" i="5"/>
  <c r="L16" i="5"/>
  <c r="E16" i="5"/>
  <c r="L15" i="5"/>
  <c r="E15" i="5"/>
  <c r="L14" i="5"/>
  <c r="E14" i="5"/>
  <c r="K13" i="5"/>
  <c r="J13" i="5"/>
  <c r="I13" i="5"/>
  <c r="D13" i="5"/>
  <c r="C13" i="5"/>
  <c r="B13" i="5"/>
  <c r="L12" i="5"/>
  <c r="E12" i="5"/>
  <c r="L11" i="5"/>
  <c r="E11" i="5"/>
  <c r="L10" i="5"/>
  <c r="E10" i="5"/>
  <c r="L9" i="5"/>
  <c r="E9" i="5"/>
  <c r="L8" i="5"/>
  <c r="E8" i="5"/>
  <c r="L7" i="5"/>
  <c r="E7" i="5"/>
  <c r="L6" i="5"/>
  <c r="E6" i="5"/>
  <c r="L5" i="5"/>
  <c r="E5" i="5"/>
  <c r="L4" i="5"/>
  <c r="E4" i="5"/>
  <c r="E57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L75" i="4"/>
  <c r="L76" i="4"/>
  <c r="L77" i="4"/>
  <c r="L78" i="4"/>
  <c r="L79" i="4"/>
  <c r="L80" i="4"/>
  <c r="L58" i="4"/>
  <c r="L59" i="4"/>
  <c r="L60" i="4"/>
  <c r="L61" i="4"/>
  <c r="L62" i="4"/>
  <c r="L63" i="4"/>
  <c r="L49" i="4"/>
  <c r="L50" i="4"/>
  <c r="L51" i="4"/>
  <c r="L52" i="4"/>
  <c r="L34" i="4"/>
  <c r="L35" i="4"/>
  <c r="L36" i="4"/>
  <c r="L37" i="4"/>
  <c r="L38" i="4"/>
  <c r="L5" i="4"/>
  <c r="L6" i="4"/>
  <c r="L7" i="4"/>
  <c r="L8" i="4"/>
  <c r="E34" i="4"/>
  <c r="L33" i="4"/>
  <c r="L31" i="4"/>
  <c r="L26" i="4"/>
  <c r="L25" i="4"/>
  <c r="L22" i="4"/>
  <c r="D40" i="4"/>
  <c r="L39" i="4"/>
  <c r="L53" i="4"/>
  <c r="L15" i="4"/>
  <c r="L55" i="4"/>
  <c r="L9" i="4"/>
  <c r="L48" i="4"/>
  <c r="L54" i="4"/>
  <c r="L64" i="4"/>
  <c r="L65" i="4"/>
  <c r="L66" i="4"/>
  <c r="L67" i="4"/>
  <c r="L68" i="4"/>
  <c r="L69" i="4"/>
  <c r="L70" i="4"/>
  <c r="L71" i="4"/>
  <c r="L72" i="4"/>
  <c r="L73" i="4"/>
  <c r="L74" i="4"/>
  <c r="E48" i="4"/>
  <c r="E49" i="4"/>
  <c r="E50" i="4"/>
  <c r="E51" i="4"/>
  <c r="E52" i="4"/>
  <c r="E53" i="4"/>
  <c r="E54" i="4"/>
  <c r="E55" i="4"/>
  <c r="E76" i="4"/>
  <c r="E77" i="4"/>
  <c r="E78" i="4"/>
  <c r="E79" i="4"/>
  <c r="E80" i="4"/>
  <c r="E81" i="4"/>
  <c r="E82" i="4"/>
  <c r="B83" i="4"/>
  <c r="C83" i="4"/>
  <c r="D83" i="4"/>
  <c r="L4" i="4"/>
  <c r="L10" i="4"/>
  <c r="L11" i="4"/>
  <c r="L12" i="4"/>
  <c r="L14" i="4"/>
  <c r="L18" i="4"/>
  <c r="L19" i="4"/>
  <c r="L20" i="4"/>
  <c r="L21" i="4"/>
  <c r="L23" i="4"/>
  <c r="L24" i="4"/>
  <c r="L27" i="4"/>
  <c r="L28" i="4"/>
  <c r="L29" i="4"/>
  <c r="L30" i="4"/>
  <c r="L32" i="4"/>
  <c r="B13" i="4"/>
  <c r="B40" i="4"/>
  <c r="C13" i="4"/>
  <c r="C40" i="4"/>
  <c r="D13" i="4"/>
  <c r="E39" i="4"/>
  <c r="E38" i="4"/>
  <c r="E37" i="4"/>
  <c r="E36" i="4"/>
  <c r="E35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2" i="4"/>
  <c r="E11" i="4"/>
  <c r="E10" i="4"/>
  <c r="E9" i="4"/>
  <c r="E8" i="4"/>
  <c r="E7" i="4"/>
  <c r="E6" i="4"/>
  <c r="E5" i="4"/>
  <c r="E4" i="4"/>
  <c r="E169" i="4" l="1"/>
  <c r="E169" i="5"/>
  <c r="L212" i="4"/>
  <c r="E212" i="4"/>
  <c r="B185" i="4"/>
  <c r="E212" i="5"/>
  <c r="L212" i="5"/>
  <c r="B213" i="5"/>
  <c r="I212" i="5"/>
  <c r="I213" i="5" s="1"/>
  <c r="E126" i="4"/>
  <c r="I84" i="5"/>
  <c r="I90" i="5" s="1"/>
  <c r="I99" i="5" s="1"/>
  <c r="I127" i="5" s="1"/>
  <c r="I133" i="5" s="1"/>
  <c r="I142" i="5" s="1"/>
  <c r="I170" i="5" s="1"/>
  <c r="I176" i="5" s="1"/>
  <c r="I185" i="5" s="1"/>
  <c r="L125" i="5"/>
  <c r="L125" i="4"/>
  <c r="L126" i="4" s="1"/>
  <c r="K126" i="5"/>
  <c r="L169" i="5"/>
  <c r="K126" i="4"/>
  <c r="K127" i="4" s="1"/>
  <c r="K133" i="4" s="1"/>
  <c r="K142" i="4" s="1"/>
  <c r="K170" i="4" s="1"/>
  <c r="K176" i="4" s="1"/>
  <c r="K185" i="4" s="1"/>
  <c r="K213" i="4" s="1"/>
  <c r="L169" i="4"/>
  <c r="L126" i="5"/>
  <c r="E126" i="5"/>
  <c r="J127" i="4"/>
  <c r="J133" i="4" s="1"/>
  <c r="J142" i="4" s="1"/>
  <c r="J170" i="4" s="1"/>
  <c r="J176" i="4" s="1"/>
  <c r="J185" i="4" s="1"/>
  <c r="J213" i="4" s="1"/>
  <c r="I99" i="4"/>
  <c r="I127" i="4" s="1"/>
  <c r="I133" i="4" s="1"/>
  <c r="I142" i="4" s="1"/>
  <c r="I170" i="4" s="1"/>
  <c r="I176" i="4" s="1"/>
  <c r="I185" i="4" s="1"/>
  <c r="I213" i="4" s="1"/>
  <c r="L83" i="5"/>
  <c r="L83" i="4"/>
  <c r="L84" i="4" s="1"/>
  <c r="I84" i="4"/>
  <c r="I90" i="4" s="1"/>
  <c r="L90" i="4" s="1"/>
  <c r="L99" i="4" s="1"/>
  <c r="E83" i="5"/>
  <c r="E83" i="4"/>
  <c r="C41" i="5"/>
  <c r="C47" i="5" s="1"/>
  <c r="C56" i="5" s="1"/>
  <c r="C84" i="5" s="1"/>
  <c r="C90" i="5" s="1"/>
  <c r="C99" i="5" s="1"/>
  <c r="C127" i="5" s="1"/>
  <c r="C133" i="5" s="1"/>
  <c r="C142" i="5" s="1"/>
  <c r="C170" i="5" s="1"/>
  <c r="C176" i="5" s="1"/>
  <c r="C185" i="5" s="1"/>
  <c r="C213" i="5" s="1"/>
  <c r="D41" i="5"/>
  <c r="D47" i="5" s="1"/>
  <c r="D56" i="5" s="1"/>
  <c r="D84" i="5" s="1"/>
  <c r="D90" i="5" s="1"/>
  <c r="D99" i="5" s="1"/>
  <c r="D127" i="5" s="1"/>
  <c r="D133" i="5" s="1"/>
  <c r="D142" i="5" s="1"/>
  <c r="D170" i="5" s="1"/>
  <c r="D176" i="5" s="1"/>
  <c r="E40" i="5"/>
  <c r="E13" i="5"/>
  <c r="K84" i="5"/>
  <c r="K90" i="5" s="1"/>
  <c r="K99" i="5" s="1"/>
  <c r="J84" i="5"/>
  <c r="J90" i="5" s="1"/>
  <c r="J99" i="5" s="1"/>
  <c r="J127" i="5" s="1"/>
  <c r="J133" i="5" s="1"/>
  <c r="J142" i="5" s="1"/>
  <c r="J170" i="5" s="1"/>
  <c r="J176" i="5" s="1"/>
  <c r="J185" i="5" s="1"/>
  <c r="J213" i="5" s="1"/>
  <c r="S13" i="4"/>
  <c r="S13" i="5"/>
  <c r="Q41" i="5"/>
  <c r="S40" i="5"/>
  <c r="P41" i="5"/>
  <c r="Q41" i="4"/>
  <c r="S40" i="4"/>
  <c r="P41" i="4"/>
  <c r="L13" i="5"/>
  <c r="B41" i="5"/>
  <c r="B41" i="4"/>
  <c r="B47" i="4" s="1"/>
  <c r="K47" i="4"/>
  <c r="D41" i="4"/>
  <c r="D47" i="4" s="1"/>
  <c r="D56" i="4" s="1"/>
  <c r="D84" i="4" s="1"/>
  <c r="D90" i="4" s="1"/>
  <c r="D99" i="4" s="1"/>
  <c r="D127" i="4" s="1"/>
  <c r="D133" i="4" s="1"/>
  <c r="D142" i="4" s="1"/>
  <c r="D170" i="4" s="1"/>
  <c r="D176" i="4" s="1"/>
  <c r="D185" i="4" s="1"/>
  <c r="D213" i="4" s="1"/>
  <c r="E13" i="4"/>
  <c r="I47" i="4"/>
  <c r="J47" i="4"/>
  <c r="E40" i="4"/>
  <c r="C41" i="4"/>
  <c r="C47" i="4" s="1"/>
  <c r="C56" i="4" s="1"/>
  <c r="C84" i="4" s="1"/>
  <c r="C90" i="4" s="1"/>
  <c r="C99" i="4" s="1"/>
  <c r="C127" i="4" s="1"/>
  <c r="C133" i="4" s="1"/>
  <c r="C142" i="4" s="1"/>
  <c r="C170" i="4" s="1"/>
  <c r="C176" i="4" s="1"/>
  <c r="C185" i="4" s="1"/>
  <c r="C213" i="4" s="1"/>
  <c r="L176" i="4" l="1"/>
  <c r="L185" i="4" s="1"/>
  <c r="L213" i="4" s="1"/>
  <c r="E176" i="4"/>
  <c r="D185" i="5"/>
  <c r="E176" i="5"/>
  <c r="E185" i="4"/>
  <c r="B213" i="4"/>
  <c r="E213" i="4" s="1"/>
  <c r="K127" i="5"/>
  <c r="K133" i="5" s="1"/>
  <c r="K142" i="5" s="1"/>
  <c r="K170" i="5" s="1"/>
  <c r="K176" i="5" s="1"/>
  <c r="K185" i="5" s="1"/>
  <c r="K213" i="5" s="1"/>
  <c r="L133" i="4"/>
  <c r="L142" i="4" s="1"/>
  <c r="L170" i="4" s="1"/>
  <c r="L127" i="4"/>
  <c r="S41" i="4"/>
  <c r="S41" i="5"/>
  <c r="E41" i="5"/>
  <c r="B47" i="5"/>
  <c r="E47" i="4"/>
  <c r="B56" i="4"/>
  <c r="B84" i="4" s="1"/>
  <c r="B90" i="4" s="1"/>
  <c r="B99" i="4" s="1"/>
  <c r="E99" i="4" s="1"/>
  <c r="L47" i="4"/>
  <c r="E41" i="4"/>
  <c r="D213" i="5" l="1"/>
  <c r="E213" i="5" s="1"/>
  <c r="E185" i="5"/>
  <c r="B127" i="4"/>
  <c r="E90" i="4"/>
  <c r="E56" i="4"/>
  <c r="L84" i="5"/>
  <c r="L90" i="5" s="1"/>
  <c r="L99" i="5" s="1"/>
  <c r="L127" i="5" s="1"/>
  <c r="L133" i="5" s="1"/>
  <c r="L142" i="5" s="1"/>
  <c r="L170" i="5" s="1"/>
  <c r="L176" i="5" s="1"/>
  <c r="L185" i="5" s="1"/>
  <c r="L213" i="5" s="1"/>
  <c r="E47" i="5"/>
  <c r="B56" i="5"/>
  <c r="E84" i="4"/>
  <c r="E127" i="4" l="1"/>
  <c r="B133" i="4"/>
  <c r="B84" i="5"/>
  <c r="E56" i="5"/>
  <c r="B142" i="4" l="1"/>
  <c r="E133" i="4"/>
  <c r="E84" i="5"/>
  <c r="B90" i="5"/>
  <c r="B170" i="4" l="1"/>
  <c r="E170" i="4" s="1"/>
  <c r="E142" i="4"/>
  <c r="E90" i="5"/>
  <c r="B99" i="5"/>
  <c r="E99" i="5" l="1"/>
  <c r="B127" i="5"/>
  <c r="E127" i="5" l="1"/>
  <c r="B133" i="5"/>
  <c r="B142" i="5" l="1"/>
  <c r="E133" i="5"/>
  <c r="B170" i="5" l="1"/>
  <c r="E170" i="5" s="1"/>
  <c r="E142" i="5"/>
</calcChain>
</file>

<file path=xl/sharedStrings.xml><?xml version="1.0" encoding="utf-8"?>
<sst xmlns="http://schemas.openxmlformats.org/spreadsheetml/2006/main" count="668" uniqueCount="130">
  <si>
    <t>カラー</t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</si>
  <si>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</si>
  <si>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</si>
  <si>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</si>
  <si>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</si>
  <si>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</si>
  <si>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</si>
  <si>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</si>
  <si>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</si>
  <si>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</si>
  <si>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</si>
  <si>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</si>
  <si>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</si>
  <si>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</si>
  <si>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</si>
  <si>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</si>
  <si>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</si>
  <si>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6"/>
  </si>
  <si>
    <t>残在庫</t>
    <rPh sb="0" eb="1">
      <t>ザン</t>
    </rPh>
    <rPh sb="1" eb="3">
      <t>ザイコ</t>
    </rPh>
    <phoneticPr fontId="2"/>
  </si>
  <si>
    <t>　</t>
    <phoneticPr fontId="6"/>
  </si>
  <si>
    <t>黒杢　ブラ</t>
    <rPh sb="0" eb="1">
      <t>クロ</t>
    </rPh>
    <rPh sb="1" eb="2">
      <t>モク</t>
    </rPh>
    <phoneticPr fontId="6"/>
  </si>
  <si>
    <t>黒杢　ブラ（夢販在庫）</t>
    <rPh sb="0" eb="2">
      <t>クロモク</t>
    </rPh>
    <rPh sb="6" eb="8">
      <t>ユメハン</t>
    </rPh>
    <rPh sb="8" eb="10">
      <t>ザイコ</t>
    </rPh>
    <phoneticPr fontId="2"/>
  </si>
  <si>
    <t xml:space="preserve">初回 </t>
    <rPh sb="0" eb="2">
      <t>ショカイ</t>
    </rPh>
    <phoneticPr fontId="2"/>
  </si>
  <si>
    <t>黒杢　レギンス（夢販在庫）</t>
    <rPh sb="0" eb="2">
      <t>クロモク</t>
    </rPh>
    <rPh sb="8" eb="10">
      <t>ユメハン</t>
    </rPh>
    <rPh sb="10" eb="12">
      <t>ザイコ</t>
    </rPh>
    <phoneticPr fontId="2"/>
  </si>
  <si>
    <t>黒杢　レギンス</t>
    <rPh sb="0" eb="1">
      <t>クロ</t>
    </rPh>
    <rPh sb="1" eb="2">
      <t>モク</t>
    </rPh>
    <phoneticPr fontId="6"/>
  </si>
  <si>
    <t>黒杢　レギンス（K-PORT在庫）</t>
    <rPh sb="0" eb="2">
      <t>クロモク</t>
    </rPh>
    <rPh sb="14" eb="16">
      <t>ザイコ</t>
    </rPh>
    <phoneticPr fontId="2"/>
  </si>
  <si>
    <t>アテニア5月号</t>
    <rPh sb="5" eb="7">
      <t>ガツゴウ</t>
    </rPh>
    <phoneticPr fontId="6"/>
  </si>
  <si>
    <t>4月納品</t>
    <rPh sb="1" eb="4">
      <t>ガツノウヒン</t>
    </rPh>
    <phoneticPr fontId="6"/>
  </si>
  <si>
    <t>黒杢　レギンス（ジーエフ倉庫在庫）</t>
    <rPh sb="0" eb="2">
      <t>クロモク</t>
    </rPh>
    <rPh sb="12" eb="14">
      <t>ソウコ</t>
    </rPh>
    <rPh sb="14" eb="16">
      <t>ザイコ</t>
    </rPh>
    <phoneticPr fontId="2"/>
  </si>
  <si>
    <t>黒杢　ブラ（ジーエフ倉庫在庫）</t>
    <rPh sb="0" eb="2">
      <t>クロモク</t>
    </rPh>
    <rPh sb="10" eb="12">
      <t>ソウコ</t>
    </rPh>
    <rPh sb="12" eb="14">
      <t>ザイコ</t>
    </rPh>
    <phoneticPr fontId="2"/>
  </si>
  <si>
    <t>追加２　　アテニア分</t>
    <rPh sb="0" eb="2">
      <t>ツイカ</t>
    </rPh>
    <rPh sb="9" eb="10">
      <t>ブン</t>
    </rPh>
    <phoneticPr fontId="2"/>
  </si>
  <si>
    <t>点5/22、アバウト・初回6/3、最終6/9</t>
    <rPh sb="0" eb="1">
      <t>テン</t>
    </rPh>
    <rPh sb="11" eb="13">
      <t>ショカイ</t>
    </rPh>
    <rPh sb="17" eb="19">
      <t>サイシュウ</t>
    </rPh>
    <phoneticPr fontId="6"/>
  </si>
  <si>
    <t>パルシステム（コトコト）6月2回差分予測</t>
    <rPh sb="13" eb="14">
      <t>ガツ</t>
    </rPh>
    <rPh sb="15" eb="16">
      <t>カイ</t>
    </rPh>
    <rPh sb="16" eb="18">
      <t>サブン</t>
    </rPh>
    <rPh sb="18" eb="20">
      <t>ヨソク</t>
    </rPh>
    <phoneticPr fontId="6"/>
  </si>
  <si>
    <t>パルシステム（コトコト）6月2回差分予測</t>
    <rPh sb="13" eb="14">
      <t>ガツ</t>
    </rPh>
    <rPh sb="15" eb="16">
      <t>カイ</t>
    </rPh>
    <rPh sb="16" eb="20">
      <t>サブンヨソク</t>
    </rPh>
    <phoneticPr fontId="6"/>
  </si>
  <si>
    <t xml:space="preserve">追加３ </t>
    <rPh sb="0" eb="2">
      <t>ツイカ</t>
    </rPh>
    <phoneticPr fontId="2"/>
  </si>
  <si>
    <t>3/29ship</t>
    <phoneticPr fontId="6"/>
  </si>
  <si>
    <t>3/29ship</t>
    <phoneticPr fontId="6"/>
  </si>
  <si>
    <t>GF倉庫にて出荷予定</t>
    <rPh sb="2" eb="4">
      <t>ソウコ</t>
    </rPh>
    <rPh sb="6" eb="8">
      <t>シュッカ</t>
    </rPh>
    <rPh sb="8" eb="10">
      <t>ヨテイ</t>
    </rPh>
    <phoneticPr fontId="6"/>
  </si>
  <si>
    <t>GF倉庫出荷予定</t>
    <rPh sb="2" eb="4">
      <t>ソウコ</t>
    </rPh>
    <rPh sb="4" eb="6">
      <t>シュッカ</t>
    </rPh>
    <rPh sb="6" eb="8">
      <t>ヨテイ</t>
    </rPh>
    <phoneticPr fontId="6"/>
  </si>
  <si>
    <t>過入荷分</t>
    <rPh sb="0" eb="4">
      <t>カニュウカブン</t>
    </rPh>
    <phoneticPr fontId="2"/>
  </si>
  <si>
    <t>過不足分</t>
    <rPh sb="0" eb="4">
      <t>カブソクブン</t>
    </rPh>
    <phoneticPr fontId="2"/>
  </si>
  <si>
    <t>夢販</t>
    <rPh sb="0" eb="2">
      <t>ユメハン</t>
    </rPh>
    <phoneticPr fontId="6"/>
  </si>
  <si>
    <t>2025/4/7数伝</t>
    <rPh sb="8" eb="9">
      <t>スウ</t>
    </rPh>
    <rPh sb="9" eb="10">
      <t>デン</t>
    </rPh>
    <phoneticPr fontId="6"/>
  </si>
  <si>
    <t>夢販</t>
    <rPh sb="0" eb="2">
      <t>ユメハン</t>
    </rPh>
    <phoneticPr fontId="6"/>
  </si>
  <si>
    <t>2025/4/5数伝</t>
    <rPh sb="8" eb="10">
      <t>スウデン</t>
    </rPh>
    <phoneticPr fontId="6"/>
  </si>
  <si>
    <t>牧野</t>
    <rPh sb="0" eb="2">
      <t>マキノ</t>
    </rPh>
    <phoneticPr fontId="6"/>
  </si>
  <si>
    <t>パルシステム（コトコト）上下セット6月2回①</t>
    <rPh sb="12" eb="14">
      <t>ジョウゲ</t>
    </rPh>
    <rPh sb="18" eb="19">
      <t>ガツ</t>
    </rPh>
    <rPh sb="20" eb="21">
      <t>カイ</t>
    </rPh>
    <phoneticPr fontId="6"/>
  </si>
  <si>
    <t>パルシステム（コトコト）上下セット6月2回</t>
    <rPh sb="12" eb="14">
      <t>ジョウゲ</t>
    </rPh>
    <rPh sb="18" eb="19">
      <t>ガツ</t>
    </rPh>
    <rPh sb="20" eb="21">
      <t>カイ</t>
    </rPh>
    <phoneticPr fontId="6"/>
  </si>
  <si>
    <t>ネット</t>
    <phoneticPr fontId="6"/>
  </si>
  <si>
    <t>JODメルシー0624/3点セット</t>
    <rPh sb="13" eb="14">
      <t>テン</t>
    </rPh>
    <phoneticPr fontId="6"/>
  </si>
  <si>
    <t>6/24～</t>
    <phoneticPr fontId="6"/>
  </si>
  <si>
    <t>パルシステム（コトコト）上下セット6月2回②</t>
    <rPh sb="12" eb="14">
      <t>ジョウゲ</t>
    </rPh>
    <rPh sb="18" eb="19">
      <t>ガツ</t>
    </rPh>
    <rPh sb="20" eb="21">
      <t>カイ</t>
    </rPh>
    <phoneticPr fontId="6"/>
  </si>
  <si>
    <t>パルシステム（コトコト）上下セット6月2回③</t>
    <rPh sb="12" eb="14">
      <t>ジョウゲ</t>
    </rPh>
    <rPh sb="18" eb="19">
      <t>ガツ</t>
    </rPh>
    <rPh sb="20" eb="21">
      <t>カイ</t>
    </rPh>
    <phoneticPr fontId="6"/>
  </si>
  <si>
    <t>JODアクセス7011/3点セット</t>
    <rPh sb="13" eb="14">
      <t>テン</t>
    </rPh>
    <phoneticPr fontId="6"/>
  </si>
  <si>
    <t>8/18～</t>
    <phoneticPr fontId="6"/>
  </si>
  <si>
    <t>JOD</t>
    <phoneticPr fontId="6"/>
  </si>
  <si>
    <t>夢販</t>
    <rPh sb="0" eb="2">
      <t>ユメハン</t>
    </rPh>
    <phoneticPr fontId="6"/>
  </si>
  <si>
    <t>2025/7/1数伝</t>
    <rPh sb="8" eb="9">
      <t>スウ</t>
    </rPh>
    <rPh sb="9" eb="10">
      <t>デン</t>
    </rPh>
    <phoneticPr fontId="6"/>
  </si>
  <si>
    <t>JOD</t>
    <phoneticPr fontId="6"/>
  </si>
  <si>
    <t>在庫確認</t>
    <rPh sb="0" eb="4">
      <t>ザイコカクニン</t>
    </rPh>
    <phoneticPr fontId="2"/>
  </si>
  <si>
    <t>←式確認ここまで　2025/8/9</t>
    <rPh sb="1" eb="4">
      <t>シキカクニン</t>
    </rPh>
    <phoneticPr fontId="6"/>
  </si>
  <si>
    <t>←式確認ここまで　2025/8/9</t>
    <rPh sb="1" eb="4">
      <t>シキカクニン</t>
    </rPh>
    <phoneticPr fontId="6"/>
  </si>
  <si>
    <t>JOD返品</t>
    <rPh sb="3" eb="5">
      <t>ヘンピン</t>
    </rPh>
    <phoneticPr fontId="2"/>
  </si>
  <si>
    <t>黒杢　ブラ（K-PORT在庫）</t>
    <rPh sb="0" eb="2">
      <t>クロモク</t>
    </rPh>
    <phoneticPr fontId="2"/>
  </si>
  <si>
    <t>学校生協2026年3月企画</t>
    <rPh sb="0" eb="4">
      <t>ガッコウセイキョウ</t>
    </rPh>
    <rPh sb="8" eb="9">
      <t>ネン</t>
    </rPh>
    <rPh sb="10" eb="13">
      <t>ガツキカク</t>
    </rPh>
    <phoneticPr fontId="6"/>
  </si>
  <si>
    <t>2/中旬～3/17頃まで</t>
    <rPh sb="2" eb="10">
      <t>チュウジュンカラ3/17コロ</t>
    </rPh>
    <phoneticPr fontId="6"/>
  </si>
  <si>
    <t>学校生協2026年3月企画（不透明袋）</t>
    <rPh sb="0" eb="4">
      <t>ガッコウセイキョウ</t>
    </rPh>
    <rPh sb="8" eb="9">
      <t>ネン</t>
    </rPh>
    <rPh sb="10" eb="13">
      <t>ガツキカク</t>
    </rPh>
    <phoneticPr fontId="6"/>
  </si>
  <si>
    <t>点2/5、アバウト・初回2/17、最終発注2/23</t>
    <rPh sb="0" eb="1">
      <t>テン</t>
    </rPh>
    <rPh sb="10" eb="12">
      <t>ショカイ</t>
    </rPh>
    <rPh sb="17" eb="21">
      <t>サイシュウハッチュウ</t>
    </rPh>
    <phoneticPr fontId="6"/>
  </si>
  <si>
    <t>パル　りすぺーる2月4回差分予測</t>
    <rPh sb="9" eb="10">
      <t>ガツ</t>
    </rPh>
    <rPh sb="11" eb="12">
      <t>カイ</t>
    </rPh>
    <rPh sb="12" eb="16">
      <t>サブンヨソク</t>
    </rPh>
    <phoneticPr fontId="6"/>
  </si>
  <si>
    <t>パル　りすぺーる2月4回（不透明袋）</t>
    <rPh sb="9" eb="10">
      <t>ガツ</t>
    </rPh>
    <rPh sb="11" eb="12">
      <t>カイ</t>
    </rPh>
    <rPh sb="13" eb="17">
      <t>フトウメイフクロ</t>
    </rPh>
    <phoneticPr fontId="6"/>
  </si>
  <si>
    <t>学校生協2026年3月企画差分予測</t>
    <rPh sb="0" eb="4">
      <t>ガッコウセイキョウ</t>
    </rPh>
    <rPh sb="8" eb="9">
      <t>ネン</t>
    </rPh>
    <rPh sb="10" eb="13">
      <t>ガツキカク</t>
    </rPh>
    <rPh sb="13" eb="17">
      <t>サブンヨソク</t>
    </rPh>
    <phoneticPr fontId="6"/>
  </si>
  <si>
    <t>くらし企画（学校生協）sample</t>
    <rPh sb="3" eb="5">
      <t>キカク</t>
    </rPh>
    <rPh sb="6" eb="10">
      <t>ガッコウセイキョウ</t>
    </rPh>
    <phoneticPr fontId="6"/>
  </si>
  <si>
    <t>くらし企画（パルリスベール）sample</t>
    <rPh sb="3" eb="5">
      <t>キカク</t>
    </rPh>
    <phoneticPr fontId="6"/>
  </si>
  <si>
    <t>サクラマチsample</t>
    <phoneticPr fontId="6"/>
  </si>
  <si>
    <t>在庫確認</t>
    <rPh sb="0" eb="4">
      <t>ザイコカクニン</t>
    </rPh>
    <phoneticPr fontId="6"/>
  </si>
  <si>
    <t>学校生協2026年5月初夏号（不透明袋）</t>
    <rPh sb="0" eb="4">
      <t>ガッコウセイキョウ</t>
    </rPh>
    <rPh sb="8" eb="9">
      <t>ネン</t>
    </rPh>
    <rPh sb="10" eb="11">
      <t>ガツ</t>
    </rPh>
    <rPh sb="11" eb="14">
      <t>ショカゴウ</t>
    </rPh>
    <phoneticPr fontId="6"/>
  </si>
  <si>
    <t>4/15頃～5/19頃</t>
    <rPh sb="4" eb="5">
      <t>コロ</t>
    </rPh>
    <rPh sb="10" eb="11">
      <t>コロ</t>
    </rPh>
    <phoneticPr fontId="6"/>
  </si>
  <si>
    <t>学校生協2026年5月初夏号</t>
    <rPh sb="0" eb="4">
      <t>ガッコウセイキョウ</t>
    </rPh>
    <rPh sb="8" eb="9">
      <t>ネン</t>
    </rPh>
    <rPh sb="10" eb="11">
      <t>ガツ</t>
    </rPh>
    <rPh sb="11" eb="13">
      <t>ショカ</t>
    </rPh>
    <rPh sb="13" eb="14">
      <t>ゴウ</t>
    </rPh>
    <phoneticPr fontId="6"/>
  </si>
  <si>
    <t>4/15頃～5/19頃</t>
    <rPh sb="4" eb="11">
      <t>コロカラ5/19コロ</t>
    </rPh>
    <phoneticPr fontId="6"/>
  </si>
  <si>
    <t>学校生協2026年5月初夏号差分予測</t>
    <rPh sb="0" eb="4">
      <t>ガッコウセイキョウ</t>
    </rPh>
    <rPh sb="8" eb="9">
      <t>ネン</t>
    </rPh>
    <rPh sb="10" eb="11">
      <t>ガツ</t>
    </rPh>
    <rPh sb="11" eb="13">
      <t>ショカ</t>
    </rPh>
    <rPh sb="13" eb="14">
      <t>ゴウ</t>
    </rPh>
    <rPh sb="14" eb="18">
      <t>サブンヨソク</t>
    </rPh>
    <phoneticPr fontId="6"/>
  </si>
  <si>
    <t>学校生協2026年5月初夏号差分予測</t>
    <rPh sb="0" eb="4">
      <t>ガッコウセイキョウ</t>
    </rPh>
    <rPh sb="8" eb="9">
      <t>ネン</t>
    </rPh>
    <rPh sb="10" eb="11">
      <t>ガツ</t>
    </rPh>
    <rPh sb="11" eb="14">
      <t>ショカゴウ</t>
    </rPh>
    <rPh sb="14" eb="18">
      <t>サブンヨソク</t>
    </rPh>
    <phoneticPr fontId="6"/>
  </si>
  <si>
    <t>3/4～3/18</t>
    <phoneticPr fontId="6"/>
  </si>
  <si>
    <t>ユーコープ３月３回　差分予測</t>
    <rPh sb="6" eb="7">
      <t>ガツ</t>
    </rPh>
    <rPh sb="8" eb="9">
      <t>カイ</t>
    </rPh>
    <rPh sb="10" eb="14">
      <t>サブンヨソク</t>
    </rPh>
    <phoneticPr fontId="6"/>
  </si>
  <si>
    <t>パル　りすぺーる4月5回差分予測</t>
    <rPh sb="9" eb="10">
      <t>ガツ</t>
    </rPh>
    <rPh sb="11" eb="12">
      <t>カイ</t>
    </rPh>
    <rPh sb="12" eb="16">
      <t>サブンヨソク</t>
    </rPh>
    <phoneticPr fontId="6"/>
  </si>
  <si>
    <t>パル　りすぺーる4月5回（不透明袋）</t>
    <rPh sb="9" eb="10">
      <t>ガツ</t>
    </rPh>
    <rPh sb="11" eb="12">
      <t>カイ</t>
    </rPh>
    <rPh sb="13" eb="17">
      <t>フトウメイフクロ</t>
    </rPh>
    <phoneticPr fontId="6"/>
  </si>
  <si>
    <t>点4/9、アバウト・初回4/21、最終発注4/27</t>
    <rPh sb="0" eb="1">
      <t>テン</t>
    </rPh>
    <rPh sb="10" eb="12">
      <t>ショカイ</t>
    </rPh>
    <rPh sb="17" eb="21">
      <t>サイシュウハッチュウ</t>
    </rPh>
    <phoneticPr fontId="6"/>
  </si>
  <si>
    <t>パル　りすぺーる2月4回（不透明袋）①</t>
    <rPh sb="9" eb="10">
      <t>ガツ</t>
    </rPh>
    <rPh sb="11" eb="12">
      <t>カイ</t>
    </rPh>
    <rPh sb="13" eb="17">
      <t>フトウメイフクロ</t>
    </rPh>
    <phoneticPr fontId="6"/>
  </si>
  <si>
    <t>ゆめはん</t>
    <phoneticPr fontId="6"/>
  </si>
  <si>
    <t>学校生協2026年3月企画①</t>
    <rPh sb="0" eb="4">
      <t>ガッコウセイキョウ</t>
    </rPh>
    <rPh sb="8" eb="9">
      <t>ネン</t>
    </rPh>
    <rPh sb="10" eb="13">
      <t>ガツキカク</t>
    </rPh>
    <phoneticPr fontId="6"/>
  </si>
  <si>
    <t>学校生協2026年3月企画（不透明袋）①</t>
    <rPh sb="0" eb="4">
      <t>ガッコウセイキョウ</t>
    </rPh>
    <rPh sb="8" eb="9">
      <t>ネン</t>
    </rPh>
    <rPh sb="10" eb="13">
      <t>ガツキカク</t>
    </rPh>
    <phoneticPr fontId="6"/>
  </si>
  <si>
    <t>パル　りすぺーる2月4回（不透明袋）②</t>
    <rPh sb="9" eb="10">
      <t>ガツ</t>
    </rPh>
    <rPh sb="11" eb="12">
      <t>カイ</t>
    </rPh>
    <rPh sb="13" eb="17">
      <t>フトウメイフクロ</t>
    </rPh>
    <phoneticPr fontId="6"/>
  </si>
  <si>
    <t>パル　りすぺーる2月4回（不透明袋）③</t>
    <rPh sb="9" eb="10">
      <t>ガツ</t>
    </rPh>
    <rPh sb="11" eb="12">
      <t>カイ</t>
    </rPh>
    <rPh sb="13" eb="17">
      <t>フトウメイフクロ</t>
    </rPh>
    <phoneticPr fontId="6"/>
  </si>
  <si>
    <t>あいコープみやぎ4月3回</t>
    <rPh sb="9" eb="10">
      <t>ガツ</t>
    </rPh>
    <rPh sb="11" eb="12">
      <t>カイ</t>
    </rPh>
    <phoneticPr fontId="6"/>
  </si>
  <si>
    <t>パル　りすぺーる2月4回（不透明袋）④</t>
    <rPh sb="9" eb="10">
      <t>ガツ</t>
    </rPh>
    <rPh sb="11" eb="12">
      <t>カイ</t>
    </rPh>
    <rPh sb="13" eb="17">
      <t>フトウメイフクロ</t>
    </rPh>
    <phoneticPr fontId="6"/>
  </si>
  <si>
    <t>パル　りすぺーる2月4回（不透明袋）⑤</t>
    <rPh sb="9" eb="10">
      <t>ガツ</t>
    </rPh>
    <rPh sb="11" eb="12">
      <t>カイ</t>
    </rPh>
    <rPh sb="13" eb="17">
      <t>フトウメイフクロ</t>
    </rPh>
    <phoneticPr fontId="6"/>
  </si>
  <si>
    <t>あいコープみやぎ4月5回</t>
    <rPh sb="9" eb="10">
      <t>ガツ</t>
    </rPh>
    <rPh sb="11" eb="12">
      <t>カイ</t>
    </rPh>
    <phoneticPr fontId="6"/>
  </si>
  <si>
    <t>あいコープみやぎ差分予測</t>
    <rPh sb="8" eb="12">
      <t>サブンヨソク</t>
    </rPh>
    <phoneticPr fontId="6"/>
  </si>
  <si>
    <t>学校生協2026年3月企画（不透明袋）②</t>
    <rPh sb="0" eb="4">
      <t>ガッコウセイキョウ</t>
    </rPh>
    <rPh sb="8" eb="9">
      <t>ネン</t>
    </rPh>
    <rPh sb="10" eb="13">
      <t>ガツキカク</t>
    </rPh>
    <phoneticPr fontId="6"/>
  </si>
  <si>
    <t>→ここまで在庫確認済2/26</t>
    <rPh sb="5" eb="10">
      <t>ザイコカクニンスミ</t>
    </rPh>
    <phoneticPr fontId="6"/>
  </si>
  <si>
    <t>→ここまで在庫確認済2/26</t>
    <rPh sb="0" eb="10">
      <t>ヤジルシココマデザイコカクニンスミ</t>
    </rPh>
    <phoneticPr fontId="6"/>
  </si>
  <si>
    <t>学校生協2026年3月企画（不透明袋）③</t>
    <rPh sb="0" eb="4">
      <t>ガッコウセイキョウ</t>
    </rPh>
    <rPh sb="8" eb="9">
      <t>ネン</t>
    </rPh>
    <rPh sb="10" eb="13">
      <t>ガツキカク</t>
    </rPh>
    <phoneticPr fontId="6"/>
  </si>
  <si>
    <t>あいコープみやぎ6月2回差分予測</t>
    <rPh sb="9" eb="10">
      <t>ガツ</t>
    </rPh>
    <rPh sb="11" eb="12">
      <t>カイ</t>
    </rPh>
    <rPh sb="12" eb="16">
      <t>サブンヨソク</t>
    </rPh>
    <phoneticPr fontId="6"/>
  </si>
  <si>
    <t>あいコープみやぎ6月2回</t>
    <phoneticPr fontId="6"/>
  </si>
  <si>
    <r>
      <t>ユーコープ３月３回</t>
    </r>
    <r>
      <rPr>
        <b/>
        <sz val="11"/>
        <rFont val="ＭＳ Ｐゴシック"/>
        <family val="3"/>
        <charset val="128"/>
      </rPr>
      <t>レギンスセット①</t>
    </r>
    <rPh sb="6" eb="7">
      <t>ガツ</t>
    </rPh>
    <rPh sb="8" eb="9">
      <t>カイ</t>
    </rPh>
    <phoneticPr fontId="6"/>
  </si>
  <si>
    <r>
      <t>ユーコープ３月３回</t>
    </r>
    <r>
      <rPr>
        <b/>
        <sz val="11"/>
        <rFont val="ＭＳ Ｐゴシック"/>
        <family val="3"/>
        <charset val="128"/>
      </rPr>
      <t>スポーツブラセット</t>
    </r>
    <r>
      <rPr>
        <sz val="11"/>
        <rFont val="ＭＳ Ｐゴシック"/>
        <family val="3"/>
        <charset val="128"/>
      </rPr>
      <t>①</t>
    </r>
    <rPh sb="6" eb="7">
      <t>ガツ</t>
    </rPh>
    <rPh sb="8" eb="9">
      <t>カイ</t>
    </rPh>
    <phoneticPr fontId="6"/>
  </si>
  <si>
    <t>学校生協2026年3月企画（不透明袋）④</t>
    <rPh sb="0" eb="4">
      <t>ガッコウセイキョウ</t>
    </rPh>
    <rPh sb="8" eb="9">
      <t>ネン</t>
    </rPh>
    <rPh sb="10" eb="13">
      <t>ガツキカク</t>
    </rPh>
    <phoneticPr fontId="6"/>
  </si>
  <si>
    <r>
      <t>ユーコープ３月３回</t>
    </r>
    <r>
      <rPr>
        <b/>
        <sz val="11"/>
        <rFont val="ＭＳ Ｐゴシック"/>
        <family val="3"/>
        <charset val="128"/>
      </rPr>
      <t>レギンスセット②</t>
    </r>
    <rPh sb="6" eb="7">
      <t>ガツ</t>
    </rPh>
    <rPh sb="8" eb="9">
      <t>カイ</t>
    </rPh>
    <phoneticPr fontId="6"/>
  </si>
  <si>
    <r>
      <t>ユーコープ３月３回</t>
    </r>
    <r>
      <rPr>
        <b/>
        <sz val="11"/>
        <rFont val="ＭＳ Ｐゴシック"/>
        <family val="3"/>
        <charset val="128"/>
      </rPr>
      <t>スポーツブラセット②</t>
    </r>
    <rPh sb="6" eb="7">
      <t>ガツ</t>
    </rPh>
    <rPh sb="8" eb="9">
      <t>カイ</t>
    </rPh>
    <phoneticPr fontId="6"/>
  </si>
  <si>
    <r>
      <t>ユーコープ３月３回</t>
    </r>
    <r>
      <rPr>
        <b/>
        <sz val="11"/>
        <rFont val="ＭＳ Ｐゴシック"/>
        <family val="3"/>
        <charset val="128"/>
      </rPr>
      <t>レギンスセット</t>
    </r>
    <rPh sb="6" eb="7">
      <t>ガツ</t>
    </rPh>
    <rPh sb="8" eb="9">
      <t>カイ</t>
    </rPh>
    <phoneticPr fontId="6"/>
  </si>
  <si>
    <r>
      <t>ユーコープ３月３回</t>
    </r>
    <r>
      <rPr>
        <b/>
        <sz val="11"/>
        <rFont val="ＭＳ Ｐゴシック"/>
        <family val="3"/>
        <charset val="128"/>
      </rPr>
      <t>スポーツブラセット</t>
    </r>
    <rPh sb="6" eb="7">
      <t>ガツ</t>
    </rPh>
    <rPh sb="8" eb="9">
      <t>カイ</t>
    </rPh>
    <phoneticPr fontId="6"/>
  </si>
  <si>
    <t>6/3～6/5</t>
    <phoneticPr fontId="6"/>
  </si>
  <si>
    <t>あいコープみやぎ4月3回①</t>
    <rPh sb="9" eb="10">
      <t>ガツ</t>
    </rPh>
    <rPh sb="11" eb="12">
      <t>カイ</t>
    </rPh>
    <phoneticPr fontId="6"/>
  </si>
  <si>
    <t>サクラマチ返品</t>
    <rPh sb="5" eb="7">
      <t>ヘンピン</t>
    </rPh>
    <phoneticPr fontId="2"/>
  </si>
  <si>
    <t>KPORT</t>
    <phoneticPr fontId="6"/>
  </si>
  <si>
    <t>夢販移動</t>
    <rPh sb="0" eb="4">
      <t>ユメハンイドウ</t>
    </rPh>
    <phoneticPr fontId="2"/>
  </si>
  <si>
    <t>パル　りすぺーる4月5回（不透明袋）①</t>
    <rPh sb="9" eb="10">
      <t>ガツ</t>
    </rPh>
    <rPh sb="11" eb="12">
      <t>カイ</t>
    </rPh>
    <rPh sb="13" eb="17">
      <t>フトウメイフクロ</t>
    </rPh>
    <phoneticPr fontId="6"/>
  </si>
  <si>
    <t>あいコープみやぎ4月5回①</t>
    <rPh sb="9" eb="10">
      <t>ガツ</t>
    </rPh>
    <rPh sb="11" eb="12">
      <t>カイ</t>
    </rPh>
    <phoneticPr fontId="6"/>
  </si>
  <si>
    <t>パル　りすぺーる4月5回（不透明袋）②</t>
    <rPh sb="9" eb="10">
      <t>ガツ</t>
    </rPh>
    <rPh sb="11" eb="12">
      <t>カイ</t>
    </rPh>
    <rPh sb="13" eb="17">
      <t>フトウメイフクロ</t>
    </rPh>
    <phoneticPr fontId="6"/>
  </si>
  <si>
    <t>パル　りすぺーる4月5回（不透明袋）③</t>
    <rPh sb="9" eb="10">
      <t>ガツ</t>
    </rPh>
    <rPh sb="11" eb="12">
      <t>カイ</t>
    </rPh>
    <rPh sb="13" eb="17">
      <t>フトウメイフクロ</t>
    </rPh>
    <phoneticPr fontId="6"/>
  </si>
  <si>
    <t>パル　りすぺーる4月5回（不透明袋）④</t>
    <rPh sb="9" eb="10">
      <t>ガツ</t>
    </rPh>
    <rPh sb="11" eb="12">
      <t>カイ</t>
    </rPh>
    <rPh sb="13" eb="17">
      <t>フトウメイフクロ</t>
    </rPh>
    <phoneticPr fontId="6"/>
  </si>
  <si>
    <t>学校生協2026年5月初夏号（不透明袋）①</t>
    <rPh sb="0" eb="4">
      <t>ガッコウセイキョウ</t>
    </rPh>
    <rPh sb="8" eb="9">
      <t>ネン</t>
    </rPh>
    <rPh sb="10" eb="11">
      <t>ガツ</t>
    </rPh>
    <rPh sb="11" eb="14">
      <t>ショカゴウ</t>
    </rPh>
    <phoneticPr fontId="6"/>
  </si>
  <si>
    <t>学校生協2026年5月初夏号（不透明袋）②</t>
    <rPh sb="0" eb="4">
      <t>ガッコウセイキョウ</t>
    </rPh>
    <rPh sb="8" eb="9">
      <t>ネン</t>
    </rPh>
    <rPh sb="10" eb="11">
      <t>ガツ</t>
    </rPh>
    <rPh sb="11" eb="14">
      <t>ショカゴウ</t>
    </rPh>
    <phoneticPr fontId="6"/>
  </si>
  <si>
    <t>夢販</t>
    <rPh sb="0" eb="2">
      <t>ｙ</t>
    </rPh>
    <phoneticPr fontId="2"/>
  </si>
  <si>
    <t>くらし返品</t>
    <rPh sb="3" eb="5">
      <t>ヘンピン</t>
    </rPh>
    <phoneticPr fontId="2"/>
  </si>
  <si>
    <t>ネット</t>
    <phoneticPr fontId="6"/>
  </si>
  <si>
    <t>ネット</t>
    <phoneticPr fontId="6"/>
  </si>
  <si>
    <t>夢販</t>
    <rPh sb="0" eb="2">
      <t>y</t>
    </rPh>
    <phoneticPr fontId="6"/>
  </si>
  <si>
    <t>8/5、8/10</t>
    <phoneticPr fontId="6"/>
  </si>
  <si>
    <t>さっぽろ８月2回３点セット　￥2480</t>
    <rPh sb="5" eb="6">
      <t>ガツ</t>
    </rPh>
    <rPh sb="7" eb="8">
      <t>カイ</t>
    </rPh>
    <rPh sb="9" eb="10">
      <t>テン</t>
    </rPh>
    <phoneticPr fontId="6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</si>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</sst>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"/>
  </numFmts>
  <fonts count="2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4"/>
      <name val="ＭＳ Ｐゴシック"/>
      <family val="3"/>
      <charset val="128"/>
      <scheme val="minor"/>
    </font>
    <font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0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15" xfId="1" applyBorder="1"/>
    <xf numFmtId="0" fontId="1" fillId="0" borderId="16" xfId="1" applyBorder="1"/>
    <xf numFmtId="0" fontId="1" fillId="0" borderId="17" xfId="1" applyBorder="1"/>
    <xf numFmtId="0" fontId="1" fillId="0" borderId="19" xfId="1" applyBorder="1"/>
    <xf numFmtId="0" fontId="4" fillId="0" borderId="22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56" fontId="1" fillId="0" borderId="21" xfId="1" applyNumberFormat="1" applyBorder="1" applyAlignment="1">
      <alignment horizontal="center" vertical="center"/>
    </xf>
    <xf numFmtId="0" fontId="1" fillId="0" borderId="9" xfId="1" applyBorder="1" applyAlignment="1">
      <alignment horizontal="center" vertical="center" shrinkToFit="1"/>
    </xf>
    <xf numFmtId="56" fontId="5" fillId="0" borderId="22" xfId="1" applyNumberFormat="1" applyFont="1" applyBorder="1" applyAlignment="1">
      <alignment horizontal="center" vertical="center"/>
    </xf>
    <xf numFmtId="0" fontId="5" fillId="0" borderId="1" xfId="1" applyFont="1" applyBorder="1"/>
    <xf numFmtId="0" fontId="5" fillId="0" borderId="2" xfId="1" applyFont="1" applyBorder="1"/>
    <xf numFmtId="0" fontId="5" fillId="0" borderId="4" xfId="1" applyFont="1" applyBorder="1"/>
    <xf numFmtId="0" fontId="1" fillId="0" borderId="23" xfId="1" applyBorder="1"/>
    <xf numFmtId="0" fontId="1" fillId="0" borderId="24" xfId="1" applyBorder="1"/>
    <xf numFmtId="0" fontId="5" fillId="0" borderId="22" xfId="1" applyFont="1" applyBorder="1" applyAlignment="1">
      <alignment horizontal="center" vertical="center"/>
    </xf>
    <xf numFmtId="0" fontId="7" fillId="0" borderId="0" xfId="0" applyFont="1">
      <alignment vertical="center"/>
    </xf>
    <xf numFmtId="0" fontId="1" fillId="0" borderId="22" xfId="1" applyBorder="1" applyAlignment="1">
      <alignment horizontal="center" vertical="center"/>
    </xf>
    <xf numFmtId="0" fontId="1" fillId="0" borderId="11" xfId="1" applyBorder="1"/>
    <xf numFmtId="0" fontId="1" fillId="0" borderId="12" xfId="1" applyBorder="1"/>
    <xf numFmtId="0" fontId="1" fillId="0" borderId="1" xfId="1" applyBorder="1"/>
    <xf numFmtId="0" fontId="1" fillId="0" borderId="2" xfId="1" applyBorder="1"/>
    <xf numFmtId="0" fontId="1" fillId="0" borderId="31" xfId="1" applyBorder="1"/>
    <xf numFmtId="0" fontId="1" fillId="0" borderId="32" xfId="1" applyBorder="1"/>
    <xf numFmtId="0" fontId="1" fillId="0" borderId="33" xfId="1" applyBorder="1"/>
    <xf numFmtId="0" fontId="1" fillId="0" borderId="3" xfId="1" applyBorder="1"/>
    <xf numFmtId="0" fontId="1" fillId="0" borderId="13" xfId="1" applyBorder="1"/>
    <xf numFmtId="56" fontId="8" fillId="0" borderId="0" xfId="0" applyNumberFormat="1" applyFont="1">
      <alignment vertical="center"/>
    </xf>
    <xf numFmtId="56" fontId="0" fillId="0" borderId="0" xfId="0" applyNumberFormat="1">
      <alignment vertical="center"/>
    </xf>
    <xf numFmtId="56" fontId="1" fillId="0" borderId="22" xfId="1" applyNumberFormat="1" applyBorder="1" applyAlignment="1">
      <alignment horizontal="center" vertical="center"/>
    </xf>
    <xf numFmtId="0" fontId="1" fillId="0" borderId="35" xfId="1" applyBorder="1"/>
    <xf numFmtId="0" fontId="8" fillId="0" borderId="0" xfId="0" applyFont="1">
      <alignment vertical="center"/>
    </xf>
    <xf numFmtId="0" fontId="5" fillId="0" borderId="0" xfId="1" applyFont="1"/>
    <xf numFmtId="0" fontId="1" fillId="2" borderId="14" xfId="1" applyFill="1" applyBorder="1"/>
    <xf numFmtId="0" fontId="1" fillId="2" borderId="20" xfId="1" applyFill="1" applyBorder="1"/>
    <xf numFmtId="0" fontId="1" fillId="2" borderId="5" xfId="1" applyFill="1" applyBorder="1"/>
    <xf numFmtId="0" fontId="1" fillId="2" borderId="9" xfId="1" applyFill="1" applyBorder="1"/>
    <xf numFmtId="0" fontId="1" fillId="2" borderId="28" xfId="1" applyFill="1" applyBorder="1"/>
    <xf numFmtId="0" fontId="5" fillId="2" borderId="10" xfId="1" applyFont="1" applyFill="1" applyBorder="1"/>
    <xf numFmtId="0" fontId="1" fillId="2" borderId="30" xfId="1" applyFill="1" applyBorder="1"/>
    <xf numFmtId="0" fontId="1" fillId="2" borderId="10" xfId="1" applyFill="1" applyBorder="1"/>
    <xf numFmtId="0" fontId="4" fillId="2" borderId="25" xfId="1" applyFont="1" applyFill="1" applyBorder="1"/>
    <xf numFmtId="0" fontId="4" fillId="2" borderId="27" xfId="1" applyFont="1" applyFill="1" applyBorder="1"/>
    <xf numFmtId="0" fontId="4" fillId="2" borderId="29" xfId="1" applyFont="1" applyFill="1" applyBorder="1"/>
    <xf numFmtId="0" fontId="4" fillId="2" borderId="34" xfId="1" applyFont="1" applyFill="1" applyBorder="1"/>
    <xf numFmtId="0" fontId="5" fillId="2" borderId="14" xfId="1" applyFont="1" applyFill="1" applyBorder="1"/>
    <xf numFmtId="0" fontId="5" fillId="0" borderId="11" xfId="1" applyFont="1" applyBorder="1" applyAlignment="1">
      <alignment horizontal="center"/>
    </xf>
    <xf numFmtId="0" fontId="5" fillId="0" borderId="12" xfId="1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35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15" xfId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32" xfId="1" applyBorder="1" applyAlignment="1">
      <alignment horizontal="center"/>
    </xf>
    <xf numFmtId="0" fontId="1" fillId="0" borderId="23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0" borderId="33" xfId="1" applyBorder="1" applyAlignment="1">
      <alignment horizontal="center"/>
    </xf>
    <xf numFmtId="0" fontId="1" fillId="0" borderId="18" xfId="1" applyBorder="1" applyAlignment="1">
      <alignment horizontal="center"/>
    </xf>
    <xf numFmtId="0" fontId="0" fillId="0" borderId="0" xfId="0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1" fillId="0" borderId="36" xfId="1" applyBorder="1" applyAlignment="1">
      <alignment horizontal="center"/>
    </xf>
    <xf numFmtId="0" fontId="1" fillId="0" borderId="37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4" xfId="1" applyBorder="1" applyAlignment="1">
      <alignment horizontal="center"/>
    </xf>
    <xf numFmtId="0" fontId="3" fillId="5" borderId="0" xfId="1" applyFont="1" applyFill="1"/>
    <xf numFmtId="0" fontId="1" fillId="5" borderId="0" xfId="1" applyFill="1"/>
    <xf numFmtId="0" fontId="3" fillId="6" borderId="0" xfId="1" applyFont="1" applyFill="1"/>
    <xf numFmtId="0" fontId="1" fillId="6" borderId="0" xfId="1" applyFill="1"/>
    <xf numFmtId="0" fontId="3" fillId="7" borderId="0" xfId="1" applyFont="1" applyFill="1"/>
    <xf numFmtId="0" fontId="11" fillId="7" borderId="0" xfId="1" applyFont="1" applyFill="1"/>
    <xf numFmtId="0" fontId="3" fillId="8" borderId="0" xfId="1" applyFont="1" applyFill="1"/>
    <xf numFmtId="0" fontId="11" fillId="8" borderId="0" xfId="1" applyFont="1" applyFill="1"/>
    <xf numFmtId="176" fontId="0" fillId="0" borderId="0" xfId="0" applyNumberFormat="1">
      <alignment vertical="center"/>
    </xf>
    <xf numFmtId="56" fontId="12" fillId="0" borderId="21" xfId="1" applyNumberFormat="1" applyFont="1" applyBorder="1" applyAlignment="1">
      <alignment horizontal="center" vertical="center"/>
    </xf>
    <xf numFmtId="0" fontId="12" fillId="0" borderId="6" xfId="1" applyFont="1" applyBorder="1" applyAlignment="1">
      <alignment horizontal="center"/>
    </xf>
    <xf numFmtId="0" fontId="12" fillId="0" borderId="7" xfId="1" applyFont="1" applyBorder="1" applyAlignment="1">
      <alignment horizontal="center"/>
    </xf>
    <xf numFmtId="0" fontId="12" fillId="0" borderId="31" xfId="1" applyFont="1" applyBorder="1" applyAlignment="1">
      <alignment horizontal="center"/>
    </xf>
    <xf numFmtId="0" fontId="12" fillId="2" borderId="9" xfId="1" applyFont="1" applyFill="1" applyBorder="1"/>
    <xf numFmtId="56" fontId="13" fillId="0" borderId="0" xfId="0" applyNumberFormat="1" applyFont="1" applyAlignment="1">
      <alignment horizontal="left" vertical="center"/>
    </xf>
    <xf numFmtId="56" fontId="14" fillId="0" borderId="21" xfId="1" applyNumberFormat="1" applyFont="1" applyBorder="1" applyAlignment="1">
      <alignment horizontal="center" vertical="center"/>
    </xf>
    <xf numFmtId="0" fontId="14" fillId="0" borderId="6" xfId="1" applyFont="1" applyBorder="1" applyAlignment="1">
      <alignment horizontal="center"/>
    </xf>
    <xf numFmtId="0" fontId="14" fillId="0" borderId="7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14" fillId="2" borderId="9" xfId="1" applyFont="1" applyFill="1" applyBorder="1"/>
    <xf numFmtId="0" fontId="8" fillId="0" borderId="0" xfId="0" applyFont="1" applyAlignment="1">
      <alignment horizontal="left" vertical="center"/>
    </xf>
    <xf numFmtId="56" fontId="1" fillId="0" borderId="9" xfId="1" applyNumberFormat="1" applyBorder="1" applyAlignment="1">
      <alignment horizontal="center" vertical="center"/>
    </xf>
    <xf numFmtId="0" fontId="3" fillId="9" borderId="0" xfId="1" applyFont="1" applyFill="1"/>
    <xf numFmtId="0" fontId="11" fillId="9" borderId="0" xfId="1" applyFont="1" applyFill="1"/>
    <xf numFmtId="0" fontId="15" fillId="0" borderId="0" xfId="0" applyFont="1">
      <alignment vertical="center"/>
    </xf>
    <xf numFmtId="0" fontId="16" fillId="9" borderId="0" xfId="1" applyFont="1" applyFill="1"/>
    <xf numFmtId="6" fontId="17" fillId="9" borderId="0" xfId="1" applyNumberFormat="1" applyFont="1" applyFill="1"/>
    <xf numFmtId="0" fontId="3" fillId="10" borderId="0" xfId="1" applyFont="1" applyFill="1"/>
    <xf numFmtId="0" fontId="11" fillId="10" borderId="0" xfId="1" applyFont="1" applyFill="1"/>
    <xf numFmtId="6" fontId="18" fillId="10" borderId="0" xfId="1" applyNumberFormat="1" applyFont="1" applyFill="1"/>
    <xf numFmtId="0" fontId="5" fillId="2" borderId="5" xfId="1" applyFont="1" applyFill="1" applyBorder="1"/>
    <xf numFmtId="0" fontId="19" fillId="0" borderId="5" xfId="1" applyFont="1" applyBorder="1" applyAlignment="1">
      <alignment horizontal="center" vertical="center"/>
    </xf>
    <xf numFmtId="0" fontId="20" fillId="0" borderId="0" xfId="0" applyFont="1">
      <alignment vertical="center"/>
    </xf>
    <xf numFmtId="0" fontId="1" fillId="0" borderId="4" xfId="1" applyBorder="1"/>
    <xf numFmtId="0" fontId="5" fillId="0" borderId="36" xfId="1" applyFont="1" applyBorder="1"/>
    <xf numFmtId="0" fontId="5" fillId="0" borderId="18" xfId="1" applyFont="1" applyBorder="1"/>
    <xf numFmtId="0" fontId="5" fillId="0" borderId="37" xfId="1" applyFont="1" applyBorder="1"/>
    <xf numFmtId="0" fontId="12" fillId="0" borderId="36" xfId="1" applyFont="1" applyBorder="1"/>
    <xf numFmtId="0" fontId="12" fillId="0" borderId="18" xfId="1" applyFont="1" applyBorder="1"/>
    <xf numFmtId="0" fontId="12" fillId="0" borderId="37" xfId="1" applyFont="1" applyBorder="1"/>
    <xf numFmtId="0" fontId="12" fillId="2" borderId="5" xfId="1" applyFont="1" applyFill="1" applyBorder="1"/>
    <xf numFmtId="56" fontId="13" fillId="0" borderId="0" xfId="0" applyNumberFormat="1" applyFont="1">
      <alignment vertical="center"/>
    </xf>
    <xf numFmtId="0" fontId="12" fillId="0" borderId="9" xfId="1" applyFont="1" applyBorder="1" applyAlignment="1">
      <alignment horizontal="center" vertical="center"/>
    </xf>
    <xf numFmtId="0" fontId="12" fillId="0" borderId="6" xfId="1" applyFont="1" applyBorder="1"/>
    <xf numFmtId="0" fontId="12" fillId="0" borderId="7" xfId="1" applyFont="1" applyBorder="1"/>
    <xf numFmtId="0" fontId="12" fillId="0" borderId="8" xfId="1" applyFont="1" applyBorder="1"/>
    <xf numFmtId="0" fontId="14" fillId="0" borderId="9" xfId="1" applyFont="1" applyBorder="1" applyAlignment="1">
      <alignment horizontal="center" vertical="center" shrinkToFit="1"/>
    </xf>
    <xf numFmtId="0" fontId="14" fillId="0" borderId="6" xfId="1" applyFont="1" applyBorder="1"/>
    <xf numFmtId="0" fontId="14" fillId="0" borderId="7" xfId="1" applyFont="1" applyBorder="1"/>
    <xf numFmtId="0" fontId="14" fillId="0" borderId="8" xfId="1" applyFont="1" applyBorder="1"/>
    <xf numFmtId="0" fontId="14" fillId="2" borderId="5" xfId="1" applyFont="1" applyFill="1" applyBorder="1"/>
    <xf numFmtId="0" fontId="21" fillId="0" borderId="0" xfId="0" applyFont="1">
      <alignment vertical="center"/>
    </xf>
    <xf numFmtId="0" fontId="1" fillId="0" borderId="38" xfId="1" applyBorder="1"/>
    <xf numFmtId="0" fontId="1" fillId="0" borderId="39" xfId="1" applyBorder="1"/>
    <xf numFmtId="0" fontId="12" fillId="0" borderId="15" xfId="1" applyFont="1" applyBorder="1"/>
    <xf numFmtId="0" fontId="12" fillId="0" borderId="16" xfId="1" applyFont="1" applyBorder="1"/>
    <xf numFmtId="0" fontId="12" fillId="0" borderId="32" xfId="1" applyFont="1" applyBorder="1"/>
    <xf numFmtId="0" fontId="14" fillId="0" borderId="9" xfId="1" applyFont="1" applyBorder="1" applyAlignment="1">
      <alignment horizontal="center" vertical="center"/>
    </xf>
    <xf numFmtId="0" fontId="1" fillId="0" borderId="40" xfId="1" applyBorder="1"/>
    <xf numFmtId="0" fontId="1" fillId="0" borderId="41" xfId="1" applyBorder="1"/>
    <xf numFmtId="0" fontId="1" fillId="0" borderId="42" xfId="1" applyBorder="1"/>
    <xf numFmtId="0" fontId="5" fillId="0" borderId="9" xfId="1" applyFont="1" applyBorder="1" applyAlignment="1">
      <alignment horizontal="center" vertical="center" shrinkToFit="1"/>
    </xf>
    <xf numFmtId="0" fontId="5" fillId="0" borderId="6" xfId="1" applyFont="1" applyBorder="1"/>
    <xf numFmtId="0" fontId="5" fillId="0" borderId="7" xfId="1" applyFont="1" applyBorder="1"/>
    <xf numFmtId="0" fontId="5" fillId="0" borderId="8" xfId="1" applyFont="1" applyBorder="1"/>
    <xf numFmtId="0" fontId="10" fillId="3" borderId="11" xfId="1" applyFont="1" applyFill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26" xfId="1" applyFont="1" applyFill="1" applyBorder="1" applyAlignment="1">
      <alignment horizontal="center" vertical="center"/>
    </xf>
    <xf numFmtId="0" fontId="10" fillId="4" borderId="11" xfId="1" applyFont="1" applyFill="1" applyBorder="1" applyAlignment="1">
      <alignment horizontal="center" vertical="center"/>
    </xf>
    <xf numFmtId="0" fontId="10" fillId="4" borderId="12" xfId="1" applyFont="1" applyFill="1" applyBorder="1" applyAlignment="1">
      <alignment horizontal="center" vertical="center"/>
    </xf>
    <xf numFmtId="0" fontId="10" fillId="4" borderId="26" xfId="1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63"/>
  <sheetViews>
    <sheetView topLeftCell="A140" zoomScaleNormal="100" workbookViewId="0">
      <selection activeCell="A148" sqref="A148"/>
    </sheetView>
  </sheetViews>
  <sheetFormatPr defaultRowHeight="13.5" x14ac:dyDescent="0.15"/>
  <cols>
    <col min="1" max="1" width="28.375" customWidth="1"/>
    <col min="2" max="5" width="8.75" customWidth="1"/>
    <col min="6" max="6" width="9.25" bestFit="1" customWidth="1"/>
    <col min="7" max="7" width="5.625" customWidth="1"/>
    <col min="8" max="8" width="36" customWidth="1"/>
    <col min="9" max="12" width="8.75" customWidth="1"/>
    <col min="13" max="13" width="18.875" style="70" customWidth="1"/>
    <col min="14" max="14" width="12.5" customWidth="1"/>
    <col min="15" max="15" width="26.625" customWidth="1"/>
    <col min="16" max="24" width="7.5" customWidth="1"/>
  </cols>
  <sheetData>
    <row r="1" spans="1:34" ht="19.5" thickBot="1" x14ac:dyDescent="0.25">
      <c r="A1" s="79" t="s">
        <v>21</v>
      </c>
      <c r="B1" s="80"/>
      <c r="C1" s="80"/>
      <c r="D1" s="80"/>
      <c r="E1" s="80"/>
      <c r="H1" s="101" t="s">
        <v>63</v>
      </c>
      <c r="I1" s="102"/>
      <c r="J1" s="102"/>
      <c r="K1" s="101">
        <v>450</v>
      </c>
      <c r="L1" s="102"/>
      <c r="O1" s="83" t="s">
        <v>29</v>
      </c>
      <c r="P1" s="84"/>
      <c r="Q1" s="84"/>
      <c r="R1" s="83">
        <v>450</v>
      </c>
      <c r="S1" s="84"/>
    </row>
    <row r="2" spans="1:34" ht="14.25" thickBot="1" x14ac:dyDescent="0.2">
      <c r="A2" s="4"/>
      <c r="B2" s="144" t="s">
        <v>20</v>
      </c>
      <c r="C2" s="145"/>
      <c r="D2" s="145"/>
      <c r="E2" s="146"/>
      <c r="H2" s="4"/>
      <c r="I2" s="144" t="s">
        <v>20</v>
      </c>
      <c r="J2" s="145"/>
      <c r="K2" s="145"/>
      <c r="L2" s="146"/>
      <c r="O2" s="4"/>
      <c r="P2" s="144" t="s">
        <v>20</v>
      </c>
      <c r="Q2" s="145"/>
      <c r="R2" s="145"/>
      <c r="S2" s="146"/>
    </row>
    <row r="3" spans="1:34" ht="14.25" thickBot="1" x14ac:dyDescent="0.2">
      <c r="A3" s="4" t="s">
        <v>1</v>
      </c>
      <c r="B3" s="1" t="s">
        <v>2</v>
      </c>
      <c r="C3" s="2" t="s">
        <v>3</v>
      </c>
      <c r="D3" s="3" t="s">
        <v>4</v>
      </c>
      <c r="E3" s="4" t="s">
        <v>5</v>
      </c>
      <c r="H3" s="4" t="s">
        <v>1</v>
      </c>
      <c r="I3" s="1" t="s">
        <v>2</v>
      </c>
      <c r="J3" s="2" t="s">
        <v>3</v>
      </c>
      <c r="K3" s="3" t="s">
        <v>4</v>
      </c>
      <c r="L3" s="4" t="s">
        <v>5</v>
      </c>
      <c r="O3" s="4" t="s">
        <v>1</v>
      </c>
      <c r="P3" s="1" t="s">
        <v>2</v>
      </c>
      <c r="Q3" s="2" t="s">
        <v>3</v>
      </c>
      <c r="R3" s="3" t="s">
        <v>4</v>
      </c>
      <c r="S3" s="4" t="s">
        <v>5</v>
      </c>
    </row>
    <row r="4" spans="1:34" ht="14.25" thickBot="1" x14ac:dyDescent="0.2">
      <c r="A4" s="37" t="s">
        <v>6</v>
      </c>
      <c r="B4" s="26">
        <v>5</v>
      </c>
      <c r="C4" s="27">
        <v>5</v>
      </c>
      <c r="D4" s="34">
        <v>5</v>
      </c>
      <c r="E4" s="41">
        <f>SUM(B4:D4)</f>
        <v>15</v>
      </c>
      <c r="F4" s="35">
        <v>45755</v>
      </c>
      <c r="H4" s="37" t="s">
        <v>22</v>
      </c>
      <c r="I4" s="76"/>
      <c r="J4" s="77"/>
      <c r="K4" s="78"/>
      <c r="L4" s="48">
        <f>SUM(I4:K4)</f>
        <v>0</v>
      </c>
      <c r="M4" s="71"/>
      <c r="O4" s="37" t="s">
        <v>22</v>
      </c>
      <c r="P4" s="76">
        <v>0</v>
      </c>
      <c r="Q4" s="77">
        <v>0</v>
      </c>
      <c r="R4" s="78">
        <v>0</v>
      </c>
      <c r="S4" s="48">
        <f>SUM(P4:R4)</f>
        <v>0</v>
      </c>
    </row>
    <row r="5" spans="1:34" x14ac:dyDescent="0.15">
      <c r="A5" s="15" t="s">
        <v>7</v>
      </c>
      <c r="B5" s="26"/>
      <c r="C5" s="27"/>
      <c r="D5" s="38"/>
      <c r="E5" s="42">
        <f>SUM(B5:D5)</f>
        <v>0</v>
      </c>
      <c r="F5" s="35"/>
      <c r="H5" s="15" t="s">
        <v>7</v>
      </c>
      <c r="I5" s="74"/>
      <c r="J5" s="69"/>
      <c r="K5" s="75"/>
      <c r="L5" s="43">
        <f t="shared" ref="L5:L8" si="0">SUM(I5:K5)</f>
        <v>0</v>
      </c>
      <c r="M5" s="71"/>
      <c r="O5" s="15" t="s">
        <v>7</v>
      </c>
      <c r="P5" s="74"/>
      <c r="Q5" s="69"/>
      <c r="R5" s="75"/>
      <c r="S5" s="43">
        <f t="shared" ref="S5:S8" si="1">SUM(P5:R5)</f>
        <v>0</v>
      </c>
    </row>
    <row r="6" spans="1:34" x14ac:dyDescent="0.15">
      <c r="A6" s="15" t="s">
        <v>8</v>
      </c>
      <c r="B6" s="5"/>
      <c r="C6" s="6"/>
      <c r="D6" s="11"/>
      <c r="E6" s="43">
        <f t="shared" ref="E6:E12" si="2">SUM(B6:D6)</f>
        <v>0</v>
      </c>
      <c r="F6" s="35"/>
      <c r="H6" s="88" t="s">
        <v>8</v>
      </c>
      <c r="I6" s="89">
        <v>350</v>
      </c>
      <c r="J6" s="90">
        <v>400</v>
      </c>
      <c r="K6" s="91">
        <v>250</v>
      </c>
      <c r="L6" s="92">
        <f t="shared" si="0"/>
        <v>1000</v>
      </c>
      <c r="M6" s="93" t="s">
        <v>42</v>
      </c>
      <c r="O6" s="15" t="s">
        <v>30</v>
      </c>
      <c r="P6" s="60">
        <v>400</v>
      </c>
      <c r="Q6" s="61">
        <v>400</v>
      </c>
      <c r="R6" s="62">
        <v>200</v>
      </c>
      <c r="S6" s="44">
        <f t="shared" si="1"/>
        <v>1000</v>
      </c>
      <c r="T6" s="35" t="s">
        <v>44</v>
      </c>
      <c r="U6" s="24"/>
    </row>
    <row r="7" spans="1:34" x14ac:dyDescent="0.15">
      <c r="A7" s="15" t="s">
        <v>9</v>
      </c>
      <c r="B7" s="5"/>
      <c r="C7" s="6"/>
      <c r="D7" s="7"/>
      <c r="E7" s="43">
        <f t="shared" si="2"/>
        <v>0</v>
      </c>
      <c r="F7" s="35"/>
      <c r="H7" s="88" t="s">
        <v>39</v>
      </c>
      <c r="I7" s="89">
        <v>13</v>
      </c>
      <c r="J7" s="90">
        <v>13</v>
      </c>
      <c r="K7" s="91">
        <v>17</v>
      </c>
      <c r="L7" s="92">
        <f t="shared" si="0"/>
        <v>43</v>
      </c>
      <c r="M7" s="93" t="s">
        <v>35</v>
      </c>
      <c r="O7" s="94" t="s">
        <v>9</v>
      </c>
      <c r="P7" s="95">
        <v>3</v>
      </c>
      <c r="Q7" s="96">
        <v>16</v>
      </c>
      <c r="R7" s="97">
        <v>3</v>
      </c>
      <c r="S7" s="98">
        <f t="shared" si="1"/>
        <v>22</v>
      </c>
      <c r="T7" s="39" t="s">
        <v>35</v>
      </c>
      <c r="Z7" s="39"/>
    </row>
    <row r="8" spans="1:34" x14ac:dyDescent="0.15">
      <c r="A8" s="15" t="s">
        <v>10</v>
      </c>
      <c r="B8" s="5"/>
      <c r="C8" s="6"/>
      <c r="D8" s="30"/>
      <c r="E8" s="44">
        <f t="shared" si="2"/>
        <v>0</v>
      </c>
      <c r="F8" s="35"/>
      <c r="G8" s="39"/>
      <c r="H8" s="15" t="s">
        <v>10</v>
      </c>
      <c r="I8" s="60"/>
      <c r="J8" s="61"/>
      <c r="K8" s="62"/>
      <c r="L8" s="44">
        <f t="shared" si="0"/>
        <v>0</v>
      </c>
      <c r="M8" s="71"/>
      <c r="O8" s="15" t="s">
        <v>10</v>
      </c>
      <c r="P8" s="60"/>
      <c r="Q8" s="61"/>
      <c r="R8" s="62"/>
      <c r="S8" s="44">
        <f t="shared" si="1"/>
        <v>0</v>
      </c>
      <c r="T8" t="s">
        <v>37</v>
      </c>
      <c r="Z8" s="40"/>
      <c r="AA8" s="40"/>
      <c r="AB8" s="40"/>
      <c r="AC8" s="40"/>
      <c r="AD8" s="40"/>
      <c r="AE8" s="40"/>
      <c r="AF8" s="40"/>
      <c r="AG8" s="40"/>
      <c r="AH8" s="40"/>
    </row>
    <row r="9" spans="1:34" x14ac:dyDescent="0.15">
      <c r="A9" s="15" t="s">
        <v>11</v>
      </c>
      <c r="B9" s="5"/>
      <c r="C9" s="6"/>
      <c r="D9" s="30"/>
      <c r="E9" s="44">
        <f t="shared" si="2"/>
        <v>0</v>
      </c>
      <c r="F9" s="35"/>
      <c r="H9" s="15" t="s">
        <v>11</v>
      </c>
      <c r="I9" s="60"/>
      <c r="J9" s="61"/>
      <c r="K9" s="62"/>
      <c r="L9" s="44">
        <f>SUM(I9:K9)</f>
        <v>0</v>
      </c>
      <c r="M9" s="71"/>
      <c r="O9" s="15" t="s">
        <v>11</v>
      </c>
      <c r="P9" s="60"/>
      <c r="Q9" s="61"/>
      <c r="R9" s="62"/>
      <c r="S9" s="44">
        <f>SUM(P9:R9)</f>
        <v>0</v>
      </c>
    </row>
    <row r="10" spans="1:34" x14ac:dyDescent="0.15">
      <c r="A10" s="15" t="s">
        <v>12</v>
      </c>
      <c r="B10" s="5"/>
      <c r="C10" s="6"/>
      <c r="D10" s="30"/>
      <c r="E10" s="44">
        <f t="shared" si="2"/>
        <v>0</v>
      </c>
      <c r="F10" s="35"/>
      <c r="H10" s="15" t="s">
        <v>12</v>
      </c>
      <c r="I10" s="60"/>
      <c r="J10" s="61"/>
      <c r="K10" s="62"/>
      <c r="L10" s="44">
        <f t="shared" ref="L10:L12" si="3">SUM(I10:K10)</f>
        <v>0</v>
      </c>
      <c r="M10" s="71"/>
      <c r="O10" s="15" t="s">
        <v>12</v>
      </c>
      <c r="P10" s="60"/>
      <c r="Q10" s="61"/>
      <c r="R10" s="62"/>
      <c r="S10" s="44">
        <f t="shared" ref="S10:S12" si="4">SUM(P10:R10)</f>
        <v>0</v>
      </c>
    </row>
    <row r="11" spans="1:34" x14ac:dyDescent="0.15">
      <c r="A11" s="15" t="s">
        <v>13</v>
      </c>
      <c r="B11" s="8"/>
      <c r="C11" s="9"/>
      <c r="D11" s="31"/>
      <c r="E11" s="44">
        <f t="shared" si="2"/>
        <v>0</v>
      </c>
      <c r="F11" s="35"/>
      <c r="H11" s="15" t="s">
        <v>13</v>
      </c>
      <c r="I11" s="63"/>
      <c r="J11" s="64"/>
      <c r="K11" s="65"/>
      <c r="L11" s="44">
        <f t="shared" si="3"/>
        <v>0</v>
      </c>
      <c r="O11" s="15" t="s">
        <v>13</v>
      </c>
      <c r="P11" s="63"/>
      <c r="Q11" s="64"/>
      <c r="R11" s="65"/>
      <c r="S11" s="44">
        <f t="shared" si="4"/>
        <v>0</v>
      </c>
    </row>
    <row r="12" spans="1:34" ht="14.25" thickBot="1" x14ac:dyDescent="0.2">
      <c r="A12" s="15" t="s">
        <v>14</v>
      </c>
      <c r="B12" s="21"/>
      <c r="C12" s="22"/>
      <c r="D12" s="32"/>
      <c r="E12" s="45">
        <f t="shared" si="2"/>
        <v>0</v>
      </c>
      <c r="F12" s="35"/>
      <c r="H12" s="15" t="s">
        <v>14</v>
      </c>
      <c r="I12" s="66"/>
      <c r="J12" s="67"/>
      <c r="K12" s="68"/>
      <c r="L12" s="45">
        <f t="shared" si="3"/>
        <v>0</v>
      </c>
      <c r="O12" s="15" t="s">
        <v>14</v>
      </c>
      <c r="P12" s="66"/>
      <c r="Q12" s="67"/>
      <c r="R12" s="68"/>
      <c r="S12" s="45">
        <f t="shared" si="4"/>
        <v>0</v>
      </c>
    </row>
    <row r="13" spans="1:34" ht="14.25" thickBot="1" x14ac:dyDescent="0.2">
      <c r="A13" s="23" t="s">
        <v>15</v>
      </c>
      <c r="B13" s="18">
        <f>SUM(B4:B12)</f>
        <v>5</v>
      </c>
      <c r="C13" s="19">
        <f>SUM(C4:C12)</f>
        <v>5</v>
      </c>
      <c r="D13" s="20">
        <f>SUM(D4:D12)</f>
        <v>5</v>
      </c>
      <c r="E13" s="46">
        <f>SUM(B13:D13)</f>
        <v>15</v>
      </c>
      <c r="H13" s="23" t="s">
        <v>15</v>
      </c>
      <c r="I13" s="18">
        <f>SUM(I4:I12)</f>
        <v>363</v>
      </c>
      <c r="J13" s="19">
        <f t="shared" ref="J13:L13" si="5">SUM(J4:J12)</f>
        <v>413</v>
      </c>
      <c r="K13" s="20">
        <f t="shared" si="5"/>
        <v>267</v>
      </c>
      <c r="L13" s="46">
        <f t="shared" si="5"/>
        <v>1043</v>
      </c>
      <c r="O13" s="23" t="s">
        <v>15</v>
      </c>
      <c r="P13" s="18">
        <f>SUM(P4:P12)</f>
        <v>403</v>
      </c>
      <c r="Q13" s="19">
        <f>SUM(Q4:Q12)</f>
        <v>416</v>
      </c>
      <c r="R13" s="20">
        <f>SUM(R4:R12)</f>
        <v>203</v>
      </c>
      <c r="S13" s="46">
        <f>SUM(P13:R13)</f>
        <v>1022</v>
      </c>
    </row>
    <row r="14" spans="1:34" x14ac:dyDescent="0.15">
      <c r="A14" s="13" t="s">
        <v>45</v>
      </c>
      <c r="B14" s="8"/>
      <c r="C14" s="9"/>
      <c r="D14" s="10">
        <v>1</v>
      </c>
      <c r="E14" s="43">
        <f>SUM(B14:D14)</f>
        <v>1</v>
      </c>
      <c r="F14" s="35">
        <v>45757</v>
      </c>
      <c r="H14" s="16" t="s">
        <v>43</v>
      </c>
      <c r="I14" s="8">
        <v>5</v>
      </c>
      <c r="J14" s="9">
        <v>5</v>
      </c>
      <c r="K14" s="10">
        <v>5</v>
      </c>
      <c r="L14" s="43">
        <f>SUM(I14:K14)</f>
        <v>15</v>
      </c>
      <c r="M14" s="71">
        <v>45755</v>
      </c>
      <c r="O14" s="16" t="s">
        <v>26</v>
      </c>
      <c r="P14" s="8">
        <v>403</v>
      </c>
      <c r="Q14" s="9">
        <v>416</v>
      </c>
      <c r="R14" s="10">
        <v>203</v>
      </c>
      <c r="S14" s="44">
        <f t="shared" ref="S14" si="6">SUM(P14:R14)</f>
        <v>1022</v>
      </c>
      <c r="T14" s="35">
        <v>45757</v>
      </c>
      <c r="U14" s="39"/>
    </row>
    <row r="15" spans="1:34" x14ac:dyDescent="0.15">
      <c r="A15" s="13" t="s">
        <v>48</v>
      </c>
      <c r="B15" s="5">
        <v>1</v>
      </c>
      <c r="C15" s="6"/>
      <c r="D15" s="7"/>
      <c r="E15" s="43">
        <f t="shared" ref="E15:E40" si="7">SUM(B15:D15)</f>
        <v>1</v>
      </c>
      <c r="F15" s="35">
        <v>45796</v>
      </c>
      <c r="H15" s="16" t="s">
        <v>46</v>
      </c>
      <c r="I15" s="5">
        <v>10</v>
      </c>
      <c r="J15" s="6">
        <v>10</v>
      </c>
      <c r="K15" s="7">
        <v>10</v>
      </c>
      <c r="L15" s="43">
        <f t="shared" ref="L15:L17" si="8">SUM(I15:K15)</f>
        <v>30</v>
      </c>
      <c r="M15" s="71">
        <v>45799</v>
      </c>
      <c r="N15" s="39"/>
      <c r="O15" s="16"/>
      <c r="P15" s="5"/>
      <c r="Q15" s="6"/>
      <c r="R15" s="7"/>
      <c r="S15" s="43">
        <f t="shared" ref="S15:S23" si="9">SUM(P15:R15)</f>
        <v>0</v>
      </c>
    </row>
    <row r="16" spans="1:34" x14ac:dyDescent="0.15">
      <c r="A16" s="13" t="s">
        <v>48</v>
      </c>
      <c r="B16" s="5"/>
      <c r="C16" s="6"/>
      <c r="D16" s="7">
        <v>1</v>
      </c>
      <c r="E16" s="43">
        <f t="shared" si="7"/>
        <v>1</v>
      </c>
      <c r="F16" s="35">
        <v>45815</v>
      </c>
      <c r="H16" s="16" t="s">
        <v>51</v>
      </c>
      <c r="I16" s="5"/>
      <c r="J16" s="6">
        <v>20</v>
      </c>
      <c r="K16" s="7"/>
      <c r="L16" s="43">
        <f t="shared" si="8"/>
        <v>20</v>
      </c>
      <c r="M16" s="71">
        <v>45813</v>
      </c>
      <c r="N16" s="39"/>
      <c r="O16" s="16"/>
      <c r="P16" s="5"/>
      <c r="Q16" s="6"/>
      <c r="R16" s="7"/>
      <c r="S16" s="43">
        <f t="shared" si="9"/>
        <v>0</v>
      </c>
      <c r="Z16" s="39"/>
    </row>
    <row r="17" spans="1:26" x14ac:dyDescent="0.15">
      <c r="A17" s="13" t="s">
        <v>48</v>
      </c>
      <c r="B17" s="5"/>
      <c r="C17" s="6">
        <v>1</v>
      </c>
      <c r="D17" s="7">
        <v>1</v>
      </c>
      <c r="E17" s="43">
        <f t="shared" si="7"/>
        <v>2</v>
      </c>
      <c r="F17" s="35">
        <v>45817</v>
      </c>
      <c r="H17" s="16" t="s">
        <v>52</v>
      </c>
      <c r="I17" s="5">
        <v>11</v>
      </c>
      <c r="J17" s="6">
        <v>1</v>
      </c>
      <c r="K17" s="7">
        <v>4</v>
      </c>
      <c r="L17" s="43">
        <f t="shared" si="8"/>
        <v>16</v>
      </c>
      <c r="M17" s="71">
        <v>45819</v>
      </c>
      <c r="N17" s="39"/>
      <c r="O17" s="16"/>
      <c r="P17" s="5"/>
      <c r="Q17" s="6"/>
      <c r="R17" s="7"/>
      <c r="S17" s="43">
        <f t="shared" si="9"/>
        <v>0</v>
      </c>
      <c r="Z17" s="39"/>
    </row>
    <row r="18" spans="1:26" x14ac:dyDescent="0.15">
      <c r="A18" s="13"/>
      <c r="B18" s="5"/>
      <c r="C18" s="6"/>
      <c r="D18" s="7"/>
      <c r="E18" s="43">
        <f t="shared" si="7"/>
        <v>0</v>
      </c>
      <c r="F18" s="35"/>
      <c r="H18" s="14"/>
      <c r="I18" s="5"/>
      <c r="J18" s="6"/>
      <c r="K18" s="7"/>
      <c r="L18" s="43">
        <f t="shared" ref="L18:L20" si="10">SUM(I18:K18)</f>
        <v>0</v>
      </c>
      <c r="M18" s="71"/>
      <c r="O18" s="14"/>
      <c r="P18" s="5"/>
      <c r="Q18" s="6"/>
      <c r="R18" s="7"/>
      <c r="S18" s="43">
        <f t="shared" si="9"/>
        <v>0</v>
      </c>
      <c r="Z18" s="39"/>
    </row>
    <row r="19" spans="1:26" x14ac:dyDescent="0.15">
      <c r="A19" s="13"/>
      <c r="B19" s="5"/>
      <c r="C19" s="6"/>
      <c r="D19" s="11"/>
      <c r="E19" s="43">
        <f t="shared" si="7"/>
        <v>0</v>
      </c>
      <c r="F19" s="35"/>
      <c r="H19" s="16"/>
      <c r="I19" s="5"/>
      <c r="J19" s="6"/>
      <c r="K19" s="11"/>
      <c r="L19" s="43">
        <f t="shared" si="10"/>
        <v>0</v>
      </c>
      <c r="M19" s="71"/>
      <c r="N19" s="39"/>
      <c r="O19" s="16"/>
      <c r="P19" s="5"/>
      <c r="Q19" s="6"/>
      <c r="R19" s="11"/>
      <c r="S19" s="43">
        <f t="shared" si="9"/>
        <v>0</v>
      </c>
      <c r="Z19" s="39"/>
    </row>
    <row r="20" spans="1:26" x14ac:dyDescent="0.15">
      <c r="A20" s="13"/>
      <c r="B20" s="5"/>
      <c r="C20" s="6"/>
      <c r="D20" s="7"/>
      <c r="E20" s="43">
        <f t="shared" si="7"/>
        <v>0</v>
      </c>
      <c r="F20" s="35"/>
      <c r="H20" s="16"/>
      <c r="I20" s="5"/>
      <c r="J20" s="6"/>
      <c r="K20" s="7"/>
      <c r="L20" s="43">
        <f t="shared" si="10"/>
        <v>0</v>
      </c>
      <c r="M20" s="71"/>
      <c r="N20" s="39"/>
      <c r="O20" s="16"/>
      <c r="P20" s="5"/>
      <c r="Q20" s="6"/>
      <c r="R20" s="7"/>
      <c r="S20" s="43">
        <f t="shared" si="9"/>
        <v>0</v>
      </c>
      <c r="Z20" s="39"/>
    </row>
    <row r="21" spans="1:26" x14ac:dyDescent="0.15">
      <c r="A21" s="13"/>
      <c r="B21" s="5"/>
      <c r="C21" s="6"/>
      <c r="D21" s="7"/>
      <c r="E21" s="43">
        <f t="shared" si="7"/>
        <v>0</v>
      </c>
      <c r="F21" s="35"/>
      <c r="H21" s="16"/>
      <c r="I21" s="5"/>
      <c r="J21" s="6"/>
      <c r="K21" s="7"/>
      <c r="L21" s="43">
        <f t="shared" ref="L21:L39" si="11">SUM(I21:K21)</f>
        <v>0</v>
      </c>
      <c r="M21" s="71"/>
      <c r="O21" s="16"/>
      <c r="P21" s="5"/>
      <c r="Q21" s="6"/>
      <c r="R21" s="7"/>
      <c r="S21" s="43">
        <f t="shared" si="9"/>
        <v>0</v>
      </c>
      <c r="Z21" s="39"/>
    </row>
    <row r="22" spans="1:26" x14ac:dyDescent="0.15">
      <c r="A22" s="13"/>
      <c r="B22" s="5"/>
      <c r="C22" s="6"/>
      <c r="D22" s="7"/>
      <c r="E22" s="43">
        <f t="shared" si="7"/>
        <v>0</v>
      </c>
      <c r="F22" s="35"/>
      <c r="H22" s="16"/>
      <c r="I22" s="5"/>
      <c r="J22" s="6"/>
      <c r="K22" s="7"/>
      <c r="L22" s="43">
        <f t="shared" si="11"/>
        <v>0</v>
      </c>
      <c r="M22" s="71"/>
      <c r="O22" s="16"/>
      <c r="P22" s="5"/>
      <c r="Q22" s="6"/>
      <c r="R22" s="7"/>
      <c r="S22" s="43">
        <f t="shared" si="9"/>
        <v>0</v>
      </c>
    </row>
    <row r="23" spans="1:26" x14ac:dyDescent="0.15">
      <c r="A23" s="13"/>
      <c r="B23" s="8"/>
      <c r="C23" s="9"/>
      <c r="D23" s="10"/>
      <c r="E23" s="43">
        <f t="shared" si="7"/>
        <v>0</v>
      </c>
      <c r="F23" s="35"/>
      <c r="H23" s="14"/>
      <c r="I23" s="8"/>
      <c r="J23" s="9"/>
      <c r="K23" s="10"/>
      <c r="L23" s="43">
        <f t="shared" si="11"/>
        <v>0</v>
      </c>
      <c r="M23" s="71"/>
      <c r="N23" s="39"/>
      <c r="O23" s="14"/>
      <c r="P23" s="8"/>
      <c r="Q23" s="9"/>
      <c r="R23" s="10"/>
      <c r="S23" s="43">
        <f t="shared" si="9"/>
        <v>0</v>
      </c>
    </row>
    <row r="24" spans="1:26" x14ac:dyDescent="0.15">
      <c r="A24" s="13"/>
      <c r="B24" s="5"/>
      <c r="C24" s="6"/>
      <c r="D24" s="7"/>
      <c r="E24" s="43">
        <f t="shared" si="7"/>
        <v>0</v>
      </c>
      <c r="F24" s="35"/>
      <c r="H24" s="14"/>
      <c r="I24" s="5"/>
      <c r="J24" s="6"/>
      <c r="K24" s="7"/>
      <c r="L24" s="43">
        <f>SUM(I24:K24)</f>
        <v>0</v>
      </c>
      <c r="M24" s="71"/>
      <c r="N24" s="39"/>
      <c r="O24" s="14"/>
      <c r="P24" s="5"/>
      <c r="Q24" s="6"/>
      <c r="R24" s="7"/>
      <c r="S24" s="43">
        <f>SUM(P24:R24)</f>
        <v>0</v>
      </c>
    </row>
    <row r="25" spans="1:26" x14ac:dyDescent="0.15">
      <c r="A25" s="13"/>
      <c r="B25" s="5"/>
      <c r="C25" s="6"/>
      <c r="D25" s="7"/>
      <c r="E25" s="43">
        <f t="shared" si="7"/>
        <v>0</v>
      </c>
      <c r="F25" s="35"/>
      <c r="H25" s="16"/>
      <c r="I25" s="5"/>
      <c r="J25" s="6"/>
      <c r="K25" s="7"/>
      <c r="L25" s="43">
        <f t="shared" ref="L25:L26" si="12">SUM(I25:K25)</f>
        <v>0</v>
      </c>
      <c r="M25" s="71"/>
      <c r="N25" s="39"/>
      <c r="O25" s="16"/>
      <c r="P25" s="5"/>
      <c r="Q25" s="6"/>
      <c r="R25" s="7"/>
      <c r="S25" s="43">
        <f t="shared" ref="S25:S40" si="13">SUM(P25:R25)</f>
        <v>0</v>
      </c>
    </row>
    <row r="26" spans="1:26" x14ac:dyDescent="0.15">
      <c r="A26" s="13"/>
      <c r="B26" s="5"/>
      <c r="C26" s="6"/>
      <c r="D26" s="7"/>
      <c r="E26" s="43">
        <f t="shared" si="7"/>
        <v>0</v>
      </c>
      <c r="F26" s="35"/>
      <c r="H26" s="16"/>
      <c r="I26" s="5"/>
      <c r="J26" s="6"/>
      <c r="K26" s="7"/>
      <c r="L26" s="43">
        <f t="shared" si="12"/>
        <v>0</v>
      </c>
      <c r="M26" s="71"/>
      <c r="O26" s="16"/>
      <c r="P26" s="5"/>
      <c r="Q26" s="6"/>
      <c r="R26" s="7"/>
      <c r="S26" s="43">
        <f t="shared" si="13"/>
        <v>0</v>
      </c>
    </row>
    <row r="27" spans="1:26" x14ac:dyDescent="0.15">
      <c r="A27" s="13"/>
      <c r="B27" s="5"/>
      <c r="C27" s="6"/>
      <c r="D27" s="7"/>
      <c r="E27" s="43">
        <f t="shared" si="7"/>
        <v>0</v>
      </c>
      <c r="F27" s="35"/>
      <c r="H27" s="16"/>
      <c r="I27" s="5"/>
      <c r="J27" s="6"/>
      <c r="K27" s="7"/>
      <c r="L27" s="43">
        <f t="shared" si="11"/>
        <v>0</v>
      </c>
      <c r="M27" s="71"/>
      <c r="O27" s="16"/>
      <c r="P27" s="5"/>
      <c r="Q27" s="6"/>
      <c r="R27" s="7"/>
      <c r="S27" s="43">
        <f t="shared" si="13"/>
        <v>0</v>
      </c>
    </row>
    <row r="28" spans="1:26" x14ac:dyDescent="0.15">
      <c r="A28" s="13"/>
      <c r="B28" s="5"/>
      <c r="C28" s="6"/>
      <c r="D28" s="7"/>
      <c r="E28" s="43">
        <f t="shared" si="7"/>
        <v>0</v>
      </c>
      <c r="F28" s="35"/>
      <c r="H28" s="14"/>
      <c r="I28" s="5"/>
      <c r="J28" s="6"/>
      <c r="K28" s="7"/>
      <c r="L28" s="43">
        <f t="shared" si="11"/>
        <v>0</v>
      </c>
      <c r="M28" s="71"/>
      <c r="N28" s="39"/>
      <c r="O28" s="14"/>
      <c r="P28" s="5"/>
      <c r="Q28" s="6"/>
      <c r="R28" s="7"/>
      <c r="S28" s="43">
        <f t="shared" si="13"/>
        <v>0</v>
      </c>
    </row>
    <row r="29" spans="1:26" x14ac:dyDescent="0.15">
      <c r="A29" s="13"/>
      <c r="B29" s="5"/>
      <c r="C29" s="6"/>
      <c r="D29" s="7"/>
      <c r="E29" s="43">
        <f t="shared" si="7"/>
        <v>0</v>
      </c>
      <c r="F29" s="35"/>
      <c r="H29" s="14"/>
      <c r="I29" s="5"/>
      <c r="J29" s="6"/>
      <c r="K29" s="7"/>
      <c r="L29" s="43">
        <f t="shared" si="11"/>
        <v>0</v>
      </c>
      <c r="M29" s="71"/>
      <c r="N29" s="39"/>
      <c r="O29" s="14"/>
      <c r="P29" s="5"/>
      <c r="Q29" s="6"/>
      <c r="R29" s="7"/>
      <c r="S29" s="43">
        <f t="shared" si="13"/>
        <v>0</v>
      </c>
    </row>
    <row r="30" spans="1:26" x14ac:dyDescent="0.15">
      <c r="A30" s="13"/>
      <c r="B30" s="5"/>
      <c r="C30" s="6"/>
      <c r="D30" s="7"/>
      <c r="E30" s="43">
        <f t="shared" si="7"/>
        <v>0</v>
      </c>
      <c r="F30" s="35"/>
      <c r="H30" s="16"/>
      <c r="I30" s="5"/>
      <c r="J30" s="6"/>
      <c r="K30" s="7"/>
      <c r="L30" s="43">
        <f t="shared" si="11"/>
        <v>0</v>
      </c>
      <c r="M30" s="71"/>
      <c r="N30" s="39"/>
      <c r="O30" s="16"/>
      <c r="P30" s="5"/>
      <c r="Q30" s="6"/>
      <c r="R30" s="7"/>
      <c r="S30" s="43">
        <f t="shared" si="13"/>
        <v>0</v>
      </c>
    </row>
    <row r="31" spans="1:26" x14ac:dyDescent="0.15">
      <c r="A31" s="13"/>
      <c r="B31" s="5"/>
      <c r="C31" s="6"/>
      <c r="D31" s="7"/>
      <c r="E31" s="43">
        <f t="shared" si="7"/>
        <v>0</v>
      </c>
      <c r="F31" s="35"/>
      <c r="G31" s="39"/>
      <c r="H31" s="16"/>
      <c r="I31" s="5"/>
      <c r="J31" s="6"/>
      <c r="K31" s="7"/>
      <c r="L31" s="43">
        <f t="shared" si="11"/>
        <v>0</v>
      </c>
      <c r="M31" s="71"/>
      <c r="N31" s="39"/>
      <c r="O31" s="16"/>
      <c r="P31" s="5"/>
      <c r="Q31" s="6"/>
      <c r="R31" s="7"/>
      <c r="S31" s="43">
        <f t="shared" si="13"/>
        <v>0</v>
      </c>
    </row>
    <row r="32" spans="1:26" x14ac:dyDescent="0.15">
      <c r="A32" s="13"/>
      <c r="B32" s="5"/>
      <c r="C32" s="6"/>
      <c r="D32" s="7"/>
      <c r="E32" s="43">
        <f t="shared" si="7"/>
        <v>0</v>
      </c>
      <c r="F32" s="35"/>
      <c r="H32" s="14"/>
      <c r="I32" s="5"/>
      <c r="J32" s="6"/>
      <c r="K32" s="7"/>
      <c r="L32" s="43">
        <f t="shared" si="11"/>
        <v>0</v>
      </c>
      <c r="M32" s="71"/>
      <c r="O32" s="14"/>
      <c r="P32" s="5"/>
      <c r="Q32" s="6"/>
      <c r="R32" s="7"/>
      <c r="S32" s="43">
        <f t="shared" si="13"/>
        <v>0</v>
      </c>
    </row>
    <row r="33" spans="1:20" x14ac:dyDescent="0.15">
      <c r="A33" s="13"/>
      <c r="B33" s="5"/>
      <c r="C33" s="6"/>
      <c r="D33" s="7"/>
      <c r="E33" s="43">
        <f t="shared" si="7"/>
        <v>0</v>
      </c>
      <c r="F33" s="35"/>
      <c r="H33" s="13"/>
      <c r="I33" s="5"/>
      <c r="J33" s="6"/>
      <c r="K33" s="7"/>
      <c r="L33" s="43">
        <f t="shared" si="11"/>
        <v>0</v>
      </c>
      <c r="M33" s="71"/>
      <c r="O33" s="13"/>
      <c r="P33" s="5"/>
      <c r="Q33" s="6"/>
      <c r="R33" s="7"/>
      <c r="S33" s="43">
        <f t="shared" si="13"/>
        <v>0</v>
      </c>
    </row>
    <row r="34" spans="1:20" x14ac:dyDescent="0.15">
      <c r="A34" s="13"/>
      <c r="B34" s="8"/>
      <c r="C34" s="9"/>
      <c r="D34" s="10"/>
      <c r="E34" s="43">
        <f t="shared" ref="E34" si="14">SUM(B34:D34)</f>
        <v>0</v>
      </c>
      <c r="F34" s="35"/>
      <c r="H34" s="13"/>
      <c r="I34" s="5"/>
      <c r="J34" s="6"/>
      <c r="K34" s="7"/>
      <c r="L34" s="43">
        <f t="shared" ref="L34:L38" si="15">SUM(I34:K34)</f>
        <v>0</v>
      </c>
      <c r="M34" s="71"/>
      <c r="O34" s="13"/>
      <c r="P34" s="5"/>
      <c r="Q34" s="6"/>
      <c r="R34" s="7"/>
      <c r="S34" s="43">
        <f t="shared" si="13"/>
        <v>0</v>
      </c>
    </row>
    <row r="35" spans="1:20" x14ac:dyDescent="0.15">
      <c r="A35" s="13"/>
      <c r="B35" s="8"/>
      <c r="C35" s="9"/>
      <c r="D35" s="10"/>
      <c r="E35" s="43">
        <f t="shared" si="7"/>
        <v>0</v>
      </c>
      <c r="F35" s="35"/>
      <c r="H35" s="13"/>
      <c r="I35" s="5"/>
      <c r="J35" s="6"/>
      <c r="K35" s="7"/>
      <c r="L35" s="43">
        <f t="shared" si="15"/>
        <v>0</v>
      </c>
      <c r="M35" s="71"/>
      <c r="O35" s="13"/>
      <c r="P35" s="5"/>
      <c r="Q35" s="6"/>
      <c r="R35" s="7"/>
      <c r="S35" s="43">
        <f t="shared" si="13"/>
        <v>0</v>
      </c>
    </row>
    <row r="36" spans="1:20" x14ac:dyDescent="0.15">
      <c r="A36" s="13"/>
      <c r="B36" s="5"/>
      <c r="C36" s="6"/>
      <c r="D36" s="7"/>
      <c r="E36" s="43">
        <f t="shared" si="7"/>
        <v>0</v>
      </c>
      <c r="F36" s="35"/>
      <c r="H36" s="13"/>
      <c r="I36" s="5"/>
      <c r="J36" s="6"/>
      <c r="K36" s="7"/>
      <c r="L36" s="43">
        <f t="shared" si="15"/>
        <v>0</v>
      </c>
      <c r="M36" s="71"/>
      <c r="O36" s="13"/>
      <c r="P36" s="5"/>
      <c r="Q36" s="6"/>
      <c r="R36" s="7"/>
      <c r="S36" s="43">
        <f t="shared" si="13"/>
        <v>0</v>
      </c>
    </row>
    <row r="37" spans="1:20" x14ac:dyDescent="0.15">
      <c r="A37" s="14"/>
      <c r="B37" s="8"/>
      <c r="C37" s="9"/>
      <c r="D37" s="10"/>
      <c r="E37" s="44">
        <f t="shared" si="7"/>
        <v>0</v>
      </c>
      <c r="F37" s="35"/>
      <c r="H37" s="13"/>
      <c r="I37" s="5"/>
      <c r="J37" s="6"/>
      <c r="K37" s="7"/>
      <c r="L37" s="43">
        <f t="shared" si="15"/>
        <v>0</v>
      </c>
      <c r="M37" s="71"/>
      <c r="O37" s="13"/>
      <c r="P37" s="5"/>
      <c r="Q37" s="6"/>
      <c r="R37" s="7"/>
      <c r="S37" s="43">
        <f t="shared" si="13"/>
        <v>0</v>
      </c>
    </row>
    <row r="38" spans="1:20" x14ac:dyDescent="0.15">
      <c r="A38" s="13"/>
      <c r="B38" s="5"/>
      <c r="C38" s="6"/>
      <c r="D38" s="7"/>
      <c r="E38" s="43">
        <f t="shared" si="7"/>
        <v>0</v>
      </c>
      <c r="F38" s="35"/>
      <c r="H38" s="16" t="s">
        <v>32</v>
      </c>
      <c r="I38" s="5"/>
      <c r="J38" s="6"/>
      <c r="K38" s="7"/>
      <c r="L38" s="43">
        <f t="shared" si="15"/>
        <v>0</v>
      </c>
      <c r="M38" s="71"/>
      <c r="O38" s="13"/>
      <c r="P38" s="5"/>
      <c r="Q38" s="6"/>
      <c r="R38" s="7"/>
      <c r="S38" s="43">
        <f t="shared" si="13"/>
        <v>0</v>
      </c>
    </row>
    <row r="39" spans="1:20" ht="14.25" thickBot="1" x14ac:dyDescent="0.2">
      <c r="A39" s="13"/>
      <c r="B39" s="8"/>
      <c r="C39" s="9"/>
      <c r="D39" s="10"/>
      <c r="E39" s="47">
        <f t="shared" si="7"/>
        <v>0</v>
      </c>
      <c r="F39" s="35"/>
      <c r="H39" s="16" t="s">
        <v>47</v>
      </c>
      <c r="I39" s="8"/>
      <c r="J39" s="9"/>
      <c r="K39" s="10"/>
      <c r="L39" s="44">
        <f t="shared" si="11"/>
        <v>0</v>
      </c>
      <c r="M39" s="71" t="s">
        <v>31</v>
      </c>
      <c r="O39" s="16" t="s">
        <v>26</v>
      </c>
      <c r="P39" s="8"/>
      <c r="Q39" s="9"/>
      <c r="R39" s="10"/>
      <c r="S39" s="44">
        <f t="shared" si="13"/>
        <v>0</v>
      </c>
      <c r="T39" t="s">
        <v>27</v>
      </c>
    </row>
    <row r="40" spans="1:20" ht="14.25" thickBot="1" x14ac:dyDescent="0.2">
      <c r="A40" s="25" t="s">
        <v>17</v>
      </c>
      <c r="B40" s="28">
        <f>SUM(B14:B39)</f>
        <v>1</v>
      </c>
      <c r="C40" s="29">
        <f t="shared" ref="C40:D40" si="16">SUM(C14:C39)</f>
        <v>1</v>
      </c>
      <c r="D40" s="33">
        <f t="shared" si="16"/>
        <v>3</v>
      </c>
      <c r="E40" s="48">
        <f t="shared" si="7"/>
        <v>5</v>
      </c>
      <c r="F40" s="24"/>
      <c r="H40" s="25" t="s">
        <v>17</v>
      </c>
      <c r="I40" s="28">
        <f>SUM(I14:I39)</f>
        <v>26</v>
      </c>
      <c r="J40" s="29">
        <f t="shared" ref="J40:L40" si="17">SUM(J14:J39)</f>
        <v>36</v>
      </c>
      <c r="K40" s="33">
        <f t="shared" si="17"/>
        <v>19</v>
      </c>
      <c r="L40" s="48">
        <f t="shared" si="17"/>
        <v>81</v>
      </c>
      <c r="M40" s="72"/>
      <c r="O40" s="25" t="s">
        <v>17</v>
      </c>
      <c r="P40" s="28">
        <f>SUM(P14:P39)</f>
        <v>403</v>
      </c>
      <c r="Q40" s="29">
        <f t="shared" ref="Q40:R40" si="18">SUM(Q14:Q39)</f>
        <v>416</v>
      </c>
      <c r="R40" s="33">
        <f t="shared" si="18"/>
        <v>203</v>
      </c>
      <c r="S40" s="48">
        <f t="shared" si="13"/>
        <v>1022</v>
      </c>
    </row>
    <row r="41" spans="1:20" ht="14.25" thickBot="1" x14ac:dyDescent="0.2">
      <c r="A41" s="12" t="s">
        <v>16</v>
      </c>
      <c r="B41" s="50">
        <f>B13-B40</f>
        <v>4</v>
      </c>
      <c r="C41" s="51">
        <f t="shared" ref="C41:D41" si="19">C13-C40</f>
        <v>4</v>
      </c>
      <c r="D41" s="52">
        <f t="shared" si="19"/>
        <v>2</v>
      </c>
      <c r="E41" s="49">
        <f>SUM(B41:D41)</f>
        <v>10</v>
      </c>
      <c r="H41" s="12" t="s">
        <v>16</v>
      </c>
      <c r="I41" s="50">
        <f>I13-I40</f>
        <v>337</v>
      </c>
      <c r="J41" s="51">
        <f t="shared" ref="J41:L41" si="20">J13-J40</f>
        <v>377</v>
      </c>
      <c r="K41" s="52">
        <f t="shared" si="20"/>
        <v>248</v>
      </c>
      <c r="L41" s="49">
        <f t="shared" si="20"/>
        <v>962</v>
      </c>
      <c r="O41" s="12" t="s">
        <v>16</v>
      </c>
      <c r="P41" s="50">
        <f>P13-P40</f>
        <v>0</v>
      </c>
      <c r="Q41" s="51">
        <f t="shared" ref="Q41:R41" si="21">Q13-Q40</f>
        <v>0</v>
      </c>
      <c r="R41" s="52">
        <f t="shared" si="21"/>
        <v>0</v>
      </c>
      <c r="S41" s="49">
        <f>SUM(P41:R41)</f>
        <v>0</v>
      </c>
    </row>
    <row r="42" spans="1:20" x14ac:dyDescent="0.15">
      <c r="I42" s="87"/>
      <c r="J42" s="87"/>
      <c r="K42" s="87"/>
      <c r="L42" s="87"/>
    </row>
    <row r="44" spans="1:20" ht="19.5" thickBot="1" x14ac:dyDescent="0.25">
      <c r="A44" s="79" t="s">
        <v>21</v>
      </c>
      <c r="B44" s="80"/>
      <c r="C44" s="80"/>
      <c r="D44" s="80"/>
      <c r="E44" s="80"/>
      <c r="H44" s="101" t="s">
        <v>63</v>
      </c>
      <c r="I44" s="102"/>
      <c r="J44" s="104">
        <v>450</v>
      </c>
      <c r="K44" s="105">
        <v>1480</v>
      </c>
      <c r="L44" s="102"/>
    </row>
    <row r="45" spans="1:20" ht="14.25" thickBot="1" x14ac:dyDescent="0.2">
      <c r="A45" s="4" t="s">
        <v>0</v>
      </c>
      <c r="B45" s="144" t="s">
        <v>20</v>
      </c>
      <c r="C45" s="145"/>
      <c r="D45" s="145"/>
      <c r="E45" s="146"/>
      <c r="H45" s="4" t="s">
        <v>0</v>
      </c>
      <c r="I45" s="144" t="s">
        <v>20</v>
      </c>
      <c r="J45" s="145"/>
      <c r="K45" s="145"/>
      <c r="L45" s="146"/>
    </row>
    <row r="46" spans="1:20" ht="14.25" thickBot="1" x14ac:dyDescent="0.2">
      <c r="A46" s="4" t="s">
        <v>1</v>
      </c>
      <c r="B46" s="1" t="s">
        <v>2</v>
      </c>
      <c r="C46" s="2" t="s">
        <v>3</v>
      </c>
      <c r="D46" s="3" t="s">
        <v>4</v>
      </c>
      <c r="E46" s="4" t="s">
        <v>5</v>
      </c>
      <c r="H46" s="4" t="s">
        <v>1</v>
      </c>
      <c r="I46" s="1" t="s">
        <v>2</v>
      </c>
      <c r="J46" s="2" t="s">
        <v>3</v>
      </c>
      <c r="K46" s="3" t="s">
        <v>4</v>
      </c>
      <c r="L46" s="4" t="s">
        <v>5</v>
      </c>
    </row>
    <row r="47" spans="1:20" ht="14.25" thickBot="1" x14ac:dyDescent="0.2">
      <c r="A47" s="17" t="s">
        <v>18</v>
      </c>
      <c r="B47" s="26">
        <f>B41</f>
        <v>4</v>
      </c>
      <c r="C47" s="27">
        <f>C41</f>
        <v>4</v>
      </c>
      <c r="D47" s="34">
        <f>D41</f>
        <v>2</v>
      </c>
      <c r="E47" s="41">
        <f>SUM(B47:D47)</f>
        <v>10</v>
      </c>
      <c r="H47" s="17" t="s">
        <v>18</v>
      </c>
      <c r="I47" s="54">
        <f>I41</f>
        <v>337</v>
      </c>
      <c r="J47" s="55">
        <f>J41</f>
        <v>377</v>
      </c>
      <c r="K47" s="56">
        <f>K41</f>
        <v>248</v>
      </c>
      <c r="L47" s="53">
        <f>SUM(I47:K47)</f>
        <v>962</v>
      </c>
    </row>
    <row r="48" spans="1:20" x14ac:dyDescent="0.15">
      <c r="A48" s="15" t="s">
        <v>7</v>
      </c>
      <c r="B48" s="26">
        <v>3</v>
      </c>
      <c r="C48" s="27">
        <v>3</v>
      </c>
      <c r="D48" s="38">
        <v>5</v>
      </c>
      <c r="E48" s="42">
        <f>SUM(B48:D48)</f>
        <v>11</v>
      </c>
      <c r="F48" s="35">
        <v>45840</v>
      </c>
      <c r="H48" s="15" t="s">
        <v>7</v>
      </c>
      <c r="I48" s="57"/>
      <c r="J48" s="58"/>
      <c r="K48" s="59"/>
      <c r="L48" s="42">
        <f>SUM(I48:K48)</f>
        <v>0</v>
      </c>
      <c r="M48" s="71"/>
    </row>
    <row r="49" spans="1:15" x14ac:dyDescent="0.15">
      <c r="A49" s="15" t="s">
        <v>59</v>
      </c>
      <c r="B49" s="5">
        <v>0</v>
      </c>
      <c r="C49" s="6">
        <v>0</v>
      </c>
      <c r="D49" s="11">
        <v>0</v>
      </c>
      <c r="E49" s="43">
        <f>SUM(B49:D49)</f>
        <v>0</v>
      </c>
      <c r="F49" s="35">
        <v>45878</v>
      </c>
      <c r="H49" s="15" t="s">
        <v>8</v>
      </c>
      <c r="I49" s="63"/>
      <c r="J49" s="64"/>
      <c r="K49" s="65"/>
      <c r="L49" s="44">
        <f t="shared" ref="L49:L52" si="22">SUM(I49:K49)</f>
        <v>0</v>
      </c>
    </row>
    <row r="50" spans="1:15" x14ac:dyDescent="0.15">
      <c r="A50" s="15" t="s">
        <v>9</v>
      </c>
      <c r="B50" s="5">
        <v>5</v>
      </c>
      <c r="C50" s="6">
        <v>3</v>
      </c>
      <c r="D50" s="7">
        <v>3</v>
      </c>
      <c r="E50" s="43">
        <f t="shared" ref="E50:E55" si="23">SUM(B50:D50)</f>
        <v>11</v>
      </c>
      <c r="F50" s="35">
        <v>45898</v>
      </c>
      <c r="H50" s="15" t="s">
        <v>9</v>
      </c>
      <c r="I50" s="63">
        <v>300</v>
      </c>
      <c r="J50" s="64">
        <v>200</v>
      </c>
      <c r="K50" s="65">
        <v>120</v>
      </c>
      <c r="L50" s="44">
        <f t="shared" si="22"/>
        <v>620</v>
      </c>
      <c r="M50" s="71" t="s">
        <v>57</v>
      </c>
    </row>
    <row r="51" spans="1:15" x14ac:dyDescent="0.15">
      <c r="A51" s="15" t="s">
        <v>62</v>
      </c>
      <c r="B51" s="5">
        <v>1</v>
      </c>
      <c r="C51" s="6"/>
      <c r="D51" s="30">
        <v>1</v>
      </c>
      <c r="E51" s="44">
        <f t="shared" si="23"/>
        <v>2</v>
      </c>
      <c r="F51" s="35">
        <v>45924</v>
      </c>
      <c r="H51" s="15" t="s">
        <v>39</v>
      </c>
      <c r="I51" s="63">
        <v>4</v>
      </c>
      <c r="J51" s="64"/>
      <c r="K51" s="65">
        <v>4</v>
      </c>
      <c r="L51" s="44">
        <f t="shared" si="22"/>
        <v>8</v>
      </c>
      <c r="M51" s="99"/>
    </row>
    <row r="52" spans="1:15" x14ac:dyDescent="0.15">
      <c r="A52" s="15" t="s">
        <v>62</v>
      </c>
      <c r="B52" s="5"/>
      <c r="C52" s="6">
        <v>1</v>
      </c>
      <c r="D52" s="30"/>
      <c r="E52" s="44">
        <f t="shared" si="23"/>
        <v>1</v>
      </c>
      <c r="F52" s="35">
        <v>45936</v>
      </c>
      <c r="G52" s="39"/>
      <c r="H52" s="15" t="s">
        <v>11</v>
      </c>
      <c r="I52" s="63"/>
      <c r="J52" s="64"/>
      <c r="K52" s="65"/>
      <c r="L52" s="44">
        <f t="shared" si="22"/>
        <v>0</v>
      </c>
    </row>
    <row r="53" spans="1:15" x14ac:dyDescent="0.15">
      <c r="A53" s="15" t="s">
        <v>12</v>
      </c>
      <c r="B53" s="5">
        <v>3</v>
      </c>
      <c r="C53" s="6">
        <v>3</v>
      </c>
      <c r="D53" s="30">
        <v>3</v>
      </c>
      <c r="E53" s="44">
        <f t="shared" si="23"/>
        <v>9</v>
      </c>
      <c r="F53" s="35">
        <v>45997</v>
      </c>
      <c r="H53" s="15" t="s">
        <v>12</v>
      </c>
      <c r="I53" s="63"/>
      <c r="J53" s="64"/>
      <c r="K53" s="65"/>
      <c r="L53" s="44">
        <f t="shared" ref="L53" si="24">SUM(I53:K53)</f>
        <v>0</v>
      </c>
    </row>
    <row r="54" spans="1:15" x14ac:dyDescent="0.15">
      <c r="A54" s="15" t="s">
        <v>13</v>
      </c>
      <c r="B54" s="8"/>
      <c r="C54" s="9"/>
      <c r="D54" s="31"/>
      <c r="E54" s="44">
        <f t="shared" si="23"/>
        <v>0</v>
      </c>
      <c r="F54" s="36"/>
      <c r="H54" s="15" t="s">
        <v>13</v>
      </c>
      <c r="I54" s="63"/>
      <c r="J54" s="64"/>
      <c r="K54" s="65"/>
      <c r="L54" s="44">
        <f t="shared" ref="L54" si="25">SUM(I54:K54)</f>
        <v>0</v>
      </c>
    </row>
    <row r="55" spans="1:15" ht="14.25" thickBot="1" x14ac:dyDescent="0.2">
      <c r="A55" s="15" t="s">
        <v>14</v>
      </c>
      <c r="B55" s="21"/>
      <c r="C55" s="22"/>
      <c r="D55" s="32"/>
      <c r="E55" s="45">
        <f t="shared" si="23"/>
        <v>0</v>
      </c>
      <c r="F55" s="35"/>
      <c r="H55" s="15" t="s">
        <v>14</v>
      </c>
      <c r="I55" s="63"/>
      <c r="J55" s="64"/>
      <c r="K55" s="65"/>
      <c r="L55" s="44">
        <f t="shared" ref="L55" si="26">SUM(I55:K55)</f>
        <v>0</v>
      </c>
    </row>
    <row r="56" spans="1:15" ht="14.25" thickBot="1" x14ac:dyDescent="0.2">
      <c r="A56" s="23" t="s">
        <v>15</v>
      </c>
      <c r="B56" s="18">
        <f>SUM(B47:B55)</f>
        <v>16</v>
      </c>
      <c r="C56" s="19">
        <f t="shared" ref="C56:D56" si="27">SUM(C47:C55)</f>
        <v>14</v>
      </c>
      <c r="D56" s="20">
        <f t="shared" si="27"/>
        <v>14</v>
      </c>
      <c r="E56" s="46">
        <f>SUM(B56:D56)</f>
        <v>44</v>
      </c>
      <c r="H56" s="23" t="s">
        <v>15</v>
      </c>
      <c r="I56" s="18">
        <f>SUM(I47:I55)</f>
        <v>641</v>
      </c>
      <c r="J56" s="19">
        <f t="shared" ref="J56:L56" si="28">SUM(J47:J55)</f>
        <v>577</v>
      </c>
      <c r="K56" s="20">
        <f t="shared" si="28"/>
        <v>372</v>
      </c>
      <c r="L56" s="46">
        <f t="shared" si="28"/>
        <v>1590</v>
      </c>
    </row>
    <row r="57" spans="1:15" ht="14.25" x14ac:dyDescent="0.15">
      <c r="A57" s="13" t="s">
        <v>55</v>
      </c>
      <c r="B57" s="5">
        <v>2</v>
      </c>
      <c r="C57" s="6">
        <v>2</v>
      </c>
      <c r="D57" s="7">
        <v>2</v>
      </c>
      <c r="E57" s="43">
        <f t="shared" ref="E57:E75" si="29">SUM(B57:D57)</f>
        <v>6</v>
      </c>
      <c r="F57" s="35">
        <v>45841</v>
      </c>
      <c r="H57" s="100" t="s">
        <v>56</v>
      </c>
      <c r="I57" s="5">
        <v>3</v>
      </c>
      <c r="J57" s="6">
        <v>3</v>
      </c>
      <c r="K57" s="7">
        <v>5</v>
      </c>
      <c r="L57" s="43">
        <f>SUM(I57:K57)</f>
        <v>11</v>
      </c>
      <c r="M57" s="73">
        <v>45840</v>
      </c>
      <c r="N57" s="39"/>
      <c r="O57" s="39"/>
    </row>
    <row r="58" spans="1:15" ht="17.25" x14ac:dyDescent="0.15">
      <c r="A58" s="13" t="s">
        <v>48</v>
      </c>
      <c r="B58" s="5">
        <v>1</v>
      </c>
      <c r="C58" s="6"/>
      <c r="D58" s="7"/>
      <c r="E58" s="43">
        <f t="shared" ref="E58:E61" si="30">SUM(B58:D58)</f>
        <v>1</v>
      </c>
      <c r="F58" s="35">
        <v>45852</v>
      </c>
      <c r="H58" s="100" t="s">
        <v>41</v>
      </c>
      <c r="I58" s="5">
        <v>5</v>
      </c>
      <c r="J58" s="6">
        <v>3</v>
      </c>
      <c r="K58" s="7">
        <v>3</v>
      </c>
      <c r="L58" s="43">
        <f t="shared" ref="L58:L63" si="31">SUM(I58:K58)</f>
        <v>11</v>
      </c>
      <c r="M58" s="73">
        <v>45898</v>
      </c>
      <c r="N58" s="39"/>
      <c r="O58" s="103"/>
    </row>
    <row r="59" spans="1:15" ht="14.25" x14ac:dyDescent="0.15">
      <c r="A59" s="13" t="s">
        <v>55</v>
      </c>
      <c r="B59" s="5">
        <v>2</v>
      </c>
      <c r="C59" s="6"/>
      <c r="D59" s="7"/>
      <c r="E59" s="43">
        <f t="shared" si="30"/>
        <v>2</v>
      </c>
      <c r="F59" s="35">
        <v>45856</v>
      </c>
      <c r="H59" s="100" t="s">
        <v>41</v>
      </c>
      <c r="I59" s="5">
        <v>3</v>
      </c>
      <c r="J59" s="6">
        <v>3</v>
      </c>
      <c r="K59" s="7">
        <v>3</v>
      </c>
      <c r="L59" s="43">
        <f t="shared" si="31"/>
        <v>9</v>
      </c>
      <c r="M59" s="73">
        <v>45997</v>
      </c>
      <c r="N59" s="39"/>
      <c r="O59" s="39"/>
    </row>
    <row r="60" spans="1:15" ht="14.25" x14ac:dyDescent="0.15">
      <c r="A60" s="13" t="s">
        <v>55</v>
      </c>
      <c r="B60" s="5"/>
      <c r="C60" s="6">
        <v>1</v>
      </c>
      <c r="D60" s="7"/>
      <c r="E60" s="43">
        <f t="shared" si="30"/>
        <v>1</v>
      </c>
      <c r="F60" s="35">
        <v>45873</v>
      </c>
      <c r="G60" s="39"/>
      <c r="H60" s="14"/>
      <c r="I60" s="5" t="s">
        <v>19</v>
      </c>
      <c r="J60" s="6"/>
      <c r="K60" s="7"/>
      <c r="L60" s="43">
        <f t="shared" si="31"/>
        <v>0</v>
      </c>
      <c r="M60" s="73"/>
    </row>
    <row r="61" spans="1:15" ht="14.25" x14ac:dyDescent="0.15">
      <c r="A61" s="13" t="s">
        <v>48</v>
      </c>
      <c r="B61" s="5"/>
      <c r="C61" s="6">
        <v>1</v>
      </c>
      <c r="D61" s="7"/>
      <c r="E61" s="43">
        <f t="shared" si="30"/>
        <v>1</v>
      </c>
      <c r="F61" s="35">
        <v>45875</v>
      </c>
      <c r="G61" s="39"/>
      <c r="H61" s="14"/>
      <c r="I61" s="5" t="s">
        <v>19</v>
      </c>
      <c r="J61" s="6"/>
      <c r="K61" s="7"/>
      <c r="L61" s="43">
        <f t="shared" si="31"/>
        <v>0</v>
      </c>
      <c r="M61" s="73"/>
    </row>
    <row r="62" spans="1:15" ht="14.25" x14ac:dyDescent="0.15">
      <c r="A62" s="13" t="s">
        <v>55</v>
      </c>
      <c r="B62" s="5"/>
      <c r="C62" s="6"/>
      <c r="D62" s="7">
        <v>1</v>
      </c>
      <c r="E62" s="43">
        <f t="shared" si="29"/>
        <v>1</v>
      </c>
      <c r="F62" s="35">
        <v>45890</v>
      </c>
      <c r="H62" s="14"/>
      <c r="I62" s="5" t="s">
        <v>19</v>
      </c>
      <c r="J62" s="6"/>
      <c r="K62" s="7"/>
      <c r="L62" s="43">
        <f t="shared" si="31"/>
        <v>0</v>
      </c>
      <c r="M62" s="73"/>
      <c r="N62" s="39"/>
    </row>
    <row r="63" spans="1:15" ht="14.25" x14ac:dyDescent="0.15">
      <c r="A63" s="13" t="s">
        <v>55</v>
      </c>
      <c r="B63" s="5">
        <v>1</v>
      </c>
      <c r="C63" s="6">
        <v>1</v>
      </c>
      <c r="D63" s="7">
        <v>1</v>
      </c>
      <c r="E63" s="43">
        <f t="shared" si="29"/>
        <v>3</v>
      </c>
      <c r="F63" s="35">
        <v>45891</v>
      </c>
      <c r="H63" s="14"/>
      <c r="I63" s="5" t="s">
        <v>19</v>
      </c>
      <c r="J63" s="6"/>
      <c r="K63" s="7"/>
      <c r="L63" s="43">
        <f t="shared" si="31"/>
        <v>0</v>
      </c>
      <c r="M63" s="73"/>
    </row>
    <row r="64" spans="1:15" ht="14.25" x14ac:dyDescent="0.15">
      <c r="A64" s="13" t="s">
        <v>55</v>
      </c>
      <c r="B64" s="5"/>
      <c r="C64" s="6"/>
      <c r="D64" s="7">
        <v>1</v>
      </c>
      <c r="E64" s="43">
        <f t="shared" si="29"/>
        <v>1</v>
      </c>
      <c r="F64" s="35">
        <v>45903</v>
      </c>
      <c r="H64" s="14"/>
      <c r="I64" s="5" t="s">
        <v>19</v>
      </c>
      <c r="J64" s="6"/>
      <c r="K64" s="7"/>
      <c r="L64" s="43">
        <f t="shared" ref="L64:L74" si="32">SUM(I64:K64)</f>
        <v>0</v>
      </c>
      <c r="M64" s="73"/>
    </row>
    <row r="65" spans="1:13" x14ac:dyDescent="0.15">
      <c r="A65" s="13" t="s">
        <v>55</v>
      </c>
      <c r="B65" s="5"/>
      <c r="C65" s="6">
        <v>1</v>
      </c>
      <c r="D65" s="7"/>
      <c r="E65" s="43">
        <f t="shared" si="29"/>
        <v>1</v>
      </c>
      <c r="F65" s="35">
        <v>45904</v>
      </c>
      <c r="H65" s="16"/>
      <c r="I65" s="5"/>
      <c r="J65" s="6"/>
      <c r="K65" s="7"/>
      <c r="L65" s="43">
        <f t="shared" si="32"/>
        <v>0</v>
      </c>
      <c r="M65" s="71"/>
    </row>
    <row r="66" spans="1:13" x14ac:dyDescent="0.15">
      <c r="A66" s="13" t="s">
        <v>55</v>
      </c>
      <c r="B66" s="5">
        <v>1</v>
      </c>
      <c r="C66" s="6"/>
      <c r="D66" s="7"/>
      <c r="E66" s="43">
        <f t="shared" si="29"/>
        <v>1</v>
      </c>
      <c r="F66" s="35">
        <v>45905</v>
      </c>
      <c r="H66" s="14"/>
      <c r="I66" s="8"/>
      <c r="J66" s="9"/>
      <c r="K66" s="10"/>
      <c r="L66" s="43">
        <f t="shared" si="32"/>
        <v>0</v>
      </c>
      <c r="M66" s="71"/>
    </row>
    <row r="67" spans="1:13" x14ac:dyDescent="0.15">
      <c r="A67" s="13" t="s">
        <v>55</v>
      </c>
      <c r="B67" s="5">
        <v>1</v>
      </c>
      <c r="C67" s="6"/>
      <c r="D67" s="7"/>
      <c r="E67" s="43">
        <f t="shared" si="29"/>
        <v>1</v>
      </c>
      <c r="F67" s="35">
        <v>45911</v>
      </c>
      <c r="H67" s="16"/>
      <c r="I67" s="5"/>
      <c r="J67" s="6"/>
      <c r="K67" s="7"/>
      <c r="L67" s="43">
        <f t="shared" si="32"/>
        <v>0</v>
      </c>
      <c r="M67" s="71"/>
    </row>
    <row r="68" spans="1:13" x14ac:dyDescent="0.15">
      <c r="A68" s="13" t="s">
        <v>55</v>
      </c>
      <c r="B68" s="5"/>
      <c r="C68" s="6">
        <v>1</v>
      </c>
      <c r="D68" s="7"/>
      <c r="E68" s="43">
        <f t="shared" si="29"/>
        <v>1</v>
      </c>
      <c r="F68" s="35">
        <v>45926</v>
      </c>
      <c r="H68" s="16"/>
      <c r="I68" s="5"/>
      <c r="J68" s="6"/>
      <c r="K68" s="7"/>
      <c r="L68" s="43">
        <f t="shared" si="32"/>
        <v>0</v>
      </c>
      <c r="M68" s="71"/>
    </row>
    <row r="69" spans="1:13" x14ac:dyDescent="0.15">
      <c r="A69" s="13" t="s">
        <v>55</v>
      </c>
      <c r="B69" s="5">
        <v>1</v>
      </c>
      <c r="C69" s="6"/>
      <c r="D69" s="7"/>
      <c r="E69" s="43">
        <f t="shared" si="29"/>
        <v>1</v>
      </c>
      <c r="F69" s="35">
        <v>45932</v>
      </c>
      <c r="H69" s="14"/>
      <c r="I69" s="5"/>
      <c r="J69" s="6"/>
      <c r="K69" s="7"/>
      <c r="L69" s="43">
        <f t="shared" si="32"/>
        <v>0</v>
      </c>
      <c r="M69" s="71"/>
    </row>
    <row r="70" spans="1:13" x14ac:dyDescent="0.15">
      <c r="A70" s="13" t="s">
        <v>48</v>
      </c>
      <c r="B70" s="5">
        <v>1</v>
      </c>
      <c r="C70" s="6"/>
      <c r="D70" s="7"/>
      <c r="E70" s="43">
        <f t="shared" si="29"/>
        <v>1</v>
      </c>
      <c r="F70" s="35">
        <v>45930</v>
      </c>
      <c r="H70" s="14"/>
      <c r="I70" s="5"/>
      <c r="J70" s="6"/>
      <c r="K70" s="7"/>
      <c r="L70" s="43">
        <f t="shared" si="32"/>
        <v>0</v>
      </c>
      <c r="M70" s="71"/>
    </row>
    <row r="71" spans="1:13" x14ac:dyDescent="0.15">
      <c r="A71" s="13" t="s">
        <v>55</v>
      </c>
      <c r="B71" s="5"/>
      <c r="C71" s="6"/>
      <c r="D71" s="7">
        <v>2</v>
      </c>
      <c r="E71" s="43">
        <f t="shared" si="29"/>
        <v>2</v>
      </c>
      <c r="F71" s="35">
        <v>45933</v>
      </c>
      <c r="H71" s="16"/>
      <c r="I71" s="5"/>
      <c r="J71" s="6"/>
      <c r="K71" s="7"/>
      <c r="L71" s="43">
        <f t="shared" si="32"/>
        <v>0</v>
      </c>
      <c r="M71" s="71"/>
    </row>
    <row r="72" spans="1:13" x14ac:dyDescent="0.15">
      <c r="A72" s="13" t="s">
        <v>55</v>
      </c>
      <c r="B72" s="5"/>
      <c r="C72" s="6">
        <v>1</v>
      </c>
      <c r="D72" s="7"/>
      <c r="E72" s="43">
        <f t="shared" si="29"/>
        <v>1</v>
      </c>
      <c r="F72" s="35">
        <v>45954</v>
      </c>
      <c r="H72" s="16"/>
      <c r="I72" s="5"/>
      <c r="J72" s="6"/>
      <c r="K72" s="7"/>
      <c r="L72" s="43">
        <f t="shared" si="32"/>
        <v>0</v>
      </c>
      <c r="M72" s="71"/>
    </row>
    <row r="73" spans="1:13" x14ac:dyDescent="0.15">
      <c r="A73" s="13" t="s">
        <v>48</v>
      </c>
      <c r="B73" s="5"/>
      <c r="C73" s="6"/>
      <c r="D73" s="7">
        <v>1</v>
      </c>
      <c r="E73" s="43">
        <f t="shared" si="29"/>
        <v>1</v>
      </c>
      <c r="F73" s="35">
        <v>45960</v>
      </c>
      <c r="H73" s="14"/>
      <c r="I73" s="5"/>
      <c r="J73" s="6"/>
      <c r="K73" s="7"/>
      <c r="L73" s="43">
        <f t="shared" si="32"/>
        <v>0</v>
      </c>
      <c r="M73" s="71"/>
    </row>
    <row r="74" spans="1:13" x14ac:dyDescent="0.15">
      <c r="A74" s="13" t="s">
        <v>71</v>
      </c>
      <c r="B74" s="5">
        <v>1</v>
      </c>
      <c r="C74" s="6"/>
      <c r="D74" s="7"/>
      <c r="E74" s="43">
        <f t="shared" si="29"/>
        <v>1</v>
      </c>
      <c r="F74" s="35">
        <v>45966</v>
      </c>
      <c r="H74" s="16"/>
      <c r="I74" s="5"/>
      <c r="J74" s="6"/>
      <c r="K74" s="7"/>
      <c r="L74" s="43">
        <f t="shared" si="32"/>
        <v>0</v>
      </c>
      <c r="M74" s="71"/>
    </row>
    <row r="75" spans="1:13" x14ac:dyDescent="0.15">
      <c r="A75" s="110" t="s">
        <v>72</v>
      </c>
      <c r="B75" s="5">
        <v>1</v>
      </c>
      <c r="C75" s="6">
        <v>1</v>
      </c>
      <c r="D75" s="7">
        <v>1</v>
      </c>
      <c r="E75" s="43">
        <f t="shared" si="29"/>
        <v>3</v>
      </c>
      <c r="F75" s="35">
        <v>45967</v>
      </c>
      <c r="H75" s="16"/>
      <c r="I75" s="5"/>
      <c r="J75" s="6"/>
      <c r="K75" s="7"/>
      <c r="L75" s="43">
        <f t="shared" ref="L75:L82" si="33">SUM(I75:K75)</f>
        <v>0</v>
      </c>
      <c r="M75" s="71"/>
    </row>
    <row r="76" spans="1:13" x14ac:dyDescent="0.15">
      <c r="A76" s="13" t="s">
        <v>73</v>
      </c>
      <c r="B76" s="5"/>
      <c r="C76" s="6">
        <v>1</v>
      </c>
      <c r="D76" s="7"/>
      <c r="E76" s="43">
        <f t="shared" ref="E76:E83" si="34">SUM(B76:D76)</f>
        <v>1</v>
      </c>
      <c r="F76" s="35">
        <v>45999</v>
      </c>
      <c r="H76" s="16"/>
      <c r="I76" s="5"/>
      <c r="J76" s="6"/>
      <c r="K76" s="7"/>
      <c r="L76" s="43">
        <f t="shared" si="33"/>
        <v>0</v>
      </c>
      <c r="M76" s="71"/>
    </row>
    <row r="77" spans="1:13" x14ac:dyDescent="0.15">
      <c r="A77" s="14" t="s">
        <v>74</v>
      </c>
      <c r="B77" s="5">
        <v>1</v>
      </c>
      <c r="C77" s="6"/>
      <c r="D77" s="7"/>
      <c r="E77" s="43">
        <f t="shared" si="34"/>
        <v>1</v>
      </c>
      <c r="F77" s="35">
        <v>45995</v>
      </c>
      <c r="H77" s="16"/>
      <c r="I77" s="5"/>
      <c r="J77" s="6"/>
      <c r="K77" s="7"/>
      <c r="L77" s="43">
        <f t="shared" si="33"/>
        <v>0</v>
      </c>
      <c r="M77" s="71"/>
    </row>
    <row r="78" spans="1:13" x14ac:dyDescent="0.15">
      <c r="A78" s="13" t="s">
        <v>48</v>
      </c>
      <c r="B78" s="8"/>
      <c r="C78" s="9">
        <v>2</v>
      </c>
      <c r="D78" s="10"/>
      <c r="E78" s="43">
        <f t="shared" si="34"/>
        <v>2</v>
      </c>
      <c r="F78" s="35">
        <v>46037</v>
      </c>
      <c r="H78" s="16"/>
      <c r="I78" s="5"/>
      <c r="J78" s="6"/>
      <c r="K78" s="7"/>
      <c r="L78" s="43">
        <f t="shared" si="33"/>
        <v>0</v>
      </c>
      <c r="M78" s="71"/>
    </row>
    <row r="79" spans="1:13" x14ac:dyDescent="0.15">
      <c r="A79" s="13"/>
      <c r="B79" s="5"/>
      <c r="C79" s="6"/>
      <c r="D79" s="7"/>
      <c r="E79" s="43">
        <f t="shared" si="34"/>
        <v>0</v>
      </c>
      <c r="F79" s="35"/>
      <c r="H79" s="16"/>
      <c r="I79" s="5"/>
      <c r="J79" s="6"/>
      <c r="K79" s="7"/>
      <c r="L79" s="43">
        <f t="shared" si="33"/>
        <v>0</v>
      </c>
      <c r="M79" s="71"/>
    </row>
    <row r="80" spans="1:13" x14ac:dyDescent="0.15">
      <c r="A80" s="13"/>
      <c r="B80" s="8"/>
      <c r="C80" s="9"/>
      <c r="D80" s="10"/>
      <c r="E80" s="44">
        <f t="shared" si="34"/>
        <v>0</v>
      </c>
      <c r="F80" s="35"/>
      <c r="H80" s="16"/>
      <c r="I80" s="5"/>
      <c r="J80" s="6"/>
      <c r="K80" s="7"/>
      <c r="L80" s="43">
        <f t="shared" si="33"/>
        <v>0</v>
      </c>
      <c r="M80" s="71"/>
    </row>
    <row r="81" spans="1:14" x14ac:dyDescent="0.15">
      <c r="A81" s="13"/>
      <c r="B81" s="5"/>
      <c r="C81" s="6"/>
      <c r="D81" s="7"/>
      <c r="E81" s="43">
        <f t="shared" si="34"/>
        <v>0</v>
      </c>
      <c r="F81" s="35"/>
      <c r="H81" s="16" t="s">
        <v>49</v>
      </c>
      <c r="I81" s="5"/>
      <c r="J81" s="6"/>
      <c r="K81" s="7"/>
      <c r="L81" s="43">
        <f t="shared" ref="L81" si="35">SUM(I81:K81)</f>
        <v>0</v>
      </c>
      <c r="M81" s="71" t="s">
        <v>50</v>
      </c>
    </row>
    <row r="82" spans="1:14" ht="14.25" thickBot="1" x14ac:dyDescent="0.2">
      <c r="A82" s="13"/>
      <c r="B82" s="8"/>
      <c r="C82" s="9"/>
      <c r="D82" s="10"/>
      <c r="E82" s="47">
        <f t="shared" si="34"/>
        <v>0</v>
      </c>
      <c r="F82" s="35"/>
      <c r="H82" s="16" t="s">
        <v>53</v>
      </c>
      <c r="I82" s="5"/>
      <c r="J82" s="6"/>
      <c r="K82" s="7"/>
      <c r="L82" s="43">
        <f t="shared" si="33"/>
        <v>0</v>
      </c>
      <c r="M82" s="71" t="s">
        <v>54</v>
      </c>
    </row>
    <row r="83" spans="1:14" ht="14.25" thickBot="1" x14ac:dyDescent="0.2">
      <c r="A83" s="25" t="s">
        <v>17</v>
      </c>
      <c r="B83" s="28">
        <f>SUM(B57:B82)</f>
        <v>13</v>
      </c>
      <c r="C83" s="29">
        <f t="shared" ref="C83:D83" si="36">SUM(C57:C82)</f>
        <v>12</v>
      </c>
      <c r="D83" s="33">
        <f t="shared" si="36"/>
        <v>9</v>
      </c>
      <c r="E83" s="48">
        <f t="shared" si="34"/>
        <v>34</v>
      </c>
      <c r="H83" s="25" t="s">
        <v>17</v>
      </c>
      <c r="I83" s="28">
        <f>SUM(I57:I82)</f>
        <v>11</v>
      </c>
      <c r="J83" s="29">
        <f t="shared" ref="J83" si="37">SUM(J57:J82)</f>
        <v>9</v>
      </c>
      <c r="K83" s="33">
        <f t="shared" ref="K83" si="38">SUM(K57:K82)</f>
        <v>11</v>
      </c>
      <c r="L83" s="48">
        <f t="shared" ref="L83" si="39">SUM(L57:L82)</f>
        <v>31</v>
      </c>
    </row>
    <row r="84" spans="1:14" ht="14.25" thickBot="1" x14ac:dyDescent="0.2">
      <c r="A84" s="12" t="s">
        <v>16</v>
      </c>
      <c r="B84" s="50">
        <f>B56-B83</f>
        <v>3</v>
      </c>
      <c r="C84" s="51">
        <f t="shared" ref="C84:D84" si="40">C56-C83</f>
        <v>2</v>
      </c>
      <c r="D84" s="52">
        <f t="shared" si="40"/>
        <v>5</v>
      </c>
      <c r="E84" s="49">
        <f>SUM(B84:D84)</f>
        <v>10</v>
      </c>
      <c r="H84" s="12" t="s">
        <v>16</v>
      </c>
      <c r="I84" s="50">
        <f>I56-I83</f>
        <v>630</v>
      </c>
      <c r="J84" s="51">
        <f t="shared" ref="J84" si="41">J56-J83</f>
        <v>568</v>
      </c>
      <c r="K84" s="52">
        <f t="shared" ref="K84" si="42">K56-K83</f>
        <v>361</v>
      </c>
      <c r="L84" s="49">
        <f t="shared" ref="L84" si="43">L56-L83</f>
        <v>1559</v>
      </c>
      <c r="N84" t="s">
        <v>61</v>
      </c>
    </row>
    <row r="87" spans="1:14" ht="19.5" thickBot="1" x14ac:dyDescent="0.25">
      <c r="A87" s="79" t="s">
        <v>21</v>
      </c>
      <c r="B87" s="80"/>
      <c r="C87" s="80"/>
      <c r="D87" s="80"/>
      <c r="E87" s="80"/>
      <c r="H87" s="101" t="s">
        <v>63</v>
      </c>
      <c r="I87" s="102"/>
      <c r="J87" s="104">
        <v>450</v>
      </c>
      <c r="K87" s="105">
        <v>1480</v>
      </c>
      <c r="L87" s="102"/>
      <c r="M87"/>
    </row>
    <row r="88" spans="1:14" ht="14.25" thickBot="1" x14ac:dyDescent="0.2">
      <c r="A88" s="4" t="s">
        <v>0</v>
      </c>
      <c r="B88" s="144" t="s">
        <v>20</v>
      </c>
      <c r="C88" s="145"/>
      <c r="D88" s="145"/>
      <c r="E88" s="146"/>
      <c r="H88" s="4" t="s">
        <v>0</v>
      </c>
      <c r="I88" s="144" t="s">
        <v>20</v>
      </c>
      <c r="J88" s="145"/>
      <c r="K88" s="145"/>
      <c r="L88" s="146"/>
      <c r="M88"/>
    </row>
    <row r="89" spans="1:14" ht="14.25" thickBot="1" x14ac:dyDescent="0.2">
      <c r="A89" s="4" t="s">
        <v>1</v>
      </c>
      <c r="B89" s="1" t="s">
        <v>2</v>
      </c>
      <c r="C89" s="2" t="s">
        <v>3</v>
      </c>
      <c r="D89" s="3" t="s">
        <v>4</v>
      </c>
      <c r="E89" s="4" t="s">
        <v>5</v>
      </c>
      <c r="H89" s="4" t="s">
        <v>1</v>
      </c>
      <c r="I89" s="1" t="s">
        <v>2</v>
      </c>
      <c r="J89" s="2" t="s">
        <v>3</v>
      </c>
      <c r="K89" s="3" t="s">
        <v>4</v>
      </c>
      <c r="L89" s="4" t="s">
        <v>5</v>
      </c>
      <c r="M89"/>
    </row>
    <row r="90" spans="1:14" ht="14.25" thickBot="1" x14ac:dyDescent="0.2">
      <c r="A90" s="17" t="s">
        <v>18</v>
      </c>
      <c r="B90" s="28">
        <f>B84</f>
        <v>3</v>
      </c>
      <c r="C90" s="29">
        <f>C84</f>
        <v>2</v>
      </c>
      <c r="D90" s="112">
        <f>D84</f>
        <v>5</v>
      </c>
      <c r="E90" s="48">
        <f>SUM(B90:D90)</f>
        <v>10</v>
      </c>
      <c r="H90" s="17" t="s">
        <v>18</v>
      </c>
      <c r="I90" s="54">
        <f>I84</f>
        <v>630</v>
      </c>
      <c r="J90" s="55">
        <f>J84</f>
        <v>568</v>
      </c>
      <c r="K90" s="56">
        <f>K84</f>
        <v>361</v>
      </c>
      <c r="L90" s="53">
        <f>SUM(I90:K90)</f>
        <v>1559</v>
      </c>
      <c r="M90"/>
    </row>
    <row r="91" spans="1:14" x14ac:dyDescent="0.15">
      <c r="A91" s="88" t="s">
        <v>7</v>
      </c>
      <c r="B91" s="116">
        <v>5</v>
      </c>
      <c r="C91" s="117">
        <v>5</v>
      </c>
      <c r="D91" s="118">
        <v>5</v>
      </c>
      <c r="E91" s="119">
        <f t="shared" ref="E91:E95" si="44">SUM(B91:D91)</f>
        <v>15</v>
      </c>
      <c r="F91" s="120">
        <v>46056</v>
      </c>
      <c r="H91" s="15" t="s">
        <v>114</v>
      </c>
      <c r="I91" s="57">
        <v>2</v>
      </c>
      <c r="J91" s="58">
        <v>2</v>
      </c>
      <c r="K91" s="59">
        <v>3</v>
      </c>
      <c r="L91" s="42">
        <f>SUM(I91:K91)</f>
        <v>7</v>
      </c>
      <c r="M91" s="36">
        <v>46130</v>
      </c>
    </row>
    <row r="92" spans="1:14" x14ac:dyDescent="0.15">
      <c r="A92" s="15" t="s">
        <v>112</v>
      </c>
      <c r="B92" s="5">
        <v>2</v>
      </c>
      <c r="C92" s="6">
        <v>2</v>
      </c>
      <c r="D92" s="30">
        <v>3</v>
      </c>
      <c r="E92" s="44">
        <f t="shared" si="44"/>
        <v>7</v>
      </c>
      <c r="F92" s="35">
        <v>46129</v>
      </c>
      <c r="H92" s="15" t="s">
        <v>8</v>
      </c>
      <c r="I92" s="63"/>
      <c r="J92" s="64"/>
      <c r="K92" s="65"/>
      <c r="L92" s="44">
        <f t="shared" ref="L92:L94" si="45">SUM(I92:K92)</f>
        <v>0</v>
      </c>
      <c r="M92"/>
    </row>
    <row r="93" spans="1:14" x14ac:dyDescent="0.15">
      <c r="A93" s="15" t="s">
        <v>9</v>
      </c>
      <c r="B93" s="5">
        <v>5</v>
      </c>
      <c r="C93" s="6">
        <v>5</v>
      </c>
      <c r="D93" s="30"/>
      <c r="E93" s="44">
        <f t="shared" si="44"/>
        <v>10</v>
      </c>
      <c r="F93" s="35">
        <v>46157</v>
      </c>
      <c r="H93" s="15" t="s">
        <v>9</v>
      </c>
      <c r="I93" s="63"/>
      <c r="J93" s="64"/>
      <c r="K93" s="65"/>
      <c r="L93" s="44">
        <f t="shared" si="45"/>
        <v>0</v>
      </c>
      <c r="M93"/>
    </row>
    <row r="94" spans="1:14" x14ac:dyDescent="0.15">
      <c r="A94" s="15" t="s">
        <v>123</v>
      </c>
      <c r="B94" s="5">
        <v>1</v>
      </c>
      <c r="C94" s="6"/>
      <c r="D94" s="30"/>
      <c r="E94" s="44">
        <f t="shared" si="44"/>
        <v>1</v>
      </c>
      <c r="F94" s="35">
        <v>46155</v>
      </c>
      <c r="H94" s="15" t="s">
        <v>10</v>
      </c>
      <c r="I94" s="63"/>
      <c r="J94" s="64"/>
      <c r="K94" s="65"/>
      <c r="L94" s="44">
        <f t="shared" si="45"/>
        <v>0</v>
      </c>
      <c r="M94"/>
    </row>
    <row r="95" spans="1:14" x14ac:dyDescent="0.15">
      <c r="A95" s="15" t="s">
        <v>11</v>
      </c>
      <c r="B95" s="5"/>
      <c r="C95" s="6"/>
      <c r="D95" s="30"/>
      <c r="E95" s="44">
        <f t="shared" si="44"/>
        <v>0</v>
      </c>
      <c r="F95" s="35"/>
      <c r="G95" s="39"/>
      <c r="H95" s="15" t="s">
        <v>11</v>
      </c>
      <c r="I95" s="63"/>
      <c r="J95" s="64"/>
      <c r="K95" s="65"/>
      <c r="L95" s="44">
        <f t="shared" ref="L95:L98" si="46">SUM(I95:K95)</f>
        <v>0</v>
      </c>
      <c r="M95"/>
    </row>
    <row r="96" spans="1:14" x14ac:dyDescent="0.15">
      <c r="A96" s="15" t="s">
        <v>12</v>
      </c>
      <c r="B96" s="5"/>
      <c r="C96" s="6"/>
      <c r="D96" s="30"/>
      <c r="E96" s="44">
        <f t="shared" ref="E96:E98" si="47">SUM(B96:D96)</f>
        <v>0</v>
      </c>
      <c r="F96" s="35"/>
      <c r="H96" s="15" t="s">
        <v>12</v>
      </c>
      <c r="I96" s="63"/>
      <c r="J96" s="64"/>
      <c r="K96" s="65"/>
      <c r="L96" s="44">
        <f t="shared" si="46"/>
        <v>0</v>
      </c>
      <c r="M96"/>
    </row>
    <row r="97" spans="1:14" x14ac:dyDescent="0.15">
      <c r="A97" s="15" t="s">
        <v>13</v>
      </c>
      <c r="B97" s="8"/>
      <c r="C97" s="9"/>
      <c r="D97" s="31"/>
      <c r="E97" s="44">
        <f t="shared" si="47"/>
        <v>0</v>
      </c>
      <c r="F97" s="36"/>
      <c r="H97" s="15" t="s">
        <v>13</v>
      </c>
      <c r="I97" s="63"/>
      <c r="J97" s="64"/>
      <c r="K97" s="65"/>
      <c r="L97" s="44">
        <f t="shared" si="46"/>
        <v>0</v>
      </c>
      <c r="M97"/>
    </row>
    <row r="98" spans="1:14" ht="14.25" thickBot="1" x14ac:dyDescent="0.2">
      <c r="A98" s="15" t="s">
        <v>14</v>
      </c>
      <c r="B98" s="21"/>
      <c r="C98" s="22"/>
      <c r="D98" s="32"/>
      <c r="E98" s="45">
        <f t="shared" si="47"/>
        <v>0</v>
      </c>
      <c r="F98" s="35"/>
      <c r="H98" s="15" t="s">
        <v>14</v>
      </c>
      <c r="I98" s="63"/>
      <c r="J98" s="64"/>
      <c r="K98" s="65"/>
      <c r="L98" s="44">
        <f t="shared" si="46"/>
        <v>0</v>
      </c>
      <c r="M98"/>
    </row>
    <row r="99" spans="1:14" ht="14.25" thickBot="1" x14ac:dyDescent="0.2">
      <c r="A99" s="23" t="s">
        <v>15</v>
      </c>
      <c r="B99" s="18">
        <f>SUM(B90:B98)</f>
        <v>16</v>
      </c>
      <c r="C99" s="19">
        <f t="shared" ref="C99:D99" si="48">SUM(C90:C98)</f>
        <v>14</v>
      </c>
      <c r="D99" s="20">
        <f t="shared" si="48"/>
        <v>13</v>
      </c>
      <c r="E99" s="46">
        <f>SUM(B99:D99)</f>
        <v>43</v>
      </c>
      <c r="H99" s="23" t="s">
        <v>15</v>
      </c>
      <c r="I99" s="18">
        <f>SUM(I90:I98)</f>
        <v>632</v>
      </c>
      <c r="J99" s="19">
        <f t="shared" ref="J99:L99" si="49">SUM(J90:J98)</f>
        <v>570</v>
      </c>
      <c r="K99" s="20">
        <f t="shared" si="49"/>
        <v>364</v>
      </c>
      <c r="L99" s="46">
        <f t="shared" si="49"/>
        <v>1566</v>
      </c>
      <c r="M99"/>
    </row>
    <row r="100" spans="1:14" x14ac:dyDescent="0.15">
      <c r="A100" s="16" t="s">
        <v>86</v>
      </c>
      <c r="B100" s="5">
        <v>5</v>
      </c>
      <c r="C100" s="6">
        <v>5</v>
      </c>
      <c r="D100" s="7">
        <v>5</v>
      </c>
      <c r="E100" s="43">
        <f t="shared" ref="E100:E115" si="50">SUM(B100:D100)</f>
        <v>15</v>
      </c>
      <c r="F100" s="35">
        <v>46058</v>
      </c>
      <c r="H100" s="121" t="s">
        <v>87</v>
      </c>
      <c r="I100" s="122">
        <v>5</v>
      </c>
      <c r="J100" s="123">
        <v>5</v>
      </c>
      <c r="K100" s="124">
        <v>5</v>
      </c>
      <c r="L100" s="119">
        <f t="shared" ref="L100:L101" si="51">SUM(I100:K100)</f>
        <v>15</v>
      </c>
      <c r="M100" s="93">
        <v>46056</v>
      </c>
    </row>
    <row r="101" spans="1:14" x14ac:dyDescent="0.15">
      <c r="A101" s="13" t="s">
        <v>48</v>
      </c>
      <c r="B101" s="5"/>
      <c r="C101" s="6">
        <v>1</v>
      </c>
      <c r="D101" s="7"/>
      <c r="E101" s="43">
        <f t="shared" si="50"/>
        <v>1</v>
      </c>
      <c r="F101" s="35">
        <v>46111</v>
      </c>
      <c r="H101" s="16" t="s">
        <v>88</v>
      </c>
      <c r="I101" s="5">
        <v>10</v>
      </c>
      <c r="J101" s="6">
        <v>10</v>
      </c>
      <c r="K101" s="7">
        <v>10</v>
      </c>
      <c r="L101" s="43">
        <f t="shared" si="51"/>
        <v>30</v>
      </c>
      <c r="M101" s="71">
        <v>46066</v>
      </c>
    </row>
    <row r="102" spans="1:14" x14ac:dyDescent="0.15">
      <c r="A102" s="13" t="s">
        <v>48</v>
      </c>
      <c r="B102" s="5"/>
      <c r="C102" s="6">
        <v>1</v>
      </c>
      <c r="D102" s="7"/>
      <c r="E102" s="43">
        <f t="shared" si="50"/>
        <v>1</v>
      </c>
      <c r="F102" s="35">
        <v>46126</v>
      </c>
      <c r="H102" s="16" t="s">
        <v>90</v>
      </c>
      <c r="I102" s="5">
        <v>70</v>
      </c>
      <c r="J102" s="6">
        <v>140</v>
      </c>
      <c r="K102" s="7">
        <v>80</v>
      </c>
      <c r="L102" s="43">
        <f t="shared" ref="L102:L112" si="52">SUM(I102:K102)</f>
        <v>290</v>
      </c>
      <c r="M102" s="71">
        <v>46071</v>
      </c>
    </row>
    <row r="103" spans="1:14" x14ac:dyDescent="0.15">
      <c r="A103" s="13" t="s">
        <v>48</v>
      </c>
      <c r="B103" s="5">
        <v>1</v>
      </c>
      <c r="C103" s="6"/>
      <c r="D103" s="7"/>
      <c r="E103" s="43">
        <f t="shared" si="50"/>
        <v>1</v>
      </c>
      <c r="F103" s="35">
        <v>46128</v>
      </c>
      <c r="G103" s="39"/>
      <c r="H103" s="16" t="s">
        <v>91</v>
      </c>
      <c r="I103" s="5">
        <v>10</v>
      </c>
      <c r="J103" s="6"/>
      <c r="K103" s="7"/>
      <c r="L103" s="43">
        <f t="shared" si="52"/>
        <v>10</v>
      </c>
      <c r="M103" s="71">
        <v>46072</v>
      </c>
    </row>
    <row r="104" spans="1:14" x14ac:dyDescent="0.15">
      <c r="A104" s="13" t="s">
        <v>113</v>
      </c>
      <c r="B104" s="5">
        <v>2</v>
      </c>
      <c r="C104" s="6">
        <v>2</v>
      </c>
      <c r="D104" s="7">
        <v>3</v>
      </c>
      <c r="E104" s="43">
        <f t="shared" si="50"/>
        <v>7</v>
      </c>
      <c r="F104" s="35">
        <v>46130</v>
      </c>
      <c r="G104" s="39"/>
      <c r="H104" s="16" t="s">
        <v>93</v>
      </c>
      <c r="I104" s="5">
        <v>15</v>
      </c>
      <c r="J104" s="6"/>
      <c r="K104" s="7">
        <v>15</v>
      </c>
      <c r="L104" s="43">
        <f t="shared" si="52"/>
        <v>30</v>
      </c>
      <c r="M104" s="71">
        <v>46073</v>
      </c>
    </row>
    <row r="105" spans="1:14" x14ac:dyDescent="0.15">
      <c r="A105" s="13" t="s">
        <v>48</v>
      </c>
      <c r="B105" s="5"/>
      <c r="C105" s="6"/>
      <c r="D105" s="7">
        <v>1</v>
      </c>
      <c r="E105" s="43">
        <f t="shared" si="50"/>
        <v>1</v>
      </c>
      <c r="F105" s="35">
        <v>46132</v>
      </c>
      <c r="H105" s="16" t="s">
        <v>94</v>
      </c>
      <c r="I105" s="5">
        <v>20</v>
      </c>
      <c r="J105" s="6"/>
      <c r="K105" s="7">
        <v>15</v>
      </c>
      <c r="L105" s="43">
        <f t="shared" si="52"/>
        <v>35</v>
      </c>
      <c r="M105" s="71">
        <v>46074</v>
      </c>
    </row>
    <row r="106" spans="1:14" x14ac:dyDescent="0.15">
      <c r="A106" s="13" t="s">
        <v>48</v>
      </c>
      <c r="B106" s="5">
        <v>1</v>
      </c>
      <c r="C106" s="6"/>
      <c r="D106" s="7"/>
      <c r="E106" s="43">
        <f t="shared" si="50"/>
        <v>1</v>
      </c>
      <c r="F106" s="35">
        <v>46139</v>
      </c>
      <c r="H106" s="16" t="s">
        <v>97</v>
      </c>
      <c r="I106" s="5"/>
      <c r="J106" s="6">
        <v>8</v>
      </c>
      <c r="K106" s="7"/>
      <c r="L106" s="43">
        <f t="shared" si="52"/>
        <v>8</v>
      </c>
      <c r="M106" s="71">
        <v>46080</v>
      </c>
    </row>
    <row r="107" spans="1:14" x14ac:dyDescent="0.15">
      <c r="A107" s="13" t="s">
        <v>48</v>
      </c>
      <c r="B107" s="5">
        <v>1</v>
      </c>
      <c r="C107" s="6"/>
      <c r="D107" s="7"/>
      <c r="E107" s="43">
        <f t="shared" si="50"/>
        <v>1</v>
      </c>
      <c r="F107" s="35">
        <v>46156</v>
      </c>
      <c r="H107" s="16" t="s">
        <v>100</v>
      </c>
      <c r="I107" s="5" t="s">
        <v>19</v>
      </c>
      <c r="J107" s="6">
        <v>5</v>
      </c>
      <c r="K107" s="7">
        <v>6</v>
      </c>
      <c r="L107" s="43">
        <f t="shared" si="52"/>
        <v>11</v>
      </c>
      <c r="M107" s="71">
        <v>46086</v>
      </c>
    </row>
    <row r="108" spans="1:14" x14ac:dyDescent="0.15">
      <c r="A108" s="13"/>
      <c r="B108" s="5"/>
      <c r="C108" s="6"/>
      <c r="D108" s="7"/>
      <c r="E108" s="43">
        <f t="shared" si="50"/>
        <v>0</v>
      </c>
      <c r="F108" s="35"/>
      <c r="H108" s="16" t="s">
        <v>103</v>
      </c>
      <c r="I108" s="5">
        <v>22</v>
      </c>
      <c r="J108" s="6">
        <v>26</v>
      </c>
      <c r="K108" s="7">
        <v>20</v>
      </c>
      <c r="L108" s="43">
        <f t="shared" si="52"/>
        <v>68</v>
      </c>
      <c r="M108" s="71">
        <v>46087</v>
      </c>
    </row>
    <row r="109" spans="1:14" x14ac:dyDescent="0.15">
      <c r="A109" s="13"/>
      <c r="B109" s="5"/>
      <c r="C109" s="6"/>
      <c r="D109" s="7"/>
      <c r="E109" s="43">
        <f t="shared" si="50"/>
        <v>0</v>
      </c>
      <c r="F109" s="35"/>
      <c r="H109" s="16" t="s">
        <v>105</v>
      </c>
      <c r="I109" s="8">
        <v>10</v>
      </c>
      <c r="J109" s="9">
        <v>5</v>
      </c>
      <c r="K109" s="10">
        <v>5</v>
      </c>
      <c r="L109" s="43">
        <f t="shared" si="52"/>
        <v>20</v>
      </c>
      <c r="M109" s="71">
        <v>46094</v>
      </c>
    </row>
    <row r="110" spans="1:14" x14ac:dyDescent="0.15">
      <c r="A110" s="13"/>
      <c r="B110" s="5"/>
      <c r="C110" s="6"/>
      <c r="D110" s="7"/>
      <c r="E110" s="43">
        <f t="shared" si="50"/>
        <v>0</v>
      </c>
      <c r="F110" s="35"/>
      <c r="H110" s="16" t="s">
        <v>106</v>
      </c>
      <c r="I110" s="5">
        <v>10</v>
      </c>
      <c r="J110" s="6">
        <v>20</v>
      </c>
      <c r="K110" s="7">
        <v>15</v>
      </c>
      <c r="L110" s="43">
        <f t="shared" si="52"/>
        <v>45</v>
      </c>
      <c r="M110" s="71">
        <v>46094</v>
      </c>
    </row>
    <row r="111" spans="1:14" x14ac:dyDescent="0.15">
      <c r="A111" s="13"/>
      <c r="B111" s="5"/>
      <c r="C111" s="6"/>
      <c r="D111" s="7"/>
      <c r="E111" s="43">
        <f t="shared" si="50"/>
        <v>0</v>
      </c>
      <c r="F111" s="35"/>
      <c r="H111" s="16" t="s">
        <v>122</v>
      </c>
      <c r="I111" s="5">
        <v>5</v>
      </c>
      <c r="J111" s="6">
        <v>5</v>
      </c>
      <c r="K111" s="7"/>
      <c r="L111" s="43">
        <f t="shared" si="52"/>
        <v>10</v>
      </c>
      <c r="M111" s="71">
        <v>46157</v>
      </c>
      <c r="N111" s="39"/>
    </row>
    <row r="112" spans="1:14" x14ac:dyDescent="0.15">
      <c r="A112" s="13"/>
      <c r="B112" s="5"/>
      <c r="C112" s="6"/>
      <c r="D112" s="7"/>
      <c r="E112" s="43">
        <f t="shared" si="50"/>
        <v>0</v>
      </c>
      <c r="F112" s="35"/>
      <c r="H112" s="14"/>
      <c r="I112" s="5"/>
      <c r="J112" s="6"/>
      <c r="K112" s="7"/>
      <c r="L112" s="43">
        <f t="shared" si="52"/>
        <v>0</v>
      </c>
    </row>
    <row r="113" spans="1:13" x14ac:dyDescent="0.15">
      <c r="A113" s="13"/>
      <c r="B113" s="5"/>
      <c r="C113" s="6"/>
      <c r="D113" s="7"/>
      <c r="E113" s="43">
        <f t="shared" si="50"/>
        <v>0</v>
      </c>
      <c r="F113" s="35"/>
      <c r="H113" s="14"/>
      <c r="I113" s="5"/>
      <c r="J113" s="6"/>
      <c r="K113" s="7"/>
      <c r="L113" s="43">
        <f t="shared" ref="L113:L114" si="53">SUM(I113:K113)</f>
        <v>0</v>
      </c>
    </row>
    <row r="114" spans="1:13" x14ac:dyDescent="0.15">
      <c r="A114" s="13"/>
      <c r="B114" s="5"/>
      <c r="C114" s="6"/>
      <c r="D114" s="7"/>
      <c r="E114" s="43">
        <f t="shared" si="50"/>
        <v>0</v>
      </c>
      <c r="F114" s="35"/>
      <c r="H114" s="14"/>
      <c r="I114" s="5"/>
      <c r="J114" s="6"/>
      <c r="K114" s="7"/>
      <c r="L114" s="43">
        <f t="shared" si="53"/>
        <v>0</v>
      </c>
      <c r="M114"/>
    </row>
    <row r="115" spans="1:13" x14ac:dyDescent="0.15">
      <c r="A115" s="13"/>
      <c r="B115" s="5"/>
      <c r="C115" s="6"/>
      <c r="D115" s="7"/>
      <c r="E115" s="43">
        <f t="shared" si="50"/>
        <v>0</v>
      </c>
      <c r="F115" s="35"/>
      <c r="H115" s="14"/>
      <c r="I115" s="5"/>
      <c r="J115" s="6"/>
      <c r="K115" s="7"/>
      <c r="L115" s="43">
        <f t="shared" ref="L115:L119" si="54">SUM(I115:K115)</f>
        <v>0</v>
      </c>
      <c r="M115"/>
    </row>
    <row r="116" spans="1:13" x14ac:dyDescent="0.15">
      <c r="A116" s="13"/>
      <c r="B116" s="5"/>
      <c r="C116" s="6"/>
      <c r="D116" s="7"/>
      <c r="E116" s="43">
        <f t="shared" ref="E116:E126" si="55">SUM(B116:D116)</f>
        <v>0</v>
      </c>
      <c r="F116" s="35"/>
      <c r="H116" s="14"/>
      <c r="I116" s="5"/>
      <c r="J116" s="6"/>
      <c r="K116" s="7"/>
      <c r="L116" s="43">
        <f t="shared" si="54"/>
        <v>0</v>
      </c>
      <c r="M116"/>
    </row>
    <row r="117" spans="1:13" x14ac:dyDescent="0.15">
      <c r="A117" s="13"/>
      <c r="B117" s="5"/>
      <c r="C117" s="6"/>
      <c r="D117" s="7"/>
      <c r="E117" s="43">
        <f t="shared" si="55"/>
        <v>0</v>
      </c>
      <c r="F117" s="35"/>
      <c r="H117" s="14"/>
      <c r="I117" s="5"/>
      <c r="J117" s="6"/>
      <c r="K117" s="7"/>
      <c r="L117" s="43">
        <f t="shared" si="54"/>
        <v>0</v>
      </c>
      <c r="M117"/>
    </row>
    <row r="118" spans="1:13" x14ac:dyDescent="0.15">
      <c r="A118" s="13"/>
      <c r="B118" s="5"/>
      <c r="C118" s="6"/>
      <c r="D118" s="7"/>
      <c r="E118" s="43">
        <f t="shared" si="55"/>
        <v>0</v>
      </c>
      <c r="F118" s="35"/>
      <c r="H118" s="14"/>
      <c r="I118" s="5"/>
      <c r="J118" s="6"/>
      <c r="K118" s="7"/>
      <c r="L118" s="43">
        <f t="shared" si="54"/>
        <v>0</v>
      </c>
      <c r="M118"/>
    </row>
    <row r="119" spans="1:13" x14ac:dyDescent="0.15">
      <c r="A119" s="13"/>
      <c r="B119" s="5"/>
      <c r="C119" s="6"/>
      <c r="D119" s="7"/>
      <c r="E119" s="43">
        <f t="shared" si="55"/>
        <v>0</v>
      </c>
      <c r="F119" s="35"/>
      <c r="H119" s="14"/>
      <c r="I119" s="5"/>
      <c r="J119" s="6"/>
      <c r="K119" s="7"/>
      <c r="L119" s="43">
        <f t="shared" si="54"/>
        <v>0</v>
      </c>
      <c r="M119"/>
    </row>
    <row r="120" spans="1:13" x14ac:dyDescent="0.15">
      <c r="A120" s="14"/>
      <c r="B120" s="5"/>
      <c r="C120" s="6"/>
      <c r="D120" s="7"/>
      <c r="E120" s="43">
        <f t="shared" si="55"/>
        <v>0</v>
      </c>
      <c r="F120" s="35"/>
      <c r="H120" s="125" t="s">
        <v>68</v>
      </c>
      <c r="I120" s="126"/>
      <c r="J120" s="127"/>
      <c r="K120" s="128"/>
      <c r="L120" s="129">
        <f t="shared" ref="L120:L125" si="56">SUM(I120:K120)</f>
        <v>0</v>
      </c>
      <c r="M120" s="39"/>
    </row>
    <row r="121" spans="1:13" x14ac:dyDescent="0.15">
      <c r="A121" s="13"/>
      <c r="B121" s="8"/>
      <c r="C121" s="9"/>
      <c r="D121" s="10"/>
      <c r="E121" s="43">
        <f t="shared" si="55"/>
        <v>0</v>
      </c>
      <c r="F121" s="35"/>
      <c r="H121" s="16" t="s">
        <v>69</v>
      </c>
      <c r="I121" s="5"/>
      <c r="J121" s="6"/>
      <c r="K121" s="7"/>
      <c r="L121" s="43">
        <f t="shared" si="56"/>
        <v>0</v>
      </c>
      <c r="M121" s="39" t="s">
        <v>67</v>
      </c>
    </row>
    <row r="122" spans="1:13" x14ac:dyDescent="0.15">
      <c r="A122" s="13"/>
      <c r="B122" s="5"/>
      <c r="C122" s="6"/>
      <c r="D122" s="7"/>
      <c r="E122" s="43">
        <f t="shared" si="55"/>
        <v>0</v>
      </c>
      <c r="F122" s="35"/>
      <c r="H122" s="125" t="s">
        <v>70</v>
      </c>
      <c r="I122" s="126"/>
      <c r="J122" s="127"/>
      <c r="K122" s="128"/>
      <c r="L122" s="129">
        <f t="shared" si="56"/>
        <v>0</v>
      </c>
      <c r="M122" s="39"/>
    </row>
    <row r="123" spans="1:13" x14ac:dyDescent="0.15">
      <c r="A123" s="13"/>
      <c r="B123" s="8"/>
      <c r="C123" s="9"/>
      <c r="D123" s="10"/>
      <c r="E123" s="44">
        <f t="shared" si="55"/>
        <v>0</v>
      </c>
      <c r="F123" s="35"/>
      <c r="H123" s="16" t="s">
        <v>64</v>
      </c>
      <c r="I123" s="5"/>
      <c r="J123" s="6"/>
      <c r="K123" s="7"/>
      <c r="L123" s="43">
        <f t="shared" si="56"/>
        <v>0</v>
      </c>
      <c r="M123" s="39" t="s">
        <v>65</v>
      </c>
    </row>
    <row r="124" spans="1:13" x14ac:dyDescent="0.15">
      <c r="A124" s="13"/>
      <c r="B124" s="5"/>
      <c r="C124" s="6"/>
      <c r="D124" s="7"/>
      <c r="E124" s="43">
        <f t="shared" si="55"/>
        <v>0</v>
      </c>
      <c r="F124" s="35"/>
      <c r="H124" s="125" t="s">
        <v>82</v>
      </c>
      <c r="I124" s="126"/>
      <c r="J124" s="127"/>
      <c r="K124" s="128"/>
      <c r="L124" s="129">
        <f t="shared" si="56"/>
        <v>0</v>
      </c>
      <c r="M124" s="130"/>
    </row>
    <row r="125" spans="1:13" ht="14.25" thickBot="1" x14ac:dyDescent="0.2">
      <c r="A125" s="13"/>
      <c r="B125" s="8"/>
      <c r="C125" s="9"/>
      <c r="D125" s="10"/>
      <c r="E125" s="47">
        <f t="shared" si="55"/>
        <v>0</v>
      </c>
      <c r="F125" s="35"/>
      <c r="H125" s="16" t="s">
        <v>108</v>
      </c>
      <c r="I125" s="5"/>
      <c r="J125" s="6"/>
      <c r="K125" s="7"/>
      <c r="L125" s="43">
        <f t="shared" si="56"/>
        <v>0</v>
      </c>
      <c r="M125" s="39" t="s">
        <v>81</v>
      </c>
    </row>
    <row r="126" spans="1:13" ht="14.25" thickBot="1" x14ac:dyDescent="0.2">
      <c r="A126" s="25" t="s">
        <v>17</v>
      </c>
      <c r="B126" s="28">
        <f>SUM(B100:B125)</f>
        <v>10</v>
      </c>
      <c r="C126" s="29">
        <f t="shared" ref="C126:D126" si="57">SUM(C100:C125)</f>
        <v>9</v>
      </c>
      <c r="D126" s="33">
        <f t="shared" si="57"/>
        <v>9</v>
      </c>
      <c r="E126" s="48">
        <f t="shared" si="55"/>
        <v>28</v>
      </c>
      <c r="H126" s="25" t="s">
        <v>17</v>
      </c>
      <c r="I126" s="28">
        <f>SUM(I100:I125)</f>
        <v>177</v>
      </c>
      <c r="J126" s="29">
        <f t="shared" ref="J126:L126" si="58">SUM(J100:J125)</f>
        <v>224</v>
      </c>
      <c r="K126" s="33">
        <f t="shared" si="58"/>
        <v>171</v>
      </c>
      <c r="L126" s="48">
        <f t="shared" si="58"/>
        <v>572</v>
      </c>
      <c r="M126"/>
    </row>
    <row r="127" spans="1:13" ht="14.25" thickBot="1" x14ac:dyDescent="0.2">
      <c r="A127" s="12" t="s">
        <v>16</v>
      </c>
      <c r="B127" s="50">
        <f>B99-B126</f>
        <v>6</v>
      </c>
      <c r="C127" s="51">
        <f t="shared" ref="C127:D127" si="59">C99-C126</f>
        <v>5</v>
      </c>
      <c r="D127" s="52">
        <f t="shared" si="59"/>
        <v>4</v>
      </c>
      <c r="E127" s="49">
        <f>SUM(B127:D127)</f>
        <v>15</v>
      </c>
      <c r="H127" s="12" t="s">
        <v>16</v>
      </c>
      <c r="I127" s="50">
        <f>I99-I126</f>
        <v>455</v>
      </c>
      <c r="J127" s="51">
        <f t="shared" ref="J127:L127" si="60">J99-J126</f>
        <v>346</v>
      </c>
      <c r="K127" s="52">
        <f t="shared" si="60"/>
        <v>193</v>
      </c>
      <c r="L127" s="49">
        <f t="shared" si="60"/>
        <v>994</v>
      </c>
      <c r="M127"/>
    </row>
    <row r="128" spans="1:13" x14ac:dyDescent="0.15">
      <c r="M128"/>
    </row>
    <row r="129" spans="1:14" x14ac:dyDescent="0.15">
      <c r="M129"/>
    </row>
    <row r="130" spans="1:14" ht="19.5" thickBot="1" x14ac:dyDescent="0.25">
      <c r="A130" s="79" t="s">
        <v>21</v>
      </c>
      <c r="B130" s="80"/>
      <c r="C130" s="80"/>
      <c r="D130" s="80"/>
      <c r="E130" s="80"/>
      <c r="H130" s="101" t="s">
        <v>63</v>
      </c>
      <c r="I130" s="102"/>
      <c r="J130" s="104">
        <v>450</v>
      </c>
      <c r="K130" s="105">
        <v>1480</v>
      </c>
      <c r="L130" s="102"/>
      <c r="M130"/>
    </row>
    <row r="131" spans="1:14" ht="14.25" thickBot="1" x14ac:dyDescent="0.2">
      <c r="A131" s="4" t="s">
        <v>0</v>
      </c>
      <c r="B131" s="144" t="s">
        <v>20</v>
      </c>
      <c r="C131" s="145"/>
      <c r="D131" s="145"/>
      <c r="E131" s="146"/>
      <c r="H131" s="4" t="s">
        <v>0</v>
      </c>
      <c r="I131" s="144" t="s">
        <v>20</v>
      </c>
      <c r="J131" s="145"/>
      <c r="K131" s="145"/>
      <c r="L131" s="146"/>
      <c r="M131"/>
    </row>
    <row r="132" spans="1:14" ht="14.25" thickBot="1" x14ac:dyDescent="0.2">
      <c r="A132" s="4" t="s">
        <v>1</v>
      </c>
      <c r="B132" s="1" t="s">
        <v>2</v>
      </c>
      <c r="C132" s="2" t="s">
        <v>3</v>
      </c>
      <c r="D132" s="3" t="s">
        <v>4</v>
      </c>
      <c r="E132" s="4" t="s">
        <v>5</v>
      </c>
      <c r="H132" s="4" t="s">
        <v>1</v>
      </c>
      <c r="I132" s="1" t="s">
        <v>2</v>
      </c>
      <c r="J132" s="2" t="s">
        <v>3</v>
      </c>
      <c r="K132" s="3" t="s">
        <v>4</v>
      </c>
      <c r="L132" s="4" t="s">
        <v>5</v>
      </c>
      <c r="M132"/>
    </row>
    <row r="133" spans="1:14" ht="14.25" thickBot="1" x14ac:dyDescent="0.2">
      <c r="A133" s="17" t="s">
        <v>18</v>
      </c>
      <c r="B133" s="28">
        <f>B127</f>
        <v>6</v>
      </c>
      <c r="C133" s="29">
        <f>C127</f>
        <v>5</v>
      </c>
      <c r="D133" s="112">
        <f>D127</f>
        <v>4</v>
      </c>
      <c r="E133" s="48">
        <f>SUM(B133:D133)</f>
        <v>15</v>
      </c>
      <c r="H133" s="17" t="s">
        <v>18</v>
      </c>
      <c r="I133" s="54">
        <f>I127</f>
        <v>455</v>
      </c>
      <c r="J133" s="55">
        <f>J127</f>
        <v>346</v>
      </c>
      <c r="K133" s="56">
        <f>K127</f>
        <v>193</v>
      </c>
      <c r="L133" s="53">
        <f>SUM(I133:K133)</f>
        <v>994</v>
      </c>
      <c r="M133"/>
    </row>
    <row r="134" spans="1:14" x14ac:dyDescent="0.15">
      <c r="A134" s="15" t="s">
        <v>7</v>
      </c>
      <c r="B134" s="113"/>
      <c r="C134" s="114"/>
      <c r="D134" s="115"/>
      <c r="E134" s="109">
        <f t="shared" ref="E134:E141" si="61">SUM(B134:D134)</f>
        <v>0</v>
      </c>
      <c r="H134" s="15" t="s">
        <v>7</v>
      </c>
      <c r="I134" s="57"/>
      <c r="J134" s="58"/>
      <c r="K134" s="59"/>
      <c r="L134" s="42">
        <f>SUM(I134:K134)</f>
        <v>0</v>
      </c>
      <c r="M134"/>
    </row>
    <row r="135" spans="1:14" x14ac:dyDescent="0.15">
      <c r="A135" s="15" t="s">
        <v>8</v>
      </c>
      <c r="B135" s="5"/>
      <c r="C135" s="6"/>
      <c r="D135" s="30"/>
      <c r="E135" s="44">
        <f t="shared" si="61"/>
        <v>0</v>
      </c>
      <c r="H135" s="15" t="s">
        <v>112</v>
      </c>
      <c r="I135" s="63">
        <v>14</v>
      </c>
      <c r="J135" s="64">
        <v>15</v>
      </c>
      <c r="K135" s="65">
        <v>9</v>
      </c>
      <c r="L135" s="44">
        <f t="shared" ref="L135:L141" si="62">SUM(I135:K135)</f>
        <v>38</v>
      </c>
      <c r="M135" s="71">
        <v>46129</v>
      </c>
    </row>
    <row r="136" spans="1:14" x14ac:dyDescent="0.15">
      <c r="A136" s="15" t="s">
        <v>9</v>
      </c>
      <c r="B136" s="5"/>
      <c r="C136" s="6"/>
      <c r="D136" s="30"/>
      <c r="E136" s="44">
        <f t="shared" si="61"/>
        <v>0</v>
      </c>
      <c r="H136" s="15" t="s">
        <v>9</v>
      </c>
      <c r="I136" s="63"/>
      <c r="J136" s="64"/>
      <c r="K136" s="65"/>
      <c r="L136" s="44">
        <f t="shared" si="62"/>
        <v>0</v>
      </c>
    </row>
    <row r="137" spans="1:14" x14ac:dyDescent="0.15">
      <c r="A137" s="15" t="s">
        <v>10</v>
      </c>
      <c r="B137" s="5"/>
      <c r="C137" s="6"/>
      <c r="D137" s="30"/>
      <c r="E137" s="44">
        <f t="shared" si="61"/>
        <v>0</v>
      </c>
      <c r="H137" s="15" t="s">
        <v>10</v>
      </c>
      <c r="I137" s="63"/>
      <c r="J137" s="64"/>
      <c r="K137" s="65"/>
      <c r="L137" s="44">
        <f t="shared" si="62"/>
        <v>0</v>
      </c>
    </row>
    <row r="138" spans="1:14" x14ac:dyDescent="0.15">
      <c r="A138" s="15" t="s">
        <v>11</v>
      </c>
      <c r="B138" s="5"/>
      <c r="C138" s="6"/>
      <c r="D138" s="30"/>
      <c r="E138" s="44">
        <f t="shared" si="61"/>
        <v>0</v>
      </c>
      <c r="H138" s="15" t="s">
        <v>11</v>
      </c>
      <c r="I138" s="63"/>
      <c r="J138" s="64"/>
      <c r="K138" s="65"/>
      <c r="L138" s="44">
        <f t="shared" si="62"/>
        <v>0</v>
      </c>
    </row>
    <row r="139" spans="1:14" x14ac:dyDescent="0.15">
      <c r="A139" s="15" t="s">
        <v>12</v>
      </c>
      <c r="B139" s="5"/>
      <c r="C139" s="6"/>
      <c r="D139" s="30"/>
      <c r="E139" s="44">
        <f t="shared" si="61"/>
        <v>0</v>
      </c>
      <c r="H139" s="15" t="s">
        <v>12</v>
      </c>
      <c r="I139" s="63"/>
      <c r="J139" s="64"/>
      <c r="K139" s="65"/>
      <c r="L139" s="44">
        <f t="shared" si="62"/>
        <v>0</v>
      </c>
    </row>
    <row r="140" spans="1:14" x14ac:dyDescent="0.15">
      <c r="A140" s="15" t="s">
        <v>13</v>
      </c>
      <c r="B140" s="8"/>
      <c r="C140" s="9"/>
      <c r="D140" s="31"/>
      <c r="E140" s="44">
        <f t="shared" si="61"/>
        <v>0</v>
      </c>
      <c r="H140" s="15" t="s">
        <v>13</v>
      </c>
      <c r="I140" s="63"/>
      <c r="J140" s="64"/>
      <c r="K140" s="65"/>
      <c r="L140" s="44">
        <f t="shared" si="62"/>
        <v>0</v>
      </c>
      <c r="M140"/>
    </row>
    <row r="141" spans="1:14" ht="14.25" thickBot="1" x14ac:dyDescent="0.2">
      <c r="A141" s="15" t="s">
        <v>14</v>
      </c>
      <c r="B141" s="21"/>
      <c r="C141" s="22"/>
      <c r="D141" s="32"/>
      <c r="E141" s="45">
        <f t="shared" si="61"/>
        <v>0</v>
      </c>
      <c r="H141" s="15" t="s">
        <v>14</v>
      </c>
      <c r="I141" s="63"/>
      <c r="J141" s="64"/>
      <c r="K141" s="65"/>
      <c r="L141" s="44">
        <f t="shared" si="62"/>
        <v>0</v>
      </c>
      <c r="M141"/>
    </row>
    <row r="142" spans="1:14" ht="14.25" thickBot="1" x14ac:dyDescent="0.2">
      <c r="A142" s="23" t="s">
        <v>15</v>
      </c>
      <c r="B142" s="18">
        <f>SUM(B133:B141)</f>
        <v>6</v>
      </c>
      <c r="C142" s="19">
        <f t="shared" ref="C142:D142" si="63">SUM(C133:C141)</f>
        <v>5</v>
      </c>
      <c r="D142" s="20">
        <f t="shared" si="63"/>
        <v>4</v>
      </c>
      <c r="E142" s="46">
        <f>SUM(B142:D142)</f>
        <v>15</v>
      </c>
      <c r="H142" s="23" t="s">
        <v>15</v>
      </c>
      <c r="I142" s="18">
        <f>SUM(I133:I141)</f>
        <v>469</v>
      </c>
      <c r="J142" s="19">
        <f t="shared" ref="J142:L142" si="64">SUM(J133:J141)</f>
        <v>361</v>
      </c>
      <c r="K142" s="20">
        <f t="shared" si="64"/>
        <v>202</v>
      </c>
      <c r="L142" s="46">
        <f t="shared" si="64"/>
        <v>1032</v>
      </c>
      <c r="M142"/>
    </row>
    <row r="143" spans="1:14" x14ac:dyDescent="0.15">
      <c r="A143" s="13" t="s">
        <v>124</v>
      </c>
      <c r="B143" s="5">
        <v>1</v>
      </c>
      <c r="C143" s="6"/>
      <c r="D143" s="7"/>
      <c r="E143" s="43">
        <f t="shared" ref="E143" si="65">SUM(B143:D143)</f>
        <v>1</v>
      </c>
      <c r="F143" s="36">
        <v>46157</v>
      </c>
      <c r="H143" s="16" t="s">
        <v>111</v>
      </c>
      <c r="I143" s="5">
        <v>12</v>
      </c>
      <c r="J143" s="6">
        <v>12</v>
      </c>
      <c r="K143" s="7">
        <v>12</v>
      </c>
      <c r="L143" s="43">
        <f t="shared" ref="L143" si="66">SUM(I143:K143)</f>
        <v>36</v>
      </c>
      <c r="M143" s="71">
        <v>46121</v>
      </c>
    </row>
    <row r="144" spans="1:14" x14ac:dyDescent="0.15">
      <c r="A144" s="13" t="s">
        <v>48</v>
      </c>
      <c r="B144" s="5">
        <v>1</v>
      </c>
      <c r="C144" s="6"/>
      <c r="D144" s="7"/>
      <c r="E144" s="43">
        <f t="shared" ref="E144:E169" si="67">SUM(B144:D144)</f>
        <v>1</v>
      </c>
      <c r="F144" s="36">
        <v>46160</v>
      </c>
      <c r="H144" s="16" t="s">
        <v>115</v>
      </c>
      <c r="I144" s="5" t="s">
        <v>19</v>
      </c>
      <c r="J144" s="6"/>
      <c r="K144" s="7">
        <v>20</v>
      </c>
      <c r="L144" s="43">
        <f t="shared" ref="L144:L168" si="68">SUM(I144:K144)</f>
        <v>20</v>
      </c>
      <c r="M144" s="71">
        <v>46134</v>
      </c>
      <c r="N144" s="39"/>
    </row>
    <row r="145" spans="1:13" x14ac:dyDescent="0.15">
      <c r="A145" s="13" t="s">
        <v>48</v>
      </c>
      <c r="B145" s="5"/>
      <c r="C145" s="6"/>
      <c r="D145" s="7">
        <v>1</v>
      </c>
      <c r="E145" s="43">
        <f t="shared" si="67"/>
        <v>1</v>
      </c>
      <c r="F145" s="36">
        <v>46181</v>
      </c>
      <c r="H145" s="16" t="s">
        <v>116</v>
      </c>
      <c r="I145" s="5">
        <v>2</v>
      </c>
      <c r="J145" s="6">
        <v>3</v>
      </c>
      <c r="K145" s="7"/>
      <c r="L145" s="43">
        <f t="shared" si="68"/>
        <v>5</v>
      </c>
      <c r="M145" s="71">
        <v>46135</v>
      </c>
    </row>
    <row r="146" spans="1:13" x14ac:dyDescent="0.15">
      <c r="A146" s="13" t="s">
        <v>129</v>
      </c>
      <c r="B146" s="5"/>
      <c r="C146" s="6">
        <v>2</v>
      </c>
      <c r="D146" s="7"/>
      <c r="E146" s="43">
        <f t="shared" si="67"/>
        <v>2</v>
      </c>
      <c r="F146" s="36">
        <v>46217</v>
      </c>
      <c r="H146" s="16" t="s">
        <v>117</v>
      </c>
      <c r="I146" s="5" t="s">
        <v>19</v>
      </c>
      <c r="J146" s="6">
        <v>10</v>
      </c>
      <c r="K146" s="7">
        <v>12</v>
      </c>
      <c r="L146" s="43">
        <f t="shared" si="68"/>
        <v>22</v>
      </c>
      <c r="M146" s="71">
        <v>46135</v>
      </c>
    </row>
    <row r="147" spans="1:13" x14ac:dyDescent="0.15">
      <c r="A147" s="13" t="s">
        <v>129</v>
      </c>
      <c r="B147" s="5"/>
      <c r="C147" s="6">
        <v>1</v>
      </c>
      <c r="D147" s="7"/>
      <c r="E147" s="43">
        <f t="shared" si="67"/>
        <v>1</v>
      </c>
      <c r="F147" s="36">
        <v>46217</v>
      </c>
      <c r="H147" s="16" t="s">
        <v>118</v>
      </c>
      <c r="I147" s="5" t="s">
        <v>19</v>
      </c>
      <c r="J147" s="6"/>
      <c r="K147" s="7">
        <v>5</v>
      </c>
      <c r="L147" s="43">
        <f t="shared" si="68"/>
        <v>5</v>
      </c>
      <c r="M147" s="71">
        <v>46136</v>
      </c>
    </row>
    <row r="148" spans="1:13" x14ac:dyDescent="0.15">
      <c r="A148" s="13" t="s">
        <v>129</v>
      </c>
      <c r="B148" s="5"/>
      <c r="C148" s="6">
        <v>1</v>
      </c>
      <c r="D148" s="7"/>
      <c r="E148" s="43">
        <f t="shared" si="67"/>
        <v>1</v>
      </c>
      <c r="F148" s="36">
        <v>46217</v>
      </c>
      <c r="H148" s="16" t="s">
        <v>119</v>
      </c>
      <c r="I148" s="5">
        <v>10</v>
      </c>
      <c r="J148" s="6"/>
      <c r="K148" s="7"/>
      <c r="L148" s="43">
        <f t="shared" si="68"/>
        <v>10</v>
      </c>
      <c r="M148" s="71">
        <v>46137</v>
      </c>
    </row>
    <row r="149" spans="1:13" x14ac:dyDescent="0.15">
      <c r="A149" s="13"/>
      <c r="B149" s="5"/>
      <c r="C149" s="6"/>
      <c r="D149" s="7"/>
      <c r="E149" s="43">
        <f t="shared" si="67"/>
        <v>0</v>
      </c>
      <c r="H149" s="14"/>
      <c r="I149" s="5" t="s">
        <v>19</v>
      </c>
      <c r="J149" s="6"/>
      <c r="K149" s="7"/>
      <c r="L149" s="43">
        <f t="shared" si="68"/>
        <v>0</v>
      </c>
    </row>
    <row r="150" spans="1:13" x14ac:dyDescent="0.15">
      <c r="A150" s="13"/>
      <c r="B150" s="5"/>
      <c r="C150" s="6"/>
      <c r="D150" s="7"/>
      <c r="E150" s="43">
        <f t="shared" si="67"/>
        <v>0</v>
      </c>
      <c r="H150" s="14"/>
      <c r="I150" s="5" t="s">
        <v>19</v>
      </c>
      <c r="J150" s="6"/>
      <c r="K150" s="7"/>
      <c r="L150" s="43">
        <f t="shared" si="68"/>
        <v>0</v>
      </c>
    </row>
    <row r="151" spans="1:13" x14ac:dyDescent="0.15">
      <c r="A151" s="13"/>
      <c r="B151" s="5"/>
      <c r="C151" s="6"/>
      <c r="D151" s="7"/>
      <c r="E151" s="43">
        <f t="shared" si="67"/>
        <v>0</v>
      </c>
      <c r="H151" s="16"/>
      <c r="I151" s="5"/>
      <c r="J151" s="6"/>
      <c r="K151" s="7"/>
      <c r="L151" s="43">
        <f t="shared" si="68"/>
        <v>0</v>
      </c>
    </row>
    <row r="152" spans="1:13" x14ac:dyDescent="0.15">
      <c r="A152" s="13"/>
      <c r="B152" s="5"/>
      <c r="C152" s="6"/>
      <c r="D152" s="7"/>
      <c r="E152" s="43">
        <f t="shared" si="67"/>
        <v>0</v>
      </c>
      <c r="H152" s="14"/>
      <c r="I152" s="8"/>
      <c r="J152" s="9"/>
      <c r="K152" s="10"/>
      <c r="L152" s="43">
        <f t="shared" si="68"/>
        <v>0</v>
      </c>
    </row>
    <row r="153" spans="1:13" x14ac:dyDescent="0.15">
      <c r="A153" s="13"/>
      <c r="B153" s="5"/>
      <c r="C153" s="6"/>
      <c r="D153" s="7"/>
      <c r="E153" s="43">
        <f t="shared" si="67"/>
        <v>0</v>
      </c>
      <c r="H153" s="16"/>
      <c r="I153" s="5"/>
      <c r="J153" s="6"/>
      <c r="K153" s="7"/>
      <c r="L153" s="43">
        <f t="shared" si="68"/>
        <v>0</v>
      </c>
    </row>
    <row r="154" spans="1:13" x14ac:dyDescent="0.15">
      <c r="A154" s="13"/>
      <c r="B154" s="5"/>
      <c r="C154" s="6"/>
      <c r="D154" s="7"/>
      <c r="E154" s="43">
        <f t="shared" si="67"/>
        <v>0</v>
      </c>
      <c r="H154" s="16"/>
      <c r="I154" s="5"/>
      <c r="J154" s="6"/>
      <c r="K154" s="7"/>
      <c r="L154" s="43">
        <f t="shared" si="68"/>
        <v>0</v>
      </c>
    </row>
    <row r="155" spans="1:13" x14ac:dyDescent="0.15">
      <c r="A155" s="13"/>
      <c r="B155" s="5"/>
      <c r="C155" s="6"/>
      <c r="D155" s="7"/>
      <c r="E155" s="43">
        <f t="shared" si="67"/>
        <v>0</v>
      </c>
      <c r="H155" s="14"/>
      <c r="I155" s="5"/>
      <c r="J155" s="6"/>
      <c r="K155" s="7"/>
      <c r="L155" s="43">
        <f t="shared" si="68"/>
        <v>0</v>
      </c>
    </row>
    <row r="156" spans="1:13" x14ac:dyDescent="0.15">
      <c r="A156" s="13"/>
      <c r="B156" s="5"/>
      <c r="C156" s="6"/>
      <c r="D156" s="7"/>
      <c r="E156" s="43">
        <f t="shared" si="67"/>
        <v>0</v>
      </c>
      <c r="H156" s="14"/>
      <c r="I156" s="5"/>
      <c r="J156" s="6"/>
      <c r="K156" s="7"/>
      <c r="L156" s="43">
        <f t="shared" si="68"/>
        <v>0</v>
      </c>
    </row>
    <row r="157" spans="1:13" x14ac:dyDescent="0.15">
      <c r="A157" s="13"/>
      <c r="B157" s="5"/>
      <c r="C157" s="6"/>
      <c r="D157" s="7"/>
      <c r="E157" s="43">
        <f t="shared" si="67"/>
        <v>0</v>
      </c>
      <c r="H157" s="14"/>
      <c r="I157" s="5"/>
      <c r="J157" s="6"/>
      <c r="K157" s="7"/>
      <c r="L157" s="43">
        <f t="shared" si="68"/>
        <v>0</v>
      </c>
      <c r="M157"/>
    </row>
    <row r="158" spans="1:13" x14ac:dyDescent="0.15">
      <c r="A158" s="13"/>
      <c r="B158" s="5"/>
      <c r="C158" s="6"/>
      <c r="D158" s="7"/>
      <c r="E158" s="43">
        <f t="shared" si="67"/>
        <v>0</v>
      </c>
      <c r="H158" s="14"/>
      <c r="I158" s="5"/>
      <c r="J158" s="6"/>
      <c r="K158" s="7"/>
      <c r="L158" s="43">
        <f t="shared" ref="L158:L159" si="69">SUM(I158:K158)</f>
        <v>0</v>
      </c>
    </row>
    <row r="159" spans="1:13" x14ac:dyDescent="0.15">
      <c r="A159" s="13"/>
      <c r="B159" s="5"/>
      <c r="C159" s="6"/>
      <c r="D159" s="7"/>
      <c r="E159" s="43">
        <f t="shared" si="67"/>
        <v>0</v>
      </c>
      <c r="H159" s="14"/>
      <c r="I159" s="5"/>
      <c r="J159" s="6"/>
      <c r="K159" s="7"/>
      <c r="L159" s="43">
        <f t="shared" si="69"/>
        <v>0</v>
      </c>
      <c r="M159"/>
    </row>
    <row r="160" spans="1:13" x14ac:dyDescent="0.15">
      <c r="A160" s="13"/>
      <c r="B160" s="5"/>
      <c r="C160" s="6"/>
      <c r="D160" s="7"/>
      <c r="E160" s="43">
        <f t="shared" si="67"/>
        <v>0</v>
      </c>
      <c r="H160" s="136" t="s">
        <v>96</v>
      </c>
      <c r="I160" s="126"/>
      <c r="J160" s="127"/>
      <c r="K160" s="128"/>
      <c r="L160" s="129">
        <f t="shared" ref="L160:L166" si="70">SUM(I160:K160)</f>
        <v>0</v>
      </c>
      <c r="M160" s="99"/>
    </row>
    <row r="161" spans="1:13" x14ac:dyDescent="0.15">
      <c r="A161" s="13"/>
      <c r="B161" s="5"/>
      <c r="C161" s="6"/>
      <c r="D161" s="7"/>
      <c r="E161" s="43">
        <f t="shared" si="67"/>
        <v>0</v>
      </c>
      <c r="H161" s="16" t="s">
        <v>92</v>
      </c>
      <c r="I161" s="131"/>
      <c r="J161" s="6"/>
      <c r="K161" s="132"/>
      <c r="L161" s="43">
        <f t="shared" si="70"/>
        <v>0</v>
      </c>
      <c r="M161" s="71">
        <v>46120</v>
      </c>
    </row>
    <row r="162" spans="1:13" x14ac:dyDescent="0.15">
      <c r="A162" s="13"/>
      <c r="B162" s="5"/>
      <c r="C162" s="6"/>
      <c r="D162" s="7"/>
      <c r="E162" s="43">
        <f t="shared" si="67"/>
        <v>0</v>
      </c>
      <c r="H162" s="16" t="s">
        <v>95</v>
      </c>
      <c r="I162" s="5"/>
      <c r="J162" s="6"/>
      <c r="K162" s="7"/>
      <c r="L162" s="43">
        <f t="shared" si="70"/>
        <v>0</v>
      </c>
      <c r="M162" s="71">
        <v>46134</v>
      </c>
    </row>
    <row r="163" spans="1:13" x14ac:dyDescent="0.15">
      <c r="A163" s="14"/>
      <c r="B163" s="5"/>
      <c r="C163" s="6"/>
      <c r="D163" s="7"/>
      <c r="E163" s="43">
        <f t="shared" si="67"/>
        <v>0</v>
      </c>
      <c r="H163" s="125" t="s">
        <v>79</v>
      </c>
      <c r="I163" s="126"/>
      <c r="J163" s="127"/>
      <c r="K163" s="128"/>
      <c r="L163" s="129">
        <f t="shared" si="70"/>
        <v>0</v>
      </c>
      <c r="M163" s="39"/>
    </row>
    <row r="164" spans="1:13" x14ac:dyDescent="0.15">
      <c r="A164" s="13"/>
      <c r="B164" s="8"/>
      <c r="C164" s="9"/>
      <c r="D164" s="10"/>
      <c r="E164" s="43">
        <f t="shared" si="67"/>
        <v>0</v>
      </c>
      <c r="H164" s="16" t="s">
        <v>77</v>
      </c>
      <c r="I164" s="5"/>
      <c r="J164" s="6"/>
      <c r="K164" s="7"/>
      <c r="L164" s="43">
        <f t="shared" si="70"/>
        <v>0</v>
      </c>
      <c r="M164" s="39" t="s">
        <v>78</v>
      </c>
    </row>
    <row r="165" spans="1:13" x14ac:dyDescent="0.15">
      <c r="A165" s="13"/>
      <c r="B165" s="5"/>
      <c r="C165" s="6"/>
      <c r="D165" s="7"/>
      <c r="E165" s="43">
        <f t="shared" si="67"/>
        <v>0</v>
      </c>
      <c r="H165" s="125" t="s">
        <v>83</v>
      </c>
      <c r="I165" s="126"/>
      <c r="J165" s="127"/>
      <c r="K165" s="128"/>
      <c r="L165" s="129">
        <f t="shared" si="70"/>
        <v>0</v>
      </c>
      <c r="M165" s="39"/>
    </row>
    <row r="166" spans="1:13" x14ac:dyDescent="0.15">
      <c r="A166" s="13"/>
      <c r="B166" s="8"/>
      <c r="C166" s="9"/>
      <c r="D166" s="10"/>
      <c r="E166" s="44">
        <f t="shared" si="67"/>
        <v>0</v>
      </c>
      <c r="H166" s="16" t="s">
        <v>84</v>
      </c>
      <c r="I166" s="5"/>
      <c r="J166" s="6"/>
      <c r="K166" s="7"/>
      <c r="L166" s="43">
        <f t="shared" si="70"/>
        <v>0</v>
      </c>
      <c r="M166" s="39" t="s">
        <v>85</v>
      </c>
    </row>
    <row r="167" spans="1:13" x14ac:dyDescent="0.15">
      <c r="A167" s="13"/>
      <c r="B167" s="5"/>
      <c r="C167" s="6"/>
      <c r="D167" s="7"/>
      <c r="E167" s="43">
        <f t="shared" si="67"/>
        <v>0</v>
      </c>
      <c r="H167" s="136" t="s">
        <v>101</v>
      </c>
      <c r="I167" s="126"/>
      <c r="J167" s="127"/>
      <c r="K167" s="128"/>
      <c r="L167" s="129">
        <f t="shared" si="68"/>
        <v>0</v>
      </c>
      <c r="M167" s="39"/>
    </row>
    <row r="168" spans="1:13" ht="14.25" thickBot="1" x14ac:dyDescent="0.2">
      <c r="A168" s="13"/>
      <c r="B168" s="8"/>
      <c r="C168" s="9"/>
      <c r="D168" s="10"/>
      <c r="E168" s="47">
        <f t="shared" si="67"/>
        <v>0</v>
      </c>
      <c r="H168" s="16" t="s">
        <v>102</v>
      </c>
      <c r="I168" s="5"/>
      <c r="J168" s="6"/>
      <c r="K168" s="7"/>
      <c r="L168" s="43">
        <f t="shared" si="68"/>
        <v>0</v>
      </c>
      <c r="M168" s="39" t="s">
        <v>110</v>
      </c>
    </row>
    <row r="169" spans="1:13" ht="14.25" thickBot="1" x14ac:dyDescent="0.2">
      <c r="A169" s="25" t="s">
        <v>17</v>
      </c>
      <c r="B169" s="28">
        <f>SUM(B143:B168)</f>
        <v>2</v>
      </c>
      <c r="C169" s="29">
        <f t="shared" ref="C169:D169" si="71">SUM(C143:C168)</f>
        <v>4</v>
      </c>
      <c r="D169" s="33">
        <f t="shared" si="71"/>
        <v>1</v>
      </c>
      <c r="E169" s="48">
        <f t="shared" si="67"/>
        <v>7</v>
      </c>
      <c r="H169" s="25" t="s">
        <v>17</v>
      </c>
      <c r="I169" s="28">
        <f>SUM(I143:I168)</f>
        <v>24</v>
      </c>
      <c r="J169" s="29">
        <f t="shared" ref="J169:L169" si="72">SUM(J143:J168)</f>
        <v>25</v>
      </c>
      <c r="K169" s="33">
        <f t="shared" si="72"/>
        <v>49</v>
      </c>
      <c r="L169" s="48">
        <f t="shared" si="72"/>
        <v>98</v>
      </c>
      <c r="M169"/>
    </row>
    <row r="170" spans="1:13" ht="14.25" thickBot="1" x14ac:dyDescent="0.2">
      <c r="A170" s="12" t="s">
        <v>16</v>
      </c>
      <c r="B170" s="50">
        <f>B142-B169</f>
        <v>4</v>
      </c>
      <c r="C170" s="51">
        <f t="shared" ref="C170:D170" si="73">C142-C169</f>
        <v>1</v>
      </c>
      <c r="D170" s="52">
        <f t="shared" si="73"/>
        <v>3</v>
      </c>
      <c r="E170" s="49">
        <f>SUM(B170:D170)</f>
        <v>8</v>
      </c>
      <c r="H170" s="12" t="s">
        <v>16</v>
      </c>
      <c r="I170" s="50">
        <f>I142-I169</f>
        <v>445</v>
      </c>
      <c r="J170" s="51">
        <f t="shared" ref="J170:L170" si="74">J142-J169</f>
        <v>336</v>
      </c>
      <c r="K170" s="52">
        <f t="shared" si="74"/>
        <v>153</v>
      </c>
      <c r="L170" s="49">
        <f t="shared" si="74"/>
        <v>934</v>
      </c>
      <c r="M170" s="111" t="s">
        <v>98</v>
      </c>
    </row>
    <row r="171" spans="1:13" x14ac:dyDescent="0.15">
      <c r="M171"/>
    </row>
    <row r="172" spans="1:13" x14ac:dyDescent="0.15">
      <c r="M172"/>
    </row>
    <row r="173" spans="1:13" ht="19.5" thickBot="1" x14ac:dyDescent="0.25">
      <c r="A173" s="79" t="s">
        <v>21</v>
      </c>
      <c r="B173" s="80"/>
      <c r="C173" s="80"/>
      <c r="D173" s="80"/>
      <c r="E173" s="80"/>
      <c r="H173" s="101" t="s">
        <v>63</v>
      </c>
      <c r="I173" s="102"/>
      <c r="J173" s="104">
        <v>450</v>
      </c>
      <c r="K173" s="105">
        <v>1480</v>
      </c>
      <c r="L173" s="102"/>
      <c r="M173"/>
    </row>
    <row r="174" spans="1:13" ht="14.25" thickBot="1" x14ac:dyDescent="0.2">
      <c r="A174" s="4" t="s">
        <v>0</v>
      </c>
      <c r="B174" s="144" t="s">
        <v>20</v>
      </c>
      <c r="C174" s="145"/>
      <c r="D174" s="145"/>
      <c r="E174" s="146"/>
      <c r="H174" s="4" t="s">
        <v>0</v>
      </c>
      <c r="I174" s="144" t="s">
        <v>20</v>
      </c>
      <c r="J174" s="145"/>
      <c r="K174" s="145"/>
      <c r="L174" s="146"/>
      <c r="M174"/>
    </row>
    <row r="175" spans="1:13" ht="14.25" thickBot="1" x14ac:dyDescent="0.2">
      <c r="A175" s="4" t="s">
        <v>1</v>
      </c>
      <c r="B175" s="1" t="s">
        <v>2</v>
      </c>
      <c r="C175" s="2" t="s">
        <v>3</v>
      </c>
      <c r="D175" s="3" t="s">
        <v>4</v>
      </c>
      <c r="E175" s="4" t="s">
        <v>5</v>
      </c>
      <c r="H175" s="4" t="s">
        <v>1</v>
      </c>
      <c r="I175" s="1" t="s">
        <v>2</v>
      </c>
      <c r="J175" s="2" t="s">
        <v>3</v>
      </c>
      <c r="K175" s="3" t="s">
        <v>4</v>
      </c>
      <c r="L175" s="4" t="s">
        <v>5</v>
      </c>
      <c r="M175"/>
    </row>
    <row r="176" spans="1:13" ht="14.25" thickBot="1" x14ac:dyDescent="0.2">
      <c r="A176" s="17" t="s">
        <v>18</v>
      </c>
      <c r="B176" s="28">
        <f>B170</f>
        <v>4</v>
      </c>
      <c r="C176" s="29">
        <f>C170</f>
        <v>1</v>
      </c>
      <c r="D176" s="112">
        <f>D170</f>
        <v>3</v>
      </c>
      <c r="E176" s="48">
        <f>SUM(B176:D176)</f>
        <v>8</v>
      </c>
      <c r="H176" s="17" t="s">
        <v>18</v>
      </c>
      <c r="I176" s="54">
        <f>I170</f>
        <v>445</v>
      </c>
      <c r="J176" s="55">
        <f>J170</f>
        <v>336</v>
      </c>
      <c r="K176" s="56">
        <f>K170</f>
        <v>153</v>
      </c>
      <c r="L176" s="53">
        <f>SUM(I176:K176)</f>
        <v>934</v>
      </c>
      <c r="M176"/>
    </row>
    <row r="177" spans="1:13" x14ac:dyDescent="0.15">
      <c r="A177" s="15" t="s">
        <v>7</v>
      </c>
      <c r="B177" s="113"/>
      <c r="C177" s="114"/>
      <c r="D177" s="115"/>
      <c r="E177" s="109">
        <f t="shared" ref="E177:E184" si="75">SUM(B177:D177)</f>
        <v>0</v>
      </c>
      <c r="H177" s="15" t="s">
        <v>7</v>
      </c>
      <c r="I177" s="57"/>
      <c r="J177" s="58"/>
      <c r="K177" s="59"/>
      <c r="L177" s="42">
        <f>SUM(I177:K177)</f>
        <v>0</v>
      </c>
      <c r="M177"/>
    </row>
    <row r="178" spans="1:13" x14ac:dyDescent="0.15">
      <c r="A178" s="15" t="s">
        <v>8</v>
      </c>
      <c r="B178" s="5"/>
      <c r="C178" s="6"/>
      <c r="D178" s="30"/>
      <c r="E178" s="44">
        <f t="shared" si="75"/>
        <v>0</v>
      </c>
      <c r="H178" s="15" t="s">
        <v>8</v>
      </c>
      <c r="I178" s="63"/>
      <c r="J178" s="64"/>
      <c r="K178" s="65"/>
      <c r="L178" s="44">
        <f t="shared" ref="L178" si="76">SUM(I178:K178)</f>
        <v>0</v>
      </c>
      <c r="M178"/>
    </row>
    <row r="179" spans="1:13" x14ac:dyDescent="0.15">
      <c r="A179" s="15" t="s">
        <v>9</v>
      </c>
      <c r="B179" s="5"/>
      <c r="C179" s="6"/>
      <c r="D179" s="30"/>
      <c r="E179" s="44">
        <f t="shared" si="75"/>
        <v>0</v>
      </c>
      <c r="H179" s="15" t="s">
        <v>9</v>
      </c>
      <c r="I179" s="63"/>
      <c r="J179" s="64"/>
      <c r="K179" s="65"/>
      <c r="L179" s="44">
        <f t="shared" ref="L179:L184" si="77">SUM(I179:K179)</f>
        <v>0</v>
      </c>
      <c r="M179"/>
    </row>
    <row r="180" spans="1:13" x14ac:dyDescent="0.15">
      <c r="A180" s="15" t="s">
        <v>10</v>
      </c>
      <c r="B180" s="5"/>
      <c r="C180" s="6"/>
      <c r="D180" s="30"/>
      <c r="E180" s="44">
        <f t="shared" si="75"/>
        <v>0</v>
      </c>
      <c r="H180" s="15" t="s">
        <v>10</v>
      </c>
      <c r="I180" s="63"/>
      <c r="J180" s="64"/>
      <c r="K180" s="65"/>
      <c r="L180" s="44">
        <f t="shared" si="77"/>
        <v>0</v>
      </c>
      <c r="M180"/>
    </row>
    <row r="181" spans="1:13" x14ac:dyDescent="0.15">
      <c r="A181" s="15" t="s">
        <v>11</v>
      </c>
      <c r="B181" s="5"/>
      <c r="C181" s="6"/>
      <c r="D181" s="30"/>
      <c r="E181" s="44">
        <f t="shared" si="75"/>
        <v>0</v>
      </c>
      <c r="H181" s="15" t="s">
        <v>11</v>
      </c>
      <c r="I181" s="63"/>
      <c r="J181" s="64"/>
      <c r="K181" s="65"/>
      <c r="L181" s="44">
        <f t="shared" si="77"/>
        <v>0</v>
      </c>
      <c r="M181"/>
    </row>
    <row r="182" spans="1:13" x14ac:dyDescent="0.15">
      <c r="A182" s="15" t="s">
        <v>12</v>
      </c>
      <c r="B182" s="5"/>
      <c r="C182" s="6"/>
      <c r="D182" s="30"/>
      <c r="E182" s="44">
        <f t="shared" si="75"/>
        <v>0</v>
      </c>
      <c r="H182" s="15" t="s">
        <v>12</v>
      </c>
      <c r="I182" s="63"/>
      <c r="J182" s="64"/>
      <c r="K182" s="65"/>
      <c r="L182" s="44">
        <f t="shared" si="77"/>
        <v>0</v>
      </c>
      <c r="M182"/>
    </row>
    <row r="183" spans="1:13" x14ac:dyDescent="0.15">
      <c r="A183" s="15" t="s">
        <v>13</v>
      </c>
      <c r="B183" s="8"/>
      <c r="C183" s="9"/>
      <c r="D183" s="31"/>
      <c r="E183" s="44">
        <f t="shared" si="75"/>
        <v>0</v>
      </c>
      <c r="H183" s="15" t="s">
        <v>13</v>
      </c>
      <c r="I183" s="63"/>
      <c r="J183" s="64"/>
      <c r="K183" s="65"/>
      <c r="L183" s="44">
        <f t="shared" si="77"/>
        <v>0</v>
      </c>
      <c r="M183"/>
    </row>
    <row r="184" spans="1:13" ht="14.25" thickBot="1" x14ac:dyDescent="0.2">
      <c r="A184" s="15" t="s">
        <v>14</v>
      </c>
      <c r="B184" s="21"/>
      <c r="C184" s="22"/>
      <c r="D184" s="32"/>
      <c r="E184" s="45">
        <f t="shared" si="75"/>
        <v>0</v>
      </c>
      <c r="H184" s="15" t="s">
        <v>14</v>
      </c>
      <c r="I184" s="63"/>
      <c r="J184" s="64"/>
      <c r="K184" s="65"/>
      <c r="L184" s="44">
        <f t="shared" si="77"/>
        <v>0</v>
      </c>
      <c r="M184"/>
    </row>
    <row r="185" spans="1:13" ht="14.25" thickBot="1" x14ac:dyDescent="0.2">
      <c r="A185" s="23" t="s">
        <v>15</v>
      </c>
      <c r="B185" s="18">
        <f>SUM(B176:B184)</f>
        <v>4</v>
      </c>
      <c r="C185" s="19">
        <f t="shared" ref="C185:D185" si="78">SUM(C176:C184)</f>
        <v>1</v>
      </c>
      <c r="D185" s="20">
        <f t="shared" si="78"/>
        <v>3</v>
      </c>
      <c r="E185" s="46">
        <f>SUM(B185:D185)</f>
        <v>8</v>
      </c>
      <c r="H185" s="23" t="s">
        <v>15</v>
      </c>
      <c r="I185" s="18">
        <f>SUM(I176:I184)</f>
        <v>445</v>
      </c>
      <c r="J185" s="19">
        <f t="shared" ref="J185:L185" si="79">SUM(J176:J184)</f>
        <v>336</v>
      </c>
      <c r="K185" s="20">
        <f t="shared" si="79"/>
        <v>153</v>
      </c>
      <c r="L185" s="46">
        <f t="shared" si="79"/>
        <v>934</v>
      </c>
      <c r="M185"/>
    </row>
    <row r="186" spans="1:13" x14ac:dyDescent="0.15">
      <c r="A186" s="13"/>
      <c r="B186" s="5"/>
      <c r="C186" s="6"/>
      <c r="D186" s="7"/>
      <c r="E186" s="43">
        <f t="shared" ref="E186:E187" si="80">SUM(B186:D186)</f>
        <v>0</v>
      </c>
      <c r="H186" s="14"/>
      <c r="I186" s="5" t="s">
        <v>19</v>
      </c>
      <c r="J186" s="6"/>
      <c r="K186" s="7"/>
      <c r="L186" s="43">
        <f t="shared" ref="L186:L191" si="81">SUM(I186:K186)</f>
        <v>0</v>
      </c>
      <c r="M186"/>
    </row>
    <row r="187" spans="1:13" x14ac:dyDescent="0.15">
      <c r="A187" s="13"/>
      <c r="B187" s="5"/>
      <c r="C187" s="6"/>
      <c r="D187" s="7"/>
      <c r="E187" s="43">
        <f t="shared" si="80"/>
        <v>0</v>
      </c>
      <c r="H187" s="14"/>
      <c r="I187" s="5" t="s">
        <v>19</v>
      </c>
      <c r="J187" s="6"/>
      <c r="K187" s="7"/>
      <c r="L187" s="43">
        <f t="shared" si="81"/>
        <v>0</v>
      </c>
      <c r="M187"/>
    </row>
    <row r="188" spans="1:13" x14ac:dyDescent="0.15">
      <c r="A188" s="13"/>
      <c r="B188" s="5"/>
      <c r="C188" s="6"/>
      <c r="D188" s="7"/>
      <c r="E188" s="43">
        <f t="shared" ref="E188:E212" si="82">SUM(B188:D188)</f>
        <v>0</v>
      </c>
      <c r="H188" s="14"/>
      <c r="I188" s="5" t="s">
        <v>19</v>
      </c>
      <c r="J188" s="6"/>
      <c r="K188" s="7"/>
      <c r="L188" s="43">
        <f t="shared" si="81"/>
        <v>0</v>
      </c>
      <c r="M188"/>
    </row>
    <row r="189" spans="1:13" x14ac:dyDescent="0.15">
      <c r="A189" s="13"/>
      <c r="B189" s="5"/>
      <c r="C189" s="6"/>
      <c r="D189" s="7"/>
      <c r="E189" s="43">
        <f t="shared" si="82"/>
        <v>0</v>
      </c>
      <c r="H189" s="14"/>
      <c r="I189" s="5" t="s">
        <v>19</v>
      </c>
      <c r="J189" s="6"/>
      <c r="K189" s="7"/>
      <c r="L189" s="43">
        <f t="shared" si="81"/>
        <v>0</v>
      </c>
      <c r="M189"/>
    </row>
    <row r="190" spans="1:13" x14ac:dyDescent="0.15">
      <c r="A190" s="13"/>
      <c r="B190" s="5"/>
      <c r="C190" s="6"/>
      <c r="D190" s="7"/>
      <c r="E190" s="43">
        <f t="shared" si="82"/>
        <v>0</v>
      </c>
      <c r="H190" s="14"/>
      <c r="I190" s="5" t="s">
        <v>19</v>
      </c>
      <c r="J190" s="6"/>
      <c r="K190" s="7"/>
      <c r="L190" s="43">
        <f t="shared" si="81"/>
        <v>0</v>
      </c>
      <c r="M190"/>
    </row>
    <row r="191" spans="1:13" x14ac:dyDescent="0.15">
      <c r="A191" s="13"/>
      <c r="B191" s="5"/>
      <c r="C191" s="6"/>
      <c r="D191" s="7"/>
      <c r="E191" s="43">
        <f t="shared" si="82"/>
        <v>0</v>
      </c>
      <c r="H191" s="14"/>
      <c r="I191" s="5" t="s">
        <v>19</v>
      </c>
      <c r="J191" s="6"/>
      <c r="K191" s="7"/>
      <c r="L191" s="43">
        <f t="shared" si="81"/>
        <v>0</v>
      </c>
      <c r="M191"/>
    </row>
    <row r="192" spans="1:13" x14ac:dyDescent="0.15">
      <c r="A192" s="13"/>
      <c r="B192" s="5"/>
      <c r="C192" s="6"/>
      <c r="D192" s="7"/>
      <c r="E192" s="43">
        <f t="shared" si="82"/>
        <v>0</v>
      </c>
      <c r="H192" s="14"/>
      <c r="I192" s="5" t="s">
        <v>19</v>
      </c>
      <c r="J192" s="6"/>
      <c r="K192" s="7"/>
      <c r="L192" s="43">
        <f t="shared" ref="L192:L202" si="83">SUM(I192:K192)</f>
        <v>0</v>
      </c>
      <c r="M192"/>
    </row>
    <row r="193" spans="1:13" x14ac:dyDescent="0.15">
      <c r="A193" s="13"/>
      <c r="B193" s="5"/>
      <c r="C193" s="6"/>
      <c r="D193" s="7"/>
      <c r="E193" s="43">
        <f t="shared" si="82"/>
        <v>0</v>
      </c>
      <c r="H193" s="14"/>
      <c r="I193" s="5" t="s">
        <v>19</v>
      </c>
      <c r="J193" s="6"/>
      <c r="K193" s="7"/>
      <c r="L193" s="43">
        <f t="shared" si="83"/>
        <v>0</v>
      </c>
      <c r="M193"/>
    </row>
    <row r="194" spans="1:13" x14ac:dyDescent="0.15">
      <c r="A194" s="13"/>
      <c r="B194" s="5"/>
      <c r="C194" s="6"/>
      <c r="D194" s="7"/>
      <c r="E194" s="43">
        <f t="shared" si="82"/>
        <v>0</v>
      </c>
      <c r="H194" s="16"/>
      <c r="I194" s="5"/>
      <c r="J194" s="6"/>
      <c r="K194" s="7"/>
      <c r="L194" s="43">
        <f t="shared" si="83"/>
        <v>0</v>
      </c>
      <c r="M194"/>
    </row>
    <row r="195" spans="1:13" x14ac:dyDescent="0.15">
      <c r="A195" s="13"/>
      <c r="B195" s="5"/>
      <c r="C195" s="6"/>
      <c r="D195" s="7"/>
      <c r="E195" s="43">
        <f t="shared" si="82"/>
        <v>0</v>
      </c>
      <c r="H195" s="14"/>
      <c r="I195" s="8"/>
      <c r="J195" s="9"/>
      <c r="K195" s="10"/>
      <c r="L195" s="43">
        <f t="shared" si="83"/>
        <v>0</v>
      </c>
      <c r="M195"/>
    </row>
    <row r="196" spans="1:13" x14ac:dyDescent="0.15">
      <c r="A196" s="13"/>
      <c r="B196" s="5"/>
      <c r="C196" s="6"/>
      <c r="D196" s="7"/>
      <c r="E196" s="43">
        <f t="shared" si="82"/>
        <v>0</v>
      </c>
      <c r="H196" s="16"/>
      <c r="I196" s="5"/>
      <c r="J196" s="6"/>
      <c r="K196" s="7"/>
      <c r="L196" s="43">
        <f t="shared" si="83"/>
        <v>0</v>
      </c>
      <c r="M196"/>
    </row>
    <row r="197" spans="1:13" x14ac:dyDescent="0.15">
      <c r="A197" s="13"/>
      <c r="B197" s="5"/>
      <c r="C197" s="6"/>
      <c r="D197" s="7"/>
      <c r="E197" s="43">
        <f t="shared" si="82"/>
        <v>0</v>
      </c>
      <c r="H197" s="16"/>
      <c r="I197" s="5"/>
      <c r="J197" s="6"/>
      <c r="K197" s="7"/>
      <c r="L197" s="43">
        <f t="shared" si="83"/>
        <v>0</v>
      </c>
      <c r="M197"/>
    </row>
    <row r="198" spans="1:13" x14ac:dyDescent="0.15">
      <c r="A198" s="13"/>
      <c r="B198" s="5"/>
      <c r="C198" s="6"/>
      <c r="D198" s="7"/>
      <c r="E198" s="43">
        <f t="shared" si="82"/>
        <v>0</v>
      </c>
      <c r="H198" s="14"/>
      <c r="I198" s="5"/>
      <c r="J198" s="6"/>
      <c r="K198" s="7"/>
      <c r="L198" s="43">
        <f t="shared" si="83"/>
        <v>0</v>
      </c>
      <c r="M198"/>
    </row>
    <row r="199" spans="1:13" x14ac:dyDescent="0.15">
      <c r="A199" s="13"/>
      <c r="B199" s="5"/>
      <c r="C199" s="6"/>
      <c r="D199" s="7"/>
      <c r="E199" s="43">
        <f t="shared" si="82"/>
        <v>0</v>
      </c>
      <c r="H199" s="14"/>
      <c r="I199" s="5"/>
      <c r="J199" s="6"/>
      <c r="K199" s="7"/>
      <c r="L199" s="43">
        <f t="shared" si="83"/>
        <v>0</v>
      </c>
      <c r="M199"/>
    </row>
    <row r="200" spans="1:13" x14ac:dyDescent="0.15">
      <c r="A200" s="13"/>
      <c r="B200" s="5"/>
      <c r="C200" s="6"/>
      <c r="D200" s="7"/>
      <c r="E200" s="43">
        <f t="shared" si="82"/>
        <v>0</v>
      </c>
      <c r="H200" s="14"/>
      <c r="I200" s="5"/>
      <c r="J200" s="6"/>
      <c r="K200" s="7"/>
      <c r="L200" s="43">
        <f t="shared" si="83"/>
        <v>0</v>
      </c>
      <c r="M200"/>
    </row>
    <row r="201" spans="1:13" x14ac:dyDescent="0.15">
      <c r="A201" s="13"/>
      <c r="B201" s="5"/>
      <c r="C201" s="6"/>
      <c r="D201" s="7"/>
      <c r="E201" s="43">
        <f t="shared" si="82"/>
        <v>0</v>
      </c>
      <c r="H201" s="14"/>
      <c r="I201" s="5"/>
      <c r="J201" s="6"/>
      <c r="K201" s="7"/>
      <c r="L201" s="43">
        <f t="shared" si="83"/>
        <v>0</v>
      </c>
      <c r="M201"/>
    </row>
    <row r="202" spans="1:13" x14ac:dyDescent="0.15">
      <c r="A202" s="13"/>
      <c r="B202" s="5"/>
      <c r="C202" s="6"/>
      <c r="D202" s="7"/>
      <c r="E202" s="43">
        <f t="shared" si="82"/>
        <v>0</v>
      </c>
      <c r="H202" s="14"/>
      <c r="I202" s="5"/>
      <c r="J202" s="6"/>
      <c r="K202" s="7"/>
      <c r="L202" s="43">
        <f t="shared" si="83"/>
        <v>0</v>
      </c>
      <c r="M202"/>
    </row>
    <row r="203" spans="1:13" x14ac:dyDescent="0.15">
      <c r="A203" s="13"/>
      <c r="B203" s="5"/>
      <c r="C203" s="6"/>
      <c r="D203" s="7"/>
      <c r="E203" s="43">
        <f t="shared" si="82"/>
        <v>0</v>
      </c>
      <c r="H203" s="14"/>
      <c r="I203" s="5"/>
      <c r="J203" s="6"/>
      <c r="K203" s="7"/>
      <c r="L203" s="43">
        <f t="shared" ref="L203:L211" si="84">SUM(I203:K203)</f>
        <v>0</v>
      </c>
      <c r="M203"/>
    </row>
    <row r="204" spans="1:13" x14ac:dyDescent="0.15">
      <c r="A204" s="13"/>
      <c r="B204" s="5"/>
      <c r="C204" s="6"/>
      <c r="D204" s="7"/>
      <c r="E204" s="43">
        <f t="shared" si="82"/>
        <v>0</v>
      </c>
      <c r="H204" s="14"/>
      <c r="I204" s="5"/>
      <c r="J204" s="6"/>
      <c r="K204" s="7"/>
      <c r="L204" s="43">
        <f t="shared" si="84"/>
        <v>0</v>
      </c>
      <c r="M204"/>
    </row>
    <row r="205" spans="1:13" x14ac:dyDescent="0.15">
      <c r="A205" s="13"/>
      <c r="B205" s="5"/>
      <c r="C205" s="6"/>
      <c r="D205" s="7"/>
      <c r="E205" s="43">
        <f t="shared" si="82"/>
        <v>0</v>
      </c>
      <c r="H205" s="14"/>
      <c r="I205" s="5"/>
      <c r="J205" s="6"/>
      <c r="K205" s="7"/>
      <c r="L205" s="43">
        <f t="shared" si="84"/>
        <v>0</v>
      </c>
      <c r="M205"/>
    </row>
    <row r="206" spans="1:13" x14ac:dyDescent="0.15">
      <c r="A206" s="14"/>
      <c r="B206" s="5"/>
      <c r="C206" s="6"/>
      <c r="D206" s="7"/>
      <c r="E206" s="43">
        <f t="shared" si="82"/>
        <v>0</v>
      </c>
      <c r="H206" s="14"/>
      <c r="I206" s="5"/>
      <c r="J206" s="6"/>
      <c r="K206" s="7"/>
      <c r="L206" s="43">
        <f t="shared" si="84"/>
        <v>0</v>
      </c>
      <c r="M206"/>
    </row>
    <row r="207" spans="1:13" x14ac:dyDescent="0.15">
      <c r="A207" s="13"/>
      <c r="B207" s="8"/>
      <c r="C207" s="9"/>
      <c r="D207" s="10"/>
      <c r="E207" s="43">
        <f t="shared" si="82"/>
        <v>0</v>
      </c>
      <c r="H207" s="14"/>
      <c r="I207" s="5"/>
      <c r="J207" s="6"/>
      <c r="K207" s="7"/>
      <c r="L207" s="43">
        <f t="shared" si="84"/>
        <v>0</v>
      </c>
      <c r="M207"/>
    </row>
    <row r="208" spans="1:13" x14ac:dyDescent="0.15">
      <c r="A208" s="13"/>
      <c r="B208" s="5"/>
      <c r="C208" s="6"/>
      <c r="D208" s="7"/>
      <c r="E208" s="43">
        <f t="shared" si="82"/>
        <v>0</v>
      </c>
      <c r="H208" s="14"/>
      <c r="I208" s="5"/>
      <c r="J208" s="6"/>
      <c r="K208" s="7"/>
      <c r="L208" s="43">
        <f t="shared" si="84"/>
        <v>0</v>
      </c>
      <c r="M208"/>
    </row>
    <row r="209" spans="1:13" x14ac:dyDescent="0.15">
      <c r="A209" s="13"/>
      <c r="B209" s="8"/>
      <c r="C209" s="9"/>
      <c r="D209" s="10"/>
      <c r="E209" s="44">
        <f t="shared" si="82"/>
        <v>0</v>
      </c>
      <c r="H209" s="14"/>
      <c r="I209" s="5"/>
      <c r="J209" s="6"/>
      <c r="K209" s="7"/>
      <c r="L209" s="43">
        <f t="shared" si="84"/>
        <v>0</v>
      </c>
      <c r="M209"/>
    </row>
    <row r="210" spans="1:13" x14ac:dyDescent="0.15">
      <c r="A210" s="13"/>
      <c r="B210" s="5"/>
      <c r="C210" s="6"/>
      <c r="D210" s="7"/>
      <c r="E210" s="43">
        <f t="shared" si="82"/>
        <v>0</v>
      </c>
      <c r="H210" s="14"/>
      <c r="I210" s="5"/>
      <c r="J210" s="6"/>
      <c r="K210" s="7"/>
      <c r="L210" s="43">
        <f t="shared" si="84"/>
        <v>0</v>
      </c>
      <c r="M210"/>
    </row>
    <row r="211" spans="1:13" ht="14.25" thickBot="1" x14ac:dyDescent="0.2">
      <c r="A211" s="13"/>
      <c r="B211" s="8"/>
      <c r="C211" s="9"/>
      <c r="D211" s="10"/>
      <c r="E211" s="47">
        <f t="shared" si="82"/>
        <v>0</v>
      </c>
      <c r="H211" s="140" t="s">
        <v>128</v>
      </c>
      <c r="I211" s="141">
        <v>70</v>
      </c>
      <c r="J211" s="142">
        <v>70</v>
      </c>
      <c r="K211" s="143">
        <v>40</v>
      </c>
      <c r="L211" s="109">
        <f t="shared" si="84"/>
        <v>180</v>
      </c>
      <c r="M211" s="24" t="s">
        <v>127</v>
      </c>
    </row>
    <row r="212" spans="1:13" ht="14.25" thickBot="1" x14ac:dyDescent="0.2">
      <c r="A212" s="25" t="s">
        <v>17</v>
      </c>
      <c r="B212" s="28">
        <f>SUM(B186:B211)</f>
        <v>0</v>
      </c>
      <c r="C212" s="29">
        <f t="shared" ref="C212:D212" si="85">SUM(C186:C211)</f>
        <v>0</v>
      </c>
      <c r="D212" s="33">
        <f t="shared" si="85"/>
        <v>0</v>
      </c>
      <c r="E212" s="48">
        <f t="shared" si="82"/>
        <v>0</v>
      </c>
      <c r="H212" s="25" t="s">
        <v>17</v>
      </c>
      <c r="I212" s="28">
        <f>SUM(I186:I211)</f>
        <v>70</v>
      </c>
      <c r="J212" s="29">
        <f t="shared" ref="J212:L212" si="86">SUM(J186:J211)</f>
        <v>70</v>
      </c>
      <c r="K212" s="33">
        <f t="shared" si="86"/>
        <v>40</v>
      </c>
      <c r="L212" s="48">
        <f t="shared" si="86"/>
        <v>180</v>
      </c>
      <c r="M212"/>
    </row>
    <row r="213" spans="1:13" ht="14.25" thickBot="1" x14ac:dyDescent="0.2">
      <c r="A213" s="12" t="s">
        <v>16</v>
      </c>
      <c r="B213" s="50">
        <f>B185-B212</f>
        <v>4</v>
      </c>
      <c r="C213" s="51">
        <f t="shared" ref="C213:D213" si="87">C185-C212</f>
        <v>1</v>
      </c>
      <c r="D213" s="52">
        <f t="shared" si="87"/>
        <v>3</v>
      </c>
      <c r="E213" s="49">
        <f>SUM(B213:D213)</f>
        <v>8</v>
      </c>
      <c r="H213" s="12" t="s">
        <v>16</v>
      </c>
      <c r="I213" s="50">
        <f>I185-I212</f>
        <v>375</v>
      </c>
      <c r="J213" s="51">
        <f t="shared" ref="J213:L213" si="88">J185-J212</f>
        <v>266</v>
      </c>
      <c r="K213" s="52">
        <f t="shared" si="88"/>
        <v>113</v>
      </c>
      <c r="L213" s="49">
        <f t="shared" si="88"/>
        <v>754</v>
      </c>
      <c r="M213"/>
    </row>
    <row r="214" spans="1:13" x14ac:dyDescent="0.15">
      <c r="M214"/>
    </row>
    <row r="215" spans="1:13" x14ac:dyDescent="0.15">
      <c r="M215"/>
    </row>
    <row r="216" spans="1:13" x14ac:dyDescent="0.15">
      <c r="M216"/>
    </row>
    <row r="217" spans="1:13" x14ac:dyDescent="0.15">
      <c r="M217"/>
    </row>
    <row r="218" spans="1:13" x14ac:dyDescent="0.15">
      <c r="M218"/>
    </row>
    <row r="219" spans="1:13" x14ac:dyDescent="0.15">
      <c r="M219"/>
    </row>
    <row r="220" spans="1:13" x14ac:dyDescent="0.15">
      <c r="M220"/>
    </row>
    <row r="221" spans="1:13" x14ac:dyDescent="0.15">
      <c r="M221"/>
    </row>
    <row r="222" spans="1:13" x14ac:dyDescent="0.15">
      <c r="M222"/>
    </row>
    <row r="223" spans="1:13" x14ac:dyDescent="0.15">
      <c r="M223"/>
    </row>
    <row r="224" spans="1:13" x14ac:dyDescent="0.15">
      <c r="M224"/>
    </row>
    <row r="225" spans="13:13" x14ac:dyDescent="0.15">
      <c r="M225"/>
    </row>
    <row r="226" spans="13:13" x14ac:dyDescent="0.15">
      <c r="M226"/>
    </row>
    <row r="227" spans="13:13" x14ac:dyDescent="0.15">
      <c r="M227"/>
    </row>
    <row r="228" spans="13:13" x14ac:dyDescent="0.15">
      <c r="M228"/>
    </row>
    <row r="229" spans="13:13" x14ac:dyDescent="0.15">
      <c r="M229"/>
    </row>
    <row r="230" spans="13:13" x14ac:dyDescent="0.15">
      <c r="M230"/>
    </row>
    <row r="231" spans="13:13" x14ac:dyDescent="0.15">
      <c r="M231"/>
    </row>
    <row r="232" spans="13:13" x14ac:dyDescent="0.15">
      <c r="M232"/>
    </row>
    <row r="233" spans="13:13" x14ac:dyDescent="0.15">
      <c r="M233"/>
    </row>
    <row r="234" spans="13:13" x14ac:dyDescent="0.15">
      <c r="M234"/>
    </row>
    <row r="235" spans="13:13" x14ac:dyDescent="0.15">
      <c r="M235"/>
    </row>
    <row r="236" spans="13:13" x14ac:dyDescent="0.15">
      <c r="M236"/>
    </row>
    <row r="237" spans="13:13" x14ac:dyDescent="0.15">
      <c r="M237"/>
    </row>
    <row r="238" spans="13:13" x14ac:dyDescent="0.15">
      <c r="M238"/>
    </row>
    <row r="239" spans="13:13" x14ac:dyDescent="0.15">
      <c r="M239"/>
    </row>
    <row r="240" spans="13:13" x14ac:dyDescent="0.15">
      <c r="M240"/>
    </row>
    <row r="241" spans="13:13" x14ac:dyDescent="0.15">
      <c r="M241"/>
    </row>
    <row r="242" spans="13:13" x14ac:dyDescent="0.15">
      <c r="M242"/>
    </row>
    <row r="243" spans="13:13" x14ac:dyDescent="0.15">
      <c r="M243"/>
    </row>
    <row r="244" spans="13:13" x14ac:dyDescent="0.15">
      <c r="M244"/>
    </row>
    <row r="245" spans="13:13" x14ac:dyDescent="0.15">
      <c r="M245"/>
    </row>
    <row r="246" spans="13:13" x14ac:dyDescent="0.15">
      <c r="M246"/>
    </row>
    <row r="247" spans="13:13" x14ac:dyDescent="0.15">
      <c r="M247"/>
    </row>
    <row r="248" spans="13:13" x14ac:dyDescent="0.15">
      <c r="M248"/>
    </row>
    <row r="249" spans="13:13" x14ac:dyDescent="0.15">
      <c r="M249"/>
    </row>
    <row r="250" spans="13:13" x14ac:dyDescent="0.15">
      <c r="M250"/>
    </row>
    <row r="251" spans="13:13" x14ac:dyDescent="0.15">
      <c r="M251"/>
    </row>
    <row r="252" spans="13:13" x14ac:dyDescent="0.15">
      <c r="M252"/>
    </row>
    <row r="253" spans="13:13" x14ac:dyDescent="0.15">
      <c r="M253"/>
    </row>
    <row r="254" spans="13:13" x14ac:dyDescent="0.15">
      <c r="M254"/>
    </row>
    <row r="255" spans="13:13" x14ac:dyDescent="0.15">
      <c r="M255"/>
    </row>
    <row r="256" spans="13:13" x14ac:dyDescent="0.15">
      <c r="M256"/>
    </row>
    <row r="257" spans="13:13" x14ac:dyDescent="0.15">
      <c r="M257"/>
    </row>
    <row r="258" spans="13:13" x14ac:dyDescent="0.15">
      <c r="M258"/>
    </row>
    <row r="259" spans="13:13" x14ac:dyDescent="0.15">
      <c r="M259"/>
    </row>
    <row r="260" spans="13:13" x14ac:dyDescent="0.15">
      <c r="M260"/>
    </row>
    <row r="261" spans="13:13" x14ac:dyDescent="0.15">
      <c r="M261"/>
    </row>
    <row r="262" spans="13:13" x14ac:dyDescent="0.15">
      <c r="M262"/>
    </row>
    <row r="263" spans="13:13" x14ac:dyDescent="0.15">
      <c r="M263"/>
    </row>
    <row r="264" spans="13:13" x14ac:dyDescent="0.15">
      <c r="M264"/>
    </row>
    <row r="265" spans="13:13" x14ac:dyDescent="0.15">
      <c r="M265"/>
    </row>
    <row r="266" spans="13:13" x14ac:dyDescent="0.15">
      <c r="M266"/>
    </row>
    <row r="267" spans="13:13" x14ac:dyDescent="0.15">
      <c r="M267"/>
    </row>
    <row r="268" spans="13:13" x14ac:dyDescent="0.15">
      <c r="M268"/>
    </row>
    <row r="269" spans="13:13" x14ac:dyDescent="0.15">
      <c r="M269"/>
    </row>
    <row r="270" spans="13:13" x14ac:dyDescent="0.15">
      <c r="M270"/>
    </row>
    <row r="271" spans="13:13" x14ac:dyDescent="0.15">
      <c r="M271"/>
    </row>
    <row r="272" spans="13:13" x14ac:dyDescent="0.15">
      <c r="M272"/>
    </row>
    <row r="273" spans="13:13" x14ac:dyDescent="0.15">
      <c r="M273"/>
    </row>
    <row r="274" spans="13:13" x14ac:dyDescent="0.15">
      <c r="M274"/>
    </row>
    <row r="275" spans="13:13" x14ac:dyDescent="0.15">
      <c r="M275"/>
    </row>
    <row r="276" spans="13:13" x14ac:dyDescent="0.15">
      <c r="M276"/>
    </row>
    <row r="277" spans="13:13" x14ac:dyDescent="0.15">
      <c r="M277"/>
    </row>
    <row r="278" spans="13:13" x14ac:dyDescent="0.15">
      <c r="M278"/>
    </row>
    <row r="279" spans="13:13" x14ac:dyDescent="0.15">
      <c r="M279"/>
    </row>
    <row r="280" spans="13:13" x14ac:dyDescent="0.15">
      <c r="M280"/>
    </row>
    <row r="281" spans="13:13" x14ac:dyDescent="0.15">
      <c r="M281"/>
    </row>
    <row r="282" spans="13:13" x14ac:dyDescent="0.15">
      <c r="M282"/>
    </row>
    <row r="283" spans="13:13" x14ac:dyDescent="0.15">
      <c r="M283"/>
    </row>
    <row r="284" spans="13:13" x14ac:dyDescent="0.15">
      <c r="M284"/>
    </row>
    <row r="285" spans="13:13" x14ac:dyDescent="0.15">
      <c r="M285"/>
    </row>
    <row r="286" spans="13:13" x14ac:dyDescent="0.15">
      <c r="M286"/>
    </row>
    <row r="287" spans="13:13" x14ac:dyDescent="0.15">
      <c r="M287"/>
    </row>
    <row r="288" spans="13:13" x14ac:dyDescent="0.15">
      <c r="M288"/>
    </row>
    <row r="289" spans="13:13" x14ac:dyDescent="0.15">
      <c r="M289"/>
    </row>
    <row r="290" spans="13:13" x14ac:dyDescent="0.15">
      <c r="M290"/>
    </row>
    <row r="291" spans="13:13" x14ac:dyDescent="0.15">
      <c r="M291"/>
    </row>
    <row r="292" spans="13:13" x14ac:dyDescent="0.15">
      <c r="M292"/>
    </row>
    <row r="293" spans="13:13" x14ac:dyDescent="0.15">
      <c r="M293"/>
    </row>
    <row r="294" spans="13:13" x14ac:dyDescent="0.15">
      <c r="M294"/>
    </row>
    <row r="295" spans="13:13" x14ac:dyDescent="0.15">
      <c r="M295"/>
    </row>
    <row r="296" spans="13:13" x14ac:dyDescent="0.15">
      <c r="M296"/>
    </row>
    <row r="297" spans="13:13" x14ac:dyDescent="0.15">
      <c r="M297"/>
    </row>
    <row r="298" spans="13:13" x14ac:dyDescent="0.15">
      <c r="M298"/>
    </row>
    <row r="299" spans="13:13" x14ac:dyDescent="0.15">
      <c r="M299"/>
    </row>
    <row r="300" spans="13:13" x14ac:dyDescent="0.15">
      <c r="M300"/>
    </row>
    <row r="301" spans="13:13" x14ac:dyDescent="0.15">
      <c r="M301"/>
    </row>
    <row r="302" spans="13:13" x14ac:dyDescent="0.15">
      <c r="M302"/>
    </row>
    <row r="303" spans="13:13" x14ac:dyDescent="0.15">
      <c r="M303"/>
    </row>
    <row r="304" spans="13:13" x14ac:dyDescent="0.15">
      <c r="M304"/>
    </row>
    <row r="305" spans="13:13" x14ac:dyDescent="0.15">
      <c r="M305"/>
    </row>
    <row r="306" spans="13:13" x14ac:dyDescent="0.15">
      <c r="M306"/>
    </row>
    <row r="307" spans="13:13" x14ac:dyDescent="0.15">
      <c r="M307"/>
    </row>
    <row r="308" spans="13:13" x14ac:dyDescent="0.15">
      <c r="M308"/>
    </row>
    <row r="309" spans="13:13" x14ac:dyDescent="0.15">
      <c r="M309"/>
    </row>
    <row r="310" spans="13:13" x14ac:dyDescent="0.15">
      <c r="M310"/>
    </row>
    <row r="311" spans="13:13" x14ac:dyDescent="0.15">
      <c r="M311"/>
    </row>
    <row r="312" spans="13:13" x14ac:dyDescent="0.15">
      <c r="M312"/>
    </row>
    <row r="313" spans="13:13" x14ac:dyDescent="0.15">
      <c r="M313"/>
    </row>
    <row r="314" spans="13:13" x14ac:dyDescent="0.15">
      <c r="M314"/>
    </row>
    <row r="315" spans="13:13" x14ac:dyDescent="0.15">
      <c r="M315"/>
    </row>
    <row r="316" spans="13:13" x14ac:dyDescent="0.15">
      <c r="M316"/>
    </row>
    <row r="317" spans="13:13" x14ac:dyDescent="0.15">
      <c r="M317"/>
    </row>
    <row r="318" spans="13:13" x14ac:dyDescent="0.15">
      <c r="M318"/>
    </row>
    <row r="319" spans="13:13" x14ac:dyDescent="0.15">
      <c r="M319"/>
    </row>
    <row r="320" spans="13:13" x14ac:dyDescent="0.15">
      <c r="M320"/>
    </row>
    <row r="321" spans="13:13" x14ac:dyDescent="0.15">
      <c r="M321"/>
    </row>
    <row r="322" spans="13:13" x14ac:dyDescent="0.15">
      <c r="M322"/>
    </row>
    <row r="323" spans="13:13" x14ac:dyDescent="0.15">
      <c r="M323"/>
    </row>
    <row r="324" spans="13:13" x14ac:dyDescent="0.15">
      <c r="M324"/>
    </row>
    <row r="325" spans="13:13" x14ac:dyDescent="0.15">
      <c r="M325"/>
    </row>
    <row r="326" spans="13:13" x14ac:dyDescent="0.15">
      <c r="M326"/>
    </row>
    <row r="327" spans="13:13" x14ac:dyDescent="0.15">
      <c r="M327"/>
    </row>
    <row r="328" spans="13:13" x14ac:dyDescent="0.15">
      <c r="M328"/>
    </row>
    <row r="329" spans="13:13" x14ac:dyDescent="0.15">
      <c r="M329"/>
    </row>
    <row r="330" spans="13:13" x14ac:dyDescent="0.15">
      <c r="M330"/>
    </row>
    <row r="331" spans="13:13" x14ac:dyDescent="0.15">
      <c r="M331"/>
    </row>
    <row r="332" spans="13:13" x14ac:dyDescent="0.15">
      <c r="M332"/>
    </row>
    <row r="333" spans="13:13" x14ac:dyDescent="0.15">
      <c r="M333"/>
    </row>
    <row r="334" spans="13:13" x14ac:dyDescent="0.15">
      <c r="M334"/>
    </row>
    <row r="335" spans="13:13" x14ac:dyDescent="0.15">
      <c r="M335"/>
    </row>
    <row r="336" spans="13:13" x14ac:dyDescent="0.15">
      <c r="M336"/>
    </row>
    <row r="337" spans="13:13" x14ac:dyDescent="0.15">
      <c r="M337"/>
    </row>
    <row r="338" spans="13:13" x14ac:dyDescent="0.15">
      <c r="M338"/>
    </row>
    <row r="339" spans="13:13" x14ac:dyDescent="0.15">
      <c r="M339"/>
    </row>
    <row r="340" spans="13:13" x14ac:dyDescent="0.15">
      <c r="M340"/>
    </row>
    <row r="341" spans="13:13" x14ac:dyDescent="0.15">
      <c r="M341"/>
    </row>
    <row r="342" spans="13:13" x14ac:dyDescent="0.15">
      <c r="M342"/>
    </row>
    <row r="343" spans="13:13" x14ac:dyDescent="0.15">
      <c r="M343"/>
    </row>
    <row r="344" spans="13:13" x14ac:dyDescent="0.15">
      <c r="M344"/>
    </row>
    <row r="345" spans="13:13" x14ac:dyDescent="0.15">
      <c r="M345"/>
    </row>
    <row r="346" spans="13:13" x14ac:dyDescent="0.15">
      <c r="M346"/>
    </row>
    <row r="347" spans="13:13" x14ac:dyDescent="0.15">
      <c r="M347"/>
    </row>
    <row r="348" spans="13:13" x14ac:dyDescent="0.15">
      <c r="M348"/>
    </row>
    <row r="349" spans="13:13" x14ac:dyDescent="0.15">
      <c r="M349"/>
    </row>
    <row r="350" spans="13:13" x14ac:dyDescent="0.15">
      <c r="M350"/>
    </row>
    <row r="351" spans="13:13" x14ac:dyDescent="0.15">
      <c r="M351"/>
    </row>
    <row r="352" spans="13:13" x14ac:dyDescent="0.15">
      <c r="M352"/>
    </row>
    <row r="353" spans="13:13" x14ac:dyDescent="0.15">
      <c r="M353"/>
    </row>
    <row r="354" spans="13:13" x14ac:dyDescent="0.15">
      <c r="M354"/>
    </row>
    <row r="355" spans="13:13" x14ac:dyDescent="0.15">
      <c r="M355"/>
    </row>
    <row r="356" spans="13:13" x14ac:dyDescent="0.15">
      <c r="M356"/>
    </row>
    <row r="357" spans="13:13" x14ac:dyDescent="0.15">
      <c r="M357"/>
    </row>
    <row r="358" spans="13:13" x14ac:dyDescent="0.15">
      <c r="M358"/>
    </row>
    <row r="359" spans="13:13" x14ac:dyDescent="0.15">
      <c r="M359"/>
    </row>
    <row r="360" spans="13:13" x14ac:dyDescent="0.15">
      <c r="M360"/>
    </row>
    <row r="361" spans="13:13" x14ac:dyDescent="0.15">
      <c r="M361"/>
    </row>
    <row r="362" spans="13:13" x14ac:dyDescent="0.15">
      <c r="M362"/>
    </row>
    <row r="363" spans="13:13" x14ac:dyDescent="0.15">
      <c r="M363"/>
    </row>
    <row r="364" spans="13:13" x14ac:dyDescent="0.15">
      <c r="M364"/>
    </row>
    <row r="365" spans="13:13" x14ac:dyDescent="0.15">
      <c r="M365"/>
    </row>
    <row r="366" spans="13:13" x14ac:dyDescent="0.15">
      <c r="M366"/>
    </row>
    <row r="367" spans="13:13" x14ac:dyDescent="0.15">
      <c r="M367"/>
    </row>
    <row r="368" spans="13:13" x14ac:dyDescent="0.15">
      <c r="M368"/>
    </row>
    <row r="369" spans="13:13" x14ac:dyDescent="0.15">
      <c r="M369"/>
    </row>
    <row r="370" spans="13:13" x14ac:dyDescent="0.15">
      <c r="M370"/>
    </row>
    <row r="371" spans="13:13" x14ac:dyDescent="0.15">
      <c r="M371"/>
    </row>
    <row r="372" spans="13:13" x14ac:dyDescent="0.15">
      <c r="M372"/>
    </row>
    <row r="373" spans="13:13" x14ac:dyDescent="0.15">
      <c r="M373"/>
    </row>
    <row r="374" spans="13:13" x14ac:dyDescent="0.15">
      <c r="M374"/>
    </row>
    <row r="375" spans="13:13" x14ac:dyDescent="0.15">
      <c r="M375"/>
    </row>
    <row r="376" spans="13:13" x14ac:dyDescent="0.15">
      <c r="M376"/>
    </row>
    <row r="377" spans="13:13" x14ac:dyDescent="0.15">
      <c r="M377"/>
    </row>
    <row r="378" spans="13:13" x14ac:dyDescent="0.15">
      <c r="M378"/>
    </row>
    <row r="379" spans="13:13" x14ac:dyDescent="0.15">
      <c r="M379"/>
    </row>
    <row r="380" spans="13:13" x14ac:dyDescent="0.15">
      <c r="M380"/>
    </row>
    <row r="381" spans="13:13" x14ac:dyDescent="0.15">
      <c r="M381"/>
    </row>
    <row r="382" spans="13:13" x14ac:dyDescent="0.15">
      <c r="M382"/>
    </row>
    <row r="383" spans="13:13" x14ac:dyDescent="0.15">
      <c r="M383"/>
    </row>
    <row r="384" spans="13:13" x14ac:dyDescent="0.15">
      <c r="M384"/>
    </row>
    <row r="385" spans="13:13" x14ac:dyDescent="0.15">
      <c r="M385"/>
    </row>
    <row r="386" spans="13:13" x14ac:dyDescent="0.15">
      <c r="M386"/>
    </row>
    <row r="387" spans="13:13" x14ac:dyDescent="0.15">
      <c r="M387"/>
    </row>
    <row r="388" spans="13:13" x14ac:dyDescent="0.15">
      <c r="M388"/>
    </row>
    <row r="389" spans="13:13" x14ac:dyDescent="0.15">
      <c r="M389"/>
    </row>
    <row r="390" spans="13:13" x14ac:dyDescent="0.15">
      <c r="M390"/>
    </row>
    <row r="391" spans="13:13" x14ac:dyDescent="0.15">
      <c r="M391"/>
    </row>
    <row r="392" spans="13:13" x14ac:dyDescent="0.15">
      <c r="M392"/>
    </row>
    <row r="393" spans="13:13" x14ac:dyDescent="0.15">
      <c r="M393"/>
    </row>
    <row r="394" spans="13:13" x14ac:dyDescent="0.15">
      <c r="M394"/>
    </row>
    <row r="395" spans="13:13" x14ac:dyDescent="0.15">
      <c r="M395"/>
    </row>
    <row r="396" spans="13:13" x14ac:dyDescent="0.15">
      <c r="M396"/>
    </row>
    <row r="397" spans="13:13" x14ac:dyDescent="0.15">
      <c r="M397"/>
    </row>
    <row r="398" spans="13:13" x14ac:dyDescent="0.15">
      <c r="M398"/>
    </row>
    <row r="399" spans="13:13" x14ac:dyDescent="0.15">
      <c r="M399"/>
    </row>
    <row r="400" spans="13:13" x14ac:dyDescent="0.15">
      <c r="M400"/>
    </row>
    <row r="401" spans="13:13" x14ac:dyDescent="0.15">
      <c r="M401"/>
    </row>
    <row r="402" spans="13:13" x14ac:dyDescent="0.15">
      <c r="M402"/>
    </row>
    <row r="403" spans="13:13" x14ac:dyDescent="0.15">
      <c r="M403"/>
    </row>
    <row r="404" spans="13:13" x14ac:dyDescent="0.15">
      <c r="M404"/>
    </row>
    <row r="405" spans="13:13" x14ac:dyDescent="0.15">
      <c r="M405"/>
    </row>
    <row r="406" spans="13:13" x14ac:dyDescent="0.15">
      <c r="M406"/>
    </row>
    <row r="407" spans="13:13" x14ac:dyDescent="0.15">
      <c r="M407"/>
    </row>
    <row r="408" spans="13:13" x14ac:dyDescent="0.15">
      <c r="M408"/>
    </row>
    <row r="409" spans="13:13" x14ac:dyDescent="0.15">
      <c r="M409"/>
    </row>
    <row r="410" spans="13:13" x14ac:dyDescent="0.15">
      <c r="M410"/>
    </row>
    <row r="411" spans="13:13" x14ac:dyDescent="0.15">
      <c r="M411"/>
    </row>
    <row r="412" spans="13:13" x14ac:dyDescent="0.15">
      <c r="M412"/>
    </row>
    <row r="413" spans="13:13" x14ac:dyDescent="0.15">
      <c r="M413"/>
    </row>
    <row r="414" spans="13:13" x14ac:dyDescent="0.15">
      <c r="M414"/>
    </row>
    <row r="415" spans="13:13" x14ac:dyDescent="0.15">
      <c r="M415"/>
    </row>
    <row r="416" spans="13:13" x14ac:dyDescent="0.15">
      <c r="M416"/>
    </row>
    <row r="417" spans="13:13" x14ac:dyDescent="0.15">
      <c r="M417"/>
    </row>
    <row r="418" spans="13:13" x14ac:dyDescent="0.15">
      <c r="M418"/>
    </row>
    <row r="419" spans="13:13" x14ac:dyDescent="0.15">
      <c r="M419"/>
    </row>
    <row r="420" spans="13:13" x14ac:dyDescent="0.15">
      <c r="M420"/>
    </row>
    <row r="421" spans="13:13" x14ac:dyDescent="0.15">
      <c r="M421"/>
    </row>
    <row r="422" spans="13:13" x14ac:dyDescent="0.15">
      <c r="M422"/>
    </row>
    <row r="423" spans="13:13" x14ac:dyDescent="0.15">
      <c r="M423"/>
    </row>
    <row r="424" spans="13:13" x14ac:dyDescent="0.15">
      <c r="M424"/>
    </row>
    <row r="425" spans="13:13" x14ac:dyDescent="0.15">
      <c r="M425"/>
    </row>
    <row r="426" spans="13:13" x14ac:dyDescent="0.15">
      <c r="M426"/>
    </row>
    <row r="427" spans="13:13" x14ac:dyDescent="0.15">
      <c r="M427"/>
    </row>
    <row r="428" spans="13:13" x14ac:dyDescent="0.15">
      <c r="M428"/>
    </row>
    <row r="429" spans="13:13" x14ac:dyDescent="0.15">
      <c r="M429"/>
    </row>
    <row r="430" spans="13:13" x14ac:dyDescent="0.15">
      <c r="M430"/>
    </row>
    <row r="431" spans="13:13" x14ac:dyDescent="0.15">
      <c r="M431"/>
    </row>
    <row r="432" spans="13:13" x14ac:dyDescent="0.15">
      <c r="M432"/>
    </row>
    <row r="433" spans="13:13" x14ac:dyDescent="0.15">
      <c r="M433"/>
    </row>
    <row r="434" spans="13:13" x14ac:dyDescent="0.15">
      <c r="M434"/>
    </row>
    <row r="435" spans="13:13" x14ac:dyDescent="0.15">
      <c r="M435"/>
    </row>
    <row r="436" spans="13:13" x14ac:dyDescent="0.15">
      <c r="M436"/>
    </row>
    <row r="437" spans="13:13" x14ac:dyDescent="0.15">
      <c r="M437"/>
    </row>
    <row r="438" spans="13:13" x14ac:dyDescent="0.15">
      <c r="M438"/>
    </row>
    <row r="439" spans="13:13" x14ac:dyDescent="0.15">
      <c r="M439"/>
    </row>
    <row r="440" spans="13:13" x14ac:dyDescent="0.15">
      <c r="M440"/>
    </row>
    <row r="441" spans="13:13" x14ac:dyDescent="0.15">
      <c r="M441"/>
    </row>
    <row r="442" spans="13:13" x14ac:dyDescent="0.15">
      <c r="M442"/>
    </row>
    <row r="443" spans="13:13" x14ac:dyDescent="0.15">
      <c r="M443"/>
    </row>
    <row r="444" spans="13:13" x14ac:dyDescent="0.15">
      <c r="M444"/>
    </row>
    <row r="445" spans="13:13" x14ac:dyDescent="0.15">
      <c r="M445"/>
    </row>
    <row r="446" spans="13:13" x14ac:dyDescent="0.15">
      <c r="M446"/>
    </row>
    <row r="447" spans="13:13" x14ac:dyDescent="0.15">
      <c r="M447"/>
    </row>
    <row r="448" spans="13:13" x14ac:dyDescent="0.15">
      <c r="M448"/>
    </row>
    <row r="449" spans="13:13" x14ac:dyDescent="0.15">
      <c r="M449"/>
    </row>
    <row r="450" spans="13:13" x14ac:dyDescent="0.15">
      <c r="M450"/>
    </row>
    <row r="451" spans="13:13" x14ac:dyDescent="0.15">
      <c r="M451"/>
    </row>
    <row r="452" spans="13:13" x14ac:dyDescent="0.15">
      <c r="M452"/>
    </row>
    <row r="453" spans="13:13" x14ac:dyDescent="0.15">
      <c r="M453"/>
    </row>
    <row r="454" spans="13:13" x14ac:dyDescent="0.15">
      <c r="M454"/>
    </row>
    <row r="455" spans="13:13" x14ac:dyDescent="0.15">
      <c r="M455"/>
    </row>
    <row r="456" spans="13:13" x14ac:dyDescent="0.15">
      <c r="M456"/>
    </row>
    <row r="457" spans="13:13" x14ac:dyDescent="0.15">
      <c r="M457"/>
    </row>
    <row r="458" spans="13:13" x14ac:dyDescent="0.15">
      <c r="M458"/>
    </row>
    <row r="459" spans="13:13" x14ac:dyDescent="0.15">
      <c r="M459"/>
    </row>
    <row r="460" spans="13:13" x14ac:dyDescent="0.15">
      <c r="M460"/>
    </row>
    <row r="461" spans="13:13" x14ac:dyDescent="0.15">
      <c r="M461"/>
    </row>
    <row r="462" spans="13:13" x14ac:dyDescent="0.15">
      <c r="M462"/>
    </row>
    <row r="463" spans="13:13" x14ac:dyDescent="0.15">
      <c r="M463"/>
    </row>
  </sheetData>
  <mergeCells count="11">
    <mergeCell ref="B174:E174"/>
    <mergeCell ref="I174:L174"/>
    <mergeCell ref="I131:L131"/>
    <mergeCell ref="B131:E131"/>
    <mergeCell ref="P2:S2"/>
    <mergeCell ref="B88:E88"/>
    <mergeCell ref="I88:L88"/>
    <mergeCell ref="B45:E45"/>
    <mergeCell ref="I45:L45"/>
    <mergeCell ref="B2:E2"/>
    <mergeCell ref="I2:L2"/>
  </mergeCells>
  <phoneticPr fontId="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BD4A-11F5-48F0-9AB3-09F266FCB991}">
  <dimension ref="A1:AH463"/>
  <sheetViews>
    <sheetView tabSelected="1" topLeftCell="A139" workbookViewId="0">
      <selection activeCell="A147" sqref="A147"/>
    </sheetView>
  </sheetViews>
  <sheetFormatPr defaultRowHeight="13.5" x14ac:dyDescent="0.15"/>
  <cols>
    <col min="1" max="1" width="24.125" customWidth="1"/>
    <col min="2" max="5" width="8.75" customWidth="1"/>
    <col min="6" max="6" width="9.25" bestFit="1" customWidth="1"/>
    <col min="7" max="7" width="5.625" customWidth="1"/>
    <col min="8" max="8" width="40.375" customWidth="1"/>
    <col min="9" max="12" width="8.75" customWidth="1"/>
    <col min="13" max="13" width="16" style="70" customWidth="1"/>
    <col min="14" max="14" width="15.375" customWidth="1"/>
    <col min="15" max="15" width="30.625" customWidth="1"/>
    <col min="16" max="24" width="7.5" customWidth="1"/>
  </cols>
  <sheetData>
    <row r="1" spans="1:34" ht="19.5" thickBot="1" x14ac:dyDescent="0.25">
      <c r="A1" s="81" t="s">
        <v>23</v>
      </c>
      <c r="B1" s="82"/>
      <c r="C1" s="82"/>
      <c r="D1" s="82"/>
      <c r="E1" s="82"/>
      <c r="H1" s="106" t="s">
        <v>25</v>
      </c>
      <c r="I1" s="107"/>
      <c r="J1" s="107"/>
      <c r="K1" s="106">
        <v>600</v>
      </c>
      <c r="L1" s="107"/>
      <c r="O1" s="85" t="s">
        <v>28</v>
      </c>
      <c r="P1" s="86"/>
      <c r="Q1" s="86"/>
      <c r="R1" s="85">
        <v>600</v>
      </c>
      <c r="S1" s="86"/>
    </row>
    <row r="2" spans="1:34" ht="14.25" thickBot="1" x14ac:dyDescent="0.2">
      <c r="A2" s="4"/>
      <c r="B2" s="147" t="s">
        <v>24</v>
      </c>
      <c r="C2" s="148"/>
      <c r="D2" s="148"/>
      <c r="E2" s="149"/>
      <c r="H2" s="4"/>
      <c r="I2" s="147" t="s">
        <v>24</v>
      </c>
      <c r="J2" s="148"/>
      <c r="K2" s="148"/>
      <c r="L2" s="149"/>
      <c r="O2" s="4"/>
      <c r="P2" s="147" t="s">
        <v>24</v>
      </c>
      <c r="Q2" s="148"/>
      <c r="R2" s="148"/>
      <c r="S2" s="149"/>
    </row>
    <row r="3" spans="1:34" ht="14.25" thickBot="1" x14ac:dyDescent="0.2">
      <c r="A3" s="4" t="s">
        <v>1</v>
      </c>
      <c r="B3" s="1" t="s">
        <v>2</v>
      </c>
      <c r="C3" s="2" t="s">
        <v>3</v>
      </c>
      <c r="D3" s="3" t="s">
        <v>4</v>
      </c>
      <c r="E3" s="4" t="s">
        <v>5</v>
      </c>
      <c r="H3" s="4" t="s">
        <v>1</v>
      </c>
      <c r="I3" s="1" t="s">
        <v>2</v>
      </c>
      <c r="J3" s="2" t="s">
        <v>3</v>
      </c>
      <c r="K3" s="3" t="s">
        <v>4</v>
      </c>
      <c r="L3" s="4" t="s">
        <v>5</v>
      </c>
      <c r="O3" s="4" t="s">
        <v>1</v>
      </c>
      <c r="P3" s="1" t="s">
        <v>2</v>
      </c>
      <c r="Q3" s="2" t="s">
        <v>3</v>
      </c>
      <c r="R3" s="3" t="s">
        <v>4</v>
      </c>
      <c r="S3" s="4" t="s">
        <v>5</v>
      </c>
    </row>
    <row r="4" spans="1:34" ht="14.25" thickBot="1" x14ac:dyDescent="0.2">
      <c r="A4" s="37" t="s">
        <v>6</v>
      </c>
      <c r="B4" s="26">
        <v>5</v>
      </c>
      <c r="C4" s="27">
        <v>5</v>
      </c>
      <c r="D4" s="34">
        <v>5</v>
      </c>
      <c r="E4" s="41">
        <f>SUM(B4:D4)</f>
        <v>15</v>
      </c>
      <c r="F4" s="35">
        <v>45755</v>
      </c>
      <c r="G4" s="39"/>
      <c r="H4" s="37" t="s">
        <v>22</v>
      </c>
      <c r="I4" s="76"/>
      <c r="J4" s="77"/>
      <c r="K4" s="78"/>
      <c r="L4" s="48">
        <f>SUM(I4:K4)</f>
        <v>0</v>
      </c>
      <c r="M4" s="71"/>
      <c r="O4" s="37" t="s">
        <v>22</v>
      </c>
      <c r="P4" s="76"/>
      <c r="Q4" s="77"/>
      <c r="R4" s="78"/>
      <c r="S4" s="48">
        <f>SUM(P4:R4)</f>
        <v>0</v>
      </c>
    </row>
    <row r="5" spans="1:34" x14ac:dyDescent="0.15">
      <c r="A5" s="15" t="s">
        <v>7</v>
      </c>
      <c r="B5" s="26"/>
      <c r="C5" s="27"/>
      <c r="D5" s="38"/>
      <c r="E5" s="42">
        <f>SUM(B5:D5)</f>
        <v>0</v>
      </c>
      <c r="F5" s="35"/>
      <c r="G5" s="39"/>
      <c r="H5" s="15" t="s">
        <v>7</v>
      </c>
      <c r="I5" s="74"/>
      <c r="J5" s="69"/>
      <c r="K5" s="75"/>
      <c r="L5" s="43">
        <f t="shared" ref="L5:L8" si="0">SUM(I5:K5)</f>
        <v>0</v>
      </c>
      <c r="M5" s="71"/>
      <c r="O5" s="15" t="s">
        <v>7</v>
      </c>
      <c r="P5" s="74"/>
      <c r="Q5" s="69"/>
      <c r="R5" s="75"/>
      <c r="S5" s="43">
        <f t="shared" ref="S5:S8" si="1">SUM(P5:R5)</f>
        <v>0</v>
      </c>
    </row>
    <row r="6" spans="1:34" x14ac:dyDescent="0.15">
      <c r="A6" s="15" t="s">
        <v>8</v>
      </c>
      <c r="B6" s="5"/>
      <c r="C6" s="6"/>
      <c r="D6" s="11"/>
      <c r="E6" s="43">
        <f t="shared" ref="E6:E12" si="2">SUM(B6:D6)</f>
        <v>0</v>
      </c>
      <c r="F6" s="35"/>
      <c r="H6" s="15" t="s">
        <v>8</v>
      </c>
      <c r="I6" s="60">
        <v>350</v>
      </c>
      <c r="J6" s="61">
        <v>400</v>
      </c>
      <c r="K6" s="62">
        <v>250</v>
      </c>
      <c r="L6" s="44">
        <f t="shared" si="0"/>
        <v>1000</v>
      </c>
      <c r="M6" s="71" t="s">
        <v>42</v>
      </c>
      <c r="O6" s="15" t="s">
        <v>30</v>
      </c>
      <c r="P6" s="60">
        <v>400</v>
      </c>
      <c r="Q6" s="61">
        <v>400</v>
      </c>
      <c r="R6" s="62">
        <v>200</v>
      </c>
      <c r="S6" s="44">
        <f t="shared" si="1"/>
        <v>1000</v>
      </c>
      <c r="T6" s="35" t="s">
        <v>44</v>
      </c>
    </row>
    <row r="7" spans="1:34" x14ac:dyDescent="0.15">
      <c r="A7" s="15" t="s">
        <v>9</v>
      </c>
      <c r="B7" s="5"/>
      <c r="C7" s="6"/>
      <c r="D7" s="7"/>
      <c r="E7" s="43">
        <f t="shared" si="2"/>
        <v>0</v>
      </c>
      <c r="F7" s="35"/>
      <c r="H7" s="15" t="s">
        <v>40</v>
      </c>
      <c r="I7" s="60">
        <v>-55</v>
      </c>
      <c r="J7" s="61">
        <v>26</v>
      </c>
      <c r="K7" s="62">
        <v>-5</v>
      </c>
      <c r="L7" s="44">
        <f t="shared" si="0"/>
        <v>-34</v>
      </c>
      <c r="M7" s="71" t="s">
        <v>36</v>
      </c>
      <c r="O7" s="94" t="s">
        <v>9</v>
      </c>
      <c r="P7" s="95">
        <v>1</v>
      </c>
      <c r="Q7" s="96">
        <v>2</v>
      </c>
      <c r="R7" s="97">
        <v>3</v>
      </c>
      <c r="S7" s="98">
        <f t="shared" si="1"/>
        <v>6</v>
      </c>
      <c r="T7" s="39" t="s">
        <v>36</v>
      </c>
      <c r="Z7" s="39"/>
    </row>
    <row r="8" spans="1:34" x14ac:dyDescent="0.15">
      <c r="A8" s="15" t="s">
        <v>10</v>
      </c>
      <c r="B8" s="5"/>
      <c r="C8" s="6"/>
      <c r="D8" s="30"/>
      <c r="E8" s="44">
        <f t="shared" si="2"/>
        <v>0</v>
      </c>
      <c r="F8" s="35"/>
      <c r="G8" s="39"/>
      <c r="H8" s="15" t="s">
        <v>10</v>
      </c>
      <c r="I8" s="60"/>
      <c r="J8" s="61"/>
      <c r="K8" s="62"/>
      <c r="L8" s="44">
        <f t="shared" si="0"/>
        <v>0</v>
      </c>
      <c r="M8" s="71"/>
      <c r="O8" s="15" t="s">
        <v>10</v>
      </c>
      <c r="P8" s="60"/>
      <c r="Q8" s="61"/>
      <c r="R8" s="62"/>
      <c r="S8" s="44">
        <f t="shared" si="1"/>
        <v>0</v>
      </c>
      <c r="T8" t="s">
        <v>38</v>
      </c>
      <c r="Z8" s="40"/>
      <c r="AA8" s="40"/>
      <c r="AB8" s="40"/>
      <c r="AC8" s="40"/>
      <c r="AD8" s="40"/>
      <c r="AE8" s="40"/>
      <c r="AF8" s="40"/>
      <c r="AG8" s="40"/>
      <c r="AH8" s="40"/>
    </row>
    <row r="9" spans="1:34" x14ac:dyDescent="0.15">
      <c r="A9" s="15" t="s">
        <v>11</v>
      </c>
      <c r="B9" s="5"/>
      <c r="C9" s="6"/>
      <c r="D9" s="30"/>
      <c r="E9" s="44">
        <f t="shared" si="2"/>
        <v>0</v>
      </c>
      <c r="F9" s="35"/>
      <c r="H9" s="15" t="s">
        <v>11</v>
      </c>
      <c r="I9" s="60"/>
      <c r="J9" s="61"/>
      <c r="K9" s="62"/>
      <c r="L9" s="44">
        <f>SUM(I9:K9)</f>
        <v>0</v>
      </c>
      <c r="M9" s="71"/>
      <c r="O9" s="15" t="s">
        <v>11</v>
      </c>
      <c r="P9" s="60"/>
      <c r="Q9" s="61"/>
      <c r="R9" s="62"/>
      <c r="S9" s="44">
        <f>SUM(P9:R9)</f>
        <v>0</v>
      </c>
    </row>
    <row r="10" spans="1:34" x14ac:dyDescent="0.15">
      <c r="A10" s="15" t="s">
        <v>12</v>
      </c>
      <c r="B10" s="5"/>
      <c r="C10" s="6"/>
      <c r="D10" s="30"/>
      <c r="E10" s="44">
        <f t="shared" si="2"/>
        <v>0</v>
      </c>
      <c r="F10" s="35"/>
      <c r="H10" s="15" t="s">
        <v>12</v>
      </c>
      <c r="I10" s="60"/>
      <c r="J10" s="61"/>
      <c r="K10" s="62"/>
      <c r="L10" s="44">
        <f t="shared" ref="L10:L12" si="3">SUM(I10:K10)</f>
        <v>0</v>
      </c>
      <c r="M10" s="71"/>
      <c r="O10" s="15" t="s">
        <v>12</v>
      </c>
      <c r="P10" s="60"/>
      <c r="Q10" s="61"/>
      <c r="R10" s="62"/>
      <c r="S10" s="44">
        <f t="shared" ref="S10:S12" si="4">SUM(P10:R10)</f>
        <v>0</v>
      </c>
    </row>
    <row r="11" spans="1:34" x14ac:dyDescent="0.15">
      <c r="A11" s="15" t="s">
        <v>13</v>
      </c>
      <c r="B11" s="8"/>
      <c r="C11" s="9"/>
      <c r="D11" s="31"/>
      <c r="E11" s="44">
        <f t="shared" si="2"/>
        <v>0</v>
      </c>
      <c r="F11" s="35"/>
      <c r="H11" s="15" t="s">
        <v>13</v>
      </c>
      <c r="I11" s="63"/>
      <c r="J11" s="64"/>
      <c r="K11" s="65"/>
      <c r="L11" s="44">
        <f t="shared" si="3"/>
        <v>0</v>
      </c>
      <c r="O11" s="15" t="s">
        <v>13</v>
      </c>
      <c r="P11" s="63"/>
      <c r="Q11" s="64"/>
      <c r="R11" s="65"/>
      <c r="S11" s="44">
        <f t="shared" si="4"/>
        <v>0</v>
      </c>
    </row>
    <row r="12" spans="1:34" ht="14.25" thickBot="1" x14ac:dyDescent="0.2">
      <c r="A12" s="15" t="s">
        <v>14</v>
      </c>
      <c r="B12" s="21"/>
      <c r="C12" s="22"/>
      <c r="D12" s="32"/>
      <c r="E12" s="45">
        <f t="shared" si="2"/>
        <v>0</v>
      </c>
      <c r="F12" s="35"/>
      <c r="H12" s="15" t="s">
        <v>14</v>
      </c>
      <c r="I12" s="66"/>
      <c r="J12" s="67"/>
      <c r="K12" s="68"/>
      <c r="L12" s="45">
        <f t="shared" si="3"/>
        <v>0</v>
      </c>
      <c r="O12" s="15" t="s">
        <v>14</v>
      </c>
      <c r="P12" s="66"/>
      <c r="Q12" s="67"/>
      <c r="R12" s="68"/>
      <c r="S12" s="45">
        <f t="shared" si="4"/>
        <v>0</v>
      </c>
    </row>
    <row r="13" spans="1:34" ht="14.25" thickBot="1" x14ac:dyDescent="0.2">
      <c r="A13" s="23" t="s">
        <v>15</v>
      </c>
      <c r="B13" s="18">
        <f>SUM(B4:B12)</f>
        <v>5</v>
      </c>
      <c r="C13" s="19">
        <f>SUM(C4:C12)</f>
        <v>5</v>
      </c>
      <c r="D13" s="20">
        <f>SUM(D4:D12)</f>
        <v>5</v>
      </c>
      <c r="E13" s="46">
        <f>SUM(B13:D13)</f>
        <v>15</v>
      </c>
      <c r="H13" s="23" t="s">
        <v>15</v>
      </c>
      <c r="I13" s="18">
        <f>SUM(I4:I12)</f>
        <v>295</v>
      </c>
      <c r="J13" s="19">
        <f>SUM(J4:J12)</f>
        <v>426</v>
      </c>
      <c r="K13" s="20">
        <f>SUM(K4:K12)</f>
        <v>245</v>
      </c>
      <c r="L13" s="46">
        <f>SUM(I13:K13)</f>
        <v>966</v>
      </c>
      <c r="O13" s="23" t="s">
        <v>15</v>
      </c>
      <c r="P13" s="18">
        <f>SUM(P4:P12)</f>
        <v>401</v>
      </c>
      <c r="Q13" s="19">
        <f>SUM(Q4:Q12)</f>
        <v>402</v>
      </c>
      <c r="R13" s="20">
        <f>SUM(R4:R12)</f>
        <v>203</v>
      </c>
      <c r="S13" s="46">
        <f>SUM(P13:R13)</f>
        <v>1006</v>
      </c>
    </row>
    <row r="14" spans="1:34" x14ac:dyDescent="0.15">
      <c r="A14" s="13" t="s">
        <v>45</v>
      </c>
      <c r="B14" s="8"/>
      <c r="C14" s="9"/>
      <c r="D14" s="10">
        <v>1</v>
      </c>
      <c r="E14" s="43">
        <f>SUM(B14:D14)</f>
        <v>1</v>
      </c>
      <c r="F14" s="35">
        <v>45757</v>
      </c>
      <c r="H14" s="16" t="s">
        <v>41</v>
      </c>
      <c r="I14" s="8">
        <v>5</v>
      </c>
      <c r="J14" s="9">
        <v>5</v>
      </c>
      <c r="K14" s="10">
        <v>5</v>
      </c>
      <c r="L14" s="43">
        <f>SUM(I14:K14)</f>
        <v>15</v>
      </c>
      <c r="M14" s="71">
        <v>45755</v>
      </c>
      <c r="N14" s="39"/>
      <c r="O14" s="16" t="s">
        <v>26</v>
      </c>
      <c r="P14" s="8">
        <v>401</v>
      </c>
      <c r="Q14" s="9">
        <v>402</v>
      </c>
      <c r="R14" s="10">
        <v>203</v>
      </c>
      <c r="S14" s="44">
        <f t="shared" ref="S14" si="5">SUM(P14:R14)</f>
        <v>1006</v>
      </c>
      <c r="T14" s="35">
        <v>45757</v>
      </c>
      <c r="U14" s="39"/>
    </row>
    <row r="15" spans="1:34" x14ac:dyDescent="0.15">
      <c r="A15" s="13" t="s">
        <v>48</v>
      </c>
      <c r="B15" s="5">
        <v>1</v>
      </c>
      <c r="C15" s="6"/>
      <c r="D15" s="7"/>
      <c r="E15" s="43">
        <f t="shared" ref="E15:E40" si="6">SUM(B15:D15)</f>
        <v>1</v>
      </c>
      <c r="F15" s="35">
        <v>45796</v>
      </c>
      <c r="H15" s="16" t="s">
        <v>46</v>
      </c>
      <c r="I15" s="5">
        <v>10</v>
      </c>
      <c r="J15" s="6">
        <v>10</v>
      </c>
      <c r="K15" s="7">
        <v>10</v>
      </c>
      <c r="L15" s="43">
        <f t="shared" ref="L15:L39" si="7">SUM(I15:K15)</f>
        <v>30</v>
      </c>
      <c r="M15" s="71">
        <v>45799</v>
      </c>
      <c r="N15" s="39"/>
      <c r="O15" s="16"/>
      <c r="P15" s="5"/>
      <c r="Q15" s="6"/>
      <c r="R15" s="7"/>
      <c r="S15" s="43">
        <f t="shared" ref="S15:S23" si="8">SUM(P15:R15)</f>
        <v>0</v>
      </c>
    </row>
    <row r="16" spans="1:34" x14ac:dyDescent="0.15">
      <c r="A16" s="13" t="s">
        <v>48</v>
      </c>
      <c r="B16" s="5">
        <v>1</v>
      </c>
      <c r="C16" s="6"/>
      <c r="D16" s="7"/>
      <c r="E16" s="43">
        <f t="shared" si="6"/>
        <v>1</v>
      </c>
      <c r="F16" s="35">
        <v>45804</v>
      </c>
      <c r="H16" s="16" t="s">
        <v>51</v>
      </c>
      <c r="I16" s="5"/>
      <c r="J16" s="6">
        <v>20</v>
      </c>
      <c r="K16" s="7"/>
      <c r="L16" s="43">
        <f t="shared" si="7"/>
        <v>20</v>
      </c>
      <c r="M16" s="71">
        <v>45813</v>
      </c>
      <c r="N16" s="39"/>
      <c r="O16" s="16"/>
      <c r="P16" s="5"/>
      <c r="Q16" s="6"/>
      <c r="R16" s="7"/>
      <c r="S16" s="43">
        <f t="shared" si="8"/>
        <v>0</v>
      </c>
      <c r="Z16" s="39"/>
    </row>
    <row r="17" spans="1:26" x14ac:dyDescent="0.15">
      <c r="A17" s="13" t="s">
        <v>48</v>
      </c>
      <c r="B17" s="5"/>
      <c r="C17" s="6"/>
      <c r="D17" s="7">
        <v>1</v>
      </c>
      <c r="E17" s="43">
        <f t="shared" si="6"/>
        <v>1</v>
      </c>
      <c r="F17" s="35">
        <v>45815</v>
      </c>
      <c r="H17" s="16" t="s">
        <v>52</v>
      </c>
      <c r="I17" s="5">
        <v>11</v>
      </c>
      <c r="J17" s="6">
        <v>1</v>
      </c>
      <c r="K17" s="7">
        <v>4</v>
      </c>
      <c r="L17" s="43">
        <f t="shared" si="7"/>
        <v>16</v>
      </c>
      <c r="M17" s="71">
        <v>45819</v>
      </c>
      <c r="N17" s="39"/>
      <c r="O17" s="16"/>
      <c r="P17" s="5"/>
      <c r="Q17" s="6"/>
      <c r="R17" s="7"/>
      <c r="S17" s="43">
        <f t="shared" si="8"/>
        <v>0</v>
      </c>
      <c r="Z17" s="39"/>
    </row>
    <row r="18" spans="1:26" x14ac:dyDescent="0.15">
      <c r="A18" s="13" t="s">
        <v>48</v>
      </c>
      <c r="B18" s="5"/>
      <c r="C18" s="6">
        <v>1</v>
      </c>
      <c r="D18" s="7">
        <v>1</v>
      </c>
      <c r="E18" s="43">
        <f t="shared" si="6"/>
        <v>2</v>
      </c>
      <c r="F18" s="35">
        <v>45817</v>
      </c>
      <c r="H18" s="14"/>
      <c r="I18" s="5"/>
      <c r="J18" s="6"/>
      <c r="K18" s="7"/>
      <c r="L18" s="43">
        <f t="shared" si="7"/>
        <v>0</v>
      </c>
      <c r="M18" s="71"/>
      <c r="O18" s="14"/>
      <c r="P18" s="5"/>
      <c r="Q18" s="6"/>
      <c r="R18" s="7"/>
      <c r="S18" s="43">
        <f t="shared" si="8"/>
        <v>0</v>
      </c>
      <c r="Z18" s="39"/>
    </row>
    <row r="19" spans="1:26" x14ac:dyDescent="0.15">
      <c r="A19" s="13"/>
      <c r="B19" s="5"/>
      <c r="C19" s="6"/>
      <c r="D19" s="7"/>
      <c r="E19" s="43">
        <f t="shared" ref="E19" si="9">SUM(B19:D19)</f>
        <v>0</v>
      </c>
      <c r="F19" s="35"/>
      <c r="H19" s="16"/>
      <c r="I19" s="5"/>
      <c r="J19" s="6"/>
      <c r="K19" s="11"/>
      <c r="L19" s="43">
        <f t="shared" si="7"/>
        <v>0</v>
      </c>
      <c r="M19" s="71"/>
      <c r="N19" s="39"/>
      <c r="O19" s="16"/>
      <c r="P19" s="5"/>
      <c r="Q19" s="6"/>
      <c r="R19" s="11"/>
      <c r="S19" s="43">
        <f t="shared" si="8"/>
        <v>0</v>
      </c>
      <c r="Z19" s="39"/>
    </row>
    <row r="20" spans="1:26" x14ac:dyDescent="0.15">
      <c r="A20" s="13"/>
      <c r="B20" s="5"/>
      <c r="C20" s="6"/>
      <c r="D20" s="7"/>
      <c r="E20" s="43">
        <f t="shared" si="6"/>
        <v>0</v>
      </c>
      <c r="F20" s="35"/>
      <c r="H20" s="16"/>
      <c r="I20" s="5"/>
      <c r="J20" s="6"/>
      <c r="K20" s="7"/>
      <c r="L20" s="43">
        <f t="shared" si="7"/>
        <v>0</v>
      </c>
      <c r="M20" s="71"/>
      <c r="N20" s="39"/>
      <c r="O20" s="16"/>
      <c r="P20" s="5"/>
      <c r="Q20" s="6"/>
      <c r="R20" s="7"/>
      <c r="S20" s="43">
        <f t="shared" si="8"/>
        <v>0</v>
      </c>
      <c r="Z20" s="39"/>
    </row>
    <row r="21" spans="1:26" x14ac:dyDescent="0.15">
      <c r="A21" s="13"/>
      <c r="B21" s="5"/>
      <c r="C21" s="6"/>
      <c r="D21" s="7"/>
      <c r="E21" s="43">
        <f t="shared" si="6"/>
        <v>0</v>
      </c>
      <c r="F21" s="35"/>
      <c r="H21" s="16"/>
      <c r="I21" s="5"/>
      <c r="J21" s="6"/>
      <c r="K21" s="7"/>
      <c r="L21" s="43">
        <f t="shared" si="7"/>
        <v>0</v>
      </c>
      <c r="M21" s="71"/>
      <c r="O21" s="16"/>
      <c r="P21" s="5"/>
      <c r="Q21" s="6"/>
      <c r="R21" s="7"/>
      <c r="S21" s="43">
        <f t="shared" si="8"/>
        <v>0</v>
      </c>
      <c r="Z21" s="39"/>
    </row>
    <row r="22" spans="1:26" x14ac:dyDescent="0.15">
      <c r="A22" s="13"/>
      <c r="B22" s="5"/>
      <c r="C22" s="6"/>
      <c r="D22" s="7"/>
      <c r="E22" s="43">
        <f t="shared" si="6"/>
        <v>0</v>
      </c>
      <c r="F22" s="35"/>
      <c r="H22" s="16"/>
      <c r="I22" s="5"/>
      <c r="J22" s="6"/>
      <c r="K22" s="7"/>
      <c r="L22" s="43">
        <f t="shared" si="7"/>
        <v>0</v>
      </c>
      <c r="M22" s="71"/>
      <c r="O22" s="16"/>
      <c r="P22" s="5"/>
      <c r="Q22" s="6"/>
      <c r="R22" s="7"/>
      <c r="S22" s="43">
        <f t="shared" si="8"/>
        <v>0</v>
      </c>
    </row>
    <row r="23" spans="1:26" x14ac:dyDescent="0.15">
      <c r="A23" s="13"/>
      <c r="B23" s="8"/>
      <c r="C23" s="9"/>
      <c r="D23" s="10"/>
      <c r="E23" s="43">
        <f t="shared" si="6"/>
        <v>0</v>
      </c>
      <c r="F23" s="35"/>
      <c r="H23" s="14"/>
      <c r="I23" s="8"/>
      <c r="J23" s="9"/>
      <c r="K23" s="10"/>
      <c r="L23" s="43">
        <f t="shared" si="7"/>
        <v>0</v>
      </c>
      <c r="M23" s="71"/>
      <c r="N23" s="39"/>
      <c r="O23" s="14"/>
      <c r="P23" s="8"/>
      <c r="Q23" s="9"/>
      <c r="R23" s="10"/>
      <c r="S23" s="43">
        <f t="shared" si="8"/>
        <v>0</v>
      </c>
    </row>
    <row r="24" spans="1:26" x14ac:dyDescent="0.15">
      <c r="A24" s="13"/>
      <c r="B24" s="5"/>
      <c r="C24" s="6"/>
      <c r="D24" s="7"/>
      <c r="E24" s="43">
        <f t="shared" si="6"/>
        <v>0</v>
      </c>
      <c r="F24" s="35"/>
      <c r="H24" s="14"/>
      <c r="I24" s="5"/>
      <c r="J24" s="6"/>
      <c r="K24" s="7"/>
      <c r="L24" s="43">
        <f>SUM(I24:K24)</f>
        <v>0</v>
      </c>
      <c r="M24" s="71"/>
      <c r="N24" s="39"/>
      <c r="O24" s="14"/>
      <c r="P24" s="5"/>
      <c r="Q24" s="6"/>
      <c r="R24" s="7"/>
      <c r="S24" s="43">
        <f>SUM(P24:R24)</f>
        <v>0</v>
      </c>
    </row>
    <row r="25" spans="1:26" x14ac:dyDescent="0.15">
      <c r="A25" s="13"/>
      <c r="B25" s="5"/>
      <c r="C25" s="6"/>
      <c r="D25" s="7"/>
      <c r="E25" s="43">
        <f t="shared" si="6"/>
        <v>0</v>
      </c>
      <c r="F25" s="35"/>
      <c r="H25" s="16"/>
      <c r="I25" s="5"/>
      <c r="J25" s="6"/>
      <c r="K25" s="7"/>
      <c r="L25" s="43">
        <f t="shared" ref="L25:L26" si="10">SUM(I25:K25)</f>
        <v>0</v>
      </c>
      <c r="M25" s="71"/>
      <c r="N25" s="39"/>
      <c r="O25" s="16"/>
      <c r="P25" s="5"/>
      <c r="Q25" s="6"/>
      <c r="R25" s="7"/>
      <c r="S25" s="43">
        <f t="shared" ref="S25:S40" si="11">SUM(P25:R25)</f>
        <v>0</v>
      </c>
    </row>
    <row r="26" spans="1:26" x14ac:dyDescent="0.15">
      <c r="A26" s="13"/>
      <c r="B26" s="5"/>
      <c r="C26" s="6"/>
      <c r="D26" s="7"/>
      <c r="E26" s="43">
        <f t="shared" si="6"/>
        <v>0</v>
      </c>
      <c r="F26" s="35"/>
      <c r="H26" s="16"/>
      <c r="I26" s="5"/>
      <c r="J26" s="6"/>
      <c r="K26" s="7"/>
      <c r="L26" s="43">
        <f t="shared" si="10"/>
        <v>0</v>
      </c>
      <c r="M26" s="71"/>
      <c r="O26" s="16"/>
      <c r="P26" s="5"/>
      <c r="Q26" s="6"/>
      <c r="R26" s="7"/>
      <c r="S26" s="43">
        <f t="shared" si="11"/>
        <v>0</v>
      </c>
    </row>
    <row r="27" spans="1:26" x14ac:dyDescent="0.15">
      <c r="A27" s="13"/>
      <c r="B27" s="5"/>
      <c r="C27" s="6"/>
      <c r="D27" s="7"/>
      <c r="E27" s="43">
        <f t="shared" si="6"/>
        <v>0</v>
      </c>
      <c r="F27" s="35"/>
      <c r="H27" s="16"/>
      <c r="I27" s="5"/>
      <c r="J27" s="6"/>
      <c r="K27" s="7"/>
      <c r="L27" s="43">
        <f t="shared" si="7"/>
        <v>0</v>
      </c>
      <c r="M27" s="71"/>
      <c r="O27" s="16"/>
      <c r="P27" s="5"/>
      <c r="Q27" s="6"/>
      <c r="R27" s="7"/>
      <c r="S27" s="43">
        <f t="shared" si="11"/>
        <v>0</v>
      </c>
    </row>
    <row r="28" spans="1:26" x14ac:dyDescent="0.15">
      <c r="A28" s="13"/>
      <c r="B28" s="5"/>
      <c r="C28" s="6"/>
      <c r="D28" s="7"/>
      <c r="E28" s="43">
        <f t="shared" si="6"/>
        <v>0</v>
      </c>
      <c r="F28" s="35"/>
      <c r="H28" s="14"/>
      <c r="I28" s="5"/>
      <c r="J28" s="6"/>
      <c r="K28" s="7"/>
      <c r="L28" s="43">
        <f t="shared" si="7"/>
        <v>0</v>
      </c>
      <c r="M28" s="71"/>
      <c r="N28" s="39"/>
      <c r="O28" s="14"/>
      <c r="P28" s="5"/>
      <c r="Q28" s="6"/>
      <c r="R28" s="7"/>
      <c r="S28" s="43">
        <f t="shared" si="11"/>
        <v>0</v>
      </c>
    </row>
    <row r="29" spans="1:26" x14ac:dyDescent="0.15">
      <c r="A29" s="13"/>
      <c r="B29" s="5"/>
      <c r="C29" s="6"/>
      <c r="D29" s="7"/>
      <c r="E29" s="43">
        <f t="shared" si="6"/>
        <v>0</v>
      </c>
      <c r="F29" s="35"/>
      <c r="H29" s="14"/>
      <c r="I29" s="5"/>
      <c r="J29" s="6"/>
      <c r="K29" s="7"/>
      <c r="L29" s="43">
        <f t="shared" si="7"/>
        <v>0</v>
      </c>
      <c r="M29" s="71"/>
      <c r="N29" s="39"/>
      <c r="O29" s="14"/>
      <c r="P29" s="5"/>
      <c r="Q29" s="6"/>
      <c r="R29" s="7"/>
      <c r="S29" s="43">
        <f t="shared" si="11"/>
        <v>0</v>
      </c>
    </row>
    <row r="30" spans="1:26" x14ac:dyDescent="0.15">
      <c r="A30" s="13"/>
      <c r="B30" s="5"/>
      <c r="C30" s="6"/>
      <c r="D30" s="7"/>
      <c r="E30" s="43">
        <f t="shared" si="6"/>
        <v>0</v>
      </c>
      <c r="F30" s="35"/>
      <c r="H30" s="16"/>
      <c r="I30" s="5"/>
      <c r="J30" s="6"/>
      <c r="K30" s="7"/>
      <c r="L30" s="43">
        <f t="shared" si="7"/>
        <v>0</v>
      </c>
      <c r="M30" s="71"/>
      <c r="N30" s="39"/>
      <c r="O30" s="16"/>
      <c r="P30" s="5"/>
      <c r="Q30" s="6"/>
      <c r="R30" s="7"/>
      <c r="S30" s="43">
        <f t="shared" si="11"/>
        <v>0</v>
      </c>
    </row>
    <row r="31" spans="1:26" x14ac:dyDescent="0.15">
      <c r="A31" s="13"/>
      <c r="B31" s="5"/>
      <c r="C31" s="6"/>
      <c r="D31" s="7"/>
      <c r="E31" s="43">
        <f t="shared" si="6"/>
        <v>0</v>
      </c>
      <c r="F31" s="35"/>
      <c r="G31" s="39"/>
      <c r="H31" s="16"/>
      <c r="I31" s="5"/>
      <c r="J31" s="6"/>
      <c r="K31" s="7"/>
      <c r="L31" s="43">
        <f t="shared" si="7"/>
        <v>0</v>
      </c>
      <c r="M31" s="71"/>
      <c r="N31" s="39"/>
      <c r="O31" s="16"/>
      <c r="P31" s="5"/>
      <c r="Q31" s="6"/>
      <c r="R31" s="7"/>
      <c r="S31" s="43">
        <f t="shared" si="11"/>
        <v>0</v>
      </c>
    </row>
    <row r="32" spans="1:26" x14ac:dyDescent="0.15">
      <c r="A32" s="13"/>
      <c r="B32" s="5"/>
      <c r="C32" s="6"/>
      <c r="D32" s="7"/>
      <c r="E32" s="43">
        <f t="shared" si="6"/>
        <v>0</v>
      </c>
      <c r="F32" s="35"/>
      <c r="H32" s="14"/>
      <c r="I32" s="5"/>
      <c r="J32" s="6"/>
      <c r="K32" s="7"/>
      <c r="L32" s="43">
        <f t="shared" si="7"/>
        <v>0</v>
      </c>
      <c r="M32" s="71"/>
      <c r="O32" s="14"/>
      <c r="P32" s="5"/>
      <c r="Q32" s="6"/>
      <c r="R32" s="7"/>
      <c r="S32" s="43">
        <f t="shared" si="11"/>
        <v>0</v>
      </c>
    </row>
    <row r="33" spans="1:20" x14ac:dyDescent="0.15">
      <c r="A33" s="13"/>
      <c r="B33" s="5"/>
      <c r="C33" s="6"/>
      <c r="D33" s="7"/>
      <c r="E33" s="43">
        <f t="shared" si="6"/>
        <v>0</v>
      </c>
      <c r="F33" s="35"/>
      <c r="H33" s="13"/>
      <c r="I33" s="5"/>
      <c r="J33" s="6"/>
      <c r="K33" s="7"/>
      <c r="L33" s="43">
        <f t="shared" si="7"/>
        <v>0</v>
      </c>
      <c r="M33" s="71"/>
      <c r="O33" s="13"/>
      <c r="P33" s="5"/>
      <c r="Q33" s="6"/>
      <c r="R33" s="7"/>
      <c r="S33" s="43">
        <f t="shared" si="11"/>
        <v>0</v>
      </c>
    </row>
    <row r="34" spans="1:20" x14ac:dyDescent="0.15">
      <c r="A34" s="13"/>
      <c r="B34" s="8"/>
      <c r="C34" s="9"/>
      <c r="D34" s="10"/>
      <c r="E34" s="43">
        <f t="shared" si="6"/>
        <v>0</v>
      </c>
      <c r="F34" s="35"/>
      <c r="H34" s="13"/>
      <c r="I34" s="5"/>
      <c r="J34" s="6"/>
      <c r="K34" s="7"/>
      <c r="L34" s="43">
        <f t="shared" si="7"/>
        <v>0</v>
      </c>
      <c r="M34" s="71"/>
      <c r="O34" s="13"/>
      <c r="P34" s="5"/>
      <c r="Q34" s="6"/>
      <c r="R34" s="7"/>
      <c r="S34" s="43">
        <f t="shared" si="11"/>
        <v>0</v>
      </c>
    </row>
    <row r="35" spans="1:20" x14ac:dyDescent="0.15">
      <c r="A35" s="13"/>
      <c r="B35" s="8"/>
      <c r="C35" s="9"/>
      <c r="D35" s="10"/>
      <c r="E35" s="43">
        <f t="shared" si="6"/>
        <v>0</v>
      </c>
      <c r="F35" s="35"/>
      <c r="H35" s="13"/>
      <c r="I35" s="5"/>
      <c r="J35" s="6"/>
      <c r="K35" s="7"/>
      <c r="L35" s="43">
        <f t="shared" si="7"/>
        <v>0</v>
      </c>
      <c r="M35" s="71"/>
      <c r="O35" s="13"/>
      <c r="P35" s="5"/>
      <c r="Q35" s="6"/>
      <c r="R35" s="7"/>
      <c r="S35" s="43">
        <f t="shared" si="11"/>
        <v>0</v>
      </c>
    </row>
    <row r="36" spans="1:20" x14ac:dyDescent="0.15">
      <c r="A36" s="13"/>
      <c r="B36" s="5"/>
      <c r="C36" s="6"/>
      <c r="D36" s="7"/>
      <c r="E36" s="43">
        <f t="shared" si="6"/>
        <v>0</v>
      </c>
      <c r="F36" s="35"/>
      <c r="H36" s="13"/>
      <c r="I36" s="5"/>
      <c r="J36" s="6"/>
      <c r="K36" s="7"/>
      <c r="L36" s="43">
        <f t="shared" si="7"/>
        <v>0</v>
      </c>
      <c r="M36" s="71"/>
      <c r="O36" s="13"/>
      <c r="P36" s="5"/>
      <c r="Q36" s="6"/>
      <c r="R36" s="7"/>
      <c r="S36" s="43">
        <f t="shared" si="11"/>
        <v>0</v>
      </c>
    </row>
    <row r="37" spans="1:20" x14ac:dyDescent="0.15">
      <c r="A37" s="14"/>
      <c r="B37" s="8"/>
      <c r="C37" s="9"/>
      <c r="D37" s="10"/>
      <c r="E37" s="44">
        <f t="shared" si="6"/>
        <v>0</v>
      </c>
      <c r="F37" s="35"/>
      <c r="H37" s="13"/>
      <c r="I37" s="5"/>
      <c r="J37" s="6"/>
      <c r="K37" s="7"/>
      <c r="L37" s="43">
        <f t="shared" si="7"/>
        <v>0</v>
      </c>
      <c r="M37" s="71"/>
      <c r="O37" s="13"/>
      <c r="P37" s="5"/>
      <c r="Q37" s="6"/>
      <c r="R37" s="7"/>
      <c r="S37" s="43">
        <f t="shared" si="11"/>
        <v>0</v>
      </c>
    </row>
    <row r="38" spans="1:20" x14ac:dyDescent="0.15">
      <c r="A38" s="13"/>
      <c r="B38" s="5"/>
      <c r="C38" s="6"/>
      <c r="D38" s="7"/>
      <c r="E38" s="43">
        <f t="shared" si="6"/>
        <v>0</v>
      </c>
      <c r="F38" s="35"/>
      <c r="H38" s="16" t="s">
        <v>33</v>
      </c>
      <c r="I38" s="5"/>
      <c r="J38" s="6"/>
      <c r="K38" s="7"/>
      <c r="L38" s="43">
        <f t="shared" si="7"/>
        <v>0</v>
      </c>
      <c r="M38" s="71"/>
      <c r="O38" s="13"/>
      <c r="P38" s="5"/>
      <c r="Q38" s="6"/>
      <c r="R38" s="7"/>
      <c r="S38" s="43">
        <f t="shared" si="11"/>
        <v>0</v>
      </c>
    </row>
    <row r="39" spans="1:20" ht="14.25" thickBot="1" x14ac:dyDescent="0.2">
      <c r="A39" s="13"/>
      <c r="B39" s="8"/>
      <c r="C39" s="9"/>
      <c r="D39" s="10"/>
      <c r="E39" s="47">
        <f t="shared" si="6"/>
        <v>0</v>
      </c>
      <c r="F39" s="35"/>
      <c r="H39" s="16" t="s">
        <v>47</v>
      </c>
      <c r="I39" s="8"/>
      <c r="J39" s="9"/>
      <c r="K39" s="10"/>
      <c r="L39" s="44">
        <f t="shared" si="7"/>
        <v>0</v>
      </c>
      <c r="M39" s="71" t="s">
        <v>31</v>
      </c>
      <c r="O39" s="16" t="s">
        <v>26</v>
      </c>
      <c r="P39" s="8"/>
      <c r="Q39" s="9"/>
      <c r="R39" s="10"/>
      <c r="S39" s="44">
        <f t="shared" si="11"/>
        <v>0</v>
      </c>
      <c r="T39" t="s">
        <v>27</v>
      </c>
    </row>
    <row r="40" spans="1:20" ht="14.25" thickBot="1" x14ac:dyDescent="0.2">
      <c r="A40" s="25" t="s">
        <v>17</v>
      </c>
      <c r="B40" s="28">
        <f>SUM(B14:B39)</f>
        <v>2</v>
      </c>
      <c r="C40" s="29">
        <f t="shared" ref="C40:D40" si="12">SUM(C14:C39)</f>
        <v>1</v>
      </c>
      <c r="D40" s="33">
        <f t="shared" si="12"/>
        <v>3</v>
      </c>
      <c r="E40" s="48">
        <f t="shared" si="6"/>
        <v>6</v>
      </c>
      <c r="F40" s="24"/>
      <c r="H40" s="25" t="s">
        <v>17</v>
      </c>
      <c r="I40" s="28">
        <f>SUM(I14:I39)</f>
        <v>26</v>
      </c>
      <c r="J40" s="29">
        <f t="shared" ref="J40:L40" si="13">SUM(J14:J39)</f>
        <v>36</v>
      </c>
      <c r="K40" s="33">
        <f t="shared" si="13"/>
        <v>19</v>
      </c>
      <c r="L40" s="48">
        <f t="shared" si="13"/>
        <v>81</v>
      </c>
      <c r="M40" s="72"/>
      <c r="O40" s="25" t="s">
        <v>17</v>
      </c>
      <c r="P40" s="28">
        <f>SUM(P14:P39)</f>
        <v>401</v>
      </c>
      <c r="Q40" s="29">
        <f t="shared" ref="Q40:R40" si="14">SUM(Q14:Q39)</f>
        <v>402</v>
      </c>
      <c r="R40" s="33">
        <f t="shared" si="14"/>
        <v>203</v>
      </c>
      <c r="S40" s="48">
        <f t="shared" si="11"/>
        <v>1006</v>
      </c>
    </row>
    <row r="41" spans="1:20" ht="14.25" thickBot="1" x14ac:dyDescent="0.2">
      <c r="A41" s="12" t="s">
        <v>16</v>
      </c>
      <c r="B41" s="50">
        <f>B13-B40</f>
        <v>3</v>
      </c>
      <c r="C41" s="51">
        <f t="shared" ref="C41:D41" si="15">C13-C40</f>
        <v>4</v>
      </c>
      <c r="D41" s="52">
        <f t="shared" si="15"/>
        <v>2</v>
      </c>
      <c r="E41" s="49">
        <f>SUM(B41:D41)</f>
        <v>9</v>
      </c>
      <c r="H41" s="12" t="s">
        <v>16</v>
      </c>
      <c r="I41" s="50">
        <f>I13-I40</f>
        <v>269</v>
      </c>
      <c r="J41" s="51">
        <f t="shared" ref="J41:L41" si="16">J13-J40</f>
        <v>390</v>
      </c>
      <c r="K41" s="52">
        <f t="shared" si="16"/>
        <v>226</v>
      </c>
      <c r="L41" s="49">
        <f t="shared" si="16"/>
        <v>885</v>
      </c>
      <c r="O41" s="12" t="s">
        <v>16</v>
      </c>
      <c r="P41" s="50">
        <f>P13-P40</f>
        <v>0</v>
      </c>
      <c r="Q41" s="51">
        <f t="shared" ref="Q41:R41" si="17">Q13-Q40</f>
        <v>0</v>
      </c>
      <c r="R41" s="52">
        <f t="shared" si="17"/>
        <v>0</v>
      </c>
      <c r="S41" s="49">
        <f>SUM(P41:R41)</f>
        <v>0</v>
      </c>
    </row>
    <row r="43" spans="1:20" x14ac:dyDescent="0.15">
      <c r="I43">
        <v>35.299999999999997</v>
      </c>
      <c r="J43">
        <v>39.299999999999997</v>
      </c>
      <c r="K43">
        <v>25.4</v>
      </c>
    </row>
    <row r="44" spans="1:20" ht="19.5" thickBot="1" x14ac:dyDescent="0.25">
      <c r="A44" s="81" t="s">
        <v>23</v>
      </c>
      <c r="B44" s="82"/>
      <c r="C44" s="82"/>
      <c r="D44" s="82"/>
      <c r="E44" s="82"/>
      <c r="H44" s="106" t="s">
        <v>25</v>
      </c>
      <c r="I44" s="107"/>
      <c r="J44" s="107"/>
      <c r="K44" s="106">
        <v>600</v>
      </c>
      <c r="L44" s="108">
        <v>1980</v>
      </c>
    </row>
    <row r="45" spans="1:20" ht="14.25" thickBot="1" x14ac:dyDescent="0.2">
      <c r="A45" s="4" t="s">
        <v>0</v>
      </c>
      <c r="B45" s="147" t="s">
        <v>24</v>
      </c>
      <c r="C45" s="148"/>
      <c r="D45" s="148"/>
      <c r="E45" s="149"/>
      <c r="H45" s="4" t="s">
        <v>0</v>
      </c>
      <c r="I45" s="147" t="s">
        <v>24</v>
      </c>
      <c r="J45" s="148"/>
      <c r="K45" s="148"/>
      <c r="L45" s="149"/>
    </row>
    <row r="46" spans="1:20" ht="14.25" thickBot="1" x14ac:dyDescent="0.2">
      <c r="A46" s="4" t="s">
        <v>1</v>
      </c>
      <c r="B46" s="1" t="s">
        <v>2</v>
      </c>
      <c r="C46" s="2" t="s">
        <v>3</v>
      </c>
      <c r="D46" s="3" t="s">
        <v>4</v>
      </c>
      <c r="E46" s="4" t="s">
        <v>5</v>
      </c>
      <c r="H46" s="4" t="s">
        <v>1</v>
      </c>
      <c r="I46" s="1" t="s">
        <v>2</v>
      </c>
      <c r="J46" s="2" t="s">
        <v>3</v>
      </c>
      <c r="K46" s="3" t="s">
        <v>4</v>
      </c>
      <c r="L46" s="4" t="s">
        <v>5</v>
      </c>
    </row>
    <row r="47" spans="1:20" ht="14.25" thickBot="1" x14ac:dyDescent="0.2">
      <c r="A47" s="17" t="s">
        <v>18</v>
      </c>
      <c r="B47" s="26">
        <f>B41</f>
        <v>3</v>
      </c>
      <c r="C47" s="27">
        <f>C41</f>
        <v>4</v>
      </c>
      <c r="D47" s="34">
        <f>D41</f>
        <v>2</v>
      </c>
      <c r="E47" s="41">
        <f>SUM(B47:D47)</f>
        <v>9</v>
      </c>
      <c r="H47" s="17" t="s">
        <v>18</v>
      </c>
      <c r="I47" s="54">
        <f>I41</f>
        <v>269</v>
      </c>
      <c r="J47" s="55">
        <f t="shared" ref="J47:L47" si="18">J41</f>
        <v>390</v>
      </c>
      <c r="K47" s="56">
        <f t="shared" si="18"/>
        <v>226</v>
      </c>
      <c r="L47" s="53">
        <f t="shared" si="18"/>
        <v>885</v>
      </c>
    </row>
    <row r="48" spans="1:20" x14ac:dyDescent="0.15">
      <c r="A48" s="15" t="s">
        <v>7</v>
      </c>
      <c r="B48" s="26">
        <v>5</v>
      </c>
      <c r="C48" s="27">
        <v>5</v>
      </c>
      <c r="D48" s="38">
        <v>5</v>
      </c>
      <c r="E48" s="42">
        <f>SUM(B48:D48)</f>
        <v>15</v>
      </c>
      <c r="F48" s="35">
        <v>45840</v>
      </c>
      <c r="H48" s="15" t="s">
        <v>7</v>
      </c>
      <c r="I48" s="57"/>
      <c r="J48" s="58"/>
      <c r="K48" s="59"/>
      <c r="L48" s="42">
        <f>SUM(I48:K48)</f>
        <v>0</v>
      </c>
      <c r="M48" s="71"/>
    </row>
    <row r="49" spans="1:15" x14ac:dyDescent="0.15">
      <c r="A49" s="15" t="s">
        <v>59</v>
      </c>
      <c r="B49" s="5">
        <v>-1</v>
      </c>
      <c r="C49" s="6">
        <v>0</v>
      </c>
      <c r="D49" s="11">
        <v>0</v>
      </c>
      <c r="E49" s="43">
        <f>SUM(B49:D49)</f>
        <v>-1</v>
      </c>
      <c r="F49" s="35">
        <v>45878</v>
      </c>
      <c r="H49" s="15" t="s">
        <v>8</v>
      </c>
      <c r="I49" s="63"/>
      <c r="J49" s="64"/>
      <c r="K49" s="65"/>
      <c r="L49" s="44">
        <f t="shared" ref="L49:L55" si="19">SUM(I49:K49)</f>
        <v>0</v>
      </c>
    </row>
    <row r="50" spans="1:15" x14ac:dyDescent="0.15">
      <c r="A50" s="15" t="s">
        <v>9</v>
      </c>
      <c r="B50" s="5">
        <v>5</v>
      </c>
      <c r="C50" s="6"/>
      <c r="D50" s="7"/>
      <c r="E50" s="43">
        <f t="shared" ref="E50:E55" si="20">SUM(B50:D50)</f>
        <v>5</v>
      </c>
      <c r="F50" s="35">
        <v>45898</v>
      </c>
      <c r="H50" s="15" t="s">
        <v>34</v>
      </c>
      <c r="I50" s="63">
        <v>300</v>
      </c>
      <c r="J50" s="64">
        <v>200</v>
      </c>
      <c r="K50" s="65">
        <v>120</v>
      </c>
      <c r="L50" s="44">
        <f t="shared" si="19"/>
        <v>620</v>
      </c>
      <c r="M50" s="71" t="s">
        <v>57</v>
      </c>
      <c r="N50" s="24"/>
    </row>
    <row r="51" spans="1:15" x14ac:dyDescent="0.15">
      <c r="A51" s="15" t="s">
        <v>10</v>
      </c>
      <c r="B51" s="5"/>
      <c r="C51" s="6">
        <v>3</v>
      </c>
      <c r="D51" s="30">
        <v>3</v>
      </c>
      <c r="E51" s="44">
        <f t="shared" si="20"/>
        <v>6</v>
      </c>
      <c r="F51" s="35">
        <v>45911</v>
      </c>
      <c r="H51" s="15" t="s">
        <v>39</v>
      </c>
      <c r="I51" s="63"/>
      <c r="J51" s="64">
        <v>9</v>
      </c>
      <c r="K51" s="65">
        <v>6</v>
      </c>
      <c r="L51" s="44">
        <f t="shared" si="19"/>
        <v>15</v>
      </c>
      <c r="M51" s="99"/>
    </row>
    <row r="52" spans="1:15" x14ac:dyDescent="0.15">
      <c r="A52" s="15" t="s">
        <v>62</v>
      </c>
      <c r="B52" s="5">
        <v>1</v>
      </c>
      <c r="C52" s="6"/>
      <c r="D52" s="30">
        <v>1</v>
      </c>
      <c r="E52" s="44">
        <f t="shared" si="20"/>
        <v>2</v>
      </c>
      <c r="F52" s="35">
        <v>45924</v>
      </c>
      <c r="G52" s="39"/>
      <c r="H52" s="15" t="s">
        <v>114</v>
      </c>
      <c r="I52" s="63">
        <v>2</v>
      </c>
      <c r="J52" s="64">
        <v>2</v>
      </c>
      <c r="K52" s="65">
        <v>3</v>
      </c>
      <c r="L52" s="44">
        <f t="shared" si="19"/>
        <v>7</v>
      </c>
      <c r="M52" s="71">
        <v>46130</v>
      </c>
    </row>
    <row r="53" spans="1:15" x14ac:dyDescent="0.15">
      <c r="A53" s="15" t="s">
        <v>62</v>
      </c>
      <c r="B53" s="5"/>
      <c r="C53" s="6">
        <v>1</v>
      </c>
      <c r="D53" s="30"/>
      <c r="E53" s="44">
        <f t="shared" si="20"/>
        <v>1</v>
      </c>
      <c r="F53" s="35">
        <v>45936</v>
      </c>
      <c r="H53" s="15" t="s">
        <v>12</v>
      </c>
      <c r="I53" s="63"/>
      <c r="J53" s="64"/>
      <c r="K53" s="65"/>
      <c r="L53" s="44">
        <f t="shared" si="19"/>
        <v>0</v>
      </c>
    </row>
    <row r="54" spans="1:15" x14ac:dyDescent="0.15">
      <c r="A54" s="88" t="s">
        <v>13</v>
      </c>
      <c r="B54" s="133"/>
      <c r="C54" s="134">
        <v>3</v>
      </c>
      <c r="D54" s="135"/>
      <c r="E54" s="92">
        <f t="shared" si="20"/>
        <v>3</v>
      </c>
      <c r="F54" s="120">
        <v>46127</v>
      </c>
      <c r="H54" s="15" t="s">
        <v>13</v>
      </c>
      <c r="I54" s="63"/>
      <c r="J54" s="64"/>
      <c r="K54" s="65"/>
      <c r="L54" s="44">
        <f t="shared" si="19"/>
        <v>0</v>
      </c>
    </row>
    <row r="55" spans="1:15" ht="14.25" thickBot="1" x14ac:dyDescent="0.2">
      <c r="A55" s="15" t="s">
        <v>112</v>
      </c>
      <c r="B55" s="21">
        <v>2</v>
      </c>
      <c r="C55" s="22">
        <v>2</v>
      </c>
      <c r="D55" s="32">
        <v>3</v>
      </c>
      <c r="E55" s="45">
        <f t="shared" si="20"/>
        <v>7</v>
      </c>
      <c r="F55" s="35">
        <v>46129</v>
      </c>
      <c r="H55" s="15" t="s">
        <v>14</v>
      </c>
      <c r="I55" s="63"/>
      <c r="J55" s="64"/>
      <c r="K55" s="65"/>
      <c r="L55" s="44">
        <f t="shared" si="19"/>
        <v>0</v>
      </c>
    </row>
    <row r="56" spans="1:15" ht="14.25" thickBot="1" x14ac:dyDescent="0.2">
      <c r="A56" s="23" t="s">
        <v>15</v>
      </c>
      <c r="B56" s="18">
        <f>SUM(B47:B55)</f>
        <v>15</v>
      </c>
      <c r="C56" s="19">
        <f t="shared" ref="C56:D56" si="21">SUM(C47:C55)</f>
        <v>18</v>
      </c>
      <c r="D56" s="20">
        <f t="shared" si="21"/>
        <v>14</v>
      </c>
      <c r="E56" s="46">
        <f>SUM(B56:D56)</f>
        <v>47</v>
      </c>
      <c r="H56" s="23" t="s">
        <v>15</v>
      </c>
      <c r="I56" s="18">
        <f>SUM(I47:I55)</f>
        <v>571</v>
      </c>
      <c r="J56" s="19">
        <f t="shared" ref="J56:L56" si="22">SUM(J47:J55)</f>
        <v>601</v>
      </c>
      <c r="K56" s="20">
        <f t="shared" si="22"/>
        <v>355</v>
      </c>
      <c r="L56" s="46">
        <f t="shared" si="22"/>
        <v>1527</v>
      </c>
    </row>
    <row r="57" spans="1:15" ht="14.25" x14ac:dyDescent="0.15">
      <c r="A57" s="13" t="s">
        <v>55</v>
      </c>
      <c r="B57" s="5">
        <v>2</v>
      </c>
      <c r="C57" s="6">
        <v>2</v>
      </c>
      <c r="D57" s="7">
        <v>2</v>
      </c>
      <c r="E57" s="43">
        <f t="shared" ref="E57:E83" si="23">SUM(B57:D57)</f>
        <v>6</v>
      </c>
      <c r="F57" s="35">
        <v>45841</v>
      </c>
      <c r="H57" s="100" t="s">
        <v>56</v>
      </c>
      <c r="I57" s="5">
        <v>5</v>
      </c>
      <c r="J57" s="6">
        <v>5</v>
      </c>
      <c r="K57" s="7">
        <v>5</v>
      </c>
      <c r="L57" s="43">
        <f>SUM(I57:K57)</f>
        <v>15</v>
      </c>
      <c r="M57" s="73">
        <v>45840</v>
      </c>
      <c r="N57" s="39"/>
      <c r="O57" s="39"/>
    </row>
    <row r="58" spans="1:15" ht="14.25" x14ac:dyDescent="0.15">
      <c r="A58" s="13" t="s">
        <v>48</v>
      </c>
      <c r="B58" s="5">
        <v>1</v>
      </c>
      <c r="C58" s="6"/>
      <c r="D58" s="7"/>
      <c r="E58" s="43">
        <f t="shared" ref="E58:E60" si="24">SUM(B58:D58)</f>
        <v>1</v>
      </c>
      <c r="F58" s="35">
        <v>45852</v>
      </c>
      <c r="H58" s="100" t="s">
        <v>41</v>
      </c>
      <c r="I58" s="5">
        <v>5</v>
      </c>
      <c r="J58" s="6"/>
      <c r="K58" s="7"/>
      <c r="L58" s="43">
        <f t="shared" ref="L58:L82" si="25">SUM(I58:K58)</f>
        <v>5</v>
      </c>
      <c r="M58" s="73">
        <v>45898</v>
      </c>
      <c r="N58" s="39"/>
      <c r="O58" s="39"/>
    </row>
    <row r="59" spans="1:15" ht="14.25" x14ac:dyDescent="0.15">
      <c r="A59" s="13" t="s">
        <v>58</v>
      </c>
      <c r="B59" s="5">
        <v>2</v>
      </c>
      <c r="C59" s="6"/>
      <c r="D59" s="7"/>
      <c r="E59" s="43">
        <f t="shared" si="24"/>
        <v>2</v>
      </c>
      <c r="F59" s="35">
        <v>45856</v>
      </c>
      <c r="H59" s="100" t="s">
        <v>41</v>
      </c>
      <c r="I59" s="5"/>
      <c r="J59" s="6">
        <v>3</v>
      </c>
      <c r="K59" s="7">
        <v>3</v>
      </c>
      <c r="L59" s="43">
        <f t="shared" si="25"/>
        <v>6</v>
      </c>
      <c r="M59" s="73">
        <v>45911</v>
      </c>
      <c r="N59" s="39"/>
      <c r="O59" s="39"/>
    </row>
    <row r="60" spans="1:15" ht="14.25" x14ac:dyDescent="0.15">
      <c r="A60" s="13" t="s">
        <v>55</v>
      </c>
      <c r="B60" s="5"/>
      <c r="C60" s="6">
        <v>1</v>
      </c>
      <c r="D60" s="7"/>
      <c r="E60" s="43">
        <f t="shared" si="24"/>
        <v>1</v>
      </c>
      <c r="F60" s="35">
        <v>45873</v>
      </c>
      <c r="G60" s="39"/>
      <c r="H60" s="100" t="s">
        <v>41</v>
      </c>
      <c r="I60" s="5" t="s">
        <v>19</v>
      </c>
      <c r="J60" s="6">
        <v>3</v>
      </c>
      <c r="K60" s="7"/>
      <c r="L60" s="43">
        <f t="shared" si="25"/>
        <v>3</v>
      </c>
      <c r="M60" s="73">
        <v>46127</v>
      </c>
    </row>
    <row r="61" spans="1:15" ht="14.25" x14ac:dyDescent="0.15">
      <c r="A61" s="13" t="s">
        <v>48</v>
      </c>
      <c r="B61" s="5"/>
      <c r="C61" s="6">
        <v>1</v>
      </c>
      <c r="D61" s="7"/>
      <c r="E61" s="43">
        <f t="shared" si="23"/>
        <v>1</v>
      </c>
      <c r="F61" s="35">
        <v>45875</v>
      </c>
      <c r="G61" s="39"/>
      <c r="H61" s="100" t="s">
        <v>41</v>
      </c>
      <c r="I61" s="5">
        <v>3</v>
      </c>
      <c r="J61" s="6"/>
      <c r="K61" s="7"/>
      <c r="L61" s="43">
        <f t="shared" si="25"/>
        <v>3</v>
      </c>
      <c r="M61" s="73">
        <v>46142</v>
      </c>
    </row>
    <row r="62" spans="1:15" ht="14.25" x14ac:dyDescent="0.15">
      <c r="A62" s="13" t="s">
        <v>55</v>
      </c>
      <c r="B62" s="5"/>
      <c r="C62" s="6"/>
      <c r="D62" s="7">
        <v>1</v>
      </c>
      <c r="E62" s="43">
        <f t="shared" si="23"/>
        <v>1</v>
      </c>
      <c r="F62" s="35">
        <v>45890</v>
      </c>
      <c r="H62" s="14"/>
      <c r="I62" s="5" t="s">
        <v>19</v>
      </c>
      <c r="J62" s="6"/>
      <c r="K62" s="7"/>
      <c r="L62" s="43">
        <f t="shared" si="25"/>
        <v>0</v>
      </c>
      <c r="M62" s="73"/>
      <c r="N62" s="39"/>
    </row>
    <row r="63" spans="1:15" ht="14.25" x14ac:dyDescent="0.15">
      <c r="A63" s="13" t="s">
        <v>55</v>
      </c>
      <c r="B63" s="5">
        <v>1</v>
      </c>
      <c r="C63" s="6">
        <v>1</v>
      </c>
      <c r="D63" s="7">
        <v>1</v>
      </c>
      <c r="E63" s="43">
        <f t="shared" si="23"/>
        <v>3</v>
      </c>
      <c r="F63" s="35">
        <v>45891</v>
      </c>
      <c r="G63" s="39"/>
      <c r="H63" s="14"/>
      <c r="I63" s="5" t="s">
        <v>19</v>
      </c>
      <c r="J63" s="6"/>
      <c r="K63" s="7"/>
      <c r="L63" s="43">
        <f t="shared" si="25"/>
        <v>0</v>
      </c>
      <c r="M63" s="73"/>
    </row>
    <row r="64" spans="1:15" ht="14.25" x14ac:dyDescent="0.15">
      <c r="A64" s="13" t="s">
        <v>55</v>
      </c>
      <c r="B64" s="5"/>
      <c r="C64" s="6"/>
      <c r="D64" s="7">
        <v>1</v>
      </c>
      <c r="E64" s="43">
        <f t="shared" si="23"/>
        <v>1</v>
      </c>
      <c r="F64" s="35">
        <v>45903</v>
      </c>
      <c r="G64" s="39"/>
      <c r="H64" s="14"/>
      <c r="I64" s="5" t="s">
        <v>19</v>
      </c>
      <c r="J64" s="6"/>
      <c r="K64" s="7"/>
      <c r="L64" s="43">
        <f t="shared" si="25"/>
        <v>0</v>
      </c>
      <c r="M64" s="73"/>
    </row>
    <row r="65" spans="1:13" x14ac:dyDescent="0.15">
      <c r="A65" s="13" t="s">
        <v>55</v>
      </c>
      <c r="B65" s="5"/>
      <c r="C65" s="6">
        <v>1</v>
      </c>
      <c r="D65" s="7"/>
      <c r="E65" s="43">
        <f t="shared" si="23"/>
        <v>1</v>
      </c>
      <c r="F65" s="35">
        <v>45904</v>
      </c>
      <c r="G65" s="39"/>
      <c r="H65" s="16"/>
      <c r="I65" s="5"/>
      <c r="J65" s="6"/>
      <c r="K65" s="7"/>
      <c r="L65" s="43">
        <f t="shared" si="25"/>
        <v>0</v>
      </c>
      <c r="M65" s="71"/>
    </row>
    <row r="66" spans="1:13" x14ac:dyDescent="0.15">
      <c r="A66" s="13" t="s">
        <v>55</v>
      </c>
      <c r="B66" s="5">
        <v>1</v>
      </c>
      <c r="C66" s="6"/>
      <c r="D66" s="7"/>
      <c r="E66" s="43">
        <f t="shared" si="23"/>
        <v>1</v>
      </c>
      <c r="F66" s="35">
        <v>45905</v>
      </c>
      <c r="G66" s="39"/>
      <c r="H66" s="14"/>
      <c r="I66" s="8"/>
      <c r="J66" s="9"/>
      <c r="K66" s="10"/>
      <c r="L66" s="43">
        <f t="shared" si="25"/>
        <v>0</v>
      </c>
      <c r="M66" s="71"/>
    </row>
    <row r="67" spans="1:13" x14ac:dyDescent="0.15">
      <c r="A67" s="13" t="s">
        <v>55</v>
      </c>
      <c r="B67" s="5">
        <v>1</v>
      </c>
      <c r="C67" s="6"/>
      <c r="D67" s="7"/>
      <c r="E67" s="43">
        <f t="shared" si="23"/>
        <v>1</v>
      </c>
      <c r="F67" s="35">
        <v>45911</v>
      </c>
      <c r="H67" s="16"/>
      <c r="I67" s="5"/>
      <c r="J67" s="6"/>
      <c r="K67" s="7"/>
      <c r="L67" s="43">
        <f t="shared" si="25"/>
        <v>0</v>
      </c>
      <c r="M67" s="71"/>
    </row>
    <row r="68" spans="1:13" x14ac:dyDescent="0.15">
      <c r="A68" s="13" t="s">
        <v>55</v>
      </c>
      <c r="B68" s="5"/>
      <c r="C68" s="6">
        <v>1</v>
      </c>
      <c r="D68" s="7"/>
      <c r="E68" s="43">
        <f t="shared" si="23"/>
        <v>1</v>
      </c>
      <c r="F68" s="35">
        <v>45926</v>
      </c>
      <c r="H68" s="16"/>
      <c r="I68" s="5"/>
      <c r="J68" s="6"/>
      <c r="K68" s="7"/>
      <c r="L68" s="43">
        <f t="shared" si="25"/>
        <v>0</v>
      </c>
      <c r="M68" s="71"/>
    </row>
    <row r="69" spans="1:13" x14ac:dyDescent="0.15">
      <c r="A69" s="13" t="s">
        <v>55</v>
      </c>
      <c r="B69" s="5">
        <v>1</v>
      </c>
      <c r="C69" s="6"/>
      <c r="D69" s="7"/>
      <c r="E69" s="43">
        <f t="shared" si="23"/>
        <v>1</v>
      </c>
      <c r="F69" s="35">
        <v>45932</v>
      </c>
      <c r="H69" s="14"/>
      <c r="I69" s="5"/>
      <c r="J69" s="6"/>
      <c r="K69" s="7"/>
      <c r="L69" s="43">
        <f t="shared" si="25"/>
        <v>0</v>
      </c>
      <c r="M69" s="71"/>
    </row>
    <row r="70" spans="1:13" x14ac:dyDescent="0.15">
      <c r="A70" s="13" t="s">
        <v>48</v>
      </c>
      <c r="B70" s="5">
        <v>1</v>
      </c>
      <c r="C70" s="6"/>
      <c r="D70" s="11"/>
      <c r="E70" s="43">
        <f t="shared" si="23"/>
        <v>1</v>
      </c>
      <c r="F70" s="35">
        <v>45930</v>
      </c>
      <c r="H70" s="14"/>
      <c r="I70" s="5"/>
      <c r="J70" s="6"/>
      <c r="K70" s="7"/>
      <c r="L70" s="43">
        <f t="shared" si="25"/>
        <v>0</v>
      </c>
      <c r="M70" s="71"/>
    </row>
    <row r="71" spans="1:13" x14ac:dyDescent="0.15">
      <c r="A71" s="13" t="s">
        <v>55</v>
      </c>
      <c r="B71" s="5"/>
      <c r="C71" s="6"/>
      <c r="D71" s="7">
        <v>2</v>
      </c>
      <c r="E71" s="43">
        <f t="shared" si="23"/>
        <v>2</v>
      </c>
      <c r="F71" s="35">
        <v>45933</v>
      </c>
      <c r="H71" s="16"/>
      <c r="I71" s="5"/>
      <c r="J71" s="6"/>
      <c r="K71" s="7"/>
      <c r="L71" s="43">
        <f t="shared" si="25"/>
        <v>0</v>
      </c>
      <c r="M71" s="71"/>
    </row>
    <row r="72" spans="1:13" x14ac:dyDescent="0.15">
      <c r="A72" s="13" t="s">
        <v>55</v>
      </c>
      <c r="B72" s="5"/>
      <c r="C72" s="6">
        <v>1</v>
      </c>
      <c r="D72" s="7"/>
      <c r="E72" s="43">
        <f t="shared" si="23"/>
        <v>1</v>
      </c>
      <c r="F72" s="35">
        <v>45954</v>
      </c>
      <c r="H72" s="16"/>
      <c r="I72" s="5"/>
      <c r="J72" s="6"/>
      <c r="K72" s="7"/>
      <c r="L72" s="43">
        <f t="shared" si="25"/>
        <v>0</v>
      </c>
      <c r="M72" s="71"/>
    </row>
    <row r="73" spans="1:13" x14ac:dyDescent="0.15">
      <c r="A73" s="13" t="s">
        <v>48</v>
      </c>
      <c r="B73" s="5"/>
      <c r="C73" s="6"/>
      <c r="D73" s="7">
        <v>1</v>
      </c>
      <c r="E73" s="43">
        <f t="shared" si="23"/>
        <v>1</v>
      </c>
      <c r="F73" s="35">
        <v>45960</v>
      </c>
      <c r="H73" s="14"/>
      <c r="I73" s="5"/>
      <c r="J73" s="6"/>
      <c r="K73" s="7"/>
      <c r="L73" s="43">
        <f t="shared" si="25"/>
        <v>0</v>
      </c>
      <c r="M73" s="71"/>
    </row>
    <row r="74" spans="1:13" x14ac:dyDescent="0.15">
      <c r="A74" s="13" t="s">
        <v>71</v>
      </c>
      <c r="B74" s="5">
        <v>1</v>
      </c>
      <c r="C74" s="6"/>
      <c r="D74" s="7"/>
      <c r="E74" s="43">
        <f t="shared" si="23"/>
        <v>1</v>
      </c>
      <c r="F74" s="35">
        <v>45966</v>
      </c>
      <c r="H74" s="16"/>
      <c r="I74" s="5"/>
      <c r="J74" s="6"/>
      <c r="K74" s="7"/>
      <c r="L74" s="43">
        <f t="shared" si="25"/>
        <v>0</v>
      </c>
      <c r="M74" s="71"/>
    </row>
    <row r="75" spans="1:13" x14ac:dyDescent="0.15">
      <c r="A75" s="13" t="s">
        <v>73</v>
      </c>
      <c r="B75" s="5"/>
      <c r="C75" s="6">
        <v>1</v>
      </c>
      <c r="D75" s="7"/>
      <c r="E75" s="43">
        <f t="shared" si="23"/>
        <v>1</v>
      </c>
      <c r="F75" s="35">
        <v>45999</v>
      </c>
      <c r="H75" s="16"/>
      <c r="I75" s="5"/>
      <c r="J75" s="6"/>
      <c r="K75" s="7"/>
      <c r="L75" s="43">
        <f t="shared" si="25"/>
        <v>0</v>
      </c>
      <c r="M75" s="71"/>
    </row>
    <row r="76" spans="1:13" x14ac:dyDescent="0.15">
      <c r="A76" s="13" t="s">
        <v>48</v>
      </c>
      <c r="B76" s="5"/>
      <c r="C76" s="6">
        <v>2</v>
      </c>
      <c r="D76" s="7"/>
      <c r="E76" s="43">
        <f t="shared" si="23"/>
        <v>2</v>
      </c>
      <c r="F76" s="35">
        <v>46037</v>
      </c>
      <c r="H76" s="16"/>
      <c r="I76" s="5"/>
      <c r="J76" s="6"/>
      <c r="K76" s="7"/>
      <c r="L76" s="43">
        <f t="shared" si="25"/>
        <v>0</v>
      </c>
      <c r="M76" s="71"/>
    </row>
    <row r="77" spans="1:13" x14ac:dyDescent="0.15">
      <c r="A77" s="13" t="s">
        <v>48</v>
      </c>
      <c r="B77" s="5"/>
      <c r="C77" s="6">
        <v>1</v>
      </c>
      <c r="D77" s="7"/>
      <c r="E77" s="43">
        <f t="shared" si="23"/>
        <v>1</v>
      </c>
      <c r="F77" s="35">
        <v>46111</v>
      </c>
      <c r="H77" s="16"/>
      <c r="I77" s="5"/>
      <c r="J77" s="6"/>
      <c r="K77" s="7"/>
      <c r="L77" s="43">
        <f t="shared" si="25"/>
        <v>0</v>
      </c>
      <c r="M77" s="71"/>
    </row>
    <row r="78" spans="1:13" x14ac:dyDescent="0.15">
      <c r="A78" s="13" t="s">
        <v>48</v>
      </c>
      <c r="B78" s="8"/>
      <c r="C78" s="9">
        <v>1</v>
      </c>
      <c r="D78" s="10"/>
      <c r="E78" s="43">
        <f t="shared" si="23"/>
        <v>1</v>
      </c>
      <c r="F78" s="35">
        <v>46126</v>
      </c>
      <c r="H78" s="16"/>
      <c r="I78" s="5"/>
      <c r="J78" s="6"/>
      <c r="K78" s="7"/>
      <c r="L78" s="43">
        <f t="shared" si="25"/>
        <v>0</v>
      </c>
      <c r="M78" s="71"/>
    </row>
    <row r="79" spans="1:13" x14ac:dyDescent="0.15">
      <c r="A79" s="13" t="s">
        <v>48</v>
      </c>
      <c r="B79" s="5">
        <v>1</v>
      </c>
      <c r="C79" s="6"/>
      <c r="D79" s="7"/>
      <c r="E79" s="43">
        <f t="shared" si="23"/>
        <v>1</v>
      </c>
      <c r="F79" s="35">
        <v>46128</v>
      </c>
      <c r="H79" s="16"/>
      <c r="I79" s="5"/>
      <c r="J79" s="6"/>
      <c r="K79" s="7"/>
      <c r="L79" s="43">
        <f t="shared" si="25"/>
        <v>0</v>
      </c>
      <c r="M79" s="71"/>
    </row>
    <row r="80" spans="1:13" x14ac:dyDescent="0.15">
      <c r="A80" s="13" t="s">
        <v>113</v>
      </c>
      <c r="B80" s="8">
        <v>2</v>
      </c>
      <c r="C80" s="9">
        <v>2</v>
      </c>
      <c r="D80" s="10">
        <v>3</v>
      </c>
      <c r="E80" s="44">
        <f t="shared" si="23"/>
        <v>7</v>
      </c>
      <c r="F80" s="35">
        <v>46130</v>
      </c>
      <c r="H80" s="16"/>
      <c r="I80" s="5"/>
      <c r="J80" s="6"/>
      <c r="K80" s="7"/>
      <c r="L80" s="43">
        <f t="shared" si="25"/>
        <v>0</v>
      </c>
      <c r="M80" s="71"/>
    </row>
    <row r="81" spans="1:14" x14ac:dyDescent="0.15">
      <c r="A81" s="13" t="s">
        <v>48</v>
      </c>
      <c r="B81" s="5"/>
      <c r="C81" s="6"/>
      <c r="D81" s="7">
        <v>1</v>
      </c>
      <c r="E81" s="43">
        <f t="shared" si="23"/>
        <v>1</v>
      </c>
      <c r="F81" s="35">
        <v>46133</v>
      </c>
      <c r="H81" s="16" t="s">
        <v>49</v>
      </c>
      <c r="I81" s="5"/>
      <c r="J81" s="6"/>
      <c r="K81" s="7"/>
      <c r="L81" s="43">
        <f t="shared" ref="L81" si="26">SUM(I81:K81)</f>
        <v>0</v>
      </c>
      <c r="M81" s="71" t="s">
        <v>50</v>
      </c>
    </row>
    <row r="82" spans="1:14" ht="14.25" thickBot="1" x14ac:dyDescent="0.2">
      <c r="A82" s="13" t="s">
        <v>48</v>
      </c>
      <c r="B82" s="8">
        <v>1</v>
      </c>
      <c r="C82" s="9"/>
      <c r="D82" s="10"/>
      <c r="E82" s="47">
        <f t="shared" si="23"/>
        <v>1</v>
      </c>
      <c r="F82" s="35">
        <v>46139</v>
      </c>
      <c r="H82" s="16" t="s">
        <v>53</v>
      </c>
      <c r="I82" s="5"/>
      <c r="J82" s="6"/>
      <c r="K82" s="7"/>
      <c r="L82" s="43">
        <f t="shared" si="25"/>
        <v>0</v>
      </c>
      <c r="M82" s="71" t="s">
        <v>54</v>
      </c>
    </row>
    <row r="83" spans="1:14" ht="14.25" thickBot="1" x14ac:dyDescent="0.2">
      <c r="A83" s="25" t="s">
        <v>17</v>
      </c>
      <c r="B83" s="28">
        <f>SUM(B57:B82)</f>
        <v>15</v>
      </c>
      <c r="C83" s="29">
        <f t="shared" ref="C83:D83" si="27">SUM(C57:C82)</f>
        <v>15</v>
      </c>
      <c r="D83" s="33">
        <f t="shared" si="27"/>
        <v>12</v>
      </c>
      <c r="E83" s="48">
        <f t="shared" si="23"/>
        <v>42</v>
      </c>
      <c r="H83" s="25" t="s">
        <v>17</v>
      </c>
      <c r="I83" s="28">
        <f>SUM(I57:I82)</f>
        <v>13</v>
      </c>
      <c r="J83" s="29">
        <f t="shared" ref="J83" si="28">SUM(J57:J82)</f>
        <v>11</v>
      </c>
      <c r="K83" s="33">
        <f t="shared" ref="K83" si="29">SUM(K57:K82)</f>
        <v>8</v>
      </c>
      <c r="L83" s="48">
        <f t="shared" ref="L83" si="30">SUM(L57:L82)</f>
        <v>32</v>
      </c>
    </row>
    <row r="84" spans="1:14" ht="14.25" thickBot="1" x14ac:dyDescent="0.2">
      <c r="A84" s="12" t="s">
        <v>16</v>
      </c>
      <c r="B84" s="50">
        <f>B56-B83</f>
        <v>0</v>
      </c>
      <c r="C84" s="51">
        <f t="shared" ref="C84:D84" si="31">C56-C83</f>
        <v>3</v>
      </c>
      <c r="D84" s="52">
        <f t="shared" si="31"/>
        <v>2</v>
      </c>
      <c r="E84" s="49">
        <f>SUM(B84:D84)</f>
        <v>5</v>
      </c>
      <c r="H84" s="12" t="s">
        <v>16</v>
      </c>
      <c r="I84" s="50">
        <f>I56-I83</f>
        <v>558</v>
      </c>
      <c r="J84" s="51">
        <f t="shared" ref="J84" si="32">J56-J83</f>
        <v>590</v>
      </c>
      <c r="K84" s="52">
        <f t="shared" ref="K84" si="33">K56-K83</f>
        <v>347</v>
      </c>
      <c r="L84" s="49">
        <f t="shared" ref="L84" si="34">L56-L83</f>
        <v>1495</v>
      </c>
      <c r="N84" t="s">
        <v>60</v>
      </c>
    </row>
    <row r="87" spans="1:14" ht="19.5" thickBot="1" x14ac:dyDescent="0.25">
      <c r="A87" s="81" t="s">
        <v>23</v>
      </c>
      <c r="B87" s="82"/>
      <c r="C87" s="82"/>
      <c r="D87" s="82"/>
      <c r="E87" s="82"/>
      <c r="H87" s="106" t="s">
        <v>25</v>
      </c>
      <c r="I87" s="107"/>
      <c r="J87" s="107"/>
      <c r="K87" s="106">
        <v>600</v>
      </c>
      <c r="L87" s="108">
        <v>1980</v>
      </c>
      <c r="M87"/>
    </row>
    <row r="88" spans="1:14" ht="14.25" thickBot="1" x14ac:dyDescent="0.2">
      <c r="A88" s="4" t="s">
        <v>0</v>
      </c>
      <c r="B88" s="147" t="s">
        <v>24</v>
      </c>
      <c r="C88" s="148"/>
      <c r="D88" s="148"/>
      <c r="E88" s="149"/>
      <c r="H88" s="4" t="s">
        <v>0</v>
      </c>
      <c r="I88" s="147" t="s">
        <v>24</v>
      </c>
      <c r="J88" s="148"/>
      <c r="K88" s="148"/>
      <c r="L88" s="149"/>
      <c r="M88"/>
    </row>
    <row r="89" spans="1:14" ht="14.25" thickBot="1" x14ac:dyDescent="0.2">
      <c r="A89" s="4" t="s">
        <v>1</v>
      </c>
      <c r="B89" s="1" t="s">
        <v>2</v>
      </c>
      <c r="C89" s="2" t="s">
        <v>3</v>
      </c>
      <c r="D89" s="3" t="s">
        <v>4</v>
      </c>
      <c r="E89" s="4" t="s">
        <v>5</v>
      </c>
      <c r="H89" s="4" t="s">
        <v>1</v>
      </c>
      <c r="I89" s="1" t="s">
        <v>2</v>
      </c>
      <c r="J89" s="2" t="s">
        <v>3</v>
      </c>
      <c r="K89" s="3" t="s">
        <v>4</v>
      </c>
      <c r="L89" s="4" t="s">
        <v>5</v>
      </c>
      <c r="M89"/>
    </row>
    <row r="90" spans="1:14" ht="14.25" thickBot="1" x14ac:dyDescent="0.2">
      <c r="A90" s="17" t="s">
        <v>18</v>
      </c>
      <c r="B90" s="28">
        <f>B84</f>
        <v>0</v>
      </c>
      <c r="C90" s="29">
        <f>C84</f>
        <v>3</v>
      </c>
      <c r="D90" s="112">
        <f>D84</f>
        <v>2</v>
      </c>
      <c r="E90" s="48">
        <f>SUM(B90:D90)</f>
        <v>5</v>
      </c>
      <c r="H90" s="17" t="s">
        <v>18</v>
      </c>
      <c r="I90" s="54">
        <f>I84</f>
        <v>558</v>
      </c>
      <c r="J90" s="55">
        <f t="shared" ref="J90:L90" si="35">J84</f>
        <v>590</v>
      </c>
      <c r="K90" s="56">
        <f t="shared" si="35"/>
        <v>347</v>
      </c>
      <c r="L90" s="53">
        <f t="shared" si="35"/>
        <v>1495</v>
      </c>
      <c r="M90"/>
    </row>
    <row r="91" spans="1:14" x14ac:dyDescent="0.15">
      <c r="A91" s="15" t="s">
        <v>7</v>
      </c>
      <c r="B91" s="137">
        <v>3</v>
      </c>
      <c r="C91" s="138"/>
      <c r="D91" s="139"/>
      <c r="E91" s="43">
        <f t="shared" ref="E91:E96" si="36">SUM(B91:D91)</f>
        <v>3</v>
      </c>
      <c r="F91" s="35">
        <v>46142</v>
      </c>
      <c r="G91" s="39"/>
      <c r="H91" s="15" t="s">
        <v>7</v>
      </c>
      <c r="I91" s="57"/>
      <c r="J91" s="58"/>
      <c r="K91" s="59"/>
      <c r="L91" s="42">
        <f>SUM(I91:K91)</f>
        <v>0</v>
      </c>
      <c r="M91"/>
    </row>
    <row r="92" spans="1:14" x14ac:dyDescent="0.15">
      <c r="A92" s="15" t="s">
        <v>8</v>
      </c>
      <c r="B92" s="8"/>
      <c r="C92" s="9"/>
      <c r="D92" s="31"/>
      <c r="E92" s="44">
        <f t="shared" si="36"/>
        <v>0</v>
      </c>
      <c r="F92" s="36"/>
      <c r="H92" s="15" t="s">
        <v>8</v>
      </c>
      <c r="I92" s="63"/>
      <c r="J92" s="64"/>
      <c r="K92" s="65"/>
      <c r="L92" s="44">
        <f t="shared" ref="L92:L98" si="37">SUM(I92:K92)</f>
        <v>0</v>
      </c>
      <c r="M92"/>
    </row>
    <row r="93" spans="1:14" x14ac:dyDescent="0.15">
      <c r="A93" s="15" t="s">
        <v>9</v>
      </c>
      <c r="B93" s="8"/>
      <c r="C93" s="9"/>
      <c r="D93" s="31"/>
      <c r="E93" s="44">
        <f t="shared" si="36"/>
        <v>0</v>
      </c>
      <c r="F93" s="36"/>
      <c r="H93" s="15" t="s">
        <v>9</v>
      </c>
      <c r="I93" s="63"/>
      <c r="J93" s="64"/>
      <c r="K93" s="65"/>
      <c r="L93" s="44">
        <f t="shared" ref="L93:L94" si="38">SUM(I93:K93)</f>
        <v>0</v>
      </c>
      <c r="M93"/>
    </row>
    <row r="94" spans="1:14" x14ac:dyDescent="0.15">
      <c r="A94" s="15" t="s">
        <v>10</v>
      </c>
      <c r="B94" s="8"/>
      <c r="C94" s="9"/>
      <c r="D94" s="31"/>
      <c r="E94" s="44">
        <f t="shared" si="36"/>
        <v>0</v>
      </c>
      <c r="F94" s="36"/>
      <c r="H94" s="15" t="s">
        <v>10</v>
      </c>
      <c r="I94" s="63"/>
      <c r="J94" s="64"/>
      <c r="K94" s="65"/>
      <c r="L94" s="44">
        <f t="shared" si="38"/>
        <v>0</v>
      </c>
      <c r="M94"/>
    </row>
    <row r="95" spans="1:14" x14ac:dyDescent="0.15">
      <c r="A95" s="15" t="s">
        <v>11</v>
      </c>
      <c r="B95" s="8"/>
      <c r="C95" s="9"/>
      <c r="D95" s="31"/>
      <c r="E95" s="44">
        <f t="shared" si="36"/>
        <v>0</v>
      </c>
      <c r="F95" s="36"/>
      <c r="G95" s="39"/>
      <c r="H95" s="15" t="s">
        <v>11</v>
      </c>
      <c r="I95" s="63"/>
      <c r="J95" s="64"/>
      <c r="K95" s="65"/>
      <c r="L95" s="44">
        <f t="shared" si="37"/>
        <v>0</v>
      </c>
      <c r="M95"/>
    </row>
    <row r="96" spans="1:14" x14ac:dyDescent="0.15">
      <c r="A96" s="15" t="s">
        <v>12</v>
      </c>
      <c r="B96" s="8"/>
      <c r="C96" s="9"/>
      <c r="D96" s="31"/>
      <c r="E96" s="44">
        <f t="shared" si="36"/>
        <v>0</v>
      </c>
      <c r="F96" s="36"/>
      <c r="H96" s="15" t="s">
        <v>12</v>
      </c>
      <c r="I96" s="63"/>
      <c r="J96" s="64"/>
      <c r="K96" s="65"/>
      <c r="L96" s="44">
        <f t="shared" si="37"/>
        <v>0</v>
      </c>
      <c r="M96"/>
    </row>
    <row r="97" spans="1:14" x14ac:dyDescent="0.15">
      <c r="A97" s="15" t="s">
        <v>13</v>
      </c>
      <c r="B97" s="8"/>
      <c r="C97" s="9"/>
      <c r="D97" s="31"/>
      <c r="E97" s="44">
        <f t="shared" ref="E97:E98" si="39">SUM(B97:D97)</f>
        <v>0</v>
      </c>
      <c r="F97" s="36"/>
      <c r="H97" s="15" t="s">
        <v>13</v>
      </c>
      <c r="I97" s="63"/>
      <c r="J97" s="64"/>
      <c r="K97" s="65"/>
      <c r="L97" s="44">
        <f t="shared" si="37"/>
        <v>0</v>
      </c>
      <c r="M97"/>
    </row>
    <row r="98" spans="1:14" ht="14.25" thickBot="1" x14ac:dyDescent="0.2">
      <c r="A98" s="15" t="s">
        <v>14</v>
      </c>
      <c r="B98" s="21"/>
      <c r="C98" s="22"/>
      <c r="D98" s="32"/>
      <c r="E98" s="45">
        <f t="shared" si="39"/>
        <v>0</v>
      </c>
      <c r="F98" s="35"/>
      <c r="H98" s="15" t="s">
        <v>14</v>
      </c>
      <c r="I98" s="63"/>
      <c r="J98" s="64"/>
      <c r="K98" s="65"/>
      <c r="L98" s="44">
        <f t="shared" si="37"/>
        <v>0</v>
      </c>
      <c r="M98"/>
    </row>
    <row r="99" spans="1:14" ht="14.25" thickBot="1" x14ac:dyDescent="0.2">
      <c r="A99" s="23" t="s">
        <v>15</v>
      </c>
      <c r="B99" s="18">
        <f>SUM(B90:B98)</f>
        <v>3</v>
      </c>
      <c r="C99" s="19">
        <f t="shared" ref="C99:D99" si="40">SUM(C90:C98)</f>
        <v>3</v>
      </c>
      <c r="D99" s="20">
        <f t="shared" si="40"/>
        <v>2</v>
      </c>
      <c r="E99" s="46">
        <f>SUM(B99:D99)</f>
        <v>8</v>
      </c>
      <c r="H99" s="23" t="s">
        <v>15</v>
      </c>
      <c r="I99" s="18">
        <f>SUM(I90:I98)</f>
        <v>558</v>
      </c>
      <c r="J99" s="19">
        <f t="shared" ref="J99:L99" si="41">SUM(J90:J98)</f>
        <v>590</v>
      </c>
      <c r="K99" s="20">
        <f t="shared" si="41"/>
        <v>347</v>
      </c>
      <c r="L99" s="46">
        <f t="shared" si="41"/>
        <v>1495</v>
      </c>
      <c r="M99"/>
    </row>
    <row r="100" spans="1:14" x14ac:dyDescent="0.15">
      <c r="A100" s="13" t="s">
        <v>48</v>
      </c>
      <c r="B100" s="5">
        <v>1</v>
      </c>
      <c r="C100" s="6"/>
      <c r="D100" s="7"/>
      <c r="E100" s="43">
        <f t="shared" ref="E100:E116" si="42">SUM(B100:D100)</f>
        <v>1</v>
      </c>
      <c r="F100" s="35">
        <v>46156</v>
      </c>
      <c r="H100" s="16" t="s">
        <v>89</v>
      </c>
      <c r="I100" s="5">
        <v>10</v>
      </c>
      <c r="J100" s="6">
        <v>12</v>
      </c>
      <c r="K100" s="7">
        <v>12</v>
      </c>
      <c r="L100" s="43">
        <f>SUM(I100:K100)</f>
        <v>34</v>
      </c>
      <c r="M100" s="71">
        <v>46066</v>
      </c>
      <c r="N100" s="39"/>
    </row>
    <row r="101" spans="1:14" x14ac:dyDescent="0.15">
      <c r="A101" s="13"/>
      <c r="B101" s="5"/>
      <c r="C101" s="6"/>
      <c r="D101" s="7"/>
      <c r="E101" s="43">
        <f t="shared" si="42"/>
        <v>0</v>
      </c>
      <c r="F101" s="35"/>
      <c r="H101" s="16" t="s">
        <v>97</v>
      </c>
      <c r="I101" s="5"/>
      <c r="J101" s="6">
        <v>3</v>
      </c>
      <c r="K101" s="7"/>
      <c r="L101" s="43">
        <f t="shared" ref="L101" si="43">SUM(I101:K101)</f>
        <v>3</v>
      </c>
      <c r="M101" s="71">
        <v>46086</v>
      </c>
    </row>
    <row r="102" spans="1:14" x14ac:dyDescent="0.15">
      <c r="A102" s="13"/>
      <c r="B102" s="5"/>
      <c r="C102" s="6"/>
      <c r="D102" s="7"/>
      <c r="E102" s="43">
        <f t="shared" si="42"/>
        <v>0</v>
      </c>
      <c r="F102" s="35"/>
      <c r="H102" s="16" t="s">
        <v>104</v>
      </c>
      <c r="I102" s="5">
        <v>22</v>
      </c>
      <c r="J102" s="6">
        <v>26</v>
      </c>
      <c r="K102" s="7">
        <v>20</v>
      </c>
      <c r="L102" s="43">
        <f t="shared" ref="L102:L115" si="44">SUM(I102:K102)</f>
        <v>68</v>
      </c>
      <c r="M102" s="71">
        <v>46087</v>
      </c>
      <c r="N102" s="39"/>
    </row>
    <row r="103" spans="1:14" x14ac:dyDescent="0.15">
      <c r="A103" s="13"/>
      <c r="B103" s="5"/>
      <c r="C103" s="6"/>
      <c r="D103" s="7"/>
      <c r="E103" s="43">
        <f t="shared" si="42"/>
        <v>0</v>
      </c>
      <c r="F103" s="35"/>
      <c r="G103" s="39"/>
      <c r="H103" s="16" t="s">
        <v>100</v>
      </c>
      <c r="I103" s="5">
        <v>5</v>
      </c>
      <c r="J103" s="6">
        <v>3</v>
      </c>
      <c r="K103" s="7">
        <v>2</v>
      </c>
      <c r="L103" s="43">
        <f t="shared" si="44"/>
        <v>10</v>
      </c>
      <c r="M103" s="71">
        <v>46094</v>
      </c>
      <c r="N103" s="39"/>
    </row>
    <row r="104" spans="1:14" x14ac:dyDescent="0.15">
      <c r="A104" s="13"/>
      <c r="B104" s="5"/>
      <c r="C104" s="6"/>
      <c r="D104" s="7"/>
      <c r="E104" s="43">
        <f t="shared" si="42"/>
        <v>0</v>
      </c>
      <c r="F104" s="35"/>
      <c r="G104" s="39"/>
      <c r="H104" s="16" t="s">
        <v>107</v>
      </c>
      <c r="I104" s="5">
        <v>10</v>
      </c>
      <c r="J104" s="6">
        <v>20</v>
      </c>
      <c r="K104" s="7">
        <v>15</v>
      </c>
      <c r="L104" s="43">
        <f t="shared" si="44"/>
        <v>45</v>
      </c>
      <c r="M104" s="71">
        <v>46094</v>
      </c>
    </row>
    <row r="105" spans="1:14" x14ac:dyDescent="0.15">
      <c r="A105" s="13"/>
      <c r="B105" s="5"/>
      <c r="C105" s="6"/>
      <c r="D105" s="7"/>
      <c r="E105" s="43">
        <f t="shared" si="42"/>
        <v>0</v>
      </c>
      <c r="F105" s="35"/>
      <c r="H105" s="14"/>
      <c r="I105" s="5" t="s">
        <v>19</v>
      </c>
      <c r="J105" s="6"/>
      <c r="K105" s="7"/>
      <c r="L105" s="43">
        <f t="shared" si="44"/>
        <v>0</v>
      </c>
    </row>
    <row r="106" spans="1:14" x14ac:dyDescent="0.15">
      <c r="A106" s="13"/>
      <c r="B106" s="5"/>
      <c r="C106" s="6"/>
      <c r="D106" s="7"/>
      <c r="E106" s="43">
        <f t="shared" si="42"/>
        <v>0</v>
      </c>
      <c r="F106" s="35"/>
      <c r="G106" s="39"/>
      <c r="H106" s="14"/>
      <c r="I106" s="5" t="s">
        <v>19</v>
      </c>
      <c r="J106" s="6"/>
      <c r="K106" s="7"/>
      <c r="L106" s="43">
        <f t="shared" si="44"/>
        <v>0</v>
      </c>
    </row>
    <row r="107" spans="1:14" x14ac:dyDescent="0.15">
      <c r="A107" s="13"/>
      <c r="B107" s="5"/>
      <c r="C107" s="6"/>
      <c r="D107" s="7"/>
      <c r="E107" s="43">
        <f t="shared" si="42"/>
        <v>0</v>
      </c>
      <c r="F107" s="35"/>
      <c r="G107" s="39"/>
      <c r="H107" s="14"/>
      <c r="I107" s="5" t="s">
        <v>19</v>
      </c>
      <c r="J107" s="6"/>
      <c r="K107" s="7"/>
      <c r="L107" s="43">
        <f t="shared" si="44"/>
        <v>0</v>
      </c>
    </row>
    <row r="108" spans="1:14" x14ac:dyDescent="0.15">
      <c r="A108" s="13"/>
      <c r="B108" s="5"/>
      <c r="C108" s="6"/>
      <c r="D108" s="7"/>
      <c r="E108" s="43">
        <f t="shared" si="42"/>
        <v>0</v>
      </c>
      <c r="F108" s="35"/>
      <c r="G108" s="39"/>
      <c r="H108" s="16"/>
      <c r="I108" s="5"/>
      <c r="J108" s="6"/>
      <c r="K108" s="7"/>
      <c r="L108" s="43">
        <f t="shared" si="44"/>
        <v>0</v>
      </c>
    </row>
    <row r="109" spans="1:14" x14ac:dyDescent="0.15">
      <c r="A109" s="13"/>
      <c r="B109" s="5"/>
      <c r="C109" s="6"/>
      <c r="D109" s="7"/>
      <c r="E109" s="43">
        <f t="shared" si="42"/>
        <v>0</v>
      </c>
      <c r="F109" s="35"/>
      <c r="G109" s="39"/>
      <c r="H109" s="14"/>
      <c r="I109" s="8"/>
      <c r="J109" s="9"/>
      <c r="K109" s="10"/>
      <c r="L109" s="43">
        <f t="shared" si="44"/>
        <v>0</v>
      </c>
    </row>
    <row r="110" spans="1:14" x14ac:dyDescent="0.15">
      <c r="A110" s="13"/>
      <c r="B110" s="5"/>
      <c r="C110" s="6"/>
      <c r="D110" s="7"/>
      <c r="E110" s="43">
        <f t="shared" si="42"/>
        <v>0</v>
      </c>
      <c r="F110" s="35"/>
      <c r="H110" s="16"/>
      <c r="I110" s="5"/>
      <c r="J110" s="6"/>
      <c r="K110" s="7"/>
      <c r="L110" s="43">
        <f t="shared" si="44"/>
        <v>0</v>
      </c>
    </row>
    <row r="111" spans="1:14" x14ac:dyDescent="0.15">
      <c r="A111" s="13"/>
      <c r="B111" s="5"/>
      <c r="C111" s="6"/>
      <c r="D111" s="7"/>
      <c r="E111" s="43">
        <f t="shared" si="42"/>
        <v>0</v>
      </c>
      <c r="F111" s="35"/>
      <c r="H111" s="16"/>
      <c r="I111" s="5"/>
      <c r="J111" s="6"/>
      <c r="K111" s="7"/>
      <c r="L111" s="43">
        <f t="shared" si="44"/>
        <v>0</v>
      </c>
    </row>
    <row r="112" spans="1:14" x14ac:dyDescent="0.15">
      <c r="A112" s="13"/>
      <c r="B112" s="5"/>
      <c r="C112" s="6"/>
      <c r="D112" s="7"/>
      <c r="E112" s="43">
        <f t="shared" si="42"/>
        <v>0</v>
      </c>
      <c r="F112" s="35"/>
      <c r="H112" s="14"/>
      <c r="I112" s="5"/>
      <c r="J112" s="6"/>
      <c r="K112" s="7"/>
      <c r="L112" s="43">
        <f t="shared" si="44"/>
        <v>0</v>
      </c>
    </row>
    <row r="113" spans="1:13" x14ac:dyDescent="0.15">
      <c r="A113" s="13"/>
      <c r="B113" s="5"/>
      <c r="C113" s="6"/>
      <c r="D113" s="7"/>
      <c r="E113" s="43">
        <f t="shared" si="42"/>
        <v>0</v>
      </c>
      <c r="F113" s="35"/>
      <c r="H113" s="14"/>
      <c r="I113" s="5"/>
      <c r="J113" s="6"/>
      <c r="K113" s="7"/>
      <c r="L113" s="43">
        <f t="shared" si="44"/>
        <v>0</v>
      </c>
    </row>
    <row r="114" spans="1:13" x14ac:dyDescent="0.15">
      <c r="A114" s="13"/>
      <c r="B114" s="5"/>
      <c r="C114" s="6"/>
      <c r="D114" s="7"/>
      <c r="E114" s="43">
        <f t="shared" si="42"/>
        <v>0</v>
      </c>
      <c r="F114" s="35"/>
      <c r="H114" s="16"/>
      <c r="I114" s="5"/>
      <c r="J114" s="6"/>
      <c r="K114" s="7"/>
      <c r="L114" s="43">
        <f t="shared" si="44"/>
        <v>0</v>
      </c>
    </row>
    <row r="115" spans="1:13" x14ac:dyDescent="0.15">
      <c r="A115" s="13"/>
      <c r="B115" s="5"/>
      <c r="C115" s="6"/>
      <c r="D115" s="7"/>
      <c r="E115" s="43">
        <f t="shared" si="42"/>
        <v>0</v>
      </c>
      <c r="F115" s="35"/>
      <c r="H115" s="16"/>
      <c r="I115" s="5"/>
      <c r="J115" s="6"/>
      <c r="K115" s="7"/>
      <c r="L115" s="43">
        <f t="shared" si="44"/>
        <v>0</v>
      </c>
    </row>
    <row r="116" spans="1:13" x14ac:dyDescent="0.15">
      <c r="A116" s="13"/>
      <c r="B116" s="5"/>
      <c r="C116" s="6"/>
      <c r="D116" s="7"/>
      <c r="E116" s="43">
        <f t="shared" si="42"/>
        <v>0</v>
      </c>
      <c r="F116" s="35"/>
      <c r="H116" s="16"/>
      <c r="I116" s="5"/>
      <c r="J116" s="6"/>
      <c r="K116" s="7"/>
      <c r="L116" s="43">
        <f t="shared" ref="L116:L118" si="45">SUM(I116:K116)</f>
        <v>0</v>
      </c>
      <c r="M116"/>
    </row>
    <row r="117" spans="1:13" x14ac:dyDescent="0.15">
      <c r="A117" s="13"/>
      <c r="B117" s="5"/>
      <c r="C117" s="6"/>
      <c r="D117" s="7"/>
      <c r="E117" s="43">
        <f t="shared" ref="E117:E126" si="46">SUM(B117:D117)</f>
        <v>0</v>
      </c>
      <c r="F117" s="35"/>
      <c r="H117" s="16"/>
      <c r="I117" s="5"/>
      <c r="J117" s="6"/>
      <c r="K117" s="7"/>
      <c r="L117" s="43">
        <f t="shared" si="45"/>
        <v>0</v>
      </c>
      <c r="M117"/>
    </row>
    <row r="118" spans="1:13" x14ac:dyDescent="0.15">
      <c r="A118" s="13"/>
      <c r="B118" s="5"/>
      <c r="C118" s="6"/>
      <c r="D118" s="7"/>
      <c r="E118" s="43">
        <f t="shared" si="46"/>
        <v>0</v>
      </c>
      <c r="F118" s="35"/>
      <c r="H118" s="16"/>
      <c r="I118" s="5"/>
      <c r="J118" s="6"/>
      <c r="K118" s="7"/>
      <c r="L118" s="43">
        <f t="shared" si="45"/>
        <v>0</v>
      </c>
      <c r="M118"/>
    </row>
    <row r="119" spans="1:13" x14ac:dyDescent="0.15">
      <c r="A119" s="13"/>
      <c r="B119" s="5"/>
      <c r="C119" s="6"/>
      <c r="D119" s="7"/>
      <c r="E119" s="43">
        <f t="shared" si="46"/>
        <v>0</v>
      </c>
      <c r="F119" s="35"/>
      <c r="H119" s="16"/>
      <c r="I119" s="5"/>
      <c r="J119" s="6"/>
      <c r="K119" s="7"/>
      <c r="L119" s="43">
        <f t="shared" ref="L119:L121" si="47">SUM(I119:K119)</f>
        <v>0</v>
      </c>
      <c r="M119"/>
    </row>
    <row r="120" spans="1:13" x14ac:dyDescent="0.15">
      <c r="A120" s="14"/>
      <c r="B120" s="5"/>
      <c r="C120" s="6"/>
      <c r="D120" s="7"/>
      <c r="E120" s="43">
        <f t="shared" si="46"/>
        <v>0</v>
      </c>
      <c r="F120" s="35"/>
      <c r="H120" s="16"/>
      <c r="I120" s="5"/>
      <c r="J120" s="6"/>
      <c r="K120" s="7"/>
      <c r="L120" s="43">
        <f t="shared" si="47"/>
        <v>0</v>
      </c>
      <c r="M120"/>
    </row>
    <row r="121" spans="1:13" x14ac:dyDescent="0.15">
      <c r="A121" s="13"/>
      <c r="B121" s="8"/>
      <c r="C121" s="9"/>
      <c r="D121" s="10"/>
      <c r="E121" s="43">
        <f t="shared" si="46"/>
        <v>0</v>
      </c>
      <c r="F121" s="35"/>
      <c r="H121" s="16"/>
      <c r="I121" s="5"/>
      <c r="J121" s="6"/>
      <c r="K121" s="7"/>
      <c r="L121" s="43">
        <f t="shared" si="47"/>
        <v>0</v>
      </c>
      <c r="M121"/>
    </row>
    <row r="122" spans="1:13" x14ac:dyDescent="0.15">
      <c r="A122" s="13"/>
      <c r="B122" s="5"/>
      <c r="C122" s="6"/>
      <c r="D122" s="7"/>
      <c r="E122" s="43">
        <f t="shared" si="46"/>
        <v>0</v>
      </c>
      <c r="F122" s="35"/>
      <c r="H122" s="125" t="s">
        <v>66</v>
      </c>
      <c r="I122" s="126"/>
      <c r="J122" s="127"/>
      <c r="K122" s="128"/>
      <c r="L122" s="129">
        <f t="shared" ref="L122:L125" si="48">SUM(I122:K122)</f>
        <v>0</v>
      </c>
      <c r="M122" s="39"/>
    </row>
    <row r="123" spans="1:13" x14ac:dyDescent="0.15">
      <c r="A123" s="13"/>
      <c r="B123" s="8"/>
      <c r="C123" s="9"/>
      <c r="D123" s="10"/>
      <c r="E123" s="44">
        <f t="shared" si="46"/>
        <v>0</v>
      </c>
      <c r="F123" s="35"/>
      <c r="H123" s="16" t="s">
        <v>66</v>
      </c>
      <c r="I123" s="5"/>
      <c r="J123" s="6"/>
      <c r="K123" s="7"/>
      <c r="L123" s="43">
        <f t="shared" si="48"/>
        <v>0</v>
      </c>
      <c r="M123" s="39" t="s">
        <v>65</v>
      </c>
    </row>
    <row r="124" spans="1:13" x14ac:dyDescent="0.15">
      <c r="A124" s="13"/>
      <c r="B124" s="5"/>
      <c r="C124" s="6"/>
      <c r="D124" s="7"/>
      <c r="E124" s="43">
        <f t="shared" si="46"/>
        <v>0</v>
      </c>
      <c r="F124" s="35"/>
      <c r="H124" s="125" t="s">
        <v>82</v>
      </c>
      <c r="I124" s="126"/>
      <c r="J124" s="127"/>
      <c r="K124" s="128"/>
      <c r="L124" s="129">
        <f t="shared" si="48"/>
        <v>0</v>
      </c>
      <c r="M124" s="130"/>
    </row>
    <row r="125" spans="1:13" ht="14.25" thickBot="1" x14ac:dyDescent="0.2">
      <c r="A125" s="13"/>
      <c r="B125" s="8"/>
      <c r="C125" s="9"/>
      <c r="D125" s="10"/>
      <c r="E125" s="47">
        <f t="shared" si="46"/>
        <v>0</v>
      </c>
      <c r="F125" s="35"/>
      <c r="H125" s="16" t="s">
        <v>109</v>
      </c>
      <c r="I125" s="5"/>
      <c r="J125" s="6"/>
      <c r="K125" s="7"/>
      <c r="L125" s="43">
        <f t="shared" si="48"/>
        <v>0</v>
      </c>
      <c r="M125" s="39" t="s">
        <v>81</v>
      </c>
    </row>
    <row r="126" spans="1:13" ht="14.25" thickBot="1" x14ac:dyDescent="0.2">
      <c r="A126" s="25" t="s">
        <v>17</v>
      </c>
      <c r="B126" s="28">
        <f>SUM(B100:B125)</f>
        <v>1</v>
      </c>
      <c r="C126" s="29">
        <f t="shared" ref="C126:D126" si="49">SUM(C100:C125)</f>
        <v>0</v>
      </c>
      <c r="D126" s="33">
        <f t="shared" si="49"/>
        <v>0</v>
      </c>
      <c r="E126" s="48">
        <f t="shared" si="46"/>
        <v>1</v>
      </c>
      <c r="H126" s="25" t="s">
        <v>17</v>
      </c>
      <c r="I126" s="28">
        <f>SUM(I100:I125)</f>
        <v>47</v>
      </c>
      <c r="J126" s="29">
        <f t="shared" ref="J126:L126" si="50">SUM(J100:J125)</f>
        <v>64</v>
      </c>
      <c r="K126" s="33">
        <f t="shared" si="50"/>
        <v>49</v>
      </c>
      <c r="L126" s="48">
        <f t="shared" si="50"/>
        <v>160</v>
      </c>
      <c r="M126"/>
    </row>
    <row r="127" spans="1:13" ht="14.25" thickBot="1" x14ac:dyDescent="0.2">
      <c r="A127" s="12" t="s">
        <v>16</v>
      </c>
      <c r="B127" s="50">
        <f>B99-B126</f>
        <v>2</v>
      </c>
      <c r="C127" s="51">
        <f t="shared" ref="C127:D127" si="51">C99-C126</f>
        <v>3</v>
      </c>
      <c r="D127" s="52">
        <f t="shared" si="51"/>
        <v>2</v>
      </c>
      <c r="E127" s="49">
        <f>SUM(B127:D127)</f>
        <v>7</v>
      </c>
      <c r="H127" s="12" t="s">
        <v>16</v>
      </c>
      <c r="I127" s="50">
        <f>I99-I126</f>
        <v>511</v>
      </c>
      <c r="J127" s="51">
        <f t="shared" ref="J127:L127" si="52">J99-J126</f>
        <v>526</v>
      </c>
      <c r="K127" s="52">
        <f t="shared" si="52"/>
        <v>298</v>
      </c>
      <c r="L127" s="49">
        <f t="shared" si="52"/>
        <v>1335</v>
      </c>
      <c r="M127"/>
    </row>
    <row r="128" spans="1:13" x14ac:dyDescent="0.15">
      <c r="M128"/>
    </row>
    <row r="129" spans="1:14" x14ac:dyDescent="0.15">
      <c r="M129"/>
    </row>
    <row r="130" spans="1:14" ht="19.5" thickBot="1" x14ac:dyDescent="0.25">
      <c r="A130" s="81" t="s">
        <v>23</v>
      </c>
      <c r="B130" s="82"/>
      <c r="C130" s="82"/>
      <c r="D130" s="82"/>
      <c r="E130" s="82"/>
      <c r="H130" s="106" t="s">
        <v>25</v>
      </c>
      <c r="I130" s="107"/>
      <c r="J130" s="107"/>
      <c r="K130" s="106">
        <v>600</v>
      </c>
      <c r="L130" s="108">
        <v>1980</v>
      </c>
      <c r="M130"/>
    </row>
    <row r="131" spans="1:14" ht="14.25" thickBot="1" x14ac:dyDescent="0.2">
      <c r="A131" s="4" t="s">
        <v>0</v>
      </c>
      <c r="B131" s="147" t="s">
        <v>24</v>
      </c>
      <c r="C131" s="148"/>
      <c r="D131" s="148"/>
      <c r="E131" s="149"/>
      <c r="H131" s="4" t="s">
        <v>0</v>
      </c>
      <c r="I131" s="147" t="s">
        <v>24</v>
      </c>
      <c r="J131" s="148"/>
      <c r="K131" s="148"/>
      <c r="L131" s="149"/>
      <c r="M131"/>
    </row>
    <row r="132" spans="1:14" ht="14.25" thickBot="1" x14ac:dyDescent="0.2">
      <c r="A132" s="4" t="s">
        <v>1</v>
      </c>
      <c r="B132" s="1" t="s">
        <v>2</v>
      </c>
      <c r="C132" s="2" t="s">
        <v>3</v>
      </c>
      <c r="D132" s="3" t="s">
        <v>4</v>
      </c>
      <c r="E132" s="4" t="s">
        <v>5</v>
      </c>
      <c r="H132" s="4" t="s">
        <v>1</v>
      </c>
      <c r="I132" s="1" t="s">
        <v>2</v>
      </c>
      <c r="J132" s="2" t="s">
        <v>3</v>
      </c>
      <c r="K132" s="3" t="s">
        <v>4</v>
      </c>
      <c r="L132" s="4" t="s">
        <v>5</v>
      </c>
      <c r="M132"/>
    </row>
    <row r="133" spans="1:14" ht="14.25" thickBot="1" x14ac:dyDescent="0.2">
      <c r="A133" s="17" t="s">
        <v>18</v>
      </c>
      <c r="B133" s="26">
        <f>B127</f>
        <v>2</v>
      </c>
      <c r="C133" s="27">
        <f>C127</f>
        <v>3</v>
      </c>
      <c r="D133" s="34">
        <f>D127</f>
        <v>2</v>
      </c>
      <c r="E133" s="41">
        <f>SUM(B133:D133)</f>
        <v>7</v>
      </c>
      <c r="H133" s="17" t="s">
        <v>18</v>
      </c>
      <c r="I133" s="54">
        <f>I127</f>
        <v>511</v>
      </c>
      <c r="J133" s="55">
        <f t="shared" ref="J133:L133" si="53">J127</f>
        <v>526</v>
      </c>
      <c r="K133" s="56">
        <f t="shared" si="53"/>
        <v>298</v>
      </c>
      <c r="L133" s="53">
        <f t="shared" si="53"/>
        <v>1335</v>
      </c>
      <c r="M133"/>
    </row>
    <row r="134" spans="1:14" x14ac:dyDescent="0.15">
      <c r="A134" s="88" t="s">
        <v>7</v>
      </c>
      <c r="B134" s="133">
        <v>3</v>
      </c>
      <c r="C134" s="134">
        <v>2</v>
      </c>
      <c r="D134" s="135"/>
      <c r="E134" s="92">
        <f t="shared" ref="E134:E141" si="54">SUM(B134:D134)</f>
        <v>5</v>
      </c>
      <c r="F134" s="120">
        <v>46162</v>
      </c>
      <c r="H134" s="15" t="s">
        <v>7</v>
      </c>
      <c r="I134" s="57"/>
      <c r="J134" s="58"/>
      <c r="K134" s="59"/>
      <c r="L134" s="42">
        <f>SUM(I134:K134)</f>
        <v>0</v>
      </c>
      <c r="M134"/>
    </row>
    <row r="135" spans="1:14" x14ac:dyDescent="0.15">
      <c r="A135" s="15" t="s">
        <v>8</v>
      </c>
      <c r="B135" s="8"/>
      <c r="C135" s="9"/>
      <c r="D135" s="31"/>
      <c r="E135" s="44">
        <f t="shared" si="54"/>
        <v>0</v>
      </c>
      <c r="H135" s="15" t="s">
        <v>112</v>
      </c>
      <c r="I135" s="63">
        <v>14</v>
      </c>
      <c r="J135" s="64">
        <v>15</v>
      </c>
      <c r="K135" s="65">
        <v>9</v>
      </c>
      <c r="L135" s="44">
        <f t="shared" ref="L135" si="55">SUM(I135:K135)</f>
        <v>38</v>
      </c>
      <c r="M135" s="71">
        <v>46129</v>
      </c>
    </row>
    <row r="136" spans="1:14" x14ac:dyDescent="0.15">
      <c r="A136" s="15" t="s">
        <v>9</v>
      </c>
      <c r="B136" s="8"/>
      <c r="C136" s="9"/>
      <c r="D136" s="31"/>
      <c r="E136" s="44">
        <f t="shared" si="54"/>
        <v>0</v>
      </c>
      <c r="H136" s="15" t="s">
        <v>9</v>
      </c>
      <c r="I136" s="63"/>
      <c r="J136" s="64"/>
      <c r="K136" s="65"/>
      <c r="L136" s="44">
        <f t="shared" ref="L136:L141" si="56">SUM(I136:K136)</f>
        <v>0</v>
      </c>
      <c r="M136"/>
    </row>
    <row r="137" spans="1:14" x14ac:dyDescent="0.15">
      <c r="A137" s="15" t="s">
        <v>10</v>
      </c>
      <c r="B137" s="8"/>
      <c r="C137" s="9"/>
      <c r="D137" s="31"/>
      <c r="E137" s="44">
        <f t="shared" si="54"/>
        <v>0</v>
      </c>
      <c r="H137" s="15" t="s">
        <v>10</v>
      </c>
      <c r="I137" s="63"/>
      <c r="J137" s="64"/>
      <c r="K137" s="65"/>
      <c r="L137" s="44">
        <f t="shared" si="56"/>
        <v>0</v>
      </c>
      <c r="M137"/>
    </row>
    <row r="138" spans="1:14" x14ac:dyDescent="0.15">
      <c r="A138" s="15" t="s">
        <v>11</v>
      </c>
      <c r="B138" s="8"/>
      <c r="C138" s="9"/>
      <c r="D138" s="31"/>
      <c r="E138" s="44">
        <f t="shared" si="54"/>
        <v>0</v>
      </c>
      <c r="H138" s="15" t="s">
        <v>11</v>
      </c>
      <c r="I138" s="63"/>
      <c r="J138" s="64"/>
      <c r="K138" s="65"/>
      <c r="L138" s="44">
        <f t="shared" si="56"/>
        <v>0</v>
      </c>
      <c r="M138"/>
    </row>
    <row r="139" spans="1:14" x14ac:dyDescent="0.15">
      <c r="A139" s="15" t="s">
        <v>12</v>
      </c>
      <c r="B139" s="8"/>
      <c r="C139" s="9"/>
      <c r="D139" s="31"/>
      <c r="E139" s="44">
        <f t="shared" si="54"/>
        <v>0</v>
      </c>
      <c r="H139" s="15" t="s">
        <v>12</v>
      </c>
      <c r="I139" s="63"/>
      <c r="J139" s="64"/>
      <c r="K139" s="65"/>
      <c r="L139" s="44">
        <f t="shared" si="56"/>
        <v>0</v>
      </c>
      <c r="M139"/>
    </row>
    <row r="140" spans="1:14" x14ac:dyDescent="0.15">
      <c r="A140" s="15" t="s">
        <v>13</v>
      </c>
      <c r="B140" s="8"/>
      <c r="C140" s="9"/>
      <c r="D140" s="31"/>
      <c r="E140" s="44">
        <f t="shared" si="54"/>
        <v>0</v>
      </c>
      <c r="H140" s="15" t="s">
        <v>13</v>
      </c>
      <c r="I140" s="63"/>
      <c r="J140" s="64"/>
      <c r="K140" s="65"/>
      <c r="L140" s="44">
        <f t="shared" si="56"/>
        <v>0</v>
      </c>
      <c r="M140"/>
    </row>
    <row r="141" spans="1:14" ht="14.25" thickBot="1" x14ac:dyDescent="0.2">
      <c r="A141" s="15" t="s">
        <v>14</v>
      </c>
      <c r="B141" s="21"/>
      <c r="C141" s="22"/>
      <c r="D141" s="32"/>
      <c r="E141" s="45">
        <f t="shared" si="54"/>
        <v>0</v>
      </c>
      <c r="H141" s="15" t="s">
        <v>14</v>
      </c>
      <c r="I141" s="63"/>
      <c r="J141" s="64"/>
      <c r="K141" s="65"/>
      <c r="L141" s="44">
        <f t="shared" si="56"/>
        <v>0</v>
      </c>
      <c r="M141"/>
    </row>
    <row r="142" spans="1:14" ht="14.25" thickBot="1" x14ac:dyDescent="0.2">
      <c r="A142" s="23" t="s">
        <v>15</v>
      </c>
      <c r="B142" s="18">
        <f>SUM(B133:B141)</f>
        <v>5</v>
      </c>
      <c r="C142" s="19">
        <f t="shared" ref="C142:D142" si="57">SUM(C133:C141)</f>
        <v>5</v>
      </c>
      <c r="D142" s="20">
        <f t="shared" si="57"/>
        <v>2</v>
      </c>
      <c r="E142" s="46">
        <f>SUM(B142:D142)</f>
        <v>12</v>
      </c>
      <c r="H142" s="23" t="s">
        <v>15</v>
      </c>
      <c r="I142" s="18">
        <f>SUM(I133:I141)</f>
        <v>525</v>
      </c>
      <c r="J142" s="19">
        <f t="shared" ref="J142:L142" si="58">SUM(J133:J141)</f>
        <v>541</v>
      </c>
      <c r="K142" s="20">
        <f t="shared" si="58"/>
        <v>307</v>
      </c>
      <c r="L142" s="46">
        <f t="shared" si="58"/>
        <v>1373</v>
      </c>
      <c r="M142"/>
    </row>
    <row r="143" spans="1:14" x14ac:dyDescent="0.15">
      <c r="A143" s="13" t="s">
        <v>125</v>
      </c>
      <c r="B143" s="5">
        <v>1</v>
      </c>
      <c r="C143" s="6"/>
      <c r="D143" s="7"/>
      <c r="E143" s="43">
        <f t="shared" ref="E143:E169" si="59">SUM(B143:D143)</f>
        <v>1</v>
      </c>
      <c r="F143" s="36">
        <v>46157</v>
      </c>
      <c r="H143" s="16" t="s">
        <v>111</v>
      </c>
      <c r="I143" s="5">
        <v>12</v>
      </c>
      <c r="J143" s="6">
        <v>12</v>
      </c>
      <c r="K143" s="7">
        <v>12</v>
      </c>
      <c r="L143" s="43">
        <f t="shared" ref="L143" si="60">SUM(I143:K143)</f>
        <v>36</v>
      </c>
      <c r="M143" s="71">
        <v>46121</v>
      </c>
    </row>
    <row r="144" spans="1:14" x14ac:dyDescent="0.15">
      <c r="A144" s="13" t="s">
        <v>48</v>
      </c>
      <c r="B144" s="5">
        <v>1</v>
      </c>
      <c r="C144" s="6"/>
      <c r="D144" s="7"/>
      <c r="E144" s="43">
        <f t="shared" si="59"/>
        <v>1</v>
      </c>
      <c r="F144" s="36">
        <v>46160</v>
      </c>
      <c r="H144" s="16" t="s">
        <v>120</v>
      </c>
      <c r="I144" s="5">
        <v>3</v>
      </c>
      <c r="J144" s="6">
        <v>3</v>
      </c>
      <c r="K144" s="7">
        <v>2</v>
      </c>
      <c r="L144" s="43">
        <f t="shared" ref="L144:L168" si="61">SUM(I144:K144)</f>
        <v>8</v>
      </c>
      <c r="M144" s="71">
        <v>46151</v>
      </c>
      <c r="N144" s="39"/>
    </row>
    <row r="145" spans="1:13" x14ac:dyDescent="0.15">
      <c r="A145" s="13" t="s">
        <v>48</v>
      </c>
      <c r="B145" s="5"/>
      <c r="C145" s="6"/>
      <c r="D145" s="7">
        <v>1</v>
      </c>
      <c r="E145" s="43">
        <f t="shared" si="59"/>
        <v>1</v>
      </c>
      <c r="F145" s="36">
        <v>46181</v>
      </c>
      <c r="H145" s="16" t="s">
        <v>121</v>
      </c>
      <c r="I145" s="5">
        <v>10</v>
      </c>
      <c r="J145" s="6">
        <v>5</v>
      </c>
      <c r="K145" s="7">
        <v>3</v>
      </c>
      <c r="L145" s="43">
        <f t="shared" si="61"/>
        <v>18</v>
      </c>
      <c r="M145" s="71">
        <v>46157</v>
      </c>
    </row>
    <row r="146" spans="1:13" x14ac:dyDescent="0.15">
      <c r="A146" s="13" t="s">
        <v>129</v>
      </c>
      <c r="B146" s="5"/>
      <c r="C146" s="6">
        <v>2</v>
      </c>
      <c r="D146" s="7"/>
      <c r="E146" s="43">
        <f t="shared" si="59"/>
        <v>2</v>
      </c>
      <c r="F146" s="36">
        <v>46217</v>
      </c>
      <c r="H146" s="121" t="s">
        <v>126</v>
      </c>
      <c r="I146" s="122">
        <v>3</v>
      </c>
      <c r="J146" s="123">
        <v>2</v>
      </c>
      <c r="K146" s="124"/>
      <c r="L146" s="119">
        <f t="shared" si="61"/>
        <v>5</v>
      </c>
      <c r="M146" s="93">
        <v>46162</v>
      </c>
    </row>
    <row r="147" spans="1:13" x14ac:dyDescent="0.15">
      <c r="A147" s="13" t="s">
        <v>129</v>
      </c>
      <c r="B147" s="5"/>
      <c r="C147" s="6">
        <v>1</v>
      </c>
      <c r="D147" s="7"/>
      <c r="E147" s="43">
        <f t="shared" si="59"/>
        <v>1</v>
      </c>
      <c r="F147" s="36">
        <v>46217</v>
      </c>
      <c r="H147" s="14"/>
      <c r="I147" s="5" t="s">
        <v>19</v>
      </c>
      <c r="J147" s="6"/>
      <c r="K147" s="7"/>
      <c r="L147" s="43">
        <f t="shared" si="61"/>
        <v>0</v>
      </c>
    </row>
    <row r="148" spans="1:13" x14ac:dyDescent="0.15">
      <c r="A148" s="13"/>
      <c r="B148" s="5"/>
      <c r="C148" s="6"/>
      <c r="D148" s="7"/>
      <c r="E148" s="43">
        <f t="shared" si="59"/>
        <v>0</v>
      </c>
      <c r="H148" s="14"/>
      <c r="I148" s="5" t="s">
        <v>19</v>
      </c>
      <c r="J148" s="6"/>
      <c r="K148" s="7"/>
      <c r="L148" s="43">
        <f t="shared" si="61"/>
        <v>0</v>
      </c>
    </row>
    <row r="149" spans="1:13" x14ac:dyDescent="0.15">
      <c r="A149" s="13"/>
      <c r="B149" s="5"/>
      <c r="C149" s="6"/>
      <c r="D149" s="7"/>
      <c r="E149" s="43">
        <f t="shared" si="59"/>
        <v>0</v>
      </c>
      <c r="H149" s="14"/>
      <c r="I149" s="5" t="s">
        <v>19</v>
      </c>
      <c r="J149" s="6"/>
      <c r="K149" s="7"/>
      <c r="L149" s="43">
        <f t="shared" si="61"/>
        <v>0</v>
      </c>
    </row>
    <row r="150" spans="1:13" x14ac:dyDescent="0.15">
      <c r="A150" s="13"/>
      <c r="B150" s="5"/>
      <c r="C150" s="6"/>
      <c r="D150" s="7"/>
      <c r="E150" s="43">
        <f t="shared" si="59"/>
        <v>0</v>
      </c>
      <c r="H150" s="14"/>
      <c r="I150" s="5" t="s">
        <v>19</v>
      </c>
      <c r="J150" s="6"/>
      <c r="K150" s="7"/>
      <c r="L150" s="43">
        <f t="shared" si="61"/>
        <v>0</v>
      </c>
    </row>
    <row r="151" spans="1:13" x14ac:dyDescent="0.15">
      <c r="A151" s="13"/>
      <c r="B151" s="5"/>
      <c r="C151" s="6"/>
      <c r="D151" s="7"/>
      <c r="E151" s="43">
        <f t="shared" si="59"/>
        <v>0</v>
      </c>
      <c r="H151" s="16"/>
      <c r="I151" s="5"/>
      <c r="J151" s="6"/>
      <c r="K151" s="7"/>
      <c r="L151" s="43">
        <f t="shared" si="61"/>
        <v>0</v>
      </c>
    </row>
    <row r="152" spans="1:13" x14ac:dyDescent="0.15">
      <c r="A152" s="13"/>
      <c r="B152" s="5"/>
      <c r="C152" s="6"/>
      <c r="D152" s="7"/>
      <c r="E152" s="43">
        <f t="shared" si="59"/>
        <v>0</v>
      </c>
      <c r="H152" s="14"/>
      <c r="I152" s="8"/>
      <c r="J152" s="9"/>
      <c r="K152" s="10"/>
      <c r="L152" s="43">
        <f t="shared" si="61"/>
        <v>0</v>
      </c>
    </row>
    <row r="153" spans="1:13" x14ac:dyDescent="0.15">
      <c r="A153" s="13"/>
      <c r="B153" s="5"/>
      <c r="C153" s="6"/>
      <c r="D153" s="7"/>
      <c r="E153" s="43">
        <f t="shared" si="59"/>
        <v>0</v>
      </c>
      <c r="H153" s="16"/>
      <c r="I153" s="5"/>
      <c r="J153" s="6"/>
      <c r="K153" s="7"/>
      <c r="L153" s="43">
        <f t="shared" si="61"/>
        <v>0</v>
      </c>
    </row>
    <row r="154" spans="1:13" x14ac:dyDescent="0.15">
      <c r="A154" s="13"/>
      <c r="B154" s="5"/>
      <c r="C154" s="6"/>
      <c r="D154" s="7"/>
      <c r="E154" s="43">
        <f t="shared" si="59"/>
        <v>0</v>
      </c>
      <c r="H154" s="16"/>
      <c r="I154" s="5"/>
      <c r="J154" s="6"/>
      <c r="K154" s="7"/>
      <c r="L154" s="43">
        <f t="shared" si="61"/>
        <v>0</v>
      </c>
    </row>
    <row r="155" spans="1:13" x14ac:dyDescent="0.15">
      <c r="A155" s="13"/>
      <c r="B155" s="5"/>
      <c r="C155" s="6"/>
      <c r="D155" s="7"/>
      <c r="E155" s="43">
        <f t="shared" si="59"/>
        <v>0</v>
      </c>
      <c r="H155" s="14"/>
      <c r="I155" s="5"/>
      <c r="J155" s="6"/>
      <c r="K155" s="7"/>
      <c r="L155" s="43">
        <f t="shared" si="61"/>
        <v>0</v>
      </c>
    </row>
    <row r="156" spans="1:13" x14ac:dyDescent="0.15">
      <c r="A156" s="13"/>
      <c r="B156" s="5"/>
      <c r="C156" s="6"/>
      <c r="D156" s="7"/>
      <c r="E156" s="43">
        <f t="shared" si="59"/>
        <v>0</v>
      </c>
      <c r="H156" s="14"/>
      <c r="I156" s="5"/>
      <c r="J156" s="6"/>
      <c r="K156" s="7"/>
      <c r="L156" s="43">
        <f t="shared" si="61"/>
        <v>0</v>
      </c>
    </row>
    <row r="157" spans="1:13" x14ac:dyDescent="0.15">
      <c r="A157" s="13"/>
      <c r="B157" s="5"/>
      <c r="C157" s="6"/>
      <c r="D157" s="7"/>
      <c r="E157" s="43">
        <f t="shared" si="59"/>
        <v>0</v>
      </c>
      <c r="H157" s="16"/>
      <c r="I157" s="5"/>
      <c r="J157" s="6"/>
      <c r="K157" s="7"/>
      <c r="L157" s="43">
        <f t="shared" si="61"/>
        <v>0</v>
      </c>
    </row>
    <row r="158" spans="1:13" x14ac:dyDescent="0.15">
      <c r="A158" s="13"/>
      <c r="B158" s="5"/>
      <c r="C158" s="6"/>
      <c r="D158" s="7"/>
      <c r="E158" s="43">
        <f t="shared" si="59"/>
        <v>0</v>
      </c>
      <c r="H158" s="16"/>
      <c r="I158" s="5"/>
      <c r="J158" s="6"/>
      <c r="K158" s="7"/>
      <c r="L158" s="43">
        <f t="shared" si="61"/>
        <v>0</v>
      </c>
    </row>
    <row r="159" spans="1:13" x14ac:dyDescent="0.15">
      <c r="A159" s="13"/>
      <c r="B159" s="5"/>
      <c r="C159" s="6"/>
      <c r="D159" s="7"/>
      <c r="E159" s="43">
        <f t="shared" si="59"/>
        <v>0</v>
      </c>
      <c r="H159" s="16"/>
      <c r="I159" s="5"/>
      <c r="J159" s="6"/>
      <c r="K159" s="7"/>
      <c r="L159" s="43">
        <f t="shared" si="61"/>
        <v>0</v>
      </c>
      <c r="M159"/>
    </row>
    <row r="160" spans="1:13" x14ac:dyDescent="0.15">
      <c r="A160" s="13"/>
      <c r="B160" s="5"/>
      <c r="C160" s="6"/>
      <c r="D160" s="7"/>
      <c r="E160" s="43">
        <f t="shared" si="59"/>
        <v>0</v>
      </c>
      <c r="H160" s="16"/>
      <c r="I160" s="5"/>
      <c r="J160" s="6"/>
      <c r="K160" s="7"/>
      <c r="L160" s="43">
        <f t="shared" si="61"/>
        <v>0</v>
      </c>
      <c r="M160"/>
    </row>
    <row r="161" spans="1:13" x14ac:dyDescent="0.15">
      <c r="A161" s="13"/>
      <c r="B161" s="5"/>
      <c r="C161" s="6"/>
      <c r="D161" s="7"/>
      <c r="E161" s="43">
        <f t="shared" si="59"/>
        <v>0</v>
      </c>
      <c r="H161" s="16"/>
      <c r="I161" s="5"/>
      <c r="J161" s="6"/>
      <c r="K161" s="7"/>
      <c r="L161" s="43">
        <f t="shared" si="61"/>
        <v>0</v>
      </c>
      <c r="M161"/>
    </row>
    <row r="162" spans="1:13" x14ac:dyDescent="0.15">
      <c r="A162" s="13"/>
      <c r="B162" s="5"/>
      <c r="C162" s="6"/>
      <c r="D162" s="7"/>
      <c r="E162" s="43">
        <f t="shared" si="59"/>
        <v>0</v>
      </c>
      <c r="H162" s="125" t="s">
        <v>96</v>
      </c>
      <c r="I162" s="126"/>
      <c r="J162" s="127"/>
      <c r="K162" s="128"/>
      <c r="L162" s="129">
        <f t="shared" si="61"/>
        <v>0</v>
      </c>
      <c r="M162" s="130"/>
    </row>
    <row r="163" spans="1:13" x14ac:dyDescent="0.15">
      <c r="A163" s="14"/>
      <c r="B163" s="5"/>
      <c r="C163" s="6"/>
      <c r="D163" s="7"/>
      <c r="E163" s="43">
        <f t="shared" si="59"/>
        <v>0</v>
      </c>
      <c r="H163" s="16" t="s">
        <v>92</v>
      </c>
      <c r="I163" s="131"/>
      <c r="J163" s="6"/>
      <c r="K163" s="132"/>
      <c r="L163" s="43">
        <f t="shared" si="61"/>
        <v>0</v>
      </c>
      <c r="M163" s="71">
        <v>46120</v>
      </c>
    </row>
    <row r="164" spans="1:13" x14ac:dyDescent="0.15">
      <c r="A164" s="13"/>
      <c r="B164" s="8"/>
      <c r="C164" s="9"/>
      <c r="D164" s="10"/>
      <c r="E164" s="43">
        <f t="shared" si="59"/>
        <v>0</v>
      </c>
      <c r="H164" s="16" t="s">
        <v>95</v>
      </c>
      <c r="I164" s="5"/>
      <c r="J164" s="6"/>
      <c r="K164" s="7"/>
      <c r="L164" s="43">
        <f t="shared" ref="L164:L166" si="62">SUM(I164:K164)</f>
        <v>0</v>
      </c>
      <c r="M164" s="71">
        <v>46134</v>
      </c>
    </row>
    <row r="165" spans="1:13" x14ac:dyDescent="0.15">
      <c r="A165" s="13"/>
      <c r="B165" s="5"/>
      <c r="C165" s="6"/>
      <c r="D165" s="7"/>
      <c r="E165" s="43">
        <f t="shared" si="59"/>
        <v>0</v>
      </c>
      <c r="H165" s="125" t="s">
        <v>80</v>
      </c>
      <c r="I165" s="126"/>
      <c r="J165" s="127"/>
      <c r="K165" s="128"/>
      <c r="L165" s="129">
        <f t="shared" si="62"/>
        <v>0</v>
      </c>
      <c r="M165" s="39"/>
    </row>
    <row r="166" spans="1:13" x14ac:dyDescent="0.15">
      <c r="A166" s="13"/>
      <c r="B166" s="8"/>
      <c r="C166" s="9"/>
      <c r="D166" s="10"/>
      <c r="E166" s="44">
        <f t="shared" si="59"/>
        <v>0</v>
      </c>
      <c r="H166" s="16" t="s">
        <v>75</v>
      </c>
      <c r="I166" s="5"/>
      <c r="J166" s="6"/>
      <c r="K166" s="7"/>
      <c r="L166" s="43">
        <f t="shared" si="62"/>
        <v>0</v>
      </c>
      <c r="M166" s="35" t="s">
        <v>76</v>
      </c>
    </row>
    <row r="167" spans="1:13" x14ac:dyDescent="0.15">
      <c r="A167" s="13"/>
      <c r="B167" s="5"/>
      <c r="C167" s="6"/>
      <c r="D167" s="7"/>
      <c r="E167" s="43">
        <f t="shared" si="59"/>
        <v>0</v>
      </c>
      <c r="H167" s="125" t="s">
        <v>101</v>
      </c>
      <c r="I167" s="126"/>
      <c r="J167" s="127"/>
      <c r="K167" s="128"/>
      <c r="L167" s="129">
        <f t="shared" si="61"/>
        <v>0</v>
      </c>
      <c r="M167" s="39"/>
    </row>
    <row r="168" spans="1:13" ht="14.25" thickBot="1" x14ac:dyDescent="0.2">
      <c r="A168" s="13"/>
      <c r="B168" s="8"/>
      <c r="C168" s="9"/>
      <c r="D168" s="10"/>
      <c r="E168" s="47">
        <f t="shared" si="59"/>
        <v>0</v>
      </c>
      <c r="H168" s="16" t="s">
        <v>102</v>
      </c>
      <c r="I168" s="5"/>
      <c r="J168" s="6"/>
      <c r="K168" s="7"/>
      <c r="L168" s="43">
        <f t="shared" si="61"/>
        <v>0</v>
      </c>
      <c r="M168" s="35" t="s">
        <v>110</v>
      </c>
    </row>
    <row r="169" spans="1:13" ht="14.25" thickBot="1" x14ac:dyDescent="0.2">
      <c r="A169" s="25" t="s">
        <v>17</v>
      </c>
      <c r="B169" s="28">
        <f>SUM(B143:B168)</f>
        <v>2</v>
      </c>
      <c r="C169" s="29">
        <f t="shared" ref="C169:D169" si="63">SUM(C143:C168)</f>
        <v>3</v>
      </c>
      <c r="D169" s="33">
        <f t="shared" si="63"/>
        <v>1</v>
      </c>
      <c r="E169" s="48">
        <f t="shared" si="59"/>
        <v>6</v>
      </c>
      <c r="H169" s="25" t="s">
        <v>17</v>
      </c>
      <c r="I169" s="28">
        <f>SUM(I143:I168)</f>
        <v>28</v>
      </c>
      <c r="J169" s="29">
        <f t="shared" ref="J169:L169" si="64">SUM(J143:J168)</f>
        <v>22</v>
      </c>
      <c r="K169" s="33">
        <f t="shared" si="64"/>
        <v>17</v>
      </c>
      <c r="L169" s="48">
        <f t="shared" si="64"/>
        <v>67</v>
      </c>
      <c r="M169"/>
    </row>
    <row r="170" spans="1:13" ht="14.25" thickBot="1" x14ac:dyDescent="0.2">
      <c r="A170" s="12" t="s">
        <v>16</v>
      </c>
      <c r="B170" s="50">
        <f>B142-B169</f>
        <v>3</v>
      </c>
      <c r="C170" s="51">
        <f t="shared" ref="C170:D170" si="65">C142-C169</f>
        <v>2</v>
      </c>
      <c r="D170" s="52">
        <f t="shared" si="65"/>
        <v>1</v>
      </c>
      <c r="E170" s="49">
        <f>SUM(B170:D170)</f>
        <v>6</v>
      </c>
      <c r="H170" s="12" t="s">
        <v>16</v>
      </c>
      <c r="I170" s="50">
        <f>I142-I169</f>
        <v>497</v>
      </c>
      <c r="J170" s="51">
        <f t="shared" ref="J170:L170" si="66">J142-J169</f>
        <v>519</v>
      </c>
      <c r="K170" s="52">
        <f t="shared" si="66"/>
        <v>290</v>
      </c>
      <c r="L170" s="49">
        <f t="shared" si="66"/>
        <v>1306</v>
      </c>
      <c r="M170" s="111" t="s">
        <v>99</v>
      </c>
    </row>
    <row r="171" spans="1:13" x14ac:dyDescent="0.15">
      <c r="M171"/>
    </row>
    <row r="172" spans="1:13" x14ac:dyDescent="0.15">
      <c r="M172"/>
    </row>
    <row r="173" spans="1:13" ht="19.5" thickBot="1" x14ac:dyDescent="0.25">
      <c r="A173" s="81" t="s">
        <v>23</v>
      </c>
      <c r="B173" s="82"/>
      <c r="C173" s="82"/>
      <c r="D173" s="82"/>
      <c r="E173" s="82"/>
      <c r="H173" s="106" t="s">
        <v>25</v>
      </c>
      <c r="I173" s="107"/>
      <c r="J173" s="107"/>
      <c r="K173" s="106">
        <v>600</v>
      </c>
      <c r="L173" s="108">
        <v>1980</v>
      </c>
      <c r="M173"/>
    </row>
    <row r="174" spans="1:13" ht="14.25" thickBot="1" x14ac:dyDescent="0.2">
      <c r="A174" s="4" t="s">
        <v>0</v>
      </c>
      <c r="B174" s="147" t="s">
        <v>24</v>
      </c>
      <c r="C174" s="148"/>
      <c r="D174" s="148"/>
      <c r="E174" s="149"/>
      <c r="H174" s="4" t="s">
        <v>0</v>
      </c>
      <c r="I174" s="147" t="s">
        <v>24</v>
      </c>
      <c r="J174" s="148"/>
      <c r="K174" s="148"/>
      <c r="L174" s="149"/>
      <c r="M174"/>
    </row>
    <row r="175" spans="1:13" ht="14.25" thickBot="1" x14ac:dyDescent="0.2">
      <c r="A175" s="4" t="s">
        <v>1</v>
      </c>
      <c r="B175" s="1" t="s">
        <v>2</v>
      </c>
      <c r="C175" s="2" t="s">
        <v>3</v>
      </c>
      <c r="D175" s="3" t="s">
        <v>4</v>
      </c>
      <c r="E175" s="4" t="s">
        <v>5</v>
      </c>
      <c r="H175" s="4" t="s">
        <v>1</v>
      </c>
      <c r="I175" s="1" t="s">
        <v>2</v>
      </c>
      <c r="J175" s="2" t="s">
        <v>3</v>
      </c>
      <c r="K175" s="3" t="s">
        <v>4</v>
      </c>
      <c r="L175" s="4" t="s">
        <v>5</v>
      </c>
      <c r="M175"/>
    </row>
    <row r="176" spans="1:13" ht="14.25" thickBot="1" x14ac:dyDescent="0.2">
      <c r="A176" s="17" t="s">
        <v>18</v>
      </c>
      <c r="B176" s="26">
        <f>B170</f>
        <v>3</v>
      </c>
      <c r="C176" s="27">
        <f>C170</f>
        <v>2</v>
      </c>
      <c r="D176" s="34">
        <f>D170</f>
        <v>1</v>
      </c>
      <c r="E176" s="41">
        <f>SUM(B176:D176)</f>
        <v>6</v>
      </c>
      <c r="H176" s="17" t="s">
        <v>18</v>
      </c>
      <c r="I176" s="54">
        <f>I170</f>
        <v>497</v>
      </c>
      <c r="J176" s="55">
        <f t="shared" ref="J176:L176" si="67">J170</f>
        <v>519</v>
      </c>
      <c r="K176" s="56">
        <f t="shared" si="67"/>
        <v>290</v>
      </c>
      <c r="L176" s="53">
        <f t="shared" si="67"/>
        <v>1306</v>
      </c>
      <c r="M176"/>
    </row>
    <row r="177" spans="1:13" x14ac:dyDescent="0.15">
      <c r="A177" s="88" t="s">
        <v>7</v>
      </c>
      <c r="B177" s="133"/>
      <c r="C177" s="134"/>
      <c r="D177" s="135"/>
      <c r="E177" s="92">
        <f t="shared" ref="E177:E184" si="68">SUM(B177:D177)</f>
        <v>0</v>
      </c>
      <c r="F177" s="120"/>
      <c r="H177" s="15" t="s">
        <v>7</v>
      </c>
      <c r="I177" s="57"/>
      <c r="J177" s="58"/>
      <c r="K177" s="59"/>
      <c r="L177" s="42">
        <f>SUM(I177:K177)</f>
        <v>0</v>
      </c>
      <c r="M177"/>
    </row>
    <row r="178" spans="1:13" x14ac:dyDescent="0.15">
      <c r="A178" s="15" t="s">
        <v>8</v>
      </c>
      <c r="B178" s="8"/>
      <c r="C178" s="9"/>
      <c r="D178" s="31"/>
      <c r="E178" s="44">
        <f t="shared" si="68"/>
        <v>0</v>
      </c>
      <c r="H178" s="15" t="s">
        <v>8</v>
      </c>
      <c r="I178" s="63"/>
      <c r="J178" s="64"/>
      <c r="K178" s="65"/>
      <c r="L178" s="44">
        <f t="shared" ref="L178" si="69">SUM(I178:K178)</f>
        <v>0</v>
      </c>
      <c r="M178"/>
    </row>
    <row r="179" spans="1:13" x14ac:dyDescent="0.15">
      <c r="A179" s="15" t="s">
        <v>9</v>
      </c>
      <c r="B179" s="8"/>
      <c r="C179" s="9"/>
      <c r="D179" s="31"/>
      <c r="E179" s="44">
        <f t="shared" si="68"/>
        <v>0</v>
      </c>
      <c r="H179" s="15" t="s">
        <v>9</v>
      </c>
      <c r="I179" s="63"/>
      <c r="J179" s="64"/>
      <c r="K179" s="65"/>
      <c r="L179" s="44">
        <f t="shared" ref="L179:L184" si="70">SUM(I179:K179)</f>
        <v>0</v>
      </c>
      <c r="M179"/>
    </row>
    <row r="180" spans="1:13" x14ac:dyDescent="0.15">
      <c r="A180" s="15" t="s">
        <v>10</v>
      </c>
      <c r="B180" s="8"/>
      <c r="C180" s="9"/>
      <c r="D180" s="31"/>
      <c r="E180" s="44">
        <f t="shared" si="68"/>
        <v>0</v>
      </c>
      <c r="H180" s="15" t="s">
        <v>10</v>
      </c>
      <c r="I180" s="63"/>
      <c r="J180" s="64"/>
      <c r="K180" s="65"/>
      <c r="L180" s="44">
        <f t="shared" si="70"/>
        <v>0</v>
      </c>
      <c r="M180"/>
    </row>
    <row r="181" spans="1:13" x14ac:dyDescent="0.15">
      <c r="A181" s="15" t="s">
        <v>11</v>
      </c>
      <c r="B181" s="8"/>
      <c r="C181" s="9"/>
      <c r="D181" s="31"/>
      <c r="E181" s="44">
        <f t="shared" si="68"/>
        <v>0</v>
      </c>
      <c r="H181" s="15" t="s">
        <v>11</v>
      </c>
      <c r="I181" s="63"/>
      <c r="J181" s="64"/>
      <c r="K181" s="65"/>
      <c r="L181" s="44">
        <f t="shared" si="70"/>
        <v>0</v>
      </c>
      <c r="M181"/>
    </row>
    <row r="182" spans="1:13" x14ac:dyDescent="0.15">
      <c r="A182" s="15" t="s">
        <v>12</v>
      </c>
      <c r="B182" s="8"/>
      <c r="C182" s="9"/>
      <c r="D182" s="31"/>
      <c r="E182" s="44">
        <f t="shared" si="68"/>
        <v>0</v>
      </c>
      <c r="H182" s="15" t="s">
        <v>12</v>
      </c>
      <c r="I182" s="63"/>
      <c r="J182" s="64"/>
      <c r="K182" s="65"/>
      <c r="L182" s="44">
        <f t="shared" si="70"/>
        <v>0</v>
      </c>
      <c r="M182"/>
    </row>
    <row r="183" spans="1:13" x14ac:dyDescent="0.15">
      <c r="A183" s="15" t="s">
        <v>13</v>
      </c>
      <c r="B183" s="8"/>
      <c r="C183" s="9"/>
      <c r="D183" s="31"/>
      <c r="E183" s="44">
        <f t="shared" si="68"/>
        <v>0</v>
      </c>
      <c r="H183" s="15" t="s">
        <v>13</v>
      </c>
      <c r="I183" s="63"/>
      <c r="J183" s="64"/>
      <c r="K183" s="65"/>
      <c r="L183" s="44">
        <f t="shared" si="70"/>
        <v>0</v>
      </c>
      <c r="M183"/>
    </row>
    <row r="184" spans="1:13" ht="14.25" thickBot="1" x14ac:dyDescent="0.2">
      <c r="A184" s="15" t="s">
        <v>14</v>
      </c>
      <c r="B184" s="21"/>
      <c r="C184" s="22"/>
      <c r="D184" s="32"/>
      <c r="E184" s="45">
        <f t="shared" si="68"/>
        <v>0</v>
      </c>
      <c r="H184" s="15" t="s">
        <v>14</v>
      </c>
      <c r="I184" s="63"/>
      <c r="J184" s="64"/>
      <c r="K184" s="65"/>
      <c r="L184" s="44">
        <f t="shared" si="70"/>
        <v>0</v>
      </c>
      <c r="M184"/>
    </row>
    <row r="185" spans="1:13" ht="14.25" thickBot="1" x14ac:dyDescent="0.2">
      <c r="A185" s="23" t="s">
        <v>15</v>
      </c>
      <c r="B185" s="18">
        <f>SUM(B176:B184)</f>
        <v>3</v>
      </c>
      <c r="C185" s="19">
        <f t="shared" ref="C185:D185" si="71">SUM(C176:C184)</f>
        <v>2</v>
      </c>
      <c r="D185" s="20">
        <f t="shared" si="71"/>
        <v>1</v>
      </c>
      <c r="E185" s="46">
        <f>SUM(B185:D185)</f>
        <v>6</v>
      </c>
      <c r="H185" s="23" t="s">
        <v>15</v>
      </c>
      <c r="I185" s="18">
        <f>SUM(I176:I184)</f>
        <v>497</v>
      </c>
      <c r="J185" s="19">
        <f t="shared" ref="J185:L185" si="72">SUM(J176:J184)</f>
        <v>519</v>
      </c>
      <c r="K185" s="20">
        <f t="shared" si="72"/>
        <v>290</v>
      </c>
      <c r="L185" s="46">
        <f t="shared" si="72"/>
        <v>1306</v>
      </c>
      <c r="M185"/>
    </row>
    <row r="186" spans="1:13" x14ac:dyDescent="0.15">
      <c r="A186" s="13"/>
      <c r="B186" s="5"/>
      <c r="C186" s="6"/>
      <c r="D186" s="7"/>
      <c r="E186" s="43">
        <f t="shared" ref="E186:E187" si="73">SUM(B186:D186)</f>
        <v>0</v>
      </c>
      <c r="H186" s="14"/>
      <c r="I186" s="5" t="s">
        <v>19</v>
      </c>
      <c r="J186" s="6"/>
      <c r="K186" s="7"/>
      <c r="L186" s="43">
        <f t="shared" ref="L186:L189" si="74">SUM(I186:K186)</f>
        <v>0</v>
      </c>
      <c r="M186"/>
    </row>
    <row r="187" spans="1:13" x14ac:dyDescent="0.15">
      <c r="A187" s="13"/>
      <c r="B187" s="5"/>
      <c r="C187" s="6"/>
      <c r="D187" s="7"/>
      <c r="E187" s="43">
        <f t="shared" si="73"/>
        <v>0</v>
      </c>
      <c r="H187" s="14"/>
      <c r="I187" s="5" t="s">
        <v>19</v>
      </c>
      <c r="J187" s="6"/>
      <c r="K187" s="7"/>
      <c r="L187" s="43">
        <f t="shared" si="74"/>
        <v>0</v>
      </c>
      <c r="M187"/>
    </row>
    <row r="188" spans="1:13" x14ac:dyDescent="0.15">
      <c r="A188" s="13"/>
      <c r="B188" s="5"/>
      <c r="C188" s="6"/>
      <c r="D188" s="7"/>
      <c r="E188" s="43">
        <f t="shared" ref="E188:E212" si="75">SUM(B188:D188)</f>
        <v>0</v>
      </c>
      <c r="H188" s="14"/>
      <c r="I188" s="5" t="s">
        <v>19</v>
      </c>
      <c r="J188" s="6"/>
      <c r="K188" s="7"/>
      <c r="L188" s="43">
        <f t="shared" si="74"/>
        <v>0</v>
      </c>
      <c r="M188"/>
    </row>
    <row r="189" spans="1:13" x14ac:dyDescent="0.15">
      <c r="A189" s="13"/>
      <c r="B189" s="5"/>
      <c r="C189" s="6"/>
      <c r="D189" s="7"/>
      <c r="E189" s="43">
        <f t="shared" si="75"/>
        <v>0</v>
      </c>
      <c r="H189" s="14"/>
      <c r="I189" s="5" t="s">
        <v>19</v>
      </c>
      <c r="J189" s="6"/>
      <c r="K189" s="7"/>
      <c r="L189" s="43">
        <f t="shared" si="74"/>
        <v>0</v>
      </c>
      <c r="M189"/>
    </row>
    <row r="190" spans="1:13" x14ac:dyDescent="0.15">
      <c r="A190" s="13"/>
      <c r="B190" s="5"/>
      <c r="C190" s="6"/>
      <c r="D190" s="7"/>
      <c r="E190" s="43">
        <f t="shared" si="75"/>
        <v>0</v>
      </c>
      <c r="H190" s="14"/>
      <c r="I190" s="5" t="s">
        <v>19</v>
      </c>
      <c r="J190" s="6"/>
      <c r="K190" s="7"/>
      <c r="L190" s="43">
        <f t="shared" ref="L190:L204" si="76">SUM(I190:K190)</f>
        <v>0</v>
      </c>
      <c r="M190"/>
    </row>
    <row r="191" spans="1:13" x14ac:dyDescent="0.15">
      <c r="A191" s="13"/>
      <c r="B191" s="5"/>
      <c r="C191" s="6"/>
      <c r="D191" s="7"/>
      <c r="E191" s="43">
        <f t="shared" si="75"/>
        <v>0</v>
      </c>
      <c r="H191" s="14"/>
      <c r="I191" s="5" t="s">
        <v>19</v>
      </c>
      <c r="J191" s="6"/>
      <c r="K191" s="7"/>
      <c r="L191" s="43">
        <f t="shared" si="76"/>
        <v>0</v>
      </c>
      <c r="M191"/>
    </row>
    <row r="192" spans="1:13" x14ac:dyDescent="0.15">
      <c r="A192" s="13"/>
      <c r="B192" s="5"/>
      <c r="C192" s="6"/>
      <c r="D192" s="7"/>
      <c r="E192" s="43">
        <f t="shared" si="75"/>
        <v>0</v>
      </c>
      <c r="H192" s="14"/>
      <c r="I192" s="5" t="s">
        <v>19</v>
      </c>
      <c r="J192" s="6"/>
      <c r="K192" s="7"/>
      <c r="L192" s="43">
        <f t="shared" si="76"/>
        <v>0</v>
      </c>
      <c r="M192"/>
    </row>
    <row r="193" spans="1:13" x14ac:dyDescent="0.15">
      <c r="A193" s="13"/>
      <c r="B193" s="5"/>
      <c r="C193" s="6"/>
      <c r="D193" s="7"/>
      <c r="E193" s="43">
        <f t="shared" si="75"/>
        <v>0</v>
      </c>
      <c r="H193" s="14"/>
      <c r="I193" s="5" t="s">
        <v>19</v>
      </c>
      <c r="J193" s="6"/>
      <c r="K193" s="7"/>
      <c r="L193" s="43">
        <f t="shared" si="76"/>
        <v>0</v>
      </c>
      <c r="M193"/>
    </row>
    <row r="194" spans="1:13" x14ac:dyDescent="0.15">
      <c r="A194" s="13"/>
      <c r="B194" s="5"/>
      <c r="C194" s="6"/>
      <c r="D194" s="7"/>
      <c r="E194" s="43">
        <f t="shared" si="75"/>
        <v>0</v>
      </c>
      <c r="H194" s="16"/>
      <c r="I194" s="5"/>
      <c r="J194" s="6"/>
      <c r="K194" s="7"/>
      <c r="L194" s="43">
        <f t="shared" si="76"/>
        <v>0</v>
      </c>
      <c r="M194"/>
    </row>
    <row r="195" spans="1:13" x14ac:dyDescent="0.15">
      <c r="A195" s="13"/>
      <c r="B195" s="5"/>
      <c r="C195" s="6"/>
      <c r="D195" s="7"/>
      <c r="E195" s="43">
        <f t="shared" si="75"/>
        <v>0</v>
      </c>
      <c r="H195" s="14"/>
      <c r="I195" s="8"/>
      <c r="J195" s="9"/>
      <c r="K195" s="10"/>
      <c r="L195" s="43">
        <f t="shared" si="76"/>
        <v>0</v>
      </c>
      <c r="M195"/>
    </row>
    <row r="196" spans="1:13" x14ac:dyDescent="0.15">
      <c r="A196" s="13"/>
      <c r="B196" s="5"/>
      <c r="C196" s="6"/>
      <c r="D196" s="7"/>
      <c r="E196" s="43">
        <f t="shared" si="75"/>
        <v>0</v>
      </c>
      <c r="H196" s="16"/>
      <c r="I196" s="5"/>
      <c r="J196" s="6"/>
      <c r="K196" s="7"/>
      <c r="L196" s="43">
        <f t="shared" si="76"/>
        <v>0</v>
      </c>
      <c r="M196"/>
    </row>
    <row r="197" spans="1:13" x14ac:dyDescent="0.15">
      <c r="A197" s="13"/>
      <c r="B197" s="5"/>
      <c r="C197" s="6"/>
      <c r="D197" s="7"/>
      <c r="E197" s="43">
        <f t="shared" si="75"/>
        <v>0</v>
      </c>
      <c r="H197" s="16"/>
      <c r="I197" s="5"/>
      <c r="J197" s="6"/>
      <c r="K197" s="7"/>
      <c r="L197" s="43">
        <f t="shared" si="76"/>
        <v>0</v>
      </c>
      <c r="M197"/>
    </row>
    <row r="198" spans="1:13" x14ac:dyDescent="0.15">
      <c r="A198" s="13"/>
      <c r="B198" s="5"/>
      <c r="C198" s="6"/>
      <c r="D198" s="7"/>
      <c r="E198" s="43">
        <f t="shared" si="75"/>
        <v>0</v>
      </c>
      <c r="H198" s="14"/>
      <c r="I198" s="5"/>
      <c r="J198" s="6"/>
      <c r="K198" s="7"/>
      <c r="L198" s="43">
        <f t="shared" si="76"/>
        <v>0</v>
      </c>
      <c r="M198"/>
    </row>
    <row r="199" spans="1:13" x14ac:dyDescent="0.15">
      <c r="A199" s="13"/>
      <c r="B199" s="5"/>
      <c r="C199" s="6"/>
      <c r="D199" s="7"/>
      <c r="E199" s="43">
        <f t="shared" si="75"/>
        <v>0</v>
      </c>
      <c r="H199" s="14"/>
      <c r="I199" s="5"/>
      <c r="J199" s="6"/>
      <c r="K199" s="7"/>
      <c r="L199" s="43">
        <f t="shared" si="76"/>
        <v>0</v>
      </c>
      <c r="M199"/>
    </row>
    <row r="200" spans="1:13" x14ac:dyDescent="0.15">
      <c r="A200" s="13"/>
      <c r="B200" s="5"/>
      <c r="C200" s="6"/>
      <c r="D200" s="7"/>
      <c r="E200" s="43">
        <f t="shared" si="75"/>
        <v>0</v>
      </c>
      <c r="H200" s="16"/>
      <c r="I200" s="5"/>
      <c r="J200" s="6"/>
      <c r="K200" s="7"/>
      <c r="L200" s="43">
        <f t="shared" si="76"/>
        <v>0</v>
      </c>
      <c r="M200"/>
    </row>
    <row r="201" spans="1:13" x14ac:dyDescent="0.15">
      <c r="A201" s="13"/>
      <c r="B201" s="5"/>
      <c r="C201" s="6"/>
      <c r="D201" s="7"/>
      <c r="E201" s="43">
        <f t="shared" si="75"/>
        <v>0</v>
      </c>
      <c r="H201" s="16"/>
      <c r="I201" s="5"/>
      <c r="J201" s="6"/>
      <c r="K201" s="7"/>
      <c r="L201" s="43">
        <f t="shared" si="76"/>
        <v>0</v>
      </c>
      <c r="M201"/>
    </row>
    <row r="202" spans="1:13" x14ac:dyDescent="0.15">
      <c r="A202" s="13"/>
      <c r="B202" s="5"/>
      <c r="C202" s="6"/>
      <c r="D202" s="7"/>
      <c r="E202" s="43">
        <f t="shared" si="75"/>
        <v>0</v>
      </c>
      <c r="H202" s="16"/>
      <c r="I202" s="5"/>
      <c r="J202" s="6"/>
      <c r="K202" s="7"/>
      <c r="L202" s="43">
        <f t="shared" si="76"/>
        <v>0</v>
      </c>
      <c r="M202"/>
    </row>
    <row r="203" spans="1:13" x14ac:dyDescent="0.15">
      <c r="A203" s="13"/>
      <c r="B203" s="5"/>
      <c r="C203" s="6"/>
      <c r="D203" s="7"/>
      <c r="E203" s="43">
        <f t="shared" si="75"/>
        <v>0</v>
      </c>
      <c r="H203" s="16"/>
      <c r="I203" s="5"/>
      <c r="J203" s="6"/>
      <c r="K203" s="7"/>
      <c r="L203" s="43">
        <f t="shared" si="76"/>
        <v>0</v>
      </c>
      <c r="M203"/>
    </row>
    <row r="204" spans="1:13" x14ac:dyDescent="0.15">
      <c r="A204" s="13"/>
      <c r="B204" s="5"/>
      <c r="C204" s="6"/>
      <c r="D204" s="7"/>
      <c r="E204" s="43">
        <f t="shared" si="75"/>
        <v>0</v>
      </c>
      <c r="H204" s="16"/>
      <c r="I204" s="5"/>
      <c r="J204" s="6"/>
      <c r="K204" s="7"/>
      <c r="L204" s="43">
        <f t="shared" si="76"/>
        <v>0</v>
      </c>
      <c r="M204"/>
    </row>
    <row r="205" spans="1:13" x14ac:dyDescent="0.15">
      <c r="A205" s="13"/>
      <c r="B205" s="5"/>
      <c r="C205" s="6"/>
      <c r="D205" s="7"/>
      <c r="E205" s="43">
        <f t="shared" si="75"/>
        <v>0</v>
      </c>
      <c r="H205" s="16"/>
      <c r="I205" s="5"/>
      <c r="J205" s="6"/>
      <c r="K205" s="7"/>
      <c r="L205" s="43">
        <f t="shared" ref="L205:L211" si="77">SUM(I205:K205)</f>
        <v>0</v>
      </c>
      <c r="M205"/>
    </row>
    <row r="206" spans="1:13" x14ac:dyDescent="0.15">
      <c r="A206" s="14"/>
      <c r="B206" s="5"/>
      <c r="C206" s="6"/>
      <c r="D206" s="7"/>
      <c r="E206" s="43">
        <f t="shared" si="75"/>
        <v>0</v>
      </c>
      <c r="H206" s="16"/>
      <c r="I206" s="5"/>
      <c r="J206" s="6"/>
      <c r="K206" s="7"/>
      <c r="L206" s="43">
        <f t="shared" si="77"/>
        <v>0</v>
      </c>
      <c r="M206"/>
    </row>
    <row r="207" spans="1:13" x14ac:dyDescent="0.15">
      <c r="A207" s="13"/>
      <c r="B207" s="8"/>
      <c r="C207" s="9"/>
      <c r="D207" s="10"/>
      <c r="E207" s="43">
        <f t="shared" si="75"/>
        <v>0</v>
      </c>
      <c r="H207" s="16"/>
      <c r="I207" s="5"/>
      <c r="J207" s="6"/>
      <c r="K207" s="7"/>
      <c r="L207" s="43">
        <f t="shared" si="77"/>
        <v>0</v>
      </c>
      <c r="M207"/>
    </row>
    <row r="208" spans="1:13" x14ac:dyDescent="0.15">
      <c r="A208" s="13"/>
      <c r="B208" s="5"/>
      <c r="C208" s="6"/>
      <c r="D208" s="7"/>
      <c r="E208" s="43">
        <f t="shared" si="75"/>
        <v>0</v>
      </c>
      <c r="H208" s="16"/>
      <c r="I208" s="5"/>
      <c r="J208" s="6"/>
      <c r="K208" s="7"/>
      <c r="L208" s="43">
        <f t="shared" si="77"/>
        <v>0</v>
      </c>
      <c r="M208"/>
    </row>
    <row r="209" spans="1:13" x14ac:dyDescent="0.15">
      <c r="A209" s="13"/>
      <c r="B209" s="8"/>
      <c r="C209" s="9"/>
      <c r="D209" s="10"/>
      <c r="E209" s="44">
        <f t="shared" si="75"/>
        <v>0</v>
      </c>
      <c r="H209" s="16"/>
      <c r="I209" s="5"/>
      <c r="J209" s="6"/>
      <c r="K209" s="7"/>
      <c r="L209" s="43">
        <f t="shared" si="77"/>
        <v>0</v>
      </c>
      <c r="M209"/>
    </row>
    <row r="210" spans="1:13" x14ac:dyDescent="0.15">
      <c r="A210" s="13"/>
      <c r="B210" s="5"/>
      <c r="C210" s="6"/>
      <c r="D210" s="7"/>
      <c r="E210" s="43">
        <f t="shared" si="75"/>
        <v>0</v>
      </c>
      <c r="H210" s="16"/>
      <c r="I210" s="5"/>
      <c r="J210" s="6"/>
      <c r="K210" s="7"/>
      <c r="L210" s="43">
        <f t="shared" si="77"/>
        <v>0</v>
      </c>
      <c r="M210"/>
    </row>
    <row r="211" spans="1:13" ht="14.25" thickBot="1" x14ac:dyDescent="0.2">
      <c r="A211" s="13"/>
      <c r="B211" s="8"/>
      <c r="C211" s="9"/>
      <c r="D211" s="10"/>
      <c r="E211" s="47">
        <f t="shared" si="75"/>
        <v>0</v>
      </c>
      <c r="H211" s="140" t="s">
        <v>128</v>
      </c>
      <c r="I211" s="141">
        <v>70</v>
      </c>
      <c r="J211" s="142">
        <v>70</v>
      </c>
      <c r="K211" s="143">
        <v>40</v>
      </c>
      <c r="L211" s="109">
        <f t="shared" si="77"/>
        <v>180</v>
      </c>
      <c r="M211" s="24" t="s">
        <v>127</v>
      </c>
    </row>
    <row r="212" spans="1:13" ht="14.25" thickBot="1" x14ac:dyDescent="0.2">
      <c r="A212" s="25" t="s">
        <v>17</v>
      </c>
      <c r="B212" s="28">
        <f>SUM(B186:B211)</f>
        <v>0</v>
      </c>
      <c r="C212" s="29">
        <f t="shared" ref="C212:D212" si="78">SUM(C186:C211)</f>
        <v>0</v>
      </c>
      <c r="D212" s="33">
        <f t="shared" si="78"/>
        <v>0</v>
      </c>
      <c r="E212" s="48">
        <f t="shared" si="75"/>
        <v>0</v>
      </c>
      <c r="H212" s="25" t="s">
        <v>17</v>
      </c>
      <c r="I212" s="28">
        <f>SUM(I186:I211)</f>
        <v>70</v>
      </c>
      <c r="J212" s="29">
        <f t="shared" ref="J212:L212" si="79">SUM(J186:J211)</f>
        <v>70</v>
      </c>
      <c r="K212" s="33">
        <f t="shared" si="79"/>
        <v>40</v>
      </c>
      <c r="L212" s="48">
        <f t="shared" si="79"/>
        <v>180</v>
      </c>
      <c r="M212"/>
    </row>
    <row r="213" spans="1:13" ht="14.25" thickBot="1" x14ac:dyDescent="0.2">
      <c r="A213" s="12" t="s">
        <v>16</v>
      </c>
      <c r="B213" s="50">
        <f>B185-B212</f>
        <v>3</v>
      </c>
      <c r="C213" s="51">
        <f t="shared" ref="C213:D213" si="80">C185-C212</f>
        <v>2</v>
      </c>
      <c r="D213" s="52">
        <f t="shared" si="80"/>
        <v>1</v>
      </c>
      <c r="E213" s="49">
        <f>SUM(B213:D213)</f>
        <v>6</v>
      </c>
      <c r="H213" s="12" t="s">
        <v>16</v>
      </c>
      <c r="I213" s="50">
        <f>I185-I212</f>
        <v>427</v>
      </c>
      <c r="J213" s="51">
        <f t="shared" ref="J213:L213" si="81">J185-J212</f>
        <v>449</v>
      </c>
      <c r="K213" s="52">
        <f t="shared" si="81"/>
        <v>250</v>
      </c>
      <c r="L213" s="49">
        <f t="shared" si="81"/>
        <v>1126</v>
      </c>
      <c r="M213"/>
    </row>
    <row r="214" spans="1:13" x14ac:dyDescent="0.15">
      <c r="M214"/>
    </row>
    <row r="215" spans="1:13" x14ac:dyDescent="0.15">
      <c r="M215"/>
    </row>
    <row r="216" spans="1:13" x14ac:dyDescent="0.15">
      <c r="M216"/>
    </row>
    <row r="217" spans="1:13" x14ac:dyDescent="0.15">
      <c r="M217"/>
    </row>
    <row r="218" spans="1:13" x14ac:dyDescent="0.15">
      <c r="M218"/>
    </row>
    <row r="219" spans="1:13" x14ac:dyDescent="0.15">
      <c r="M219"/>
    </row>
    <row r="220" spans="1:13" x14ac:dyDescent="0.15">
      <c r="M220"/>
    </row>
    <row r="221" spans="1:13" x14ac:dyDescent="0.15">
      <c r="M221"/>
    </row>
    <row r="222" spans="1:13" x14ac:dyDescent="0.15">
      <c r="M222"/>
    </row>
    <row r="223" spans="1:13" x14ac:dyDescent="0.15">
      <c r="M223"/>
    </row>
    <row r="224" spans="1:13" x14ac:dyDescent="0.15">
      <c r="M224"/>
    </row>
    <row r="225" spans="13:13" x14ac:dyDescent="0.15">
      <c r="M225"/>
    </row>
    <row r="226" spans="13:13" x14ac:dyDescent="0.15">
      <c r="M226"/>
    </row>
    <row r="227" spans="13:13" x14ac:dyDescent="0.15">
      <c r="M227"/>
    </row>
    <row r="228" spans="13:13" x14ac:dyDescent="0.15">
      <c r="M228"/>
    </row>
    <row r="229" spans="13:13" x14ac:dyDescent="0.15">
      <c r="M229"/>
    </row>
    <row r="230" spans="13:13" x14ac:dyDescent="0.15">
      <c r="M230"/>
    </row>
    <row r="231" spans="13:13" x14ac:dyDescent="0.15">
      <c r="M231"/>
    </row>
    <row r="232" spans="13:13" x14ac:dyDescent="0.15">
      <c r="M232"/>
    </row>
    <row r="233" spans="13:13" x14ac:dyDescent="0.15">
      <c r="M233"/>
    </row>
    <row r="234" spans="13:13" x14ac:dyDescent="0.15">
      <c r="M234"/>
    </row>
    <row r="235" spans="13:13" x14ac:dyDescent="0.15">
      <c r="M235"/>
    </row>
    <row r="236" spans="13:13" x14ac:dyDescent="0.15">
      <c r="M236"/>
    </row>
    <row r="237" spans="13:13" x14ac:dyDescent="0.15">
      <c r="M237"/>
    </row>
    <row r="238" spans="13:13" x14ac:dyDescent="0.15">
      <c r="M238"/>
    </row>
    <row r="239" spans="13:13" x14ac:dyDescent="0.15">
      <c r="M239"/>
    </row>
    <row r="240" spans="13:13" x14ac:dyDescent="0.15">
      <c r="M240"/>
    </row>
    <row r="241" spans="13:13" x14ac:dyDescent="0.15">
      <c r="M241"/>
    </row>
    <row r="242" spans="13:13" x14ac:dyDescent="0.15">
      <c r="M242"/>
    </row>
    <row r="243" spans="13:13" x14ac:dyDescent="0.15">
      <c r="M243"/>
    </row>
    <row r="244" spans="13:13" x14ac:dyDescent="0.15">
      <c r="M244"/>
    </row>
    <row r="245" spans="13:13" x14ac:dyDescent="0.15">
      <c r="M245"/>
    </row>
    <row r="246" spans="13:13" x14ac:dyDescent="0.15">
      <c r="M246"/>
    </row>
    <row r="247" spans="13:13" x14ac:dyDescent="0.15">
      <c r="M247"/>
    </row>
    <row r="248" spans="13:13" x14ac:dyDescent="0.15">
      <c r="M248"/>
    </row>
    <row r="249" spans="13:13" x14ac:dyDescent="0.15">
      <c r="M249"/>
    </row>
    <row r="250" spans="13:13" x14ac:dyDescent="0.15">
      <c r="M250"/>
    </row>
    <row r="251" spans="13:13" x14ac:dyDescent="0.15">
      <c r="M251"/>
    </row>
    <row r="252" spans="13:13" x14ac:dyDescent="0.15">
      <c r="M252"/>
    </row>
    <row r="253" spans="13:13" x14ac:dyDescent="0.15">
      <c r="M253"/>
    </row>
    <row r="254" spans="13:13" x14ac:dyDescent="0.15">
      <c r="M254"/>
    </row>
    <row r="255" spans="13:13" x14ac:dyDescent="0.15">
      <c r="M255"/>
    </row>
    <row r="256" spans="13:13" x14ac:dyDescent="0.15">
      <c r="M256"/>
    </row>
    <row r="257" spans="13:13" x14ac:dyDescent="0.15">
      <c r="M257"/>
    </row>
    <row r="258" spans="13:13" x14ac:dyDescent="0.15">
      <c r="M258"/>
    </row>
    <row r="259" spans="13:13" x14ac:dyDescent="0.15">
      <c r="M259"/>
    </row>
    <row r="260" spans="13:13" x14ac:dyDescent="0.15">
      <c r="M260"/>
    </row>
    <row r="261" spans="13:13" x14ac:dyDescent="0.15">
      <c r="M261"/>
    </row>
    <row r="262" spans="13:13" x14ac:dyDescent="0.15">
      <c r="M262"/>
    </row>
    <row r="263" spans="13:13" x14ac:dyDescent="0.15">
      <c r="M263"/>
    </row>
    <row r="264" spans="13:13" x14ac:dyDescent="0.15">
      <c r="M264"/>
    </row>
    <row r="265" spans="13:13" x14ac:dyDescent="0.15">
      <c r="M265"/>
    </row>
    <row r="266" spans="13:13" x14ac:dyDescent="0.15">
      <c r="M266"/>
    </row>
    <row r="267" spans="13:13" x14ac:dyDescent="0.15">
      <c r="M267"/>
    </row>
    <row r="268" spans="13:13" x14ac:dyDescent="0.15">
      <c r="M268"/>
    </row>
    <row r="269" spans="13:13" x14ac:dyDescent="0.15">
      <c r="M269"/>
    </row>
    <row r="270" spans="13:13" x14ac:dyDescent="0.15">
      <c r="M270"/>
    </row>
    <row r="271" spans="13:13" x14ac:dyDescent="0.15">
      <c r="M271"/>
    </row>
    <row r="272" spans="13:13" x14ac:dyDescent="0.15">
      <c r="M272"/>
    </row>
    <row r="273" spans="13:13" x14ac:dyDescent="0.15">
      <c r="M273"/>
    </row>
    <row r="274" spans="13:13" x14ac:dyDescent="0.15">
      <c r="M274"/>
    </row>
    <row r="275" spans="13:13" x14ac:dyDescent="0.15">
      <c r="M275"/>
    </row>
    <row r="276" spans="13:13" x14ac:dyDescent="0.15">
      <c r="M276"/>
    </row>
    <row r="277" spans="13:13" x14ac:dyDescent="0.15">
      <c r="M277"/>
    </row>
    <row r="278" spans="13:13" x14ac:dyDescent="0.15">
      <c r="M278"/>
    </row>
    <row r="279" spans="13:13" x14ac:dyDescent="0.15">
      <c r="M279"/>
    </row>
    <row r="280" spans="13:13" x14ac:dyDescent="0.15">
      <c r="M280"/>
    </row>
    <row r="281" spans="13:13" x14ac:dyDescent="0.15">
      <c r="M281"/>
    </row>
    <row r="282" spans="13:13" x14ac:dyDescent="0.15">
      <c r="M282"/>
    </row>
    <row r="283" spans="13:13" x14ac:dyDescent="0.15">
      <c r="M283"/>
    </row>
    <row r="284" spans="13:13" x14ac:dyDescent="0.15">
      <c r="M284"/>
    </row>
    <row r="285" spans="13:13" x14ac:dyDescent="0.15">
      <c r="M285"/>
    </row>
    <row r="286" spans="13:13" x14ac:dyDescent="0.15">
      <c r="M286"/>
    </row>
    <row r="287" spans="13:13" x14ac:dyDescent="0.15">
      <c r="M287"/>
    </row>
    <row r="288" spans="13:13" x14ac:dyDescent="0.15">
      <c r="M288"/>
    </row>
    <row r="289" spans="13:13" x14ac:dyDescent="0.15">
      <c r="M289"/>
    </row>
    <row r="290" spans="13:13" x14ac:dyDescent="0.15">
      <c r="M290"/>
    </row>
    <row r="291" spans="13:13" x14ac:dyDescent="0.15">
      <c r="M291"/>
    </row>
    <row r="292" spans="13:13" x14ac:dyDescent="0.15">
      <c r="M292"/>
    </row>
    <row r="293" spans="13:13" x14ac:dyDescent="0.15">
      <c r="M293"/>
    </row>
    <row r="294" spans="13:13" x14ac:dyDescent="0.15">
      <c r="M294"/>
    </row>
    <row r="295" spans="13:13" x14ac:dyDescent="0.15">
      <c r="M295"/>
    </row>
    <row r="296" spans="13:13" x14ac:dyDescent="0.15">
      <c r="M296"/>
    </row>
    <row r="297" spans="13:13" x14ac:dyDescent="0.15">
      <c r="M297"/>
    </row>
    <row r="298" spans="13:13" x14ac:dyDescent="0.15">
      <c r="M298"/>
    </row>
    <row r="299" spans="13:13" x14ac:dyDescent="0.15">
      <c r="M299"/>
    </row>
    <row r="300" spans="13:13" x14ac:dyDescent="0.15">
      <c r="M300"/>
    </row>
    <row r="301" spans="13:13" x14ac:dyDescent="0.15">
      <c r="M301"/>
    </row>
    <row r="302" spans="13:13" x14ac:dyDescent="0.15">
      <c r="M302"/>
    </row>
    <row r="303" spans="13:13" x14ac:dyDescent="0.15">
      <c r="M303"/>
    </row>
    <row r="304" spans="13:13" x14ac:dyDescent="0.15">
      <c r="M304"/>
    </row>
    <row r="305" spans="13:13" x14ac:dyDescent="0.15">
      <c r="M305"/>
    </row>
    <row r="306" spans="13:13" x14ac:dyDescent="0.15">
      <c r="M306"/>
    </row>
    <row r="307" spans="13:13" x14ac:dyDescent="0.15">
      <c r="M307"/>
    </row>
    <row r="308" spans="13:13" x14ac:dyDescent="0.15">
      <c r="M308"/>
    </row>
    <row r="309" spans="13:13" x14ac:dyDescent="0.15">
      <c r="M309"/>
    </row>
    <row r="310" spans="13:13" x14ac:dyDescent="0.15">
      <c r="M310"/>
    </row>
    <row r="311" spans="13:13" x14ac:dyDescent="0.15">
      <c r="M311"/>
    </row>
    <row r="312" spans="13:13" x14ac:dyDescent="0.15">
      <c r="M312"/>
    </row>
    <row r="313" spans="13:13" x14ac:dyDescent="0.15">
      <c r="M313"/>
    </row>
    <row r="314" spans="13:13" x14ac:dyDescent="0.15">
      <c r="M314"/>
    </row>
    <row r="315" spans="13:13" x14ac:dyDescent="0.15">
      <c r="M315"/>
    </row>
    <row r="316" spans="13:13" x14ac:dyDescent="0.15">
      <c r="M316"/>
    </row>
    <row r="317" spans="13:13" x14ac:dyDescent="0.15">
      <c r="M317"/>
    </row>
    <row r="318" spans="13:13" x14ac:dyDescent="0.15">
      <c r="M318"/>
    </row>
    <row r="319" spans="13:13" x14ac:dyDescent="0.15">
      <c r="M319"/>
    </row>
    <row r="320" spans="13:13" x14ac:dyDescent="0.15">
      <c r="M320"/>
    </row>
    <row r="321" spans="13:13" x14ac:dyDescent="0.15">
      <c r="M321"/>
    </row>
    <row r="322" spans="13:13" x14ac:dyDescent="0.15">
      <c r="M322"/>
    </row>
    <row r="323" spans="13:13" x14ac:dyDescent="0.15">
      <c r="M323"/>
    </row>
    <row r="324" spans="13:13" x14ac:dyDescent="0.15">
      <c r="M324"/>
    </row>
    <row r="325" spans="13:13" x14ac:dyDescent="0.15">
      <c r="M325"/>
    </row>
    <row r="326" spans="13:13" x14ac:dyDescent="0.15">
      <c r="M326"/>
    </row>
    <row r="327" spans="13:13" x14ac:dyDescent="0.15">
      <c r="M327"/>
    </row>
    <row r="328" spans="13:13" x14ac:dyDescent="0.15">
      <c r="M328"/>
    </row>
    <row r="329" spans="13:13" x14ac:dyDescent="0.15">
      <c r="M329"/>
    </row>
    <row r="330" spans="13:13" x14ac:dyDescent="0.15">
      <c r="M330"/>
    </row>
    <row r="331" spans="13:13" x14ac:dyDescent="0.15">
      <c r="M331"/>
    </row>
    <row r="332" spans="13:13" x14ac:dyDescent="0.15">
      <c r="M332"/>
    </row>
    <row r="333" spans="13:13" x14ac:dyDescent="0.15">
      <c r="M333"/>
    </row>
    <row r="334" spans="13:13" x14ac:dyDescent="0.15">
      <c r="M334"/>
    </row>
    <row r="335" spans="13:13" x14ac:dyDescent="0.15">
      <c r="M335"/>
    </row>
    <row r="336" spans="13:13" x14ac:dyDescent="0.15">
      <c r="M336"/>
    </row>
    <row r="337" spans="13:13" x14ac:dyDescent="0.15">
      <c r="M337"/>
    </row>
    <row r="338" spans="13:13" x14ac:dyDescent="0.15">
      <c r="M338"/>
    </row>
    <row r="339" spans="13:13" x14ac:dyDescent="0.15">
      <c r="M339"/>
    </row>
    <row r="340" spans="13:13" x14ac:dyDescent="0.15">
      <c r="M340"/>
    </row>
    <row r="341" spans="13:13" x14ac:dyDescent="0.15">
      <c r="M341"/>
    </row>
    <row r="342" spans="13:13" x14ac:dyDescent="0.15">
      <c r="M342"/>
    </row>
    <row r="343" spans="13:13" x14ac:dyDescent="0.15">
      <c r="M343"/>
    </row>
    <row r="344" spans="13:13" x14ac:dyDescent="0.15">
      <c r="M344"/>
    </row>
    <row r="345" spans="13:13" x14ac:dyDescent="0.15">
      <c r="M345"/>
    </row>
    <row r="346" spans="13:13" x14ac:dyDescent="0.15">
      <c r="M346"/>
    </row>
    <row r="347" spans="13:13" x14ac:dyDescent="0.15">
      <c r="M347"/>
    </row>
    <row r="348" spans="13:13" x14ac:dyDescent="0.15">
      <c r="M348"/>
    </row>
    <row r="349" spans="13:13" x14ac:dyDescent="0.15">
      <c r="M349"/>
    </row>
    <row r="350" spans="13:13" x14ac:dyDescent="0.15">
      <c r="M350"/>
    </row>
    <row r="351" spans="13:13" x14ac:dyDescent="0.15">
      <c r="M351"/>
    </row>
    <row r="352" spans="13:13" x14ac:dyDescent="0.15">
      <c r="M352"/>
    </row>
    <row r="353" spans="13:13" x14ac:dyDescent="0.15">
      <c r="M353"/>
    </row>
    <row r="354" spans="13:13" x14ac:dyDescent="0.15">
      <c r="M354"/>
    </row>
    <row r="355" spans="13:13" x14ac:dyDescent="0.15">
      <c r="M355"/>
    </row>
    <row r="356" spans="13:13" x14ac:dyDescent="0.15">
      <c r="M356"/>
    </row>
    <row r="357" spans="13:13" x14ac:dyDescent="0.15">
      <c r="M357"/>
    </row>
    <row r="358" spans="13:13" x14ac:dyDescent="0.15">
      <c r="M358"/>
    </row>
    <row r="359" spans="13:13" x14ac:dyDescent="0.15">
      <c r="M359"/>
    </row>
    <row r="360" spans="13:13" x14ac:dyDescent="0.15">
      <c r="M360"/>
    </row>
    <row r="361" spans="13:13" x14ac:dyDescent="0.15">
      <c r="M361"/>
    </row>
    <row r="362" spans="13:13" x14ac:dyDescent="0.15">
      <c r="M362"/>
    </row>
    <row r="363" spans="13:13" x14ac:dyDescent="0.15">
      <c r="M363"/>
    </row>
    <row r="364" spans="13:13" x14ac:dyDescent="0.15">
      <c r="M364"/>
    </row>
    <row r="365" spans="13:13" x14ac:dyDescent="0.15">
      <c r="M365"/>
    </row>
    <row r="366" spans="13:13" x14ac:dyDescent="0.15">
      <c r="M366"/>
    </row>
    <row r="367" spans="13:13" x14ac:dyDescent="0.15">
      <c r="M367"/>
    </row>
    <row r="368" spans="13:13" x14ac:dyDescent="0.15">
      <c r="M368"/>
    </row>
    <row r="369" spans="13:13" x14ac:dyDescent="0.15">
      <c r="M369"/>
    </row>
    <row r="370" spans="13:13" x14ac:dyDescent="0.15">
      <c r="M370"/>
    </row>
    <row r="371" spans="13:13" x14ac:dyDescent="0.15">
      <c r="M371"/>
    </row>
    <row r="372" spans="13:13" x14ac:dyDescent="0.15">
      <c r="M372"/>
    </row>
    <row r="373" spans="13:13" x14ac:dyDescent="0.15">
      <c r="M373"/>
    </row>
    <row r="374" spans="13:13" x14ac:dyDescent="0.15">
      <c r="M374"/>
    </row>
    <row r="375" spans="13:13" x14ac:dyDescent="0.15">
      <c r="M375"/>
    </row>
    <row r="376" spans="13:13" x14ac:dyDescent="0.15">
      <c r="M376"/>
    </row>
    <row r="377" spans="13:13" x14ac:dyDescent="0.15">
      <c r="M377"/>
    </row>
    <row r="378" spans="13:13" x14ac:dyDescent="0.15">
      <c r="M378"/>
    </row>
    <row r="379" spans="13:13" x14ac:dyDescent="0.15">
      <c r="M379"/>
    </row>
    <row r="380" spans="13:13" x14ac:dyDescent="0.15">
      <c r="M380"/>
    </row>
    <row r="381" spans="13:13" x14ac:dyDescent="0.15">
      <c r="M381"/>
    </row>
    <row r="382" spans="13:13" x14ac:dyDescent="0.15">
      <c r="M382"/>
    </row>
    <row r="383" spans="13:13" x14ac:dyDescent="0.15">
      <c r="M383"/>
    </row>
    <row r="384" spans="13:13" x14ac:dyDescent="0.15">
      <c r="M384"/>
    </row>
    <row r="385" spans="13:13" x14ac:dyDescent="0.15">
      <c r="M385"/>
    </row>
    <row r="386" spans="13:13" x14ac:dyDescent="0.15">
      <c r="M386"/>
    </row>
    <row r="387" spans="13:13" x14ac:dyDescent="0.15">
      <c r="M387"/>
    </row>
    <row r="388" spans="13:13" x14ac:dyDescent="0.15">
      <c r="M388"/>
    </row>
    <row r="389" spans="13:13" x14ac:dyDescent="0.15">
      <c r="M389"/>
    </row>
    <row r="390" spans="13:13" x14ac:dyDescent="0.15">
      <c r="M390"/>
    </row>
    <row r="391" spans="13:13" x14ac:dyDescent="0.15">
      <c r="M391"/>
    </row>
    <row r="392" spans="13:13" x14ac:dyDescent="0.15">
      <c r="M392"/>
    </row>
    <row r="393" spans="13:13" x14ac:dyDescent="0.15">
      <c r="M393"/>
    </row>
    <row r="394" spans="13:13" x14ac:dyDescent="0.15">
      <c r="M394"/>
    </row>
    <row r="395" spans="13:13" x14ac:dyDescent="0.15">
      <c r="M395"/>
    </row>
    <row r="396" spans="13:13" x14ac:dyDescent="0.15">
      <c r="M396"/>
    </row>
    <row r="397" spans="13:13" x14ac:dyDescent="0.15">
      <c r="M397"/>
    </row>
    <row r="398" spans="13:13" x14ac:dyDescent="0.15">
      <c r="M398"/>
    </row>
    <row r="399" spans="13:13" x14ac:dyDescent="0.15">
      <c r="M399"/>
    </row>
    <row r="400" spans="13:13" x14ac:dyDescent="0.15">
      <c r="M400"/>
    </row>
    <row r="401" spans="13:13" x14ac:dyDescent="0.15">
      <c r="M401"/>
    </row>
    <row r="402" spans="13:13" x14ac:dyDescent="0.15">
      <c r="M402"/>
    </row>
    <row r="403" spans="13:13" x14ac:dyDescent="0.15">
      <c r="M403"/>
    </row>
    <row r="404" spans="13:13" x14ac:dyDescent="0.15">
      <c r="M404"/>
    </row>
    <row r="405" spans="13:13" x14ac:dyDescent="0.15">
      <c r="M405"/>
    </row>
    <row r="406" spans="13:13" x14ac:dyDescent="0.15">
      <c r="M406"/>
    </row>
    <row r="407" spans="13:13" x14ac:dyDescent="0.15">
      <c r="M407"/>
    </row>
    <row r="408" spans="13:13" x14ac:dyDescent="0.15">
      <c r="M408"/>
    </row>
    <row r="409" spans="13:13" x14ac:dyDescent="0.15">
      <c r="M409"/>
    </row>
    <row r="410" spans="13:13" x14ac:dyDescent="0.15">
      <c r="M410"/>
    </row>
    <row r="411" spans="13:13" x14ac:dyDescent="0.15">
      <c r="M411"/>
    </row>
    <row r="412" spans="13:13" x14ac:dyDescent="0.15">
      <c r="M412"/>
    </row>
    <row r="413" spans="13:13" x14ac:dyDescent="0.15">
      <c r="M413"/>
    </row>
    <row r="414" spans="13:13" x14ac:dyDescent="0.15">
      <c r="M414"/>
    </row>
    <row r="415" spans="13:13" x14ac:dyDescent="0.15">
      <c r="M415"/>
    </row>
    <row r="416" spans="13:13" x14ac:dyDescent="0.15">
      <c r="M416"/>
    </row>
    <row r="417" spans="13:13" x14ac:dyDescent="0.15">
      <c r="M417"/>
    </row>
    <row r="418" spans="13:13" x14ac:dyDescent="0.15">
      <c r="M418"/>
    </row>
    <row r="419" spans="13:13" x14ac:dyDescent="0.15">
      <c r="M419"/>
    </row>
    <row r="420" spans="13:13" x14ac:dyDescent="0.15">
      <c r="M420"/>
    </row>
    <row r="421" spans="13:13" x14ac:dyDescent="0.15">
      <c r="M421"/>
    </row>
    <row r="422" spans="13:13" x14ac:dyDescent="0.15">
      <c r="M422"/>
    </row>
    <row r="423" spans="13:13" x14ac:dyDescent="0.15">
      <c r="M423"/>
    </row>
    <row r="424" spans="13:13" x14ac:dyDescent="0.15">
      <c r="M424"/>
    </row>
    <row r="425" spans="13:13" x14ac:dyDescent="0.15">
      <c r="M425"/>
    </row>
    <row r="426" spans="13:13" x14ac:dyDescent="0.15">
      <c r="M426"/>
    </row>
    <row r="427" spans="13:13" x14ac:dyDescent="0.15">
      <c r="M427"/>
    </row>
    <row r="428" spans="13:13" x14ac:dyDescent="0.15">
      <c r="M428"/>
    </row>
    <row r="429" spans="13:13" x14ac:dyDescent="0.15">
      <c r="M429"/>
    </row>
    <row r="430" spans="13:13" x14ac:dyDescent="0.15">
      <c r="M430"/>
    </row>
    <row r="431" spans="13:13" x14ac:dyDescent="0.15">
      <c r="M431"/>
    </row>
    <row r="432" spans="13:13" x14ac:dyDescent="0.15">
      <c r="M432"/>
    </row>
    <row r="433" spans="13:13" x14ac:dyDescent="0.15">
      <c r="M433"/>
    </row>
    <row r="434" spans="13:13" x14ac:dyDescent="0.15">
      <c r="M434"/>
    </row>
    <row r="435" spans="13:13" x14ac:dyDescent="0.15">
      <c r="M435"/>
    </row>
    <row r="436" spans="13:13" x14ac:dyDescent="0.15">
      <c r="M436"/>
    </row>
    <row r="437" spans="13:13" x14ac:dyDescent="0.15">
      <c r="M437"/>
    </row>
    <row r="438" spans="13:13" x14ac:dyDescent="0.15">
      <c r="M438"/>
    </row>
    <row r="439" spans="13:13" x14ac:dyDescent="0.15">
      <c r="M439"/>
    </row>
    <row r="440" spans="13:13" x14ac:dyDescent="0.15">
      <c r="M440"/>
    </row>
    <row r="441" spans="13:13" x14ac:dyDescent="0.15">
      <c r="M441"/>
    </row>
    <row r="442" spans="13:13" x14ac:dyDescent="0.15">
      <c r="M442"/>
    </row>
    <row r="443" spans="13:13" x14ac:dyDescent="0.15">
      <c r="M443"/>
    </row>
    <row r="444" spans="13:13" x14ac:dyDescent="0.15">
      <c r="M444"/>
    </row>
    <row r="445" spans="13:13" x14ac:dyDescent="0.15">
      <c r="M445"/>
    </row>
    <row r="446" spans="13:13" x14ac:dyDescent="0.15">
      <c r="M446"/>
    </row>
    <row r="447" spans="13:13" x14ac:dyDescent="0.15">
      <c r="M447"/>
    </row>
    <row r="448" spans="13:13" x14ac:dyDescent="0.15">
      <c r="M448"/>
    </row>
    <row r="449" spans="13:13" x14ac:dyDescent="0.15">
      <c r="M449"/>
    </row>
    <row r="450" spans="13:13" x14ac:dyDescent="0.15">
      <c r="M450"/>
    </row>
    <row r="451" spans="13:13" x14ac:dyDescent="0.15">
      <c r="M451"/>
    </row>
    <row r="452" spans="13:13" x14ac:dyDescent="0.15">
      <c r="M452"/>
    </row>
    <row r="453" spans="13:13" x14ac:dyDescent="0.15">
      <c r="M453"/>
    </row>
    <row r="454" spans="13:13" x14ac:dyDescent="0.15">
      <c r="M454"/>
    </row>
    <row r="455" spans="13:13" x14ac:dyDescent="0.15">
      <c r="M455"/>
    </row>
    <row r="456" spans="13:13" x14ac:dyDescent="0.15">
      <c r="M456"/>
    </row>
    <row r="457" spans="13:13" x14ac:dyDescent="0.15">
      <c r="M457"/>
    </row>
    <row r="458" spans="13:13" x14ac:dyDescent="0.15">
      <c r="M458"/>
    </row>
    <row r="459" spans="13:13" x14ac:dyDescent="0.15">
      <c r="M459"/>
    </row>
    <row r="460" spans="13:13" x14ac:dyDescent="0.15">
      <c r="M460"/>
    </row>
    <row r="461" spans="13:13" x14ac:dyDescent="0.15">
      <c r="M461"/>
    </row>
    <row r="462" spans="13:13" x14ac:dyDescent="0.15">
      <c r="M462"/>
    </row>
    <row r="463" spans="13:13" x14ac:dyDescent="0.15">
      <c r="M463"/>
    </row>
  </sheetData>
  <mergeCells count="11">
    <mergeCell ref="B174:E174"/>
    <mergeCell ref="I174:L174"/>
    <mergeCell ref="I131:L131"/>
    <mergeCell ref="B131:E131"/>
    <mergeCell ref="P2:S2"/>
    <mergeCell ref="B88:E88"/>
    <mergeCell ref="I88:L88"/>
    <mergeCell ref="B2:E2"/>
    <mergeCell ref="I2:L2"/>
    <mergeCell ref="B45:E45"/>
    <mergeCell ref="I45:L45"/>
  </mergeCells>
  <phoneticPr fontId="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黒杢ブラ</vt:lpstr>
      <vt:lpstr>黒杢レギンス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cp:lastPrinted>2018-05-21T08:37:08Z</cp:lastPrinted>
  <dcterms:created xsi:type="dcterms:W3CDTF">2017-08-26T01:27:44Z</dcterms:created>
  <dcterms:modified xsi:type="dcterms:W3CDTF">2026-07-14T09:50:56Z</dcterms:modified>
</cp:coreProperties>
</file>